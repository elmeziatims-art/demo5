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1" tabRatio="1000"/>
  </bookViews>
  <sheets>
    <sheet r:id="rId1" name="_TGK_HIDDEN" sheetId="1" state="veryHidden"/>
    <sheet r:id="rId2" name="Cadrage" sheetId="2"/>
    <sheet r:id="rId3" name="Pilotage" sheetId="3"/>
    <sheet r:id="rId4" name="Socle" sheetId="4" state="hidden"/>
    <sheet r:id="rId5" name="Campagne" sheetId="5" state="hidden"/>
    <sheet r:id="rId6" name="Moteur" sheetId="6" state="hidden"/>
    <sheet r:id="rId7" name="Comptabilité" sheetId="7" state="hidden"/>
    <sheet r:id="rId8" name="PNL" sheetId="8" state="hidden"/>
    <sheet r:id="rId9" name="_CALC_MOTEUR" sheetId="9" state="hidden"/>
    <sheet r:id="rId10" name="_CALC_PNL" sheetId="10" state="hidden"/>
  </sheets>
  <definedNames>
    <definedName name="BUD_REF_CAP" isReadOnly="false">Pilotage!$K$19:$K$32</definedName>
    <definedName name="HYP_ACQ_BUD_V01" isReadOnly="false">Cadrage!$C$23</definedName>
    <definedName name="HYP_ACQ_BUD_V02" isReadOnly="false">Cadrage!$D$23</definedName>
    <definedName name="HYP_ACQ_BUD_V03" isReadOnly="false">Cadrage!$E$23</definedName>
    <definedName name="HYP_BRAND_BUD_V01" isReadOnly="false">Cadrage!$C$24</definedName>
    <definedName name="HYP_BRAND_BUD_V02" isReadOnly="false">Cadrage!$D$24</definedName>
    <definedName name="HYP_BRAND_BUD_V03" isReadOnly="false">Cadrage!$E$24</definedName>
    <definedName name="HYP_CAP_RETENU" isReadOnly="false">Pilotage!$J$19:$J$32</definedName>
    <definedName name="HYP_CONV_ADM_V01" isReadOnly="false">Cadrage!$C$27</definedName>
    <definedName name="HYP_CONV_ADM_V02" isReadOnly="false">Cadrage!$D$27</definedName>
    <definedName name="HYP_CONV_ADM_V03" isReadOnly="false">Cadrage!$E$27</definedName>
    <definedName name="HYP_CONV_LEAD_V01" isReadOnly="false">Cadrage!$C$26</definedName>
    <definedName name="HYP_CONV_LEAD_V02" isReadOnly="false">Cadrage!$D$26</definedName>
    <definedName name="HYP_CONV_LEAD_V03" isReadOnly="false">Cadrage!$E$26</definedName>
    <definedName name="HYP_FEE_V01" isReadOnly="false">Cadrage!$C$42</definedName>
    <definedName name="HYP_FEE_V02" isReadOnly="false">Cadrage!$D$42</definedName>
    <definedName name="HYP_FEE_V03" isReadOnly="false">Cadrage!$E$42</definedName>
    <definedName name="HYP_FTE_PERM_V01" isReadOnly="false">Cadrage!$C$34</definedName>
    <definedName name="HYP_FTE_PERM_V02" isReadOnly="false">Cadrage!$D$34</definedName>
    <definedName name="HYP_FTE_PERM_V03" isReadOnly="false">Cadrage!$E$34</definedName>
    <definedName name="HYP_INFL_EXT_V01" isReadOnly="false">Cadrage!$C$32</definedName>
    <definedName name="HYP_INFL_EXT_V02" isReadOnly="false">Cadrage!$D$32</definedName>
    <definedName name="HYP_INFL_EXT_V03" isReadOnly="false">Cadrage!$E$32</definedName>
    <definedName name="HYP_PASSAGE_V01" isReadOnly="false">Cadrage!$C$28</definedName>
    <definedName name="HYP_PASSAGE_V02" isReadOnly="false">Cadrage!#REF!</definedName>
    <definedName name="HYP_PASSAGE_V03" isReadOnly="false">Cadrage!$D$28</definedName>
    <definedName name="HYP_PRICE_COEF_IPAC" isReadOnly="false">Cadrage!#REF!</definedName>
    <definedName name="HYP_PRICE_COEF_ISCOM" isReadOnly="false">Cadrage!$K$35</definedName>
    <definedName name="HYP_PRICE_COEF_MBWAY" isReadOnly="false">Cadrage!$K$34</definedName>
    <definedName name="HYP_PRICE_COEF_PIGIER" isReadOnly="false">Cadrage!$K$36</definedName>
    <definedName name="HYP_PRICE_COEF_TUNON" isReadOnly="false">Cadrage!#REF!</definedName>
    <definedName name="HYP_PRICE_V01" isReadOnly="false">Cadrage!$C$25</definedName>
    <definedName name="HYP_PRICE_V02" isReadOnly="false">Cadrage!$D$25</definedName>
    <definedName name="HYP_PRICE_V03" isReadOnly="false">Cadrage!$E$25</definedName>
    <definedName name="HYP_PRODUCTIVITY_V01" isReadOnly="false">Cadrage!$C$35</definedName>
    <definedName name="HYP_PRODUCTIVITY_V02" isReadOnly="false">Cadrage!$D$35</definedName>
    <definedName name="HYP_PRODUCTIVITY_V03" isReadOnly="false">Cadrage!$E$35</definedName>
    <definedName name="HYP_SALARY_V01" isReadOnly="false">Cadrage!$C$33</definedName>
    <definedName name="HYP_SALARY_V02" isReadOnly="false">Cadrage!$D$33</definedName>
    <definedName name="HYP_SALARY_V03" isReadOnly="false">Cadrage!$E$33</definedName>
    <definedName name="HYP_STRUCT_COST_V01" isReadOnly="false">Cadrage!#REF!</definedName>
    <definedName name="HYP_STRUCT_COST_V02" isReadOnly="false">Cadrage!#REF!</definedName>
    <definedName name="HYP_STRUCT_COST_V03" isReadOnly="false">Cadrage!#REF!</definedName>
    <definedName name="SCENARIO_ACTIF" isReadOnly="false">Cadrage!$C$5</definedName>
    <definedName name="SCENARIO_CODE" isReadOnly="false">Cadrage!$P$1</definedName>
    <definedName name="TEC_EBITDA" isReadOnly="false">Cadrage!$F$6</definedName>
    <definedName name="TEC_PL" isReadOnly="false">Cadrage!#REF!</definedName>
  </definedNames>
  <calcPr calcId="0" iterateCount="100" iterateDelta="0.001"/>
</workbook>
</file>

<file path=xl/sharedStrings.xml><?xml version="1.0" encoding="utf-8"?>
<sst xmlns="http://schemas.openxmlformats.org/spreadsheetml/2006/main" count="268" uniqueCount="268">
  <si>
    <t>Template00</t>
  </si>
  <si>
    <t>Template01</t>
  </si>
  <si>
    <t>Template02</t>
  </si>
  <si>
    <t>Template03</t>
  </si>
  <si>
    <t>Template04</t>
  </si>
  <si>
    <t>Template05</t>
  </si>
  <si>
    <t>Template06</t>
  </si>
  <si>
    <t>V01</t>
  </si>
  <si>
    <t>Hypothèses &amp; scénarios 2027</t>
  </si>
  <si>
    <t>Scenario actif :</t>
  </si>
  <si>
    <t>Cadrage</t>
  </si>
  <si>
    <t>Objectif d'EBITDA</t>
  </si>
  <si>
    <t>OBJECTIF 2027</t>
  </si>
  <si>
    <t>CE QUE LES LEVIERS PRODUISENT</t>
  </si>
  <si>
    <t>RESTE À TROUVER</t>
  </si>
  <si>
    <t>+007% sur 3845 790 € en 2026, soit +249 976 € à trouver</t>
  </si>
  <si>
    <t>scénario « Cadrage »   ·   marge 17%</t>
  </si>
  <si>
    <t>objectif moins construit  ·  se ferme à chaque levier</t>
  </si>
  <si>
    <t>①   RÉCONCILIATION</t>
  </si>
  <si>
    <t xml:space="preserve">de 2026 au scénario construit  </t>
  </si>
  <si>
    <t>Indicateur</t>
  </si>
  <si>
    <t>Référence 2026</t>
  </si>
  <si>
    <t>Construit 2027</t>
  </si>
  <si>
    <t>Écart</t>
  </si>
  <si>
    <t>Écart %</t>
  </si>
  <si>
    <t>EXERCICE</t>
  </si>
  <si>
    <t>CA</t>
  </si>
  <si>
    <t>EBITDA</t>
  </si>
  <si>
    <t>MARGE EBITDA</t>
  </si>
  <si>
    <t>Chiffre d'affaires</t>
  </si>
  <si>
    <t>Marge EBITDA %</t>
  </si>
  <si>
    <t>Effectif</t>
  </si>
  <si>
    <t>②   LES DOUZE LEVIERS</t>
  </si>
  <si>
    <t>Levier</t>
  </si>
  <si>
    <t>Optimiste</t>
  </si>
  <si>
    <t>Prudent</t>
  </si>
  <si>
    <t>RETENU</t>
  </si>
  <si>
    <t>CROISSANCE   ·   ce qui fait le chiffre d'affaires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</si>
  <si>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</si>
  <si>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</si>
  <si>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</si>
  <si>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</si>
  <si>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</si>
  <si>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</si>
  <si>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COÛTS   ·   ce qui fait la marge</t>
  </si>
  <si>
    <t>③   COEFFICIENTS DE PRIX</t>
  </si>
  <si>
    <t>Inflation des charges externes</t>
  </si>
  <si>
    <t>MBway</t>
  </si>
  <si>
    <t>Politique salariale sur la masse permanente</t>
  </si>
  <si>
    <t>ISCOM</t>
  </si>
  <si>
    <t>Variation des effectifs permanents</t>
  </si>
  <si>
    <t>Ipac Bachelor Factory</t>
  </si>
  <si>
    <t>Effort de productivité sur les achats et la structure</t>
  </si>
  <si>
    <t>Pigier</t>
  </si>
  <si>
    <t>Variation des coûts de structure (loyers, IT, siège…)</t>
  </si>
  <si>
    <t>Tunon</t>
  </si>
  <si>
    <t>CONSTANTE   ·   hors scénario, saisie directe</t>
  </si>
  <si>
    <t>Frais de dossier par nouvel inscrit</t>
  </si>
  <si>
    <t>code scénario -&gt;</t>
  </si>
  <si>
    <t>PILOTAGE  ·  Cockpit de decision CFO  ·  Budget 2027</t>
  </si>
  <si>
    <t>CA 2027</t>
  </si>
  <si>
    <t>EBITDA (apres siege)</t>
  </si>
  <si>
    <t>Marge EBITDA</t>
  </si>
  <si>
    <t>Croissance CA vs 2026</t>
  </si>
  <si>
    <t>contre 23.098.985 € en 2026</t>
  </si>
  <si>
    <t>contre 3.845.790 € en 2026</t>
  </si>
  <si>
    <t>contre 16,6% en 2026</t>
  </si>
  <si>
    <t>contre 3.114 en 2026</t>
  </si>
  <si>
    <t>vs 2026</t>
  </si>
  <si>
    <t>1 ·  Cap strategique par campus (marque x campus)  - arbitrage du budget d'acquisition</t>
  </si>
  <si>
    <t>à masquer</t>
  </si>
  <si>
    <t>Campus</t>
  </si>
  <si>
    <t>Marque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</si>
  <si>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</si>
  <si>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</si>
  <si>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</si>
  <si>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</si>
  <si>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</si>
  <si>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</si>
  <si>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</si>
  <si>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</si>
  <si>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</si>
  <si>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Entity</t>
  </si>
  <si>
    <t>CAP_EFF (live)</t>
  </si>
  <si>
    <t>CAP_MOM (live)</t>
  </si>
  <si>
    <t>CAP_POT (live)</t>
  </si>
  <si>
    <t>IPAC_MTP</t>
  </si>
  <si>
    <t>Ipac</t>
  </si>
  <si>
    <t>Montpellier</t>
  </si>
  <si>
    <t>IPAC_NAN</t>
  </si>
  <si>
    <t>Nantes</t>
  </si>
  <si>
    <t>IPAC_REN</t>
  </si>
  <si>
    <t>Rennes</t>
  </si>
  <si>
    <t>ISCOM_LIL</t>
  </si>
  <si>
    <t>Lille</t>
  </si>
  <si>
    <t>ISCOM_PAR</t>
  </si>
  <si>
    <t>Paris</t>
  </si>
  <si>
    <t>ISCOM_TLS</t>
  </si>
  <si>
    <t>Toulouse</t>
  </si>
  <si>
    <t>MBWAY_BOR</t>
  </si>
  <si>
    <t>Bordeaux</t>
  </si>
  <si>
    <t>MBWAY_LYO</t>
  </si>
  <si>
    <t>Lyon</t>
  </si>
  <si>
    <t>MBWAY_NAN</t>
  </si>
  <si>
    <t>MBWAY_PAR</t>
  </si>
  <si>
    <t>PIGIER_BOR</t>
  </si>
  <si>
    <t>PIGIER_LYO</t>
  </si>
  <si>
    <t>TUNON_LYO</t>
  </si>
  <si>
    <t>TUNON_PAR</t>
  </si>
  <si>
    <t>2 ·  Synthese par campus  (resultats budget, live)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</si>
  <si>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</si>
  <si>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</si>
  <si>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</si>
  <si>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</si>
  <si>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</si>
  <si>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</si>
  <si>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</si>
  <si>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Sous-total campus</t>
  </si>
  <si>
    <t>Siege / holding (GRP)</t>
  </si>
  <si>
    <t>GROUPE 2027 V01</t>
  </si>
  <si>
    <t>SCENARIO</t>
  </si>
  <si>
    <t>PERIODE</t>
  </si>
  <si>
    <t>ENTITY</t>
  </si>
  <si>
    <t>PROGRAMME</t>
  </si>
  <si>
    <t>AN_ETUDE</t>
  </si>
  <si>
    <t>MODALITE</t>
  </si>
  <si>
    <t>VOL_LEAD</t>
  </si>
  <si>
    <t>VOL_CAND</t>
  </si>
  <si>
    <t>VOL_ADMIS</t>
  </si>
  <si>
    <t>VOL_NEW</t>
  </si>
  <si>
    <t>VOL_REINS</t>
  </si>
  <si>
    <t>VOL_EFF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</si>
  <si>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</si>
  <si>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</si>
  <si>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</si>
  <si>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</si>
  <si>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</si>
  <si>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</si>
  <si>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</si>
  <si>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</si>
  <si>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</si>
  <si>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</si>
  <si>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</si>
  <si>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</si>
  <si>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</si>
  <si>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</si>
  <si>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</si>
  <si>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2027BUD_V1</t>
  </si>
  <si>
    <t>12</t>
  </si>
  <si>
    <t>BAC_CCE</t>
  </si>
  <si>
    <t>B1</t>
  </si>
  <si>
    <t>ALT</t>
  </si>
  <si>
    <t>2026</t>
  </si>
  <si>
    <t>B2</t>
  </si>
  <si>
    <t>B3</t>
  </si>
  <si>
    <t>2025</t>
  </si>
  <si>
    <t>2024</t>
  </si>
  <si>
    <t>BAC_COM</t>
  </si>
  <si>
    <t>INIT</t>
  </si>
  <si>
    <t>MAS_COM</t>
  </si>
  <si>
    <t>M1</t>
  </si>
  <si>
    <t>M2</t>
  </si>
  <si>
    <t>BAC_MGT</t>
  </si>
  <si>
    <t>MAS_MGT</t>
  </si>
  <si>
    <t>BAC_RH</t>
  </si>
  <si>
    <t>BTS_GES</t>
  </si>
  <si>
    <t>BTS1</t>
  </si>
  <si>
    <t>BTS2</t>
  </si>
  <si>
    <t>BAC_TOU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</si>
  <si>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</si>
  <si>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</si>
  <si>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</si>
  <si>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</si>
  <si>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</si>
  <si>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</si>
  <si>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</si>
  <si>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</si>
  <si>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</si>
  <si>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</si>
  <si>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</si>
  <si>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</si>
  <si>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</si>
  <si>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</si>
  <si>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NOUVEAUX (live)</t>
  </si>
  <si>
    <t>EFFECTIF (live)</t>
  </si>
  <si>
    <t>PRIX (live)</t>
  </si>
  <si>
    <t>🟢 CA (live)</t>
  </si>
  <si>
    <t>Δ CA vs Tagetik</t>
  </si>
  <si>
    <t>MBWAY</t>
  </si>
  <si>
    <t>2027</t>
  </si>
  <si>
    <t>IPAC</t>
  </si>
  <si>
    <t>PIGIER</t>
  </si>
  <si>
    <t>TUNON</t>
  </si>
  <si>
    <t>V02</t>
  </si>
  <si>
    <t>V03</t>
  </si>
  <si>
    <t/>
  </si>
  <si>
    <t>Account</t>
  </si>
  <si>
    <t>Scenario</t>
  </si>
  <si>
    <t>Period</t>
  </si>
  <si>
    <t>Amount</t>
  </si>
  <si>
    <t>7062</t>
  </si>
  <si>
    <t>706</t>
  </si>
  <si>
    <t>708</t>
  </si>
  <si>
    <t>621</t>
  </si>
  <si>
    <t>604</t>
  </si>
  <si>
    <t>6063</t>
  </si>
  <si>
    <t>6231</t>
  </si>
  <si>
    <t>6411</t>
  </si>
  <si>
    <t>6413</t>
  </si>
  <si>
    <t>GRP</t>
  </si>
  <si>
    <t>6414</t>
  </si>
  <si>
    <t>645</t>
  </si>
  <si>
    <t>613</t>
  </si>
  <si>
    <t>615</t>
  </si>
  <si>
    <t>616</t>
  </si>
  <si>
    <t>6226</t>
  </si>
  <si>
    <t>6236</t>
  </si>
  <si>
    <t>625</t>
  </si>
  <si>
    <t>626</t>
  </si>
  <si>
    <t>6281</t>
  </si>
  <si>
    <t>6331</t>
  </si>
  <si>
    <t>63511</t>
  </si>
  <si>
    <t>6333</t>
  </si>
  <si>
    <t>6811</t>
  </si>
  <si>
    <t>ACCOUNT</t>
  </si>
  <si>
    <t>PERIOD</t>
  </si>
  <si>
    <t>AMOUNT</t>
  </si>
  <si>
    <t>🟢 AMOUNT (live)</t>
  </si>
  <si>
    <t>Δ vs Tagetik</t>
  </si>
  <si>
    <t>ACT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</si>
  <si>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</si>
  <si>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</si>
  <si>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</si>
  <si>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</si>
  <si>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</si>
  <si>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</si>
  <si>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</si>
  <si>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</si>
  <si>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</si>
  <si>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</si>
  <si>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</si>
  <si>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</si>
  <si>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</si>
  <si>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</si>
  <si>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</si>
  <si>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</si>
  <si>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</si>
  <si>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</si>
  <si>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</si>
  <si>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</si>
  <si>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</si>
  <si>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</si>
  <si>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</si>
  <si>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</si>
  <si>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</si>
  <si>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</si>
  <si>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</si>
  <si>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</si>
  <si>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</si>
  <si>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</si>
  <si>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</si>
  <si>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</si>
  <si>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</si>
  <si>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STRUCT</t>
  </si>
  <si>
    <t>CAF</t>
  </si>
  <si>
    <t>FAC</t>
  </si>
  <si>
    <t>AMT_LIVE</t>
  </si>
  <si>
    <t>EBITDA_SIGNED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</si>
</sst>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917" formatCode="_(* #,##0.00_);_(* \(#,##0.00\);_(* &quot;-&quot;??_);_(@_)"/>
    <numFmt numFmtId="919" formatCode="#,##0&quot; €&quot;"/>
    <numFmt numFmtId="921" formatCode="0.0%"/>
    <numFmt numFmtId="923" formatCode="\+#,##0&quot; €&quot;;\-#,##0&quot; €&quot;;&quot;—&quot;"/>
    <numFmt numFmtId="924" formatCode="\+0.0%;\-0.0%;&quot;—&quot;"/>
    <numFmt numFmtId="928" formatCode="\+0.00&quot; pt&quot;;\-0.00&quot; pt&quot;;&quot;—&quot;"/>
    <numFmt numFmtId="929" formatCode="\+#,##0;\-#,##0;&quot;—&quot;"/>
    <numFmt numFmtId="931" formatCode=";;;"/>
    <numFmt numFmtId="932" formatCode="&quot;▲ &quot;0.0%;&quot;▼ &quot;0.0%;&quot;–&quot;"/>
    <numFmt numFmtId="938" formatCode="#,##0&quot; €&quot;;\-#,##0&quot; €&quot;;&quot;–&quot;"/>
    <numFmt numFmtId="939" formatCode="0.0%;\-0.0%;&quot;–&quot;"/>
    <numFmt numFmtId="940" formatCode="#,##0;\-#,##0;&quot;–&quot;"/>
    <numFmt numFmtId="955" formatCode="#,##0&quot; €&quot;;#,##0&quot; € d'avance&quot;;&quot;0 €  ✓&quot;"/>
    <numFmt numFmtId="957" formatCode="0.00%;[Red]\-0.00%"/>
    <numFmt numFmtId="959" formatCode="#,##0&quot; €&quot;;[Red]\-#,##0&quot; €&quot;"/>
  </numFmts>
  <fonts count="47">
    <font>
      <b val="0"/>
      <i val="0"/>
      <sz val="11"/>
      <color theme="1"/>
      <name val="Aptos Narrow"/>
      <scheme val="minor"/>
    </font>
    <font>
      <b val="0"/>
      <i/>
      <sz val="11"/>
      <color theme="1"/>
      <name val="Aptos Narrow"/>
      <scheme val="minor"/>
    </font>
    <font>
      <b val="0"/>
      <i val="0"/>
      <sz val="11"/>
      <color theme="0"/>
      <name val="Aptos Narrow"/>
      <scheme val="minor"/>
    </font>
    <font>
      <b val="0"/>
      <i val="0"/>
      <sz val="8.5"/>
      <color rgb="FF262626"/>
      <name val="Arial"/>
    </font>
    <font>
      <b/>
      <i val="0"/>
      <sz val="10"/>
      <color rgb="FF007AC3"/>
      <name val="Arial"/>
    </font>
    <font>
      <b/>
      <i val="0"/>
      <sz val="14"/>
      <color theme="1"/>
      <name val="Aptos Narrow"/>
    </font>
    <font>
      <b val="0"/>
      <i val="0"/>
      <sz val="8"/>
      <color rgb="FF6B7075"/>
      <name val="Arial"/>
    </font>
    <font>
      <b/>
      <i val="0"/>
      <sz val="10"/>
      <color rgb="FF262626"/>
      <name val="Arial"/>
    </font>
    <font>
      <b/>
      <i val="0"/>
      <sz val="9"/>
      <color rgb="FF262626"/>
      <name val="Arial"/>
    </font>
    <font>
      <b/>
      <i val="0"/>
      <sz val="11"/>
      <color theme="1"/>
      <name val="Arial"/>
    </font>
    <font>
      <b/>
      <i val="0"/>
      <sz val="9"/>
      <color rgb="FF007AC3"/>
      <name val="Arial"/>
    </font>
    <font>
      <b val="0"/>
      <i/>
      <sz val="7"/>
      <color rgb="FF6B7075"/>
      <name val="Arial"/>
    </font>
    <font>
      <b/>
      <i val="0"/>
      <sz val="11"/>
      <color rgb="FF1B5FA6"/>
      <name val="Arial"/>
    </font>
    <font>
      <b val="0"/>
      <i val="0"/>
      <sz val="11"/>
      <color auto="1"/>
      <name val="Aptos Narrow"/>
      <scheme val="minor"/>
    </font>
    <font>
      <b val="0"/>
      <i val="0"/>
      <sz val="11"/>
      <color rgb="FF3B3B3B"/>
      <name val="Arial"/>
    </font>
    <font>
      <b val="0"/>
      <i val="0"/>
      <sz val="20"/>
      <color rgb="FF007AC3"/>
      <name val="Arial"/>
    </font>
    <font>
      <b/>
      <i val="0"/>
      <sz val="20"/>
      <color theme="4" tint="-0.5"/>
      <name val="Aptos"/>
    </font>
    <font>
      <b/>
      <i val="0"/>
      <sz val="12"/>
      <color theme="4" tint="-0.5"/>
      <name val="Arial"/>
    </font>
    <font>
      <b val="0"/>
      <i/>
      <sz val="8"/>
      <color rgb="FF6B7075"/>
      <name val="Arial"/>
    </font>
    <font>
      <b/>
      <i val="0"/>
      <sz val="11"/>
      <color rgb="FF262626"/>
      <name val="Arial"/>
    </font>
    <font>
      <b val="0"/>
      <i/>
      <sz val="9"/>
      <color rgb="FF6B7075"/>
      <name val="Arial"/>
    </font>
    <font>
      <b/>
      <i val="0"/>
      <sz val="8.5"/>
      <color rgb="FF262626"/>
      <name val="Arial"/>
    </font>
    <font>
      <b/>
      <i val="0"/>
      <sz val="10"/>
      <color theme="4" tint="-0.5"/>
      <name val="Arial"/>
    </font>
    <font>
      <b val="0"/>
      <i/>
      <sz val="7.5"/>
      <color rgb="FF6B7075"/>
      <name val="Arial"/>
    </font>
    <font>
      <b/>
      <i val="0"/>
      <sz val="9"/>
      <color rgb="FFFFFFFF"/>
      <name val="Arial"/>
    </font>
    <font>
      <b val="0"/>
      <i val="0"/>
      <sz val="14"/>
      <color theme="1"/>
      <name val="Aptos Narrow"/>
      <scheme val="minor"/>
    </font>
    <font>
      <b val="0"/>
      <i val="0"/>
      <sz val="7.5"/>
      <color rgb="FFA6D0EA"/>
      <name val="Arial"/>
    </font>
    <font>
      <b/>
      <i val="0"/>
      <sz val="14"/>
      <color rgb="FFFFFFFF"/>
      <name val="Arial"/>
    </font>
    <font>
      <b/>
      <i val="0"/>
      <sz val="11"/>
      <color theme="4" tint="-0.5"/>
      <name val="Arial"/>
    </font>
    <font>
      <b/>
      <i val="0"/>
      <sz val="11"/>
      <color rgb="FFFFFFFF"/>
      <name val="Arial"/>
    </font>
    <font>
      <b/>
      <i val="0"/>
      <sz val="7.5"/>
      <color rgb="FF262626"/>
      <name val="Arial"/>
    </font>
    <font>
      <b/>
      <i val="0"/>
      <sz val="10"/>
      <color rgb="FF5F8A17"/>
      <name val="Arial"/>
    </font>
    <font>
      <b val="0"/>
      <i val="0"/>
      <sz val="8.5"/>
      <color rgb="FFF5F6F7"/>
      <name val="Arial"/>
    </font>
    <font>
      <b val="0"/>
      <i val="0"/>
      <sz val="11"/>
      <color rgb="FFF5F6F7"/>
      <name val="Aptos Narrow"/>
      <scheme val="minor"/>
    </font>
    <font>
      <b val="0"/>
      <i val="0"/>
      <sz val="20"/>
      <color rgb="FF262626"/>
      <name val="Arial"/>
    </font>
    <font>
      <b/>
      <i val="0"/>
      <sz val="12"/>
      <color rgb="FF262626"/>
      <name val="Arial"/>
    </font>
    <font>
      <b/>
      <i val="0"/>
      <sz val="20"/>
      <color theme="4" tint="-0.5"/>
      <name val="Montserrat ExtraBold"/>
    </font>
    <font>
      <b/>
      <i val="0"/>
      <sz val="18"/>
      <color theme="1"/>
      <name val="Montserrat ExtraBold"/>
    </font>
    <font>
      <b/>
      <i val="0"/>
      <sz val="14"/>
      <color theme="1"/>
      <name val="Montserrat ExtraBold"/>
    </font>
    <font>
      <b val="0"/>
      <i val="0"/>
      <sz val="16"/>
      <color rgb="FF262626"/>
      <name val="Arial"/>
    </font>
    <font>
      <b/>
      <i val="0"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 val="0"/>
      <i val="0"/>
      <sz val="9"/>
      <color rgb="FF000000"/>
      <name val="Arial"/>
    </font>
    <font>
      <b/>
      <i val="0"/>
      <sz val="9"/>
      <color rgb="FF000000"/>
      <name val="Arial"/>
    </font>
    <font>
      <b/>
      <i val="0"/>
      <sz val="10"/>
      <color theme="1"/>
      <name val="Arial"/>
    </font>
    <font>
      <b/>
      <color rgb="FF1F3B57"/>
      <b val="0"/>
      <i val="0"/>
      <sz val="8.5"/>
      <name val="Arial"/>
    </font>
    <font>
      <b/>
      <color rgb="FF1F3B57"/>
      <i val="0"/>
      <sz val="7.5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007AC3"/>
      </patternFill>
    </fill>
    <fill>
      <patternFill patternType="solid">
        <fgColor rgb="FFF5F6F7"/>
      </patternFill>
    </fill>
    <fill>
      <patternFill patternType="solid">
        <fgColor rgb="FFE8F1F9"/>
      </patternFill>
    </fill>
    <fill>
      <patternFill patternType="solid">
        <fgColor rgb="FFF0EDE4"/>
      </patternFill>
    </fill>
    <fill>
      <patternFill patternType="solid">
        <fgColor rgb="FFDDEBF7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</fills>
  <borders count="18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D5D7DA"/>
      </bottom>
      <diagonal/>
    </border>
    <border>
      <left/>
      <right/>
      <top style="medium">
        <color rgb="FF262626"/>
      </top>
      <bottom style="medium">
        <color rgb="FF262626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rgb="FF262626"/>
      </bottom>
      <diagonal/>
    </border>
    <border>
      <left style="thin">
        <color rgb="FF007AC3"/>
      </left>
      <right style="thin">
        <color rgb="FF007AC3"/>
      </right>
      <top style="thin">
        <color rgb="FF007AC3"/>
      </top>
      <bottom style="thin">
        <color rgb="FF007AC3"/>
      </bottom>
      <diagonal/>
    </border>
    <border>
      <left/>
      <right/>
      <top style="thin">
        <color rgb="FFD5D7DA"/>
      </top>
      <bottom style="thin">
        <color rgb="FFD5D7DA"/>
      </bottom>
      <diagonal/>
    </border>
    <border>
      <left/>
      <right/>
      <top style="thin">
        <color rgb="FFD5D7DA"/>
      </top>
      <bottom style="medium">
        <color rgb="FF26262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 style="thin">
        <color rgb="FFD5D7DA"/>
      </top>
      <bottom style="thin">
        <color rgb="FF262626"/>
      </bottom>
      <diagonal/>
    </border>
    <border>
      <left/>
      <right/>
      <top/>
      <bottom style="thin">
        <color rgb="FFEDEEF0"/>
      </bottom>
      <diagonal/>
    </border>
    <border>
      <left style="thin">
        <color rgb="FFD8D2C0"/>
      </left>
      <right style="thin">
        <color rgb="FFD8D2C0"/>
      </right>
      <top style="thin">
        <color rgb="FFD8D2C0"/>
      </top>
      <bottom style="thin">
        <color rgb="FFD8D2C0"/>
      </bottom>
      <diagonal/>
    </border>
    <border>
      <left/>
      <right/>
      <top style="thin">
        <color rgb="FF262626"/>
      </top>
      <bottom style="thin">
        <color rgb="FF26262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3">
    <xf numFmtId="0" fontId="0" fillId="0" borderId="1"/>
    <xf numFmtId="917" fontId="0" fillId="0" borderId="1" applyFont="0" applyFill="0" applyBorder="0" applyAlignment="0" applyProtection="0"/>
    <xf numFmtId="9" fontId="0" fillId="0" borderId="1" applyFont="0" applyFill="0" applyBorder="0" applyAlignment="0" applyProtection="0"/>
  </cellStyleXfs>
  <cellXfs count="160">
    <xf numFmtId="0" fontId="0" fillId="0" borderId="1" xfId="0"/>
    <xf numFmtId="0" fontId="26" fillId="0" borderId="1" xfId="0">
      <alignment horizontal="left" vertical="center" indent="4"/>
    </xf>
    <xf numFmtId="0" fontId="13" fillId="0" borderId="1" xfId="0"/>
    <xf numFmtId="0" fontId="2" fillId="0" borderId="1" xfId="0"/>
    <xf numFmtId="0" fontId="27" fillId="0" borderId="1" xfId="0">
      <alignment horizontal="left" vertical="center" indent="4"/>
    </xf>
    <xf numFmtId="0" fontId="36" fillId="0" borderId="1" xfId="0">
      <alignment horizontal="left" vertical="center"/>
    </xf>
    <xf numFmtId="0" fontId="5" fillId="0" borderId="1" xfId="0">
      <alignment horizontal="centerContinuous" vertical="center"/>
    </xf>
    <xf numFmtId="0" fontId="0" fillId="4" borderId="1" xfId="0"/>
    <xf numFmtId="0" fontId="0" fillId="4" borderId="1" xfId="0">
      <alignment horizontal="left" vertical="bottom" indent="4"/>
    </xf>
    <xf numFmtId="0" fontId="0" fillId="4" borderId="1" xfId="0" quotePrefix="1"/>
    <xf numFmtId="0" fontId="11" fillId="0" borderId="1" xfId="0"/>
    <xf numFmtId="0" fontId="0" fillId="0" borderId="1" xfId="0" quotePrefix="1"/>
    <xf numFmtId="0" fontId="0" fillId="0" borderId="1" xfId="0">
      <alignment vertical="center"/>
    </xf>
    <xf numFmtId="0" fontId="0" fillId="5" borderId="1" xfId="0">
      <alignment vertical="center"/>
    </xf>
    <xf numFmtId="0" fontId="17" fillId="5" borderId="2" xfId="0">
      <alignment horizontal="left" vertical="center" indent="2"/>
    </xf>
    <xf numFmtId="0" fontId="4" fillId="9" borderId="6" xfId="0" quotePrefix="1">
      <alignment horizontal="center" vertical="center"/>
      <protection locked="0"/>
    </xf>
    <xf numFmtId="0" fontId="17" fillId="5" borderId="2" xfId="0">
      <alignment horizontal="centerContinuous" vertical="center"/>
    </xf>
    <xf numFmtId="0" fontId="0" fillId="5" borderId="2" xfId="0" quotePrefix="1">
      <alignment horizontal="centerContinuous" vertical="center"/>
    </xf>
    <xf numFmtId="924" fontId="4" fillId="9" borderId="6" xfId="0">
      <alignment horizontal="center" vertical="center"/>
      <protection locked="0"/>
    </xf>
    <xf numFmtId="0" fontId="0" fillId="5" borderId="2" xfId="0">
      <alignment vertical="center"/>
    </xf>
    <xf numFmtId="0" fontId="0" fillId="5" borderId="2" xfId="0" quotePrefix="1">
      <alignment vertical="center"/>
    </xf>
    <xf numFmtId="0" fontId="19" fillId="2" borderId="7" xfId="0">
      <alignment horizontal="left" vertical="center" indent="2"/>
    </xf>
    <xf numFmtId="0" fontId="0" fillId="2" borderId="7" xfId="0">
      <alignment vertical="center"/>
    </xf>
    <xf numFmtId="0" fontId="9" fillId="2" borderId="7" xfId="0" quotePrefix="1">
      <alignment vertical="center"/>
    </xf>
    <xf numFmtId="931" fontId="12" fillId="2" borderId="7" xfId="0">
      <alignment horizontal="center" vertical="center"/>
    </xf>
    <xf numFmtId="0" fontId="28" fillId="3" borderId="1" xfId="0">
      <alignment horizontal="left" vertical="center" indent="10"/>
    </xf>
    <xf numFmtId="0" fontId="0" fillId="3" borderId="1" xfId="0">
      <alignment vertical="center"/>
    </xf>
    <xf numFmtId="0" fontId="29" fillId="4" borderId="1" xfId="0">
      <alignment horizontal="left" vertical="center" indent="5"/>
    </xf>
    <xf numFmtId="0" fontId="0" fillId="4" borderId="1" xfId="0">
      <alignment horizontal="left" vertical="center" indent="5"/>
    </xf>
    <xf numFmtId="0" fontId="28" fillId="3" borderId="1" xfId="0">
      <alignment horizontal="left" vertical="center" indent="6"/>
    </xf>
    <xf numFmtId="919" fontId="34" fillId="2" borderId="4" xfId="0">
      <alignment horizontal="right" vertical="center"/>
    </xf>
    <xf numFmtId="0" fontId="5" fillId="2" borderId="4" xfId="0">
      <alignment vertical="center"/>
    </xf>
    <xf numFmtId="919" fontId="15" fillId="2" borderId="4" xfId="0">
      <alignment horizontal="centerContinuous" vertical="center"/>
    </xf>
    <xf numFmtId="0" fontId="5" fillId="2" borderId="4" xfId="0">
      <alignment horizontal="centerContinuous" vertical="center"/>
    </xf>
    <xf numFmtId="955" fontId="39" fillId="2" borderId="4" xfId="0">
      <alignment horizontal="left" vertical="center" indent="6"/>
    </xf>
    <xf numFmtId="0" fontId="20" fillId="2" borderId="2" xfId="0">
      <alignment horizontal="left" vertical="center" indent="2"/>
    </xf>
    <xf numFmtId="0" fontId="0" fillId="2" borderId="2" xfId="0">
      <alignment vertical="center"/>
    </xf>
    <xf numFmtId="0" fontId="18" fillId="2" borderId="2" xfId="0">
      <alignment horizontal="left" vertical="center"/>
    </xf>
    <xf numFmtId="0" fontId="9" fillId="5" borderId="1" xfId="0">
      <alignment horizontal="center" vertical="center" wrapText="1"/>
    </xf>
    <xf numFmtId="0" fontId="22" fillId="5" borderId="5" xfId="0">
      <alignment horizontal="left" vertical="center" indent="2"/>
    </xf>
    <xf numFmtId="0" fontId="9" fillId="5" borderId="5" xfId="0">
      <alignment horizontal="center" vertical="center" wrapText="1"/>
    </xf>
    <xf numFmtId="0" fontId="18" fillId="5" borderId="5" xfId="0">
      <alignment horizontal="right" vertical="center"/>
    </xf>
    <xf numFmtId="0" fontId="8" fillId="3" borderId="8" xfId="0">
      <alignment horizontal="left" vertical="center" indent="2"/>
    </xf>
    <xf numFmtId="0" fontId="8" fillId="3" borderId="8" xfId="0" quotePrefix="1">
      <alignment horizontal="center" vertical="center" wrapText="1"/>
    </xf>
    <xf numFmtId="0" fontId="8" fillId="3" borderId="8" xfId="0">
      <alignment horizontal="center" vertical="center" wrapText="1"/>
    </xf>
    <xf numFmtId="0" fontId="41" fillId="0" borderId="1" xfId="0" quotePrefix="1">
      <alignment vertical="center"/>
    </xf>
    <xf numFmtId="0" fontId="40" fillId="0" borderId="1" xfId="0" quotePrefix="1">
      <alignment vertical="center"/>
    </xf>
    <xf numFmtId="0" fontId="3" fillId="2" borderId="2" xfId="0" quotePrefix="1">
      <alignment horizontal="left" vertical="center" indent="2"/>
    </xf>
    <xf numFmtId="919" fontId="3" fillId="2" borderId="2" xfId="1">
      <alignment horizontal="right" vertical="center"/>
    </xf>
    <xf numFmtId="919" fontId="3" fillId="2" borderId="2" xfId="0">
      <alignment horizontal="right" vertical="center"/>
    </xf>
    <xf numFmtId="923" fontId="3" fillId="2" borderId="2" xfId="0">
      <alignment horizontal="right" vertical="center"/>
    </xf>
    <xf numFmtId="924" fontId="6" fillId="2" borderId="2" xfId="0">
      <alignment horizontal="right" vertical="center"/>
    </xf>
    <xf numFmtId="932" fontId="14" fillId="5" borderId="1" xfId="0">
      <alignment horizontal="right" vertical="center"/>
    </xf>
    <xf numFmtId="10" fontId="40" fillId="0" borderId="1" xfId="2" quotePrefix="1">
      <alignment vertical="center"/>
    </xf>
    <xf numFmtId="0" fontId="8" fillId="3" borderId="3" xfId="0" quotePrefix="1">
      <alignment horizontal="left" vertical="center" indent="2"/>
    </xf>
    <xf numFmtId="919" fontId="7" fillId="3" borderId="3" xfId="1">
      <alignment horizontal="right" vertical="center"/>
    </xf>
    <xf numFmtId="919" fontId="4" fillId="3" borderId="3" xfId="0">
      <alignment horizontal="right" vertical="center"/>
    </xf>
    <xf numFmtId="923" fontId="8" fillId="3" borderId="3" xfId="0">
      <alignment horizontal="right" vertical="center"/>
    </xf>
    <xf numFmtId="924" fontId="6" fillId="3" borderId="3" xfId="0">
      <alignment horizontal="right" vertical="center"/>
    </xf>
    <xf numFmtId="10" fontId="0" fillId="0" borderId="1" xfId="2">
      <alignment vertical="center"/>
    </xf>
    <xf numFmtId="921" fontId="3" fillId="2" borderId="2" xfId="0">
      <alignment horizontal="right" vertical="center"/>
    </xf>
    <xf numFmtId="928" fontId="3" fillId="2" borderId="2" xfId="0">
      <alignment horizontal="right" vertical="center"/>
    </xf>
    <xf numFmtId="3" fontId="3" fillId="2" borderId="2" xfId="1">
      <alignment horizontal="right" vertical="center"/>
    </xf>
    <xf numFmtId="3" fontId="3" fillId="2" borderId="2" xfId="0">
      <alignment horizontal="right" vertical="center"/>
    </xf>
    <xf numFmtId="929" fontId="3" fillId="2" borderId="2" xfId="0">
      <alignment horizontal="right" vertical="center"/>
    </xf>
    <xf numFmtId="919" fontId="0" fillId="0" borderId="1" xfId="0">
      <alignment vertical="center"/>
    </xf>
    <xf numFmtId="0" fontId="0" fillId="5" borderId="1" xfId="0">
      <alignment horizontal="left" vertical="center" indent="2"/>
    </xf>
    <xf numFmtId="0" fontId="0" fillId="5" borderId="1" xfId="0" quotePrefix="1">
      <alignment horizontal="left" vertical="center" indent="2"/>
    </xf>
    <xf numFmtId="0" fontId="24" fillId="4" borderId="8" xfId="0">
      <alignment horizontal="center" vertical="center" wrapText="1"/>
    </xf>
    <xf numFmtId="0" fontId="10" fillId="5" borderId="1" xfId="0">
      <alignment horizontal="left" vertical="center" indent="2"/>
    </xf>
    <xf numFmtId="0" fontId="0" fillId="5" borderId="11" xfId="0">
      <alignment horizontal="left" vertical="center" indent="2"/>
    </xf>
    <xf numFmtId="0" fontId="0" fillId="5" borderId="9" xfId="0" quotePrefix="1">
      <alignment vertical="center"/>
    </xf>
    <xf numFmtId="0" fontId="0" fillId="5" borderId="9" xfId="0">
      <alignment vertical="center"/>
    </xf>
    <xf numFmtId="0" fontId="21" fillId="2" borderId="2" xfId="0" quotePrefix="1">
      <alignment horizontal="left" vertical="center" indent="2"/>
    </xf>
    <xf numFmtId="957" fontId="42" fillId="9" borderId="17" xfId="0">
      <alignment horizontal="center" vertical="center"/>
      <protection locked="0"/>
    </xf>
    <xf numFmtId="957" fontId="43" fillId="8" borderId="17" xfId="0">
      <alignment horizontal="center" vertical="center"/>
    </xf>
    <xf numFmtId="921" fontId="0" fillId="5" borderId="1" xfId="2">
      <alignment vertical="center"/>
    </xf>
    <xf numFmtId="921" fontId="0" fillId="5" borderId="1" xfId="0" quotePrefix="1">
      <alignment horizontal="left" vertical="center" indent="2"/>
    </xf>
    <xf numFmtId="0" fontId="10" fillId="5" borderId="4" xfId="0" quotePrefix="1">
      <alignment horizontal="left" vertical="center" indent="2"/>
    </xf>
    <xf numFmtId="921" fontId="25" fillId="5" borderId="4" xfId="2">
      <alignment vertical="center"/>
    </xf>
    <xf numFmtId="0" fontId="25" fillId="5" borderId="4" xfId="0">
      <alignment vertical="center"/>
    </xf>
    <xf numFmtId="0" fontId="44" fillId="5" borderId="4" xfId="0">
      <alignment vertical="center"/>
    </xf>
    <xf numFmtId="921" fontId="0" fillId="5" borderId="12" xfId="0" quotePrefix="1">
      <alignment horizontal="left" vertical="center" indent="2"/>
    </xf>
    <xf numFmtId="0" fontId="3" fillId="2" borderId="2" xfId="0" quotePrefix="1">
      <alignment horizontal="left" vertical="center"/>
    </xf>
    <xf numFmtId="2" fontId="10" fillId="9" borderId="6" xfId="0">
      <alignment horizontal="center" vertical="center"/>
      <protection locked="0"/>
    </xf>
    <xf numFmtId="921" fontId="0" fillId="5" borderId="1" xfId="2">
      <alignment horizontal="left" vertical="center" indent="2"/>
    </xf>
    <xf numFmtId="0" fontId="10" fillId="5" borderId="4" xfId="0">
      <alignment horizontal="left" vertical="center" indent="2"/>
    </xf>
    <xf numFmtId="0" fontId="0" fillId="5" borderId="10" xfId="0">
      <alignment horizontal="left" vertical="center" indent="2"/>
    </xf>
    <xf numFmtId="0" fontId="0" fillId="5" borderId="10" xfId="0">
      <alignment vertical="center"/>
    </xf>
    <xf numFmtId="959" fontId="42" fillId="9" borderId="17" xfId="0">
      <alignment horizontal="center" vertical="center"/>
      <protection locked="0"/>
    </xf>
    <xf numFmtId="959" fontId="43" fillId="8" borderId="17" xfId="0">
      <alignment horizontal="center" vertical="center"/>
    </xf>
    <xf numFmtId="0" fontId="23" fillId="5" borderId="1" xfId="0">
      <alignment horizontal="left" vertical="center" indent="2"/>
    </xf>
    <xf numFmtId="0" fontId="0" fillId="5" borderId="1" xfId="0"/>
    <xf numFmtId="0" fontId="0" fillId="5" borderId="1" xfId="0">
      <alignment horizontal="left" vertical="bottom" indent="4"/>
    </xf>
    <xf numFmtId="0" fontId="0" fillId="5" borderId="1" xfId="0" quotePrefix="1"/>
    <xf numFmtId="0" fontId="0" fillId="0" borderId="1" xfId="0">
      <alignment horizontal="left" vertical="bottom" indent="4"/>
    </xf>
    <xf numFmtId="0" fontId="16" fillId="0" borderId="1" xfId="0">
      <alignment horizontal="left" vertical="center"/>
    </xf>
    <xf numFmtId="0" fontId="38" fillId="0" borderId="1" xfId="0">
      <alignment horizontal="left" vertical="center"/>
    </xf>
    <xf numFmtId="0" fontId="37" fillId="0" borderId="1" xfId="0">
      <alignment horizontal="center" vertical="center"/>
    </xf>
    <xf numFmtId="0" fontId="33" fillId="4" borderId="1" xfId="0"/>
    <xf numFmtId="0" fontId="32" fillId="5" borderId="1" xfId="0"/>
    <xf numFmtId="0" fontId="3" fillId="5" borderId="1" xfId="0"/>
    <xf numFmtId="0" fontId="3" fillId="0" borderId="1" xfId="0"/>
    <xf numFmtId="0" fontId="35" fillId="5" borderId="1" xfId="0">
      <alignment horizontal="left" vertical="center" indent="1"/>
    </xf>
    <xf numFmtId="0" fontId="4" fillId="9" borderId="6" xfId="0">
      <alignment horizontal="center" vertical="center"/>
      <protection locked="0"/>
    </xf>
    <xf numFmtId="0" fontId="18" fillId="5" borderId="1" xfId="0">
      <alignment horizontal="left" vertical="center"/>
    </xf>
    <xf numFmtId="0" fontId="3" fillId="3" borderId="1" xfId="0"/>
    <xf numFmtId="0" fontId="32" fillId="5" borderId="1" xfId="0">
      <alignment vertical="center"/>
    </xf>
    <xf numFmtId="0" fontId="30" fillId="3" borderId="2" xfId="0">
      <alignment horizontal="centerContinuous" vertical="center"/>
    </xf>
    <xf numFmtId="0" fontId="3" fillId="3" borderId="1" xfId="0">
      <alignment horizontal="centerContinuous" vertical="center"/>
    </xf>
    <xf numFmtId="0" fontId="3" fillId="5" borderId="1" xfId="0">
      <alignment vertical="center"/>
    </xf>
    <xf numFmtId="0" fontId="3" fillId="0" borderId="1" xfId="0">
      <alignment vertical="center"/>
    </xf>
    <xf numFmtId="938" fontId="34" fillId="2" borderId="1" xfId="0">
      <alignment horizontal="centerContinuous" vertical="center"/>
    </xf>
    <xf numFmtId="0" fontId="3" fillId="2" borderId="1" xfId="0">
      <alignment horizontal="centerContinuous" vertical="bottom"/>
    </xf>
    <xf numFmtId="939" fontId="34" fillId="2" borderId="1" xfId="0">
      <alignment horizontal="centerContinuous" vertical="center"/>
    </xf>
    <xf numFmtId="932" fontId="15" fillId="2" borderId="1" xfId="0">
      <alignment horizontal="centerContinuous" vertical="center"/>
    </xf>
    <xf numFmtId="0" fontId="20" fillId="2" borderId="2" xfId="0">
      <alignment horizontal="left" vertical="center" indent="1"/>
    </xf>
    <xf numFmtId="0" fontId="3" fillId="2" borderId="2" xfId="0"/>
    <xf numFmtId="0" fontId="7" fillId="5" borderId="1" xfId="0">
      <alignment horizontal="left" vertical="center" indent="1"/>
    </xf>
    <xf numFmtId="0" fontId="18" fillId="5" borderId="1" xfId="0">
      <alignment horizontal="left" vertical="center" indent="1"/>
    </xf>
    <xf numFmtId="0" fontId="30" fillId="3" borderId="13" xfId="0">
      <alignment horizontal="left" vertical="center" indent="1"/>
    </xf>
    <xf numFmtId="0" fontId="30" fillId="3" borderId="13" xfId="0">
      <alignment horizontal="left" vertical="center"/>
    </xf>
    <xf numFmtId="0" fontId="30" fillId="3" borderId="13" xfId="0" quotePrefix="1">
      <alignment horizontal="center" vertical="center" wrapText="1"/>
    </xf>
    <xf numFmtId="0" fontId="3" fillId="2" borderId="14" xfId="0">
      <alignment horizontal="left" vertical="center"/>
    </xf>
    <xf numFmtId="938" fontId="3" fillId="6" borderId="14" xfId="0">
      <alignment horizontal="right" vertical="center"/>
    </xf>
    <xf numFmtId="939" fontId="3" fillId="6" borderId="14" xfId="0">
      <alignment horizontal="right" vertical="center"/>
    </xf>
    <xf numFmtId="2" fontId="3" fillId="6" borderId="14" xfId="0">
      <alignment horizontal="right" vertical="center"/>
    </xf>
    <xf numFmtId="940" fontId="10" fillId="9" borderId="15" xfId="0">
      <alignment horizontal="center" vertical="center"/>
      <protection locked="0"/>
    </xf>
    <xf numFmtId="0" fontId="3" fillId="2" borderId="14" xfId="0">
      <alignment horizontal="right" vertical="center"/>
    </xf>
    <xf numFmtId="0" fontId="30" fillId="3" borderId="13" xfId="0">
      <alignment horizontal="center" vertical="center" wrapText="1"/>
    </xf>
    <xf numFmtId="940" fontId="3" fillId="2" borderId="14" xfId="0">
      <alignment horizontal="right" vertical="center"/>
    </xf>
    <xf numFmtId="938" fontId="3" fillId="2" borderId="14" xfId="0">
      <alignment horizontal="right" vertical="center"/>
    </xf>
    <xf numFmtId="939" fontId="3" fillId="2" borderId="14" xfId="0">
      <alignment horizontal="right" vertical="center"/>
    </xf>
    <xf numFmtId="0" fontId="8" fillId="3" borderId="16" xfId="0">
      <alignment horizontal="left" vertical="center" indent="1"/>
    </xf>
    <xf numFmtId="0" fontId="8" fillId="3" borderId="16" xfId="0">
      <alignment horizontal="left" vertical="center"/>
    </xf>
    <xf numFmtId="940" fontId="8" fillId="3" borderId="16" xfId="0">
      <alignment horizontal="right" vertical="center"/>
    </xf>
    <xf numFmtId="938" fontId="8" fillId="3" borderId="16" xfId="0">
      <alignment horizontal="right" vertical="center"/>
    </xf>
    <xf numFmtId="939" fontId="8" fillId="3" borderId="16" xfId="0">
      <alignment horizontal="right" vertical="center"/>
    </xf>
    <xf numFmtId="0" fontId="21" fillId="2" borderId="14" xfId="0">
      <alignment horizontal="left" vertical="center" indent="1"/>
    </xf>
    <xf numFmtId="0" fontId="7" fillId="3" borderId="16" xfId="0">
      <alignment horizontal="left" vertical="center" indent="1"/>
    </xf>
    <xf numFmtId="0" fontId="7" fillId="3" borderId="16" xfId="0">
      <alignment horizontal="left" vertical="center"/>
    </xf>
    <xf numFmtId="940" fontId="7" fillId="3" borderId="16" xfId="0">
      <alignment horizontal="right" vertical="center"/>
    </xf>
    <xf numFmtId="938" fontId="7" fillId="3" borderId="16" xfId="0">
      <alignment horizontal="right" vertical="center"/>
    </xf>
    <xf numFmtId="939" fontId="7" fillId="3" borderId="16" xfId="0">
      <alignment horizontal="right" vertical="center"/>
    </xf>
    <xf numFmtId="938" fontId="31" fillId="3" borderId="16" xfId="0">
      <alignment horizontal="right" vertical="center"/>
    </xf>
    <xf numFmtId="0" fontId="32" fillId="0" borderId="1" xfId="0"/>
    <xf numFmtId="0" fontId="33" fillId="0" borderId="1" xfId="0"/>
    <xf numFmtId="0" fontId="1" fillId="0" borderId="1" xfId="0" quotePrefix="1"/>
    <xf applyFont="1" applyFill="1" numFmtId="0" fontId="45" fillId="10" borderId="1" xfId="0">
      <alignment vertical="center"/>
    </xf>
    <xf applyFont="1" applyFill="1" numFmtId="0" fontId="46" fillId="10" borderId="13" xfId="0">
      <alignment horizontal="left" vertical="center" indent="1"/>
    </xf>
    <xf applyFont="1" applyFill="1" numFmtId="0" fontId="46" fillId="10" borderId="13" xfId="0">
      <alignment horizontal="left" vertical="center"/>
    </xf>
    <xf applyFont="1" applyFill="1" numFmtId="0" fontId="46" fillId="10" borderId="13" xfId="0" quotePrefix="1">
      <alignment horizontal="center" vertical="center" wrapText="1"/>
    </xf>
    <xf applyFont="1" applyFill="1" numFmtId="0" fontId="46" fillId="10" borderId="13" xfId="0">
      <alignment horizontal="center" vertical="center" wrapText="1"/>
    </xf>
    <xf applyFill="1" numFmtId="0" fontId="32" fillId="11" borderId="1" xfId="0"/>
    <xf applyFill="1" numFmtId="0" fontId="7" fillId="11" borderId="16" xfId="0">
      <alignment horizontal="left" vertical="center" indent="1"/>
    </xf>
    <xf applyFill="1" numFmtId="0" fontId="7" fillId="11" borderId="16" xfId="0">
      <alignment horizontal="left" vertical="center"/>
    </xf>
    <xf applyFill="1" numFmtId="940" fontId="7" fillId="11" borderId="16" xfId="0">
      <alignment horizontal="right" vertical="center"/>
    </xf>
    <xf applyFill="1" numFmtId="938" fontId="7" fillId="11" borderId="16" xfId="0">
      <alignment horizontal="right" vertical="center"/>
    </xf>
    <xf applyFill="1" numFmtId="939" fontId="7" fillId="11" borderId="16" xfId="0">
      <alignment horizontal="right" vertical="center"/>
    </xf>
    <xf applyFill="1" numFmtId="938" fontId="31" fillId="11" borderId="16" xfId="0">
      <alignment horizontal="right" vertical="center"/>
    </xf>
  </cellXfs>
  <cellStyles count="4">
    <cellStyle name="Normal" xfId="0" builtinId="0"/>
    <cellStyle name="Milliers" xfId="1"/>
    <cellStyle name="Milliers 2" xfId="1"/>
    <cellStyle name="Pourcentage" xfId="2"/>
  </cellStyles>
  <dxfs count="8">
    <dxf>
      <font>
        <b/>
        <color rgb="FF5F8A17"/>
      </font>
    </dxf>
    <dxf>
      <font>
        <b/>
        <color rgb="FFC41822"/>
      </font>
    </dxf>
    <dxf>
      <font>
        <sz val="8.5"/>
        <color rgb="FF5F8A17"/>
        <name val="Arial"/>
      </font>
    </dxf>
    <dxf>
      <font>
        <sz val="8.5"/>
        <color rgb="FFC41822"/>
        <name val="Arial"/>
      </font>
    </dxf>
    <dxf>
      <font>
        <sz val="20"/>
        <color rgb="FFC41822"/>
        <name val="Arial"/>
      </font>
    </dxf>
    <dxf>
      <font>
        <sz val="20"/>
        <color rgb="FF5F8A17"/>
        <name val="Arial"/>
      </font>
    </dxf>
    <dxf>
      <font>
        <sz val="9"/>
        <color rgb="FF5F8A17"/>
        <name val="Arial"/>
      </font>
    </dxf>
    <dxf>
      <font>
        <sz val="9"/>
        <color rgb="FFC41822"/>
        <name val="Arial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u="none">
                <a:solidFill>
                  <a:schemeClr val="tx2"/>
                </a:solidFill>
                <a:latin typeface="+mn-lt"/>
              </a:defRPr>
            </a:pPr>
            <a:r>
              <a:rPr sz="1600" b="1" i="0" strike="noStrike" u="none">
                <a:latin typeface="+mn-lt"/>
              </a:rPr>
              <a:t>Marge EBITDA</a:t>
            </a:r>
            <a:endParaRPr/>
          </a:p>
        </c:rich>
      </c:tx>
      <c:layout>
        <c:manualLayout>
          <c:xMode val="edge"/>
          <c:yMode val="edge"/>
          <c:x val="0.33005863244684752"/>
          <c:y val="1.5295162282785643E-2"/>
        </c:manualLayout>
      </c:layout>
      <c:overlay val="1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346052808526731E-2"/>
          <c:y val="0.15060675729550602"/>
          <c:w val="0.91683800365184442"/>
          <c:h val="0.69976010032168368"/>
        </c:manualLayout>
      </c:layout>
      <c:barChart chartType="6">
        <c:ser seriesType="0">
          <c:idx val="0"/>
          <c:order val="0"/>
          <c:tx>
            <c:strRef>
              <c:f>Cadrage!$Z$11</c:f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58000"/>
                      <a:tint val="94000"/>
                      <a:satMod val="103000"/>
                      <a:lumMod val="98000"/>
                      <a:lumOff val="2000"/>
                    </a:schemeClr>
                  </a:gs>
                  <a:gs pos="50000">
                    <a:schemeClr val="accent4">
                      <a:tint val="57999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7999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86000"/>
                      <a:tint val="94000"/>
                      <a:satMod val="103000"/>
                      <a:lumMod val="98000"/>
                      <a:lumOff val="2000"/>
                    </a:schemeClr>
                  </a:gs>
                  <a:gs pos="50000">
                    <a:schemeClr val="accent4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86000"/>
                      <a:satMod val="103000"/>
                      <a:lumMod val="98000"/>
                      <a:tint val="94000"/>
                      <a:lumOff val="2000"/>
                    </a:schemeClr>
                  </a:gs>
                  <a:gs pos="50000">
                    <a:schemeClr val="accent4">
                      <a:shade val="86000"/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86000"/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7999"/>
                      <a:satMod val="103000"/>
                      <a:lumMod val="98000"/>
                      <a:tint val="94000"/>
                      <a:lumOff val="2000"/>
                    </a:schemeClr>
                  </a:gs>
                  <a:gs pos="50000">
                    <a:schemeClr val="accent4">
                      <a:shade val="58000"/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58000"/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8-1765-4FC1-B626-CD7F59DEB5E1}"/>
              </c:ext>
            </c:extLst>
            <c:marker>
              <c:spPr/>
              <c:size val="5"/>
              <c:symbol val="none"/>
            </c:marker>
          </c:dPt>
          <c:dLbls>
            <c:dLbl>
              <c:idx val="3"/>
              <c:layout>
                <c:manualLayout>
                  <c:x val="-8.3237004322304173E-2"/>
                  <c:y val="-0.695459579180509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dLblPos val="outEnd"/>
              <c:separator>, </c:separator>
            </c:dLbl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u="none">
                    <a:solidFill>
                      <a:schemeClr val="tx2"/>
                    </a:solidFill>
                    <a:latin typeface="+mn-lt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Cadrage!$W$12:$W$15</c:f>
              <c:numCache>
                <c:formatCode>General</c:formatCode>
              </c:numCache>
            </c:numRef>
          </c:cat>
          <c:val>
            <c:numRef>
              <c:f>Cadrage!$Z$12:$Z$15</c:f>
              <c:numCache>
                <c:formatCode>0.00%</c:formatCode>
              </c:numCache>
            </c:numRef>
          </c:val>
          <c:extLst/>
          <c:spPr/>
        </c:ser>
        <c:axId val="23163956"/>
        <c:axId val="99265277"/>
        <c:barDir val="col"/>
        <c:grouping val="clustered"/>
        <c:gapWidth val="100"/>
        <c:varyColors val="1"/>
        <c:overlap val="0"/>
      </c:barChart>
      <c:catAx axisType="0">
        <c:axId val="2316395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mpd="sng" cap="flat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crossAx val="99265277"/>
        <c:crosses val="autoZero"/>
        <c:auto val="1"/>
        <c:lblAlgn val="ctr"/>
        <c:lblOffset val="100"/>
        <c:noMultiLvlLbl val="1"/>
        <c:tickMarkSkip val="1"/>
      </c:catAx>
      <c:valAx axisType="3">
        <c:axId val="99265277"/>
        <c:delete val="1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%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crosses val="autoZero"/>
        <c:crossBetween val="between"/>
        <c:crossAx val="23163956"/>
      </c:valAx>
      <c:spPr>
        <a:noFill/>
        <a:ln>
          <a:noFill/>
        </a:ln>
      </c:spPr>
    </c:plotArea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 cmpd="sng" cap="flat" algn="ctr">
      <a:solidFill>
        <a:schemeClr val="tx2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a="http://schemas.openxmlformats.org/drawingml/2006/main" xmlns:cs="http://schemas.microsoft.com/office/drawing/2012/chartStyle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241999</xdr:colOff>
      <xdr:row>0</xdr:row>
      <xdr:rowOff>23813</xdr:rowOff>
    </xdr:from>
    <xdr:to>
      <xdr:col>1</xdr:col>
      <xdr:colOff>2038277</xdr:colOff>
      <xdr:row>1</xdr:row>
      <xdr:rowOff>504825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18675" b="33829"/>
        <a:stretch/>
      </xdr:blipFill>
      <xdr:spPr>
        <a:xfrm>
          <a:off x="420593" y="23813"/>
          <a:ext cx="1796278" cy="671512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1</xdr:col>
      <xdr:colOff>1939921</xdr:colOff>
      <xdr:row>15</xdr:row>
      <xdr:rowOff>35301</xdr:rowOff>
    </xdr:from>
    <xdr:to>
      <xdr:col>1</xdr:col>
      <xdr:colOff>2342018</xdr:colOff>
      <xdr:row>17</xdr:row>
      <xdr:rowOff>224119</xdr:rowOff>
    </xdr:to>
    <xdr:pic>
      <xdr:nvPicPr>
        <xdr:cNvPr id="4" name="Picture 18"/>
        <xdr:cNvPicPr>
          <a:picLocks noChangeAspect="1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2118515" y="4273926"/>
          <a:ext cx="402097" cy="45075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4</xdr:col>
      <xdr:colOff>896468</xdr:colOff>
      <xdr:row>0</xdr:row>
      <xdr:rowOff>117624</xdr:rowOff>
    </xdr:from>
    <xdr:to>
      <xdr:col>4</xdr:col>
      <xdr:colOff>1439953</xdr:colOff>
      <xdr:row>1</xdr:row>
      <xdr:rowOff>504876</xdr:rowOff>
    </xdr:to>
    <xdr:pic>
      <xdr:nvPicPr>
        <xdr:cNvPr id="5" name="Picture 16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0" b="0"/>
        <a:stretch/>
      </xdr:blipFill>
      <xdr:spPr>
        <a:xfrm>
          <a:off x="6968655" y="117624"/>
          <a:ext cx="543485" cy="57775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1944498</xdr:colOff>
      <xdr:row>29</xdr:row>
      <xdr:rowOff>1</xdr:rowOff>
    </xdr:from>
    <xdr:to>
      <xdr:col>1</xdr:col>
      <xdr:colOff>2414866</xdr:colOff>
      <xdr:row>31</xdr:row>
      <xdr:rowOff>314763</xdr:rowOff>
    </xdr:to>
    <xdr:pic>
      <xdr:nvPicPr>
        <xdr:cNvPr id="6" name="Picture 14"/>
        <xdr:cNvPicPr>
          <a:picLocks noChangeAspect="1"/>
        </xdr:cNvPicPr>
      </xdr:nvPicPr>
      <xdr:blipFill>
        <a:blip xmlns:r="http://schemas.openxmlformats.org/officeDocument/2006/relationships" r:embed="rId4"/>
        <a:srcRect l="0" r="0" t="0" b="0"/>
        <a:stretch/>
      </xdr:blipFill>
      <xdr:spPr>
        <a:xfrm>
          <a:off x="2123092" y="7179470"/>
          <a:ext cx="470368" cy="48144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6</xdr:col>
      <xdr:colOff>85726</xdr:colOff>
      <xdr:row>9</xdr:row>
      <xdr:rowOff>19050</xdr:rowOff>
    </xdr:from>
    <xdr:to>
      <xdr:col>13</xdr:col>
      <xdr:colOff>633413</xdr:colOff>
      <xdr:row>18</xdr:row>
      <xdr:rowOff>224590</xdr:rowOff>
    </xdr:to>
    <xdr:graphicFrame>
      <xdr:nvGraphicFramePr>
        <xdr:cNvPr id="8" name="Chart 2"/>
        <xdr:cNvGraphicFramePr>
          <a:graphicFrameLocks noChangeAspect="0"/>
        </xdr:cNvGraphicFramePr>
      </xdr:nvGraphicFramePr>
      <xdr:xfrm>
        <a:off x="10670382" y="2376487"/>
        <a:ext cx="4167187" cy="262250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90488</xdr:rowOff>
    </xdr:from>
    <xdr:to>
      <xdr:col>2</xdr:col>
      <xdr:colOff>400050</xdr:colOff>
      <xdr:row>1</xdr:row>
      <xdr:rowOff>472031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18675" b="33829"/>
        <a:stretch/>
      </xdr:blipFill>
      <xdr:spPr>
        <a:xfrm>
          <a:off x="419100" y="90488"/>
          <a:ext cx="1514475" cy="562518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7D8ED48-71C8-1F38-2399-4B455095062C}" mc:Ignorable="x14ac xr xr2 xr3">
  <dimension ref="A1:W27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Cadrage!A65545</f>
        <v>0</v>
      </c>
    </row>
    <row r="2" ht="14.25" customHeight="1">
      <c r="A2" t="s">
        <v>1</v>
      </c>
      <c r="B2">
        <f>Socle!A65536</f>
        <v>0</v>
      </c>
    </row>
    <row r="3" ht="14.25" customHeight="1">
      <c r="A3" t="s">
        <v>2</v>
      </c>
      <c r="B3">
        <f>Campagne!A65536</f>
        <v>0</v>
      </c>
    </row>
    <row r="4" ht="14.25" customHeight="1">
      <c r="A4" t="s">
        <v>3</v>
      </c>
      <c r="B4">
        <f>Moteur!A65536</f>
        <v>0</v>
      </c>
    </row>
    <row r="5" ht="14.25" customHeight="1">
      <c r="A5" t="s">
        <v>4</v>
      </c>
      <c r="B5">
        <f>Comptabilité!A65536</f>
        <v>0</v>
      </c>
    </row>
    <row r="6" ht="14.25" customHeight="1">
      <c r="A6" t="s">
        <v>5</v>
      </c>
      <c r="B6">
        <f>PNL!A65536</f>
        <v>0</v>
      </c>
    </row>
    <row r="7" ht="14.25" customHeight="1">
      <c r="A7" t="s">
        <v>6</v>
      </c>
      <c r="B7">
        <f>Pilotage!A65544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786EDA-9AC8-1B58-6453-A602BB0DD6E8}" mc:Ignorable="x14ac xr xr2 xr3">
  <dimension ref="A1:AA73"/>
  <sheetViews>
    <sheetView showGridLines="0" showRowColHeaders="0" zoomScale="80" workbookViewId="0" tabSelected="1">
      <pane xSplit="1" ySplit="9" topLeftCell="B10" activePane="bottomRight" state="frozen"/>
      <selection pane="bottomLeft" activeCell="A10" sqref="A10"/>
      <selection pane="topRight" activeCell="B1" sqref="B1"/>
      <selection pane="bottomRight" activeCell="B11" sqref="B11"/>
    </sheetView>
  </sheetViews>
  <sheetFormatPr defaultRowHeight="14.25" defaultColWidth="9.140625" customHeight="1"/>
  <cols>
    <col min="1" max="1" width="2.57421875" customWidth="1"/>
    <col min="2" max="2" style="95" width="42.421875" customWidth="1"/>
    <col min="3" max="3" width="21.00390625" customWidth="1"/>
    <col min="4" max="4" width="24.7109375" customWidth="1"/>
    <col min="5" max="5" width="23.57421875" customWidth="1"/>
    <col min="6" max="6" width="44.00390625" customWidth="1"/>
    <col min="7" max="7" width="2.57421875" customWidth="1"/>
    <col min="8" max="9" width="2.00390625" customWidth="1"/>
    <col min="10" max="10" width="20.00390625" customWidth="1"/>
    <col min="11" max="11" width="12.00390625" customWidth="1"/>
    <col min="12" max="12" width="2.00390625" customWidth="1"/>
    <col min="13" max="18" width="13.00390625" customWidth="1"/>
    <col min="19" max="19" width="48.00390625" customWidth="1"/>
    <col min="20" max="21" width="13.00390625" customWidth="1"/>
    <col min="22" max="22" width="10.7109375" customWidth="1"/>
    <col min="23" max="23" width="8.8515625" customWidth="1"/>
    <col min="24" max="24" width="3.00390625" customWidth="1"/>
    <col min="25" max="25" width="6.421875" customWidth="1"/>
    <col min="26" max="26" width="12.7109375" customWidth="1"/>
    <col min="27" max="27" width="10.7109375" customWidth="1"/>
  </cols>
  <sheetData>
    <row r="1" ht="14.25" customHeight="1">
      <c r="B1" s="1"/>
      <c r="N1" s="2"/>
      <c r="P1" s="3" t="str">
        <f>IF($C$5="Cadrage","V01",IF($C$5="Optimiste","V02","V03"))</f>
        <v>V01</v>
      </c>
      <c r="R1" s="2"/>
      <c r="S1" s="2"/>
      <c r="T1" s="2"/>
    </row>
    <row r="2" ht="46.5" customHeight="1">
      <c r="B2" s="4"/>
      <c r="C2" s="5" t="s">
        <v>8</v>
      </c>
      <c r="D2" s="6"/>
      <c r="E2" s="6"/>
      <c r="G2" s="6"/>
    </row>
    <row r="3" ht="3.75" customHeight="1">
      <c r="A3" s="7"/>
      <c r="B3" s="8"/>
      <c r="C3" s="7"/>
      <c r="D3" s="7"/>
      <c r="E3" s="7"/>
      <c r="F3" s="7"/>
      <c r="G3" s="7"/>
      <c r="H3" s="7"/>
      <c r="I3" s="7"/>
      <c r="J3" s="9"/>
      <c r="K3" s="7"/>
      <c r="L3" s="7"/>
      <c r="M3" s="10"/>
      <c r="O3" s="10"/>
      <c r="Q3" s="10"/>
      <c r="U3" s="10"/>
    </row>
    <row r="4" ht="20.25" customHeight="1">
      <c r="J4" s="11"/>
    </row>
    <row r="5" ht="24" customHeight="1" s="12" customFormat="1">
      <c r="A5" s="13"/>
      <c r="B5" s="14" t="s">
        <v>9</v>
      </c>
      <c r="C5" s="15" t="s">
        <v>10</v>
      </c>
      <c r="D5" s="16" t="s">
        <v>11</v>
      </c>
      <c r="E5" s="17"/>
      <c r="F5" s="18">
        <v>0.065</v>
      </c>
      <c r="G5" s="19"/>
      <c r="H5" s="19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ht="8.25" customHeight="1" s="12" customFormat="1">
      <c r="A6" s="13"/>
      <c r="B6" s="21"/>
      <c r="C6" s="22"/>
      <c r="D6" s="22"/>
      <c r="E6" s="23"/>
      <c r="F6" s="2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ht="24" customHeight="1" s="12" customFormat="1">
      <c r="A7" s="13"/>
      <c r="B7" s="25" t="s">
        <v>12</v>
      </c>
      <c r="C7" s="26"/>
      <c r="D7" s="27" t="s">
        <v>13</v>
      </c>
      <c r="E7" s="28"/>
      <c r="F7" s="29" t="s">
        <v>14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ht="23.25" customHeight="1" s="12" customFormat="1">
      <c r="A8" s="13"/>
      <c r="B8" s="30">
        <f>C13*(1+F5)</f>
        <v>4095766.36065</v>
      </c>
      <c r="C8" s="31"/>
      <c r="D8" s="32">
        <f>D13</f>
        <v>4111503.63932527</v>
      </c>
      <c r="E8" s="33"/>
      <c r="F8" s="34">
        <f>$B$8-D8</f>
        <v>-15737.2786752698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ht="18.75" customHeight="1" s="12" customFormat="1">
      <c r="A9" s="13"/>
      <c r="B9" s="35" t="str">
        <f>"+"&amp;TEXT($F$5,"0,00%")&amp;" sur "&amp;TEXT(C13,"# ##0 €")&amp;" en 2026, soit "&amp;TEXT($B$8-C13,"+# ##0 €")&amp;" à trouver"</f>
        <v>+007% sur 3845 790 € en 2026, soit +249 976 € à trouver</v>
      </c>
      <c r="C9" s="36"/>
      <c r="D9" s="37" t="str">
        <f>"scénario « "&amp;$C$5&amp;" »   ·   marge "&amp;TEXT(D14,"0,0%")</f>
        <v>scénario « Cadrage »   ·   marge 17%</v>
      </c>
      <c r="E9" s="36"/>
      <c r="F9" s="37" t="s">
        <v>17</v>
      </c>
      <c r="G9" s="3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ht="21" customHeight="1" s="12" customFormat="1">
      <c r="A10" s="13"/>
      <c r="B10" s="39" t="s">
        <v>18</v>
      </c>
      <c r="C10" s="40"/>
      <c r="D10" s="40"/>
      <c r="E10" s="40"/>
      <c r="F10" s="41" t="s">
        <v>19</v>
      </c>
      <c r="G10" s="3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ht="24.75" customHeight="1" s="12" customFormat="1">
      <c r="A11" s="13"/>
      <c r="B11" s="42" t="s">
        <v>20</v>
      </c>
      <c r="C11" s="43" t="s">
        <v>21</v>
      </c>
      <c r="D11" s="44" t="s">
        <v>22</v>
      </c>
      <c r="E11" s="44" t="s">
        <v>23</v>
      </c>
      <c r="F11" s="44" t="s">
        <v>24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W11" s="45" t="s">
        <v>25</v>
      </c>
      <c r="X11" s="46" t="s">
        <v>26</v>
      </c>
      <c r="Y11" s="46" t="s">
        <v>27</v>
      </c>
      <c r="Z11" s="46" t="s">
        <v>28</v>
      </c>
    </row>
    <row r="12" ht="24.75" customHeight="1" s="12" customFormat="1">
      <c r="A12" s="13"/>
      <c r="B12" s="47" t="s">
        <v>29</v>
      </c>
      <c r="C12" s="48">
        <v>23098985</v>
      </c>
      <c r="D12" s="49">
        <f>_xlfn.SUMIFS(Moteur!$R$1:$R$200,Moteur!$B$1:$B$200,Cadrage!$P$1)</f>
        <v>24231703.5450376</v>
      </c>
      <c r="E12" s="50">
        <f t="shared" si="0" ref="E12:E15">D12-C12</f>
        <v>1132718.5450376</v>
      </c>
      <c r="F12" s="51">
        <f t="shared" si="1" ref="F12:F15">_xlfn.IFERROR(D12/C12-1,0)</f>
        <v>0.0490375895320769</v>
      </c>
      <c r="G12" s="5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W12" s="46">
        <v>2024</v>
      </c>
      <c r="X12" s="46">
        <v>20567210</v>
      </c>
      <c r="Y12" s="46">
        <v>3151035</v>
      </c>
      <c r="Z12" s="53">
        <v>0.1532</v>
      </c>
    </row>
    <row r="13" ht="24.75" customHeight="1" s="12" customFormat="1">
      <c r="A13" s="13"/>
      <c r="B13" s="54" t="s">
        <v>27</v>
      </c>
      <c r="C13" s="55">
        <v>3845790.01</v>
      </c>
      <c r="D13" s="56">
        <f>_xlfn.SUMIFS(_CALC_PNL!$T$1:$T$1347,_CALC_PNL!$D$1:$D$1347,Cadrage!$P$1,_CALC_PNL!$C$1:$C$1347,"2027")</f>
        <v>4111503.63932527</v>
      </c>
      <c r="E13" s="57">
        <f t="shared" si="0"/>
        <v>265713.62932527</v>
      </c>
      <c r="F13" s="58">
        <f t="shared" si="1"/>
        <v>0.0690920795556569</v>
      </c>
      <c r="G13" s="5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W13" s="12">
        <v>2025</v>
      </c>
      <c r="X13" s="12">
        <v>21758770</v>
      </c>
      <c r="Y13" s="12">
        <v>3467768</v>
      </c>
      <c r="Z13" s="59">
        <v>0.1594</v>
      </c>
    </row>
    <row r="14" ht="24.75" customHeight="1" s="12" customFormat="1">
      <c r="A14" s="13"/>
      <c r="B14" s="47" t="s">
        <v>30</v>
      </c>
      <c r="C14" s="60">
        <f t="shared" si="2" ref="C14:D14">_xlfn.IFERROR(C13/C12,0)</f>
        <v>0.166491731563097</v>
      </c>
      <c r="D14" s="60">
        <f t="shared" si="2"/>
        <v>0.169674560093703</v>
      </c>
      <c r="E14" s="61">
        <f t="shared" si="0"/>
        <v>0.003182828530606</v>
      </c>
      <c r="F14" s="51"/>
      <c r="G14" s="5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W14" s="12">
        <v>2026</v>
      </c>
      <c r="X14" s="12">
        <v>23098985</v>
      </c>
      <c r="Y14" s="12">
        <v>3845790</v>
      </c>
      <c r="Z14" s="59">
        <v>0.1665</v>
      </c>
    </row>
    <row r="15" ht="24.75" customHeight="1" s="12" customFormat="1">
      <c r="A15" s="13"/>
      <c r="B15" s="47" t="s">
        <v>31</v>
      </c>
      <c r="C15" s="62">
        <v>3114</v>
      </c>
      <c r="D15" s="63">
        <f>_xlfn.SUMIFS(Moteur!$P$1:$P$200,Moteur!$B$1:$B$200,Cadrage!$P$1)</f>
        <v>3253.61680751976</v>
      </c>
      <c r="E15" s="64">
        <f t="shared" si="0"/>
        <v>139.61680751976</v>
      </c>
      <c r="F15" s="51">
        <f t="shared" si="1"/>
        <v>0.0448351983043547</v>
      </c>
      <c r="G15" s="5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W15" s="12">
        <v>2027</v>
      </c>
      <c r="X15" s="65">
        <f>D12</f>
        <v>24231703.5450376</v>
      </c>
      <c r="Y15" s="65">
        <f>D13</f>
        <v>4111503.63932527</v>
      </c>
      <c r="Z15" s="59">
        <f>D14</f>
        <v>0.169674560093703</v>
      </c>
    </row>
    <row r="16" ht="16.5" customHeight="1" s="12" customFormat="1">
      <c r="A16" s="13"/>
      <c r="B16" s="66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3.75" customHeight="1" s="12" customFormat="1">
      <c r="A17" s="13"/>
      <c r="B17" s="6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21" customHeight="1" s="12" customFormat="1">
      <c r="A18" s="13"/>
      <c r="B18" s="39" t="s">
        <v>32</v>
      </c>
      <c r="C18" s="39"/>
      <c r="D18" s="39"/>
      <c r="E18" s="39"/>
      <c r="F18" s="39"/>
      <c r="G18" s="39"/>
      <c r="H18" s="39"/>
      <c r="I18" s="39"/>
      <c r="J18" s="39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20.25" customHeight="1" s="12" customFormat="1">
      <c r="A19" s="13"/>
      <c r="B19" s="42" t="s">
        <v>33</v>
      </c>
      <c r="C19" s="44" t="s">
        <v>10</v>
      </c>
      <c r="D19" s="44" t="s">
        <v>34</v>
      </c>
      <c r="E19" s="44" t="s">
        <v>35</v>
      </c>
      <c r="F19" s="68" t="s">
        <v>36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ht="5.25" customHeight="1" s="12" customFormat="1">
      <c r="A20" s="13"/>
      <c r="B20" s="66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21" customHeight="1" s="12" customFormat="1">
      <c r="A21" s="13"/>
      <c r="B21" s="69" t="s">
        <v>37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9" customHeight="1" s="12" customFormat="1" hidden="1">
      <c r="A22" s="13"/>
      <c r="B22" s="70"/>
      <c r="C22" s="71" t="s">
        <v>10</v>
      </c>
      <c r="D22" s="71" t="s">
        <v>34</v>
      </c>
      <c r="E22" s="71" t="s">
        <v>35</v>
      </c>
      <c r="F22" s="7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ht="22.5" customHeight="1" s="12" customFormat="1">
      <c r="A23" s="13"/>
      <c r="B23" s="73" t="s">
        <v>38</v>
      </c>
      <c r="C23" s="74">
        <v>0.08</v>
      </c>
      <c r="D23" s="74">
        <v>0.15</v>
      </c>
      <c r="E23" s="74">
        <v>-0.05</v>
      </c>
      <c r="F23" s="75">
        <f>INDEX(C23:E23,MATCH(Cadrage!$C$5,$C$22:$E$22,0))</f>
        <v>0.08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ht="22.5" customHeight="1" s="12" customFormat="1">
      <c r="A24" s="13"/>
      <c r="B24" s="73" t="s">
        <v>39</v>
      </c>
      <c r="C24" s="74">
        <v>0.1</v>
      </c>
      <c r="D24" s="74">
        <v>0.15</v>
      </c>
      <c r="E24" s="74">
        <v>-0.05</v>
      </c>
      <c r="F24" s="75">
        <f>INDEX(C24:E24,MATCH(Cadrage!$C$5,$C$22:$E$22,0))</f>
        <v>0.1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ht="22.5" customHeight="1" s="12" customFormat="1">
      <c r="A25" s="13"/>
      <c r="B25" s="73" t="s">
        <v>40</v>
      </c>
      <c r="C25" s="74">
        <v>0.0029</v>
      </c>
      <c r="D25" s="74">
        <v>0.035</v>
      </c>
      <c r="E25" s="74">
        <v>0.02</v>
      </c>
      <c r="F25" s="75">
        <f>INDEX(C25:E25,MATCH(Cadrage!$C$5,$C$22:$E$22,0))</f>
        <v>0.0029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ht="22.5" customHeight="1" s="12" customFormat="1">
      <c r="A26" s="13"/>
      <c r="B26" s="73" t="s">
        <v>41</v>
      </c>
      <c r="C26" s="74">
        <v>0.01</v>
      </c>
      <c r="D26" s="74">
        <v>0.03</v>
      </c>
      <c r="E26" s="74">
        <v>-0.01</v>
      </c>
      <c r="F26" s="75">
        <f>INDEX(C26:E26,MATCH(Cadrage!$C$5,$C$22:$E$22,0))</f>
        <v>0.01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22.5" customHeight="1" s="12" customFormat="1">
      <c r="A27" s="13"/>
      <c r="B27" s="73" t="s">
        <v>42</v>
      </c>
      <c r="C27" s="74">
        <v>0.01</v>
      </c>
      <c r="D27" s="74">
        <v>0.025</v>
      </c>
      <c r="E27" s="74">
        <v>-0.01</v>
      </c>
      <c r="F27" s="75">
        <f>INDEX(C27:E27,MATCH(Cadrage!$C$5,$C$22:$E$22,0))</f>
        <v>0.01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ht="22.5" customHeight="1" s="12" customFormat="1">
      <c r="A28" s="13"/>
      <c r="B28" s="73" t="s">
        <v>43</v>
      </c>
      <c r="C28" s="74">
        <v>0.005</v>
      </c>
      <c r="D28" s="74">
        <v>0.015</v>
      </c>
      <c r="E28" s="74">
        <v>-0.01</v>
      </c>
      <c r="F28" s="75">
        <f>INDEX(C28:E28,MATCH(Cadrage!$C$5,$C$22:$E$22,0))</f>
        <v>0.005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ht="6" customHeight="1" s="12" customFormat="1">
      <c r="A29" s="76"/>
      <c r="B29" s="77"/>
      <c r="C29" s="76"/>
      <c r="D29" s="76"/>
      <c r="E29" s="76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ht="6" customHeight="1" s="12" customFormat="1">
      <c r="A30" s="76"/>
      <c r="B30" s="77"/>
      <c r="C30" s="76"/>
      <c r="D30" s="76"/>
      <c r="E30" s="76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ht="6" customHeight="1" s="12" customFormat="1">
      <c r="A31" s="76"/>
      <c r="B31" s="77"/>
      <c r="C31" s="76"/>
      <c r="D31" s="76"/>
      <c r="E31" s="76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ht="30" customHeight="1" s="12" customFormat="1">
      <c r="A32" s="13"/>
      <c r="B32" s="78" t="s">
        <v>44</v>
      </c>
      <c r="C32" s="79"/>
      <c r="D32" s="79"/>
      <c r="E32" s="79"/>
      <c r="F32" s="80"/>
      <c r="G32" s="13"/>
      <c r="H32" s="13"/>
      <c r="I32" s="13"/>
      <c r="J32" s="81" t="s">
        <v>45</v>
      </c>
      <c r="K32" s="80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ht="6" customHeight="1" s="12" customFormat="1">
      <c r="A33" s="76"/>
      <c r="B33" s="82"/>
      <c r="C33" s="76"/>
      <c r="D33" s="76"/>
      <c r="E33" s="76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ht="21.75" customHeight="1" s="12" customFormat="1">
      <c r="A34" s="13"/>
      <c r="B34" s="73" t="s">
        <v>46</v>
      </c>
      <c r="C34" s="74">
        <v>0.02</v>
      </c>
      <c r="D34" s="74">
        <v>0.015</v>
      </c>
      <c r="E34" s="74">
        <v>0.03</v>
      </c>
      <c r="F34" s="75">
        <f>INDEX(C34:E34,MATCH(Cadrage!$C$5,$C$22:$E$22,0))</f>
        <v>0.02</v>
      </c>
      <c r="G34" s="13"/>
      <c r="H34" s="13"/>
      <c r="I34" s="13"/>
      <c r="J34" s="83" t="s">
        <v>47</v>
      </c>
      <c r="K34" s="84">
        <v>1.2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ht="21.75" customHeight="1" s="12" customFormat="1">
      <c r="A35" s="13"/>
      <c r="B35" s="73" t="s">
        <v>48</v>
      </c>
      <c r="C35" s="74">
        <v>0.025</v>
      </c>
      <c r="D35" s="74">
        <v>0.02</v>
      </c>
      <c r="E35" s="74">
        <v>0.03</v>
      </c>
      <c r="F35" s="75">
        <f>INDEX(C35:E35,MATCH(Cadrage!$C$5,$C$22:$E$22,0))</f>
        <v>0.025</v>
      </c>
      <c r="G35" s="13"/>
      <c r="H35" s="13"/>
      <c r="I35" s="13"/>
      <c r="J35" s="83" t="s">
        <v>49</v>
      </c>
      <c r="K35" s="84">
        <v>1.15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ht="21.75" customHeight="1" s="12" customFormat="1">
      <c r="A36" s="13"/>
      <c r="B36" s="73" t="s">
        <v>50</v>
      </c>
      <c r="C36" s="74">
        <v>0.04</v>
      </c>
      <c r="D36" s="74">
        <v>0.03</v>
      </c>
      <c r="E36" s="74">
        <v>0.05</v>
      </c>
      <c r="F36" s="75">
        <f>INDEX(C36:E36,MATCH(Cadrage!$C$5,$C$22:$E$22,0))</f>
        <v>0.04</v>
      </c>
      <c r="G36" s="13"/>
      <c r="H36" s="13"/>
      <c r="I36" s="13"/>
      <c r="J36" s="83" t="s">
        <v>51</v>
      </c>
      <c r="K36" s="84">
        <v>0.95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ht="21.75" customHeight="1" s="12" customFormat="1">
      <c r="A37" s="13"/>
      <c r="B37" s="73" t="s">
        <v>52</v>
      </c>
      <c r="C37" s="74">
        <v>0.0185</v>
      </c>
      <c r="D37" s="74">
        <v>0.03</v>
      </c>
      <c r="E37" s="74"/>
      <c r="F37" s="75">
        <f>INDEX(C37:E37,MATCH(Cadrage!$C$5,$C$22:$E$22,0))</f>
        <v>0.0185</v>
      </c>
      <c r="G37" s="13"/>
      <c r="H37" s="13"/>
      <c r="I37" s="13"/>
      <c r="J37" s="83" t="s">
        <v>53</v>
      </c>
      <c r="K37" s="84">
        <v>0.9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ht="21.75" customHeight="1" s="12" customFormat="1">
      <c r="A38" s="13"/>
      <c r="B38" s="73" t="s">
        <v>54</v>
      </c>
      <c r="C38" s="74"/>
      <c r="D38" s="74">
        <v>-0.03</v>
      </c>
      <c r="E38" s="74">
        <v>0.04</v>
      </c>
      <c r="F38" s="75">
        <f>INDEX(C38:E38,MATCH(Cadrage!$C$5,$C$22:$E$22,0))</f>
        <v>0</v>
      </c>
      <c r="G38" s="13"/>
      <c r="H38" s="13"/>
      <c r="I38" s="13"/>
      <c r="J38" s="83" t="s">
        <v>55</v>
      </c>
      <c r="K38" s="84">
        <v>1.05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ht="6" customHeight="1" s="12" customFormat="1">
      <c r="A39" s="76"/>
      <c r="B39" s="85"/>
      <c r="C39" s="76"/>
      <c r="D39" s="76"/>
      <c r="E39" s="76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ht="18" customHeight="1" s="12" customFormat="1">
      <c r="A40" s="13"/>
      <c r="B40" s="86" t="s">
        <v>56</v>
      </c>
      <c r="C40" s="80"/>
      <c r="D40" s="80"/>
      <c r="E40" s="80"/>
      <c r="F40" s="80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6" customHeight="1" s="12" customFormat="1">
      <c r="A41" s="13"/>
      <c r="B41" s="87"/>
      <c r="C41" s="88"/>
      <c r="D41" s="88"/>
      <c r="E41" s="88"/>
      <c r="F41" s="88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21.75" customHeight="1" s="12" customFormat="1">
      <c r="A42" s="13"/>
      <c r="B42" s="73" t="s">
        <v>57</v>
      </c>
      <c r="C42" s="89">
        <v>90</v>
      </c>
      <c r="D42" s="89">
        <v>90</v>
      </c>
      <c r="E42" s="89">
        <v>90</v>
      </c>
      <c r="F42" s="90">
        <f>INDEX(C42:E42,MATCH(Cadrage!$C$5,$C$22:$E$22,0))</f>
        <v>90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6" customHeight="1" s="12" customFormat="1">
      <c r="A43" s="13"/>
      <c r="B43" s="66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4.25" customHeight="1" s="12" customFormat="1">
      <c r="A44" s="13"/>
      <c r="B44" s="66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14.25" customHeight="1" s="12" customFormat="1">
      <c r="A45" s="13"/>
      <c r="B45" s="9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14.25" customHeight="1" s="12" customFormat="1">
      <c r="A46" s="13"/>
      <c r="B46" s="6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ht="14.25" customHeight="1" s="12" customFormat="1">
      <c r="A47" s="13"/>
      <c r="B47" s="6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ht="14.25" customHeight="1" s="12" customFormat="1">
      <c r="A48" s="13"/>
      <c r="B48" s="6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ht="14.25" customHeight="1" s="12" customFormat="1">
      <c r="A49" s="13"/>
      <c r="B49" s="6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14.25" customHeight="1" s="12" customFormat="1">
      <c r="A50" s="13"/>
      <c r="B50" s="66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ht="14.25" customHeight="1" s="12" customFormat="1">
      <c r="A51" s="13"/>
      <c r="B51" s="66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ht="14.25" customHeight="1" s="12" customFormat="1">
      <c r="A52" s="13"/>
      <c r="B52" s="66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ht="14.25" customHeight="1" s="12" customFormat="1">
      <c r="A53" s="13"/>
      <c r="B53" s="66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ht="14.25" customHeight="1">
      <c r="A54" s="92"/>
      <c r="B54" s="93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</row>
    <row r="55" ht="14.25" customHeight="1">
      <c r="A55" s="92"/>
      <c r="B55" s="93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</row>
    <row r="56" ht="14.25" customHeight="1">
      <c r="A56" s="92"/>
      <c r="B56" s="93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</row>
    <row r="57" ht="14.25" customHeight="1">
      <c r="A57" s="92"/>
      <c r="B57" s="93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</row>
    <row r="58" ht="14.25" customHeight="1">
      <c r="A58" s="92"/>
      <c r="B58" s="93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</row>
    <row r="59" ht="14.25" customHeight="1">
      <c r="A59" s="92"/>
      <c r="B59" s="93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</row>
    <row r="60" ht="14.25" customHeight="1">
      <c r="A60" s="92"/>
      <c r="B60" s="93"/>
      <c r="C60" s="92"/>
      <c r="D60" s="92"/>
      <c r="E60" s="92"/>
      <c r="F60" s="92"/>
      <c r="G60" s="94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</row>
    <row r="61" ht="14.25" customHeight="1">
      <c r="A61" s="92"/>
      <c r="B61" s="93"/>
      <c r="C61" s="92"/>
      <c r="D61" s="92"/>
      <c r="E61" s="92"/>
      <c r="F61" s="92"/>
      <c r="G61" s="94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</row>
    <row r="62" ht="14.25" customHeight="1">
      <c r="A62" s="92"/>
      <c r="B62" s="93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</row>
    <row r="63" ht="14.25" customHeight="1">
      <c r="A63" s="92"/>
      <c r="B63" s="93"/>
      <c r="C63" s="92"/>
      <c r="D63" s="92"/>
      <c r="E63" s="92"/>
      <c r="F63" s="92"/>
      <c r="G63" s="94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</row>
    <row r="64" ht="14.25" customHeight="1">
      <c r="A64" s="92"/>
      <c r="B64" s="93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</row>
    <row r="65" ht="14.25" customHeight="1">
      <c r="A65" s="92"/>
      <c r="B65" s="93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</row>
    <row r="66" ht="14.25" customHeight="1">
      <c r="A66" s="92"/>
      <c r="B66" s="93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</row>
    <row r="67" ht="14.25" customHeight="1">
      <c r="A67" s="92"/>
      <c r="B67" s="93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</row>
    <row r="68" ht="14.25" customHeight="1">
      <c r="A68" s="92"/>
      <c r="B68" s="93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</row>
    <row r="69" ht="14.25" customHeight="1">
      <c r="A69" s="92"/>
      <c r="B69" s="93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</row>
    <row r="70" ht="14.25" customHeight="1">
      <c r="A70" s="92"/>
      <c r="B70" s="93"/>
      <c r="C70" s="92"/>
      <c r="D70" s="92"/>
      <c r="E70" s="92"/>
      <c r="F70" s="92"/>
      <c r="G70" s="94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</row>
    <row r="71" ht="14.25" customHeight="1">
      <c r="A71" s="92"/>
      <c r="B71" s="93"/>
      <c r="C71" s="92"/>
      <c r="D71" s="92"/>
      <c r="E71" s="92"/>
      <c r="F71" s="92"/>
      <c r="G71" s="94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</row>
    <row r="72" ht="14.25" customHeight="1">
      <c r="A72" s="92"/>
      <c r="B72" s="93"/>
      <c r="C72" s="92"/>
      <c r="D72" s="92"/>
      <c r="E72" s="92"/>
      <c r="F72" s="92"/>
      <c r="G72" s="92"/>
      <c r="H72" s="92"/>
      <c r="I72" s="92"/>
      <c r="J72" s="92"/>
      <c r="K72" s="92"/>
      <c r="L72" s="92"/>
    </row>
    <row r="73" ht="14.25" customHeight="1">
      <c r="A73" s="92"/>
      <c r="B73" s="93"/>
      <c r="C73" s="92"/>
      <c r="D73" s="92"/>
      <c r="E73" s="92"/>
      <c r="F73" s="92"/>
      <c r="G73" s="92"/>
      <c r="H73" s="92"/>
      <c r="I73" s="92"/>
      <c r="J73" s="92"/>
      <c r="K73" s="92"/>
      <c r="L73" s="92"/>
    </row>
  </sheetData>
  <sheetProtection sheet="1" sort="1" autoFilter="0" objects="1"/>
  <conditionalFormatting sqref="B6:U6">
    <cfRule type="expression" dxfId="0" priority="21" text="null">
      <formula>$D$12&gt;=$N$5</formula>
    </cfRule>
  </conditionalFormatting>
  <conditionalFormatting sqref="B6:U6">
    <cfRule type="expression" dxfId="1" priority="22" text="null">
      <formula>$D$12&lt;$N$5</formula>
    </cfRule>
  </conditionalFormatting>
  <conditionalFormatting sqref="E12:F15">
    <cfRule type="cellIs" dxfId="2" priority="1" operator="greaterThan" text="null">
      <formula>0</formula>
    </cfRule>
  </conditionalFormatting>
  <conditionalFormatting sqref="E12:F15">
    <cfRule type="cellIs" dxfId="3" priority="2" operator="lessThan" text="null">
      <formula>0</formula>
    </cfRule>
  </conditionalFormatting>
  <conditionalFormatting sqref="F8">
    <cfRule type="cellIs" dxfId="4" priority="5" operator="greaterThan" text="null">
      <formula>0</formula>
    </cfRule>
  </conditionalFormatting>
  <conditionalFormatting sqref="F8">
    <cfRule type="cellIs" dxfId="5" priority="6" operator="lessThanOrEqual" text="null">
      <formula>0</formula>
    </cfRule>
  </conditionalFormatting>
  <conditionalFormatting sqref="F23:F28">
    <cfRule type="cellIs" dxfId="6" priority="15" operator="greaterThan" text="null">
      <formula>0</formula>
    </cfRule>
  </conditionalFormatting>
  <conditionalFormatting sqref="F23:F28">
    <cfRule type="cellIs" dxfId="7" priority="16" operator="lessThan" text="null">
      <formula>0</formula>
    </cfRule>
  </conditionalFormatting>
  <conditionalFormatting sqref="F34:F38">
    <cfRule type="cellIs" dxfId="6" priority="17" operator="greaterThan" text="null">
      <formula>0</formula>
    </cfRule>
  </conditionalFormatting>
  <conditionalFormatting sqref="F34:F38">
    <cfRule type="cellIs" dxfId="7" priority="18" operator="lessThan" text="null">
      <formula>0</formula>
    </cfRule>
  </conditionalFormatting>
  <dataValidations count="1">
    <dataValidation allowBlank="1" showErrorMessage="1" showInputMessage="1" sqref="C5" type="list">
      <formula1>"Cadrage,Optimiste,Prudent"</formula1>
    </dataValidation>
  </dataValidation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41106F8-412F-CA33-69B8-F551F93B5798}" mc:Ignorable="x14ac xr xr2 xr3">
  <dimension ref="A1:X73"/>
  <sheetViews>
    <sheetView showGridLines="0" workbookViewId="0">
      <pane xSplit="1" ySplit="11" topLeftCell="B12" activePane="bottomRight" state="frozen"/>
      <selection pane="bottomLeft" activeCell="A12" sqref="A12"/>
      <selection pane="topRight" activeCell="B1" sqref="B1"/>
      <selection pane="bottomRight" activeCell="B6" sqref="B6"/>
    </sheetView>
  </sheetViews>
  <sheetFormatPr defaultRowHeight="14.25" defaultColWidth="9.00390625" customHeight="1"/>
  <cols>
    <col min="1" max="1" style="146" width="3.421875" customWidth="1"/>
    <col min="2" max="11" width="19.57421875" customWidth="1"/>
    <col min="12" max="12" width="13.421875" hidden="1" customWidth="1"/>
    <col min="13" max="13" width="255.57421875" customWidth="1"/>
    <col min="14" max="16" width="13.00390625" hidden="1" customWidth="1"/>
    <col min="21" max="23" width="13.00390625" hidden="1" customWidth="1"/>
  </cols>
  <sheetData>
    <row r="1" ht="14.25" customHeight="1">
      <c r="B1" s="1"/>
      <c r="N1" s="2"/>
      <c r="O1" t="s">
        <v>58</v>
      </c>
      <c r="P1" s="3" t="str">
        <f>IF($E$6="Cadrage","V01",IF($E$6="Optimiste","V02","V03"))</f>
        <v>V01</v>
      </c>
      <c r="R1" s="2"/>
    </row>
    <row r="2" ht="46.5" customHeight="1">
      <c r="B2" s="4"/>
      <c r="C2" s="96"/>
      <c r="D2" s="6"/>
      <c r="E2" s="97"/>
      <c r="G2" s="98" t="s">
        <v>59</v>
      </c>
    </row>
    <row r="3" ht="3.75" customHeight="1">
      <c r="A3" s="99"/>
      <c r="B3" s="8"/>
      <c r="C3" s="7"/>
      <c r="D3" s="7"/>
      <c r="E3" s="7"/>
      <c r="F3" s="7"/>
      <c r="G3" s="7"/>
      <c r="H3" s="7"/>
      <c r="I3" s="7"/>
      <c r="J3" s="9"/>
      <c r="K3" s="7"/>
      <c r="L3" s="7"/>
      <c r="M3" s="10"/>
      <c r="O3" s="10"/>
      <c r="Q3" s="10"/>
      <c r="S3" s="10"/>
    </row>
    <row r="4" ht="7.5" customHeight="1">
      <c r="B4" s="95"/>
      <c r="J4" s="11"/>
    </row>
    <row r="5" ht="14.25" customHeight="1">
      <c r="A5" s="100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2"/>
    </row>
    <row r="6" ht="19.5" customHeight="1">
      <c r="A6" s="100"/>
      <c r="B6" s="103" t="s">
        <v>9</v>
      </c>
      <c r="C6" s="101"/>
      <c r="D6" s="101"/>
      <c r="E6" s="104" t="s">
        <v>10</v>
      </c>
      <c r="F6" s="101"/>
      <c r="G6" s="105"/>
      <c r="H6" s="101"/>
      <c r="I6" s="101"/>
      <c r="J6" s="101"/>
      <c r="K6" s="101"/>
      <c r="L6" s="101"/>
      <c r="M6" s="101"/>
      <c r="N6" s="102"/>
    </row>
    <row r="7" ht="8.25" customHeight="1">
      <c r="A7" s="100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ht="3.75" customHeight="1">
      <c r="A8" s="100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1"/>
      <c r="M8" s="101"/>
      <c r="N8" s="102"/>
    </row>
    <row r="9" ht="15.75" customHeight="1" s="12" customFormat="1">
      <c r="A9" s="107"/>
      <c r="B9" s="108" t="s">
        <v>60</v>
      </c>
      <c r="C9" s="109"/>
      <c r="D9" s="108" t="s">
        <v>61</v>
      </c>
      <c r="E9" s="109"/>
      <c r="F9" s="108" t="s">
        <v>62</v>
      </c>
      <c r="G9" s="109"/>
      <c r="H9" s="108" t="s">
        <v>31</v>
      </c>
      <c r="I9" s="109"/>
      <c r="J9" s="108" t="s">
        <v>63</v>
      </c>
      <c r="K9" s="109"/>
      <c r="L9" s="110"/>
      <c r="M9" s="110"/>
      <c r="N9" s="111"/>
    </row>
    <row r="10" ht="29.25" customHeight="1">
      <c r="A10" s="100"/>
      <c r="B10" s="112">
        <f t="shared" si="0" ref="B10:F10">E55</f>
        <v>24231703.5450376</v>
      </c>
      <c r="C10" s="113"/>
      <c r="D10" s="112">
        <f>H55</f>
        <v>4111503.63932527</v>
      </c>
      <c r="E10" s="113"/>
      <c r="F10" s="114">
        <f t="shared" si="0"/>
        <v>0.169674560093703</v>
      </c>
      <c r="G10" s="113"/>
      <c r="H10" s="112">
        <f>D55</f>
        <v>3253.61680751976</v>
      </c>
      <c r="I10" s="113"/>
      <c r="J10" s="115">
        <f>_xlfn.IFERROR(E55/Cadrage!$C$12-1,0)</f>
        <v>0.0490375895320769</v>
      </c>
      <c r="K10" s="113"/>
      <c r="L10" s="101"/>
      <c r="M10" s="101"/>
      <c r="N10" s="102"/>
    </row>
    <row r="11" ht="15.75" customHeight="1">
      <c r="A11" s="100"/>
      <c r="B11" s="116" t="str">
        <f>"contre "&amp;TEXT(Cadrage!$C$12,"#,##0 €")&amp;" en 2026"</f>
        <v>contre 23.098.985 € en 2026</v>
      </c>
      <c r="C11" s="117"/>
      <c r="D11" s="116" t="str">
        <f>"contre "&amp;TEXT(Cadrage!$C$13,"#,##0 €")&amp;" en 2026"</f>
        <v>contre 3.845.790 € en 2026</v>
      </c>
      <c r="E11" s="117"/>
      <c r="F11" s="116" t="str">
        <f>"contre "&amp;TEXT(Cadrage!$C$14,"0.0%")&amp;" en 2026"</f>
        <v>contre 16,6% en 2026</v>
      </c>
      <c r="G11" s="117"/>
      <c r="H11" s="116" t="str">
        <f>"contre "&amp;TEXT(Cadrage!$C$15,"#,##0")&amp;" en 2026"</f>
        <v>contre 3.114 en 2026</v>
      </c>
      <c r="I11" s="117"/>
      <c r="J11" s="116" t="s">
        <v>68</v>
      </c>
      <c r="K11" s="117"/>
      <c r="L11" s="101"/>
      <c r="M11" s="101"/>
      <c r="N11" s="102"/>
    </row>
    <row r="12" ht="6" customHeight="1">
      <c r="A12" s="100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2"/>
    </row>
    <row r="13" ht="3" customHeight="1" hidden="1">
      <c r="A13" s="100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2"/>
    </row>
    <row r="14" ht="3" customHeight="1">
      <c r="A14" s="100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2"/>
    </row>
    <row r="15" ht="6" customHeight="1">
      <c r="A15" s="100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6" ht="30" customHeight="1">
      <c r="A16" s="100"/>
      <c r="B16" s="118" t="s">
        <v>69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2"/>
    </row>
    <row r="17" ht="6" customHeight="1">
      <c r="A17" s="100"/>
      <c r="B17" s="119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2"/>
      <c r="U17" t="s">
        <v>70</v>
      </c>
      <c r="V17" t="s">
        <v>70</v>
      </c>
      <c r="W17" t="s">
        <v>70</v>
      </c>
    </row>
    <row r="18" ht="30" customHeight="1" s="12" customFormat="1">
      <c r="A18" s="148" t="s">
        <v>71</v>
      </c>
      <c r="B18" s="149" t="s">
        <v>72</v>
      </c>
      <c r="C18" s="150" t="s">
        <v>73</v>
      </c>
      <c r="D18" s="151" t="s">
        <v>74</v>
      </c>
      <c r="E18" s="151" t="s">
        <v>75</v>
      </c>
      <c r="F18" s="151" t="s">
        <v>76</v>
      </c>
      <c r="G18" s="151" t="s">
        <v>77</v>
      </c>
      <c r="H18" s="151" t="s">
        <v>78</v>
      </c>
      <c r="I18" s="151" t="s">
        <v>79</v>
      </c>
      <c r="J18" s="151" t="s">
        <v>80</v>
      </c>
      <c r="K18" s="151" t="s">
        <v>81</v>
      </c>
      <c r="L18" s="151" t="s">
        <v>82</v>
      </c>
      <c r="M18" s="110"/>
      <c r="N18" s="111"/>
      <c r="U18" s="12" t="s">
        <v>83</v>
      </c>
      <c r="V18" s="12" t="s">
        <v>84</v>
      </c>
      <c r="W18" s="12" t="s">
        <v>85</v>
      </c>
    </row>
    <row r="19" ht="18" customHeight="1">
      <c r="A19" s="100" t="str">
        <f t="shared" si="1" ref="A19:A32">$L19</f>
        <v>IPAC_MTP</v>
      </c>
      <c r="B19" s="123" t="str">
        <f t="shared" si="2" ref="B19:B32">IF(LEFT($L19,5)="MBWAY","MBway",IF(LEFT($L19,5)="ISCOM","ISCOM",IF(LEFT($L19,4)="IPAC","Ipac",IF(LEFT($L19,6)="PIGIER","Pigier",IF(LEFT($L19,5)="TUNON","Tunon","")))))</f>
        <v>Ipac</v>
      </c>
      <c r="C19" s="123" t="str">
        <f t="shared" si="3" ref="C19:C32">IF(RIGHT($L19,3)="PAR","Paris",IF(RIGHT($L19,3)="LYO","Lyon",IF(RIGHT($L19,3)="NAN","Nantes",IF(RIGHT($L19,3)="BOR","Bordeaux",IF(RIGHT($L19,3)="LIL","Lille",IF(RIGHT($L19,3)="TLS","Toulouse",IF(RIGHT($L19,3)="REN","Rennes",IF(RIGHT($L19,3)="MTP","Montpellier",""))))))))</f>
        <v>Montpellier</v>
      </c>
      <c r="D19" s="124">
        <v>1033.984596561</v>
      </c>
      <c r="E19" s="125">
        <v>0.144781</v>
      </c>
      <c r="F19" s="125">
        <v>0.019417</v>
      </c>
      <c r="G19" s="126">
        <v>1.162604137</v>
      </c>
      <c r="H19" s="126">
        <v>1.385517</v>
      </c>
      <c r="I19" s="126">
        <v>0.94434</v>
      </c>
      <c r="J19" s="127">
        <v>1</v>
      </c>
      <c r="K19" s="124">
        <v>15178</v>
      </c>
      <c r="L19" s="128" t="s">
        <v>86</v>
      </c>
      <c r="M19" s="101"/>
      <c r="N19" s="102"/>
    </row>
    <row r="20" ht="18" customHeight="1">
      <c r="A20" s="100" t="str">
        <f t="shared" si="1"/>
        <v>IPAC_NAN</v>
      </c>
      <c r="B20" s="123" t="str">
        <f t="shared" si="2"/>
        <v>Ipac</v>
      </c>
      <c r="C20" s="123" t="str">
        <f t="shared" si="3"/>
        <v>Nantes</v>
      </c>
      <c r="D20" s="124">
        <v>1216.293131468</v>
      </c>
      <c r="E20" s="125">
        <v>0.137884</v>
      </c>
      <c r="F20" s="125">
        <v>0.021343</v>
      </c>
      <c r="G20" s="126">
        <v>0.988342973</v>
      </c>
      <c r="H20" s="126">
        <v>1.319514</v>
      </c>
      <c r="I20" s="126">
        <v>0.85913</v>
      </c>
      <c r="J20" s="127">
        <v>1</v>
      </c>
      <c r="K20" s="124">
        <v>21760</v>
      </c>
      <c r="L20" s="128" t="s">
        <v>89</v>
      </c>
      <c r="M20" s="101"/>
      <c r="N20" s="102"/>
    </row>
    <row r="21" ht="18" customHeight="1">
      <c r="A21" s="100" t="str">
        <f t="shared" si="1"/>
        <v>IPAC_REN</v>
      </c>
      <c r="B21" s="123" t="str">
        <f t="shared" si="2"/>
        <v>Ipac</v>
      </c>
      <c r="C21" s="123" t="str">
        <f t="shared" si="3"/>
        <v>Rennes</v>
      </c>
      <c r="D21" s="124">
        <v>1040.55644762</v>
      </c>
      <c r="E21" s="125">
        <v>0.144781</v>
      </c>
      <c r="F21" s="125">
        <v>0.019104</v>
      </c>
      <c r="G21" s="126">
        <v>1.155261468</v>
      </c>
      <c r="H21" s="126">
        <v>1.385517</v>
      </c>
      <c r="I21" s="126">
        <v>0.959834</v>
      </c>
      <c r="J21" s="127">
        <v>1</v>
      </c>
      <c r="K21" s="124">
        <v>14933</v>
      </c>
      <c r="L21" s="128" t="s">
        <v>91</v>
      </c>
      <c r="M21" s="101"/>
      <c r="N21" s="102"/>
    </row>
    <row r="22" ht="18" customHeight="1">
      <c r="A22" s="100" t="str">
        <f t="shared" si="1"/>
        <v>ISCOM_LIL</v>
      </c>
      <c r="B22" s="123" t="str">
        <f t="shared" si="2"/>
        <v>ISCOM</v>
      </c>
      <c r="C22" s="123" t="str">
        <f t="shared" si="3"/>
        <v>Lille</v>
      </c>
      <c r="D22" s="124">
        <v>978.584610233</v>
      </c>
      <c r="E22" s="125">
        <v>0.081545</v>
      </c>
      <c r="F22" s="125">
        <v>0.014363</v>
      </c>
      <c r="G22" s="126">
        <v>1.228421903</v>
      </c>
      <c r="H22" s="126">
        <v>0.780364</v>
      </c>
      <c r="I22" s="126">
        <v>1.276654</v>
      </c>
      <c r="J22" s="127">
        <v>1</v>
      </c>
      <c r="K22" s="124">
        <v>25220</v>
      </c>
      <c r="L22" s="128" t="s">
        <v>93</v>
      </c>
      <c r="M22" s="101"/>
      <c r="N22" s="102"/>
    </row>
    <row r="23" ht="18" customHeight="1">
      <c r="A23" s="100" t="str">
        <f t="shared" si="1"/>
        <v>ISCOM_PAR</v>
      </c>
      <c r="B23" s="123" t="str">
        <f t="shared" si="2"/>
        <v>ISCOM</v>
      </c>
      <c r="C23" s="123" t="str">
        <f t="shared" si="3"/>
        <v>Paris</v>
      </c>
      <c r="D23" s="124">
        <v>1540.324974131</v>
      </c>
      <c r="E23" s="125">
        <v>0.077744</v>
      </c>
      <c r="F23" s="125">
        <v>0.020902</v>
      </c>
      <c r="G23" s="126">
        <v>0.780429318</v>
      </c>
      <c r="H23" s="126">
        <v>0.74399</v>
      </c>
      <c r="I23" s="126">
        <v>0.877261</v>
      </c>
      <c r="J23" s="127">
        <v>1</v>
      </c>
      <c r="K23" s="124">
        <v>60800</v>
      </c>
      <c r="L23" s="128" t="s">
        <v>95</v>
      </c>
      <c r="M23" s="101"/>
      <c r="N23" s="102"/>
    </row>
    <row r="24" ht="18" customHeight="1">
      <c r="A24" s="100" t="str">
        <f t="shared" si="1"/>
        <v>ISCOM_TLS</v>
      </c>
      <c r="B24" s="123" t="str">
        <f t="shared" si="2"/>
        <v>ISCOM</v>
      </c>
      <c r="C24" s="123" t="str">
        <f t="shared" si="3"/>
        <v>Toulouse</v>
      </c>
      <c r="D24" s="124">
        <v>919.034769557</v>
      </c>
      <c r="E24" s="125">
        <v>0.082116</v>
      </c>
      <c r="F24" s="125">
        <v>0.013564</v>
      </c>
      <c r="G24" s="126">
        <v>1.308018814</v>
      </c>
      <c r="H24" s="126">
        <v>0.785829</v>
      </c>
      <c r="I24" s="126">
        <v>1.351829</v>
      </c>
      <c r="J24" s="127">
        <v>1</v>
      </c>
      <c r="K24" s="124">
        <v>22083</v>
      </c>
      <c r="L24" s="128" t="s">
        <v>97</v>
      </c>
      <c r="M24" s="101"/>
      <c r="N24" s="102"/>
    </row>
    <row r="25" ht="18" customHeight="1">
      <c r="A25" s="100" t="str">
        <f t="shared" si="1"/>
        <v>MBWAY_BOR</v>
      </c>
      <c r="B25" s="123" t="str">
        <f t="shared" si="2"/>
        <v>MBway</v>
      </c>
      <c r="C25" s="123" t="str">
        <f t="shared" si="3"/>
        <v>Bordeaux</v>
      </c>
      <c r="D25" s="124">
        <v>889.593289348</v>
      </c>
      <c r="E25" s="125">
        <v>0.126094</v>
      </c>
      <c r="F25" s="125">
        <v>0.014052</v>
      </c>
      <c r="G25" s="126">
        <v>1.351308271</v>
      </c>
      <c r="H25" s="126">
        <v>1.206687</v>
      </c>
      <c r="I25" s="126">
        <v>1.304934</v>
      </c>
      <c r="J25" s="127">
        <v>1</v>
      </c>
      <c r="K25" s="124">
        <v>24923</v>
      </c>
      <c r="L25" s="128" t="s">
        <v>99</v>
      </c>
      <c r="M25" s="101"/>
      <c r="N25" s="102"/>
    </row>
    <row r="26" ht="18" customHeight="1">
      <c r="A26" s="100" t="str">
        <f t="shared" si="1"/>
        <v>MBWAY_LYO</v>
      </c>
      <c r="B26" s="123" t="str">
        <f t="shared" si="2"/>
        <v>MBway</v>
      </c>
      <c r="C26" s="123" t="str">
        <f t="shared" si="3"/>
        <v>Lyon</v>
      </c>
      <c r="D26" s="124">
        <v>1101.604798491</v>
      </c>
      <c r="E26" s="125">
        <v>0.118871</v>
      </c>
      <c r="F26" s="125">
        <v>0.016735</v>
      </c>
      <c r="G26" s="126">
        <v>1.091239591</v>
      </c>
      <c r="H26" s="126">
        <v>1.137565</v>
      </c>
      <c r="I26" s="126">
        <v>1.095717</v>
      </c>
      <c r="J26" s="127">
        <v>1</v>
      </c>
      <c r="K26" s="124">
        <v>41783</v>
      </c>
      <c r="L26" s="128" t="s">
        <v>101</v>
      </c>
      <c r="M26" s="101"/>
      <c r="N26" s="102"/>
    </row>
    <row r="27" ht="18" customHeight="1">
      <c r="A27" s="100" t="str">
        <f t="shared" si="1"/>
        <v>MBWAY_NAN</v>
      </c>
      <c r="B27" s="123" t="str">
        <f t="shared" si="2"/>
        <v>MBway</v>
      </c>
      <c r="C27" s="123" t="str">
        <f t="shared" si="3"/>
        <v>Nantes</v>
      </c>
      <c r="D27" s="124">
        <v>963.576871485</v>
      </c>
      <c r="E27" s="125">
        <v>0.123795</v>
      </c>
      <c r="F27" s="125">
        <v>0.01461</v>
      </c>
      <c r="G27" s="126">
        <v>1.247554611</v>
      </c>
      <c r="H27" s="126">
        <v>1.184686</v>
      </c>
      <c r="I27" s="126">
        <v>1.255097</v>
      </c>
      <c r="J27" s="127">
        <v>1</v>
      </c>
      <c r="K27" s="124">
        <v>31533</v>
      </c>
      <c r="L27" s="128" t="s">
        <v>103</v>
      </c>
      <c r="M27" s="101"/>
      <c r="N27" s="102"/>
    </row>
    <row r="28" ht="18" customHeight="1">
      <c r="A28" s="100" t="str">
        <f t="shared" si="1"/>
        <v>MBWAY_PAR</v>
      </c>
      <c r="B28" s="123" t="str">
        <f t="shared" si="2"/>
        <v>MBway</v>
      </c>
      <c r="C28" s="123" t="str">
        <f t="shared" si="3"/>
        <v>Paris</v>
      </c>
      <c r="D28" s="124">
        <v>1475.019227372</v>
      </c>
      <c r="E28" s="125">
        <v>0.110736</v>
      </c>
      <c r="F28" s="125">
        <v>0.021756</v>
      </c>
      <c r="G28" s="126">
        <v>0.81498244</v>
      </c>
      <c r="H28" s="126">
        <v>1.059715</v>
      </c>
      <c r="I28" s="126">
        <v>0.842823</v>
      </c>
      <c r="J28" s="127">
        <v>1</v>
      </c>
      <c r="K28" s="124">
        <v>68291</v>
      </c>
      <c r="L28" s="128" t="s">
        <v>104</v>
      </c>
      <c r="M28" s="101"/>
      <c r="N28" s="102"/>
    </row>
    <row r="29" ht="18" customHeight="1">
      <c r="A29" s="100" t="str">
        <f t="shared" si="1"/>
        <v>PIGIER_BOR</v>
      </c>
      <c r="B29" s="123" t="str">
        <f t="shared" si="2"/>
        <v>Pigier</v>
      </c>
      <c r="C29" s="123" t="str">
        <f t="shared" si="3"/>
        <v>Bordeaux</v>
      </c>
      <c r="D29" s="124">
        <v>1368.090986552</v>
      </c>
      <c r="E29" s="125">
        <v>0.087533</v>
      </c>
      <c r="F29" s="125">
        <v>0.019395</v>
      </c>
      <c r="G29" s="126">
        <v>0.878680425</v>
      </c>
      <c r="H29" s="126">
        <v>0.837668</v>
      </c>
      <c r="I29" s="126">
        <v>0.945444</v>
      </c>
      <c r="J29" s="127">
        <v>1</v>
      </c>
      <c r="K29" s="124">
        <v>21968</v>
      </c>
      <c r="L29" s="128" t="s">
        <v>105</v>
      </c>
      <c r="M29" s="101"/>
      <c r="N29" s="102"/>
    </row>
    <row r="30" ht="18" customHeight="1">
      <c r="A30" s="100" t="str">
        <f t="shared" si="1"/>
        <v>PIGIER_LYO</v>
      </c>
      <c r="B30" s="123" t="str">
        <f t="shared" si="2"/>
        <v>Pigier</v>
      </c>
      <c r="C30" s="123" t="str">
        <f t="shared" si="3"/>
        <v>Lyon</v>
      </c>
      <c r="D30" s="124">
        <v>1704.984576865</v>
      </c>
      <c r="E30" s="125">
        <v>0.085003</v>
      </c>
      <c r="F30" s="125">
        <v>0.023262</v>
      </c>
      <c r="G30" s="126">
        <v>0.705059029</v>
      </c>
      <c r="H30" s="126">
        <v>0.813456</v>
      </c>
      <c r="I30" s="126">
        <v>0.788252</v>
      </c>
      <c r="J30" s="127">
        <v>1</v>
      </c>
      <c r="K30" s="124">
        <v>36612</v>
      </c>
      <c r="L30" s="128" t="s">
        <v>106</v>
      </c>
      <c r="M30" s="101"/>
      <c r="N30" s="102"/>
    </row>
    <row r="31" ht="18" customHeight="1">
      <c r="A31" s="100" t="str">
        <f t="shared" si="1"/>
        <v>TUNON_LYO</v>
      </c>
      <c r="B31" s="123" t="str">
        <f t="shared" si="2"/>
        <v>Tunon</v>
      </c>
      <c r="C31" s="123" t="str">
        <f t="shared" si="3"/>
        <v>Lyon</v>
      </c>
      <c r="D31" s="124">
        <v>1624.676467236</v>
      </c>
      <c r="E31" s="125">
        <v>0.072555</v>
      </c>
      <c r="F31" s="125">
        <v>0.021828</v>
      </c>
      <c r="G31" s="126">
        <v>0.739910249</v>
      </c>
      <c r="H31" s="126">
        <v>0.694332</v>
      </c>
      <c r="I31" s="126">
        <v>0.840053</v>
      </c>
      <c r="J31" s="127">
        <v>1</v>
      </c>
      <c r="K31" s="124">
        <v>18850</v>
      </c>
      <c r="L31" s="128" t="s">
        <v>107</v>
      </c>
      <c r="M31" s="101"/>
      <c r="N31" s="102"/>
    </row>
    <row r="32" ht="18" customHeight="1">
      <c r="A32" s="100" t="str">
        <f t="shared" si="1"/>
        <v>TUNON_PAR</v>
      </c>
      <c r="B32" s="123" t="str">
        <f t="shared" si="2"/>
        <v>Tunon</v>
      </c>
      <c r="C32" s="123" t="str">
        <f t="shared" si="3"/>
        <v>Paris</v>
      </c>
      <c r="D32" s="124">
        <v>2192.892700999</v>
      </c>
      <c r="E32" s="125">
        <v>0.069518</v>
      </c>
      <c r="F32" s="125">
        <v>0.027841</v>
      </c>
      <c r="G32" s="126">
        <v>0.548186771</v>
      </c>
      <c r="H32" s="126">
        <v>0.665269</v>
      </c>
      <c r="I32" s="126">
        <v>0.658626</v>
      </c>
      <c r="J32" s="127">
        <v>1</v>
      </c>
      <c r="K32" s="124">
        <v>30240</v>
      </c>
      <c r="L32" s="128" t="s">
        <v>108</v>
      </c>
      <c r="M32" s="101"/>
      <c r="N32" s="102"/>
    </row>
    <row r="33" ht="15.75" customHeight="1">
      <c r="A33" s="100"/>
      <c r="B33" s="105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2"/>
    </row>
    <row r="34" ht="5.25" customHeight="1">
      <c r="A34" s="100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2"/>
    </row>
    <row r="35" ht="14.25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2"/>
    </row>
    <row r="36" ht="30" customHeight="1">
      <c r="A36" s="100"/>
      <c r="B36" s="118" t="s">
        <v>109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2"/>
    </row>
    <row r="37" ht="14.25" customHeight="1">
      <c r="A37" s="100"/>
      <c r="B37" s="105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2"/>
    </row>
    <row r="38" ht="30" customHeight="1" s="12" customFormat="1">
      <c r="A38" s="148" t="s">
        <v>71</v>
      </c>
      <c r="B38" s="149" t="s">
        <v>72</v>
      </c>
      <c r="C38" s="150" t="s">
        <v>73</v>
      </c>
      <c r="D38" s="152" t="s">
        <v>31</v>
      </c>
      <c r="E38" s="152" t="s">
        <v>60</v>
      </c>
      <c r="F38" s="152" t="s">
        <v>110</v>
      </c>
      <c r="G38" s="152" t="s">
        <v>111</v>
      </c>
      <c r="H38" s="152" t="s">
        <v>112</v>
      </c>
      <c r="I38" s="152" t="s">
        <v>113</v>
      </c>
      <c r="J38" s="152" t="s">
        <v>114</v>
      </c>
      <c r="K38" s="152" t="s">
        <v>115</v>
      </c>
      <c r="L38" s="152" t="s">
        <v>116</v>
      </c>
      <c r="M38" s="110"/>
      <c r="N38" s="111"/>
    </row>
    <row r="39" ht="18" customHeight="1">
      <c r="A39" s="100" t="str">
        <f t="shared" si="4" ref="A39:C52">A19</f>
        <v>IPAC_MTP</v>
      </c>
      <c r="B39" s="123" t="str">
        <f t="shared" si="4"/>
        <v>Ipac</v>
      </c>
      <c r="C39" s="123" t="str">
        <f t="shared" si="4"/>
        <v>Montpellier</v>
      </c>
      <c r="D39" s="130">
        <f>_xlfn.SUMIFS(Moteur!$P$1:$P$200,Moteur!$D$1:$D$200,$A39,Moteur!$B$1:$B$200,$P$1)</f>
        <v>122.132599335052</v>
      </c>
      <c r="E39" s="131">
        <f>_xlfn.SUMIFS(Moteur!$R$1:$R$200,Moteur!$D$1:$D$200,$A39,Moteur!$B$1:$B$200,$P$1)</f>
        <v>818445.730338776</v>
      </c>
      <c r="F39" s="131">
        <f t="shared" si="5" ref="F39:F55">_xlfn.IFERROR(E39/D39,0)</f>
        <v>6701.28806555157</v>
      </c>
      <c r="G39" s="132">
        <f t="shared" si="6" ref="G39:G52">_xlfn.IFERROR(E39/SUM($E$39:$E$52),0)</f>
        <v>0.0337758230170484</v>
      </c>
      <c r="H39" s="131">
        <f>_xlfn.SUMIFS(_CALC_PNL!$T$1:$T$1347,_CALC_PNL!$A$1:$A$1347,$A39,_CALC_PNL!$D$1:$D$1347,$P$1,_CALC_PNL!$C$1:$C$1347,"2027")</f>
        <v>254308.302841306</v>
      </c>
      <c r="I39" s="132">
        <f t="shared" si="7" ref="I39:I55">_xlfn.IFERROR(H39/E39,0)</f>
        <v>0.310721033068425</v>
      </c>
      <c r="J39" s="131">
        <f t="shared" si="8" ref="J39:J55">_xlfn.IFERROR(H39/D39,0)</f>
        <v>2082.23115061729</v>
      </c>
      <c r="K39" s="131">
        <f>_xlfn.SUMIFS(Pilotage!$K$19:$K$32,Pilotage!$A$19:$A$32,$A39)*_xlfn.SUMIFS(Pilotage!$J$19:$J$32,Pilotage!$A$19:$A$32,$A39)*(SUM(Pilotage!$K$19:$K$32)/SUMPRODUCT(Pilotage!$K$19:$K$32,Pilotage!$J$19:$J$32))</f>
        <v>15178</v>
      </c>
      <c r="L39" s="131">
        <f>_xlfn.SUMIFS(Pilotage!$D$19:$D$32,Pilotage!$A$19:$A$32,$A39)</f>
        <v>1033.984596561</v>
      </c>
      <c r="M39" s="101"/>
      <c r="N39" s="102"/>
    </row>
    <row r="40" ht="18" customHeight="1">
      <c r="A40" s="100" t="str">
        <f t="shared" si="4"/>
        <v>IPAC_NAN</v>
      </c>
      <c r="B40" s="123" t="str">
        <f t="shared" si="4"/>
        <v>Ipac</v>
      </c>
      <c r="C40" s="123" t="str">
        <f t="shared" si="4"/>
        <v>Nantes</v>
      </c>
      <c r="D40" s="130">
        <f>_xlfn.SUMIFS(Moteur!$P$1:$P$200,Moteur!$D$1:$D$200,$A40,Moteur!$B$1:$B$200,$P$1)</f>
        <v>151.322515436828</v>
      </c>
      <c r="E40" s="131">
        <f>_xlfn.SUMIFS(Moteur!$R$1:$R$200,Moteur!$D$1:$D$200,$A40,Moteur!$B$1:$B$200,$P$1)</f>
        <v>1067200.78915587</v>
      </c>
      <c r="F40" s="131">
        <f t="shared" si="5"/>
        <v>7052.49173313795</v>
      </c>
      <c r="G40" s="132">
        <f t="shared" si="6"/>
        <v>0.0440415089748991</v>
      </c>
      <c r="H40" s="131">
        <f>_xlfn.SUMIFS(_CALC_PNL!$T$1:$T$1347,_CALC_PNL!$A$1:$A$1347,$A40,_CALC_PNL!$D$1:$D$1347,$P$1,_CALC_PNL!$C$1:$C$1347,"2027")</f>
        <v>331184.506035514</v>
      </c>
      <c r="I40" s="132">
        <f t="shared" si="7"/>
        <v>0.310330079775778</v>
      </c>
      <c r="J40" s="131">
        <f t="shared" si="8"/>
        <v>2188.60032216271</v>
      </c>
      <c r="K40" s="131">
        <f>_xlfn.SUMIFS(Pilotage!$K$19:$K$32,Pilotage!$A$19:$A$32,$A40)*_xlfn.SUMIFS(Pilotage!$J$19:$J$32,Pilotage!$A$19:$A$32,$A40)*(SUM(Pilotage!$K$19:$K$32)/SUMPRODUCT(Pilotage!$K$19:$K$32,Pilotage!$J$19:$J$32))</f>
        <v>21760</v>
      </c>
      <c r="L40" s="131">
        <f>_xlfn.SUMIFS(Pilotage!$D$19:$D$32,Pilotage!$A$19:$A$32,$A40)</f>
        <v>1216.293131468</v>
      </c>
      <c r="M40" s="101"/>
      <c r="N40" s="102"/>
    </row>
    <row r="41" ht="18" customHeight="1">
      <c r="A41" s="100" t="str">
        <f t="shared" si="4"/>
        <v>IPAC_REN</v>
      </c>
      <c r="B41" s="123" t="str">
        <f t="shared" si="4"/>
        <v>Ipac</v>
      </c>
      <c r="C41" s="123" t="str">
        <f t="shared" si="4"/>
        <v>Rennes</v>
      </c>
      <c r="D41" s="130">
        <f>_xlfn.SUMIFS(Moteur!$P$1:$P$200,Moteur!$D$1:$D$200,$A41,Moteur!$B$1:$B$200,$P$1)</f>
        <v>122.121584369129</v>
      </c>
      <c r="E41" s="131">
        <f>_xlfn.SUMIFS(Moteur!$R$1:$R$200,Moteur!$D$1:$D$200,$A41,Moteur!$B$1:$B$200,$P$1)</f>
        <v>818371.28766602</v>
      </c>
      <c r="F41" s="131">
        <f t="shared" si="5"/>
        <v>6701.28292139072</v>
      </c>
      <c r="G41" s="132">
        <f t="shared" si="6"/>
        <v>0.0337727508982179</v>
      </c>
      <c r="H41" s="131">
        <f>_xlfn.SUMIFS(_CALC_PNL!$T$1:$T$1347,_CALC_PNL!$A$1:$A$1347,$A41,_CALC_PNL!$D$1:$D$1347,$P$1,_CALC_PNL!$C$1:$C$1347,"2027")</f>
        <v>254316.407373506</v>
      </c>
      <c r="I41" s="132">
        <f t="shared" si="7"/>
        <v>0.310759200874229</v>
      </c>
      <c r="J41" s="131">
        <f t="shared" si="8"/>
        <v>2082.4853254835</v>
      </c>
      <c r="K41" s="131">
        <f>_xlfn.SUMIFS(Pilotage!$K$19:$K$32,Pilotage!$A$19:$A$32,$A41)*_xlfn.SUMIFS(Pilotage!$J$19:$J$32,Pilotage!$A$19:$A$32,$A41)*(SUM(Pilotage!$K$19:$K$32)/SUMPRODUCT(Pilotage!$K$19:$K$32,Pilotage!$J$19:$J$32))</f>
        <v>14933</v>
      </c>
      <c r="L41" s="131">
        <f>_xlfn.SUMIFS(Pilotage!$D$19:$D$32,Pilotage!$A$19:$A$32,$A41)</f>
        <v>1040.55644762</v>
      </c>
      <c r="M41" s="101"/>
      <c r="N41" s="102"/>
    </row>
    <row r="42" ht="18" customHeight="1">
      <c r="A42" s="100" t="str">
        <f t="shared" si="4"/>
        <v>ISCOM_LIL</v>
      </c>
      <c r="B42" s="123" t="str">
        <f t="shared" si="4"/>
        <v>ISCOM</v>
      </c>
      <c r="C42" s="123" t="str">
        <f t="shared" si="4"/>
        <v>Lille</v>
      </c>
      <c r="D42" s="130">
        <f>_xlfn.SUMIFS(Moteur!$P$1:$P$200,Moteur!$D$1:$D$200,$A42,Moteur!$B$1:$B$200,$P$1)</f>
        <v>255.086631269274</v>
      </c>
      <c r="E42" s="131">
        <f>_xlfn.SUMIFS(Moteur!$R$1:$R$200,Moteur!$D$1:$D$200,$A42,Moteur!$B$1:$B$200,$P$1)</f>
        <v>1844124.53892792</v>
      </c>
      <c r="F42" s="131">
        <f t="shared" si="5"/>
        <v>7229.40488786819</v>
      </c>
      <c r="G42" s="132">
        <f t="shared" si="6"/>
        <v>0.0761037925171206</v>
      </c>
      <c r="H42" s="131">
        <f>_xlfn.SUMIFS(_CALC_PNL!$T$1:$T$1347,_CALC_PNL!$A$1:$A$1347,$A42,_CALC_PNL!$D$1:$D$1347,$P$1,_CALC_PNL!$C$1:$C$1347,"2027")</f>
        <v>602778.743616922</v>
      </c>
      <c r="I42" s="132">
        <f t="shared" si="7"/>
        <v>0.326864444831555</v>
      </c>
      <c r="J42" s="131">
        <f t="shared" si="8"/>
        <v>2363.03541513557</v>
      </c>
      <c r="K42" s="131">
        <f>_xlfn.SUMIFS(Pilotage!$K$19:$K$32,Pilotage!$A$19:$A$32,$A42)*_xlfn.SUMIFS(Pilotage!$J$19:$J$32,Pilotage!$A$19:$A$32,$A42)*(SUM(Pilotage!$K$19:$K$32)/SUMPRODUCT(Pilotage!$K$19:$K$32,Pilotage!$J$19:$J$32))</f>
        <v>25220</v>
      </c>
      <c r="L42" s="131">
        <f>_xlfn.SUMIFS(Pilotage!$D$19:$D$32,Pilotage!$A$19:$A$32,$A42)</f>
        <v>978.584610233</v>
      </c>
      <c r="M42" s="101"/>
      <c r="N42" s="102"/>
    </row>
    <row r="43" ht="18" customHeight="1">
      <c r="A43" s="100" t="str">
        <f t="shared" si="4"/>
        <v>ISCOM_PAR</v>
      </c>
      <c r="B43" s="123" t="str">
        <f t="shared" si="4"/>
        <v>ISCOM</v>
      </c>
      <c r="C43" s="123" t="str">
        <f t="shared" si="4"/>
        <v>Paris</v>
      </c>
      <c r="D43" s="130">
        <f>_xlfn.SUMIFS(Moteur!$P$1:$P$200,Moteur!$D$1:$D$200,$A43,Moteur!$B$1:$B$200,$P$1)</f>
        <v>369.35232761279</v>
      </c>
      <c r="E43" s="131">
        <f>_xlfn.SUMIFS(Moteur!$R$1:$R$200,Moteur!$D$1:$D$200,$A43,Moteur!$B$1:$B$200,$P$1)</f>
        <v>3048653.47514044</v>
      </c>
      <c r="F43" s="131">
        <f t="shared" si="5"/>
        <v>8254.05242426546</v>
      </c>
      <c r="G43" s="132">
        <f t="shared" si="6"/>
        <v>0.125812593797796</v>
      </c>
      <c r="H43" s="131">
        <f>_xlfn.SUMIFS(_CALC_PNL!$T$1:$T$1347,_CALC_PNL!$A$1:$A$1347,$A43,_CALC_PNL!$D$1:$D$1347,$P$1,_CALC_PNL!$C$1:$C$1347,"2027")</f>
        <v>985765.87121761</v>
      </c>
      <c r="I43" s="132">
        <f t="shared" si="7"/>
        <v>0.323344676348367</v>
      </c>
      <c r="J43" s="131">
        <f t="shared" si="8"/>
        <v>2668.90390968657</v>
      </c>
      <c r="K43" s="131">
        <f>_xlfn.SUMIFS(Pilotage!$K$19:$K$32,Pilotage!$A$19:$A$32,$A43)*_xlfn.SUMIFS(Pilotage!$J$19:$J$32,Pilotage!$A$19:$A$32,$A43)*(SUM(Pilotage!$K$19:$K$32)/SUMPRODUCT(Pilotage!$K$19:$K$32,Pilotage!$J$19:$J$32))</f>
        <v>60800</v>
      </c>
      <c r="L43" s="131">
        <f>_xlfn.SUMIFS(Pilotage!$D$19:$D$32,Pilotage!$A$19:$A$32,$A43)</f>
        <v>1540.324974131</v>
      </c>
      <c r="M43" s="101"/>
      <c r="N43" s="102"/>
    </row>
    <row r="44" ht="18" customHeight="1">
      <c r="A44" s="100" t="str">
        <f t="shared" si="4"/>
        <v>ISCOM_TLS</v>
      </c>
      <c r="B44" s="123" t="str">
        <f t="shared" si="4"/>
        <v>ISCOM</v>
      </c>
      <c r="C44" s="123" t="str">
        <f t="shared" si="4"/>
        <v>Toulouse</v>
      </c>
      <c r="D44" s="130">
        <f>_xlfn.SUMIFS(Moteur!$P$1:$P$200,Moteur!$D$1:$D$200,$A44,Moteur!$B$1:$B$200,$P$1)</f>
        <v>241.481346575261</v>
      </c>
      <c r="E44" s="131">
        <f>_xlfn.SUMIFS(Moteur!$R$1:$R$200,Moteur!$D$1:$D$200,$A44,Moteur!$B$1:$B$200,$P$1)</f>
        <v>1709754.84945212</v>
      </c>
      <c r="F44" s="131">
        <f t="shared" si="5"/>
        <v>7080.27710504443</v>
      </c>
      <c r="G44" s="132">
        <f t="shared" si="6"/>
        <v>0.0705585905784267</v>
      </c>
      <c r="H44" s="131">
        <f>_xlfn.SUMIFS(_CALC_PNL!$T$1:$T$1347,_CALC_PNL!$A$1:$A$1347,$A44,_CALC_PNL!$D$1:$D$1347,$P$1,_CALC_PNL!$C$1:$C$1347,"2027")</f>
        <v>560009.027811348</v>
      </c>
      <c r="I44" s="132">
        <f t="shared" si="7"/>
        <v>0.327537616279199</v>
      </c>
      <c r="J44" s="131">
        <f t="shared" si="8"/>
        <v>2319.05708558244</v>
      </c>
      <c r="K44" s="131">
        <f>_xlfn.SUMIFS(Pilotage!$K$19:$K$32,Pilotage!$A$19:$A$32,$A44)*_xlfn.SUMIFS(Pilotage!$J$19:$J$32,Pilotage!$A$19:$A$32,$A44)*(SUM(Pilotage!$K$19:$K$32)/SUMPRODUCT(Pilotage!$K$19:$K$32,Pilotage!$J$19:$J$32))</f>
        <v>22083</v>
      </c>
      <c r="L44" s="131">
        <f>_xlfn.SUMIFS(Pilotage!$D$19:$D$32,Pilotage!$A$19:$A$32,$A44)</f>
        <v>919.034769557</v>
      </c>
      <c r="M44" s="101"/>
      <c r="N44" s="102"/>
    </row>
    <row r="45" ht="18" customHeight="1">
      <c r="A45" s="100" t="str">
        <f t="shared" si="4"/>
        <v>MBWAY_BOR</v>
      </c>
      <c r="B45" s="123" t="str">
        <f t="shared" si="4"/>
        <v>MBway</v>
      </c>
      <c r="C45" s="123" t="str">
        <f t="shared" si="4"/>
        <v>Bordeaux</v>
      </c>
      <c r="D45" s="130">
        <f>_xlfn.SUMIFS(Moteur!$P$1:$P$200,Moteur!$D$1:$D$200,$A45,Moteur!$B$1:$B$200,$P$1)</f>
        <v>260.411792839838</v>
      </c>
      <c r="E45" s="131">
        <f>_xlfn.SUMIFS(Moteur!$R$1:$R$200,Moteur!$D$1:$D$200,$A45,Moteur!$B$1:$B$200,$P$1)</f>
        <v>1863775.68910853</v>
      </c>
      <c r="F45" s="131">
        <f t="shared" si="5"/>
        <v>7157.03259358463</v>
      </c>
      <c r="G45" s="132">
        <f t="shared" si="6"/>
        <v>0.0769147610957056</v>
      </c>
      <c r="H45" s="131">
        <f>_xlfn.SUMIFS(_CALC_PNL!$T$1:$T$1347,_CALC_PNL!$A$1:$A$1347,$A45,_CALC_PNL!$D$1:$D$1347,$P$1,_CALC_PNL!$C$1:$C$1347,"2027")</f>
        <v>625402.30417805</v>
      </c>
      <c r="I45" s="132">
        <f t="shared" si="7"/>
        <v>0.335556637975672</v>
      </c>
      <c r="J45" s="131">
        <f t="shared" si="8"/>
        <v>2401.58979498557</v>
      </c>
      <c r="K45" s="131">
        <f>_xlfn.SUMIFS(Pilotage!$K$19:$K$32,Pilotage!$A$19:$A$32,$A45)*_xlfn.SUMIFS(Pilotage!$J$19:$J$32,Pilotage!$A$19:$A$32,$A45)*(SUM(Pilotage!$K$19:$K$32)/SUMPRODUCT(Pilotage!$K$19:$K$32,Pilotage!$J$19:$J$32))</f>
        <v>24923</v>
      </c>
      <c r="L45" s="131">
        <f>_xlfn.SUMIFS(Pilotage!$D$19:$D$32,Pilotage!$A$19:$A$32,$A45)</f>
        <v>889.593289348</v>
      </c>
      <c r="M45" s="101"/>
      <c r="N45" s="102"/>
    </row>
    <row r="46" ht="18" customHeight="1">
      <c r="A46" s="100" t="str">
        <f t="shared" si="4"/>
        <v>MBWAY_LYO</v>
      </c>
      <c r="B46" s="123" t="str">
        <f t="shared" si="4"/>
        <v>MBway</v>
      </c>
      <c r="C46" s="123" t="str">
        <f t="shared" si="4"/>
        <v>Lyon</v>
      </c>
      <c r="D46" s="130">
        <f>_xlfn.SUMIFS(Moteur!$P$1:$P$200,Moteur!$D$1:$D$200,$A46,Moteur!$B$1:$B$200,$P$1)</f>
        <v>338.498237721025</v>
      </c>
      <c r="E46" s="131">
        <f>_xlfn.SUMIFS(Moteur!$R$1:$R$200,Moteur!$D$1:$D$200,$A46,Moteur!$B$1:$B$200,$P$1)</f>
        <v>2620797.34108947</v>
      </c>
      <c r="F46" s="131">
        <f t="shared" si="5"/>
        <v>7742.42536308095</v>
      </c>
      <c r="G46" s="132">
        <f t="shared" si="6"/>
        <v>0.108155719890613</v>
      </c>
      <c r="H46" s="131">
        <f>_xlfn.SUMIFS(_CALC_PNL!$T$1:$T$1347,_CALC_PNL!$A$1:$A$1347,$A46,_CALC_PNL!$D$1:$D$1347,$P$1,_CALC_PNL!$C$1:$C$1347,"2027")</f>
        <v>876442.714707538</v>
      </c>
      <c r="I46" s="132">
        <f t="shared" si="7"/>
        <v>0.334418347029915</v>
      </c>
      <c r="J46" s="131">
        <f t="shared" si="8"/>
        <v>2589.20909192403</v>
      </c>
      <c r="K46" s="131">
        <f>_xlfn.SUMIFS(Pilotage!$K$19:$K$32,Pilotage!$A$19:$A$32,$A46)*_xlfn.SUMIFS(Pilotage!$J$19:$J$32,Pilotage!$A$19:$A$32,$A46)*(SUM(Pilotage!$K$19:$K$32)/SUMPRODUCT(Pilotage!$K$19:$K$32,Pilotage!$J$19:$J$32))</f>
        <v>41783</v>
      </c>
      <c r="L46" s="131">
        <f>_xlfn.SUMIFS(Pilotage!$D$19:$D$32,Pilotage!$A$19:$A$32,$A46)</f>
        <v>1101.604798491</v>
      </c>
      <c r="M46" s="101"/>
      <c r="N46" s="102"/>
    </row>
    <row r="47" ht="18" customHeight="1">
      <c r="A47" s="100" t="str">
        <f t="shared" si="4"/>
        <v>MBWAY_NAN</v>
      </c>
      <c r="B47" s="123" t="str">
        <f t="shared" si="4"/>
        <v>MBway</v>
      </c>
      <c r="C47" s="123" t="str">
        <f t="shared" si="4"/>
        <v>Nantes</v>
      </c>
      <c r="D47" s="130">
        <f>_xlfn.SUMIFS(Moteur!$P$1:$P$200,Moteur!$D$1:$D$200,$A47,Moteur!$B$1:$B$200,$P$1)</f>
        <v>307.342978729793</v>
      </c>
      <c r="E47" s="131">
        <f>_xlfn.SUMIFS(Moteur!$R$1:$R$200,Moteur!$D$1:$D$200,$A47,Moteur!$B$1:$B$200,$P$1)</f>
        <v>2267018.63368329</v>
      </c>
      <c r="F47" s="131">
        <f t="shared" si="5"/>
        <v>7376.1848832616</v>
      </c>
      <c r="G47" s="132">
        <f t="shared" si="6"/>
        <v>0.0935558917461067</v>
      </c>
      <c r="H47" s="131">
        <f>_xlfn.SUMIFS(_CALC_PNL!$T$1:$T$1347,_CALC_PNL!$A$1:$A$1347,$A47,_CALC_PNL!$D$1:$D$1347,$P$1,_CALC_PNL!$C$1:$C$1347,"2027")</f>
        <v>763702.732969046</v>
      </c>
      <c r="I47" s="132">
        <f t="shared" si="7"/>
        <v>0.336875366449122</v>
      </c>
      <c r="J47" s="131">
        <f t="shared" si="8"/>
        <v>2484.85498554522</v>
      </c>
      <c r="K47" s="131">
        <f>_xlfn.SUMIFS(Pilotage!$K$19:$K$32,Pilotage!$A$19:$A$32,$A47)*_xlfn.SUMIFS(Pilotage!$J$19:$J$32,Pilotage!$A$19:$A$32,$A47)*(SUM(Pilotage!$K$19:$K$32)/SUMPRODUCT(Pilotage!$K$19:$K$32,Pilotage!$J$19:$J$32))</f>
        <v>31533</v>
      </c>
      <c r="L47" s="131">
        <f>_xlfn.SUMIFS(Pilotage!$D$19:$D$32,Pilotage!$A$19:$A$32,$A47)</f>
        <v>963.576871485</v>
      </c>
      <c r="M47" s="101"/>
      <c r="N47" s="102"/>
    </row>
    <row r="48" ht="18" customHeight="1">
      <c r="A48" s="100" t="str">
        <f t="shared" si="4"/>
        <v>MBWAY_PAR</v>
      </c>
      <c r="B48" s="123" t="str">
        <f t="shared" si="4"/>
        <v>MBway</v>
      </c>
      <c r="C48" s="123" t="str">
        <f t="shared" si="4"/>
        <v>Paris</v>
      </c>
      <c r="D48" s="130">
        <f>_xlfn.SUMIFS(Moteur!$P$1:$P$200,Moteur!$D$1:$D$200,$A48,Moteur!$B$1:$B$200,$P$1)</f>
        <v>398.782451854044</v>
      </c>
      <c r="E48" s="131">
        <f>_xlfn.SUMIFS(Moteur!$R$1:$R$200,Moteur!$D$1:$D$200,$A48,Moteur!$B$1:$B$200,$P$1)</f>
        <v>3292150.80429474</v>
      </c>
      <c r="F48" s="131">
        <f t="shared" si="5"/>
        <v>8255.50569988391</v>
      </c>
      <c r="G48" s="132">
        <f t="shared" si="6"/>
        <v>0.135861302453452</v>
      </c>
      <c r="H48" s="131">
        <f>_xlfn.SUMIFS(_CALC_PNL!$T$1:$T$1347,_CALC_PNL!$A$1:$A$1347,$A48,_CALC_PNL!$D$1:$D$1347,$P$1,_CALC_PNL!$C$1:$C$1347,"2027")</f>
        <v>1096393.82093103</v>
      </c>
      <c r="I48" s="132">
        <f t="shared" si="7"/>
        <v>0.33303268474237</v>
      </c>
      <c r="J48" s="131">
        <f t="shared" si="8"/>
        <v>2749.35322713828</v>
      </c>
      <c r="K48" s="131">
        <f>_xlfn.SUMIFS(Pilotage!$K$19:$K$32,Pilotage!$A$19:$A$32,$A48)*_xlfn.SUMIFS(Pilotage!$J$19:$J$32,Pilotage!$A$19:$A$32,$A48)*(SUM(Pilotage!$K$19:$K$32)/SUMPRODUCT(Pilotage!$K$19:$K$32,Pilotage!$J$19:$J$32))</f>
        <v>68291</v>
      </c>
      <c r="L48" s="131">
        <f>_xlfn.SUMIFS(Pilotage!$D$19:$D$32,Pilotage!$A$19:$A$32,$A48)</f>
        <v>1475.019227372</v>
      </c>
      <c r="M48" s="101"/>
      <c r="N48" s="102"/>
    </row>
    <row r="49" ht="18" customHeight="1">
      <c r="A49" s="100" t="str">
        <f t="shared" si="4"/>
        <v>PIGIER_BOR</v>
      </c>
      <c r="B49" s="123" t="str">
        <f t="shared" si="4"/>
        <v>Pigier</v>
      </c>
      <c r="C49" s="123" t="str">
        <f t="shared" si="4"/>
        <v>Bordeaux</v>
      </c>
      <c r="D49" s="130">
        <f>_xlfn.SUMIFS(Moteur!$P$1:$P$200,Moteur!$D$1:$D$200,$A49,Moteur!$B$1:$B$200,$P$1)</f>
        <v>184.71663000511</v>
      </c>
      <c r="E49" s="131">
        <f>_xlfn.SUMIFS(Moteur!$R$1:$R$200,Moteur!$D$1:$D$200,$A49,Moteur!$B$1:$B$200,$P$1)</f>
        <v>1191512.54040112</v>
      </c>
      <c r="F49" s="131">
        <f t="shared" si="5"/>
        <v>6450.48873167596</v>
      </c>
      <c r="G49" s="132">
        <f t="shared" si="6"/>
        <v>0.0491716374041365</v>
      </c>
      <c r="H49" s="131">
        <f>_xlfn.SUMIFS(_CALC_PNL!$T$1:$T$1347,_CALC_PNL!$A$1:$A$1347,$A49,_CALC_PNL!$D$1:$D$1347,$P$1,_CALC_PNL!$C$1:$C$1347,"2027")</f>
        <v>455099.196353946</v>
      </c>
      <c r="I49" s="132">
        <f t="shared" si="7"/>
        <v>0.381950823782969</v>
      </c>
      <c r="J49" s="131">
        <f t="shared" si="8"/>
        <v>2463.76948486639</v>
      </c>
      <c r="K49" s="131">
        <f>_xlfn.SUMIFS(Pilotage!$K$19:$K$32,Pilotage!$A$19:$A$32,$A49)*_xlfn.SUMIFS(Pilotage!$J$19:$J$32,Pilotage!$A$19:$A$32,$A49)*(SUM(Pilotage!$K$19:$K$32)/SUMPRODUCT(Pilotage!$K$19:$K$32,Pilotage!$J$19:$J$32))</f>
        <v>21968</v>
      </c>
      <c r="L49" s="131">
        <f>_xlfn.SUMIFS(Pilotage!$D$19:$D$32,Pilotage!$A$19:$A$32,$A49)</f>
        <v>1368.090986552</v>
      </c>
      <c r="M49" s="101"/>
      <c r="N49" s="102"/>
    </row>
    <row r="50" ht="18" customHeight="1">
      <c r="A50" s="100" t="str">
        <f t="shared" si="4"/>
        <v>PIGIER_LYO</v>
      </c>
      <c r="B50" s="123" t="str">
        <f t="shared" si="4"/>
        <v>Pigier</v>
      </c>
      <c r="C50" s="123" t="str">
        <f t="shared" si="4"/>
        <v>Lyon</v>
      </c>
      <c r="D50" s="130">
        <f>_xlfn.SUMIFS(Moteur!$P$1:$P$200,Moteur!$D$1:$D$200,$A50,Moteur!$B$1:$B$200,$P$1)</f>
        <v>236.947510047407</v>
      </c>
      <c r="E50" s="131">
        <f>_xlfn.SUMIFS(Moteur!$R$1:$R$200,Moteur!$D$1:$D$200,$A50,Moteur!$B$1:$B$200,$P$1)</f>
        <v>1653869.91151819</v>
      </c>
      <c r="F50" s="131">
        <f t="shared" si="5"/>
        <v>6979.89994149883</v>
      </c>
      <c r="G50" s="132">
        <f t="shared" si="6"/>
        <v>0.0682523169881254</v>
      </c>
      <c r="H50" s="131">
        <f>_xlfn.SUMIFS(_CALC_PNL!$T$1:$T$1347,_CALC_PNL!$A$1:$A$1347,$A50,_CALC_PNL!$D$1:$D$1347,$P$1,_CALC_PNL!$C$1:$C$1347,"2027")</f>
        <v>626670.521170746</v>
      </c>
      <c r="I50" s="132">
        <f t="shared" si="7"/>
        <v>0.378911616207762</v>
      </c>
      <c r="J50" s="131">
        <f t="shared" si="8"/>
        <v>2644.76516780179</v>
      </c>
      <c r="K50" s="131">
        <f>_xlfn.SUMIFS(Pilotage!$K$19:$K$32,Pilotage!$A$19:$A$32,$A50)*_xlfn.SUMIFS(Pilotage!$J$19:$J$32,Pilotage!$A$19:$A$32,$A50)*(SUM(Pilotage!$K$19:$K$32)/SUMPRODUCT(Pilotage!$K$19:$K$32,Pilotage!$J$19:$J$32))</f>
        <v>36612</v>
      </c>
      <c r="L50" s="131">
        <f>_xlfn.SUMIFS(Pilotage!$D$19:$D$32,Pilotage!$A$19:$A$32,$A50)</f>
        <v>1704.984576865</v>
      </c>
      <c r="M50" s="101"/>
      <c r="N50" s="102"/>
    </row>
    <row r="51" ht="18" customHeight="1">
      <c r="A51" s="100" t="str">
        <f t="shared" si="4"/>
        <v>TUNON_LYO</v>
      </c>
      <c r="B51" s="123" t="str">
        <f t="shared" si="4"/>
        <v>Tunon</v>
      </c>
      <c r="C51" s="123" t="str">
        <f t="shared" si="4"/>
        <v>Lyon</v>
      </c>
      <c r="D51" s="130">
        <f>_xlfn.SUMIFS(Moteur!$P$1:$P$200,Moteur!$D$1:$D$200,$A51,Moteur!$B$1:$B$200,$P$1)</f>
        <v>121.859893367708</v>
      </c>
      <c r="E51" s="131">
        <f>_xlfn.SUMIFS(Moteur!$R$1:$R$200,Moteur!$D$1:$D$200,$A51,Moteur!$B$1:$B$200,$P$1)</f>
        <v>902399.372465497</v>
      </c>
      <c r="F51" s="131">
        <f t="shared" si="5"/>
        <v>7405.22043411394</v>
      </c>
      <c r="G51" s="132">
        <f t="shared" si="6"/>
        <v>0.0372404429093595</v>
      </c>
      <c r="H51" s="131">
        <f>_xlfn.SUMIFS(_CALC_PNL!$T$1:$T$1347,_CALC_PNL!$A$1:$A$1347,$A51,_CALC_PNL!$D$1:$D$1347,$P$1,_CALC_PNL!$C$1:$C$1347,"2027")</f>
        <v>178759.187979483</v>
      </c>
      <c r="I51" s="132">
        <f t="shared" si="7"/>
        <v>0.198093209541009</v>
      </c>
      <c r="J51" s="131">
        <f t="shared" si="8"/>
        <v>1466.9238831523</v>
      </c>
      <c r="K51" s="131">
        <f>_xlfn.SUMIFS(Pilotage!$K$19:$K$32,Pilotage!$A$19:$A$32,$A51)*_xlfn.SUMIFS(Pilotage!$J$19:$J$32,Pilotage!$A$19:$A$32,$A51)*(SUM(Pilotage!$K$19:$K$32)/SUMPRODUCT(Pilotage!$K$19:$K$32,Pilotage!$J$19:$J$32))</f>
        <v>18850</v>
      </c>
      <c r="L51" s="131">
        <f>_xlfn.SUMIFS(Pilotage!$D$19:$D$32,Pilotage!$A$19:$A$32,$A51)</f>
        <v>1624.676467236</v>
      </c>
      <c r="M51" s="101"/>
      <c r="N51" s="102"/>
    </row>
    <row r="52" ht="18" customHeight="1">
      <c r="A52" s="100" t="str">
        <f t="shared" si="4"/>
        <v>TUNON_PAR</v>
      </c>
      <c r="B52" s="123" t="str">
        <f t="shared" si="4"/>
        <v>Tunon</v>
      </c>
      <c r="C52" s="123" t="str">
        <f t="shared" si="4"/>
        <v>Paris</v>
      </c>
      <c r="D52" s="130">
        <f>_xlfn.SUMIFS(Moteur!$P$1:$P$200,Moteur!$D$1:$D$200,$A52,Moteur!$B$1:$B$200,$P$1)</f>
        <v>143.560308356498</v>
      </c>
      <c r="E52" s="131">
        <f>_xlfn.SUMIFS(Moteur!$R$1:$R$200,Moteur!$D$1:$D$200,$A52,Moteur!$B$1:$B$200,$P$1)</f>
        <v>1133628.58179564</v>
      </c>
      <c r="F52" s="131">
        <f t="shared" si="5"/>
        <v>7896.53209005753</v>
      </c>
      <c r="G52" s="132">
        <f t="shared" si="6"/>
        <v>0.0467828677289919</v>
      </c>
      <c r="H52" s="131">
        <f>_xlfn.SUMIFS(_CALC_PNL!$T$1:$T$1347,_CALC_PNL!$A$1:$A$1347,$A52,_CALC_PNL!$D$1:$D$1347,$P$1,_CALC_PNL!$C$1:$C$1347,"2027")</f>
        <v>220510.283559228</v>
      </c>
      <c r="I52" s="132">
        <f t="shared" si="7"/>
        <v>0.194517222924942</v>
      </c>
      <c r="J52" s="131">
        <f t="shared" si="8"/>
        <v>1536.01149289568</v>
      </c>
      <c r="K52" s="131">
        <f>_xlfn.SUMIFS(Pilotage!$K$19:$K$32,Pilotage!$A$19:$A$32,$A52)*_xlfn.SUMIFS(Pilotage!$J$19:$J$32,Pilotage!$A$19:$A$32,$A52)*(SUM(Pilotage!$K$19:$K$32)/SUMPRODUCT(Pilotage!$K$19:$K$32,Pilotage!$J$19:$J$32))</f>
        <v>30240</v>
      </c>
      <c r="L52" s="131">
        <f>_xlfn.SUMIFS(Pilotage!$D$19:$D$32,Pilotage!$A$19:$A$32,$A52)</f>
        <v>2192.892700999</v>
      </c>
      <c r="M52" s="101"/>
      <c r="N52" s="102"/>
    </row>
    <row r="53" ht="20.25" customHeight="1">
      <c r="A53" s="100" t="s">
        <v>117</v>
      </c>
      <c r="B53" s="133" t="s">
        <v>117</v>
      </c>
      <c r="C53" s="134"/>
      <c r="D53" s="135">
        <f t="shared" si="9" ref="D53:K53">SUM(D39:D52)</f>
        <v>3253.61680751976</v>
      </c>
      <c r="E53" s="136">
        <f t="shared" si="9"/>
        <v>24231703.5450376</v>
      </c>
      <c r="F53" s="136">
        <f t="shared" si="5"/>
        <v>7447.62059534278</v>
      </c>
      <c r="G53" s="137">
        <f t="shared" si="9"/>
        <v>1</v>
      </c>
      <c r="H53" s="136">
        <f t="shared" si="9"/>
        <v>7831343.62074527</v>
      </c>
      <c r="I53" s="137">
        <f t="shared" si="7"/>
        <v>0.323185846434187</v>
      </c>
      <c r="J53" s="136">
        <f t="shared" si="8"/>
        <v>2406.96556602654</v>
      </c>
      <c r="K53" s="136">
        <f t="shared" si="9"/>
        <v>434174</v>
      </c>
      <c r="L53" s="136"/>
      <c r="M53" s="101"/>
      <c r="N53" s="102"/>
    </row>
    <row r="54" ht="18" customHeight="1">
      <c r="A54" s="100" t="s">
        <v>118</v>
      </c>
      <c r="B54" s="138" t="s">
        <v>118</v>
      </c>
      <c r="C54" s="123"/>
      <c r="D54" s="130"/>
      <c r="E54" s="131"/>
      <c r="F54" s="131"/>
      <c r="G54" s="132"/>
      <c r="H54" s="131">
        <f>_xlfn.SUMIFS(_CALC_PNL!$T$1:$T$1347,_CALC_PNL!$A$1:$A$1347,"GRP",_CALC_PNL!$D$1:$D$1347,$P$1,_CALC_PNL!$C$1:$C$1347,"2027")</f>
        <v>-3719839.98142</v>
      </c>
      <c r="I54" s="132"/>
      <c r="J54" s="131"/>
      <c r="K54" s="131"/>
      <c r="L54" s="131"/>
      <c r="M54" s="101"/>
      <c r="N54" s="102"/>
    </row>
    <row r="55" ht="24" customHeight="1">
      <c r="A55" s="153" t="s">
        <v>119</v>
      </c>
      <c r="B55" s="154" t="s">
        <v>119</v>
      </c>
      <c r="C55" s="155"/>
      <c r="D55" s="156">
        <f t="shared" si="10" ref="D55:E55">D53</f>
        <v>3253.61680751976</v>
      </c>
      <c r="E55" s="157">
        <f t="shared" si="10"/>
        <v>24231703.5450376</v>
      </c>
      <c r="F55" s="157">
        <f t="shared" si="5"/>
        <v>7447.62059534278</v>
      </c>
      <c r="G55" s="158">
        <f t="shared" si="11" ref="G55:K55">SUM(G39:G52)</f>
        <v>1</v>
      </c>
      <c r="H55" s="159">
        <f>H53+H54</f>
        <v>4111503.63932527</v>
      </c>
      <c r="I55" s="158">
        <f t="shared" si="7"/>
        <v>0.169674560093703</v>
      </c>
      <c r="J55" s="157">
        <f t="shared" si="8"/>
        <v>1263.67174825959</v>
      </c>
      <c r="K55" s="157">
        <f t="shared" si="11"/>
        <v>434174</v>
      </c>
      <c r="L55" s="157"/>
      <c r="M55" s="101"/>
      <c r="N55" s="102"/>
    </row>
    <row r="56" ht="14.25" customHeight="1">
      <c r="A56" s="100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2"/>
    </row>
    <row r="57" ht="15.75" customHeight="1">
      <c r="A57" s="100"/>
      <c r="B57" s="105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2"/>
    </row>
    <row r="58" ht="14.25" customHeight="1">
      <c r="A58" s="10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2"/>
    </row>
    <row r="59" ht="14.25" customHeight="1">
      <c r="A59" s="100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2"/>
    </row>
    <row r="60" ht="14.25" customHeight="1">
      <c r="A60" s="145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</row>
  </sheetData>
  <sheetProtection sheet="1" sort="1" autoFilter="0" objects="1"/>
  <conditionalFormatting sqref="D19:D32">
    <cfRule type="colorScale" priority="1">
      <colorScale>
        <cfvo type="min"/>
        <cfvo type="percentile" val="50"/>
        <cfvo type="max"/>
        <color rgb="FFDCEBC0"/>
        <color rgb="FFF7F7F5"/>
        <color rgb="FFF6C9CC"/>
      </colorScale>
    </cfRule>
  </conditionalFormatting>
  <conditionalFormatting sqref="I39:I52">
    <cfRule type="colorScale" priority="2">
      <colorScale>
        <cfvo type="min"/>
        <cfvo type="percentile" val="50"/>
        <cfvo type="max"/>
        <color rgb="FFF6C9CC"/>
        <color rgb="FFF7F7F5"/>
        <color rgb="FFDCEBC0"/>
      </colorScale>
    </cfRule>
  </conditionalFormatting>
  <conditionalFormatting sqref="J39:J52">
    <cfRule type="colorScale" priority="3">
      <colorScale>
        <cfvo type="min"/>
        <cfvo type="percentile" val="50"/>
        <cfvo type="max"/>
        <color rgb="FFF6C9CC"/>
        <color rgb="FFF7F7F5"/>
        <color rgb="FFDCEBC0"/>
      </colorScale>
    </cfRule>
  </conditionalFormatting>
  <dataValidations count="1">
    <dataValidation allowBlank="1" showErrorMessage="1" showInputMessage="1" sqref="E6" type="list">
      <formula1>"Cadrage,Optimiste,Prudent"</formula1>
    </dataValidation>
  </dataValidations>
  <hyperlinks>
    <hyperlink ref="B16" tooltip="Open Form (TESTHYP)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5CACD8-B654-2388-C5B8-A1684C011D58}" mc:Ignorable="x14ac xr xr2 xr3">
  <dimension ref="A1:AD281"/>
  <sheetViews>
    <sheetView showRowColHeaders="0"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120</v>
      </c>
      <c r="B1" s="11" t="s">
        <v>121</v>
      </c>
      <c r="C1" s="11" t="s">
        <v>122</v>
      </c>
      <c r="D1" s="11" t="s">
        <v>123</v>
      </c>
      <c r="E1" s="11" t="s">
        <v>124</v>
      </c>
      <c r="F1" s="11" t="s">
        <v>125</v>
      </c>
      <c r="G1" s="11" t="s">
        <v>25</v>
      </c>
      <c r="H1" s="11" t="s">
        <v>126</v>
      </c>
      <c r="I1" s="11" t="s">
        <v>127</v>
      </c>
      <c r="J1" s="11" t="s">
        <v>128</v>
      </c>
      <c r="K1" s="11" t="s">
        <v>129</v>
      </c>
      <c r="L1" s="11" t="s">
        <v>130</v>
      </c>
      <c r="M1" s="11" t="s">
        <v>131</v>
      </c>
      <c r="N1" s="11" t="s">
        <v>132</v>
      </c>
      <c r="O1" s="11" t="s">
        <v>133</v>
      </c>
      <c r="P1" s="11" t="s">
        <v>134</v>
      </c>
      <c r="Q1" s="11" t="s">
        <v>135</v>
      </c>
      <c r="R1" s="11" t="s">
        <v>136</v>
      </c>
      <c r="S1" s="11" t="s">
        <v>137</v>
      </c>
      <c r="T1" s="11" t="s">
        <v>138</v>
      </c>
      <c r="U1" s="11" t="s">
        <v>139</v>
      </c>
      <c r="V1" s="11" t="s">
        <v>140</v>
      </c>
      <c r="W1" s="11" t="s">
        <v>141</v>
      </c>
      <c r="X1" s="11" t="s">
        <v>142</v>
      </c>
      <c r="Y1" s="11" t="s">
        <v>143</v>
      </c>
      <c r="Z1" s="11" t="s">
        <v>144</v>
      </c>
      <c r="AA1" s="11" t="s">
        <v>145</v>
      </c>
      <c r="AB1" s="11" t="s">
        <v>146</v>
      </c>
      <c r="AC1" s="11" t="s">
        <v>26</v>
      </c>
    </row>
    <row r="2" ht="14.25" customHeight="1">
      <c r="A2" t="s">
        <v>147</v>
      </c>
      <c r="B2" t="s">
        <v>148</v>
      </c>
      <c r="C2" t="s">
        <v>86</v>
      </c>
      <c r="D2" t="s">
        <v>149</v>
      </c>
      <c r="E2" t="s">
        <v>150</v>
      </c>
      <c r="F2" t="s">
        <v>151</v>
      </c>
      <c r="G2" t="s">
        <v>152</v>
      </c>
      <c r="H2">
        <v>680</v>
      </c>
      <c r="I2">
        <v>136</v>
      </c>
      <c r="J2">
        <v>95</v>
      </c>
      <c r="K2">
        <v>40</v>
      </c>
      <c r="L2">
        <v>0</v>
      </c>
      <c r="M2">
        <v>40</v>
      </c>
      <c r="N2">
        <v>0</v>
      </c>
      <c r="O2">
        <v>2</v>
      </c>
      <c r="P2">
        <v>6650</v>
      </c>
      <c r="Q2">
        <v>90</v>
      </c>
      <c r="R2">
        <v>258</v>
      </c>
      <c r="S2">
        <v>422</v>
      </c>
      <c r="T2">
        <v>15178</v>
      </c>
      <c r="U2">
        <v>23514</v>
      </c>
      <c r="V2">
        <v>0</v>
      </c>
      <c r="W2">
        <v>0.2</v>
      </c>
      <c r="X2">
        <v>0.698529412</v>
      </c>
      <c r="Y2">
        <v>0.421052632</v>
      </c>
      <c r="Z2">
        <v>680</v>
      </c>
      <c r="AA2">
        <v>0.379411765</v>
      </c>
      <c r="AB2">
        <v>35.966824645</v>
      </c>
      <c r="AC2">
        <v>269600</v>
      </c>
    </row>
    <row r="3" ht="14.25" customHeight="1">
      <c r="A3" t="s">
        <v>147</v>
      </c>
      <c r="B3" t="s">
        <v>148</v>
      </c>
      <c r="C3" t="s">
        <v>86</v>
      </c>
      <c r="D3" t="s">
        <v>149</v>
      </c>
      <c r="E3" t="s">
        <v>153</v>
      </c>
      <c r="F3" t="s">
        <v>151</v>
      </c>
      <c r="G3" t="s">
        <v>152</v>
      </c>
      <c r="H3">
        <v>0</v>
      </c>
      <c r="I3">
        <v>0</v>
      </c>
      <c r="J3">
        <v>0</v>
      </c>
      <c r="K3">
        <v>0</v>
      </c>
      <c r="L3">
        <v>39</v>
      </c>
      <c r="M3">
        <v>39</v>
      </c>
      <c r="N3">
        <v>40</v>
      </c>
      <c r="O3">
        <v>2</v>
      </c>
      <c r="P3">
        <v>6650</v>
      </c>
      <c r="Q3">
        <v>90</v>
      </c>
      <c r="R3">
        <v>0</v>
      </c>
      <c r="S3">
        <v>0</v>
      </c>
      <c r="T3">
        <v>0</v>
      </c>
      <c r="U3">
        <v>0</v>
      </c>
      <c r="V3">
        <v>0.975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259350</v>
      </c>
    </row>
    <row r="4" ht="14.25" customHeight="1">
      <c r="A4" t="s">
        <v>147</v>
      </c>
      <c r="B4" t="s">
        <v>148</v>
      </c>
      <c r="C4" t="s">
        <v>86</v>
      </c>
      <c r="D4" t="s">
        <v>149</v>
      </c>
      <c r="E4" t="s">
        <v>154</v>
      </c>
      <c r="F4" t="s">
        <v>151</v>
      </c>
      <c r="G4" t="s">
        <v>152</v>
      </c>
      <c r="H4">
        <v>0</v>
      </c>
      <c r="I4">
        <v>0</v>
      </c>
      <c r="J4">
        <v>0</v>
      </c>
      <c r="K4">
        <v>0</v>
      </c>
      <c r="L4">
        <v>38</v>
      </c>
      <c r="M4">
        <v>38</v>
      </c>
      <c r="N4">
        <v>39</v>
      </c>
      <c r="O4">
        <v>2</v>
      </c>
      <c r="P4">
        <v>6650</v>
      </c>
      <c r="Q4">
        <v>90</v>
      </c>
      <c r="R4">
        <v>0</v>
      </c>
      <c r="S4">
        <v>0</v>
      </c>
      <c r="T4">
        <v>0</v>
      </c>
      <c r="U4">
        <v>0</v>
      </c>
      <c r="V4">
        <v>0.974358974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252700</v>
      </c>
    </row>
    <row r="5" ht="14.25" customHeight="1">
      <c r="A5" t="s">
        <v>147</v>
      </c>
      <c r="B5" t="s">
        <v>148</v>
      </c>
      <c r="C5" t="s">
        <v>86</v>
      </c>
      <c r="D5" t="s">
        <v>149</v>
      </c>
      <c r="E5" t="s">
        <v>150</v>
      </c>
      <c r="F5" t="s">
        <v>151</v>
      </c>
      <c r="G5" t="s">
        <v>155</v>
      </c>
      <c r="H5">
        <v>642</v>
      </c>
      <c r="I5">
        <v>128</v>
      </c>
      <c r="J5">
        <v>90</v>
      </c>
      <c r="K5">
        <v>38</v>
      </c>
      <c r="L5">
        <v>0</v>
      </c>
      <c r="M5">
        <v>38</v>
      </c>
      <c r="N5">
        <v>0</v>
      </c>
      <c r="O5">
        <v>2</v>
      </c>
      <c r="P5">
        <v>6650</v>
      </c>
      <c r="Q5">
        <v>90</v>
      </c>
      <c r="R5">
        <v>237</v>
      </c>
      <c r="S5">
        <v>399</v>
      </c>
      <c r="T5">
        <v>13798</v>
      </c>
      <c r="U5">
        <v>17870</v>
      </c>
      <c r="V5">
        <v>0</v>
      </c>
      <c r="W5">
        <v>0.199376947</v>
      </c>
      <c r="X5">
        <v>0.703125</v>
      </c>
      <c r="Y5">
        <v>0.422222222</v>
      </c>
      <c r="Z5">
        <v>636</v>
      </c>
      <c r="AA5">
        <v>0.372641509</v>
      </c>
      <c r="AB5">
        <v>34.581453634</v>
      </c>
      <c r="AC5">
        <v>256120</v>
      </c>
    </row>
    <row r="6" ht="14.25" customHeight="1">
      <c r="A6" t="s">
        <v>147</v>
      </c>
      <c r="B6" t="s">
        <v>148</v>
      </c>
      <c r="C6" t="s">
        <v>86</v>
      </c>
      <c r="D6" t="s">
        <v>149</v>
      </c>
      <c r="E6" t="s">
        <v>153</v>
      </c>
      <c r="F6" t="s">
        <v>151</v>
      </c>
      <c r="G6" t="s">
        <v>155</v>
      </c>
      <c r="H6">
        <v>0</v>
      </c>
      <c r="I6">
        <v>0</v>
      </c>
      <c r="J6">
        <v>0</v>
      </c>
      <c r="K6">
        <v>0</v>
      </c>
      <c r="L6">
        <v>37</v>
      </c>
      <c r="M6">
        <v>37</v>
      </c>
      <c r="N6">
        <v>38</v>
      </c>
      <c r="O6">
        <v>2</v>
      </c>
      <c r="P6">
        <v>6650</v>
      </c>
      <c r="Q6">
        <v>90</v>
      </c>
      <c r="R6">
        <v>0</v>
      </c>
      <c r="S6">
        <v>0</v>
      </c>
      <c r="T6">
        <v>0</v>
      </c>
      <c r="U6">
        <v>0</v>
      </c>
      <c r="V6">
        <v>0.973684211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246050</v>
      </c>
    </row>
    <row r="7" ht="14.25" customHeight="1">
      <c r="A7" t="s">
        <v>147</v>
      </c>
      <c r="B7" t="s">
        <v>148</v>
      </c>
      <c r="C7" t="s">
        <v>86</v>
      </c>
      <c r="D7" t="s">
        <v>149</v>
      </c>
      <c r="E7" t="s">
        <v>154</v>
      </c>
      <c r="F7" t="s">
        <v>151</v>
      </c>
      <c r="G7" t="s">
        <v>155</v>
      </c>
      <c r="H7">
        <v>0</v>
      </c>
      <c r="I7">
        <v>0</v>
      </c>
      <c r="J7">
        <v>0</v>
      </c>
      <c r="K7">
        <v>0</v>
      </c>
      <c r="L7">
        <v>36</v>
      </c>
      <c r="M7">
        <v>36</v>
      </c>
      <c r="N7">
        <v>37</v>
      </c>
      <c r="O7">
        <v>2</v>
      </c>
      <c r="P7">
        <v>6650</v>
      </c>
      <c r="Q7">
        <v>90</v>
      </c>
      <c r="R7">
        <v>0</v>
      </c>
      <c r="S7">
        <v>0</v>
      </c>
      <c r="T7">
        <v>0</v>
      </c>
      <c r="U7">
        <v>0</v>
      </c>
      <c r="V7">
        <v>0.972972973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239400</v>
      </c>
    </row>
    <row r="8" ht="14.25" customHeight="1">
      <c r="A8" t="s">
        <v>147</v>
      </c>
      <c r="B8" t="s">
        <v>148</v>
      </c>
      <c r="C8" t="s">
        <v>86</v>
      </c>
      <c r="D8" t="s">
        <v>149</v>
      </c>
      <c r="E8" t="s">
        <v>150</v>
      </c>
      <c r="F8" t="s">
        <v>151</v>
      </c>
      <c r="G8" t="s">
        <v>156</v>
      </c>
      <c r="H8">
        <v>605</v>
      </c>
      <c r="I8">
        <v>121</v>
      </c>
      <c r="J8">
        <v>85</v>
      </c>
      <c r="K8">
        <v>36</v>
      </c>
      <c r="L8">
        <v>0</v>
      </c>
      <c r="M8">
        <v>36</v>
      </c>
      <c r="N8">
        <v>0</v>
      </c>
      <c r="O8">
        <v>2</v>
      </c>
      <c r="P8">
        <v>6650</v>
      </c>
      <c r="Q8">
        <v>90</v>
      </c>
      <c r="R8">
        <v>217</v>
      </c>
      <c r="S8">
        <v>377</v>
      </c>
      <c r="T8">
        <v>12543</v>
      </c>
      <c r="U8">
        <v>13581</v>
      </c>
      <c r="V8">
        <v>0</v>
      </c>
      <c r="W8">
        <v>0.2</v>
      </c>
      <c r="X8">
        <v>0.702479339</v>
      </c>
      <c r="Y8">
        <v>0.423529412</v>
      </c>
      <c r="Z8">
        <v>594</v>
      </c>
      <c r="AA8">
        <v>0.365319865</v>
      </c>
      <c r="AB8">
        <v>33.270557029</v>
      </c>
      <c r="AC8">
        <v>242640</v>
      </c>
    </row>
    <row r="9" ht="14.25" customHeight="1">
      <c r="A9" t="s">
        <v>147</v>
      </c>
      <c r="B9" t="s">
        <v>148</v>
      </c>
      <c r="C9" t="s">
        <v>86</v>
      </c>
      <c r="D9" t="s">
        <v>149</v>
      </c>
      <c r="E9" t="s">
        <v>153</v>
      </c>
      <c r="F9" t="s">
        <v>151</v>
      </c>
      <c r="G9" t="s">
        <v>156</v>
      </c>
      <c r="H9">
        <v>0</v>
      </c>
      <c r="I9">
        <v>0</v>
      </c>
      <c r="J9">
        <v>0</v>
      </c>
      <c r="K9">
        <v>0</v>
      </c>
      <c r="L9">
        <v>35</v>
      </c>
      <c r="M9">
        <v>35</v>
      </c>
      <c r="N9">
        <v>36</v>
      </c>
      <c r="O9">
        <v>2</v>
      </c>
      <c r="P9">
        <v>6650</v>
      </c>
      <c r="Q9">
        <v>90</v>
      </c>
      <c r="R9">
        <v>0</v>
      </c>
      <c r="S9">
        <v>0</v>
      </c>
      <c r="T9">
        <v>0</v>
      </c>
      <c r="U9">
        <v>0</v>
      </c>
      <c r="V9">
        <v>0.972222222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232750</v>
      </c>
    </row>
    <row r="10" ht="14.25" customHeight="1">
      <c r="A10" t="s">
        <v>147</v>
      </c>
      <c r="B10" t="s">
        <v>148</v>
      </c>
      <c r="C10" t="s">
        <v>86</v>
      </c>
      <c r="D10" t="s">
        <v>149</v>
      </c>
      <c r="E10" t="s">
        <v>154</v>
      </c>
      <c r="F10" t="s">
        <v>151</v>
      </c>
      <c r="G10" t="s">
        <v>156</v>
      </c>
      <c r="H10">
        <v>0</v>
      </c>
      <c r="I10">
        <v>0</v>
      </c>
      <c r="J10">
        <v>0</v>
      </c>
      <c r="K10">
        <v>0</v>
      </c>
      <c r="L10">
        <v>34</v>
      </c>
      <c r="M10">
        <v>34</v>
      </c>
      <c r="N10">
        <v>35</v>
      </c>
      <c r="O10">
        <v>2</v>
      </c>
      <c r="P10">
        <v>6650</v>
      </c>
      <c r="Q10">
        <v>90</v>
      </c>
      <c r="R10">
        <v>0</v>
      </c>
      <c r="S10">
        <v>0</v>
      </c>
      <c r="T10">
        <v>0</v>
      </c>
      <c r="U10">
        <v>0</v>
      </c>
      <c r="V10">
        <v>0.971428571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226100</v>
      </c>
    </row>
    <row r="11" ht="14.25" customHeight="1">
      <c r="A11" t="s">
        <v>147</v>
      </c>
      <c r="B11" t="s">
        <v>148</v>
      </c>
      <c r="C11" t="s">
        <v>89</v>
      </c>
      <c r="D11" t="s">
        <v>149</v>
      </c>
      <c r="E11" t="s">
        <v>150</v>
      </c>
      <c r="F11" t="s">
        <v>151</v>
      </c>
      <c r="G11" t="s">
        <v>156</v>
      </c>
      <c r="H11">
        <v>756</v>
      </c>
      <c r="I11">
        <v>151</v>
      </c>
      <c r="J11">
        <v>106</v>
      </c>
      <c r="K11">
        <v>44</v>
      </c>
      <c r="L11">
        <v>0</v>
      </c>
      <c r="M11">
        <v>44</v>
      </c>
      <c r="N11">
        <v>0</v>
      </c>
      <c r="O11">
        <v>2</v>
      </c>
      <c r="P11">
        <v>7000</v>
      </c>
      <c r="Q11">
        <v>90</v>
      </c>
      <c r="R11">
        <v>258</v>
      </c>
      <c r="S11">
        <v>489</v>
      </c>
      <c r="T11">
        <v>17983</v>
      </c>
      <c r="U11">
        <v>15937</v>
      </c>
      <c r="V11">
        <v>0</v>
      </c>
      <c r="W11">
        <v>0.19973545</v>
      </c>
      <c r="X11">
        <v>0.701986755</v>
      </c>
      <c r="Y11">
        <v>0.41509434</v>
      </c>
      <c r="Z11">
        <v>747</v>
      </c>
      <c r="AA11">
        <v>0.345381526</v>
      </c>
      <c r="AB11">
        <v>36.775051125</v>
      </c>
      <c r="AC11">
        <v>311960</v>
      </c>
    </row>
    <row r="12" ht="14.25" customHeight="1">
      <c r="A12" t="s">
        <v>147</v>
      </c>
      <c r="B12" t="s">
        <v>148</v>
      </c>
      <c r="C12" t="s">
        <v>89</v>
      </c>
      <c r="D12" t="s">
        <v>149</v>
      </c>
      <c r="E12" t="s">
        <v>153</v>
      </c>
      <c r="F12" t="s">
        <v>151</v>
      </c>
      <c r="G12" t="s">
        <v>156</v>
      </c>
      <c r="H12">
        <v>0</v>
      </c>
      <c r="I12">
        <v>0</v>
      </c>
      <c r="J12">
        <v>0</v>
      </c>
      <c r="K12">
        <v>0</v>
      </c>
      <c r="L12">
        <v>43</v>
      </c>
      <c r="M12">
        <v>43</v>
      </c>
      <c r="N12">
        <v>44</v>
      </c>
      <c r="O12">
        <v>2</v>
      </c>
      <c r="P12">
        <v>7000</v>
      </c>
      <c r="Q12">
        <v>90</v>
      </c>
      <c r="R12">
        <v>0</v>
      </c>
      <c r="S12">
        <v>0</v>
      </c>
      <c r="T12">
        <v>0</v>
      </c>
      <c r="U12">
        <v>0</v>
      </c>
      <c r="V12">
        <v>0.977272727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301000</v>
      </c>
    </row>
    <row r="13" ht="14.25" customHeight="1">
      <c r="A13" t="s">
        <v>147</v>
      </c>
      <c r="B13" t="s">
        <v>148</v>
      </c>
      <c r="C13" t="s">
        <v>89</v>
      </c>
      <c r="D13" t="s">
        <v>149</v>
      </c>
      <c r="E13" t="s">
        <v>154</v>
      </c>
      <c r="F13" t="s">
        <v>151</v>
      </c>
      <c r="G13" t="s">
        <v>156</v>
      </c>
      <c r="H13">
        <v>0</v>
      </c>
      <c r="I13">
        <v>0</v>
      </c>
      <c r="J13">
        <v>0</v>
      </c>
      <c r="K13">
        <v>0</v>
      </c>
      <c r="L13">
        <v>42</v>
      </c>
      <c r="M13">
        <v>42</v>
      </c>
      <c r="N13">
        <v>43</v>
      </c>
      <c r="O13">
        <v>2</v>
      </c>
      <c r="P13">
        <v>7000</v>
      </c>
      <c r="Q13">
        <v>90</v>
      </c>
      <c r="R13">
        <v>0</v>
      </c>
      <c r="S13">
        <v>0</v>
      </c>
      <c r="T13">
        <v>0</v>
      </c>
      <c r="U13">
        <v>0</v>
      </c>
      <c r="V13">
        <v>0.976744186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294000</v>
      </c>
    </row>
    <row r="14" ht="14.25" customHeight="1">
      <c r="A14" t="s">
        <v>147</v>
      </c>
      <c r="B14" t="s">
        <v>148</v>
      </c>
      <c r="C14" t="s">
        <v>89</v>
      </c>
      <c r="D14" t="s">
        <v>149</v>
      </c>
      <c r="E14" t="s">
        <v>150</v>
      </c>
      <c r="F14" t="s">
        <v>151</v>
      </c>
      <c r="G14" t="s">
        <v>155</v>
      </c>
      <c r="H14">
        <v>802</v>
      </c>
      <c r="I14">
        <v>160</v>
      </c>
      <c r="J14">
        <v>112</v>
      </c>
      <c r="K14">
        <v>47</v>
      </c>
      <c r="L14">
        <v>0</v>
      </c>
      <c r="M14">
        <v>47</v>
      </c>
      <c r="N14">
        <v>0</v>
      </c>
      <c r="O14">
        <v>2</v>
      </c>
      <c r="P14">
        <v>7000</v>
      </c>
      <c r="Q14">
        <v>90</v>
      </c>
      <c r="R14">
        <v>281</v>
      </c>
      <c r="S14">
        <v>516</v>
      </c>
      <c r="T14">
        <v>19782</v>
      </c>
      <c r="U14">
        <v>21082</v>
      </c>
      <c r="V14">
        <v>0</v>
      </c>
      <c r="W14">
        <v>0.199501247</v>
      </c>
      <c r="X14">
        <v>0.7</v>
      </c>
      <c r="Y14">
        <v>0.419642857</v>
      </c>
      <c r="Z14">
        <v>797</v>
      </c>
      <c r="AA14">
        <v>0.352572146</v>
      </c>
      <c r="AB14">
        <v>38.337209302</v>
      </c>
      <c r="AC14">
        <v>333230</v>
      </c>
    </row>
    <row r="15" ht="14.25" customHeight="1">
      <c r="A15" t="s">
        <v>147</v>
      </c>
      <c r="B15" t="s">
        <v>148</v>
      </c>
      <c r="C15" t="s">
        <v>89</v>
      </c>
      <c r="D15" t="s">
        <v>149</v>
      </c>
      <c r="E15" t="s">
        <v>153</v>
      </c>
      <c r="F15" t="s">
        <v>151</v>
      </c>
      <c r="G15" t="s">
        <v>155</v>
      </c>
      <c r="H15">
        <v>0</v>
      </c>
      <c r="I15">
        <v>0</v>
      </c>
      <c r="J15">
        <v>0</v>
      </c>
      <c r="K15">
        <v>0</v>
      </c>
      <c r="L15">
        <v>45</v>
      </c>
      <c r="M15">
        <v>45</v>
      </c>
      <c r="N15">
        <v>47</v>
      </c>
      <c r="O15">
        <v>2</v>
      </c>
      <c r="P15">
        <v>7000</v>
      </c>
      <c r="Q15">
        <v>90</v>
      </c>
      <c r="R15">
        <v>0</v>
      </c>
      <c r="S15">
        <v>0</v>
      </c>
      <c r="T15">
        <v>0</v>
      </c>
      <c r="U15">
        <v>0</v>
      </c>
      <c r="V15">
        <v>0.957446809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315000</v>
      </c>
    </row>
    <row r="16" ht="14.25" customHeight="1">
      <c r="A16" t="s">
        <v>147</v>
      </c>
      <c r="B16" t="s">
        <v>148</v>
      </c>
      <c r="C16" t="s">
        <v>89</v>
      </c>
      <c r="D16" t="s">
        <v>149</v>
      </c>
      <c r="E16" t="s">
        <v>154</v>
      </c>
      <c r="F16" t="s">
        <v>151</v>
      </c>
      <c r="G16" t="s">
        <v>155</v>
      </c>
      <c r="H16">
        <v>0</v>
      </c>
      <c r="I16">
        <v>0</v>
      </c>
      <c r="J16">
        <v>0</v>
      </c>
      <c r="K16">
        <v>0</v>
      </c>
      <c r="L16">
        <v>44</v>
      </c>
      <c r="M16">
        <v>44</v>
      </c>
      <c r="N16">
        <v>45</v>
      </c>
      <c r="O16">
        <v>2</v>
      </c>
      <c r="P16">
        <v>7000</v>
      </c>
      <c r="Q16">
        <v>90</v>
      </c>
      <c r="R16">
        <v>0</v>
      </c>
      <c r="S16">
        <v>0</v>
      </c>
      <c r="T16">
        <v>0</v>
      </c>
      <c r="U16">
        <v>0</v>
      </c>
      <c r="V16">
        <v>0.977777778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308000</v>
      </c>
    </row>
    <row r="17" ht="14.25" customHeight="1">
      <c r="A17" t="s">
        <v>147</v>
      </c>
      <c r="B17" t="s">
        <v>148</v>
      </c>
      <c r="C17" t="s">
        <v>89</v>
      </c>
      <c r="D17" t="s">
        <v>149</v>
      </c>
      <c r="E17" t="s">
        <v>150</v>
      </c>
      <c r="F17" t="s">
        <v>151</v>
      </c>
      <c r="G17" t="s">
        <v>152</v>
      </c>
      <c r="H17">
        <v>850</v>
      </c>
      <c r="I17">
        <v>170</v>
      </c>
      <c r="J17">
        <v>119</v>
      </c>
      <c r="K17">
        <v>50</v>
      </c>
      <c r="L17">
        <v>0</v>
      </c>
      <c r="M17">
        <v>50</v>
      </c>
      <c r="N17">
        <v>0</v>
      </c>
      <c r="O17">
        <v>2</v>
      </c>
      <c r="P17">
        <v>7000</v>
      </c>
      <c r="Q17">
        <v>90</v>
      </c>
      <c r="R17">
        <v>306</v>
      </c>
      <c r="S17">
        <v>544</v>
      </c>
      <c r="T17">
        <v>21760</v>
      </c>
      <c r="U17">
        <v>27889</v>
      </c>
      <c r="V17">
        <v>0</v>
      </c>
      <c r="W17">
        <v>0.2</v>
      </c>
      <c r="X17">
        <v>0.7</v>
      </c>
      <c r="Y17">
        <v>0.420168067</v>
      </c>
      <c r="Z17">
        <v>850</v>
      </c>
      <c r="AA17">
        <v>0.36</v>
      </c>
      <c r="AB17">
        <v>40</v>
      </c>
      <c r="AC17">
        <v>354500</v>
      </c>
    </row>
    <row r="18" ht="14.25" customHeight="1">
      <c r="A18" t="s">
        <v>147</v>
      </c>
      <c r="B18" t="s">
        <v>148</v>
      </c>
      <c r="C18" t="s">
        <v>89</v>
      </c>
      <c r="D18" t="s">
        <v>149</v>
      </c>
      <c r="E18" t="s">
        <v>153</v>
      </c>
      <c r="F18" t="s">
        <v>151</v>
      </c>
      <c r="G18" t="s">
        <v>152</v>
      </c>
      <c r="H18">
        <v>0</v>
      </c>
      <c r="I18">
        <v>0</v>
      </c>
      <c r="J18">
        <v>0</v>
      </c>
      <c r="K18">
        <v>0</v>
      </c>
      <c r="L18">
        <v>48</v>
      </c>
      <c r="M18">
        <v>48</v>
      </c>
      <c r="N18">
        <v>50</v>
      </c>
      <c r="O18">
        <v>2</v>
      </c>
      <c r="P18">
        <v>7000</v>
      </c>
      <c r="Q18">
        <v>90</v>
      </c>
      <c r="R18">
        <v>0</v>
      </c>
      <c r="S18">
        <v>0</v>
      </c>
      <c r="T18">
        <v>0</v>
      </c>
      <c r="U18">
        <v>0</v>
      </c>
      <c r="V18">
        <v>0.96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336000</v>
      </c>
    </row>
    <row r="19" ht="14.25" customHeight="1">
      <c r="A19" t="s">
        <v>147</v>
      </c>
      <c r="B19" t="s">
        <v>148</v>
      </c>
      <c r="C19" t="s">
        <v>89</v>
      </c>
      <c r="D19" t="s">
        <v>149</v>
      </c>
      <c r="E19" t="s">
        <v>154</v>
      </c>
      <c r="F19" t="s">
        <v>151</v>
      </c>
      <c r="G19" t="s">
        <v>152</v>
      </c>
      <c r="H19">
        <v>0</v>
      </c>
      <c r="I19">
        <v>0</v>
      </c>
      <c r="J19">
        <v>0</v>
      </c>
      <c r="K19">
        <v>0</v>
      </c>
      <c r="L19">
        <v>47</v>
      </c>
      <c r="M19">
        <v>47</v>
      </c>
      <c r="N19">
        <v>48</v>
      </c>
      <c r="O19">
        <v>2</v>
      </c>
      <c r="P19">
        <v>7000</v>
      </c>
      <c r="Q19">
        <v>90</v>
      </c>
      <c r="R19">
        <v>0</v>
      </c>
      <c r="S19">
        <v>0</v>
      </c>
      <c r="T19">
        <v>0</v>
      </c>
      <c r="U19">
        <v>0</v>
      </c>
      <c r="V19">
        <v>0.979166667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329000</v>
      </c>
    </row>
    <row r="20" ht="14.25" customHeight="1">
      <c r="A20" t="s">
        <v>147</v>
      </c>
      <c r="B20" t="s">
        <v>148</v>
      </c>
      <c r="C20" t="s">
        <v>91</v>
      </c>
      <c r="D20" t="s">
        <v>149</v>
      </c>
      <c r="E20" t="s">
        <v>150</v>
      </c>
      <c r="F20" t="s">
        <v>151</v>
      </c>
      <c r="G20" t="s">
        <v>152</v>
      </c>
      <c r="H20">
        <v>680</v>
      </c>
      <c r="I20">
        <v>136</v>
      </c>
      <c r="J20">
        <v>95</v>
      </c>
      <c r="K20">
        <v>40</v>
      </c>
      <c r="L20">
        <v>0</v>
      </c>
      <c r="M20">
        <v>40</v>
      </c>
      <c r="N20">
        <v>0</v>
      </c>
      <c r="O20">
        <v>2</v>
      </c>
      <c r="P20">
        <v>6650</v>
      </c>
      <c r="Q20">
        <v>90</v>
      </c>
      <c r="R20">
        <v>265</v>
      </c>
      <c r="S20">
        <v>415</v>
      </c>
      <c r="T20">
        <v>14933</v>
      </c>
      <c r="U20">
        <v>24152</v>
      </c>
      <c r="V20">
        <v>0</v>
      </c>
      <c r="W20">
        <v>0.2</v>
      </c>
      <c r="X20">
        <v>0.698529412</v>
      </c>
      <c r="Y20">
        <v>0.421052632</v>
      </c>
      <c r="Z20">
        <v>680</v>
      </c>
      <c r="AA20">
        <v>0.389705882</v>
      </c>
      <c r="AB20">
        <v>35.98313253</v>
      </c>
      <c r="AC20">
        <v>269600</v>
      </c>
    </row>
    <row r="21" ht="14.25" customHeight="1">
      <c r="A21" t="s">
        <v>147</v>
      </c>
      <c r="B21" t="s">
        <v>148</v>
      </c>
      <c r="C21" t="s">
        <v>91</v>
      </c>
      <c r="D21" t="s">
        <v>149</v>
      </c>
      <c r="E21" t="s">
        <v>153</v>
      </c>
      <c r="F21" t="s">
        <v>151</v>
      </c>
      <c r="G21" t="s">
        <v>152</v>
      </c>
      <c r="H21">
        <v>0</v>
      </c>
      <c r="I21">
        <v>0</v>
      </c>
      <c r="J21">
        <v>0</v>
      </c>
      <c r="K21">
        <v>0</v>
      </c>
      <c r="L21">
        <v>39</v>
      </c>
      <c r="M21">
        <v>39</v>
      </c>
      <c r="N21">
        <v>40</v>
      </c>
      <c r="O21">
        <v>2</v>
      </c>
      <c r="P21">
        <v>6650</v>
      </c>
      <c r="Q21">
        <v>90</v>
      </c>
      <c r="R21">
        <v>0</v>
      </c>
      <c r="S21">
        <v>0</v>
      </c>
      <c r="T21">
        <v>0</v>
      </c>
      <c r="U21">
        <v>0</v>
      </c>
      <c r="V21">
        <v>0.975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259350</v>
      </c>
    </row>
    <row r="22" ht="14.25" customHeight="1">
      <c r="A22" t="s">
        <v>147</v>
      </c>
      <c r="B22" t="s">
        <v>148</v>
      </c>
      <c r="C22" t="s">
        <v>91</v>
      </c>
      <c r="D22" t="s">
        <v>149</v>
      </c>
      <c r="E22" t="s">
        <v>154</v>
      </c>
      <c r="F22" t="s">
        <v>151</v>
      </c>
      <c r="G22" t="s">
        <v>152</v>
      </c>
      <c r="H22">
        <v>0</v>
      </c>
      <c r="I22">
        <v>0</v>
      </c>
      <c r="J22">
        <v>0</v>
      </c>
      <c r="K22">
        <v>0</v>
      </c>
      <c r="L22">
        <v>38</v>
      </c>
      <c r="M22">
        <v>38</v>
      </c>
      <c r="N22">
        <v>39</v>
      </c>
      <c r="O22">
        <v>2</v>
      </c>
      <c r="P22">
        <v>6650</v>
      </c>
      <c r="Q22">
        <v>90</v>
      </c>
      <c r="R22">
        <v>0</v>
      </c>
      <c r="S22">
        <v>0</v>
      </c>
      <c r="T22">
        <v>0</v>
      </c>
      <c r="U22">
        <v>0</v>
      </c>
      <c r="V22">
        <v>0.974358974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252700</v>
      </c>
    </row>
    <row r="23" ht="14.25" customHeight="1">
      <c r="A23" t="s">
        <v>147</v>
      </c>
      <c r="B23" t="s">
        <v>148</v>
      </c>
      <c r="C23" t="s">
        <v>91</v>
      </c>
      <c r="D23" t="s">
        <v>149</v>
      </c>
      <c r="E23" t="s">
        <v>150</v>
      </c>
      <c r="F23" t="s">
        <v>151</v>
      </c>
      <c r="G23" t="s">
        <v>155</v>
      </c>
      <c r="H23">
        <v>642</v>
      </c>
      <c r="I23">
        <v>128</v>
      </c>
      <c r="J23">
        <v>90</v>
      </c>
      <c r="K23">
        <v>38</v>
      </c>
      <c r="L23">
        <v>0</v>
      </c>
      <c r="M23">
        <v>38</v>
      </c>
      <c r="N23">
        <v>0</v>
      </c>
      <c r="O23">
        <v>2</v>
      </c>
      <c r="P23">
        <v>6650</v>
      </c>
      <c r="Q23">
        <v>90</v>
      </c>
      <c r="R23">
        <v>243</v>
      </c>
      <c r="S23">
        <v>392</v>
      </c>
      <c r="T23">
        <v>13575</v>
      </c>
      <c r="U23">
        <v>18403</v>
      </c>
      <c r="V23">
        <v>0</v>
      </c>
      <c r="W23">
        <v>0.199376947</v>
      </c>
      <c r="X23">
        <v>0.703125</v>
      </c>
      <c r="Y23">
        <v>0.422222222</v>
      </c>
      <c r="Z23">
        <v>635</v>
      </c>
      <c r="AA23">
        <v>0.382677165</v>
      </c>
      <c r="AB23">
        <v>34.630102041</v>
      </c>
      <c r="AC23">
        <v>256120</v>
      </c>
    </row>
    <row r="24" ht="14.25" customHeight="1">
      <c r="A24" t="s">
        <v>147</v>
      </c>
      <c r="B24" t="s">
        <v>148</v>
      </c>
      <c r="C24" t="s">
        <v>91</v>
      </c>
      <c r="D24" t="s">
        <v>149</v>
      </c>
      <c r="E24" t="s">
        <v>153</v>
      </c>
      <c r="F24" t="s">
        <v>151</v>
      </c>
      <c r="G24" t="s">
        <v>155</v>
      </c>
      <c r="H24">
        <v>0</v>
      </c>
      <c r="I24">
        <v>0</v>
      </c>
      <c r="J24">
        <v>0</v>
      </c>
      <c r="K24">
        <v>0</v>
      </c>
      <c r="L24">
        <v>37</v>
      </c>
      <c r="M24">
        <v>37</v>
      </c>
      <c r="N24">
        <v>38</v>
      </c>
      <c r="O24">
        <v>2</v>
      </c>
      <c r="P24">
        <v>6650</v>
      </c>
      <c r="Q24">
        <v>90</v>
      </c>
      <c r="R24">
        <v>0</v>
      </c>
      <c r="S24">
        <v>0</v>
      </c>
      <c r="T24">
        <v>0</v>
      </c>
      <c r="U24">
        <v>0</v>
      </c>
      <c r="V24">
        <v>0.973684211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246050</v>
      </c>
    </row>
    <row r="25" ht="14.25" customHeight="1">
      <c r="A25" t="s">
        <v>147</v>
      </c>
      <c r="B25" t="s">
        <v>148</v>
      </c>
      <c r="C25" t="s">
        <v>91</v>
      </c>
      <c r="D25" t="s">
        <v>149</v>
      </c>
      <c r="E25" t="s">
        <v>154</v>
      </c>
      <c r="F25" t="s">
        <v>151</v>
      </c>
      <c r="G25" t="s">
        <v>155</v>
      </c>
      <c r="H25">
        <v>0</v>
      </c>
      <c r="I25">
        <v>0</v>
      </c>
      <c r="J25">
        <v>0</v>
      </c>
      <c r="K25">
        <v>0</v>
      </c>
      <c r="L25">
        <v>36</v>
      </c>
      <c r="M25">
        <v>36</v>
      </c>
      <c r="N25">
        <v>37</v>
      </c>
      <c r="O25">
        <v>2</v>
      </c>
      <c r="P25">
        <v>6650</v>
      </c>
      <c r="Q25">
        <v>90</v>
      </c>
      <c r="R25">
        <v>0</v>
      </c>
      <c r="S25">
        <v>0</v>
      </c>
      <c r="T25">
        <v>0</v>
      </c>
      <c r="U25">
        <v>0</v>
      </c>
      <c r="V25">
        <v>0.972972973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239400</v>
      </c>
    </row>
    <row r="26" ht="14.25" customHeight="1">
      <c r="A26" t="s">
        <v>147</v>
      </c>
      <c r="B26" t="s">
        <v>148</v>
      </c>
      <c r="C26" t="s">
        <v>91</v>
      </c>
      <c r="D26" t="s">
        <v>149</v>
      </c>
      <c r="E26" t="s">
        <v>150</v>
      </c>
      <c r="F26" t="s">
        <v>151</v>
      </c>
      <c r="G26" t="s">
        <v>156</v>
      </c>
      <c r="H26">
        <v>605</v>
      </c>
      <c r="I26">
        <v>121</v>
      </c>
      <c r="J26">
        <v>85</v>
      </c>
      <c r="K26">
        <v>36</v>
      </c>
      <c r="L26">
        <v>0</v>
      </c>
      <c r="M26">
        <v>36</v>
      </c>
      <c r="N26">
        <v>0</v>
      </c>
      <c r="O26">
        <v>2</v>
      </c>
      <c r="P26">
        <v>6650</v>
      </c>
      <c r="Q26">
        <v>90</v>
      </c>
      <c r="R26">
        <v>223</v>
      </c>
      <c r="S26">
        <v>371</v>
      </c>
      <c r="T26">
        <v>12341</v>
      </c>
      <c r="U26">
        <v>14022</v>
      </c>
      <c r="V26">
        <v>0</v>
      </c>
      <c r="W26">
        <v>0.2</v>
      </c>
      <c r="X26">
        <v>0.702479339</v>
      </c>
      <c r="Y26">
        <v>0.423529412</v>
      </c>
      <c r="Z26">
        <v>594</v>
      </c>
      <c r="AA26">
        <v>0.375420875</v>
      </c>
      <c r="AB26">
        <v>33.264150943</v>
      </c>
      <c r="AC26">
        <v>242640</v>
      </c>
    </row>
    <row r="27" ht="14.25" customHeight="1">
      <c r="A27" t="s">
        <v>147</v>
      </c>
      <c r="B27" t="s">
        <v>148</v>
      </c>
      <c r="C27" t="s">
        <v>91</v>
      </c>
      <c r="D27" t="s">
        <v>149</v>
      </c>
      <c r="E27" t="s">
        <v>153</v>
      </c>
      <c r="F27" t="s">
        <v>151</v>
      </c>
      <c r="G27" t="s">
        <v>156</v>
      </c>
      <c r="H27">
        <v>0</v>
      </c>
      <c r="I27">
        <v>0</v>
      </c>
      <c r="J27">
        <v>0</v>
      </c>
      <c r="K27">
        <v>0</v>
      </c>
      <c r="L27">
        <v>35</v>
      </c>
      <c r="M27">
        <v>35</v>
      </c>
      <c r="N27">
        <v>36</v>
      </c>
      <c r="O27">
        <v>2</v>
      </c>
      <c r="P27">
        <v>6650</v>
      </c>
      <c r="Q27">
        <v>90</v>
      </c>
      <c r="R27">
        <v>0</v>
      </c>
      <c r="S27">
        <v>0</v>
      </c>
      <c r="T27">
        <v>0</v>
      </c>
      <c r="U27">
        <v>0</v>
      </c>
      <c r="V27">
        <v>0.972222222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232750</v>
      </c>
    </row>
    <row r="28" ht="14.25" customHeight="1">
      <c r="A28" t="s">
        <v>147</v>
      </c>
      <c r="B28" t="s">
        <v>148</v>
      </c>
      <c r="C28" t="s">
        <v>91</v>
      </c>
      <c r="D28" t="s">
        <v>149</v>
      </c>
      <c r="E28" t="s">
        <v>154</v>
      </c>
      <c r="F28" t="s">
        <v>151</v>
      </c>
      <c r="G28" t="s">
        <v>156</v>
      </c>
      <c r="H28">
        <v>0</v>
      </c>
      <c r="I28">
        <v>0</v>
      </c>
      <c r="J28">
        <v>0</v>
      </c>
      <c r="K28">
        <v>0</v>
      </c>
      <c r="L28">
        <v>34</v>
      </c>
      <c r="M28">
        <v>34</v>
      </c>
      <c r="N28">
        <v>35</v>
      </c>
      <c r="O28">
        <v>2</v>
      </c>
      <c r="P28">
        <v>6650</v>
      </c>
      <c r="Q28">
        <v>90</v>
      </c>
      <c r="R28">
        <v>0</v>
      </c>
      <c r="S28">
        <v>0</v>
      </c>
      <c r="T28">
        <v>0</v>
      </c>
      <c r="U28">
        <v>0</v>
      </c>
      <c r="V28">
        <v>0.971428571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226100</v>
      </c>
    </row>
    <row r="29" ht="14.25" customHeight="1">
      <c r="A29" t="s">
        <v>147</v>
      </c>
      <c r="B29" t="s">
        <v>148</v>
      </c>
      <c r="C29" t="s">
        <v>93</v>
      </c>
      <c r="D29" t="s">
        <v>157</v>
      </c>
      <c r="E29" t="s">
        <v>150</v>
      </c>
      <c r="F29" t="s">
        <v>158</v>
      </c>
      <c r="G29" t="s">
        <v>156</v>
      </c>
      <c r="H29">
        <v>366</v>
      </c>
      <c r="I29">
        <v>102</v>
      </c>
      <c r="J29">
        <v>74</v>
      </c>
      <c r="K29">
        <v>44</v>
      </c>
      <c r="L29">
        <v>0</v>
      </c>
      <c r="M29">
        <v>44</v>
      </c>
      <c r="N29">
        <v>0</v>
      </c>
      <c r="O29">
        <v>2</v>
      </c>
      <c r="P29">
        <v>7350</v>
      </c>
      <c r="Q29">
        <v>90</v>
      </c>
      <c r="R29">
        <v>194</v>
      </c>
      <c r="S29">
        <v>186</v>
      </c>
      <c r="T29">
        <v>6793</v>
      </c>
      <c r="U29">
        <v>15806</v>
      </c>
      <c r="V29">
        <v>0</v>
      </c>
      <c r="W29">
        <v>0.278688525</v>
      </c>
      <c r="X29">
        <v>0.725490196</v>
      </c>
      <c r="Y29">
        <v>0.594594595</v>
      </c>
      <c r="Z29">
        <v>380</v>
      </c>
      <c r="AA29">
        <v>0.510526316</v>
      </c>
      <c r="AB29">
        <v>36.521505376</v>
      </c>
      <c r="AC29">
        <v>327360</v>
      </c>
    </row>
    <row r="30" ht="14.25" customHeight="1">
      <c r="A30" t="s">
        <v>147</v>
      </c>
      <c r="B30" t="s">
        <v>148</v>
      </c>
      <c r="C30" t="s">
        <v>93</v>
      </c>
      <c r="D30" t="s">
        <v>157</v>
      </c>
      <c r="E30" t="s">
        <v>153</v>
      </c>
      <c r="F30" t="s">
        <v>151</v>
      </c>
      <c r="G30" t="s">
        <v>156</v>
      </c>
      <c r="H30">
        <v>0</v>
      </c>
      <c r="I30">
        <v>0</v>
      </c>
      <c r="J30">
        <v>0</v>
      </c>
      <c r="K30">
        <v>0</v>
      </c>
      <c r="L30">
        <v>43</v>
      </c>
      <c r="M30">
        <v>43</v>
      </c>
      <c r="N30">
        <v>44</v>
      </c>
      <c r="O30">
        <v>2</v>
      </c>
      <c r="P30">
        <v>6860</v>
      </c>
      <c r="Q30">
        <v>90</v>
      </c>
      <c r="R30">
        <v>0</v>
      </c>
      <c r="S30">
        <v>0</v>
      </c>
      <c r="T30">
        <v>0</v>
      </c>
      <c r="U30">
        <v>0</v>
      </c>
      <c r="V30">
        <v>0.977272727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294980</v>
      </c>
    </row>
    <row r="31" ht="14.25" customHeight="1">
      <c r="A31" t="s">
        <v>147</v>
      </c>
      <c r="B31" t="s">
        <v>148</v>
      </c>
      <c r="C31" t="s">
        <v>93</v>
      </c>
      <c r="D31" t="s">
        <v>157</v>
      </c>
      <c r="E31" t="s">
        <v>154</v>
      </c>
      <c r="F31" t="s">
        <v>151</v>
      </c>
      <c r="G31" t="s">
        <v>156</v>
      </c>
      <c r="H31">
        <v>0</v>
      </c>
      <c r="I31">
        <v>0</v>
      </c>
      <c r="J31">
        <v>0</v>
      </c>
      <c r="K31">
        <v>0</v>
      </c>
      <c r="L31">
        <v>42</v>
      </c>
      <c r="M31">
        <v>42</v>
      </c>
      <c r="N31">
        <v>43</v>
      </c>
      <c r="O31">
        <v>2</v>
      </c>
      <c r="P31">
        <v>6860</v>
      </c>
      <c r="Q31">
        <v>90</v>
      </c>
      <c r="R31">
        <v>0</v>
      </c>
      <c r="S31">
        <v>0</v>
      </c>
      <c r="T31">
        <v>0</v>
      </c>
      <c r="U31">
        <v>0</v>
      </c>
      <c r="V31">
        <v>0.976744186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288120</v>
      </c>
    </row>
    <row r="32" ht="14.25" customHeight="1">
      <c r="A32" t="s">
        <v>147</v>
      </c>
      <c r="B32" t="s">
        <v>148</v>
      </c>
      <c r="C32" t="s">
        <v>93</v>
      </c>
      <c r="D32" t="s">
        <v>159</v>
      </c>
      <c r="E32" t="s">
        <v>160</v>
      </c>
      <c r="F32" t="s">
        <v>151</v>
      </c>
      <c r="G32" t="s">
        <v>156</v>
      </c>
      <c r="H32">
        <v>756</v>
      </c>
      <c r="I32">
        <v>151</v>
      </c>
      <c r="J32">
        <v>106</v>
      </c>
      <c r="K32">
        <v>44</v>
      </c>
      <c r="L32">
        <v>0</v>
      </c>
      <c r="M32">
        <v>44</v>
      </c>
      <c r="N32">
        <v>0</v>
      </c>
      <c r="O32">
        <v>2</v>
      </c>
      <c r="P32">
        <v>7350</v>
      </c>
      <c r="Q32">
        <v>90</v>
      </c>
      <c r="R32">
        <v>400</v>
      </c>
      <c r="S32">
        <v>385</v>
      </c>
      <c r="T32">
        <v>14050</v>
      </c>
      <c r="U32">
        <v>32689</v>
      </c>
      <c r="V32">
        <v>0</v>
      </c>
      <c r="W32">
        <v>0.19973545</v>
      </c>
      <c r="X32">
        <v>0.701986755</v>
      </c>
      <c r="Y32">
        <v>0.41509434</v>
      </c>
      <c r="Z32">
        <v>785</v>
      </c>
      <c r="AA32">
        <v>0.50955414</v>
      </c>
      <c r="AB32">
        <v>36.493506494</v>
      </c>
      <c r="AC32">
        <v>327360</v>
      </c>
    </row>
    <row r="33" ht="14.25" customHeight="1">
      <c r="A33" t="s">
        <v>147</v>
      </c>
      <c r="B33" t="s">
        <v>148</v>
      </c>
      <c r="C33" t="s">
        <v>93</v>
      </c>
      <c r="D33" t="s">
        <v>159</v>
      </c>
      <c r="E33" t="s">
        <v>161</v>
      </c>
      <c r="F33" t="s">
        <v>151</v>
      </c>
      <c r="G33" t="s">
        <v>156</v>
      </c>
      <c r="H33">
        <v>0</v>
      </c>
      <c r="I33">
        <v>0</v>
      </c>
      <c r="J33">
        <v>0</v>
      </c>
      <c r="K33">
        <v>0</v>
      </c>
      <c r="L33">
        <v>44</v>
      </c>
      <c r="M33">
        <v>44</v>
      </c>
      <c r="N33">
        <v>44</v>
      </c>
      <c r="O33">
        <v>2</v>
      </c>
      <c r="P33">
        <v>7350</v>
      </c>
      <c r="Q33">
        <v>90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323400</v>
      </c>
    </row>
    <row r="34" ht="14.25" customHeight="1">
      <c r="A34" t="s">
        <v>147</v>
      </c>
      <c r="B34" t="s">
        <v>148</v>
      </c>
      <c r="C34" t="s">
        <v>93</v>
      </c>
      <c r="D34" t="s">
        <v>157</v>
      </c>
      <c r="E34" t="s">
        <v>150</v>
      </c>
      <c r="F34" t="s">
        <v>158</v>
      </c>
      <c r="G34" t="s">
        <v>155</v>
      </c>
      <c r="H34">
        <v>388</v>
      </c>
      <c r="I34">
        <v>108</v>
      </c>
      <c r="J34">
        <v>78</v>
      </c>
      <c r="K34">
        <v>47</v>
      </c>
      <c r="L34">
        <v>0</v>
      </c>
      <c r="M34">
        <v>47</v>
      </c>
      <c r="N34">
        <v>0</v>
      </c>
      <c r="O34">
        <v>2</v>
      </c>
      <c r="P34">
        <v>7350</v>
      </c>
      <c r="Q34">
        <v>90</v>
      </c>
      <c r="R34">
        <v>199</v>
      </c>
      <c r="S34">
        <v>196</v>
      </c>
      <c r="T34">
        <v>7473</v>
      </c>
      <c r="U34">
        <v>17199</v>
      </c>
      <c r="V34">
        <v>0</v>
      </c>
      <c r="W34">
        <v>0.278350515</v>
      </c>
      <c r="X34">
        <v>0.722222222</v>
      </c>
      <c r="Y34">
        <v>0.602564103</v>
      </c>
      <c r="Z34">
        <v>395</v>
      </c>
      <c r="AA34">
        <v>0.503797468</v>
      </c>
      <c r="AB34">
        <v>38.12755102</v>
      </c>
      <c r="AC34">
        <v>349680</v>
      </c>
    </row>
    <row r="35" ht="14.25" customHeight="1">
      <c r="A35" t="s">
        <v>147</v>
      </c>
      <c r="B35" t="s">
        <v>148</v>
      </c>
      <c r="C35" t="s">
        <v>93</v>
      </c>
      <c r="D35" t="s">
        <v>157</v>
      </c>
      <c r="E35" t="s">
        <v>153</v>
      </c>
      <c r="F35" t="s">
        <v>151</v>
      </c>
      <c r="G35" t="s">
        <v>155</v>
      </c>
      <c r="H35">
        <v>0</v>
      </c>
      <c r="I35">
        <v>0</v>
      </c>
      <c r="J35">
        <v>0</v>
      </c>
      <c r="K35">
        <v>0</v>
      </c>
      <c r="L35">
        <v>45</v>
      </c>
      <c r="M35">
        <v>45</v>
      </c>
      <c r="N35">
        <v>47</v>
      </c>
      <c r="O35">
        <v>2</v>
      </c>
      <c r="P35">
        <v>6860</v>
      </c>
      <c r="Q35">
        <v>90</v>
      </c>
      <c r="R35">
        <v>0</v>
      </c>
      <c r="S35">
        <v>0</v>
      </c>
      <c r="T35">
        <v>0</v>
      </c>
      <c r="U35">
        <v>0</v>
      </c>
      <c r="V35">
        <v>0.957446809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308700</v>
      </c>
    </row>
    <row r="36" ht="14.25" customHeight="1">
      <c r="A36" t="s">
        <v>147</v>
      </c>
      <c r="B36" t="s">
        <v>148</v>
      </c>
      <c r="C36" t="s">
        <v>93</v>
      </c>
      <c r="D36" t="s">
        <v>157</v>
      </c>
      <c r="E36" t="s">
        <v>154</v>
      </c>
      <c r="F36" t="s">
        <v>151</v>
      </c>
      <c r="G36" t="s">
        <v>155</v>
      </c>
      <c r="H36">
        <v>0</v>
      </c>
      <c r="I36">
        <v>0</v>
      </c>
      <c r="J36">
        <v>0</v>
      </c>
      <c r="K36">
        <v>0</v>
      </c>
      <c r="L36">
        <v>44</v>
      </c>
      <c r="M36">
        <v>44</v>
      </c>
      <c r="N36">
        <v>45</v>
      </c>
      <c r="O36">
        <v>2</v>
      </c>
      <c r="P36">
        <v>6860</v>
      </c>
      <c r="Q36">
        <v>90</v>
      </c>
      <c r="R36">
        <v>0</v>
      </c>
      <c r="S36">
        <v>0</v>
      </c>
      <c r="T36">
        <v>0</v>
      </c>
      <c r="U36">
        <v>0</v>
      </c>
      <c r="V36">
        <v>0.977777778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301840</v>
      </c>
    </row>
    <row r="37" ht="14.25" customHeight="1">
      <c r="A37" t="s">
        <v>147</v>
      </c>
      <c r="B37" t="s">
        <v>148</v>
      </c>
      <c r="C37" t="s">
        <v>93</v>
      </c>
      <c r="D37" t="s">
        <v>159</v>
      </c>
      <c r="E37" t="s">
        <v>160</v>
      </c>
      <c r="F37" t="s">
        <v>151</v>
      </c>
      <c r="G37" t="s">
        <v>155</v>
      </c>
      <c r="H37">
        <v>802</v>
      </c>
      <c r="I37">
        <v>160</v>
      </c>
      <c r="J37">
        <v>112</v>
      </c>
      <c r="K37">
        <v>47</v>
      </c>
      <c r="L37">
        <v>0</v>
      </c>
      <c r="M37">
        <v>47</v>
      </c>
      <c r="N37">
        <v>0</v>
      </c>
      <c r="O37">
        <v>2</v>
      </c>
      <c r="P37">
        <v>7350</v>
      </c>
      <c r="Q37">
        <v>90</v>
      </c>
      <c r="R37">
        <v>413</v>
      </c>
      <c r="S37">
        <v>404</v>
      </c>
      <c r="T37">
        <v>15454</v>
      </c>
      <c r="U37">
        <v>35569</v>
      </c>
      <c r="V37">
        <v>0</v>
      </c>
      <c r="W37">
        <v>0.199501247</v>
      </c>
      <c r="X37">
        <v>0.7</v>
      </c>
      <c r="Y37">
        <v>0.419642857</v>
      </c>
      <c r="Z37">
        <v>817</v>
      </c>
      <c r="AA37">
        <v>0.505507956</v>
      </c>
      <c r="AB37">
        <v>38.252475248</v>
      </c>
      <c r="AC37">
        <v>349680</v>
      </c>
    </row>
    <row r="38" ht="14.25" customHeight="1">
      <c r="A38" t="s">
        <v>147</v>
      </c>
      <c r="B38" t="s">
        <v>148</v>
      </c>
      <c r="C38" t="s">
        <v>93</v>
      </c>
      <c r="D38" t="s">
        <v>159</v>
      </c>
      <c r="E38" t="s">
        <v>161</v>
      </c>
      <c r="F38" t="s">
        <v>151</v>
      </c>
      <c r="G38" t="s">
        <v>155</v>
      </c>
      <c r="H38">
        <v>0</v>
      </c>
      <c r="I38">
        <v>0</v>
      </c>
      <c r="J38">
        <v>0</v>
      </c>
      <c r="K38">
        <v>0</v>
      </c>
      <c r="L38">
        <v>46</v>
      </c>
      <c r="M38">
        <v>46</v>
      </c>
      <c r="N38">
        <v>47</v>
      </c>
      <c r="O38">
        <v>2</v>
      </c>
      <c r="P38">
        <v>7350</v>
      </c>
      <c r="Q38">
        <v>90</v>
      </c>
      <c r="R38">
        <v>0</v>
      </c>
      <c r="S38">
        <v>0</v>
      </c>
      <c r="T38">
        <v>0</v>
      </c>
      <c r="U38">
        <v>0</v>
      </c>
      <c r="V38">
        <v>0.978723404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338100</v>
      </c>
    </row>
    <row r="39" ht="14.25" customHeight="1">
      <c r="A39" t="s">
        <v>147</v>
      </c>
      <c r="B39" t="s">
        <v>148</v>
      </c>
      <c r="C39" t="s">
        <v>93</v>
      </c>
      <c r="D39" t="s">
        <v>157</v>
      </c>
      <c r="E39" t="s">
        <v>150</v>
      </c>
      <c r="F39" t="s">
        <v>158</v>
      </c>
      <c r="G39" t="s">
        <v>152</v>
      </c>
      <c r="H39">
        <v>411</v>
      </c>
      <c r="I39">
        <v>115</v>
      </c>
      <c r="J39">
        <v>83</v>
      </c>
      <c r="K39">
        <v>50</v>
      </c>
      <c r="L39">
        <v>0</v>
      </c>
      <c r="M39">
        <v>50</v>
      </c>
      <c r="N39">
        <v>0</v>
      </c>
      <c r="O39">
        <v>2</v>
      </c>
      <c r="P39">
        <v>7350</v>
      </c>
      <c r="Q39">
        <v>90</v>
      </c>
      <c r="R39">
        <v>205</v>
      </c>
      <c r="S39">
        <v>205</v>
      </c>
      <c r="T39">
        <v>8220</v>
      </c>
      <c r="U39">
        <v>18714</v>
      </c>
      <c r="V39">
        <v>0</v>
      </c>
      <c r="W39">
        <v>0.279805353</v>
      </c>
      <c r="X39">
        <v>0.72173913</v>
      </c>
      <c r="Y39">
        <v>0.602409639</v>
      </c>
      <c r="Z39">
        <v>410</v>
      </c>
      <c r="AA39">
        <v>0.5</v>
      </c>
      <c r="AB39">
        <v>40.097560976</v>
      </c>
      <c r="AC39">
        <v>372000</v>
      </c>
    </row>
    <row r="40" ht="14.25" customHeight="1">
      <c r="A40" t="s">
        <v>147</v>
      </c>
      <c r="B40" t="s">
        <v>148</v>
      </c>
      <c r="C40" t="s">
        <v>93</v>
      </c>
      <c r="D40" t="s">
        <v>157</v>
      </c>
      <c r="E40" t="s">
        <v>153</v>
      </c>
      <c r="F40" t="s">
        <v>151</v>
      </c>
      <c r="G40" t="s">
        <v>152</v>
      </c>
      <c r="H40">
        <v>0</v>
      </c>
      <c r="I40">
        <v>0</v>
      </c>
      <c r="J40">
        <v>0</v>
      </c>
      <c r="K40">
        <v>0</v>
      </c>
      <c r="L40">
        <v>48</v>
      </c>
      <c r="M40">
        <v>48</v>
      </c>
      <c r="N40">
        <v>50</v>
      </c>
      <c r="O40">
        <v>2</v>
      </c>
      <c r="P40">
        <v>6860</v>
      </c>
      <c r="Q40">
        <v>90</v>
      </c>
      <c r="R40">
        <v>0</v>
      </c>
      <c r="S40">
        <v>0</v>
      </c>
      <c r="T40">
        <v>0</v>
      </c>
      <c r="U40">
        <v>0</v>
      </c>
      <c r="V40">
        <v>0.96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329280</v>
      </c>
    </row>
    <row r="41" ht="14.25" customHeight="1">
      <c r="A41" t="s">
        <v>147</v>
      </c>
      <c r="B41" t="s">
        <v>148</v>
      </c>
      <c r="C41" t="s">
        <v>93</v>
      </c>
      <c r="D41" t="s">
        <v>157</v>
      </c>
      <c r="E41" t="s">
        <v>154</v>
      </c>
      <c r="F41" t="s">
        <v>151</v>
      </c>
      <c r="G41" t="s">
        <v>152</v>
      </c>
      <c r="H41">
        <v>0</v>
      </c>
      <c r="I41">
        <v>0</v>
      </c>
      <c r="J41">
        <v>0</v>
      </c>
      <c r="K41">
        <v>0</v>
      </c>
      <c r="L41">
        <v>47</v>
      </c>
      <c r="M41">
        <v>47</v>
      </c>
      <c r="N41">
        <v>48</v>
      </c>
      <c r="O41">
        <v>2</v>
      </c>
      <c r="P41">
        <v>6860</v>
      </c>
      <c r="Q41">
        <v>90</v>
      </c>
      <c r="R41">
        <v>0</v>
      </c>
      <c r="S41">
        <v>0</v>
      </c>
      <c r="T41">
        <v>0</v>
      </c>
      <c r="U41">
        <v>0</v>
      </c>
      <c r="V41">
        <v>0.979166667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322420</v>
      </c>
    </row>
    <row r="42" ht="14.25" customHeight="1">
      <c r="A42" t="s">
        <v>147</v>
      </c>
      <c r="B42" t="s">
        <v>148</v>
      </c>
      <c r="C42" t="s">
        <v>93</v>
      </c>
      <c r="D42" t="s">
        <v>159</v>
      </c>
      <c r="E42" t="s">
        <v>160</v>
      </c>
      <c r="F42" t="s">
        <v>151</v>
      </c>
      <c r="G42" t="s">
        <v>152</v>
      </c>
      <c r="H42">
        <v>850</v>
      </c>
      <c r="I42">
        <v>170</v>
      </c>
      <c r="J42">
        <v>119</v>
      </c>
      <c r="K42">
        <v>50</v>
      </c>
      <c r="L42">
        <v>0</v>
      </c>
      <c r="M42">
        <v>50</v>
      </c>
      <c r="N42">
        <v>0</v>
      </c>
      <c r="O42">
        <v>2</v>
      </c>
      <c r="P42">
        <v>7350</v>
      </c>
      <c r="Q42">
        <v>90</v>
      </c>
      <c r="R42">
        <v>425</v>
      </c>
      <c r="S42">
        <v>425</v>
      </c>
      <c r="T42">
        <v>17000</v>
      </c>
      <c r="U42">
        <v>38704</v>
      </c>
      <c r="V42">
        <v>0</v>
      </c>
      <c r="W42">
        <v>0.2</v>
      </c>
      <c r="X42">
        <v>0.7</v>
      </c>
      <c r="Y42">
        <v>0.420168067</v>
      </c>
      <c r="Z42">
        <v>850</v>
      </c>
      <c r="AA42">
        <v>0.5</v>
      </c>
      <c r="AB42">
        <v>40</v>
      </c>
      <c r="AC42">
        <v>372000</v>
      </c>
    </row>
    <row r="43" ht="14.25" customHeight="1">
      <c r="A43" t="s">
        <v>147</v>
      </c>
      <c r="B43" t="s">
        <v>148</v>
      </c>
      <c r="C43" t="s">
        <v>93</v>
      </c>
      <c r="D43" t="s">
        <v>159</v>
      </c>
      <c r="E43" t="s">
        <v>161</v>
      </c>
      <c r="F43" t="s">
        <v>151</v>
      </c>
      <c r="G43" t="s">
        <v>152</v>
      </c>
      <c r="H43">
        <v>0</v>
      </c>
      <c r="I43">
        <v>0</v>
      </c>
      <c r="J43">
        <v>0</v>
      </c>
      <c r="K43">
        <v>0</v>
      </c>
      <c r="L43">
        <v>49</v>
      </c>
      <c r="M43">
        <v>49</v>
      </c>
      <c r="N43">
        <v>50</v>
      </c>
      <c r="O43">
        <v>2</v>
      </c>
      <c r="P43">
        <v>7350</v>
      </c>
      <c r="Q43">
        <v>90</v>
      </c>
      <c r="R43">
        <v>0</v>
      </c>
      <c r="S43">
        <v>0</v>
      </c>
      <c r="T43">
        <v>0</v>
      </c>
      <c r="U43">
        <v>0</v>
      </c>
      <c r="V43">
        <v>0.98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360150</v>
      </c>
    </row>
    <row r="44" ht="14.25" customHeight="1">
      <c r="A44" t="s">
        <v>147</v>
      </c>
      <c r="B44" t="s">
        <v>148</v>
      </c>
      <c r="C44" t="s">
        <v>95</v>
      </c>
      <c r="D44" t="s">
        <v>157</v>
      </c>
      <c r="E44" t="s">
        <v>150</v>
      </c>
      <c r="F44" t="s">
        <v>158</v>
      </c>
      <c r="G44" t="s">
        <v>152</v>
      </c>
      <c r="H44">
        <v>596</v>
      </c>
      <c r="I44">
        <v>167</v>
      </c>
      <c r="J44">
        <v>120</v>
      </c>
      <c r="K44">
        <v>72</v>
      </c>
      <c r="L44">
        <v>0</v>
      </c>
      <c r="M44">
        <v>72</v>
      </c>
      <c r="N44">
        <v>0</v>
      </c>
      <c r="O44">
        <v>3</v>
      </c>
      <c r="P44">
        <v>8400</v>
      </c>
      <c r="Q44">
        <v>90</v>
      </c>
      <c r="R44">
        <v>226</v>
      </c>
      <c r="S44">
        <v>370</v>
      </c>
      <c r="T44">
        <v>19954</v>
      </c>
      <c r="U44">
        <v>20639</v>
      </c>
      <c r="V44">
        <v>0</v>
      </c>
      <c r="W44">
        <v>0.280201342</v>
      </c>
      <c r="X44">
        <v>0.718562874</v>
      </c>
      <c r="Y44">
        <v>0.6</v>
      </c>
      <c r="Z44">
        <v>596</v>
      </c>
      <c r="AA44">
        <v>0.379194631</v>
      </c>
      <c r="AB44">
        <v>53.92972973</v>
      </c>
      <c r="AC44">
        <v>611280</v>
      </c>
    </row>
    <row r="45" ht="14.25" customHeight="1">
      <c r="A45" t="s">
        <v>147</v>
      </c>
      <c r="B45" t="s">
        <v>148</v>
      </c>
      <c r="C45" t="s">
        <v>95</v>
      </c>
      <c r="D45" t="s">
        <v>157</v>
      </c>
      <c r="E45" t="s">
        <v>153</v>
      </c>
      <c r="F45" t="s">
        <v>151</v>
      </c>
      <c r="G45" t="s">
        <v>152</v>
      </c>
      <c r="H45">
        <v>0</v>
      </c>
      <c r="I45">
        <v>0</v>
      </c>
      <c r="J45">
        <v>0</v>
      </c>
      <c r="K45">
        <v>0</v>
      </c>
      <c r="L45">
        <v>70</v>
      </c>
      <c r="M45">
        <v>70</v>
      </c>
      <c r="N45">
        <v>72</v>
      </c>
      <c r="O45">
        <v>3</v>
      </c>
      <c r="P45">
        <v>7840</v>
      </c>
      <c r="Q45">
        <v>90</v>
      </c>
      <c r="R45">
        <v>0</v>
      </c>
      <c r="S45">
        <v>0</v>
      </c>
      <c r="T45">
        <v>0</v>
      </c>
      <c r="U45">
        <v>0</v>
      </c>
      <c r="V45">
        <v>0.972222222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548800</v>
      </c>
    </row>
    <row r="46" ht="14.25" customHeight="1">
      <c r="A46" t="s">
        <v>147</v>
      </c>
      <c r="B46" t="s">
        <v>148</v>
      </c>
      <c r="C46" t="s">
        <v>95</v>
      </c>
      <c r="D46" t="s">
        <v>157</v>
      </c>
      <c r="E46" t="s">
        <v>154</v>
      </c>
      <c r="F46" t="s">
        <v>151</v>
      </c>
      <c r="G46" t="s">
        <v>152</v>
      </c>
      <c r="H46">
        <v>0</v>
      </c>
      <c r="I46">
        <v>0</v>
      </c>
      <c r="J46">
        <v>0</v>
      </c>
      <c r="K46">
        <v>0</v>
      </c>
      <c r="L46">
        <v>69</v>
      </c>
      <c r="M46">
        <v>69</v>
      </c>
      <c r="N46">
        <v>70</v>
      </c>
      <c r="O46">
        <v>3</v>
      </c>
      <c r="P46">
        <v>7840</v>
      </c>
      <c r="Q46">
        <v>90</v>
      </c>
      <c r="R46">
        <v>0</v>
      </c>
      <c r="S46">
        <v>0</v>
      </c>
      <c r="T46">
        <v>0</v>
      </c>
      <c r="U46">
        <v>0</v>
      </c>
      <c r="V46">
        <v>0.985714286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540960</v>
      </c>
    </row>
    <row r="47" ht="14.25" customHeight="1">
      <c r="A47" t="s">
        <v>147</v>
      </c>
      <c r="B47" t="s">
        <v>148</v>
      </c>
      <c r="C47" t="s">
        <v>95</v>
      </c>
      <c r="D47" t="s">
        <v>159</v>
      </c>
      <c r="E47" t="s">
        <v>160</v>
      </c>
      <c r="F47" t="s">
        <v>151</v>
      </c>
      <c r="G47" t="s">
        <v>152</v>
      </c>
      <c r="H47">
        <v>1220</v>
      </c>
      <c r="I47">
        <v>244</v>
      </c>
      <c r="J47">
        <v>171</v>
      </c>
      <c r="K47">
        <v>72</v>
      </c>
      <c r="L47">
        <v>0</v>
      </c>
      <c r="M47">
        <v>72</v>
      </c>
      <c r="N47">
        <v>0</v>
      </c>
      <c r="O47">
        <v>3</v>
      </c>
      <c r="P47">
        <v>8400</v>
      </c>
      <c r="Q47">
        <v>90</v>
      </c>
      <c r="R47">
        <v>464</v>
      </c>
      <c r="S47">
        <v>756</v>
      </c>
      <c r="T47">
        <v>40846</v>
      </c>
      <c r="U47">
        <v>42247</v>
      </c>
      <c r="V47">
        <v>0</v>
      </c>
      <c r="W47">
        <v>0.2</v>
      </c>
      <c r="X47">
        <v>0.700819672</v>
      </c>
      <c r="Y47">
        <v>0.421052632</v>
      </c>
      <c r="Z47">
        <v>1220</v>
      </c>
      <c r="AA47">
        <v>0.380327869</v>
      </c>
      <c r="AB47">
        <v>54.029100529</v>
      </c>
      <c r="AC47">
        <v>611280</v>
      </c>
    </row>
    <row r="48" ht="14.25" customHeight="1">
      <c r="A48" t="s">
        <v>147</v>
      </c>
      <c r="B48" t="s">
        <v>148</v>
      </c>
      <c r="C48" t="s">
        <v>95</v>
      </c>
      <c r="D48" t="s">
        <v>159</v>
      </c>
      <c r="E48" t="s">
        <v>161</v>
      </c>
      <c r="F48" t="s">
        <v>151</v>
      </c>
      <c r="G48" t="s">
        <v>152</v>
      </c>
      <c r="H48">
        <v>0</v>
      </c>
      <c r="I48">
        <v>0</v>
      </c>
      <c r="J48">
        <v>0</v>
      </c>
      <c r="K48">
        <v>0</v>
      </c>
      <c r="L48">
        <v>71</v>
      </c>
      <c r="M48">
        <v>71</v>
      </c>
      <c r="N48">
        <v>72</v>
      </c>
      <c r="O48">
        <v>3</v>
      </c>
      <c r="P48">
        <v>8400</v>
      </c>
      <c r="Q48">
        <v>90</v>
      </c>
      <c r="R48">
        <v>0</v>
      </c>
      <c r="S48">
        <v>0</v>
      </c>
      <c r="T48">
        <v>0</v>
      </c>
      <c r="U48">
        <v>0</v>
      </c>
      <c r="V48">
        <v>0.986111111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596400</v>
      </c>
    </row>
    <row r="49" ht="14.25" customHeight="1">
      <c r="A49" t="s">
        <v>147</v>
      </c>
      <c r="B49" t="s">
        <v>148</v>
      </c>
      <c r="C49" t="s">
        <v>95</v>
      </c>
      <c r="D49" t="s">
        <v>157</v>
      </c>
      <c r="E49" t="s">
        <v>150</v>
      </c>
      <c r="F49" t="s">
        <v>158</v>
      </c>
      <c r="G49" t="s">
        <v>155</v>
      </c>
      <c r="H49">
        <v>562</v>
      </c>
      <c r="I49">
        <v>158</v>
      </c>
      <c r="J49">
        <v>113</v>
      </c>
      <c r="K49">
        <v>68</v>
      </c>
      <c r="L49">
        <v>0</v>
      </c>
      <c r="M49">
        <v>68</v>
      </c>
      <c r="N49">
        <v>0</v>
      </c>
      <c r="O49">
        <v>3</v>
      </c>
      <c r="P49">
        <v>8400</v>
      </c>
      <c r="Q49">
        <v>90</v>
      </c>
      <c r="R49">
        <v>220</v>
      </c>
      <c r="S49">
        <v>354</v>
      </c>
      <c r="T49">
        <v>18140</v>
      </c>
      <c r="U49">
        <v>18785</v>
      </c>
      <c r="V49">
        <v>0</v>
      </c>
      <c r="W49">
        <v>0.28113879</v>
      </c>
      <c r="X49">
        <v>0.715189873</v>
      </c>
      <c r="Y49">
        <v>0.601769912</v>
      </c>
      <c r="Z49">
        <v>574</v>
      </c>
      <c r="AA49">
        <v>0.383275261</v>
      </c>
      <c r="AB49">
        <v>51.242937853</v>
      </c>
      <c r="AC49">
        <v>577320</v>
      </c>
    </row>
    <row r="50" ht="14.25" customHeight="1">
      <c r="A50" t="s">
        <v>147</v>
      </c>
      <c r="B50" t="s">
        <v>148</v>
      </c>
      <c r="C50" t="s">
        <v>95</v>
      </c>
      <c r="D50" t="s">
        <v>157</v>
      </c>
      <c r="E50" t="s">
        <v>153</v>
      </c>
      <c r="F50" t="s">
        <v>151</v>
      </c>
      <c r="G50" t="s">
        <v>155</v>
      </c>
      <c r="H50">
        <v>0</v>
      </c>
      <c r="I50">
        <v>0</v>
      </c>
      <c r="J50">
        <v>0</v>
      </c>
      <c r="K50">
        <v>0</v>
      </c>
      <c r="L50">
        <v>66</v>
      </c>
      <c r="M50">
        <v>66</v>
      </c>
      <c r="N50">
        <v>68</v>
      </c>
      <c r="O50">
        <v>3</v>
      </c>
      <c r="P50">
        <v>7840</v>
      </c>
      <c r="Q50">
        <v>90</v>
      </c>
      <c r="R50">
        <v>0</v>
      </c>
      <c r="S50">
        <v>0</v>
      </c>
      <c r="T50">
        <v>0</v>
      </c>
      <c r="U50">
        <v>0</v>
      </c>
      <c r="V50">
        <v>0.970588235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517440</v>
      </c>
    </row>
    <row r="51" ht="14.25" customHeight="1">
      <c r="A51" t="s">
        <v>147</v>
      </c>
      <c r="B51" t="s">
        <v>148</v>
      </c>
      <c r="C51" t="s">
        <v>95</v>
      </c>
      <c r="D51" t="s">
        <v>157</v>
      </c>
      <c r="E51" t="s">
        <v>154</v>
      </c>
      <c r="F51" t="s">
        <v>151</v>
      </c>
      <c r="G51" t="s">
        <v>155</v>
      </c>
      <c r="H51">
        <v>0</v>
      </c>
      <c r="I51">
        <v>0</v>
      </c>
      <c r="J51">
        <v>0</v>
      </c>
      <c r="K51">
        <v>0</v>
      </c>
      <c r="L51">
        <v>65</v>
      </c>
      <c r="M51">
        <v>65</v>
      </c>
      <c r="N51">
        <v>66</v>
      </c>
      <c r="O51">
        <v>3</v>
      </c>
      <c r="P51">
        <v>7840</v>
      </c>
      <c r="Q51">
        <v>90</v>
      </c>
      <c r="R51">
        <v>0</v>
      </c>
      <c r="S51">
        <v>0</v>
      </c>
      <c r="T51">
        <v>0</v>
      </c>
      <c r="U51">
        <v>0</v>
      </c>
      <c r="V51">
        <v>0.984848485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509600</v>
      </c>
    </row>
    <row r="52" ht="14.25" customHeight="1">
      <c r="A52" t="s">
        <v>147</v>
      </c>
      <c r="B52" t="s">
        <v>148</v>
      </c>
      <c r="C52" t="s">
        <v>95</v>
      </c>
      <c r="D52" t="s">
        <v>159</v>
      </c>
      <c r="E52" t="s">
        <v>160</v>
      </c>
      <c r="F52" t="s">
        <v>151</v>
      </c>
      <c r="G52" t="s">
        <v>155</v>
      </c>
      <c r="H52">
        <v>1151</v>
      </c>
      <c r="I52">
        <v>230</v>
      </c>
      <c r="J52">
        <v>161</v>
      </c>
      <c r="K52">
        <v>68</v>
      </c>
      <c r="L52">
        <v>0</v>
      </c>
      <c r="M52">
        <v>68</v>
      </c>
      <c r="N52">
        <v>0</v>
      </c>
      <c r="O52">
        <v>3</v>
      </c>
      <c r="P52">
        <v>8400</v>
      </c>
      <c r="Q52">
        <v>90</v>
      </c>
      <c r="R52">
        <v>450</v>
      </c>
      <c r="S52">
        <v>726</v>
      </c>
      <c r="T52">
        <v>37132</v>
      </c>
      <c r="U52">
        <v>38451</v>
      </c>
      <c r="V52">
        <v>0</v>
      </c>
      <c r="W52">
        <v>0.199826238</v>
      </c>
      <c r="X52">
        <v>0.7</v>
      </c>
      <c r="Y52">
        <v>0.422360248</v>
      </c>
      <c r="Z52">
        <v>1176</v>
      </c>
      <c r="AA52">
        <v>0.382653061</v>
      </c>
      <c r="AB52">
        <v>51.14600551</v>
      </c>
      <c r="AC52">
        <v>577320</v>
      </c>
    </row>
    <row r="53" ht="14.25" customHeight="1">
      <c r="A53" t="s">
        <v>147</v>
      </c>
      <c r="B53" t="s">
        <v>148</v>
      </c>
      <c r="C53" t="s">
        <v>95</v>
      </c>
      <c r="D53" t="s">
        <v>159</v>
      </c>
      <c r="E53" t="s">
        <v>161</v>
      </c>
      <c r="F53" t="s">
        <v>151</v>
      </c>
      <c r="G53" t="s">
        <v>155</v>
      </c>
      <c r="H53">
        <v>0</v>
      </c>
      <c r="I53">
        <v>0</v>
      </c>
      <c r="J53">
        <v>0</v>
      </c>
      <c r="K53">
        <v>0</v>
      </c>
      <c r="L53">
        <v>67</v>
      </c>
      <c r="M53">
        <v>67</v>
      </c>
      <c r="N53">
        <v>68</v>
      </c>
      <c r="O53">
        <v>3</v>
      </c>
      <c r="P53">
        <v>8400</v>
      </c>
      <c r="Q53">
        <v>90</v>
      </c>
      <c r="R53">
        <v>0</v>
      </c>
      <c r="S53">
        <v>0</v>
      </c>
      <c r="T53">
        <v>0</v>
      </c>
      <c r="U53">
        <v>0</v>
      </c>
      <c r="V53">
        <v>0.985294118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562800</v>
      </c>
    </row>
    <row r="54" ht="14.25" customHeight="1">
      <c r="A54" t="s">
        <v>147</v>
      </c>
      <c r="B54" t="s">
        <v>148</v>
      </c>
      <c r="C54" t="s">
        <v>95</v>
      </c>
      <c r="D54" t="s">
        <v>157</v>
      </c>
      <c r="E54" t="s">
        <v>150</v>
      </c>
      <c r="F54" t="s">
        <v>158</v>
      </c>
      <c r="G54" t="s">
        <v>156</v>
      </c>
      <c r="H54">
        <v>530</v>
      </c>
      <c r="I54">
        <v>149</v>
      </c>
      <c r="J54">
        <v>107</v>
      </c>
      <c r="K54">
        <v>64</v>
      </c>
      <c r="L54">
        <v>0</v>
      </c>
      <c r="M54">
        <v>64</v>
      </c>
      <c r="N54">
        <v>0</v>
      </c>
      <c r="O54">
        <v>3</v>
      </c>
      <c r="P54">
        <v>8400</v>
      </c>
      <c r="Q54">
        <v>90</v>
      </c>
      <c r="R54">
        <v>213</v>
      </c>
      <c r="S54">
        <v>340</v>
      </c>
      <c r="T54">
        <v>16491</v>
      </c>
      <c r="U54">
        <v>17097</v>
      </c>
      <c r="V54">
        <v>0</v>
      </c>
      <c r="W54">
        <v>0.281132075</v>
      </c>
      <c r="X54">
        <v>0.718120805</v>
      </c>
      <c r="Y54">
        <v>0.598130841</v>
      </c>
      <c r="Z54">
        <v>553</v>
      </c>
      <c r="AA54">
        <v>0.38517179</v>
      </c>
      <c r="AB54">
        <v>48.502941176</v>
      </c>
      <c r="AC54">
        <v>543360</v>
      </c>
    </row>
    <row r="55" ht="14.25" customHeight="1">
      <c r="A55" t="s">
        <v>147</v>
      </c>
      <c r="B55" t="s">
        <v>148</v>
      </c>
      <c r="C55" t="s">
        <v>95</v>
      </c>
      <c r="D55" t="s">
        <v>157</v>
      </c>
      <c r="E55" t="s">
        <v>153</v>
      </c>
      <c r="F55" t="s">
        <v>151</v>
      </c>
      <c r="G55" t="s">
        <v>156</v>
      </c>
      <c r="H55">
        <v>0</v>
      </c>
      <c r="I55">
        <v>0</v>
      </c>
      <c r="J55">
        <v>0</v>
      </c>
      <c r="K55">
        <v>0</v>
      </c>
      <c r="L55">
        <v>62</v>
      </c>
      <c r="M55">
        <v>62</v>
      </c>
      <c r="N55">
        <v>64</v>
      </c>
      <c r="O55">
        <v>3</v>
      </c>
      <c r="P55">
        <v>7840</v>
      </c>
      <c r="Q55">
        <v>90</v>
      </c>
      <c r="R55">
        <v>0</v>
      </c>
      <c r="S55">
        <v>0</v>
      </c>
      <c r="T55">
        <v>0</v>
      </c>
      <c r="U55">
        <v>0</v>
      </c>
      <c r="V55">
        <v>0.96875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486080</v>
      </c>
    </row>
    <row r="56" ht="14.25" customHeight="1">
      <c r="A56" t="s">
        <v>147</v>
      </c>
      <c r="B56" t="s">
        <v>148</v>
      </c>
      <c r="C56" t="s">
        <v>95</v>
      </c>
      <c r="D56" t="s">
        <v>157</v>
      </c>
      <c r="E56" t="s">
        <v>154</v>
      </c>
      <c r="F56" t="s">
        <v>151</v>
      </c>
      <c r="G56" t="s">
        <v>156</v>
      </c>
      <c r="H56">
        <v>0</v>
      </c>
      <c r="I56">
        <v>0</v>
      </c>
      <c r="J56">
        <v>0</v>
      </c>
      <c r="K56">
        <v>0</v>
      </c>
      <c r="L56">
        <v>61</v>
      </c>
      <c r="M56">
        <v>61</v>
      </c>
      <c r="N56">
        <v>62</v>
      </c>
      <c r="O56">
        <v>3</v>
      </c>
      <c r="P56">
        <v>7840</v>
      </c>
      <c r="Q56">
        <v>90</v>
      </c>
      <c r="R56">
        <v>0</v>
      </c>
      <c r="S56">
        <v>0</v>
      </c>
      <c r="T56">
        <v>0</v>
      </c>
      <c r="U56">
        <v>0</v>
      </c>
      <c r="V56">
        <v>0.983870968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478240</v>
      </c>
    </row>
    <row r="57" ht="14.25" customHeight="1">
      <c r="A57" t="s">
        <v>147</v>
      </c>
      <c r="B57" t="s">
        <v>148</v>
      </c>
      <c r="C57" t="s">
        <v>95</v>
      </c>
      <c r="D57" t="s">
        <v>159</v>
      </c>
      <c r="E57" t="s">
        <v>160</v>
      </c>
      <c r="F57" t="s">
        <v>151</v>
      </c>
      <c r="G57" t="s">
        <v>156</v>
      </c>
      <c r="H57">
        <v>1086</v>
      </c>
      <c r="I57">
        <v>217</v>
      </c>
      <c r="J57">
        <v>152</v>
      </c>
      <c r="K57">
        <v>64</v>
      </c>
      <c r="L57">
        <v>0</v>
      </c>
      <c r="M57">
        <v>64</v>
      </c>
      <c r="N57">
        <v>0</v>
      </c>
      <c r="O57">
        <v>3</v>
      </c>
      <c r="P57">
        <v>8400</v>
      </c>
      <c r="Q57">
        <v>90</v>
      </c>
      <c r="R57">
        <v>437</v>
      </c>
      <c r="S57">
        <v>695</v>
      </c>
      <c r="T57">
        <v>33757</v>
      </c>
      <c r="U57">
        <v>34997</v>
      </c>
      <c r="V57">
        <v>0</v>
      </c>
      <c r="W57">
        <v>0.199815838</v>
      </c>
      <c r="X57">
        <v>0.700460829</v>
      </c>
      <c r="Y57">
        <v>0.421052632</v>
      </c>
      <c r="Z57">
        <v>1132</v>
      </c>
      <c r="AA57">
        <v>0.386042403</v>
      </c>
      <c r="AB57">
        <v>48.571223022</v>
      </c>
      <c r="AC57">
        <v>543360</v>
      </c>
    </row>
    <row r="58" ht="14.25" customHeight="1">
      <c r="A58" t="s">
        <v>147</v>
      </c>
      <c r="B58" t="s">
        <v>148</v>
      </c>
      <c r="C58" t="s">
        <v>95</v>
      </c>
      <c r="D58" t="s">
        <v>159</v>
      </c>
      <c r="E58" t="s">
        <v>161</v>
      </c>
      <c r="F58" t="s">
        <v>151</v>
      </c>
      <c r="G58" t="s">
        <v>156</v>
      </c>
      <c r="H58">
        <v>0</v>
      </c>
      <c r="I58">
        <v>0</v>
      </c>
      <c r="J58">
        <v>0</v>
      </c>
      <c r="K58">
        <v>0</v>
      </c>
      <c r="L58">
        <v>63</v>
      </c>
      <c r="M58">
        <v>63</v>
      </c>
      <c r="N58">
        <v>64</v>
      </c>
      <c r="O58">
        <v>3</v>
      </c>
      <c r="P58">
        <v>8400</v>
      </c>
      <c r="Q58">
        <v>90</v>
      </c>
      <c r="R58">
        <v>0</v>
      </c>
      <c r="S58">
        <v>0</v>
      </c>
      <c r="T58">
        <v>0</v>
      </c>
      <c r="U58">
        <v>0</v>
      </c>
      <c r="V58">
        <v>0.984375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529200</v>
      </c>
    </row>
    <row r="59" ht="14.25" customHeight="1">
      <c r="A59" t="s">
        <v>147</v>
      </c>
      <c r="B59" t="s">
        <v>148</v>
      </c>
      <c r="C59" t="s">
        <v>97</v>
      </c>
      <c r="D59" t="s">
        <v>157</v>
      </c>
      <c r="E59" t="s">
        <v>150</v>
      </c>
      <c r="F59" t="s">
        <v>158</v>
      </c>
      <c r="G59" t="s">
        <v>156</v>
      </c>
      <c r="H59">
        <v>344</v>
      </c>
      <c r="I59">
        <v>96</v>
      </c>
      <c r="J59">
        <v>69</v>
      </c>
      <c r="K59">
        <v>42</v>
      </c>
      <c r="L59">
        <v>0</v>
      </c>
      <c r="M59">
        <v>42</v>
      </c>
      <c r="N59">
        <v>0</v>
      </c>
      <c r="O59">
        <v>2</v>
      </c>
      <c r="P59">
        <v>7200</v>
      </c>
      <c r="Q59">
        <v>90</v>
      </c>
      <c r="R59">
        <v>186</v>
      </c>
      <c r="S59">
        <v>171</v>
      </c>
      <c r="T59">
        <v>5940</v>
      </c>
      <c r="U59">
        <v>15179</v>
      </c>
      <c r="V59">
        <v>0</v>
      </c>
      <c r="W59">
        <v>0.279069767</v>
      </c>
      <c r="X59">
        <v>0.71875</v>
      </c>
      <c r="Y59">
        <v>0.608695652</v>
      </c>
      <c r="Z59">
        <v>357</v>
      </c>
      <c r="AA59">
        <v>0.521008403</v>
      </c>
      <c r="AB59">
        <v>34.736842105</v>
      </c>
      <c r="AC59">
        <v>306180</v>
      </c>
    </row>
    <row r="60" ht="14.25" customHeight="1">
      <c r="A60" t="s">
        <v>147</v>
      </c>
      <c r="B60" t="s">
        <v>148</v>
      </c>
      <c r="C60" t="s">
        <v>97</v>
      </c>
      <c r="D60" t="s">
        <v>157</v>
      </c>
      <c r="E60" t="s">
        <v>153</v>
      </c>
      <c r="F60" t="s">
        <v>151</v>
      </c>
      <c r="G60" t="s">
        <v>156</v>
      </c>
      <c r="H60">
        <v>0</v>
      </c>
      <c r="I60">
        <v>0</v>
      </c>
      <c r="J60">
        <v>0</v>
      </c>
      <c r="K60">
        <v>0</v>
      </c>
      <c r="L60">
        <v>41</v>
      </c>
      <c r="M60">
        <v>41</v>
      </c>
      <c r="N60">
        <v>42</v>
      </c>
      <c r="O60">
        <v>2</v>
      </c>
      <c r="P60">
        <v>6720</v>
      </c>
      <c r="Q60">
        <v>90</v>
      </c>
      <c r="R60">
        <v>0</v>
      </c>
      <c r="S60">
        <v>0</v>
      </c>
      <c r="T60">
        <v>0</v>
      </c>
      <c r="U60">
        <v>0</v>
      </c>
      <c r="V60">
        <v>0.976190476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275520</v>
      </c>
    </row>
    <row r="61" ht="14.25" customHeight="1">
      <c r="A61" t="s">
        <v>147</v>
      </c>
      <c r="B61" t="s">
        <v>148</v>
      </c>
      <c r="C61" t="s">
        <v>97</v>
      </c>
      <c r="D61" t="s">
        <v>157</v>
      </c>
      <c r="E61" t="s">
        <v>154</v>
      </c>
      <c r="F61" t="s">
        <v>151</v>
      </c>
      <c r="G61" t="s">
        <v>156</v>
      </c>
      <c r="H61">
        <v>0</v>
      </c>
      <c r="I61">
        <v>0</v>
      </c>
      <c r="J61">
        <v>0</v>
      </c>
      <c r="K61">
        <v>0</v>
      </c>
      <c r="L61">
        <v>40</v>
      </c>
      <c r="M61">
        <v>40</v>
      </c>
      <c r="N61">
        <v>41</v>
      </c>
      <c r="O61">
        <v>2</v>
      </c>
      <c r="P61">
        <v>6720</v>
      </c>
      <c r="Q61">
        <v>90</v>
      </c>
      <c r="R61">
        <v>0</v>
      </c>
      <c r="S61">
        <v>0</v>
      </c>
      <c r="T61">
        <v>0</v>
      </c>
      <c r="U61">
        <v>0</v>
      </c>
      <c r="V61">
        <v>0.975609756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268800</v>
      </c>
    </row>
    <row r="62" ht="14.25" customHeight="1">
      <c r="A62" t="s">
        <v>147</v>
      </c>
      <c r="B62" t="s">
        <v>148</v>
      </c>
      <c r="C62" t="s">
        <v>97</v>
      </c>
      <c r="D62" t="s">
        <v>159</v>
      </c>
      <c r="E62" t="s">
        <v>160</v>
      </c>
      <c r="F62" t="s">
        <v>151</v>
      </c>
      <c r="G62" t="s">
        <v>156</v>
      </c>
      <c r="H62">
        <v>712</v>
      </c>
      <c r="I62">
        <v>142</v>
      </c>
      <c r="J62">
        <v>100</v>
      </c>
      <c r="K62">
        <v>42</v>
      </c>
      <c r="L62">
        <v>0</v>
      </c>
      <c r="M62">
        <v>42</v>
      </c>
      <c r="N62">
        <v>0</v>
      </c>
      <c r="O62">
        <v>2</v>
      </c>
      <c r="P62">
        <v>7200</v>
      </c>
      <c r="Q62">
        <v>90</v>
      </c>
      <c r="R62">
        <v>384</v>
      </c>
      <c r="S62">
        <v>355</v>
      </c>
      <c r="T62">
        <v>12311</v>
      </c>
      <c r="U62">
        <v>31458</v>
      </c>
      <c r="V62">
        <v>0</v>
      </c>
      <c r="W62">
        <v>0.199438202</v>
      </c>
      <c r="X62">
        <v>0.704225352</v>
      </c>
      <c r="Y62">
        <v>0.42</v>
      </c>
      <c r="Z62">
        <v>739</v>
      </c>
      <c r="AA62">
        <v>0.51962111</v>
      </c>
      <c r="AB62">
        <v>34.678873239</v>
      </c>
      <c r="AC62">
        <v>306180</v>
      </c>
    </row>
    <row r="63" ht="14.25" customHeight="1">
      <c r="A63" t="s">
        <v>147</v>
      </c>
      <c r="B63" t="s">
        <v>148</v>
      </c>
      <c r="C63" t="s">
        <v>97</v>
      </c>
      <c r="D63" t="s">
        <v>159</v>
      </c>
      <c r="E63" t="s">
        <v>161</v>
      </c>
      <c r="F63" t="s">
        <v>151</v>
      </c>
      <c r="G63" t="s">
        <v>156</v>
      </c>
      <c r="H63">
        <v>0</v>
      </c>
      <c r="I63">
        <v>0</v>
      </c>
      <c r="J63">
        <v>0</v>
      </c>
      <c r="K63">
        <v>0</v>
      </c>
      <c r="L63">
        <v>41</v>
      </c>
      <c r="M63">
        <v>41</v>
      </c>
      <c r="N63">
        <v>42</v>
      </c>
      <c r="O63">
        <v>2</v>
      </c>
      <c r="P63">
        <v>7200</v>
      </c>
      <c r="Q63">
        <v>90</v>
      </c>
      <c r="R63">
        <v>0</v>
      </c>
      <c r="S63">
        <v>0</v>
      </c>
      <c r="T63">
        <v>0</v>
      </c>
      <c r="U63">
        <v>0</v>
      </c>
      <c r="V63">
        <v>0.976190476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295200</v>
      </c>
    </row>
    <row r="64" ht="14.25" customHeight="1">
      <c r="A64" t="s">
        <v>147</v>
      </c>
      <c r="B64" t="s">
        <v>148</v>
      </c>
      <c r="C64" t="s">
        <v>97</v>
      </c>
      <c r="D64" t="s">
        <v>157</v>
      </c>
      <c r="E64" t="s">
        <v>150</v>
      </c>
      <c r="F64" t="s">
        <v>158</v>
      </c>
      <c r="G64" t="s">
        <v>155</v>
      </c>
      <c r="H64">
        <v>364</v>
      </c>
      <c r="I64">
        <v>102</v>
      </c>
      <c r="J64">
        <v>74</v>
      </c>
      <c r="K64">
        <v>44</v>
      </c>
      <c r="L64">
        <v>0</v>
      </c>
      <c r="M64">
        <v>44</v>
      </c>
      <c r="N64">
        <v>0</v>
      </c>
      <c r="O64">
        <v>2</v>
      </c>
      <c r="P64">
        <v>7200</v>
      </c>
      <c r="Q64">
        <v>90</v>
      </c>
      <c r="R64">
        <v>191</v>
      </c>
      <c r="S64">
        <v>180</v>
      </c>
      <c r="T64">
        <v>6534</v>
      </c>
      <c r="U64">
        <v>16504</v>
      </c>
      <c r="V64">
        <v>0</v>
      </c>
      <c r="W64">
        <v>0.28021978</v>
      </c>
      <c r="X64">
        <v>0.725490196</v>
      </c>
      <c r="Y64">
        <v>0.594594595</v>
      </c>
      <c r="Z64">
        <v>371</v>
      </c>
      <c r="AA64">
        <v>0.514824798</v>
      </c>
      <c r="AB64">
        <v>36.3</v>
      </c>
      <c r="AC64">
        <v>320760</v>
      </c>
    </row>
    <row r="65" ht="14.25" customHeight="1">
      <c r="A65" t="s">
        <v>147</v>
      </c>
      <c r="B65" t="s">
        <v>148</v>
      </c>
      <c r="C65" t="s">
        <v>97</v>
      </c>
      <c r="D65" t="s">
        <v>157</v>
      </c>
      <c r="E65" t="s">
        <v>153</v>
      </c>
      <c r="F65" t="s">
        <v>151</v>
      </c>
      <c r="G65" t="s">
        <v>155</v>
      </c>
      <c r="H65">
        <v>0</v>
      </c>
      <c r="I65">
        <v>0</v>
      </c>
      <c r="J65">
        <v>0</v>
      </c>
      <c r="K65">
        <v>0</v>
      </c>
      <c r="L65">
        <v>43</v>
      </c>
      <c r="M65">
        <v>43</v>
      </c>
      <c r="N65">
        <v>44</v>
      </c>
      <c r="O65">
        <v>2</v>
      </c>
      <c r="P65">
        <v>6720</v>
      </c>
      <c r="Q65">
        <v>90</v>
      </c>
      <c r="R65">
        <v>0</v>
      </c>
      <c r="S65">
        <v>0</v>
      </c>
      <c r="T65">
        <v>0</v>
      </c>
      <c r="U65">
        <v>0</v>
      </c>
      <c r="V65">
        <v>0.977272727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288960</v>
      </c>
    </row>
    <row r="66" ht="14.25" customHeight="1">
      <c r="A66" t="s">
        <v>147</v>
      </c>
      <c r="B66" t="s">
        <v>148</v>
      </c>
      <c r="C66" t="s">
        <v>97</v>
      </c>
      <c r="D66" t="s">
        <v>157</v>
      </c>
      <c r="E66" t="s">
        <v>154</v>
      </c>
      <c r="F66" t="s">
        <v>151</v>
      </c>
      <c r="G66" t="s">
        <v>155</v>
      </c>
      <c r="H66">
        <v>0</v>
      </c>
      <c r="I66">
        <v>0</v>
      </c>
      <c r="J66">
        <v>0</v>
      </c>
      <c r="K66">
        <v>0</v>
      </c>
      <c r="L66">
        <v>42</v>
      </c>
      <c r="M66">
        <v>42</v>
      </c>
      <c r="N66">
        <v>43</v>
      </c>
      <c r="O66">
        <v>2</v>
      </c>
      <c r="P66">
        <v>6720</v>
      </c>
      <c r="Q66">
        <v>90</v>
      </c>
      <c r="R66">
        <v>0</v>
      </c>
      <c r="S66">
        <v>0</v>
      </c>
      <c r="T66">
        <v>0</v>
      </c>
      <c r="U66">
        <v>0</v>
      </c>
      <c r="V66">
        <v>0.976744186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282240</v>
      </c>
    </row>
    <row r="67" ht="14.25" customHeight="1">
      <c r="A67" t="s">
        <v>147</v>
      </c>
      <c r="B67" t="s">
        <v>148</v>
      </c>
      <c r="C67" t="s">
        <v>97</v>
      </c>
      <c r="D67" t="s">
        <v>159</v>
      </c>
      <c r="E67" t="s">
        <v>160</v>
      </c>
      <c r="F67" t="s">
        <v>151</v>
      </c>
      <c r="G67" t="s">
        <v>155</v>
      </c>
      <c r="H67">
        <v>755</v>
      </c>
      <c r="I67">
        <v>151</v>
      </c>
      <c r="J67">
        <v>106</v>
      </c>
      <c r="K67">
        <v>44</v>
      </c>
      <c r="L67">
        <v>0</v>
      </c>
      <c r="M67">
        <v>44</v>
      </c>
      <c r="N67">
        <v>0</v>
      </c>
      <c r="O67">
        <v>2</v>
      </c>
      <c r="P67">
        <v>7200</v>
      </c>
      <c r="Q67">
        <v>90</v>
      </c>
      <c r="R67">
        <v>396</v>
      </c>
      <c r="S67">
        <v>373</v>
      </c>
      <c r="T67">
        <v>13542</v>
      </c>
      <c r="U67">
        <v>34206</v>
      </c>
      <c r="V67">
        <v>0</v>
      </c>
      <c r="W67">
        <v>0.2</v>
      </c>
      <c r="X67">
        <v>0.701986755</v>
      </c>
      <c r="Y67">
        <v>0.41509434</v>
      </c>
      <c r="Z67">
        <v>769</v>
      </c>
      <c r="AA67">
        <v>0.514954486</v>
      </c>
      <c r="AB67">
        <v>36.305630027</v>
      </c>
      <c r="AC67">
        <v>320760</v>
      </c>
    </row>
    <row r="68" ht="14.25" customHeight="1">
      <c r="A68" t="s">
        <v>147</v>
      </c>
      <c r="B68" t="s">
        <v>148</v>
      </c>
      <c r="C68" t="s">
        <v>97</v>
      </c>
      <c r="D68" t="s">
        <v>159</v>
      </c>
      <c r="E68" t="s">
        <v>161</v>
      </c>
      <c r="F68" t="s">
        <v>151</v>
      </c>
      <c r="G68" t="s">
        <v>155</v>
      </c>
      <c r="H68">
        <v>0</v>
      </c>
      <c r="I68">
        <v>0</v>
      </c>
      <c r="J68">
        <v>0</v>
      </c>
      <c r="K68">
        <v>0</v>
      </c>
      <c r="L68">
        <v>43</v>
      </c>
      <c r="M68">
        <v>43</v>
      </c>
      <c r="N68">
        <v>44</v>
      </c>
      <c r="O68">
        <v>2</v>
      </c>
      <c r="P68">
        <v>7200</v>
      </c>
      <c r="Q68">
        <v>90</v>
      </c>
      <c r="R68">
        <v>0</v>
      </c>
      <c r="S68">
        <v>0</v>
      </c>
      <c r="T68">
        <v>0</v>
      </c>
      <c r="U68">
        <v>0</v>
      </c>
      <c r="V68">
        <v>0.977272727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309600</v>
      </c>
    </row>
    <row r="69" ht="14.25" customHeight="1">
      <c r="A69" t="s">
        <v>147</v>
      </c>
      <c r="B69" t="s">
        <v>148</v>
      </c>
      <c r="C69" t="s">
        <v>97</v>
      </c>
      <c r="D69" t="s">
        <v>157</v>
      </c>
      <c r="E69" t="s">
        <v>150</v>
      </c>
      <c r="F69" t="s">
        <v>158</v>
      </c>
      <c r="G69" t="s">
        <v>152</v>
      </c>
      <c r="H69">
        <v>386</v>
      </c>
      <c r="I69">
        <v>108</v>
      </c>
      <c r="J69">
        <v>78</v>
      </c>
      <c r="K69">
        <v>47</v>
      </c>
      <c r="L69">
        <v>0</v>
      </c>
      <c r="M69">
        <v>47</v>
      </c>
      <c r="N69">
        <v>0</v>
      </c>
      <c r="O69">
        <v>2</v>
      </c>
      <c r="P69">
        <v>7200</v>
      </c>
      <c r="Q69">
        <v>90</v>
      </c>
      <c r="R69">
        <v>197</v>
      </c>
      <c r="S69">
        <v>189</v>
      </c>
      <c r="T69">
        <v>7187</v>
      </c>
      <c r="U69">
        <v>17946</v>
      </c>
      <c r="V69">
        <v>0</v>
      </c>
      <c r="W69">
        <v>0.279792746</v>
      </c>
      <c r="X69">
        <v>0.722222222</v>
      </c>
      <c r="Y69">
        <v>0.602564103</v>
      </c>
      <c r="Z69">
        <v>386</v>
      </c>
      <c r="AA69">
        <v>0.510362694</v>
      </c>
      <c r="AB69">
        <v>38.026455026</v>
      </c>
      <c r="AC69">
        <v>342630</v>
      </c>
    </row>
    <row r="70" ht="14.25" customHeight="1">
      <c r="A70" t="s">
        <v>147</v>
      </c>
      <c r="B70" t="s">
        <v>148</v>
      </c>
      <c r="C70" t="s">
        <v>97</v>
      </c>
      <c r="D70" t="s">
        <v>157</v>
      </c>
      <c r="E70" t="s">
        <v>153</v>
      </c>
      <c r="F70" t="s">
        <v>151</v>
      </c>
      <c r="G70" t="s">
        <v>152</v>
      </c>
      <c r="H70">
        <v>0</v>
      </c>
      <c r="I70">
        <v>0</v>
      </c>
      <c r="J70">
        <v>0</v>
      </c>
      <c r="K70">
        <v>0</v>
      </c>
      <c r="L70">
        <v>46</v>
      </c>
      <c r="M70">
        <v>46</v>
      </c>
      <c r="N70">
        <v>47</v>
      </c>
      <c r="O70">
        <v>2</v>
      </c>
      <c r="P70">
        <v>6720</v>
      </c>
      <c r="Q70">
        <v>90</v>
      </c>
      <c r="R70">
        <v>0</v>
      </c>
      <c r="S70">
        <v>0</v>
      </c>
      <c r="T70">
        <v>0</v>
      </c>
      <c r="U70">
        <v>0</v>
      </c>
      <c r="V70">
        <v>0.978723404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309120</v>
      </c>
    </row>
    <row r="71" ht="14.25" customHeight="1">
      <c r="A71" t="s">
        <v>147</v>
      </c>
      <c r="B71" t="s">
        <v>148</v>
      </c>
      <c r="C71" t="s">
        <v>97</v>
      </c>
      <c r="D71" t="s">
        <v>157</v>
      </c>
      <c r="E71" t="s">
        <v>154</v>
      </c>
      <c r="F71" t="s">
        <v>151</v>
      </c>
      <c r="G71" t="s">
        <v>152</v>
      </c>
      <c r="H71">
        <v>0</v>
      </c>
      <c r="I71">
        <v>0</v>
      </c>
      <c r="J71">
        <v>0</v>
      </c>
      <c r="K71">
        <v>0</v>
      </c>
      <c r="L71">
        <v>45</v>
      </c>
      <c r="M71">
        <v>45</v>
      </c>
      <c r="N71">
        <v>46</v>
      </c>
      <c r="O71">
        <v>2</v>
      </c>
      <c r="P71">
        <v>6720</v>
      </c>
      <c r="Q71">
        <v>90</v>
      </c>
      <c r="R71">
        <v>0</v>
      </c>
      <c r="S71">
        <v>0</v>
      </c>
      <c r="T71">
        <v>0</v>
      </c>
      <c r="U71">
        <v>0</v>
      </c>
      <c r="V71">
        <v>0.97826087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302400</v>
      </c>
    </row>
    <row r="72" ht="14.25" customHeight="1">
      <c r="A72" t="s">
        <v>147</v>
      </c>
      <c r="B72" t="s">
        <v>148</v>
      </c>
      <c r="C72" t="s">
        <v>97</v>
      </c>
      <c r="D72" t="s">
        <v>159</v>
      </c>
      <c r="E72" t="s">
        <v>160</v>
      </c>
      <c r="F72" t="s">
        <v>151</v>
      </c>
      <c r="G72" t="s">
        <v>152</v>
      </c>
      <c r="H72">
        <v>800</v>
      </c>
      <c r="I72">
        <v>160</v>
      </c>
      <c r="J72">
        <v>112</v>
      </c>
      <c r="K72">
        <v>47</v>
      </c>
      <c r="L72">
        <v>0</v>
      </c>
      <c r="M72">
        <v>47</v>
      </c>
      <c r="N72">
        <v>0</v>
      </c>
      <c r="O72">
        <v>2</v>
      </c>
      <c r="P72">
        <v>7200</v>
      </c>
      <c r="Q72">
        <v>90</v>
      </c>
      <c r="R72">
        <v>408</v>
      </c>
      <c r="S72">
        <v>392</v>
      </c>
      <c r="T72">
        <v>14896</v>
      </c>
      <c r="U72">
        <v>37193</v>
      </c>
      <c r="V72">
        <v>0</v>
      </c>
      <c r="W72">
        <v>0.2</v>
      </c>
      <c r="X72">
        <v>0.7</v>
      </c>
      <c r="Y72">
        <v>0.419642857</v>
      </c>
      <c r="Z72">
        <v>800</v>
      </c>
      <c r="AA72">
        <v>0.51</v>
      </c>
      <c r="AB72">
        <v>38</v>
      </c>
      <c r="AC72">
        <v>342630</v>
      </c>
    </row>
    <row r="73" ht="14.25" customHeight="1">
      <c r="A73" t="s">
        <v>147</v>
      </c>
      <c r="B73" t="s">
        <v>148</v>
      </c>
      <c r="C73" t="s">
        <v>97</v>
      </c>
      <c r="D73" t="s">
        <v>159</v>
      </c>
      <c r="E73" t="s">
        <v>161</v>
      </c>
      <c r="F73" t="s">
        <v>151</v>
      </c>
      <c r="G73" t="s">
        <v>152</v>
      </c>
      <c r="H73">
        <v>0</v>
      </c>
      <c r="I73">
        <v>0</v>
      </c>
      <c r="J73">
        <v>0</v>
      </c>
      <c r="K73">
        <v>0</v>
      </c>
      <c r="L73">
        <v>46</v>
      </c>
      <c r="M73">
        <v>46</v>
      </c>
      <c r="N73">
        <v>47</v>
      </c>
      <c r="O73">
        <v>2</v>
      </c>
      <c r="P73">
        <v>7200</v>
      </c>
      <c r="Q73">
        <v>90</v>
      </c>
      <c r="R73">
        <v>0</v>
      </c>
      <c r="S73">
        <v>0</v>
      </c>
      <c r="T73">
        <v>0</v>
      </c>
      <c r="U73">
        <v>0</v>
      </c>
      <c r="V73">
        <v>0.978723404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331200</v>
      </c>
    </row>
    <row r="74" ht="14.25" customHeight="1">
      <c r="A74" t="s">
        <v>147</v>
      </c>
      <c r="B74" t="s">
        <v>148</v>
      </c>
      <c r="C74" t="s">
        <v>99</v>
      </c>
      <c r="D74" t="s">
        <v>162</v>
      </c>
      <c r="E74" t="s">
        <v>150</v>
      </c>
      <c r="F74" t="s">
        <v>158</v>
      </c>
      <c r="G74" t="s">
        <v>152</v>
      </c>
      <c r="H74">
        <v>421</v>
      </c>
      <c r="I74">
        <v>118</v>
      </c>
      <c r="J74">
        <v>85</v>
      </c>
      <c r="K74">
        <v>51</v>
      </c>
      <c r="L74">
        <v>0</v>
      </c>
      <c r="M74">
        <v>51</v>
      </c>
      <c r="N74">
        <v>0</v>
      </c>
      <c r="O74">
        <v>2</v>
      </c>
      <c r="P74">
        <v>7275</v>
      </c>
      <c r="Q74">
        <v>90</v>
      </c>
      <c r="R74">
        <v>206</v>
      </c>
      <c r="S74">
        <v>215</v>
      </c>
      <c r="T74">
        <v>8159</v>
      </c>
      <c r="U74">
        <v>18797</v>
      </c>
      <c r="V74">
        <v>0</v>
      </c>
      <c r="W74">
        <v>0.280285036</v>
      </c>
      <c r="X74">
        <v>0.720338983</v>
      </c>
      <c r="Y74">
        <v>0.6</v>
      </c>
      <c r="Z74">
        <v>421</v>
      </c>
      <c r="AA74">
        <v>0.489311164</v>
      </c>
      <c r="AB74">
        <v>37.948837209</v>
      </c>
      <c r="AC74">
        <v>375615</v>
      </c>
    </row>
    <row r="75" ht="14.25" customHeight="1">
      <c r="A75" t="s">
        <v>147</v>
      </c>
      <c r="B75" t="s">
        <v>148</v>
      </c>
      <c r="C75" t="s">
        <v>99</v>
      </c>
      <c r="D75" t="s">
        <v>162</v>
      </c>
      <c r="E75" t="s">
        <v>153</v>
      </c>
      <c r="F75" t="s">
        <v>151</v>
      </c>
      <c r="G75" t="s">
        <v>152</v>
      </c>
      <c r="H75">
        <v>0</v>
      </c>
      <c r="I75">
        <v>0</v>
      </c>
      <c r="J75">
        <v>0</v>
      </c>
      <c r="K75">
        <v>0</v>
      </c>
      <c r="L75">
        <v>49</v>
      </c>
      <c r="M75">
        <v>49</v>
      </c>
      <c r="N75">
        <v>51</v>
      </c>
      <c r="O75">
        <v>2</v>
      </c>
      <c r="P75">
        <v>6790</v>
      </c>
      <c r="Q75">
        <v>90</v>
      </c>
      <c r="R75">
        <v>0</v>
      </c>
      <c r="S75">
        <v>0</v>
      </c>
      <c r="T75">
        <v>0</v>
      </c>
      <c r="U75">
        <v>0</v>
      </c>
      <c r="V75">
        <v>0.960784314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332710</v>
      </c>
    </row>
    <row r="76" ht="14.25" customHeight="1">
      <c r="A76" t="s">
        <v>147</v>
      </c>
      <c r="B76" t="s">
        <v>148</v>
      </c>
      <c r="C76" t="s">
        <v>99</v>
      </c>
      <c r="D76" t="s">
        <v>162</v>
      </c>
      <c r="E76" t="s">
        <v>154</v>
      </c>
      <c r="F76" t="s">
        <v>151</v>
      </c>
      <c r="G76" t="s">
        <v>152</v>
      </c>
      <c r="H76">
        <v>0</v>
      </c>
      <c r="I76">
        <v>0</v>
      </c>
      <c r="J76">
        <v>0</v>
      </c>
      <c r="K76">
        <v>0</v>
      </c>
      <c r="L76">
        <v>48</v>
      </c>
      <c r="M76">
        <v>48</v>
      </c>
      <c r="N76">
        <v>49</v>
      </c>
      <c r="O76">
        <v>2</v>
      </c>
      <c r="P76">
        <v>6790</v>
      </c>
      <c r="Q76">
        <v>90</v>
      </c>
      <c r="R76">
        <v>0</v>
      </c>
      <c r="S76">
        <v>0</v>
      </c>
      <c r="T76">
        <v>0</v>
      </c>
      <c r="U76">
        <v>0</v>
      </c>
      <c r="V76">
        <v>0.979591837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325920</v>
      </c>
    </row>
    <row r="77" ht="14.25" customHeight="1">
      <c r="A77" t="s">
        <v>147</v>
      </c>
      <c r="B77" t="s">
        <v>148</v>
      </c>
      <c r="C77" t="s">
        <v>99</v>
      </c>
      <c r="D77" t="s">
        <v>163</v>
      </c>
      <c r="E77" t="s">
        <v>160</v>
      </c>
      <c r="F77" t="s">
        <v>151</v>
      </c>
      <c r="G77" t="s">
        <v>152</v>
      </c>
      <c r="H77">
        <v>865</v>
      </c>
      <c r="I77">
        <v>173</v>
      </c>
      <c r="J77">
        <v>121</v>
      </c>
      <c r="K77">
        <v>51</v>
      </c>
      <c r="L77">
        <v>0</v>
      </c>
      <c r="M77">
        <v>51</v>
      </c>
      <c r="N77">
        <v>0</v>
      </c>
      <c r="O77">
        <v>2</v>
      </c>
      <c r="P77">
        <v>7275</v>
      </c>
      <c r="Q77">
        <v>90</v>
      </c>
      <c r="R77">
        <v>424</v>
      </c>
      <c r="S77">
        <v>441</v>
      </c>
      <c r="T77">
        <v>16764</v>
      </c>
      <c r="U77">
        <v>38621</v>
      </c>
      <c r="V77">
        <v>0</v>
      </c>
      <c r="W77">
        <v>0.2</v>
      </c>
      <c r="X77">
        <v>0.699421965</v>
      </c>
      <c r="Y77">
        <v>0.421487603</v>
      </c>
      <c r="Z77">
        <v>865</v>
      </c>
      <c r="AA77">
        <v>0.49017341</v>
      </c>
      <c r="AB77">
        <v>38.013605442</v>
      </c>
      <c r="AC77">
        <v>375615</v>
      </c>
    </row>
    <row r="78" ht="14.25" customHeight="1">
      <c r="A78" t="s">
        <v>147</v>
      </c>
      <c r="B78" t="s">
        <v>148</v>
      </c>
      <c r="C78" t="s">
        <v>99</v>
      </c>
      <c r="D78" t="s">
        <v>163</v>
      </c>
      <c r="E78" t="s">
        <v>161</v>
      </c>
      <c r="F78" t="s">
        <v>151</v>
      </c>
      <c r="G78" t="s">
        <v>152</v>
      </c>
      <c r="H78">
        <v>0</v>
      </c>
      <c r="I78">
        <v>0</v>
      </c>
      <c r="J78">
        <v>0</v>
      </c>
      <c r="K78">
        <v>0</v>
      </c>
      <c r="L78">
        <v>50</v>
      </c>
      <c r="M78">
        <v>50</v>
      </c>
      <c r="N78">
        <v>51</v>
      </c>
      <c r="O78">
        <v>2</v>
      </c>
      <c r="P78">
        <v>7275</v>
      </c>
      <c r="Q78">
        <v>90</v>
      </c>
      <c r="R78">
        <v>0</v>
      </c>
      <c r="S78">
        <v>0</v>
      </c>
      <c r="T78">
        <v>0</v>
      </c>
      <c r="U78">
        <v>0</v>
      </c>
      <c r="V78">
        <v>0.980392157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363750</v>
      </c>
    </row>
    <row r="79" ht="14.25" customHeight="1">
      <c r="A79" t="s">
        <v>147</v>
      </c>
      <c r="B79" t="s">
        <v>148</v>
      </c>
      <c r="C79" t="s">
        <v>99</v>
      </c>
      <c r="D79" t="s">
        <v>162</v>
      </c>
      <c r="E79" t="s">
        <v>150</v>
      </c>
      <c r="F79" t="s">
        <v>158</v>
      </c>
      <c r="G79" t="s">
        <v>155</v>
      </c>
      <c r="H79">
        <v>397</v>
      </c>
      <c r="I79">
        <v>111</v>
      </c>
      <c r="J79">
        <v>80</v>
      </c>
      <c r="K79">
        <v>48</v>
      </c>
      <c r="L79">
        <v>0</v>
      </c>
      <c r="M79">
        <v>48</v>
      </c>
      <c r="N79">
        <v>0</v>
      </c>
      <c r="O79">
        <v>2</v>
      </c>
      <c r="P79">
        <v>7275</v>
      </c>
      <c r="Q79">
        <v>90</v>
      </c>
      <c r="R79">
        <v>193</v>
      </c>
      <c r="S79">
        <v>204</v>
      </c>
      <c r="T79">
        <v>7417</v>
      </c>
      <c r="U79">
        <v>15467</v>
      </c>
      <c r="V79">
        <v>0</v>
      </c>
      <c r="W79">
        <v>0.279596977</v>
      </c>
      <c r="X79">
        <v>0.720720721</v>
      </c>
      <c r="Y79">
        <v>0.6</v>
      </c>
      <c r="Z79">
        <v>397</v>
      </c>
      <c r="AA79">
        <v>0.486146096</v>
      </c>
      <c r="AB79">
        <v>36.357843137</v>
      </c>
      <c r="AC79">
        <v>353520</v>
      </c>
    </row>
    <row r="80" ht="14.25" customHeight="1">
      <c r="A80" t="s">
        <v>147</v>
      </c>
      <c r="B80" t="s">
        <v>148</v>
      </c>
      <c r="C80" t="s">
        <v>99</v>
      </c>
      <c r="D80" t="s">
        <v>162</v>
      </c>
      <c r="E80" t="s">
        <v>153</v>
      </c>
      <c r="F80" t="s">
        <v>151</v>
      </c>
      <c r="G80" t="s">
        <v>155</v>
      </c>
      <c r="H80">
        <v>0</v>
      </c>
      <c r="I80">
        <v>0</v>
      </c>
      <c r="J80">
        <v>0</v>
      </c>
      <c r="K80">
        <v>0</v>
      </c>
      <c r="L80">
        <v>46</v>
      </c>
      <c r="M80">
        <v>46</v>
      </c>
      <c r="N80">
        <v>48</v>
      </c>
      <c r="O80">
        <v>2</v>
      </c>
      <c r="P80">
        <v>6790</v>
      </c>
      <c r="Q80">
        <v>90</v>
      </c>
      <c r="R80">
        <v>0</v>
      </c>
      <c r="S80">
        <v>0</v>
      </c>
      <c r="T80">
        <v>0</v>
      </c>
      <c r="U80">
        <v>0</v>
      </c>
      <c r="V80">
        <v>0.958333333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312340</v>
      </c>
    </row>
    <row r="81" ht="14.25" customHeight="1">
      <c r="A81" t="s">
        <v>147</v>
      </c>
      <c r="B81" t="s">
        <v>148</v>
      </c>
      <c r="C81" t="s">
        <v>99</v>
      </c>
      <c r="D81" t="s">
        <v>162</v>
      </c>
      <c r="E81" t="s">
        <v>154</v>
      </c>
      <c r="F81" t="s">
        <v>151</v>
      </c>
      <c r="G81" t="s">
        <v>155</v>
      </c>
      <c r="H81">
        <v>0</v>
      </c>
      <c r="I81">
        <v>0</v>
      </c>
      <c r="J81">
        <v>0</v>
      </c>
      <c r="K81">
        <v>0</v>
      </c>
      <c r="L81">
        <v>45</v>
      </c>
      <c r="M81">
        <v>45</v>
      </c>
      <c r="N81">
        <v>46</v>
      </c>
      <c r="O81">
        <v>2</v>
      </c>
      <c r="P81">
        <v>6790</v>
      </c>
      <c r="Q81">
        <v>90</v>
      </c>
      <c r="R81">
        <v>0</v>
      </c>
      <c r="S81">
        <v>0</v>
      </c>
      <c r="T81">
        <v>0</v>
      </c>
      <c r="U81">
        <v>0</v>
      </c>
      <c r="V81">
        <v>0.97826087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305550</v>
      </c>
    </row>
    <row r="82" ht="14.25" customHeight="1">
      <c r="A82" t="s">
        <v>147</v>
      </c>
      <c r="B82" t="s">
        <v>148</v>
      </c>
      <c r="C82" t="s">
        <v>99</v>
      </c>
      <c r="D82" t="s">
        <v>163</v>
      </c>
      <c r="E82" t="s">
        <v>160</v>
      </c>
      <c r="F82" t="s">
        <v>151</v>
      </c>
      <c r="G82" t="s">
        <v>155</v>
      </c>
      <c r="H82">
        <v>816</v>
      </c>
      <c r="I82">
        <v>163</v>
      </c>
      <c r="J82">
        <v>114</v>
      </c>
      <c r="K82">
        <v>48</v>
      </c>
      <c r="L82">
        <v>0</v>
      </c>
      <c r="M82">
        <v>48</v>
      </c>
      <c r="N82">
        <v>0</v>
      </c>
      <c r="O82">
        <v>2</v>
      </c>
      <c r="P82">
        <v>7275</v>
      </c>
      <c r="Q82">
        <v>90</v>
      </c>
      <c r="R82">
        <v>396</v>
      </c>
      <c r="S82">
        <v>419</v>
      </c>
      <c r="T82">
        <v>15240</v>
      </c>
      <c r="U82">
        <v>31779</v>
      </c>
      <c r="V82">
        <v>0</v>
      </c>
      <c r="W82">
        <v>0.199754902</v>
      </c>
      <c r="X82">
        <v>0.699386503</v>
      </c>
      <c r="Y82">
        <v>0.421052632</v>
      </c>
      <c r="Z82">
        <v>815</v>
      </c>
      <c r="AA82">
        <v>0.485889571</v>
      </c>
      <c r="AB82">
        <v>36.372315036</v>
      </c>
      <c r="AC82">
        <v>353520</v>
      </c>
    </row>
    <row r="83" ht="14.25" customHeight="1">
      <c r="A83" t="s">
        <v>147</v>
      </c>
      <c r="B83" t="s">
        <v>148</v>
      </c>
      <c r="C83" t="s">
        <v>99</v>
      </c>
      <c r="D83" t="s">
        <v>163</v>
      </c>
      <c r="E83" t="s">
        <v>161</v>
      </c>
      <c r="F83" t="s">
        <v>151</v>
      </c>
      <c r="G83" t="s">
        <v>155</v>
      </c>
      <c r="H83">
        <v>0</v>
      </c>
      <c r="I83">
        <v>0</v>
      </c>
      <c r="J83">
        <v>0</v>
      </c>
      <c r="K83">
        <v>0</v>
      </c>
      <c r="L83">
        <v>47</v>
      </c>
      <c r="M83">
        <v>47</v>
      </c>
      <c r="N83">
        <v>48</v>
      </c>
      <c r="O83">
        <v>2</v>
      </c>
      <c r="P83">
        <v>7275</v>
      </c>
      <c r="Q83">
        <v>90</v>
      </c>
      <c r="R83">
        <v>0</v>
      </c>
      <c r="S83">
        <v>0</v>
      </c>
      <c r="T83">
        <v>0</v>
      </c>
      <c r="U83">
        <v>0</v>
      </c>
      <c r="V83">
        <v>0.979166667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341925</v>
      </c>
    </row>
    <row r="84" ht="14.25" customHeight="1">
      <c r="A84" t="s">
        <v>147</v>
      </c>
      <c r="B84" t="s">
        <v>148</v>
      </c>
      <c r="C84" t="s">
        <v>99</v>
      </c>
      <c r="D84" t="s">
        <v>162</v>
      </c>
      <c r="E84" t="s">
        <v>150</v>
      </c>
      <c r="F84" t="s">
        <v>158</v>
      </c>
      <c r="G84" t="s">
        <v>156</v>
      </c>
      <c r="H84">
        <v>375</v>
      </c>
      <c r="I84">
        <v>105</v>
      </c>
      <c r="J84">
        <v>76</v>
      </c>
      <c r="K84">
        <v>45</v>
      </c>
      <c r="L84">
        <v>0</v>
      </c>
      <c r="M84">
        <v>45</v>
      </c>
      <c r="N84">
        <v>0</v>
      </c>
      <c r="O84">
        <v>2</v>
      </c>
      <c r="P84">
        <v>7275</v>
      </c>
      <c r="Q84">
        <v>90</v>
      </c>
      <c r="R84">
        <v>180</v>
      </c>
      <c r="S84">
        <v>194</v>
      </c>
      <c r="T84">
        <v>6743</v>
      </c>
      <c r="U84">
        <v>12727</v>
      </c>
      <c r="V84">
        <v>0</v>
      </c>
      <c r="W84">
        <v>0.28</v>
      </c>
      <c r="X84">
        <v>0.723809524</v>
      </c>
      <c r="Y84">
        <v>0.592105263</v>
      </c>
      <c r="Z84">
        <v>374</v>
      </c>
      <c r="AA84">
        <v>0.481283422</v>
      </c>
      <c r="AB84">
        <v>34.757731959</v>
      </c>
      <c r="AC84">
        <v>331425</v>
      </c>
    </row>
    <row r="85" ht="14.25" customHeight="1">
      <c r="A85" t="s">
        <v>147</v>
      </c>
      <c r="B85" t="s">
        <v>148</v>
      </c>
      <c r="C85" t="s">
        <v>99</v>
      </c>
      <c r="D85" t="s">
        <v>162</v>
      </c>
      <c r="E85" t="s">
        <v>153</v>
      </c>
      <c r="F85" t="s">
        <v>151</v>
      </c>
      <c r="G85" t="s">
        <v>156</v>
      </c>
      <c r="H85">
        <v>0</v>
      </c>
      <c r="I85">
        <v>0</v>
      </c>
      <c r="J85">
        <v>0</v>
      </c>
      <c r="K85">
        <v>0</v>
      </c>
      <c r="L85">
        <v>44</v>
      </c>
      <c r="M85">
        <v>44</v>
      </c>
      <c r="N85">
        <v>45</v>
      </c>
      <c r="O85">
        <v>2</v>
      </c>
      <c r="P85">
        <v>6790</v>
      </c>
      <c r="Q85">
        <v>90</v>
      </c>
      <c r="R85">
        <v>0</v>
      </c>
      <c r="S85">
        <v>0</v>
      </c>
      <c r="T85">
        <v>0</v>
      </c>
      <c r="U85">
        <v>0</v>
      </c>
      <c r="V85">
        <v>0.977777778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298760</v>
      </c>
    </row>
    <row r="86" ht="14.25" customHeight="1">
      <c r="A86" t="s">
        <v>147</v>
      </c>
      <c r="B86" t="s">
        <v>148</v>
      </c>
      <c r="C86" t="s">
        <v>99</v>
      </c>
      <c r="D86" t="s">
        <v>162</v>
      </c>
      <c r="E86" t="s">
        <v>154</v>
      </c>
      <c r="F86" t="s">
        <v>151</v>
      </c>
      <c r="G86" t="s">
        <v>156</v>
      </c>
      <c r="H86">
        <v>0</v>
      </c>
      <c r="I86">
        <v>0</v>
      </c>
      <c r="J86">
        <v>0</v>
      </c>
      <c r="K86">
        <v>0</v>
      </c>
      <c r="L86">
        <v>43</v>
      </c>
      <c r="M86">
        <v>43</v>
      </c>
      <c r="N86">
        <v>44</v>
      </c>
      <c r="O86">
        <v>2</v>
      </c>
      <c r="P86">
        <v>6790</v>
      </c>
      <c r="Q86">
        <v>90</v>
      </c>
      <c r="R86">
        <v>0</v>
      </c>
      <c r="S86">
        <v>0</v>
      </c>
      <c r="T86">
        <v>0</v>
      </c>
      <c r="U86">
        <v>0</v>
      </c>
      <c r="V86">
        <v>0.977272727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291970</v>
      </c>
    </row>
    <row r="87" ht="14.25" customHeight="1">
      <c r="A87" t="s">
        <v>147</v>
      </c>
      <c r="B87" t="s">
        <v>148</v>
      </c>
      <c r="C87" t="s">
        <v>99</v>
      </c>
      <c r="D87" t="s">
        <v>163</v>
      </c>
      <c r="E87" t="s">
        <v>160</v>
      </c>
      <c r="F87" t="s">
        <v>151</v>
      </c>
      <c r="G87" t="s">
        <v>156</v>
      </c>
      <c r="H87">
        <v>770</v>
      </c>
      <c r="I87">
        <v>154</v>
      </c>
      <c r="J87">
        <v>108</v>
      </c>
      <c r="K87">
        <v>45</v>
      </c>
      <c r="L87">
        <v>0</v>
      </c>
      <c r="M87">
        <v>45</v>
      </c>
      <c r="N87">
        <v>0</v>
      </c>
      <c r="O87">
        <v>2</v>
      </c>
      <c r="P87">
        <v>7275</v>
      </c>
      <c r="Q87">
        <v>90</v>
      </c>
      <c r="R87">
        <v>370</v>
      </c>
      <c r="S87">
        <v>398</v>
      </c>
      <c r="T87">
        <v>13854</v>
      </c>
      <c r="U87">
        <v>26150</v>
      </c>
      <c r="V87">
        <v>0</v>
      </c>
      <c r="W87">
        <v>0.2</v>
      </c>
      <c r="X87">
        <v>0.701298701</v>
      </c>
      <c r="Y87">
        <v>0.416666667</v>
      </c>
      <c r="Z87">
        <v>768</v>
      </c>
      <c r="AA87">
        <v>0.481770833</v>
      </c>
      <c r="AB87">
        <v>34.809045226</v>
      </c>
      <c r="AC87">
        <v>331425</v>
      </c>
    </row>
    <row r="88" ht="14.25" customHeight="1">
      <c r="A88" t="s">
        <v>147</v>
      </c>
      <c r="B88" t="s">
        <v>148</v>
      </c>
      <c r="C88" t="s">
        <v>99</v>
      </c>
      <c r="D88" t="s">
        <v>163</v>
      </c>
      <c r="E88" t="s">
        <v>161</v>
      </c>
      <c r="F88" t="s">
        <v>151</v>
      </c>
      <c r="G88" t="s">
        <v>156</v>
      </c>
      <c r="H88">
        <v>0</v>
      </c>
      <c r="I88">
        <v>0</v>
      </c>
      <c r="J88">
        <v>0</v>
      </c>
      <c r="K88">
        <v>0</v>
      </c>
      <c r="L88">
        <v>44</v>
      </c>
      <c r="M88">
        <v>44</v>
      </c>
      <c r="N88">
        <v>45</v>
      </c>
      <c r="O88">
        <v>2</v>
      </c>
      <c r="P88">
        <v>7275</v>
      </c>
      <c r="Q88">
        <v>90</v>
      </c>
      <c r="R88">
        <v>0</v>
      </c>
      <c r="S88">
        <v>0</v>
      </c>
      <c r="T88">
        <v>0</v>
      </c>
      <c r="U88">
        <v>0</v>
      </c>
      <c r="V88">
        <v>0.977777778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320100</v>
      </c>
    </row>
    <row r="89" ht="14.25" customHeight="1">
      <c r="A89" t="s">
        <v>147</v>
      </c>
      <c r="B89" t="s">
        <v>148</v>
      </c>
      <c r="C89" t="s">
        <v>101</v>
      </c>
      <c r="D89" t="s">
        <v>162</v>
      </c>
      <c r="E89" t="s">
        <v>150</v>
      </c>
      <c r="F89" t="s">
        <v>158</v>
      </c>
      <c r="G89" t="s">
        <v>156</v>
      </c>
      <c r="H89">
        <v>486</v>
      </c>
      <c r="I89">
        <v>136</v>
      </c>
      <c r="J89">
        <v>98</v>
      </c>
      <c r="K89">
        <v>59</v>
      </c>
      <c r="L89">
        <v>0</v>
      </c>
      <c r="M89">
        <v>59</v>
      </c>
      <c r="N89">
        <v>0</v>
      </c>
      <c r="O89">
        <v>3</v>
      </c>
      <c r="P89">
        <v>7875</v>
      </c>
      <c r="Q89">
        <v>90</v>
      </c>
      <c r="R89">
        <v>205</v>
      </c>
      <c r="S89">
        <v>283</v>
      </c>
      <c r="T89">
        <v>11317</v>
      </c>
      <c r="U89">
        <v>14174</v>
      </c>
      <c r="V89">
        <v>0</v>
      </c>
      <c r="W89">
        <v>0.279835391</v>
      </c>
      <c r="X89">
        <v>0.720588235</v>
      </c>
      <c r="Y89">
        <v>0.602040816</v>
      </c>
      <c r="Z89">
        <v>488</v>
      </c>
      <c r="AA89">
        <v>0.420081967</v>
      </c>
      <c r="AB89">
        <v>39.989399293</v>
      </c>
      <c r="AC89">
        <v>469935</v>
      </c>
    </row>
    <row r="90" ht="14.25" customHeight="1">
      <c r="A90" t="s">
        <v>147</v>
      </c>
      <c r="B90" t="s">
        <v>148</v>
      </c>
      <c r="C90" t="s">
        <v>101</v>
      </c>
      <c r="D90" t="s">
        <v>162</v>
      </c>
      <c r="E90" t="s">
        <v>153</v>
      </c>
      <c r="F90" t="s">
        <v>151</v>
      </c>
      <c r="G90" t="s">
        <v>156</v>
      </c>
      <c r="H90">
        <v>0</v>
      </c>
      <c r="I90">
        <v>0</v>
      </c>
      <c r="J90">
        <v>0</v>
      </c>
      <c r="K90">
        <v>0</v>
      </c>
      <c r="L90">
        <v>57</v>
      </c>
      <c r="M90">
        <v>57</v>
      </c>
      <c r="N90">
        <v>59</v>
      </c>
      <c r="O90">
        <v>2</v>
      </c>
      <c r="P90">
        <v>7350</v>
      </c>
      <c r="Q90">
        <v>90</v>
      </c>
      <c r="R90">
        <v>0</v>
      </c>
      <c r="S90">
        <v>0</v>
      </c>
      <c r="T90">
        <v>0</v>
      </c>
      <c r="U90">
        <v>0</v>
      </c>
      <c r="V90">
        <v>0.966101695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418950</v>
      </c>
    </row>
    <row r="91" ht="14.25" customHeight="1">
      <c r="A91" t="s">
        <v>147</v>
      </c>
      <c r="B91" t="s">
        <v>148</v>
      </c>
      <c r="C91" t="s">
        <v>101</v>
      </c>
      <c r="D91" t="s">
        <v>162</v>
      </c>
      <c r="E91" t="s">
        <v>154</v>
      </c>
      <c r="F91" t="s">
        <v>151</v>
      </c>
      <c r="G91" t="s">
        <v>156</v>
      </c>
      <c r="H91">
        <v>0</v>
      </c>
      <c r="I91">
        <v>0</v>
      </c>
      <c r="J91">
        <v>0</v>
      </c>
      <c r="K91">
        <v>0</v>
      </c>
      <c r="L91">
        <v>56</v>
      </c>
      <c r="M91">
        <v>56</v>
      </c>
      <c r="N91">
        <v>57</v>
      </c>
      <c r="O91">
        <v>2</v>
      </c>
      <c r="P91">
        <v>7350</v>
      </c>
      <c r="Q91">
        <v>90</v>
      </c>
      <c r="R91">
        <v>0</v>
      </c>
      <c r="S91">
        <v>0</v>
      </c>
      <c r="T91">
        <v>0</v>
      </c>
      <c r="U91">
        <v>0</v>
      </c>
      <c r="V91">
        <v>0.98245614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411600</v>
      </c>
    </row>
    <row r="92" ht="14.25" customHeight="1">
      <c r="A92" t="s">
        <v>147</v>
      </c>
      <c r="B92" t="s">
        <v>148</v>
      </c>
      <c r="C92" t="s">
        <v>101</v>
      </c>
      <c r="D92" t="s">
        <v>163</v>
      </c>
      <c r="E92" t="s">
        <v>160</v>
      </c>
      <c r="F92" t="s">
        <v>151</v>
      </c>
      <c r="G92" t="s">
        <v>156</v>
      </c>
      <c r="H92">
        <v>997</v>
      </c>
      <c r="I92">
        <v>199</v>
      </c>
      <c r="J92">
        <v>140</v>
      </c>
      <c r="K92">
        <v>59</v>
      </c>
      <c r="L92">
        <v>0</v>
      </c>
      <c r="M92">
        <v>59</v>
      </c>
      <c r="N92">
        <v>0</v>
      </c>
      <c r="O92">
        <v>3</v>
      </c>
      <c r="P92">
        <v>7875</v>
      </c>
      <c r="Q92">
        <v>90</v>
      </c>
      <c r="R92">
        <v>421</v>
      </c>
      <c r="S92">
        <v>580</v>
      </c>
      <c r="T92">
        <v>23215</v>
      </c>
      <c r="U92">
        <v>29076</v>
      </c>
      <c r="V92">
        <v>0</v>
      </c>
      <c r="W92">
        <v>0.199598796</v>
      </c>
      <c r="X92">
        <v>0.703517588</v>
      </c>
      <c r="Y92">
        <v>0.421428571</v>
      </c>
      <c r="Z92">
        <v>1001</v>
      </c>
      <c r="AA92">
        <v>0.420579421</v>
      </c>
      <c r="AB92">
        <v>40.025862069</v>
      </c>
      <c r="AC92">
        <v>469935</v>
      </c>
    </row>
    <row r="93" ht="14.25" customHeight="1">
      <c r="A93" t="s">
        <v>147</v>
      </c>
      <c r="B93" t="s">
        <v>148</v>
      </c>
      <c r="C93" t="s">
        <v>101</v>
      </c>
      <c r="D93" t="s">
        <v>163</v>
      </c>
      <c r="E93" t="s">
        <v>161</v>
      </c>
      <c r="F93" t="s">
        <v>151</v>
      </c>
      <c r="G93" t="s">
        <v>156</v>
      </c>
      <c r="H93">
        <v>0</v>
      </c>
      <c r="I93">
        <v>0</v>
      </c>
      <c r="J93">
        <v>0</v>
      </c>
      <c r="K93">
        <v>0</v>
      </c>
      <c r="L93">
        <v>58</v>
      </c>
      <c r="M93">
        <v>58</v>
      </c>
      <c r="N93">
        <v>59</v>
      </c>
      <c r="O93">
        <v>3</v>
      </c>
      <c r="P93">
        <v>7875</v>
      </c>
      <c r="Q93">
        <v>90</v>
      </c>
      <c r="R93">
        <v>0</v>
      </c>
      <c r="S93">
        <v>0</v>
      </c>
      <c r="T93">
        <v>0</v>
      </c>
      <c r="U93">
        <v>0</v>
      </c>
      <c r="V93">
        <v>0.983050847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456750</v>
      </c>
    </row>
    <row r="94" ht="14.25" customHeight="1">
      <c r="A94" t="s">
        <v>147</v>
      </c>
      <c r="B94" t="s">
        <v>148</v>
      </c>
      <c r="C94" t="s">
        <v>101</v>
      </c>
      <c r="D94" t="s">
        <v>162</v>
      </c>
      <c r="E94" t="s">
        <v>150</v>
      </c>
      <c r="F94" t="s">
        <v>158</v>
      </c>
      <c r="G94" t="s">
        <v>155</v>
      </c>
      <c r="H94">
        <v>515</v>
      </c>
      <c r="I94">
        <v>144</v>
      </c>
      <c r="J94">
        <v>104</v>
      </c>
      <c r="K94">
        <v>62</v>
      </c>
      <c r="L94">
        <v>0</v>
      </c>
      <c r="M94">
        <v>62</v>
      </c>
      <c r="N94">
        <v>0</v>
      </c>
      <c r="O94">
        <v>3</v>
      </c>
      <c r="P94">
        <v>7875</v>
      </c>
      <c r="Q94">
        <v>90</v>
      </c>
      <c r="R94">
        <v>220</v>
      </c>
      <c r="S94">
        <v>297</v>
      </c>
      <c r="T94">
        <v>12449</v>
      </c>
      <c r="U94">
        <v>17411</v>
      </c>
      <c r="V94">
        <v>0</v>
      </c>
      <c r="W94">
        <v>0.27961165</v>
      </c>
      <c r="X94">
        <v>0.722222222</v>
      </c>
      <c r="Y94">
        <v>0.596153846</v>
      </c>
      <c r="Z94">
        <v>517</v>
      </c>
      <c r="AA94">
        <v>0.425531915</v>
      </c>
      <c r="AB94">
        <v>41.915824916</v>
      </c>
      <c r="AC94">
        <v>493830</v>
      </c>
    </row>
    <row r="95" ht="14.25" customHeight="1">
      <c r="A95" t="s">
        <v>147</v>
      </c>
      <c r="B95" t="s">
        <v>148</v>
      </c>
      <c r="C95" t="s">
        <v>101</v>
      </c>
      <c r="D95" t="s">
        <v>162</v>
      </c>
      <c r="E95" t="s">
        <v>153</v>
      </c>
      <c r="F95" t="s">
        <v>151</v>
      </c>
      <c r="G95" t="s">
        <v>155</v>
      </c>
      <c r="H95">
        <v>0</v>
      </c>
      <c r="I95">
        <v>0</v>
      </c>
      <c r="J95">
        <v>0</v>
      </c>
      <c r="K95">
        <v>0</v>
      </c>
      <c r="L95">
        <v>60</v>
      </c>
      <c r="M95">
        <v>60</v>
      </c>
      <c r="N95">
        <v>62</v>
      </c>
      <c r="O95">
        <v>2</v>
      </c>
      <c r="P95">
        <v>7350</v>
      </c>
      <c r="Q95">
        <v>90</v>
      </c>
      <c r="R95">
        <v>0</v>
      </c>
      <c r="S95">
        <v>0</v>
      </c>
      <c r="T95">
        <v>0</v>
      </c>
      <c r="U95">
        <v>0</v>
      </c>
      <c r="V95">
        <v>0.967741935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441000</v>
      </c>
    </row>
    <row r="96" ht="14.25" customHeight="1">
      <c r="A96" t="s">
        <v>147</v>
      </c>
      <c r="B96" t="s">
        <v>148</v>
      </c>
      <c r="C96" t="s">
        <v>101</v>
      </c>
      <c r="D96" t="s">
        <v>162</v>
      </c>
      <c r="E96" t="s">
        <v>154</v>
      </c>
      <c r="F96" t="s">
        <v>151</v>
      </c>
      <c r="G96" t="s">
        <v>155</v>
      </c>
      <c r="H96">
        <v>0</v>
      </c>
      <c r="I96">
        <v>0</v>
      </c>
      <c r="J96">
        <v>0</v>
      </c>
      <c r="K96">
        <v>0</v>
      </c>
      <c r="L96">
        <v>59</v>
      </c>
      <c r="M96">
        <v>59</v>
      </c>
      <c r="N96">
        <v>60</v>
      </c>
      <c r="O96">
        <v>2</v>
      </c>
      <c r="P96">
        <v>7350</v>
      </c>
      <c r="Q96">
        <v>90</v>
      </c>
      <c r="R96">
        <v>0</v>
      </c>
      <c r="S96">
        <v>0</v>
      </c>
      <c r="T96">
        <v>0</v>
      </c>
      <c r="U96">
        <v>0</v>
      </c>
      <c r="V96">
        <v>0.983333333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433650</v>
      </c>
    </row>
    <row r="97" ht="14.25" customHeight="1">
      <c r="A97" t="s">
        <v>147</v>
      </c>
      <c r="B97" t="s">
        <v>148</v>
      </c>
      <c r="C97" t="s">
        <v>101</v>
      </c>
      <c r="D97" t="s">
        <v>163</v>
      </c>
      <c r="E97" t="s">
        <v>160</v>
      </c>
      <c r="F97" t="s">
        <v>151</v>
      </c>
      <c r="G97" t="s">
        <v>155</v>
      </c>
      <c r="H97">
        <v>1057</v>
      </c>
      <c r="I97">
        <v>211</v>
      </c>
      <c r="J97">
        <v>148</v>
      </c>
      <c r="K97">
        <v>62</v>
      </c>
      <c r="L97">
        <v>0</v>
      </c>
      <c r="M97">
        <v>62</v>
      </c>
      <c r="N97">
        <v>0</v>
      </c>
      <c r="O97">
        <v>3</v>
      </c>
      <c r="P97">
        <v>7875</v>
      </c>
      <c r="Q97">
        <v>90</v>
      </c>
      <c r="R97">
        <v>450</v>
      </c>
      <c r="S97">
        <v>608</v>
      </c>
      <c r="T97">
        <v>25536</v>
      </c>
      <c r="U97">
        <v>35714</v>
      </c>
      <c r="V97">
        <v>0</v>
      </c>
      <c r="W97">
        <v>0.19962157</v>
      </c>
      <c r="X97">
        <v>0.701421801</v>
      </c>
      <c r="Y97">
        <v>0.418918919</v>
      </c>
      <c r="Z97">
        <v>1058</v>
      </c>
      <c r="AA97">
        <v>0.425330813</v>
      </c>
      <c r="AB97">
        <v>42</v>
      </c>
      <c r="AC97">
        <v>493830</v>
      </c>
    </row>
    <row r="98" ht="14.25" customHeight="1">
      <c r="A98" t="s">
        <v>147</v>
      </c>
      <c r="B98" t="s">
        <v>148</v>
      </c>
      <c r="C98" t="s">
        <v>101</v>
      </c>
      <c r="D98" t="s">
        <v>163</v>
      </c>
      <c r="E98" t="s">
        <v>161</v>
      </c>
      <c r="F98" t="s">
        <v>151</v>
      </c>
      <c r="G98" t="s">
        <v>155</v>
      </c>
      <c r="H98">
        <v>0</v>
      </c>
      <c r="I98">
        <v>0</v>
      </c>
      <c r="J98">
        <v>0</v>
      </c>
      <c r="K98">
        <v>0</v>
      </c>
      <c r="L98">
        <v>61</v>
      </c>
      <c r="M98">
        <v>61</v>
      </c>
      <c r="N98">
        <v>62</v>
      </c>
      <c r="O98">
        <v>3</v>
      </c>
      <c r="P98">
        <v>7875</v>
      </c>
      <c r="Q98">
        <v>90</v>
      </c>
      <c r="R98">
        <v>0</v>
      </c>
      <c r="S98">
        <v>0</v>
      </c>
      <c r="T98">
        <v>0</v>
      </c>
      <c r="U98">
        <v>0</v>
      </c>
      <c r="V98">
        <v>0.983870968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480375</v>
      </c>
    </row>
    <row r="99" ht="14.25" customHeight="1">
      <c r="A99" t="s">
        <v>147</v>
      </c>
      <c r="B99" t="s">
        <v>148</v>
      </c>
      <c r="C99" t="s">
        <v>101</v>
      </c>
      <c r="D99" t="s">
        <v>162</v>
      </c>
      <c r="E99" t="s">
        <v>150</v>
      </c>
      <c r="F99" t="s">
        <v>158</v>
      </c>
      <c r="G99" t="s">
        <v>152</v>
      </c>
      <c r="H99">
        <v>546</v>
      </c>
      <c r="I99">
        <v>153</v>
      </c>
      <c r="J99">
        <v>110</v>
      </c>
      <c r="K99">
        <v>66</v>
      </c>
      <c r="L99">
        <v>0</v>
      </c>
      <c r="M99">
        <v>66</v>
      </c>
      <c r="N99">
        <v>0</v>
      </c>
      <c r="O99">
        <v>3</v>
      </c>
      <c r="P99">
        <v>7875</v>
      </c>
      <c r="Q99">
        <v>90</v>
      </c>
      <c r="R99">
        <v>235</v>
      </c>
      <c r="S99">
        <v>311</v>
      </c>
      <c r="T99">
        <v>13694</v>
      </c>
      <c r="U99">
        <v>21386</v>
      </c>
      <c r="V99">
        <v>0</v>
      </c>
      <c r="W99">
        <v>0.28021978</v>
      </c>
      <c r="X99">
        <v>0.718954248</v>
      </c>
      <c r="Y99">
        <v>0.6</v>
      </c>
      <c r="Z99">
        <v>546</v>
      </c>
      <c r="AA99">
        <v>0.43040293</v>
      </c>
      <c r="AB99">
        <v>44.032154341</v>
      </c>
      <c r="AC99">
        <v>525690</v>
      </c>
    </row>
    <row r="100" ht="14.25" customHeight="1">
      <c r="A100" t="s">
        <v>147</v>
      </c>
      <c r="B100" t="s">
        <v>148</v>
      </c>
      <c r="C100" t="s">
        <v>101</v>
      </c>
      <c r="D100" t="s">
        <v>162</v>
      </c>
      <c r="E100" t="s">
        <v>153</v>
      </c>
      <c r="F100" t="s">
        <v>151</v>
      </c>
      <c r="G100" t="s">
        <v>152</v>
      </c>
      <c r="H100">
        <v>0</v>
      </c>
      <c r="I100">
        <v>0</v>
      </c>
      <c r="J100">
        <v>0</v>
      </c>
      <c r="K100">
        <v>0</v>
      </c>
      <c r="L100">
        <v>64</v>
      </c>
      <c r="M100">
        <v>64</v>
      </c>
      <c r="N100">
        <v>66</v>
      </c>
      <c r="O100">
        <v>2</v>
      </c>
      <c r="P100">
        <v>7350</v>
      </c>
      <c r="Q100">
        <v>90</v>
      </c>
      <c r="R100">
        <v>0</v>
      </c>
      <c r="S100">
        <v>0</v>
      </c>
      <c r="T100">
        <v>0</v>
      </c>
      <c r="U100">
        <v>0</v>
      </c>
      <c r="V100">
        <v>0.96969697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470400</v>
      </c>
    </row>
    <row r="101" ht="14.25" customHeight="1">
      <c r="A101" t="s">
        <v>147</v>
      </c>
      <c r="B101" t="s">
        <v>148</v>
      </c>
      <c r="C101" t="s">
        <v>101</v>
      </c>
      <c r="D101" t="s">
        <v>162</v>
      </c>
      <c r="E101" t="s">
        <v>154</v>
      </c>
      <c r="F101" t="s">
        <v>151</v>
      </c>
      <c r="G101" t="s">
        <v>152</v>
      </c>
      <c r="H101">
        <v>0</v>
      </c>
      <c r="I101">
        <v>0</v>
      </c>
      <c r="J101">
        <v>0</v>
      </c>
      <c r="K101">
        <v>0</v>
      </c>
      <c r="L101">
        <v>63</v>
      </c>
      <c r="M101">
        <v>63</v>
      </c>
      <c r="N101">
        <v>64</v>
      </c>
      <c r="O101">
        <v>2</v>
      </c>
      <c r="P101">
        <v>7350</v>
      </c>
      <c r="Q101">
        <v>90</v>
      </c>
      <c r="R101">
        <v>0</v>
      </c>
      <c r="S101">
        <v>0</v>
      </c>
      <c r="T101">
        <v>0</v>
      </c>
      <c r="U101">
        <v>0</v>
      </c>
      <c r="V101">
        <v>0.984375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463050</v>
      </c>
    </row>
    <row r="102" ht="14.25" customHeight="1">
      <c r="A102" t="s">
        <v>147</v>
      </c>
      <c r="B102" t="s">
        <v>148</v>
      </c>
      <c r="C102" t="s">
        <v>101</v>
      </c>
      <c r="D102" t="s">
        <v>163</v>
      </c>
      <c r="E102" t="s">
        <v>160</v>
      </c>
      <c r="F102" t="s">
        <v>151</v>
      </c>
      <c r="G102" t="s">
        <v>152</v>
      </c>
      <c r="H102">
        <v>1120</v>
      </c>
      <c r="I102">
        <v>224</v>
      </c>
      <c r="J102">
        <v>157</v>
      </c>
      <c r="K102">
        <v>66</v>
      </c>
      <c r="L102">
        <v>0</v>
      </c>
      <c r="M102">
        <v>66</v>
      </c>
      <c r="N102">
        <v>0</v>
      </c>
      <c r="O102">
        <v>3</v>
      </c>
      <c r="P102">
        <v>7875</v>
      </c>
      <c r="Q102">
        <v>90</v>
      </c>
      <c r="R102">
        <v>481</v>
      </c>
      <c r="S102">
        <v>639</v>
      </c>
      <c r="T102">
        <v>28089</v>
      </c>
      <c r="U102">
        <v>43869</v>
      </c>
      <c r="V102">
        <v>0</v>
      </c>
      <c r="W102">
        <v>0.2</v>
      </c>
      <c r="X102">
        <v>0.700892857</v>
      </c>
      <c r="Y102">
        <v>0.420382166</v>
      </c>
      <c r="Z102">
        <v>1120</v>
      </c>
      <c r="AA102">
        <v>0.429464286</v>
      </c>
      <c r="AB102">
        <v>43.957746479</v>
      </c>
      <c r="AC102">
        <v>525690</v>
      </c>
    </row>
    <row r="103" ht="14.25" customHeight="1">
      <c r="A103" t="s">
        <v>147</v>
      </c>
      <c r="B103" t="s">
        <v>148</v>
      </c>
      <c r="C103" t="s">
        <v>101</v>
      </c>
      <c r="D103" t="s">
        <v>163</v>
      </c>
      <c r="E103" t="s">
        <v>161</v>
      </c>
      <c r="F103" t="s">
        <v>151</v>
      </c>
      <c r="G103" t="s">
        <v>152</v>
      </c>
      <c r="H103">
        <v>0</v>
      </c>
      <c r="I103">
        <v>0</v>
      </c>
      <c r="J103">
        <v>0</v>
      </c>
      <c r="K103">
        <v>0</v>
      </c>
      <c r="L103">
        <v>65</v>
      </c>
      <c r="M103">
        <v>65</v>
      </c>
      <c r="N103">
        <v>66</v>
      </c>
      <c r="O103">
        <v>3</v>
      </c>
      <c r="P103">
        <v>7875</v>
      </c>
      <c r="Q103">
        <v>90</v>
      </c>
      <c r="R103">
        <v>0</v>
      </c>
      <c r="S103">
        <v>0</v>
      </c>
      <c r="T103">
        <v>0</v>
      </c>
      <c r="U103">
        <v>0</v>
      </c>
      <c r="V103">
        <v>0.984848485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511875</v>
      </c>
    </row>
    <row r="104" ht="14.25" customHeight="1">
      <c r="A104" t="s">
        <v>147</v>
      </c>
      <c r="B104" t="s">
        <v>148</v>
      </c>
      <c r="C104" t="s">
        <v>103</v>
      </c>
      <c r="D104" t="s">
        <v>162</v>
      </c>
      <c r="E104" t="s">
        <v>150</v>
      </c>
      <c r="F104" t="s">
        <v>158</v>
      </c>
      <c r="G104" t="s">
        <v>152</v>
      </c>
      <c r="H104">
        <v>496</v>
      </c>
      <c r="I104">
        <v>139</v>
      </c>
      <c r="J104">
        <v>100</v>
      </c>
      <c r="K104">
        <v>60</v>
      </c>
      <c r="L104">
        <v>0</v>
      </c>
      <c r="M104">
        <v>60</v>
      </c>
      <c r="N104">
        <v>0</v>
      </c>
      <c r="O104">
        <v>2</v>
      </c>
      <c r="P104">
        <v>7500</v>
      </c>
      <c r="Q104">
        <v>90</v>
      </c>
      <c r="R104">
        <v>238</v>
      </c>
      <c r="S104">
        <v>258</v>
      </c>
      <c r="T104">
        <v>10317</v>
      </c>
      <c r="U104">
        <v>21708</v>
      </c>
      <c r="V104">
        <v>0</v>
      </c>
      <c r="W104">
        <v>0.280241935</v>
      </c>
      <c r="X104">
        <v>0.71942446</v>
      </c>
      <c r="Y104">
        <v>0.6</v>
      </c>
      <c r="Z104">
        <v>496</v>
      </c>
      <c r="AA104">
        <v>0.47983871</v>
      </c>
      <c r="AB104">
        <v>39.988372093</v>
      </c>
      <c r="AC104">
        <v>455400</v>
      </c>
    </row>
    <row r="105" ht="14.25" customHeight="1">
      <c r="A105" t="s">
        <v>147</v>
      </c>
      <c r="B105" t="s">
        <v>148</v>
      </c>
      <c r="C105" t="s">
        <v>103</v>
      </c>
      <c r="D105" t="s">
        <v>162</v>
      </c>
      <c r="E105" t="s">
        <v>153</v>
      </c>
      <c r="F105" t="s">
        <v>151</v>
      </c>
      <c r="G105" t="s">
        <v>152</v>
      </c>
      <c r="H105">
        <v>0</v>
      </c>
      <c r="I105">
        <v>0</v>
      </c>
      <c r="J105">
        <v>0</v>
      </c>
      <c r="K105">
        <v>0</v>
      </c>
      <c r="L105">
        <v>58</v>
      </c>
      <c r="M105">
        <v>58</v>
      </c>
      <c r="N105">
        <v>60</v>
      </c>
      <c r="O105">
        <v>2</v>
      </c>
      <c r="P105">
        <v>7000</v>
      </c>
      <c r="Q105">
        <v>90</v>
      </c>
      <c r="R105">
        <v>0</v>
      </c>
      <c r="S105">
        <v>0</v>
      </c>
      <c r="T105">
        <v>0</v>
      </c>
      <c r="U105">
        <v>0</v>
      </c>
      <c r="V105">
        <v>0.966666667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406000</v>
      </c>
    </row>
    <row r="106" ht="14.25" customHeight="1">
      <c r="A106" t="s">
        <v>147</v>
      </c>
      <c r="B106" t="s">
        <v>148</v>
      </c>
      <c r="C106" t="s">
        <v>103</v>
      </c>
      <c r="D106" t="s">
        <v>162</v>
      </c>
      <c r="E106" t="s">
        <v>154</v>
      </c>
      <c r="F106" t="s">
        <v>151</v>
      </c>
      <c r="G106" t="s">
        <v>152</v>
      </c>
      <c r="H106">
        <v>0</v>
      </c>
      <c r="I106">
        <v>0</v>
      </c>
      <c r="J106">
        <v>0</v>
      </c>
      <c r="K106">
        <v>0</v>
      </c>
      <c r="L106">
        <v>57</v>
      </c>
      <c r="M106">
        <v>57</v>
      </c>
      <c r="N106">
        <v>58</v>
      </c>
      <c r="O106">
        <v>2</v>
      </c>
      <c r="P106">
        <v>7000</v>
      </c>
      <c r="Q106">
        <v>90</v>
      </c>
      <c r="R106">
        <v>0</v>
      </c>
      <c r="S106">
        <v>0</v>
      </c>
      <c r="T106">
        <v>0</v>
      </c>
      <c r="U106">
        <v>0</v>
      </c>
      <c r="V106">
        <v>0.982758621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399000</v>
      </c>
    </row>
    <row r="107" ht="14.25" customHeight="1">
      <c r="A107" t="s">
        <v>147</v>
      </c>
      <c r="B107" t="s">
        <v>148</v>
      </c>
      <c r="C107" t="s">
        <v>103</v>
      </c>
      <c r="D107" t="s">
        <v>163</v>
      </c>
      <c r="E107" t="s">
        <v>160</v>
      </c>
      <c r="F107" t="s">
        <v>151</v>
      </c>
      <c r="G107" t="s">
        <v>152</v>
      </c>
      <c r="H107">
        <v>1020</v>
      </c>
      <c r="I107">
        <v>204</v>
      </c>
      <c r="J107">
        <v>143</v>
      </c>
      <c r="K107">
        <v>60</v>
      </c>
      <c r="L107">
        <v>0</v>
      </c>
      <c r="M107">
        <v>60</v>
      </c>
      <c r="N107">
        <v>0</v>
      </c>
      <c r="O107">
        <v>3</v>
      </c>
      <c r="P107">
        <v>7500</v>
      </c>
      <c r="Q107">
        <v>90</v>
      </c>
      <c r="R107">
        <v>490</v>
      </c>
      <c r="S107">
        <v>530</v>
      </c>
      <c r="T107">
        <v>21216</v>
      </c>
      <c r="U107">
        <v>44641</v>
      </c>
      <c r="V107">
        <v>0</v>
      </c>
      <c r="W107">
        <v>0.2</v>
      </c>
      <c r="X107">
        <v>0.700980392</v>
      </c>
      <c r="Y107">
        <v>0.41958042</v>
      </c>
      <c r="Z107">
        <v>1020</v>
      </c>
      <c r="AA107">
        <v>0.480392157</v>
      </c>
      <c r="AB107">
        <v>40.030188679</v>
      </c>
      <c r="AC107">
        <v>455400</v>
      </c>
    </row>
    <row r="108" ht="14.25" customHeight="1">
      <c r="A108" t="s">
        <v>147</v>
      </c>
      <c r="B108" t="s">
        <v>148</v>
      </c>
      <c r="C108" t="s">
        <v>103</v>
      </c>
      <c r="D108" t="s">
        <v>163</v>
      </c>
      <c r="E108" t="s">
        <v>161</v>
      </c>
      <c r="F108" t="s">
        <v>151</v>
      </c>
      <c r="G108" t="s">
        <v>152</v>
      </c>
      <c r="H108">
        <v>0</v>
      </c>
      <c r="I108">
        <v>0</v>
      </c>
      <c r="J108">
        <v>0</v>
      </c>
      <c r="K108">
        <v>0</v>
      </c>
      <c r="L108">
        <v>59</v>
      </c>
      <c r="M108">
        <v>59</v>
      </c>
      <c r="N108">
        <v>60</v>
      </c>
      <c r="O108">
        <v>3</v>
      </c>
      <c r="P108">
        <v>7500</v>
      </c>
      <c r="Q108">
        <v>90</v>
      </c>
      <c r="R108">
        <v>0</v>
      </c>
      <c r="S108">
        <v>0</v>
      </c>
      <c r="T108">
        <v>0</v>
      </c>
      <c r="U108">
        <v>0</v>
      </c>
      <c r="V108">
        <v>0.983333333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442500</v>
      </c>
    </row>
    <row r="109" ht="14.25" customHeight="1">
      <c r="A109" t="s">
        <v>147</v>
      </c>
      <c r="B109" t="s">
        <v>148</v>
      </c>
      <c r="C109" t="s">
        <v>103</v>
      </c>
      <c r="D109" t="s">
        <v>162</v>
      </c>
      <c r="E109" t="s">
        <v>150</v>
      </c>
      <c r="F109" t="s">
        <v>158</v>
      </c>
      <c r="G109" t="s">
        <v>155</v>
      </c>
      <c r="H109">
        <v>468</v>
      </c>
      <c r="I109">
        <v>131</v>
      </c>
      <c r="J109">
        <v>94</v>
      </c>
      <c r="K109">
        <v>57</v>
      </c>
      <c r="L109">
        <v>0</v>
      </c>
      <c r="M109">
        <v>57</v>
      </c>
      <c r="N109">
        <v>0</v>
      </c>
      <c r="O109">
        <v>2</v>
      </c>
      <c r="P109">
        <v>7500</v>
      </c>
      <c r="Q109">
        <v>90</v>
      </c>
      <c r="R109">
        <v>222</v>
      </c>
      <c r="S109">
        <v>245</v>
      </c>
      <c r="T109">
        <v>9379</v>
      </c>
      <c r="U109">
        <v>17832</v>
      </c>
      <c r="V109">
        <v>0</v>
      </c>
      <c r="W109">
        <v>0.27991453</v>
      </c>
      <c r="X109">
        <v>0.717557252</v>
      </c>
      <c r="Y109">
        <v>0.606382979</v>
      </c>
      <c r="Z109">
        <v>467</v>
      </c>
      <c r="AA109">
        <v>0.475374732</v>
      </c>
      <c r="AB109">
        <v>38.281632653</v>
      </c>
      <c r="AC109">
        <v>432630</v>
      </c>
    </row>
    <row r="110" ht="14.25" customHeight="1">
      <c r="A110" t="s">
        <v>147</v>
      </c>
      <c r="B110" t="s">
        <v>148</v>
      </c>
      <c r="C110" t="s">
        <v>103</v>
      </c>
      <c r="D110" t="s">
        <v>162</v>
      </c>
      <c r="E110" t="s">
        <v>153</v>
      </c>
      <c r="F110" t="s">
        <v>151</v>
      </c>
      <c r="G110" t="s">
        <v>155</v>
      </c>
      <c r="H110">
        <v>0</v>
      </c>
      <c r="I110">
        <v>0</v>
      </c>
      <c r="J110">
        <v>0</v>
      </c>
      <c r="K110">
        <v>0</v>
      </c>
      <c r="L110">
        <v>55</v>
      </c>
      <c r="M110">
        <v>55</v>
      </c>
      <c r="N110">
        <v>57</v>
      </c>
      <c r="O110">
        <v>2</v>
      </c>
      <c r="P110">
        <v>7000</v>
      </c>
      <c r="Q110">
        <v>90</v>
      </c>
      <c r="R110">
        <v>0</v>
      </c>
      <c r="S110">
        <v>0</v>
      </c>
      <c r="T110">
        <v>0</v>
      </c>
      <c r="U110">
        <v>0</v>
      </c>
      <c r="V110">
        <v>0.964912281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385000</v>
      </c>
    </row>
    <row r="111" ht="14.25" customHeight="1">
      <c r="A111" t="s">
        <v>147</v>
      </c>
      <c r="B111" t="s">
        <v>148</v>
      </c>
      <c r="C111" t="s">
        <v>103</v>
      </c>
      <c r="D111" t="s">
        <v>162</v>
      </c>
      <c r="E111" t="s">
        <v>154</v>
      </c>
      <c r="F111" t="s">
        <v>151</v>
      </c>
      <c r="G111" t="s">
        <v>155</v>
      </c>
      <c r="H111">
        <v>0</v>
      </c>
      <c r="I111">
        <v>0</v>
      </c>
      <c r="J111">
        <v>0</v>
      </c>
      <c r="K111">
        <v>0</v>
      </c>
      <c r="L111">
        <v>54</v>
      </c>
      <c r="M111">
        <v>54</v>
      </c>
      <c r="N111">
        <v>55</v>
      </c>
      <c r="O111">
        <v>2</v>
      </c>
      <c r="P111">
        <v>7000</v>
      </c>
      <c r="Q111">
        <v>90</v>
      </c>
      <c r="R111">
        <v>0</v>
      </c>
      <c r="S111">
        <v>0</v>
      </c>
      <c r="T111">
        <v>0</v>
      </c>
      <c r="U111">
        <v>0</v>
      </c>
      <c r="V111">
        <v>0.981818182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378000</v>
      </c>
    </row>
    <row r="112" ht="14.25" customHeight="1">
      <c r="A112" t="s">
        <v>147</v>
      </c>
      <c r="B112" t="s">
        <v>148</v>
      </c>
      <c r="C112" t="s">
        <v>103</v>
      </c>
      <c r="D112" t="s">
        <v>163</v>
      </c>
      <c r="E112" t="s">
        <v>160</v>
      </c>
      <c r="F112" t="s">
        <v>151</v>
      </c>
      <c r="G112" t="s">
        <v>155</v>
      </c>
      <c r="H112">
        <v>962</v>
      </c>
      <c r="I112">
        <v>192</v>
      </c>
      <c r="J112">
        <v>135</v>
      </c>
      <c r="K112">
        <v>57</v>
      </c>
      <c r="L112">
        <v>0</v>
      </c>
      <c r="M112">
        <v>57</v>
      </c>
      <c r="N112">
        <v>0</v>
      </c>
      <c r="O112">
        <v>3</v>
      </c>
      <c r="P112">
        <v>7500</v>
      </c>
      <c r="Q112">
        <v>90</v>
      </c>
      <c r="R112">
        <v>458</v>
      </c>
      <c r="S112">
        <v>504</v>
      </c>
      <c r="T112">
        <v>19287</v>
      </c>
      <c r="U112">
        <v>36670</v>
      </c>
      <c r="V112">
        <v>0</v>
      </c>
      <c r="W112">
        <v>0.1995842</v>
      </c>
      <c r="X112">
        <v>0.703125</v>
      </c>
      <c r="Y112">
        <v>0.422222222</v>
      </c>
      <c r="Z112">
        <v>962</v>
      </c>
      <c r="AA112">
        <v>0.476091476</v>
      </c>
      <c r="AB112">
        <v>38.267857143</v>
      </c>
      <c r="AC112">
        <v>432630</v>
      </c>
    </row>
    <row r="113" ht="14.25" customHeight="1">
      <c r="A113" t="s">
        <v>147</v>
      </c>
      <c r="B113" t="s">
        <v>148</v>
      </c>
      <c r="C113" t="s">
        <v>103</v>
      </c>
      <c r="D113" t="s">
        <v>163</v>
      </c>
      <c r="E113" t="s">
        <v>161</v>
      </c>
      <c r="F113" t="s">
        <v>151</v>
      </c>
      <c r="G113" t="s">
        <v>155</v>
      </c>
      <c r="H113">
        <v>0</v>
      </c>
      <c r="I113">
        <v>0</v>
      </c>
      <c r="J113">
        <v>0</v>
      </c>
      <c r="K113">
        <v>0</v>
      </c>
      <c r="L113">
        <v>56</v>
      </c>
      <c r="M113">
        <v>56</v>
      </c>
      <c r="N113">
        <v>57</v>
      </c>
      <c r="O113">
        <v>3</v>
      </c>
      <c r="P113">
        <v>7500</v>
      </c>
      <c r="Q113">
        <v>90</v>
      </c>
      <c r="R113">
        <v>0</v>
      </c>
      <c r="S113">
        <v>0</v>
      </c>
      <c r="T113">
        <v>0</v>
      </c>
      <c r="U113">
        <v>0</v>
      </c>
      <c r="V113">
        <v>0.98245614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420000</v>
      </c>
    </row>
    <row r="114" ht="14.25" customHeight="1">
      <c r="A114" t="s">
        <v>147</v>
      </c>
      <c r="B114" t="s">
        <v>148</v>
      </c>
      <c r="C114" t="s">
        <v>103</v>
      </c>
      <c r="D114" t="s">
        <v>162</v>
      </c>
      <c r="E114" t="s">
        <v>150</v>
      </c>
      <c r="F114" t="s">
        <v>158</v>
      </c>
      <c r="G114" t="s">
        <v>156</v>
      </c>
      <c r="H114">
        <v>441</v>
      </c>
      <c r="I114">
        <v>124</v>
      </c>
      <c r="J114">
        <v>89</v>
      </c>
      <c r="K114">
        <v>53</v>
      </c>
      <c r="L114">
        <v>0</v>
      </c>
      <c r="M114">
        <v>53</v>
      </c>
      <c r="N114">
        <v>0</v>
      </c>
      <c r="O114">
        <v>2</v>
      </c>
      <c r="P114">
        <v>7500</v>
      </c>
      <c r="Q114">
        <v>90</v>
      </c>
      <c r="R114">
        <v>208</v>
      </c>
      <c r="S114">
        <v>233</v>
      </c>
      <c r="T114">
        <v>8526</v>
      </c>
      <c r="U114">
        <v>14648</v>
      </c>
      <c r="V114">
        <v>0</v>
      </c>
      <c r="W114">
        <v>0.281179138</v>
      </c>
      <c r="X114">
        <v>0.717741935</v>
      </c>
      <c r="Y114">
        <v>0.595505618</v>
      </c>
      <c r="Z114">
        <v>441</v>
      </c>
      <c r="AA114">
        <v>0.471655329</v>
      </c>
      <c r="AB114">
        <v>36.592274678</v>
      </c>
      <c r="AC114">
        <v>402270</v>
      </c>
    </row>
    <row r="115" ht="14.25" customHeight="1">
      <c r="A115" t="s">
        <v>147</v>
      </c>
      <c r="B115" t="s">
        <v>148</v>
      </c>
      <c r="C115" t="s">
        <v>103</v>
      </c>
      <c r="D115" t="s">
        <v>162</v>
      </c>
      <c r="E115" t="s">
        <v>153</v>
      </c>
      <c r="F115" t="s">
        <v>151</v>
      </c>
      <c r="G115" t="s">
        <v>156</v>
      </c>
      <c r="H115">
        <v>0</v>
      </c>
      <c r="I115">
        <v>0</v>
      </c>
      <c r="J115">
        <v>0</v>
      </c>
      <c r="K115">
        <v>0</v>
      </c>
      <c r="L115">
        <v>52</v>
      </c>
      <c r="M115">
        <v>52</v>
      </c>
      <c r="N115">
        <v>53</v>
      </c>
      <c r="O115">
        <v>2</v>
      </c>
      <c r="P115">
        <v>7000</v>
      </c>
      <c r="Q115">
        <v>90</v>
      </c>
      <c r="R115">
        <v>0</v>
      </c>
      <c r="S115">
        <v>0</v>
      </c>
      <c r="T115">
        <v>0</v>
      </c>
      <c r="U115">
        <v>0</v>
      </c>
      <c r="V115">
        <v>0.981132075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364000</v>
      </c>
    </row>
    <row r="116" ht="14.25" customHeight="1">
      <c r="A116" t="s">
        <v>147</v>
      </c>
      <c r="B116" t="s">
        <v>148</v>
      </c>
      <c r="C116" t="s">
        <v>103</v>
      </c>
      <c r="D116" t="s">
        <v>162</v>
      </c>
      <c r="E116" t="s">
        <v>154</v>
      </c>
      <c r="F116" t="s">
        <v>151</v>
      </c>
      <c r="G116" t="s">
        <v>156</v>
      </c>
      <c r="H116">
        <v>0</v>
      </c>
      <c r="I116">
        <v>0</v>
      </c>
      <c r="J116">
        <v>0</v>
      </c>
      <c r="K116">
        <v>0</v>
      </c>
      <c r="L116">
        <v>51</v>
      </c>
      <c r="M116">
        <v>51</v>
      </c>
      <c r="N116">
        <v>52</v>
      </c>
      <c r="O116">
        <v>2</v>
      </c>
      <c r="P116">
        <v>7000</v>
      </c>
      <c r="Q116">
        <v>90</v>
      </c>
      <c r="R116">
        <v>0</v>
      </c>
      <c r="S116">
        <v>0</v>
      </c>
      <c r="T116">
        <v>0</v>
      </c>
      <c r="U116">
        <v>0</v>
      </c>
      <c r="V116">
        <v>0.980769231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357000</v>
      </c>
    </row>
    <row r="117" ht="14.25" customHeight="1">
      <c r="A117" t="s">
        <v>147</v>
      </c>
      <c r="B117" t="s">
        <v>148</v>
      </c>
      <c r="C117" t="s">
        <v>103</v>
      </c>
      <c r="D117" t="s">
        <v>163</v>
      </c>
      <c r="E117" t="s">
        <v>160</v>
      </c>
      <c r="F117" t="s">
        <v>151</v>
      </c>
      <c r="G117" t="s">
        <v>156</v>
      </c>
      <c r="H117">
        <v>908</v>
      </c>
      <c r="I117">
        <v>182</v>
      </c>
      <c r="J117">
        <v>127</v>
      </c>
      <c r="K117">
        <v>53</v>
      </c>
      <c r="L117">
        <v>0</v>
      </c>
      <c r="M117">
        <v>53</v>
      </c>
      <c r="N117">
        <v>0</v>
      </c>
      <c r="O117">
        <v>3</v>
      </c>
      <c r="P117">
        <v>7500</v>
      </c>
      <c r="Q117">
        <v>90</v>
      </c>
      <c r="R117">
        <v>428</v>
      </c>
      <c r="S117">
        <v>480</v>
      </c>
      <c r="T117">
        <v>17534</v>
      </c>
      <c r="U117">
        <v>30123</v>
      </c>
      <c r="V117">
        <v>0</v>
      </c>
      <c r="W117">
        <v>0.200440529</v>
      </c>
      <c r="X117">
        <v>0.697802198</v>
      </c>
      <c r="Y117">
        <v>0.417322835</v>
      </c>
      <c r="Z117">
        <v>908</v>
      </c>
      <c r="AA117">
        <v>0.471365639</v>
      </c>
      <c r="AB117">
        <v>36.529166667</v>
      </c>
      <c r="AC117">
        <v>402270</v>
      </c>
    </row>
    <row r="118" ht="14.25" customHeight="1">
      <c r="A118" t="s">
        <v>147</v>
      </c>
      <c r="B118" t="s">
        <v>148</v>
      </c>
      <c r="C118" t="s">
        <v>103</v>
      </c>
      <c r="D118" t="s">
        <v>163</v>
      </c>
      <c r="E118" t="s">
        <v>161</v>
      </c>
      <c r="F118" t="s">
        <v>151</v>
      </c>
      <c r="G118" t="s">
        <v>156</v>
      </c>
      <c r="H118">
        <v>0</v>
      </c>
      <c r="I118">
        <v>0</v>
      </c>
      <c r="J118">
        <v>0</v>
      </c>
      <c r="K118">
        <v>0</v>
      </c>
      <c r="L118">
        <v>53</v>
      </c>
      <c r="M118">
        <v>53</v>
      </c>
      <c r="N118">
        <v>53</v>
      </c>
      <c r="O118">
        <v>3</v>
      </c>
      <c r="P118">
        <v>7500</v>
      </c>
      <c r="Q118">
        <v>90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397500</v>
      </c>
    </row>
    <row r="119" ht="14.25" customHeight="1">
      <c r="A119" t="s">
        <v>147</v>
      </c>
      <c r="B119" t="s">
        <v>148</v>
      </c>
      <c r="C119" t="s">
        <v>104</v>
      </c>
      <c r="D119" t="s">
        <v>162</v>
      </c>
      <c r="E119" t="s">
        <v>150</v>
      </c>
      <c r="F119" t="s">
        <v>158</v>
      </c>
      <c r="G119" t="s">
        <v>156</v>
      </c>
      <c r="H119">
        <v>575</v>
      </c>
      <c r="I119">
        <v>161</v>
      </c>
      <c r="J119">
        <v>116</v>
      </c>
      <c r="K119">
        <v>69</v>
      </c>
      <c r="L119">
        <v>0</v>
      </c>
      <c r="M119">
        <v>69</v>
      </c>
      <c r="N119">
        <v>0</v>
      </c>
      <c r="O119">
        <v>3</v>
      </c>
      <c r="P119">
        <v>8400</v>
      </c>
      <c r="Q119">
        <v>90</v>
      </c>
      <c r="R119">
        <v>203</v>
      </c>
      <c r="S119">
        <v>379</v>
      </c>
      <c r="T119">
        <v>18451</v>
      </c>
      <c r="U119">
        <v>13653</v>
      </c>
      <c r="V119">
        <v>0</v>
      </c>
      <c r="W119">
        <v>0.28</v>
      </c>
      <c r="X119">
        <v>0.720496894</v>
      </c>
      <c r="Y119">
        <v>0.594827586</v>
      </c>
      <c r="Z119">
        <v>582</v>
      </c>
      <c r="AA119">
        <v>0.348797251</v>
      </c>
      <c r="AB119">
        <v>48.683377309</v>
      </c>
      <c r="AC119">
        <v>585810</v>
      </c>
    </row>
    <row r="120" ht="14.25" customHeight="1">
      <c r="A120" t="s">
        <v>147</v>
      </c>
      <c r="B120" t="s">
        <v>148</v>
      </c>
      <c r="C120" t="s">
        <v>104</v>
      </c>
      <c r="D120" t="s">
        <v>162</v>
      </c>
      <c r="E120" t="s">
        <v>153</v>
      </c>
      <c r="F120" t="s">
        <v>151</v>
      </c>
      <c r="G120" t="s">
        <v>156</v>
      </c>
      <c r="H120">
        <v>0</v>
      </c>
      <c r="I120">
        <v>0</v>
      </c>
      <c r="J120">
        <v>0</v>
      </c>
      <c r="K120">
        <v>0</v>
      </c>
      <c r="L120">
        <v>68</v>
      </c>
      <c r="M120">
        <v>68</v>
      </c>
      <c r="N120">
        <v>69</v>
      </c>
      <c r="O120">
        <v>3</v>
      </c>
      <c r="P120">
        <v>7840</v>
      </c>
      <c r="Q120">
        <v>90</v>
      </c>
      <c r="R120">
        <v>0</v>
      </c>
      <c r="S120">
        <v>0</v>
      </c>
      <c r="T120">
        <v>0</v>
      </c>
      <c r="U120">
        <v>0</v>
      </c>
      <c r="V120">
        <v>0.985507246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533120</v>
      </c>
    </row>
    <row r="121" ht="14.25" customHeight="1">
      <c r="A121" t="s">
        <v>147</v>
      </c>
      <c r="B121" t="s">
        <v>148</v>
      </c>
      <c r="C121" t="s">
        <v>104</v>
      </c>
      <c r="D121" t="s">
        <v>162</v>
      </c>
      <c r="E121" t="s">
        <v>154</v>
      </c>
      <c r="F121" t="s">
        <v>151</v>
      </c>
      <c r="G121" t="s">
        <v>156</v>
      </c>
      <c r="H121">
        <v>0</v>
      </c>
      <c r="I121">
        <v>0</v>
      </c>
      <c r="J121">
        <v>0</v>
      </c>
      <c r="K121">
        <v>0</v>
      </c>
      <c r="L121">
        <v>66</v>
      </c>
      <c r="M121">
        <v>66</v>
      </c>
      <c r="N121">
        <v>68</v>
      </c>
      <c r="O121">
        <v>3</v>
      </c>
      <c r="P121">
        <v>7840</v>
      </c>
      <c r="Q121">
        <v>90</v>
      </c>
      <c r="R121">
        <v>0</v>
      </c>
      <c r="S121">
        <v>0</v>
      </c>
      <c r="T121">
        <v>0</v>
      </c>
      <c r="U121">
        <v>0</v>
      </c>
      <c r="V121">
        <v>0.970588235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517440</v>
      </c>
    </row>
    <row r="122" ht="14.25" customHeight="1">
      <c r="A122" t="s">
        <v>147</v>
      </c>
      <c r="B122" t="s">
        <v>148</v>
      </c>
      <c r="C122" t="s">
        <v>104</v>
      </c>
      <c r="D122" t="s">
        <v>163</v>
      </c>
      <c r="E122" t="s">
        <v>160</v>
      </c>
      <c r="F122" t="s">
        <v>151</v>
      </c>
      <c r="G122" t="s">
        <v>156</v>
      </c>
      <c r="H122">
        <v>1184</v>
      </c>
      <c r="I122">
        <v>237</v>
      </c>
      <c r="J122">
        <v>166</v>
      </c>
      <c r="K122">
        <v>69</v>
      </c>
      <c r="L122">
        <v>0</v>
      </c>
      <c r="M122">
        <v>69</v>
      </c>
      <c r="N122">
        <v>0</v>
      </c>
      <c r="O122">
        <v>3</v>
      </c>
      <c r="P122">
        <v>8400</v>
      </c>
      <c r="Q122">
        <v>90</v>
      </c>
      <c r="R122">
        <v>418</v>
      </c>
      <c r="S122">
        <v>779</v>
      </c>
      <c r="T122">
        <v>37987</v>
      </c>
      <c r="U122">
        <v>28108</v>
      </c>
      <c r="V122">
        <v>0</v>
      </c>
      <c r="W122">
        <v>0.200168919</v>
      </c>
      <c r="X122">
        <v>0.700421941</v>
      </c>
      <c r="Y122">
        <v>0.415662651</v>
      </c>
      <c r="Z122">
        <v>1197</v>
      </c>
      <c r="AA122">
        <v>0.349206349</v>
      </c>
      <c r="AB122">
        <v>48.763799743</v>
      </c>
      <c r="AC122">
        <v>585810</v>
      </c>
    </row>
    <row r="123" ht="14.25" customHeight="1">
      <c r="A123" t="s">
        <v>147</v>
      </c>
      <c r="B123" t="s">
        <v>148</v>
      </c>
      <c r="C123" t="s">
        <v>104</v>
      </c>
      <c r="D123" t="s">
        <v>163</v>
      </c>
      <c r="E123" t="s">
        <v>161</v>
      </c>
      <c r="F123" t="s">
        <v>151</v>
      </c>
      <c r="G123" t="s">
        <v>156</v>
      </c>
      <c r="H123">
        <v>0</v>
      </c>
      <c r="I123">
        <v>0</v>
      </c>
      <c r="J123">
        <v>0</v>
      </c>
      <c r="K123">
        <v>0</v>
      </c>
      <c r="L123">
        <v>68</v>
      </c>
      <c r="M123">
        <v>68</v>
      </c>
      <c r="N123">
        <v>69</v>
      </c>
      <c r="O123">
        <v>3</v>
      </c>
      <c r="P123">
        <v>8400</v>
      </c>
      <c r="Q123">
        <v>90</v>
      </c>
      <c r="R123">
        <v>0</v>
      </c>
      <c r="S123">
        <v>0</v>
      </c>
      <c r="T123">
        <v>0</v>
      </c>
      <c r="U123">
        <v>0</v>
      </c>
      <c r="V123">
        <v>0.985507246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571200</v>
      </c>
    </row>
    <row r="124" ht="14.25" customHeight="1">
      <c r="A124" t="s">
        <v>147</v>
      </c>
      <c r="B124" t="s">
        <v>148</v>
      </c>
      <c r="C124" t="s">
        <v>104</v>
      </c>
      <c r="D124" t="s">
        <v>162</v>
      </c>
      <c r="E124" t="s">
        <v>150</v>
      </c>
      <c r="F124" t="s">
        <v>158</v>
      </c>
      <c r="G124" t="s">
        <v>155</v>
      </c>
      <c r="H124">
        <v>609</v>
      </c>
      <c r="I124">
        <v>171</v>
      </c>
      <c r="J124">
        <v>123</v>
      </c>
      <c r="K124">
        <v>74</v>
      </c>
      <c r="L124">
        <v>0</v>
      </c>
      <c r="M124">
        <v>74</v>
      </c>
      <c r="N124">
        <v>0</v>
      </c>
      <c r="O124">
        <v>3</v>
      </c>
      <c r="P124">
        <v>8400</v>
      </c>
      <c r="Q124">
        <v>90</v>
      </c>
      <c r="R124">
        <v>217</v>
      </c>
      <c r="S124">
        <v>396</v>
      </c>
      <c r="T124">
        <v>20296</v>
      </c>
      <c r="U124">
        <v>17007</v>
      </c>
      <c r="V124">
        <v>0</v>
      </c>
      <c r="W124">
        <v>0.280788177</v>
      </c>
      <c r="X124">
        <v>0.719298246</v>
      </c>
      <c r="Y124">
        <v>0.601626016</v>
      </c>
      <c r="Z124">
        <v>613</v>
      </c>
      <c r="AA124">
        <v>0.353996737</v>
      </c>
      <c r="AB124">
        <v>51.252525253</v>
      </c>
      <c r="AC124">
        <v>628260</v>
      </c>
    </row>
    <row r="125" ht="14.25" customHeight="1">
      <c r="A125" t="s">
        <v>147</v>
      </c>
      <c r="B125" t="s">
        <v>148</v>
      </c>
      <c r="C125" t="s">
        <v>104</v>
      </c>
      <c r="D125" t="s">
        <v>162</v>
      </c>
      <c r="E125" t="s">
        <v>153</v>
      </c>
      <c r="F125" t="s">
        <v>151</v>
      </c>
      <c r="G125" t="s">
        <v>155</v>
      </c>
      <c r="H125">
        <v>0</v>
      </c>
      <c r="I125">
        <v>0</v>
      </c>
      <c r="J125">
        <v>0</v>
      </c>
      <c r="K125">
        <v>0</v>
      </c>
      <c r="L125">
        <v>72</v>
      </c>
      <c r="M125">
        <v>72</v>
      </c>
      <c r="N125">
        <v>74</v>
      </c>
      <c r="O125">
        <v>3</v>
      </c>
      <c r="P125">
        <v>7840</v>
      </c>
      <c r="Q125">
        <v>90</v>
      </c>
      <c r="R125">
        <v>0</v>
      </c>
      <c r="S125">
        <v>0</v>
      </c>
      <c r="T125">
        <v>0</v>
      </c>
      <c r="U125">
        <v>0</v>
      </c>
      <c r="V125">
        <v>0.972972973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564480</v>
      </c>
    </row>
    <row r="126" ht="14.25" customHeight="1">
      <c r="A126" t="s">
        <v>147</v>
      </c>
      <c r="B126" t="s">
        <v>148</v>
      </c>
      <c r="C126" t="s">
        <v>104</v>
      </c>
      <c r="D126" t="s">
        <v>162</v>
      </c>
      <c r="E126" t="s">
        <v>154</v>
      </c>
      <c r="F126" t="s">
        <v>151</v>
      </c>
      <c r="G126" t="s">
        <v>155</v>
      </c>
      <c r="H126">
        <v>0</v>
      </c>
      <c r="I126">
        <v>0</v>
      </c>
      <c r="J126">
        <v>0</v>
      </c>
      <c r="K126">
        <v>0</v>
      </c>
      <c r="L126">
        <v>70</v>
      </c>
      <c r="M126">
        <v>70</v>
      </c>
      <c r="N126">
        <v>72</v>
      </c>
      <c r="O126">
        <v>3</v>
      </c>
      <c r="P126">
        <v>7840</v>
      </c>
      <c r="Q126">
        <v>90</v>
      </c>
      <c r="R126">
        <v>0</v>
      </c>
      <c r="S126">
        <v>0</v>
      </c>
      <c r="T126">
        <v>0</v>
      </c>
      <c r="U126">
        <v>0</v>
      </c>
      <c r="V126">
        <v>0.972222222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548800</v>
      </c>
    </row>
    <row r="127" ht="14.25" customHeight="1">
      <c r="A127" t="s">
        <v>147</v>
      </c>
      <c r="B127" t="s">
        <v>148</v>
      </c>
      <c r="C127" t="s">
        <v>104</v>
      </c>
      <c r="D127" t="s">
        <v>163</v>
      </c>
      <c r="E127" t="s">
        <v>160</v>
      </c>
      <c r="F127" t="s">
        <v>151</v>
      </c>
      <c r="G127" t="s">
        <v>155</v>
      </c>
      <c r="H127">
        <v>1255</v>
      </c>
      <c r="I127">
        <v>251</v>
      </c>
      <c r="J127">
        <v>175</v>
      </c>
      <c r="K127">
        <v>74</v>
      </c>
      <c r="L127">
        <v>0</v>
      </c>
      <c r="M127">
        <v>74</v>
      </c>
      <c r="N127">
        <v>0</v>
      </c>
      <c r="O127">
        <v>3</v>
      </c>
      <c r="P127">
        <v>8400</v>
      </c>
      <c r="Q127">
        <v>90</v>
      </c>
      <c r="R127">
        <v>448</v>
      </c>
      <c r="S127">
        <v>814</v>
      </c>
      <c r="T127">
        <v>41786</v>
      </c>
      <c r="U127">
        <v>35013</v>
      </c>
      <c r="V127">
        <v>0</v>
      </c>
      <c r="W127">
        <v>0.2</v>
      </c>
      <c r="X127">
        <v>0.697211155</v>
      </c>
      <c r="Y127">
        <v>0.422857143</v>
      </c>
      <c r="Z127">
        <v>1262</v>
      </c>
      <c r="AA127">
        <v>0.354992076</v>
      </c>
      <c r="AB127">
        <v>51.334152334</v>
      </c>
      <c r="AC127">
        <v>628260</v>
      </c>
    </row>
    <row r="128" ht="14.25" customHeight="1">
      <c r="A128" t="s">
        <v>147</v>
      </c>
      <c r="B128" t="s">
        <v>148</v>
      </c>
      <c r="C128" t="s">
        <v>104</v>
      </c>
      <c r="D128" t="s">
        <v>163</v>
      </c>
      <c r="E128" t="s">
        <v>161</v>
      </c>
      <c r="F128" t="s">
        <v>151</v>
      </c>
      <c r="G128" t="s">
        <v>155</v>
      </c>
      <c r="H128">
        <v>0</v>
      </c>
      <c r="I128">
        <v>0</v>
      </c>
      <c r="J128">
        <v>0</v>
      </c>
      <c r="K128">
        <v>0</v>
      </c>
      <c r="L128">
        <v>72</v>
      </c>
      <c r="M128">
        <v>72</v>
      </c>
      <c r="N128">
        <v>74</v>
      </c>
      <c r="O128">
        <v>3</v>
      </c>
      <c r="P128">
        <v>8400</v>
      </c>
      <c r="Q128">
        <v>90</v>
      </c>
      <c r="R128">
        <v>0</v>
      </c>
      <c r="S128">
        <v>0</v>
      </c>
      <c r="T128">
        <v>0</v>
      </c>
      <c r="U128">
        <v>0</v>
      </c>
      <c r="V128">
        <v>0.972972973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604800</v>
      </c>
    </row>
    <row r="129" ht="14.25" customHeight="1">
      <c r="A129" t="s">
        <v>147</v>
      </c>
      <c r="B129" t="s">
        <v>148</v>
      </c>
      <c r="C129" t="s">
        <v>104</v>
      </c>
      <c r="D129" t="s">
        <v>162</v>
      </c>
      <c r="E129" t="s">
        <v>150</v>
      </c>
      <c r="F129" t="s">
        <v>158</v>
      </c>
      <c r="G129" t="s">
        <v>152</v>
      </c>
      <c r="H129">
        <v>646</v>
      </c>
      <c r="I129">
        <v>181</v>
      </c>
      <c r="J129">
        <v>130</v>
      </c>
      <c r="K129">
        <v>78</v>
      </c>
      <c r="L129">
        <v>0</v>
      </c>
      <c r="M129">
        <v>78</v>
      </c>
      <c r="N129">
        <v>0</v>
      </c>
      <c r="O129">
        <v>3</v>
      </c>
      <c r="P129">
        <v>8400</v>
      </c>
      <c r="Q129">
        <v>90</v>
      </c>
      <c r="R129">
        <v>232</v>
      </c>
      <c r="S129">
        <v>414</v>
      </c>
      <c r="T129">
        <v>22326</v>
      </c>
      <c r="U129">
        <v>21185</v>
      </c>
      <c r="V129">
        <v>0</v>
      </c>
      <c r="W129">
        <v>0.280185759</v>
      </c>
      <c r="X129">
        <v>0.718232044</v>
      </c>
      <c r="Y129">
        <v>0.6</v>
      </c>
      <c r="Z129">
        <v>646</v>
      </c>
      <c r="AA129">
        <v>0.359133127</v>
      </c>
      <c r="AB129">
        <v>53.927536232</v>
      </c>
      <c r="AC129">
        <v>662220</v>
      </c>
    </row>
    <row r="130" ht="14.25" customHeight="1">
      <c r="A130" t="s">
        <v>147</v>
      </c>
      <c r="B130" t="s">
        <v>148</v>
      </c>
      <c r="C130" t="s">
        <v>104</v>
      </c>
      <c r="D130" t="s">
        <v>162</v>
      </c>
      <c r="E130" t="s">
        <v>153</v>
      </c>
      <c r="F130" t="s">
        <v>151</v>
      </c>
      <c r="G130" t="s">
        <v>152</v>
      </c>
      <c r="H130">
        <v>0</v>
      </c>
      <c r="I130">
        <v>0</v>
      </c>
      <c r="J130">
        <v>0</v>
      </c>
      <c r="K130">
        <v>0</v>
      </c>
      <c r="L130">
        <v>76</v>
      </c>
      <c r="M130">
        <v>76</v>
      </c>
      <c r="N130">
        <v>78</v>
      </c>
      <c r="O130">
        <v>3</v>
      </c>
      <c r="P130">
        <v>7840</v>
      </c>
      <c r="Q130">
        <v>90</v>
      </c>
      <c r="R130">
        <v>0</v>
      </c>
      <c r="S130">
        <v>0</v>
      </c>
      <c r="T130">
        <v>0</v>
      </c>
      <c r="U130">
        <v>0</v>
      </c>
      <c r="V130">
        <v>0.974358974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595840</v>
      </c>
    </row>
    <row r="131" ht="14.25" customHeight="1">
      <c r="A131" t="s">
        <v>147</v>
      </c>
      <c r="B131" t="s">
        <v>148</v>
      </c>
      <c r="C131" t="s">
        <v>104</v>
      </c>
      <c r="D131" t="s">
        <v>162</v>
      </c>
      <c r="E131" t="s">
        <v>154</v>
      </c>
      <c r="F131" t="s">
        <v>151</v>
      </c>
      <c r="G131" t="s">
        <v>152</v>
      </c>
      <c r="H131">
        <v>0</v>
      </c>
      <c r="I131">
        <v>0</v>
      </c>
      <c r="J131">
        <v>0</v>
      </c>
      <c r="K131">
        <v>0</v>
      </c>
      <c r="L131">
        <v>74</v>
      </c>
      <c r="M131">
        <v>74</v>
      </c>
      <c r="N131">
        <v>76</v>
      </c>
      <c r="O131">
        <v>3</v>
      </c>
      <c r="P131">
        <v>7840</v>
      </c>
      <c r="Q131">
        <v>90</v>
      </c>
      <c r="R131">
        <v>0</v>
      </c>
      <c r="S131">
        <v>0</v>
      </c>
      <c r="T131">
        <v>0</v>
      </c>
      <c r="U131">
        <v>0</v>
      </c>
      <c r="V131">
        <v>0.973684211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580160</v>
      </c>
    </row>
    <row r="132" ht="14.25" customHeight="1">
      <c r="A132" t="s">
        <v>147</v>
      </c>
      <c r="B132" t="s">
        <v>148</v>
      </c>
      <c r="C132" t="s">
        <v>104</v>
      </c>
      <c r="D132" t="s">
        <v>163</v>
      </c>
      <c r="E132" t="s">
        <v>160</v>
      </c>
      <c r="F132" t="s">
        <v>151</v>
      </c>
      <c r="G132" t="s">
        <v>152</v>
      </c>
      <c r="H132">
        <v>1330</v>
      </c>
      <c r="I132">
        <v>266</v>
      </c>
      <c r="J132">
        <v>186</v>
      </c>
      <c r="K132">
        <v>78</v>
      </c>
      <c r="L132">
        <v>0</v>
      </c>
      <c r="M132">
        <v>78</v>
      </c>
      <c r="N132">
        <v>0</v>
      </c>
      <c r="O132">
        <v>3</v>
      </c>
      <c r="P132">
        <v>8400</v>
      </c>
      <c r="Q132">
        <v>90</v>
      </c>
      <c r="R132">
        <v>479</v>
      </c>
      <c r="S132">
        <v>851</v>
      </c>
      <c r="T132">
        <v>45965</v>
      </c>
      <c r="U132">
        <v>43615</v>
      </c>
      <c r="V132">
        <v>0</v>
      </c>
      <c r="W132">
        <v>0.2</v>
      </c>
      <c r="X132">
        <v>0.69924812</v>
      </c>
      <c r="Y132">
        <v>0.419354839</v>
      </c>
      <c r="Z132">
        <v>1330</v>
      </c>
      <c r="AA132">
        <v>0.360150376</v>
      </c>
      <c r="AB132">
        <v>54.012925969</v>
      </c>
      <c r="AC132">
        <v>662220</v>
      </c>
    </row>
    <row r="133" ht="14.25" customHeight="1">
      <c r="A133" t="s">
        <v>147</v>
      </c>
      <c r="B133" t="s">
        <v>148</v>
      </c>
      <c r="C133" t="s">
        <v>104</v>
      </c>
      <c r="D133" t="s">
        <v>163</v>
      </c>
      <c r="E133" t="s">
        <v>161</v>
      </c>
      <c r="F133" t="s">
        <v>151</v>
      </c>
      <c r="G133" t="s">
        <v>152</v>
      </c>
      <c r="H133">
        <v>0</v>
      </c>
      <c r="I133">
        <v>0</v>
      </c>
      <c r="J133">
        <v>0</v>
      </c>
      <c r="K133">
        <v>0</v>
      </c>
      <c r="L133">
        <v>76</v>
      </c>
      <c r="M133">
        <v>76</v>
      </c>
      <c r="N133">
        <v>78</v>
      </c>
      <c r="O133">
        <v>3</v>
      </c>
      <c r="P133">
        <v>8400</v>
      </c>
      <c r="Q133">
        <v>90</v>
      </c>
      <c r="R133">
        <v>0</v>
      </c>
      <c r="S133">
        <v>0</v>
      </c>
      <c r="T133">
        <v>0</v>
      </c>
      <c r="U133">
        <v>0</v>
      </c>
      <c r="V133">
        <v>0.974358974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638400</v>
      </c>
    </row>
    <row r="134" ht="14.25" customHeight="1">
      <c r="A134" t="s">
        <v>147</v>
      </c>
      <c r="B134" t="s">
        <v>148</v>
      </c>
      <c r="C134" t="s">
        <v>105</v>
      </c>
      <c r="D134" t="s">
        <v>164</v>
      </c>
      <c r="E134" t="s">
        <v>153</v>
      </c>
      <c r="F134" t="s">
        <v>151</v>
      </c>
      <c r="G134" t="s">
        <v>156</v>
      </c>
      <c r="H134">
        <v>0</v>
      </c>
      <c r="I134">
        <v>0</v>
      </c>
      <c r="J134">
        <v>0</v>
      </c>
      <c r="K134">
        <v>0</v>
      </c>
      <c r="L134">
        <v>31</v>
      </c>
      <c r="M134">
        <v>31</v>
      </c>
      <c r="N134">
        <v>32</v>
      </c>
      <c r="O134">
        <v>2</v>
      </c>
      <c r="P134">
        <v>6790</v>
      </c>
      <c r="Q134">
        <v>90</v>
      </c>
      <c r="R134">
        <v>0</v>
      </c>
      <c r="S134">
        <v>0</v>
      </c>
      <c r="T134">
        <v>0</v>
      </c>
      <c r="U134">
        <v>0</v>
      </c>
      <c r="V134">
        <v>0.96875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210490</v>
      </c>
    </row>
    <row r="135" ht="14.25" customHeight="1">
      <c r="A135" t="s">
        <v>147</v>
      </c>
      <c r="B135" t="s">
        <v>148</v>
      </c>
      <c r="C135" t="s">
        <v>105</v>
      </c>
      <c r="D135" t="s">
        <v>165</v>
      </c>
      <c r="E135" t="s">
        <v>166</v>
      </c>
      <c r="F135" t="s">
        <v>151</v>
      </c>
      <c r="G135" t="s">
        <v>152</v>
      </c>
      <c r="H135">
        <v>615</v>
      </c>
      <c r="I135">
        <v>123</v>
      </c>
      <c r="J135">
        <v>86</v>
      </c>
      <c r="K135">
        <v>36</v>
      </c>
      <c r="L135">
        <v>0</v>
      </c>
      <c r="M135">
        <v>36</v>
      </c>
      <c r="N135">
        <v>0</v>
      </c>
      <c r="O135">
        <v>2</v>
      </c>
      <c r="P135">
        <v>5820</v>
      </c>
      <c r="Q135">
        <v>90</v>
      </c>
      <c r="R135">
        <v>326</v>
      </c>
      <c r="S135">
        <v>289</v>
      </c>
      <c r="T135">
        <v>10984</v>
      </c>
      <c r="U135">
        <v>29712</v>
      </c>
      <c r="V135">
        <v>0</v>
      </c>
      <c r="W135">
        <v>0.2</v>
      </c>
      <c r="X135">
        <v>0.699186992</v>
      </c>
      <c r="Y135">
        <v>0.418604651</v>
      </c>
      <c r="Z135">
        <v>615</v>
      </c>
      <c r="AA135">
        <v>0.530081301</v>
      </c>
      <c r="AB135">
        <v>38.006920415</v>
      </c>
      <c r="AC135">
        <v>212760</v>
      </c>
    </row>
    <row r="136" ht="14.25" customHeight="1">
      <c r="A136" t="s">
        <v>147</v>
      </c>
      <c r="B136" t="s">
        <v>148</v>
      </c>
      <c r="C136" t="s">
        <v>105</v>
      </c>
      <c r="D136" t="s">
        <v>165</v>
      </c>
      <c r="E136" t="s">
        <v>167</v>
      </c>
      <c r="F136" t="s">
        <v>151</v>
      </c>
      <c r="G136" t="s">
        <v>152</v>
      </c>
      <c r="H136">
        <v>0</v>
      </c>
      <c r="I136">
        <v>0</v>
      </c>
      <c r="J136">
        <v>0</v>
      </c>
      <c r="K136">
        <v>0</v>
      </c>
      <c r="L136">
        <v>35</v>
      </c>
      <c r="M136">
        <v>35</v>
      </c>
      <c r="N136">
        <v>36</v>
      </c>
      <c r="O136">
        <v>2</v>
      </c>
      <c r="P136">
        <v>5820</v>
      </c>
      <c r="Q136">
        <v>90</v>
      </c>
      <c r="R136">
        <v>0</v>
      </c>
      <c r="S136">
        <v>0</v>
      </c>
      <c r="T136">
        <v>0</v>
      </c>
      <c r="U136">
        <v>0</v>
      </c>
      <c r="V136">
        <v>0.972222222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203700</v>
      </c>
    </row>
    <row r="137" ht="14.25" customHeight="1">
      <c r="A137" t="s">
        <v>147</v>
      </c>
      <c r="B137" t="s">
        <v>148</v>
      </c>
      <c r="C137" t="s">
        <v>105</v>
      </c>
      <c r="D137" t="s">
        <v>164</v>
      </c>
      <c r="E137" t="s">
        <v>150</v>
      </c>
      <c r="F137" t="s">
        <v>151</v>
      </c>
      <c r="G137" t="s">
        <v>152</v>
      </c>
      <c r="H137">
        <v>615</v>
      </c>
      <c r="I137">
        <v>123</v>
      </c>
      <c r="J137">
        <v>86</v>
      </c>
      <c r="K137">
        <v>36</v>
      </c>
      <c r="L137">
        <v>0</v>
      </c>
      <c r="M137">
        <v>36</v>
      </c>
      <c r="N137">
        <v>0</v>
      </c>
      <c r="O137">
        <v>2</v>
      </c>
      <c r="P137">
        <v>6790</v>
      </c>
      <c r="Q137">
        <v>90</v>
      </c>
      <c r="R137">
        <v>326</v>
      </c>
      <c r="S137">
        <v>289</v>
      </c>
      <c r="T137">
        <v>10984</v>
      </c>
      <c r="U137">
        <v>29711</v>
      </c>
      <c r="V137">
        <v>0</v>
      </c>
      <c r="W137">
        <v>0.2</v>
      </c>
      <c r="X137">
        <v>0.699186992</v>
      </c>
      <c r="Y137">
        <v>0.418604651</v>
      </c>
      <c r="Z137">
        <v>615</v>
      </c>
      <c r="AA137">
        <v>0.530081301</v>
      </c>
      <c r="AB137">
        <v>38.006920415</v>
      </c>
      <c r="AC137">
        <v>247680</v>
      </c>
    </row>
    <row r="138" ht="14.25" customHeight="1">
      <c r="A138" t="s">
        <v>147</v>
      </c>
      <c r="B138" t="s">
        <v>148</v>
      </c>
      <c r="C138" t="s">
        <v>105</v>
      </c>
      <c r="D138" t="s">
        <v>164</v>
      </c>
      <c r="E138" t="s">
        <v>153</v>
      </c>
      <c r="F138" t="s">
        <v>151</v>
      </c>
      <c r="G138" t="s">
        <v>155</v>
      </c>
      <c r="H138">
        <v>0</v>
      </c>
      <c r="I138">
        <v>0</v>
      </c>
      <c r="J138">
        <v>0</v>
      </c>
      <c r="K138">
        <v>0</v>
      </c>
      <c r="L138">
        <v>33</v>
      </c>
      <c r="M138">
        <v>33</v>
      </c>
      <c r="N138">
        <v>34</v>
      </c>
      <c r="O138">
        <v>2</v>
      </c>
      <c r="P138">
        <v>6790</v>
      </c>
      <c r="Q138">
        <v>90</v>
      </c>
      <c r="R138">
        <v>0</v>
      </c>
      <c r="S138">
        <v>0</v>
      </c>
      <c r="T138">
        <v>0</v>
      </c>
      <c r="U138">
        <v>0</v>
      </c>
      <c r="V138">
        <v>0.970588235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224070</v>
      </c>
    </row>
    <row r="139" ht="14.25" customHeight="1">
      <c r="A139" t="s">
        <v>147</v>
      </c>
      <c r="B139" t="s">
        <v>148</v>
      </c>
      <c r="C139" t="s">
        <v>105</v>
      </c>
      <c r="D139" t="s">
        <v>164</v>
      </c>
      <c r="E139" t="s">
        <v>153</v>
      </c>
      <c r="F139" t="s">
        <v>151</v>
      </c>
      <c r="G139" t="s">
        <v>152</v>
      </c>
      <c r="H139">
        <v>0</v>
      </c>
      <c r="I139">
        <v>0</v>
      </c>
      <c r="J139">
        <v>0</v>
      </c>
      <c r="K139">
        <v>0</v>
      </c>
      <c r="L139">
        <v>35</v>
      </c>
      <c r="M139">
        <v>35</v>
      </c>
      <c r="N139">
        <v>36</v>
      </c>
      <c r="O139">
        <v>2</v>
      </c>
      <c r="P139">
        <v>6790</v>
      </c>
      <c r="Q139">
        <v>90</v>
      </c>
      <c r="R139">
        <v>0</v>
      </c>
      <c r="S139">
        <v>0</v>
      </c>
      <c r="T139">
        <v>0</v>
      </c>
      <c r="U139">
        <v>0</v>
      </c>
      <c r="V139">
        <v>0.972222222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237650</v>
      </c>
    </row>
    <row r="140" ht="14.25" customHeight="1">
      <c r="A140" t="s">
        <v>147</v>
      </c>
      <c r="B140" t="s">
        <v>148</v>
      </c>
      <c r="C140" t="s">
        <v>105</v>
      </c>
      <c r="D140" t="s">
        <v>165</v>
      </c>
      <c r="E140" t="s">
        <v>166</v>
      </c>
      <c r="F140" t="s">
        <v>151</v>
      </c>
      <c r="G140" t="s">
        <v>155</v>
      </c>
      <c r="H140">
        <v>580</v>
      </c>
      <c r="I140">
        <v>116</v>
      </c>
      <c r="J140">
        <v>81</v>
      </c>
      <c r="K140">
        <v>34</v>
      </c>
      <c r="L140">
        <v>0</v>
      </c>
      <c r="M140">
        <v>34</v>
      </c>
      <c r="N140">
        <v>0</v>
      </c>
      <c r="O140">
        <v>2</v>
      </c>
      <c r="P140">
        <v>5820</v>
      </c>
      <c r="Q140">
        <v>90</v>
      </c>
      <c r="R140">
        <v>314</v>
      </c>
      <c r="S140">
        <v>276</v>
      </c>
      <c r="T140">
        <v>9986</v>
      </c>
      <c r="U140">
        <v>26636</v>
      </c>
      <c r="V140">
        <v>0</v>
      </c>
      <c r="W140">
        <v>0.2</v>
      </c>
      <c r="X140">
        <v>0.698275862</v>
      </c>
      <c r="Y140">
        <v>0.419753086</v>
      </c>
      <c r="Z140">
        <v>590</v>
      </c>
      <c r="AA140">
        <v>0.53220339</v>
      </c>
      <c r="AB140">
        <v>36.18115942</v>
      </c>
      <c r="AC140">
        <v>200940</v>
      </c>
    </row>
    <row r="141" ht="14.25" customHeight="1">
      <c r="A141" t="s">
        <v>147</v>
      </c>
      <c r="B141" t="s">
        <v>148</v>
      </c>
      <c r="C141" t="s">
        <v>105</v>
      </c>
      <c r="D141" t="s">
        <v>165</v>
      </c>
      <c r="E141" t="s">
        <v>167</v>
      </c>
      <c r="F141" t="s">
        <v>151</v>
      </c>
      <c r="G141" t="s">
        <v>155</v>
      </c>
      <c r="H141">
        <v>0</v>
      </c>
      <c r="I141">
        <v>0</v>
      </c>
      <c r="J141">
        <v>0</v>
      </c>
      <c r="K141">
        <v>0</v>
      </c>
      <c r="L141">
        <v>33</v>
      </c>
      <c r="M141">
        <v>33</v>
      </c>
      <c r="N141">
        <v>34</v>
      </c>
      <c r="O141">
        <v>2</v>
      </c>
      <c r="P141">
        <v>5820</v>
      </c>
      <c r="Q141">
        <v>90</v>
      </c>
      <c r="R141">
        <v>0</v>
      </c>
      <c r="S141">
        <v>0</v>
      </c>
      <c r="T141">
        <v>0</v>
      </c>
      <c r="U141">
        <v>0</v>
      </c>
      <c r="V141">
        <v>0.970588235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192060</v>
      </c>
    </row>
    <row r="142" ht="14.25" customHeight="1">
      <c r="A142" t="s">
        <v>147</v>
      </c>
      <c r="B142" t="s">
        <v>148</v>
      </c>
      <c r="C142" t="s">
        <v>105</v>
      </c>
      <c r="D142" t="s">
        <v>164</v>
      </c>
      <c r="E142" t="s">
        <v>150</v>
      </c>
      <c r="F142" t="s">
        <v>151</v>
      </c>
      <c r="G142" t="s">
        <v>155</v>
      </c>
      <c r="H142">
        <v>580</v>
      </c>
      <c r="I142">
        <v>116</v>
      </c>
      <c r="J142">
        <v>81</v>
      </c>
      <c r="K142">
        <v>34</v>
      </c>
      <c r="L142">
        <v>0</v>
      </c>
      <c r="M142">
        <v>34</v>
      </c>
      <c r="N142">
        <v>0</v>
      </c>
      <c r="O142">
        <v>2</v>
      </c>
      <c r="P142">
        <v>6790</v>
      </c>
      <c r="Q142">
        <v>90</v>
      </c>
      <c r="R142">
        <v>313</v>
      </c>
      <c r="S142">
        <v>276</v>
      </c>
      <c r="T142">
        <v>9985</v>
      </c>
      <c r="U142">
        <v>26637</v>
      </c>
      <c r="V142">
        <v>0</v>
      </c>
      <c r="W142">
        <v>0.2</v>
      </c>
      <c r="X142">
        <v>0.698275862</v>
      </c>
      <c r="Y142">
        <v>0.419753086</v>
      </c>
      <c r="Z142">
        <v>589</v>
      </c>
      <c r="AA142">
        <v>0.531409168</v>
      </c>
      <c r="AB142">
        <v>36.177536232</v>
      </c>
      <c r="AC142">
        <v>233920</v>
      </c>
    </row>
    <row r="143" ht="14.25" customHeight="1">
      <c r="A143" t="s">
        <v>147</v>
      </c>
      <c r="B143" t="s">
        <v>148</v>
      </c>
      <c r="C143" t="s">
        <v>105</v>
      </c>
      <c r="D143" t="s">
        <v>165</v>
      </c>
      <c r="E143" t="s">
        <v>166</v>
      </c>
      <c r="F143" t="s">
        <v>151</v>
      </c>
      <c r="G143" t="s">
        <v>156</v>
      </c>
      <c r="H143">
        <v>547</v>
      </c>
      <c r="I143">
        <v>109</v>
      </c>
      <c r="J143">
        <v>77</v>
      </c>
      <c r="K143">
        <v>32</v>
      </c>
      <c r="L143">
        <v>0</v>
      </c>
      <c r="M143">
        <v>32</v>
      </c>
      <c r="N143">
        <v>0</v>
      </c>
      <c r="O143">
        <v>2</v>
      </c>
      <c r="P143">
        <v>5820</v>
      </c>
      <c r="Q143">
        <v>90</v>
      </c>
      <c r="R143">
        <v>302</v>
      </c>
      <c r="S143">
        <v>264</v>
      </c>
      <c r="T143">
        <v>9078</v>
      </c>
      <c r="U143">
        <v>23880</v>
      </c>
      <c r="V143">
        <v>0</v>
      </c>
      <c r="W143">
        <v>0.199268739</v>
      </c>
      <c r="X143">
        <v>0.706422018</v>
      </c>
      <c r="Y143">
        <v>0.415584416</v>
      </c>
      <c r="Z143">
        <v>566</v>
      </c>
      <c r="AA143">
        <v>0.533568905</v>
      </c>
      <c r="AB143">
        <v>34.386363636</v>
      </c>
      <c r="AC143">
        <v>189120</v>
      </c>
    </row>
    <row r="144" ht="14.25" customHeight="1">
      <c r="A144" t="s">
        <v>147</v>
      </c>
      <c r="B144" t="s">
        <v>148</v>
      </c>
      <c r="C144" t="s">
        <v>105</v>
      </c>
      <c r="D144" t="s">
        <v>165</v>
      </c>
      <c r="E144" t="s">
        <v>167</v>
      </c>
      <c r="F144" t="s">
        <v>151</v>
      </c>
      <c r="G144" t="s">
        <v>156</v>
      </c>
      <c r="H144">
        <v>0</v>
      </c>
      <c r="I144">
        <v>0</v>
      </c>
      <c r="J144">
        <v>0</v>
      </c>
      <c r="K144">
        <v>0</v>
      </c>
      <c r="L144">
        <v>31</v>
      </c>
      <c r="M144">
        <v>31</v>
      </c>
      <c r="N144">
        <v>32</v>
      </c>
      <c r="O144">
        <v>2</v>
      </c>
      <c r="P144">
        <v>5820</v>
      </c>
      <c r="Q144">
        <v>90</v>
      </c>
      <c r="R144">
        <v>0</v>
      </c>
      <c r="S144">
        <v>0</v>
      </c>
      <c r="T144">
        <v>0</v>
      </c>
      <c r="U144">
        <v>0</v>
      </c>
      <c r="V144">
        <v>0.96875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180420</v>
      </c>
    </row>
    <row r="145" ht="14.25" customHeight="1">
      <c r="A145" t="s">
        <v>147</v>
      </c>
      <c r="B145" t="s">
        <v>148</v>
      </c>
      <c r="C145" t="s">
        <v>105</v>
      </c>
      <c r="D145" t="s">
        <v>164</v>
      </c>
      <c r="E145" t="s">
        <v>150</v>
      </c>
      <c r="F145" t="s">
        <v>151</v>
      </c>
      <c r="G145" t="s">
        <v>156</v>
      </c>
      <c r="H145">
        <v>547</v>
      </c>
      <c r="I145">
        <v>109</v>
      </c>
      <c r="J145">
        <v>77</v>
      </c>
      <c r="K145">
        <v>32</v>
      </c>
      <c r="L145">
        <v>0</v>
      </c>
      <c r="M145">
        <v>32</v>
      </c>
      <c r="N145">
        <v>0</v>
      </c>
      <c r="O145">
        <v>2</v>
      </c>
      <c r="P145">
        <v>6790</v>
      </c>
      <c r="Q145">
        <v>90</v>
      </c>
      <c r="R145">
        <v>301</v>
      </c>
      <c r="S145">
        <v>264</v>
      </c>
      <c r="T145">
        <v>9077</v>
      </c>
      <c r="U145">
        <v>23880</v>
      </c>
      <c r="V145">
        <v>0</v>
      </c>
      <c r="W145">
        <v>0.199268739</v>
      </c>
      <c r="X145">
        <v>0.706422018</v>
      </c>
      <c r="Y145">
        <v>0.415584416</v>
      </c>
      <c r="Z145">
        <v>565</v>
      </c>
      <c r="AA145">
        <v>0.532743363</v>
      </c>
      <c r="AB145">
        <v>34.382575758</v>
      </c>
      <c r="AC145">
        <v>220160</v>
      </c>
    </row>
    <row r="146" ht="14.25" customHeight="1">
      <c r="A146" t="s">
        <v>147</v>
      </c>
      <c r="B146" t="s">
        <v>148</v>
      </c>
      <c r="C146" t="s">
        <v>105</v>
      </c>
      <c r="D146" t="s">
        <v>164</v>
      </c>
      <c r="E146" t="s">
        <v>154</v>
      </c>
      <c r="F146" t="s">
        <v>151</v>
      </c>
      <c r="G146" t="s">
        <v>156</v>
      </c>
      <c r="H146">
        <v>0</v>
      </c>
      <c r="I146">
        <v>0</v>
      </c>
      <c r="J146">
        <v>0</v>
      </c>
      <c r="K146">
        <v>0</v>
      </c>
      <c r="L146">
        <v>30</v>
      </c>
      <c r="M146">
        <v>30</v>
      </c>
      <c r="N146">
        <v>31</v>
      </c>
      <c r="O146">
        <v>2</v>
      </c>
      <c r="P146">
        <v>6790</v>
      </c>
      <c r="Q146">
        <v>90</v>
      </c>
      <c r="R146">
        <v>0</v>
      </c>
      <c r="S146">
        <v>0</v>
      </c>
      <c r="T146">
        <v>0</v>
      </c>
      <c r="U146">
        <v>0</v>
      </c>
      <c r="V146">
        <v>0.967741935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203700</v>
      </c>
    </row>
    <row r="147" ht="14.25" customHeight="1">
      <c r="A147" t="s">
        <v>147</v>
      </c>
      <c r="B147" t="s">
        <v>148</v>
      </c>
      <c r="C147" t="s">
        <v>105</v>
      </c>
      <c r="D147" t="s">
        <v>164</v>
      </c>
      <c r="E147" t="s">
        <v>154</v>
      </c>
      <c r="F147" t="s">
        <v>151</v>
      </c>
      <c r="G147" t="s">
        <v>155</v>
      </c>
      <c r="H147">
        <v>0</v>
      </c>
      <c r="I147">
        <v>0</v>
      </c>
      <c r="J147">
        <v>0</v>
      </c>
      <c r="K147">
        <v>0</v>
      </c>
      <c r="L147">
        <v>32</v>
      </c>
      <c r="M147">
        <v>32</v>
      </c>
      <c r="N147">
        <v>33</v>
      </c>
      <c r="O147">
        <v>2</v>
      </c>
      <c r="P147">
        <v>6790</v>
      </c>
      <c r="Q147">
        <v>90</v>
      </c>
      <c r="R147">
        <v>0</v>
      </c>
      <c r="S147">
        <v>0</v>
      </c>
      <c r="T147">
        <v>0</v>
      </c>
      <c r="U147">
        <v>0</v>
      </c>
      <c r="V147">
        <v>0.96969697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217280</v>
      </c>
    </row>
    <row r="148" ht="14.25" customHeight="1">
      <c r="A148" t="s">
        <v>147</v>
      </c>
      <c r="B148" t="s">
        <v>148</v>
      </c>
      <c r="C148" t="s">
        <v>105</v>
      </c>
      <c r="D148" t="s">
        <v>164</v>
      </c>
      <c r="E148" t="s">
        <v>154</v>
      </c>
      <c r="F148" t="s">
        <v>151</v>
      </c>
      <c r="G148" t="s">
        <v>152</v>
      </c>
      <c r="H148">
        <v>0</v>
      </c>
      <c r="I148">
        <v>0</v>
      </c>
      <c r="J148">
        <v>0</v>
      </c>
      <c r="K148">
        <v>0</v>
      </c>
      <c r="L148">
        <v>34</v>
      </c>
      <c r="M148">
        <v>34</v>
      </c>
      <c r="N148">
        <v>35</v>
      </c>
      <c r="O148">
        <v>2</v>
      </c>
      <c r="P148">
        <v>6790</v>
      </c>
      <c r="Q148">
        <v>90</v>
      </c>
      <c r="R148">
        <v>0</v>
      </c>
      <c r="S148">
        <v>0</v>
      </c>
      <c r="T148">
        <v>0</v>
      </c>
      <c r="U148">
        <v>0</v>
      </c>
      <c r="V148">
        <v>0.971428571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230860</v>
      </c>
    </row>
    <row r="149" ht="14.25" customHeight="1">
      <c r="A149" t="s">
        <v>147</v>
      </c>
      <c r="B149" t="s">
        <v>148</v>
      </c>
      <c r="C149" t="s">
        <v>106</v>
      </c>
      <c r="D149" t="s">
        <v>164</v>
      </c>
      <c r="E149" t="s">
        <v>154</v>
      </c>
      <c r="F149" t="s">
        <v>151</v>
      </c>
      <c r="G149" t="s">
        <v>156</v>
      </c>
      <c r="H149">
        <v>0</v>
      </c>
      <c r="I149">
        <v>0</v>
      </c>
      <c r="J149">
        <v>0</v>
      </c>
      <c r="K149">
        <v>0</v>
      </c>
      <c r="L149">
        <v>39</v>
      </c>
      <c r="M149">
        <v>39</v>
      </c>
      <c r="N149">
        <v>40</v>
      </c>
      <c r="O149">
        <v>2</v>
      </c>
      <c r="P149">
        <v>7350</v>
      </c>
      <c r="Q149">
        <v>90</v>
      </c>
      <c r="R149">
        <v>0</v>
      </c>
      <c r="S149">
        <v>0</v>
      </c>
      <c r="T149">
        <v>0</v>
      </c>
      <c r="U149">
        <v>0</v>
      </c>
      <c r="V149">
        <v>0.975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286650</v>
      </c>
    </row>
    <row r="150" ht="14.25" customHeight="1">
      <c r="A150" t="s">
        <v>147</v>
      </c>
      <c r="B150" t="s">
        <v>148</v>
      </c>
      <c r="C150" t="s">
        <v>106</v>
      </c>
      <c r="D150" t="s">
        <v>164</v>
      </c>
      <c r="E150" t="s">
        <v>154</v>
      </c>
      <c r="F150" t="s">
        <v>151</v>
      </c>
      <c r="G150" t="s">
        <v>155</v>
      </c>
      <c r="H150">
        <v>0</v>
      </c>
      <c r="I150">
        <v>0</v>
      </c>
      <c r="J150">
        <v>0</v>
      </c>
      <c r="K150">
        <v>0</v>
      </c>
      <c r="L150">
        <v>41</v>
      </c>
      <c r="M150">
        <v>41</v>
      </c>
      <c r="N150">
        <v>42</v>
      </c>
      <c r="O150">
        <v>2</v>
      </c>
      <c r="P150">
        <v>7350</v>
      </c>
      <c r="Q150">
        <v>90</v>
      </c>
      <c r="R150">
        <v>0</v>
      </c>
      <c r="S150">
        <v>0</v>
      </c>
      <c r="T150">
        <v>0</v>
      </c>
      <c r="U150">
        <v>0</v>
      </c>
      <c r="V150">
        <v>0.976190476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301350</v>
      </c>
    </row>
    <row r="151" ht="14.25" customHeight="1">
      <c r="A151" t="s">
        <v>147</v>
      </c>
      <c r="B151" t="s">
        <v>148</v>
      </c>
      <c r="C151" t="s">
        <v>106</v>
      </c>
      <c r="D151" t="s">
        <v>164</v>
      </c>
      <c r="E151" t="s">
        <v>154</v>
      </c>
      <c r="F151" t="s">
        <v>151</v>
      </c>
      <c r="G151" t="s">
        <v>152</v>
      </c>
      <c r="H151">
        <v>0</v>
      </c>
      <c r="I151">
        <v>0</v>
      </c>
      <c r="J151">
        <v>0</v>
      </c>
      <c r="K151">
        <v>0</v>
      </c>
      <c r="L151">
        <v>44</v>
      </c>
      <c r="M151">
        <v>44</v>
      </c>
      <c r="N151">
        <v>45</v>
      </c>
      <c r="O151">
        <v>2</v>
      </c>
      <c r="P151">
        <v>7350</v>
      </c>
      <c r="Q151">
        <v>90</v>
      </c>
      <c r="R151">
        <v>0</v>
      </c>
      <c r="S151">
        <v>0</v>
      </c>
      <c r="T151">
        <v>0</v>
      </c>
      <c r="U151">
        <v>0</v>
      </c>
      <c r="V151">
        <v>0.977777778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323400</v>
      </c>
    </row>
    <row r="152" ht="14.25" customHeight="1">
      <c r="A152" t="s">
        <v>147</v>
      </c>
      <c r="B152" t="s">
        <v>148</v>
      </c>
      <c r="C152" t="s">
        <v>106</v>
      </c>
      <c r="D152" t="s">
        <v>164</v>
      </c>
      <c r="E152" t="s">
        <v>153</v>
      </c>
      <c r="F152" t="s">
        <v>151</v>
      </c>
      <c r="G152" t="s">
        <v>152</v>
      </c>
      <c r="H152">
        <v>0</v>
      </c>
      <c r="I152">
        <v>0</v>
      </c>
      <c r="J152">
        <v>0</v>
      </c>
      <c r="K152">
        <v>0</v>
      </c>
      <c r="L152">
        <v>45</v>
      </c>
      <c r="M152">
        <v>45</v>
      </c>
      <c r="N152">
        <v>46</v>
      </c>
      <c r="O152">
        <v>2</v>
      </c>
      <c r="P152">
        <v>7350</v>
      </c>
      <c r="Q152">
        <v>90</v>
      </c>
      <c r="R152">
        <v>0</v>
      </c>
      <c r="S152">
        <v>0</v>
      </c>
      <c r="T152">
        <v>0</v>
      </c>
      <c r="U152">
        <v>0</v>
      </c>
      <c r="V152">
        <v>0.97826087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330750</v>
      </c>
    </row>
    <row r="153" ht="14.25" customHeight="1">
      <c r="A153" t="s">
        <v>147</v>
      </c>
      <c r="B153" t="s">
        <v>148</v>
      </c>
      <c r="C153" t="s">
        <v>106</v>
      </c>
      <c r="D153" t="s">
        <v>164</v>
      </c>
      <c r="E153" t="s">
        <v>153</v>
      </c>
      <c r="F153" t="s">
        <v>151</v>
      </c>
      <c r="G153" t="s">
        <v>156</v>
      </c>
      <c r="H153">
        <v>0</v>
      </c>
      <c r="I153">
        <v>0</v>
      </c>
      <c r="J153">
        <v>0</v>
      </c>
      <c r="K153">
        <v>0</v>
      </c>
      <c r="L153">
        <v>40</v>
      </c>
      <c r="M153">
        <v>40</v>
      </c>
      <c r="N153">
        <v>41</v>
      </c>
      <c r="O153">
        <v>2</v>
      </c>
      <c r="P153">
        <v>7350</v>
      </c>
      <c r="Q153">
        <v>90</v>
      </c>
      <c r="R153">
        <v>0</v>
      </c>
      <c r="S153">
        <v>0</v>
      </c>
      <c r="T153">
        <v>0</v>
      </c>
      <c r="U153">
        <v>0</v>
      </c>
      <c r="V153">
        <v>0.975609756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294000</v>
      </c>
    </row>
    <row r="154" ht="14.25" customHeight="1">
      <c r="A154" t="s">
        <v>147</v>
      </c>
      <c r="B154" t="s">
        <v>148</v>
      </c>
      <c r="C154" t="s">
        <v>106</v>
      </c>
      <c r="D154" t="s">
        <v>165</v>
      </c>
      <c r="E154" t="s">
        <v>166</v>
      </c>
      <c r="F154" t="s">
        <v>151</v>
      </c>
      <c r="G154" t="s">
        <v>155</v>
      </c>
      <c r="H154">
        <v>741</v>
      </c>
      <c r="I154">
        <v>148</v>
      </c>
      <c r="J154">
        <v>104</v>
      </c>
      <c r="K154">
        <v>43</v>
      </c>
      <c r="L154">
        <v>0</v>
      </c>
      <c r="M154">
        <v>43</v>
      </c>
      <c r="N154">
        <v>0</v>
      </c>
      <c r="O154">
        <v>2</v>
      </c>
      <c r="P154">
        <v>6300</v>
      </c>
      <c r="Q154">
        <v>90</v>
      </c>
      <c r="R154">
        <v>355</v>
      </c>
      <c r="S154">
        <v>399</v>
      </c>
      <c r="T154">
        <v>16642</v>
      </c>
      <c r="U154">
        <v>29976</v>
      </c>
      <c r="V154">
        <v>0</v>
      </c>
      <c r="W154">
        <v>0.199730094</v>
      </c>
      <c r="X154">
        <v>0.702702703</v>
      </c>
      <c r="Y154">
        <v>0.413461538</v>
      </c>
      <c r="Z154">
        <v>754</v>
      </c>
      <c r="AA154">
        <v>0.470822281</v>
      </c>
      <c r="AB154">
        <v>41.709273183</v>
      </c>
      <c r="AC154">
        <v>274770</v>
      </c>
    </row>
    <row r="155" ht="14.25" customHeight="1">
      <c r="A155" t="s">
        <v>147</v>
      </c>
      <c r="B155" t="s">
        <v>148</v>
      </c>
      <c r="C155" t="s">
        <v>106</v>
      </c>
      <c r="D155" t="s">
        <v>165</v>
      </c>
      <c r="E155" t="s">
        <v>167</v>
      </c>
      <c r="F155" t="s">
        <v>151</v>
      </c>
      <c r="G155" t="s">
        <v>155</v>
      </c>
      <c r="H155">
        <v>0</v>
      </c>
      <c r="I155">
        <v>0</v>
      </c>
      <c r="J155">
        <v>0</v>
      </c>
      <c r="K155">
        <v>0</v>
      </c>
      <c r="L155">
        <v>42</v>
      </c>
      <c r="M155">
        <v>42</v>
      </c>
      <c r="N155">
        <v>43</v>
      </c>
      <c r="O155">
        <v>2</v>
      </c>
      <c r="P155">
        <v>6300</v>
      </c>
      <c r="Q155">
        <v>90</v>
      </c>
      <c r="R155">
        <v>0</v>
      </c>
      <c r="S155">
        <v>0</v>
      </c>
      <c r="T155">
        <v>0</v>
      </c>
      <c r="U155">
        <v>0</v>
      </c>
      <c r="V155">
        <v>0.976744186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264600</v>
      </c>
    </row>
    <row r="156" ht="14.25" customHeight="1">
      <c r="A156" t="s">
        <v>147</v>
      </c>
      <c r="B156" t="s">
        <v>148</v>
      </c>
      <c r="C156" t="s">
        <v>106</v>
      </c>
      <c r="D156" t="s">
        <v>164</v>
      </c>
      <c r="E156" t="s">
        <v>150</v>
      </c>
      <c r="F156" t="s">
        <v>151</v>
      </c>
      <c r="G156" t="s">
        <v>155</v>
      </c>
      <c r="H156">
        <v>741</v>
      </c>
      <c r="I156">
        <v>148</v>
      </c>
      <c r="J156">
        <v>104</v>
      </c>
      <c r="K156">
        <v>43</v>
      </c>
      <c r="L156">
        <v>0</v>
      </c>
      <c r="M156">
        <v>43</v>
      </c>
      <c r="N156">
        <v>0</v>
      </c>
      <c r="O156">
        <v>2</v>
      </c>
      <c r="P156">
        <v>7350</v>
      </c>
      <c r="Q156">
        <v>90</v>
      </c>
      <c r="R156">
        <v>355</v>
      </c>
      <c r="S156">
        <v>399</v>
      </c>
      <c r="T156">
        <v>16642</v>
      </c>
      <c r="U156">
        <v>29977</v>
      </c>
      <c r="V156">
        <v>0</v>
      </c>
      <c r="W156">
        <v>0.199730094</v>
      </c>
      <c r="X156">
        <v>0.702702703</v>
      </c>
      <c r="Y156">
        <v>0.413461538</v>
      </c>
      <c r="Z156">
        <v>754</v>
      </c>
      <c r="AA156">
        <v>0.470822281</v>
      </c>
      <c r="AB156">
        <v>41.709273183</v>
      </c>
      <c r="AC156">
        <v>319920</v>
      </c>
    </row>
    <row r="157" ht="14.25" customHeight="1">
      <c r="A157" t="s">
        <v>147</v>
      </c>
      <c r="B157" t="s">
        <v>148</v>
      </c>
      <c r="C157" t="s">
        <v>106</v>
      </c>
      <c r="D157" t="s">
        <v>165</v>
      </c>
      <c r="E157" t="s">
        <v>166</v>
      </c>
      <c r="F157" t="s">
        <v>151</v>
      </c>
      <c r="G157" t="s">
        <v>156</v>
      </c>
      <c r="H157">
        <v>699</v>
      </c>
      <c r="I157">
        <v>140</v>
      </c>
      <c r="J157">
        <v>98</v>
      </c>
      <c r="K157">
        <v>41</v>
      </c>
      <c r="L157">
        <v>0</v>
      </c>
      <c r="M157">
        <v>41</v>
      </c>
      <c r="N157">
        <v>0</v>
      </c>
      <c r="O157">
        <v>2</v>
      </c>
      <c r="P157">
        <v>6300</v>
      </c>
      <c r="Q157">
        <v>90</v>
      </c>
      <c r="R157">
        <v>341</v>
      </c>
      <c r="S157">
        <v>382</v>
      </c>
      <c r="T157">
        <v>15129</v>
      </c>
      <c r="U157">
        <v>26720</v>
      </c>
      <c r="V157">
        <v>0</v>
      </c>
      <c r="W157">
        <v>0.200286123</v>
      </c>
      <c r="X157">
        <v>0.7</v>
      </c>
      <c r="Y157">
        <v>0.418367347</v>
      </c>
      <c r="Z157">
        <v>723</v>
      </c>
      <c r="AA157">
        <v>0.47164592</v>
      </c>
      <c r="AB157">
        <v>39.604712042</v>
      </c>
      <c r="AC157">
        <v>261990</v>
      </c>
    </row>
    <row r="158" ht="14.25" customHeight="1">
      <c r="A158" t="s">
        <v>147</v>
      </c>
      <c r="B158" t="s">
        <v>148</v>
      </c>
      <c r="C158" t="s">
        <v>106</v>
      </c>
      <c r="D158" t="s">
        <v>165</v>
      </c>
      <c r="E158" t="s">
        <v>167</v>
      </c>
      <c r="F158" t="s">
        <v>151</v>
      </c>
      <c r="G158" t="s">
        <v>156</v>
      </c>
      <c r="H158">
        <v>0</v>
      </c>
      <c r="I158">
        <v>0</v>
      </c>
      <c r="J158">
        <v>0</v>
      </c>
      <c r="K158">
        <v>0</v>
      </c>
      <c r="L158">
        <v>40</v>
      </c>
      <c r="M158">
        <v>40</v>
      </c>
      <c r="N158">
        <v>41</v>
      </c>
      <c r="O158">
        <v>2</v>
      </c>
      <c r="P158">
        <v>6300</v>
      </c>
      <c r="Q158">
        <v>90</v>
      </c>
      <c r="R158">
        <v>0</v>
      </c>
      <c r="S158">
        <v>0</v>
      </c>
      <c r="T158">
        <v>0</v>
      </c>
      <c r="U158">
        <v>0</v>
      </c>
      <c r="V158">
        <v>0.975609756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252000</v>
      </c>
    </row>
    <row r="159" ht="14.25" customHeight="1">
      <c r="A159" t="s">
        <v>147</v>
      </c>
      <c r="B159" t="s">
        <v>148</v>
      </c>
      <c r="C159" t="s">
        <v>106</v>
      </c>
      <c r="D159" t="s">
        <v>164</v>
      </c>
      <c r="E159" t="s">
        <v>150</v>
      </c>
      <c r="F159" t="s">
        <v>151</v>
      </c>
      <c r="G159" t="s">
        <v>156</v>
      </c>
      <c r="H159">
        <v>699</v>
      </c>
      <c r="I159">
        <v>140</v>
      </c>
      <c r="J159">
        <v>98</v>
      </c>
      <c r="K159">
        <v>41</v>
      </c>
      <c r="L159">
        <v>0</v>
      </c>
      <c r="M159">
        <v>41</v>
      </c>
      <c r="N159">
        <v>0</v>
      </c>
      <c r="O159">
        <v>2</v>
      </c>
      <c r="P159">
        <v>7350</v>
      </c>
      <c r="Q159">
        <v>90</v>
      </c>
      <c r="R159">
        <v>341</v>
      </c>
      <c r="S159">
        <v>383</v>
      </c>
      <c r="T159">
        <v>15129</v>
      </c>
      <c r="U159">
        <v>26719</v>
      </c>
      <c r="V159">
        <v>0</v>
      </c>
      <c r="W159">
        <v>0.200286123</v>
      </c>
      <c r="X159">
        <v>0.7</v>
      </c>
      <c r="Y159">
        <v>0.418367347</v>
      </c>
      <c r="Z159">
        <v>724</v>
      </c>
      <c r="AA159">
        <v>0.470994475</v>
      </c>
      <c r="AB159">
        <v>39.501305483</v>
      </c>
      <c r="AC159">
        <v>305040</v>
      </c>
    </row>
    <row r="160" ht="14.25" customHeight="1">
      <c r="A160" t="s">
        <v>147</v>
      </c>
      <c r="B160" t="s">
        <v>148</v>
      </c>
      <c r="C160" t="s">
        <v>106</v>
      </c>
      <c r="D160" t="s">
        <v>164</v>
      </c>
      <c r="E160" t="s">
        <v>153</v>
      </c>
      <c r="F160" t="s">
        <v>151</v>
      </c>
      <c r="G160" t="s">
        <v>155</v>
      </c>
      <c r="H160">
        <v>0</v>
      </c>
      <c r="I160">
        <v>0</v>
      </c>
      <c r="J160">
        <v>0</v>
      </c>
      <c r="K160">
        <v>0</v>
      </c>
      <c r="L160">
        <v>42</v>
      </c>
      <c r="M160">
        <v>42</v>
      </c>
      <c r="N160">
        <v>43</v>
      </c>
      <c r="O160">
        <v>2</v>
      </c>
      <c r="P160">
        <v>7350</v>
      </c>
      <c r="Q160">
        <v>90</v>
      </c>
      <c r="R160">
        <v>0</v>
      </c>
      <c r="S160">
        <v>0</v>
      </c>
      <c r="T160">
        <v>0</v>
      </c>
      <c r="U160">
        <v>0</v>
      </c>
      <c r="V160">
        <v>0.976744186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308700</v>
      </c>
    </row>
    <row r="161" ht="14.25" customHeight="1">
      <c r="A161" t="s">
        <v>147</v>
      </c>
      <c r="B161" t="s">
        <v>148</v>
      </c>
      <c r="C161" t="s">
        <v>106</v>
      </c>
      <c r="D161" t="s">
        <v>165</v>
      </c>
      <c r="E161" t="s">
        <v>166</v>
      </c>
      <c r="F161" t="s">
        <v>151</v>
      </c>
      <c r="G161" t="s">
        <v>152</v>
      </c>
      <c r="H161">
        <v>785</v>
      </c>
      <c r="I161">
        <v>157</v>
      </c>
      <c r="J161">
        <v>110</v>
      </c>
      <c r="K161">
        <v>46</v>
      </c>
      <c r="L161">
        <v>0</v>
      </c>
      <c r="M161">
        <v>46</v>
      </c>
      <c r="N161">
        <v>0</v>
      </c>
      <c r="O161">
        <v>2</v>
      </c>
      <c r="P161">
        <v>6300</v>
      </c>
      <c r="Q161">
        <v>90</v>
      </c>
      <c r="R161">
        <v>369</v>
      </c>
      <c r="S161">
        <v>416</v>
      </c>
      <c r="T161">
        <v>18306</v>
      </c>
      <c r="U161">
        <v>33630</v>
      </c>
      <c r="V161">
        <v>0</v>
      </c>
      <c r="W161">
        <v>0.2</v>
      </c>
      <c r="X161">
        <v>0.700636943</v>
      </c>
      <c r="Y161">
        <v>0.418181818</v>
      </c>
      <c r="Z161">
        <v>785</v>
      </c>
      <c r="AA161">
        <v>0.470063694</v>
      </c>
      <c r="AB161">
        <v>44.004807692</v>
      </c>
      <c r="AC161">
        <v>293940</v>
      </c>
    </row>
    <row r="162" ht="14.25" customHeight="1">
      <c r="A162" t="s">
        <v>147</v>
      </c>
      <c r="B162" t="s">
        <v>148</v>
      </c>
      <c r="C162" t="s">
        <v>106</v>
      </c>
      <c r="D162" t="s">
        <v>165</v>
      </c>
      <c r="E162" t="s">
        <v>167</v>
      </c>
      <c r="F162" t="s">
        <v>151</v>
      </c>
      <c r="G162" t="s">
        <v>152</v>
      </c>
      <c r="H162">
        <v>0</v>
      </c>
      <c r="I162">
        <v>0</v>
      </c>
      <c r="J162">
        <v>0</v>
      </c>
      <c r="K162">
        <v>0</v>
      </c>
      <c r="L162">
        <v>45</v>
      </c>
      <c r="M162">
        <v>45</v>
      </c>
      <c r="N162">
        <v>46</v>
      </c>
      <c r="O162">
        <v>2</v>
      </c>
      <c r="P162">
        <v>6300</v>
      </c>
      <c r="Q162">
        <v>90</v>
      </c>
      <c r="R162">
        <v>0</v>
      </c>
      <c r="S162">
        <v>0</v>
      </c>
      <c r="T162">
        <v>0</v>
      </c>
      <c r="U162">
        <v>0</v>
      </c>
      <c r="V162">
        <v>0.97826087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283500</v>
      </c>
    </row>
    <row r="163" ht="14.25" customHeight="1">
      <c r="A163" t="s">
        <v>147</v>
      </c>
      <c r="B163" t="s">
        <v>148</v>
      </c>
      <c r="C163" t="s">
        <v>106</v>
      </c>
      <c r="D163" t="s">
        <v>164</v>
      </c>
      <c r="E163" t="s">
        <v>150</v>
      </c>
      <c r="F163" t="s">
        <v>151</v>
      </c>
      <c r="G163" t="s">
        <v>152</v>
      </c>
      <c r="H163">
        <v>785</v>
      </c>
      <c r="I163">
        <v>157</v>
      </c>
      <c r="J163">
        <v>110</v>
      </c>
      <c r="K163">
        <v>46</v>
      </c>
      <c r="L163">
        <v>0</v>
      </c>
      <c r="M163">
        <v>46</v>
      </c>
      <c r="N163">
        <v>0</v>
      </c>
      <c r="O163">
        <v>2</v>
      </c>
      <c r="P163">
        <v>7350</v>
      </c>
      <c r="Q163">
        <v>90</v>
      </c>
      <c r="R163">
        <v>369</v>
      </c>
      <c r="S163">
        <v>416</v>
      </c>
      <c r="T163">
        <v>18306</v>
      </c>
      <c r="U163">
        <v>33631</v>
      </c>
      <c r="V163">
        <v>0</v>
      </c>
      <c r="W163">
        <v>0.2</v>
      </c>
      <c r="X163">
        <v>0.700636943</v>
      </c>
      <c r="Y163">
        <v>0.418181818</v>
      </c>
      <c r="Z163">
        <v>785</v>
      </c>
      <c r="AA163">
        <v>0.470063694</v>
      </c>
      <c r="AB163">
        <v>44.004807692</v>
      </c>
      <c r="AC163">
        <v>342240</v>
      </c>
    </row>
    <row r="164" ht="14.25" customHeight="1">
      <c r="A164" t="s">
        <v>147</v>
      </c>
      <c r="B164" t="s">
        <v>148</v>
      </c>
      <c r="C164" t="s">
        <v>107</v>
      </c>
      <c r="D164" t="s">
        <v>168</v>
      </c>
      <c r="E164" t="s">
        <v>150</v>
      </c>
      <c r="F164" t="s">
        <v>151</v>
      </c>
      <c r="G164" t="s">
        <v>152</v>
      </c>
      <c r="H164">
        <v>680</v>
      </c>
      <c r="I164">
        <v>136</v>
      </c>
      <c r="J164">
        <v>95</v>
      </c>
      <c r="K164">
        <v>40</v>
      </c>
      <c r="L164">
        <v>0</v>
      </c>
      <c r="M164">
        <v>40</v>
      </c>
      <c r="N164">
        <v>0</v>
      </c>
      <c r="O164">
        <v>2</v>
      </c>
      <c r="P164">
        <v>7350</v>
      </c>
      <c r="Q164">
        <v>90</v>
      </c>
      <c r="R164">
        <v>252</v>
      </c>
      <c r="S164">
        <v>428</v>
      </c>
      <c r="T164">
        <v>18850</v>
      </c>
      <c r="U164">
        <v>22967</v>
      </c>
      <c r="V164">
        <v>0</v>
      </c>
      <c r="W164">
        <v>0.2</v>
      </c>
      <c r="X164">
        <v>0.698529412</v>
      </c>
      <c r="Y164">
        <v>0.421052632</v>
      </c>
      <c r="Z164">
        <v>680</v>
      </c>
      <c r="AA164">
        <v>0.370588235</v>
      </c>
      <c r="AB164">
        <v>44.042056075</v>
      </c>
      <c r="AC164">
        <v>297600</v>
      </c>
    </row>
    <row r="165" ht="14.25" customHeight="1">
      <c r="A165" t="s">
        <v>147</v>
      </c>
      <c r="B165" t="s">
        <v>148</v>
      </c>
      <c r="C165" t="s">
        <v>107</v>
      </c>
      <c r="D165" t="s">
        <v>168</v>
      </c>
      <c r="E165" t="s">
        <v>153</v>
      </c>
      <c r="F165" t="s">
        <v>151</v>
      </c>
      <c r="G165" t="s">
        <v>152</v>
      </c>
      <c r="H165">
        <v>0</v>
      </c>
      <c r="I165">
        <v>0</v>
      </c>
      <c r="J165">
        <v>0</v>
      </c>
      <c r="K165">
        <v>0</v>
      </c>
      <c r="L165">
        <v>39</v>
      </c>
      <c r="M165">
        <v>39</v>
      </c>
      <c r="N165">
        <v>40</v>
      </c>
      <c r="O165">
        <v>2</v>
      </c>
      <c r="P165">
        <v>7350</v>
      </c>
      <c r="Q165">
        <v>90</v>
      </c>
      <c r="R165">
        <v>0</v>
      </c>
      <c r="S165">
        <v>0</v>
      </c>
      <c r="T165">
        <v>0</v>
      </c>
      <c r="U165">
        <v>0</v>
      </c>
      <c r="V165">
        <v>0.975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286650</v>
      </c>
    </row>
    <row r="166" ht="14.25" customHeight="1">
      <c r="A166" t="s">
        <v>147</v>
      </c>
      <c r="B166" t="s">
        <v>148</v>
      </c>
      <c r="C166" t="s">
        <v>107</v>
      </c>
      <c r="D166" t="s">
        <v>168</v>
      </c>
      <c r="E166" t="s">
        <v>154</v>
      </c>
      <c r="F166" t="s">
        <v>151</v>
      </c>
      <c r="G166" t="s">
        <v>152</v>
      </c>
      <c r="H166">
        <v>0</v>
      </c>
      <c r="I166">
        <v>0</v>
      </c>
      <c r="J166">
        <v>0</v>
      </c>
      <c r="K166">
        <v>0</v>
      </c>
      <c r="L166">
        <v>38</v>
      </c>
      <c r="M166">
        <v>38</v>
      </c>
      <c r="N166">
        <v>39</v>
      </c>
      <c r="O166">
        <v>2</v>
      </c>
      <c r="P166">
        <v>7350</v>
      </c>
      <c r="Q166">
        <v>90</v>
      </c>
      <c r="R166">
        <v>0</v>
      </c>
      <c r="S166">
        <v>0</v>
      </c>
      <c r="T166">
        <v>0</v>
      </c>
      <c r="U166">
        <v>0</v>
      </c>
      <c r="V166">
        <v>0.974358974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279300</v>
      </c>
    </row>
    <row r="167" ht="14.25" customHeight="1">
      <c r="A167" t="s">
        <v>147</v>
      </c>
      <c r="B167" t="s">
        <v>148</v>
      </c>
      <c r="C167" t="s">
        <v>107</v>
      </c>
      <c r="D167" t="s">
        <v>168</v>
      </c>
      <c r="E167" t="s">
        <v>150</v>
      </c>
      <c r="F167" t="s">
        <v>151</v>
      </c>
      <c r="G167" t="s">
        <v>155</v>
      </c>
      <c r="H167">
        <v>642</v>
      </c>
      <c r="I167">
        <v>128</v>
      </c>
      <c r="J167">
        <v>90</v>
      </c>
      <c r="K167">
        <v>38</v>
      </c>
      <c r="L167">
        <v>0</v>
      </c>
      <c r="M167">
        <v>38</v>
      </c>
      <c r="N167">
        <v>0</v>
      </c>
      <c r="O167">
        <v>2</v>
      </c>
      <c r="P167">
        <v>7350</v>
      </c>
      <c r="Q167">
        <v>90</v>
      </c>
      <c r="R167">
        <v>247</v>
      </c>
      <c r="S167">
        <v>410</v>
      </c>
      <c r="T167">
        <v>17136</v>
      </c>
      <c r="U167">
        <v>21550</v>
      </c>
      <c r="V167">
        <v>0</v>
      </c>
      <c r="W167">
        <v>0.199376947</v>
      </c>
      <c r="X167">
        <v>0.703125</v>
      </c>
      <c r="Y167">
        <v>0.422222222</v>
      </c>
      <c r="Z167">
        <v>657</v>
      </c>
      <c r="AA167">
        <v>0.375951294</v>
      </c>
      <c r="AB167">
        <v>41.795121951</v>
      </c>
      <c r="AC167">
        <v>282720</v>
      </c>
    </row>
    <row r="168" ht="14.25" customHeight="1">
      <c r="A168" t="s">
        <v>147</v>
      </c>
      <c r="B168" t="s">
        <v>148</v>
      </c>
      <c r="C168" t="s">
        <v>107</v>
      </c>
      <c r="D168" t="s">
        <v>168</v>
      </c>
      <c r="E168" t="s">
        <v>153</v>
      </c>
      <c r="F168" t="s">
        <v>151</v>
      </c>
      <c r="G168" t="s">
        <v>155</v>
      </c>
      <c r="H168">
        <v>0</v>
      </c>
      <c r="I168">
        <v>0</v>
      </c>
      <c r="J168">
        <v>0</v>
      </c>
      <c r="K168">
        <v>0</v>
      </c>
      <c r="L168">
        <v>37</v>
      </c>
      <c r="M168">
        <v>37</v>
      </c>
      <c r="N168">
        <v>38</v>
      </c>
      <c r="O168">
        <v>2</v>
      </c>
      <c r="P168">
        <v>7350</v>
      </c>
      <c r="Q168">
        <v>90</v>
      </c>
      <c r="R168">
        <v>0</v>
      </c>
      <c r="S168">
        <v>0</v>
      </c>
      <c r="T168">
        <v>0</v>
      </c>
      <c r="U168">
        <v>0</v>
      </c>
      <c r="V168">
        <v>0.973684211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271950</v>
      </c>
    </row>
    <row r="169" ht="14.25" customHeight="1">
      <c r="A169" t="s">
        <v>147</v>
      </c>
      <c r="B169" t="s">
        <v>148</v>
      </c>
      <c r="C169" t="s">
        <v>107</v>
      </c>
      <c r="D169" t="s">
        <v>168</v>
      </c>
      <c r="E169" t="s">
        <v>154</v>
      </c>
      <c r="F169" t="s">
        <v>151</v>
      </c>
      <c r="G169" t="s">
        <v>155</v>
      </c>
      <c r="H169">
        <v>0</v>
      </c>
      <c r="I169">
        <v>0</v>
      </c>
      <c r="J169">
        <v>0</v>
      </c>
      <c r="K169">
        <v>0</v>
      </c>
      <c r="L169">
        <v>36</v>
      </c>
      <c r="M169">
        <v>36</v>
      </c>
      <c r="N169">
        <v>37</v>
      </c>
      <c r="O169">
        <v>2</v>
      </c>
      <c r="P169">
        <v>7350</v>
      </c>
      <c r="Q169">
        <v>90</v>
      </c>
      <c r="R169">
        <v>0</v>
      </c>
      <c r="S169">
        <v>0</v>
      </c>
      <c r="T169">
        <v>0</v>
      </c>
      <c r="U169">
        <v>0</v>
      </c>
      <c r="V169">
        <v>0.972972973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264600</v>
      </c>
    </row>
    <row r="170" ht="14.25" customHeight="1">
      <c r="A170" t="s">
        <v>147</v>
      </c>
      <c r="B170" t="s">
        <v>148</v>
      </c>
      <c r="C170" t="s">
        <v>107</v>
      </c>
      <c r="D170" t="s">
        <v>168</v>
      </c>
      <c r="E170" t="s">
        <v>150</v>
      </c>
      <c r="F170" t="s">
        <v>151</v>
      </c>
      <c r="G170" t="s">
        <v>156</v>
      </c>
      <c r="H170">
        <v>605</v>
      </c>
      <c r="I170">
        <v>121</v>
      </c>
      <c r="J170">
        <v>85</v>
      </c>
      <c r="K170">
        <v>36</v>
      </c>
      <c r="L170">
        <v>0</v>
      </c>
      <c r="M170">
        <v>36</v>
      </c>
      <c r="N170">
        <v>0</v>
      </c>
      <c r="O170">
        <v>2</v>
      </c>
      <c r="P170">
        <v>7350</v>
      </c>
      <c r="Q170">
        <v>90</v>
      </c>
      <c r="R170">
        <v>242</v>
      </c>
      <c r="S170">
        <v>392</v>
      </c>
      <c r="T170">
        <v>15578</v>
      </c>
      <c r="U170">
        <v>20221</v>
      </c>
      <c r="V170">
        <v>0</v>
      </c>
      <c r="W170">
        <v>0.2</v>
      </c>
      <c r="X170">
        <v>0.702479339</v>
      </c>
      <c r="Y170">
        <v>0.423529412</v>
      </c>
      <c r="Z170">
        <v>634</v>
      </c>
      <c r="AA170">
        <v>0.38170347</v>
      </c>
      <c r="AB170">
        <v>39.739795918</v>
      </c>
      <c r="AC170">
        <v>267840</v>
      </c>
    </row>
    <row r="171" ht="14.25" customHeight="1">
      <c r="A171" t="s">
        <v>147</v>
      </c>
      <c r="B171" t="s">
        <v>148</v>
      </c>
      <c r="C171" t="s">
        <v>107</v>
      </c>
      <c r="D171" t="s">
        <v>168</v>
      </c>
      <c r="E171" t="s">
        <v>153</v>
      </c>
      <c r="F171" t="s">
        <v>151</v>
      </c>
      <c r="G171" t="s">
        <v>156</v>
      </c>
      <c r="H171">
        <v>0</v>
      </c>
      <c r="I171">
        <v>0</v>
      </c>
      <c r="J171">
        <v>0</v>
      </c>
      <c r="K171">
        <v>0</v>
      </c>
      <c r="L171">
        <v>35</v>
      </c>
      <c r="M171">
        <v>35</v>
      </c>
      <c r="N171">
        <v>36</v>
      </c>
      <c r="O171">
        <v>2</v>
      </c>
      <c r="P171">
        <v>7350</v>
      </c>
      <c r="Q171">
        <v>90</v>
      </c>
      <c r="R171">
        <v>0</v>
      </c>
      <c r="S171">
        <v>0</v>
      </c>
      <c r="T171">
        <v>0</v>
      </c>
      <c r="U171">
        <v>0</v>
      </c>
      <c r="V171">
        <v>0.972222222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257250</v>
      </c>
    </row>
    <row r="172" ht="14.25" customHeight="1">
      <c r="A172" t="s">
        <v>147</v>
      </c>
      <c r="B172" t="s">
        <v>148</v>
      </c>
      <c r="C172" t="s">
        <v>107</v>
      </c>
      <c r="D172" t="s">
        <v>168</v>
      </c>
      <c r="E172" t="s">
        <v>154</v>
      </c>
      <c r="F172" t="s">
        <v>151</v>
      </c>
      <c r="G172" t="s">
        <v>156</v>
      </c>
      <c r="H172">
        <v>0</v>
      </c>
      <c r="I172">
        <v>0</v>
      </c>
      <c r="J172">
        <v>0</v>
      </c>
      <c r="K172">
        <v>0</v>
      </c>
      <c r="L172">
        <v>34</v>
      </c>
      <c r="M172">
        <v>34</v>
      </c>
      <c r="N172">
        <v>35</v>
      </c>
      <c r="O172">
        <v>2</v>
      </c>
      <c r="P172">
        <v>7350</v>
      </c>
      <c r="Q172">
        <v>90</v>
      </c>
      <c r="R172">
        <v>0</v>
      </c>
      <c r="S172">
        <v>0</v>
      </c>
      <c r="T172">
        <v>0</v>
      </c>
      <c r="U172">
        <v>0</v>
      </c>
      <c r="V172">
        <v>0.971428571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249900</v>
      </c>
    </row>
    <row r="173" ht="14.25" customHeight="1">
      <c r="A173" t="s">
        <v>147</v>
      </c>
      <c r="B173" t="s">
        <v>148</v>
      </c>
      <c r="C173" t="s">
        <v>108</v>
      </c>
      <c r="D173" t="s">
        <v>168</v>
      </c>
      <c r="E173" t="s">
        <v>150</v>
      </c>
      <c r="F173" t="s">
        <v>151</v>
      </c>
      <c r="G173" t="s">
        <v>156</v>
      </c>
      <c r="H173">
        <v>712</v>
      </c>
      <c r="I173">
        <v>142</v>
      </c>
      <c r="J173">
        <v>100</v>
      </c>
      <c r="K173">
        <v>42</v>
      </c>
      <c r="L173">
        <v>0</v>
      </c>
      <c r="M173">
        <v>42</v>
      </c>
      <c r="N173">
        <v>0</v>
      </c>
      <c r="O173">
        <v>2</v>
      </c>
      <c r="P173">
        <v>7840</v>
      </c>
      <c r="Q173">
        <v>90</v>
      </c>
      <c r="R173">
        <v>231</v>
      </c>
      <c r="S173">
        <v>517</v>
      </c>
      <c r="T173">
        <v>24992</v>
      </c>
      <c r="U173">
        <v>19081</v>
      </c>
      <c r="V173">
        <v>0</v>
      </c>
      <c r="W173">
        <v>0.199438202</v>
      </c>
      <c r="X173">
        <v>0.704225352</v>
      </c>
      <c r="Y173">
        <v>0.42</v>
      </c>
      <c r="Z173">
        <v>748</v>
      </c>
      <c r="AA173">
        <v>0.308823529</v>
      </c>
      <c r="AB173">
        <v>48.340425532</v>
      </c>
      <c r="AC173">
        <v>333060</v>
      </c>
    </row>
    <row r="174" ht="14.25" customHeight="1">
      <c r="A174" t="s">
        <v>147</v>
      </c>
      <c r="B174" t="s">
        <v>148</v>
      </c>
      <c r="C174" t="s">
        <v>108</v>
      </c>
      <c r="D174" t="s">
        <v>168</v>
      </c>
      <c r="E174" t="s">
        <v>153</v>
      </c>
      <c r="F174" t="s">
        <v>151</v>
      </c>
      <c r="G174" t="s">
        <v>156</v>
      </c>
      <c r="H174">
        <v>0</v>
      </c>
      <c r="I174">
        <v>0</v>
      </c>
      <c r="J174">
        <v>0</v>
      </c>
      <c r="K174">
        <v>0</v>
      </c>
      <c r="L174">
        <v>41</v>
      </c>
      <c r="M174">
        <v>41</v>
      </c>
      <c r="N174">
        <v>42</v>
      </c>
      <c r="O174">
        <v>2</v>
      </c>
      <c r="P174">
        <v>7840</v>
      </c>
      <c r="Q174">
        <v>90</v>
      </c>
      <c r="R174">
        <v>0</v>
      </c>
      <c r="S174">
        <v>0</v>
      </c>
      <c r="T174">
        <v>0</v>
      </c>
      <c r="U174">
        <v>0</v>
      </c>
      <c r="V174">
        <v>0.976190476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321440</v>
      </c>
    </row>
    <row r="175" ht="14.25" customHeight="1">
      <c r="A175" t="s">
        <v>147</v>
      </c>
      <c r="B175" t="s">
        <v>148</v>
      </c>
      <c r="C175" t="s">
        <v>108</v>
      </c>
      <c r="D175" t="s">
        <v>168</v>
      </c>
      <c r="E175" t="s">
        <v>154</v>
      </c>
      <c r="F175" t="s">
        <v>151</v>
      </c>
      <c r="G175" t="s">
        <v>156</v>
      </c>
      <c r="H175">
        <v>0</v>
      </c>
      <c r="I175">
        <v>0</v>
      </c>
      <c r="J175">
        <v>0</v>
      </c>
      <c r="K175">
        <v>0</v>
      </c>
      <c r="L175">
        <v>40</v>
      </c>
      <c r="M175">
        <v>40</v>
      </c>
      <c r="N175">
        <v>41</v>
      </c>
      <c r="O175">
        <v>2</v>
      </c>
      <c r="P175">
        <v>7840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0.975609756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313600</v>
      </c>
    </row>
    <row r="176" ht="14.25" customHeight="1">
      <c r="A176" t="s">
        <v>147</v>
      </c>
      <c r="B176" t="s">
        <v>148</v>
      </c>
      <c r="C176" t="s">
        <v>108</v>
      </c>
      <c r="D176" t="s">
        <v>168</v>
      </c>
      <c r="E176" t="s">
        <v>150</v>
      </c>
      <c r="F176" t="s">
        <v>151</v>
      </c>
      <c r="G176" t="s">
        <v>155</v>
      </c>
      <c r="H176">
        <v>755</v>
      </c>
      <c r="I176">
        <v>151</v>
      </c>
      <c r="J176">
        <v>106</v>
      </c>
      <c r="K176">
        <v>44</v>
      </c>
      <c r="L176">
        <v>0</v>
      </c>
      <c r="M176">
        <v>44</v>
      </c>
      <c r="N176">
        <v>0</v>
      </c>
      <c r="O176">
        <v>2</v>
      </c>
      <c r="P176">
        <v>7840</v>
      </c>
      <c r="Q176">
        <v>90</v>
      </c>
      <c r="R176">
        <v>235</v>
      </c>
      <c r="S176">
        <v>538</v>
      </c>
      <c r="T176">
        <v>27491</v>
      </c>
      <c r="U176">
        <v>20429</v>
      </c>
      <c r="V176">
        <v>0</v>
      </c>
      <c r="W176">
        <v>0.2</v>
      </c>
      <c r="X176">
        <v>0.701986755</v>
      </c>
      <c r="Y176">
        <v>0.41509434</v>
      </c>
      <c r="Z176">
        <v>773</v>
      </c>
      <c r="AA176">
        <v>0.304010349</v>
      </c>
      <c r="AB176">
        <v>51.098513011</v>
      </c>
      <c r="AC176">
        <v>348920</v>
      </c>
    </row>
    <row r="177" ht="14.25" customHeight="1">
      <c r="A177" t="s">
        <v>147</v>
      </c>
      <c r="B177" t="s">
        <v>148</v>
      </c>
      <c r="C177" t="s">
        <v>108</v>
      </c>
      <c r="D177" t="s">
        <v>168</v>
      </c>
      <c r="E177" t="s">
        <v>153</v>
      </c>
      <c r="F177" t="s">
        <v>151</v>
      </c>
      <c r="G177" t="s">
        <v>155</v>
      </c>
      <c r="H177">
        <v>0</v>
      </c>
      <c r="I177">
        <v>0</v>
      </c>
      <c r="J177">
        <v>0</v>
      </c>
      <c r="K177">
        <v>0</v>
      </c>
      <c r="L177">
        <v>43</v>
      </c>
      <c r="M177">
        <v>43</v>
      </c>
      <c r="N177">
        <v>44</v>
      </c>
      <c r="O177">
        <v>2</v>
      </c>
      <c r="P177">
        <v>7840</v>
      </c>
      <c r="Q177">
        <v>90</v>
      </c>
      <c r="R177">
        <v>0</v>
      </c>
      <c r="S177">
        <v>0</v>
      </c>
      <c r="T177">
        <v>0</v>
      </c>
      <c r="U177">
        <v>0</v>
      </c>
      <c r="V177">
        <v>0.977272727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337120</v>
      </c>
    </row>
    <row r="178" ht="14.25" customHeight="1">
      <c r="A178" t="s">
        <v>147</v>
      </c>
      <c r="B178" t="s">
        <v>148</v>
      </c>
      <c r="C178" t="s">
        <v>108</v>
      </c>
      <c r="D178" t="s">
        <v>168</v>
      </c>
      <c r="E178" t="s">
        <v>154</v>
      </c>
      <c r="F178" t="s">
        <v>151</v>
      </c>
      <c r="G178" t="s">
        <v>155</v>
      </c>
      <c r="H178">
        <v>0</v>
      </c>
      <c r="I178">
        <v>0</v>
      </c>
      <c r="J178">
        <v>0</v>
      </c>
      <c r="K178">
        <v>0</v>
      </c>
      <c r="L178">
        <v>42</v>
      </c>
      <c r="M178">
        <v>42</v>
      </c>
      <c r="N178">
        <v>43</v>
      </c>
      <c r="O178">
        <v>2</v>
      </c>
      <c r="P178">
        <v>7840</v>
      </c>
      <c r="Q178">
        <v>90</v>
      </c>
      <c r="R178">
        <v>0</v>
      </c>
      <c r="S178">
        <v>0</v>
      </c>
      <c r="T178">
        <v>0</v>
      </c>
      <c r="U178">
        <v>0</v>
      </c>
      <c r="V178">
        <v>0.976744186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329280</v>
      </c>
    </row>
    <row r="179" ht="14.25" customHeight="1">
      <c r="A179" t="s">
        <v>147</v>
      </c>
      <c r="B179" t="s">
        <v>148</v>
      </c>
      <c r="C179" t="s">
        <v>108</v>
      </c>
      <c r="D179" t="s">
        <v>168</v>
      </c>
      <c r="E179" t="s">
        <v>150</v>
      </c>
      <c r="F179" t="s">
        <v>151</v>
      </c>
      <c r="G179" t="s">
        <v>152</v>
      </c>
      <c r="H179">
        <v>800</v>
      </c>
      <c r="I179">
        <v>160</v>
      </c>
      <c r="J179">
        <v>112</v>
      </c>
      <c r="K179">
        <v>47</v>
      </c>
      <c r="L179">
        <v>0</v>
      </c>
      <c r="M179">
        <v>47</v>
      </c>
      <c r="N179">
        <v>0</v>
      </c>
      <c r="O179">
        <v>2</v>
      </c>
      <c r="P179">
        <v>7840</v>
      </c>
      <c r="Q179">
        <v>90</v>
      </c>
      <c r="R179">
        <v>240</v>
      </c>
      <c r="S179">
        <v>560</v>
      </c>
      <c r="T179">
        <v>30240</v>
      </c>
      <c r="U179">
        <v>21873</v>
      </c>
      <c r="V179">
        <v>0</v>
      </c>
      <c r="W179">
        <v>0.2</v>
      </c>
      <c r="X179">
        <v>0.7</v>
      </c>
      <c r="Y179">
        <v>0.419642857</v>
      </c>
      <c r="Z179">
        <v>800</v>
      </c>
      <c r="AA179">
        <v>0.3</v>
      </c>
      <c r="AB179">
        <v>54</v>
      </c>
      <c r="AC179">
        <v>372710</v>
      </c>
    </row>
    <row r="180" ht="14.25" customHeight="1">
      <c r="A180" t="s">
        <v>147</v>
      </c>
      <c r="B180" t="s">
        <v>148</v>
      </c>
      <c r="C180" t="s">
        <v>108</v>
      </c>
      <c r="D180" t="s">
        <v>168</v>
      </c>
      <c r="E180" t="s">
        <v>153</v>
      </c>
      <c r="F180" t="s">
        <v>151</v>
      </c>
      <c r="G180" t="s">
        <v>152</v>
      </c>
      <c r="H180">
        <v>0</v>
      </c>
      <c r="I180">
        <v>0</v>
      </c>
      <c r="J180">
        <v>0</v>
      </c>
      <c r="K180">
        <v>0</v>
      </c>
      <c r="L180">
        <v>46</v>
      </c>
      <c r="M180">
        <v>46</v>
      </c>
      <c r="N180">
        <v>47</v>
      </c>
      <c r="O180">
        <v>2</v>
      </c>
      <c r="P180">
        <v>7840</v>
      </c>
      <c r="Q180">
        <v>90</v>
      </c>
      <c r="R180">
        <v>0</v>
      </c>
      <c r="S180">
        <v>0</v>
      </c>
      <c r="T180">
        <v>0</v>
      </c>
      <c r="U180">
        <v>0</v>
      </c>
      <c r="V180">
        <v>0.978723404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360640</v>
      </c>
    </row>
    <row r="181" ht="14.25" customHeight="1">
      <c r="A181" t="s">
        <v>147</v>
      </c>
      <c r="B181" t="s">
        <v>148</v>
      </c>
      <c r="C181" t="s">
        <v>108</v>
      </c>
      <c r="D181" t="s">
        <v>168</v>
      </c>
      <c r="E181" t="s">
        <v>154</v>
      </c>
      <c r="F181" t="s">
        <v>151</v>
      </c>
      <c r="G181" t="s">
        <v>152</v>
      </c>
      <c r="H181">
        <v>0</v>
      </c>
      <c r="I181">
        <v>0</v>
      </c>
      <c r="J181">
        <v>0</v>
      </c>
      <c r="K181">
        <v>0</v>
      </c>
      <c r="L181">
        <v>45</v>
      </c>
      <c r="M181">
        <v>45</v>
      </c>
      <c r="N181">
        <v>46</v>
      </c>
      <c r="O181">
        <v>2</v>
      </c>
      <c r="P181">
        <v>7840</v>
      </c>
      <c r="Q181">
        <v>90</v>
      </c>
      <c r="R181">
        <v>0</v>
      </c>
      <c r="S181">
        <v>0</v>
      </c>
      <c r="T181">
        <v>0</v>
      </c>
      <c r="U181">
        <v>0</v>
      </c>
      <c r="V181">
        <v>0.97826087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352800</v>
      </c>
    </row>
    <row r="281" ht="14.25" customHeight="1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9F3A52D-35A4-1D18-BA98-AB9593F8F37B}" mc:Ignorable="x14ac xr xr2 xr3">
  <dimension ref="A1:AC115"/>
  <sheetViews>
    <sheetView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120</v>
      </c>
      <c r="B1" s="11" t="s">
        <v>121</v>
      </c>
      <c r="C1" s="11" t="s">
        <v>122</v>
      </c>
      <c r="D1" s="11" t="s">
        <v>169</v>
      </c>
      <c r="E1" s="11" t="s">
        <v>170</v>
      </c>
      <c r="F1" s="11" t="s">
        <v>171</v>
      </c>
      <c r="G1" s="11" t="s">
        <v>172</v>
      </c>
      <c r="H1" s="11" t="s">
        <v>173</v>
      </c>
      <c r="I1" s="11" t="s">
        <v>145</v>
      </c>
      <c r="J1" s="11" t="s">
        <v>146</v>
      </c>
      <c r="K1" s="11" t="s">
        <v>174</v>
      </c>
      <c r="L1" s="11" t="s">
        <v>175</v>
      </c>
      <c r="M1" s="11" t="s">
        <v>176</v>
      </c>
      <c r="N1" s="11" t="s">
        <v>177</v>
      </c>
    </row>
    <row r="2" ht="14.25" customHeight="1">
      <c r="A2" t="s">
        <v>147</v>
      </c>
      <c r="B2" t="s">
        <v>148</v>
      </c>
      <c r="C2" t="s">
        <v>86</v>
      </c>
      <c r="D2">
        <v>258</v>
      </c>
      <c r="E2">
        <v>422</v>
      </c>
      <c r="F2">
        <v>680</v>
      </c>
      <c r="G2">
        <v>15178</v>
      </c>
      <c r="H2">
        <v>23514</v>
      </c>
      <c r="I2">
        <v>0.379411</v>
      </c>
      <c r="J2">
        <v>35.966824</v>
      </c>
      <c r="K2">
        <v>0.591344893</v>
      </c>
      <c r="L2">
        <v>0.058823</v>
      </c>
      <c r="M2">
        <v>0.315275187</v>
      </c>
      <c r="N2">
        <v>1033.984596561</v>
      </c>
    </row>
    <row r="3" ht="14.25" customHeight="1">
      <c r="A3" t="s">
        <v>147</v>
      </c>
      <c r="B3" t="s">
        <v>148</v>
      </c>
      <c r="C3" t="s">
        <v>89</v>
      </c>
      <c r="D3">
        <v>306</v>
      </c>
      <c r="E3">
        <v>544</v>
      </c>
      <c r="F3">
        <v>850</v>
      </c>
      <c r="G3">
        <v>21760</v>
      </c>
      <c r="H3">
        <v>27889</v>
      </c>
      <c r="I3">
        <v>0.36</v>
      </c>
      <c r="J3">
        <v>40</v>
      </c>
      <c r="K3">
        <v>0.559080786</v>
      </c>
      <c r="L3">
        <v>0.058823</v>
      </c>
      <c r="M3">
        <v>0.304912257</v>
      </c>
      <c r="N3">
        <v>1216.293131468</v>
      </c>
    </row>
    <row r="4" ht="14.25" customHeight="1">
      <c r="A4" t="s">
        <v>147</v>
      </c>
      <c r="B4" t="s">
        <v>148</v>
      </c>
      <c r="C4" t="s">
        <v>91</v>
      </c>
      <c r="D4">
        <v>265</v>
      </c>
      <c r="E4">
        <v>415</v>
      </c>
      <c r="F4">
        <v>680</v>
      </c>
      <c r="G4">
        <v>14933</v>
      </c>
      <c r="H4">
        <v>24152</v>
      </c>
      <c r="I4">
        <v>0.389705</v>
      </c>
      <c r="J4">
        <v>35.983132</v>
      </c>
      <c r="K4">
        <v>0.587876564</v>
      </c>
      <c r="L4">
        <v>0.058823</v>
      </c>
      <c r="M4">
        <v>0.317354148</v>
      </c>
      <c r="N4">
        <v>1040.55644762</v>
      </c>
    </row>
    <row r="5" ht="14.25" customHeight="1">
      <c r="A5" t="s">
        <v>147</v>
      </c>
      <c r="B5" t="s">
        <v>148</v>
      </c>
      <c r="C5" t="s">
        <v>93</v>
      </c>
      <c r="D5">
        <v>630</v>
      </c>
      <c r="E5">
        <v>630</v>
      </c>
      <c r="F5">
        <v>1260</v>
      </c>
      <c r="G5">
        <v>25220</v>
      </c>
      <c r="H5">
        <v>57418</v>
      </c>
      <c r="I5">
        <v>0.5</v>
      </c>
      <c r="J5">
        <v>40.031746</v>
      </c>
      <c r="K5">
        <v>0.515848308</v>
      </c>
      <c r="L5">
        <v>0.079302</v>
      </c>
      <c r="M5">
        <v>0.348380583</v>
      </c>
      <c r="N5">
        <v>978.584610233</v>
      </c>
    </row>
    <row r="6" ht="14.25" customHeight="1">
      <c r="A6" t="s">
        <v>147</v>
      </c>
      <c r="B6" t="s">
        <v>148</v>
      </c>
      <c r="C6" t="s">
        <v>95</v>
      </c>
      <c r="D6">
        <v>690</v>
      </c>
      <c r="E6">
        <v>1126</v>
      </c>
      <c r="F6">
        <v>1816</v>
      </c>
      <c r="G6">
        <v>60800</v>
      </c>
      <c r="H6">
        <v>62886</v>
      </c>
      <c r="I6">
        <v>0.379955</v>
      </c>
      <c r="J6">
        <v>53.996447</v>
      </c>
      <c r="K6">
        <v>0.442086266</v>
      </c>
      <c r="L6">
        <v>0.079295</v>
      </c>
      <c r="M6">
        <v>0.317193514</v>
      </c>
      <c r="N6">
        <v>1540.324974131</v>
      </c>
    </row>
    <row r="7" ht="14.25" customHeight="1">
      <c r="A7" t="s">
        <v>147</v>
      </c>
      <c r="B7" t="s">
        <v>148</v>
      </c>
      <c r="C7" t="s">
        <v>97</v>
      </c>
      <c r="D7">
        <v>605</v>
      </c>
      <c r="E7">
        <v>581</v>
      </c>
      <c r="F7">
        <v>1186</v>
      </c>
      <c r="G7">
        <v>22083</v>
      </c>
      <c r="H7">
        <v>55139</v>
      </c>
      <c r="I7">
        <v>0.510118</v>
      </c>
      <c r="J7">
        <v>38.008605</v>
      </c>
      <c r="K7">
        <v>0.521803369</v>
      </c>
      <c r="L7">
        <v>0.079258</v>
      </c>
      <c r="M7">
        <v>0.35585226</v>
      </c>
      <c r="N7">
        <v>919.034769557</v>
      </c>
    </row>
    <row r="8" ht="14.25" customHeight="1">
      <c r="A8" t="s">
        <v>147</v>
      </c>
      <c r="B8" t="s">
        <v>148</v>
      </c>
      <c r="C8" t="s">
        <v>99</v>
      </c>
      <c r="D8">
        <v>630</v>
      </c>
      <c r="E8">
        <v>656</v>
      </c>
      <c r="F8">
        <v>1286</v>
      </c>
      <c r="G8">
        <v>24923</v>
      </c>
      <c r="H8">
        <v>57418</v>
      </c>
      <c r="I8">
        <v>0.489891</v>
      </c>
      <c r="J8">
        <v>37.992378</v>
      </c>
      <c r="K8">
        <v>0.538455294</v>
      </c>
      <c r="L8">
        <v>0.079315</v>
      </c>
      <c r="M8">
        <v>0.348249172</v>
      </c>
      <c r="N8">
        <v>889.593289348</v>
      </c>
    </row>
    <row r="9" ht="14.25" customHeight="1">
      <c r="A9" t="s">
        <v>147</v>
      </c>
      <c r="B9" t="s">
        <v>148</v>
      </c>
      <c r="C9" t="s">
        <v>101</v>
      </c>
      <c r="D9">
        <v>716</v>
      </c>
      <c r="E9">
        <v>950</v>
      </c>
      <c r="F9">
        <v>1666</v>
      </c>
      <c r="G9">
        <v>41783</v>
      </c>
      <c r="H9">
        <v>65255</v>
      </c>
      <c r="I9">
        <v>0.429771</v>
      </c>
      <c r="J9">
        <v>43.982105</v>
      </c>
      <c r="K9">
        <v>0.503912411</v>
      </c>
      <c r="L9">
        <v>0.079231</v>
      </c>
      <c r="M9">
        <v>0.326593761</v>
      </c>
      <c r="N9">
        <v>1101.604798491</v>
      </c>
    </row>
    <row r="10" ht="14.25" customHeight="1">
      <c r="A10" t="s">
        <v>147</v>
      </c>
      <c r="B10" t="s">
        <v>148</v>
      </c>
      <c r="C10" t="s">
        <v>103</v>
      </c>
      <c r="D10">
        <v>728</v>
      </c>
      <c r="E10">
        <v>788</v>
      </c>
      <c r="F10">
        <v>1516</v>
      </c>
      <c r="G10">
        <v>31533</v>
      </c>
      <c r="H10">
        <v>66349</v>
      </c>
      <c r="I10">
        <v>0.480211</v>
      </c>
      <c r="J10">
        <v>40.016497</v>
      </c>
      <c r="K10">
        <v>0.524655642</v>
      </c>
      <c r="L10">
        <v>0.079155</v>
      </c>
      <c r="M10">
        <v>0.343450594</v>
      </c>
      <c r="N10">
        <v>963.576871485</v>
      </c>
    </row>
    <row r="11" ht="14.25" customHeight="1">
      <c r="A11" t="s">
        <v>147</v>
      </c>
      <c r="B11" t="s">
        <v>148</v>
      </c>
      <c r="C11" t="s">
        <v>104</v>
      </c>
      <c r="D11">
        <v>711</v>
      </c>
      <c r="E11">
        <v>1265</v>
      </c>
      <c r="F11">
        <v>1976</v>
      </c>
      <c r="G11">
        <v>68291</v>
      </c>
      <c r="H11">
        <v>64800</v>
      </c>
      <c r="I11">
        <v>0.359817</v>
      </c>
      <c r="J11">
        <v>53.98498</v>
      </c>
      <c r="K11">
        <v>0.463595949</v>
      </c>
      <c r="L11">
        <v>0.078947</v>
      </c>
      <c r="M11">
        <v>0.308054121</v>
      </c>
      <c r="N11">
        <v>1475.019227372</v>
      </c>
    </row>
    <row r="12" ht="14.25" customHeight="1">
      <c r="A12" t="s">
        <v>147</v>
      </c>
      <c r="B12" t="s">
        <v>148</v>
      </c>
      <c r="C12" t="s">
        <v>105</v>
      </c>
      <c r="D12">
        <v>652</v>
      </c>
      <c r="E12">
        <v>578</v>
      </c>
      <c r="F12">
        <v>1230</v>
      </c>
      <c r="G12">
        <v>21968</v>
      </c>
      <c r="H12">
        <v>59423</v>
      </c>
      <c r="I12">
        <v>0.530081</v>
      </c>
      <c r="J12">
        <v>38.00692</v>
      </c>
      <c r="K12">
        <v>0.474596633</v>
      </c>
      <c r="L12">
        <v>0.058536</v>
      </c>
      <c r="M12">
        <v>0.357573956</v>
      </c>
      <c r="N12">
        <v>1368.090986552</v>
      </c>
    </row>
    <row r="13" ht="14.25" customHeight="1">
      <c r="A13" t="s">
        <v>147</v>
      </c>
      <c r="B13" t="s">
        <v>148</v>
      </c>
      <c r="C13" t="s">
        <v>106</v>
      </c>
      <c r="D13">
        <v>738</v>
      </c>
      <c r="E13">
        <v>832</v>
      </c>
      <c r="F13">
        <v>1570</v>
      </c>
      <c r="G13">
        <v>36612</v>
      </c>
      <c r="H13">
        <v>67261</v>
      </c>
      <c r="I13">
        <v>0.470063</v>
      </c>
      <c r="J13">
        <v>44.004807</v>
      </c>
      <c r="K13">
        <v>0.440450262</v>
      </c>
      <c r="L13">
        <v>0.058598</v>
      </c>
      <c r="M13">
        <v>0.343045779</v>
      </c>
      <c r="N13">
        <v>1704.984576865</v>
      </c>
    </row>
    <row r="14" ht="14.25" customHeight="1">
      <c r="A14" t="s">
        <v>147</v>
      </c>
      <c r="B14" t="s">
        <v>148</v>
      </c>
      <c r="C14" t="s">
        <v>107</v>
      </c>
      <c r="D14">
        <v>252</v>
      </c>
      <c r="E14">
        <v>428</v>
      </c>
      <c r="F14">
        <v>680</v>
      </c>
      <c r="G14">
        <v>18850</v>
      </c>
      <c r="H14">
        <v>22967</v>
      </c>
      <c r="I14">
        <v>0.370588</v>
      </c>
      <c r="J14">
        <v>44.042056</v>
      </c>
      <c r="K14">
        <v>0.460843562</v>
      </c>
      <c r="L14">
        <v>0.058823</v>
      </c>
      <c r="M14">
        <v>0.317986245</v>
      </c>
      <c r="N14">
        <v>1624.676467236</v>
      </c>
    </row>
    <row r="15" ht="14.25" customHeight="1">
      <c r="A15" t="s">
        <v>147</v>
      </c>
      <c r="B15" t="s">
        <v>148</v>
      </c>
      <c r="C15" t="s">
        <v>108</v>
      </c>
      <c r="D15">
        <v>240</v>
      </c>
      <c r="E15">
        <v>560</v>
      </c>
      <c r="F15">
        <v>800</v>
      </c>
      <c r="G15">
        <v>30240</v>
      </c>
      <c r="H15">
        <v>21873</v>
      </c>
      <c r="I15">
        <v>0.3</v>
      </c>
      <c r="J15">
        <v>54</v>
      </c>
      <c r="K15">
        <v>0.41914907</v>
      </c>
      <c r="L15">
        <v>0.05875</v>
      </c>
      <c r="M15">
        <v>0.27988845</v>
      </c>
      <c r="N15">
        <v>2192.892700999</v>
      </c>
    </row>
    <row r="115" ht="14.25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9941D08-2E4B-D9B8-65F8-BB51118BF0F8}" mc:Ignorable="x14ac xr xr2 xr3">
  <dimension ref="A1:AC486"/>
  <sheetViews>
    <sheetView topLeftCell="A1" workbookViewId="0">
      <selection activeCell="A1" sqref="A1:AC2"/>
    </sheetView>
  </sheetViews>
  <sheetFormatPr defaultRowHeight="14.25" defaultColWidth="9.140625" customHeight="1"/>
  <cols>
    <col min="1" max="1" width="9.28125" customWidth="1"/>
    <col min="2" max="3" width="8.00390625" customWidth="1"/>
    <col min="4" max="4" width="6.28125" customWidth="1"/>
    <col min="5" max="5" width="7.8515625" customWidth="1"/>
    <col min="6" max="6" width="11.421875" customWidth="1"/>
    <col min="7" max="8" width="9.00390625" customWidth="1"/>
    <col min="9" max="9" width="8.8515625" customWidth="1"/>
    <col min="10" max="10" width="9.8515625" customWidth="1"/>
    <col min="11" max="11" width="8.00390625" customWidth="1"/>
    <col min="12" max="13" width="4.7109375" customWidth="1"/>
  </cols>
  <sheetData>
    <row r="1" ht="14.25" customHeight="1">
      <c r="A1" s="147" t="s">
        <v>120</v>
      </c>
      <c r="B1" s="11" t="s">
        <v>178</v>
      </c>
      <c r="C1" s="11" t="s">
        <v>121</v>
      </c>
      <c r="D1" s="11" t="s">
        <v>122</v>
      </c>
      <c r="E1" s="11" t="s">
        <v>179</v>
      </c>
      <c r="F1" s="11" t="s">
        <v>123</v>
      </c>
      <c r="G1" s="11" t="s">
        <v>124</v>
      </c>
      <c r="H1" s="11" t="s">
        <v>125</v>
      </c>
      <c r="I1" s="11" t="s">
        <v>25</v>
      </c>
      <c r="J1" s="11" t="s">
        <v>180</v>
      </c>
      <c r="K1" s="11" t="s">
        <v>181</v>
      </c>
      <c r="L1" s="11" t="s">
        <v>182</v>
      </c>
      <c r="M1" s="11" t="s">
        <v>26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</row>
    <row r="2" ht="14.25" customHeight="1">
      <c r="A2" t="s">
        <v>147</v>
      </c>
      <c r="B2" t="s">
        <v>7</v>
      </c>
      <c r="C2" t="s">
        <v>148</v>
      </c>
      <c r="D2" t="s">
        <v>104</v>
      </c>
      <c r="E2" t="s">
        <v>188</v>
      </c>
      <c r="F2" t="s">
        <v>162</v>
      </c>
      <c r="G2" t="s">
        <v>150</v>
      </c>
      <c r="H2" t="s">
        <v>158</v>
      </c>
      <c r="I2" t="s">
        <v>189</v>
      </c>
      <c r="J2">
        <v>84.920597</v>
      </c>
      <c r="K2">
        <v>84.920597</v>
      </c>
      <c r="L2">
        <v>8429.232</v>
      </c>
      <c r="M2">
        <v>723458.267422</v>
      </c>
      <c r="O2">
        <f>IF(D2="","",_CALC_MOTEUR!AE2)</f>
        <v>84.9205941173284</v>
      </c>
      <c r="P2">
        <f>IF(D2="","",_CALC_MOTEUR!AF2)</f>
        <v>84.9205941173284</v>
      </c>
      <c r="Q2">
        <f>IF(D2="","",_CALC_MOTEUR!AG2)</f>
        <v>8429.232</v>
      </c>
      <c r="R2">
        <f>IF(D2="","",_CALC_MOTEUR!AH2)</f>
        <v>723458.242863356</v>
      </c>
      <c r="S2">
        <f t="shared" si="0" ref="S2:S207">IF(D2="","",R2-M2)</f>
        <v>-0.0245586439268664</v>
      </c>
    </row>
    <row r="3" ht="14.25" customHeight="1">
      <c r="A3" t="s">
        <v>147</v>
      </c>
      <c r="B3" t="s">
        <v>7</v>
      </c>
      <c r="C3" t="s">
        <v>148</v>
      </c>
      <c r="D3" t="s">
        <v>104</v>
      </c>
      <c r="E3" t="s">
        <v>188</v>
      </c>
      <c r="F3" t="s">
        <v>162</v>
      </c>
      <c r="G3" t="s">
        <v>153</v>
      </c>
      <c r="H3" t="s">
        <v>151</v>
      </c>
      <c r="I3" t="s">
        <v>189</v>
      </c>
      <c r="J3">
        <v>0</v>
      </c>
      <c r="K3">
        <v>76.39</v>
      </c>
      <c r="L3">
        <v>7867.2832</v>
      </c>
      <c r="M3">
        <v>600981.763648</v>
      </c>
      <c r="O3">
        <f>IF(D3="","",_CALC_MOTEUR!AE3)</f>
        <v>0</v>
      </c>
      <c r="P3">
        <f>IF(D3="","",_CALC_MOTEUR!AF3)</f>
        <v>76.389999972</v>
      </c>
      <c r="Q3">
        <f>IF(D3="","",_CALC_MOTEUR!AG3)</f>
        <v>7867.2832</v>
      </c>
      <c r="R3">
        <f>IF(D3="","",_CALC_MOTEUR!AH3)</f>
        <v>600981.763427716</v>
      </c>
      <c r="S3">
        <f t="shared" si="0"/>
        <v>-0.000220283982343972</v>
      </c>
    </row>
    <row r="4" ht="14.25" customHeight="1">
      <c r="A4" t="s">
        <v>147</v>
      </c>
      <c r="B4" t="s">
        <v>7</v>
      </c>
      <c r="C4" t="s">
        <v>148</v>
      </c>
      <c r="D4" t="s">
        <v>104</v>
      </c>
      <c r="E4" t="s">
        <v>188</v>
      </c>
      <c r="F4" t="s">
        <v>162</v>
      </c>
      <c r="G4" t="s">
        <v>154</v>
      </c>
      <c r="H4" t="s">
        <v>151</v>
      </c>
      <c r="I4" t="s">
        <v>189</v>
      </c>
      <c r="J4">
        <v>0</v>
      </c>
      <c r="K4">
        <v>74.38</v>
      </c>
      <c r="L4">
        <v>7867.2832</v>
      </c>
      <c r="M4">
        <v>585168.524416</v>
      </c>
      <c r="O4">
        <f>IF(D4="","",_CALC_MOTEUR!AE4)</f>
        <v>0</v>
      </c>
      <c r="P4">
        <f>IF(D4="","",_CALC_MOTEUR!AF4)</f>
        <v>74.380000036</v>
      </c>
      <c r="Q4">
        <f>IF(D4="","",_CALC_MOTEUR!AG4)</f>
        <v>7867.2832</v>
      </c>
      <c r="R4">
        <f>IF(D4="","",_CALC_MOTEUR!AH4)</f>
        <v>585168.524699222</v>
      </c>
      <c r="S4">
        <f t="shared" si="0"/>
        <v>0.000283221947029233</v>
      </c>
    </row>
    <row r="5" ht="14.25" customHeight="1">
      <c r="A5" t="s">
        <v>147</v>
      </c>
      <c r="B5" t="s">
        <v>7</v>
      </c>
      <c r="C5" t="s">
        <v>148</v>
      </c>
      <c r="D5" t="s">
        <v>104</v>
      </c>
      <c r="E5" t="s">
        <v>188</v>
      </c>
      <c r="F5" t="s">
        <v>163</v>
      </c>
      <c r="G5" t="s">
        <v>160</v>
      </c>
      <c r="H5" t="s">
        <v>151</v>
      </c>
      <c r="I5" t="s">
        <v>189</v>
      </c>
      <c r="J5">
        <v>86.70186</v>
      </c>
      <c r="K5">
        <v>86.70186</v>
      </c>
      <c r="L5">
        <v>8429.232</v>
      </c>
      <c r="M5">
        <v>738633.260172</v>
      </c>
      <c r="O5">
        <f>IF(D5="","",_CALC_MOTEUR!AE5)</f>
        <v>86.7018577567161</v>
      </c>
      <c r="P5">
        <f>IF(D5="","",_CALC_MOTEUR!AF5)</f>
        <v>86.7018577567161</v>
      </c>
      <c r="Q5">
        <f>IF(D5="","",_CALC_MOTEUR!AG5)</f>
        <v>8429.232</v>
      </c>
      <c r="R5">
        <f>IF(D5="","",_CALC_MOTEUR!AH5)</f>
        <v>738633.241060464</v>
      </c>
      <c r="S5">
        <f t="shared" si="0"/>
        <v>-0.0191115360939875</v>
      </c>
    </row>
    <row r="6" ht="14.25" customHeight="1">
      <c r="A6" t="s">
        <v>147</v>
      </c>
      <c r="B6" t="s">
        <v>7</v>
      </c>
      <c r="C6" t="s">
        <v>148</v>
      </c>
      <c r="D6" t="s">
        <v>104</v>
      </c>
      <c r="E6" t="s">
        <v>188</v>
      </c>
      <c r="F6" t="s">
        <v>163</v>
      </c>
      <c r="G6" t="s">
        <v>161</v>
      </c>
      <c r="H6" t="s">
        <v>151</v>
      </c>
      <c r="I6" t="s">
        <v>189</v>
      </c>
      <c r="J6">
        <v>0</v>
      </c>
      <c r="K6">
        <v>76.39</v>
      </c>
      <c r="L6">
        <v>8429.232</v>
      </c>
      <c r="M6">
        <v>643909.03248</v>
      </c>
      <c r="O6">
        <f>IF(D6="","",_CALC_MOTEUR!AE6)</f>
        <v>0</v>
      </c>
      <c r="P6">
        <f>IF(D6="","",_CALC_MOTEUR!AF6)</f>
        <v>76.389999972</v>
      </c>
      <c r="Q6">
        <f>IF(D6="","",_CALC_MOTEUR!AG6)</f>
        <v>8429.232</v>
      </c>
      <c r="R6">
        <f>IF(D6="","",_CALC_MOTEUR!AH6)</f>
        <v>643909.032243981</v>
      </c>
      <c r="S6">
        <f t="shared" si="0"/>
        <v>-0.000236019026488066</v>
      </c>
    </row>
    <row r="7" ht="14.25" customHeight="1">
      <c r="A7" t="s">
        <v>147</v>
      </c>
      <c r="B7" t="s">
        <v>7</v>
      </c>
      <c r="C7" t="s">
        <v>148</v>
      </c>
      <c r="D7" t="s">
        <v>101</v>
      </c>
      <c r="E7" t="s">
        <v>188</v>
      </c>
      <c r="F7" t="s">
        <v>162</v>
      </c>
      <c r="G7" t="s">
        <v>150</v>
      </c>
      <c r="H7" t="s">
        <v>158</v>
      </c>
      <c r="I7" t="s">
        <v>189</v>
      </c>
      <c r="J7">
        <v>72.005855</v>
      </c>
      <c r="K7">
        <v>72.005855</v>
      </c>
      <c r="L7">
        <v>7902.405</v>
      </c>
      <c r="M7">
        <v>575499.955531</v>
      </c>
      <c r="O7">
        <f>IF(D7="","",_CALC_MOTEUR!AE7)</f>
        <v>72.0058725792696</v>
      </c>
      <c r="P7">
        <f>IF(D7="","",_CALC_MOTEUR!AF7)</f>
        <v>72.0058725792696</v>
      </c>
      <c r="Q7">
        <f>IF(D7="","",_CALC_MOTEUR!AG7)</f>
        <v>7902.405</v>
      </c>
      <c r="R7">
        <f>IF(D7="","",_CALC_MOTEUR!AH7)</f>
        <v>575500.096031917</v>
      </c>
      <c r="S7">
        <f t="shared" si="0"/>
        <v>0.140500916983001</v>
      </c>
    </row>
    <row r="8" ht="14.25" customHeight="1">
      <c r="A8" t="s">
        <v>147</v>
      </c>
      <c r="B8" t="s">
        <v>7</v>
      </c>
      <c r="C8" t="s">
        <v>148</v>
      </c>
      <c r="D8" t="s">
        <v>101</v>
      </c>
      <c r="E8" t="s">
        <v>188</v>
      </c>
      <c r="F8" t="s">
        <v>162</v>
      </c>
      <c r="G8" t="s">
        <v>153</v>
      </c>
      <c r="H8" t="s">
        <v>151</v>
      </c>
      <c r="I8" t="s">
        <v>189</v>
      </c>
      <c r="J8">
        <v>0</v>
      </c>
      <c r="K8">
        <v>64.33</v>
      </c>
      <c r="L8">
        <v>7375.578</v>
      </c>
      <c r="M8">
        <v>474470.93274</v>
      </c>
      <c r="O8">
        <f>IF(D8="","",_CALC_MOTEUR!AE8)</f>
        <v>0</v>
      </c>
      <c r="P8">
        <f>IF(D8="","",_CALC_MOTEUR!AF8)</f>
        <v>64.33000002</v>
      </c>
      <c r="Q8">
        <f>IF(D8="","",_CALC_MOTEUR!AG8)</f>
        <v>7375.578</v>
      </c>
      <c r="R8">
        <f>IF(D8="","",_CALC_MOTEUR!AH8)</f>
        <v>474470.932887512</v>
      </c>
      <c r="S8">
        <f t="shared" si="0"/>
        <v>0.000147512007970363</v>
      </c>
    </row>
    <row r="9" ht="14.25" customHeight="1">
      <c r="A9" t="s">
        <v>147</v>
      </c>
      <c r="B9" t="s">
        <v>7</v>
      </c>
      <c r="C9" t="s">
        <v>148</v>
      </c>
      <c r="D9" t="s">
        <v>101</v>
      </c>
      <c r="E9" t="s">
        <v>188</v>
      </c>
      <c r="F9" t="s">
        <v>162</v>
      </c>
      <c r="G9" t="s">
        <v>154</v>
      </c>
      <c r="H9" t="s">
        <v>151</v>
      </c>
      <c r="I9" t="s">
        <v>189</v>
      </c>
      <c r="J9">
        <v>0</v>
      </c>
      <c r="K9">
        <v>63.32</v>
      </c>
      <c r="L9">
        <v>7375.578</v>
      </c>
      <c r="M9">
        <v>467021.59896</v>
      </c>
      <c r="O9">
        <f>IF(D9="","",_CALC_MOTEUR!AE9)</f>
        <v>0</v>
      </c>
      <c r="P9">
        <f>IF(D9="","",_CALC_MOTEUR!AF9)</f>
        <v>63.32</v>
      </c>
      <c r="Q9">
        <f>IF(D9="","",_CALC_MOTEUR!AG9)</f>
        <v>7375.578</v>
      </c>
      <c r="R9">
        <f>IF(D9="","",_CALC_MOTEUR!AH9)</f>
        <v>467021.59896</v>
      </c>
      <c r="S9">
        <f t="shared" si="0"/>
        <v>0</v>
      </c>
    </row>
    <row r="10" ht="14.25" customHeight="1">
      <c r="A10" t="s">
        <v>147</v>
      </c>
      <c r="B10" t="s">
        <v>7</v>
      </c>
      <c r="C10" t="s">
        <v>148</v>
      </c>
      <c r="D10" t="s">
        <v>101</v>
      </c>
      <c r="E10" t="s">
        <v>188</v>
      </c>
      <c r="F10" t="s">
        <v>163</v>
      </c>
      <c r="G10" t="s">
        <v>160</v>
      </c>
      <c r="H10" t="s">
        <v>151</v>
      </c>
      <c r="I10" t="s">
        <v>189</v>
      </c>
      <c r="J10">
        <v>73.512347</v>
      </c>
      <c r="K10">
        <v>73.512347</v>
      </c>
      <c r="L10">
        <v>7902.405</v>
      </c>
      <c r="M10">
        <v>587540.449725</v>
      </c>
      <c r="O10">
        <f>IF(D10="","",_CALC_MOTEUR!AE10)</f>
        <v>73.5123651117554</v>
      </c>
      <c r="P10">
        <f>IF(D10="","",_CALC_MOTEUR!AF10)</f>
        <v>73.5123651117554</v>
      </c>
      <c r="Q10">
        <f>IF(D10="","",_CALC_MOTEUR!AG10)</f>
        <v>7902.405</v>
      </c>
      <c r="R10">
        <f>IF(D10="","",_CALC_MOTEUR!AH10)</f>
        <v>587540.594481019</v>
      </c>
      <c r="S10">
        <f t="shared" si="0"/>
        <v>0.144756018999033</v>
      </c>
    </row>
    <row r="11" ht="14.25" customHeight="1">
      <c r="A11" t="s">
        <v>147</v>
      </c>
      <c r="B11" t="s">
        <v>7</v>
      </c>
      <c r="C11" t="s">
        <v>148</v>
      </c>
      <c r="D11" t="s">
        <v>101</v>
      </c>
      <c r="E11" t="s">
        <v>188</v>
      </c>
      <c r="F11" t="s">
        <v>163</v>
      </c>
      <c r="G11" t="s">
        <v>161</v>
      </c>
      <c r="H11" t="s">
        <v>151</v>
      </c>
      <c r="I11" t="s">
        <v>189</v>
      </c>
      <c r="J11">
        <v>0</v>
      </c>
      <c r="K11">
        <v>65.33</v>
      </c>
      <c r="L11">
        <v>7902.405</v>
      </c>
      <c r="M11">
        <v>516264.11865</v>
      </c>
      <c r="O11">
        <f>IF(D11="","",_CALC_MOTEUR!AE11)</f>
        <v>0</v>
      </c>
      <c r="P11">
        <f>IF(D11="","",_CALC_MOTEUR!AF11)</f>
        <v>65.33000001</v>
      </c>
      <c r="Q11">
        <f>IF(D11="","",_CALC_MOTEUR!AG11)</f>
        <v>7902.405</v>
      </c>
      <c r="R11">
        <f>IF(D11="","",_CALC_MOTEUR!AH11)</f>
        <v>516264.118729024</v>
      </c>
      <c r="S11">
        <f t="shared" si="0"/>
        <v>0.0000790240010246634</v>
      </c>
    </row>
    <row r="12" ht="14.25" customHeight="1">
      <c r="A12" t="s">
        <v>147</v>
      </c>
      <c r="B12" t="s">
        <v>7</v>
      </c>
      <c r="C12" t="s">
        <v>148</v>
      </c>
      <c r="D12" t="s">
        <v>103</v>
      </c>
      <c r="E12" t="s">
        <v>188</v>
      </c>
      <c r="F12" t="s">
        <v>162</v>
      </c>
      <c r="G12" t="s">
        <v>150</v>
      </c>
      <c r="H12" t="s">
        <v>158</v>
      </c>
      <c r="I12" t="s">
        <v>189</v>
      </c>
      <c r="J12">
        <v>65.539302</v>
      </c>
      <c r="K12">
        <v>65.539302</v>
      </c>
      <c r="L12">
        <v>7526.1</v>
      </c>
      <c r="M12">
        <v>499153.877962</v>
      </c>
      <c r="O12">
        <f>IF(D12="","",_CALC_MOTEUR!AE12)</f>
        <v>65.5393125968495</v>
      </c>
      <c r="P12">
        <f>IF(D12="","",_CALC_MOTEUR!AF12)</f>
        <v>65.5393125968495</v>
      </c>
      <c r="Q12">
        <f>IF(D12="","",_CALC_MOTEUR!AG12)</f>
        <v>7526.1</v>
      </c>
      <c r="R12">
        <f>IF(D12="","",_CALC_MOTEUR!AH12)</f>
        <v>499153.958668865</v>
      </c>
      <c r="S12">
        <f t="shared" si="0"/>
        <v>0.0807068649446592</v>
      </c>
    </row>
    <row r="13" ht="14.25" customHeight="1">
      <c r="A13" t="s">
        <v>147</v>
      </c>
      <c r="B13" t="s">
        <v>7</v>
      </c>
      <c r="C13" t="s">
        <v>148</v>
      </c>
      <c r="D13" t="s">
        <v>103</v>
      </c>
      <c r="E13" t="s">
        <v>188</v>
      </c>
      <c r="F13" t="s">
        <v>162</v>
      </c>
      <c r="G13" t="s">
        <v>153</v>
      </c>
      <c r="H13" t="s">
        <v>151</v>
      </c>
      <c r="I13" t="s">
        <v>189</v>
      </c>
      <c r="J13">
        <v>0</v>
      </c>
      <c r="K13">
        <v>58.3</v>
      </c>
      <c r="L13">
        <v>7024.36</v>
      </c>
      <c r="M13">
        <v>409520.188</v>
      </c>
      <c r="O13">
        <f>IF(D13="","",_CALC_MOTEUR!AE13)</f>
        <v>0</v>
      </c>
      <c r="P13">
        <f>IF(D13="","",_CALC_MOTEUR!AF13)</f>
        <v>58.30000002</v>
      </c>
      <c r="Q13">
        <f>IF(D13="","",_CALC_MOTEUR!AG13)</f>
        <v>7024.36</v>
      </c>
      <c r="R13">
        <f>IF(D13="","",_CALC_MOTEUR!AH13)</f>
        <v>409520.188140487</v>
      </c>
      <c r="S13">
        <f t="shared" si="0"/>
        <v>0.000140486983582377</v>
      </c>
    </row>
    <row r="14" ht="14.25" customHeight="1">
      <c r="A14" t="s">
        <v>147</v>
      </c>
      <c r="B14" t="s">
        <v>7</v>
      </c>
      <c r="C14" t="s">
        <v>148</v>
      </c>
      <c r="D14" t="s">
        <v>103</v>
      </c>
      <c r="E14" t="s">
        <v>188</v>
      </c>
      <c r="F14" t="s">
        <v>162</v>
      </c>
      <c r="G14" t="s">
        <v>154</v>
      </c>
      <c r="H14" t="s">
        <v>151</v>
      </c>
      <c r="I14" t="s">
        <v>189</v>
      </c>
      <c r="J14">
        <v>0</v>
      </c>
      <c r="K14">
        <v>57.29</v>
      </c>
      <c r="L14">
        <v>7024.36</v>
      </c>
      <c r="M14">
        <v>402425.5844</v>
      </c>
      <c r="O14">
        <f>IF(D14="","",_CALC_MOTEUR!AE14)</f>
        <v>0</v>
      </c>
      <c r="P14">
        <f>IF(D14="","",_CALC_MOTEUR!AF14)</f>
        <v>57.290000018</v>
      </c>
      <c r="Q14">
        <f>IF(D14="","",_CALC_MOTEUR!AG14)</f>
        <v>7024.36</v>
      </c>
      <c r="R14">
        <f>IF(D14="","",_CALC_MOTEUR!AH14)</f>
        <v>402425.584526438</v>
      </c>
      <c r="S14">
        <f t="shared" si="0"/>
        <v>0.000126437982544303</v>
      </c>
    </row>
    <row r="15" ht="14.25" customHeight="1">
      <c r="A15" t="s">
        <v>147</v>
      </c>
      <c r="B15" t="s">
        <v>7</v>
      </c>
      <c r="C15" t="s">
        <v>148</v>
      </c>
      <c r="D15" t="s">
        <v>103</v>
      </c>
      <c r="E15" t="s">
        <v>188</v>
      </c>
      <c r="F15" t="s">
        <v>163</v>
      </c>
      <c r="G15" t="s">
        <v>160</v>
      </c>
      <c r="H15" t="s">
        <v>151</v>
      </c>
      <c r="I15" t="s">
        <v>189</v>
      </c>
      <c r="J15">
        <v>66.913655</v>
      </c>
      <c r="K15">
        <v>66.913655</v>
      </c>
      <c r="L15">
        <v>7526.1</v>
      </c>
      <c r="M15">
        <v>509621.087846</v>
      </c>
      <c r="O15">
        <f>IF(D15="","",_CALC_MOTEUR!AE15)</f>
        <v>66.9136661149438</v>
      </c>
      <c r="P15">
        <f>IF(D15="","",_CALC_MOTEUR!AF15)</f>
        <v>66.9136661149438</v>
      </c>
      <c r="Q15">
        <f>IF(D15="","",_CALC_MOTEUR!AG15)</f>
        <v>7526.1</v>
      </c>
      <c r="R15">
        <f>IF(D15="","",_CALC_MOTEUR!AH15)</f>
        <v>509621.172498023</v>
      </c>
      <c r="S15">
        <f t="shared" si="0"/>
        <v>0.0846520230406895</v>
      </c>
    </row>
    <row r="16" ht="14.25" customHeight="1">
      <c r="A16" t="s">
        <v>147</v>
      </c>
      <c r="B16" t="s">
        <v>7</v>
      </c>
      <c r="C16" t="s">
        <v>148</v>
      </c>
      <c r="D16" t="s">
        <v>103</v>
      </c>
      <c r="E16" t="s">
        <v>188</v>
      </c>
      <c r="F16" t="s">
        <v>163</v>
      </c>
      <c r="G16" t="s">
        <v>161</v>
      </c>
      <c r="H16" t="s">
        <v>151</v>
      </c>
      <c r="I16" t="s">
        <v>189</v>
      </c>
      <c r="J16">
        <v>0</v>
      </c>
      <c r="K16">
        <v>59.3</v>
      </c>
      <c r="L16">
        <v>7526.1</v>
      </c>
      <c r="M16">
        <v>446297.73</v>
      </c>
      <c r="O16">
        <f>IF(D16="","",_CALC_MOTEUR!AE16)</f>
        <v>0</v>
      </c>
      <c r="P16">
        <f>IF(D16="","",_CALC_MOTEUR!AF16)</f>
        <v>59.29999998</v>
      </c>
      <c r="Q16">
        <f>IF(D16="","",_CALC_MOTEUR!AG16)</f>
        <v>7526.1</v>
      </c>
      <c r="R16">
        <f>IF(D16="","",_CALC_MOTEUR!AH16)</f>
        <v>446297.729849478</v>
      </c>
      <c r="S16">
        <f t="shared" si="0"/>
        <v>-0.000150521984323859</v>
      </c>
    </row>
    <row r="17" ht="14.25" customHeight="1">
      <c r="A17" t="s">
        <v>147</v>
      </c>
      <c r="B17" t="s">
        <v>7</v>
      </c>
      <c r="C17" t="s">
        <v>148</v>
      </c>
      <c r="D17" t="s">
        <v>99</v>
      </c>
      <c r="E17" t="s">
        <v>188</v>
      </c>
      <c r="F17" t="s">
        <v>162</v>
      </c>
      <c r="G17" t="s">
        <v>150</v>
      </c>
      <c r="H17" t="s">
        <v>158</v>
      </c>
      <c r="I17" t="s">
        <v>189</v>
      </c>
      <c r="J17">
        <v>55.74675</v>
      </c>
      <c r="K17">
        <v>55.74675</v>
      </c>
      <c r="L17">
        <v>7300.317</v>
      </c>
      <c r="M17">
        <v>411986.15422</v>
      </c>
      <c r="O17">
        <f>IF(D17="","",_CALC_MOTEUR!AE17)</f>
        <v>55.7467412571368</v>
      </c>
      <c r="P17">
        <f>IF(D17="","",_CALC_MOTEUR!AF17)</f>
        <v>55.7467412571368</v>
      </c>
      <c r="Q17">
        <f>IF(D17="","",_CALC_MOTEUR!AG17)</f>
        <v>7300.317</v>
      </c>
      <c r="R17">
        <f>IF(D17="","",_CALC_MOTEUR!AH17)</f>
        <v>411986.089607219</v>
      </c>
      <c r="S17">
        <f t="shared" si="0"/>
        <v>-0.0646127810468897</v>
      </c>
    </row>
    <row r="18" ht="14.25" customHeight="1">
      <c r="A18" t="s">
        <v>147</v>
      </c>
      <c r="B18" t="s">
        <v>7</v>
      </c>
      <c r="C18" t="s">
        <v>148</v>
      </c>
      <c r="D18" t="s">
        <v>99</v>
      </c>
      <c r="E18" t="s">
        <v>188</v>
      </c>
      <c r="F18" t="s">
        <v>162</v>
      </c>
      <c r="G18" t="s">
        <v>153</v>
      </c>
      <c r="H18" t="s">
        <v>151</v>
      </c>
      <c r="I18" t="s">
        <v>189</v>
      </c>
      <c r="J18">
        <v>0</v>
      </c>
      <c r="K18">
        <v>49.255</v>
      </c>
      <c r="L18">
        <v>6813.6292</v>
      </c>
      <c r="M18">
        <v>335605.306246</v>
      </c>
      <c r="O18">
        <f>IF(D18="","",_CALC_MOTEUR!AE18)</f>
        <v>0</v>
      </c>
      <c r="P18">
        <f>IF(D18="","",_CALC_MOTEUR!AF18)</f>
        <v>49.255000014</v>
      </c>
      <c r="Q18">
        <f>IF(D18="","",_CALC_MOTEUR!AG18)</f>
        <v>6813.6292</v>
      </c>
      <c r="R18">
        <f>IF(D18="","",_CALC_MOTEUR!AH18)</f>
        <v>335605.306341391</v>
      </c>
      <c r="S18">
        <f t="shared" si="0"/>
        <v>0.000095391005743295</v>
      </c>
    </row>
    <row r="19" ht="14.25" customHeight="1">
      <c r="A19" t="s">
        <v>147</v>
      </c>
      <c r="B19" t="s">
        <v>7</v>
      </c>
      <c r="C19" t="s">
        <v>148</v>
      </c>
      <c r="D19" t="s">
        <v>99</v>
      </c>
      <c r="E19" t="s">
        <v>188</v>
      </c>
      <c r="F19" t="s">
        <v>162</v>
      </c>
      <c r="G19" t="s">
        <v>154</v>
      </c>
      <c r="H19" t="s">
        <v>151</v>
      </c>
      <c r="I19" t="s">
        <v>189</v>
      </c>
      <c r="J19">
        <v>0</v>
      </c>
      <c r="K19">
        <v>48.245</v>
      </c>
      <c r="L19">
        <v>6813.6292</v>
      </c>
      <c r="M19">
        <v>328723.540754</v>
      </c>
      <c r="O19">
        <f>IF(D19="","",_CALC_MOTEUR!AE19)</f>
        <v>0</v>
      </c>
      <c r="P19">
        <f>IF(D19="","",_CALC_MOTEUR!AF19)</f>
        <v>48.245000013</v>
      </c>
      <c r="Q19">
        <f>IF(D19="","",_CALC_MOTEUR!AG19)</f>
        <v>6813.6292</v>
      </c>
      <c r="R19">
        <f>IF(D19="","",_CALC_MOTEUR!AH19)</f>
        <v>328723.540842577</v>
      </c>
      <c r="S19">
        <f t="shared" si="0"/>
        <v>0.0000885769841261208</v>
      </c>
    </row>
    <row r="20" ht="14.25" customHeight="1">
      <c r="A20" t="s">
        <v>147</v>
      </c>
      <c r="B20" t="s">
        <v>7</v>
      </c>
      <c r="C20" t="s">
        <v>148</v>
      </c>
      <c r="D20" t="s">
        <v>99</v>
      </c>
      <c r="E20" t="s">
        <v>188</v>
      </c>
      <c r="F20" t="s">
        <v>163</v>
      </c>
      <c r="G20" t="s">
        <v>160</v>
      </c>
      <c r="H20" t="s">
        <v>151</v>
      </c>
      <c r="I20" t="s">
        <v>189</v>
      </c>
      <c r="J20">
        <v>56.91006</v>
      </c>
      <c r="K20">
        <v>56.91006</v>
      </c>
      <c r="L20">
        <v>7300.317</v>
      </c>
      <c r="M20">
        <v>420583.383889</v>
      </c>
      <c r="O20">
        <f>IF(D20="","",_CALC_MOTEUR!AE20)</f>
        <v>56.9100515487012</v>
      </c>
      <c r="P20">
        <f>IF(D20="","",_CALC_MOTEUR!AF20)</f>
        <v>56.9100515487012</v>
      </c>
      <c r="Q20">
        <f>IF(D20="","",_CALC_MOTEUR!AG20)</f>
        <v>7300.317</v>
      </c>
      <c r="R20">
        <f>IF(D20="","",_CALC_MOTEUR!AH20)</f>
        <v>420583.321431243</v>
      </c>
      <c r="S20">
        <f t="shared" si="0"/>
        <v>-0.0624577570124529</v>
      </c>
    </row>
    <row r="21" ht="14.25" customHeight="1">
      <c r="A21" t="s">
        <v>147</v>
      </c>
      <c r="B21" t="s">
        <v>7</v>
      </c>
      <c r="C21" t="s">
        <v>148</v>
      </c>
      <c r="D21" t="s">
        <v>99</v>
      </c>
      <c r="E21" t="s">
        <v>188</v>
      </c>
      <c r="F21" t="s">
        <v>163</v>
      </c>
      <c r="G21" t="s">
        <v>161</v>
      </c>
      <c r="H21" t="s">
        <v>151</v>
      </c>
      <c r="I21" t="s">
        <v>189</v>
      </c>
      <c r="J21">
        <v>0</v>
      </c>
      <c r="K21">
        <v>50.255</v>
      </c>
      <c r="L21">
        <v>7300.317</v>
      </c>
      <c r="M21">
        <v>366877.430835</v>
      </c>
      <c r="O21">
        <f>IF(D21="","",_CALC_MOTEUR!AE21)</f>
        <v>0</v>
      </c>
      <c r="P21">
        <f>IF(D21="","",_CALC_MOTEUR!AF21)</f>
        <v>50.255000007</v>
      </c>
      <c r="Q21">
        <f>IF(D21="","",_CALC_MOTEUR!AG21)</f>
        <v>7300.317</v>
      </c>
      <c r="R21">
        <f>IF(D21="","",_CALC_MOTEUR!AH21)</f>
        <v>366877.430886102</v>
      </c>
      <c r="S21">
        <f t="shared" si="0"/>
        <v>0.0000511020189151168</v>
      </c>
    </row>
    <row r="22" ht="14.25" customHeight="1">
      <c r="A22" t="s">
        <v>147</v>
      </c>
      <c r="B22" t="s">
        <v>7</v>
      </c>
      <c r="C22" t="s">
        <v>148</v>
      </c>
      <c r="D22" t="s">
        <v>95</v>
      </c>
      <c r="E22" t="s">
        <v>49</v>
      </c>
      <c r="F22" t="s">
        <v>157</v>
      </c>
      <c r="G22" t="s">
        <v>150</v>
      </c>
      <c r="H22" t="s">
        <v>158</v>
      </c>
      <c r="I22" t="s">
        <v>189</v>
      </c>
      <c r="J22">
        <v>78.323408</v>
      </c>
      <c r="K22">
        <v>78.323408</v>
      </c>
      <c r="L22">
        <v>8428.014</v>
      </c>
      <c r="M22">
        <v>667159.885872</v>
      </c>
      <c r="O22">
        <f>IF(D22="","",_CALC_MOTEUR!AE22)</f>
        <v>78.3234003988941</v>
      </c>
      <c r="P22">
        <f>IF(D22="","",_CALC_MOTEUR!AF22)</f>
        <v>78.3234003988941</v>
      </c>
      <c r="Q22">
        <f>IF(D22="","",_CALC_MOTEUR!AG22)</f>
        <v>8428.014</v>
      </c>
      <c r="R22">
        <f>IF(D22="","",_CALC_MOTEUR!AH22)</f>
        <v>667159.821125385</v>
      </c>
      <c r="S22">
        <f t="shared" si="0"/>
        <v>-0.064746615011245</v>
      </c>
    </row>
    <row r="23" ht="14.25" customHeight="1">
      <c r="A23" t="s">
        <v>147</v>
      </c>
      <c r="B23" t="s">
        <v>7</v>
      </c>
      <c r="C23" t="s">
        <v>148</v>
      </c>
      <c r="D23" t="s">
        <v>95</v>
      </c>
      <c r="E23" t="s">
        <v>49</v>
      </c>
      <c r="F23" t="s">
        <v>157</v>
      </c>
      <c r="G23" t="s">
        <v>153</v>
      </c>
      <c r="H23" t="s">
        <v>151</v>
      </c>
      <c r="I23" t="s">
        <v>189</v>
      </c>
      <c r="J23">
        <v>0</v>
      </c>
      <c r="K23">
        <v>70.36</v>
      </c>
      <c r="L23">
        <v>7866.1464</v>
      </c>
      <c r="M23">
        <v>553462.060704</v>
      </c>
      <c r="O23">
        <f>IF(D23="","",_CALC_MOTEUR!AE23)</f>
        <v>0</v>
      </c>
      <c r="P23">
        <f>IF(D23="","",_CALC_MOTEUR!AF23)</f>
        <v>70.359999984</v>
      </c>
      <c r="Q23">
        <f>IF(D23="","",_CALC_MOTEUR!AG23)</f>
        <v>7866.1464</v>
      </c>
      <c r="R23">
        <f>IF(D23="","",_CALC_MOTEUR!AH23)</f>
        <v>553462.060578142</v>
      </c>
      <c r="S23">
        <f t="shared" si="0"/>
        <v>-0.000125858001410961</v>
      </c>
    </row>
    <row r="24" ht="14.25" customHeight="1">
      <c r="A24" t="s">
        <v>147</v>
      </c>
      <c r="B24" t="s">
        <v>7</v>
      </c>
      <c r="C24" t="s">
        <v>148</v>
      </c>
      <c r="D24" t="s">
        <v>95</v>
      </c>
      <c r="E24" t="s">
        <v>49</v>
      </c>
      <c r="F24" t="s">
        <v>157</v>
      </c>
      <c r="G24" t="s">
        <v>154</v>
      </c>
      <c r="H24" t="s">
        <v>151</v>
      </c>
      <c r="I24" t="s">
        <v>189</v>
      </c>
      <c r="J24">
        <v>0</v>
      </c>
      <c r="K24">
        <v>69.35</v>
      </c>
      <c r="L24">
        <v>7866.1464</v>
      </c>
      <c r="M24">
        <v>545517.25284</v>
      </c>
      <c r="O24">
        <f>IF(D24="","",_CALC_MOTEUR!AE24)</f>
        <v>0</v>
      </c>
      <c r="P24">
        <f>IF(D24="","",_CALC_MOTEUR!AF24)</f>
        <v>69.35000002</v>
      </c>
      <c r="Q24">
        <f>IF(D24="","",_CALC_MOTEUR!AG24)</f>
        <v>7866.1464</v>
      </c>
      <c r="R24">
        <f>IF(D24="","",_CALC_MOTEUR!AH24)</f>
        <v>545517.252997323</v>
      </c>
      <c r="S24">
        <f t="shared" si="0"/>
        <v>0.000157323083840311</v>
      </c>
    </row>
    <row r="25" ht="14.25" customHeight="1">
      <c r="A25" t="s">
        <v>147</v>
      </c>
      <c r="B25" t="s">
        <v>7</v>
      </c>
      <c r="C25" t="s">
        <v>148</v>
      </c>
      <c r="D25" t="s">
        <v>95</v>
      </c>
      <c r="E25" t="s">
        <v>49</v>
      </c>
      <c r="F25" t="s">
        <v>159</v>
      </c>
      <c r="G25" t="s">
        <v>160</v>
      </c>
      <c r="H25" t="s">
        <v>151</v>
      </c>
      <c r="I25" t="s">
        <v>189</v>
      </c>
      <c r="J25">
        <v>79.958935</v>
      </c>
      <c r="K25">
        <v>79.958935</v>
      </c>
      <c r="L25">
        <v>8428.014</v>
      </c>
      <c r="M25">
        <v>681091.327755</v>
      </c>
      <c r="O25">
        <f>IF(D25="","",_CALC_MOTEUR!AE25)</f>
        <v>79.9589272178958</v>
      </c>
      <c r="P25">
        <f>IF(D25="","",_CALC_MOTEUR!AF25)</f>
        <v>79.9589272178958</v>
      </c>
      <c r="Q25">
        <f>IF(D25="","",_CALC_MOTEUR!AG25)</f>
        <v>8428.014</v>
      </c>
      <c r="R25">
        <f>IF(D25="","",_CALC_MOTEUR!AH25)</f>
        <v>681091.261467017</v>
      </c>
      <c r="S25">
        <f t="shared" si="0"/>
        <v>-0.0662879829760641</v>
      </c>
    </row>
    <row r="26" ht="14.25" customHeight="1">
      <c r="A26" t="s">
        <v>147</v>
      </c>
      <c r="B26" t="s">
        <v>7</v>
      </c>
      <c r="C26" t="s">
        <v>148</v>
      </c>
      <c r="D26" t="s">
        <v>95</v>
      </c>
      <c r="E26" t="s">
        <v>49</v>
      </c>
      <c r="F26" t="s">
        <v>159</v>
      </c>
      <c r="G26" t="s">
        <v>161</v>
      </c>
      <c r="H26" t="s">
        <v>151</v>
      </c>
      <c r="I26" t="s">
        <v>189</v>
      </c>
      <c r="J26">
        <v>0</v>
      </c>
      <c r="K26">
        <v>71.36</v>
      </c>
      <c r="L26">
        <v>8428.014</v>
      </c>
      <c r="M26">
        <v>601423.07904</v>
      </c>
      <c r="O26">
        <f>IF(D26="","",_CALC_MOTEUR!AE26)</f>
        <v>0</v>
      </c>
      <c r="P26">
        <f>IF(D26="","",_CALC_MOTEUR!AF26)</f>
        <v>71.359999992</v>
      </c>
      <c r="Q26">
        <f>IF(D26="","",_CALC_MOTEUR!AG26)</f>
        <v>8428.014</v>
      </c>
      <c r="R26">
        <f>IF(D26="","",_CALC_MOTEUR!AH26)</f>
        <v>601423.078972576</v>
      </c>
      <c r="S26">
        <f t="shared" si="0"/>
        <v>-0.0000674240291118622</v>
      </c>
    </row>
    <row r="27" ht="14.25" customHeight="1">
      <c r="A27" t="s">
        <v>147</v>
      </c>
      <c r="B27" t="s">
        <v>7</v>
      </c>
      <c r="C27" t="s">
        <v>148</v>
      </c>
      <c r="D27" t="s">
        <v>93</v>
      </c>
      <c r="E27" t="s">
        <v>49</v>
      </c>
      <c r="F27" t="s">
        <v>157</v>
      </c>
      <c r="G27" t="s">
        <v>150</v>
      </c>
      <c r="H27" t="s">
        <v>158</v>
      </c>
      <c r="I27" t="s">
        <v>189</v>
      </c>
      <c r="J27">
        <v>54.601406</v>
      </c>
      <c r="K27">
        <v>54.601406</v>
      </c>
      <c r="L27">
        <v>7374.51225</v>
      </c>
      <c r="M27">
        <v>407572.863954</v>
      </c>
      <c r="O27">
        <f>IF(D27="","",_CALC_MOTEUR!AE27)</f>
        <v>54.6014005758159</v>
      </c>
      <c r="P27">
        <f>IF(D27="","",_CALC_MOTEUR!AF27)</f>
        <v>54.6014005758159</v>
      </c>
      <c r="Q27">
        <f>IF(D27="","",_CALC_MOTEUR!AG27)</f>
        <v>7374.51225</v>
      </c>
      <c r="R27">
        <f>IF(D27="","",_CALC_MOTEUR!AH27)</f>
        <v>407572.823465335</v>
      </c>
      <c r="S27">
        <f t="shared" si="0"/>
        <v>-0.0404886649921536</v>
      </c>
    </row>
    <row r="28" ht="14.25" customHeight="1">
      <c r="A28" t="s">
        <v>147</v>
      </c>
      <c r="B28" t="s">
        <v>7</v>
      </c>
      <c r="C28" t="s">
        <v>148</v>
      </c>
      <c r="D28" t="s">
        <v>93</v>
      </c>
      <c r="E28" t="s">
        <v>49</v>
      </c>
      <c r="F28" t="s">
        <v>157</v>
      </c>
      <c r="G28" t="s">
        <v>153</v>
      </c>
      <c r="H28" t="s">
        <v>151</v>
      </c>
      <c r="I28" t="s">
        <v>189</v>
      </c>
      <c r="J28">
        <v>0</v>
      </c>
      <c r="K28">
        <v>48.25</v>
      </c>
      <c r="L28">
        <v>6882.8781</v>
      </c>
      <c r="M28">
        <v>332098.868325</v>
      </c>
      <c r="O28">
        <f>IF(D28="","",_CALC_MOTEUR!AE28)</f>
        <v>0</v>
      </c>
      <c r="P28">
        <f>IF(D28="","",_CALC_MOTEUR!AF28)</f>
        <v>48.25</v>
      </c>
      <c r="Q28">
        <f>IF(D28="","",_CALC_MOTEUR!AG28)</f>
        <v>6882.8781</v>
      </c>
      <c r="R28">
        <f>IF(D28="","",_CALC_MOTEUR!AH28)</f>
        <v>332098.868325</v>
      </c>
      <c r="S28">
        <f t="shared" si="0"/>
        <v>0</v>
      </c>
    </row>
    <row r="29" ht="14.25" customHeight="1">
      <c r="A29" t="s">
        <v>147</v>
      </c>
      <c r="B29" t="s">
        <v>7</v>
      </c>
      <c r="C29" t="s">
        <v>148</v>
      </c>
      <c r="D29" t="s">
        <v>93</v>
      </c>
      <c r="E29" t="s">
        <v>49</v>
      </c>
      <c r="F29" t="s">
        <v>157</v>
      </c>
      <c r="G29" t="s">
        <v>154</v>
      </c>
      <c r="H29" t="s">
        <v>151</v>
      </c>
      <c r="I29" t="s">
        <v>189</v>
      </c>
      <c r="J29">
        <v>0</v>
      </c>
      <c r="K29">
        <v>47.24</v>
      </c>
      <c r="L29">
        <v>6882.8781</v>
      </c>
      <c r="M29">
        <v>325147.161444</v>
      </c>
      <c r="O29">
        <f>IF(D29="","",_CALC_MOTEUR!AE29)</f>
        <v>0</v>
      </c>
      <c r="P29">
        <f>IF(D29="","",_CALC_MOTEUR!AF29)</f>
        <v>47.240000016</v>
      </c>
      <c r="Q29">
        <f>IF(D29="","",_CALC_MOTEUR!AG29)</f>
        <v>6882.8781</v>
      </c>
      <c r="R29">
        <f>IF(D29="","",_CALC_MOTEUR!AH29)</f>
        <v>325147.161554126</v>
      </c>
      <c r="S29">
        <f t="shared" si="0"/>
        <v>0.000110125984065235</v>
      </c>
    </row>
    <row r="30" ht="14.25" customHeight="1">
      <c r="A30" t="s">
        <v>147</v>
      </c>
      <c r="B30" t="s">
        <v>7</v>
      </c>
      <c r="C30" t="s">
        <v>148</v>
      </c>
      <c r="D30" t="s">
        <v>93</v>
      </c>
      <c r="E30" t="s">
        <v>49</v>
      </c>
      <c r="F30" t="s">
        <v>159</v>
      </c>
      <c r="G30" t="s">
        <v>160</v>
      </c>
      <c r="H30" t="s">
        <v>151</v>
      </c>
      <c r="I30" t="s">
        <v>189</v>
      </c>
      <c r="J30">
        <v>55.745236</v>
      </c>
      <c r="K30">
        <v>55.745236</v>
      </c>
      <c r="L30">
        <v>7374.51225</v>
      </c>
      <c r="M30">
        <v>416110.997001</v>
      </c>
      <c r="O30">
        <f>IF(D30="","",_CALC_MOTEUR!AE30)</f>
        <v>55.7452306774578</v>
      </c>
      <c r="P30">
        <f>IF(D30="","",_CALC_MOTEUR!AF30)</f>
        <v>55.7452306774578</v>
      </c>
      <c r="Q30">
        <f>IF(D30="","",_CALC_MOTEUR!AG30)</f>
        <v>7374.51225</v>
      </c>
      <c r="R30">
        <f>IF(D30="","",_CALC_MOTEUR!AH30)</f>
        <v>416110.95727096</v>
      </c>
      <c r="S30">
        <f t="shared" si="0"/>
        <v>-0.0397300400072709</v>
      </c>
    </row>
    <row r="31" ht="14.25" customHeight="1">
      <c r="A31" t="s">
        <v>147</v>
      </c>
      <c r="B31" t="s">
        <v>7</v>
      </c>
      <c r="C31" t="s">
        <v>148</v>
      </c>
      <c r="D31" t="s">
        <v>93</v>
      </c>
      <c r="E31" t="s">
        <v>49</v>
      </c>
      <c r="F31" t="s">
        <v>159</v>
      </c>
      <c r="G31" t="s">
        <v>161</v>
      </c>
      <c r="H31" t="s">
        <v>151</v>
      </c>
      <c r="I31" t="s">
        <v>189</v>
      </c>
      <c r="J31">
        <v>0</v>
      </c>
      <c r="K31">
        <v>49.25</v>
      </c>
      <c r="L31">
        <v>7374.51225</v>
      </c>
      <c r="M31">
        <v>363194.728313</v>
      </c>
      <c r="O31">
        <f>IF(D31="","",_CALC_MOTEUR!AE31)</f>
        <v>0</v>
      </c>
      <c r="P31">
        <f>IF(D31="","",_CALC_MOTEUR!AF31)</f>
        <v>49.25</v>
      </c>
      <c r="Q31">
        <f>IF(D31="","",_CALC_MOTEUR!AG31)</f>
        <v>7374.51225</v>
      </c>
      <c r="R31">
        <f>IF(D31="","",_CALC_MOTEUR!AH31)</f>
        <v>363194.7283125</v>
      </c>
      <c r="S31">
        <f t="shared" si="0"/>
        <v>-5.00003807246685e-7</v>
      </c>
    </row>
    <row r="32" ht="14.25" customHeight="1">
      <c r="A32" t="s">
        <v>147</v>
      </c>
      <c r="B32" t="s">
        <v>7</v>
      </c>
      <c r="C32" t="s">
        <v>148</v>
      </c>
      <c r="D32" t="s">
        <v>97</v>
      </c>
      <c r="E32" t="s">
        <v>49</v>
      </c>
      <c r="F32" t="s">
        <v>157</v>
      </c>
      <c r="G32" t="s">
        <v>150</v>
      </c>
      <c r="H32" t="s">
        <v>158</v>
      </c>
      <c r="I32" t="s">
        <v>189</v>
      </c>
      <c r="J32">
        <v>51.351967</v>
      </c>
      <c r="K32">
        <v>51.351967</v>
      </c>
      <c r="L32">
        <v>7224.012</v>
      </c>
      <c r="M32">
        <v>375588.902862</v>
      </c>
      <c r="O32">
        <f>IF(D32="","",_CALC_MOTEUR!AE32)</f>
        <v>51.3519623575048</v>
      </c>
      <c r="P32">
        <f>IF(D32="","",_CALC_MOTEUR!AF32)</f>
        <v>51.3519623575048</v>
      </c>
      <c r="Q32">
        <f>IF(D32="","",_CALC_MOTEUR!AG32)</f>
        <v>7224.012</v>
      </c>
      <c r="R32">
        <f>IF(D32="","",_CALC_MOTEUR!AH32)</f>
        <v>375588.868906338</v>
      </c>
      <c r="S32">
        <f t="shared" si="0"/>
        <v>-0.0339556619874202</v>
      </c>
    </row>
    <row r="33" ht="14.25" customHeight="1">
      <c r="A33" t="s">
        <v>147</v>
      </c>
      <c r="B33" t="s">
        <v>7</v>
      </c>
      <c r="C33" t="s">
        <v>148</v>
      </c>
      <c r="D33" t="s">
        <v>97</v>
      </c>
      <c r="E33" t="s">
        <v>49</v>
      </c>
      <c r="F33" t="s">
        <v>157</v>
      </c>
      <c r="G33" t="s">
        <v>153</v>
      </c>
      <c r="H33" t="s">
        <v>151</v>
      </c>
      <c r="I33" t="s">
        <v>189</v>
      </c>
      <c r="J33">
        <v>0</v>
      </c>
      <c r="K33">
        <v>46.235</v>
      </c>
      <c r="L33">
        <v>6742.4112</v>
      </c>
      <c r="M33">
        <v>311735.381832</v>
      </c>
      <c r="O33">
        <f>IF(D33="","",_CALC_MOTEUR!AE33)</f>
        <v>0</v>
      </c>
      <c r="P33">
        <f>IF(D33="","",_CALC_MOTEUR!AF33)</f>
        <v>46.234999988</v>
      </c>
      <c r="Q33">
        <f>IF(D33="","",_CALC_MOTEUR!AG33)</f>
        <v>6742.4112</v>
      </c>
      <c r="R33">
        <f>IF(D33="","",_CALC_MOTEUR!AH33)</f>
        <v>311735.381751091</v>
      </c>
      <c r="S33">
        <f t="shared" si="0"/>
        <v>-0.0000809089979156852</v>
      </c>
    </row>
    <row r="34" ht="14.25" customHeight="1">
      <c r="A34" t="s">
        <v>147</v>
      </c>
      <c r="B34" t="s">
        <v>7</v>
      </c>
      <c r="C34" t="s">
        <v>148</v>
      </c>
      <c r="D34" t="s">
        <v>97</v>
      </c>
      <c r="E34" t="s">
        <v>49</v>
      </c>
      <c r="F34" t="s">
        <v>157</v>
      </c>
      <c r="G34" t="s">
        <v>154</v>
      </c>
      <c r="H34" t="s">
        <v>151</v>
      </c>
      <c r="I34" t="s">
        <v>189</v>
      </c>
      <c r="J34">
        <v>0</v>
      </c>
      <c r="K34">
        <v>45.23</v>
      </c>
      <c r="L34">
        <v>6742.4112</v>
      </c>
      <c r="M34">
        <v>304959.258576</v>
      </c>
      <c r="O34">
        <f>IF(D34="","",_CALC_MOTEUR!AE34)</f>
        <v>0</v>
      </c>
      <c r="P34">
        <f>IF(D34="","",_CALC_MOTEUR!AF34)</f>
        <v>45.23000002</v>
      </c>
      <c r="Q34">
        <f>IF(D34="","",_CALC_MOTEUR!AG34)</f>
        <v>6742.4112</v>
      </c>
      <c r="R34">
        <f>IF(D34="","",_CALC_MOTEUR!AH34)</f>
        <v>304959.258710848</v>
      </c>
      <c r="S34">
        <f t="shared" si="0"/>
        <v>0.000134848000016063</v>
      </c>
    </row>
    <row r="35" ht="14.25" customHeight="1">
      <c r="A35" t="s">
        <v>147</v>
      </c>
      <c r="B35" t="s">
        <v>7</v>
      </c>
      <c r="C35" t="s">
        <v>148</v>
      </c>
      <c r="D35" t="s">
        <v>97</v>
      </c>
      <c r="E35" t="s">
        <v>49</v>
      </c>
      <c r="F35" t="s">
        <v>159</v>
      </c>
      <c r="G35" t="s">
        <v>160</v>
      </c>
      <c r="H35" t="s">
        <v>151</v>
      </c>
      <c r="I35" t="s">
        <v>189</v>
      </c>
      <c r="J35">
        <v>52.42939</v>
      </c>
      <c r="K35">
        <v>52.42939</v>
      </c>
      <c r="L35">
        <v>7224.012</v>
      </c>
      <c r="M35">
        <v>383469.187613</v>
      </c>
      <c r="O35">
        <f>IF(D35="","",_CALC_MOTEUR!AE35)</f>
        <v>52.4293842217561</v>
      </c>
      <c r="P35">
        <f>IF(D35="","",_CALC_MOTEUR!AF35)</f>
        <v>52.4293842217561</v>
      </c>
      <c r="Q35">
        <f>IF(D35="","",_CALC_MOTEUR!AG35)</f>
        <v>7224.012</v>
      </c>
      <c r="R35">
        <f>IF(D35="","",_CALC_MOTEUR!AH35)</f>
        <v>383469.145350535</v>
      </c>
      <c r="S35">
        <f t="shared" si="0"/>
        <v>-0.0422624649945647</v>
      </c>
    </row>
    <row r="36" ht="14.25" customHeight="1">
      <c r="A36" t="s">
        <v>147</v>
      </c>
      <c r="B36" t="s">
        <v>7</v>
      </c>
      <c r="C36" t="s">
        <v>148</v>
      </c>
      <c r="D36" t="s">
        <v>97</v>
      </c>
      <c r="E36" t="s">
        <v>49</v>
      </c>
      <c r="F36" t="s">
        <v>159</v>
      </c>
      <c r="G36" t="s">
        <v>161</v>
      </c>
      <c r="H36" t="s">
        <v>151</v>
      </c>
      <c r="I36" t="s">
        <v>189</v>
      </c>
      <c r="J36">
        <v>0</v>
      </c>
      <c r="K36">
        <v>46.235</v>
      </c>
      <c r="L36">
        <v>7224.012</v>
      </c>
      <c r="M36">
        <v>334002.19482</v>
      </c>
      <c r="O36">
        <f>IF(D36="","",_CALC_MOTEUR!AE36)</f>
        <v>0</v>
      </c>
      <c r="P36">
        <f>IF(D36="","",_CALC_MOTEUR!AF36)</f>
        <v>46.234999988</v>
      </c>
      <c r="Q36">
        <f>IF(D36="","",_CALC_MOTEUR!AG36)</f>
        <v>7224.012</v>
      </c>
      <c r="R36">
        <f>IF(D36="","",_CALC_MOTEUR!AH36)</f>
        <v>334002.194733312</v>
      </c>
      <c r="S36">
        <f t="shared" si="0"/>
        <v>-0.000086687970906496</v>
      </c>
    </row>
    <row r="37" ht="14.25" customHeight="1">
      <c r="A37" t="s">
        <v>147</v>
      </c>
      <c r="B37" t="s">
        <v>7</v>
      </c>
      <c r="C37" t="s">
        <v>148</v>
      </c>
      <c r="D37" t="s">
        <v>89</v>
      </c>
      <c r="E37" t="s">
        <v>190</v>
      </c>
      <c r="F37" t="s">
        <v>149</v>
      </c>
      <c r="G37" t="s">
        <v>150</v>
      </c>
      <c r="H37" t="s">
        <v>151</v>
      </c>
      <c r="I37" t="s">
        <v>189</v>
      </c>
      <c r="J37">
        <v>55.832531</v>
      </c>
      <c r="K37">
        <v>55.832531</v>
      </c>
      <c r="L37">
        <v>7019.285</v>
      </c>
      <c r="M37">
        <v>396929.37515</v>
      </c>
      <c r="O37">
        <f>IF(D37="","",_CALC_MOTEUR!AE37)</f>
        <v>55.8325154208285</v>
      </c>
      <c r="P37">
        <f>IF(D37="","",_CALC_MOTEUR!AF37)</f>
        <v>55.8325154208285</v>
      </c>
      <c r="Q37">
        <f>IF(D37="","",_CALC_MOTEUR!AG37)</f>
        <v>7019.285</v>
      </c>
      <c r="R37">
        <f>IF(D37="","",_CALC_MOTEUR!AH37)</f>
        <v>396929.264393565</v>
      </c>
      <c r="S37">
        <f t="shared" si="0"/>
        <v>-0.110756434965879</v>
      </c>
    </row>
    <row r="38" ht="14.25" customHeight="1">
      <c r="A38" t="s">
        <v>147</v>
      </c>
      <c r="B38" t="s">
        <v>7</v>
      </c>
      <c r="C38" t="s">
        <v>148</v>
      </c>
      <c r="D38" t="s">
        <v>89</v>
      </c>
      <c r="E38" t="s">
        <v>190</v>
      </c>
      <c r="F38" t="s">
        <v>149</v>
      </c>
      <c r="G38" t="s">
        <v>153</v>
      </c>
      <c r="H38" t="s">
        <v>151</v>
      </c>
      <c r="I38" t="s">
        <v>189</v>
      </c>
      <c r="J38">
        <v>0</v>
      </c>
      <c r="K38">
        <v>48.25</v>
      </c>
      <c r="L38">
        <v>7019.285</v>
      </c>
      <c r="M38">
        <v>338680.50125</v>
      </c>
      <c r="O38">
        <f>IF(D38="","",_CALC_MOTEUR!AE38)</f>
        <v>0</v>
      </c>
      <c r="P38">
        <f>IF(D38="","",_CALC_MOTEUR!AF38)</f>
        <v>48.25</v>
      </c>
      <c r="Q38">
        <f>IF(D38="","",_CALC_MOTEUR!AG38)</f>
        <v>7019.285</v>
      </c>
      <c r="R38">
        <f>IF(D38="","",_CALC_MOTEUR!AH38)</f>
        <v>338680.50125</v>
      </c>
      <c r="S38">
        <f t="shared" si="0"/>
        <v>0</v>
      </c>
    </row>
    <row r="39" ht="14.25" customHeight="1">
      <c r="A39" t="s">
        <v>147</v>
      </c>
      <c r="B39" t="s">
        <v>7</v>
      </c>
      <c r="C39" t="s">
        <v>148</v>
      </c>
      <c r="D39" t="s">
        <v>89</v>
      </c>
      <c r="E39" t="s">
        <v>190</v>
      </c>
      <c r="F39" t="s">
        <v>149</v>
      </c>
      <c r="G39" t="s">
        <v>154</v>
      </c>
      <c r="H39" t="s">
        <v>151</v>
      </c>
      <c r="I39" t="s">
        <v>189</v>
      </c>
      <c r="J39">
        <v>0</v>
      </c>
      <c r="K39">
        <v>47.24</v>
      </c>
      <c r="L39">
        <v>7019.285</v>
      </c>
      <c r="M39">
        <v>331591.0234</v>
      </c>
      <c r="O39">
        <f>IF(D39="","",_CALC_MOTEUR!AE39)</f>
        <v>0</v>
      </c>
      <c r="P39">
        <f>IF(D39="","",_CALC_MOTEUR!AF39)</f>
        <v>47.240000016</v>
      </c>
      <c r="Q39">
        <f>IF(D39="","",_CALC_MOTEUR!AG39)</f>
        <v>7019.285</v>
      </c>
      <c r="R39">
        <f>IF(D39="","",_CALC_MOTEUR!AH39)</f>
        <v>331591.023512309</v>
      </c>
      <c r="S39">
        <f t="shared" si="0"/>
        <v>0.000112309004180133</v>
      </c>
    </row>
    <row r="40" ht="14.25" customHeight="1">
      <c r="A40" t="s">
        <v>147</v>
      </c>
      <c r="B40" t="s">
        <v>7</v>
      </c>
      <c r="C40" t="s">
        <v>148</v>
      </c>
      <c r="D40" t="s">
        <v>91</v>
      </c>
      <c r="E40" t="s">
        <v>190</v>
      </c>
      <c r="F40" t="s">
        <v>149</v>
      </c>
      <c r="G40" t="s">
        <v>150</v>
      </c>
      <c r="H40" t="s">
        <v>151</v>
      </c>
      <c r="I40" t="s">
        <v>189</v>
      </c>
      <c r="J40">
        <v>44.726592</v>
      </c>
      <c r="K40">
        <v>44.726592</v>
      </c>
      <c r="L40">
        <v>6668.32075</v>
      </c>
      <c r="M40">
        <v>302276.65479</v>
      </c>
      <c r="O40">
        <f>IF(D40="","",_CALC_MOTEUR!AE40)</f>
        <v>44.726584383129</v>
      </c>
      <c r="P40">
        <f>IF(D40="","",_CALC_MOTEUR!AF40)</f>
        <v>44.726584383129</v>
      </c>
      <c r="Q40">
        <f>IF(D40="","",_CALC_MOTEUR!AG40)</f>
        <v>6668.32075</v>
      </c>
      <c r="R40">
        <f>IF(D40="","",_CALC_MOTEUR!AH40)</f>
        <v>302276.603313127</v>
      </c>
      <c r="S40">
        <f t="shared" si="0"/>
        <v>-0.0514768729917705</v>
      </c>
    </row>
    <row r="41" ht="14.25" customHeight="1">
      <c r="A41" t="s">
        <v>147</v>
      </c>
      <c r="B41" t="s">
        <v>7</v>
      </c>
      <c r="C41" t="s">
        <v>148</v>
      </c>
      <c r="D41" t="s">
        <v>91</v>
      </c>
      <c r="E41" t="s">
        <v>190</v>
      </c>
      <c r="F41" t="s">
        <v>149</v>
      </c>
      <c r="G41" t="s">
        <v>153</v>
      </c>
      <c r="H41" t="s">
        <v>151</v>
      </c>
      <c r="I41" t="s">
        <v>189</v>
      </c>
      <c r="J41">
        <v>0</v>
      </c>
      <c r="K41">
        <v>39.2</v>
      </c>
      <c r="L41">
        <v>6668.32075</v>
      </c>
      <c r="M41">
        <v>261398.1734</v>
      </c>
      <c r="O41">
        <f>IF(D41="","",_CALC_MOTEUR!AE41)</f>
        <v>0</v>
      </c>
      <c r="P41">
        <f>IF(D41="","",_CALC_MOTEUR!AF41)</f>
        <v>39.2</v>
      </c>
      <c r="Q41">
        <f>IF(D41="","",_CALC_MOTEUR!AG41)</f>
        <v>6668.32075</v>
      </c>
      <c r="R41">
        <f>IF(D41="","",_CALC_MOTEUR!AH41)</f>
        <v>261398.1734</v>
      </c>
      <c r="S41">
        <f t="shared" si="0"/>
        <v>0</v>
      </c>
    </row>
    <row r="42" ht="14.25" customHeight="1">
      <c r="A42" t="s">
        <v>147</v>
      </c>
      <c r="B42" t="s">
        <v>7</v>
      </c>
      <c r="C42" t="s">
        <v>148</v>
      </c>
      <c r="D42" t="s">
        <v>91</v>
      </c>
      <c r="E42" t="s">
        <v>190</v>
      </c>
      <c r="F42" t="s">
        <v>149</v>
      </c>
      <c r="G42" t="s">
        <v>154</v>
      </c>
      <c r="H42" t="s">
        <v>151</v>
      </c>
      <c r="I42" t="s">
        <v>189</v>
      </c>
      <c r="J42">
        <v>0</v>
      </c>
      <c r="K42">
        <v>38.195</v>
      </c>
      <c r="L42">
        <v>6668.32075</v>
      </c>
      <c r="M42">
        <v>254696.511046</v>
      </c>
      <c r="O42">
        <f>IF(D42="","",_CALC_MOTEUR!AE42)</f>
        <v>0</v>
      </c>
      <c r="P42">
        <f>IF(D42="","",_CALC_MOTEUR!AF42)</f>
        <v>38.194999986</v>
      </c>
      <c r="Q42">
        <f>IF(D42="","",_CALC_MOTEUR!AG42)</f>
        <v>6668.32075</v>
      </c>
      <c r="R42">
        <f>IF(D42="","",_CALC_MOTEUR!AH42)</f>
        <v>254696.510952893</v>
      </c>
      <c r="S42">
        <f t="shared" si="0"/>
        <v>-0.0000931069953367114</v>
      </c>
    </row>
    <row r="43" ht="14.25" customHeight="1">
      <c r="A43" t="s">
        <v>147</v>
      </c>
      <c r="B43" t="s">
        <v>7</v>
      </c>
      <c r="C43" t="s">
        <v>148</v>
      </c>
      <c r="D43" t="s">
        <v>86</v>
      </c>
      <c r="E43" t="s">
        <v>190</v>
      </c>
      <c r="F43" t="s">
        <v>149</v>
      </c>
      <c r="G43" t="s">
        <v>150</v>
      </c>
      <c r="H43" t="s">
        <v>151</v>
      </c>
      <c r="I43" t="s">
        <v>189</v>
      </c>
      <c r="J43">
        <v>44.737599</v>
      </c>
      <c r="K43">
        <v>44.737599</v>
      </c>
      <c r="L43">
        <v>6668.32075</v>
      </c>
      <c r="M43">
        <v>302351.043627</v>
      </c>
      <c r="O43">
        <f>IF(D43="","",_CALC_MOTEUR!AE43)</f>
        <v>44.7375993490518</v>
      </c>
      <c r="P43">
        <f>IF(D43="","",_CALC_MOTEUR!AF43)</f>
        <v>44.7375993490518</v>
      </c>
      <c r="Q43">
        <f>IF(D43="","",_CALC_MOTEUR!AG43)</f>
        <v>6668.32075</v>
      </c>
      <c r="R43">
        <f>IF(D43="","",_CALC_MOTEUR!AH43)</f>
        <v>302351.045985883</v>
      </c>
      <c r="S43">
        <f t="shared" si="0"/>
        <v>0.0023588829790242</v>
      </c>
    </row>
    <row r="44" ht="14.25" customHeight="1">
      <c r="A44" t="s">
        <v>147</v>
      </c>
      <c r="B44" t="s">
        <v>7</v>
      </c>
      <c r="C44" t="s">
        <v>148</v>
      </c>
      <c r="D44" t="s">
        <v>86</v>
      </c>
      <c r="E44" t="s">
        <v>190</v>
      </c>
      <c r="F44" t="s">
        <v>149</v>
      </c>
      <c r="G44" t="s">
        <v>153</v>
      </c>
      <c r="H44" t="s">
        <v>151</v>
      </c>
      <c r="I44" t="s">
        <v>189</v>
      </c>
      <c r="J44">
        <v>0</v>
      </c>
      <c r="K44">
        <v>39.2</v>
      </c>
      <c r="L44">
        <v>6668.32075</v>
      </c>
      <c r="M44">
        <v>261398.1734</v>
      </c>
      <c r="O44">
        <f>IF(D44="","",_CALC_MOTEUR!AE44)</f>
        <v>0</v>
      </c>
      <c r="P44">
        <f>IF(D44="","",_CALC_MOTEUR!AF44)</f>
        <v>39.2</v>
      </c>
      <c r="Q44">
        <f>IF(D44="","",_CALC_MOTEUR!AG44)</f>
        <v>6668.32075</v>
      </c>
      <c r="R44">
        <f>IF(D44="","",_CALC_MOTEUR!AH44)</f>
        <v>261398.1734</v>
      </c>
      <c r="S44">
        <f t="shared" si="0"/>
        <v>0</v>
      </c>
    </row>
    <row r="45" ht="14.25" customHeight="1">
      <c r="A45" t="s">
        <v>147</v>
      </c>
      <c r="B45" t="s">
        <v>7</v>
      </c>
      <c r="C45" t="s">
        <v>148</v>
      </c>
      <c r="D45" t="s">
        <v>86</v>
      </c>
      <c r="E45" t="s">
        <v>190</v>
      </c>
      <c r="F45" t="s">
        <v>149</v>
      </c>
      <c r="G45" t="s">
        <v>154</v>
      </c>
      <c r="H45" t="s">
        <v>151</v>
      </c>
      <c r="I45" t="s">
        <v>189</v>
      </c>
      <c r="J45">
        <v>0</v>
      </c>
      <c r="K45">
        <v>38.195</v>
      </c>
      <c r="L45">
        <v>6668.32075</v>
      </c>
      <c r="M45">
        <v>254696.511046</v>
      </c>
      <c r="O45">
        <f>IF(D45="","",_CALC_MOTEUR!AE45)</f>
        <v>0</v>
      </c>
      <c r="P45">
        <f>IF(D45="","",_CALC_MOTEUR!AF45)</f>
        <v>38.194999986</v>
      </c>
      <c r="Q45">
        <f>IF(D45="","",_CALC_MOTEUR!AG45)</f>
        <v>6668.32075</v>
      </c>
      <c r="R45">
        <f>IF(D45="","",_CALC_MOTEUR!AH45)</f>
        <v>254696.510952893</v>
      </c>
      <c r="S45">
        <f t="shared" si="0"/>
        <v>-0.0000931069953367114</v>
      </c>
    </row>
    <row r="46" ht="14.25" customHeight="1">
      <c r="A46" t="s">
        <v>147</v>
      </c>
      <c r="B46" t="s">
        <v>7</v>
      </c>
      <c r="C46" t="s">
        <v>148</v>
      </c>
      <c r="D46" t="s">
        <v>106</v>
      </c>
      <c r="E46" t="s">
        <v>191</v>
      </c>
      <c r="F46" t="s">
        <v>165</v>
      </c>
      <c r="G46" t="s">
        <v>166</v>
      </c>
      <c r="H46" t="s">
        <v>151</v>
      </c>
      <c r="I46" t="s">
        <v>189</v>
      </c>
      <c r="J46">
        <v>51.131266</v>
      </c>
      <c r="K46">
        <v>51.131266</v>
      </c>
      <c r="L46">
        <v>6316.443</v>
      </c>
      <c r="M46">
        <v>327569.541147</v>
      </c>
      <c r="O46">
        <f>IF(D46="","",_CALC_MOTEUR!AE46)</f>
        <v>51.1312549987036</v>
      </c>
      <c r="P46">
        <f>IF(D46="","",_CALC_MOTEUR!AF46)</f>
        <v>51.1312549987036</v>
      </c>
      <c r="Q46">
        <f>IF(D46="","",_CALC_MOTEUR!AG46)</f>
        <v>6316.443</v>
      </c>
      <c r="R46">
        <f>IF(D46="","",_CALC_MOTEUR!AH46)</f>
        <v>327569.47066766</v>
      </c>
      <c r="S46">
        <f t="shared" si="0"/>
        <v>-0.070479339978192</v>
      </c>
    </row>
    <row r="47" ht="14.25" customHeight="1">
      <c r="A47" t="s">
        <v>147</v>
      </c>
      <c r="B47" t="s">
        <v>7</v>
      </c>
      <c r="C47" t="s">
        <v>148</v>
      </c>
      <c r="D47" t="s">
        <v>106</v>
      </c>
      <c r="E47" t="s">
        <v>191</v>
      </c>
      <c r="F47" t="s">
        <v>165</v>
      </c>
      <c r="G47" t="s">
        <v>167</v>
      </c>
      <c r="H47" t="s">
        <v>151</v>
      </c>
      <c r="I47" t="s">
        <v>189</v>
      </c>
      <c r="J47">
        <v>0</v>
      </c>
      <c r="K47">
        <v>45.23</v>
      </c>
      <c r="L47">
        <v>6316.443</v>
      </c>
      <c r="M47">
        <v>285692.71689</v>
      </c>
      <c r="O47">
        <f>IF(D47="","",_CALC_MOTEUR!AE47)</f>
        <v>0</v>
      </c>
      <c r="P47">
        <f>IF(D47="","",_CALC_MOTEUR!AF47)</f>
        <v>45.23000002</v>
      </c>
      <c r="Q47">
        <f>IF(D47="","",_CALC_MOTEUR!AG47)</f>
        <v>6316.443</v>
      </c>
      <c r="R47">
        <f>IF(D47="","",_CALC_MOTEUR!AH47)</f>
        <v>285692.717016329</v>
      </c>
      <c r="S47">
        <f t="shared" si="0"/>
        <v>0.000126329017803073</v>
      </c>
    </row>
    <row r="48" ht="14.25" customHeight="1">
      <c r="A48" t="s">
        <v>147</v>
      </c>
      <c r="B48" t="s">
        <v>7</v>
      </c>
      <c r="C48" t="s">
        <v>148</v>
      </c>
      <c r="D48" t="s">
        <v>106</v>
      </c>
      <c r="E48" t="s">
        <v>191</v>
      </c>
      <c r="F48" t="s">
        <v>164</v>
      </c>
      <c r="G48" t="s">
        <v>150</v>
      </c>
      <c r="H48" t="s">
        <v>151</v>
      </c>
      <c r="I48" t="s">
        <v>189</v>
      </c>
      <c r="J48">
        <v>51.131266</v>
      </c>
      <c r="K48">
        <v>51.131266</v>
      </c>
      <c r="L48">
        <v>7369.1835</v>
      </c>
      <c r="M48">
        <v>381397.495681</v>
      </c>
      <c r="O48">
        <f>IF(D48="","",_CALC_MOTEUR!AE48)</f>
        <v>51.1312549987036</v>
      </c>
      <c r="P48">
        <f>IF(D48="","",_CALC_MOTEUR!AF48)</f>
        <v>51.1312549987036</v>
      </c>
      <c r="Q48">
        <f>IF(D48="","",_CALC_MOTEUR!AG48)</f>
        <v>7369.1835</v>
      </c>
      <c r="R48">
        <f>IF(D48="","",_CALC_MOTEUR!AH48)</f>
        <v>381397.413620622</v>
      </c>
      <c r="S48">
        <f t="shared" si="0"/>
        <v>-0.082060377986636</v>
      </c>
    </row>
    <row r="49" ht="14.25" customHeight="1">
      <c r="A49" t="s">
        <v>147</v>
      </c>
      <c r="B49" t="s">
        <v>7</v>
      </c>
      <c r="C49" t="s">
        <v>148</v>
      </c>
      <c r="D49" t="s">
        <v>105</v>
      </c>
      <c r="E49" t="s">
        <v>191</v>
      </c>
      <c r="F49" t="s">
        <v>165</v>
      </c>
      <c r="G49" t="s">
        <v>166</v>
      </c>
      <c r="H49" t="s">
        <v>151</v>
      </c>
      <c r="I49" t="s">
        <v>189</v>
      </c>
      <c r="J49">
        <v>40.09082</v>
      </c>
      <c r="K49">
        <v>40.09082</v>
      </c>
      <c r="L49">
        <v>5835.1902</v>
      </c>
      <c r="M49">
        <v>237545.733774</v>
      </c>
      <c r="O49">
        <f>IF(D49="","",_CALC_MOTEUR!AE49)</f>
        <v>40.090815018055</v>
      </c>
      <c r="P49">
        <f>IF(D49="","",_CALC_MOTEUR!AF49)</f>
        <v>40.090815018055</v>
      </c>
      <c r="Q49">
        <f>IF(D49="","",_CALC_MOTEUR!AG49)</f>
        <v>5835.1902</v>
      </c>
      <c r="R49">
        <f>IF(D49="","",_CALC_MOTEUR!AH49)</f>
        <v>237545.704254992</v>
      </c>
      <c r="S49">
        <f t="shared" si="0"/>
        <v>-0.0295190080069005</v>
      </c>
    </row>
    <row r="50" ht="14.25" customHeight="1">
      <c r="A50" t="s">
        <v>147</v>
      </c>
      <c r="B50" t="s">
        <v>7</v>
      </c>
      <c r="C50" t="s">
        <v>148</v>
      </c>
      <c r="D50" t="s">
        <v>105</v>
      </c>
      <c r="E50" t="s">
        <v>191</v>
      </c>
      <c r="F50" t="s">
        <v>165</v>
      </c>
      <c r="G50" t="s">
        <v>167</v>
      </c>
      <c r="H50" t="s">
        <v>151</v>
      </c>
      <c r="I50" t="s">
        <v>189</v>
      </c>
      <c r="J50">
        <v>0</v>
      </c>
      <c r="K50">
        <v>35.18</v>
      </c>
      <c r="L50">
        <v>5835.1902</v>
      </c>
      <c r="M50">
        <v>205281.991236</v>
      </c>
      <c r="O50">
        <f>IF(D50="","",_CALC_MOTEUR!AE50)</f>
        <v>0</v>
      </c>
      <c r="P50">
        <f>IF(D50="","",_CALC_MOTEUR!AF50)</f>
        <v>35.179999992</v>
      </c>
      <c r="Q50">
        <f>IF(D50="","",_CALC_MOTEUR!AG50)</f>
        <v>5835.1902</v>
      </c>
      <c r="R50">
        <f>IF(D50="","",_CALC_MOTEUR!AH50)</f>
        <v>205281.991189318</v>
      </c>
      <c r="S50">
        <f t="shared" si="0"/>
        <v>-0.0000466819910798222</v>
      </c>
    </row>
    <row r="51" ht="14.25" customHeight="1">
      <c r="A51" t="s">
        <v>147</v>
      </c>
      <c r="B51" t="s">
        <v>7</v>
      </c>
      <c r="C51" t="s">
        <v>148</v>
      </c>
      <c r="D51" t="s">
        <v>105</v>
      </c>
      <c r="E51" t="s">
        <v>191</v>
      </c>
      <c r="F51" t="s">
        <v>164</v>
      </c>
      <c r="G51" t="s">
        <v>150</v>
      </c>
      <c r="H51" t="s">
        <v>151</v>
      </c>
      <c r="I51" t="s">
        <v>189</v>
      </c>
      <c r="J51">
        <v>40.09082</v>
      </c>
      <c r="K51">
        <v>40.09082</v>
      </c>
      <c r="L51">
        <v>6807.7219</v>
      </c>
      <c r="M51">
        <v>276535.327103</v>
      </c>
      <c r="O51">
        <f>IF(D51="","",_CALC_MOTEUR!AE51)</f>
        <v>40.090815018055</v>
      </c>
      <c r="P51">
        <f>IF(D51="","",_CALC_MOTEUR!AF51)</f>
        <v>40.090815018055</v>
      </c>
      <c r="Q51">
        <f>IF(D51="","",_CALC_MOTEUR!AG51)</f>
        <v>6807.7219</v>
      </c>
      <c r="R51">
        <f>IF(D51="","",_CALC_MOTEUR!AH51)</f>
        <v>276535.292738887</v>
      </c>
      <c r="S51">
        <f t="shared" si="0"/>
        <v>-0.0343641130020842</v>
      </c>
    </row>
    <row r="52" ht="14.25" customHeight="1">
      <c r="A52" t="s">
        <v>147</v>
      </c>
      <c r="B52" t="s">
        <v>7</v>
      </c>
      <c r="C52" t="s">
        <v>148</v>
      </c>
      <c r="D52" t="s">
        <v>108</v>
      </c>
      <c r="E52" t="s">
        <v>192</v>
      </c>
      <c r="F52" t="s">
        <v>168</v>
      </c>
      <c r="G52" t="s">
        <v>150</v>
      </c>
      <c r="H52" t="s">
        <v>151</v>
      </c>
      <c r="I52" t="s">
        <v>189</v>
      </c>
      <c r="J52">
        <v>52.095305</v>
      </c>
      <c r="K52">
        <v>52.095305</v>
      </c>
      <c r="L52">
        <v>7863.8728</v>
      </c>
      <c r="M52">
        <v>414359.429447</v>
      </c>
      <c r="O52">
        <f>IF(D52="","",_CALC_MOTEUR!AE52)</f>
        <v>52.0953083484985</v>
      </c>
      <c r="P52">
        <f>IF(D52="","",_CALC_MOTEUR!AF52)</f>
        <v>52.0953083484985</v>
      </c>
      <c r="Q52">
        <f>IF(D52="","",_CALC_MOTEUR!AG52)</f>
        <v>7863.8728</v>
      </c>
      <c r="R52">
        <f>IF(D52="","",_CALC_MOTEUR!AH52)</f>
        <v>414359.456080735</v>
      </c>
      <c r="S52">
        <f t="shared" si="0"/>
        <v>0.0266337350476533</v>
      </c>
    </row>
    <row r="53" ht="14.25" customHeight="1">
      <c r="A53" t="s">
        <v>147</v>
      </c>
      <c r="B53" t="s">
        <v>7</v>
      </c>
      <c r="C53" t="s">
        <v>148</v>
      </c>
      <c r="D53" t="s">
        <v>108</v>
      </c>
      <c r="E53" t="s">
        <v>192</v>
      </c>
      <c r="F53" t="s">
        <v>168</v>
      </c>
      <c r="G53" t="s">
        <v>153</v>
      </c>
      <c r="H53" t="s">
        <v>151</v>
      </c>
      <c r="I53" t="s">
        <v>189</v>
      </c>
      <c r="J53">
        <v>0</v>
      </c>
      <c r="K53">
        <v>46.235</v>
      </c>
      <c r="L53">
        <v>7863.8728</v>
      </c>
      <c r="M53">
        <v>363586.158908</v>
      </c>
      <c r="O53">
        <f>IF(D53="","",_CALC_MOTEUR!AE53)</f>
        <v>0</v>
      </c>
      <c r="P53">
        <f>IF(D53="","",_CALC_MOTEUR!AF53)</f>
        <v>46.234999988</v>
      </c>
      <c r="Q53">
        <f>IF(D53="","",_CALC_MOTEUR!AG53)</f>
        <v>7863.8728</v>
      </c>
      <c r="R53">
        <f>IF(D53="","",_CALC_MOTEUR!AH53)</f>
        <v>363586.158813633</v>
      </c>
      <c r="S53">
        <f t="shared" si="0"/>
        <v>-0.0000943669583648443</v>
      </c>
    </row>
    <row r="54" ht="14.25" customHeight="1">
      <c r="A54" t="s">
        <v>147</v>
      </c>
      <c r="B54" t="s">
        <v>7</v>
      </c>
      <c r="C54" t="s">
        <v>148</v>
      </c>
      <c r="D54" t="s">
        <v>108</v>
      </c>
      <c r="E54" t="s">
        <v>192</v>
      </c>
      <c r="F54" t="s">
        <v>168</v>
      </c>
      <c r="G54" t="s">
        <v>154</v>
      </c>
      <c r="H54" t="s">
        <v>151</v>
      </c>
      <c r="I54" t="s">
        <v>189</v>
      </c>
      <c r="J54">
        <v>0</v>
      </c>
      <c r="K54">
        <v>45.23</v>
      </c>
      <c r="L54">
        <v>7863.8728</v>
      </c>
      <c r="M54">
        <v>355682.966744</v>
      </c>
      <c r="O54">
        <f>IF(D54="","",_CALC_MOTEUR!AE54)</f>
        <v>0</v>
      </c>
      <c r="P54">
        <f>IF(D54="","",_CALC_MOTEUR!AF54)</f>
        <v>45.23000002</v>
      </c>
      <c r="Q54">
        <f>IF(D54="","",_CALC_MOTEUR!AG54)</f>
        <v>7863.8728</v>
      </c>
      <c r="R54">
        <f>IF(D54="","",_CALC_MOTEUR!AH54)</f>
        <v>355682.966901277</v>
      </c>
      <c r="S54">
        <f t="shared" si="0"/>
        <v>0.000157277041580528</v>
      </c>
    </row>
    <row r="55" ht="14.25" customHeight="1">
      <c r="A55" t="s">
        <v>147</v>
      </c>
      <c r="B55" t="s">
        <v>7</v>
      </c>
      <c r="C55" t="s">
        <v>148</v>
      </c>
      <c r="D55" t="s">
        <v>107</v>
      </c>
      <c r="E55" t="s">
        <v>192</v>
      </c>
      <c r="F55" t="s">
        <v>168</v>
      </c>
      <c r="G55" t="s">
        <v>150</v>
      </c>
      <c r="H55" t="s">
        <v>151</v>
      </c>
      <c r="I55" t="s">
        <v>189</v>
      </c>
      <c r="J55">
        <v>44.464881</v>
      </c>
      <c r="K55">
        <v>44.464881</v>
      </c>
      <c r="L55">
        <v>7372.38075</v>
      </c>
      <c r="M55">
        <v>331813.872025</v>
      </c>
      <c r="O55">
        <f>IF(D55="","",_CALC_MOTEUR!AE55)</f>
        <v>44.464893381708</v>
      </c>
      <c r="P55">
        <f>IF(D55="","",_CALC_MOTEUR!AF55)</f>
        <v>44.464893381708</v>
      </c>
      <c r="Q55">
        <f>IF(D55="","",_CALC_MOTEUR!AG55)</f>
        <v>7372.38075</v>
      </c>
      <c r="R55">
        <f>IF(D55="","",_CALC_MOTEUR!AH55)</f>
        <v>331813.96442246</v>
      </c>
      <c r="S55">
        <f t="shared" si="0"/>
        <v>0.0923974600154907</v>
      </c>
    </row>
    <row r="56" ht="14.25" customHeight="1">
      <c r="A56" t="s">
        <v>147</v>
      </c>
      <c r="B56" t="s">
        <v>7</v>
      </c>
      <c r="C56" t="s">
        <v>148</v>
      </c>
      <c r="D56" t="s">
        <v>107</v>
      </c>
      <c r="E56" t="s">
        <v>192</v>
      </c>
      <c r="F56" t="s">
        <v>168</v>
      </c>
      <c r="G56" t="s">
        <v>153</v>
      </c>
      <c r="H56" t="s">
        <v>151</v>
      </c>
      <c r="I56" t="s">
        <v>189</v>
      </c>
      <c r="J56">
        <v>0</v>
      </c>
      <c r="K56">
        <v>39.2</v>
      </c>
      <c r="L56">
        <v>7372.38075</v>
      </c>
      <c r="M56">
        <v>288997.3254</v>
      </c>
      <c r="O56">
        <f>IF(D56="","",_CALC_MOTEUR!AE56)</f>
        <v>0</v>
      </c>
      <c r="P56">
        <f>IF(D56="","",_CALC_MOTEUR!AF56)</f>
        <v>39.2</v>
      </c>
      <c r="Q56">
        <f>IF(D56="","",_CALC_MOTEUR!AG56)</f>
        <v>7372.38075</v>
      </c>
      <c r="R56">
        <f>IF(D56="","",_CALC_MOTEUR!AH56)</f>
        <v>288997.3254</v>
      </c>
      <c r="S56">
        <f t="shared" si="0"/>
        <v>0</v>
      </c>
    </row>
    <row r="57" ht="14.25" customHeight="1">
      <c r="A57" t="s">
        <v>147</v>
      </c>
      <c r="B57" t="s">
        <v>7</v>
      </c>
      <c r="C57" t="s">
        <v>148</v>
      </c>
      <c r="D57" t="s">
        <v>107</v>
      </c>
      <c r="E57" t="s">
        <v>192</v>
      </c>
      <c r="F57" t="s">
        <v>168</v>
      </c>
      <c r="G57" t="s">
        <v>154</v>
      </c>
      <c r="H57" t="s">
        <v>151</v>
      </c>
      <c r="I57" t="s">
        <v>189</v>
      </c>
      <c r="J57">
        <v>0</v>
      </c>
      <c r="K57">
        <v>38.195</v>
      </c>
      <c r="L57">
        <v>7372.38075</v>
      </c>
      <c r="M57">
        <v>281588.082746</v>
      </c>
      <c r="O57">
        <f>IF(D57="","",_CALC_MOTEUR!AE57)</f>
        <v>0</v>
      </c>
      <c r="P57">
        <f>IF(D57="","",_CALC_MOTEUR!AF57)</f>
        <v>38.194999986</v>
      </c>
      <c r="Q57">
        <f>IF(D57="","",_CALC_MOTEUR!AG57)</f>
        <v>7372.38075</v>
      </c>
      <c r="R57">
        <f>IF(D57="","",_CALC_MOTEUR!AH57)</f>
        <v>281588.082643037</v>
      </c>
      <c r="S57">
        <f t="shared" si="0"/>
        <v>-0.000102962949313223</v>
      </c>
    </row>
    <row r="58" ht="14.25" customHeight="1">
      <c r="A58" t="s">
        <v>147</v>
      </c>
      <c r="B58" t="s">
        <v>7</v>
      </c>
      <c r="C58" t="s">
        <v>148</v>
      </c>
      <c r="D58" t="s">
        <v>105</v>
      </c>
      <c r="E58" t="s">
        <v>191</v>
      </c>
      <c r="F58" t="s">
        <v>164</v>
      </c>
      <c r="G58" t="s">
        <v>153</v>
      </c>
      <c r="H58" t="s">
        <v>151</v>
      </c>
      <c r="I58" t="s">
        <v>189</v>
      </c>
      <c r="J58">
        <v>0</v>
      </c>
      <c r="K58">
        <v>35.18</v>
      </c>
      <c r="L58">
        <v>6807.7219</v>
      </c>
      <c r="M58">
        <v>239495.656442</v>
      </c>
      <c r="O58">
        <f>IF(D58="","",_CALC_MOTEUR!AE58)</f>
        <v>0</v>
      </c>
      <c r="P58">
        <f>IF(D58="","",_CALC_MOTEUR!AF58)</f>
        <v>35.179999992</v>
      </c>
      <c r="Q58">
        <f>IF(D58="","",_CALC_MOTEUR!AG58)</f>
        <v>6807.7219</v>
      </c>
      <c r="R58">
        <f>IF(D58="","",_CALC_MOTEUR!AH58)</f>
        <v>239495.656387538</v>
      </c>
      <c r="S58">
        <f t="shared" si="0"/>
        <v>-0.0000544619979336858</v>
      </c>
    </row>
    <row r="59" ht="14.25" customHeight="1">
      <c r="A59" t="s">
        <v>147</v>
      </c>
      <c r="B59" t="s">
        <v>7</v>
      </c>
      <c r="C59" t="s">
        <v>148</v>
      </c>
      <c r="D59" t="s">
        <v>106</v>
      </c>
      <c r="E59" t="s">
        <v>191</v>
      </c>
      <c r="F59" t="s">
        <v>164</v>
      </c>
      <c r="G59" t="s">
        <v>153</v>
      </c>
      <c r="H59" t="s">
        <v>151</v>
      </c>
      <c r="I59" t="s">
        <v>189</v>
      </c>
      <c r="J59">
        <v>0</v>
      </c>
      <c r="K59">
        <v>45.23</v>
      </c>
      <c r="L59">
        <v>7369.1835</v>
      </c>
      <c r="M59">
        <v>333308.169705</v>
      </c>
      <c r="O59">
        <f>IF(D59="","",_CALC_MOTEUR!AE59)</f>
        <v>0</v>
      </c>
      <c r="P59">
        <f>IF(D59="","",_CALC_MOTEUR!AF59)</f>
        <v>45.23000002</v>
      </c>
      <c r="Q59">
        <f>IF(D59="","",_CALC_MOTEUR!AG59)</f>
        <v>7369.1835</v>
      </c>
      <c r="R59">
        <f>IF(D59="","",_CALC_MOTEUR!AH59)</f>
        <v>333308.169852384</v>
      </c>
      <c r="S59">
        <f t="shared" si="0"/>
        <v>0.000147384009324014</v>
      </c>
    </row>
    <row r="60" ht="14.25" customHeight="1">
      <c r="A60" t="s">
        <v>147</v>
      </c>
      <c r="B60" t="s">
        <v>7</v>
      </c>
      <c r="C60" t="s">
        <v>148</v>
      </c>
      <c r="D60" t="s">
        <v>105</v>
      </c>
      <c r="E60" t="s">
        <v>191</v>
      </c>
      <c r="F60" t="s">
        <v>164</v>
      </c>
      <c r="G60" t="s">
        <v>154</v>
      </c>
      <c r="H60" t="s">
        <v>151</v>
      </c>
      <c r="I60" t="s">
        <v>189</v>
      </c>
      <c r="J60">
        <v>0</v>
      </c>
      <c r="K60">
        <v>34.175</v>
      </c>
      <c r="L60">
        <v>6807.7219</v>
      </c>
      <c r="M60">
        <v>232653.895933</v>
      </c>
      <c r="O60">
        <f>IF(D60="","",_CALC_MOTEUR!AE60)</f>
        <v>0</v>
      </c>
      <c r="P60">
        <f>IF(D60="","",_CALC_MOTEUR!AF60)</f>
        <v>34.174999985</v>
      </c>
      <c r="Q60">
        <f>IF(D60="","",_CALC_MOTEUR!AG60)</f>
        <v>6807.7219</v>
      </c>
      <c r="R60">
        <f>IF(D60="","",_CALC_MOTEUR!AH60)</f>
        <v>232653.895830384</v>
      </c>
      <c r="S60">
        <f t="shared" si="0"/>
        <v>-0.000102616002550349</v>
      </c>
    </row>
    <row r="61" ht="14.25" customHeight="1">
      <c r="A61" t="s">
        <v>147</v>
      </c>
      <c r="B61" t="s">
        <v>7</v>
      </c>
      <c r="C61" t="s">
        <v>148</v>
      </c>
      <c r="D61" t="s">
        <v>106</v>
      </c>
      <c r="E61" t="s">
        <v>191</v>
      </c>
      <c r="F61" t="s">
        <v>164</v>
      </c>
      <c r="G61" t="s">
        <v>154</v>
      </c>
      <c r="H61" t="s">
        <v>151</v>
      </c>
      <c r="I61" t="s">
        <v>189</v>
      </c>
      <c r="J61">
        <v>0</v>
      </c>
      <c r="K61">
        <v>44.225</v>
      </c>
      <c r="L61">
        <v>7369.1835</v>
      </c>
      <c r="M61">
        <v>325902.140288</v>
      </c>
      <c r="O61">
        <f>IF(D61="","",_CALC_MOTEUR!AE61)</f>
        <v>0</v>
      </c>
      <c r="P61">
        <f>IF(D61="","",_CALC_MOTEUR!AF61)</f>
        <v>44.22500001</v>
      </c>
      <c r="Q61">
        <f>IF(D61="","",_CALC_MOTEUR!AG61)</f>
        <v>7369.1835</v>
      </c>
      <c r="R61">
        <f>IF(D61="","",_CALC_MOTEUR!AH61)</f>
        <v>325902.140361192</v>
      </c>
      <c r="S61">
        <f t="shared" si="0"/>
        <v>0.0000731920008547604</v>
      </c>
    </row>
    <row r="62" ht="14.25" customHeight="1">
      <c r="A62" t="s">
        <v>147</v>
      </c>
      <c r="B62" t="s">
        <v>193</v>
      </c>
      <c r="C62" t="s">
        <v>148</v>
      </c>
      <c r="D62" t="s">
        <v>104</v>
      </c>
      <c r="E62" t="s">
        <v>188</v>
      </c>
      <c r="F62" t="s">
        <v>162</v>
      </c>
      <c r="G62" t="s">
        <v>150</v>
      </c>
      <c r="H62" t="s">
        <v>158</v>
      </c>
      <c r="I62" t="s">
        <v>189</v>
      </c>
      <c r="J62">
        <v>95.228055</v>
      </c>
      <c r="K62">
        <v>95.228055</v>
      </c>
      <c r="L62">
        <v>8752.8</v>
      </c>
      <c r="M62">
        <v>842082.644754</v>
      </c>
      <c r="O62">
        <f>IF(D62="","",_CALC_MOTEUR!AE62)</f>
        <v>95.2280675152595</v>
      </c>
      <c r="P62">
        <f>IF(D62="","",_CALC_MOTEUR!AF62)</f>
        <v>95.2280675152595</v>
      </c>
      <c r="Q62">
        <f>IF(D62="","",_CALC_MOTEUR!AG62)</f>
        <v>8752.8</v>
      </c>
      <c r="R62">
        <f>IF(D62="","",_CALC_MOTEUR!AH62)</f>
        <v>842082.755423937</v>
      </c>
      <c r="S62">
        <f t="shared" si="0"/>
        <v>0.110669936984777</v>
      </c>
    </row>
    <row r="63" ht="14.25" customHeight="1">
      <c r="A63" t="s">
        <v>147</v>
      </c>
      <c r="B63" t="s">
        <v>193</v>
      </c>
      <c r="C63" t="s">
        <v>148</v>
      </c>
      <c r="D63" t="s">
        <v>104</v>
      </c>
      <c r="E63" t="s">
        <v>188</v>
      </c>
      <c r="F63" t="s">
        <v>162</v>
      </c>
      <c r="G63" t="s">
        <v>153</v>
      </c>
      <c r="H63" t="s">
        <v>151</v>
      </c>
      <c r="I63" t="s">
        <v>189</v>
      </c>
      <c r="J63">
        <v>0</v>
      </c>
      <c r="K63">
        <v>77.17</v>
      </c>
      <c r="L63">
        <v>8169.28</v>
      </c>
      <c r="M63">
        <v>630423.3376</v>
      </c>
      <c r="O63">
        <f>IF(D63="","",_CALC_MOTEUR!AE63)</f>
        <v>0</v>
      </c>
      <c r="P63">
        <f>IF(D63="","",_CALC_MOTEUR!AF63)</f>
        <v>77.169999972</v>
      </c>
      <c r="Q63">
        <f>IF(D63="","",_CALC_MOTEUR!AG63)</f>
        <v>8169.28</v>
      </c>
      <c r="R63">
        <f>IF(D63="","",_CALC_MOTEUR!AH63)</f>
        <v>630423.33737126</v>
      </c>
      <c r="S63">
        <f t="shared" si="0"/>
        <v>-0.000228739925660193</v>
      </c>
    </row>
    <row r="64" ht="14.25" customHeight="1">
      <c r="A64" t="s">
        <v>147</v>
      </c>
      <c r="B64" t="s">
        <v>193</v>
      </c>
      <c r="C64" t="s">
        <v>148</v>
      </c>
      <c r="D64" t="s">
        <v>104</v>
      </c>
      <c r="E64" t="s">
        <v>188</v>
      </c>
      <c r="F64" t="s">
        <v>162</v>
      </c>
      <c r="G64" t="s">
        <v>154</v>
      </c>
      <c r="H64" t="s">
        <v>151</v>
      </c>
      <c r="I64" t="s">
        <v>189</v>
      </c>
      <c r="J64">
        <v>0</v>
      </c>
      <c r="K64">
        <v>75.14</v>
      </c>
      <c r="L64">
        <v>8169.28</v>
      </c>
      <c r="M64">
        <v>613839.6992</v>
      </c>
      <c r="O64">
        <f>IF(D64="","",_CALC_MOTEUR!AE64)</f>
        <v>0</v>
      </c>
      <c r="P64">
        <f>IF(D64="","",_CALC_MOTEUR!AF64)</f>
        <v>75.140000036</v>
      </c>
      <c r="Q64">
        <f>IF(D64="","",_CALC_MOTEUR!AG64)</f>
        <v>8169.28</v>
      </c>
      <c r="R64">
        <f>IF(D64="","",_CALC_MOTEUR!AH64)</f>
        <v>613839.699494094</v>
      </c>
      <c r="S64">
        <f t="shared" si="0"/>
        <v>0.00029409397393465</v>
      </c>
    </row>
    <row r="65" ht="14.25" customHeight="1">
      <c r="A65" t="s">
        <v>147</v>
      </c>
      <c r="B65" t="s">
        <v>193</v>
      </c>
      <c r="C65" t="s">
        <v>148</v>
      </c>
      <c r="D65" t="s">
        <v>104</v>
      </c>
      <c r="E65" t="s">
        <v>188</v>
      </c>
      <c r="F65" t="s">
        <v>163</v>
      </c>
      <c r="G65" t="s">
        <v>160</v>
      </c>
      <c r="H65" t="s">
        <v>151</v>
      </c>
      <c r="I65" t="s">
        <v>189</v>
      </c>
      <c r="J65">
        <v>100.625128</v>
      </c>
      <c r="K65">
        <v>100.625128</v>
      </c>
      <c r="L65">
        <v>8752.8</v>
      </c>
      <c r="M65">
        <v>889807.881878</v>
      </c>
      <c r="O65">
        <f>IF(D65="","",_CALC_MOTEUR!AE65)</f>
        <v>100.625141000565</v>
      </c>
      <c r="P65">
        <f>IF(D65="","",_CALC_MOTEUR!AF65)</f>
        <v>100.625141000565</v>
      </c>
      <c r="Q65">
        <f>IF(D65="","",_CALC_MOTEUR!AG65)</f>
        <v>8752.8</v>
      </c>
      <c r="R65">
        <f>IF(D65="","",_CALC_MOTEUR!AH65)</f>
        <v>889807.996839796</v>
      </c>
      <c r="S65">
        <f t="shared" si="0"/>
        <v>0.114961795974523</v>
      </c>
    </row>
    <row r="66" ht="14.25" customHeight="1">
      <c r="A66" t="s">
        <v>147</v>
      </c>
      <c r="B66" t="s">
        <v>193</v>
      </c>
      <c r="C66" t="s">
        <v>148</v>
      </c>
      <c r="D66" t="s">
        <v>104</v>
      </c>
      <c r="E66" t="s">
        <v>188</v>
      </c>
      <c r="F66" t="s">
        <v>163</v>
      </c>
      <c r="G66" t="s">
        <v>161</v>
      </c>
      <c r="H66" t="s">
        <v>151</v>
      </c>
      <c r="I66" t="s">
        <v>189</v>
      </c>
      <c r="J66">
        <v>0</v>
      </c>
      <c r="K66">
        <v>77.17</v>
      </c>
      <c r="L66">
        <v>8752.8</v>
      </c>
      <c r="M66">
        <v>675453.576</v>
      </c>
      <c r="O66">
        <f>IF(D66="","",_CALC_MOTEUR!AE66)</f>
        <v>0</v>
      </c>
      <c r="P66">
        <f>IF(D66="","",_CALC_MOTEUR!AF66)</f>
        <v>77.169999972</v>
      </c>
      <c r="Q66">
        <f>IF(D66="","",_CALC_MOTEUR!AG66)</f>
        <v>8752.8</v>
      </c>
      <c r="R66">
        <f>IF(D66="","",_CALC_MOTEUR!AH66)</f>
        <v>675453.575754922</v>
      </c>
      <c r="S66">
        <f t="shared" si="0"/>
        <v>-0.00024507800117135</v>
      </c>
    </row>
    <row r="67" ht="14.25" customHeight="1">
      <c r="A67" t="s">
        <v>147</v>
      </c>
      <c r="B67" t="s">
        <v>193</v>
      </c>
      <c r="C67" t="s">
        <v>148</v>
      </c>
      <c r="D67" t="s">
        <v>101</v>
      </c>
      <c r="E67" t="s">
        <v>188</v>
      </c>
      <c r="F67" t="s">
        <v>162</v>
      </c>
      <c r="G67" t="s">
        <v>150</v>
      </c>
      <c r="H67" t="s">
        <v>158</v>
      </c>
      <c r="I67" t="s">
        <v>189</v>
      </c>
      <c r="J67">
        <v>80.804742</v>
      </c>
      <c r="K67">
        <v>80.804742</v>
      </c>
      <c r="L67">
        <v>8205.75</v>
      </c>
      <c r="M67">
        <v>670335.938447</v>
      </c>
      <c r="O67">
        <f>IF(D67="","",_CALC_MOTEUR!AE67)</f>
        <v>80.8047451685359</v>
      </c>
      <c r="P67">
        <f>IF(D67="","",_CALC_MOTEUR!AF67)</f>
        <v>80.8047451685359</v>
      </c>
      <c r="Q67">
        <f>IF(D67="","",_CALC_MOTEUR!AG67)</f>
        <v>8205.75</v>
      </c>
      <c r="R67">
        <f>IF(D67="","",_CALC_MOTEUR!AH67)</f>
        <v>670335.964731882</v>
      </c>
      <c r="S67">
        <f t="shared" si="0"/>
        <v>0.0262848819838837</v>
      </c>
    </row>
    <row r="68" ht="14.25" customHeight="1">
      <c r="A68" t="s">
        <v>147</v>
      </c>
      <c r="B68" t="s">
        <v>193</v>
      </c>
      <c r="C68" t="s">
        <v>148</v>
      </c>
      <c r="D68" t="s">
        <v>101</v>
      </c>
      <c r="E68" t="s">
        <v>188</v>
      </c>
      <c r="F68" t="s">
        <v>162</v>
      </c>
      <c r="G68" t="s">
        <v>153</v>
      </c>
      <c r="H68" t="s">
        <v>151</v>
      </c>
      <c r="I68" t="s">
        <v>189</v>
      </c>
      <c r="J68">
        <v>0</v>
      </c>
      <c r="K68">
        <v>64.99</v>
      </c>
      <c r="L68">
        <v>7658.7</v>
      </c>
      <c r="M68">
        <v>497738.913</v>
      </c>
      <c r="O68">
        <f>IF(D68="","",_CALC_MOTEUR!AE68)</f>
        <v>0</v>
      </c>
      <c r="P68">
        <f>IF(D68="","",_CALC_MOTEUR!AF68)</f>
        <v>64.99000002</v>
      </c>
      <c r="Q68">
        <f>IF(D68="","",_CALC_MOTEUR!AG68)</f>
        <v>7658.7</v>
      </c>
      <c r="R68">
        <f>IF(D68="","",_CALC_MOTEUR!AH68)</f>
        <v>497738.913153174</v>
      </c>
      <c r="S68">
        <f t="shared" si="0"/>
        <v>0.000153173983562738</v>
      </c>
    </row>
    <row r="69" ht="14.25" customHeight="1">
      <c r="A69" t="s">
        <v>147</v>
      </c>
      <c r="B69" t="s">
        <v>193</v>
      </c>
      <c r="C69" t="s">
        <v>148</v>
      </c>
      <c r="D69" t="s">
        <v>101</v>
      </c>
      <c r="E69" t="s">
        <v>188</v>
      </c>
      <c r="F69" t="s">
        <v>162</v>
      </c>
      <c r="G69" t="s">
        <v>154</v>
      </c>
      <c r="H69" t="s">
        <v>151</v>
      </c>
      <c r="I69" t="s">
        <v>189</v>
      </c>
      <c r="J69">
        <v>0</v>
      </c>
      <c r="K69">
        <v>63.96</v>
      </c>
      <c r="L69">
        <v>7658.7</v>
      </c>
      <c r="M69">
        <v>489850.452</v>
      </c>
      <c r="O69">
        <f>IF(D69="","",_CALC_MOTEUR!AE69)</f>
        <v>0</v>
      </c>
      <c r="P69">
        <f>IF(D69="","",_CALC_MOTEUR!AF69)</f>
        <v>63.96</v>
      </c>
      <c r="Q69">
        <f>IF(D69="","",_CALC_MOTEUR!AG69)</f>
        <v>7658.7</v>
      </c>
      <c r="R69">
        <f>IF(D69="","",_CALC_MOTEUR!AH69)</f>
        <v>489850.452</v>
      </c>
      <c r="S69">
        <f t="shared" si="0"/>
        <v>0</v>
      </c>
    </row>
    <row r="70" ht="14.25" customHeight="1">
      <c r="A70" t="s">
        <v>147</v>
      </c>
      <c r="B70" t="s">
        <v>193</v>
      </c>
      <c r="C70" t="s">
        <v>148</v>
      </c>
      <c r="D70" t="s">
        <v>101</v>
      </c>
      <c r="E70" t="s">
        <v>188</v>
      </c>
      <c r="F70" t="s">
        <v>163</v>
      </c>
      <c r="G70" t="s">
        <v>160</v>
      </c>
      <c r="H70" t="s">
        <v>151</v>
      </c>
      <c r="I70" t="s">
        <v>189</v>
      </c>
      <c r="J70">
        <v>85.373633</v>
      </c>
      <c r="K70">
        <v>85.373633</v>
      </c>
      <c r="L70">
        <v>8205.75</v>
      </c>
      <c r="M70">
        <v>708238.31596</v>
      </c>
      <c r="O70">
        <f>IF(D70="","",_CALC_MOTEUR!AE70)</f>
        <v>85.3736365688042</v>
      </c>
      <c r="P70">
        <f>IF(D70="","",_CALC_MOTEUR!AF70)</f>
        <v>85.3736365688042</v>
      </c>
      <c r="Q70">
        <f>IF(D70="","",_CALC_MOTEUR!AG70)</f>
        <v>8205.75</v>
      </c>
      <c r="R70">
        <f>IF(D70="","",_CALC_MOTEUR!AH70)</f>
        <v>708238.345565657</v>
      </c>
      <c r="S70">
        <f t="shared" si="0"/>
        <v>0.0296056569786742</v>
      </c>
    </row>
    <row r="71" ht="14.25" customHeight="1">
      <c r="A71" t="s">
        <v>147</v>
      </c>
      <c r="B71" t="s">
        <v>193</v>
      </c>
      <c r="C71" t="s">
        <v>148</v>
      </c>
      <c r="D71" t="s">
        <v>101</v>
      </c>
      <c r="E71" t="s">
        <v>188</v>
      </c>
      <c r="F71" t="s">
        <v>163</v>
      </c>
      <c r="G71" t="s">
        <v>161</v>
      </c>
      <c r="H71" t="s">
        <v>151</v>
      </c>
      <c r="I71" t="s">
        <v>189</v>
      </c>
      <c r="J71">
        <v>0</v>
      </c>
      <c r="K71">
        <v>65.99</v>
      </c>
      <c r="L71">
        <v>8205.75</v>
      </c>
      <c r="M71">
        <v>541497.4425</v>
      </c>
      <c r="O71">
        <f>IF(D71="","",_CALC_MOTEUR!AE71)</f>
        <v>0</v>
      </c>
      <c r="P71">
        <f>IF(D71="","",_CALC_MOTEUR!AF71)</f>
        <v>65.99000001</v>
      </c>
      <c r="Q71">
        <f>IF(D71="","",_CALC_MOTEUR!AG71)</f>
        <v>8205.75</v>
      </c>
      <c r="R71">
        <f>IF(D71="","",_CALC_MOTEUR!AH71)</f>
        <v>541497.442582058</v>
      </c>
      <c r="S71">
        <f t="shared" si="0"/>
        <v>0.000082058017142117</v>
      </c>
    </row>
    <row r="72" ht="14.25" customHeight="1">
      <c r="A72" t="s">
        <v>147</v>
      </c>
      <c r="B72" t="s">
        <v>193</v>
      </c>
      <c r="C72" t="s">
        <v>148</v>
      </c>
      <c r="D72" t="s">
        <v>103</v>
      </c>
      <c r="E72" t="s">
        <v>188</v>
      </c>
      <c r="F72" t="s">
        <v>162</v>
      </c>
      <c r="G72" t="s">
        <v>150</v>
      </c>
      <c r="H72" t="s">
        <v>158</v>
      </c>
      <c r="I72" t="s">
        <v>189</v>
      </c>
      <c r="J72">
        <v>73.560697</v>
      </c>
      <c r="K72">
        <v>73.560697</v>
      </c>
      <c r="L72">
        <v>7815</v>
      </c>
      <c r="M72">
        <v>581497.309785</v>
      </c>
      <c r="O72">
        <f>IF(D72="","",_CALC_MOTEUR!AE72)</f>
        <v>73.5607054946616</v>
      </c>
      <c r="P72">
        <f>IF(D72="","",_CALC_MOTEUR!AF72)</f>
        <v>73.5607054946616</v>
      </c>
      <c r="Q72">
        <f>IF(D72="","",_CALC_MOTEUR!AG72)</f>
        <v>7815</v>
      </c>
      <c r="R72">
        <f>IF(D72="","",_CALC_MOTEUR!AH72)</f>
        <v>581497.3769353</v>
      </c>
      <c r="S72">
        <f t="shared" si="0"/>
        <v>0.0671502999030054</v>
      </c>
    </row>
    <row r="73" ht="14.25" customHeight="1">
      <c r="A73" t="s">
        <v>147</v>
      </c>
      <c r="B73" t="s">
        <v>193</v>
      </c>
      <c r="C73" t="s">
        <v>148</v>
      </c>
      <c r="D73" t="s">
        <v>103</v>
      </c>
      <c r="E73" t="s">
        <v>188</v>
      </c>
      <c r="F73" t="s">
        <v>162</v>
      </c>
      <c r="G73" t="s">
        <v>153</v>
      </c>
      <c r="H73" t="s">
        <v>151</v>
      </c>
      <c r="I73" t="s">
        <v>189</v>
      </c>
      <c r="J73">
        <v>0</v>
      </c>
      <c r="K73">
        <v>58.9</v>
      </c>
      <c r="L73">
        <v>7294</v>
      </c>
      <c r="M73">
        <v>429616.6</v>
      </c>
      <c r="O73">
        <f>IF(D73="","",_CALC_MOTEUR!AE73)</f>
        <v>0</v>
      </c>
      <c r="P73">
        <f>IF(D73="","",_CALC_MOTEUR!AF73)</f>
        <v>58.90000002</v>
      </c>
      <c r="Q73">
        <f>IF(D73="","",_CALC_MOTEUR!AG73)</f>
        <v>7294</v>
      </c>
      <c r="R73">
        <f>IF(D73="","",_CALC_MOTEUR!AH73)</f>
        <v>429616.60014588</v>
      </c>
      <c r="S73">
        <f t="shared" si="0"/>
        <v>0.000145880039781332</v>
      </c>
    </row>
    <row r="74" ht="14.25" customHeight="1">
      <c r="A74" t="s">
        <v>147</v>
      </c>
      <c r="B74" t="s">
        <v>193</v>
      </c>
      <c r="C74" t="s">
        <v>148</v>
      </c>
      <c r="D74" t="s">
        <v>103</v>
      </c>
      <c r="E74" t="s">
        <v>188</v>
      </c>
      <c r="F74" t="s">
        <v>162</v>
      </c>
      <c r="G74" t="s">
        <v>154</v>
      </c>
      <c r="H74" t="s">
        <v>151</v>
      </c>
      <c r="I74" t="s">
        <v>189</v>
      </c>
      <c r="J74">
        <v>0</v>
      </c>
      <c r="K74">
        <v>57.87</v>
      </c>
      <c r="L74">
        <v>7294</v>
      </c>
      <c r="M74">
        <v>422103.78</v>
      </c>
      <c r="O74">
        <f>IF(D74="","",_CALC_MOTEUR!AE74)</f>
        <v>0</v>
      </c>
      <c r="P74">
        <f>IF(D74="","",_CALC_MOTEUR!AF74)</f>
        <v>57.870000018</v>
      </c>
      <c r="Q74">
        <f>IF(D74="","",_CALC_MOTEUR!AG74)</f>
        <v>7294</v>
      </c>
      <c r="R74">
        <f>IF(D74="","",_CALC_MOTEUR!AH74)</f>
        <v>422103.780131292</v>
      </c>
      <c r="S74">
        <f t="shared" si="0"/>
        <v>0.000131291977595538</v>
      </c>
    </row>
    <row r="75" ht="14.25" customHeight="1">
      <c r="A75" t="s">
        <v>147</v>
      </c>
      <c r="B75" t="s">
        <v>193</v>
      </c>
      <c r="C75" t="s">
        <v>148</v>
      </c>
      <c r="D75" t="s">
        <v>103</v>
      </c>
      <c r="E75" t="s">
        <v>188</v>
      </c>
      <c r="F75" t="s">
        <v>163</v>
      </c>
      <c r="G75" t="s">
        <v>160</v>
      </c>
      <c r="H75" t="s">
        <v>151</v>
      </c>
      <c r="I75" t="s">
        <v>189</v>
      </c>
      <c r="J75">
        <v>77.728923</v>
      </c>
      <c r="K75">
        <v>77.728923</v>
      </c>
      <c r="L75">
        <v>7815</v>
      </c>
      <c r="M75">
        <v>614447.136315</v>
      </c>
      <c r="O75">
        <f>IF(D75="","",_CALC_MOTEUR!AE75)</f>
        <v>77.7289321722515</v>
      </c>
      <c r="P75">
        <f>IF(D75="","",_CALC_MOTEUR!AF75)</f>
        <v>77.7289321722515</v>
      </c>
      <c r="Q75">
        <f>IF(D75="","",_CALC_MOTEUR!AG75)</f>
        <v>7815</v>
      </c>
      <c r="R75">
        <f>IF(D75="","",_CALC_MOTEUR!AH75)</f>
        <v>614447.208821648</v>
      </c>
      <c r="S75">
        <f t="shared" si="0"/>
        <v>0.0725066480226815</v>
      </c>
    </row>
    <row r="76" ht="14.25" customHeight="1">
      <c r="A76" t="s">
        <v>147</v>
      </c>
      <c r="B76" t="s">
        <v>193</v>
      </c>
      <c r="C76" t="s">
        <v>148</v>
      </c>
      <c r="D76" t="s">
        <v>103</v>
      </c>
      <c r="E76" t="s">
        <v>188</v>
      </c>
      <c r="F76" t="s">
        <v>163</v>
      </c>
      <c r="G76" t="s">
        <v>161</v>
      </c>
      <c r="H76" t="s">
        <v>151</v>
      </c>
      <c r="I76" t="s">
        <v>189</v>
      </c>
      <c r="J76">
        <v>0</v>
      </c>
      <c r="K76">
        <v>59.9</v>
      </c>
      <c r="L76">
        <v>7815</v>
      </c>
      <c r="M76">
        <v>468118.5</v>
      </c>
      <c r="O76">
        <f>IF(D76="","",_CALC_MOTEUR!AE76)</f>
        <v>0</v>
      </c>
      <c r="P76">
        <f>IF(D76="","",_CALC_MOTEUR!AF76)</f>
        <v>59.89999998</v>
      </c>
      <c r="Q76">
        <f>IF(D76="","",_CALC_MOTEUR!AG76)</f>
        <v>7815</v>
      </c>
      <c r="R76">
        <f>IF(D76="","",_CALC_MOTEUR!AH76)</f>
        <v>468118.4998437</v>
      </c>
      <c r="S76">
        <f t="shared" si="0"/>
        <v>-0.000156300025992095</v>
      </c>
    </row>
    <row r="77" ht="14.25" customHeight="1">
      <c r="A77" t="s">
        <v>147</v>
      </c>
      <c r="B77" t="s">
        <v>193</v>
      </c>
      <c r="C77" t="s">
        <v>148</v>
      </c>
      <c r="D77" t="s">
        <v>99</v>
      </c>
      <c r="E77" t="s">
        <v>188</v>
      </c>
      <c r="F77" t="s">
        <v>162</v>
      </c>
      <c r="G77" t="s">
        <v>150</v>
      </c>
      <c r="H77" t="s">
        <v>158</v>
      </c>
      <c r="I77" t="s">
        <v>189</v>
      </c>
      <c r="J77">
        <v>62.592963</v>
      </c>
      <c r="K77">
        <v>62.592963</v>
      </c>
      <c r="L77">
        <v>7580.55</v>
      </c>
      <c r="M77">
        <v>480122.45234</v>
      </c>
      <c r="O77">
        <f>IF(D77="","",_CALC_MOTEUR!AE77)</f>
        <v>62.592951988456</v>
      </c>
      <c r="P77">
        <f>IF(D77="","",_CALC_MOTEUR!AF77)</f>
        <v>62.592951988456</v>
      </c>
      <c r="Q77">
        <f>IF(D77="","",_CALC_MOTEUR!AG77)</f>
        <v>7580.55</v>
      </c>
      <c r="R77">
        <f>IF(D77="","",_CALC_MOTEUR!AH77)</f>
        <v>480122.367875051</v>
      </c>
      <c r="S77">
        <f t="shared" si="0"/>
        <v>-0.0844649490318261</v>
      </c>
    </row>
    <row r="78" ht="14.25" customHeight="1">
      <c r="A78" t="s">
        <v>147</v>
      </c>
      <c r="B78" t="s">
        <v>193</v>
      </c>
      <c r="C78" t="s">
        <v>148</v>
      </c>
      <c r="D78" t="s">
        <v>99</v>
      </c>
      <c r="E78" t="s">
        <v>188</v>
      </c>
      <c r="F78" t="s">
        <v>162</v>
      </c>
      <c r="G78" t="s">
        <v>153</v>
      </c>
      <c r="H78" t="s">
        <v>151</v>
      </c>
      <c r="I78" t="s">
        <v>189</v>
      </c>
      <c r="J78">
        <v>0</v>
      </c>
      <c r="K78">
        <v>49.765</v>
      </c>
      <c r="L78">
        <v>7075.18</v>
      </c>
      <c r="M78">
        <v>352096.3327</v>
      </c>
      <c r="O78">
        <f>IF(D78="","",_CALC_MOTEUR!AE78)</f>
        <v>0</v>
      </c>
      <c r="P78">
        <f>IF(D78="","",_CALC_MOTEUR!AF78)</f>
        <v>49.765000014</v>
      </c>
      <c r="Q78">
        <f>IF(D78="","",_CALC_MOTEUR!AG78)</f>
        <v>7075.18</v>
      </c>
      <c r="R78">
        <f>IF(D78="","",_CALC_MOTEUR!AH78)</f>
        <v>352096.332799053</v>
      </c>
      <c r="S78">
        <f t="shared" si="0"/>
        <v>0.000099052966106683</v>
      </c>
    </row>
    <row r="79" ht="14.25" customHeight="1">
      <c r="A79" t="s">
        <v>147</v>
      </c>
      <c r="B79" t="s">
        <v>193</v>
      </c>
      <c r="C79" t="s">
        <v>148</v>
      </c>
      <c r="D79" t="s">
        <v>99</v>
      </c>
      <c r="E79" t="s">
        <v>188</v>
      </c>
      <c r="F79" t="s">
        <v>162</v>
      </c>
      <c r="G79" t="s">
        <v>154</v>
      </c>
      <c r="H79" t="s">
        <v>151</v>
      </c>
      <c r="I79" t="s">
        <v>189</v>
      </c>
      <c r="J79">
        <v>0</v>
      </c>
      <c r="K79">
        <v>48.735</v>
      </c>
      <c r="L79">
        <v>7075.18</v>
      </c>
      <c r="M79">
        <v>344808.8973</v>
      </c>
      <c r="O79">
        <f>IF(D79="","",_CALC_MOTEUR!AE79)</f>
        <v>0</v>
      </c>
      <c r="P79">
        <f>IF(D79="","",_CALC_MOTEUR!AF79)</f>
        <v>48.735000013</v>
      </c>
      <c r="Q79">
        <f>IF(D79="","",_CALC_MOTEUR!AG79)</f>
        <v>7075.18</v>
      </c>
      <c r="R79">
        <f>IF(D79="","",_CALC_MOTEUR!AH79)</f>
        <v>344808.897391977</v>
      </c>
      <c r="S79">
        <f t="shared" si="0"/>
        <v>0.0000919770100153983</v>
      </c>
    </row>
    <row r="80" ht="14.25" customHeight="1">
      <c r="A80" t="s">
        <v>147</v>
      </c>
      <c r="B80" t="s">
        <v>193</v>
      </c>
      <c r="C80" t="s">
        <v>148</v>
      </c>
      <c r="D80" t="s">
        <v>99</v>
      </c>
      <c r="E80" t="s">
        <v>188</v>
      </c>
      <c r="F80" t="s">
        <v>163</v>
      </c>
      <c r="G80" t="s">
        <v>160</v>
      </c>
      <c r="H80" t="s">
        <v>151</v>
      </c>
      <c r="I80" t="s">
        <v>189</v>
      </c>
      <c r="J80">
        <v>66.123869</v>
      </c>
      <c r="K80">
        <v>66.123869</v>
      </c>
      <c r="L80">
        <v>7580.55</v>
      </c>
      <c r="M80">
        <v>507206.443358</v>
      </c>
      <c r="O80">
        <f>IF(D80="","",_CALC_MOTEUR!AE80)</f>
        <v>66.1238582805915</v>
      </c>
      <c r="P80">
        <f>IF(D80="","",_CALC_MOTEUR!AF80)</f>
        <v>66.1238582805915</v>
      </c>
      <c r="Q80">
        <f>IF(D80="","",_CALC_MOTEUR!AG80)</f>
        <v>7580.55</v>
      </c>
      <c r="R80">
        <f>IF(D80="","",_CALC_MOTEUR!AH80)</f>
        <v>507206.361134191</v>
      </c>
      <c r="S80">
        <f t="shared" si="0"/>
        <v>-0.0822238090331666</v>
      </c>
    </row>
    <row r="81" ht="14.25" customHeight="1">
      <c r="A81" t="s">
        <v>147</v>
      </c>
      <c r="B81" t="s">
        <v>193</v>
      </c>
      <c r="C81" t="s">
        <v>148</v>
      </c>
      <c r="D81" t="s">
        <v>99</v>
      </c>
      <c r="E81" t="s">
        <v>188</v>
      </c>
      <c r="F81" t="s">
        <v>163</v>
      </c>
      <c r="G81" t="s">
        <v>161</v>
      </c>
      <c r="H81" t="s">
        <v>151</v>
      </c>
      <c r="I81" t="s">
        <v>189</v>
      </c>
      <c r="J81">
        <v>0</v>
      </c>
      <c r="K81">
        <v>50.765</v>
      </c>
      <c r="L81">
        <v>7580.55</v>
      </c>
      <c r="M81">
        <v>384826.62075</v>
      </c>
      <c r="O81">
        <f>IF(D81="","",_CALC_MOTEUR!AE81)</f>
        <v>0</v>
      </c>
      <c r="P81">
        <f>IF(D81="","",_CALC_MOTEUR!AF81)</f>
        <v>50.765000007</v>
      </c>
      <c r="Q81">
        <f>IF(D81="","",_CALC_MOTEUR!AG81)</f>
        <v>7580.55</v>
      </c>
      <c r="R81">
        <f>IF(D81="","",_CALC_MOTEUR!AH81)</f>
        <v>384826.620803064</v>
      </c>
      <c r="S81">
        <f t="shared" si="0"/>
        <v>0.000053064024541527</v>
      </c>
    </row>
    <row r="82" ht="14.25" customHeight="1">
      <c r="A82" t="s">
        <v>147</v>
      </c>
      <c r="B82" t="s">
        <v>193</v>
      </c>
      <c r="C82" t="s">
        <v>148</v>
      </c>
      <c r="D82" t="s">
        <v>95</v>
      </c>
      <c r="E82" t="s">
        <v>49</v>
      </c>
      <c r="F82" t="s">
        <v>157</v>
      </c>
      <c r="G82" t="s">
        <v>150</v>
      </c>
      <c r="H82" t="s">
        <v>158</v>
      </c>
      <c r="I82" t="s">
        <v>189</v>
      </c>
      <c r="J82">
        <v>87.741234</v>
      </c>
      <c r="K82">
        <v>87.741234</v>
      </c>
      <c r="L82">
        <v>8738.1</v>
      </c>
      <c r="M82">
        <v>774588.387875</v>
      </c>
      <c r="O82">
        <f>IF(D82="","",_CALC_MOTEUR!AE82)</f>
        <v>87.7412123802966</v>
      </c>
      <c r="P82">
        <f>IF(D82="","",_CALC_MOTEUR!AF82)</f>
        <v>87.7412123802966</v>
      </c>
      <c r="Q82">
        <f>IF(D82="","",_CALC_MOTEUR!AG82)</f>
        <v>8738.1</v>
      </c>
      <c r="R82">
        <f>IF(D82="","",_CALC_MOTEUR!AH82)</f>
        <v>774588.197014497</v>
      </c>
      <c r="S82">
        <f t="shared" si="0"/>
        <v>-0.190860503003933</v>
      </c>
    </row>
    <row r="83" ht="14.25" customHeight="1">
      <c r="A83" t="s">
        <v>147</v>
      </c>
      <c r="B83" t="s">
        <v>193</v>
      </c>
      <c r="C83" t="s">
        <v>148</v>
      </c>
      <c r="D83" t="s">
        <v>95</v>
      </c>
      <c r="E83" t="s">
        <v>49</v>
      </c>
      <c r="F83" t="s">
        <v>157</v>
      </c>
      <c r="G83" t="s">
        <v>153</v>
      </c>
      <c r="H83" t="s">
        <v>151</v>
      </c>
      <c r="I83" t="s">
        <v>189</v>
      </c>
      <c r="J83">
        <v>0</v>
      </c>
      <c r="K83">
        <v>71.08</v>
      </c>
      <c r="L83">
        <v>8155.56</v>
      </c>
      <c r="M83">
        <v>579697.2048</v>
      </c>
      <c r="O83">
        <f>IF(D83="","",_CALC_MOTEUR!AE83)</f>
        <v>0</v>
      </c>
      <c r="P83">
        <f>IF(D83="","",_CALC_MOTEUR!AF83)</f>
        <v>71.079999984</v>
      </c>
      <c r="Q83">
        <f>IF(D83="","",_CALC_MOTEUR!AG83)</f>
        <v>8155.56</v>
      </c>
      <c r="R83">
        <f>IF(D83="","",_CALC_MOTEUR!AH83)</f>
        <v>579697.204669511</v>
      </c>
      <c r="S83">
        <f t="shared" si="0"/>
        <v>-0.000130489002913237</v>
      </c>
    </row>
    <row r="84" ht="14.25" customHeight="1">
      <c r="A84" t="s">
        <v>147</v>
      </c>
      <c r="B84" t="s">
        <v>193</v>
      </c>
      <c r="C84" t="s">
        <v>148</v>
      </c>
      <c r="D84" t="s">
        <v>95</v>
      </c>
      <c r="E84" t="s">
        <v>49</v>
      </c>
      <c r="F84" t="s">
        <v>157</v>
      </c>
      <c r="G84" t="s">
        <v>154</v>
      </c>
      <c r="H84" t="s">
        <v>151</v>
      </c>
      <c r="I84" t="s">
        <v>189</v>
      </c>
      <c r="J84">
        <v>0</v>
      </c>
      <c r="K84">
        <v>70.05</v>
      </c>
      <c r="L84">
        <v>8155.56</v>
      </c>
      <c r="M84">
        <v>571296.978</v>
      </c>
      <c r="O84">
        <f>IF(D84="","",_CALC_MOTEUR!AE84)</f>
        <v>0</v>
      </c>
      <c r="P84">
        <f>IF(D84="","",_CALC_MOTEUR!AF84)</f>
        <v>70.05000002</v>
      </c>
      <c r="Q84">
        <f>IF(D84="","",_CALC_MOTEUR!AG84)</f>
        <v>8155.56</v>
      </c>
      <c r="R84">
        <f>IF(D84="","",_CALC_MOTEUR!AH84)</f>
        <v>571296.978163111</v>
      </c>
      <c r="S84">
        <f t="shared" si="0"/>
        <v>0.000163111020810902</v>
      </c>
    </row>
    <row r="85" ht="14.25" customHeight="1">
      <c r="A85" t="s">
        <v>147</v>
      </c>
      <c r="B85" t="s">
        <v>193</v>
      </c>
      <c r="C85" t="s">
        <v>148</v>
      </c>
      <c r="D85" t="s">
        <v>95</v>
      </c>
      <c r="E85" t="s">
        <v>49</v>
      </c>
      <c r="F85" t="s">
        <v>159</v>
      </c>
      <c r="G85" t="s">
        <v>160</v>
      </c>
      <c r="H85" t="s">
        <v>151</v>
      </c>
      <c r="I85" t="s">
        <v>189</v>
      </c>
      <c r="J85">
        <v>92.693456</v>
      </c>
      <c r="K85">
        <v>92.693456</v>
      </c>
      <c r="L85">
        <v>8738.1</v>
      </c>
      <c r="M85">
        <v>818307.098914</v>
      </c>
      <c r="O85">
        <f>IF(D85="","",_CALC_MOTEUR!AE85)</f>
        <v>92.6934323313284</v>
      </c>
      <c r="P85">
        <f>IF(D85="","",_CALC_MOTEUR!AF85)</f>
        <v>92.6934323313284</v>
      </c>
      <c r="Q85">
        <f>IF(D85="","",_CALC_MOTEUR!AG85)</f>
        <v>8738.1</v>
      </c>
      <c r="R85">
        <f>IF(D85="","",_CALC_MOTEUR!AH85)</f>
        <v>818306.8899642</v>
      </c>
      <c r="S85">
        <f t="shared" si="0"/>
        <v>-0.208949799998663</v>
      </c>
    </row>
    <row r="86" ht="14.25" customHeight="1">
      <c r="A86" t="s">
        <v>147</v>
      </c>
      <c r="B86" t="s">
        <v>193</v>
      </c>
      <c r="C86" t="s">
        <v>148</v>
      </c>
      <c r="D86" t="s">
        <v>95</v>
      </c>
      <c r="E86" t="s">
        <v>49</v>
      </c>
      <c r="F86" t="s">
        <v>159</v>
      </c>
      <c r="G86" t="s">
        <v>161</v>
      </c>
      <c r="H86" t="s">
        <v>151</v>
      </c>
      <c r="I86" t="s">
        <v>189</v>
      </c>
      <c r="J86">
        <v>0</v>
      </c>
      <c r="K86">
        <v>72.08</v>
      </c>
      <c r="L86">
        <v>8738.1</v>
      </c>
      <c r="M86">
        <v>629842.248</v>
      </c>
      <c r="O86">
        <f>IF(D86="","",_CALC_MOTEUR!AE86)</f>
        <v>0</v>
      </c>
      <c r="P86">
        <f>IF(D86="","",_CALC_MOTEUR!AF86)</f>
        <v>72.079999992</v>
      </c>
      <c r="Q86">
        <f>IF(D86="","",_CALC_MOTEUR!AG86)</f>
        <v>8738.1</v>
      </c>
      <c r="R86">
        <f>IF(D86="","",_CALC_MOTEUR!AH86)</f>
        <v>629842.247930095</v>
      </c>
      <c r="S86">
        <f t="shared" si="0"/>
        <v>-0.0000699050724506378</v>
      </c>
    </row>
    <row r="87" ht="14.25" customHeight="1">
      <c r="A87" t="s">
        <v>147</v>
      </c>
      <c r="B87" t="s">
        <v>193</v>
      </c>
      <c r="C87" t="s">
        <v>148</v>
      </c>
      <c r="D87" t="s">
        <v>93</v>
      </c>
      <c r="E87" t="s">
        <v>49</v>
      </c>
      <c r="F87" t="s">
        <v>157</v>
      </c>
      <c r="G87" t="s">
        <v>150</v>
      </c>
      <c r="H87" t="s">
        <v>158</v>
      </c>
      <c r="I87" t="s">
        <v>189</v>
      </c>
      <c r="J87">
        <v>61.251994</v>
      </c>
      <c r="K87">
        <v>61.251994</v>
      </c>
      <c r="L87">
        <v>7645.8375</v>
      </c>
      <c r="M87">
        <v>473835.472135</v>
      </c>
      <c r="O87">
        <f>IF(D87="","",_CALC_MOTEUR!AE87)</f>
        <v>61.2520079439867</v>
      </c>
      <c r="P87">
        <f>IF(D87="","",_CALC_MOTEUR!AF87)</f>
        <v>61.2520079439867</v>
      </c>
      <c r="Q87">
        <f>IF(D87="","",_CALC_MOTEUR!AG87)</f>
        <v>7645.8375</v>
      </c>
      <c r="R87">
        <f>IF(D87="","",_CALC_MOTEUR!AH87)</f>
        <v>473835.58000339</v>
      </c>
      <c r="S87">
        <f t="shared" si="0"/>
        <v>0.107868389983196</v>
      </c>
    </row>
    <row r="88" ht="14.25" customHeight="1">
      <c r="A88" t="s">
        <v>147</v>
      </c>
      <c r="B88" t="s">
        <v>193</v>
      </c>
      <c r="C88" t="s">
        <v>148</v>
      </c>
      <c r="D88" t="s">
        <v>93</v>
      </c>
      <c r="E88" t="s">
        <v>49</v>
      </c>
      <c r="F88" t="s">
        <v>157</v>
      </c>
      <c r="G88" t="s">
        <v>153</v>
      </c>
      <c r="H88" t="s">
        <v>151</v>
      </c>
      <c r="I88" t="s">
        <v>189</v>
      </c>
      <c r="J88">
        <v>0</v>
      </c>
      <c r="K88">
        <v>48.75</v>
      </c>
      <c r="L88">
        <v>7136.115</v>
      </c>
      <c r="M88">
        <v>347885.60625</v>
      </c>
      <c r="O88">
        <f>IF(D88="","",_CALC_MOTEUR!AE88)</f>
        <v>0</v>
      </c>
      <c r="P88">
        <f>IF(D88="","",_CALC_MOTEUR!AF88)</f>
        <v>48.75</v>
      </c>
      <c r="Q88">
        <f>IF(D88="","",_CALC_MOTEUR!AG88)</f>
        <v>7136.115</v>
      </c>
      <c r="R88">
        <f>IF(D88="","",_CALC_MOTEUR!AH88)</f>
        <v>347885.60625</v>
      </c>
      <c r="S88">
        <f t="shared" si="0"/>
        <v>0</v>
      </c>
    </row>
    <row r="89" ht="14.25" customHeight="1">
      <c r="A89" t="s">
        <v>147</v>
      </c>
      <c r="B89" t="s">
        <v>193</v>
      </c>
      <c r="C89" t="s">
        <v>148</v>
      </c>
      <c r="D89" t="s">
        <v>93</v>
      </c>
      <c r="E89" t="s">
        <v>49</v>
      </c>
      <c r="F89" t="s">
        <v>157</v>
      </c>
      <c r="G89" t="s">
        <v>154</v>
      </c>
      <c r="H89" t="s">
        <v>151</v>
      </c>
      <c r="I89" t="s">
        <v>189</v>
      </c>
      <c r="J89">
        <v>0</v>
      </c>
      <c r="K89">
        <v>47.72</v>
      </c>
      <c r="L89">
        <v>7136.115</v>
      </c>
      <c r="M89">
        <v>340535.4078</v>
      </c>
      <c r="O89">
        <f>IF(D89="","",_CALC_MOTEUR!AE89)</f>
        <v>0</v>
      </c>
      <c r="P89">
        <f>IF(D89="","",_CALC_MOTEUR!AF89)</f>
        <v>47.720000016</v>
      </c>
      <c r="Q89">
        <f>IF(D89="","",_CALC_MOTEUR!AG89)</f>
        <v>7136.115</v>
      </c>
      <c r="R89">
        <f>IF(D89="","",_CALC_MOTEUR!AH89)</f>
        <v>340535.407914178</v>
      </c>
      <c r="S89">
        <f t="shared" si="0"/>
        <v>0.000114177993964404</v>
      </c>
    </row>
    <row r="90" ht="14.25" customHeight="1">
      <c r="A90" t="s">
        <v>147</v>
      </c>
      <c r="B90" t="s">
        <v>193</v>
      </c>
      <c r="C90" t="s">
        <v>148</v>
      </c>
      <c r="D90" t="s">
        <v>93</v>
      </c>
      <c r="E90" t="s">
        <v>49</v>
      </c>
      <c r="F90" t="s">
        <v>159</v>
      </c>
      <c r="G90" t="s">
        <v>160</v>
      </c>
      <c r="H90" t="s">
        <v>151</v>
      </c>
      <c r="I90" t="s">
        <v>189</v>
      </c>
      <c r="J90">
        <v>64.718264</v>
      </c>
      <c r="K90">
        <v>64.718264</v>
      </c>
      <c r="L90">
        <v>7645.8375</v>
      </c>
      <c r="M90">
        <v>500649.973586</v>
      </c>
      <c r="O90">
        <f>IF(D90="","",_CALC_MOTEUR!AE90)</f>
        <v>64.7182787159838</v>
      </c>
      <c r="P90">
        <f>IF(D90="","",_CALC_MOTEUR!AF90)</f>
        <v>64.7182787159838</v>
      </c>
      <c r="Q90">
        <f>IF(D90="","",_CALC_MOTEUR!AG90)</f>
        <v>7645.8375</v>
      </c>
      <c r="R90">
        <f>IF(D90="","",_CALC_MOTEUR!AH90)</f>
        <v>500650.087426559</v>
      </c>
      <c r="S90">
        <f t="shared" si="0"/>
        <v>0.113840559031814</v>
      </c>
    </row>
    <row r="91" ht="14.25" customHeight="1">
      <c r="A91" t="s">
        <v>147</v>
      </c>
      <c r="B91" t="s">
        <v>193</v>
      </c>
      <c r="C91" t="s">
        <v>148</v>
      </c>
      <c r="D91" t="s">
        <v>93</v>
      </c>
      <c r="E91" t="s">
        <v>49</v>
      </c>
      <c r="F91" t="s">
        <v>159</v>
      </c>
      <c r="G91" t="s">
        <v>161</v>
      </c>
      <c r="H91" t="s">
        <v>151</v>
      </c>
      <c r="I91" t="s">
        <v>189</v>
      </c>
      <c r="J91">
        <v>0</v>
      </c>
      <c r="K91">
        <v>49.75</v>
      </c>
      <c r="L91">
        <v>7645.8375</v>
      </c>
      <c r="M91">
        <v>380380.415625</v>
      </c>
      <c r="O91">
        <f>IF(D91="","",_CALC_MOTEUR!AE91)</f>
        <v>0</v>
      </c>
      <c r="P91">
        <f>IF(D91="","",_CALC_MOTEUR!AF91)</f>
        <v>49.75</v>
      </c>
      <c r="Q91">
        <f>IF(D91="","",_CALC_MOTEUR!AG91)</f>
        <v>7645.8375</v>
      </c>
      <c r="R91">
        <f>IF(D91="","",_CALC_MOTEUR!AH91)</f>
        <v>380380.415625</v>
      </c>
      <c r="S91">
        <f t="shared" si="0"/>
        <v>0</v>
      </c>
    </row>
    <row r="92" ht="14.25" customHeight="1">
      <c r="A92" t="s">
        <v>147</v>
      </c>
      <c r="B92" t="s">
        <v>193</v>
      </c>
      <c r="C92" t="s">
        <v>148</v>
      </c>
      <c r="D92" t="s">
        <v>97</v>
      </c>
      <c r="E92" t="s">
        <v>49</v>
      </c>
      <c r="F92" t="s">
        <v>157</v>
      </c>
      <c r="G92" t="s">
        <v>150</v>
      </c>
      <c r="H92" t="s">
        <v>158</v>
      </c>
      <c r="I92" t="s">
        <v>189</v>
      </c>
      <c r="J92">
        <v>57.616994</v>
      </c>
      <c r="K92">
        <v>57.616994</v>
      </c>
      <c r="L92">
        <v>7489.8</v>
      </c>
      <c r="M92">
        <v>436725.291121</v>
      </c>
      <c r="O92">
        <f>IF(D92="","",_CALC_MOTEUR!AE92)</f>
        <v>57.6170034734878</v>
      </c>
      <c r="P92">
        <f>IF(D92="","",_CALC_MOTEUR!AF92)</f>
        <v>57.6170034734878</v>
      </c>
      <c r="Q92">
        <f>IF(D92="","",_CALC_MOTEUR!AG92)</f>
        <v>7489.8</v>
      </c>
      <c r="R92">
        <f>IF(D92="","",_CALC_MOTEUR!AH92)</f>
        <v>436725.362928343</v>
      </c>
      <c r="S92">
        <f t="shared" si="0"/>
        <v>0.0718073429889046</v>
      </c>
    </row>
    <row r="93" ht="14.25" customHeight="1">
      <c r="A93" t="s">
        <v>147</v>
      </c>
      <c r="B93" t="s">
        <v>193</v>
      </c>
      <c r="C93" t="s">
        <v>148</v>
      </c>
      <c r="D93" t="s">
        <v>97</v>
      </c>
      <c r="E93" t="s">
        <v>49</v>
      </c>
      <c r="F93" t="s">
        <v>157</v>
      </c>
      <c r="G93" t="s">
        <v>153</v>
      </c>
      <c r="H93" t="s">
        <v>151</v>
      </c>
      <c r="I93" t="s">
        <v>189</v>
      </c>
      <c r="J93">
        <v>0</v>
      </c>
      <c r="K93">
        <v>46.705</v>
      </c>
      <c r="L93">
        <v>6990.48</v>
      </c>
      <c r="M93">
        <v>326490.3684</v>
      </c>
      <c r="O93">
        <f>IF(D93="","",_CALC_MOTEUR!AE93)</f>
        <v>0</v>
      </c>
      <c r="P93">
        <f>IF(D93="","",_CALC_MOTEUR!AF93)</f>
        <v>46.704999988</v>
      </c>
      <c r="Q93">
        <f>IF(D93="","",_CALC_MOTEUR!AG93)</f>
        <v>6990.48</v>
      </c>
      <c r="R93">
        <f>IF(D93="","",_CALC_MOTEUR!AH93)</f>
        <v>326490.368316114</v>
      </c>
      <c r="S93">
        <f t="shared" si="0"/>
        <v>-0.0000838859705254436</v>
      </c>
    </row>
    <row r="94" ht="14.25" customHeight="1">
      <c r="A94" t="s">
        <v>147</v>
      </c>
      <c r="B94" t="s">
        <v>193</v>
      </c>
      <c r="C94" t="s">
        <v>148</v>
      </c>
      <c r="D94" t="s">
        <v>97</v>
      </c>
      <c r="E94" t="s">
        <v>49</v>
      </c>
      <c r="F94" t="s">
        <v>157</v>
      </c>
      <c r="G94" t="s">
        <v>154</v>
      </c>
      <c r="H94" t="s">
        <v>151</v>
      </c>
      <c r="I94" t="s">
        <v>189</v>
      </c>
      <c r="J94">
        <v>0</v>
      </c>
      <c r="K94">
        <v>45.69</v>
      </c>
      <c r="L94">
        <v>6990.48</v>
      </c>
      <c r="M94">
        <v>319395.0312</v>
      </c>
      <c r="O94">
        <f>IF(D94="","",_CALC_MOTEUR!AE94)</f>
        <v>0</v>
      </c>
      <c r="P94">
        <f>IF(D94="","",_CALC_MOTEUR!AF94)</f>
        <v>45.69000002</v>
      </c>
      <c r="Q94">
        <f>IF(D94="","",_CALC_MOTEUR!AG94)</f>
        <v>6990.48</v>
      </c>
      <c r="R94">
        <f>IF(D94="","",_CALC_MOTEUR!AH94)</f>
        <v>319395.03133981</v>
      </c>
      <c r="S94">
        <f t="shared" si="0"/>
        <v>0.000139809970278293</v>
      </c>
    </row>
    <row r="95" ht="14.25" customHeight="1">
      <c r="A95" t="s">
        <v>147</v>
      </c>
      <c r="B95" t="s">
        <v>193</v>
      </c>
      <c r="C95" t="s">
        <v>148</v>
      </c>
      <c r="D95" t="s">
        <v>97</v>
      </c>
      <c r="E95" t="s">
        <v>49</v>
      </c>
      <c r="F95" t="s">
        <v>159</v>
      </c>
      <c r="G95" t="s">
        <v>160</v>
      </c>
      <c r="H95" t="s">
        <v>151</v>
      </c>
      <c r="I95" t="s">
        <v>189</v>
      </c>
      <c r="J95">
        <v>60.882193</v>
      </c>
      <c r="K95">
        <v>60.882193</v>
      </c>
      <c r="L95">
        <v>7489.8</v>
      </c>
      <c r="M95">
        <v>461474.846501</v>
      </c>
      <c r="O95">
        <f>IF(D95="","",_CALC_MOTEUR!AE95)</f>
        <v>60.8822033198647</v>
      </c>
      <c r="P95">
        <f>IF(D95="","",_CALC_MOTEUR!AF95)</f>
        <v>60.8822033198647</v>
      </c>
      <c r="Q95">
        <f>IF(D95="","",_CALC_MOTEUR!AG95)</f>
        <v>7489.8</v>
      </c>
      <c r="R95">
        <f>IF(D95="","",_CALC_MOTEUR!AH95)</f>
        <v>461474.92472391</v>
      </c>
      <c r="S95">
        <f t="shared" si="0"/>
        <v>0.078222910000477</v>
      </c>
    </row>
    <row r="96" ht="14.25" customHeight="1">
      <c r="A96" t="s">
        <v>147</v>
      </c>
      <c r="B96" t="s">
        <v>193</v>
      </c>
      <c r="C96" t="s">
        <v>148</v>
      </c>
      <c r="D96" t="s">
        <v>97</v>
      </c>
      <c r="E96" t="s">
        <v>49</v>
      </c>
      <c r="F96" t="s">
        <v>159</v>
      </c>
      <c r="G96" t="s">
        <v>161</v>
      </c>
      <c r="H96" t="s">
        <v>151</v>
      </c>
      <c r="I96" t="s">
        <v>189</v>
      </c>
      <c r="J96">
        <v>0</v>
      </c>
      <c r="K96">
        <v>46.705</v>
      </c>
      <c r="L96">
        <v>7489.8</v>
      </c>
      <c r="M96">
        <v>349811.109</v>
      </c>
      <c r="O96">
        <f>IF(D96="","",_CALC_MOTEUR!AE96)</f>
        <v>0</v>
      </c>
      <c r="P96">
        <f>IF(D96="","",_CALC_MOTEUR!AF96)</f>
        <v>46.704999988</v>
      </c>
      <c r="Q96">
        <f>IF(D96="","",_CALC_MOTEUR!AG96)</f>
        <v>7489.8</v>
      </c>
      <c r="R96">
        <f>IF(D96="","",_CALC_MOTEUR!AH96)</f>
        <v>349811.108910122</v>
      </c>
      <c r="S96">
        <f t="shared" si="0"/>
        <v>-0.0000898779835551977</v>
      </c>
    </row>
    <row r="97" ht="14.25" customHeight="1">
      <c r="A97" t="s">
        <v>147</v>
      </c>
      <c r="B97" t="s">
        <v>193</v>
      </c>
      <c r="C97" t="s">
        <v>148</v>
      </c>
      <c r="D97" t="s">
        <v>89</v>
      </c>
      <c r="E97" t="s">
        <v>190</v>
      </c>
      <c r="F97" t="s">
        <v>149</v>
      </c>
      <c r="G97" t="s">
        <v>150</v>
      </c>
      <c r="H97" t="s">
        <v>151</v>
      </c>
      <c r="I97" t="s">
        <v>189</v>
      </c>
      <c r="J97">
        <v>65.044833</v>
      </c>
      <c r="K97">
        <v>65.044833</v>
      </c>
      <c r="L97">
        <v>7232.75</v>
      </c>
      <c r="M97">
        <v>476307.050851</v>
      </c>
      <c r="O97">
        <f>IF(D97="","",_CALC_MOTEUR!AE97)</f>
        <v>65.0448370668293</v>
      </c>
      <c r="P97">
        <f>IF(D97="","",_CALC_MOTEUR!AF97)</f>
        <v>65.0448370668293</v>
      </c>
      <c r="Q97">
        <f>IF(D97="","",_CALC_MOTEUR!AG97)</f>
        <v>7232.75</v>
      </c>
      <c r="R97">
        <f>IF(D97="","",_CALC_MOTEUR!AH97)</f>
        <v>476307.080631124</v>
      </c>
      <c r="S97">
        <f t="shared" si="0"/>
        <v>0.0297801239648834</v>
      </c>
    </row>
    <row r="98" ht="14.25" customHeight="1">
      <c r="A98" t="s">
        <v>147</v>
      </c>
      <c r="B98" t="s">
        <v>193</v>
      </c>
      <c r="C98" t="s">
        <v>148</v>
      </c>
      <c r="D98" t="s">
        <v>89</v>
      </c>
      <c r="E98" t="s">
        <v>190</v>
      </c>
      <c r="F98" t="s">
        <v>149</v>
      </c>
      <c r="G98" t="s">
        <v>153</v>
      </c>
      <c r="H98" t="s">
        <v>151</v>
      </c>
      <c r="I98" t="s">
        <v>189</v>
      </c>
      <c r="J98">
        <v>0</v>
      </c>
      <c r="K98">
        <v>48.75</v>
      </c>
      <c r="L98">
        <v>7232.75</v>
      </c>
      <c r="M98">
        <v>352596.5625</v>
      </c>
      <c r="O98">
        <f>IF(D98="","",_CALC_MOTEUR!AE98)</f>
        <v>0</v>
      </c>
      <c r="P98">
        <f>IF(D98="","",_CALC_MOTEUR!AF98)</f>
        <v>48.75</v>
      </c>
      <c r="Q98">
        <f>IF(D98="","",_CALC_MOTEUR!AG98)</f>
        <v>7232.75</v>
      </c>
      <c r="R98">
        <f>IF(D98="","",_CALC_MOTEUR!AH98)</f>
        <v>352596.5625</v>
      </c>
      <c r="S98">
        <f t="shared" si="0"/>
        <v>0</v>
      </c>
    </row>
    <row r="99" ht="14.25" customHeight="1">
      <c r="A99" t="s">
        <v>147</v>
      </c>
      <c r="B99" t="s">
        <v>193</v>
      </c>
      <c r="C99" t="s">
        <v>148</v>
      </c>
      <c r="D99" t="s">
        <v>89</v>
      </c>
      <c r="E99" t="s">
        <v>190</v>
      </c>
      <c r="F99" t="s">
        <v>149</v>
      </c>
      <c r="G99" t="s">
        <v>154</v>
      </c>
      <c r="H99" t="s">
        <v>151</v>
      </c>
      <c r="I99" t="s">
        <v>189</v>
      </c>
      <c r="J99">
        <v>0</v>
      </c>
      <c r="K99">
        <v>47.72</v>
      </c>
      <c r="L99">
        <v>7232.75</v>
      </c>
      <c r="M99">
        <v>345146.83</v>
      </c>
      <c r="O99">
        <f>IF(D99="","",_CALC_MOTEUR!AE99)</f>
        <v>0</v>
      </c>
      <c r="P99">
        <f>IF(D99="","",_CALC_MOTEUR!AF99)</f>
        <v>47.720000016</v>
      </c>
      <c r="Q99">
        <f>IF(D99="","",_CALC_MOTEUR!AG99)</f>
        <v>7232.75</v>
      </c>
      <c r="R99">
        <f>IF(D99="","",_CALC_MOTEUR!AH99)</f>
        <v>345146.830115724</v>
      </c>
      <c r="S99">
        <f t="shared" si="0"/>
        <v>0.000115723989438266</v>
      </c>
    </row>
    <row r="100" ht="14.25" customHeight="1">
      <c r="A100" t="s">
        <v>147</v>
      </c>
      <c r="B100" t="s">
        <v>193</v>
      </c>
      <c r="C100" t="s">
        <v>148</v>
      </c>
      <c r="D100" t="s">
        <v>91</v>
      </c>
      <c r="E100" t="s">
        <v>190</v>
      </c>
      <c r="F100" t="s">
        <v>149</v>
      </c>
      <c r="G100" t="s">
        <v>150</v>
      </c>
      <c r="H100" t="s">
        <v>151</v>
      </c>
      <c r="I100" t="s">
        <v>189</v>
      </c>
      <c r="J100">
        <v>52.13929</v>
      </c>
      <c r="K100">
        <v>52.13929</v>
      </c>
      <c r="L100">
        <v>6871.1125</v>
      </c>
      <c r="M100">
        <v>362947.46336</v>
      </c>
      <c r="O100">
        <f>IF(D100="","",_CALC_MOTEUR!AE100)</f>
        <v>52.1392750093149</v>
      </c>
      <c r="P100">
        <f>IF(D100="","",_CALC_MOTEUR!AF100)</f>
        <v>52.1392750093149</v>
      </c>
      <c r="Q100">
        <f>IF(D100="","",_CALC_MOTEUR!AG100)</f>
        <v>6871.1125</v>
      </c>
      <c r="R100">
        <f>IF(D100="","",_CALC_MOTEUR!AH100)</f>
        <v>362947.35900828</v>
      </c>
      <c r="S100">
        <f t="shared" si="0"/>
        <v>-0.104351720015984</v>
      </c>
    </row>
    <row r="101" ht="14.25" customHeight="1">
      <c r="A101" t="s">
        <v>147</v>
      </c>
      <c r="B101" t="s">
        <v>193</v>
      </c>
      <c r="C101" t="s">
        <v>148</v>
      </c>
      <c r="D101" t="s">
        <v>91</v>
      </c>
      <c r="E101" t="s">
        <v>190</v>
      </c>
      <c r="F101" t="s">
        <v>149</v>
      </c>
      <c r="G101" t="s">
        <v>153</v>
      </c>
      <c r="H101" t="s">
        <v>151</v>
      </c>
      <c r="I101" t="s">
        <v>189</v>
      </c>
      <c r="J101">
        <v>0</v>
      </c>
      <c r="K101">
        <v>39.6</v>
      </c>
      <c r="L101">
        <v>6871.1125</v>
      </c>
      <c r="M101">
        <v>272096.055</v>
      </c>
      <c r="O101">
        <f>IF(D101="","",_CALC_MOTEUR!AE101)</f>
        <v>0</v>
      </c>
      <c r="P101">
        <f>IF(D101="","",_CALC_MOTEUR!AF101)</f>
        <v>39.6</v>
      </c>
      <c r="Q101">
        <f>IF(D101="","",_CALC_MOTEUR!AG101)</f>
        <v>6871.1125</v>
      </c>
      <c r="R101">
        <f>IF(D101="","",_CALC_MOTEUR!AH101)</f>
        <v>272096.055</v>
      </c>
      <c r="S101">
        <f t="shared" si="0"/>
        <v>0</v>
      </c>
    </row>
    <row r="102" ht="14.25" customHeight="1">
      <c r="A102" t="s">
        <v>147</v>
      </c>
      <c r="B102" t="s">
        <v>193</v>
      </c>
      <c r="C102" t="s">
        <v>148</v>
      </c>
      <c r="D102" t="s">
        <v>91</v>
      </c>
      <c r="E102" t="s">
        <v>190</v>
      </c>
      <c r="F102" t="s">
        <v>149</v>
      </c>
      <c r="G102" t="s">
        <v>154</v>
      </c>
      <c r="H102" t="s">
        <v>151</v>
      </c>
      <c r="I102" t="s">
        <v>189</v>
      </c>
      <c r="J102">
        <v>0</v>
      </c>
      <c r="K102">
        <v>38.585</v>
      </c>
      <c r="L102">
        <v>6871.1125</v>
      </c>
      <c r="M102">
        <v>265121.875813</v>
      </c>
      <c r="O102">
        <f>IF(D102="","",_CALC_MOTEUR!AE102)</f>
        <v>0</v>
      </c>
      <c r="P102">
        <f>IF(D102="","",_CALC_MOTEUR!AF102)</f>
        <v>38.584999986</v>
      </c>
      <c r="Q102">
        <f>IF(D102="","",_CALC_MOTEUR!AG102)</f>
        <v>6871.1125</v>
      </c>
      <c r="R102">
        <f>IF(D102="","",_CALC_MOTEUR!AH102)</f>
        <v>265121.875716304</v>
      </c>
      <c r="S102">
        <f t="shared" si="0"/>
        <v>-0.0000966960215009749</v>
      </c>
    </row>
    <row r="103" ht="14.25" customHeight="1">
      <c r="A103" t="s">
        <v>147</v>
      </c>
      <c r="B103" t="s">
        <v>193</v>
      </c>
      <c r="C103" t="s">
        <v>148</v>
      </c>
      <c r="D103" t="s">
        <v>86</v>
      </c>
      <c r="E103" t="s">
        <v>190</v>
      </c>
      <c r="F103" t="s">
        <v>149</v>
      </c>
      <c r="G103" t="s">
        <v>150</v>
      </c>
      <c r="H103" t="s">
        <v>151</v>
      </c>
      <c r="I103" t="s">
        <v>189</v>
      </c>
      <c r="J103">
        <v>52.169789</v>
      </c>
      <c r="K103">
        <v>52.169789</v>
      </c>
      <c r="L103">
        <v>6871.1125</v>
      </c>
      <c r="M103">
        <v>363159.77033</v>
      </c>
      <c r="O103">
        <f>IF(D103="","",_CALC_MOTEUR!AE103)</f>
        <v>52.1697850270982</v>
      </c>
      <c r="P103">
        <f>IF(D103="","",_CALC_MOTEUR!AF103)</f>
        <v>52.1697850270982</v>
      </c>
      <c r="Q103">
        <f>IF(D103="","",_CALC_MOTEUR!AG103)</f>
        <v>6871.1125</v>
      </c>
      <c r="R103">
        <f>IF(D103="","",_CALC_MOTEUR!AH103)</f>
        <v>363159.742674446</v>
      </c>
      <c r="S103">
        <f t="shared" si="0"/>
        <v>-0.0276555540040135</v>
      </c>
    </row>
    <row r="104" ht="14.25" customHeight="1">
      <c r="A104" t="s">
        <v>147</v>
      </c>
      <c r="B104" t="s">
        <v>193</v>
      </c>
      <c r="C104" t="s">
        <v>148</v>
      </c>
      <c r="D104" t="s">
        <v>86</v>
      </c>
      <c r="E104" t="s">
        <v>190</v>
      </c>
      <c r="F104" t="s">
        <v>149</v>
      </c>
      <c r="G104" t="s">
        <v>153</v>
      </c>
      <c r="H104" t="s">
        <v>151</v>
      </c>
      <c r="I104" t="s">
        <v>189</v>
      </c>
      <c r="J104">
        <v>0</v>
      </c>
      <c r="K104">
        <v>39.6</v>
      </c>
      <c r="L104">
        <v>6871.1125</v>
      </c>
      <c r="M104">
        <v>272096.055</v>
      </c>
      <c r="O104">
        <f>IF(D104="","",_CALC_MOTEUR!AE104)</f>
        <v>0</v>
      </c>
      <c r="P104">
        <f>IF(D104="","",_CALC_MOTEUR!AF104)</f>
        <v>39.6</v>
      </c>
      <c r="Q104">
        <f>IF(D104="","",_CALC_MOTEUR!AG104)</f>
        <v>6871.1125</v>
      </c>
      <c r="R104">
        <f>IF(D104="","",_CALC_MOTEUR!AH104)</f>
        <v>272096.055</v>
      </c>
      <c r="S104">
        <f t="shared" si="0"/>
        <v>0</v>
      </c>
    </row>
    <row r="105" ht="14.25" customHeight="1">
      <c r="A105" t="s">
        <v>147</v>
      </c>
      <c r="B105" t="s">
        <v>193</v>
      </c>
      <c r="C105" t="s">
        <v>148</v>
      </c>
      <c r="D105" t="s">
        <v>86</v>
      </c>
      <c r="E105" t="s">
        <v>190</v>
      </c>
      <c r="F105" t="s">
        <v>149</v>
      </c>
      <c r="G105" t="s">
        <v>154</v>
      </c>
      <c r="H105" t="s">
        <v>151</v>
      </c>
      <c r="I105" t="s">
        <v>189</v>
      </c>
      <c r="J105">
        <v>0</v>
      </c>
      <c r="K105">
        <v>38.585</v>
      </c>
      <c r="L105">
        <v>6871.1125</v>
      </c>
      <c r="M105">
        <v>265121.875813</v>
      </c>
      <c r="O105">
        <f>IF(D105="","",_CALC_MOTEUR!AE105)</f>
        <v>0</v>
      </c>
      <c r="P105">
        <f>IF(D105="","",_CALC_MOTEUR!AF105)</f>
        <v>38.584999986</v>
      </c>
      <c r="Q105">
        <f>IF(D105="","",_CALC_MOTEUR!AG105)</f>
        <v>6871.1125</v>
      </c>
      <c r="R105">
        <f>IF(D105="","",_CALC_MOTEUR!AH105)</f>
        <v>265121.875716304</v>
      </c>
      <c r="S105">
        <f t="shared" si="0"/>
        <v>-0.0000966960215009749</v>
      </c>
    </row>
    <row r="106" ht="14.25" customHeight="1">
      <c r="A106" t="s">
        <v>147</v>
      </c>
      <c r="B106" t="s">
        <v>193</v>
      </c>
      <c r="C106" t="s">
        <v>148</v>
      </c>
      <c r="D106" t="s">
        <v>106</v>
      </c>
      <c r="E106" t="s">
        <v>191</v>
      </c>
      <c r="F106" t="s">
        <v>165</v>
      </c>
      <c r="G106" t="s">
        <v>166</v>
      </c>
      <c r="H106" t="s">
        <v>151</v>
      </c>
      <c r="I106" t="s">
        <v>189</v>
      </c>
      <c r="J106">
        <v>59.243083</v>
      </c>
      <c r="K106">
        <v>59.243083</v>
      </c>
      <c r="L106">
        <v>6498.45</v>
      </c>
      <c r="M106">
        <v>390320.090191</v>
      </c>
      <c r="O106">
        <f>IF(D106="","",_CALC_MOTEUR!AE106)</f>
        <v>59.2430940118847</v>
      </c>
      <c r="P106">
        <f>IF(D106="","",_CALC_MOTEUR!AF106)</f>
        <v>59.2430940118847</v>
      </c>
      <c r="Q106">
        <f>IF(D106="","",_CALC_MOTEUR!AG106)</f>
        <v>6498.45</v>
      </c>
      <c r="R106">
        <f>IF(D106="","",_CALC_MOTEUR!AH106)</f>
        <v>390320.162742602</v>
      </c>
      <c r="S106">
        <f t="shared" si="0"/>
        <v>0.0725516019738279</v>
      </c>
    </row>
    <row r="107" ht="14.25" customHeight="1">
      <c r="A107" t="s">
        <v>147</v>
      </c>
      <c r="B107" t="s">
        <v>193</v>
      </c>
      <c r="C107" t="s">
        <v>148</v>
      </c>
      <c r="D107" t="s">
        <v>106</v>
      </c>
      <c r="E107" t="s">
        <v>191</v>
      </c>
      <c r="F107" t="s">
        <v>165</v>
      </c>
      <c r="G107" t="s">
        <v>167</v>
      </c>
      <c r="H107" t="s">
        <v>151</v>
      </c>
      <c r="I107" t="s">
        <v>189</v>
      </c>
      <c r="J107">
        <v>0</v>
      </c>
      <c r="K107">
        <v>45.69</v>
      </c>
      <c r="L107">
        <v>6498.45</v>
      </c>
      <c r="M107">
        <v>296914.1805</v>
      </c>
      <c r="O107">
        <f>IF(D107="","",_CALC_MOTEUR!AE107)</f>
        <v>0</v>
      </c>
      <c r="P107">
        <f>IF(D107="","",_CALC_MOTEUR!AF107)</f>
        <v>45.69000002</v>
      </c>
      <c r="Q107">
        <f>IF(D107="","",_CALC_MOTEUR!AG107)</f>
        <v>6498.45</v>
      </c>
      <c r="R107">
        <f>IF(D107="","",_CALC_MOTEUR!AH107)</f>
        <v>296914.180629969</v>
      </c>
      <c r="S107">
        <f t="shared" si="0"/>
        <v>0.000129968975670636</v>
      </c>
    </row>
    <row r="108" ht="14.25" customHeight="1">
      <c r="A108" t="s">
        <v>147</v>
      </c>
      <c r="B108" t="s">
        <v>193</v>
      </c>
      <c r="C108" t="s">
        <v>148</v>
      </c>
      <c r="D108" t="s">
        <v>106</v>
      </c>
      <c r="E108" t="s">
        <v>191</v>
      </c>
      <c r="F108" t="s">
        <v>164</v>
      </c>
      <c r="G108" t="s">
        <v>150</v>
      </c>
      <c r="H108" t="s">
        <v>151</v>
      </c>
      <c r="I108" t="s">
        <v>189</v>
      </c>
      <c r="J108">
        <v>59.243083</v>
      </c>
      <c r="K108">
        <v>59.243083</v>
      </c>
      <c r="L108">
        <v>7581.525</v>
      </c>
      <c r="M108">
        <v>454484.792312</v>
      </c>
      <c r="O108">
        <f>IF(D108="","",_CALC_MOTEUR!AE108)</f>
        <v>59.2430940118847</v>
      </c>
      <c r="P108">
        <f>IF(D108="","",_CALC_MOTEUR!AF108)</f>
        <v>59.2430940118847</v>
      </c>
      <c r="Q108">
        <f>IF(D108="","",_CALC_MOTEUR!AG108)</f>
        <v>7581.525</v>
      </c>
      <c r="R108">
        <f>IF(D108="","",_CALC_MOTEUR!AH108)</f>
        <v>454484.876789524</v>
      </c>
      <c r="S108">
        <f t="shared" si="0"/>
        <v>0.0844775239820592</v>
      </c>
    </row>
    <row r="109" ht="14.25" customHeight="1">
      <c r="A109" t="s">
        <v>147</v>
      </c>
      <c r="B109" t="s">
        <v>193</v>
      </c>
      <c r="C109" t="s">
        <v>148</v>
      </c>
      <c r="D109" t="s">
        <v>105</v>
      </c>
      <c r="E109" t="s">
        <v>191</v>
      </c>
      <c r="F109" t="s">
        <v>165</v>
      </c>
      <c r="G109" t="s">
        <v>166</v>
      </c>
      <c r="H109" t="s">
        <v>151</v>
      </c>
      <c r="I109" t="s">
        <v>189</v>
      </c>
      <c r="J109">
        <v>46.478135</v>
      </c>
      <c r="K109">
        <v>46.478135</v>
      </c>
      <c r="L109">
        <v>6003.33</v>
      </c>
      <c r="M109">
        <v>283206.61434</v>
      </c>
      <c r="O109">
        <f>IF(D109="","",_CALC_MOTEUR!AE109)</f>
        <v>46.4781321790189</v>
      </c>
      <c r="P109">
        <f>IF(D109="","",_CALC_MOTEUR!AF109)</f>
        <v>46.4781321790189</v>
      </c>
      <c r="Q109">
        <f>IF(D109="","",_CALC_MOTEUR!AG109)</f>
        <v>6003.33</v>
      </c>
      <c r="R109">
        <f>IF(D109="","",_CALC_MOTEUR!AH109)</f>
        <v>283206.597150381</v>
      </c>
      <c r="S109">
        <f t="shared" si="0"/>
        <v>-0.0171896189567633</v>
      </c>
    </row>
    <row r="110" ht="14.25" customHeight="1">
      <c r="A110" t="s">
        <v>147</v>
      </c>
      <c r="B110" t="s">
        <v>193</v>
      </c>
      <c r="C110" t="s">
        <v>148</v>
      </c>
      <c r="D110" t="s">
        <v>105</v>
      </c>
      <c r="E110" t="s">
        <v>191</v>
      </c>
      <c r="F110" t="s">
        <v>165</v>
      </c>
      <c r="G110" t="s">
        <v>167</v>
      </c>
      <c r="H110" t="s">
        <v>151</v>
      </c>
      <c r="I110" t="s">
        <v>189</v>
      </c>
      <c r="J110">
        <v>0</v>
      </c>
      <c r="K110">
        <v>35.54</v>
      </c>
      <c r="L110">
        <v>6003.33</v>
      </c>
      <c r="M110">
        <v>213358.3482</v>
      </c>
      <c r="O110">
        <f>IF(D110="","",_CALC_MOTEUR!AE110)</f>
        <v>0</v>
      </c>
      <c r="P110">
        <f>IF(D110="","",_CALC_MOTEUR!AF110)</f>
        <v>35.539999992</v>
      </c>
      <c r="Q110">
        <f>IF(D110="","",_CALC_MOTEUR!AG110)</f>
        <v>6003.33</v>
      </c>
      <c r="R110">
        <f>IF(D110="","",_CALC_MOTEUR!AH110)</f>
        <v>213358.348151973</v>
      </c>
      <c r="S110">
        <f t="shared" si="0"/>
        <v>-0.0000480269955005497</v>
      </c>
    </row>
    <row r="111" ht="14.25" customHeight="1">
      <c r="A111" t="s">
        <v>147</v>
      </c>
      <c r="B111" t="s">
        <v>193</v>
      </c>
      <c r="C111" t="s">
        <v>148</v>
      </c>
      <c r="D111" t="s">
        <v>105</v>
      </c>
      <c r="E111" t="s">
        <v>191</v>
      </c>
      <c r="F111" t="s">
        <v>164</v>
      </c>
      <c r="G111" t="s">
        <v>150</v>
      </c>
      <c r="H111" t="s">
        <v>151</v>
      </c>
      <c r="I111" t="s">
        <v>189</v>
      </c>
      <c r="J111">
        <v>46.478135</v>
      </c>
      <c r="K111">
        <v>46.478135</v>
      </c>
      <c r="L111">
        <v>7003.885</v>
      </c>
      <c r="M111">
        <v>329710.544704</v>
      </c>
      <c r="O111">
        <f>IF(D111="","",_CALC_MOTEUR!AE111)</f>
        <v>46.4781321790189</v>
      </c>
      <c r="P111">
        <f>IF(D111="","",_CALC_MOTEUR!AF111)</f>
        <v>46.4781321790189</v>
      </c>
      <c r="Q111">
        <f>IF(D111="","",_CALC_MOTEUR!AG111)</f>
        <v>7003.885</v>
      </c>
      <c r="R111">
        <f>IF(D111="","",_CALC_MOTEUR!AH111)</f>
        <v>329710.524692759</v>
      </c>
      <c r="S111">
        <f t="shared" si="0"/>
        <v>-0.0200112410238944</v>
      </c>
    </row>
    <row r="112" ht="14.25" customHeight="1">
      <c r="A112" t="s">
        <v>147</v>
      </c>
      <c r="B112" t="s">
        <v>193</v>
      </c>
      <c r="C112" t="s">
        <v>148</v>
      </c>
      <c r="D112" t="s">
        <v>108</v>
      </c>
      <c r="E112" t="s">
        <v>192</v>
      </c>
      <c r="F112" t="s">
        <v>168</v>
      </c>
      <c r="G112" t="s">
        <v>150</v>
      </c>
      <c r="H112" t="s">
        <v>151</v>
      </c>
      <c r="I112" t="s">
        <v>189</v>
      </c>
      <c r="J112">
        <v>60.37401</v>
      </c>
      <c r="K112">
        <v>60.37401</v>
      </c>
      <c r="L112">
        <v>8128.12</v>
      </c>
      <c r="M112">
        <v>496160.859061</v>
      </c>
      <c r="O112">
        <f>IF(D112="","",_CALC_MOTEUR!AE112)</f>
        <v>60.3740083219068</v>
      </c>
      <c r="P112">
        <f>IF(D112="","",_CALC_MOTEUR!AF112)</f>
        <v>60.3740083219068</v>
      </c>
      <c r="Q112">
        <f>IF(D112="","",_CALC_MOTEUR!AG112)</f>
        <v>8128.12</v>
      </c>
      <c r="R112">
        <f>IF(D112="","",_CALC_MOTEUR!AH112)</f>
        <v>496160.845270429</v>
      </c>
      <c r="S112">
        <f t="shared" si="0"/>
        <v>-0.0137905710143968</v>
      </c>
    </row>
    <row r="113" ht="14.25" customHeight="1">
      <c r="A113" t="s">
        <v>147</v>
      </c>
      <c r="B113" t="s">
        <v>193</v>
      </c>
      <c r="C113" t="s">
        <v>148</v>
      </c>
      <c r="D113" t="s">
        <v>108</v>
      </c>
      <c r="E113" t="s">
        <v>192</v>
      </c>
      <c r="F113" t="s">
        <v>168</v>
      </c>
      <c r="G113" t="s">
        <v>153</v>
      </c>
      <c r="H113" t="s">
        <v>151</v>
      </c>
      <c r="I113" t="s">
        <v>189</v>
      </c>
      <c r="J113">
        <v>0</v>
      </c>
      <c r="K113">
        <v>46.705</v>
      </c>
      <c r="L113">
        <v>8128.12</v>
      </c>
      <c r="M113">
        <v>379623.8446</v>
      </c>
      <c r="O113">
        <f>IF(D113="","",_CALC_MOTEUR!AE113)</f>
        <v>0</v>
      </c>
      <c r="P113">
        <f>IF(D113="","",_CALC_MOTEUR!AF113)</f>
        <v>46.704999988</v>
      </c>
      <c r="Q113">
        <f>IF(D113="","",_CALC_MOTEUR!AG113)</f>
        <v>8128.12</v>
      </c>
      <c r="R113">
        <f>IF(D113="","",_CALC_MOTEUR!AH113)</f>
        <v>379623.844502463</v>
      </c>
      <c r="S113">
        <f t="shared" si="0"/>
        <v>-0.0000975370057858527</v>
      </c>
    </row>
    <row r="114" ht="14.25" customHeight="1">
      <c r="A114" t="s">
        <v>147</v>
      </c>
      <c r="B114" t="s">
        <v>193</v>
      </c>
      <c r="C114" t="s">
        <v>148</v>
      </c>
      <c r="D114" t="s">
        <v>108</v>
      </c>
      <c r="E114" t="s">
        <v>192</v>
      </c>
      <c r="F114" t="s">
        <v>168</v>
      </c>
      <c r="G114" t="s">
        <v>154</v>
      </c>
      <c r="H114" t="s">
        <v>151</v>
      </c>
      <c r="I114" t="s">
        <v>189</v>
      </c>
      <c r="J114">
        <v>0</v>
      </c>
      <c r="K114">
        <v>45.69</v>
      </c>
      <c r="L114">
        <v>8128.12</v>
      </c>
      <c r="M114">
        <v>371373.8028</v>
      </c>
      <c r="O114">
        <f>IF(D114="","",_CALC_MOTEUR!AE114)</f>
        <v>0</v>
      </c>
      <c r="P114">
        <f>IF(D114="","",_CALC_MOTEUR!AF114)</f>
        <v>45.69000002</v>
      </c>
      <c r="Q114">
        <f>IF(D114="","",_CALC_MOTEUR!AG114)</f>
        <v>8128.12</v>
      </c>
      <c r="R114">
        <f>IF(D114="","",_CALC_MOTEUR!AH114)</f>
        <v>371373.802962562</v>
      </c>
      <c r="S114">
        <f t="shared" si="0"/>
        <v>0.000162562006153166</v>
      </c>
    </row>
    <row r="115" ht="14.25" customHeight="1">
      <c r="A115" t="s">
        <v>147</v>
      </c>
      <c r="B115" t="s">
        <v>193</v>
      </c>
      <c r="C115" t="s">
        <v>148</v>
      </c>
      <c r="D115" t="s">
        <v>107</v>
      </c>
      <c r="E115" t="s">
        <v>192</v>
      </c>
      <c r="F115" t="s">
        <v>168</v>
      </c>
      <c r="G115" t="s">
        <v>150</v>
      </c>
      <c r="H115" t="s">
        <v>151</v>
      </c>
      <c r="I115" t="s">
        <v>189</v>
      </c>
      <c r="J115">
        <v>51.592495</v>
      </c>
      <c r="K115">
        <v>51.592495</v>
      </c>
      <c r="L115">
        <v>7620.1125</v>
      </c>
      <c r="M115">
        <v>397783.940606</v>
      </c>
      <c r="O115">
        <f>IF(D115="","",_CALC_MOTEUR!AE115)</f>
        <v>51.5924911451519</v>
      </c>
      <c r="P115">
        <f>IF(D115="","",_CALC_MOTEUR!AF115)</f>
        <v>51.5924911451519</v>
      </c>
      <c r="Q115">
        <f>IF(D115="","",_CALC_MOTEUR!AG115)</f>
        <v>7620.1125</v>
      </c>
      <c r="R115">
        <f>IF(D115="","",_CALC_MOTEUR!AH115)</f>
        <v>397783.910884375</v>
      </c>
      <c r="S115">
        <f t="shared" si="0"/>
        <v>-0.0297216250328347</v>
      </c>
    </row>
    <row r="116" ht="14.25" customHeight="1">
      <c r="A116" t="s">
        <v>147</v>
      </c>
      <c r="B116" t="s">
        <v>193</v>
      </c>
      <c r="C116" t="s">
        <v>148</v>
      </c>
      <c r="D116" t="s">
        <v>107</v>
      </c>
      <c r="E116" t="s">
        <v>192</v>
      </c>
      <c r="F116" t="s">
        <v>168</v>
      </c>
      <c r="G116" t="s">
        <v>153</v>
      </c>
      <c r="H116" t="s">
        <v>151</v>
      </c>
      <c r="I116" t="s">
        <v>189</v>
      </c>
      <c r="J116">
        <v>0</v>
      </c>
      <c r="K116">
        <v>39.6</v>
      </c>
      <c r="L116">
        <v>7620.1125</v>
      </c>
      <c r="M116">
        <v>301756.455</v>
      </c>
      <c r="O116">
        <f>IF(D116="","",_CALC_MOTEUR!AE116)</f>
        <v>0</v>
      </c>
      <c r="P116">
        <f>IF(D116="","",_CALC_MOTEUR!AF116)</f>
        <v>39.6</v>
      </c>
      <c r="Q116">
        <f>IF(D116="","",_CALC_MOTEUR!AG116)</f>
        <v>7620.1125</v>
      </c>
      <c r="R116">
        <f>IF(D116="","",_CALC_MOTEUR!AH116)</f>
        <v>301756.455</v>
      </c>
      <c r="S116">
        <f t="shared" si="0"/>
        <v>0</v>
      </c>
    </row>
    <row r="117" ht="14.25" customHeight="1">
      <c r="A117" t="s">
        <v>147</v>
      </c>
      <c r="B117" t="s">
        <v>193</v>
      </c>
      <c r="C117" t="s">
        <v>148</v>
      </c>
      <c r="D117" t="s">
        <v>107</v>
      </c>
      <c r="E117" t="s">
        <v>192</v>
      </c>
      <c r="F117" t="s">
        <v>168</v>
      </c>
      <c r="G117" t="s">
        <v>154</v>
      </c>
      <c r="H117" t="s">
        <v>151</v>
      </c>
      <c r="I117" t="s">
        <v>189</v>
      </c>
      <c r="J117">
        <v>0</v>
      </c>
      <c r="K117">
        <v>38.585</v>
      </c>
      <c r="L117">
        <v>7620.1125</v>
      </c>
      <c r="M117">
        <v>294022.040813</v>
      </c>
      <c r="O117">
        <f>IF(D117="","",_CALC_MOTEUR!AE117)</f>
        <v>0</v>
      </c>
      <c r="P117">
        <f>IF(D117="","",_CALC_MOTEUR!AF117)</f>
        <v>38.584999986</v>
      </c>
      <c r="Q117">
        <f>IF(D117="","",_CALC_MOTEUR!AG117)</f>
        <v>7620.1125</v>
      </c>
      <c r="R117">
        <f>IF(D117="","",_CALC_MOTEUR!AH117)</f>
        <v>294022.040705818</v>
      </c>
      <c r="S117">
        <f t="shared" si="0"/>
        <v>-0.000107182015199214</v>
      </c>
    </row>
    <row r="118" ht="14.25" customHeight="1">
      <c r="A118" t="s">
        <v>147</v>
      </c>
      <c r="B118" t="s">
        <v>193</v>
      </c>
      <c r="C118" t="s">
        <v>148</v>
      </c>
      <c r="D118" t="s">
        <v>105</v>
      </c>
      <c r="E118" t="s">
        <v>191</v>
      </c>
      <c r="F118" t="s">
        <v>164</v>
      </c>
      <c r="G118" t="s">
        <v>153</v>
      </c>
      <c r="H118" t="s">
        <v>151</v>
      </c>
      <c r="I118" t="s">
        <v>189</v>
      </c>
      <c r="J118">
        <v>0</v>
      </c>
      <c r="K118">
        <v>35.54</v>
      </c>
      <c r="L118">
        <v>7003.885</v>
      </c>
      <c r="M118">
        <v>248918.0729</v>
      </c>
      <c r="O118">
        <f>IF(D118="","",_CALC_MOTEUR!AE118)</f>
        <v>0</v>
      </c>
      <c r="P118">
        <f>IF(D118="","",_CALC_MOTEUR!AF118)</f>
        <v>35.539999992</v>
      </c>
      <c r="Q118">
        <f>IF(D118="","",_CALC_MOTEUR!AG118)</f>
        <v>7003.885</v>
      </c>
      <c r="R118">
        <f>IF(D118="","",_CALC_MOTEUR!AH118)</f>
        <v>248918.072843969</v>
      </c>
      <c r="S118">
        <f t="shared" si="0"/>
        <v>-0.0000560309854336083</v>
      </c>
    </row>
    <row r="119" ht="14.25" customHeight="1">
      <c r="A119" t="s">
        <v>147</v>
      </c>
      <c r="B119" t="s">
        <v>193</v>
      </c>
      <c r="C119" t="s">
        <v>148</v>
      </c>
      <c r="D119" t="s">
        <v>106</v>
      </c>
      <c r="E119" t="s">
        <v>191</v>
      </c>
      <c r="F119" t="s">
        <v>164</v>
      </c>
      <c r="G119" t="s">
        <v>153</v>
      </c>
      <c r="H119" t="s">
        <v>151</v>
      </c>
      <c r="I119" t="s">
        <v>189</v>
      </c>
      <c r="J119">
        <v>0</v>
      </c>
      <c r="K119">
        <v>45.69</v>
      </c>
      <c r="L119">
        <v>7581.525</v>
      </c>
      <c r="M119">
        <v>346399.87725</v>
      </c>
      <c r="O119">
        <f>IF(D119="","",_CALC_MOTEUR!AE119)</f>
        <v>0</v>
      </c>
      <c r="P119">
        <f>IF(D119="","",_CALC_MOTEUR!AF119)</f>
        <v>45.69000002</v>
      </c>
      <c r="Q119">
        <f>IF(D119="","",_CALC_MOTEUR!AG119)</f>
        <v>7581.525</v>
      </c>
      <c r="R119">
        <f>IF(D119="","",_CALC_MOTEUR!AH119)</f>
        <v>346399.87740163</v>
      </c>
      <c r="S119">
        <f t="shared" si="0"/>
        <v>0.000151629967149347</v>
      </c>
    </row>
    <row r="120" ht="14.25" customHeight="1">
      <c r="A120" t="s">
        <v>147</v>
      </c>
      <c r="B120" t="s">
        <v>193</v>
      </c>
      <c r="C120" t="s">
        <v>148</v>
      </c>
      <c r="D120" t="s">
        <v>105</v>
      </c>
      <c r="E120" t="s">
        <v>191</v>
      </c>
      <c r="F120" t="s">
        <v>164</v>
      </c>
      <c r="G120" t="s">
        <v>154</v>
      </c>
      <c r="H120" t="s">
        <v>151</v>
      </c>
      <c r="I120" t="s">
        <v>189</v>
      </c>
      <c r="J120">
        <v>0</v>
      </c>
      <c r="K120">
        <v>34.525</v>
      </c>
      <c r="L120">
        <v>7003.885</v>
      </c>
      <c r="M120">
        <v>241809.129625</v>
      </c>
      <c r="O120">
        <f>IF(D120="","",_CALC_MOTEUR!AE120)</f>
        <v>0</v>
      </c>
      <c r="P120">
        <f>IF(D120="","",_CALC_MOTEUR!AF120)</f>
        <v>34.524999985</v>
      </c>
      <c r="Q120">
        <f>IF(D120="","",_CALC_MOTEUR!AG120)</f>
        <v>7003.885</v>
      </c>
      <c r="R120">
        <f>IF(D120="","",_CALC_MOTEUR!AH120)</f>
        <v>241809.129519942</v>
      </c>
      <c r="S120">
        <f t="shared" si="0"/>
        <v>-0.000105057988548651</v>
      </c>
    </row>
    <row r="121" ht="14.25" customHeight="1">
      <c r="A121" t="s">
        <v>147</v>
      </c>
      <c r="B121" t="s">
        <v>193</v>
      </c>
      <c r="C121" t="s">
        <v>148</v>
      </c>
      <c r="D121" t="s">
        <v>106</v>
      </c>
      <c r="E121" t="s">
        <v>191</v>
      </c>
      <c r="F121" t="s">
        <v>164</v>
      </c>
      <c r="G121" t="s">
        <v>154</v>
      </c>
      <c r="H121" t="s">
        <v>151</v>
      </c>
      <c r="I121" t="s">
        <v>189</v>
      </c>
      <c r="J121">
        <v>0</v>
      </c>
      <c r="K121">
        <v>44.675</v>
      </c>
      <c r="L121">
        <v>7581.525</v>
      </c>
      <c r="M121">
        <v>338704.629375</v>
      </c>
      <c r="O121">
        <f>IF(D121="","",_CALC_MOTEUR!AE121)</f>
        <v>0</v>
      </c>
      <c r="P121">
        <f>IF(D121="","",_CALC_MOTEUR!AF121)</f>
        <v>44.67500001</v>
      </c>
      <c r="Q121">
        <f>IF(D121="","",_CALC_MOTEUR!AG121)</f>
        <v>7581.525</v>
      </c>
      <c r="R121">
        <f>IF(D121="","",_CALC_MOTEUR!AH121)</f>
        <v>338704.629450815</v>
      </c>
      <c r="S121">
        <f t="shared" si="0"/>
        <v>0.0000758149544708431</v>
      </c>
    </row>
    <row r="122" ht="14.25" customHeight="1">
      <c r="A122" t="s">
        <v>147</v>
      </c>
      <c r="B122" t="s">
        <v>194</v>
      </c>
      <c r="C122" t="s">
        <v>148</v>
      </c>
      <c r="D122" t="s">
        <v>104</v>
      </c>
      <c r="E122" t="s">
        <v>188</v>
      </c>
      <c r="F122" t="s">
        <v>162</v>
      </c>
      <c r="G122" t="s">
        <v>150</v>
      </c>
      <c r="H122" t="s">
        <v>158</v>
      </c>
      <c r="I122" t="s">
        <v>189</v>
      </c>
      <c r="J122">
        <v>72.432654</v>
      </c>
      <c r="K122">
        <v>72.432654</v>
      </c>
      <c r="L122">
        <v>8601.6</v>
      </c>
      <c r="M122">
        <v>629555.655506</v>
      </c>
      <c r="O122">
        <f>IF(D122="","",_CALC_MOTEUR!AE122)</f>
        <v>72.4326606009087</v>
      </c>
      <c r="P122">
        <f>IF(D122="","",_CALC_MOTEUR!AF122)</f>
        <v>72.4326606009087</v>
      </c>
      <c r="Q122">
        <f>IF(D122="","",_CALC_MOTEUR!AG122)</f>
        <v>8601.6</v>
      </c>
      <c r="R122">
        <f>IF(D122="","",_CALC_MOTEUR!AH122)</f>
        <v>629555.712878858</v>
      </c>
      <c r="S122">
        <f t="shared" si="0"/>
        <v>0.0573728579329327</v>
      </c>
    </row>
    <row r="123" ht="14.25" customHeight="1">
      <c r="A123" t="s">
        <v>147</v>
      </c>
      <c r="B123" t="s">
        <v>194</v>
      </c>
      <c r="C123" t="s">
        <v>148</v>
      </c>
      <c r="D123" t="s">
        <v>104</v>
      </c>
      <c r="E123" t="s">
        <v>188</v>
      </c>
      <c r="F123" t="s">
        <v>162</v>
      </c>
      <c r="G123" t="s">
        <v>153</v>
      </c>
      <c r="H123" t="s">
        <v>151</v>
      </c>
      <c r="I123" t="s">
        <v>189</v>
      </c>
      <c r="J123">
        <v>0</v>
      </c>
      <c r="K123">
        <v>75.22</v>
      </c>
      <c r="L123">
        <v>8028.16</v>
      </c>
      <c r="M123">
        <v>603878.1952</v>
      </c>
      <c r="O123">
        <f>IF(D123="","",_CALC_MOTEUR!AE123)</f>
        <v>0</v>
      </c>
      <c r="P123">
        <f>IF(D123="","",_CALC_MOTEUR!AF123)</f>
        <v>75.219999972</v>
      </c>
      <c r="Q123">
        <f>IF(D123="","",_CALC_MOTEUR!AG123)</f>
        <v>8028.16</v>
      </c>
      <c r="R123">
        <f>IF(D123="","",_CALC_MOTEUR!AH123)</f>
        <v>603878.194975212</v>
      </c>
      <c r="S123">
        <f t="shared" si="0"/>
        <v>-0.000224787974730134</v>
      </c>
    </row>
    <row r="124" ht="14.25" customHeight="1">
      <c r="A124" t="s">
        <v>147</v>
      </c>
      <c r="B124" t="s">
        <v>194</v>
      </c>
      <c r="C124" t="s">
        <v>148</v>
      </c>
      <c r="D124" t="s">
        <v>104</v>
      </c>
      <c r="E124" t="s">
        <v>188</v>
      </c>
      <c r="F124" t="s">
        <v>162</v>
      </c>
      <c r="G124" t="s">
        <v>154</v>
      </c>
      <c r="H124" t="s">
        <v>151</v>
      </c>
      <c r="I124" t="s">
        <v>189</v>
      </c>
      <c r="J124">
        <v>0</v>
      </c>
      <c r="K124">
        <v>73.24</v>
      </c>
      <c r="L124">
        <v>8028.16</v>
      </c>
      <c r="M124">
        <v>587982.4384</v>
      </c>
      <c r="O124">
        <f>IF(D124="","",_CALC_MOTEUR!AE124)</f>
        <v>0</v>
      </c>
      <c r="P124">
        <f>IF(D124="","",_CALC_MOTEUR!AF124)</f>
        <v>73.240000036</v>
      </c>
      <c r="Q124">
        <f>IF(D124="","",_CALC_MOTEUR!AG124)</f>
        <v>8028.16</v>
      </c>
      <c r="R124">
        <f>IF(D124="","",_CALC_MOTEUR!AH124)</f>
        <v>587982.438689014</v>
      </c>
      <c r="S124">
        <f t="shared" si="0"/>
        <v>0.000289013958536088</v>
      </c>
    </row>
    <row r="125" ht="14.25" customHeight="1">
      <c r="A125" t="s">
        <v>147</v>
      </c>
      <c r="B125" t="s">
        <v>194</v>
      </c>
      <c r="C125" t="s">
        <v>148</v>
      </c>
      <c r="D125" t="s">
        <v>104</v>
      </c>
      <c r="E125" t="s">
        <v>188</v>
      </c>
      <c r="F125" t="s">
        <v>163</v>
      </c>
      <c r="G125" t="s">
        <v>160</v>
      </c>
      <c r="H125" t="s">
        <v>151</v>
      </c>
      <c r="I125" t="s">
        <v>189</v>
      </c>
      <c r="J125">
        <v>70.836829</v>
      </c>
      <c r="K125">
        <v>70.836829</v>
      </c>
      <c r="L125">
        <v>8601.6</v>
      </c>
      <c r="M125">
        <v>615685.382936</v>
      </c>
      <c r="O125">
        <f>IF(D125="","",_CALC_MOTEUR!AE125)</f>
        <v>70.8368359673171</v>
      </c>
      <c r="P125">
        <f>IF(D125="","",_CALC_MOTEUR!AF125)</f>
        <v>70.8368359673171</v>
      </c>
      <c r="Q125">
        <f>IF(D125="","",_CALC_MOTEUR!AG125)</f>
        <v>8601.6</v>
      </c>
      <c r="R125">
        <f>IF(D125="","",_CALC_MOTEUR!AH125)</f>
        <v>615685.443493533</v>
      </c>
      <c r="S125">
        <f t="shared" si="0"/>
        <v>0.0605575329391286</v>
      </c>
    </row>
    <row r="126" ht="14.25" customHeight="1">
      <c r="A126" t="s">
        <v>147</v>
      </c>
      <c r="B126" t="s">
        <v>194</v>
      </c>
      <c r="C126" t="s">
        <v>148</v>
      </c>
      <c r="D126" t="s">
        <v>104</v>
      </c>
      <c r="E126" t="s">
        <v>188</v>
      </c>
      <c r="F126" t="s">
        <v>163</v>
      </c>
      <c r="G126" t="s">
        <v>161</v>
      </c>
      <c r="H126" t="s">
        <v>151</v>
      </c>
      <c r="I126" t="s">
        <v>189</v>
      </c>
      <c r="J126">
        <v>0</v>
      </c>
      <c r="K126">
        <v>75.22</v>
      </c>
      <c r="L126">
        <v>8601.6</v>
      </c>
      <c r="M126">
        <v>647012.352</v>
      </c>
      <c r="O126">
        <f>IF(D126="","",_CALC_MOTEUR!AE126)</f>
        <v>0</v>
      </c>
      <c r="P126">
        <f>IF(D126="","",_CALC_MOTEUR!AF126)</f>
        <v>75.219999972</v>
      </c>
      <c r="Q126">
        <f>IF(D126="","",_CALC_MOTEUR!AG126)</f>
        <v>8601.6</v>
      </c>
      <c r="R126">
        <f>IF(D126="","",_CALC_MOTEUR!AH126)</f>
        <v>647012.351759155</v>
      </c>
      <c r="S126">
        <f t="shared" si="0"/>
        <v>-0.000240844907239079</v>
      </c>
    </row>
    <row r="127" ht="14.25" customHeight="1">
      <c r="A127" t="s">
        <v>147</v>
      </c>
      <c r="B127" t="s">
        <v>194</v>
      </c>
      <c r="C127" t="s">
        <v>148</v>
      </c>
      <c r="D127" t="s">
        <v>101</v>
      </c>
      <c r="E127" t="s">
        <v>188</v>
      </c>
      <c r="F127" t="s">
        <v>162</v>
      </c>
      <c r="G127" t="s">
        <v>150</v>
      </c>
      <c r="H127" t="s">
        <v>158</v>
      </c>
      <c r="I127" t="s">
        <v>189</v>
      </c>
      <c r="J127">
        <v>61.226543</v>
      </c>
      <c r="K127">
        <v>61.226543</v>
      </c>
      <c r="L127">
        <v>8064</v>
      </c>
      <c r="M127">
        <v>499241.231622</v>
      </c>
      <c r="O127">
        <f>IF(D127="","",_CALC_MOTEUR!AE127)</f>
        <v>61.2265381744153</v>
      </c>
      <c r="P127">
        <f>IF(D127="","",_CALC_MOTEUR!AF127)</f>
        <v>61.2265381744153</v>
      </c>
      <c r="Q127">
        <f>IF(D127="","",_CALC_MOTEUR!AG127)</f>
        <v>8064</v>
      </c>
      <c r="R127">
        <f>IF(D127="","",_CALC_MOTEUR!AH127)</f>
        <v>499241.192274182</v>
      </c>
      <c r="S127">
        <f t="shared" si="0"/>
        <v>-0.0393478180048987</v>
      </c>
    </row>
    <row r="128" ht="14.25" customHeight="1">
      <c r="A128" t="s">
        <v>147</v>
      </c>
      <c r="B128" t="s">
        <v>194</v>
      </c>
      <c r="C128" t="s">
        <v>148</v>
      </c>
      <c r="D128" t="s">
        <v>101</v>
      </c>
      <c r="E128" t="s">
        <v>188</v>
      </c>
      <c r="F128" t="s">
        <v>162</v>
      </c>
      <c r="G128" t="s">
        <v>153</v>
      </c>
      <c r="H128" t="s">
        <v>151</v>
      </c>
      <c r="I128" t="s">
        <v>189</v>
      </c>
      <c r="J128">
        <v>0</v>
      </c>
      <c r="K128">
        <v>63.34</v>
      </c>
      <c r="L128">
        <v>7526.4</v>
      </c>
      <c r="M128">
        <v>476722.176</v>
      </c>
      <c r="O128">
        <f>IF(D128="","",_CALC_MOTEUR!AE128)</f>
        <v>0</v>
      </c>
      <c r="P128">
        <f>IF(D128="","",_CALC_MOTEUR!AF128)</f>
        <v>63.34000002</v>
      </c>
      <c r="Q128">
        <f>IF(D128="","",_CALC_MOTEUR!AG128)</f>
        <v>7526.4</v>
      </c>
      <c r="R128">
        <f>IF(D128="","",_CALC_MOTEUR!AH128)</f>
        <v>476722.176150528</v>
      </c>
      <c r="S128">
        <f t="shared" si="0"/>
        <v>0.000150528037920594</v>
      </c>
    </row>
    <row r="129" ht="14.25" customHeight="1">
      <c r="A129" t="s">
        <v>147</v>
      </c>
      <c r="B129" t="s">
        <v>194</v>
      </c>
      <c r="C129" t="s">
        <v>148</v>
      </c>
      <c r="D129" t="s">
        <v>101</v>
      </c>
      <c r="E129" t="s">
        <v>188</v>
      </c>
      <c r="F129" t="s">
        <v>162</v>
      </c>
      <c r="G129" t="s">
        <v>154</v>
      </c>
      <c r="H129" t="s">
        <v>151</v>
      </c>
      <c r="I129" t="s">
        <v>189</v>
      </c>
      <c r="J129">
        <v>0</v>
      </c>
      <c r="K129">
        <v>62.36</v>
      </c>
      <c r="L129">
        <v>7526.4</v>
      </c>
      <c r="M129">
        <v>469346.304</v>
      </c>
      <c r="O129">
        <f>IF(D129="","",_CALC_MOTEUR!AE129)</f>
        <v>0</v>
      </c>
      <c r="P129">
        <f>IF(D129="","",_CALC_MOTEUR!AF129)</f>
        <v>62.36</v>
      </c>
      <c r="Q129">
        <f>IF(D129="","",_CALC_MOTEUR!AG129)</f>
        <v>7526.4</v>
      </c>
      <c r="R129">
        <f>IF(D129="","",_CALC_MOTEUR!AH129)</f>
        <v>469346.304</v>
      </c>
      <c r="S129">
        <f t="shared" si="0"/>
        <v>0</v>
      </c>
    </row>
    <row r="130" ht="14.25" customHeight="1">
      <c r="A130" t="s">
        <v>147</v>
      </c>
      <c r="B130" t="s">
        <v>194</v>
      </c>
      <c r="C130" t="s">
        <v>148</v>
      </c>
      <c r="D130" t="s">
        <v>101</v>
      </c>
      <c r="E130" t="s">
        <v>188</v>
      </c>
      <c r="F130" t="s">
        <v>163</v>
      </c>
      <c r="G130" t="s">
        <v>160</v>
      </c>
      <c r="H130" t="s">
        <v>151</v>
      </c>
      <c r="I130" t="s">
        <v>189</v>
      </c>
      <c r="J130">
        <v>59.880916</v>
      </c>
      <c r="K130">
        <v>59.880916</v>
      </c>
      <c r="L130">
        <v>8064</v>
      </c>
      <c r="M130">
        <v>488268.989064</v>
      </c>
      <c r="O130">
        <f>IF(D130="","",_CALC_MOTEUR!AE130)</f>
        <v>59.8809107426504</v>
      </c>
      <c r="P130">
        <f>IF(D130="","",_CALC_MOTEUR!AF130)</f>
        <v>59.8809107426504</v>
      </c>
      <c r="Q130">
        <f>IF(D130="","",_CALC_MOTEUR!AG130)</f>
        <v>8064</v>
      </c>
      <c r="R130">
        <f>IF(D130="","",_CALC_MOTEUR!AH130)</f>
        <v>488268.946195571</v>
      </c>
      <c r="S130">
        <f t="shared" si="0"/>
        <v>-0.042868429038208</v>
      </c>
    </row>
    <row r="131" ht="14.25" customHeight="1">
      <c r="A131" t="s">
        <v>147</v>
      </c>
      <c r="B131" t="s">
        <v>194</v>
      </c>
      <c r="C131" t="s">
        <v>148</v>
      </c>
      <c r="D131" t="s">
        <v>101</v>
      </c>
      <c r="E131" t="s">
        <v>188</v>
      </c>
      <c r="F131" t="s">
        <v>163</v>
      </c>
      <c r="G131" t="s">
        <v>161</v>
      </c>
      <c r="H131" t="s">
        <v>151</v>
      </c>
      <c r="I131" t="s">
        <v>189</v>
      </c>
      <c r="J131">
        <v>0</v>
      </c>
      <c r="K131">
        <v>64.34</v>
      </c>
      <c r="L131">
        <v>8064</v>
      </c>
      <c r="M131">
        <v>518837.76</v>
      </c>
      <c r="O131">
        <f>IF(D131="","",_CALC_MOTEUR!AE131)</f>
        <v>0</v>
      </c>
      <c r="P131">
        <f>IF(D131="","",_CALC_MOTEUR!AF131)</f>
        <v>64.34000001</v>
      </c>
      <c r="Q131">
        <f>IF(D131="","",_CALC_MOTEUR!AG131)</f>
        <v>8064</v>
      </c>
      <c r="R131">
        <f>IF(D131="","",_CALC_MOTEUR!AH131)</f>
        <v>518837.76008064</v>
      </c>
      <c r="S131">
        <f t="shared" si="0"/>
        <v>0.0000806399621069431</v>
      </c>
    </row>
    <row r="132" ht="14.25" customHeight="1">
      <c r="A132" t="s">
        <v>147</v>
      </c>
      <c r="B132" t="s">
        <v>194</v>
      </c>
      <c r="C132" t="s">
        <v>148</v>
      </c>
      <c r="D132" t="s">
        <v>103</v>
      </c>
      <c r="E132" t="s">
        <v>188</v>
      </c>
      <c r="F132" t="s">
        <v>162</v>
      </c>
      <c r="G132" t="s">
        <v>150</v>
      </c>
      <c r="H132" t="s">
        <v>158</v>
      </c>
      <c r="I132" t="s">
        <v>189</v>
      </c>
      <c r="J132">
        <v>55.632349</v>
      </c>
      <c r="K132">
        <v>55.632349</v>
      </c>
      <c r="L132">
        <v>7680</v>
      </c>
      <c r="M132">
        <v>432263.35173</v>
      </c>
      <c r="O132">
        <f>IF(D132="","",_CALC_MOTEUR!AE132)</f>
        <v>55.6323357149238</v>
      </c>
      <c r="P132">
        <f>IF(D132="","",_CALC_MOTEUR!AF132)</f>
        <v>55.6323357149238</v>
      </c>
      <c r="Q132">
        <f>IF(D132="","",_CALC_MOTEUR!AG132)</f>
        <v>7680</v>
      </c>
      <c r="R132">
        <f>IF(D132="","",_CALC_MOTEUR!AH132)</f>
        <v>432263.248504958</v>
      </c>
      <c r="S132">
        <f t="shared" si="0"/>
        <v>-0.103225041995756</v>
      </c>
    </row>
    <row r="133" ht="14.25" customHeight="1">
      <c r="A133" t="s">
        <v>147</v>
      </c>
      <c r="B133" t="s">
        <v>194</v>
      </c>
      <c r="C133" t="s">
        <v>148</v>
      </c>
      <c r="D133" t="s">
        <v>103</v>
      </c>
      <c r="E133" t="s">
        <v>188</v>
      </c>
      <c r="F133" t="s">
        <v>162</v>
      </c>
      <c r="G133" t="s">
        <v>153</v>
      </c>
      <c r="H133" t="s">
        <v>151</v>
      </c>
      <c r="I133" t="s">
        <v>189</v>
      </c>
      <c r="J133">
        <v>0</v>
      </c>
      <c r="K133">
        <v>57.4</v>
      </c>
      <c r="L133">
        <v>7168</v>
      </c>
      <c r="M133">
        <v>411443.2</v>
      </c>
      <c r="O133">
        <f>IF(D133="","",_CALC_MOTEUR!AE133)</f>
        <v>0</v>
      </c>
      <c r="P133">
        <f>IF(D133="","",_CALC_MOTEUR!AF133)</f>
        <v>57.40000002</v>
      </c>
      <c r="Q133">
        <f>IF(D133="","",_CALC_MOTEUR!AG133)</f>
        <v>7168</v>
      </c>
      <c r="R133">
        <f>IF(D133="","",_CALC_MOTEUR!AH133)</f>
        <v>411443.20014336</v>
      </c>
      <c r="S133">
        <f t="shared" si="0"/>
        <v>0.000143359997309744</v>
      </c>
    </row>
    <row r="134" ht="14.25" customHeight="1">
      <c r="A134" t="s">
        <v>147</v>
      </c>
      <c r="B134" t="s">
        <v>194</v>
      </c>
      <c r="C134" t="s">
        <v>148</v>
      </c>
      <c r="D134" t="s">
        <v>103</v>
      </c>
      <c r="E134" t="s">
        <v>188</v>
      </c>
      <c r="F134" t="s">
        <v>162</v>
      </c>
      <c r="G134" t="s">
        <v>154</v>
      </c>
      <c r="H134" t="s">
        <v>151</v>
      </c>
      <c r="I134" t="s">
        <v>189</v>
      </c>
      <c r="J134">
        <v>0</v>
      </c>
      <c r="K134">
        <v>56.42</v>
      </c>
      <c r="L134">
        <v>7168</v>
      </c>
      <c r="M134">
        <v>404418.56</v>
      </c>
      <c r="O134">
        <f>IF(D134="","",_CALC_MOTEUR!AE134)</f>
        <v>0</v>
      </c>
      <c r="P134">
        <f>IF(D134="","",_CALC_MOTEUR!AF134)</f>
        <v>56.420000018</v>
      </c>
      <c r="Q134">
        <f>IF(D134="","",_CALC_MOTEUR!AG134)</f>
        <v>7168</v>
      </c>
      <c r="R134">
        <f>IF(D134="","",_CALC_MOTEUR!AH134)</f>
        <v>404418.560129024</v>
      </c>
      <c r="S134">
        <f t="shared" si="0"/>
        <v>0.000129023974295706</v>
      </c>
    </row>
    <row r="135" ht="14.25" customHeight="1">
      <c r="A135" t="s">
        <v>147</v>
      </c>
      <c r="B135" t="s">
        <v>194</v>
      </c>
      <c r="C135" t="s">
        <v>148</v>
      </c>
      <c r="D135" t="s">
        <v>103</v>
      </c>
      <c r="E135" t="s">
        <v>188</v>
      </c>
      <c r="F135" t="s">
        <v>163</v>
      </c>
      <c r="G135" t="s">
        <v>160</v>
      </c>
      <c r="H135" t="s">
        <v>151</v>
      </c>
      <c r="I135" t="s">
        <v>189</v>
      </c>
      <c r="J135">
        <v>54.406977</v>
      </c>
      <c r="K135">
        <v>54.406977</v>
      </c>
      <c r="L135">
        <v>7680</v>
      </c>
      <c r="M135">
        <v>422742.21129</v>
      </c>
      <c r="O135">
        <f>IF(D135="","",_CALC_MOTEUR!AE135)</f>
        <v>54.406964255654</v>
      </c>
      <c r="P135">
        <f>IF(D135="","",_CALC_MOTEUR!AF135)</f>
        <v>54.406964255654</v>
      </c>
      <c r="Q135">
        <f>IF(D135="","",_CALC_MOTEUR!AG135)</f>
        <v>7680</v>
      </c>
      <c r="R135">
        <f>IF(D135="","",_CALC_MOTEUR!AH135)</f>
        <v>422742.112266432</v>
      </c>
      <c r="S135">
        <f t="shared" si="0"/>
        <v>-0.0990235679782927</v>
      </c>
    </row>
    <row r="136" ht="14.25" customHeight="1">
      <c r="A136" t="s">
        <v>147</v>
      </c>
      <c r="B136" t="s">
        <v>194</v>
      </c>
      <c r="C136" t="s">
        <v>148</v>
      </c>
      <c r="D136" t="s">
        <v>103</v>
      </c>
      <c r="E136" t="s">
        <v>188</v>
      </c>
      <c r="F136" t="s">
        <v>163</v>
      </c>
      <c r="G136" t="s">
        <v>161</v>
      </c>
      <c r="H136" t="s">
        <v>151</v>
      </c>
      <c r="I136" t="s">
        <v>189</v>
      </c>
      <c r="J136">
        <v>0</v>
      </c>
      <c r="K136">
        <v>58.4</v>
      </c>
      <c r="L136">
        <v>7680</v>
      </c>
      <c r="M136">
        <v>448512</v>
      </c>
      <c r="O136">
        <f>IF(D136="","",_CALC_MOTEUR!AE136)</f>
        <v>0</v>
      </c>
      <c r="P136">
        <f>IF(D136="","",_CALC_MOTEUR!AF136)</f>
        <v>58.39999998</v>
      </c>
      <c r="Q136">
        <f>IF(D136="","",_CALC_MOTEUR!AG136)</f>
        <v>7680</v>
      </c>
      <c r="R136">
        <f>IF(D136="","",_CALC_MOTEUR!AH136)</f>
        <v>448511.9998464</v>
      </c>
      <c r="S136">
        <f t="shared" si="0"/>
        <v>-0.000153600005432963</v>
      </c>
    </row>
    <row r="137" ht="14.25" customHeight="1">
      <c r="A137" t="s">
        <v>147</v>
      </c>
      <c r="B137" t="s">
        <v>194</v>
      </c>
      <c r="C137" t="s">
        <v>148</v>
      </c>
      <c r="D137" t="s">
        <v>99</v>
      </c>
      <c r="E137" t="s">
        <v>188</v>
      </c>
      <c r="F137" t="s">
        <v>162</v>
      </c>
      <c r="G137" t="s">
        <v>150</v>
      </c>
      <c r="H137" t="s">
        <v>158</v>
      </c>
      <c r="I137" t="s">
        <v>189</v>
      </c>
      <c r="J137">
        <v>47.269295</v>
      </c>
      <c r="K137">
        <v>47.269295</v>
      </c>
      <c r="L137">
        <v>7449.6</v>
      </c>
      <c r="M137">
        <v>356391.576582</v>
      </c>
      <c r="O137">
        <f>IF(D137="","",_CALC_MOTEUR!AE137)</f>
        <v>47.2692892130146</v>
      </c>
      <c r="P137">
        <f>IF(D137="","",_CALC_MOTEUR!AF137)</f>
        <v>47.2692892130146</v>
      </c>
      <c r="Q137">
        <f>IF(D137="","",_CALC_MOTEUR!AG137)</f>
        <v>7449.6</v>
      </c>
      <c r="R137">
        <f>IF(D137="","",_CALC_MOTEUR!AH137)</f>
        <v>356391.532950445</v>
      </c>
      <c r="S137">
        <f t="shared" si="0"/>
        <v>-0.0436315549886785</v>
      </c>
    </row>
    <row r="138" ht="14.25" customHeight="1">
      <c r="A138" t="s">
        <v>147</v>
      </c>
      <c r="B138" t="s">
        <v>194</v>
      </c>
      <c r="C138" t="s">
        <v>148</v>
      </c>
      <c r="D138" t="s">
        <v>99</v>
      </c>
      <c r="E138" t="s">
        <v>188</v>
      </c>
      <c r="F138" t="s">
        <v>162</v>
      </c>
      <c r="G138" t="s">
        <v>153</v>
      </c>
      <c r="H138" t="s">
        <v>151</v>
      </c>
      <c r="I138" t="s">
        <v>189</v>
      </c>
      <c r="J138">
        <v>0</v>
      </c>
      <c r="K138">
        <v>48.49</v>
      </c>
      <c r="L138">
        <v>6952.96</v>
      </c>
      <c r="M138">
        <v>337149.0304</v>
      </c>
      <c r="O138">
        <f>IF(D138="","",_CALC_MOTEUR!AE138)</f>
        <v>0</v>
      </c>
      <c r="P138">
        <f>IF(D138="","",_CALC_MOTEUR!AF138)</f>
        <v>48.490000014</v>
      </c>
      <c r="Q138">
        <f>IF(D138="","",_CALC_MOTEUR!AG138)</f>
        <v>6952.96</v>
      </c>
      <c r="R138">
        <f>IF(D138="","",_CALC_MOTEUR!AH138)</f>
        <v>337149.030497341</v>
      </c>
      <c r="S138">
        <f t="shared" si="0"/>
        <v>0.000097341020591557</v>
      </c>
    </row>
    <row r="139" ht="14.25" customHeight="1">
      <c r="A139" t="s">
        <v>147</v>
      </c>
      <c r="B139" t="s">
        <v>194</v>
      </c>
      <c r="C139" t="s">
        <v>148</v>
      </c>
      <c r="D139" t="s">
        <v>99</v>
      </c>
      <c r="E139" t="s">
        <v>188</v>
      </c>
      <c r="F139" t="s">
        <v>162</v>
      </c>
      <c r="G139" t="s">
        <v>154</v>
      </c>
      <c r="H139" t="s">
        <v>151</v>
      </c>
      <c r="I139" t="s">
        <v>189</v>
      </c>
      <c r="J139">
        <v>0</v>
      </c>
      <c r="K139">
        <v>47.51</v>
      </c>
      <c r="L139">
        <v>6952.96</v>
      </c>
      <c r="M139">
        <v>330335.1296</v>
      </c>
      <c r="O139">
        <f>IF(D139="","",_CALC_MOTEUR!AE139)</f>
        <v>0</v>
      </c>
      <c r="P139">
        <f>IF(D139="","",_CALC_MOTEUR!AF139)</f>
        <v>47.510000013</v>
      </c>
      <c r="Q139">
        <f>IF(D139="","",_CALC_MOTEUR!AG139)</f>
        <v>6952.96</v>
      </c>
      <c r="R139">
        <f>IF(D139="","",_CALC_MOTEUR!AH139)</f>
        <v>330335.129690389</v>
      </c>
      <c r="S139">
        <f t="shared" si="0"/>
        <v>0.000090388988610357</v>
      </c>
    </row>
    <row r="140" ht="14.25" customHeight="1">
      <c r="A140" t="s">
        <v>147</v>
      </c>
      <c r="B140" t="s">
        <v>194</v>
      </c>
      <c r="C140" t="s">
        <v>148</v>
      </c>
      <c r="D140" t="s">
        <v>99</v>
      </c>
      <c r="E140" t="s">
        <v>188</v>
      </c>
      <c r="F140" t="s">
        <v>163</v>
      </c>
      <c r="G140" t="s">
        <v>160</v>
      </c>
      <c r="H140" t="s">
        <v>151</v>
      </c>
      <c r="I140" t="s">
        <v>189</v>
      </c>
      <c r="J140">
        <v>46.232974</v>
      </c>
      <c r="K140">
        <v>46.232974</v>
      </c>
      <c r="L140">
        <v>7449.6</v>
      </c>
      <c r="M140">
        <v>348578.13077</v>
      </c>
      <c r="O140">
        <f>IF(D140="","",_CALC_MOTEUR!AE140)</f>
        <v>46.2329680336836</v>
      </c>
      <c r="P140">
        <f>IF(D140="","",_CALC_MOTEUR!AF140)</f>
        <v>46.2329680336836</v>
      </c>
      <c r="Q140">
        <f>IF(D140="","",_CALC_MOTEUR!AG140)</f>
        <v>7449.6</v>
      </c>
      <c r="R140">
        <f>IF(D140="","",_CALC_MOTEUR!AH140)</f>
        <v>348578.085786761</v>
      </c>
      <c r="S140">
        <f t="shared" si="0"/>
        <v>-0.0449832389713265</v>
      </c>
    </row>
    <row r="141" ht="14.25" customHeight="1">
      <c r="A141" t="s">
        <v>147</v>
      </c>
      <c r="B141" t="s">
        <v>194</v>
      </c>
      <c r="C141" t="s">
        <v>148</v>
      </c>
      <c r="D141" t="s">
        <v>99</v>
      </c>
      <c r="E141" t="s">
        <v>188</v>
      </c>
      <c r="F141" t="s">
        <v>163</v>
      </c>
      <c r="G141" t="s">
        <v>161</v>
      </c>
      <c r="H141" t="s">
        <v>151</v>
      </c>
      <c r="I141" t="s">
        <v>189</v>
      </c>
      <c r="J141">
        <v>0</v>
      </c>
      <c r="K141">
        <v>49.49</v>
      </c>
      <c r="L141">
        <v>7449.6</v>
      </c>
      <c r="M141">
        <v>368680.704</v>
      </c>
      <c r="O141">
        <f>IF(D141="","",_CALC_MOTEUR!AE141)</f>
        <v>0</v>
      </c>
      <c r="P141">
        <f>IF(D141="","",_CALC_MOTEUR!AF141)</f>
        <v>49.490000007</v>
      </c>
      <c r="Q141">
        <f>IF(D141="","",_CALC_MOTEUR!AG141)</f>
        <v>7449.6</v>
      </c>
      <c r="R141">
        <f>IF(D141="","",_CALC_MOTEUR!AH141)</f>
        <v>368680.704052147</v>
      </c>
      <c r="S141">
        <f t="shared" si="0"/>
        <v>0.0000521469628438354</v>
      </c>
    </row>
    <row r="142" ht="14.25" customHeight="1">
      <c r="A142" t="s">
        <v>147</v>
      </c>
      <c r="B142" t="s">
        <v>194</v>
      </c>
      <c r="C142" t="s">
        <v>148</v>
      </c>
      <c r="D142" t="s">
        <v>95</v>
      </c>
      <c r="E142" t="s">
        <v>49</v>
      </c>
      <c r="F142" t="s">
        <v>157</v>
      </c>
      <c r="G142" t="s">
        <v>150</v>
      </c>
      <c r="H142" t="s">
        <v>158</v>
      </c>
      <c r="I142" t="s">
        <v>189</v>
      </c>
      <c r="J142">
        <v>66.905471</v>
      </c>
      <c r="K142">
        <v>66.905471</v>
      </c>
      <c r="L142">
        <v>8593.2</v>
      </c>
      <c r="M142">
        <v>580953.585787</v>
      </c>
      <c r="O142">
        <f>IF(D142="","",_CALC_MOTEUR!AE142)</f>
        <v>66.9054750250772</v>
      </c>
      <c r="P142">
        <f>IF(D142="","",_CALC_MOTEUR!AF142)</f>
        <v>66.9054750250772</v>
      </c>
      <c r="Q142">
        <f>IF(D142="","",_CALC_MOTEUR!AG142)</f>
        <v>8593.2</v>
      </c>
      <c r="R142">
        <f>IF(D142="","",_CALC_MOTEUR!AH142)</f>
        <v>580953.62073775</v>
      </c>
      <c r="S142">
        <f t="shared" si="0"/>
        <v>0.0349507499486208</v>
      </c>
    </row>
    <row r="143" ht="14.25" customHeight="1">
      <c r="A143" t="s">
        <v>147</v>
      </c>
      <c r="B143" t="s">
        <v>194</v>
      </c>
      <c r="C143" t="s">
        <v>148</v>
      </c>
      <c r="D143" t="s">
        <v>95</v>
      </c>
      <c r="E143" t="s">
        <v>49</v>
      </c>
      <c r="F143" t="s">
        <v>157</v>
      </c>
      <c r="G143" t="s">
        <v>153</v>
      </c>
      <c r="H143" t="s">
        <v>151</v>
      </c>
      <c r="I143" t="s">
        <v>189</v>
      </c>
      <c r="J143">
        <v>0</v>
      </c>
      <c r="K143">
        <v>69.28</v>
      </c>
      <c r="L143">
        <v>8020.32</v>
      </c>
      <c r="M143">
        <v>555647.7696</v>
      </c>
      <c r="O143">
        <f>IF(D143="","",_CALC_MOTEUR!AE143)</f>
        <v>0</v>
      </c>
      <c r="P143">
        <f>IF(D143="","",_CALC_MOTEUR!AF143)</f>
        <v>69.279999984</v>
      </c>
      <c r="Q143">
        <f>IF(D143="","",_CALC_MOTEUR!AG143)</f>
        <v>8020.32</v>
      </c>
      <c r="R143">
        <f>IF(D143="","",_CALC_MOTEUR!AH143)</f>
        <v>555647.769471675</v>
      </c>
      <c r="S143">
        <f t="shared" si="0"/>
        <v>-0.000128324958495796</v>
      </c>
    </row>
    <row r="144" ht="14.25" customHeight="1">
      <c r="A144" t="s">
        <v>147</v>
      </c>
      <c r="B144" t="s">
        <v>194</v>
      </c>
      <c r="C144" t="s">
        <v>148</v>
      </c>
      <c r="D144" t="s">
        <v>95</v>
      </c>
      <c r="E144" t="s">
        <v>49</v>
      </c>
      <c r="F144" t="s">
        <v>157</v>
      </c>
      <c r="G144" t="s">
        <v>154</v>
      </c>
      <c r="H144" t="s">
        <v>151</v>
      </c>
      <c r="I144" t="s">
        <v>189</v>
      </c>
      <c r="J144">
        <v>0</v>
      </c>
      <c r="K144">
        <v>68.3</v>
      </c>
      <c r="L144">
        <v>8020.32</v>
      </c>
      <c r="M144">
        <v>547787.856</v>
      </c>
      <c r="O144">
        <f>IF(D144="","",_CALC_MOTEUR!AE144)</f>
        <v>0</v>
      </c>
      <c r="P144">
        <f>IF(D144="","",_CALC_MOTEUR!AF144)</f>
        <v>68.30000002</v>
      </c>
      <c r="Q144">
        <f>IF(D144="","",_CALC_MOTEUR!AG144)</f>
        <v>8020.32</v>
      </c>
      <c r="R144">
        <f>IF(D144="","",_CALC_MOTEUR!AH144)</f>
        <v>547787.856160406</v>
      </c>
      <c r="S144">
        <f t="shared" si="0"/>
        <v>0.000160405994392931</v>
      </c>
    </row>
    <row r="145" ht="14.25" customHeight="1">
      <c r="A145" t="s">
        <v>147</v>
      </c>
      <c r="B145" t="s">
        <v>194</v>
      </c>
      <c r="C145" t="s">
        <v>148</v>
      </c>
      <c r="D145" t="s">
        <v>95</v>
      </c>
      <c r="E145" t="s">
        <v>49</v>
      </c>
      <c r="F145" t="s">
        <v>159</v>
      </c>
      <c r="G145" t="s">
        <v>160</v>
      </c>
      <c r="H145" t="s">
        <v>151</v>
      </c>
      <c r="I145" t="s">
        <v>189</v>
      </c>
      <c r="J145">
        <v>65.437731</v>
      </c>
      <c r="K145">
        <v>65.437731</v>
      </c>
      <c r="L145">
        <v>8593.2</v>
      </c>
      <c r="M145">
        <v>568208.905819</v>
      </c>
      <c r="O145">
        <f>IF(D145="","",_CALC_MOTEUR!AE145)</f>
        <v>65.4377351507916</v>
      </c>
      <c r="P145">
        <f>IF(D145="","",_CALC_MOTEUR!AF145)</f>
        <v>65.4377351507916</v>
      </c>
      <c r="Q145">
        <f>IF(D145="","",_CALC_MOTEUR!AG145)</f>
        <v>8593.2</v>
      </c>
      <c r="R145">
        <f>IF(D145="","",_CALC_MOTEUR!AH145)</f>
        <v>568208.941861354</v>
      </c>
      <c r="S145">
        <f t="shared" si="0"/>
        <v>0.0360423540696502</v>
      </c>
    </row>
    <row r="146" ht="14.25" customHeight="1">
      <c r="A146" t="s">
        <v>147</v>
      </c>
      <c r="B146" t="s">
        <v>194</v>
      </c>
      <c r="C146" t="s">
        <v>148</v>
      </c>
      <c r="D146" t="s">
        <v>95</v>
      </c>
      <c r="E146" t="s">
        <v>49</v>
      </c>
      <c r="F146" t="s">
        <v>159</v>
      </c>
      <c r="G146" t="s">
        <v>161</v>
      </c>
      <c r="H146" t="s">
        <v>151</v>
      </c>
      <c r="I146" t="s">
        <v>189</v>
      </c>
      <c r="J146">
        <v>0</v>
      </c>
      <c r="K146">
        <v>70.28</v>
      </c>
      <c r="L146">
        <v>8593.2</v>
      </c>
      <c r="M146">
        <v>603930.096</v>
      </c>
      <c r="O146">
        <f>IF(D146="","",_CALC_MOTEUR!AE146)</f>
        <v>0</v>
      </c>
      <c r="P146">
        <f>IF(D146="","",_CALC_MOTEUR!AF146)</f>
        <v>70.279999992</v>
      </c>
      <c r="Q146">
        <f>IF(D146="","",_CALC_MOTEUR!AG146)</f>
        <v>8593.2</v>
      </c>
      <c r="R146">
        <f>IF(D146="","",_CALC_MOTEUR!AH146)</f>
        <v>603930.095931254</v>
      </c>
      <c r="S146">
        <f t="shared" si="0"/>
        <v>-0.0000687460415065289</v>
      </c>
    </row>
    <row r="147" ht="14.25" customHeight="1">
      <c r="A147" t="s">
        <v>147</v>
      </c>
      <c r="B147" t="s">
        <v>194</v>
      </c>
      <c r="C147" t="s">
        <v>148</v>
      </c>
      <c r="D147" t="s">
        <v>93</v>
      </c>
      <c r="E147" t="s">
        <v>49</v>
      </c>
      <c r="F147" t="s">
        <v>157</v>
      </c>
      <c r="G147" t="s">
        <v>150</v>
      </c>
      <c r="H147" t="s">
        <v>158</v>
      </c>
      <c r="I147" t="s">
        <v>189</v>
      </c>
      <c r="J147">
        <v>46.373803</v>
      </c>
      <c r="K147">
        <v>46.373803</v>
      </c>
      <c r="L147">
        <v>7519.05</v>
      </c>
      <c r="M147">
        <v>352860.585717</v>
      </c>
      <c r="O147">
        <f>IF(D147="","",_CALC_MOTEUR!AE147)</f>
        <v>46.3738129059542</v>
      </c>
      <c r="P147">
        <f>IF(D147="","",_CALC_MOTEUR!AF147)</f>
        <v>46.3738129059542</v>
      </c>
      <c r="Q147">
        <f>IF(D147="","",_CALC_MOTEUR!AG147)</f>
        <v>7519.05</v>
      </c>
      <c r="R147">
        <f>IF(D147="","",_CALC_MOTEUR!AH147)</f>
        <v>352860.661092051</v>
      </c>
      <c r="S147">
        <f t="shared" si="0"/>
        <v>0.0753750510048121</v>
      </c>
    </row>
    <row r="148" ht="14.25" customHeight="1">
      <c r="A148" t="s">
        <v>147</v>
      </c>
      <c r="B148" t="s">
        <v>194</v>
      </c>
      <c r="C148" t="s">
        <v>148</v>
      </c>
      <c r="D148" t="s">
        <v>93</v>
      </c>
      <c r="E148" t="s">
        <v>49</v>
      </c>
      <c r="F148" t="s">
        <v>157</v>
      </c>
      <c r="G148" t="s">
        <v>153</v>
      </c>
      <c r="H148" t="s">
        <v>151</v>
      </c>
      <c r="I148" t="s">
        <v>189</v>
      </c>
      <c r="J148">
        <v>0</v>
      </c>
      <c r="K148">
        <v>47.5</v>
      </c>
      <c r="L148">
        <v>7017.78</v>
      </c>
      <c r="M148">
        <v>333344.55</v>
      </c>
      <c r="O148">
        <f>IF(D148="","",_CALC_MOTEUR!AE148)</f>
        <v>0</v>
      </c>
      <c r="P148">
        <f>IF(D148="","",_CALC_MOTEUR!AF148)</f>
        <v>47.5</v>
      </c>
      <c r="Q148">
        <f>IF(D148="","",_CALC_MOTEUR!AG148)</f>
        <v>7017.78</v>
      </c>
      <c r="R148">
        <f>IF(D148="","",_CALC_MOTEUR!AH148)</f>
        <v>333344.55</v>
      </c>
      <c r="S148">
        <f t="shared" si="0"/>
        <v>0</v>
      </c>
    </row>
    <row r="149" ht="14.25" customHeight="1">
      <c r="A149" t="s">
        <v>147</v>
      </c>
      <c r="B149" t="s">
        <v>194</v>
      </c>
      <c r="C149" t="s">
        <v>148</v>
      </c>
      <c r="D149" t="s">
        <v>93</v>
      </c>
      <c r="E149" t="s">
        <v>49</v>
      </c>
      <c r="F149" t="s">
        <v>157</v>
      </c>
      <c r="G149" t="s">
        <v>154</v>
      </c>
      <c r="H149" t="s">
        <v>151</v>
      </c>
      <c r="I149" t="s">
        <v>189</v>
      </c>
      <c r="J149">
        <v>0</v>
      </c>
      <c r="K149">
        <v>46.52</v>
      </c>
      <c r="L149">
        <v>7017.78</v>
      </c>
      <c r="M149">
        <v>326467.1256</v>
      </c>
      <c r="O149">
        <f>IF(D149="","",_CALC_MOTEUR!AE149)</f>
        <v>0</v>
      </c>
      <c r="P149">
        <f>IF(D149="","",_CALC_MOTEUR!AF149)</f>
        <v>46.520000016</v>
      </c>
      <c r="Q149">
        <f>IF(D149="","",_CALC_MOTEUR!AG149)</f>
        <v>7017.78</v>
      </c>
      <c r="R149">
        <f>IF(D149="","",_CALC_MOTEUR!AH149)</f>
        <v>326467.125712284</v>
      </c>
      <c r="S149">
        <f t="shared" si="0"/>
        <v>0.000112283974885941</v>
      </c>
    </row>
    <row r="150" ht="14.25" customHeight="1">
      <c r="A150" t="s">
        <v>147</v>
      </c>
      <c r="B150" t="s">
        <v>194</v>
      </c>
      <c r="C150" t="s">
        <v>148</v>
      </c>
      <c r="D150" t="s">
        <v>93</v>
      </c>
      <c r="E150" t="s">
        <v>49</v>
      </c>
      <c r="F150" t="s">
        <v>159</v>
      </c>
      <c r="G150" t="s">
        <v>160</v>
      </c>
      <c r="H150" t="s">
        <v>151</v>
      </c>
      <c r="I150" t="s">
        <v>189</v>
      </c>
      <c r="J150">
        <v>45.353454</v>
      </c>
      <c r="K150">
        <v>45.353454</v>
      </c>
      <c r="L150">
        <v>7519.05</v>
      </c>
      <c r="M150">
        <v>345096.699159</v>
      </c>
      <c r="O150">
        <f>IF(D150="","",_CALC_MOTEUR!AE150)</f>
        <v>45.3534643443333</v>
      </c>
      <c r="P150">
        <f>IF(D150="","",_CALC_MOTEUR!AF150)</f>
        <v>45.3534643443333</v>
      </c>
      <c r="Q150">
        <f>IF(D150="","",_CALC_MOTEUR!AG150)</f>
        <v>7519.05</v>
      </c>
      <c r="R150">
        <f>IF(D150="","",_CALC_MOTEUR!AH150)</f>
        <v>345096.777869249</v>
      </c>
      <c r="S150">
        <f t="shared" si="0"/>
        <v>0.0787102489848621</v>
      </c>
    </row>
    <row r="151" ht="14.25" customHeight="1">
      <c r="A151" t="s">
        <v>147</v>
      </c>
      <c r="B151" t="s">
        <v>194</v>
      </c>
      <c r="C151" t="s">
        <v>148</v>
      </c>
      <c r="D151" t="s">
        <v>93</v>
      </c>
      <c r="E151" t="s">
        <v>49</v>
      </c>
      <c r="F151" t="s">
        <v>159</v>
      </c>
      <c r="G151" t="s">
        <v>161</v>
      </c>
      <c r="H151" t="s">
        <v>151</v>
      </c>
      <c r="I151" t="s">
        <v>189</v>
      </c>
      <c r="J151">
        <v>0</v>
      </c>
      <c r="K151">
        <v>48.5</v>
      </c>
      <c r="L151">
        <v>7519.05</v>
      </c>
      <c r="M151">
        <v>364673.925</v>
      </c>
      <c r="O151">
        <f>IF(D151="","",_CALC_MOTEUR!AE151)</f>
        <v>0</v>
      </c>
      <c r="P151">
        <f>IF(D151="","",_CALC_MOTEUR!AF151)</f>
        <v>48.5</v>
      </c>
      <c r="Q151">
        <f>IF(D151="","",_CALC_MOTEUR!AG151)</f>
        <v>7519.05</v>
      </c>
      <c r="R151">
        <f>IF(D151="","",_CALC_MOTEUR!AH151)</f>
        <v>364673.925</v>
      </c>
      <c r="S151">
        <f t="shared" si="0"/>
        <v>0</v>
      </c>
    </row>
    <row r="152" ht="14.25" customHeight="1">
      <c r="A152" t="s">
        <v>147</v>
      </c>
      <c r="B152" t="s">
        <v>194</v>
      </c>
      <c r="C152" t="s">
        <v>148</v>
      </c>
      <c r="D152" t="s">
        <v>97</v>
      </c>
      <c r="E152" t="s">
        <v>49</v>
      </c>
      <c r="F152" t="s">
        <v>157</v>
      </c>
      <c r="G152" t="s">
        <v>150</v>
      </c>
      <c r="H152" t="s">
        <v>158</v>
      </c>
      <c r="I152" t="s">
        <v>189</v>
      </c>
      <c r="J152">
        <v>43.580238</v>
      </c>
      <c r="K152">
        <v>43.580238</v>
      </c>
      <c r="L152">
        <v>7365.6</v>
      </c>
      <c r="M152">
        <v>324916.822433</v>
      </c>
      <c r="O152">
        <f>IF(D152="","",_CALC_MOTEUR!AE152)</f>
        <v>43.5802375624366</v>
      </c>
      <c r="P152">
        <f>IF(D152="","",_CALC_MOTEUR!AF152)</f>
        <v>43.5802375624366</v>
      </c>
      <c r="Q152">
        <f>IF(D152="","",_CALC_MOTEUR!AG152)</f>
        <v>7365.6</v>
      </c>
      <c r="R152">
        <f>IF(D152="","",_CALC_MOTEUR!AH152)</f>
        <v>324916.819170502</v>
      </c>
      <c r="S152">
        <f t="shared" si="0"/>
        <v>-0.00326249800855294</v>
      </c>
    </row>
    <row r="153" ht="14.25" customHeight="1">
      <c r="A153" t="s">
        <v>147</v>
      </c>
      <c r="B153" t="s">
        <v>194</v>
      </c>
      <c r="C153" t="s">
        <v>148</v>
      </c>
      <c r="D153" t="s">
        <v>97</v>
      </c>
      <c r="E153" t="s">
        <v>49</v>
      </c>
      <c r="F153" t="s">
        <v>157</v>
      </c>
      <c r="G153" t="s">
        <v>153</v>
      </c>
      <c r="H153" t="s">
        <v>151</v>
      </c>
      <c r="I153" t="s">
        <v>189</v>
      </c>
      <c r="J153">
        <v>0</v>
      </c>
      <c r="K153">
        <v>45.53</v>
      </c>
      <c r="L153">
        <v>6874.56</v>
      </c>
      <c r="M153">
        <v>312998.7168</v>
      </c>
      <c r="O153">
        <f>IF(D153="","",_CALC_MOTEUR!AE153)</f>
        <v>0</v>
      </c>
      <c r="P153">
        <f>IF(D153="","",_CALC_MOTEUR!AF153)</f>
        <v>45.529999988</v>
      </c>
      <c r="Q153">
        <f>IF(D153="","",_CALC_MOTEUR!AG153)</f>
        <v>6874.56</v>
      </c>
      <c r="R153">
        <f>IF(D153="","",_CALC_MOTEUR!AH153)</f>
        <v>312998.716717505</v>
      </c>
      <c r="S153">
        <f t="shared" si="0"/>
        <v>-0.0000824949820525944</v>
      </c>
    </row>
    <row r="154" ht="14.25" customHeight="1">
      <c r="A154" t="s">
        <v>147</v>
      </c>
      <c r="B154" t="s">
        <v>194</v>
      </c>
      <c r="C154" t="s">
        <v>148</v>
      </c>
      <c r="D154" t="s">
        <v>97</v>
      </c>
      <c r="E154" t="s">
        <v>49</v>
      </c>
      <c r="F154" t="s">
        <v>157</v>
      </c>
      <c r="G154" t="s">
        <v>154</v>
      </c>
      <c r="H154" t="s">
        <v>151</v>
      </c>
      <c r="I154" t="s">
        <v>189</v>
      </c>
      <c r="J154">
        <v>0</v>
      </c>
      <c r="K154">
        <v>44.54</v>
      </c>
      <c r="L154">
        <v>6874.56</v>
      </c>
      <c r="M154">
        <v>306192.9024</v>
      </c>
      <c r="O154">
        <f>IF(D154="","",_CALC_MOTEUR!AE154)</f>
        <v>0</v>
      </c>
      <c r="P154">
        <f>IF(D154="","",_CALC_MOTEUR!AF154)</f>
        <v>44.54000002</v>
      </c>
      <c r="Q154">
        <f>IF(D154="","",_CALC_MOTEUR!AG154)</f>
        <v>6874.56</v>
      </c>
      <c r="R154">
        <f>IF(D154="","",_CALC_MOTEUR!AH154)</f>
        <v>306192.902537491</v>
      </c>
      <c r="S154">
        <f t="shared" si="0"/>
        <v>0.0001374909770675</v>
      </c>
    </row>
    <row r="155" ht="14.25" customHeight="1">
      <c r="A155" t="s">
        <v>147</v>
      </c>
      <c r="B155" t="s">
        <v>194</v>
      </c>
      <c r="C155" t="s">
        <v>148</v>
      </c>
      <c r="D155" t="s">
        <v>97</v>
      </c>
      <c r="E155" t="s">
        <v>49</v>
      </c>
      <c r="F155" t="s">
        <v>159</v>
      </c>
      <c r="G155" t="s">
        <v>160</v>
      </c>
      <c r="H155" t="s">
        <v>151</v>
      </c>
      <c r="I155" t="s">
        <v>189</v>
      </c>
      <c r="J155">
        <v>42.619942</v>
      </c>
      <c r="K155">
        <v>42.619942</v>
      </c>
      <c r="L155">
        <v>7365.6</v>
      </c>
      <c r="M155">
        <v>317757.239575</v>
      </c>
      <c r="O155">
        <f>IF(D155="","",_CALC_MOTEUR!AE155)</f>
        <v>42.6199414433196</v>
      </c>
      <c r="P155">
        <f>IF(D155="","",_CALC_MOTEUR!AF155)</f>
        <v>42.6199414433196</v>
      </c>
      <c r="Q155">
        <f>IF(D155="","",_CALC_MOTEUR!AG155)</f>
        <v>7365.6</v>
      </c>
      <c r="R155">
        <f>IF(D155="","",_CALC_MOTEUR!AH155)</f>
        <v>317757.235424814</v>
      </c>
      <c r="S155">
        <f t="shared" si="0"/>
        <v>-0.00415018602507189</v>
      </c>
    </row>
    <row r="156" ht="14.25" customHeight="1">
      <c r="A156" t="s">
        <v>147</v>
      </c>
      <c r="B156" t="s">
        <v>194</v>
      </c>
      <c r="C156" t="s">
        <v>148</v>
      </c>
      <c r="D156" t="s">
        <v>97</v>
      </c>
      <c r="E156" t="s">
        <v>49</v>
      </c>
      <c r="F156" t="s">
        <v>159</v>
      </c>
      <c r="G156" t="s">
        <v>161</v>
      </c>
      <c r="H156" t="s">
        <v>151</v>
      </c>
      <c r="I156" t="s">
        <v>189</v>
      </c>
      <c r="J156">
        <v>0</v>
      </c>
      <c r="K156">
        <v>45.53</v>
      </c>
      <c r="L156">
        <v>7365.6</v>
      </c>
      <c r="M156">
        <v>335355.768</v>
      </c>
      <c r="O156">
        <f>IF(D156="","",_CALC_MOTEUR!AE156)</f>
        <v>0</v>
      </c>
      <c r="P156">
        <f>IF(D156="","",_CALC_MOTEUR!AF156)</f>
        <v>45.529999988</v>
      </c>
      <c r="Q156">
        <f>IF(D156="","",_CALC_MOTEUR!AG156)</f>
        <v>7365.6</v>
      </c>
      <c r="R156">
        <f>IF(D156="","",_CALC_MOTEUR!AH156)</f>
        <v>335355.767911613</v>
      </c>
      <c r="S156">
        <f t="shared" si="0"/>
        <v>-0.0000883869943208992</v>
      </c>
    </row>
    <row r="157" ht="14.25" customHeight="1">
      <c r="A157" t="s">
        <v>147</v>
      </c>
      <c r="B157" t="s">
        <v>194</v>
      </c>
      <c r="C157" t="s">
        <v>148</v>
      </c>
      <c r="D157" t="s">
        <v>89</v>
      </c>
      <c r="E157" t="s">
        <v>190</v>
      </c>
      <c r="F157" t="s">
        <v>149</v>
      </c>
      <c r="G157" t="s">
        <v>150</v>
      </c>
      <c r="H157" t="s">
        <v>151</v>
      </c>
      <c r="I157" t="s">
        <v>189</v>
      </c>
      <c r="J157">
        <v>45.271499</v>
      </c>
      <c r="K157">
        <v>45.271499</v>
      </c>
      <c r="L157">
        <v>7133</v>
      </c>
      <c r="M157">
        <v>326996.037277</v>
      </c>
      <c r="O157">
        <f>IF(D157="","",_CALC_MOTEUR!AE157)</f>
        <v>45.2715044791178</v>
      </c>
      <c r="P157">
        <f>IF(D157="","",_CALC_MOTEUR!AF157)</f>
        <v>45.2715044791178</v>
      </c>
      <c r="Q157">
        <f>IF(D157="","",_CALC_MOTEUR!AG157)</f>
        <v>7133</v>
      </c>
      <c r="R157">
        <f>IF(D157="","",_CALC_MOTEUR!AH157)</f>
        <v>326996.076852668</v>
      </c>
      <c r="S157">
        <f t="shared" si="0"/>
        <v>0.0395756679936312</v>
      </c>
    </row>
    <row r="158" ht="14.25" customHeight="1">
      <c r="A158" t="s">
        <v>147</v>
      </c>
      <c r="B158" t="s">
        <v>194</v>
      </c>
      <c r="C158" t="s">
        <v>148</v>
      </c>
      <c r="D158" t="s">
        <v>89</v>
      </c>
      <c r="E158" t="s">
        <v>190</v>
      </c>
      <c r="F158" t="s">
        <v>149</v>
      </c>
      <c r="G158" t="s">
        <v>153</v>
      </c>
      <c r="H158" t="s">
        <v>151</v>
      </c>
      <c r="I158" t="s">
        <v>189</v>
      </c>
      <c r="J158">
        <v>0</v>
      </c>
      <c r="K158">
        <v>47.5</v>
      </c>
      <c r="L158">
        <v>7133</v>
      </c>
      <c r="M158">
        <v>338817.5</v>
      </c>
      <c r="O158">
        <f>IF(D158="","",_CALC_MOTEUR!AE158)</f>
        <v>0</v>
      </c>
      <c r="P158">
        <f>IF(D158="","",_CALC_MOTEUR!AF158)</f>
        <v>47.5</v>
      </c>
      <c r="Q158">
        <f>IF(D158="","",_CALC_MOTEUR!AG158)</f>
        <v>7133</v>
      </c>
      <c r="R158">
        <f>IF(D158="","",_CALC_MOTEUR!AH158)</f>
        <v>338817.5</v>
      </c>
      <c r="S158">
        <f t="shared" si="0"/>
        <v>0</v>
      </c>
    </row>
    <row r="159" ht="14.25" customHeight="1">
      <c r="A159" t="s">
        <v>147</v>
      </c>
      <c r="B159" t="s">
        <v>194</v>
      </c>
      <c r="C159" t="s">
        <v>148</v>
      </c>
      <c r="D159" t="s">
        <v>89</v>
      </c>
      <c r="E159" t="s">
        <v>190</v>
      </c>
      <c r="F159" t="s">
        <v>149</v>
      </c>
      <c r="G159" t="s">
        <v>154</v>
      </c>
      <c r="H159" t="s">
        <v>151</v>
      </c>
      <c r="I159" t="s">
        <v>189</v>
      </c>
      <c r="J159">
        <v>0</v>
      </c>
      <c r="K159">
        <v>46.52</v>
      </c>
      <c r="L159">
        <v>7133</v>
      </c>
      <c r="M159">
        <v>331827.16</v>
      </c>
      <c r="O159">
        <f>IF(D159="","",_CALC_MOTEUR!AE159)</f>
        <v>0</v>
      </c>
      <c r="P159">
        <f>IF(D159="","",_CALC_MOTEUR!AF159)</f>
        <v>46.520000016</v>
      </c>
      <c r="Q159">
        <f>IF(D159="","",_CALC_MOTEUR!AG159)</f>
        <v>7133</v>
      </c>
      <c r="R159">
        <f>IF(D159="","",_CALC_MOTEUR!AH159)</f>
        <v>331827.160114128</v>
      </c>
      <c r="S159">
        <f t="shared" si="0"/>
        <v>0.00011412805179134</v>
      </c>
    </row>
    <row r="160" ht="14.25" customHeight="1">
      <c r="A160" t="s">
        <v>147</v>
      </c>
      <c r="B160" t="s">
        <v>194</v>
      </c>
      <c r="C160" t="s">
        <v>148</v>
      </c>
      <c r="D160" t="s">
        <v>91</v>
      </c>
      <c r="E160" t="s">
        <v>190</v>
      </c>
      <c r="F160" t="s">
        <v>149</v>
      </c>
      <c r="G160" t="s">
        <v>150</v>
      </c>
      <c r="H160" t="s">
        <v>151</v>
      </c>
      <c r="I160" t="s">
        <v>189</v>
      </c>
      <c r="J160">
        <v>36.19156</v>
      </c>
      <c r="K160">
        <v>36.19156</v>
      </c>
      <c r="L160">
        <v>6776.35</v>
      </c>
      <c r="M160">
        <v>248503.918006</v>
      </c>
      <c r="O160">
        <f>IF(D160="","",_CALC_MOTEUR!AE160)</f>
        <v>36.1915595806658</v>
      </c>
      <c r="P160">
        <f>IF(D160="","",_CALC_MOTEUR!AF160)</f>
        <v>36.1915595806658</v>
      </c>
      <c r="Q160">
        <f>IF(D160="","",_CALC_MOTEUR!AG160)</f>
        <v>6776.35</v>
      </c>
      <c r="R160">
        <f>IF(D160="","",_CALC_MOTEUR!AH160)</f>
        <v>248503.915126705</v>
      </c>
      <c r="S160">
        <f t="shared" si="0"/>
        <v>-0.00287929500336759</v>
      </c>
    </row>
    <row r="161" ht="14.25" customHeight="1">
      <c r="A161" t="s">
        <v>147</v>
      </c>
      <c r="B161" t="s">
        <v>194</v>
      </c>
      <c r="C161" t="s">
        <v>148</v>
      </c>
      <c r="D161" t="s">
        <v>91</v>
      </c>
      <c r="E161" t="s">
        <v>190</v>
      </c>
      <c r="F161" t="s">
        <v>149</v>
      </c>
      <c r="G161" t="s">
        <v>153</v>
      </c>
      <c r="H161" t="s">
        <v>151</v>
      </c>
      <c r="I161" t="s">
        <v>189</v>
      </c>
      <c r="J161">
        <v>0</v>
      </c>
      <c r="K161">
        <v>38.6</v>
      </c>
      <c r="L161">
        <v>6776.35</v>
      </c>
      <c r="M161">
        <v>261567.11</v>
      </c>
      <c r="O161">
        <f>IF(D161="","",_CALC_MOTEUR!AE161)</f>
        <v>0</v>
      </c>
      <c r="P161">
        <f>IF(D161="","",_CALC_MOTEUR!AF161)</f>
        <v>38.6</v>
      </c>
      <c r="Q161">
        <f>IF(D161="","",_CALC_MOTEUR!AG161)</f>
        <v>6776.35</v>
      </c>
      <c r="R161">
        <f>IF(D161="","",_CALC_MOTEUR!AH161)</f>
        <v>261567.11</v>
      </c>
      <c r="S161">
        <f t="shared" si="0"/>
        <v>0</v>
      </c>
    </row>
    <row r="162" ht="14.25" customHeight="1">
      <c r="A162" t="s">
        <v>147</v>
      </c>
      <c r="B162" t="s">
        <v>194</v>
      </c>
      <c r="C162" t="s">
        <v>148</v>
      </c>
      <c r="D162" t="s">
        <v>91</v>
      </c>
      <c r="E162" t="s">
        <v>190</v>
      </c>
      <c r="F162" t="s">
        <v>149</v>
      </c>
      <c r="G162" t="s">
        <v>154</v>
      </c>
      <c r="H162" t="s">
        <v>151</v>
      </c>
      <c r="I162" t="s">
        <v>189</v>
      </c>
      <c r="J162">
        <v>0</v>
      </c>
      <c r="K162">
        <v>37.61</v>
      </c>
      <c r="L162">
        <v>6776.35</v>
      </c>
      <c r="M162">
        <v>254858.5235</v>
      </c>
      <c r="O162">
        <f>IF(D162="","",_CALC_MOTEUR!AE162)</f>
        <v>0</v>
      </c>
      <c r="P162">
        <f>IF(D162="","",_CALC_MOTEUR!AF162)</f>
        <v>37.609999986</v>
      </c>
      <c r="Q162">
        <f>IF(D162="","",_CALC_MOTEUR!AG162)</f>
        <v>6776.35</v>
      </c>
      <c r="R162">
        <f>IF(D162="","",_CALC_MOTEUR!AH162)</f>
        <v>254858.523405131</v>
      </c>
      <c r="S162">
        <f t="shared" si="0"/>
        <v>-0.000094868999440223</v>
      </c>
    </row>
    <row r="163" ht="14.25" customHeight="1">
      <c r="A163" t="s">
        <v>147</v>
      </c>
      <c r="B163" t="s">
        <v>194</v>
      </c>
      <c r="C163" t="s">
        <v>148</v>
      </c>
      <c r="D163" t="s">
        <v>86</v>
      </c>
      <c r="E163" t="s">
        <v>190</v>
      </c>
      <c r="F163" t="s">
        <v>149</v>
      </c>
      <c r="G163" t="s">
        <v>150</v>
      </c>
      <c r="H163" t="s">
        <v>151</v>
      </c>
      <c r="I163" t="s">
        <v>189</v>
      </c>
      <c r="J163">
        <v>36.183876</v>
      </c>
      <c r="K163">
        <v>36.183876</v>
      </c>
      <c r="L163">
        <v>6776.35</v>
      </c>
      <c r="M163">
        <v>248451.156973</v>
      </c>
      <c r="O163">
        <f>IF(D163="","",_CALC_MOTEUR!AE163)</f>
        <v>36.1838851847555</v>
      </c>
      <c r="P163">
        <f>IF(D163="","",_CALC_MOTEUR!AF163)</f>
        <v>36.1838851847555</v>
      </c>
      <c r="Q163">
        <f>IF(D163="","",_CALC_MOTEUR!AG163)</f>
        <v>6776.35</v>
      </c>
      <c r="R163">
        <f>IF(D163="","",_CALC_MOTEUR!AH163)</f>
        <v>248451.220038346</v>
      </c>
      <c r="S163">
        <f t="shared" si="0"/>
        <v>0.0630653459811583</v>
      </c>
    </row>
    <row r="164" ht="14.25" customHeight="1">
      <c r="A164" t="s">
        <v>147</v>
      </c>
      <c r="B164" t="s">
        <v>194</v>
      </c>
      <c r="C164" t="s">
        <v>148</v>
      </c>
      <c r="D164" t="s">
        <v>86</v>
      </c>
      <c r="E164" t="s">
        <v>190</v>
      </c>
      <c r="F164" t="s">
        <v>149</v>
      </c>
      <c r="G164" t="s">
        <v>153</v>
      </c>
      <c r="H164" t="s">
        <v>151</v>
      </c>
      <c r="I164" t="s">
        <v>189</v>
      </c>
      <c r="J164">
        <v>0</v>
      </c>
      <c r="K164">
        <v>38.6</v>
      </c>
      <c r="L164">
        <v>6776.35</v>
      </c>
      <c r="M164">
        <v>261567.11</v>
      </c>
      <c r="O164">
        <f>IF(D164="","",_CALC_MOTEUR!AE164)</f>
        <v>0</v>
      </c>
      <c r="P164">
        <f>IF(D164="","",_CALC_MOTEUR!AF164)</f>
        <v>38.6</v>
      </c>
      <c r="Q164">
        <f>IF(D164="","",_CALC_MOTEUR!AG164)</f>
        <v>6776.35</v>
      </c>
      <c r="R164">
        <f>IF(D164="","",_CALC_MOTEUR!AH164)</f>
        <v>261567.11</v>
      </c>
      <c r="S164">
        <f t="shared" si="0"/>
        <v>0</v>
      </c>
    </row>
    <row r="165" ht="14.25" customHeight="1">
      <c r="A165" t="s">
        <v>147</v>
      </c>
      <c r="B165" t="s">
        <v>194</v>
      </c>
      <c r="C165" t="s">
        <v>148</v>
      </c>
      <c r="D165" t="s">
        <v>86</v>
      </c>
      <c r="E165" t="s">
        <v>190</v>
      </c>
      <c r="F165" t="s">
        <v>149</v>
      </c>
      <c r="G165" t="s">
        <v>154</v>
      </c>
      <c r="H165" t="s">
        <v>151</v>
      </c>
      <c r="I165" t="s">
        <v>189</v>
      </c>
      <c r="J165">
        <v>0</v>
      </c>
      <c r="K165">
        <v>37.61</v>
      </c>
      <c r="L165">
        <v>6776.35</v>
      </c>
      <c r="M165">
        <v>254858.5235</v>
      </c>
      <c r="O165">
        <f>IF(D165="","",_CALC_MOTEUR!AE165)</f>
        <v>0</v>
      </c>
      <c r="P165">
        <f>IF(D165="","",_CALC_MOTEUR!AF165)</f>
        <v>37.609999986</v>
      </c>
      <c r="Q165">
        <f>IF(D165="","",_CALC_MOTEUR!AG165)</f>
        <v>6776.35</v>
      </c>
      <c r="R165">
        <f>IF(D165="","",_CALC_MOTEUR!AH165)</f>
        <v>254858.523405131</v>
      </c>
      <c r="S165">
        <f t="shared" si="0"/>
        <v>-0.000094868999440223</v>
      </c>
    </row>
    <row r="166" ht="14.25" customHeight="1">
      <c r="A166" t="s">
        <v>147</v>
      </c>
      <c r="B166" t="s">
        <v>194</v>
      </c>
      <c r="C166" t="s">
        <v>148</v>
      </c>
      <c r="D166" t="s">
        <v>106</v>
      </c>
      <c r="E166" t="s">
        <v>191</v>
      </c>
      <c r="F166" t="s">
        <v>165</v>
      </c>
      <c r="G166" t="s">
        <v>166</v>
      </c>
      <c r="H166" t="s">
        <v>151</v>
      </c>
      <c r="I166" t="s">
        <v>189</v>
      </c>
      <c r="J166">
        <v>41.800317</v>
      </c>
      <c r="K166">
        <v>41.800317</v>
      </c>
      <c r="L166">
        <v>6413.4</v>
      </c>
      <c r="M166">
        <v>271844.181578</v>
      </c>
      <c r="O166">
        <f>IF(D166="","",_CALC_MOTEUR!AE166)</f>
        <v>41.800320022057</v>
      </c>
      <c r="P166">
        <f>IF(D166="","",_CALC_MOTEUR!AF166)</f>
        <v>41.800320022057</v>
      </c>
      <c r="Q166">
        <f>IF(D166="","",_CALC_MOTEUR!AG166)</f>
        <v>6413.4</v>
      </c>
      <c r="R166">
        <f>IF(D166="","",_CALC_MOTEUR!AH166)</f>
        <v>271844.201231445</v>
      </c>
      <c r="S166">
        <f t="shared" si="0"/>
        <v>0.0196534449933097</v>
      </c>
    </row>
    <row r="167" ht="14.25" customHeight="1">
      <c r="A167" t="s">
        <v>147</v>
      </c>
      <c r="B167" t="s">
        <v>194</v>
      </c>
      <c r="C167" t="s">
        <v>148</v>
      </c>
      <c r="D167" t="s">
        <v>106</v>
      </c>
      <c r="E167" t="s">
        <v>191</v>
      </c>
      <c r="F167" t="s">
        <v>165</v>
      </c>
      <c r="G167" t="s">
        <v>167</v>
      </c>
      <c r="H167" t="s">
        <v>151</v>
      </c>
      <c r="I167" t="s">
        <v>189</v>
      </c>
      <c r="J167">
        <v>0</v>
      </c>
      <c r="K167">
        <v>44.54</v>
      </c>
      <c r="L167">
        <v>6413.4</v>
      </c>
      <c r="M167">
        <v>285652.836</v>
      </c>
      <c r="O167">
        <f>IF(D167="","",_CALC_MOTEUR!AE167)</f>
        <v>0</v>
      </c>
      <c r="P167">
        <f>IF(D167="","",_CALC_MOTEUR!AF167)</f>
        <v>44.54000002</v>
      </c>
      <c r="Q167">
        <f>IF(D167="","",_CALC_MOTEUR!AG167)</f>
        <v>6413.4</v>
      </c>
      <c r="R167">
        <f>IF(D167="","",_CALC_MOTEUR!AH167)</f>
        <v>285652.836128268</v>
      </c>
      <c r="S167">
        <f t="shared" si="0"/>
        <v>0.000128267973195761</v>
      </c>
    </row>
    <row r="168" ht="14.25" customHeight="1">
      <c r="A168" t="s">
        <v>147</v>
      </c>
      <c r="B168" t="s">
        <v>194</v>
      </c>
      <c r="C168" t="s">
        <v>148</v>
      </c>
      <c r="D168" t="s">
        <v>106</v>
      </c>
      <c r="E168" t="s">
        <v>191</v>
      </c>
      <c r="F168" t="s">
        <v>164</v>
      </c>
      <c r="G168" t="s">
        <v>150</v>
      </c>
      <c r="H168" t="s">
        <v>151</v>
      </c>
      <c r="I168" t="s">
        <v>189</v>
      </c>
      <c r="J168">
        <v>41.800317</v>
      </c>
      <c r="K168">
        <v>41.800317</v>
      </c>
      <c r="L168">
        <v>7482.3</v>
      </c>
      <c r="M168">
        <v>316524.540419</v>
      </c>
      <c r="O168">
        <f>IF(D168="","",_CALC_MOTEUR!AE168)</f>
        <v>41.800320022057</v>
      </c>
      <c r="P168">
        <f>IF(D168="","",_CALC_MOTEUR!AF168)</f>
        <v>41.800320022057</v>
      </c>
      <c r="Q168">
        <f>IF(D168="","",_CALC_MOTEUR!AG168)</f>
        <v>7482.3</v>
      </c>
      <c r="R168">
        <f>IF(D168="","",_CALC_MOTEUR!AH168)</f>
        <v>316524.563303022</v>
      </c>
      <c r="S168">
        <f t="shared" si="0"/>
        <v>0.0228840219788253</v>
      </c>
    </row>
    <row r="169" ht="14.25" customHeight="1">
      <c r="A169" t="s">
        <v>147</v>
      </c>
      <c r="B169" t="s">
        <v>194</v>
      </c>
      <c r="C169" t="s">
        <v>148</v>
      </c>
      <c r="D169" t="s">
        <v>105</v>
      </c>
      <c r="E169" t="s">
        <v>191</v>
      </c>
      <c r="F169" t="s">
        <v>165</v>
      </c>
      <c r="G169" t="s">
        <v>166</v>
      </c>
      <c r="H169" t="s">
        <v>151</v>
      </c>
      <c r="I169" t="s">
        <v>189</v>
      </c>
      <c r="J169">
        <v>32.684119</v>
      </c>
      <c r="K169">
        <v>32.684119</v>
      </c>
      <c r="L169">
        <v>5924.76</v>
      </c>
      <c r="M169">
        <v>196587.131596</v>
      </c>
      <c r="O169">
        <f>IF(D169="","",_CALC_MOTEUR!AE169)</f>
        <v>32.6841238847198</v>
      </c>
      <c r="P169">
        <f>IF(D169="","",_CALC_MOTEUR!AF169)</f>
        <v>32.6841238847198</v>
      </c>
      <c r="Q169">
        <f>IF(D169="","",_CALC_MOTEUR!AG169)</f>
        <v>5924.76</v>
      </c>
      <c r="R169">
        <f>IF(D169="","",_CALC_MOTEUR!AH169)</f>
        <v>196587.160976857</v>
      </c>
      <c r="S169">
        <f t="shared" si="0"/>
        <v>0.029380857013166</v>
      </c>
    </row>
    <row r="170" ht="14.25" customHeight="1">
      <c r="A170" t="s">
        <v>147</v>
      </c>
      <c r="B170" t="s">
        <v>194</v>
      </c>
      <c r="C170" t="s">
        <v>148</v>
      </c>
      <c r="D170" t="s">
        <v>105</v>
      </c>
      <c r="E170" t="s">
        <v>191</v>
      </c>
      <c r="F170" t="s">
        <v>165</v>
      </c>
      <c r="G170" t="s">
        <v>167</v>
      </c>
      <c r="H170" t="s">
        <v>151</v>
      </c>
      <c r="I170" t="s">
        <v>189</v>
      </c>
      <c r="J170">
        <v>0</v>
      </c>
      <c r="K170">
        <v>34.64</v>
      </c>
      <c r="L170">
        <v>5924.76</v>
      </c>
      <c r="M170">
        <v>205233.6864</v>
      </c>
      <c r="O170">
        <f>IF(D170="","",_CALC_MOTEUR!AE170)</f>
        <v>0</v>
      </c>
      <c r="P170">
        <f>IF(D170="","",_CALC_MOTEUR!AF170)</f>
        <v>34.639999992</v>
      </c>
      <c r="Q170">
        <f>IF(D170="","",_CALC_MOTEUR!AG170)</f>
        <v>5924.76</v>
      </c>
      <c r="R170">
        <f>IF(D170="","",_CALC_MOTEUR!AH170)</f>
        <v>205233.686352602</v>
      </c>
      <c r="S170">
        <f t="shared" si="0"/>
        <v>-0.0000473980035167187</v>
      </c>
    </row>
    <row r="171" ht="14.25" customHeight="1">
      <c r="A171" t="s">
        <v>147</v>
      </c>
      <c r="B171" t="s">
        <v>194</v>
      </c>
      <c r="C171" t="s">
        <v>148</v>
      </c>
      <c r="D171" t="s">
        <v>105</v>
      </c>
      <c r="E171" t="s">
        <v>191</v>
      </c>
      <c r="F171" t="s">
        <v>164</v>
      </c>
      <c r="G171" t="s">
        <v>150</v>
      </c>
      <c r="H171" t="s">
        <v>151</v>
      </c>
      <c r="I171" t="s">
        <v>189</v>
      </c>
      <c r="J171">
        <v>32.684119</v>
      </c>
      <c r="K171">
        <v>32.684119</v>
      </c>
      <c r="L171">
        <v>6912.22</v>
      </c>
      <c r="M171">
        <v>228861.391744</v>
      </c>
      <c r="O171">
        <f>IF(D171="","",_CALC_MOTEUR!AE171)</f>
        <v>32.6841238847198</v>
      </c>
      <c r="P171">
        <f>IF(D171="","",_CALC_MOTEUR!AF171)</f>
        <v>32.6841238847198</v>
      </c>
      <c r="Q171">
        <f>IF(D171="","",_CALC_MOTEUR!AG171)</f>
        <v>6912.22</v>
      </c>
      <c r="R171">
        <f>IF(D171="","",_CALC_MOTEUR!AH171)</f>
        <v>228861.425948063</v>
      </c>
      <c r="S171">
        <f t="shared" si="0"/>
        <v>0.0342040630057454</v>
      </c>
    </row>
    <row r="172" ht="14.25" customHeight="1">
      <c r="A172" t="s">
        <v>147</v>
      </c>
      <c r="B172" t="s">
        <v>194</v>
      </c>
      <c r="C172" t="s">
        <v>148</v>
      </c>
      <c r="D172" t="s">
        <v>108</v>
      </c>
      <c r="E172" t="s">
        <v>192</v>
      </c>
      <c r="F172" t="s">
        <v>168</v>
      </c>
      <c r="G172" t="s">
        <v>150</v>
      </c>
      <c r="H172" t="s">
        <v>151</v>
      </c>
      <c r="I172" t="s">
        <v>189</v>
      </c>
      <c r="J172">
        <v>42.750668</v>
      </c>
      <c r="K172">
        <v>42.750668</v>
      </c>
      <c r="L172">
        <v>8004.64</v>
      </c>
      <c r="M172">
        <v>346051.26722</v>
      </c>
      <c r="O172">
        <f>IF(D172="","",_CALC_MOTEUR!AE172)</f>
        <v>42.7506655779487</v>
      </c>
      <c r="P172">
        <f>IF(D172="","",_CALC_MOTEUR!AF172)</f>
        <v>42.7506655779487</v>
      </c>
      <c r="Q172">
        <f>IF(D172="","",_CALC_MOTEUR!AG172)</f>
        <v>8004.64</v>
      </c>
      <c r="R172">
        <f>IF(D172="","",_CALC_MOTEUR!AH172)</f>
        <v>346051.247613887</v>
      </c>
      <c r="S172">
        <f t="shared" si="0"/>
        <v>-0.0196061129681766</v>
      </c>
    </row>
    <row r="173" ht="14.25" customHeight="1">
      <c r="A173" t="s">
        <v>147</v>
      </c>
      <c r="B173" t="s">
        <v>194</v>
      </c>
      <c r="C173" t="s">
        <v>148</v>
      </c>
      <c r="D173" t="s">
        <v>108</v>
      </c>
      <c r="E173" t="s">
        <v>192</v>
      </c>
      <c r="F173" t="s">
        <v>168</v>
      </c>
      <c r="G173" t="s">
        <v>153</v>
      </c>
      <c r="H173" t="s">
        <v>151</v>
      </c>
      <c r="I173" t="s">
        <v>189</v>
      </c>
      <c r="J173">
        <v>0</v>
      </c>
      <c r="K173">
        <v>45.53</v>
      </c>
      <c r="L173">
        <v>8004.64</v>
      </c>
      <c r="M173">
        <v>364451.2592</v>
      </c>
      <c r="O173">
        <f>IF(D173="","",_CALC_MOTEUR!AE173)</f>
        <v>0</v>
      </c>
      <c r="P173">
        <f>IF(D173="","",_CALC_MOTEUR!AF173)</f>
        <v>45.529999988</v>
      </c>
      <c r="Q173">
        <f>IF(D173="","",_CALC_MOTEUR!AG173)</f>
        <v>8004.64</v>
      </c>
      <c r="R173">
        <f>IF(D173="","",_CALC_MOTEUR!AH173)</f>
        <v>364451.259103944</v>
      </c>
      <c r="S173">
        <f t="shared" si="0"/>
        <v>-0.0000960559700615704</v>
      </c>
    </row>
    <row r="174" ht="14.25" customHeight="1">
      <c r="A174" t="s">
        <v>147</v>
      </c>
      <c r="B174" t="s">
        <v>194</v>
      </c>
      <c r="C174" t="s">
        <v>148</v>
      </c>
      <c r="D174" t="s">
        <v>108</v>
      </c>
      <c r="E174" t="s">
        <v>192</v>
      </c>
      <c r="F174" t="s">
        <v>168</v>
      </c>
      <c r="G174" t="s">
        <v>154</v>
      </c>
      <c r="H174" t="s">
        <v>151</v>
      </c>
      <c r="I174" t="s">
        <v>189</v>
      </c>
      <c r="J174">
        <v>0</v>
      </c>
      <c r="K174">
        <v>44.54</v>
      </c>
      <c r="L174">
        <v>8004.64</v>
      </c>
      <c r="M174">
        <v>356526.6656</v>
      </c>
      <c r="O174">
        <f>IF(D174="","",_CALC_MOTEUR!AE174)</f>
        <v>0</v>
      </c>
      <c r="P174">
        <f>IF(D174="","",_CALC_MOTEUR!AF174)</f>
        <v>44.54000002</v>
      </c>
      <c r="Q174">
        <f>IF(D174="","",_CALC_MOTEUR!AG174)</f>
        <v>8004.64</v>
      </c>
      <c r="R174">
        <f>IF(D174="","",_CALC_MOTEUR!AH174)</f>
        <v>356526.665760093</v>
      </c>
      <c r="S174">
        <f t="shared" si="0"/>
        <v>0.0001600930118002</v>
      </c>
    </row>
    <row r="175" ht="14.25" customHeight="1">
      <c r="A175" t="s">
        <v>147</v>
      </c>
      <c r="B175" t="s">
        <v>194</v>
      </c>
      <c r="C175" t="s">
        <v>148</v>
      </c>
      <c r="D175" t="s">
        <v>107</v>
      </c>
      <c r="E175" t="s">
        <v>192</v>
      </c>
      <c r="F175" t="s">
        <v>168</v>
      </c>
      <c r="G175" t="s">
        <v>150</v>
      </c>
      <c r="H175" t="s">
        <v>151</v>
      </c>
      <c r="I175" t="s">
        <v>189</v>
      </c>
      <c r="J175">
        <v>36.329613</v>
      </c>
      <c r="K175">
        <v>36.329613</v>
      </c>
      <c r="L175">
        <v>7504.35</v>
      </c>
      <c r="M175">
        <v>275899.796487</v>
      </c>
      <c r="O175">
        <f>IF(D175="","",_CALC_MOTEUR!AE175)</f>
        <v>36.3296130614031</v>
      </c>
      <c r="P175">
        <f>IF(D175="","",_CALC_MOTEUR!AF175)</f>
        <v>36.3296130614031</v>
      </c>
      <c r="Q175">
        <f>IF(D175="","",_CALC_MOTEUR!AG175)</f>
        <v>7504.35</v>
      </c>
      <c r="R175">
        <f>IF(D175="","",_CALC_MOTEUR!AH175)</f>
        <v>275899.796952867</v>
      </c>
      <c r="S175">
        <f t="shared" si="0"/>
        <v>0.000465866993181407</v>
      </c>
    </row>
    <row r="176" ht="14.25" customHeight="1">
      <c r="A176" t="s">
        <v>147</v>
      </c>
      <c r="B176" t="s">
        <v>194</v>
      </c>
      <c r="C176" t="s">
        <v>148</v>
      </c>
      <c r="D176" t="s">
        <v>107</v>
      </c>
      <c r="E176" t="s">
        <v>192</v>
      </c>
      <c r="F176" t="s">
        <v>168</v>
      </c>
      <c r="G176" t="s">
        <v>153</v>
      </c>
      <c r="H176" t="s">
        <v>151</v>
      </c>
      <c r="I176" t="s">
        <v>189</v>
      </c>
      <c r="J176">
        <v>0</v>
      </c>
      <c r="K176">
        <v>38.6</v>
      </c>
      <c r="L176">
        <v>7504.35</v>
      </c>
      <c r="M176">
        <v>289667.91</v>
      </c>
      <c r="O176">
        <f>IF(D176="","",_CALC_MOTEUR!AE176)</f>
        <v>0</v>
      </c>
      <c r="P176">
        <f>IF(D176="","",_CALC_MOTEUR!AF176)</f>
        <v>38.6</v>
      </c>
      <c r="Q176">
        <f>IF(D176="","",_CALC_MOTEUR!AG176)</f>
        <v>7504.35</v>
      </c>
      <c r="R176">
        <f>IF(D176="","",_CALC_MOTEUR!AH176)</f>
        <v>289667.91</v>
      </c>
      <c r="S176">
        <f t="shared" si="0"/>
        <v>0</v>
      </c>
    </row>
    <row r="177" ht="14.25" customHeight="1">
      <c r="A177" t="s">
        <v>147</v>
      </c>
      <c r="B177" t="s">
        <v>194</v>
      </c>
      <c r="C177" t="s">
        <v>148</v>
      </c>
      <c r="D177" t="s">
        <v>107</v>
      </c>
      <c r="E177" t="s">
        <v>192</v>
      </c>
      <c r="F177" t="s">
        <v>168</v>
      </c>
      <c r="G177" t="s">
        <v>154</v>
      </c>
      <c r="H177" t="s">
        <v>151</v>
      </c>
      <c r="I177" t="s">
        <v>189</v>
      </c>
      <c r="J177">
        <v>0</v>
      </c>
      <c r="K177">
        <v>37.61</v>
      </c>
      <c r="L177">
        <v>7504.35</v>
      </c>
      <c r="M177">
        <v>282238.6035</v>
      </c>
      <c r="O177">
        <f>IF(D177="","",_CALC_MOTEUR!AE177)</f>
        <v>0</v>
      </c>
      <c r="P177">
        <f>IF(D177="","",_CALC_MOTEUR!AF177)</f>
        <v>37.609999986</v>
      </c>
      <c r="Q177">
        <f>IF(D177="","",_CALC_MOTEUR!AG177)</f>
        <v>7504.35</v>
      </c>
      <c r="R177">
        <f>IF(D177="","",_CALC_MOTEUR!AH177)</f>
        <v>282238.603394939</v>
      </c>
      <c r="S177">
        <f t="shared" si="0"/>
        <v>-0.000105061044450849</v>
      </c>
    </row>
    <row r="178" ht="14.25" customHeight="1">
      <c r="A178" t="s">
        <v>147</v>
      </c>
      <c r="B178" t="s">
        <v>194</v>
      </c>
      <c r="C178" t="s">
        <v>148</v>
      </c>
      <c r="D178" t="s">
        <v>105</v>
      </c>
      <c r="E178" t="s">
        <v>191</v>
      </c>
      <c r="F178" t="s">
        <v>164</v>
      </c>
      <c r="G178" t="s">
        <v>153</v>
      </c>
      <c r="H178" t="s">
        <v>151</v>
      </c>
      <c r="I178" t="s">
        <v>189</v>
      </c>
      <c r="J178">
        <v>0</v>
      </c>
      <c r="K178">
        <v>34.64</v>
      </c>
      <c r="L178">
        <v>6912.22</v>
      </c>
      <c r="M178">
        <v>239439.3008</v>
      </c>
      <c r="O178">
        <f>IF(D178="","",_CALC_MOTEUR!AE178)</f>
        <v>0</v>
      </c>
      <c r="P178">
        <f>IF(D178="","",_CALC_MOTEUR!AF178)</f>
        <v>34.639999992</v>
      </c>
      <c r="Q178">
        <f>IF(D178="","",_CALC_MOTEUR!AG178)</f>
        <v>6912.22</v>
      </c>
      <c r="R178">
        <f>IF(D178="","",_CALC_MOTEUR!AH178)</f>
        <v>239439.300744702</v>
      </c>
      <c r="S178">
        <f t="shared" si="0"/>
        <v>-0.0000552980054635555</v>
      </c>
    </row>
    <row r="179" ht="14.25" customHeight="1">
      <c r="A179" t="s">
        <v>147</v>
      </c>
      <c r="B179" t="s">
        <v>194</v>
      </c>
      <c r="C179" t="s">
        <v>148</v>
      </c>
      <c r="D179" t="s">
        <v>106</v>
      </c>
      <c r="E179" t="s">
        <v>191</v>
      </c>
      <c r="F179" t="s">
        <v>164</v>
      </c>
      <c r="G179" t="s">
        <v>153</v>
      </c>
      <c r="H179" t="s">
        <v>151</v>
      </c>
      <c r="I179" t="s">
        <v>189</v>
      </c>
      <c r="J179">
        <v>0</v>
      </c>
      <c r="K179">
        <v>44.54</v>
      </c>
      <c r="L179">
        <v>7482.3</v>
      </c>
      <c r="M179">
        <v>333261.642</v>
      </c>
      <c r="O179">
        <f>IF(D179="","",_CALC_MOTEUR!AE179)</f>
        <v>0</v>
      </c>
      <c r="P179">
        <f>IF(D179="","",_CALC_MOTEUR!AF179)</f>
        <v>44.54000002</v>
      </c>
      <c r="Q179">
        <f>IF(D179="","",_CALC_MOTEUR!AG179)</f>
        <v>7482.3</v>
      </c>
      <c r="R179">
        <f>IF(D179="","",_CALC_MOTEUR!AH179)</f>
        <v>333261.642149646</v>
      </c>
      <c r="S179">
        <f t="shared" si="0"/>
        <v>0.000149646017234772</v>
      </c>
    </row>
    <row r="180" ht="14.25" customHeight="1">
      <c r="A180" t="s">
        <v>147</v>
      </c>
      <c r="B180" t="s">
        <v>194</v>
      </c>
      <c r="C180" t="s">
        <v>148</v>
      </c>
      <c r="D180" t="s">
        <v>105</v>
      </c>
      <c r="E180" t="s">
        <v>191</v>
      </c>
      <c r="F180" t="s">
        <v>164</v>
      </c>
      <c r="G180" t="s">
        <v>154</v>
      </c>
      <c r="H180" t="s">
        <v>151</v>
      </c>
      <c r="I180" t="s">
        <v>189</v>
      </c>
      <c r="J180">
        <v>0</v>
      </c>
      <c r="K180">
        <v>33.65</v>
      </c>
      <c r="L180">
        <v>6912.22</v>
      </c>
      <c r="M180">
        <v>232596.203</v>
      </c>
      <c r="O180">
        <f>IF(D180="","",_CALC_MOTEUR!AE180)</f>
        <v>0</v>
      </c>
      <c r="P180">
        <f>IF(D180="","",_CALC_MOTEUR!AF180)</f>
        <v>33.649999985</v>
      </c>
      <c r="Q180">
        <f>IF(D180="","",_CALC_MOTEUR!AG180)</f>
        <v>6912.22</v>
      </c>
      <c r="R180">
        <f>IF(D180="","",_CALC_MOTEUR!AH180)</f>
        <v>232596.202896317</v>
      </c>
      <c r="S180">
        <f t="shared" si="0"/>
        <v>-0.000103683007182553</v>
      </c>
    </row>
    <row r="181" ht="14.25" customHeight="1">
      <c r="A181" t="s">
        <v>147</v>
      </c>
      <c r="B181" t="s">
        <v>194</v>
      </c>
      <c r="C181" t="s">
        <v>148</v>
      </c>
      <c r="D181" t="s">
        <v>106</v>
      </c>
      <c r="E181" t="s">
        <v>191</v>
      </c>
      <c r="F181" t="s">
        <v>164</v>
      </c>
      <c r="G181" t="s">
        <v>154</v>
      </c>
      <c r="H181" t="s">
        <v>151</v>
      </c>
      <c r="I181" t="s">
        <v>189</v>
      </c>
      <c r="J181">
        <v>0</v>
      </c>
      <c r="K181">
        <v>43.55</v>
      </c>
      <c r="L181">
        <v>7482.3</v>
      </c>
      <c r="M181">
        <v>325854.165</v>
      </c>
      <c r="O181">
        <f>IF(D181="","",_CALC_MOTEUR!AE181)</f>
        <v>0</v>
      </c>
      <c r="P181">
        <f>IF(D181="","",_CALC_MOTEUR!AF181)</f>
        <v>43.55000001</v>
      </c>
      <c r="Q181">
        <f>IF(D181="","",_CALC_MOTEUR!AG181)</f>
        <v>7482.3</v>
      </c>
      <c r="R181">
        <f>IF(D181="","",_CALC_MOTEUR!AH181)</f>
        <v>325854.165074823</v>
      </c>
      <c r="S181">
        <f t="shared" si="0"/>
        <v>0.0000748230377212167</v>
      </c>
    </row>
    <row r="182" ht="14.25" customHeight="1">
      <c r="O182" t="str">
        <f>IF(D182="","",_CALC_MOTEUR!AE182)</f>
        <v/>
      </c>
      <c r="P182" t="str">
        <f>IF(D182="","",_CALC_MOTEUR!AF182)</f>
        <v/>
      </c>
      <c r="Q182" t="str">
        <f>IF(D182="","",_CALC_MOTEUR!AG182)</f>
        <v/>
      </c>
      <c r="R182" t="str">
        <f>IF(D182="","",_CALC_MOTEUR!AH182)</f>
        <v/>
      </c>
      <c r="S182" t="str">
        <f t="shared" si="0"/>
        <v/>
      </c>
    </row>
    <row r="183" ht="14.25" customHeight="1">
      <c r="O183" t="str">
        <f>IF(D183="","",_CALC_MOTEUR!AE183)</f>
        <v/>
      </c>
      <c r="P183" t="str">
        <f>IF(D183="","",_CALC_MOTEUR!AF183)</f>
        <v/>
      </c>
      <c r="Q183" t="str">
        <f>IF(D183="","",_CALC_MOTEUR!AG183)</f>
        <v/>
      </c>
      <c r="R183" t="str">
        <f>IF(D183="","",_CALC_MOTEUR!AH183)</f>
        <v/>
      </c>
      <c r="S183" t="str">
        <f t="shared" si="0"/>
        <v/>
      </c>
    </row>
    <row r="184" ht="14.25" customHeight="1">
      <c r="O184" t="str">
        <f>IF(D184="","",_CALC_MOTEUR!AE184)</f>
        <v/>
      </c>
      <c r="P184" t="str">
        <f>IF(D184="","",_CALC_MOTEUR!AF184)</f>
        <v/>
      </c>
      <c r="Q184" t="str">
        <f>IF(D184="","",_CALC_MOTEUR!AG184)</f>
        <v/>
      </c>
      <c r="R184" t="str">
        <f>IF(D184="","",_CALC_MOTEUR!AH184)</f>
        <v/>
      </c>
      <c r="S184" t="str">
        <f t="shared" si="0"/>
        <v/>
      </c>
    </row>
    <row r="185" ht="14.25" customHeight="1">
      <c r="O185" t="str">
        <f>IF(D185="","",_CALC_MOTEUR!AE185)</f>
        <v/>
      </c>
      <c r="P185" t="str">
        <f>IF(D185="","",_CALC_MOTEUR!AF185)</f>
        <v/>
      </c>
      <c r="Q185" t="str">
        <f>IF(D185="","",_CALC_MOTEUR!AG185)</f>
        <v/>
      </c>
      <c r="R185" t="str">
        <f>IF(D185="","",_CALC_MOTEUR!AH185)</f>
        <v/>
      </c>
      <c r="S185" t="str">
        <f t="shared" si="0"/>
        <v/>
      </c>
    </row>
    <row r="186" ht="14.25" customHeight="1">
      <c r="O186" t="str">
        <f>IF(D186="","",_CALC_MOTEUR!AE186)</f>
        <v/>
      </c>
      <c r="P186" t="str">
        <f>IF(D186="","",_CALC_MOTEUR!AF186)</f>
        <v/>
      </c>
      <c r="Q186" t="str">
        <f>IF(D186="","",_CALC_MOTEUR!AG186)</f>
        <v/>
      </c>
      <c r="R186" t="str">
        <f>IF(D186="","",_CALC_MOTEUR!AH186)</f>
        <v/>
      </c>
      <c r="S186" t="str">
        <f t="shared" si="0"/>
        <v/>
      </c>
    </row>
    <row r="187" ht="14.25" customHeight="1">
      <c r="O187" t="str">
        <f>IF(D187="","",_CALC_MOTEUR!AE187)</f>
        <v/>
      </c>
      <c r="P187" t="str">
        <f>IF(D187="","",_CALC_MOTEUR!AF187)</f>
        <v/>
      </c>
      <c r="Q187" t="str">
        <f>IF(D187="","",_CALC_MOTEUR!AG187)</f>
        <v/>
      </c>
      <c r="R187" t="str">
        <f>IF(D187="","",_CALC_MOTEUR!AH187)</f>
        <v/>
      </c>
      <c r="S187" t="str">
        <f t="shared" si="0"/>
        <v/>
      </c>
    </row>
    <row r="188" ht="14.25" customHeight="1">
      <c r="O188" t="str">
        <f>IF(D188="","",_CALC_MOTEUR!AE188)</f>
        <v/>
      </c>
      <c r="P188" t="str">
        <f>IF(D188="","",_CALC_MOTEUR!AF188)</f>
        <v/>
      </c>
      <c r="Q188" t="str">
        <f>IF(D188="","",_CALC_MOTEUR!AG188)</f>
        <v/>
      </c>
      <c r="R188" t="str">
        <f>IF(D188="","",_CALC_MOTEUR!AH188)</f>
        <v/>
      </c>
      <c r="S188" t="str">
        <f t="shared" si="0"/>
        <v/>
      </c>
    </row>
    <row r="189" ht="14.25" customHeight="1">
      <c r="O189" t="str">
        <f>IF(D189="","",_CALC_MOTEUR!AE189)</f>
        <v/>
      </c>
      <c r="P189" t="str">
        <f>IF(D189="","",_CALC_MOTEUR!AF189)</f>
        <v/>
      </c>
      <c r="Q189" t="str">
        <f>IF(D189="","",_CALC_MOTEUR!AG189)</f>
        <v/>
      </c>
      <c r="R189" t="str">
        <f>IF(D189="","",_CALC_MOTEUR!AH189)</f>
        <v/>
      </c>
      <c r="S189" t="str">
        <f t="shared" si="0"/>
        <v/>
      </c>
    </row>
    <row r="190" ht="14.25" customHeight="1">
      <c r="O190" t="str">
        <f>IF(D190="","",_CALC_MOTEUR!AE190)</f>
        <v/>
      </c>
      <c r="P190" t="str">
        <f>IF(D190="","",_CALC_MOTEUR!AF190)</f>
        <v/>
      </c>
      <c r="Q190" t="str">
        <f>IF(D190="","",_CALC_MOTEUR!AG190)</f>
        <v/>
      </c>
      <c r="R190" t="str">
        <f>IF(D190="","",_CALC_MOTEUR!AH190)</f>
        <v/>
      </c>
      <c r="S190" t="str">
        <f t="shared" si="0"/>
        <v/>
      </c>
    </row>
    <row r="191" ht="14.25" customHeight="1">
      <c r="O191" t="str">
        <f>IF(D191="","",_CALC_MOTEUR!AE191)</f>
        <v/>
      </c>
      <c r="P191" t="str">
        <f>IF(D191="","",_CALC_MOTEUR!AF191)</f>
        <v/>
      </c>
      <c r="Q191" t="str">
        <f>IF(D191="","",_CALC_MOTEUR!AG191)</f>
        <v/>
      </c>
      <c r="R191" t="str">
        <f>IF(D191="","",_CALC_MOTEUR!AH191)</f>
        <v/>
      </c>
      <c r="S191" t="str">
        <f t="shared" si="0"/>
        <v/>
      </c>
    </row>
    <row r="192" ht="14.25" customHeight="1">
      <c r="O192" t="str">
        <f>IF(D192="","",_CALC_MOTEUR!AE192)</f>
        <v/>
      </c>
      <c r="P192" t="str">
        <f>IF(D192="","",_CALC_MOTEUR!AF192)</f>
        <v/>
      </c>
      <c r="Q192" t="str">
        <f>IF(D192="","",_CALC_MOTEUR!AG192)</f>
        <v/>
      </c>
      <c r="R192" t="str">
        <f>IF(D192="","",_CALC_MOTEUR!AH192)</f>
        <v/>
      </c>
      <c r="S192" t="str">
        <f t="shared" si="0"/>
        <v/>
      </c>
    </row>
    <row r="193" ht="14.25" customHeight="1">
      <c r="O193" t="str">
        <f>IF(D193="","",_CALC_MOTEUR!AE193)</f>
        <v/>
      </c>
      <c r="P193" t="str">
        <f>IF(D193="","",_CALC_MOTEUR!AF193)</f>
        <v/>
      </c>
      <c r="Q193" t="str">
        <f>IF(D193="","",_CALC_MOTEUR!AG193)</f>
        <v/>
      </c>
      <c r="R193" t="str">
        <f>IF(D193="","",_CALC_MOTEUR!AH193)</f>
        <v/>
      </c>
      <c r="S193" t="str">
        <f t="shared" si="0"/>
        <v/>
      </c>
    </row>
    <row r="194" ht="14.25" customHeight="1">
      <c r="O194" t="str">
        <f>IF(D194="","",_CALC_MOTEUR!AE194)</f>
        <v/>
      </c>
      <c r="P194" t="str">
        <f>IF(D194="","",_CALC_MOTEUR!AF194)</f>
        <v/>
      </c>
      <c r="Q194" t="str">
        <f>IF(D194="","",_CALC_MOTEUR!AG194)</f>
        <v/>
      </c>
      <c r="R194" t="str">
        <f>IF(D194="","",_CALC_MOTEUR!AH194)</f>
        <v/>
      </c>
      <c r="S194" t="str">
        <f t="shared" si="0"/>
        <v/>
      </c>
    </row>
    <row r="195" ht="14.25" customHeight="1">
      <c r="O195" t="str">
        <f>IF(D195="","",_CALC_MOTEUR!AE195)</f>
        <v/>
      </c>
      <c r="P195" t="str">
        <f>IF(D195="","",_CALC_MOTEUR!AF195)</f>
        <v/>
      </c>
      <c r="Q195" t="str">
        <f>IF(D195="","",_CALC_MOTEUR!AG195)</f>
        <v/>
      </c>
      <c r="R195" t="str">
        <f>IF(D195="","",_CALC_MOTEUR!AH195)</f>
        <v/>
      </c>
      <c r="S195" t="str">
        <f t="shared" si="0"/>
        <v/>
      </c>
    </row>
    <row r="196" ht="14.25" customHeight="1">
      <c r="O196" t="str">
        <f>IF(D196="","",_CALC_MOTEUR!AE196)</f>
        <v/>
      </c>
      <c r="P196" t="str">
        <f>IF(D196="","",_CALC_MOTEUR!AF196)</f>
        <v/>
      </c>
      <c r="Q196" t="str">
        <f>IF(D196="","",_CALC_MOTEUR!AG196)</f>
        <v/>
      </c>
      <c r="R196" t="str">
        <f>IF(D196="","",_CALC_MOTEUR!AH196)</f>
        <v/>
      </c>
      <c r="S196" t="str">
        <f t="shared" si="0"/>
        <v/>
      </c>
    </row>
    <row r="197" ht="14.25" customHeight="1">
      <c r="O197" t="str">
        <f>IF(D197="","",_CALC_MOTEUR!AE197)</f>
        <v/>
      </c>
      <c r="P197" t="str">
        <f>IF(D197="","",_CALC_MOTEUR!AF197)</f>
        <v/>
      </c>
      <c r="Q197" t="str">
        <f>IF(D197="","",_CALC_MOTEUR!AG197)</f>
        <v/>
      </c>
      <c r="R197" t="str">
        <f>IF(D197="","",_CALC_MOTEUR!AH197)</f>
        <v/>
      </c>
      <c r="S197" t="str">
        <f t="shared" si="0"/>
        <v/>
      </c>
    </row>
    <row r="198" ht="14.25" customHeight="1">
      <c r="O198" t="str">
        <f>IF(D198="","",_CALC_MOTEUR!AE198)</f>
        <v/>
      </c>
      <c r="P198" t="str">
        <f>IF(D198="","",_CALC_MOTEUR!AF198)</f>
        <v/>
      </c>
      <c r="Q198" t="str">
        <f>IF(D198="","",_CALC_MOTEUR!AG198)</f>
        <v/>
      </c>
      <c r="R198" t="str">
        <f>IF(D198="","",_CALC_MOTEUR!AH198)</f>
        <v/>
      </c>
      <c r="S198" t="str">
        <f t="shared" si="0"/>
        <v/>
      </c>
    </row>
    <row r="199" ht="14.25" customHeight="1">
      <c r="O199" t="str">
        <f>IF(D199="","",_CALC_MOTEUR!AE199)</f>
        <v/>
      </c>
      <c r="P199" t="str">
        <f>IF(D199="","",_CALC_MOTEUR!AF199)</f>
        <v/>
      </c>
      <c r="Q199" t="str">
        <f>IF(D199="","",_CALC_MOTEUR!AG199)</f>
        <v/>
      </c>
      <c r="R199" t="str">
        <f>IF(D199="","",_CALC_MOTEUR!AH199)</f>
        <v/>
      </c>
      <c r="S199" t="str">
        <f t="shared" si="0"/>
        <v/>
      </c>
    </row>
    <row r="200" ht="14.25" customHeight="1">
      <c r="O200" t="str">
        <f>IF(D200="","",_CALC_MOTEUR!AE200)</f>
        <v/>
      </c>
      <c r="P200" t="str">
        <f>IF(D200="","",_CALC_MOTEUR!AF200)</f>
        <v/>
      </c>
      <c r="Q200" t="str">
        <f>IF(D200="","",_CALC_MOTEUR!AG200)</f>
        <v/>
      </c>
      <c r="R200" t="str">
        <f>IF(D200="","",_CALC_MOTEUR!AH200)</f>
        <v/>
      </c>
      <c r="S200" t="str">
        <f t="shared" si="0"/>
        <v/>
      </c>
    </row>
    <row r="201" ht="14.25" customHeight="1">
      <c r="O201" t="str">
        <f>IF(D201="","",_CALC_MOTEUR!AE201)</f>
        <v/>
      </c>
      <c r="P201" t="str">
        <f>IF(D201="","",_CALC_MOTEUR!AF201)</f>
        <v/>
      </c>
      <c r="Q201" t="str">
        <f>IF(D201="","",_CALC_MOTEUR!AG201)</f>
        <v/>
      </c>
      <c r="R201" t="str">
        <f>IF(D201="","",_CALC_MOTEUR!AH201)</f>
        <v/>
      </c>
      <c r="S201" t="str">
        <f t="shared" si="0"/>
        <v/>
      </c>
    </row>
    <row r="202" ht="14.25" customHeight="1">
      <c r="O202" t="str">
        <f>IF(D202="","",_CALC_MOTEUR!AE202)</f>
        <v/>
      </c>
      <c r="P202" t="str">
        <f>IF(D202="","",_CALC_MOTEUR!AF202)</f>
        <v/>
      </c>
      <c r="Q202" t="str">
        <f>IF(D202="","",_CALC_MOTEUR!AG202)</f>
        <v/>
      </c>
      <c r="R202" t="str">
        <f>IF(D202="","",_CALC_MOTEUR!AH202)</f>
        <v/>
      </c>
      <c r="S202" t="str">
        <f t="shared" si="0"/>
        <v/>
      </c>
    </row>
    <row r="203" ht="14.25" customHeight="1">
      <c r="O203" t="str">
        <f>IF(D203="","",_CALC_MOTEUR!AE203)</f>
        <v/>
      </c>
      <c r="P203" t="str">
        <f>IF(D203="","",_CALC_MOTEUR!AF203)</f>
        <v/>
      </c>
      <c r="Q203" t="str">
        <f>IF(D203="","",_CALC_MOTEUR!AG203)</f>
        <v/>
      </c>
      <c r="R203" t="str">
        <f>IF(D203="","",_CALC_MOTEUR!AH203)</f>
        <v/>
      </c>
      <c r="S203" t="str">
        <f t="shared" si="0"/>
        <v/>
      </c>
    </row>
    <row r="204" ht="14.25" customHeight="1">
      <c r="O204" t="str">
        <f>IF(D204="","",_CALC_MOTEUR!AE204)</f>
        <v/>
      </c>
      <c r="P204" t="str">
        <f>IF(D204="","",_CALC_MOTEUR!AF204)</f>
        <v/>
      </c>
      <c r="Q204" t="str">
        <f>IF(D204="","",_CALC_MOTEUR!AG204)</f>
        <v/>
      </c>
      <c r="R204" t="str">
        <f>IF(D204="","",_CALC_MOTEUR!AH204)</f>
        <v/>
      </c>
      <c r="S204" t="str">
        <f t="shared" si="0"/>
        <v/>
      </c>
    </row>
    <row r="205" ht="14.25" customHeight="1">
      <c r="O205" t="str">
        <f>IF(D205="","",_CALC_MOTEUR!AE205)</f>
        <v/>
      </c>
      <c r="P205" t="str">
        <f>IF(D205="","",_CALC_MOTEUR!AF205)</f>
        <v/>
      </c>
      <c r="Q205" t="str">
        <f>IF(D205="","",_CALC_MOTEUR!AG205)</f>
        <v/>
      </c>
      <c r="R205" t="str">
        <f>IF(D205="","",_CALC_MOTEUR!AH205)</f>
        <v/>
      </c>
      <c r="S205" t="str">
        <f t="shared" si="0"/>
        <v/>
      </c>
    </row>
    <row r="206" ht="14.25" customHeight="1">
      <c r="O206" t="str">
        <f>IF(D206="","",_CALC_MOTEUR!AE206)</f>
        <v/>
      </c>
      <c r="P206" t="str">
        <f>IF(D206="","",_CALC_MOTEUR!AF206)</f>
        <v/>
      </c>
      <c r="Q206" t="str">
        <f>IF(D206="","",_CALC_MOTEUR!AG206)</f>
        <v/>
      </c>
      <c r="R206" t="str">
        <f>IF(D206="","",_CALC_MOTEUR!AH206)</f>
        <v/>
      </c>
      <c r="S206" t="str">
        <f t="shared" si="0"/>
        <v/>
      </c>
    </row>
    <row r="207" ht="14.25" customHeight="1">
      <c r="O207" t="str">
        <f>IF(D207="","",_CALC_MOTEUR!AE207)</f>
        <v/>
      </c>
      <c r="P207" t="str">
        <f>IF(D207="","",_CALC_MOTEUR!AF207)</f>
        <v/>
      </c>
      <c r="Q207" t="str">
        <f>IF(D207="","",_CALC_MOTEUR!AG207)</f>
        <v/>
      </c>
      <c r="R207" t="str">
        <f>IF(D207="","",_CALC_MOTEUR!AH207)</f>
        <v/>
      </c>
      <c r="S207" t="str">
        <f t="shared" si="0"/>
        <v/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9E2AC8-1D68-D991-138C-DC178AD2695C}" mc:Ignorable="x14ac xr xr2 xr3">
  <dimension ref="A1:AC773"/>
  <sheetViews>
    <sheetView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82</v>
      </c>
      <c r="B1" s="11" t="s">
        <v>196</v>
      </c>
      <c r="C1" s="11" t="s">
        <v>25</v>
      </c>
      <c r="D1" s="11" t="s">
        <v>197</v>
      </c>
      <c r="E1" s="11" t="s">
        <v>198</v>
      </c>
      <c r="F1" s="11" t="s">
        <v>199</v>
      </c>
    </row>
    <row r="2" ht="14.25" customHeight="1">
      <c r="A2" t="s">
        <v>104</v>
      </c>
      <c r="B2" t="s">
        <v>200</v>
      </c>
      <c r="C2" t="s">
        <v>156</v>
      </c>
      <c r="D2" t="s">
        <v>147</v>
      </c>
      <c r="E2" t="s">
        <v>148</v>
      </c>
      <c r="F2">
        <v>2201360</v>
      </c>
    </row>
    <row r="3" ht="14.25" customHeight="1">
      <c r="A3" t="s">
        <v>101</v>
      </c>
      <c r="B3" t="s">
        <v>200</v>
      </c>
      <c r="C3" t="s">
        <v>156</v>
      </c>
      <c r="D3" t="s">
        <v>147</v>
      </c>
      <c r="E3" t="s">
        <v>148</v>
      </c>
      <c r="F3">
        <v>1751925</v>
      </c>
    </row>
    <row r="4" ht="14.25" customHeight="1">
      <c r="A4" t="s">
        <v>103</v>
      </c>
      <c r="B4" t="s">
        <v>200</v>
      </c>
      <c r="C4" t="s">
        <v>156</v>
      </c>
      <c r="D4" t="s">
        <v>147</v>
      </c>
      <c r="E4" t="s">
        <v>148</v>
      </c>
      <c r="F4">
        <v>1516000</v>
      </c>
    </row>
    <row r="5" ht="14.25" customHeight="1">
      <c r="A5" t="s">
        <v>99</v>
      </c>
      <c r="B5" t="s">
        <v>200</v>
      </c>
      <c r="C5" t="s">
        <v>156</v>
      </c>
      <c r="D5" t="s">
        <v>147</v>
      </c>
      <c r="E5" t="s">
        <v>148</v>
      </c>
      <c r="F5">
        <v>1238205</v>
      </c>
    </row>
    <row r="6" ht="14.25" customHeight="1">
      <c r="A6" t="s">
        <v>95</v>
      </c>
      <c r="B6" t="s">
        <v>200</v>
      </c>
      <c r="C6" t="s">
        <v>156</v>
      </c>
      <c r="D6" t="s">
        <v>147</v>
      </c>
      <c r="E6" t="s">
        <v>148</v>
      </c>
      <c r="F6">
        <v>2031120</v>
      </c>
    </row>
    <row r="7" ht="14.25" customHeight="1">
      <c r="A7" t="s">
        <v>93</v>
      </c>
      <c r="B7" t="s">
        <v>200</v>
      </c>
      <c r="C7" t="s">
        <v>156</v>
      </c>
      <c r="D7" t="s">
        <v>147</v>
      </c>
      <c r="E7" t="s">
        <v>148</v>
      </c>
      <c r="F7">
        <v>1229900</v>
      </c>
    </row>
    <row r="8" ht="14.25" customHeight="1">
      <c r="A8" t="s">
        <v>97</v>
      </c>
      <c r="B8" t="s">
        <v>200</v>
      </c>
      <c r="C8" t="s">
        <v>156</v>
      </c>
      <c r="D8" t="s">
        <v>147</v>
      </c>
      <c r="E8" t="s">
        <v>148</v>
      </c>
      <c r="F8">
        <v>1141920</v>
      </c>
    </row>
    <row r="9" ht="14.25" customHeight="1">
      <c r="A9" t="s">
        <v>89</v>
      </c>
      <c r="B9" t="s">
        <v>200</v>
      </c>
      <c r="C9" t="s">
        <v>156</v>
      </c>
      <c r="D9" t="s">
        <v>147</v>
      </c>
      <c r="E9" t="s">
        <v>148</v>
      </c>
      <c r="F9">
        <v>903000</v>
      </c>
    </row>
    <row r="10" ht="14.25" customHeight="1">
      <c r="A10" t="s">
        <v>91</v>
      </c>
      <c r="B10" t="s">
        <v>200</v>
      </c>
      <c r="C10" t="s">
        <v>156</v>
      </c>
      <c r="D10" t="s">
        <v>147</v>
      </c>
      <c r="E10" t="s">
        <v>148</v>
      </c>
      <c r="F10">
        <v>698250</v>
      </c>
    </row>
    <row r="11" ht="14.25" customHeight="1">
      <c r="A11" t="s">
        <v>86</v>
      </c>
      <c r="B11" t="s">
        <v>200</v>
      </c>
      <c r="C11" t="s">
        <v>156</v>
      </c>
      <c r="D11" t="s">
        <v>147</v>
      </c>
      <c r="E11" t="s">
        <v>148</v>
      </c>
      <c r="F11">
        <v>698250</v>
      </c>
    </row>
    <row r="12" ht="14.25" customHeight="1">
      <c r="A12" t="s">
        <v>108</v>
      </c>
      <c r="B12" t="s">
        <v>200</v>
      </c>
      <c r="C12" t="s">
        <v>156</v>
      </c>
      <c r="D12" t="s">
        <v>147</v>
      </c>
      <c r="E12" t="s">
        <v>148</v>
      </c>
      <c r="F12">
        <v>964320</v>
      </c>
    </row>
    <row r="13" ht="14.25" customHeight="1">
      <c r="A13" t="s">
        <v>107</v>
      </c>
      <c r="B13" t="s">
        <v>200</v>
      </c>
      <c r="C13" t="s">
        <v>156</v>
      </c>
      <c r="D13" t="s">
        <v>147</v>
      </c>
      <c r="E13" t="s">
        <v>148</v>
      </c>
      <c r="F13">
        <v>771750</v>
      </c>
    </row>
    <row r="14" ht="14.25" customHeight="1">
      <c r="A14" t="s">
        <v>104</v>
      </c>
      <c r="B14" t="s">
        <v>200</v>
      </c>
      <c r="C14" t="s">
        <v>155</v>
      </c>
      <c r="D14" t="s">
        <v>147</v>
      </c>
      <c r="E14" t="s">
        <v>148</v>
      </c>
      <c r="F14">
        <v>2339680</v>
      </c>
    </row>
    <row r="15" ht="14.25" customHeight="1">
      <c r="A15" t="s">
        <v>101</v>
      </c>
      <c r="B15" t="s">
        <v>200</v>
      </c>
      <c r="C15" t="s">
        <v>155</v>
      </c>
      <c r="D15" t="s">
        <v>147</v>
      </c>
      <c r="E15" t="s">
        <v>148</v>
      </c>
      <c r="F15">
        <v>1843275</v>
      </c>
    </row>
    <row r="16" ht="14.25" customHeight="1">
      <c r="A16" t="s">
        <v>103</v>
      </c>
      <c r="B16" t="s">
        <v>200</v>
      </c>
      <c r="C16" t="s">
        <v>155</v>
      </c>
      <c r="D16" t="s">
        <v>147</v>
      </c>
      <c r="E16" t="s">
        <v>148</v>
      </c>
      <c r="F16">
        <v>1610500</v>
      </c>
    </row>
    <row r="17" ht="14.25" customHeight="1">
      <c r="A17" t="s">
        <v>99</v>
      </c>
      <c r="B17" t="s">
        <v>200</v>
      </c>
      <c r="C17" t="s">
        <v>155</v>
      </c>
      <c r="D17" t="s">
        <v>147</v>
      </c>
      <c r="E17" t="s">
        <v>148</v>
      </c>
      <c r="F17">
        <v>1309015</v>
      </c>
    </row>
    <row r="18" ht="14.25" customHeight="1">
      <c r="A18" t="s">
        <v>95</v>
      </c>
      <c r="B18" t="s">
        <v>200</v>
      </c>
      <c r="C18" t="s">
        <v>155</v>
      </c>
      <c r="D18" t="s">
        <v>147</v>
      </c>
      <c r="E18" t="s">
        <v>148</v>
      </c>
      <c r="F18">
        <v>2161040</v>
      </c>
    </row>
    <row r="19" ht="14.25" customHeight="1">
      <c r="A19" t="s">
        <v>93</v>
      </c>
      <c r="B19" t="s">
        <v>200</v>
      </c>
      <c r="C19" t="s">
        <v>155</v>
      </c>
      <c r="D19" t="s">
        <v>147</v>
      </c>
      <c r="E19" t="s">
        <v>148</v>
      </c>
      <c r="F19">
        <v>1294090</v>
      </c>
    </row>
    <row r="20" ht="14.25" customHeight="1">
      <c r="A20" t="s">
        <v>97</v>
      </c>
      <c r="B20" t="s">
        <v>200</v>
      </c>
      <c r="C20" t="s">
        <v>155</v>
      </c>
      <c r="D20" t="s">
        <v>147</v>
      </c>
      <c r="E20" t="s">
        <v>148</v>
      </c>
      <c r="F20">
        <v>1197600</v>
      </c>
    </row>
    <row r="21" ht="14.25" customHeight="1">
      <c r="A21" t="s">
        <v>89</v>
      </c>
      <c r="B21" t="s">
        <v>200</v>
      </c>
      <c r="C21" t="s">
        <v>155</v>
      </c>
      <c r="D21" t="s">
        <v>147</v>
      </c>
      <c r="E21" t="s">
        <v>148</v>
      </c>
      <c r="F21">
        <v>952000</v>
      </c>
    </row>
    <row r="22" ht="14.25" customHeight="1">
      <c r="A22" t="s">
        <v>91</v>
      </c>
      <c r="B22" t="s">
        <v>200</v>
      </c>
      <c r="C22" t="s">
        <v>155</v>
      </c>
      <c r="D22" t="s">
        <v>147</v>
      </c>
      <c r="E22" t="s">
        <v>148</v>
      </c>
      <c r="F22">
        <v>738150</v>
      </c>
    </row>
    <row r="23" ht="14.25" customHeight="1">
      <c r="A23" t="s">
        <v>86</v>
      </c>
      <c r="B23" t="s">
        <v>200</v>
      </c>
      <c r="C23" t="s">
        <v>155</v>
      </c>
      <c r="D23" t="s">
        <v>147</v>
      </c>
      <c r="E23" t="s">
        <v>148</v>
      </c>
      <c r="F23">
        <v>738150</v>
      </c>
    </row>
    <row r="24" ht="14.25" customHeight="1">
      <c r="A24" t="s">
        <v>108</v>
      </c>
      <c r="B24" t="s">
        <v>200</v>
      </c>
      <c r="C24" t="s">
        <v>155</v>
      </c>
      <c r="D24" t="s">
        <v>147</v>
      </c>
      <c r="E24" t="s">
        <v>148</v>
      </c>
      <c r="F24">
        <v>1011360</v>
      </c>
    </row>
    <row r="25" ht="14.25" customHeight="1">
      <c r="A25" t="s">
        <v>107</v>
      </c>
      <c r="B25" t="s">
        <v>200</v>
      </c>
      <c r="C25" t="s">
        <v>155</v>
      </c>
      <c r="D25" t="s">
        <v>147</v>
      </c>
      <c r="E25" t="s">
        <v>148</v>
      </c>
      <c r="F25">
        <v>815850</v>
      </c>
    </row>
    <row r="26" ht="14.25" customHeight="1">
      <c r="A26" t="s">
        <v>104</v>
      </c>
      <c r="B26" t="s">
        <v>200</v>
      </c>
      <c r="C26" t="s">
        <v>152</v>
      </c>
      <c r="D26" t="s">
        <v>147</v>
      </c>
      <c r="E26" t="s">
        <v>148</v>
      </c>
      <c r="F26">
        <v>2469600</v>
      </c>
    </row>
    <row r="27" ht="14.25" customHeight="1">
      <c r="A27" t="s">
        <v>101</v>
      </c>
      <c r="B27" t="s">
        <v>200</v>
      </c>
      <c r="C27" t="s">
        <v>152</v>
      </c>
      <c r="D27" t="s">
        <v>147</v>
      </c>
      <c r="E27" t="s">
        <v>148</v>
      </c>
      <c r="F27">
        <v>1965075</v>
      </c>
    </row>
    <row r="28" ht="14.25" customHeight="1">
      <c r="A28" t="s">
        <v>103</v>
      </c>
      <c r="B28" t="s">
        <v>200</v>
      </c>
      <c r="C28" t="s">
        <v>152</v>
      </c>
      <c r="D28" t="s">
        <v>147</v>
      </c>
      <c r="E28" t="s">
        <v>148</v>
      </c>
      <c r="F28">
        <v>1697500</v>
      </c>
    </row>
    <row r="29" ht="14.25" customHeight="1">
      <c r="A29" t="s">
        <v>99</v>
      </c>
      <c r="B29" t="s">
        <v>200</v>
      </c>
      <c r="C29" t="s">
        <v>152</v>
      </c>
      <c r="D29" t="s">
        <v>147</v>
      </c>
      <c r="E29" t="s">
        <v>148</v>
      </c>
      <c r="F29">
        <v>1393405</v>
      </c>
    </row>
    <row r="30" ht="14.25" customHeight="1">
      <c r="A30" t="s">
        <v>95</v>
      </c>
      <c r="B30" t="s">
        <v>200</v>
      </c>
      <c r="C30" t="s">
        <v>152</v>
      </c>
      <c r="D30" t="s">
        <v>147</v>
      </c>
      <c r="E30" t="s">
        <v>148</v>
      </c>
      <c r="F30">
        <v>2290960</v>
      </c>
    </row>
    <row r="31" ht="14.25" customHeight="1">
      <c r="A31" t="s">
        <v>93</v>
      </c>
      <c r="B31" t="s">
        <v>200</v>
      </c>
      <c r="C31" t="s">
        <v>152</v>
      </c>
      <c r="D31" t="s">
        <v>147</v>
      </c>
      <c r="E31" t="s">
        <v>148</v>
      </c>
      <c r="F31">
        <v>1379350</v>
      </c>
    </row>
    <row r="32" ht="14.25" customHeight="1">
      <c r="A32" t="s">
        <v>97</v>
      </c>
      <c r="B32" t="s">
        <v>200</v>
      </c>
      <c r="C32" t="s">
        <v>152</v>
      </c>
      <c r="D32" t="s">
        <v>147</v>
      </c>
      <c r="E32" t="s">
        <v>148</v>
      </c>
      <c r="F32">
        <v>1281120</v>
      </c>
    </row>
    <row r="33" ht="14.25" customHeight="1">
      <c r="A33" t="s">
        <v>89</v>
      </c>
      <c r="B33" t="s">
        <v>200</v>
      </c>
      <c r="C33" t="s">
        <v>152</v>
      </c>
      <c r="D33" t="s">
        <v>147</v>
      </c>
      <c r="E33" t="s">
        <v>148</v>
      </c>
      <c r="F33">
        <v>1015000</v>
      </c>
    </row>
    <row r="34" ht="14.25" customHeight="1">
      <c r="A34" t="s">
        <v>91</v>
      </c>
      <c r="B34" t="s">
        <v>200</v>
      </c>
      <c r="C34" t="s">
        <v>152</v>
      </c>
      <c r="D34" t="s">
        <v>147</v>
      </c>
      <c r="E34" t="s">
        <v>148</v>
      </c>
      <c r="F34">
        <v>778050</v>
      </c>
    </row>
    <row r="35" ht="14.25" customHeight="1">
      <c r="A35" t="s">
        <v>86</v>
      </c>
      <c r="B35" t="s">
        <v>200</v>
      </c>
      <c r="C35" t="s">
        <v>152</v>
      </c>
      <c r="D35" t="s">
        <v>147</v>
      </c>
      <c r="E35" t="s">
        <v>148</v>
      </c>
      <c r="F35">
        <v>778050</v>
      </c>
    </row>
    <row r="36" ht="14.25" customHeight="1">
      <c r="A36" t="s">
        <v>108</v>
      </c>
      <c r="B36" t="s">
        <v>200</v>
      </c>
      <c r="C36" t="s">
        <v>152</v>
      </c>
      <c r="D36" t="s">
        <v>147</v>
      </c>
      <c r="E36" t="s">
        <v>148</v>
      </c>
      <c r="F36">
        <v>1081920</v>
      </c>
    </row>
    <row r="37" ht="14.25" customHeight="1">
      <c r="A37" t="s">
        <v>107</v>
      </c>
      <c r="B37" t="s">
        <v>200</v>
      </c>
      <c r="C37" t="s">
        <v>152</v>
      </c>
      <c r="D37" t="s">
        <v>147</v>
      </c>
      <c r="E37" t="s">
        <v>148</v>
      </c>
      <c r="F37">
        <v>859950</v>
      </c>
    </row>
    <row r="38" ht="14.25" customHeight="1">
      <c r="A38" t="s">
        <v>104</v>
      </c>
      <c r="B38" t="s">
        <v>201</v>
      </c>
      <c r="C38" t="s">
        <v>156</v>
      </c>
      <c r="D38" t="s">
        <v>147</v>
      </c>
      <c r="E38" t="s">
        <v>148</v>
      </c>
      <c r="F38">
        <v>579600</v>
      </c>
    </row>
    <row r="39" ht="14.25" customHeight="1">
      <c r="A39" t="s">
        <v>101</v>
      </c>
      <c r="B39" t="s">
        <v>201</v>
      </c>
      <c r="C39" t="s">
        <v>156</v>
      </c>
      <c r="D39" t="s">
        <v>147</v>
      </c>
      <c r="E39" t="s">
        <v>148</v>
      </c>
      <c r="F39">
        <v>464625</v>
      </c>
    </row>
    <row r="40" ht="14.25" customHeight="1">
      <c r="A40" t="s">
        <v>103</v>
      </c>
      <c r="B40" t="s">
        <v>201</v>
      </c>
      <c r="C40" t="s">
        <v>156</v>
      </c>
      <c r="D40" t="s">
        <v>147</v>
      </c>
      <c r="E40" t="s">
        <v>148</v>
      </c>
      <c r="F40">
        <v>397500</v>
      </c>
    </row>
    <row r="41" ht="14.25" customHeight="1">
      <c r="A41" t="s">
        <v>99</v>
      </c>
      <c r="B41" t="s">
        <v>201</v>
      </c>
      <c r="C41" t="s">
        <v>156</v>
      </c>
      <c r="D41" t="s">
        <v>147</v>
      </c>
      <c r="E41" t="s">
        <v>148</v>
      </c>
      <c r="F41">
        <v>327375</v>
      </c>
    </row>
    <row r="42" ht="14.25" customHeight="1">
      <c r="A42" t="s">
        <v>95</v>
      </c>
      <c r="B42" t="s">
        <v>201</v>
      </c>
      <c r="C42" t="s">
        <v>156</v>
      </c>
      <c r="D42" t="s">
        <v>147</v>
      </c>
      <c r="E42" t="s">
        <v>148</v>
      </c>
      <c r="F42">
        <v>537600</v>
      </c>
    </row>
    <row r="43" ht="14.25" customHeight="1">
      <c r="A43" t="s">
        <v>93</v>
      </c>
      <c r="B43" t="s">
        <v>201</v>
      </c>
      <c r="C43" t="s">
        <v>156</v>
      </c>
      <c r="D43" t="s">
        <v>147</v>
      </c>
      <c r="E43" t="s">
        <v>148</v>
      </c>
      <c r="F43">
        <v>323400</v>
      </c>
    </row>
    <row r="44" ht="14.25" customHeight="1">
      <c r="A44" t="s">
        <v>97</v>
      </c>
      <c r="B44" t="s">
        <v>201</v>
      </c>
      <c r="C44" t="s">
        <v>156</v>
      </c>
      <c r="D44" t="s">
        <v>147</v>
      </c>
      <c r="E44" t="s">
        <v>148</v>
      </c>
      <c r="F44">
        <v>302400</v>
      </c>
    </row>
    <row r="45" ht="14.25" customHeight="1">
      <c r="A45" t="s">
        <v>104</v>
      </c>
      <c r="B45" t="s">
        <v>201</v>
      </c>
      <c r="C45" t="s">
        <v>155</v>
      </c>
      <c r="D45" t="s">
        <v>147</v>
      </c>
      <c r="E45" t="s">
        <v>148</v>
      </c>
      <c r="F45">
        <v>621600</v>
      </c>
    </row>
    <row r="46" ht="14.25" customHeight="1">
      <c r="A46" t="s">
        <v>101</v>
      </c>
      <c r="B46" t="s">
        <v>201</v>
      </c>
      <c r="C46" t="s">
        <v>155</v>
      </c>
      <c r="D46" t="s">
        <v>147</v>
      </c>
      <c r="E46" t="s">
        <v>148</v>
      </c>
      <c r="F46">
        <v>488250</v>
      </c>
    </row>
    <row r="47" ht="14.25" customHeight="1">
      <c r="A47" t="s">
        <v>103</v>
      </c>
      <c r="B47" t="s">
        <v>201</v>
      </c>
      <c r="C47" t="s">
        <v>155</v>
      </c>
      <c r="D47" t="s">
        <v>147</v>
      </c>
      <c r="E47" t="s">
        <v>148</v>
      </c>
      <c r="F47">
        <v>427500</v>
      </c>
    </row>
    <row r="48" ht="14.25" customHeight="1">
      <c r="A48" t="s">
        <v>99</v>
      </c>
      <c r="B48" t="s">
        <v>201</v>
      </c>
      <c r="C48" t="s">
        <v>155</v>
      </c>
      <c r="D48" t="s">
        <v>147</v>
      </c>
      <c r="E48" t="s">
        <v>148</v>
      </c>
      <c r="F48">
        <v>349200</v>
      </c>
    </row>
    <row r="49" ht="14.25" customHeight="1">
      <c r="A49" t="s">
        <v>95</v>
      </c>
      <c r="B49" t="s">
        <v>201</v>
      </c>
      <c r="C49" t="s">
        <v>155</v>
      </c>
      <c r="D49" t="s">
        <v>147</v>
      </c>
      <c r="E49" t="s">
        <v>148</v>
      </c>
      <c r="F49">
        <v>571200</v>
      </c>
    </row>
    <row r="50" ht="14.25" customHeight="1">
      <c r="A50" t="s">
        <v>93</v>
      </c>
      <c r="B50" t="s">
        <v>201</v>
      </c>
      <c r="C50" t="s">
        <v>155</v>
      </c>
      <c r="D50" t="s">
        <v>147</v>
      </c>
      <c r="E50" t="s">
        <v>148</v>
      </c>
      <c r="F50">
        <v>345450</v>
      </c>
    </row>
    <row r="51" ht="14.25" customHeight="1">
      <c r="A51" t="s">
        <v>97</v>
      </c>
      <c r="B51" t="s">
        <v>201</v>
      </c>
      <c r="C51" t="s">
        <v>155</v>
      </c>
      <c r="D51" t="s">
        <v>147</v>
      </c>
      <c r="E51" t="s">
        <v>148</v>
      </c>
      <c r="F51">
        <v>316800</v>
      </c>
    </row>
    <row r="52" ht="14.25" customHeight="1">
      <c r="A52" t="s">
        <v>104</v>
      </c>
      <c r="B52" t="s">
        <v>201</v>
      </c>
      <c r="C52" t="s">
        <v>152</v>
      </c>
      <c r="D52" t="s">
        <v>147</v>
      </c>
      <c r="E52" t="s">
        <v>148</v>
      </c>
      <c r="F52">
        <v>655200</v>
      </c>
    </row>
    <row r="53" ht="14.25" customHeight="1">
      <c r="A53" t="s">
        <v>101</v>
      </c>
      <c r="B53" t="s">
        <v>201</v>
      </c>
      <c r="C53" t="s">
        <v>152</v>
      </c>
      <c r="D53" t="s">
        <v>147</v>
      </c>
      <c r="E53" t="s">
        <v>148</v>
      </c>
      <c r="F53">
        <v>519750</v>
      </c>
    </row>
    <row r="54" ht="14.25" customHeight="1">
      <c r="A54" t="s">
        <v>103</v>
      </c>
      <c r="B54" t="s">
        <v>201</v>
      </c>
      <c r="C54" t="s">
        <v>152</v>
      </c>
      <c r="D54" t="s">
        <v>147</v>
      </c>
      <c r="E54" t="s">
        <v>148</v>
      </c>
      <c r="F54">
        <v>450000</v>
      </c>
    </row>
    <row r="55" ht="14.25" customHeight="1">
      <c r="A55" t="s">
        <v>99</v>
      </c>
      <c r="B55" t="s">
        <v>201</v>
      </c>
      <c r="C55" t="s">
        <v>152</v>
      </c>
      <c r="D55" t="s">
        <v>147</v>
      </c>
      <c r="E55" t="s">
        <v>148</v>
      </c>
      <c r="F55">
        <v>371025</v>
      </c>
    </row>
    <row r="56" ht="14.25" customHeight="1">
      <c r="A56" t="s">
        <v>95</v>
      </c>
      <c r="B56" t="s">
        <v>201</v>
      </c>
      <c r="C56" t="s">
        <v>152</v>
      </c>
      <c r="D56" t="s">
        <v>147</v>
      </c>
      <c r="E56" t="s">
        <v>148</v>
      </c>
      <c r="F56">
        <v>604800</v>
      </c>
    </row>
    <row r="57" ht="14.25" customHeight="1">
      <c r="A57" t="s">
        <v>93</v>
      </c>
      <c r="B57" t="s">
        <v>201</v>
      </c>
      <c r="C57" t="s">
        <v>152</v>
      </c>
      <c r="D57" t="s">
        <v>147</v>
      </c>
      <c r="E57" t="s">
        <v>148</v>
      </c>
      <c r="F57">
        <v>367500</v>
      </c>
    </row>
    <row r="58" ht="14.25" customHeight="1">
      <c r="A58" t="s">
        <v>97</v>
      </c>
      <c r="B58" t="s">
        <v>201</v>
      </c>
      <c r="C58" t="s">
        <v>152</v>
      </c>
      <c r="D58" t="s">
        <v>147</v>
      </c>
      <c r="E58" t="s">
        <v>148</v>
      </c>
      <c r="F58">
        <v>338400</v>
      </c>
    </row>
    <row r="59" ht="14.25" customHeight="1">
      <c r="A59" t="s">
        <v>104</v>
      </c>
      <c r="B59" t="s">
        <v>202</v>
      </c>
      <c r="C59" t="s">
        <v>156</v>
      </c>
      <c r="D59" t="s">
        <v>147</v>
      </c>
      <c r="E59" t="s">
        <v>148</v>
      </c>
      <c r="F59">
        <v>12420</v>
      </c>
    </row>
    <row r="60" ht="14.25" customHeight="1">
      <c r="A60" t="s">
        <v>101</v>
      </c>
      <c r="B60" t="s">
        <v>202</v>
      </c>
      <c r="C60" t="s">
        <v>156</v>
      </c>
      <c r="D60" t="s">
        <v>147</v>
      </c>
      <c r="E60" t="s">
        <v>148</v>
      </c>
      <c r="F60">
        <v>10620</v>
      </c>
    </row>
    <row r="61" ht="14.25" customHeight="1">
      <c r="A61" t="s">
        <v>103</v>
      </c>
      <c r="B61" t="s">
        <v>202</v>
      </c>
      <c r="C61" t="s">
        <v>156</v>
      </c>
      <c r="D61" t="s">
        <v>147</v>
      </c>
      <c r="E61" t="s">
        <v>148</v>
      </c>
      <c r="F61">
        <v>9540</v>
      </c>
    </row>
    <row r="62" ht="14.25" customHeight="1">
      <c r="A62" t="s">
        <v>99</v>
      </c>
      <c r="B62" t="s">
        <v>202</v>
      </c>
      <c r="C62" t="s">
        <v>156</v>
      </c>
      <c r="D62" t="s">
        <v>147</v>
      </c>
      <c r="E62" t="s">
        <v>148</v>
      </c>
      <c r="F62">
        <v>8100</v>
      </c>
    </row>
    <row r="63" ht="14.25" customHeight="1">
      <c r="A63" t="s">
        <v>95</v>
      </c>
      <c r="B63" t="s">
        <v>202</v>
      </c>
      <c r="C63" t="s">
        <v>156</v>
      </c>
      <c r="D63" t="s">
        <v>147</v>
      </c>
      <c r="E63" t="s">
        <v>148</v>
      </c>
      <c r="F63">
        <v>11520</v>
      </c>
    </row>
    <row r="64" ht="14.25" customHeight="1">
      <c r="A64" t="s">
        <v>93</v>
      </c>
      <c r="B64" t="s">
        <v>202</v>
      </c>
      <c r="C64" t="s">
        <v>156</v>
      </c>
      <c r="D64" t="s">
        <v>147</v>
      </c>
      <c r="E64" t="s">
        <v>148</v>
      </c>
      <c r="F64">
        <v>7920</v>
      </c>
    </row>
    <row r="65" ht="14.25" customHeight="1">
      <c r="A65" t="s">
        <v>97</v>
      </c>
      <c r="B65" t="s">
        <v>202</v>
      </c>
      <c r="C65" t="s">
        <v>156</v>
      </c>
      <c r="D65" t="s">
        <v>147</v>
      </c>
      <c r="E65" t="s">
        <v>148</v>
      </c>
      <c r="F65">
        <v>7560</v>
      </c>
    </row>
    <row r="66" ht="14.25" customHeight="1">
      <c r="A66" t="s">
        <v>89</v>
      </c>
      <c r="B66" t="s">
        <v>202</v>
      </c>
      <c r="C66" t="s">
        <v>156</v>
      </c>
      <c r="D66" t="s">
        <v>147</v>
      </c>
      <c r="E66" t="s">
        <v>148</v>
      </c>
      <c r="F66">
        <v>3960</v>
      </c>
    </row>
    <row r="67" ht="14.25" customHeight="1">
      <c r="A67" t="s">
        <v>91</v>
      </c>
      <c r="B67" t="s">
        <v>202</v>
      </c>
      <c r="C67" t="s">
        <v>156</v>
      </c>
      <c r="D67" t="s">
        <v>147</v>
      </c>
      <c r="E67" t="s">
        <v>148</v>
      </c>
      <c r="F67">
        <v>3240</v>
      </c>
    </row>
    <row r="68" ht="14.25" customHeight="1">
      <c r="A68" t="s">
        <v>86</v>
      </c>
      <c r="B68" t="s">
        <v>202</v>
      </c>
      <c r="C68" t="s">
        <v>156</v>
      </c>
      <c r="D68" t="s">
        <v>147</v>
      </c>
      <c r="E68" t="s">
        <v>148</v>
      </c>
      <c r="F68">
        <v>3240</v>
      </c>
    </row>
    <row r="69" ht="14.25" customHeight="1">
      <c r="A69" t="s">
        <v>106</v>
      </c>
      <c r="B69" t="s">
        <v>202</v>
      </c>
      <c r="C69" t="s">
        <v>156</v>
      </c>
      <c r="D69" t="s">
        <v>147</v>
      </c>
      <c r="E69" t="s">
        <v>148</v>
      </c>
      <c r="F69">
        <v>7380</v>
      </c>
    </row>
    <row r="70" ht="14.25" customHeight="1">
      <c r="A70" t="s">
        <v>105</v>
      </c>
      <c r="B70" t="s">
        <v>202</v>
      </c>
      <c r="C70" t="s">
        <v>156</v>
      </c>
      <c r="D70" t="s">
        <v>147</v>
      </c>
      <c r="E70" t="s">
        <v>148</v>
      </c>
      <c r="F70">
        <v>5760</v>
      </c>
    </row>
    <row r="71" ht="14.25" customHeight="1">
      <c r="A71" t="s">
        <v>108</v>
      </c>
      <c r="B71" t="s">
        <v>202</v>
      </c>
      <c r="C71" t="s">
        <v>156</v>
      </c>
      <c r="D71" t="s">
        <v>147</v>
      </c>
      <c r="E71" t="s">
        <v>148</v>
      </c>
      <c r="F71">
        <v>3780</v>
      </c>
    </row>
    <row r="72" ht="14.25" customHeight="1">
      <c r="A72" t="s">
        <v>107</v>
      </c>
      <c r="B72" t="s">
        <v>202</v>
      </c>
      <c r="C72" t="s">
        <v>156</v>
      </c>
      <c r="D72" t="s">
        <v>147</v>
      </c>
      <c r="E72" t="s">
        <v>148</v>
      </c>
      <c r="F72">
        <v>3240</v>
      </c>
    </row>
    <row r="73" ht="14.25" customHeight="1">
      <c r="A73" t="s">
        <v>104</v>
      </c>
      <c r="B73" t="s">
        <v>202</v>
      </c>
      <c r="C73" t="s">
        <v>155</v>
      </c>
      <c r="D73" t="s">
        <v>147</v>
      </c>
      <c r="E73" t="s">
        <v>148</v>
      </c>
      <c r="F73">
        <v>13320</v>
      </c>
    </row>
    <row r="74" ht="14.25" customHeight="1">
      <c r="A74" t="s">
        <v>101</v>
      </c>
      <c r="B74" t="s">
        <v>202</v>
      </c>
      <c r="C74" t="s">
        <v>155</v>
      </c>
      <c r="D74" t="s">
        <v>147</v>
      </c>
      <c r="E74" t="s">
        <v>148</v>
      </c>
      <c r="F74">
        <v>11160</v>
      </c>
    </row>
    <row r="75" ht="14.25" customHeight="1">
      <c r="A75" t="s">
        <v>103</v>
      </c>
      <c r="B75" t="s">
        <v>202</v>
      </c>
      <c r="C75" t="s">
        <v>155</v>
      </c>
      <c r="D75" t="s">
        <v>147</v>
      </c>
      <c r="E75" t="s">
        <v>148</v>
      </c>
      <c r="F75">
        <v>10260</v>
      </c>
    </row>
    <row r="76" ht="14.25" customHeight="1">
      <c r="A76" t="s">
        <v>99</v>
      </c>
      <c r="B76" t="s">
        <v>202</v>
      </c>
      <c r="C76" t="s">
        <v>155</v>
      </c>
      <c r="D76" t="s">
        <v>147</v>
      </c>
      <c r="E76" t="s">
        <v>148</v>
      </c>
      <c r="F76">
        <v>8640</v>
      </c>
    </row>
    <row r="77" ht="14.25" customHeight="1">
      <c r="A77" t="s">
        <v>95</v>
      </c>
      <c r="B77" t="s">
        <v>202</v>
      </c>
      <c r="C77" t="s">
        <v>155</v>
      </c>
      <c r="D77" t="s">
        <v>147</v>
      </c>
      <c r="E77" t="s">
        <v>148</v>
      </c>
      <c r="F77">
        <v>12240</v>
      </c>
    </row>
    <row r="78" ht="14.25" customHeight="1">
      <c r="A78" t="s">
        <v>93</v>
      </c>
      <c r="B78" t="s">
        <v>202</v>
      </c>
      <c r="C78" t="s">
        <v>155</v>
      </c>
      <c r="D78" t="s">
        <v>147</v>
      </c>
      <c r="E78" t="s">
        <v>148</v>
      </c>
      <c r="F78">
        <v>8460</v>
      </c>
    </row>
    <row r="79" ht="14.25" customHeight="1">
      <c r="A79" t="s">
        <v>97</v>
      </c>
      <c r="B79" t="s">
        <v>202</v>
      </c>
      <c r="C79" t="s">
        <v>155</v>
      </c>
      <c r="D79" t="s">
        <v>147</v>
      </c>
      <c r="E79" t="s">
        <v>148</v>
      </c>
      <c r="F79">
        <v>7920</v>
      </c>
    </row>
    <row r="80" ht="14.25" customHeight="1">
      <c r="A80" t="s">
        <v>89</v>
      </c>
      <c r="B80" t="s">
        <v>202</v>
      </c>
      <c r="C80" t="s">
        <v>155</v>
      </c>
      <c r="D80" t="s">
        <v>147</v>
      </c>
      <c r="E80" t="s">
        <v>148</v>
      </c>
      <c r="F80">
        <v>4230</v>
      </c>
    </row>
    <row r="81" ht="14.25" customHeight="1">
      <c r="A81" t="s">
        <v>91</v>
      </c>
      <c r="B81" t="s">
        <v>202</v>
      </c>
      <c r="C81" t="s">
        <v>155</v>
      </c>
      <c r="D81" t="s">
        <v>147</v>
      </c>
      <c r="E81" t="s">
        <v>148</v>
      </c>
      <c r="F81">
        <v>3420</v>
      </c>
    </row>
    <row r="82" ht="14.25" customHeight="1">
      <c r="A82" t="s">
        <v>86</v>
      </c>
      <c r="B82" t="s">
        <v>202</v>
      </c>
      <c r="C82" t="s">
        <v>155</v>
      </c>
      <c r="D82" t="s">
        <v>147</v>
      </c>
      <c r="E82" t="s">
        <v>148</v>
      </c>
      <c r="F82">
        <v>3420</v>
      </c>
    </row>
    <row r="83" ht="14.25" customHeight="1">
      <c r="A83" t="s">
        <v>106</v>
      </c>
      <c r="B83" t="s">
        <v>202</v>
      </c>
      <c r="C83" t="s">
        <v>155</v>
      </c>
      <c r="D83" t="s">
        <v>147</v>
      </c>
      <c r="E83" t="s">
        <v>148</v>
      </c>
      <c r="F83">
        <v>7740</v>
      </c>
    </row>
    <row r="84" ht="14.25" customHeight="1">
      <c r="A84" t="s">
        <v>105</v>
      </c>
      <c r="B84" t="s">
        <v>202</v>
      </c>
      <c r="C84" t="s">
        <v>155</v>
      </c>
      <c r="D84" t="s">
        <v>147</v>
      </c>
      <c r="E84" t="s">
        <v>148</v>
      </c>
      <c r="F84">
        <v>6120</v>
      </c>
    </row>
    <row r="85" ht="14.25" customHeight="1">
      <c r="A85" t="s">
        <v>108</v>
      </c>
      <c r="B85" t="s">
        <v>202</v>
      </c>
      <c r="C85" t="s">
        <v>155</v>
      </c>
      <c r="D85" t="s">
        <v>147</v>
      </c>
      <c r="E85" t="s">
        <v>148</v>
      </c>
      <c r="F85">
        <v>3960</v>
      </c>
    </row>
    <row r="86" ht="14.25" customHeight="1">
      <c r="A86" t="s">
        <v>107</v>
      </c>
      <c r="B86" t="s">
        <v>202</v>
      </c>
      <c r="C86" t="s">
        <v>155</v>
      </c>
      <c r="D86" t="s">
        <v>147</v>
      </c>
      <c r="E86" t="s">
        <v>148</v>
      </c>
      <c r="F86">
        <v>3420</v>
      </c>
    </row>
    <row r="87" ht="14.25" customHeight="1">
      <c r="A87" t="s">
        <v>104</v>
      </c>
      <c r="B87" t="s">
        <v>202</v>
      </c>
      <c r="C87" t="s">
        <v>152</v>
      </c>
      <c r="D87" t="s">
        <v>147</v>
      </c>
      <c r="E87" t="s">
        <v>148</v>
      </c>
      <c r="F87">
        <v>14040</v>
      </c>
    </row>
    <row r="88" ht="14.25" customHeight="1">
      <c r="A88" t="s">
        <v>101</v>
      </c>
      <c r="B88" t="s">
        <v>202</v>
      </c>
      <c r="C88" t="s">
        <v>152</v>
      </c>
      <c r="D88" t="s">
        <v>147</v>
      </c>
      <c r="E88" t="s">
        <v>148</v>
      </c>
      <c r="F88">
        <v>11880</v>
      </c>
    </row>
    <row r="89" ht="14.25" customHeight="1">
      <c r="A89" t="s">
        <v>103</v>
      </c>
      <c r="B89" t="s">
        <v>202</v>
      </c>
      <c r="C89" t="s">
        <v>152</v>
      </c>
      <c r="D89" t="s">
        <v>147</v>
      </c>
      <c r="E89" t="s">
        <v>148</v>
      </c>
      <c r="F89">
        <v>10800</v>
      </c>
    </row>
    <row r="90" ht="14.25" customHeight="1">
      <c r="A90" t="s">
        <v>99</v>
      </c>
      <c r="B90" t="s">
        <v>202</v>
      </c>
      <c r="C90" t="s">
        <v>152</v>
      </c>
      <c r="D90" t="s">
        <v>147</v>
      </c>
      <c r="E90" t="s">
        <v>148</v>
      </c>
      <c r="F90">
        <v>9180</v>
      </c>
    </row>
    <row r="91" ht="14.25" customHeight="1">
      <c r="A91" t="s">
        <v>95</v>
      </c>
      <c r="B91" t="s">
        <v>202</v>
      </c>
      <c r="C91" t="s">
        <v>152</v>
      </c>
      <c r="D91" t="s">
        <v>147</v>
      </c>
      <c r="E91" t="s">
        <v>148</v>
      </c>
      <c r="F91">
        <v>12960</v>
      </c>
    </row>
    <row r="92" ht="14.25" customHeight="1">
      <c r="A92" t="s">
        <v>93</v>
      </c>
      <c r="B92" t="s">
        <v>202</v>
      </c>
      <c r="C92" t="s">
        <v>152</v>
      </c>
      <c r="D92" t="s">
        <v>147</v>
      </c>
      <c r="E92" t="s">
        <v>148</v>
      </c>
      <c r="F92">
        <v>9000</v>
      </c>
    </row>
    <row r="93" ht="14.25" customHeight="1">
      <c r="A93" t="s">
        <v>97</v>
      </c>
      <c r="B93" t="s">
        <v>202</v>
      </c>
      <c r="C93" t="s">
        <v>152</v>
      </c>
      <c r="D93" t="s">
        <v>147</v>
      </c>
      <c r="E93" t="s">
        <v>148</v>
      </c>
      <c r="F93">
        <v>8460</v>
      </c>
    </row>
    <row r="94" ht="14.25" customHeight="1">
      <c r="A94" t="s">
        <v>89</v>
      </c>
      <c r="B94" t="s">
        <v>202</v>
      </c>
      <c r="C94" t="s">
        <v>152</v>
      </c>
      <c r="D94" t="s">
        <v>147</v>
      </c>
      <c r="E94" t="s">
        <v>148</v>
      </c>
      <c r="F94">
        <v>4500</v>
      </c>
    </row>
    <row r="95" ht="14.25" customHeight="1">
      <c r="A95" t="s">
        <v>91</v>
      </c>
      <c r="B95" t="s">
        <v>202</v>
      </c>
      <c r="C95" t="s">
        <v>152</v>
      </c>
      <c r="D95" t="s">
        <v>147</v>
      </c>
      <c r="E95" t="s">
        <v>148</v>
      </c>
      <c r="F95">
        <v>3600</v>
      </c>
    </row>
    <row r="96" ht="14.25" customHeight="1">
      <c r="A96" t="s">
        <v>86</v>
      </c>
      <c r="B96" t="s">
        <v>202</v>
      </c>
      <c r="C96" t="s">
        <v>152</v>
      </c>
      <c r="D96" t="s">
        <v>147</v>
      </c>
      <c r="E96" t="s">
        <v>148</v>
      </c>
      <c r="F96">
        <v>3600</v>
      </c>
    </row>
    <row r="97" ht="14.25" customHeight="1">
      <c r="A97" t="s">
        <v>106</v>
      </c>
      <c r="B97" t="s">
        <v>202</v>
      </c>
      <c r="C97" t="s">
        <v>152</v>
      </c>
      <c r="D97" t="s">
        <v>147</v>
      </c>
      <c r="E97" t="s">
        <v>148</v>
      </c>
      <c r="F97">
        <v>8280</v>
      </c>
    </row>
    <row r="98" ht="14.25" customHeight="1">
      <c r="A98" t="s">
        <v>105</v>
      </c>
      <c r="B98" t="s">
        <v>202</v>
      </c>
      <c r="C98" t="s">
        <v>152</v>
      </c>
      <c r="D98" t="s">
        <v>147</v>
      </c>
      <c r="E98" t="s">
        <v>148</v>
      </c>
      <c r="F98">
        <v>6480</v>
      </c>
    </row>
    <row r="99" ht="14.25" customHeight="1">
      <c r="A99" t="s">
        <v>108</v>
      </c>
      <c r="B99" t="s">
        <v>202</v>
      </c>
      <c r="C99" t="s">
        <v>152</v>
      </c>
      <c r="D99" t="s">
        <v>147</v>
      </c>
      <c r="E99" t="s">
        <v>148</v>
      </c>
      <c r="F99">
        <v>4230</v>
      </c>
    </row>
    <row r="100" ht="14.25" customHeight="1">
      <c r="A100" t="s">
        <v>107</v>
      </c>
      <c r="B100" t="s">
        <v>202</v>
      </c>
      <c r="C100" t="s">
        <v>152</v>
      </c>
      <c r="D100" t="s">
        <v>147</v>
      </c>
      <c r="E100" t="s">
        <v>148</v>
      </c>
      <c r="F100">
        <v>3600</v>
      </c>
    </row>
    <row r="101" ht="14.25" customHeight="1">
      <c r="A101" t="s">
        <v>104</v>
      </c>
      <c r="B101" t="s">
        <v>203</v>
      </c>
      <c r="C101" t="s">
        <v>156</v>
      </c>
      <c r="D101" t="s">
        <v>147</v>
      </c>
      <c r="E101" t="s">
        <v>148</v>
      </c>
      <c r="F101">
        <v>165271</v>
      </c>
    </row>
    <row r="102" ht="14.25" customHeight="1">
      <c r="A102" t="s">
        <v>101</v>
      </c>
      <c r="B102" t="s">
        <v>203</v>
      </c>
      <c r="C102" t="s">
        <v>156</v>
      </c>
      <c r="D102" t="s">
        <v>147</v>
      </c>
      <c r="E102" t="s">
        <v>148</v>
      </c>
      <c r="F102">
        <v>143235</v>
      </c>
    </row>
    <row r="103" ht="14.25" customHeight="1">
      <c r="A103" t="s">
        <v>103</v>
      </c>
      <c r="B103" t="s">
        <v>203</v>
      </c>
      <c r="C103" t="s">
        <v>156</v>
      </c>
      <c r="D103" t="s">
        <v>147</v>
      </c>
      <c r="E103" t="s">
        <v>148</v>
      </c>
      <c r="F103">
        <v>132216</v>
      </c>
    </row>
    <row r="104" ht="14.25" customHeight="1">
      <c r="A104" t="s">
        <v>99</v>
      </c>
      <c r="B104" t="s">
        <v>203</v>
      </c>
      <c r="C104" t="s">
        <v>156</v>
      </c>
      <c r="D104" t="s">
        <v>147</v>
      </c>
      <c r="E104" t="s">
        <v>148</v>
      </c>
      <c r="F104">
        <v>110180</v>
      </c>
    </row>
    <row r="105" ht="14.25" customHeight="1">
      <c r="A105" t="s">
        <v>95</v>
      </c>
      <c r="B105" t="s">
        <v>203</v>
      </c>
      <c r="C105" t="s">
        <v>156</v>
      </c>
      <c r="D105" t="s">
        <v>147</v>
      </c>
      <c r="E105" t="s">
        <v>148</v>
      </c>
      <c r="F105">
        <v>165271</v>
      </c>
    </row>
    <row r="106" ht="14.25" customHeight="1">
      <c r="A106" t="s">
        <v>93</v>
      </c>
      <c r="B106" t="s">
        <v>203</v>
      </c>
      <c r="C106" t="s">
        <v>156</v>
      </c>
      <c r="D106" t="s">
        <v>147</v>
      </c>
      <c r="E106" t="s">
        <v>148</v>
      </c>
      <c r="F106">
        <v>110180</v>
      </c>
    </row>
    <row r="107" ht="14.25" customHeight="1">
      <c r="A107" t="s">
        <v>97</v>
      </c>
      <c r="B107" t="s">
        <v>203</v>
      </c>
      <c r="C107" t="s">
        <v>156</v>
      </c>
      <c r="D107" t="s">
        <v>147</v>
      </c>
      <c r="E107" t="s">
        <v>148</v>
      </c>
      <c r="F107">
        <v>110180</v>
      </c>
    </row>
    <row r="108" ht="14.25" customHeight="1">
      <c r="A108" t="s">
        <v>89</v>
      </c>
      <c r="B108" t="s">
        <v>203</v>
      </c>
      <c r="C108" t="s">
        <v>156</v>
      </c>
      <c r="D108" t="s">
        <v>147</v>
      </c>
      <c r="E108" t="s">
        <v>148</v>
      </c>
      <c r="F108">
        <v>66108</v>
      </c>
    </row>
    <row r="109" ht="14.25" customHeight="1">
      <c r="A109" t="s">
        <v>91</v>
      </c>
      <c r="B109" t="s">
        <v>203</v>
      </c>
      <c r="C109" t="s">
        <v>156</v>
      </c>
      <c r="D109" t="s">
        <v>147</v>
      </c>
      <c r="E109" t="s">
        <v>148</v>
      </c>
      <c r="F109">
        <v>66108</v>
      </c>
    </row>
    <row r="110" ht="14.25" customHeight="1">
      <c r="A110" t="s">
        <v>86</v>
      </c>
      <c r="B110" t="s">
        <v>203</v>
      </c>
      <c r="C110" t="s">
        <v>156</v>
      </c>
      <c r="D110" t="s">
        <v>147</v>
      </c>
      <c r="E110" t="s">
        <v>148</v>
      </c>
      <c r="F110">
        <v>66108</v>
      </c>
    </row>
    <row r="111" ht="14.25" customHeight="1">
      <c r="A111" t="s">
        <v>106</v>
      </c>
      <c r="B111" t="s">
        <v>203</v>
      </c>
      <c r="C111" t="s">
        <v>156</v>
      </c>
      <c r="D111" t="s">
        <v>147</v>
      </c>
      <c r="E111" t="s">
        <v>148</v>
      </c>
      <c r="F111">
        <v>88144</v>
      </c>
    </row>
    <row r="112" ht="14.25" customHeight="1">
      <c r="A112" t="s">
        <v>105</v>
      </c>
      <c r="B112" t="s">
        <v>203</v>
      </c>
      <c r="C112" t="s">
        <v>156</v>
      </c>
      <c r="D112" t="s">
        <v>147</v>
      </c>
      <c r="E112" t="s">
        <v>148</v>
      </c>
      <c r="F112">
        <v>88144</v>
      </c>
    </row>
    <row r="113" ht="14.25" customHeight="1">
      <c r="A113" t="s">
        <v>108</v>
      </c>
      <c r="B113" t="s">
        <v>203</v>
      </c>
      <c r="C113" t="s">
        <v>156</v>
      </c>
      <c r="D113" t="s">
        <v>147</v>
      </c>
      <c r="E113" t="s">
        <v>148</v>
      </c>
      <c r="F113">
        <v>66108</v>
      </c>
    </row>
    <row r="114" ht="14.25" customHeight="1">
      <c r="A114" t="s">
        <v>107</v>
      </c>
      <c r="B114" t="s">
        <v>203</v>
      </c>
      <c r="C114" t="s">
        <v>156</v>
      </c>
      <c r="D114" t="s">
        <v>147</v>
      </c>
      <c r="E114" t="s">
        <v>148</v>
      </c>
      <c r="F114">
        <v>66108</v>
      </c>
    </row>
    <row r="115" ht="14.25" customHeight="1">
      <c r="A115" t="s">
        <v>104</v>
      </c>
      <c r="B115" t="s">
        <v>203</v>
      </c>
      <c r="C115" t="s">
        <v>155</v>
      </c>
      <c r="D115" t="s">
        <v>147</v>
      </c>
      <c r="E115" t="s">
        <v>148</v>
      </c>
      <c r="F115">
        <v>172844</v>
      </c>
    </row>
    <row r="116" ht="14.25" customHeight="1">
      <c r="A116" t="s">
        <v>101</v>
      </c>
      <c r="B116" t="s">
        <v>203</v>
      </c>
      <c r="C116" t="s">
        <v>155</v>
      </c>
      <c r="D116" t="s">
        <v>147</v>
      </c>
      <c r="E116" t="s">
        <v>148</v>
      </c>
      <c r="F116">
        <v>149798</v>
      </c>
    </row>
    <row r="117" ht="14.25" customHeight="1">
      <c r="A117" t="s">
        <v>103</v>
      </c>
      <c r="B117" t="s">
        <v>203</v>
      </c>
      <c r="C117" t="s">
        <v>155</v>
      </c>
      <c r="D117" t="s">
        <v>147</v>
      </c>
      <c r="E117" t="s">
        <v>148</v>
      </c>
      <c r="F117">
        <v>138275</v>
      </c>
    </row>
    <row r="118" ht="14.25" customHeight="1">
      <c r="A118" t="s">
        <v>99</v>
      </c>
      <c r="B118" t="s">
        <v>203</v>
      </c>
      <c r="C118" t="s">
        <v>155</v>
      </c>
      <c r="D118" t="s">
        <v>147</v>
      </c>
      <c r="E118" t="s">
        <v>148</v>
      </c>
      <c r="F118">
        <v>115229</v>
      </c>
    </row>
    <row r="119" ht="14.25" customHeight="1">
      <c r="A119" t="s">
        <v>95</v>
      </c>
      <c r="B119" t="s">
        <v>203</v>
      </c>
      <c r="C119" t="s">
        <v>155</v>
      </c>
      <c r="D119" t="s">
        <v>147</v>
      </c>
      <c r="E119" t="s">
        <v>148</v>
      </c>
      <c r="F119">
        <v>172844</v>
      </c>
    </row>
    <row r="120" ht="14.25" customHeight="1">
      <c r="A120" t="s">
        <v>93</v>
      </c>
      <c r="B120" t="s">
        <v>203</v>
      </c>
      <c r="C120" t="s">
        <v>155</v>
      </c>
      <c r="D120" t="s">
        <v>147</v>
      </c>
      <c r="E120" t="s">
        <v>148</v>
      </c>
      <c r="F120">
        <v>115229</v>
      </c>
    </row>
    <row r="121" ht="14.25" customHeight="1">
      <c r="A121" t="s">
        <v>97</v>
      </c>
      <c r="B121" t="s">
        <v>203</v>
      </c>
      <c r="C121" t="s">
        <v>155</v>
      </c>
      <c r="D121" t="s">
        <v>147</v>
      </c>
      <c r="E121" t="s">
        <v>148</v>
      </c>
      <c r="F121">
        <v>115229</v>
      </c>
    </row>
    <row r="122" ht="14.25" customHeight="1">
      <c r="A122" t="s">
        <v>89</v>
      </c>
      <c r="B122" t="s">
        <v>203</v>
      </c>
      <c r="C122" t="s">
        <v>155</v>
      </c>
      <c r="D122" t="s">
        <v>147</v>
      </c>
      <c r="E122" t="s">
        <v>148</v>
      </c>
      <c r="F122">
        <v>69137</v>
      </c>
    </row>
    <row r="123" ht="14.25" customHeight="1">
      <c r="A123" t="s">
        <v>91</v>
      </c>
      <c r="B123" t="s">
        <v>203</v>
      </c>
      <c r="C123" t="s">
        <v>155</v>
      </c>
      <c r="D123" t="s">
        <v>147</v>
      </c>
      <c r="E123" t="s">
        <v>148</v>
      </c>
      <c r="F123">
        <v>69137</v>
      </c>
    </row>
    <row r="124" ht="14.25" customHeight="1">
      <c r="A124" t="s">
        <v>86</v>
      </c>
      <c r="B124" t="s">
        <v>203</v>
      </c>
      <c r="C124" t="s">
        <v>155</v>
      </c>
      <c r="D124" t="s">
        <v>147</v>
      </c>
      <c r="E124" t="s">
        <v>148</v>
      </c>
      <c r="F124">
        <v>69137</v>
      </c>
    </row>
    <row r="125" ht="14.25" customHeight="1">
      <c r="A125" t="s">
        <v>106</v>
      </c>
      <c r="B125" t="s">
        <v>203</v>
      </c>
      <c r="C125" t="s">
        <v>155</v>
      </c>
      <c r="D125" t="s">
        <v>147</v>
      </c>
      <c r="E125" t="s">
        <v>148</v>
      </c>
      <c r="F125">
        <v>92183</v>
      </c>
    </row>
    <row r="126" ht="14.25" customHeight="1">
      <c r="A126" t="s">
        <v>105</v>
      </c>
      <c r="B126" t="s">
        <v>203</v>
      </c>
      <c r="C126" t="s">
        <v>155</v>
      </c>
      <c r="D126" t="s">
        <v>147</v>
      </c>
      <c r="E126" t="s">
        <v>148</v>
      </c>
      <c r="F126">
        <v>92183</v>
      </c>
    </row>
    <row r="127" ht="14.25" customHeight="1">
      <c r="A127" t="s">
        <v>108</v>
      </c>
      <c r="B127" t="s">
        <v>203</v>
      </c>
      <c r="C127" t="s">
        <v>155</v>
      </c>
      <c r="D127" t="s">
        <v>147</v>
      </c>
      <c r="E127" t="s">
        <v>148</v>
      </c>
      <c r="F127">
        <v>69137</v>
      </c>
    </row>
    <row r="128" ht="14.25" customHeight="1">
      <c r="A128" t="s">
        <v>107</v>
      </c>
      <c r="B128" t="s">
        <v>203</v>
      </c>
      <c r="C128" t="s">
        <v>155</v>
      </c>
      <c r="D128" t="s">
        <v>147</v>
      </c>
      <c r="E128" t="s">
        <v>148</v>
      </c>
      <c r="F128">
        <v>69137</v>
      </c>
    </row>
    <row r="129" ht="14.25" customHeight="1">
      <c r="A129" t="s">
        <v>104</v>
      </c>
      <c r="B129" t="s">
        <v>203</v>
      </c>
      <c r="C129" t="s">
        <v>152</v>
      </c>
      <c r="D129" t="s">
        <v>147</v>
      </c>
      <c r="E129" t="s">
        <v>148</v>
      </c>
      <c r="F129">
        <v>181094</v>
      </c>
    </row>
    <row r="130" ht="14.25" customHeight="1">
      <c r="A130" t="s">
        <v>101</v>
      </c>
      <c r="B130" t="s">
        <v>203</v>
      </c>
      <c r="C130" t="s">
        <v>152</v>
      </c>
      <c r="D130" t="s">
        <v>147</v>
      </c>
      <c r="E130" t="s">
        <v>148</v>
      </c>
      <c r="F130">
        <v>156948</v>
      </c>
    </row>
    <row r="131" ht="14.25" customHeight="1">
      <c r="A131" t="s">
        <v>103</v>
      </c>
      <c r="B131" t="s">
        <v>203</v>
      </c>
      <c r="C131" t="s">
        <v>152</v>
      </c>
      <c r="D131" t="s">
        <v>147</v>
      </c>
      <c r="E131" t="s">
        <v>148</v>
      </c>
      <c r="F131">
        <v>144875</v>
      </c>
    </row>
    <row r="132" ht="14.25" customHeight="1">
      <c r="A132" t="s">
        <v>99</v>
      </c>
      <c r="B132" t="s">
        <v>203</v>
      </c>
      <c r="C132" t="s">
        <v>152</v>
      </c>
      <c r="D132" t="s">
        <v>147</v>
      </c>
      <c r="E132" t="s">
        <v>148</v>
      </c>
      <c r="F132">
        <v>120729</v>
      </c>
    </row>
    <row r="133" ht="14.25" customHeight="1">
      <c r="A133" t="s">
        <v>95</v>
      </c>
      <c r="B133" t="s">
        <v>203</v>
      </c>
      <c r="C133" t="s">
        <v>152</v>
      </c>
      <c r="D133" t="s">
        <v>147</v>
      </c>
      <c r="E133" t="s">
        <v>148</v>
      </c>
      <c r="F133">
        <v>181094</v>
      </c>
    </row>
    <row r="134" ht="14.25" customHeight="1">
      <c r="A134" t="s">
        <v>93</v>
      </c>
      <c r="B134" t="s">
        <v>203</v>
      </c>
      <c r="C134" t="s">
        <v>152</v>
      </c>
      <c r="D134" t="s">
        <v>147</v>
      </c>
      <c r="E134" t="s">
        <v>148</v>
      </c>
      <c r="F134">
        <v>120729</v>
      </c>
    </row>
    <row r="135" ht="14.25" customHeight="1">
      <c r="A135" t="s">
        <v>97</v>
      </c>
      <c r="B135" t="s">
        <v>203</v>
      </c>
      <c r="C135" t="s">
        <v>152</v>
      </c>
      <c r="D135" t="s">
        <v>147</v>
      </c>
      <c r="E135" t="s">
        <v>148</v>
      </c>
      <c r="F135">
        <v>120729</v>
      </c>
    </row>
    <row r="136" ht="14.25" customHeight="1">
      <c r="A136" t="s">
        <v>89</v>
      </c>
      <c r="B136" t="s">
        <v>203</v>
      </c>
      <c r="C136" t="s">
        <v>152</v>
      </c>
      <c r="D136" t="s">
        <v>147</v>
      </c>
      <c r="E136" t="s">
        <v>148</v>
      </c>
      <c r="F136">
        <v>72438</v>
      </c>
    </row>
    <row r="137" ht="14.25" customHeight="1">
      <c r="A137" t="s">
        <v>91</v>
      </c>
      <c r="B137" t="s">
        <v>203</v>
      </c>
      <c r="C137" t="s">
        <v>152</v>
      </c>
      <c r="D137" t="s">
        <v>147</v>
      </c>
      <c r="E137" t="s">
        <v>148</v>
      </c>
      <c r="F137">
        <v>72438</v>
      </c>
    </row>
    <row r="138" ht="14.25" customHeight="1">
      <c r="A138" t="s">
        <v>86</v>
      </c>
      <c r="B138" t="s">
        <v>203</v>
      </c>
      <c r="C138" t="s">
        <v>152</v>
      </c>
      <c r="D138" t="s">
        <v>147</v>
      </c>
      <c r="E138" t="s">
        <v>148</v>
      </c>
      <c r="F138">
        <v>72438</v>
      </c>
    </row>
    <row r="139" ht="14.25" customHeight="1">
      <c r="A139" t="s">
        <v>106</v>
      </c>
      <c r="B139" t="s">
        <v>203</v>
      </c>
      <c r="C139" t="s">
        <v>152</v>
      </c>
      <c r="D139" t="s">
        <v>147</v>
      </c>
      <c r="E139" t="s">
        <v>148</v>
      </c>
      <c r="F139">
        <v>96583</v>
      </c>
    </row>
    <row r="140" ht="14.25" customHeight="1">
      <c r="A140" t="s">
        <v>105</v>
      </c>
      <c r="B140" t="s">
        <v>203</v>
      </c>
      <c r="C140" t="s">
        <v>152</v>
      </c>
      <c r="D140" t="s">
        <v>147</v>
      </c>
      <c r="E140" t="s">
        <v>148</v>
      </c>
      <c r="F140">
        <v>96583</v>
      </c>
    </row>
    <row r="141" ht="14.25" customHeight="1">
      <c r="A141" t="s">
        <v>108</v>
      </c>
      <c r="B141" t="s">
        <v>203</v>
      </c>
      <c r="C141" t="s">
        <v>152</v>
      </c>
      <c r="D141" t="s">
        <v>147</v>
      </c>
      <c r="E141" t="s">
        <v>148</v>
      </c>
      <c r="F141">
        <v>72438</v>
      </c>
    </row>
    <row r="142" ht="14.25" customHeight="1">
      <c r="A142" t="s">
        <v>107</v>
      </c>
      <c r="B142" t="s">
        <v>203</v>
      </c>
      <c r="C142" t="s">
        <v>152</v>
      </c>
      <c r="D142" t="s">
        <v>147</v>
      </c>
      <c r="E142" t="s">
        <v>148</v>
      </c>
      <c r="F142">
        <v>72438</v>
      </c>
    </row>
    <row r="143" ht="14.25" customHeight="1">
      <c r="A143" t="s">
        <v>104</v>
      </c>
      <c r="B143" t="s">
        <v>204</v>
      </c>
      <c r="C143" t="s">
        <v>156</v>
      </c>
      <c r="D143" t="s">
        <v>147</v>
      </c>
      <c r="E143" t="s">
        <v>148</v>
      </c>
      <c r="F143">
        <v>77832</v>
      </c>
    </row>
    <row r="144" ht="14.25" customHeight="1">
      <c r="A144" t="s">
        <v>101</v>
      </c>
      <c r="B144" t="s">
        <v>204</v>
      </c>
      <c r="C144" t="s">
        <v>156</v>
      </c>
      <c r="D144" t="s">
        <v>147</v>
      </c>
      <c r="E144" t="s">
        <v>148</v>
      </c>
      <c r="F144">
        <v>66015</v>
      </c>
    </row>
    <row r="145" ht="14.25" customHeight="1">
      <c r="A145" t="s">
        <v>103</v>
      </c>
      <c r="B145" t="s">
        <v>204</v>
      </c>
      <c r="C145" t="s">
        <v>156</v>
      </c>
      <c r="D145" t="s">
        <v>147</v>
      </c>
      <c r="E145" t="s">
        <v>148</v>
      </c>
      <c r="F145">
        <v>59902</v>
      </c>
    </row>
    <row r="146" ht="14.25" customHeight="1">
      <c r="A146" t="s">
        <v>99</v>
      </c>
      <c r="B146" t="s">
        <v>204</v>
      </c>
      <c r="C146" t="s">
        <v>156</v>
      </c>
      <c r="D146" t="s">
        <v>147</v>
      </c>
      <c r="E146" t="s">
        <v>148</v>
      </c>
      <c r="F146">
        <v>50734</v>
      </c>
    </row>
    <row r="147" ht="14.25" customHeight="1">
      <c r="A147" t="s">
        <v>95</v>
      </c>
      <c r="B147" t="s">
        <v>204</v>
      </c>
      <c r="C147" t="s">
        <v>156</v>
      </c>
      <c r="D147" t="s">
        <v>147</v>
      </c>
      <c r="E147" t="s">
        <v>148</v>
      </c>
      <c r="F147">
        <v>72127</v>
      </c>
    </row>
    <row r="148" ht="14.25" customHeight="1">
      <c r="A148" t="s">
        <v>93</v>
      </c>
      <c r="B148" t="s">
        <v>204</v>
      </c>
      <c r="C148" t="s">
        <v>156</v>
      </c>
      <c r="D148" t="s">
        <v>147</v>
      </c>
      <c r="E148" t="s">
        <v>148</v>
      </c>
      <c r="F148">
        <v>49715</v>
      </c>
    </row>
    <row r="149" ht="14.25" customHeight="1">
      <c r="A149" t="s">
        <v>97</v>
      </c>
      <c r="B149" t="s">
        <v>204</v>
      </c>
      <c r="C149" t="s">
        <v>156</v>
      </c>
      <c r="D149" t="s">
        <v>147</v>
      </c>
      <c r="E149" t="s">
        <v>148</v>
      </c>
      <c r="F149">
        <v>47066</v>
      </c>
    </row>
    <row r="150" ht="14.25" customHeight="1">
      <c r="A150" t="s">
        <v>89</v>
      </c>
      <c r="B150" t="s">
        <v>204</v>
      </c>
      <c r="C150" t="s">
        <v>156</v>
      </c>
      <c r="D150" t="s">
        <v>147</v>
      </c>
      <c r="E150" t="s">
        <v>148</v>
      </c>
      <c r="F150">
        <v>29544</v>
      </c>
    </row>
    <row r="151" ht="14.25" customHeight="1">
      <c r="A151" t="s">
        <v>91</v>
      </c>
      <c r="B151" t="s">
        <v>204</v>
      </c>
      <c r="C151" t="s">
        <v>156</v>
      </c>
      <c r="D151" t="s">
        <v>147</v>
      </c>
      <c r="E151" t="s">
        <v>148</v>
      </c>
      <c r="F151">
        <v>23839</v>
      </c>
    </row>
    <row r="152" ht="14.25" customHeight="1">
      <c r="A152" t="s">
        <v>86</v>
      </c>
      <c r="B152" t="s">
        <v>204</v>
      </c>
      <c r="C152" t="s">
        <v>156</v>
      </c>
      <c r="D152" t="s">
        <v>147</v>
      </c>
      <c r="E152" t="s">
        <v>148</v>
      </c>
      <c r="F152">
        <v>23839</v>
      </c>
    </row>
    <row r="153" ht="14.25" customHeight="1">
      <c r="A153" t="s">
        <v>106</v>
      </c>
      <c r="B153" t="s">
        <v>204</v>
      </c>
      <c r="C153" t="s">
        <v>156</v>
      </c>
      <c r="D153" t="s">
        <v>147</v>
      </c>
      <c r="E153" t="s">
        <v>148</v>
      </c>
      <c r="F153">
        <v>37082</v>
      </c>
    </row>
    <row r="154" ht="14.25" customHeight="1">
      <c r="A154" t="s">
        <v>105</v>
      </c>
      <c r="B154" t="s">
        <v>204</v>
      </c>
      <c r="C154" t="s">
        <v>156</v>
      </c>
      <c r="D154" t="s">
        <v>147</v>
      </c>
      <c r="E154" t="s">
        <v>148</v>
      </c>
      <c r="F154">
        <v>28932</v>
      </c>
    </row>
    <row r="155" ht="14.25" customHeight="1">
      <c r="A155" t="s">
        <v>108</v>
      </c>
      <c r="B155" t="s">
        <v>204</v>
      </c>
      <c r="C155" t="s">
        <v>156</v>
      </c>
      <c r="D155" t="s">
        <v>147</v>
      </c>
      <c r="E155" t="s">
        <v>148</v>
      </c>
      <c r="F155">
        <v>28117</v>
      </c>
    </row>
    <row r="156" ht="14.25" customHeight="1">
      <c r="A156" t="s">
        <v>107</v>
      </c>
      <c r="B156" t="s">
        <v>204</v>
      </c>
      <c r="C156" t="s">
        <v>156</v>
      </c>
      <c r="D156" t="s">
        <v>147</v>
      </c>
      <c r="E156" t="s">
        <v>148</v>
      </c>
      <c r="F156">
        <v>23839</v>
      </c>
    </row>
    <row r="157" ht="14.25" customHeight="1">
      <c r="A157" t="s">
        <v>104</v>
      </c>
      <c r="B157" t="s">
        <v>204</v>
      </c>
      <c r="C157" t="s">
        <v>155</v>
      </c>
      <c r="D157" t="s">
        <v>147</v>
      </c>
      <c r="E157" t="s">
        <v>148</v>
      </c>
      <c r="F157">
        <v>81399</v>
      </c>
    </row>
    <row r="158" ht="14.25" customHeight="1">
      <c r="A158" t="s">
        <v>101</v>
      </c>
      <c r="B158" t="s">
        <v>204</v>
      </c>
      <c r="C158" t="s">
        <v>155</v>
      </c>
      <c r="D158" t="s">
        <v>147</v>
      </c>
      <c r="E158" t="s">
        <v>148</v>
      </c>
      <c r="F158">
        <v>69040</v>
      </c>
    </row>
    <row r="159" ht="14.25" customHeight="1">
      <c r="A159" t="s">
        <v>103</v>
      </c>
      <c r="B159" t="s">
        <v>204</v>
      </c>
      <c r="C159" t="s">
        <v>155</v>
      </c>
      <c r="D159" t="s">
        <v>147</v>
      </c>
      <c r="E159" t="s">
        <v>148</v>
      </c>
      <c r="F159">
        <v>62647</v>
      </c>
    </row>
    <row r="160" ht="14.25" customHeight="1">
      <c r="A160" t="s">
        <v>99</v>
      </c>
      <c r="B160" t="s">
        <v>204</v>
      </c>
      <c r="C160" t="s">
        <v>155</v>
      </c>
      <c r="D160" t="s">
        <v>147</v>
      </c>
      <c r="E160" t="s">
        <v>148</v>
      </c>
      <c r="F160">
        <v>53058</v>
      </c>
    </row>
    <row r="161" ht="14.25" customHeight="1">
      <c r="A161" t="s">
        <v>95</v>
      </c>
      <c r="B161" t="s">
        <v>204</v>
      </c>
      <c r="C161" t="s">
        <v>155</v>
      </c>
      <c r="D161" t="s">
        <v>147</v>
      </c>
      <c r="E161" t="s">
        <v>148</v>
      </c>
      <c r="F161">
        <v>75432</v>
      </c>
    </row>
    <row r="162" ht="14.25" customHeight="1">
      <c r="A162" t="s">
        <v>93</v>
      </c>
      <c r="B162" t="s">
        <v>204</v>
      </c>
      <c r="C162" t="s">
        <v>155</v>
      </c>
      <c r="D162" t="s">
        <v>147</v>
      </c>
      <c r="E162" t="s">
        <v>148</v>
      </c>
      <c r="F162">
        <v>51993</v>
      </c>
    </row>
    <row r="163" ht="14.25" customHeight="1">
      <c r="A163" t="s">
        <v>97</v>
      </c>
      <c r="B163" t="s">
        <v>204</v>
      </c>
      <c r="C163" t="s">
        <v>155</v>
      </c>
      <c r="D163" t="s">
        <v>147</v>
      </c>
      <c r="E163" t="s">
        <v>148</v>
      </c>
      <c r="F163">
        <v>49223</v>
      </c>
    </row>
    <row r="164" ht="14.25" customHeight="1">
      <c r="A164" t="s">
        <v>89</v>
      </c>
      <c r="B164" t="s">
        <v>204</v>
      </c>
      <c r="C164" t="s">
        <v>155</v>
      </c>
      <c r="D164" t="s">
        <v>147</v>
      </c>
      <c r="E164" t="s">
        <v>148</v>
      </c>
      <c r="F164">
        <v>30897</v>
      </c>
    </row>
    <row r="165" ht="14.25" customHeight="1">
      <c r="A165" t="s">
        <v>91</v>
      </c>
      <c r="B165" t="s">
        <v>204</v>
      </c>
      <c r="C165" t="s">
        <v>155</v>
      </c>
      <c r="D165" t="s">
        <v>147</v>
      </c>
      <c r="E165" t="s">
        <v>148</v>
      </c>
      <c r="F165">
        <v>24931</v>
      </c>
    </row>
    <row r="166" ht="14.25" customHeight="1">
      <c r="A166" t="s">
        <v>86</v>
      </c>
      <c r="B166" t="s">
        <v>204</v>
      </c>
      <c r="C166" t="s">
        <v>155</v>
      </c>
      <c r="D166" t="s">
        <v>147</v>
      </c>
      <c r="E166" t="s">
        <v>148</v>
      </c>
      <c r="F166">
        <v>24931</v>
      </c>
    </row>
    <row r="167" ht="14.25" customHeight="1">
      <c r="A167" t="s">
        <v>106</v>
      </c>
      <c r="B167" t="s">
        <v>204</v>
      </c>
      <c r="C167" t="s">
        <v>155</v>
      </c>
      <c r="D167" t="s">
        <v>147</v>
      </c>
      <c r="E167" t="s">
        <v>148</v>
      </c>
      <c r="F167">
        <v>38782</v>
      </c>
    </row>
    <row r="168" ht="14.25" customHeight="1">
      <c r="A168" t="s">
        <v>105</v>
      </c>
      <c r="B168" t="s">
        <v>204</v>
      </c>
      <c r="C168" t="s">
        <v>155</v>
      </c>
      <c r="D168" t="s">
        <v>147</v>
      </c>
      <c r="E168" t="s">
        <v>148</v>
      </c>
      <c r="F168">
        <v>30258</v>
      </c>
    </row>
    <row r="169" ht="14.25" customHeight="1">
      <c r="A169" t="s">
        <v>108</v>
      </c>
      <c r="B169" t="s">
        <v>204</v>
      </c>
      <c r="C169" t="s">
        <v>155</v>
      </c>
      <c r="D169" t="s">
        <v>147</v>
      </c>
      <c r="E169" t="s">
        <v>148</v>
      </c>
      <c r="F169">
        <v>29406</v>
      </c>
    </row>
    <row r="170" ht="14.25" customHeight="1">
      <c r="A170" t="s">
        <v>107</v>
      </c>
      <c r="B170" t="s">
        <v>204</v>
      </c>
      <c r="C170" t="s">
        <v>155</v>
      </c>
      <c r="D170" t="s">
        <v>147</v>
      </c>
      <c r="E170" t="s">
        <v>148</v>
      </c>
      <c r="F170">
        <v>24931</v>
      </c>
    </row>
    <row r="171" ht="14.25" customHeight="1">
      <c r="A171" t="s">
        <v>104</v>
      </c>
      <c r="B171" t="s">
        <v>204</v>
      </c>
      <c r="C171" t="s">
        <v>152</v>
      </c>
      <c r="D171" t="s">
        <v>147</v>
      </c>
      <c r="E171" t="s">
        <v>148</v>
      </c>
      <c r="F171">
        <v>85284</v>
      </c>
    </row>
    <row r="172" ht="14.25" customHeight="1">
      <c r="A172" t="s">
        <v>101</v>
      </c>
      <c r="B172" t="s">
        <v>204</v>
      </c>
      <c r="C172" t="s">
        <v>152</v>
      </c>
      <c r="D172" t="s">
        <v>147</v>
      </c>
      <c r="E172" t="s">
        <v>148</v>
      </c>
      <c r="F172">
        <v>72335</v>
      </c>
    </row>
    <row r="173" ht="14.25" customHeight="1">
      <c r="A173" t="s">
        <v>103</v>
      </c>
      <c r="B173" t="s">
        <v>204</v>
      </c>
      <c r="C173" t="s">
        <v>152</v>
      </c>
      <c r="D173" t="s">
        <v>147</v>
      </c>
      <c r="E173" t="s">
        <v>148</v>
      </c>
      <c r="F173">
        <v>65638</v>
      </c>
    </row>
    <row r="174" ht="14.25" customHeight="1">
      <c r="A174" t="s">
        <v>99</v>
      </c>
      <c r="B174" t="s">
        <v>204</v>
      </c>
      <c r="C174" t="s">
        <v>152</v>
      </c>
      <c r="D174" t="s">
        <v>147</v>
      </c>
      <c r="E174" t="s">
        <v>148</v>
      </c>
      <c r="F174">
        <v>55591</v>
      </c>
    </row>
    <row r="175" ht="14.25" customHeight="1">
      <c r="A175" t="s">
        <v>95</v>
      </c>
      <c r="B175" t="s">
        <v>204</v>
      </c>
      <c r="C175" t="s">
        <v>152</v>
      </c>
      <c r="D175" t="s">
        <v>147</v>
      </c>
      <c r="E175" t="s">
        <v>148</v>
      </c>
      <c r="F175">
        <v>79033</v>
      </c>
    </row>
    <row r="176" ht="14.25" customHeight="1">
      <c r="A176" t="s">
        <v>93</v>
      </c>
      <c r="B176" t="s">
        <v>204</v>
      </c>
      <c r="C176" t="s">
        <v>152</v>
      </c>
      <c r="D176" t="s">
        <v>147</v>
      </c>
      <c r="E176" t="s">
        <v>148</v>
      </c>
      <c r="F176">
        <v>54475</v>
      </c>
    </row>
    <row r="177" ht="14.25" customHeight="1">
      <c r="A177" t="s">
        <v>97</v>
      </c>
      <c r="B177" t="s">
        <v>204</v>
      </c>
      <c r="C177" t="s">
        <v>152</v>
      </c>
      <c r="D177" t="s">
        <v>147</v>
      </c>
      <c r="E177" t="s">
        <v>148</v>
      </c>
      <c r="F177">
        <v>51572</v>
      </c>
    </row>
    <row r="178" ht="14.25" customHeight="1">
      <c r="A178" t="s">
        <v>89</v>
      </c>
      <c r="B178" t="s">
        <v>204</v>
      </c>
      <c r="C178" t="s">
        <v>152</v>
      </c>
      <c r="D178" t="s">
        <v>147</v>
      </c>
      <c r="E178" t="s">
        <v>148</v>
      </c>
      <c r="F178">
        <v>32372</v>
      </c>
    </row>
    <row r="179" ht="14.25" customHeight="1">
      <c r="A179" t="s">
        <v>91</v>
      </c>
      <c r="B179" t="s">
        <v>204</v>
      </c>
      <c r="C179" t="s">
        <v>152</v>
      </c>
      <c r="D179" t="s">
        <v>147</v>
      </c>
      <c r="E179" t="s">
        <v>148</v>
      </c>
      <c r="F179">
        <v>26121</v>
      </c>
    </row>
    <row r="180" ht="14.25" customHeight="1">
      <c r="A180" t="s">
        <v>86</v>
      </c>
      <c r="B180" t="s">
        <v>204</v>
      </c>
      <c r="C180" t="s">
        <v>152</v>
      </c>
      <c r="D180" t="s">
        <v>147</v>
      </c>
      <c r="E180" t="s">
        <v>148</v>
      </c>
      <c r="F180">
        <v>26121</v>
      </c>
    </row>
    <row r="181" ht="14.25" customHeight="1">
      <c r="A181" t="s">
        <v>106</v>
      </c>
      <c r="B181" t="s">
        <v>204</v>
      </c>
      <c r="C181" t="s">
        <v>152</v>
      </c>
      <c r="D181" t="s">
        <v>147</v>
      </c>
      <c r="E181" t="s">
        <v>148</v>
      </c>
      <c r="F181">
        <v>40633</v>
      </c>
    </row>
    <row r="182" ht="14.25" customHeight="1">
      <c r="A182" t="s">
        <v>105</v>
      </c>
      <c r="B182" t="s">
        <v>204</v>
      </c>
      <c r="C182" t="s">
        <v>152</v>
      </c>
      <c r="D182" t="s">
        <v>147</v>
      </c>
      <c r="E182" t="s">
        <v>148</v>
      </c>
      <c r="F182">
        <v>31703</v>
      </c>
    </row>
    <row r="183" ht="14.25" customHeight="1">
      <c r="A183" t="s">
        <v>108</v>
      </c>
      <c r="B183" t="s">
        <v>204</v>
      </c>
      <c r="C183" t="s">
        <v>152</v>
      </c>
      <c r="D183" t="s">
        <v>147</v>
      </c>
      <c r="E183" t="s">
        <v>148</v>
      </c>
      <c r="F183">
        <v>30809</v>
      </c>
    </row>
    <row r="184" ht="14.25" customHeight="1">
      <c r="A184" t="s">
        <v>107</v>
      </c>
      <c r="B184" t="s">
        <v>204</v>
      </c>
      <c r="C184" t="s">
        <v>152</v>
      </c>
      <c r="D184" t="s">
        <v>147</v>
      </c>
      <c r="E184" t="s">
        <v>148</v>
      </c>
      <c r="F184">
        <v>26121</v>
      </c>
    </row>
    <row r="185" ht="14.25" customHeight="1">
      <c r="A185" t="s">
        <v>104</v>
      </c>
      <c r="B185" t="s">
        <v>205</v>
      </c>
      <c r="C185" t="s">
        <v>156</v>
      </c>
      <c r="D185" t="s">
        <v>147</v>
      </c>
      <c r="E185" t="s">
        <v>148</v>
      </c>
      <c r="F185">
        <v>51888</v>
      </c>
    </row>
    <row r="186" ht="14.25" customHeight="1">
      <c r="A186" t="s">
        <v>101</v>
      </c>
      <c r="B186" t="s">
        <v>205</v>
      </c>
      <c r="C186" t="s">
        <v>156</v>
      </c>
      <c r="D186" t="s">
        <v>147</v>
      </c>
      <c r="E186" t="s">
        <v>148</v>
      </c>
      <c r="F186">
        <v>44010</v>
      </c>
    </row>
    <row r="187" ht="14.25" customHeight="1">
      <c r="A187" t="s">
        <v>103</v>
      </c>
      <c r="B187" t="s">
        <v>205</v>
      </c>
      <c r="C187" t="s">
        <v>156</v>
      </c>
      <c r="D187" t="s">
        <v>147</v>
      </c>
      <c r="E187" t="s">
        <v>148</v>
      </c>
      <c r="F187">
        <v>39935</v>
      </c>
    </row>
    <row r="188" ht="14.25" customHeight="1">
      <c r="A188" t="s">
        <v>99</v>
      </c>
      <c r="B188" t="s">
        <v>205</v>
      </c>
      <c r="C188" t="s">
        <v>156</v>
      </c>
      <c r="D188" t="s">
        <v>147</v>
      </c>
      <c r="E188" t="s">
        <v>148</v>
      </c>
      <c r="F188">
        <v>33822</v>
      </c>
    </row>
    <row r="189" ht="14.25" customHeight="1">
      <c r="A189" t="s">
        <v>95</v>
      </c>
      <c r="B189" t="s">
        <v>205</v>
      </c>
      <c r="C189" t="s">
        <v>156</v>
      </c>
      <c r="D189" t="s">
        <v>147</v>
      </c>
      <c r="E189" t="s">
        <v>148</v>
      </c>
      <c r="F189">
        <v>48085</v>
      </c>
    </row>
    <row r="190" ht="14.25" customHeight="1">
      <c r="A190" t="s">
        <v>93</v>
      </c>
      <c r="B190" t="s">
        <v>205</v>
      </c>
      <c r="C190" t="s">
        <v>156</v>
      </c>
      <c r="D190" t="s">
        <v>147</v>
      </c>
      <c r="E190" t="s">
        <v>148</v>
      </c>
      <c r="F190">
        <v>33143</v>
      </c>
    </row>
    <row r="191" ht="14.25" customHeight="1">
      <c r="A191" t="s">
        <v>97</v>
      </c>
      <c r="B191" t="s">
        <v>205</v>
      </c>
      <c r="C191" t="s">
        <v>156</v>
      </c>
      <c r="D191" t="s">
        <v>147</v>
      </c>
      <c r="E191" t="s">
        <v>148</v>
      </c>
      <c r="F191">
        <v>31377</v>
      </c>
    </row>
    <row r="192" ht="14.25" customHeight="1">
      <c r="A192" t="s">
        <v>89</v>
      </c>
      <c r="B192" t="s">
        <v>205</v>
      </c>
      <c r="C192" t="s">
        <v>156</v>
      </c>
      <c r="D192" t="s">
        <v>147</v>
      </c>
      <c r="E192" t="s">
        <v>148</v>
      </c>
      <c r="F192">
        <v>19696</v>
      </c>
    </row>
    <row r="193" ht="14.25" customHeight="1">
      <c r="A193" t="s">
        <v>91</v>
      </c>
      <c r="B193" t="s">
        <v>205</v>
      </c>
      <c r="C193" t="s">
        <v>156</v>
      </c>
      <c r="D193" t="s">
        <v>147</v>
      </c>
      <c r="E193" t="s">
        <v>148</v>
      </c>
      <c r="F193">
        <v>15892</v>
      </c>
    </row>
    <row r="194" ht="14.25" customHeight="1">
      <c r="A194" t="s">
        <v>86</v>
      </c>
      <c r="B194" t="s">
        <v>205</v>
      </c>
      <c r="C194" t="s">
        <v>156</v>
      </c>
      <c r="D194" t="s">
        <v>147</v>
      </c>
      <c r="E194" t="s">
        <v>148</v>
      </c>
      <c r="F194">
        <v>15892</v>
      </c>
    </row>
    <row r="195" ht="14.25" customHeight="1">
      <c r="A195" t="s">
        <v>106</v>
      </c>
      <c r="B195" t="s">
        <v>205</v>
      </c>
      <c r="C195" t="s">
        <v>156</v>
      </c>
      <c r="D195" t="s">
        <v>147</v>
      </c>
      <c r="E195" t="s">
        <v>148</v>
      </c>
      <c r="F195">
        <v>24722</v>
      </c>
    </row>
    <row r="196" ht="14.25" customHeight="1">
      <c r="A196" t="s">
        <v>105</v>
      </c>
      <c r="B196" t="s">
        <v>205</v>
      </c>
      <c r="C196" t="s">
        <v>156</v>
      </c>
      <c r="D196" t="s">
        <v>147</v>
      </c>
      <c r="E196" t="s">
        <v>148</v>
      </c>
      <c r="F196">
        <v>19288</v>
      </c>
    </row>
    <row r="197" ht="14.25" customHeight="1">
      <c r="A197" t="s">
        <v>108</v>
      </c>
      <c r="B197" t="s">
        <v>205</v>
      </c>
      <c r="C197" t="s">
        <v>156</v>
      </c>
      <c r="D197" t="s">
        <v>147</v>
      </c>
      <c r="E197" t="s">
        <v>148</v>
      </c>
      <c r="F197">
        <v>18745</v>
      </c>
    </row>
    <row r="198" ht="14.25" customHeight="1">
      <c r="A198" t="s">
        <v>107</v>
      </c>
      <c r="B198" t="s">
        <v>205</v>
      </c>
      <c r="C198" t="s">
        <v>156</v>
      </c>
      <c r="D198" t="s">
        <v>147</v>
      </c>
      <c r="E198" t="s">
        <v>148</v>
      </c>
      <c r="F198">
        <v>15892</v>
      </c>
    </row>
    <row r="199" ht="14.25" customHeight="1">
      <c r="A199" t="s">
        <v>104</v>
      </c>
      <c r="B199" t="s">
        <v>205</v>
      </c>
      <c r="C199" t="s">
        <v>155</v>
      </c>
      <c r="D199" t="s">
        <v>147</v>
      </c>
      <c r="E199" t="s">
        <v>148</v>
      </c>
      <c r="F199">
        <v>54266</v>
      </c>
    </row>
    <row r="200" ht="14.25" customHeight="1">
      <c r="A200" t="s">
        <v>101</v>
      </c>
      <c r="B200" t="s">
        <v>205</v>
      </c>
      <c r="C200" t="s">
        <v>155</v>
      </c>
      <c r="D200" t="s">
        <v>147</v>
      </c>
      <c r="E200" t="s">
        <v>148</v>
      </c>
      <c r="F200">
        <v>46027</v>
      </c>
    </row>
    <row r="201" ht="14.25" customHeight="1">
      <c r="A201" t="s">
        <v>103</v>
      </c>
      <c r="B201" t="s">
        <v>205</v>
      </c>
      <c r="C201" t="s">
        <v>155</v>
      </c>
      <c r="D201" t="s">
        <v>147</v>
      </c>
      <c r="E201" t="s">
        <v>148</v>
      </c>
      <c r="F201">
        <v>41765</v>
      </c>
    </row>
    <row r="202" ht="14.25" customHeight="1">
      <c r="A202" t="s">
        <v>99</v>
      </c>
      <c r="B202" t="s">
        <v>205</v>
      </c>
      <c r="C202" t="s">
        <v>155</v>
      </c>
      <c r="D202" t="s">
        <v>147</v>
      </c>
      <c r="E202" t="s">
        <v>148</v>
      </c>
      <c r="F202">
        <v>35372</v>
      </c>
    </row>
    <row r="203" ht="14.25" customHeight="1">
      <c r="A203" t="s">
        <v>95</v>
      </c>
      <c r="B203" t="s">
        <v>205</v>
      </c>
      <c r="C203" t="s">
        <v>155</v>
      </c>
      <c r="D203" t="s">
        <v>147</v>
      </c>
      <c r="E203" t="s">
        <v>148</v>
      </c>
      <c r="F203">
        <v>50288</v>
      </c>
    </row>
    <row r="204" ht="14.25" customHeight="1">
      <c r="A204" t="s">
        <v>93</v>
      </c>
      <c r="B204" t="s">
        <v>205</v>
      </c>
      <c r="C204" t="s">
        <v>155</v>
      </c>
      <c r="D204" t="s">
        <v>147</v>
      </c>
      <c r="E204" t="s">
        <v>148</v>
      </c>
      <c r="F204">
        <v>34662</v>
      </c>
    </row>
    <row r="205" ht="14.25" customHeight="1">
      <c r="A205" t="s">
        <v>97</v>
      </c>
      <c r="B205" t="s">
        <v>205</v>
      </c>
      <c r="C205" t="s">
        <v>155</v>
      </c>
      <c r="D205" t="s">
        <v>147</v>
      </c>
      <c r="E205" t="s">
        <v>148</v>
      </c>
      <c r="F205">
        <v>32815</v>
      </c>
    </row>
    <row r="206" ht="14.25" customHeight="1">
      <c r="A206" t="s">
        <v>89</v>
      </c>
      <c r="B206" t="s">
        <v>205</v>
      </c>
      <c r="C206" t="s">
        <v>155</v>
      </c>
      <c r="D206" t="s">
        <v>147</v>
      </c>
      <c r="E206" t="s">
        <v>148</v>
      </c>
      <c r="F206">
        <v>20598</v>
      </c>
    </row>
    <row r="207" ht="14.25" customHeight="1">
      <c r="A207" t="s">
        <v>91</v>
      </c>
      <c r="B207" t="s">
        <v>205</v>
      </c>
      <c r="C207" t="s">
        <v>155</v>
      </c>
      <c r="D207" t="s">
        <v>147</v>
      </c>
      <c r="E207" t="s">
        <v>148</v>
      </c>
      <c r="F207">
        <v>16621</v>
      </c>
    </row>
    <row r="208" ht="14.25" customHeight="1">
      <c r="A208" t="s">
        <v>86</v>
      </c>
      <c r="B208" t="s">
        <v>205</v>
      </c>
      <c r="C208" t="s">
        <v>155</v>
      </c>
      <c r="D208" t="s">
        <v>147</v>
      </c>
      <c r="E208" t="s">
        <v>148</v>
      </c>
      <c r="F208">
        <v>16621</v>
      </c>
    </row>
    <row r="209" ht="14.25" customHeight="1">
      <c r="A209" t="s">
        <v>106</v>
      </c>
      <c r="B209" t="s">
        <v>205</v>
      </c>
      <c r="C209" t="s">
        <v>155</v>
      </c>
      <c r="D209" t="s">
        <v>147</v>
      </c>
      <c r="E209" t="s">
        <v>148</v>
      </c>
      <c r="F209">
        <v>25854</v>
      </c>
    </row>
    <row r="210" ht="14.25" customHeight="1">
      <c r="A210" t="s">
        <v>105</v>
      </c>
      <c r="B210" t="s">
        <v>205</v>
      </c>
      <c r="C210" t="s">
        <v>155</v>
      </c>
      <c r="D210" t="s">
        <v>147</v>
      </c>
      <c r="E210" t="s">
        <v>148</v>
      </c>
      <c r="F210">
        <v>20172</v>
      </c>
    </row>
    <row r="211" ht="14.25" customHeight="1">
      <c r="A211" t="s">
        <v>108</v>
      </c>
      <c r="B211" t="s">
        <v>205</v>
      </c>
      <c r="C211" t="s">
        <v>155</v>
      </c>
      <c r="D211" t="s">
        <v>147</v>
      </c>
      <c r="E211" t="s">
        <v>148</v>
      </c>
      <c r="F211">
        <v>19604</v>
      </c>
    </row>
    <row r="212" ht="14.25" customHeight="1">
      <c r="A212" t="s">
        <v>107</v>
      </c>
      <c r="B212" t="s">
        <v>205</v>
      </c>
      <c r="C212" t="s">
        <v>155</v>
      </c>
      <c r="D212" t="s">
        <v>147</v>
      </c>
      <c r="E212" t="s">
        <v>148</v>
      </c>
      <c r="F212">
        <v>16621</v>
      </c>
    </row>
    <row r="213" ht="14.25" customHeight="1">
      <c r="A213" t="s">
        <v>104</v>
      </c>
      <c r="B213" t="s">
        <v>205</v>
      </c>
      <c r="C213" t="s">
        <v>152</v>
      </c>
      <c r="D213" t="s">
        <v>147</v>
      </c>
      <c r="E213" t="s">
        <v>148</v>
      </c>
      <c r="F213">
        <v>56856</v>
      </c>
    </row>
    <row r="214" ht="14.25" customHeight="1">
      <c r="A214" t="s">
        <v>101</v>
      </c>
      <c r="B214" t="s">
        <v>205</v>
      </c>
      <c r="C214" t="s">
        <v>152</v>
      </c>
      <c r="D214" t="s">
        <v>147</v>
      </c>
      <c r="E214" t="s">
        <v>148</v>
      </c>
      <c r="F214">
        <v>48224</v>
      </c>
    </row>
    <row r="215" ht="14.25" customHeight="1">
      <c r="A215" t="s">
        <v>103</v>
      </c>
      <c r="B215" t="s">
        <v>205</v>
      </c>
      <c r="C215" t="s">
        <v>152</v>
      </c>
      <c r="D215" t="s">
        <v>147</v>
      </c>
      <c r="E215" t="s">
        <v>148</v>
      </c>
      <c r="F215">
        <v>43758</v>
      </c>
    </row>
    <row r="216" ht="14.25" customHeight="1">
      <c r="A216" t="s">
        <v>99</v>
      </c>
      <c r="B216" t="s">
        <v>205</v>
      </c>
      <c r="C216" t="s">
        <v>152</v>
      </c>
      <c r="D216" t="s">
        <v>147</v>
      </c>
      <c r="E216" t="s">
        <v>148</v>
      </c>
      <c r="F216">
        <v>37061</v>
      </c>
    </row>
    <row r="217" ht="14.25" customHeight="1">
      <c r="A217" t="s">
        <v>95</v>
      </c>
      <c r="B217" t="s">
        <v>205</v>
      </c>
      <c r="C217" t="s">
        <v>152</v>
      </c>
      <c r="D217" t="s">
        <v>147</v>
      </c>
      <c r="E217" t="s">
        <v>148</v>
      </c>
      <c r="F217">
        <v>52689</v>
      </c>
    </row>
    <row r="218" ht="14.25" customHeight="1">
      <c r="A218" t="s">
        <v>93</v>
      </c>
      <c r="B218" t="s">
        <v>205</v>
      </c>
      <c r="C218" t="s">
        <v>152</v>
      </c>
      <c r="D218" t="s">
        <v>147</v>
      </c>
      <c r="E218" t="s">
        <v>148</v>
      </c>
      <c r="F218">
        <v>36316</v>
      </c>
    </row>
    <row r="219" ht="14.25" customHeight="1">
      <c r="A219" t="s">
        <v>97</v>
      </c>
      <c r="B219" t="s">
        <v>205</v>
      </c>
      <c r="C219" t="s">
        <v>152</v>
      </c>
      <c r="D219" t="s">
        <v>147</v>
      </c>
      <c r="E219" t="s">
        <v>148</v>
      </c>
      <c r="F219">
        <v>34382</v>
      </c>
    </row>
    <row r="220" ht="14.25" customHeight="1">
      <c r="A220" t="s">
        <v>89</v>
      </c>
      <c r="B220" t="s">
        <v>205</v>
      </c>
      <c r="C220" t="s">
        <v>152</v>
      </c>
      <c r="D220" t="s">
        <v>147</v>
      </c>
      <c r="E220" t="s">
        <v>148</v>
      </c>
      <c r="F220">
        <v>21582</v>
      </c>
    </row>
    <row r="221" ht="14.25" customHeight="1">
      <c r="A221" t="s">
        <v>91</v>
      </c>
      <c r="B221" t="s">
        <v>205</v>
      </c>
      <c r="C221" t="s">
        <v>152</v>
      </c>
      <c r="D221" t="s">
        <v>147</v>
      </c>
      <c r="E221" t="s">
        <v>148</v>
      </c>
      <c r="F221">
        <v>17414</v>
      </c>
    </row>
    <row r="222" ht="14.25" customHeight="1">
      <c r="A222" t="s">
        <v>86</v>
      </c>
      <c r="B222" t="s">
        <v>205</v>
      </c>
      <c r="C222" t="s">
        <v>152</v>
      </c>
      <c r="D222" t="s">
        <v>147</v>
      </c>
      <c r="E222" t="s">
        <v>148</v>
      </c>
      <c r="F222">
        <v>17414</v>
      </c>
    </row>
    <row r="223" ht="14.25" customHeight="1">
      <c r="A223" t="s">
        <v>106</v>
      </c>
      <c r="B223" t="s">
        <v>205</v>
      </c>
      <c r="C223" t="s">
        <v>152</v>
      </c>
      <c r="D223" t="s">
        <v>147</v>
      </c>
      <c r="E223" t="s">
        <v>148</v>
      </c>
      <c r="F223">
        <v>27089</v>
      </c>
    </row>
    <row r="224" ht="14.25" customHeight="1">
      <c r="A224" t="s">
        <v>105</v>
      </c>
      <c r="B224" t="s">
        <v>205</v>
      </c>
      <c r="C224" t="s">
        <v>152</v>
      </c>
      <c r="D224" t="s">
        <v>147</v>
      </c>
      <c r="E224" t="s">
        <v>148</v>
      </c>
      <c r="F224">
        <v>21135</v>
      </c>
    </row>
    <row r="225" ht="14.25" customHeight="1">
      <c r="A225" t="s">
        <v>108</v>
      </c>
      <c r="B225" t="s">
        <v>205</v>
      </c>
      <c r="C225" t="s">
        <v>152</v>
      </c>
      <c r="D225" t="s">
        <v>147</v>
      </c>
      <c r="E225" t="s">
        <v>148</v>
      </c>
      <c r="F225">
        <v>20540</v>
      </c>
    </row>
    <row r="226" ht="14.25" customHeight="1">
      <c r="A226" t="s">
        <v>107</v>
      </c>
      <c r="B226" t="s">
        <v>205</v>
      </c>
      <c r="C226" t="s">
        <v>152</v>
      </c>
      <c r="D226" t="s">
        <v>147</v>
      </c>
      <c r="E226" t="s">
        <v>148</v>
      </c>
      <c r="F226">
        <v>17414</v>
      </c>
    </row>
    <row r="227" ht="14.25" customHeight="1">
      <c r="A227" t="s">
        <v>104</v>
      </c>
      <c r="B227" t="s">
        <v>206</v>
      </c>
      <c r="C227" t="s">
        <v>156</v>
      </c>
      <c r="D227" t="s">
        <v>147</v>
      </c>
      <c r="E227" t="s">
        <v>148</v>
      </c>
      <c r="F227">
        <v>56438</v>
      </c>
    </row>
    <row r="228" ht="14.25" customHeight="1">
      <c r="A228" t="s">
        <v>101</v>
      </c>
      <c r="B228" t="s">
        <v>206</v>
      </c>
      <c r="C228" t="s">
        <v>156</v>
      </c>
      <c r="D228" t="s">
        <v>147</v>
      </c>
      <c r="E228" t="s">
        <v>148</v>
      </c>
      <c r="F228">
        <v>34532</v>
      </c>
    </row>
    <row r="229" ht="14.25" customHeight="1">
      <c r="A229" t="s">
        <v>103</v>
      </c>
      <c r="B229" t="s">
        <v>206</v>
      </c>
      <c r="C229" t="s">
        <v>156</v>
      </c>
      <c r="D229" t="s">
        <v>147</v>
      </c>
      <c r="E229" t="s">
        <v>148</v>
      </c>
      <c r="F229">
        <v>26060</v>
      </c>
    </row>
    <row r="230" ht="14.25" customHeight="1">
      <c r="A230" t="s">
        <v>99</v>
      </c>
      <c r="B230" t="s">
        <v>206</v>
      </c>
      <c r="C230" t="s">
        <v>156</v>
      </c>
      <c r="D230" t="s">
        <v>147</v>
      </c>
      <c r="E230" t="s">
        <v>148</v>
      </c>
      <c r="F230">
        <v>20597</v>
      </c>
    </row>
    <row r="231" ht="14.25" customHeight="1">
      <c r="A231" t="s">
        <v>95</v>
      </c>
      <c r="B231" t="s">
        <v>206</v>
      </c>
      <c r="C231" t="s">
        <v>156</v>
      </c>
      <c r="D231" t="s">
        <v>147</v>
      </c>
      <c r="E231" t="s">
        <v>148</v>
      </c>
      <c r="F231">
        <v>50248</v>
      </c>
    </row>
    <row r="232" ht="14.25" customHeight="1">
      <c r="A232" t="s">
        <v>93</v>
      </c>
      <c r="B232" t="s">
        <v>206</v>
      </c>
      <c r="C232" t="s">
        <v>156</v>
      </c>
      <c r="D232" t="s">
        <v>147</v>
      </c>
      <c r="E232" t="s">
        <v>148</v>
      </c>
      <c r="F232">
        <v>20843</v>
      </c>
    </row>
    <row r="233" ht="14.25" customHeight="1">
      <c r="A233" t="s">
        <v>97</v>
      </c>
      <c r="B233" t="s">
        <v>206</v>
      </c>
      <c r="C233" t="s">
        <v>156</v>
      </c>
      <c r="D233" t="s">
        <v>147</v>
      </c>
      <c r="E233" t="s">
        <v>148</v>
      </c>
      <c r="F233">
        <v>18251</v>
      </c>
    </row>
    <row r="234" ht="14.25" customHeight="1">
      <c r="A234" t="s">
        <v>89</v>
      </c>
      <c r="B234" t="s">
        <v>206</v>
      </c>
      <c r="C234" t="s">
        <v>156</v>
      </c>
      <c r="D234" t="s">
        <v>147</v>
      </c>
      <c r="E234" t="s">
        <v>148</v>
      </c>
      <c r="F234">
        <v>17983</v>
      </c>
    </row>
    <row r="235" ht="14.25" customHeight="1">
      <c r="A235" t="s">
        <v>91</v>
      </c>
      <c r="B235" t="s">
        <v>206</v>
      </c>
      <c r="C235" t="s">
        <v>156</v>
      </c>
      <c r="D235" t="s">
        <v>147</v>
      </c>
      <c r="E235" t="s">
        <v>148</v>
      </c>
      <c r="F235">
        <v>12341</v>
      </c>
    </row>
    <row r="236" ht="14.25" customHeight="1">
      <c r="A236" t="s">
        <v>86</v>
      </c>
      <c r="B236" t="s">
        <v>206</v>
      </c>
      <c r="C236" t="s">
        <v>156</v>
      </c>
      <c r="D236" t="s">
        <v>147</v>
      </c>
      <c r="E236" t="s">
        <v>148</v>
      </c>
      <c r="F236">
        <v>12543</v>
      </c>
    </row>
    <row r="237" ht="14.25" customHeight="1">
      <c r="A237" t="s">
        <v>106</v>
      </c>
      <c r="B237" t="s">
        <v>206</v>
      </c>
      <c r="C237" t="s">
        <v>156</v>
      </c>
      <c r="D237" t="s">
        <v>147</v>
      </c>
      <c r="E237" t="s">
        <v>148</v>
      </c>
      <c r="F237">
        <v>30258</v>
      </c>
    </row>
    <row r="238" ht="14.25" customHeight="1">
      <c r="A238" t="s">
        <v>105</v>
      </c>
      <c r="B238" t="s">
        <v>206</v>
      </c>
      <c r="C238" t="s">
        <v>156</v>
      </c>
      <c r="D238" t="s">
        <v>147</v>
      </c>
      <c r="E238" t="s">
        <v>148</v>
      </c>
      <c r="F238">
        <v>18155</v>
      </c>
    </row>
    <row r="239" ht="14.25" customHeight="1">
      <c r="A239" t="s">
        <v>108</v>
      </c>
      <c r="B239" t="s">
        <v>206</v>
      </c>
      <c r="C239" t="s">
        <v>156</v>
      </c>
      <c r="D239" t="s">
        <v>147</v>
      </c>
      <c r="E239" t="s">
        <v>148</v>
      </c>
      <c r="F239">
        <v>24992</v>
      </c>
    </row>
    <row r="240" ht="14.25" customHeight="1">
      <c r="A240" t="s">
        <v>107</v>
      </c>
      <c r="B240" t="s">
        <v>206</v>
      </c>
      <c r="C240" t="s">
        <v>156</v>
      </c>
      <c r="D240" t="s">
        <v>147</v>
      </c>
      <c r="E240" t="s">
        <v>148</v>
      </c>
      <c r="F240">
        <v>15578</v>
      </c>
    </row>
    <row r="241" ht="14.25" customHeight="1">
      <c r="A241" t="s">
        <v>104</v>
      </c>
      <c r="B241" t="s">
        <v>206</v>
      </c>
      <c r="C241" t="s">
        <v>155</v>
      </c>
      <c r="D241" t="s">
        <v>147</v>
      </c>
      <c r="E241" t="s">
        <v>148</v>
      </c>
      <c r="F241">
        <v>62082</v>
      </c>
    </row>
    <row r="242" ht="14.25" customHeight="1">
      <c r="A242" t="s">
        <v>101</v>
      </c>
      <c r="B242" t="s">
        <v>206</v>
      </c>
      <c r="C242" t="s">
        <v>155</v>
      </c>
      <c r="D242" t="s">
        <v>147</v>
      </c>
      <c r="E242" t="s">
        <v>148</v>
      </c>
      <c r="F242">
        <v>37985</v>
      </c>
    </row>
    <row r="243" ht="14.25" customHeight="1">
      <c r="A243" t="s">
        <v>103</v>
      </c>
      <c r="B243" t="s">
        <v>206</v>
      </c>
      <c r="C243" t="s">
        <v>155</v>
      </c>
      <c r="D243" t="s">
        <v>147</v>
      </c>
      <c r="E243" t="s">
        <v>148</v>
      </c>
      <c r="F243">
        <v>28666</v>
      </c>
    </row>
    <row r="244" ht="14.25" customHeight="1">
      <c r="A244" t="s">
        <v>99</v>
      </c>
      <c r="B244" t="s">
        <v>206</v>
      </c>
      <c r="C244" t="s">
        <v>155</v>
      </c>
      <c r="D244" t="s">
        <v>147</v>
      </c>
      <c r="E244" t="s">
        <v>148</v>
      </c>
      <c r="F244">
        <v>22657</v>
      </c>
    </row>
    <row r="245" ht="14.25" customHeight="1">
      <c r="A245" t="s">
        <v>95</v>
      </c>
      <c r="B245" t="s">
        <v>206</v>
      </c>
      <c r="C245" t="s">
        <v>155</v>
      </c>
      <c r="D245" t="s">
        <v>147</v>
      </c>
      <c r="E245" t="s">
        <v>148</v>
      </c>
      <c r="F245">
        <v>55272</v>
      </c>
    </row>
    <row r="246" ht="14.25" customHeight="1">
      <c r="A246" t="s">
        <v>93</v>
      </c>
      <c r="B246" t="s">
        <v>206</v>
      </c>
      <c r="C246" t="s">
        <v>155</v>
      </c>
      <c r="D246" t="s">
        <v>147</v>
      </c>
      <c r="E246" t="s">
        <v>148</v>
      </c>
      <c r="F246">
        <v>22927</v>
      </c>
    </row>
    <row r="247" ht="14.25" customHeight="1">
      <c r="A247" t="s">
        <v>97</v>
      </c>
      <c r="B247" t="s">
        <v>206</v>
      </c>
      <c r="C247" t="s">
        <v>155</v>
      </c>
      <c r="D247" t="s">
        <v>147</v>
      </c>
      <c r="E247" t="s">
        <v>148</v>
      </c>
      <c r="F247">
        <v>20076</v>
      </c>
    </row>
    <row r="248" ht="14.25" customHeight="1">
      <c r="A248" t="s">
        <v>89</v>
      </c>
      <c r="B248" t="s">
        <v>206</v>
      </c>
      <c r="C248" t="s">
        <v>155</v>
      </c>
      <c r="D248" t="s">
        <v>147</v>
      </c>
      <c r="E248" t="s">
        <v>148</v>
      </c>
      <c r="F248">
        <v>19782</v>
      </c>
    </row>
    <row r="249" ht="14.25" customHeight="1">
      <c r="A249" t="s">
        <v>91</v>
      </c>
      <c r="B249" t="s">
        <v>206</v>
      </c>
      <c r="C249" t="s">
        <v>155</v>
      </c>
      <c r="D249" t="s">
        <v>147</v>
      </c>
      <c r="E249" t="s">
        <v>148</v>
      </c>
      <c r="F249">
        <v>13575</v>
      </c>
    </row>
    <row r="250" ht="14.25" customHeight="1">
      <c r="A250" t="s">
        <v>86</v>
      </c>
      <c r="B250" t="s">
        <v>206</v>
      </c>
      <c r="C250" t="s">
        <v>155</v>
      </c>
      <c r="D250" t="s">
        <v>147</v>
      </c>
      <c r="E250" t="s">
        <v>148</v>
      </c>
      <c r="F250">
        <v>13798</v>
      </c>
    </row>
    <row r="251" ht="14.25" customHeight="1">
      <c r="A251" t="s">
        <v>106</v>
      </c>
      <c r="B251" t="s">
        <v>206</v>
      </c>
      <c r="C251" t="s">
        <v>155</v>
      </c>
      <c r="D251" t="s">
        <v>147</v>
      </c>
      <c r="E251" t="s">
        <v>148</v>
      </c>
      <c r="F251">
        <v>33284</v>
      </c>
    </row>
    <row r="252" ht="14.25" customHeight="1">
      <c r="A252" t="s">
        <v>105</v>
      </c>
      <c r="B252" t="s">
        <v>206</v>
      </c>
      <c r="C252" t="s">
        <v>155</v>
      </c>
      <c r="D252" t="s">
        <v>147</v>
      </c>
      <c r="E252" t="s">
        <v>148</v>
      </c>
      <c r="F252">
        <v>19971</v>
      </c>
    </row>
    <row r="253" ht="14.25" customHeight="1">
      <c r="A253" t="s">
        <v>108</v>
      </c>
      <c r="B253" t="s">
        <v>206</v>
      </c>
      <c r="C253" t="s">
        <v>155</v>
      </c>
      <c r="D253" t="s">
        <v>147</v>
      </c>
      <c r="E253" t="s">
        <v>148</v>
      </c>
      <c r="F253">
        <v>27491</v>
      </c>
    </row>
    <row r="254" ht="14.25" customHeight="1">
      <c r="A254" t="s">
        <v>107</v>
      </c>
      <c r="B254" t="s">
        <v>206</v>
      </c>
      <c r="C254" t="s">
        <v>155</v>
      </c>
      <c r="D254" t="s">
        <v>147</v>
      </c>
      <c r="E254" t="s">
        <v>148</v>
      </c>
      <c r="F254">
        <v>17136</v>
      </c>
    </row>
    <row r="255" ht="14.25" customHeight="1">
      <c r="A255" t="s">
        <v>104</v>
      </c>
      <c r="B255" t="s">
        <v>206</v>
      </c>
      <c r="C255" t="s">
        <v>152</v>
      </c>
      <c r="D255" t="s">
        <v>147</v>
      </c>
      <c r="E255" t="s">
        <v>148</v>
      </c>
      <c r="F255">
        <v>68291</v>
      </c>
    </row>
    <row r="256" ht="14.25" customHeight="1">
      <c r="A256" t="s">
        <v>101</v>
      </c>
      <c r="B256" t="s">
        <v>206</v>
      </c>
      <c r="C256" t="s">
        <v>152</v>
      </c>
      <c r="D256" t="s">
        <v>147</v>
      </c>
      <c r="E256" t="s">
        <v>148</v>
      </c>
      <c r="F256">
        <v>41783</v>
      </c>
    </row>
    <row r="257" ht="14.25" customHeight="1">
      <c r="A257" t="s">
        <v>103</v>
      </c>
      <c r="B257" t="s">
        <v>206</v>
      </c>
      <c r="C257" t="s">
        <v>152</v>
      </c>
      <c r="D257" t="s">
        <v>147</v>
      </c>
      <c r="E257" t="s">
        <v>148</v>
      </c>
      <c r="F257">
        <v>31533</v>
      </c>
    </row>
    <row r="258" ht="14.25" customHeight="1">
      <c r="A258" t="s">
        <v>99</v>
      </c>
      <c r="B258" t="s">
        <v>206</v>
      </c>
      <c r="C258" t="s">
        <v>152</v>
      </c>
      <c r="D258" t="s">
        <v>147</v>
      </c>
      <c r="E258" t="s">
        <v>148</v>
      </c>
      <c r="F258">
        <v>24923</v>
      </c>
    </row>
    <row r="259" ht="14.25" customHeight="1">
      <c r="A259" t="s">
        <v>95</v>
      </c>
      <c r="B259" t="s">
        <v>206</v>
      </c>
      <c r="C259" t="s">
        <v>152</v>
      </c>
      <c r="D259" t="s">
        <v>147</v>
      </c>
      <c r="E259" t="s">
        <v>148</v>
      </c>
      <c r="F259">
        <v>60800</v>
      </c>
    </row>
    <row r="260" ht="14.25" customHeight="1">
      <c r="A260" t="s">
        <v>93</v>
      </c>
      <c r="B260" t="s">
        <v>206</v>
      </c>
      <c r="C260" t="s">
        <v>152</v>
      </c>
      <c r="D260" t="s">
        <v>147</v>
      </c>
      <c r="E260" t="s">
        <v>148</v>
      </c>
      <c r="F260">
        <v>25220</v>
      </c>
    </row>
    <row r="261" ht="14.25" customHeight="1">
      <c r="A261" t="s">
        <v>97</v>
      </c>
      <c r="B261" t="s">
        <v>206</v>
      </c>
      <c r="C261" t="s">
        <v>152</v>
      </c>
      <c r="D261" t="s">
        <v>147</v>
      </c>
      <c r="E261" t="s">
        <v>148</v>
      </c>
      <c r="F261">
        <v>22083</v>
      </c>
    </row>
    <row r="262" ht="14.25" customHeight="1">
      <c r="A262" t="s">
        <v>89</v>
      </c>
      <c r="B262" t="s">
        <v>206</v>
      </c>
      <c r="C262" t="s">
        <v>152</v>
      </c>
      <c r="D262" t="s">
        <v>147</v>
      </c>
      <c r="E262" t="s">
        <v>148</v>
      </c>
      <c r="F262">
        <v>21760</v>
      </c>
    </row>
    <row r="263" ht="14.25" customHeight="1">
      <c r="A263" t="s">
        <v>91</v>
      </c>
      <c r="B263" t="s">
        <v>206</v>
      </c>
      <c r="C263" t="s">
        <v>152</v>
      </c>
      <c r="D263" t="s">
        <v>147</v>
      </c>
      <c r="E263" t="s">
        <v>148</v>
      </c>
      <c r="F263">
        <v>14933</v>
      </c>
    </row>
    <row r="264" ht="14.25" customHeight="1">
      <c r="A264" t="s">
        <v>86</v>
      </c>
      <c r="B264" t="s">
        <v>206</v>
      </c>
      <c r="C264" t="s">
        <v>152</v>
      </c>
      <c r="D264" t="s">
        <v>147</v>
      </c>
      <c r="E264" t="s">
        <v>148</v>
      </c>
      <c r="F264">
        <v>15178</v>
      </c>
    </row>
    <row r="265" ht="14.25" customHeight="1">
      <c r="A265" t="s">
        <v>106</v>
      </c>
      <c r="B265" t="s">
        <v>206</v>
      </c>
      <c r="C265" t="s">
        <v>152</v>
      </c>
      <c r="D265" t="s">
        <v>147</v>
      </c>
      <c r="E265" t="s">
        <v>148</v>
      </c>
      <c r="F265">
        <v>36612</v>
      </c>
    </row>
    <row r="266" ht="14.25" customHeight="1">
      <c r="A266" t="s">
        <v>105</v>
      </c>
      <c r="B266" t="s">
        <v>206</v>
      </c>
      <c r="C266" t="s">
        <v>152</v>
      </c>
      <c r="D266" t="s">
        <v>147</v>
      </c>
      <c r="E266" t="s">
        <v>148</v>
      </c>
      <c r="F266">
        <v>21968</v>
      </c>
    </row>
    <row r="267" ht="14.25" customHeight="1">
      <c r="A267" t="s">
        <v>108</v>
      </c>
      <c r="B267" t="s">
        <v>206</v>
      </c>
      <c r="C267" t="s">
        <v>152</v>
      </c>
      <c r="D267" t="s">
        <v>147</v>
      </c>
      <c r="E267" t="s">
        <v>148</v>
      </c>
      <c r="F267">
        <v>30240</v>
      </c>
    </row>
    <row r="268" ht="14.25" customHeight="1">
      <c r="A268" t="s">
        <v>107</v>
      </c>
      <c r="B268" t="s">
        <v>206</v>
      </c>
      <c r="C268" t="s">
        <v>152</v>
      </c>
      <c r="D268" t="s">
        <v>147</v>
      </c>
      <c r="E268" t="s">
        <v>148</v>
      </c>
      <c r="F268">
        <v>18850</v>
      </c>
    </row>
    <row r="269" ht="14.25" customHeight="1">
      <c r="A269" t="s">
        <v>104</v>
      </c>
      <c r="B269" t="s">
        <v>207</v>
      </c>
      <c r="C269" t="s">
        <v>156</v>
      </c>
      <c r="D269" t="s">
        <v>147</v>
      </c>
      <c r="E269" t="s">
        <v>148</v>
      </c>
      <c r="F269">
        <v>461593.76</v>
      </c>
    </row>
    <row r="270" ht="14.25" customHeight="1">
      <c r="A270" t="s">
        <v>101</v>
      </c>
      <c r="B270" t="s">
        <v>207</v>
      </c>
      <c r="C270" t="s">
        <v>156</v>
      </c>
      <c r="D270" t="s">
        <v>147</v>
      </c>
      <c r="E270" t="s">
        <v>148</v>
      </c>
      <c r="F270">
        <v>368902.58</v>
      </c>
    </row>
    <row r="271" ht="14.25" customHeight="1">
      <c r="A271" t="s">
        <v>103</v>
      </c>
      <c r="B271" t="s">
        <v>207</v>
      </c>
      <c r="C271" t="s">
        <v>156</v>
      </c>
      <c r="D271" t="s">
        <v>147</v>
      </c>
      <c r="E271" t="s">
        <v>148</v>
      </c>
      <c r="F271">
        <v>316903.04</v>
      </c>
    </row>
    <row r="272" ht="14.25" customHeight="1">
      <c r="A272" t="s">
        <v>99</v>
      </c>
      <c r="B272" t="s">
        <v>207</v>
      </c>
      <c r="C272" t="s">
        <v>156</v>
      </c>
      <c r="D272" t="s">
        <v>147</v>
      </c>
      <c r="E272" t="s">
        <v>148</v>
      </c>
      <c r="F272">
        <v>256743.58</v>
      </c>
    </row>
    <row r="273" ht="14.25" customHeight="1">
      <c r="A273" t="s">
        <v>95</v>
      </c>
      <c r="B273" t="s">
        <v>207</v>
      </c>
      <c r="C273" t="s">
        <v>156</v>
      </c>
      <c r="D273" t="s">
        <v>147</v>
      </c>
      <c r="E273" t="s">
        <v>148</v>
      </c>
      <c r="F273">
        <v>443568.93</v>
      </c>
    </row>
    <row r="274" ht="14.25" customHeight="1">
      <c r="A274" t="s">
        <v>93</v>
      </c>
      <c r="B274" t="s">
        <v>207</v>
      </c>
      <c r="C274" t="s">
        <v>156</v>
      </c>
      <c r="D274" t="s">
        <v>147</v>
      </c>
      <c r="E274" t="s">
        <v>148</v>
      </c>
      <c r="F274">
        <v>259421.46</v>
      </c>
    </row>
    <row r="275" ht="14.25" customHeight="1">
      <c r="A275" t="s">
        <v>97</v>
      </c>
      <c r="B275" t="s">
        <v>207</v>
      </c>
      <c r="C275" t="s">
        <v>156</v>
      </c>
      <c r="D275" t="s">
        <v>147</v>
      </c>
      <c r="E275" t="s">
        <v>148</v>
      </c>
      <c r="F275">
        <v>244893.8</v>
      </c>
    </row>
    <row r="276" ht="14.25" customHeight="1">
      <c r="A276" t="s">
        <v>89</v>
      </c>
      <c r="B276" t="s">
        <v>207</v>
      </c>
      <c r="C276" t="s">
        <v>156</v>
      </c>
      <c r="D276" t="s">
        <v>147</v>
      </c>
      <c r="E276" t="s">
        <v>148</v>
      </c>
      <c r="F276">
        <v>155733.6</v>
      </c>
    </row>
    <row r="277" ht="14.25" customHeight="1">
      <c r="A277" t="s">
        <v>91</v>
      </c>
      <c r="B277" t="s">
        <v>207</v>
      </c>
      <c r="C277" t="s">
        <v>156</v>
      </c>
      <c r="D277" t="s">
        <v>147</v>
      </c>
      <c r="E277" t="s">
        <v>148</v>
      </c>
      <c r="F277">
        <v>127624.16</v>
      </c>
    </row>
    <row r="278" ht="14.25" customHeight="1">
      <c r="A278" t="s">
        <v>86</v>
      </c>
      <c r="B278" t="s">
        <v>207</v>
      </c>
      <c r="C278" t="s">
        <v>156</v>
      </c>
      <c r="D278" t="s">
        <v>147</v>
      </c>
      <c r="E278" t="s">
        <v>148</v>
      </c>
      <c r="F278">
        <v>127557.21</v>
      </c>
    </row>
    <row r="279" ht="14.25" customHeight="1">
      <c r="A279" t="s">
        <v>106</v>
      </c>
      <c r="B279" t="s">
        <v>207</v>
      </c>
      <c r="C279" t="s">
        <v>156</v>
      </c>
      <c r="D279" t="s">
        <v>147</v>
      </c>
      <c r="E279" t="s">
        <v>148</v>
      </c>
      <c r="F279">
        <v>220599.82</v>
      </c>
    </row>
    <row r="280" ht="14.25" customHeight="1">
      <c r="A280" t="s">
        <v>105</v>
      </c>
      <c r="B280" t="s">
        <v>207</v>
      </c>
      <c r="C280" t="s">
        <v>156</v>
      </c>
      <c r="D280" t="s">
        <v>147</v>
      </c>
      <c r="E280" t="s">
        <v>148</v>
      </c>
      <c r="F280">
        <v>166342.4</v>
      </c>
    </row>
    <row r="281" ht="14.25" customHeight="1">
      <c r="A281" t="s">
        <v>108</v>
      </c>
      <c r="B281" t="s">
        <v>207</v>
      </c>
      <c r="C281" t="s">
        <v>156</v>
      </c>
      <c r="D281" t="s">
        <v>147</v>
      </c>
      <c r="E281" t="s">
        <v>148</v>
      </c>
      <c r="F281">
        <v>193142.69</v>
      </c>
    </row>
    <row r="282" ht="14.25" customHeight="1">
      <c r="A282" t="s">
        <v>107</v>
      </c>
      <c r="B282" t="s">
        <v>207</v>
      </c>
      <c r="C282" t="s">
        <v>156</v>
      </c>
      <c r="D282" t="s">
        <v>147</v>
      </c>
      <c r="E282" t="s">
        <v>148</v>
      </c>
      <c r="F282">
        <v>161858.54</v>
      </c>
    </row>
    <row r="283" ht="14.25" customHeight="1">
      <c r="A283" t="s">
        <v>104</v>
      </c>
      <c r="B283" t="s">
        <v>207</v>
      </c>
      <c r="C283" t="s">
        <v>155</v>
      </c>
      <c r="D283" t="s">
        <v>147</v>
      </c>
      <c r="E283" t="s">
        <v>148</v>
      </c>
      <c r="F283">
        <v>484866.41</v>
      </c>
    </row>
    <row r="284" ht="14.25" customHeight="1">
      <c r="A284" t="s">
        <v>101</v>
      </c>
      <c r="B284" t="s">
        <v>207</v>
      </c>
      <c r="C284" t="s">
        <v>155</v>
      </c>
      <c r="D284" t="s">
        <v>147</v>
      </c>
      <c r="E284" t="s">
        <v>148</v>
      </c>
      <c r="F284">
        <v>381714.36</v>
      </c>
    </row>
    <row r="285" ht="14.25" customHeight="1">
      <c r="A285" t="s">
        <v>103</v>
      </c>
      <c r="B285" t="s">
        <v>207</v>
      </c>
      <c r="C285" t="s">
        <v>155</v>
      </c>
      <c r="D285" t="s">
        <v>147</v>
      </c>
      <c r="E285" t="s">
        <v>148</v>
      </c>
      <c r="F285">
        <v>333028.5</v>
      </c>
    </row>
    <row r="286" ht="14.25" customHeight="1">
      <c r="A286" t="s">
        <v>99</v>
      </c>
      <c r="B286" t="s">
        <v>207</v>
      </c>
      <c r="C286" t="s">
        <v>155</v>
      </c>
      <c r="D286" t="s">
        <v>147</v>
      </c>
      <c r="E286" t="s">
        <v>148</v>
      </c>
      <c r="F286">
        <v>267929</v>
      </c>
    </row>
    <row r="287" ht="14.25" customHeight="1">
      <c r="A287" t="s">
        <v>95</v>
      </c>
      <c r="B287" t="s">
        <v>207</v>
      </c>
      <c r="C287" t="s">
        <v>155</v>
      </c>
      <c r="D287" t="s">
        <v>147</v>
      </c>
      <c r="E287" t="s">
        <v>148</v>
      </c>
      <c r="F287">
        <v>466993.12</v>
      </c>
    </row>
    <row r="288" ht="14.25" customHeight="1">
      <c r="A288" t="s">
        <v>93</v>
      </c>
      <c r="B288" t="s">
        <v>207</v>
      </c>
      <c r="C288" t="s">
        <v>155</v>
      </c>
      <c r="D288" t="s">
        <v>147</v>
      </c>
      <c r="E288" t="s">
        <v>148</v>
      </c>
      <c r="F288">
        <v>270570.21</v>
      </c>
    </row>
    <row r="289" ht="14.25" customHeight="1">
      <c r="A289" t="s">
        <v>97</v>
      </c>
      <c r="B289" t="s">
        <v>207</v>
      </c>
      <c r="C289" t="s">
        <v>155</v>
      </c>
      <c r="D289" t="s">
        <v>147</v>
      </c>
      <c r="E289" t="s">
        <v>148</v>
      </c>
      <c r="F289">
        <v>253220.84</v>
      </c>
    </row>
    <row r="290" ht="14.25" customHeight="1">
      <c r="A290" t="s">
        <v>89</v>
      </c>
      <c r="B290" t="s">
        <v>207</v>
      </c>
      <c r="C290" t="s">
        <v>155</v>
      </c>
      <c r="D290" t="s">
        <v>147</v>
      </c>
      <c r="E290" t="s">
        <v>148</v>
      </c>
      <c r="F290">
        <v>160911.47</v>
      </c>
    </row>
    <row r="291" ht="14.25" customHeight="1">
      <c r="A291" t="s">
        <v>91</v>
      </c>
      <c r="B291" t="s">
        <v>207</v>
      </c>
      <c r="C291" t="s">
        <v>155</v>
      </c>
      <c r="D291" t="s">
        <v>147</v>
      </c>
      <c r="E291" t="s">
        <v>148</v>
      </c>
      <c r="F291">
        <v>132256.93</v>
      </c>
    </row>
    <row r="292" ht="14.25" customHeight="1">
      <c r="A292" t="s">
        <v>86</v>
      </c>
      <c r="B292" t="s">
        <v>207</v>
      </c>
      <c r="C292" t="s">
        <v>155</v>
      </c>
      <c r="D292" t="s">
        <v>147</v>
      </c>
      <c r="E292" t="s">
        <v>148</v>
      </c>
      <c r="F292">
        <v>132183.02</v>
      </c>
    </row>
    <row r="293" ht="14.25" customHeight="1">
      <c r="A293" t="s">
        <v>106</v>
      </c>
      <c r="B293" t="s">
        <v>207</v>
      </c>
      <c r="C293" t="s">
        <v>155</v>
      </c>
      <c r="D293" t="s">
        <v>147</v>
      </c>
      <c r="E293" t="s">
        <v>148</v>
      </c>
      <c r="F293">
        <v>228262.14</v>
      </c>
    </row>
    <row r="294" ht="14.25" customHeight="1">
      <c r="A294" t="s">
        <v>105</v>
      </c>
      <c r="B294" t="s">
        <v>207</v>
      </c>
      <c r="C294" t="s">
        <v>155</v>
      </c>
      <c r="D294" t="s">
        <v>147</v>
      </c>
      <c r="E294" t="s">
        <v>148</v>
      </c>
      <c r="F294">
        <v>175123.55</v>
      </c>
    </row>
    <row r="295" ht="14.25" customHeight="1">
      <c r="A295" t="s">
        <v>108</v>
      </c>
      <c r="B295" t="s">
        <v>207</v>
      </c>
      <c r="C295" t="s">
        <v>155</v>
      </c>
      <c r="D295" t="s">
        <v>147</v>
      </c>
      <c r="E295" t="s">
        <v>148</v>
      </c>
      <c r="F295">
        <v>205065.3</v>
      </c>
    </row>
    <row r="296" ht="14.25" customHeight="1">
      <c r="A296" t="s">
        <v>107</v>
      </c>
      <c r="B296" t="s">
        <v>207</v>
      </c>
      <c r="C296" t="s">
        <v>155</v>
      </c>
      <c r="D296" t="s">
        <v>147</v>
      </c>
      <c r="E296" t="s">
        <v>148</v>
      </c>
      <c r="F296">
        <v>173666.48</v>
      </c>
    </row>
    <row r="297" ht="14.25" customHeight="1">
      <c r="A297" t="s">
        <v>104</v>
      </c>
      <c r="B297" t="s">
        <v>207</v>
      </c>
      <c r="C297" t="s">
        <v>152</v>
      </c>
      <c r="D297" t="s">
        <v>147</v>
      </c>
      <c r="E297" t="s">
        <v>148</v>
      </c>
      <c r="F297">
        <v>502062.96</v>
      </c>
    </row>
    <row r="298" ht="14.25" customHeight="1">
      <c r="A298" t="s">
        <v>101</v>
      </c>
      <c r="B298" t="s">
        <v>207</v>
      </c>
      <c r="C298" t="s">
        <v>152</v>
      </c>
      <c r="D298" t="s">
        <v>147</v>
      </c>
      <c r="E298" t="s">
        <v>148</v>
      </c>
      <c r="F298">
        <v>400192.8</v>
      </c>
    </row>
    <row r="299" ht="14.25" customHeight="1">
      <c r="A299" t="s">
        <v>103</v>
      </c>
      <c r="B299" t="s">
        <v>207</v>
      </c>
      <c r="C299" t="s">
        <v>152</v>
      </c>
      <c r="D299" t="s">
        <v>147</v>
      </c>
      <c r="E299" t="s">
        <v>148</v>
      </c>
      <c r="F299">
        <v>344252.4</v>
      </c>
    </row>
    <row r="300" ht="14.25" customHeight="1">
      <c r="A300" t="s">
        <v>99</v>
      </c>
      <c r="B300" t="s">
        <v>207</v>
      </c>
      <c r="C300" t="s">
        <v>152</v>
      </c>
      <c r="D300" t="s">
        <v>147</v>
      </c>
      <c r="E300" t="s">
        <v>148</v>
      </c>
      <c r="F300">
        <v>280337.09</v>
      </c>
    </row>
    <row r="301" ht="14.25" customHeight="1">
      <c r="A301" t="s">
        <v>95</v>
      </c>
      <c r="B301" t="s">
        <v>207</v>
      </c>
      <c r="C301" t="s">
        <v>152</v>
      </c>
      <c r="D301" t="s">
        <v>147</v>
      </c>
      <c r="E301" t="s">
        <v>148</v>
      </c>
      <c r="F301">
        <v>488050.48</v>
      </c>
    </row>
    <row r="302" ht="14.25" customHeight="1">
      <c r="A302" t="s">
        <v>93</v>
      </c>
      <c r="B302" t="s">
        <v>207</v>
      </c>
      <c r="C302" t="s">
        <v>152</v>
      </c>
      <c r="D302" t="s">
        <v>147</v>
      </c>
      <c r="E302" t="s">
        <v>148</v>
      </c>
      <c r="F302">
        <v>284669.17</v>
      </c>
    </row>
    <row r="303" ht="14.25" customHeight="1">
      <c r="A303" t="s">
        <v>97</v>
      </c>
      <c r="B303" t="s">
        <v>207</v>
      </c>
      <c r="C303" t="s">
        <v>152</v>
      </c>
      <c r="D303" t="s">
        <v>147</v>
      </c>
      <c r="E303" t="s">
        <v>148</v>
      </c>
      <c r="F303">
        <v>267683.87</v>
      </c>
    </row>
    <row r="304" ht="14.25" customHeight="1">
      <c r="A304" t="s">
        <v>89</v>
      </c>
      <c r="B304" t="s">
        <v>207</v>
      </c>
      <c r="C304" t="s">
        <v>152</v>
      </c>
      <c r="D304" t="s">
        <v>147</v>
      </c>
      <c r="E304" t="s">
        <v>148</v>
      </c>
      <c r="F304">
        <v>168182.73</v>
      </c>
    </row>
    <row r="305" ht="14.25" customHeight="1">
      <c r="A305" t="s">
        <v>91</v>
      </c>
      <c r="B305" t="s">
        <v>207</v>
      </c>
      <c r="C305" t="s">
        <v>152</v>
      </c>
      <c r="D305" t="s">
        <v>147</v>
      </c>
      <c r="E305" t="s">
        <v>148</v>
      </c>
      <c r="F305">
        <v>136168.63</v>
      </c>
    </row>
    <row r="306" ht="14.25" customHeight="1">
      <c r="A306" t="s">
        <v>86</v>
      </c>
      <c r="B306" t="s">
        <v>207</v>
      </c>
      <c r="C306" t="s">
        <v>152</v>
      </c>
      <c r="D306" t="s">
        <v>147</v>
      </c>
      <c r="E306" t="s">
        <v>148</v>
      </c>
      <c r="F306">
        <v>136087.43</v>
      </c>
    </row>
    <row r="307" ht="14.25" customHeight="1">
      <c r="A307" t="s">
        <v>106</v>
      </c>
      <c r="B307" t="s">
        <v>207</v>
      </c>
      <c r="C307" t="s">
        <v>152</v>
      </c>
      <c r="D307" t="s">
        <v>147</v>
      </c>
      <c r="E307" t="s">
        <v>148</v>
      </c>
      <c r="F307">
        <v>241308.7</v>
      </c>
    </row>
    <row r="308" ht="14.25" customHeight="1">
      <c r="A308" t="s">
        <v>105</v>
      </c>
      <c r="B308" t="s">
        <v>207</v>
      </c>
      <c r="C308" t="s">
        <v>152</v>
      </c>
      <c r="D308" t="s">
        <v>147</v>
      </c>
      <c r="E308" t="s">
        <v>148</v>
      </c>
      <c r="F308">
        <v>182756.35</v>
      </c>
    </row>
    <row r="309" ht="14.25" customHeight="1">
      <c r="A309" t="s">
        <v>108</v>
      </c>
      <c r="B309" t="s">
        <v>207</v>
      </c>
      <c r="C309" t="s">
        <v>152</v>
      </c>
      <c r="D309" t="s">
        <v>147</v>
      </c>
      <c r="E309" t="s">
        <v>148</v>
      </c>
      <c r="F309">
        <v>223369.51</v>
      </c>
    </row>
    <row r="310" ht="14.25" customHeight="1">
      <c r="A310" t="s">
        <v>107</v>
      </c>
      <c r="B310" t="s">
        <v>207</v>
      </c>
      <c r="C310" t="s">
        <v>152</v>
      </c>
      <c r="D310" t="s">
        <v>147</v>
      </c>
      <c r="E310" t="s">
        <v>148</v>
      </c>
      <c r="F310">
        <v>185947.72</v>
      </c>
    </row>
    <row r="311" ht="14.25" customHeight="1">
      <c r="A311" t="s">
        <v>104</v>
      </c>
      <c r="B311" t="s">
        <v>208</v>
      </c>
      <c r="C311" t="s">
        <v>156</v>
      </c>
      <c r="D311" t="s">
        <v>147</v>
      </c>
      <c r="E311" t="s">
        <v>148</v>
      </c>
      <c r="F311">
        <v>266491.87</v>
      </c>
    </row>
    <row r="312" ht="14.25" customHeight="1">
      <c r="A312" t="s">
        <v>101</v>
      </c>
      <c r="B312" t="s">
        <v>208</v>
      </c>
      <c r="C312" t="s">
        <v>156</v>
      </c>
      <c r="D312" t="s">
        <v>147</v>
      </c>
      <c r="E312" t="s">
        <v>148</v>
      </c>
      <c r="F312">
        <v>208432.22</v>
      </c>
    </row>
    <row r="313" ht="14.25" customHeight="1">
      <c r="A313" t="s">
        <v>103</v>
      </c>
      <c r="B313" t="s">
        <v>208</v>
      </c>
      <c r="C313" t="s">
        <v>156</v>
      </c>
      <c r="D313" t="s">
        <v>147</v>
      </c>
      <c r="E313" t="s">
        <v>148</v>
      </c>
      <c r="F313">
        <v>176012.71</v>
      </c>
    </row>
    <row r="314" ht="14.25" customHeight="1">
      <c r="A314" t="s">
        <v>99</v>
      </c>
      <c r="B314" t="s">
        <v>208</v>
      </c>
      <c r="C314" t="s">
        <v>156</v>
      </c>
      <c r="D314" t="s">
        <v>147</v>
      </c>
      <c r="E314" t="s">
        <v>148</v>
      </c>
      <c r="F314">
        <v>144927.58</v>
      </c>
    </row>
    <row r="315" ht="14.25" customHeight="1">
      <c r="A315" t="s">
        <v>95</v>
      </c>
      <c r="B315" t="s">
        <v>208</v>
      </c>
      <c r="C315" t="s">
        <v>156</v>
      </c>
      <c r="D315" t="s">
        <v>147</v>
      </c>
      <c r="E315" t="s">
        <v>148</v>
      </c>
      <c r="F315">
        <v>237314.78</v>
      </c>
    </row>
    <row r="316" ht="14.25" customHeight="1">
      <c r="A316" t="s">
        <v>93</v>
      </c>
      <c r="B316" t="s">
        <v>208</v>
      </c>
      <c r="C316" t="s">
        <v>156</v>
      </c>
      <c r="D316" t="s">
        <v>147</v>
      </c>
      <c r="E316" t="s">
        <v>148</v>
      </c>
      <c r="F316">
        <v>143499.42</v>
      </c>
    </row>
    <row r="317" ht="14.25" customHeight="1">
      <c r="A317" t="s">
        <v>97</v>
      </c>
      <c r="B317" t="s">
        <v>208</v>
      </c>
      <c r="C317" t="s">
        <v>156</v>
      </c>
      <c r="D317" t="s">
        <v>147</v>
      </c>
      <c r="E317" t="s">
        <v>148</v>
      </c>
      <c r="F317">
        <v>128244.7</v>
      </c>
    </row>
    <row r="318" ht="14.25" customHeight="1">
      <c r="A318" t="s">
        <v>89</v>
      </c>
      <c r="B318" t="s">
        <v>208</v>
      </c>
      <c r="C318" t="s">
        <v>156</v>
      </c>
      <c r="D318" t="s">
        <v>147</v>
      </c>
      <c r="E318" t="s">
        <v>148</v>
      </c>
      <c r="F318">
        <v>85320.26</v>
      </c>
    </row>
    <row r="319" ht="14.25" customHeight="1">
      <c r="A319" t="s">
        <v>91</v>
      </c>
      <c r="B319" t="s">
        <v>208</v>
      </c>
      <c r="C319" t="s">
        <v>156</v>
      </c>
      <c r="D319" t="s">
        <v>147</v>
      </c>
      <c r="E319" t="s">
        <v>148</v>
      </c>
      <c r="F319">
        <v>56418.53</v>
      </c>
    </row>
    <row r="320" ht="14.25" customHeight="1">
      <c r="A320" t="s">
        <v>86</v>
      </c>
      <c r="B320" t="s">
        <v>208</v>
      </c>
      <c r="C320" t="s">
        <v>156</v>
      </c>
      <c r="D320" t="s">
        <v>147</v>
      </c>
      <c r="E320" t="s">
        <v>148</v>
      </c>
      <c r="F320">
        <v>56388.94</v>
      </c>
    </row>
    <row r="321" ht="14.25" customHeight="1">
      <c r="A321" t="s">
        <v>106</v>
      </c>
      <c r="B321" t="s">
        <v>208</v>
      </c>
      <c r="C321" t="s">
        <v>156</v>
      </c>
      <c r="D321" t="s">
        <v>147</v>
      </c>
      <c r="E321" t="s">
        <v>148</v>
      </c>
      <c r="F321">
        <v>113772.68</v>
      </c>
    </row>
    <row r="322" ht="14.25" customHeight="1">
      <c r="A322" t="s">
        <v>105</v>
      </c>
      <c r="B322" t="s">
        <v>208</v>
      </c>
      <c r="C322" t="s">
        <v>156</v>
      </c>
      <c r="D322" t="s">
        <v>147</v>
      </c>
      <c r="E322" t="s">
        <v>148</v>
      </c>
      <c r="F322">
        <v>66934.77</v>
      </c>
    </row>
    <row r="323" ht="14.25" customHeight="1">
      <c r="A323" t="s">
        <v>108</v>
      </c>
      <c r="B323" t="s">
        <v>208</v>
      </c>
      <c r="C323" t="s">
        <v>156</v>
      </c>
      <c r="D323" t="s">
        <v>147</v>
      </c>
      <c r="E323" t="s">
        <v>148</v>
      </c>
      <c r="F323">
        <v>100706.89</v>
      </c>
    </row>
    <row r="324" ht="14.25" customHeight="1">
      <c r="A324" t="s">
        <v>107</v>
      </c>
      <c r="B324" t="s">
        <v>208</v>
      </c>
      <c r="C324" t="s">
        <v>156</v>
      </c>
      <c r="D324" t="s">
        <v>147</v>
      </c>
      <c r="E324" t="s">
        <v>148</v>
      </c>
      <c r="F324">
        <v>71551.52</v>
      </c>
    </row>
    <row r="325" ht="14.25" customHeight="1">
      <c r="A325" t="s">
        <v>104</v>
      </c>
      <c r="B325" t="s">
        <v>208</v>
      </c>
      <c r="C325" t="s">
        <v>155</v>
      </c>
      <c r="D325" t="s">
        <v>147</v>
      </c>
      <c r="E325" t="s">
        <v>148</v>
      </c>
      <c r="F325">
        <v>279927.82</v>
      </c>
    </row>
    <row r="326" ht="14.25" customHeight="1">
      <c r="A326" t="s">
        <v>101</v>
      </c>
      <c r="B326" t="s">
        <v>208</v>
      </c>
      <c r="C326" t="s">
        <v>155</v>
      </c>
      <c r="D326" t="s">
        <v>147</v>
      </c>
      <c r="E326" t="s">
        <v>148</v>
      </c>
      <c r="F326">
        <v>215670.6</v>
      </c>
    </row>
    <row r="327" ht="14.25" customHeight="1">
      <c r="A327" t="s">
        <v>103</v>
      </c>
      <c r="B327" t="s">
        <v>208</v>
      </c>
      <c r="C327" t="s">
        <v>155</v>
      </c>
      <c r="D327" t="s">
        <v>147</v>
      </c>
      <c r="E327" t="s">
        <v>148</v>
      </c>
      <c r="F327">
        <v>184969.52</v>
      </c>
    </row>
    <row r="328" ht="14.25" customHeight="1">
      <c r="A328" t="s">
        <v>99</v>
      </c>
      <c r="B328" t="s">
        <v>208</v>
      </c>
      <c r="C328" t="s">
        <v>155</v>
      </c>
      <c r="D328" t="s">
        <v>147</v>
      </c>
      <c r="E328" t="s">
        <v>148</v>
      </c>
      <c r="F328">
        <v>151241.36</v>
      </c>
    </row>
    <row r="329" ht="14.25" customHeight="1">
      <c r="A329" t="s">
        <v>95</v>
      </c>
      <c r="B329" t="s">
        <v>208</v>
      </c>
      <c r="C329" t="s">
        <v>155</v>
      </c>
      <c r="D329" t="s">
        <v>147</v>
      </c>
      <c r="E329" t="s">
        <v>148</v>
      </c>
      <c r="F329">
        <v>249846.94</v>
      </c>
    </row>
    <row r="330" ht="14.25" customHeight="1">
      <c r="A330" t="s">
        <v>93</v>
      </c>
      <c r="B330" t="s">
        <v>208</v>
      </c>
      <c r="C330" t="s">
        <v>155</v>
      </c>
      <c r="D330" t="s">
        <v>147</v>
      </c>
      <c r="E330" t="s">
        <v>148</v>
      </c>
      <c r="F330">
        <v>149666</v>
      </c>
    </row>
    <row r="331" ht="14.25" customHeight="1">
      <c r="A331" t="s">
        <v>97</v>
      </c>
      <c r="B331" t="s">
        <v>208</v>
      </c>
      <c r="C331" t="s">
        <v>155</v>
      </c>
      <c r="D331" t="s">
        <v>147</v>
      </c>
      <c r="E331" t="s">
        <v>148</v>
      </c>
      <c r="F331">
        <v>132606.06</v>
      </c>
    </row>
    <row r="332" ht="14.25" customHeight="1">
      <c r="A332" t="s">
        <v>89</v>
      </c>
      <c r="B332" t="s">
        <v>208</v>
      </c>
      <c r="C332" t="s">
        <v>155</v>
      </c>
      <c r="D332" t="s">
        <v>147</v>
      </c>
      <c r="E332" t="s">
        <v>148</v>
      </c>
      <c r="F332">
        <v>88156.35</v>
      </c>
    </row>
    <row r="333" ht="14.25" customHeight="1">
      <c r="A333" t="s">
        <v>91</v>
      </c>
      <c r="B333" t="s">
        <v>208</v>
      </c>
      <c r="C333" t="s">
        <v>155</v>
      </c>
      <c r="D333" t="s">
        <v>147</v>
      </c>
      <c r="E333" t="s">
        <v>148</v>
      </c>
      <c r="F333">
        <v>58466.61</v>
      </c>
    </row>
    <row r="334" ht="14.25" customHeight="1">
      <c r="A334" t="s">
        <v>86</v>
      </c>
      <c r="B334" t="s">
        <v>208</v>
      </c>
      <c r="C334" t="s">
        <v>155</v>
      </c>
      <c r="D334" t="s">
        <v>147</v>
      </c>
      <c r="E334" t="s">
        <v>148</v>
      </c>
      <c r="F334">
        <v>58433.93</v>
      </c>
    </row>
    <row r="335" ht="14.25" customHeight="1">
      <c r="A335" t="s">
        <v>106</v>
      </c>
      <c r="B335" t="s">
        <v>208</v>
      </c>
      <c r="C335" t="s">
        <v>155</v>
      </c>
      <c r="D335" t="s">
        <v>147</v>
      </c>
      <c r="E335" t="s">
        <v>148</v>
      </c>
      <c r="F335">
        <v>117724.56</v>
      </c>
    </row>
    <row r="336" ht="14.25" customHeight="1">
      <c r="A336" t="s">
        <v>105</v>
      </c>
      <c r="B336" t="s">
        <v>208</v>
      </c>
      <c r="C336" t="s">
        <v>155</v>
      </c>
      <c r="D336" t="s">
        <v>147</v>
      </c>
      <c r="E336" t="s">
        <v>148</v>
      </c>
      <c r="F336">
        <v>70468.65</v>
      </c>
    </row>
    <row r="337" ht="14.25" customHeight="1">
      <c r="A337" t="s">
        <v>108</v>
      </c>
      <c r="B337" t="s">
        <v>208</v>
      </c>
      <c r="C337" t="s">
        <v>155</v>
      </c>
      <c r="D337" t="s">
        <v>147</v>
      </c>
      <c r="E337" t="s">
        <v>148</v>
      </c>
      <c r="F337">
        <v>106923.25</v>
      </c>
    </row>
    <row r="338" ht="14.25" customHeight="1">
      <c r="A338" t="s">
        <v>107</v>
      </c>
      <c r="B338" t="s">
        <v>208</v>
      </c>
      <c r="C338" t="s">
        <v>155</v>
      </c>
      <c r="D338" t="s">
        <v>147</v>
      </c>
      <c r="E338" t="s">
        <v>148</v>
      </c>
      <c r="F338">
        <v>76771.37</v>
      </c>
    </row>
    <row r="339" ht="14.25" customHeight="1">
      <c r="A339" t="s">
        <v>104</v>
      </c>
      <c r="B339" t="s">
        <v>208</v>
      </c>
      <c r="C339" t="s">
        <v>152</v>
      </c>
      <c r="D339" t="s">
        <v>147</v>
      </c>
      <c r="E339" t="s">
        <v>148</v>
      </c>
      <c r="F339">
        <v>289855.78</v>
      </c>
    </row>
    <row r="340" ht="14.25" customHeight="1">
      <c r="A340" t="s">
        <v>101</v>
      </c>
      <c r="B340" t="s">
        <v>208</v>
      </c>
      <c r="C340" t="s">
        <v>152</v>
      </c>
      <c r="D340" t="s">
        <v>147</v>
      </c>
      <c r="E340" t="s">
        <v>148</v>
      </c>
      <c r="F340">
        <v>226112.25</v>
      </c>
    </row>
    <row r="341" ht="14.25" customHeight="1">
      <c r="A341" t="s">
        <v>103</v>
      </c>
      <c r="B341" t="s">
        <v>208</v>
      </c>
      <c r="C341" t="s">
        <v>152</v>
      </c>
      <c r="D341" t="s">
        <v>147</v>
      </c>
      <c r="E341" t="s">
        <v>148</v>
      </c>
      <c r="F341">
        <v>191202.82</v>
      </c>
    </row>
    <row r="342" ht="14.25" customHeight="1">
      <c r="A342" t="s">
        <v>99</v>
      </c>
      <c r="B342" t="s">
        <v>208</v>
      </c>
      <c r="C342" t="s">
        <v>152</v>
      </c>
      <c r="D342" t="s">
        <v>147</v>
      </c>
      <c r="E342" t="s">
        <v>148</v>
      </c>
      <c r="F342">
        <v>158245.25</v>
      </c>
    </row>
    <row r="343" ht="14.25" customHeight="1">
      <c r="A343" t="s">
        <v>95</v>
      </c>
      <c r="B343" t="s">
        <v>208</v>
      </c>
      <c r="C343" t="s">
        <v>152</v>
      </c>
      <c r="D343" t="s">
        <v>147</v>
      </c>
      <c r="E343" t="s">
        <v>148</v>
      </c>
      <c r="F343">
        <v>261113.4</v>
      </c>
    </row>
    <row r="344" ht="14.25" customHeight="1">
      <c r="A344" t="s">
        <v>93</v>
      </c>
      <c r="B344" t="s">
        <v>208</v>
      </c>
      <c r="C344" t="s">
        <v>152</v>
      </c>
      <c r="D344" t="s">
        <v>147</v>
      </c>
      <c r="E344" t="s">
        <v>148</v>
      </c>
      <c r="F344">
        <v>157464.43</v>
      </c>
    </row>
    <row r="345" ht="14.25" customHeight="1">
      <c r="A345" t="s">
        <v>97</v>
      </c>
      <c r="B345" t="s">
        <v>208</v>
      </c>
      <c r="C345" t="s">
        <v>152</v>
      </c>
      <c r="D345" t="s">
        <v>147</v>
      </c>
      <c r="E345" t="s">
        <v>148</v>
      </c>
      <c r="F345">
        <v>140180.27</v>
      </c>
    </row>
    <row r="346" ht="14.25" customHeight="1">
      <c r="A346" t="s">
        <v>89</v>
      </c>
      <c r="B346" t="s">
        <v>208</v>
      </c>
      <c r="C346" t="s">
        <v>152</v>
      </c>
      <c r="D346" t="s">
        <v>147</v>
      </c>
      <c r="E346" t="s">
        <v>148</v>
      </c>
      <c r="F346">
        <v>92140.18</v>
      </c>
    </row>
    <row r="347" ht="14.25" customHeight="1">
      <c r="A347" t="s">
        <v>91</v>
      </c>
      <c r="B347" t="s">
        <v>208</v>
      </c>
      <c r="C347" t="s">
        <v>152</v>
      </c>
      <c r="D347" t="s">
        <v>147</v>
      </c>
      <c r="E347" t="s">
        <v>148</v>
      </c>
      <c r="F347">
        <v>60195.4</v>
      </c>
    </row>
    <row r="348" ht="14.25" customHeight="1">
      <c r="A348" t="s">
        <v>86</v>
      </c>
      <c r="B348" t="s">
        <v>208</v>
      </c>
      <c r="C348" t="s">
        <v>152</v>
      </c>
      <c r="D348" t="s">
        <v>147</v>
      </c>
      <c r="E348" t="s">
        <v>148</v>
      </c>
      <c r="F348">
        <v>60159.5</v>
      </c>
    </row>
    <row r="349" ht="14.25" customHeight="1">
      <c r="A349" t="s">
        <v>106</v>
      </c>
      <c r="B349" t="s">
        <v>208</v>
      </c>
      <c r="C349" t="s">
        <v>152</v>
      </c>
      <c r="D349" t="s">
        <v>147</v>
      </c>
      <c r="E349" t="s">
        <v>148</v>
      </c>
      <c r="F349">
        <v>124452.63</v>
      </c>
    </row>
    <row r="350" ht="14.25" customHeight="1">
      <c r="A350" t="s">
        <v>105</v>
      </c>
      <c r="B350" t="s">
        <v>208</v>
      </c>
      <c r="C350" t="s">
        <v>152</v>
      </c>
      <c r="D350" t="s">
        <v>147</v>
      </c>
      <c r="E350" t="s">
        <v>148</v>
      </c>
      <c r="F350">
        <v>73539.85</v>
      </c>
    </row>
    <row r="351" ht="14.25" customHeight="1">
      <c r="A351" t="s">
        <v>108</v>
      </c>
      <c r="B351" t="s">
        <v>208</v>
      </c>
      <c r="C351" t="s">
        <v>152</v>
      </c>
      <c r="D351" t="s">
        <v>147</v>
      </c>
      <c r="E351" t="s">
        <v>148</v>
      </c>
      <c r="F351">
        <v>116467.6</v>
      </c>
    </row>
    <row r="352" ht="14.25" customHeight="1">
      <c r="A352" t="s">
        <v>107</v>
      </c>
      <c r="B352" t="s">
        <v>208</v>
      </c>
      <c r="C352" t="s">
        <v>152</v>
      </c>
      <c r="D352" t="s">
        <v>147</v>
      </c>
      <c r="E352" t="s">
        <v>148</v>
      </c>
      <c r="F352">
        <v>82201.24</v>
      </c>
    </row>
    <row r="353" ht="14.25" customHeight="1">
      <c r="A353" t="s">
        <v>209</v>
      </c>
      <c r="B353" t="s">
        <v>210</v>
      </c>
      <c r="C353" t="s">
        <v>156</v>
      </c>
      <c r="D353" t="s">
        <v>147</v>
      </c>
      <c r="E353" t="s">
        <v>148</v>
      </c>
      <c r="F353">
        <v>1134071</v>
      </c>
    </row>
    <row r="354" ht="14.25" customHeight="1">
      <c r="A354" t="s">
        <v>209</v>
      </c>
      <c r="B354" t="s">
        <v>210</v>
      </c>
      <c r="C354" t="s">
        <v>155</v>
      </c>
      <c r="D354" t="s">
        <v>147</v>
      </c>
      <c r="E354" t="s">
        <v>148</v>
      </c>
      <c r="F354">
        <v>1186037</v>
      </c>
    </row>
    <row r="355" ht="14.25" customHeight="1">
      <c r="A355" t="s">
        <v>209</v>
      </c>
      <c r="B355" t="s">
        <v>210</v>
      </c>
      <c r="C355" t="s">
        <v>152</v>
      </c>
      <c r="D355" t="s">
        <v>147</v>
      </c>
      <c r="E355" t="s">
        <v>148</v>
      </c>
      <c r="F355">
        <v>1242649</v>
      </c>
    </row>
    <row r="356" ht="14.25" customHeight="1">
      <c r="A356" t="s">
        <v>104</v>
      </c>
      <c r="B356" t="s">
        <v>211</v>
      </c>
      <c r="C356" t="s">
        <v>156</v>
      </c>
      <c r="D356" t="s">
        <v>147</v>
      </c>
      <c r="E356" t="s">
        <v>148</v>
      </c>
      <c r="F356">
        <v>414542.82</v>
      </c>
    </row>
    <row r="357" ht="14.25" customHeight="1">
      <c r="A357" t="s">
        <v>101</v>
      </c>
      <c r="B357" t="s">
        <v>211</v>
      </c>
      <c r="C357" t="s">
        <v>156</v>
      </c>
      <c r="D357" t="s">
        <v>147</v>
      </c>
      <c r="E357" t="s">
        <v>148</v>
      </c>
      <c r="F357">
        <v>324229.13</v>
      </c>
    </row>
    <row r="358" ht="14.25" customHeight="1">
      <c r="A358" t="s">
        <v>103</v>
      </c>
      <c r="B358" t="s">
        <v>211</v>
      </c>
      <c r="C358" t="s">
        <v>156</v>
      </c>
      <c r="D358" t="s">
        <v>147</v>
      </c>
      <c r="E358" t="s">
        <v>148</v>
      </c>
      <c r="F358">
        <v>273798.58</v>
      </c>
    </row>
    <row r="359" ht="14.25" customHeight="1">
      <c r="A359" t="s">
        <v>99</v>
      </c>
      <c r="B359" t="s">
        <v>211</v>
      </c>
      <c r="C359" t="s">
        <v>156</v>
      </c>
      <c r="D359" t="s">
        <v>147</v>
      </c>
      <c r="E359" t="s">
        <v>148</v>
      </c>
      <c r="F359">
        <v>225443.62</v>
      </c>
    </row>
    <row r="360" ht="14.25" customHeight="1">
      <c r="A360" t="s">
        <v>95</v>
      </c>
      <c r="B360" t="s">
        <v>211</v>
      </c>
      <c r="C360" t="s">
        <v>156</v>
      </c>
      <c r="D360" t="s">
        <v>147</v>
      </c>
      <c r="E360" t="s">
        <v>148</v>
      </c>
      <c r="F360">
        <v>369156.24</v>
      </c>
    </row>
    <row r="361" ht="14.25" customHeight="1">
      <c r="A361" t="s">
        <v>93</v>
      </c>
      <c r="B361" t="s">
        <v>211</v>
      </c>
      <c r="C361" t="s">
        <v>156</v>
      </c>
      <c r="D361" t="s">
        <v>147</v>
      </c>
      <c r="E361" t="s">
        <v>148</v>
      </c>
      <c r="F361">
        <v>223220.64</v>
      </c>
    </row>
    <row r="362" ht="14.25" customHeight="1">
      <c r="A362" t="s">
        <v>97</v>
      </c>
      <c r="B362" t="s">
        <v>211</v>
      </c>
      <c r="C362" t="s">
        <v>156</v>
      </c>
      <c r="D362" t="s">
        <v>147</v>
      </c>
      <c r="E362" t="s">
        <v>148</v>
      </c>
      <c r="F362">
        <v>199491.89</v>
      </c>
    </row>
    <row r="363" ht="14.25" customHeight="1">
      <c r="A363" t="s">
        <v>89</v>
      </c>
      <c r="B363" t="s">
        <v>211</v>
      </c>
      <c r="C363" t="s">
        <v>156</v>
      </c>
      <c r="D363" t="s">
        <v>147</v>
      </c>
      <c r="E363" t="s">
        <v>148</v>
      </c>
      <c r="F363">
        <v>132720.02</v>
      </c>
    </row>
    <row r="364" ht="14.25" customHeight="1">
      <c r="A364" t="s">
        <v>91</v>
      </c>
      <c r="B364" t="s">
        <v>211</v>
      </c>
      <c r="C364" t="s">
        <v>156</v>
      </c>
      <c r="D364" t="s">
        <v>147</v>
      </c>
      <c r="E364" t="s">
        <v>148</v>
      </c>
      <c r="F364">
        <v>87761.22</v>
      </c>
    </row>
    <row r="365" ht="14.25" customHeight="1">
      <c r="A365" t="s">
        <v>86</v>
      </c>
      <c r="B365" t="s">
        <v>211</v>
      </c>
      <c r="C365" t="s">
        <v>156</v>
      </c>
      <c r="D365" t="s">
        <v>147</v>
      </c>
      <c r="E365" t="s">
        <v>148</v>
      </c>
      <c r="F365">
        <v>87715.18</v>
      </c>
    </row>
    <row r="366" ht="14.25" customHeight="1">
      <c r="A366" t="s">
        <v>106</v>
      </c>
      <c r="B366" t="s">
        <v>211</v>
      </c>
      <c r="C366" t="s">
        <v>156</v>
      </c>
      <c r="D366" t="s">
        <v>147</v>
      </c>
      <c r="E366" t="s">
        <v>148</v>
      </c>
      <c r="F366">
        <v>176980.09</v>
      </c>
    </row>
    <row r="367" ht="14.25" customHeight="1">
      <c r="A367" t="s">
        <v>105</v>
      </c>
      <c r="B367" t="s">
        <v>211</v>
      </c>
      <c r="C367" t="s">
        <v>156</v>
      </c>
      <c r="D367" t="s">
        <v>147</v>
      </c>
      <c r="E367" t="s">
        <v>148</v>
      </c>
      <c r="F367">
        <v>104121.04</v>
      </c>
    </row>
    <row r="368" ht="14.25" customHeight="1">
      <c r="A368" t="s">
        <v>108</v>
      </c>
      <c r="B368" t="s">
        <v>211</v>
      </c>
      <c r="C368" t="s">
        <v>156</v>
      </c>
      <c r="D368" t="s">
        <v>147</v>
      </c>
      <c r="E368" t="s">
        <v>148</v>
      </c>
      <c r="F368">
        <v>156654.97</v>
      </c>
    </row>
    <row r="369" ht="14.25" customHeight="1">
      <c r="A369" t="s">
        <v>107</v>
      </c>
      <c r="B369" t="s">
        <v>211</v>
      </c>
      <c r="C369" t="s">
        <v>156</v>
      </c>
      <c r="D369" t="s">
        <v>147</v>
      </c>
      <c r="E369" t="s">
        <v>148</v>
      </c>
      <c r="F369">
        <v>111302.72</v>
      </c>
    </row>
    <row r="370" ht="14.25" customHeight="1">
      <c r="A370" t="s">
        <v>104</v>
      </c>
      <c r="B370" t="s">
        <v>211</v>
      </c>
      <c r="C370" t="s">
        <v>155</v>
      </c>
      <c r="D370" t="s">
        <v>147</v>
      </c>
      <c r="E370" t="s">
        <v>148</v>
      </c>
      <c r="F370">
        <v>435443.83</v>
      </c>
    </row>
    <row r="371" ht="14.25" customHeight="1">
      <c r="A371" t="s">
        <v>101</v>
      </c>
      <c r="B371" t="s">
        <v>211</v>
      </c>
      <c r="C371" t="s">
        <v>155</v>
      </c>
      <c r="D371" t="s">
        <v>147</v>
      </c>
      <c r="E371" t="s">
        <v>148</v>
      </c>
      <c r="F371">
        <v>335488.83</v>
      </c>
    </row>
    <row r="372" ht="14.25" customHeight="1">
      <c r="A372" t="s">
        <v>103</v>
      </c>
      <c r="B372" t="s">
        <v>211</v>
      </c>
      <c r="C372" t="s">
        <v>155</v>
      </c>
      <c r="D372" t="s">
        <v>147</v>
      </c>
      <c r="E372" t="s">
        <v>148</v>
      </c>
      <c r="F372">
        <v>287730.62</v>
      </c>
    </row>
    <row r="373" ht="14.25" customHeight="1">
      <c r="A373" t="s">
        <v>99</v>
      </c>
      <c r="B373" t="s">
        <v>211</v>
      </c>
      <c r="C373" t="s">
        <v>155</v>
      </c>
      <c r="D373" t="s">
        <v>147</v>
      </c>
      <c r="E373" t="s">
        <v>148</v>
      </c>
      <c r="F373">
        <v>235264.58</v>
      </c>
    </row>
    <row r="374" ht="14.25" customHeight="1">
      <c r="A374" t="s">
        <v>95</v>
      </c>
      <c r="B374" t="s">
        <v>211</v>
      </c>
      <c r="C374" t="s">
        <v>155</v>
      </c>
      <c r="D374" t="s">
        <v>147</v>
      </c>
      <c r="E374" t="s">
        <v>148</v>
      </c>
      <c r="F374">
        <v>388651.33</v>
      </c>
    </row>
    <row r="375" ht="14.25" customHeight="1">
      <c r="A375" t="s">
        <v>93</v>
      </c>
      <c r="B375" t="s">
        <v>211</v>
      </c>
      <c r="C375" t="s">
        <v>155</v>
      </c>
      <c r="D375" t="s">
        <v>147</v>
      </c>
      <c r="E375" t="s">
        <v>148</v>
      </c>
      <c r="F375">
        <v>232813.78</v>
      </c>
    </row>
    <row r="376" ht="14.25" customHeight="1">
      <c r="A376" t="s">
        <v>97</v>
      </c>
      <c r="B376" t="s">
        <v>211</v>
      </c>
      <c r="C376" t="s">
        <v>155</v>
      </c>
      <c r="D376" t="s">
        <v>147</v>
      </c>
      <c r="E376" t="s">
        <v>148</v>
      </c>
      <c r="F376">
        <v>206275.97</v>
      </c>
    </row>
    <row r="377" ht="14.25" customHeight="1">
      <c r="A377" t="s">
        <v>89</v>
      </c>
      <c r="B377" t="s">
        <v>211</v>
      </c>
      <c r="C377" t="s">
        <v>155</v>
      </c>
      <c r="D377" t="s">
        <v>147</v>
      </c>
      <c r="E377" t="s">
        <v>148</v>
      </c>
      <c r="F377">
        <v>137132.11</v>
      </c>
    </row>
    <row r="378" ht="14.25" customHeight="1">
      <c r="A378" t="s">
        <v>91</v>
      </c>
      <c r="B378" t="s">
        <v>211</v>
      </c>
      <c r="C378" t="s">
        <v>155</v>
      </c>
      <c r="D378" t="s">
        <v>147</v>
      </c>
      <c r="E378" t="s">
        <v>148</v>
      </c>
      <c r="F378">
        <v>90947.59</v>
      </c>
    </row>
    <row r="379" ht="14.25" customHeight="1">
      <c r="A379" t="s">
        <v>86</v>
      </c>
      <c r="B379" t="s">
        <v>211</v>
      </c>
      <c r="C379" t="s">
        <v>155</v>
      </c>
      <c r="D379" t="s">
        <v>147</v>
      </c>
      <c r="E379" t="s">
        <v>148</v>
      </c>
      <c r="F379">
        <v>90896.76</v>
      </c>
    </row>
    <row r="380" ht="14.25" customHeight="1">
      <c r="A380" t="s">
        <v>106</v>
      </c>
      <c r="B380" t="s">
        <v>211</v>
      </c>
      <c r="C380" t="s">
        <v>155</v>
      </c>
      <c r="D380" t="s">
        <v>147</v>
      </c>
      <c r="E380" t="s">
        <v>148</v>
      </c>
      <c r="F380">
        <v>183127.57</v>
      </c>
    </row>
    <row r="381" ht="14.25" customHeight="1">
      <c r="A381" t="s">
        <v>105</v>
      </c>
      <c r="B381" t="s">
        <v>211</v>
      </c>
      <c r="C381" t="s">
        <v>155</v>
      </c>
      <c r="D381" t="s">
        <v>147</v>
      </c>
      <c r="E381" t="s">
        <v>148</v>
      </c>
      <c r="F381">
        <v>109617.21</v>
      </c>
    </row>
    <row r="382" ht="14.25" customHeight="1">
      <c r="A382" t="s">
        <v>108</v>
      </c>
      <c r="B382" t="s">
        <v>211</v>
      </c>
      <c r="C382" t="s">
        <v>155</v>
      </c>
      <c r="D382" t="s">
        <v>147</v>
      </c>
      <c r="E382" t="s">
        <v>148</v>
      </c>
      <c r="F382">
        <v>166324.67</v>
      </c>
    </row>
    <row r="383" ht="14.25" customHeight="1">
      <c r="A383" t="s">
        <v>107</v>
      </c>
      <c r="B383" t="s">
        <v>211</v>
      </c>
      <c r="C383" t="s">
        <v>155</v>
      </c>
      <c r="D383" t="s">
        <v>147</v>
      </c>
      <c r="E383" t="s">
        <v>148</v>
      </c>
      <c r="F383">
        <v>119422.61</v>
      </c>
    </row>
    <row r="384" ht="14.25" customHeight="1">
      <c r="A384" t="s">
        <v>104</v>
      </c>
      <c r="B384" t="s">
        <v>211</v>
      </c>
      <c r="C384" t="s">
        <v>152</v>
      </c>
      <c r="D384" t="s">
        <v>147</v>
      </c>
      <c r="E384" t="s">
        <v>148</v>
      </c>
      <c r="F384">
        <v>450887.05</v>
      </c>
    </row>
    <row r="385" ht="14.25" customHeight="1">
      <c r="A385" t="s">
        <v>101</v>
      </c>
      <c r="B385" t="s">
        <v>211</v>
      </c>
      <c r="C385" t="s">
        <v>152</v>
      </c>
      <c r="D385" t="s">
        <v>147</v>
      </c>
      <c r="E385" t="s">
        <v>148</v>
      </c>
      <c r="F385">
        <v>351729.06</v>
      </c>
    </row>
    <row r="386" ht="14.25" customHeight="1">
      <c r="A386" t="s">
        <v>103</v>
      </c>
      <c r="B386" t="s">
        <v>211</v>
      </c>
      <c r="C386" t="s">
        <v>152</v>
      </c>
      <c r="D386" t="s">
        <v>147</v>
      </c>
      <c r="E386" t="s">
        <v>148</v>
      </c>
      <c r="F386">
        <v>297427.9</v>
      </c>
    </row>
    <row r="387" ht="14.25" customHeight="1">
      <c r="A387" t="s">
        <v>99</v>
      </c>
      <c r="B387" t="s">
        <v>211</v>
      </c>
      <c r="C387" t="s">
        <v>152</v>
      </c>
      <c r="D387" t="s">
        <v>147</v>
      </c>
      <c r="E387" t="s">
        <v>148</v>
      </c>
      <c r="F387">
        <v>246160.47</v>
      </c>
    </row>
    <row r="388" ht="14.25" customHeight="1">
      <c r="A388" t="s">
        <v>95</v>
      </c>
      <c r="B388" t="s">
        <v>211</v>
      </c>
      <c r="C388" t="s">
        <v>152</v>
      </c>
      <c r="D388" t="s">
        <v>147</v>
      </c>
      <c r="E388" t="s">
        <v>148</v>
      </c>
      <c r="F388">
        <v>406175.69</v>
      </c>
    </row>
    <row r="389" ht="14.25" customHeight="1">
      <c r="A389" t="s">
        <v>93</v>
      </c>
      <c r="B389" t="s">
        <v>211</v>
      </c>
      <c r="C389" t="s">
        <v>152</v>
      </c>
      <c r="D389" t="s">
        <v>147</v>
      </c>
      <c r="E389" t="s">
        <v>148</v>
      </c>
      <c r="F389">
        <v>244944.94</v>
      </c>
    </row>
    <row r="390" ht="14.25" customHeight="1">
      <c r="A390" t="s">
        <v>97</v>
      </c>
      <c r="B390" t="s">
        <v>211</v>
      </c>
      <c r="C390" t="s">
        <v>152</v>
      </c>
      <c r="D390" t="s">
        <v>147</v>
      </c>
      <c r="E390" t="s">
        <v>148</v>
      </c>
      <c r="F390">
        <v>218057.94</v>
      </c>
    </row>
    <row r="391" ht="14.25" customHeight="1">
      <c r="A391" t="s">
        <v>89</v>
      </c>
      <c r="B391" t="s">
        <v>211</v>
      </c>
      <c r="C391" t="s">
        <v>152</v>
      </c>
      <c r="D391" t="s">
        <v>147</v>
      </c>
      <c r="E391" t="s">
        <v>148</v>
      </c>
      <c r="F391">
        <v>143328.92</v>
      </c>
    </row>
    <row r="392" ht="14.25" customHeight="1">
      <c r="A392" t="s">
        <v>91</v>
      </c>
      <c r="B392" t="s">
        <v>211</v>
      </c>
      <c r="C392" t="s">
        <v>152</v>
      </c>
      <c r="D392" t="s">
        <v>147</v>
      </c>
      <c r="E392" t="s">
        <v>148</v>
      </c>
      <c r="F392">
        <v>93636.71</v>
      </c>
    </row>
    <row r="393" ht="14.25" customHeight="1">
      <c r="A393" t="s">
        <v>86</v>
      </c>
      <c r="B393" t="s">
        <v>211</v>
      </c>
      <c r="C393" t="s">
        <v>152</v>
      </c>
      <c r="D393" t="s">
        <v>147</v>
      </c>
      <c r="E393" t="s">
        <v>148</v>
      </c>
      <c r="F393">
        <v>93580.87</v>
      </c>
    </row>
    <row r="394" ht="14.25" customHeight="1">
      <c r="A394" t="s">
        <v>106</v>
      </c>
      <c r="B394" t="s">
        <v>211</v>
      </c>
      <c r="C394" t="s">
        <v>152</v>
      </c>
      <c r="D394" t="s">
        <v>147</v>
      </c>
      <c r="E394" t="s">
        <v>148</v>
      </c>
      <c r="F394">
        <v>193593.69</v>
      </c>
    </row>
    <row r="395" ht="14.25" customHeight="1">
      <c r="A395" t="s">
        <v>105</v>
      </c>
      <c r="B395" t="s">
        <v>211</v>
      </c>
      <c r="C395" t="s">
        <v>152</v>
      </c>
      <c r="D395" t="s">
        <v>147</v>
      </c>
      <c r="E395" t="s">
        <v>148</v>
      </c>
      <c r="F395">
        <v>114395.03</v>
      </c>
    </row>
    <row r="396" ht="14.25" customHeight="1">
      <c r="A396" t="s">
        <v>108</v>
      </c>
      <c r="B396" t="s">
        <v>211</v>
      </c>
      <c r="C396" t="s">
        <v>152</v>
      </c>
      <c r="D396" t="s">
        <v>147</v>
      </c>
      <c r="E396" t="s">
        <v>148</v>
      </c>
      <c r="F396">
        <v>181171.41</v>
      </c>
    </row>
    <row r="397" ht="14.25" customHeight="1">
      <c r="A397" t="s">
        <v>107</v>
      </c>
      <c r="B397" t="s">
        <v>211</v>
      </c>
      <c r="C397" t="s">
        <v>152</v>
      </c>
      <c r="D397" t="s">
        <v>147</v>
      </c>
      <c r="E397" t="s">
        <v>148</v>
      </c>
      <c r="F397">
        <v>127868.22</v>
      </c>
    </row>
    <row r="398" ht="14.25" customHeight="1">
      <c r="A398" t="s">
        <v>104</v>
      </c>
      <c r="B398" t="s">
        <v>212</v>
      </c>
      <c r="C398" t="s">
        <v>156</v>
      </c>
      <c r="D398" t="s">
        <v>147</v>
      </c>
      <c r="E398" t="s">
        <v>148</v>
      </c>
      <c r="F398">
        <v>285101.98</v>
      </c>
    </row>
    <row r="399" ht="14.25" customHeight="1">
      <c r="A399" t="s">
        <v>101</v>
      </c>
      <c r="B399" t="s">
        <v>212</v>
      </c>
      <c r="C399" t="s">
        <v>156</v>
      </c>
      <c r="D399" t="s">
        <v>147</v>
      </c>
      <c r="E399" t="s">
        <v>148</v>
      </c>
      <c r="F399">
        <v>227851.72</v>
      </c>
    </row>
    <row r="400" ht="14.25" customHeight="1">
      <c r="A400" t="s">
        <v>103</v>
      </c>
      <c r="B400" t="s">
        <v>212</v>
      </c>
      <c r="C400" t="s">
        <v>156</v>
      </c>
      <c r="D400" t="s">
        <v>147</v>
      </c>
      <c r="E400" t="s">
        <v>148</v>
      </c>
      <c r="F400">
        <v>195734.4</v>
      </c>
    </row>
    <row r="401" ht="14.25" customHeight="1">
      <c r="A401" t="s">
        <v>99</v>
      </c>
      <c r="B401" t="s">
        <v>212</v>
      </c>
      <c r="C401" t="s">
        <v>156</v>
      </c>
      <c r="D401" t="s">
        <v>147</v>
      </c>
      <c r="E401" t="s">
        <v>148</v>
      </c>
      <c r="F401">
        <v>158577.14</v>
      </c>
    </row>
    <row r="402" ht="14.25" customHeight="1">
      <c r="A402" t="s">
        <v>95</v>
      </c>
      <c r="B402" t="s">
        <v>212</v>
      </c>
      <c r="C402" t="s">
        <v>156</v>
      </c>
      <c r="D402" t="s">
        <v>147</v>
      </c>
      <c r="E402" t="s">
        <v>148</v>
      </c>
      <c r="F402">
        <v>273969</v>
      </c>
    </row>
    <row r="403" ht="14.25" customHeight="1">
      <c r="A403" t="s">
        <v>93</v>
      </c>
      <c r="B403" t="s">
        <v>212</v>
      </c>
      <c r="C403" t="s">
        <v>156</v>
      </c>
      <c r="D403" t="s">
        <v>147</v>
      </c>
      <c r="E403" t="s">
        <v>148</v>
      </c>
      <c r="F403">
        <v>160231.45</v>
      </c>
    </row>
    <row r="404" ht="14.25" customHeight="1">
      <c r="A404" t="s">
        <v>97</v>
      </c>
      <c r="B404" t="s">
        <v>212</v>
      </c>
      <c r="C404" t="s">
        <v>156</v>
      </c>
      <c r="D404" t="s">
        <v>147</v>
      </c>
      <c r="E404" t="s">
        <v>148</v>
      </c>
      <c r="F404">
        <v>151257.51</v>
      </c>
    </row>
    <row r="405" ht="14.25" customHeight="1">
      <c r="A405" t="s">
        <v>89</v>
      </c>
      <c r="B405" t="s">
        <v>212</v>
      </c>
      <c r="C405" t="s">
        <v>156</v>
      </c>
      <c r="D405" t="s">
        <v>147</v>
      </c>
      <c r="E405" t="s">
        <v>148</v>
      </c>
      <c r="F405">
        <v>96188.13</v>
      </c>
    </row>
    <row r="406" ht="14.25" customHeight="1">
      <c r="A406" t="s">
        <v>91</v>
      </c>
      <c r="B406" t="s">
        <v>212</v>
      </c>
      <c r="C406" t="s">
        <v>156</v>
      </c>
      <c r="D406" t="s">
        <v>147</v>
      </c>
      <c r="E406" t="s">
        <v>148</v>
      </c>
      <c r="F406">
        <v>78826.22</v>
      </c>
    </row>
    <row r="407" ht="14.25" customHeight="1">
      <c r="A407" t="s">
        <v>86</v>
      </c>
      <c r="B407" t="s">
        <v>212</v>
      </c>
      <c r="C407" t="s">
        <v>156</v>
      </c>
      <c r="D407" t="s">
        <v>147</v>
      </c>
      <c r="E407" t="s">
        <v>148</v>
      </c>
      <c r="F407">
        <v>78784.87</v>
      </c>
    </row>
    <row r="408" ht="14.25" customHeight="1">
      <c r="A408" t="s">
        <v>106</v>
      </c>
      <c r="B408" t="s">
        <v>212</v>
      </c>
      <c r="C408" t="s">
        <v>156</v>
      </c>
      <c r="D408" t="s">
        <v>147</v>
      </c>
      <c r="E408" t="s">
        <v>148</v>
      </c>
      <c r="F408">
        <v>136253.6</v>
      </c>
    </row>
    <row r="409" ht="14.25" customHeight="1">
      <c r="A409" t="s">
        <v>105</v>
      </c>
      <c r="B409" t="s">
        <v>212</v>
      </c>
      <c r="C409" t="s">
        <v>156</v>
      </c>
      <c r="D409" t="s">
        <v>147</v>
      </c>
      <c r="E409" t="s">
        <v>148</v>
      </c>
      <c r="F409">
        <v>102741</v>
      </c>
    </row>
    <row r="410" ht="14.25" customHeight="1">
      <c r="A410" t="s">
        <v>108</v>
      </c>
      <c r="B410" t="s">
        <v>212</v>
      </c>
      <c r="C410" t="s">
        <v>156</v>
      </c>
      <c r="D410" t="s">
        <v>147</v>
      </c>
      <c r="E410" t="s">
        <v>148</v>
      </c>
      <c r="F410">
        <v>119293.89</v>
      </c>
    </row>
    <row r="411" ht="14.25" customHeight="1">
      <c r="A411" t="s">
        <v>107</v>
      </c>
      <c r="B411" t="s">
        <v>212</v>
      </c>
      <c r="C411" t="s">
        <v>156</v>
      </c>
      <c r="D411" t="s">
        <v>147</v>
      </c>
      <c r="E411" t="s">
        <v>148</v>
      </c>
      <c r="F411">
        <v>99971.42</v>
      </c>
    </row>
    <row r="412" ht="14.25" customHeight="1">
      <c r="A412" t="s">
        <v>104</v>
      </c>
      <c r="B412" t="s">
        <v>212</v>
      </c>
      <c r="C412" t="s">
        <v>155</v>
      </c>
      <c r="D412" t="s">
        <v>147</v>
      </c>
      <c r="E412" t="s">
        <v>148</v>
      </c>
      <c r="F412">
        <v>299476.76</v>
      </c>
    </row>
    <row r="413" ht="14.25" customHeight="1">
      <c r="A413" t="s">
        <v>101</v>
      </c>
      <c r="B413" t="s">
        <v>212</v>
      </c>
      <c r="C413" t="s">
        <v>155</v>
      </c>
      <c r="D413" t="s">
        <v>147</v>
      </c>
      <c r="E413" t="s">
        <v>148</v>
      </c>
      <c r="F413">
        <v>235764.2</v>
      </c>
    </row>
    <row r="414" ht="14.25" customHeight="1">
      <c r="A414" t="s">
        <v>103</v>
      </c>
      <c r="B414" t="s">
        <v>212</v>
      </c>
      <c r="C414" t="s">
        <v>155</v>
      </c>
      <c r="D414" t="s">
        <v>147</v>
      </c>
      <c r="E414" t="s">
        <v>148</v>
      </c>
      <c r="F414">
        <v>205695</v>
      </c>
    </row>
    <row r="415" ht="14.25" customHeight="1">
      <c r="A415" t="s">
        <v>99</v>
      </c>
      <c r="B415" t="s">
        <v>212</v>
      </c>
      <c r="C415" t="s">
        <v>155</v>
      </c>
      <c r="D415" t="s">
        <v>147</v>
      </c>
      <c r="E415" t="s">
        <v>148</v>
      </c>
      <c r="F415">
        <v>165486.22</v>
      </c>
    </row>
    <row r="416" ht="14.25" customHeight="1">
      <c r="A416" t="s">
        <v>95</v>
      </c>
      <c r="B416" t="s">
        <v>212</v>
      </c>
      <c r="C416" t="s">
        <v>155</v>
      </c>
      <c r="D416" t="s">
        <v>147</v>
      </c>
      <c r="E416" t="s">
        <v>148</v>
      </c>
      <c r="F416">
        <v>288437.36</v>
      </c>
    </row>
    <row r="417" ht="14.25" customHeight="1">
      <c r="A417" t="s">
        <v>93</v>
      </c>
      <c r="B417" t="s">
        <v>212</v>
      </c>
      <c r="C417" t="s">
        <v>155</v>
      </c>
      <c r="D417" t="s">
        <v>147</v>
      </c>
      <c r="E417" t="s">
        <v>148</v>
      </c>
      <c r="F417">
        <v>167117.08</v>
      </c>
    </row>
    <row r="418" ht="14.25" customHeight="1">
      <c r="A418" t="s">
        <v>97</v>
      </c>
      <c r="B418" t="s">
        <v>212</v>
      </c>
      <c r="C418" t="s">
        <v>155</v>
      </c>
      <c r="D418" t="s">
        <v>147</v>
      </c>
      <c r="E418" t="s">
        <v>148</v>
      </c>
      <c r="F418">
        <v>156401.63</v>
      </c>
    </row>
    <row r="419" ht="14.25" customHeight="1">
      <c r="A419" t="s">
        <v>89</v>
      </c>
      <c r="B419" t="s">
        <v>212</v>
      </c>
      <c r="C419" t="s">
        <v>155</v>
      </c>
      <c r="D419" t="s">
        <v>147</v>
      </c>
      <c r="E419" t="s">
        <v>148</v>
      </c>
      <c r="F419">
        <v>99386.59</v>
      </c>
    </row>
    <row r="420" ht="14.25" customHeight="1">
      <c r="A420" t="s">
        <v>91</v>
      </c>
      <c r="B420" t="s">
        <v>212</v>
      </c>
      <c r="C420" t="s">
        <v>155</v>
      </c>
      <c r="D420" t="s">
        <v>147</v>
      </c>
      <c r="E420" t="s">
        <v>148</v>
      </c>
      <c r="F420">
        <v>81688.23</v>
      </c>
    </row>
    <row r="421" ht="14.25" customHeight="1">
      <c r="A421" t="s">
        <v>86</v>
      </c>
      <c r="B421" t="s">
        <v>212</v>
      </c>
      <c r="C421" t="s">
        <v>155</v>
      </c>
      <c r="D421" t="s">
        <v>147</v>
      </c>
      <c r="E421" t="s">
        <v>148</v>
      </c>
      <c r="F421">
        <v>81642.58</v>
      </c>
    </row>
    <row r="422" ht="14.25" customHeight="1">
      <c r="A422" t="s">
        <v>106</v>
      </c>
      <c r="B422" t="s">
        <v>212</v>
      </c>
      <c r="C422" t="s">
        <v>155</v>
      </c>
      <c r="D422" t="s">
        <v>147</v>
      </c>
      <c r="E422" t="s">
        <v>148</v>
      </c>
      <c r="F422">
        <v>140985.25</v>
      </c>
    </row>
    <row r="423" ht="14.25" customHeight="1">
      <c r="A423" t="s">
        <v>105</v>
      </c>
      <c r="B423" t="s">
        <v>212</v>
      </c>
      <c r="C423" t="s">
        <v>155</v>
      </c>
      <c r="D423" t="s">
        <v>147</v>
      </c>
      <c r="E423" t="s">
        <v>148</v>
      </c>
      <c r="F423">
        <v>108163.95</v>
      </c>
    </row>
    <row r="424" ht="14.25" customHeight="1">
      <c r="A424" t="s">
        <v>108</v>
      </c>
      <c r="B424" t="s">
        <v>212</v>
      </c>
      <c r="C424" t="s">
        <v>155</v>
      </c>
      <c r="D424" t="s">
        <v>147</v>
      </c>
      <c r="E424" t="s">
        <v>148</v>
      </c>
      <c r="F424">
        <v>126658.34</v>
      </c>
    </row>
    <row r="425" ht="14.25" customHeight="1">
      <c r="A425" t="s">
        <v>107</v>
      </c>
      <c r="B425" t="s">
        <v>212</v>
      </c>
      <c r="C425" t="s">
        <v>155</v>
      </c>
      <c r="D425" t="s">
        <v>147</v>
      </c>
      <c r="E425" t="s">
        <v>148</v>
      </c>
      <c r="F425">
        <v>107264.65</v>
      </c>
    </row>
    <row r="426" ht="14.25" customHeight="1">
      <c r="A426" t="s">
        <v>104</v>
      </c>
      <c r="B426" t="s">
        <v>212</v>
      </c>
      <c r="C426" t="s">
        <v>152</v>
      </c>
      <c r="D426" t="s">
        <v>147</v>
      </c>
      <c r="E426" t="s">
        <v>148</v>
      </c>
      <c r="F426">
        <v>310097.52</v>
      </c>
    </row>
    <row r="427" ht="14.25" customHeight="1">
      <c r="A427" t="s">
        <v>101</v>
      </c>
      <c r="B427" t="s">
        <v>212</v>
      </c>
      <c r="C427" t="s">
        <v>152</v>
      </c>
      <c r="D427" t="s">
        <v>147</v>
      </c>
      <c r="E427" t="s">
        <v>148</v>
      </c>
      <c r="F427">
        <v>247177.87</v>
      </c>
    </row>
    <row r="428" ht="14.25" customHeight="1">
      <c r="A428" t="s">
        <v>103</v>
      </c>
      <c r="B428" t="s">
        <v>212</v>
      </c>
      <c r="C428" t="s">
        <v>152</v>
      </c>
      <c r="D428" t="s">
        <v>147</v>
      </c>
      <c r="E428" t="s">
        <v>148</v>
      </c>
      <c r="F428">
        <v>212626.38</v>
      </c>
    </row>
    <row r="429" ht="14.25" customHeight="1">
      <c r="A429" t="s">
        <v>99</v>
      </c>
      <c r="B429" t="s">
        <v>212</v>
      </c>
      <c r="C429" t="s">
        <v>152</v>
      </c>
      <c r="D429" t="s">
        <v>147</v>
      </c>
      <c r="E429" t="s">
        <v>148</v>
      </c>
      <c r="F429">
        <v>173149.35</v>
      </c>
    </row>
    <row r="430" ht="14.25" customHeight="1">
      <c r="A430" t="s">
        <v>95</v>
      </c>
      <c r="B430" t="s">
        <v>212</v>
      </c>
      <c r="C430" t="s">
        <v>152</v>
      </c>
      <c r="D430" t="s">
        <v>147</v>
      </c>
      <c r="E430" t="s">
        <v>148</v>
      </c>
      <c r="F430">
        <v>301442.76</v>
      </c>
    </row>
    <row r="431" ht="14.25" customHeight="1">
      <c r="A431" t="s">
        <v>93</v>
      </c>
      <c r="B431" t="s">
        <v>212</v>
      </c>
      <c r="C431" t="s">
        <v>152</v>
      </c>
      <c r="D431" t="s">
        <v>147</v>
      </c>
      <c r="E431" t="s">
        <v>148</v>
      </c>
      <c r="F431">
        <v>175824.49</v>
      </c>
    </row>
    <row r="432" ht="14.25" customHeight="1">
      <c r="A432" t="s">
        <v>97</v>
      </c>
      <c r="B432" t="s">
        <v>212</v>
      </c>
      <c r="C432" t="s">
        <v>152</v>
      </c>
      <c r="D432" t="s">
        <v>147</v>
      </c>
      <c r="E432" t="s">
        <v>148</v>
      </c>
      <c r="F432">
        <v>165334.19</v>
      </c>
    </row>
    <row r="433" ht="14.25" customHeight="1">
      <c r="A433" t="s">
        <v>89</v>
      </c>
      <c r="B433" t="s">
        <v>212</v>
      </c>
      <c r="C433" t="s">
        <v>152</v>
      </c>
      <c r="D433" t="s">
        <v>147</v>
      </c>
      <c r="E433" t="s">
        <v>148</v>
      </c>
      <c r="F433">
        <v>103877.74</v>
      </c>
    </row>
    <row r="434" ht="14.25" customHeight="1">
      <c r="A434" t="s">
        <v>91</v>
      </c>
      <c r="B434" t="s">
        <v>212</v>
      </c>
      <c r="C434" t="s">
        <v>152</v>
      </c>
      <c r="D434" t="s">
        <v>147</v>
      </c>
      <c r="E434" t="s">
        <v>148</v>
      </c>
      <c r="F434">
        <v>84103.94</v>
      </c>
    </row>
    <row r="435" ht="14.25" customHeight="1">
      <c r="A435" t="s">
        <v>86</v>
      </c>
      <c r="B435" t="s">
        <v>212</v>
      </c>
      <c r="C435" t="s">
        <v>152</v>
      </c>
      <c r="D435" t="s">
        <v>147</v>
      </c>
      <c r="E435" t="s">
        <v>148</v>
      </c>
      <c r="F435">
        <v>84053.79</v>
      </c>
    </row>
    <row r="436" ht="14.25" customHeight="1">
      <c r="A436" t="s">
        <v>106</v>
      </c>
      <c r="B436" t="s">
        <v>212</v>
      </c>
      <c r="C436" t="s">
        <v>152</v>
      </c>
      <c r="D436" t="s">
        <v>147</v>
      </c>
      <c r="E436" t="s">
        <v>148</v>
      </c>
      <c r="F436">
        <v>149043.83</v>
      </c>
    </row>
    <row r="437" ht="14.25" customHeight="1">
      <c r="A437" t="s">
        <v>105</v>
      </c>
      <c r="B437" t="s">
        <v>212</v>
      </c>
      <c r="C437" t="s">
        <v>152</v>
      </c>
      <c r="D437" t="s">
        <v>147</v>
      </c>
      <c r="E437" t="s">
        <v>148</v>
      </c>
      <c r="F437">
        <v>112878.51</v>
      </c>
    </row>
    <row r="438" ht="14.25" customHeight="1">
      <c r="A438" t="s">
        <v>108</v>
      </c>
      <c r="B438" t="s">
        <v>212</v>
      </c>
      <c r="C438" t="s">
        <v>152</v>
      </c>
      <c r="D438" t="s">
        <v>147</v>
      </c>
      <c r="E438" t="s">
        <v>148</v>
      </c>
      <c r="F438">
        <v>137962.95</v>
      </c>
    </row>
    <row r="439" ht="14.25" customHeight="1">
      <c r="A439" t="s">
        <v>107</v>
      </c>
      <c r="B439" t="s">
        <v>212</v>
      </c>
      <c r="C439" t="s">
        <v>152</v>
      </c>
      <c r="D439" t="s">
        <v>147</v>
      </c>
      <c r="E439" t="s">
        <v>148</v>
      </c>
      <c r="F439">
        <v>114850.19</v>
      </c>
    </row>
    <row r="440" ht="14.25" customHeight="1">
      <c r="A440" t="s">
        <v>104</v>
      </c>
      <c r="B440" t="s">
        <v>213</v>
      </c>
      <c r="C440" t="s">
        <v>156</v>
      </c>
      <c r="D440" t="s">
        <v>147</v>
      </c>
      <c r="E440" t="s">
        <v>148</v>
      </c>
      <c r="F440">
        <v>40728.62</v>
      </c>
    </row>
    <row r="441" ht="14.25" customHeight="1">
      <c r="A441" t="s">
        <v>101</v>
      </c>
      <c r="B441" t="s">
        <v>213</v>
      </c>
      <c r="C441" t="s">
        <v>156</v>
      </c>
      <c r="D441" t="s">
        <v>147</v>
      </c>
      <c r="E441" t="s">
        <v>148</v>
      </c>
      <c r="F441">
        <v>32549.77</v>
      </c>
    </row>
    <row r="442" ht="14.25" customHeight="1">
      <c r="A442" t="s">
        <v>103</v>
      </c>
      <c r="B442" t="s">
        <v>213</v>
      </c>
      <c r="C442" t="s">
        <v>156</v>
      </c>
      <c r="D442" t="s">
        <v>147</v>
      </c>
      <c r="E442" t="s">
        <v>148</v>
      </c>
      <c r="F442">
        <v>27961.73</v>
      </c>
    </row>
    <row r="443" ht="14.25" customHeight="1">
      <c r="A443" t="s">
        <v>99</v>
      </c>
      <c r="B443" t="s">
        <v>213</v>
      </c>
      <c r="C443" t="s">
        <v>156</v>
      </c>
      <c r="D443" t="s">
        <v>147</v>
      </c>
      <c r="E443" t="s">
        <v>148</v>
      </c>
      <c r="F443">
        <v>22653.88</v>
      </c>
    </row>
    <row r="444" ht="14.25" customHeight="1">
      <c r="A444" t="s">
        <v>95</v>
      </c>
      <c r="B444" t="s">
        <v>213</v>
      </c>
      <c r="C444" t="s">
        <v>156</v>
      </c>
      <c r="D444" t="s">
        <v>147</v>
      </c>
      <c r="E444" t="s">
        <v>148</v>
      </c>
      <c r="F444">
        <v>39138.2</v>
      </c>
    </row>
    <row r="445" ht="14.25" customHeight="1">
      <c r="A445" t="s">
        <v>93</v>
      </c>
      <c r="B445" t="s">
        <v>213</v>
      </c>
      <c r="C445" t="s">
        <v>156</v>
      </c>
      <c r="D445" t="s">
        <v>147</v>
      </c>
      <c r="E445" t="s">
        <v>148</v>
      </c>
      <c r="F445">
        <v>22890.38</v>
      </c>
    </row>
    <row r="446" ht="14.25" customHeight="1">
      <c r="A446" t="s">
        <v>97</v>
      </c>
      <c r="B446" t="s">
        <v>213</v>
      </c>
      <c r="C446" t="s">
        <v>156</v>
      </c>
      <c r="D446" t="s">
        <v>147</v>
      </c>
      <c r="E446" t="s">
        <v>148</v>
      </c>
      <c r="F446">
        <v>21608.56</v>
      </c>
    </row>
    <row r="447" ht="14.25" customHeight="1">
      <c r="A447" t="s">
        <v>89</v>
      </c>
      <c r="B447" t="s">
        <v>213</v>
      </c>
      <c r="C447" t="s">
        <v>156</v>
      </c>
      <c r="D447" t="s">
        <v>147</v>
      </c>
      <c r="E447" t="s">
        <v>148</v>
      </c>
      <c r="F447">
        <v>13741</v>
      </c>
    </row>
    <row r="448" ht="14.25" customHeight="1">
      <c r="A448" t="s">
        <v>91</v>
      </c>
      <c r="B448" t="s">
        <v>213</v>
      </c>
      <c r="C448" t="s">
        <v>156</v>
      </c>
      <c r="D448" t="s">
        <v>147</v>
      </c>
      <c r="E448" t="s">
        <v>148</v>
      </c>
      <c r="F448">
        <v>11260.74</v>
      </c>
    </row>
    <row r="449" ht="14.25" customHeight="1">
      <c r="A449" t="s">
        <v>86</v>
      </c>
      <c r="B449" t="s">
        <v>213</v>
      </c>
      <c r="C449" t="s">
        <v>156</v>
      </c>
      <c r="D449" t="s">
        <v>147</v>
      </c>
      <c r="E449" t="s">
        <v>148</v>
      </c>
      <c r="F449">
        <v>11254.83</v>
      </c>
    </row>
    <row r="450" ht="14.25" customHeight="1">
      <c r="A450" t="s">
        <v>106</v>
      </c>
      <c r="B450" t="s">
        <v>213</v>
      </c>
      <c r="C450" t="s">
        <v>156</v>
      </c>
      <c r="D450" t="s">
        <v>147</v>
      </c>
      <c r="E450" t="s">
        <v>148</v>
      </c>
      <c r="F450">
        <v>19465.26</v>
      </c>
    </row>
    <row r="451" ht="14.25" customHeight="1">
      <c r="A451" t="s">
        <v>105</v>
      </c>
      <c r="B451" t="s">
        <v>213</v>
      </c>
      <c r="C451" t="s">
        <v>156</v>
      </c>
      <c r="D451" t="s">
        <v>147</v>
      </c>
      <c r="E451" t="s">
        <v>148</v>
      </c>
      <c r="F451">
        <v>14676.91</v>
      </c>
    </row>
    <row r="452" ht="14.25" customHeight="1">
      <c r="A452" t="s">
        <v>108</v>
      </c>
      <c r="B452" t="s">
        <v>213</v>
      </c>
      <c r="C452" t="s">
        <v>156</v>
      </c>
      <c r="D452" t="s">
        <v>147</v>
      </c>
      <c r="E452" t="s">
        <v>148</v>
      </c>
      <c r="F452">
        <v>17042.23</v>
      </c>
    </row>
    <row r="453" ht="14.25" customHeight="1">
      <c r="A453" t="s">
        <v>107</v>
      </c>
      <c r="B453" t="s">
        <v>213</v>
      </c>
      <c r="C453" t="s">
        <v>156</v>
      </c>
      <c r="D453" t="s">
        <v>147</v>
      </c>
      <c r="E453" t="s">
        <v>148</v>
      </c>
      <c r="F453">
        <v>14281.48</v>
      </c>
    </row>
    <row r="454" ht="14.25" customHeight="1">
      <c r="A454" t="s">
        <v>104</v>
      </c>
      <c r="B454" t="s">
        <v>213</v>
      </c>
      <c r="C454" t="s">
        <v>155</v>
      </c>
      <c r="D454" t="s">
        <v>147</v>
      </c>
      <c r="E454" t="s">
        <v>148</v>
      </c>
      <c r="F454">
        <v>42782.03</v>
      </c>
    </row>
    <row r="455" ht="14.25" customHeight="1">
      <c r="A455" t="s">
        <v>101</v>
      </c>
      <c r="B455" t="s">
        <v>213</v>
      </c>
      <c r="C455" t="s">
        <v>155</v>
      </c>
      <c r="D455" t="s">
        <v>147</v>
      </c>
      <c r="E455" t="s">
        <v>148</v>
      </c>
      <c r="F455">
        <v>33680.13</v>
      </c>
    </row>
    <row r="456" ht="14.25" customHeight="1">
      <c r="A456" t="s">
        <v>103</v>
      </c>
      <c r="B456" t="s">
        <v>213</v>
      </c>
      <c r="C456" t="s">
        <v>155</v>
      </c>
      <c r="D456" t="s">
        <v>147</v>
      </c>
      <c r="E456" t="s">
        <v>148</v>
      </c>
      <c r="F456">
        <v>29384.83</v>
      </c>
    </row>
    <row r="457" ht="14.25" customHeight="1">
      <c r="A457" t="s">
        <v>99</v>
      </c>
      <c r="B457" t="s">
        <v>213</v>
      </c>
      <c r="C457" t="s">
        <v>155</v>
      </c>
      <c r="D457" t="s">
        <v>147</v>
      </c>
      <c r="E457" t="s">
        <v>148</v>
      </c>
      <c r="F457">
        <v>23640.89</v>
      </c>
    </row>
    <row r="458" ht="14.25" customHeight="1">
      <c r="A458" t="s">
        <v>95</v>
      </c>
      <c r="B458" t="s">
        <v>213</v>
      </c>
      <c r="C458" t="s">
        <v>155</v>
      </c>
      <c r="D458" t="s">
        <v>147</v>
      </c>
      <c r="E458" t="s">
        <v>148</v>
      </c>
      <c r="F458">
        <v>41204.99</v>
      </c>
    </row>
    <row r="459" ht="14.25" customHeight="1">
      <c r="A459" t="s">
        <v>93</v>
      </c>
      <c r="B459" t="s">
        <v>213</v>
      </c>
      <c r="C459" t="s">
        <v>155</v>
      </c>
      <c r="D459" t="s">
        <v>147</v>
      </c>
      <c r="E459" t="s">
        <v>148</v>
      </c>
      <c r="F459">
        <v>23873.51</v>
      </c>
    </row>
    <row r="460" ht="14.25" customHeight="1">
      <c r="A460" t="s">
        <v>97</v>
      </c>
      <c r="B460" t="s">
        <v>213</v>
      </c>
      <c r="C460" t="s">
        <v>155</v>
      </c>
      <c r="D460" t="s">
        <v>147</v>
      </c>
      <c r="E460" t="s">
        <v>148</v>
      </c>
      <c r="F460">
        <v>22343.26</v>
      </c>
    </row>
    <row r="461" ht="14.25" customHeight="1">
      <c r="A461" t="s">
        <v>89</v>
      </c>
      <c r="B461" t="s">
        <v>213</v>
      </c>
      <c r="C461" t="s">
        <v>155</v>
      </c>
      <c r="D461" t="s">
        <v>147</v>
      </c>
      <c r="E461" t="s">
        <v>148</v>
      </c>
      <c r="F461">
        <v>14198.57</v>
      </c>
    </row>
    <row r="462" ht="14.25" customHeight="1">
      <c r="A462" t="s">
        <v>91</v>
      </c>
      <c r="B462" t="s">
        <v>213</v>
      </c>
      <c r="C462" t="s">
        <v>155</v>
      </c>
      <c r="D462" t="s">
        <v>147</v>
      </c>
      <c r="E462" t="s">
        <v>148</v>
      </c>
      <c r="F462">
        <v>11669.3</v>
      </c>
    </row>
    <row r="463" ht="14.25" customHeight="1">
      <c r="A463" t="s">
        <v>86</v>
      </c>
      <c r="B463" t="s">
        <v>213</v>
      </c>
      <c r="C463" t="s">
        <v>155</v>
      </c>
      <c r="D463" t="s">
        <v>147</v>
      </c>
      <c r="E463" t="s">
        <v>148</v>
      </c>
      <c r="F463">
        <v>11662.77</v>
      </c>
    </row>
    <row r="464" ht="14.25" customHeight="1">
      <c r="A464" t="s">
        <v>106</v>
      </c>
      <c r="B464" t="s">
        <v>213</v>
      </c>
      <c r="C464" t="s">
        <v>155</v>
      </c>
      <c r="D464" t="s">
        <v>147</v>
      </c>
      <c r="E464" t="s">
        <v>148</v>
      </c>
      <c r="F464">
        <v>20140.9</v>
      </c>
    </row>
    <row r="465" ht="14.25" customHeight="1">
      <c r="A465" t="s">
        <v>105</v>
      </c>
      <c r="B465" t="s">
        <v>213</v>
      </c>
      <c r="C465" t="s">
        <v>155</v>
      </c>
      <c r="D465" t="s">
        <v>147</v>
      </c>
      <c r="E465" t="s">
        <v>148</v>
      </c>
      <c r="F465">
        <v>15451.74</v>
      </c>
    </row>
    <row r="466" ht="14.25" customHeight="1">
      <c r="A466" t="s">
        <v>108</v>
      </c>
      <c r="B466" t="s">
        <v>213</v>
      </c>
      <c r="C466" t="s">
        <v>155</v>
      </c>
      <c r="D466" t="s">
        <v>147</v>
      </c>
      <c r="E466" t="s">
        <v>148</v>
      </c>
      <c r="F466">
        <v>18094.05</v>
      </c>
    </row>
    <row r="467" ht="14.25" customHeight="1">
      <c r="A467" t="s">
        <v>107</v>
      </c>
      <c r="B467" t="s">
        <v>213</v>
      </c>
      <c r="C467" t="s">
        <v>155</v>
      </c>
      <c r="D467" t="s">
        <v>147</v>
      </c>
      <c r="E467" t="s">
        <v>148</v>
      </c>
      <c r="F467">
        <v>15323.83</v>
      </c>
    </row>
    <row r="468" ht="14.25" customHeight="1">
      <c r="A468" t="s">
        <v>104</v>
      </c>
      <c r="B468" t="s">
        <v>213</v>
      </c>
      <c r="C468" t="s">
        <v>152</v>
      </c>
      <c r="D468" t="s">
        <v>147</v>
      </c>
      <c r="E468" t="s">
        <v>148</v>
      </c>
      <c r="F468">
        <v>44299.53</v>
      </c>
    </row>
    <row r="469" ht="14.25" customHeight="1">
      <c r="A469" t="s">
        <v>101</v>
      </c>
      <c r="B469" t="s">
        <v>213</v>
      </c>
      <c r="C469" t="s">
        <v>152</v>
      </c>
      <c r="D469" t="s">
        <v>147</v>
      </c>
      <c r="E469" t="s">
        <v>148</v>
      </c>
      <c r="F469">
        <v>35310.97</v>
      </c>
    </row>
    <row r="470" ht="14.25" customHeight="1">
      <c r="A470" t="s">
        <v>103</v>
      </c>
      <c r="B470" t="s">
        <v>213</v>
      </c>
      <c r="C470" t="s">
        <v>152</v>
      </c>
      <c r="D470" t="s">
        <v>147</v>
      </c>
      <c r="E470" t="s">
        <v>148</v>
      </c>
      <c r="F470">
        <v>30374.7</v>
      </c>
    </row>
    <row r="471" ht="14.25" customHeight="1">
      <c r="A471" t="s">
        <v>99</v>
      </c>
      <c r="B471" t="s">
        <v>213</v>
      </c>
      <c r="C471" t="s">
        <v>152</v>
      </c>
      <c r="D471" t="s">
        <v>147</v>
      </c>
      <c r="E471" t="s">
        <v>148</v>
      </c>
      <c r="F471">
        <v>24735.47</v>
      </c>
    </row>
    <row r="472" ht="14.25" customHeight="1">
      <c r="A472" t="s">
        <v>95</v>
      </c>
      <c r="B472" t="s">
        <v>213</v>
      </c>
      <c r="C472" t="s">
        <v>152</v>
      </c>
      <c r="D472" t="s">
        <v>147</v>
      </c>
      <c r="E472" t="s">
        <v>148</v>
      </c>
      <c r="F472">
        <v>43063.14</v>
      </c>
    </row>
    <row r="473" ht="14.25" customHeight="1">
      <c r="A473" t="s">
        <v>93</v>
      </c>
      <c r="B473" t="s">
        <v>213</v>
      </c>
      <c r="C473" t="s">
        <v>152</v>
      </c>
      <c r="D473" t="s">
        <v>147</v>
      </c>
      <c r="E473" t="s">
        <v>148</v>
      </c>
      <c r="F473">
        <v>25117.43</v>
      </c>
    </row>
    <row r="474" ht="14.25" customHeight="1">
      <c r="A474" t="s">
        <v>97</v>
      </c>
      <c r="B474" t="s">
        <v>213</v>
      </c>
      <c r="C474" t="s">
        <v>152</v>
      </c>
      <c r="D474" t="s">
        <v>147</v>
      </c>
      <c r="E474" t="s">
        <v>148</v>
      </c>
      <c r="F474">
        <v>23619.34</v>
      </c>
    </row>
    <row r="475" ht="14.25" customHeight="1">
      <c r="A475" t="s">
        <v>89</v>
      </c>
      <c r="B475" t="s">
        <v>213</v>
      </c>
      <c r="C475" t="s">
        <v>152</v>
      </c>
      <c r="D475" t="s">
        <v>147</v>
      </c>
      <c r="E475" t="s">
        <v>148</v>
      </c>
      <c r="F475">
        <v>14839.36</v>
      </c>
    </row>
    <row r="476" ht="14.25" customHeight="1">
      <c r="A476" t="s">
        <v>91</v>
      </c>
      <c r="B476" t="s">
        <v>213</v>
      </c>
      <c r="C476" t="s">
        <v>152</v>
      </c>
      <c r="D476" t="s">
        <v>147</v>
      </c>
      <c r="E476" t="s">
        <v>148</v>
      </c>
      <c r="F476">
        <v>12014.85</v>
      </c>
    </row>
    <row r="477" ht="14.25" customHeight="1">
      <c r="A477" t="s">
        <v>86</v>
      </c>
      <c r="B477" t="s">
        <v>213</v>
      </c>
      <c r="C477" t="s">
        <v>152</v>
      </c>
      <c r="D477" t="s">
        <v>147</v>
      </c>
      <c r="E477" t="s">
        <v>148</v>
      </c>
      <c r="F477">
        <v>12007.68</v>
      </c>
    </row>
    <row r="478" ht="14.25" customHeight="1">
      <c r="A478" t="s">
        <v>106</v>
      </c>
      <c r="B478" t="s">
        <v>213</v>
      </c>
      <c r="C478" t="s">
        <v>152</v>
      </c>
      <c r="D478" t="s">
        <v>147</v>
      </c>
      <c r="E478" t="s">
        <v>148</v>
      </c>
      <c r="F478">
        <v>21291.98</v>
      </c>
    </row>
    <row r="479" ht="14.25" customHeight="1">
      <c r="A479" t="s">
        <v>105</v>
      </c>
      <c r="B479" t="s">
        <v>213</v>
      </c>
      <c r="C479" t="s">
        <v>152</v>
      </c>
      <c r="D479" t="s">
        <v>147</v>
      </c>
      <c r="E479" t="s">
        <v>148</v>
      </c>
      <c r="F479">
        <v>16125.25</v>
      </c>
    </row>
    <row r="480" ht="14.25" customHeight="1">
      <c r="A480" t="s">
        <v>108</v>
      </c>
      <c r="B480" t="s">
        <v>213</v>
      </c>
      <c r="C480" t="s">
        <v>152</v>
      </c>
      <c r="D480" t="s">
        <v>147</v>
      </c>
      <c r="E480" t="s">
        <v>148</v>
      </c>
      <c r="F480">
        <v>19708.99</v>
      </c>
    </row>
    <row r="481" ht="14.25" customHeight="1">
      <c r="A481" t="s">
        <v>107</v>
      </c>
      <c r="B481" t="s">
        <v>213</v>
      </c>
      <c r="C481" t="s">
        <v>152</v>
      </c>
      <c r="D481" t="s">
        <v>147</v>
      </c>
      <c r="E481" t="s">
        <v>148</v>
      </c>
      <c r="F481">
        <v>16406.69</v>
      </c>
    </row>
    <row r="482" ht="14.25" customHeight="1">
      <c r="A482" t="s">
        <v>104</v>
      </c>
      <c r="B482" t="s">
        <v>214</v>
      </c>
      <c r="C482" t="s">
        <v>156</v>
      </c>
      <c r="D482" t="s">
        <v>147</v>
      </c>
      <c r="E482" t="s">
        <v>148</v>
      </c>
      <c r="F482">
        <v>29610.02</v>
      </c>
    </row>
    <row r="483" ht="14.25" customHeight="1">
      <c r="A483" t="s">
        <v>101</v>
      </c>
      <c r="B483" t="s">
        <v>214</v>
      </c>
      <c r="C483" t="s">
        <v>156</v>
      </c>
      <c r="D483" t="s">
        <v>147</v>
      </c>
      <c r="E483" t="s">
        <v>148</v>
      </c>
      <c r="F483">
        <v>23159.38</v>
      </c>
    </row>
    <row r="484" ht="14.25" customHeight="1">
      <c r="A484" t="s">
        <v>103</v>
      </c>
      <c r="B484" t="s">
        <v>214</v>
      </c>
      <c r="C484" t="s">
        <v>156</v>
      </c>
      <c r="D484" t="s">
        <v>147</v>
      </c>
      <c r="E484" t="s">
        <v>148</v>
      </c>
      <c r="F484">
        <v>19556.71</v>
      </c>
    </row>
    <row r="485" ht="14.25" customHeight="1">
      <c r="A485" t="s">
        <v>99</v>
      </c>
      <c r="B485" t="s">
        <v>214</v>
      </c>
      <c r="C485" t="s">
        <v>156</v>
      </c>
      <c r="D485" t="s">
        <v>147</v>
      </c>
      <c r="E485" t="s">
        <v>148</v>
      </c>
      <c r="F485">
        <v>16103.42</v>
      </c>
    </row>
    <row r="486" ht="14.25" customHeight="1">
      <c r="A486" t="s">
        <v>95</v>
      </c>
      <c r="B486" t="s">
        <v>214</v>
      </c>
      <c r="C486" t="s">
        <v>156</v>
      </c>
      <c r="D486" t="s">
        <v>147</v>
      </c>
      <c r="E486" t="s">
        <v>148</v>
      </c>
      <c r="F486">
        <v>26368.13</v>
      </c>
    </row>
    <row r="487" ht="14.25" customHeight="1">
      <c r="A487" t="s">
        <v>93</v>
      </c>
      <c r="B487" t="s">
        <v>214</v>
      </c>
      <c r="C487" t="s">
        <v>156</v>
      </c>
      <c r="D487" t="s">
        <v>147</v>
      </c>
      <c r="E487" t="s">
        <v>148</v>
      </c>
      <c r="F487">
        <v>15944.24</v>
      </c>
    </row>
    <row r="488" ht="14.25" customHeight="1">
      <c r="A488" t="s">
        <v>97</v>
      </c>
      <c r="B488" t="s">
        <v>214</v>
      </c>
      <c r="C488" t="s">
        <v>156</v>
      </c>
      <c r="D488" t="s">
        <v>147</v>
      </c>
      <c r="E488" t="s">
        <v>148</v>
      </c>
      <c r="F488">
        <v>14249.68</v>
      </c>
    </row>
    <row r="489" ht="14.25" customHeight="1">
      <c r="A489" t="s">
        <v>89</v>
      </c>
      <c r="B489" t="s">
        <v>214</v>
      </c>
      <c r="C489" t="s">
        <v>156</v>
      </c>
      <c r="D489" t="s">
        <v>147</v>
      </c>
      <c r="E489" t="s">
        <v>148</v>
      </c>
      <c r="F489">
        <v>9480.41</v>
      </c>
    </row>
    <row r="490" ht="14.25" customHeight="1">
      <c r="A490" t="s">
        <v>91</v>
      </c>
      <c r="B490" t="s">
        <v>214</v>
      </c>
      <c r="C490" t="s">
        <v>156</v>
      </c>
      <c r="D490" t="s">
        <v>147</v>
      </c>
      <c r="E490" t="s">
        <v>148</v>
      </c>
      <c r="F490">
        <v>6268.96</v>
      </c>
    </row>
    <row r="491" ht="14.25" customHeight="1">
      <c r="A491" t="s">
        <v>86</v>
      </c>
      <c r="B491" t="s">
        <v>214</v>
      </c>
      <c r="C491" t="s">
        <v>156</v>
      </c>
      <c r="D491" t="s">
        <v>147</v>
      </c>
      <c r="E491" t="s">
        <v>148</v>
      </c>
      <c r="F491">
        <v>6265.67</v>
      </c>
    </row>
    <row r="492" ht="14.25" customHeight="1">
      <c r="A492" t="s">
        <v>106</v>
      </c>
      <c r="B492" t="s">
        <v>214</v>
      </c>
      <c r="C492" t="s">
        <v>156</v>
      </c>
      <c r="D492" t="s">
        <v>147</v>
      </c>
      <c r="E492" t="s">
        <v>148</v>
      </c>
      <c r="F492">
        <v>12641.05</v>
      </c>
    </row>
    <row r="493" ht="14.25" customHeight="1">
      <c r="A493" t="s">
        <v>105</v>
      </c>
      <c r="B493" t="s">
        <v>214</v>
      </c>
      <c r="C493" t="s">
        <v>156</v>
      </c>
      <c r="D493" t="s">
        <v>147</v>
      </c>
      <c r="E493" t="s">
        <v>148</v>
      </c>
      <c r="F493">
        <v>7436.91</v>
      </c>
    </row>
    <row r="494" ht="14.25" customHeight="1">
      <c r="A494" t="s">
        <v>108</v>
      </c>
      <c r="B494" t="s">
        <v>214</v>
      </c>
      <c r="C494" t="s">
        <v>156</v>
      </c>
      <c r="D494" t="s">
        <v>147</v>
      </c>
      <c r="E494" t="s">
        <v>148</v>
      </c>
      <c r="F494">
        <v>11189.27</v>
      </c>
    </row>
    <row r="495" ht="14.25" customHeight="1">
      <c r="A495" t="s">
        <v>107</v>
      </c>
      <c r="B495" t="s">
        <v>214</v>
      </c>
      <c r="C495" t="s">
        <v>156</v>
      </c>
      <c r="D495" t="s">
        <v>147</v>
      </c>
      <c r="E495" t="s">
        <v>148</v>
      </c>
      <c r="F495">
        <v>7949.82</v>
      </c>
    </row>
    <row r="496" ht="14.25" customHeight="1">
      <c r="A496" t="s">
        <v>104</v>
      </c>
      <c r="B496" t="s">
        <v>214</v>
      </c>
      <c r="C496" t="s">
        <v>155</v>
      </c>
      <c r="D496" t="s">
        <v>147</v>
      </c>
      <c r="E496" t="s">
        <v>148</v>
      </c>
      <c r="F496">
        <v>31103.37</v>
      </c>
    </row>
    <row r="497" ht="14.25" customHeight="1">
      <c r="A497" t="s">
        <v>101</v>
      </c>
      <c r="B497" t="s">
        <v>214</v>
      </c>
      <c r="C497" t="s">
        <v>155</v>
      </c>
      <c r="D497" t="s">
        <v>147</v>
      </c>
      <c r="E497" t="s">
        <v>148</v>
      </c>
      <c r="F497">
        <v>23963.65</v>
      </c>
    </row>
    <row r="498" ht="14.25" customHeight="1">
      <c r="A498" t="s">
        <v>103</v>
      </c>
      <c r="B498" t="s">
        <v>214</v>
      </c>
      <c r="C498" t="s">
        <v>155</v>
      </c>
      <c r="D498" t="s">
        <v>147</v>
      </c>
      <c r="E498" t="s">
        <v>148</v>
      </c>
      <c r="F498">
        <v>20552.69</v>
      </c>
    </row>
    <row r="499" ht="14.25" customHeight="1">
      <c r="A499" t="s">
        <v>99</v>
      </c>
      <c r="B499" t="s">
        <v>214</v>
      </c>
      <c r="C499" t="s">
        <v>155</v>
      </c>
      <c r="D499" t="s">
        <v>147</v>
      </c>
      <c r="E499" t="s">
        <v>148</v>
      </c>
      <c r="F499">
        <v>16805.07</v>
      </c>
    </row>
    <row r="500" ht="14.25" customHeight="1">
      <c r="A500" t="s">
        <v>95</v>
      </c>
      <c r="B500" t="s">
        <v>214</v>
      </c>
      <c r="C500" t="s">
        <v>155</v>
      </c>
      <c r="D500" t="s">
        <v>147</v>
      </c>
      <c r="E500" t="s">
        <v>148</v>
      </c>
      <c r="F500">
        <v>27761.04</v>
      </c>
    </row>
    <row r="501" ht="14.25" customHeight="1">
      <c r="A501" t="s">
        <v>93</v>
      </c>
      <c r="B501" t="s">
        <v>214</v>
      </c>
      <c r="C501" t="s">
        <v>155</v>
      </c>
      <c r="D501" t="s">
        <v>147</v>
      </c>
      <c r="E501" t="s">
        <v>148</v>
      </c>
      <c r="F501">
        <v>16629.56</v>
      </c>
    </row>
    <row r="502" ht="14.25" customHeight="1">
      <c r="A502" t="s">
        <v>97</v>
      </c>
      <c r="B502" t="s">
        <v>214</v>
      </c>
      <c r="C502" t="s">
        <v>155</v>
      </c>
      <c r="D502" t="s">
        <v>147</v>
      </c>
      <c r="E502" t="s">
        <v>148</v>
      </c>
      <c r="F502">
        <v>14733.74</v>
      </c>
    </row>
    <row r="503" ht="14.25" customHeight="1">
      <c r="A503" t="s">
        <v>89</v>
      </c>
      <c r="B503" t="s">
        <v>214</v>
      </c>
      <c r="C503" t="s">
        <v>155</v>
      </c>
      <c r="D503" t="s">
        <v>147</v>
      </c>
      <c r="E503" t="s">
        <v>148</v>
      </c>
      <c r="F503">
        <v>9795.15</v>
      </c>
    </row>
    <row r="504" ht="14.25" customHeight="1">
      <c r="A504" t="s">
        <v>91</v>
      </c>
      <c r="B504" t="s">
        <v>214</v>
      </c>
      <c r="C504" t="s">
        <v>155</v>
      </c>
      <c r="D504" t="s">
        <v>147</v>
      </c>
      <c r="E504" t="s">
        <v>148</v>
      </c>
      <c r="F504">
        <v>6496.41</v>
      </c>
    </row>
    <row r="505" ht="14.25" customHeight="1">
      <c r="A505" t="s">
        <v>86</v>
      </c>
      <c r="B505" t="s">
        <v>214</v>
      </c>
      <c r="C505" t="s">
        <v>155</v>
      </c>
      <c r="D505" t="s">
        <v>147</v>
      </c>
      <c r="E505" t="s">
        <v>148</v>
      </c>
      <c r="F505">
        <v>6492.78</v>
      </c>
    </row>
    <row r="506" ht="14.25" customHeight="1">
      <c r="A506" t="s">
        <v>106</v>
      </c>
      <c r="B506" t="s">
        <v>214</v>
      </c>
      <c r="C506" t="s">
        <v>155</v>
      </c>
      <c r="D506" t="s">
        <v>147</v>
      </c>
      <c r="E506" t="s">
        <v>148</v>
      </c>
      <c r="F506">
        <v>13080.39</v>
      </c>
    </row>
    <row r="507" ht="14.25" customHeight="1">
      <c r="A507" t="s">
        <v>105</v>
      </c>
      <c r="B507" t="s">
        <v>214</v>
      </c>
      <c r="C507" t="s">
        <v>155</v>
      </c>
      <c r="D507" t="s">
        <v>147</v>
      </c>
      <c r="E507" t="s">
        <v>148</v>
      </c>
      <c r="F507">
        <v>7830.24</v>
      </c>
    </row>
    <row r="508" ht="14.25" customHeight="1">
      <c r="A508" t="s">
        <v>108</v>
      </c>
      <c r="B508" t="s">
        <v>214</v>
      </c>
      <c r="C508" t="s">
        <v>155</v>
      </c>
      <c r="D508" t="s">
        <v>147</v>
      </c>
      <c r="E508" t="s">
        <v>148</v>
      </c>
      <c r="F508">
        <v>11880.46</v>
      </c>
    </row>
    <row r="509" ht="14.25" customHeight="1">
      <c r="A509" t="s">
        <v>107</v>
      </c>
      <c r="B509" t="s">
        <v>214</v>
      </c>
      <c r="C509" t="s">
        <v>155</v>
      </c>
      <c r="D509" t="s">
        <v>147</v>
      </c>
      <c r="E509" t="s">
        <v>148</v>
      </c>
      <c r="F509">
        <v>8530.03</v>
      </c>
    </row>
    <row r="510" ht="14.25" customHeight="1">
      <c r="A510" t="s">
        <v>104</v>
      </c>
      <c r="B510" t="s">
        <v>214</v>
      </c>
      <c r="C510" t="s">
        <v>152</v>
      </c>
      <c r="D510" t="s">
        <v>147</v>
      </c>
      <c r="E510" t="s">
        <v>148</v>
      </c>
      <c r="F510">
        <v>32205.92</v>
      </c>
    </row>
    <row r="511" ht="14.25" customHeight="1">
      <c r="A511" t="s">
        <v>101</v>
      </c>
      <c r="B511" t="s">
        <v>214</v>
      </c>
      <c r="C511" t="s">
        <v>152</v>
      </c>
      <c r="D511" t="s">
        <v>147</v>
      </c>
      <c r="E511" t="s">
        <v>148</v>
      </c>
      <c r="F511">
        <v>25123.58</v>
      </c>
    </row>
    <row r="512" ht="14.25" customHeight="1">
      <c r="A512" t="s">
        <v>103</v>
      </c>
      <c r="B512" t="s">
        <v>214</v>
      </c>
      <c r="C512" t="s">
        <v>152</v>
      </c>
      <c r="D512" t="s">
        <v>147</v>
      </c>
      <c r="E512" t="s">
        <v>148</v>
      </c>
      <c r="F512">
        <v>21245.01</v>
      </c>
    </row>
    <row r="513" ht="14.25" customHeight="1">
      <c r="A513" t="s">
        <v>99</v>
      </c>
      <c r="B513" t="s">
        <v>214</v>
      </c>
      <c r="C513" t="s">
        <v>152</v>
      </c>
      <c r="D513" t="s">
        <v>147</v>
      </c>
      <c r="E513" t="s">
        <v>148</v>
      </c>
      <c r="F513">
        <v>17583.04</v>
      </c>
    </row>
    <row r="514" ht="14.25" customHeight="1">
      <c r="A514" t="s">
        <v>95</v>
      </c>
      <c r="B514" t="s">
        <v>214</v>
      </c>
      <c r="C514" t="s">
        <v>152</v>
      </c>
      <c r="D514" t="s">
        <v>147</v>
      </c>
      <c r="E514" t="s">
        <v>148</v>
      </c>
      <c r="F514">
        <v>29012.78</v>
      </c>
    </row>
    <row r="515" ht="14.25" customHeight="1">
      <c r="A515" t="s">
        <v>93</v>
      </c>
      <c r="B515" t="s">
        <v>214</v>
      </c>
      <c r="C515" t="s">
        <v>152</v>
      </c>
      <c r="D515" t="s">
        <v>147</v>
      </c>
      <c r="E515" t="s">
        <v>148</v>
      </c>
      <c r="F515">
        <v>17496.6</v>
      </c>
    </row>
    <row r="516" ht="14.25" customHeight="1">
      <c r="A516" t="s">
        <v>97</v>
      </c>
      <c r="B516" t="s">
        <v>214</v>
      </c>
      <c r="C516" t="s">
        <v>152</v>
      </c>
      <c r="D516" t="s">
        <v>147</v>
      </c>
      <c r="E516" t="s">
        <v>148</v>
      </c>
      <c r="F516">
        <v>15575.06</v>
      </c>
    </row>
    <row r="517" ht="14.25" customHeight="1">
      <c r="A517" t="s">
        <v>89</v>
      </c>
      <c r="B517" t="s">
        <v>214</v>
      </c>
      <c r="C517" t="s">
        <v>152</v>
      </c>
      <c r="D517" t="s">
        <v>147</v>
      </c>
      <c r="E517" t="s">
        <v>148</v>
      </c>
      <c r="F517">
        <v>10237.3</v>
      </c>
    </row>
    <row r="518" ht="14.25" customHeight="1">
      <c r="A518" t="s">
        <v>91</v>
      </c>
      <c r="B518" t="s">
        <v>214</v>
      </c>
      <c r="C518" t="s">
        <v>152</v>
      </c>
      <c r="D518" t="s">
        <v>147</v>
      </c>
      <c r="E518" t="s">
        <v>148</v>
      </c>
      <c r="F518">
        <v>6688.26</v>
      </c>
    </row>
    <row r="519" ht="14.25" customHeight="1">
      <c r="A519" t="s">
        <v>86</v>
      </c>
      <c r="B519" t="s">
        <v>214</v>
      </c>
      <c r="C519" t="s">
        <v>152</v>
      </c>
      <c r="D519" t="s">
        <v>147</v>
      </c>
      <c r="E519" t="s">
        <v>148</v>
      </c>
      <c r="F519">
        <v>6684.27</v>
      </c>
    </row>
    <row r="520" ht="14.25" customHeight="1">
      <c r="A520" t="s">
        <v>106</v>
      </c>
      <c r="B520" t="s">
        <v>214</v>
      </c>
      <c r="C520" t="s">
        <v>152</v>
      </c>
      <c r="D520" t="s">
        <v>147</v>
      </c>
      <c r="E520" t="s">
        <v>148</v>
      </c>
      <c r="F520">
        <v>13828.43</v>
      </c>
    </row>
    <row r="521" ht="14.25" customHeight="1">
      <c r="A521" t="s">
        <v>105</v>
      </c>
      <c r="B521" t="s">
        <v>214</v>
      </c>
      <c r="C521" t="s">
        <v>152</v>
      </c>
      <c r="D521" t="s">
        <v>147</v>
      </c>
      <c r="E521" t="s">
        <v>148</v>
      </c>
      <c r="F521">
        <v>8171.39</v>
      </c>
    </row>
    <row r="522" ht="14.25" customHeight="1">
      <c r="A522" t="s">
        <v>108</v>
      </c>
      <c r="B522" t="s">
        <v>214</v>
      </c>
      <c r="C522" t="s">
        <v>152</v>
      </c>
      <c r="D522" t="s">
        <v>147</v>
      </c>
      <c r="E522" t="s">
        <v>148</v>
      </c>
      <c r="F522">
        <v>12940.95</v>
      </c>
    </row>
    <row r="523" ht="14.25" customHeight="1">
      <c r="A523" t="s">
        <v>107</v>
      </c>
      <c r="B523" t="s">
        <v>214</v>
      </c>
      <c r="C523" t="s">
        <v>152</v>
      </c>
      <c r="D523" t="s">
        <v>147</v>
      </c>
      <c r="E523" t="s">
        <v>148</v>
      </c>
      <c r="F523">
        <v>9133.84</v>
      </c>
    </row>
    <row r="524" ht="14.25" customHeight="1">
      <c r="A524" t="s">
        <v>209</v>
      </c>
      <c r="B524" t="s">
        <v>215</v>
      </c>
      <c r="C524" t="s">
        <v>156</v>
      </c>
      <c r="D524" t="s">
        <v>147</v>
      </c>
      <c r="E524" t="s">
        <v>148</v>
      </c>
      <c r="F524">
        <v>515487</v>
      </c>
    </row>
    <row r="525" ht="14.25" customHeight="1">
      <c r="A525" t="s">
        <v>209</v>
      </c>
      <c r="B525" t="s">
        <v>215</v>
      </c>
      <c r="C525" t="s">
        <v>155</v>
      </c>
      <c r="D525" t="s">
        <v>147</v>
      </c>
      <c r="E525" t="s">
        <v>148</v>
      </c>
      <c r="F525">
        <v>539108</v>
      </c>
    </row>
    <row r="526" ht="14.25" customHeight="1">
      <c r="A526" t="s">
        <v>209</v>
      </c>
      <c r="B526" t="s">
        <v>215</v>
      </c>
      <c r="C526" t="s">
        <v>152</v>
      </c>
      <c r="D526" t="s">
        <v>147</v>
      </c>
      <c r="E526" t="s">
        <v>148</v>
      </c>
      <c r="F526">
        <v>564841</v>
      </c>
    </row>
    <row r="527" ht="14.25" customHeight="1">
      <c r="A527" t="s">
        <v>209</v>
      </c>
      <c r="B527" t="s">
        <v>216</v>
      </c>
      <c r="C527" t="s">
        <v>156</v>
      </c>
      <c r="D527" t="s">
        <v>147</v>
      </c>
      <c r="E527" t="s">
        <v>148</v>
      </c>
      <c r="F527">
        <v>499926</v>
      </c>
    </row>
    <row r="528" ht="14.25" customHeight="1">
      <c r="A528" t="s">
        <v>209</v>
      </c>
      <c r="B528" t="s">
        <v>216</v>
      </c>
      <c r="C528" t="s">
        <v>155</v>
      </c>
      <c r="D528" t="s">
        <v>147</v>
      </c>
      <c r="E528" t="s">
        <v>148</v>
      </c>
      <c r="F528">
        <v>580167</v>
      </c>
    </row>
    <row r="529" ht="14.25" customHeight="1">
      <c r="A529" t="s">
        <v>209</v>
      </c>
      <c r="B529" t="s">
        <v>216</v>
      </c>
      <c r="C529" t="s">
        <v>152</v>
      </c>
      <c r="D529" t="s">
        <v>147</v>
      </c>
      <c r="E529" t="s">
        <v>148</v>
      </c>
      <c r="F529">
        <v>676344</v>
      </c>
    </row>
    <row r="530" ht="14.25" customHeight="1">
      <c r="A530" t="s">
        <v>104</v>
      </c>
      <c r="B530" t="s">
        <v>217</v>
      </c>
      <c r="C530" t="s">
        <v>156</v>
      </c>
      <c r="D530" t="s">
        <v>147</v>
      </c>
      <c r="E530" t="s">
        <v>148</v>
      </c>
      <c r="F530">
        <v>44415.03</v>
      </c>
    </row>
    <row r="531" ht="14.25" customHeight="1">
      <c r="A531" t="s">
        <v>101</v>
      </c>
      <c r="B531" t="s">
        <v>217</v>
      </c>
      <c r="C531" t="s">
        <v>156</v>
      </c>
      <c r="D531" t="s">
        <v>147</v>
      </c>
      <c r="E531" t="s">
        <v>148</v>
      </c>
      <c r="F531">
        <v>34739.07</v>
      </c>
    </row>
    <row r="532" ht="14.25" customHeight="1">
      <c r="A532" t="s">
        <v>103</v>
      </c>
      <c r="B532" t="s">
        <v>217</v>
      </c>
      <c r="C532" t="s">
        <v>156</v>
      </c>
      <c r="D532" t="s">
        <v>147</v>
      </c>
      <c r="E532" t="s">
        <v>148</v>
      </c>
      <c r="F532">
        <v>29335.06</v>
      </c>
    </row>
    <row r="533" ht="14.25" customHeight="1">
      <c r="A533" t="s">
        <v>99</v>
      </c>
      <c r="B533" t="s">
        <v>217</v>
      </c>
      <c r="C533" t="s">
        <v>156</v>
      </c>
      <c r="D533" t="s">
        <v>147</v>
      </c>
      <c r="E533" t="s">
        <v>148</v>
      </c>
      <c r="F533">
        <v>24154.6</v>
      </c>
    </row>
    <row r="534" ht="14.25" customHeight="1">
      <c r="A534" t="s">
        <v>95</v>
      </c>
      <c r="B534" t="s">
        <v>217</v>
      </c>
      <c r="C534" t="s">
        <v>156</v>
      </c>
      <c r="D534" t="s">
        <v>147</v>
      </c>
      <c r="E534" t="s">
        <v>148</v>
      </c>
      <c r="F534">
        <v>39552.6</v>
      </c>
    </row>
    <row r="535" ht="14.25" customHeight="1">
      <c r="A535" t="s">
        <v>93</v>
      </c>
      <c r="B535" t="s">
        <v>217</v>
      </c>
      <c r="C535" t="s">
        <v>156</v>
      </c>
      <c r="D535" t="s">
        <v>147</v>
      </c>
      <c r="E535" t="s">
        <v>148</v>
      </c>
      <c r="F535">
        <v>23916.36</v>
      </c>
    </row>
    <row r="536" ht="14.25" customHeight="1">
      <c r="A536" t="s">
        <v>97</v>
      </c>
      <c r="B536" t="s">
        <v>217</v>
      </c>
      <c r="C536" t="s">
        <v>156</v>
      </c>
      <c r="D536" t="s">
        <v>147</v>
      </c>
      <c r="E536" t="s">
        <v>148</v>
      </c>
      <c r="F536">
        <v>21373.92</v>
      </c>
    </row>
    <row r="537" ht="14.25" customHeight="1">
      <c r="A537" t="s">
        <v>89</v>
      </c>
      <c r="B537" t="s">
        <v>217</v>
      </c>
      <c r="C537" t="s">
        <v>156</v>
      </c>
      <c r="D537" t="s">
        <v>147</v>
      </c>
      <c r="E537" t="s">
        <v>148</v>
      </c>
      <c r="F537">
        <v>14219.47</v>
      </c>
    </row>
    <row r="538" ht="14.25" customHeight="1">
      <c r="A538" t="s">
        <v>91</v>
      </c>
      <c r="B538" t="s">
        <v>217</v>
      </c>
      <c r="C538" t="s">
        <v>156</v>
      </c>
      <c r="D538" t="s">
        <v>147</v>
      </c>
      <c r="E538" t="s">
        <v>148</v>
      </c>
      <c r="F538">
        <v>9402.91</v>
      </c>
    </row>
    <row r="539" ht="14.25" customHeight="1">
      <c r="A539" t="s">
        <v>86</v>
      </c>
      <c r="B539" t="s">
        <v>217</v>
      </c>
      <c r="C539" t="s">
        <v>156</v>
      </c>
      <c r="D539" t="s">
        <v>147</v>
      </c>
      <c r="E539" t="s">
        <v>148</v>
      </c>
      <c r="F539">
        <v>9397.98</v>
      </c>
    </row>
    <row r="540" ht="14.25" customHeight="1">
      <c r="A540" t="s">
        <v>106</v>
      </c>
      <c r="B540" t="s">
        <v>217</v>
      </c>
      <c r="C540" t="s">
        <v>156</v>
      </c>
      <c r="D540" t="s">
        <v>147</v>
      </c>
      <c r="E540" t="s">
        <v>148</v>
      </c>
      <c r="F540">
        <v>18962.65</v>
      </c>
    </row>
    <row r="541" ht="14.25" customHeight="1">
      <c r="A541" t="s">
        <v>105</v>
      </c>
      <c r="B541" t="s">
        <v>217</v>
      </c>
      <c r="C541" t="s">
        <v>156</v>
      </c>
      <c r="D541" t="s">
        <v>147</v>
      </c>
      <c r="E541" t="s">
        <v>148</v>
      </c>
      <c r="F541">
        <v>11156.23</v>
      </c>
    </row>
    <row r="542" ht="14.25" customHeight="1">
      <c r="A542" t="s">
        <v>108</v>
      </c>
      <c r="B542" t="s">
        <v>217</v>
      </c>
      <c r="C542" t="s">
        <v>156</v>
      </c>
      <c r="D542" t="s">
        <v>147</v>
      </c>
      <c r="E542" t="s">
        <v>148</v>
      </c>
      <c r="F542">
        <v>16784.34</v>
      </c>
    </row>
    <row r="543" ht="14.25" customHeight="1">
      <c r="A543" t="s">
        <v>107</v>
      </c>
      <c r="B543" t="s">
        <v>217</v>
      </c>
      <c r="C543" t="s">
        <v>156</v>
      </c>
      <c r="D543" t="s">
        <v>147</v>
      </c>
      <c r="E543" t="s">
        <v>148</v>
      </c>
      <c r="F543">
        <v>11925.78</v>
      </c>
    </row>
    <row r="544" ht="14.25" customHeight="1">
      <c r="A544" t="s">
        <v>104</v>
      </c>
      <c r="B544" t="s">
        <v>217</v>
      </c>
      <c r="C544" t="s">
        <v>155</v>
      </c>
      <c r="D544" t="s">
        <v>147</v>
      </c>
      <c r="E544" t="s">
        <v>148</v>
      </c>
      <c r="F544">
        <v>46655.06</v>
      </c>
    </row>
    <row r="545" ht="14.25" customHeight="1">
      <c r="A545" t="s">
        <v>101</v>
      </c>
      <c r="B545" t="s">
        <v>217</v>
      </c>
      <c r="C545" t="s">
        <v>155</v>
      </c>
      <c r="D545" t="s">
        <v>147</v>
      </c>
      <c r="E545" t="s">
        <v>148</v>
      </c>
      <c r="F545">
        <v>35945.47</v>
      </c>
    </row>
    <row r="546" ht="14.25" customHeight="1">
      <c r="A546" t="s">
        <v>103</v>
      </c>
      <c r="B546" t="s">
        <v>217</v>
      </c>
      <c r="C546" t="s">
        <v>155</v>
      </c>
      <c r="D546" t="s">
        <v>147</v>
      </c>
      <c r="E546" t="s">
        <v>148</v>
      </c>
      <c r="F546">
        <v>30827.86</v>
      </c>
    </row>
    <row r="547" ht="14.25" customHeight="1">
      <c r="A547" t="s">
        <v>99</v>
      </c>
      <c r="B547" t="s">
        <v>217</v>
      </c>
      <c r="C547" t="s">
        <v>155</v>
      </c>
      <c r="D547" t="s">
        <v>147</v>
      </c>
      <c r="E547" t="s">
        <v>148</v>
      </c>
      <c r="F547">
        <v>25207.07</v>
      </c>
    </row>
    <row r="548" ht="14.25" customHeight="1">
      <c r="A548" t="s">
        <v>95</v>
      </c>
      <c r="B548" t="s">
        <v>217</v>
      </c>
      <c r="C548" t="s">
        <v>155</v>
      </c>
      <c r="D548" t="s">
        <v>147</v>
      </c>
      <c r="E548" t="s">
        <v>148</v>
      </c>
      <c r="F548">
        <v>41641.56</v>
      </c>
    </row>
    <row r="549" ht="14.25" customHeight="1">
      <c r="A549" t="s">
        <v>93</v>
      </c>
      <c r="B549" t="s">
        <v>217</v>
      </c>
      <c r="C549" t="s">
        <v>155</v>
      </c>
      <c r="D549" t="s">
        <v>147</v>
      </c>
      <c r="E549" t="s">
        <v>148</v>
      </c>
      <c r="F549">
        <v>24943.71</v>
      </c>
    </row>
    <row r="550" ht="14.25" customHeight="1">
      <c r="A550" t="s">
        <v>97</v>
      </c>
      <c r="B550" t="s">
        <v>217</v>
      </c>
      <c r="C550" t="s">
        <v>155</v>
      </c>
      <c r="D550" t="s">
        <v>147</v>
      </c>
      <c r="E550" t="s">
        <v>148</v>
      </c>
      <c r="F550">
        <v>22100.62</v>
      </c>
    </row>
    <row r="551" ht="14.25" customHeight="1">
      <c r="A551" t="s">
        <v>89</v>
      </c>
      <c r="B551" t="s">
        <v>217</v>
      </c>
      <c r="C551" t="s">
        <v>155</v>
      </c>
      <c r="D551" t="s">
        <v>147</v>
      </c>
      <c r="E551" t="s">
        <v>148</v>
      </c>
      <c r="F551">
        <v>14692.73</v>
      </c>
    </row>
    <row r="552" ht="14.25" customHeight="1">
      <c r="A552" t="s">
        <v>91</v>
      </c>
      <c r="B552" t="s">
        <v>217</v>
      </c>
      <c r="C552" t="s">
        <v>155</v>
      </c>
      <c r="D552" t="s">
        <v>147</v>
      </c>
      <c r="E552" t="s">
        <v>148</v>
      </c>
      <c r="F552">
        <v>9744.08</v>
      </c>
    </row>
    <row r="553" ht="14.25" customHeight="1">
      <c r="A553" t="s">
        <v>86</v>
      </c>
      <c r="B553" t="s">
        <v>217</v>
      </c>
      <c r="C553" t="s">
        <v>155</v>
      </c>
      <c r="D553" t="s">
        <v>147</v>
      </c>
      <c r="E553" t="s">
        <v>148</v>
      </c>
      <c r="F553">
        <v>9738.64</v>
      </c>
    </row>
    <row r="554" ht="14.25" customHeight="1">
      <c r="A554" t="s">
        <v>106</v>
      </c>
      <c r="B554" t="s">
        <v>217</v>
      </c>
      <c r="C554" t="s">
        <v>155</v>
      </c>
      <c r="D554" t="s">
        <v>147</v>
      </c>
      <c r="E554" t="s">
        <v>148</v>
      </c>
      <c r="F554">
        <v>19621.12</v>
      </c>
    </row>
    <row r="555" ht="14.25" customHeight="1">
      <c r="A555" t="s">
        <v>105</v>
      </c>
      <c r="B555" t="s">
        <v>217</v>
      </c>
      <c r="C555" t="s">
        <v>155</v>
      </c>
      <c r="D555" t="s">
        <v>147</v>
      </c>
      <c r="E555" t="s">
        <v>148</v>
      </c>
      <c r="F555">
        <v>11744.48</v>
      </c>
    </row>
    <row r="556" ht="14.25" customHeight="1">
      <c r="A556" t="s">
        <v>108</v>
      </c>
      <c r="B556" t="s">
        <v>217</v>
      </c>
      <c r="C556" t="s">
        <v>155</v>
      </c>
      <c r="D556" t="s">
        <v>147</v>
      </c>
      <c r="E556" t="s">
        <v>148</v>
      </c>
      <c r="F556">
        <v>17820.69</v>
      </c>
    </row>
    <row r="557" ht="14.25" customHeight="1">
      <c r="A557" t="s">
        <v>107</v>
      </c>
      <c r="B557" t="s">
        <v>217</v>
      </c>
      <c r="C557" t="s">
        <v>155</v>
      </c>
      <c r="D557" t="s">
        <v>147</v>
      </c>
      <c r="E557" t="s">
        <v>148</v>
      </c>
      <c r="F557">
        <v>12795.05</v>
      </c>
    </row>
    <row r="558" ht="14.25" customHeight="1">
      <c r="A558" t="s">
        <v>104</v>
      </c>
      <c r="B558" t="s">
        <v>217</v>
      </c>
      <c r="C558" t="s">
        <v>152</v>
      </c>
      <c r="D558" t="s">
        <v>147</v>
      </c>
      <c r="E558" t="s">
        <v>148</v>
      </c>
      <c r="F558">
        <v>48309.71</v>
      </c>
    </row>
    <row r="559" ht="14.25" customHeight="1">
      <c r="A559" t="s">
        <v>101</v>
      </c>
      <c r="B559" t="s">
        <v>217</v>
      </c>
      <c r="C559" t="s">
        <v>152</v>
      </c>
      <c r="D559" t="s">
        <v>147</v>
      </c>
      <c r="E559" t="s">
        <v>148</v>
      </c>
      <c r="F559">
        <v>37684.82</v>
      </c>
    </row>
    <row r="560" ht="14.25" customHeight="1">
      <c r="A560" t="s">
        <v>103</v>
      </c>
      <c r="B560" t="s">
        <v>217</v>
      </c>
      <c r="C560" t="s">
        <v>152</v>
      </c>
      <c r="D560" t="s">
        <v>147</v>
      </c>
      <c r="E560" t="s">
        <v>148</v>
      </c>
      <c r="F560">
        <v>31867.52</v>
      </c>
    </row>
    <row r="561" ht="14.25" customHeight="1">
      <c r="A561" t="s">
        <v>99</v>
      </c>
      <c r="B561" t="s">
        <v>217</v>
      </c>
      <c r="C561" t="s">
        <v>152</v>
      </c>
      <c r="D561" t="s">
        <v>147</v>
      </c>
      <c r="E561" t="s">
        <v>148</v>
      </c>
      <c r="F561">
        <v>26374.57</v>
      </c>
    </row>
    <row r="562" ht="14.25" customHeight="1">
      <c r="A562" t="s">
        <v>95</v>
      </c>
      <c r="B562" t="s">
        <v>217</v>
      </c>
      <c r="C562" t="s">
        <v>152</v>
      </c>
      <c r="D562" t="s">
        <v>147</v>
      </c>
      <c r="E562" t="s">
        <v>148</v>
      </c>
      <c r="F562">
        <v>43518.77</v>
      </c>
    </row>
    <row r="563" ht="14.25" customHeight="1">
      <c r="A563" t="s">
        <v>93</v>
      </c>
      <c r="B563" t="s">
        <v>217</v>
      </c>
      <c r="C563" t="s">
        <v>152</v>
      </c>
      <c r="D563" t="s">
        <v>147</v>
      </c>
      <c r="E563" t="s">
        <v>148</v>
      </c>
      <c r="F563">
        <v>26244.28</v>
      </c>
    </row>
    <row r="564" ht="14.25" customHeight="1">
      <c r="A564" t="s">
        <v>97</v>
      </c>
      <c r="B564" t="s">
        <v>217</v>
      </c>
      <c r="C564" t="s">
        <v>152</v>
      </c>
      <c r="D564" t="s">
        <v>147</v>
      </c>
      <c r="E564" t="s">
        <v>148</v>
      </c>
      <c r="F564">
        <v>23363.78</v>
      </c>
    </row>
    <row r="565" ht="14.25" customHeight="1">
      <c r="A565" t="s">
        <v>89</v>
      </c>
      <c r="B565" t="s">
        <v>217</v>
      </c>
      <c r="C565" t="s">
        <v>152</v>
      </c>
      <c r="D565" t="s">
        <v>147</v>
      </c>
      <c r="E565" t="s">
        <v>148</v>
      </c>
      <c r="F565">
        <v>15357.07</v>
      </c>
    </row>
    <row r="566" ht="14.25" customHeight="1">
      <c r="A566" t="s">
        <v>91</v>
      </c>
      <c r="B566" t="s">
        <v>217</v>
      </c>
      <c r="C566" t="s">
        <v>152</v>
      </c>
      <c r="D566" t="s">
        <v>147</v>
      </c>
      <c r="E566" t="s">
        <v>148</v>
      </c>
      <c r="F566">
        <v>10032.91</v>
      </c>
    </row>
    <row r="567" ht="14.25" customHeight="1">
      <c r="A567" t="s">
        <v>86</v>
      </c>
      <c r="B567" t="s">
        <v>217</v>
      </c>
      <c r="C567" t="s">
        <v>152</v>
      </c>
      <c r="D567" t="s">
        <v>147</v>
      </c>
      <c r="E567" t="s">
        <v>148</v>
      </c>
      <c r="F567">
        <v>10026.93</v>
      </c>
    </row>
    <row r="568" ht="14.25" customHeight="1">
      <c r="A568" t="s">
        <v>106</v>
      </c>
      <c r="B568" t="s">
        <v>217</v>
      </c>
      <c r="C568" t="s">
        <v>152</v>
      </c>
      <c r="D568" t="s">
        <v>147</v>
      </c>
      <c r="E568" t="s">
        <v>148</v>
      </c>
      <c r="F568">
        <v>20742.64</v>
      </c>
    </row>
    <row r="569" ht="14.25" customHeight="1">
      <c r="A569" t="s">
        <v>105</v>
      </c>
      <c r="B569" t="s">
        <v>217</v>
      </c>
      <c r="C569" t="s">
        <v>152</v>
      </c>
      <c r="D569" t="s">
        <v>147</v>
      </c>
      <c r="E569" t="s">
        <v>148</v>
      </c>
      <c r="F569">
        <v>12256.21</v>
      </c>
    </row>
    <row r="570" ht="14.25" customHeight="1">
      <c r="A570" t="s">
        <v>108</v>
      </c>
      <c r="B570" t="s">
        <v>217</v>
      </c>
      <c r="C570" t="s">
        <v>152</v>
      </c>
      <c r="D570" t="s">
        <v>147</v>
      </c>
      <c r="E570" t="s">
        <v>148</v>
      </c>
      <c r="F570">
        <v>19410.96</v>
      </c>
    </row>
    <row r="571" ht="14.25" customHeight="1">
      <c r="A571" t="s">
        <v>107</v>
      </c>
      <c r="B571" t="s">
        <v>217</v>
      </c>
      <c r="C571" t="s">
        <v>152</v>
      </c>
      <c r="D571" t="s">
        <v>147</v>
      </c>
      <c r="E571" t="s">
        <v>148</v>
      </c>
      <c r="F571">
        <v>13700.21</v>
      </c>
    </row>
    <row r="572" ht="14.25" customHeight="1">
      <c r="A572" t="s">
        <v>209</v>
      </c>
      <c r="B572" t="s">
        <v>218</v>
      </c>
      <c r="C572" t="s">
        <v>156</v>
      </c>
      <c r="D572" t="s">
        <v>147</v>
      </c>
      <c r="E572" t="s">
        <v>148</v>
      </c>
      <c r="F572">
        <v>412389</v>
      </c>
    </row>
    <row r="573" ht="14.25" customHeight="1">
      <c r="A573" t="s">
        <v>209</v>
      </c>
      <c r="B573" t="s">
        <v>218</v>
      </c>
      <c r="C573" t="s">
        <v>155</v>
      </c>
      <c r="D573" t="s">
        <v>147</v>
      </c>
      <c r="E573" t="s">
        <v>148</v>
      </c>
      <c r="F573">
        <v>431286</v>
      </c>
    </row>
    <row r="574" ht="14.25" customHeight="1">
      <c r="A574" t="s">
        <v>209</v>
      </c>
      <c r="B574" t="s">
        <v>218</v>
      </c>
      <c r="C574" t="s">
        <v>152</v>
      </c>
      <c r="D574" t="s">
        <v>147</v>
      </c>
      <c r="E574" t="s">
        <v>148</v>
      </c>
      <c r="F574">
        <v>451872</v>
      </c>
    </row>
    <row r="575" ht="14.25" customHeight="1">
      <c r="A575" t="s">
        <v>209</v>
      </c>
      <c r="B575" t="s">
        <v>219</v>
      </c>
      <c r="C575" t="s">
        <v>156</v>
      </c>
      <c r="D575" t="s">
        <v>147</v>
      </c>
      <c r="E575" t="s">
        <v>148</v>
      </c>
      <c r="F575">
        <v>164956</v>
      </c>
    </row>
    <row r="576" ht="14.25" customHeight="1">
      <c r="A576" t="s">
        <v>209</v>
      </c>
      <c r="B576" t="s">
        <v>219</v>
      </c>
      <c r="C576" t="s">
        <v>155</v>
      </c>
      <c r="D576" t="s">
        <v>147</v>
      </c>
      <c r="E576" t="s">
        <v>148</v>
      </c>
      <c r="F576">
        <v>172514</v>
      </c>
    </row>
    <row r="577" ht="14.25" customHeight="1">
      <c r="A577" t="s">
        <v>209</v>
      </c>
      <c r="B577" t="s">
        <v>219</v>
      </c>
      <c r="C577" t="s">
        <v>152</v>
      </c>
      <c r="D577" t="s">
        <v>147</v>
      </c>
      <c r="E577" t="s">
        <v>148</v>
      </c>
      <c r="F577">
        <v>180749</v>
      </c>
    </row>
    <row r="578" ht="14.25" customHeight="1">
      <c r="A578" t="s">
        <v>209</v>
      </c>
      <c r="B578" t="s">
        <v>220</v>
      </c>
      <c r="C578" t="s">
        <v>156</v>
      </c>
      <c r="D578" t="s">
        <v>147</v>
      </c>
      <c r="E578" t="s">
        <v>148</v>
      </c>
      <c r="F578">
        <v>309292</v>
      </c>
    </row>
    <row r="579" ht="14.25" customHeight="1">
      <c r="A579" t="s">
        <v>209</v>
      </c>
      <c r="B579" t="s">
        <v>220</v>
      </c>
      <c r="C579" t="s">
        <v>155</v>
      </c>
      <c r="D579" t="s">
        <v>147</v>
      </c>
      <c r="E579" t="s">
        <v>148</v>
      </c>
      <c r="F579">
        <v>323465</v>
      </c>
    </row>
    <row r="580" ht="14.25" customHeight="1">
      <c r="A580" t="s">
        <v>209</v>
      </c>
      <c r="B580" t="s">
        <v>220</v>
      </c>
      <c r="C580" t="s">
        <v>152</v>
      </c>
      <c r="D580" t="s">
        <v>147</v>
      </c>
      <c r="E580" t="s">
        <v>148</v>
      </c>
      <c r="F580">
        <v>338904</v>
      </c>
    </row>
    <row r="581" ht="14.25" customHeight="1">
      <c r="A581" t="s">
        <v>104</v>
      </c>
      <c r="B581" t="s">
        <v>221</v>
      </c>
      <c r="C581" t="s">
        <v>156</v>
      </c>
      <c r="D581" t="s">
        <v>147</v>
      </c>
      <c r="E581" t="s">
        <v>148</v>
      </c>
      <c r="F581">
        <v>27152.97</v>
      </c>
    </row>
    <row r="582" ht="14.25" customHeight="1">
      <c r="A582" t="s">
        <v>101</v>
      </c>
      <c r="B582" t="s">
        <v>221</v>
      </c>
      <c r="C582" t="s">
        <v>156</v>
      </c>
      <c r="D582" t="s">
        <v>147</v>
      </c>
      <c r="E582" t="s">
        <v>148</v>
      </c>
      <c r="F582">
        <v>21700.22</v>
      </c>
    </row>
    <row r="583" ht="14.25" customHeight="1">
      <c r="A583" t="s">
        <v>103</v>
      </c>
      <c r="B583" t="s">
        <v>221</v>
      </c>
      <c r="C583" t="s">
        <v>156</v>
      </c>
      <c r="D583" t="s">
        <v>147</v>
      </c>
      <c r="E583" t="s">
        <v>148</v>
      </c>
      <c r="F583">
        <v>18641.15</v>
      </c>
    </row>
    <row r="584" ht="14.25" customHeight="1">
      <c r="A584" t="s">
        <v>99</v>
      </c>
      <c r="B584" t="s">
        <v>221</v>
      </c>
      <c r="C584" t="s">
        <v>156</v>
      </c>
      <c r="D584" t="s">
        <v>147</v>
      </c>
      <c r="E584" t="s">
        <v>148</v>
      </c>
      <c r="F584">
        <v>15102.94</v>
      </c>
    </row>
    <row r="585" ht="14.25" customHeight="1">
      <c r="A585" t="s">
        <v>95</v>
      </c>
      <c r="B585" t="s">
        <v>221</v>
      </c>
      <c r="C585" t="s">
        <v>156</v>
      </c>
      <c r="D585" t="s">
        <v>147</v>
      </c>
      <c r="E585" t="s">
        <v>148</v>
      </c>
      <c r="F585">
        <v>26092.67</v>
      </c>
    </row>
    <row r="586" ht="14.25" customHeight="1">
      <c r="A586" t="s">
        <v>93</v>
      </c>
      <c r="B586" t="s">
        <v>221</v>
      </c>
      <c r="C586" t="s">
        <v>156</v>
      </c>
      <c r="D586" t="s">
        <v>147</v>
      </c>
      <c r="E586" t="s">
        <v>148</v>
      </c>
      <c r="F586">
        <v>15260.67</v>
      </c>
    </row>
    <row r="587" ht="14.25" customHeight="1">
      <c r="A587" t="s">
        <v>97</v>
      </c>
      <c r="B587" t="s">
        <v>221</v>
      </c>
      <c r="C587" t="s">
        <v>156</v>
      </c>
      <c r="D587" t="s">
        <v>147</v>
      </c>
      <c r="E587" t="s">
        <v>148</v>
      </c>
      <c r="F587">
        <v>14405.31</v>
      </c>
    </row>
    <row r="588" ht="14.25" customHeight="1">
      <c r="A588" t="s">
        <v>89</v>
      </c>
      <c r="B588" t="s">
        <v>221</v>
      </c>
      <c r="C588" t="s">
        <v>156</v>
      </c>
      <c r="D588" t="s">
        <v>147</v>
      </c>
      <c r="E588" t="s">
        <v>148</v>
      </c>
      <c r="F588">
        <v>9160.67</v>
      </c>
    </row>
    <row r="589" ht="14.25" customHeight="1">
      <c r="A589" t="s">
        <v>91</v>
      </c>
      <c r="B589" t="s">
        <v>221</v>
      </c>
      <c r="C589" t="s">
        <v>156</v>
      </c>
      <c r="D589" t="s">
        <v>147</v>
      </c>
      <c r="E589" t="s">
        <v>148</v>
      </c>
      <c r="F589">
        <v>7506.8</v>
      </c>
    </row>
    <row r="590" ht="14.25" customHeight="1">
      <c r="A590" t="s">
        <v>86</v>
      </c>
      <c r="B590" t="s">
        <v>221</v>
      </c>
      <c r="C590" t="s">
        <v>156</v>
      </c>
      <c r="D590" t="s">
        <v>147</v>
      </c>
      <c r="E590" t="s">
        <v>148</v>
      </c>
      <c r="F590">
        <v>7502.87</v>
      </c>
    </row>
    <row r="591" ht="14.25" customHeight="1">
      <c r="A591" t="s">
        <v>106</v>
      </c>
      <c r="B591" t="s">
        <v>221</v>
      </c>
      <c r="C591" t="s">
        <v>156</v>
      </c>
      <c r="D591" t="s">
        <v>147</v>
      </c>
      <c r="E591" t="s">
        <v>148</v>
      </c>
      <c r="F591">
        <v>12976.84</v>
      </c>
    </row>
    <row r="592" ht="14.25" customHeight="1">
      <c r="A592" t="s">
        <v>105</v>
      </c>
      <c r="B592" t="s">
        <v>221</v>
      </c>
      <c r="C592" t="s">
        <v>156</v>
      </c>
      <c r="D592" t="s">
        <v>147</v>
      </c>
      <c r="E592" t="s">
        <v>148</v>
      </c>
      <c r="F592">
        <v>9784.9</v>
      </c>
    </row>
    <row r="593" ht="14.25" customHeight="1">
      <c r="A593" t="s">
        <v>108</v>
      </c>
      <c r="B593" t="s">
        <v>221</v>
      </c>
      <c r="C593" t="s">
        <v>156</v>
      </c>
      <c r="D593" t="s">
        <v>147</v>
      </c>
      <c r="E593" t="s">
        <v>148</v>
      </c>
      <c r="F593">
        <v>11361.49</v>
      </c>
    </row>
    <row r="594" ht="14.25" customHeight="1">
      <c r="A594" t="s">
        <v>107</v>
      </c>
      <c r="B594" t="s">
        <v>221</v>
      </c>
      <c r="C594" t="s">
        <v>156</v>
      </c>
      <c r="D594" t="s">
        <v>147</v>
      </c>
      <c r="E594" t="s">
        <v>148</v>
      </c>
      <c r="F594">
        <v>9521.34</v>
      </c>
    </row>
    <row r="595" ht="14.25" customHeight="1">
      <c r="A595" t="s">
        <v>104</v>
      </c>
      <c r="B595" t="s">
        <v>221</v>
      </c>
      <c r="C595" t="s">
        <v>155</v>
      </c>
      <c r="D595" t="s">
        <v>147</v>
      </c>
      <c r="E595" t="s">
        <v>148</v>
      </c>
      <c r="F595">
        <v>28521.36</v>
      </c>
    </row>
    <row r="596" ht="14.25" customHeight="1">
      <c r="A596" t="s">
        <v>101</v>
      </c>
      <c r="B596" t="s">
        <v>221</v>
      </c>
      <c r="C596" t="s">
        <v>155</v>
      </c>
      <c r="D596" t="s">
        <v>147</v>
      </c>
      <c r="E596" t="s">
        <v>148</v>
      </c>
      <c r="F596">
        <v>22453.79</v>
      </c>
    </row>
    <row r="597" ht="14.25" customHeight="1">
      <c r="A597" t="s">
        <v>103</v>
      </c>
      <c r="B597" t="s">
        <v>221</v>
      </c>
      <c r="C597" t="s">
        <v>155</v>
      </c>
      <c r="D597" t="s">
        <v>147</v>
      </c>
      <c r="E597" t="s">
        <v>148</v>
      </c>
      <c r="F597">
        <v>19589.5</v>
      </c>
    </row>
    <row r="598" ht="14.25" customHeight="1">
      <c r="A598" t="s">
        <v>99</v>
      </c>
      <c r="B598" t="s">
        <v>221</v>
      </c>
      <c r="C598" t="s">
        <v>155</v>
      </c>
      <c r="D598" t="s">
        <v>147</v>
      </c>
      <c r="E598" t="s">
        <v>148</v>
      </c>
      <c r="F598">
        <v>15760.59</v>
      </c>
    </row>
    <row r="599" ht="14.25" customHeight="1">
      <c r="A599" t="s">
        <v>95</v>
      </c>
      <c r="B599" t="s">
        <v>221</v>
      </c>
      <c r="C599" t="s">
        <v>155</v>
      </c>
      <c r="D599" t="s">
        <v>147</v>
      </c>
      <c r="E599" t="s">
        <v>148</v>
      </c>
      <c r="F599">
        <v>27469.99</v>
      </c>
    </row>
    <row r="600" ht="14.25" customHeight="1">
      <c r="A600" t="s">
        <v>93</v>
      </c>
      <c r="B600" t="s">
        <v>221</v>
      </c>
      <c r="C600" t="s">
        <v>155</v>
      </c>
      <c r="D600" t="s">
        <v>147</v>
      </c>
      <c r="E600" t="s">
        <v>148</v>
      </c>
      <c r="F600">
        <v>15915.68</v>
      </c>
    </row>
    <row r="601" ht="14.25" customHeight="1">
      <c r="A601" t="s">
        <v>97</v>
      </c>
      <c r="B601" t="s">
        <v>221</v>
      </c>
      <c r="C601" t="s">
        <v>155</v>
      </c>
      <c r="D601" t="s">
        <v>147</v>
      </c>
      <c r="E601" t="s">
        <v>148</v>
      </c>
      <c r="F601">
        <v>14895.9</v>
      </c>
    </row>
    <row r="602" ht="14.25" customHeight="1">
      <c r="A602" t="s">
        <v>89</v>
      </c>
      <c r="B602" t="s">
        <v>221</v>
      </c>
      <c r="C602" t="s">
        <v>155</v>
      </c>
      <c r="D602" t="s">
        <v>147</v>
      </c>
      <c r="E602" t="s">
        <v>148</v>
      </c>
      <c r="F602">
        <v>9465.71</v>
      </c>
    </row>
    <row r="603" ht="14.25" customHeight="1">
      <c r="A603" t="s">
        <v>91</v>
      </c>
      <c r="B603" t="s">
        <v>221</v>
      </c>
      <c r="C603" t="s">
        <v>155</v>
      </c>
      <c r="D603" t="s">
        <v>147</v>
      </c>
      <c r="E603" t="s">
        <v>148</v>
      </c>
      <c r="F603">
        <v>7779.88</v>
      </c>
    </row>
    <row r="604" ht="14.25" customHeight="1">
      <c r="A604" t="s">
        <v>86</v>
      </c>
      <c r="B604" t="s">
        <v>221</v>
      </c>
      <c r="C604" t="s">
        <v>155</v>
      </c>
      <c r="D604" t="s">
        <v>147</v>
      </c>
      <c r="E604" t="s">
        <v>148</v>
      </c>
      <c r="F604">
        <v>7775.53</v>
      </c>
    </row>
    <row r="605" ht="14.25" customHeight="1">
      <c r="A605" t="s">
        <v>106</v>
      </c>
      <c r="B605" t="s">
        <v>221</v>
      </c>
      <c r="C605" t="s">
        <v>155</v>
      </c>
      <c r="D605" t="s">
        <v>147</v>
      </c>
      <c r="E605" t="s">
        <v>148</v>
      </c>
      <c r="F605">
        <v>13427.63</v>
      </c>
    </row>
    <row r="606" ht="14.25" customHeight="1">
      <c r="A606" t="s">
        <v>105</v>
      </c>
      <c r="B606" t="s">
        <v>221</v>
      </c>
      <c r="C606" t="s">
        <v>155</v>
      </c>
      <c r="D606" t="s">
        <v>147</v>
      </c>
      <c r="E606" t="s">
        <v>148</v>
      </c>
      <c r="F606">
        <v>10301.75</v>
      </c>
    </row>
    <row r="607" ht="14.25" customHeight="1">
      <c r="A607" t="s">
        <v>108</v>
      </c>
      <c r="B607" t="s">
        <v>221</v>
      </c>
      <c r="C607" t="s">
        <v>155</v>
      </c>
      <c r="D607" t="s">
        <v>147</v>
      </c>
      <c r="E607" t="s">
        <v>148</v>
      </c>
      <c r="F607">
        <v>12062.4</v>
      </c>
    </row>
    <row r="608" ht="14.25" customHeight="1">
      <c r="A608" t="s">
        <v>107</v>
      </c>
      <c r="B608" t="s">
        <v>221</v>
      </c>
      <c r="C608" t="s">
        <v>155</v>
      </c>
      <c r="D608" t="s">
        <v>147</v>
      </c>
      <c r="E608" t="s">
        <v>148</v>
      </c>
      <c r="F608">
        <v>10215.16</v>
      </c>
    </row>
    <row r="609" ht="14.25" customHeight="1">
      <c r="A609" t="s">
        <v>104</v>
      </c>
      <c r="B609" t="s">
        <v>221</v>
      </c>
      <c r="C609" t="s">
        <v>152</v>
      </c>
      <c r="D609" t="s">
        <v>147</v>
      </c>
      <c r="E609" t="s">
        <v>148</v>
      </c>
      <c r="F609">
        <v>29533.02</v>
      </c>
    </row>
    <row r="610" ht="14.25" customHeight="1">
      <c r="A610" t="s">
        <v>101</v>
      </c>
      <c r="B610" t="s">
        <v>221</v>
      </c>
      <c r="C610" t="s">
        <v>152</v>
      </c>
      <c r="D610" t="s">
        <v>147</v>
      </c>
      <c r="E610" t="s">
        <v>148</v>
      </c>
      <c r="F610">
        <v>23541.01</v>
      </c>
    </row>
    <row r="611" ht="14.25" customHeight="1">
      <c r="A611" t="s">
        <v>103</v>
      </c>
      <c r="B611" t="s">
        <v>221</v>
      </c>
      <c r="C611" t="s">
        <v>152</v>
      </c>
      <c r="D611" t="s">
        <v>147</v>
      </c>
      <c r="E611" t="s">
        <v>148</v>
      </c>
      <c r="F611">
        <v>20249.8</v>
      </c>
    </row>
    <row r="612" ht="14.25" customHeight="1">
      <c r="A612" t="s">
        <v>99</v>
      </c>
      <c r="B612" t="s">
        <v>221</v>
      </c>
      <c r="C612" t="s">
        <v>152</v>
      </c>
      <c r="D612" t="s">
        <v>147</v>
      </c>
      <c r="E612" t="s">
        <v>148</v>
      </c>
      <c r="F612">
        <v>16490.67</v>
      </c>
    </row>
    <row r="613" ht="14.25" customHeight="1">
      <c r="A613" t="s">
        <v>95</v>
      </c>
      <c r="B613" t="s">
        <v>221</v>
      </c>
      <c r="C613" t="s">
        <v>152</v>
      </c>
      <c r="D613" t="s">
        <v>147</v>
      </c>
      <c r="E613" t="s">
        <v>148</v>
      </c>
      <c r="F613">
        <v>28708.76</v>
      </c>
    </row>
    <row r="614" ht="14.25" customHeight="1">
      <c r="A614" t="s">
        <v>93</v>
      </c>
      <c r="B614" t="s">
        <v>221</v>
      </c>
      <c r="C614" t="s">
        <v>152</v>
      </c>
      <c r="D614" t="s">
        <v>147</v>
      </c>
      <c r="E614" t="s">
        <v>148</v>
      </c>
      <c r="F614">
        <v>16744.95</v>
      </c>
    </row>
    <row r="615" ht="14.25" customHeight="1">
      <c r="A615" t="s">
        <v>97</v>
      </c>
      <c r="B615" t="s">
        <v>221</v>
      </c>
      <c r="C615" t="s">
        <v>152</v>
      </c>
      <c r="D615" t="s">
        <v>147</v>
      </c>
      <c r="E615" t="s">
        <v>148</v>
      </c>
      <c r="F615">
        <v>15745.83</v>
      </c>
    </row>
    <row r="616" ht="14.25" customHeight="1">
      <c r="A616" t="s">
        <v>89</v>
      </c>
      <c r="B616" t="s">
        <v>221</v>
      </c>
      <c r="C616" t="s">
        <v>152</v>
      </c>
      <c r="D616" t="s">
        <v>147</v>
      </c>
      <c r="E616" t="s">
        <v>148</v>
      </c>
      <c r="F616">
        <v>9892.9</v>
      </c>
    </row>
    <row r="617" ht="14.25" customHeight="1">
      <c r="A617" t="s">
        <v>91</v>
      </c>
      <c r="B617" t="s">
        <v>221</v>
      </c>
      <c r="C617" t="s">
        <v>152</v>
      </c>
      <c r="D617" t="s">
        <v>147</v>
      </c>
      <c r="E617" t="s">
        <v>148</v>
      </c>
      <c r="F617">
        <v>8009.55</v>
      </c>
    </row>
    <row r="618" ht="14.25" customHeight="1">
      <c r="A618" t="s">
        <v>86</v>
      </c>
      <c r="B618" t="s">
        <v>221</v>
      </c>
      <c r="C618" t="s">
        <v>152</v>
      </c>
      <c r="D618" t="s">
        <v>147</v>
      </c>
      <c r="E618" t="s">
        <v>148</v>
      </c>
      <c r="F618">
        <v>8004.78</v>
      </c>
    </row>
    <row r="619" ht="14.25" customHeight="1">
      <c r="A619" t="s">
        <v>106</v>
      </c>
      <c r="B619" t="s">
        <v>221</v>
      </c>
      <c r="C619" t="s">
        <v>152</v>
      </c>
      <c r="D619" t="s">
        <v>147</v>
      </c>
      <c r="E619" t="s">
        <v>148</v>
      </c>
      <c r="F619">
        <v>14195.01</v>
      </c>
    </row>
    <row r="620" ht="14.25" customHeight="1">
      <c r="A620" t="s">
        <v>105</v>
      </c>
      <c r="B620" t="s">
        <v>221</v>
      </c>
      <c r="C620" t="s">
        <v>152</v>
      </c>
      <c r="D620" t="s">
        <v>147</v>
      </c>
      <c r="E620" t="s">
        <v>148</v>
      </c>
      <c r="F620">
        <v>10750.17</v>
      </c>
    </row>
    <row r="621" ht="14.25" customHeight="1">
      <c r="A621" t="s">
        <v>108</v>
      </c>
      <c r="B621" t="s">
        <v>221</v>
      </c>
      <c r="C621" t="s">
        <v>152</v>
      </c>
      <c r="D621" t="s">
        <v>147</v>
      </c>
      <c r="E621" t="s">
        <v>148</v>
      </c>
      <c r="F621">
        <v>13139.33</v>
      </c>
    </row>
    <row r="622" ht="14.25" customHeight="1">
      <c r="A622" t="s">
        <v>107</v>
      </c>
      <c r="B622" t="s">
        <v>221</v>
      </c>
      <c r="C622" t="s">
        <v>152</v>
      </c>
      <c r="D622" t="s">
        <v>147</v>
      </c>
      <c r="E622" t="s">
        <v>148</v>
      </c>
      <c r="F622">
        <v>10938.17</v>
      </c>
    </row>
    <row r="623" ht="14.25" customHeight="1">
      <c r="A623" t="s">
        <v>209</v>
      </c>
      <c r="B623" t="s">
        <v>222</v>
      </c>
      <c r="C623" t="s">
        <v>156</v>
      </c>
      <c r="D623" t="s">
        <v>147</v>
      </c>
      <c r="E623" t="s">
        <v>148</v>
      </c>
      <c r="F623">
        <v>103097</v>
      </c>
    </row>
    <row r="624" ht="14.25" customHeight="1">
      <c r="A624" t="s">
        <v>209</v>
      </c>
      <c r="B624" t="s">
        <v>222</v>
      </c>
      <c r="C624" t="s">
        <v>155</v>
      </c>
      <c r="D624" t="s">
        <v>147</v>
      </c>
      <c r="E624" t="s">
        <v>148</v>
      </c>
      <c r="F624">
        <v>107822</v>
      </c>
    </row>
    <row r="625" ht="14.25" customHeight="1">
      <c r="A625" t="s">
        <v>209</v>
      </c>
      <c r="B625" t="s">
        <v>222</v>
      </c>
      <c r="C625" t="s">
        <v>152</v>
      </c>
      <c r="D625" t="s">
        <v>147</v>
      </c>
      <c r="E625" t="s">
        <v>148</v>
      </c>
      <c r="F625">
        <v>112968</v>
      </c>
    </row>
    <row r="626" ht="14.25" customHeight="1">
      <c r="A626" t="s">
        <v>104</v>
      </c>
      <c r="B626" t="s">
        <v>223</v>
      </c>
      <c r="C626" t="s">
        <v>156</v>
      </c>
      <c r="D626" t="s">
        <v>147</v>
      </c>
      <c r="E626" t="s">
        <v>148</v>
      </c>
      <c r="F626">
        <v>137849</v>
      </c>
    </row>
    <row r="627" ht="14.25" customHeight="1">
      <c r="A627" t="s">
        <v>101</v>
      </c>
      <c r="B627" t="s">
        <v>223</v>
      </c>
      <c r="C627" t="s">
        <v>156</v>
      </c>
      <c r="D627" t="s">
        <v>147</v>
      </c>
      <c r="E627" t="s">
        <v>148</v>
      </c>
      <c r="F627">
        <v>119469</v>
      </c>
    </row>
    <row r="628" ht="14.25" customHeight="1">
      <c r="A628" t="s">
        <v>103</v>
      </c>
      <c r="B628" t="s">
        <v>223</v>
      </c>
      <c r="C628" t="s">
        <v>156</v>
      </c>
      <c r="D628" t="s">
        <v>147</v>
      </c>
      <c r="E628" t="s">
        <v>148</v>
      </c>
      <c r="F628">
        <v>110279</v>
      </c>
    </row>
    <row r="629" ht="14.25" customHeight="1">
      <c r="A629" t="s">
        <v>99</v>
      </c>
      <c r="B629" t="s">
        <v>223</v>
      </c>
      <c r="C629" t="s">
        <v>156</v>
      </c>
      <c r="D629" t="s">
        <v>147</v>
      </c>
      <c r="E629" t="s">
        <v>148</v>
      </c>
      <c r="F629">
        <v>91900</v>
      </c>
    </row>
    <row r="630" ht="14.25" customHeight="1">
      <c r="A630" t="s">
        <v>95</v>
      </c>
      <c r="B630" t="s">
        <v>223</v>
      </c>
      <c r="C630" t="s">
        <v>156</v>
      </c>
      <c r="D630" t="s">
        <v>147</v>
      </c>
      <c r="E630" t="s">
        <v>148</v>
      </c>
      <c r="F630">
        <v>137849</v>
      </c>
    </row>
    <row r="631" ht="14.25" customHeight="1">
      <c r="A631" t="s">
        <v>93</v>
      </c>
      <c r="B631" t="s">
        <v>223</v>
      </c>
      <c r="C631" t="s">
        <v>156</v>
      </c>
      <c r="D631" t="s">
        <v>147</v>
      </c>
      <c r="E631" t="s">
        <v>148</v>
      </c>
      <c r="F631">
        <v>91900</v>
      </c>
    </row>
    <row r="632" ht="14.25" customHeight="1">
      <c r="A632" t="s">
        <v>97</v>
      </c>
      <c r="B632" t="s">
        <v>223</v>
      </c>
      <c r="C632" t="s">
        <v>156</v>
      </c>
      <c r="D632" t="s">
        <v>147</v>
      </c>
      <c r="E632" t="s">
        <v>148</v>
      </c>
      <c r="F632">
        <v>91900</v>
      </c>
    </row>
    <row r="633" ht="14.25" customHeight="1">
      <c r="A633" t="s">
        <v>89</v>
      </c>
      <c r="B633" t="s">
        <v>223</v>
      </c>
      <c r="C633" t="s">
        <v>156</v>
      </c>
      <c r="D633" t="s">
        <v>147</v>
      </c>
      <c r="E633" t="s">
        <v>148</v>
      </c>
      <c r="F633">
        <v>55140</v>
      </c>
    </row>
    <row r="634" ht="14.25" customHeight="1">
      <c r="A634" t="s">
        <v>91</v>
      </c>
      <c r="B634" t="s">
        <v>223</v>
      </c>
      <c r="C634" t="s">
        <v>156</v>
      </c>
      <c r="D634" t="s">
        <v>147</v>
      </c>
      <c r="E634" t="s">
        <v>148</v>
      </c>
      <c r="F634">
        <v>55140</v>
      </c>
    </row>
    <row r="635" ht="14.25" customHeight="1">
      <c r="A635" t="s">
        <v>86</v>
      </c>
      <c r="B635" t="s">
        <v>223</v>
      </c>
      <c r="C635" t="s">
        <v>156</v>
      </c>
      <c r="D635" t="s">
        <v>147</v>
      </c>
      <c r="E635" t="s">
        <v>148</v>
      </c>
      <c r="F635">
        <v>55140</v>
      </c>
    </row>
    <row r="636" ht="14.25" customHeight="1">
      <c r="A636" t="s">
        <v>106</v>
      </c>
      <c r="B636" t="s">
        <v>223</v>
      </c>
      <c r="C636" t="s">
        <v>156</v>
      </c>
      <c r="D636" t="s">
        <v>147</v>
      </c>
      <c r="E636" t="s">
        <v>148</v>
      </c>
      <c r="F636">
        <v>73520</v>
      </c>
    </row>
    <row r="637" ht="14.25" customHeight="1">
      <c r="A637" t="s">
        <v>105</v>
      </c>
      <c r="B637" t="s">
        <v>223</v>
      </c>
      <c r="C637" t="s">
        <v>156</v>
      </c>
      <c r="D637" t="s">
        <v>147</v>
      </c>
      <c r="E637" t="s">
        <v>148</v>
      </c>
      <c r="F637">
        <v>73520</v>
      </c>
    </row>
    <row r="638" ht="14.25" customHeight="1">
      <c r="A638" t="s">
        <v>108</v>
      </c>
      <c r="B638" t="s">
        <v>223</v>
      </c>
      <c r="C638" t="s">
        <v>156</v>
      </c>
      <c r="D638" t="s">
        <v>147</v>
      </c>
      <c r="E638" t="s">
        <v>148</v>
      </c>
      <c r="F638">
        <v>55140</v>
      </c>
    </row>
    <row r="639" ht="14.25" customHeight="1">
      <c r="A639" t="s">
        <v>107</v>
      </c>
      <c r="B639" t="s">
        <v>223</v>
      </c>
      <c r="C639" t="s">
        <v>156</v>
      </c>
      <c r="D639" t="s">
        <v>147</v>
      </c>
      <c r="E639" t="s">
        <v>148</v>
      </c>
      <c r="F639">
        <v>55140</v>
      </c>
    </row>
    <row r="640" ht="14.25" customHeight="1">
      <c r="A640" t="s">
        <v>104</v>
      </c>
      <c r="B640" t="s">
        <v>223</v>
      </c>
      <c r="C640" t="s">
        <v>155</v>
      </c>
      <c r="D640" t="s">
        <v>147</v>
      </c>
      <c r="E640" t="s">
        <v>148</v>
      </c>
      <c r="F640">
        <v>146120</v>
      </c>
    </row>
    <row r="641" ht="14.25" customHeight="1">
      <c r="A641" t="s">
        <v>101</v>
      </c>
      <c r="B641" t="s">
        <v>223</v>
      </c>
      <c r="C641" t="s">
        <v>155</v>
      </c>
      <c r="D641" t="s">
        <v>147</v>
      </c>
      <c r="E641" t="s">
        <v>148</v>
      </c>
      <c r="F641">
        <v>126638</v>
      </c>
    </row>
    <row r="642" ht="14.25" customHeight="1">
      <c r="A642" t="s">
        <v>103</v>
      </c>
      <c r="B642" t="s">
        <v>223</v>
      </c>
      <c r="C642" t="s">
        <v>155</v>
      </c>
      <c r="D642" t="s">
        <v>147</v>
      </c>
      <c r="E642" t="s">
        <v>148</v>
      </c>
      <c r="F642">
        <v>116896</v>
      </c>
    </row>
    <row r="643" ht="14.25" customHeight="1">
      <c r="A643" t="s">
        <v>99</v>
      </c>
      <c r="B643" t="s">
        <v>223</v>
      </c>
      <c r="C643" t="s">
        <v>155</v>
      </c>
      <c r="D643" t="s">
        <v>147</v>
      </c>
      <c r="E643" t="s">
        <v>148</v>
      </c>
      <c r="F643">
        <v>97413</v>
      </c>
    </row>
    <row r="644" ht="14.25" customHeight="1">
      <c r="A644" t="s">
        <v>95</v>
      </c>
      <c r="B644" t="s">
        <v>223</v>
      </c>
      <c r="C644" t="s">
        <v>155</v>
      </c>
      <c r="D644" t="s">
        <v>147</v>
      </c>
      <c r="E644" t="s">
        <v>148</v>
      </c>
      <c r="F644">
        <v>146120</v>
      </c>
    </row>
    <row r="645" ht="14.25" customHeight="1">
      <c r="A645" t="s">
        <v>93</v>
      </c>
      <c r="B645" t="s">
        <v>223</v>
      </c>
      <c r="C645" t="s">
        <v>155</v>
      </c>
      <c r="D645" t="s">
        <v>147</v>
      </c>
      <c r="E645" t="s">
        <v>148</v>
      </c>
      <c r="F645">
        <v>97413</v>
      </c>
    </row>
    <row r="646" ht="14.25" customHeight="1">
      <c r="A646" t="s">
        <v>97</v>
      </c>
      <c r="B646" t="s">
        <v>223</v>
      </c>
      <c r="C646" t="s">
        <v>155</v>
      </c>
      <c r="D646" t="s">
        <v>147</v>
      </c>
      <c r="E646" t="s">
        <v>148</v>
      </c>
      <c r="F646">
        <v>97413</v>
      </c>
    </row>
    <row r="647" ht="14.25" customHeight="1">
      <c r="A647" t="s">
        <v>89</v>
      </c>
      <c r="B647" t="s">
        <v>223</v>
      </c>
      <c r="C647" t="s">
        <v>155</v>
      </c>
      <c r="D647" t="s">
        <v>147</v>
      </c>
      <c r="E647" t="s">
        <v>148</v>
      </c>
      <c r="F647">
        <v>58448</v>
      </c>
    </row>
    <row r="648" ht="14.25" customHeight="1">
      <c r="A648" t="s">
        <v>91</v>
      </c>
      <c r="B648" t="s">
        <v>223</v>
      </c>
      <c r="C648" t="s">
        <v>155</v>
      </c>
      <c r="D648" t="s">
        <v>147</v>
      </c>
      <c r="E648" t="s">
        <v>148</v>
      </c>
      <c r="F648">
        <v>58448</v>
      </c>
    </row>
    <row r="649" ht="14.25" customHeight="1">
      <c r="A649" t="s">
        <v>86</v>
      </c>
      <c r="B649" t="s">
        <v>223</v>
      </c>
      <c r="C649" t="s">
        <v>155</v>
      </c>
      <c r="D649" t="s">
        <v>147</v>
      </c>
      <c r="E649" t="s">
        <v>148</v>
      </c>
      <c r="F649">
        <v>58448</v>
      </c>
    </row>
    <row r="650" ht="14.25" customHeight="1">
      <c r="A650" t="s">
        <v>106</v>
      </c>
      <c r="B650" t="s">
        <v>223</v>
      </c>
      <c r="C650" t="s">
        <v>155</v>
      </c>
      <c r="D650" t="s">
        <v>147</v>
      </c>
      <c r="E650" t="s">
        <v>148</v>
      </c>
      <c r="F650">
        <v>77931</v>
      </c>
    </row>
    <row r="651" ht="14.25" customHeight="1">
      <c r="A651" t="s">
        <v>105</v>
      </c>
      <c r="B651" t="s">
        <v>223</v>
      </c>
      <c r="C651" t="s">
        <v>155</v>
      </c>
      <c r="D651" t="s">
        <v>147</v>
      </c>
      <c r="E651" t="s">
        <v>148</v>
      </c>
      <c r="F651">
        <v>77931</v>
      </c>
    </row>
    <row r="652" ht="14.25" customHeight="1">
      <c r="A652" t="s">
        <v>108</v>
      </c>
      <c r="B652" t="s">
        <v>223</v>
      </c>
      <c r="C652" t="s">
        <v>155</v>
      </c>
      <c r="D652" t="s">
        <v>147</v>
      </c>
      <c r="E652" t="s">
        <v>148</v>
      </c>
      <c r="F652">
        <v>58448</v>
      </c>
    </row>
    <row r="653" ht="14.25" customHeight="1">
      <c r="A653" t="s">
        <v>107</v>
      </c>
      <c r="B653" t="s">
        <v>223</v>
      </c>
      <c r="C653" t="s">
        <v>155</v>
      </c>
      <c r="D653" t="s">
        <v>147</v>
      </c>
      <c r="E653" t="s">
        <v>148</v>
      </c>
      <c r="F653">
        <v>58448</v>
      </c>
    </row>
    <row r="654" ht="14.25" customHeight="1">
      <c r="A654" t="s">
        <v>104</v>
      </c>
      <c r="B654" t="s">
        <v>223</v>
      </c>
      <c r="C654" t="s">
        <v>152</v>
      </c>
      <c r="D654" t="s">
        <v>147</v>
      </c>
      <c r="E654" t="s">
        <v>148</v>
      </c>
      <c r="F654">
        <v>154887</v>
      </c>
    </row>
    <row r="655" ht="14.25" customHeight="1">
      <c r="A655" t="s">
        <v>101</v>
      </c>
      <c r="B655" t="s">
        <v>223</v>
      </c>
      <c r="C655" t="s">
        <v>152</v>
      </c>
      <c r="D655" t="s">
        <v>147</v>
      </c>
      <c r="E655" t="s">
        <v>148</v>
      </c>
      <c r="F655">
        <v>134236</v>
      </c>
    </row>
    <row r="656" ht="14.25" customHeight="1">
      <c r="A656" t="s">
        <v>103</v>
      </c>
      <c r="B656" t="s">
        <v>223</v>
      </c>
      <c r="C656" t="s">
        <v>152</v>
      </c>
      <c r="D656" t="s">
        <v>147</v>
      </c>
      <c r="E656" t="s">
        <v>148</v>
      </c>
      <c r="F656">
        <v>123910</v>
      </c>
    </row>
    <row r="657" ht="14.25" customHeight="1">
      <c r="A657" t="s">
        <v>99</v>
      </c>
      <c r="B657" t="s">
        <v>223</v>
      </c>
      <c r="C657" t="s">
        <v>152</v>
      </c>
      <c r="D657" t="s">
        <v>147</v>
      </c>
      <c r="E657" t="s">
        <v>148</v>
      </c>
      <c r="F657">
        <v>103258</v>
      </c>
    </row>
    <row r="658" ht="14.25" customHeight="1">
      <c r="A658" t="s">
        <v>95</v>
      </c>
      <c r="B658" t="s">
        <v>223</v>
      </c>
      <c r="C658" t="s">
        <v>152</v>
      </c>
      <c r="D658" t="s">
        <v>147</v>
      </c>
      <c r="E658" t="s">
        <v>148</v>
      </c>
      <c r="F658">
        <v>154887</v>
      </c>
    </row>
    <row r="659" ht="14.25" customHeight="1">
      <c r="A659" t="s">
        <v>93</v>
      </c>
      <c r="B659" t="s">
        <v>223</v>
      </c>
      <c r="C659" t="s">
        <v>152</v>
      </c>
      <c r="D659" t="s">
        <v>147</v>
      </c>
      <c r="E659" t="s">
        <v>148</v>
      </c>
      <c r="F659">
        <v>103258</v>
      </c>
    </row>
    <row r="660" ht="14.25" customHeight="1">
      <c r="A660" t="s">
        <v>97</v>
      </c>
      <c r="B660" t="s">
        <v>223</v>
      </c>
      <c r="C660" t="s">
        <v>152</v>
      </c>
      <c r="D660" t="s">
        <v>147</v>
      </c>
      <c r="E660" t="s">
        <v>148</v>
      </c>
      <c r="F660">
        <v>103258</v>
      </c>
    </row>
    <row r="661" ht="14.25" customHeight="1">
      <c r="A661" t="s">
        <v>89</v>
      </c>
      <c r="B661" t="s">
        <v>223</v>
      </c>
      <c r="C661" t="s">
        <v>152</v>
      </c>
      <c r="D661" t="s">
        <v>147</v>
      </c>
      <c r="E661" t="s">
        <v>148</v>
      </c>
      <c r="F661">
        <v>61955</v>
      </c>
    </row>
    <row r="662" ht="14.25" customHeight="1">
      <c r="A662" t="s">
        <v>91</v>
      </c>
      <c r="B662" t="s">
        <v>223</v>
      </c>
      <c r="C662" t="s">
        <v>152</v>
      </c>
      <c r="D662" t="s">
        <v>147</v>
      </c>
      <c r="E662" t="s">
        <v>148</v>
      </c>
      <c r="F662">
        <v>61955</v>
      </c>
    </row>
    <row r="663" ht="14.25" customHeight="1">
      <c r="A663" t="s">
        <v>86</v>
      </c>
      <c r="B663" t="s">
        <v>223</v>
      </c>
      <c r="C663" t="s">
        <v>152</v>
      </c>
      <c r="D663" t="s">
        <v>147</v>
      </c>
      <c r="E663" t="s">
        <v>148</v>
      </c>
      <c r="F663">
        <v>61955</v>
      </c>
    </row>
    <row r="664" ht="14.25" customHeight="1">
      <c r="A664" t="s">
        <v>106</v>
      </c>
      <c r="B664" t="s">
        <v>223</v>
      </c>
      <c r="C664" t="s">
        <v>152</v>
      </c>
      <c r="D664" t="s">
        <v>147</v>
      </c>
      <c r="E664" t="s">
        <v>148</v>
      </c>
      <c r="F664">
        <v>82607</v>
      </c>
    </row>
    <row r="665" ht="14.25" customHeight="1">
      <c r="A665" t="s">
        <v>105</v>
      </c>
      <c r="B665" t="s">
        <v>223</v>
      </c>
      <c r="C665" t="s">
        <v>152</v>
      </c>
      <c r="D665" t="s">
        <v>147</v>
      </c>
      <c r="E665" t="s">
        <v>148</v>
      </c>
      <c r="F665">
        <v>82607</v>
      </c>
    </row>
    <row r="666" ht="14.25" customHeight="1">
      <c r="A666" t="s">
        <v>108</v>
      </c>
      <c r="B666" t="s">
        <v>223</v>
      </c>
      <c r="C666" t="s">
        <v>152</v>
      </c>
      <c r="D666" t="s">
        <v>147</v>
      </c>
      <c r="E666" t="s">
        <v>148</v>
      </c>
      <c r="F666">
        <v>61955</v>
      </c>
    </row>
    <row r="667" ht="14.25" customHeight="1">
      <c r="A667" t="s">
        <v>107</v>
      </c>
      <c r="B667" t="s">
        <v>223</v>
      </c>
      <c r="C667" t="s">
        <v>152</v>
      </c>
      <c r="D667" t="s">
        <v>147</v>
      </c>
      <c r="E667" t="s">
        <v>148</v>
      </c>
      <c r="F667">
        <v>61955</v>
      </c>
    </row>
    <row r="668" ht="14.25" customHeight="1">
      <c r="A668" t="s">
        <v>105</v>
      </c>
      <c r="B668" t="s">
        <v>200</v>
      </c>
      <c r="C668" t="s">
        <v>156</v>
      </c>
      <c r="D668" t="s">
        <v>147</v>
      </c>
      <c r="E668" t="s">
        <v>148</v>
      </c>
      <c r="F668">
        <v>998130</v>
      </c>
    </row>
    <row r="669" ht="14.25" customHeight="1">
      <c r="A669" t="s">
        <v>105</v>
      </c>
      <c r="B669" t="s">
        <v>200</v>
      </c>
      <c r="C669" t="s">
        <v>155</v>
      </c>
      <c r="D669" t="s">
        <v>147</v>
      </c>
      <c r="E669" t="s">
        <v>148</v>
      </c>
      <c r="F669">
        <v>1062150</v>
      </c>
    </row>
    <row r="670" ht="14.25" customHeight="1">
      <c r="A670" t="s">
        <v>105</v>
      </c>
      <c r="B670" t="s">
        <v>200</v>
      </c>
      <c r="C670" t="s">
        <v>152</v>
      </c>
      <c r="D670" t="s">
        <v>147</v>
      </c>
      <c r="E670" t="s">
        <v>148</v>
      </c>
      <c r="F670">
        <v>1126170</v>
      </c>
    </row>
    <row r="671" ht="14.25" customHeight="1">
      <c r="A671" t="s">
        <v>106</v>
      </c>
      <c r="B671" t="s">
        <v>200</v>
      </c>
      <c r="C671" t="s">
        <v>156</v>
      </c>
      <c r="D671" t="s">
        <v>147</v>
      </c>
      <c r="E671" t="s">
        <v>148</v>
      </c>
      <c r="F671">
        <v>1392300</v>
      </c>
    </row>
    <row r="672" ht="14.25" customHeight="1">
      <c r="A672" t="s">
        <v>106</v>
      </c>
      <c r="B672" t="s">
        <v>200</v>
      </c>
      <c r="C672" t="s">
        <v>155</v>
      </c>
      <c r="D672" t="s">
        <v>147</v>
      </c>
      <c r="E672" t="s">
        <v>148</v>
      </c>
      <c r="F672">
        <v>1461600</v>
      </c>
    </row>
    <row r="673" ht="14.25" customHeight="1">
      <c r="A673" t="s">
        <v>106</v>
      </c>
      <c r="B673" t="s">
        <v>200</v>
      </c>
      <c r="C673" t="s">
        <v>152</v>
      </c>
      <c r="D673" t="s">
        <v>147</v>
      </c>
      <c r="E673" t="s">
        <v>148</v>
      </c>
      <c r="F673">
        <v>1565550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3402858-5B1A-95A6-FF08-B241788A84C8}" mc:Ignorable="x14ac xr xr2 xr3">
  <dimension ref="A1:AC2790"/>
  <sheetViews>
    <sheetView topLeftCell="A1" workbookViewId="0">
      <selection activeCell="A1" sqref="A1:AC2"/>
    </sheetView>
  </sheetViews>
  <sheetFormatPr defaultRowHeight="14.25" defaultColWidth="9.140625" customHeight="1"/>
  <cols>
    <col min="8" max="8" width="15.00390625" customWidth="1"/>
    <col min="9" max="9" width="13.00390625" customWidth="1"/>
  </cols>
  <sheetData>
    <row r="1" ht="14.25" customHeight="1">
      <c r="A1" s="11" t="s">
        <v>122</v>
      </c>
      <c r="B1" s="11" t="s">
        <v>224</v>
      </c>
      <c r="C1" s="11" t="s">
        <v>25</v>
      </c>
      <c r="D1" s="11" t="s">
        <v>178</v>
      </c>
      <c r="E1" s="11" t="s">
        <v>120</v>
      </c>
      <c r="F1" s="11" t="s">
        <v>225</v>
      </c>
      <c r="G1" s="11" t="s">
        <v>226</v>
      </c>
      <c r="H1" t="s">
        <v>227</v>
      </c>
      <c r="I1" t="s">
        <v>228</v>
      </c>
    </row>
    <row r="2" ht="14.25" customHeight="1">
      <c r="A2" t="s">
        <v>104</v>
      </c>
      <c r="B2" t="s">
        <v>200</v>
      </c>
      <c r="C2" t="s">
        <v>156</v>
      </c>
      <c r="D2" t="s">
        <v>229</v>
      </c>
      <c r="E2" t="s">
        <v>147</v>
      </c>
      <c r="F2" t="s">
        <v>148</v>
      </c>
      <c r="G2">
        <v>2201360</v>
      </c>
      <c r="H2">
        <f>IF(PNL!A2="","",_CALC_PNL!P2)</f>
        <v>2201360</v>
      </c>
      <c r="I2" t="str">
        <f>IF(PNL!A2="","",IF(_CALC_PNL!E2=1,H2-G2,""))</f>
        <v/>
      </c>
    </row>
    <row r="3" ht="14.25" customHeight="1">
      <c r="A3" t="s">
        <v>101</v>
      </c>
      <c r="B3" t="s">
        <v>200</v>
      </c>
      <c r="C3" t="s">
        <v>156</v>
      </c>
      <c r="D3" t="s">
        <v>229</v>
      </c>
      <c r="E3" t="s">
        <v>147</v>
      </c>
      <c r="F3" t="s">
        <v>148</v>
      </c>
      <c r="G3">
        <v>1751925</v>
      </c>
      <c r="H3">
        <f>IF(PNL!A3="","",_CALC_PNL!P3)</f>
        <v>1751925</v>
      </c>
      <c r="I3" t="str">
        <f>IF(PNL!A3="","",IF(_CALC_PNL!E3=1,H3-G3,""))</f>
        <v/>
      </c>
    </row>
    <row r="4" ht="14.25" customHeight="1">
      <c r="A4" t="s">
        <v>103</v>
      </c>
      <c r="B4" t="s">
        <v>200</v>
      </c>
      <c r="C4" t="s">
        <v>156</v>
      </c>
      <c r="D4" t="s">
        <v>229</v>
      </c>
      <c r="E4" t="s">
        <v>147</v>
      </c>
      <c r="F4" t="s">
        <v>148</v>
      </c>
      <c r="G4">
        <v>1516000</v>
      </c>
      <c r="H4">
        <f>IF(PNL!A4="","",_CALC_PNL!P4)</f>
        <v>1516000</v>
      </c>
      <c r="I4" t="str">
        <f>IF(PNL!A4="","",IF(_CALC_PNL!E4=1,H4-G4,""))</f>
        <v/>
      </c>
    </row>
    <row r="5" ht="14.25" customHeight="1">
      <c r="A5" t="s">
        <v>99</v>
      </c>
      <c r="B5" t="s">
        <v>200</v>
      </c>
      <c r="C5" t="s">
        <v>156</v>
      </c>
      <c r="D5" t="s">
        <v>229</v>
      </c>
      <c r="E5" t="s">
        <v>147</v>
      </c>
      <c r="F5" t="s">
        <v>148</v>
      </c>
      <c r="G5">
        <v>1238205</v>
      </c>
      <c r="H5">
        <f>IF(PNL!A5="","",_CALC_PNL!P5)</f>
        <v>1238205</v>
      </c>
      <c r="I5" t="str">
        <f>IF(PNL!A5="","",IF(_CALC_PNL!E5=1,H5-G5,""))</f>
        <v/>
      </c>
    </row>
    <row r="6" ht="14.25" customHeight="1">
      <c r="A6" t="s">
        <v>95</v>
      </c>
      <c r="B6" t="s">
        <v>200</v>
      </c>
      <c r="C6" t="s">
        <v>156</v>
      </c>
      <c r="D6" t="s">
        <v>229</v>
      </c>
      <c r="E6" t="s">
        <v>147</v>
      </c>
      <c r="F6" t="s">
        <v>148</v>
      </c>
      <c r="G6">
        <v>2031120</v>
      </c>
      <c r="H6">
        <f>IF(PNL!A6="","",_CALC_PNL!P6)</f>
        <v>2031120</v>
      </c>
      <c r="I6" t="str">
        <f>IF(PNL!A6="","",IF(_CALC_PNL!E6=1,H6-G6,""))</f>
        <v/>
      </c>
    </row>
    <row r="7" ht="14.25" customHeight="1">
      <c r="A7" t="s">
        <v>93</v>
      </c>
      <c r="B7" t="s">
        <v>200</v>
      </c>
      <c r="C7" t="s">
        <v>156</v>
      </c>
      <c r="D7" t="s">
        <v>229</v>
      </c>
      <c r="E7" t="s">
        <v>147</v>
      </c>
      <c r="F7" t="s">
        <v>148</v>
      </c>
      <c r="G7">
        <v>1229900</v>
      </c>
      <c r="H7">
        <f>IF(PNL!A7="","",_CALC_PNL!P7)</f>
        <v>1229900</v>
      </c>
      <c r="I7" t="str">
        <f>IF(PNL!A7="","",IF(_CALC_PNL!E7=1,H7-G7,""))</f>
        <v/>
      </c>
    </row>
    <row r="8" ht="14.25" customHeight="1">
      <c r="A8" t="s">
        <v>97</v>
      </c>
      <c r="B8" t="s">
        <v>200</v>
      </c>
      <c r="C8" t="s">
        <v>156</v>
      </c>
      <c r="D8" t="s">
        <v>229</v>
      </c>
      <c r="E8" t="s">
        <v>147</v>
      </c>
      <c r="F8" t="s">
        <v>148</v>
      </c>
      <c r="G8">
        <v>1141920</v>
      </c>
      <c r="H8">
        <f>IF(PNL!A8="","",_CALC_PNL!P8)</f>
        <v>1141920</v>
      </c>
      <c r="I8" t="str">
        <f>IF(PNL!A8="","",IF(_CALC_PNL!E8=1,H8-G8,""))</f>
        <v/>
      </c>
    </row>
    <row r="9" ht="14.25" customHeight="1">
      <c r="A9" t="s">
        <v>89</v>
      </c>
      <c r="B9" t="s">
        <v>200</v>
      </c>
      <c r="C9" t="s">
        <v>156</v>
      </c>
      <c r="D9" t="s">
        <v>229</v>
      </c>
      <c r="E9" t="s">
        <v>147</v>
      </c>
      <c r="F9" t="s">
        <v>148</v>
      </c>
      <c r="G9">
        <v>903000</v>
      </c>
      <c r="H9">
        <f>IF(PNL!A9="","",_CALC_PNL!P9)</f>
        <v>903000</v>
      </c>
      <c r="I9" t="str">
        <f>IF(PNL!A9="","",IF(_CALC_PNL!E9=1,H9-G9,""))</f>
        <v/>
      </c>
    </row>
    <row r="10" ht="14.25" customHeight="1">
      <c r="A10" t="s">
        <v>91</v>
      </c>
      <c r="B10" t="s">
        <v>200</v>
      </c>
      <c r="C10" t="s">
        <v>156</v>
      </c>
      <c r="D10" t="s">
        <v>229</v>
      </c>
      <c r="E10" t="s">
        <v>147</v>
      </c>
      <c r="F10" t="s">
        <v>148</v>
      </c>
      <c r="G10">
        <v>698250</v>
      </c>
      <c r="H10">
        <f>IF(PNL!A10="","",_CALC_PNL!P10)</f>
        <v>698250</v>
      </c>
      <c r="I10" t="str">
        <f>IF(PNL!A10="","",IF(_CALC_PNL!E10=1,H10-G10,""))</f>
        <v/>
      </c>
    </row>
    <row r="11" ht="14.25" customHeight="1">
      <c r="A11" t="s">
        <v>86</v>
      </c>
      <c r="B11" t="s">
        <v>200</v>
      </c>
      <c r="C11" t="s">
        <v>156</v>
      </c>
      <c r="D11" t="s">
        <v>229</v>
      </c>
      <c r="E11" t="s">
        <v>147</v>
      </c>
      <c r="F11" t="s">
        <v>148</v>
      </c>
      <c r="G11">
        <v>698250</v>
      </c>
      <c r="H11">
        <f>IF(PNL!A11="","",_CALC_PNL!P11)</f>
        <v>698250</v>
      </c>
      <c r="I11" t="str">
        <f>IF(PNL!A11="","",IF(_CALC_PNL!E11=1,H11-G11,""))</f>
        <v/>
      </c>
    </row>
    <row r="12" ht="14.25" customHeight="1">
      <c r="A12" t="s">
        <v>108</v>
      </c>
      <c r="B12" t="s">
        <v>200</v>
      </c>
      <c r="C12" t="s">
        <v>156</v>
      </c>
      <c r="D12" t="s">
        <v>229</v>
      </c>
      <c r="E12" t="s">
        <v>147</v>
      </c>
      <c r="F12" t="s">
        <v>148</v>
      </c>
      <c r="G12">
        <v>964320</v>
      </c>
      <c r="H12">
        <f>IF(PNL!A12="","",_CALC_PNL!P12)</f>
        <v>964320</v>
      </c>
      <c r="I12" t="str">
        <f>IF(PNL!A12="","",IF(_CALC_PNL!E12=1,H12-G12,""))</f>
        <v/>
      </c>
    </row>
    <row r="13" ht="14.25" customHeight="1">
      <c r="A13" t="s">
        <v>107</v>
      </c>
      <c r="B13" t="s">
        <v>200</v>
      </c>
      <c r="C13" t="s">
        <v>156</v>
      </c>
      <c r="D13" t="s">
        <v>229</v>
      </c>
      <c r="E13" t="s">
        <v>147</v>
      </c>
      <c r="F13" t="s">
        <v>148</v>
      </c>
      <c r="G13">
        <v>771750</v>
      </c>
      <c r="H13">
        <f>IF(PNL!A13="","",_CALC_PNL!P13)</f>
        <v>771750</v>
      </c>
      <c r="I13" t="str">
        <f>IF(PNL!A13="","",IF(_CALC_PNL!E13=1,H13-G13,""))</f>
        <v/>
      </c>
    </row>
    <row r="14" ht="14.25" customHeight="1">
      <c r="A14" t="s">
        <v>104</v>
      </c>
      <c r="B14" t="s">
        <v>200</v>
      </c>
      <c r="C14" t="s">
        <v>155</v>
      </c>
      <c r="D14" t="s">
        <v>229</v>
      </c>
      <c r="E14" t="s">
        <v>147</v>
      </c>
      <c r="F14" t="s">
        <v>148</v>
      </c>
      <c r="G14">
        <v>2339680</v>
      </c>
      <c r="H14">
        <f>IF(PNL!A14="","",_CALC_PNL!P14)</f>
        <v>2339680</v>
      </c>
      <c r="I14" t="str">
        <f>IF(PNL!A14="","",IF(_CALC_PNL!E14=1,H14-G14,""))</f>
        <v/>
      </c>
    </row>
    <row r="15" ht="14.25" customHeight="1">
      <c r="A15" t="s">
        <v>101</v>
      </c>
      <c r="B15" t="s">
        <v>200</v>
      </c>
      <c r="C15" t="s">
        <v>155</v>
      </c>
      <c r="D15" t="s">
        <v>229</v>
      </c>
      <c r="E15" t="s">
        <v>147</v>
      </c>
      <c r="F15" t="s">
        <v>148</v>
      </c>
      <c r="G15">
        <v>1843275</v>
      </c>
      <c r="H15">
        <f>IF(PNL!A15="","",_CALC_PNL!P15)</f>
        <v>1843275</v>
      </c>
      <c r="I15" t="str">
        <f>IF(PNL!A15="","",IF(_CALC_PNL!E15=1,H15-G15,""))</f>
        <v/>
      </c>
    </row>
    <row r="16" ht="14.25" customHeight="1">
      <c r="A16" t="s">
        <v>103</v>
      </c>
      <c r="B16" t="s">
        <v>200</v>
      </c>
      <c r="C16" t="s">
        <v>155</v>
      </c>
      <c r="D16" t="s">
        <v>229</v>
      </c>
      <c r="E16" t="s">
        <v>147</v>
      </c>
      <c r="F16" t="s">
        <v>148</v>
      </c>
      <c r="G16">
        <v>1610500</v>
      </c>
      <c r="H16">
        <f>IF(PNL!A16="","",_CALC_PNL!P16)</f>
        <v>1610500</v>
      </c>
      <c r="I16" t="str">
        <f>IF(PNL!A16="","",IF(_CALC_PNL!E16=1,H16-G16,""))</f>
        <v/>
      </c>
    </row>
    <row r="17" ht="14.25" customHeight="1">
      <c r="A17" t="s">
        <v>99</v>
      </c>
      <c r="B17" t="s">
        <v>200</v>
      </c>
      <c r="C17" t="s">
        <v>155</v>
      </c>
      <c r="D17" t="s">
        <v>229</v>
      </c>
      <c r="E17" t="s">
        <v>147</v>
      </c>
      <c r="F17" t="s">
        <v>148</v>
      </c>
      <c r="G17">
        <v>1309015</v>
      </c>
      <c r="H17">
        <f>IF(PNL!A17="","",_CALC_PNL!P17)</f>
        <v>1309015</v>
      </c>
      <c r="I17" t="str">
        <f>IF(PNL!A17="","",IF(_CALC_PNL!E17=1,H17-G17,""))</f>
        <v/>
      </c>
    </row>
    <row r="18" ht="14.25" customHeight="1">
      <c r="A18" t="s">
        <v>95</v>
      </c>
      <c r="B18" t="s">
        <v>200</v>
      </c>
      <c r="C18" t="s">
        <v>155</v>
      </c>
      <c r="D18" t="s">
        <v>229</v>
      </c>
      <c r="E18" t="s">
        <v>147</v>
      </c>
      <c r="F18" t="s">
        <v>148</v>
      </c>
      <c r="G18">
        <v>2161040</v>
      </c>
      <c r="H18">
        <f>IF(PNL!A18="","",_CALC_PNL!P18)</f>
        <v>2161040</v>
      </c>
      <c r="I18" t="str">
        <f>IF(PNL!A18="","",IF(_CALC_PNL!E18=1,H18-G18,""))</f>
        <v/>
      </c>
    </row>
    <row r="19" ht="14.25" customHeight="1">
      <c r="A19" t="s">
        <v>93</v>
      </c>
      <c r="B19" t="s">
        <v>200</v>
      </c>
      <c r="C19" t="s">
        <v>155</v>
      </c>
      <c r="D19" t="s">
        <v>229</v>
      </c>
      <c r="E19" t="s">
        <v>147</v>
      </c>
      <c r="F19" t="s">
        <v>148</v>
      </c>
      <c r="G19">
        <v>1294090</v>
      </c>
      <c r="H19">
        <f>IF(PNL!A19="","",_CALC_PNL!P19)</f>
        <v>1294090</v>
      </c>
      <c r="I19" t="str">
        <f>IF(PNL!A19="","",IF(_CALC_PNL!E19=1,H19-G19,""))</f>
        <v/>
      </c>
    </row>
    <row r="20" ht="14.25" customHeight="1">
      <c r="A20" t="s">
        <v>97</v>
      </c>
      <c r="B20" t="s">
        <v>200</v>
      </c>
      <c r="C20" t="s">
        <v>155</v>
      </c>
      <c r="D20" t="s">
        <v>229</v>
      </c>
      <c r="E20" t="s">
        <v>147</v>
      </c>
      <c r="F20" t="s">
        <v>148</v>
      </c>
      <c r="G20">
        <v>1197600</v>
      </c>
      <c r="H20">
        <f>IF(PNL!A20="","",_CALC_PNL!P20)</f>
        <v>1197600</v>
      </c>
      <c r="I20" t="str">
        <f>IF(PNL!A20="","",IF(_CALC_PNL!E20=1,H20-G20,""))</f>
        <v/>
      </c>
    </row>
    <row r="21" ht="14.25" customHeight="1">
      <c r="A21" t="s">
        <v>89</v>
      </c>
      <c r="B21" t="s">
        <v>200</v>
      </c>
      <c r="C21" t="s">
        <v>155</v>
      </c>
      <c r="D21" t="s">
        <v>229</v>
      </c>
      <c r="E21" t="s">
        <v>147</v>
      </c>
      <c r="F21" t="s">
        <v>148</v>
      </c>
      <c r="G21">
        <v>952000</v>
      </c>
      <c r="H21">
        <f>IF(PNL!A21="","",_CALC_PNL!P21)</f>
        <v>952000</v>
      </c>
      <c r="I21" t="str">
        <f>IF(PNL!A21="","",IF(_CALC_PNL!E21=1,H21-G21,""))</f>
        <v/>
      </c>
    </row>
    <row r="22" ht="14.25" customHeight="1">
      <c r="A22" t="s">
        <v>91</v>
      </c>
      <c r="B22" t="s">
        <v>200</v>
      </c>
      <c r="C22" t="s">
        <v>155</v>
      </c>
      <c r="D22" t="s">
        <v>229</v>
      </c>
      <c r="E22" t="s">
        <v>147</v>
      </c>
      <c r="F22" t="s">
        <v>148</v>
      </c>
      <c r="G22">
        <v>738150</v>
      </c>
      <c r="H22">
        <f>IF(PNL!A22="","",_CALC_PNL!P22)</f>
        <v>738150</v>
      </c>
      <c r="I22" t="str">
        <f>IF(PNL!A22="","",IF(_CALC_PNL!E22=1,H22-G22,""))</f>
        <v/>
      </c>
    </row>
    <row r="23" ht="14.25" customHeight="1">
      <c r="A23" t="s">
        <v>86</v>
      </c>
      <c r="B23" t="s">
        <v>200</v>
      </c>
      <c r="C23" t="s">
        <v>155</v>
      </c>
      <c r="D23" t="s">
        <v>229</v>
      </c>
      <c r="E23" t="s">
        <v>147</v>
      </c>
      <c r="F23" t="s">
        <v>148</v>
      </c>
      <c r="G23">
        <v>738150</v>
      </c>
      <c r="H23">
        <f>IF(PNL!A23="","",_CALC_PNL!P23)</f>
        <v>738150</v>
      </c>
      <c r="I23" t="str">
        <f>IF(PNL!A23="","",IF(_CALC_PNL!E23=1,H23-G23,""))</f>
        <v/>
      </c>
    </row>
    <row r="24" ht="14.25" customHeight="1">
      <c r="A24" t="s">
        <v>108</v>
      </c>
      <c r="B24" t="s">
        <v>200</v>
      </c>
      <c r="C24" t="s">
        <v>155</v>
      </c>
      <c r="D24" t="s">
        <v>229</v>
      </c>
      <c r="E24" t="s">
        <v>147</v>
      </c>
      <c r="F24" t="s">
        <v>148</v>
      </c>
      <c r="G24">
        <v>1011360</v>
      </c>
      <c r="H24">
        <f>IF(PNL!A24="","",_CALC_PNL!P24)</f>
        <v>1011360</v>
      </c>
      <c r="I24" t="str">
        <f>IF(PNL!A24="","",IF(_CALC_PNL!E24=1,H24-G24,""))</f>
        <v/>
      </c>
    </row>
    <row r="25" ht="14.25" customHeight="1">
      <c r="A25" t="s">
        <v>107</v>
      </c>
      <c r="B25" t="s">
        <v>200</v>
      </c>
      <c r="C25" t="s">
        <v>155</v>
      </c>
      <c r="D25" t="s">
        <v>229</v>
      </c>
      <c r="E25" t="s">
        <v>147</v>
      </c>
      <c r="F25" t="s">
        <v>148</v>
      </c>
      <c r="G25">
        <v>815850</v>
      </c>
      <c r="H25">
        <f>IF(PNL!A25="","",_CALC_PNL!P25)</f>
        <v>815850</v>
      </c>
      <c r="I25" t="str">
        <f>IF(PNL!A25="","",IF(_CALC_PNL!E25=1,H25-G25,""))</f>
        <v/>
      </c>
    </row>
    <row r="26" ht="14.25" customHeight="1">
      <c r="A26" t="s">
        <v>104</v>
      </c>
      <c r="B26" t="s">
        <v>200</v>
      </c>
      <c r="C26" t="s">
        <v>152</v>
      </c>
      <c r="D26" t="s">
        <v>229</v>
      </c>
      <c r="E26" t="s">
        <v>147</v>
      </c>
      <c r="F26" t="s">
        <v>148</v>
      </c>
      <c r="G26">
        <v>2469600</v>
      </c>
      <c r="H26">
        <f>IF(PNL!A26="","",_CALC_PNL!P26)</f>
        <v>2469600</v>
      </c>
      <c r="I26" t="str">
        <f>IF(PNL!A26="","",IF(_CALC_PNL!E26=1,H26-G26,""))</f>
        <v/>
      </c>
    </row>
    <row r="27" ht="14.25" customHeight="1">
      <c r="A27" t="s">
        <v>101</v>
      </c>
      <c r="B27" t="s">
        <v>200</v>
      </c>
      <c r="C27" t="s">
        <v>152</v>
      </c>
      <c r="D27" t="s">
        <v>229</v>
      </c>
      <c r="E27" t="s">
        <v>147</v>
      </c>
      <c r="F27" t="s">
        <v>148</v>
      </c>
      <c r="G27">
        <v>1965075</v>
      </c>
      <c r="H27">
        <f>IF(PNL!A27="","",_CALC_PNL!P27)</f>
        <v>1965075</v>
      </c>
      <c r="I27" t="str">
        <f>IF(PNL!A27="","",IF(_CALC_PNL!E27=1,H27-G27,""))</f>
        <v/>
      </c>
    </row>
    <row r="28" ht="14.25" customHeight="1">
      <c r="A28" t="s">
        <v>103</v>
      </c>
      <c r="B28" t="s">
        <v>200</v>
      </c>
      <c r="C28" t="s">
        <v>152</v>
      </c>
      <c r="D28" t="s">
        <v>229</v>
      </c>
      <c r="E28" t="s">
        <v>147</v>
      </c>
      <c r="F28" t="s">
        <v>148</v>
      </c>
      <c r="G28">
        <v>1697500</v>
      </c>
      <c r="H28">
        <f>IF(PNL!A28="","",_CALC_PNL!P28)</f>
        <v>1697500</v>
      </c>
      <c r="I28" t="str">
        <f>IF(PNL!A28="","",IF(_CALC_PNL!E28=1,H28-G28,""))</f>
        <v/>
      </c>
    </row>
    <row r="29" ht="14.25" customHeight="1">
      <c r="A29" t="s">
        <v>99</v>
      </c>
      <c r="B29" t="s">
        <v>200</v>
      </c>
      <c r="C29" t="s">
        <v>152</v>
      </c>
      <c r="D29" t="s">
        <v>229</v>
      </c>
      <c r="E29" t="s">
        <v>147</v>
      </c>
      <c r="F29" t="s">
        <v>148</v>
      </c>
      <c r="G29">
        <v>1393405</v>
      </c>
      <c r="H29">
        <f>IF(PNL!A29="","",_CALC_PNL!P29)</f>
        <v>1393405</v>
      </c>
      <c r="I29" t="str">
        <f>IF(PNL!A29="","",IF(_CALC_PNL!E29=1,H29-G29,""))</f>
        <v/>
      </c>
    </row>
    <row r="30" ht="14.25" customHeight="1">
      <c r="A30" t="s">
        <v>95</v>
      </c>
      <c r="B30" t="s">
        <v>200</v>
      </c>
      <c r="C30" t="s">
        <v>152</v>
      </c>
      <c r="D30" t="s">
        <v>229</v>
      </c>
      <c r="E30" t="s">
        <v>147</v>
      </c>
      <c r="F30" t="s">
        <v>148</v>
      </c>
      <c r="G30">
        <v>2290960</v>
      </c>
      <c r="H30">
        <f>IF(PNL!A30="","",_CALC_PNL!P30)</f>
        <v>2290960</v>
      </c>
      <c r="I30" t="str">
        <f>IF(PNL!A30="","",IF(_CALC_PNL!E30=1,H30-G30,""))</f>
        <v/>
      </c>
    </row>
    <row r="31" ht="14.25" customHeight="1">
      <c r="A31" t="s">
        <v>93</v>
      </c>
      <c r="B31" t="s">
        <v>200</v>
      </c>
      <c r="C31" t="s">
        <v>152</v>
      </c>
      <c r="D31" t="s">
        <v>229</v>
      </c>
      <c r="E31" t="s">
        <v>147</v>
      </c>
      <c r="F31" t="s">
        <v>148</v>
      </c>
      <c r="G31">
        <v>1379350</v>
      </c>
      <c r="H31">
        <f>IF(PNL!A31="","",_CALC_PNL!P31)</f>
        <v>1379350</v>
      </c>
      <c r="I31" t="str">
        <f>IF(PNL!A31="","",IF(_CALC_PNL!E31=1,H31-G31,""))</f>
        <v/>
      </c>
    </row>
    <row r="32" ht="14.25" customHeight="1">
      <c r="A32" t="s">
        <v>97</v>
      </c>
      <c r="B32" t="s">
        <v>200</v>
      </c>
      <c r="C32" t="s">
        <v>152</v>
      </c>
      <c r="D32" t="s">
        <v>229</v>
      </c>
      <c r="E32" t="s">
        <v>147</v>
      </c>
      <c r="F32" t="s">
        <v>148</v>
      </c>
      <c r="G32">
        <v>1281120</v>
      </c>
      <c r="H32">
        <f>IF(PNL!A32="","",_CALC_PNL!P32)</f>
        <v>1281120</v>
      </c>
      <c r="I32" t="str">
        <f>IF(PNL!A32="","",IF(_CALC_PNL!E32=1,H32-G32,""))</f>
        <v/>
      </c>
    </row>
    <row r="33" ht="14.25" customHeight="1">
      <c r="A33" t="s">
        <v>89</v>
      </c>
      <c r="B33" t="s">
        <v>200</v>
      </c>
      <c r="C33" t="s">
        <v>152</v>
      </c>
      <c r="D33" t="s">
        <v>229</v>
      </c>
      <c r="E33" t="s">
        <v>147</v>
      </c>
      <c r="F33" t="s">
        <v>148</v>
      </c>
      <c r="G33">
        <v>1015000</v>
      </c>
      <c r="H33">
        <f>IF(PNL!A33="","",_CALC_PNL!P33)</f>
        <v>1015000</v>
      </c>
      <c r="I33" t="str">
        <f>IF(PNL!A33="","",IF(_CALC_PNL!E33=1,H33-G33,""))</f>
        <v/>
      </c>
    </row>
    <row r="34" ht="14.25" customHeight="1">
      <c r="A34" t="s">
        <v>91</v>
      </c>
      <c r="B34" t="s">
        <v>200</v>
      </c>
      <c r="C34" t="s">
        <v>152</v>
      </c>
      <c r="D34" t="s">
        <v>229</v>
      </c>
      <c r="E34" t="s">
        <v>147</v>
      </c>
      <c r="F34" t="s">
        <v>148</v>
      </c>
      <c r="G34">
        <v>778050</v>
      </c>
      <c r="H34">
        <f>IF(PNL!A34="","",_CALC_PNL!P34)</f>
        <v>778050</v>
      </c>
      <c r="I34" t="str">
        <f>IF(PNL!A34="","",IF(_CALC_PNL!E34=1,H34-G34,""))</f>
        <v/>
      </c>
    </row>
    <row r="35" ht="14.25" customHeight="1">
      <c r="A35" t="s">
        <v>86</v>
      </c>
      <c r="B35" t="s">
        <v>200</v>
      </c>
      <c r="C35" t="s">
        <v>152</v>
      </c>
      <c r="D35" t="s">
        <v>229</v>
      </c>
      <c r="E35" t="s">
        <v>147</v>
      </c>
      <c r="F35" t="s">
        <v>148</v>
      </c>
      <c r="G35">
        <v>778050</v>
      </c>
      <c r="H35">
        <f>IF(PNL!A35="","",_CALC_PNL!P35)</f>
        <v>778050</v>
      </c>
      <c r="I35" t="str">
        <f>IF(PNL!A35="","",IF(_CALC_PNL!E35=1,H35-G35,""))</f>
        <v/>
      </c>
    </row>
    <row r="36" ht="14.25" customHeight="1">
      <c r="A36" t="s">
        <v>108</v>
      </c>
      <c r="B36" t="s">
        <v>200</v>
      </c>
      <c r="C36" t="s">
        <v>152</v>
      </c>
      <c r="D36" t="s">
        <v>229</v>
      </c>
      <c r="E36" t="s">
        <v>147</v>
      </c>
      <c r="F36" t="s">
        <v>148</v>
      </c>
      <c r="G36">
        <v>1081920</v>
      </c>
      <c r="H36">
        <f>IF(PNL!A36="","",_CALC_PNL!P36)</f>
        <v>1081920</v>
      </c>
      <c r="I36" t="str">
        <f>IF(PNL!A36="","",IF(_CALC_PNL!E36=1,H36-G36,""))</f>
        <v/>
      </c>
    </row>
    <row r="37" ht="14.25" customHeight="1">
      <c r="A37" t="s">
        <v>107</v>
      </c>
      <c r="B37" t="s">
        <v>200</v>
      </c>
      <c r="C37" t="s">
        <v>152</v>
      </c>
      <c r="D37" t="s">
        <v>229</v>
      </c>
      <c r="E37" t="s">
        <v>147</v>
      </c>
      <c r="F37" t="s">
        <v>148</v>
      </c>
      <c r="G37">
        <v>859950</v>
      </c>
      <c r="H37">
        <f>IF(PNL!A37="","",_CALC_PNL!P37)</f>
        <v>859950</v>
      </c>
      <c r="I37" t="str">
        <f>IF(PNL!A37="","",IF(_CALC_PNL!E37=1,H37-G37,""))</f>
        <v/>
      </c>
    </row>
    <row r="38" ht="14.25" customHeight="1">
      <c r="A38" t="s">
        <v>104</v>
      </c>
      <c r="B38" t="s">
        <v>201</v>
      </c>
      <c r="C38" t="s">
        <v>156</v>
      </c>
      <c r="D38" t="s">
        <v>229</v>
      </c>
      <c r="E38" t="s">
        <v>147</v>
      </c>
      <c r="F38" t="s">
        <v>148</v>
      </c>
      <c r="G38">
        <v>579600</v>
      </c>
      <c r="H38">
        <f>IF(PNL!A38="","",_CALC_PNL!P38)</f>
        <v>579600</v>
      </c>
      <c r="I38" t="str">
        <f>IF(PNL!A38="","",IF(_CALC_PNL!E38=1,H38-G38,""))</f>
        <v/>
      </c>
    </row>
    <row r="39" ht="14.25" customHeight="1">
      <c r="A39" t="s">
        <v>101</v>
      </c>
      <c r="B39" t="s">
        <v>201</v>
      </c>
      <c r="C39" t="s">
        <v>156</v>
      </c>
      <c r="D39" t="s">
        <v>229</v>
      </c>
      <c r="E39" t="s">
        <v>147</v>
      </c>
      <c r="F39" t="s">
        <v>148</v>
      </c>
      <c r="G39">
        <v>464625</v>
      </c>
      <c r="H39">
        <f>IF(PNL!A39="","",_CALC_PNL!P39)</f>
        <v>464625</v>
      </c>
      <c r="I39" t="str">
        <f>IF(PNL!A39="","",IF(_CALC_PNL!E39=1,H39-G39,""))</f>
        <v/>
      </c>
    </row>
    <row r="40" ht="14.25" customHeight="1">
      <c r="A40" t="s">
        <v>103</v>
      </c>
      <c r="B40" t="s">
        <v>201</v>
      </c>
      <c r="C40" t="s">
        <v>156</v>
      </c>
      <c r="D40" t="s">
        <v>229</v>
      </c>
      <c r="E40" t="s">
        <v>147</v>
      </c>
      <c r="F40" t="s">
        <v>148</v>
      </c>
      <c r="G40">
        <v>397500</v>
      </c>
      <c r="H40">
        <f>IF(PNL!A40="","",_CALC_PNL!P40)</f>
        <v>397500</v>
      </c>
      <c r="I40" t="str">
        <f>IF(PNL!A40="","",IF(_CALC_PNL!E40=1,H40-G40,""))</f>
        <v/>
      </c>
    </row>
    <row r="41" ht="14.25" customHeight="1">
      <c r="A41" t="s">
        <v>99</v>
      </c>
      <c r="B41" t="s">
        <v>201</v>
      </c>
      <c r="C41" t="s">
        <v>156</v>
      </c>
      <c r="D41" t="s">
        <v>229</v>
      </c>
      <c r="E41" t="s">
        <v>147</v>
      </c>
      <c r="F41" t="s">
        <v>148</v>
      </c>
      <c r="G41">
        <v>327375</v>
      </c>
      <c r="H41">
        <f>IF(PNL!A41="","",_CALC_PNL!P41)</f>
        <v>327375</v>
      </c>
      <c r="I41" t="str">
        <f>IF(PNL!A41="","",IF(_CALC_PNL!E41=1,H41-G41,""))</f>
        <v/>
      </c>
    </row>
    <row r="42" ht="14.25" customHeight="1">
      <c r="A42" t="s">
        <v>95</v>
      </c>
      <c r="B42" t="s">
        <v>201</v>
      </c>
      <c r="C42" t="s">
        <v>156</v>
      </c>
      <c r="D42" t="s">
        <v>229</v>
      </c>
      <c r="E42" t="s">
        <v>147</v>
      </c>
      <c r="F42" t="s">
        <v>148</v>
      </c>
      <c r="G42">
        <v>537600</v>
      </c>
      <c r="H42">
        <f>IF(PNL!A42="","",_CALC_PNL!P42)</f>
        <v>537600</v>
      </c>
      <c r="I42" t="str">
        <f>IF(PNL!A42="","",IF(_CALC_PNL!E42=1,H42-G42,""))</f>
        <v/>
      </c>
    </row>
    <row r="43" ht="14.25" customHeight="1">
      <c r="A43" t="s">
        <v>93</v>
      </c>
      <c r="B43" t="s">
        <v>201</v>
      </c>
      <c r="C43" t="s">
        <v>156</v>
      </c>
      <c r="D43" t="s">
        <v>229</v>
      </c>
      <c r="E43" t="s">
        <v>147</v>
      </c>
      <c r="F43" t="s">
        <v>148</v>
      </c>
      <c r="G43">
        <v>323400</v>
      </c>
      <c r="H43">
        <f>IF(PNL!A43="","",_CALC_PNL!P43)</f>
        <v>323400</v>
      </c>
      <c r="I43" t="str">
        <f>IF(PNL!A43="","",IF(_CALC_PNL!E43=1,H43-G43,""))</f>
        <v/>
      </c>
    </row>
    <row r="44" ht="14.25" customHeight="1">
      <c r="A44" t="s">
        <v>97</v>
      </c>
      <c r="B44" t="s">
        <v>201</v>
      </c>
      <c r="C44" t="s">
        <v>156</v>
      </c>
      <c r="D44" t="s">
        <v>229</v>
      </c>
      <c r="E44" t="s">
        <v>147</v>
      </c>
      <c r="F44" t="s">
        <v>148</v>
      </c>
      <c r="G44">
        <v>302400</v>
      </c>
      <c r="H44">
        <f>IF(PNL!A44="","",_CALC_PNL!P44)</f>
        <v>302400</v>
      </c>
      <c r="I44" t="str">
        <f>IF(PNL!A44="","",IF(_CALC_PNL!E44=1,H44-G44,""))</f>
        <v/>
      </c>
    </row>
    <row r="45" ht="14.25" customHeight="1">
      <c r="A45" t="s">
        <v>104</v>
      </c>
      <c r="B45" t="s">
        <v>201</v>
      </c>
      <c r="C45" t="s">
        <v>155</v>
      </c>
      <c r="D45" t="s">
        <v>229</v>
      </c>
      <c r="E45" t="s">
        <v>147</v>
      </c>
      <c r="F45" t="s">
        <v>148</v>
      </c>
      <c r="G45">
        <v>621600</v>
      </c>
      <c r="H45">
        <f>IF(PNL!A45="","",_CALC_PNL!P45)</f>
        <v>621600</v>
      </c>
      <c r="I45" t="str">
        <f>IF(PNL!A45="","",IF(_CALC_PNL!E45=1,H45-G45,""))</f>
        <v/>
      </c>
    </row>
    <row r="46" ht="14.25" customHeight="1">
      <c r="A46" t="s">
        <v>101</v>
      </c>
      <c r="B46" t="s">
        <v>201</v>
      </c>
      <c r="C46" t="s">
        <v>155</v>
      </c>
      <c r="D46" t="s">
        <v>229</v>
      </c>
      <c r="E46" t="s">
        <v>147</v>
      </c>
      <c r="F46" t="s">
        <v>148</v>
      </c>
      <c r="G46">
        <v>488250</v>
      </c>
      <c r="H46">
        <f>IF(PNL!A46="","",_CALC_PNL!P46)</f>
        <v>488250</v>
      </c>
      <c r="I46" t="str">
        <f>IF(PNL!A46="","",IF(_CALC_PNL!E46=1,H46-G46,""))</f>
        <v/>
      </c>
    </row>
    <row r="47" ht="14.25" customHeight="1">
      <c r="A47" t="s">
        <v>103</v>
      </c>
      <c r="B47" t="s">
        <v>201</v>
      </c>
      <c r="C47" t="s">
        <v>155</v>
      </c>
      <c r="D47" t="s">
        <v>229</v>
      </c>
      <c r="E47" t="s">
        <v>147</v>
      </c>
      <c r="F47" t="s">
        <v>148</v>
      </c>
      <c r="G47">
        <v>427500</v>
      </c>
      <c r="H47">
        <f>IF(PNL!A47="","",_CALC_PNL!P47)</f>
        <v>427500</v>
      </c>
      <c r="I47" t="str">
        <f>IF(PNL!A47="","",IF(_CALC_PNL!E47=1,H47-G47,""))</f>
        <v/>
      </c>
    </row>
    <row r="48" ht="14.25" customHeight="1">
      <c r="A48" t="s">
        <v>99</v>
      </c>
      <c r="B48" t="s">
        <v>201</v>
      </c>
      <c r="C48" t="s">
        <v>155</v>
      </c>
      <c r="D48" t="s">
        <v>229</v>
      </c>
      <c r="E48" t="s">
        <v>147</v>
      </c>
      <c r="F48" t="s">
        <v>148</v>
      </c>
      <c r="G48">
        <v>349200</v>
      </c>
      <c r="H48">
        <f>IF(PNL!A48="","",_CALC_PNL!P48)</f>
        <v>349200</v>
      </c>
      <c r="I48" t="str">
        <f>IF(PNL!A48="","",IF(_CALC_PNL!E48=1,H48-G48,""))</f>
        <v/>
      </c>
    </row>
    <row r="49" ht="14.25" customHeight="1">
      <c r="A49" t="s">
        <v>95</v>
      </c>
      <c r="B49" t="s">
        <v>201</v>
      </c>
      <c r="C49" t="s">
        <v>155</v>
      </c>
      <c r="D49" t="s">
        <v>229</v>
      </c>
      <c r="E49" t="s">
        <v>147</v>
      </c>
      <c r="F49" t="s">
        <v>148</v>
      </c>
      <c r="G49">
        <v>571200</v>
      </c>
      <c r="H49">
        <f>IF(PNL!A49="","",_CALC_PNL!P49)</f>
        <v>571200</v>
      </c>
      <c r="I49" t="str">
        <f>IF(PNL!A49="","",IF(_CALC_PNL!E49=1,H49-G49,""))</f>
        <v/>
      </c>
    </row>
    <row r="50" ht="14.25" customHeight="1">
      <c r="A50" t="s">
        <v>93</v>
      </c>
      <c r="B50" t="s">
        <v>201</v>
      </c>
      <c r="C50" t="s">
        <v>155</v>
      </c>
      <c r="D50" t="s">
        <v>229</v>
      </c>
      <c r="E50" t="s">
        <v>147</v>
      </c>
      <c r="F50" t="s">
        <v>148</v>
      </c>
      <c r="G50">
        <v>345450</v>
      </c>
      <c r="H50">
        <f>IF(PNL!A50="","",_CALC_PNL!P50)</f>
        <v>345450</v>
      </c>
      <c r="I50" t="str">
        <f>IF(PNL!A50="","",IF(_CALC_PNL!E50=1,H50-G50,""))</f>
        <v/>
      </c>
    </row>
    <row r="51" ht="14.25" customHeight="1">
      <c r="A51" t="s">
        <v>97</v>
      </c>
      <c r="B51" t="s">
        <v>201</v>
      </c>
      <c r="C51" t="s">
        <v>155</v>
      </c>
      <c r="D51" t="s">
        <v>229</v>
      </c>
      <c r="E51" t="s">
        <v>147</v>
      </c>
      <c r="F51" t="s">
        <v>148</v>
      </c>
      <c r="G51">
        <v>316800</v>
      </c>
      <c r="H51">
        <f>IF(PNL!A51="","",_CALC_PNL!P51)</f>
        <v>316800</v>
      </c>
      <c r="I51" t="str">
        <f>IF(PNL!A51="","",IF(_CALC_PNL!E51=1,H51-G51,""))</f>
        <v/>
      </c>
    </row>
    <row r="52" ht="14.25" customHeight="1">
      <c r="A52" t="s">
        <v>104</v>
      </c>
      <c r="B52" t="s">
        <v>201</v>
      </c>
      <c r="C52" t="s">
        <v>152</v>
      </c>
      <c r="D52" t="s">
        <v>229</v>
      </c>
      <c r="E52" t="s">
        <v>147</v>
      </c>
      <c r="F52" t="s">
        <v>148</v>
      </c>
      <c r="G52">
        <v>655200</v>
      </c>
      <c r="H52">
        <f>IF(PNL!A52="","",_CALC_PNL!P52)</f>
        <v>655200</v>
      </c>
      <c r="I52" t="str">
        <f>IF(PNL!A52="","",IF(_CALC_PNL!E52=1,H52-G52,""))</f>
        <v/>
      </c>
    </row>
    <row r="53" ht="14.25" customHeight="1">
      <c r="A53" t="s">
        <v>101</v>
      </c>
      <c r="B53" t="s">
        <v>201</v>
      </c>
      <c r="C53" t="s">
        <v>152</v>
      </c>
      <c r="D53" t="s">
        <v>229</v>
      </c>
      <c r="E53" t="s">
        <v>147</v>
      </c>
      <c r="F53" t="s">
        <v>148</v>
      </c>
      <c r="G53">
        <v>519750</v>
      </c>
      <c r="H53">
        <f>IF(PNL!A53="","",_CALC_PNL!P53)</f>
        <v>519750</v>
      </c>
      <c r="I53" t="str">
        <f>IF(PNL!A53="","",IF(_CALC_PNL!E53=1,H53-G53,""))</f>
        <v/>
      </c>
    </row>
    <row r="54" ht="14.25" customHeight="1">
      <c r="A54" t="s">
        <v>103</v>
      </c>
      <c r="B54" t="s">
        <v>201</v>
      </c>
      <c r="C54" t="s">
        <v>152</v>
      </c>
      <c r="D54" t="s">
        <v>229</v>
      </c>
      <c r="E54" t="s">
        <v>147</v>
      </c>
      <c r="F54" t="s">
        <v>148</v>
      </c>
      <c r="G54">
        <v>450000</v>
      </c>
      <c r="H54">
        <f>IF(PNL!A54="","",_CALC_PNL!P54)</f>
        <v>450000</v>
      </c>
      <c r="I54" t="str">
        <f>IF(PNL!A54="","",IF(_CALC_PNL!E54=1,H54-G54,""))</f>
        <v/>
      </c>
    </row>
    <row r="55" ht="14.25" customHeight="1">
      <c r="A55" t="s">
        <v>99</v>
      </c>
      <c r="B55" t="s">
        <v>201</v>
      </c>
      <c r="C55" t="s">
        <v>152</v>
      </c>
      <c r="D55" t="s">
        <v>229</v>
      </c>
      <c r="E55" t="s">
        <v>147</v>
      </c>
      <c r="F55" t="s">
        <v>148</v>
      </c>
      <c r="G55">
        <v>371025</v>
      </c>
      <c r="H55">
        <f>IF(PNL!A55="","",_CALC_PNL!P55)</f>
        <v>371025</v>
      </c>
      <c r="I55" t="str">
        <f>IF(PNL!A55="","",IF(_CALC_PNL!E55=1,H55-G55,""))</f>
        <v/>
      </c>
    </row>
    <row r="56" ht="14.25" customHeight="1">
      <c r="A56" t="s">
        <v>95</v>
      </c>
      <c r="B56" t="s">
        <v>201</v>
      </c>
      <c r="C56" t="s">
        <v>152</v>
      </c>
      <c r="D56" t="s">
        <v>229</v>
      </c>
      <c r="E56" t="s">
        <v>147</v>
      </c>
      <c r="F56" t="s">
        <v>148</v>
      </c>
      <c r="G56">
        <v>604800</v>
      </c>
      <c r="H56">
        <f>IF(PNL!A56="","",_CALC_PNL!P56)</f>
        <v>604800</v>
      </c>
      <c r="I56" t="str">
        <f>IF(PNL!A56="","",IF(_CALC_PNL!E56=1,H56-G56,""))</f>
        <v/>
      </c>
    </row>
    <row r="57" ht="14.25" customHeight="1">
      <c r="A57" t="s">
        <v>93</v>
      </c>
      <c r="B57" t="s">
        <v>201</v>
      </c>
      <c r="C57" t="s">
        <v>152</v>
      </c>
      <c r="D57" t="s">
        <v>229</v>
      </c>
      <c r="E57" t="s">
        <v>147</v>
      </c>
      <c r="F57" t="s">
        <v>148</v>
      </c>
      <c r="G57">
        <v>367500</v>
      </c>
      <c r="H57">
        <f>IF(PNL!A57="","",_CALC_PNL!P57)</f>
        <v>367500</v>
      </c>
      <c r="I57" t="str">
        <f>IF(PNL!A57="","",IF(_CALC_PNL!E57=1,H57-G57,""))</f>
        <v/>
      </c>
    </row>
    <row r="58" ht="14.25" customHeight="1">
      <c r="A58" t="s">
        <v>97</v>
      </c>
      <c r="B58" t="s">
        <v>201</v>
      </c>
      <c r="C58" t="s">
        <v>152</v>
      </c>
      <c r="D58" t="s">
        <v>229</v>
      </c>
      <c r="E58" t="s">
        <v>147</v>
      </c>
      <c r="F58" t="s">
        <v>148</v>
      </c>
      <c r="G58">
        <v>338400</v>
      </c>
      <c r="H58">
        <f>IF(PNL!A58="","",_CALC_PNL!P58)</f>
        <v>338400</v>
      </c>
      <c r="I58" t="str">
        <f>IF(PNL!A58="","",IF(_CALC_PNL!E58=1,H58-G58,""))</f>
        <v/>
      </c>
    </row>
    <row r="59" ht="14.25" customHeight="1">
      <c r="A59" t="s">
        <v>104</v>
      </c>
      <c r="B59" t="s">
        <v>202</v>
      </c>
      <c r="C59" t="s">
        <v>156</v>
      </c>
      <c r="D59" t="s">
        <v>229</v>
      </c>
      <c r="E59" t="s">
        <v>147</v>
      </c>
      <c r="F59" t="s">
        <v>148</v>
      </c>
      <c r="G59">
        <v>12420</v>
      </c>
      <c r="H59">
        <f>IF(PNL!A59="","",_CALC_PNL!P59)</f>
        <v>12420</v>
      </c>
      <c r="I59" t="str">
        <f>IF(PNL!A59="","",IF(_CALC_PNL!E59=1,H59-G59,""))</f>
        <v/>
      </c>
    </row>
    <row r="60" ht="14.25" customHeight="1">
      <c r="A60" t="s">
        <v>101</v>
      </c>
      <c r="B60" t="s">
        <v>202</v>
      </c>
      <c r="C60" t="s">
        <v>156</v>
      </c>
      <c r="D60" t="s">
        <v>229</v>
      </c>
      <c r="E60" t="s">
        <v>147</v>
      </c>
      <c r="F60" t="s">
        <v>148</v>
      </c>
      <c r="G60">
        <v>10620</v>
      </c>
      <c r="H60">
        <f>IF(PNL!A60="","",_CALC_PNL!P60)</f>
        <v>10620</v>
      </c>
      <c r="I60" t="str">
        <f>IF(PNL!A60="","",IF(_CALC_PNL!E60=1,H60-G60,""))</f>
        <v/>
      </c>
    </row>
    <row r="61" ht="14.25" customHeight="1">
      <c r="A61" t="s">
        <v>103</v>
      </c>
      <c r="B61" t="s">
        <v>202</v>
      </c>
      <c r="C61" t="s">
        <v>156</v>
      </c>
      <c r="D61" t="s">
        <v>229</v>
      </c>
      <c r="E61" t="s">
        <v>147</v>
      </c>
      <c r="F61" t="s">
        <v>148</v>
      </c>
      <c r="G61">
        <v>9540</v>
      </c>
      <c r="H61">
        <f>IF(PNL!A61="","",_CALC_PNL!P61)</f>
        <v>9540</v>
      </c>
      <c r="I61" t="str">
        <f>IF(PNL!A61="","",IF(_CALC_PNL!E61=1,H61-G61,""))</f>
        <v/>
      </c>
    </row>
    <row r="62" ht="14.25" customHeight="1">
      <c r="A62" t="s">
        <v>99</v>
      </c>
      <c r="B62" t="s">
        <v>202</v>
      </c>
      <c r="C62" t="s">
        <v>156</v>
      </c>
      <c r="D62" t="s">
        <v>229</v>
      </c>
      <c r="E62" t="s">
        <v>147</v>
      </c>
      <c r="F62" t="s">
        <v>148</v>
      </c>
      <c r="G62">
        <v>8100</v>
      </c>
      <c r="H62">
        <f>IF(PNL!A62="","",_CALC_PNL!P62)</f>
        <v>8100</v>
      </c>
      <c r="I62" t="str">
        <f>IF(PNL!A62="","",IF(_CALC_PNL!E62=1,H62-G62,""))</f>
        <v/>
      </c>
    </row>
    <row r="63" ht="14.25" customHeight="1">
      <c r="A63" t="s">
        <v>95</v>
      </c>
      <c r="B63" t="s">
        <v>202</v>
      </c>
      <c r="C63" t="s">
        <v>156</v>
      </c>
      <c r="D63" t="s">
        <v>229</v>
      </c>
      <c r="E63" t="s">
        <v>147</v>
      </c>
      <c r="F63" t="s">
        <v>148</v>
      </c>
      <c r="G63">
        <v>11520</v>
      </c>
      <c r="H63">
        <f>IF(PNL!A63="","",_CALC_PNL!P63)</f>
        <v>11520</v>
      </c>
      <c r="I63" t="str">
        <f>IF(PNL!A63="","",IF(_CALC_PNL!E63=1,H63-G63,""))</f>
        <v/>
      </c>
    </row>
    <row r="64" ht="14.25" customHeight="1">
      <c r="A64" t="s">
        <v>93</v>
      </c>
      <c r="B64" t="s">
        <v>202</v>
      </c>
      <c r="C64" t="s">
        <v>156</v>
      </c>
      <c r="D64" t="s">
        <v>229</v>
      </c>
      <c r="E64" t="s">
        <v>147</v>
      </c>
      <c r="F64" t="s">
        <v>148</v>
      </c>
      <c r="G64">
        <v>7920</v>
      </c>
      <c r="H64">
        <f>IF(PNL!A64="","",_CALC_PNL!P64)</f>
        <v>7920</v>
      </c>
      <c r="I64" t="str">
        <f>IF(PNL!A64="","",IF(_CALC_PNL!E64=1,H64-G64,""))</f>
        <v/>
      </c>
    </row>
    <row r="65" ht="14.25" customHeight="1">
      <c r="A65" t="s">
        <v>97</v>
      </c>
      <c r="B65" t="s">
        <v>202</v>
      </c>
      <c r="C65" t="s">
        <v>156</v>
      </c>
      <c r="D65" t="s">
        <v>229</v>
      </c>
      <c r="E65" t="s">
        <v>147</v>
      </c>
      <c r="F65" t="s">
        <v>148</v>
      </c>
      <c r="G65">
        <v>7560</v>
      </c>
      <c r="H65">
        <f>IF(PNL!A65="","",_CALC_PNL!P65)</f>
        <v>7560</v>
      </c>
      <c r="I65" t="str">
        <f>IF(PNL!A65="","",IF(_CALC_PNL!E65=1,H65-G65,""))</f>
        <v/>
      </c>
    </row>
    <row r="66" ht="14.25" customHeight="1">
      <c r="A66" t="s">
        <v>89</v>
      </c>
      <c r="B66" t="s">
        <v>202</v>
      </c>
      <c r="C66" t="s">
        <v>156</v>
      </c>
      <c r="D66" t="s">
        <v>229</v>
      </c>
      <c r="E66" t="s">
        <v>147</v>
      </c>
      <c r="F66" t="s">
        <v>148</v>
      </c>
      <c r="G66">
        <v>3960</v>
      </c>
      <c r="H66">
        <f>IF(PNL!A66="","",_CALC_PNL!P66)</f>
        <v>3960</v>
      </c>
      <c r="I66" t="str">
        <f>IF(PNL!A66="","",IF(_CALC_PNL!E66=1,H66-G66,""))</f>
        <v/>
      </c>
    </row>
    <row r="67" ht="14.25" customHeight="1">
      <c r="A67" t="s">
        <v>91</v>
      </c>
      <c r="B67" t="s">
        <v>202</v>
      </c>
      <c r="C67" t="s">
        <v>156</v>
      </c>
      <c r="D67" t="s">
        <v>229</v>
      </c>
      <c r="E67" t="s">
        <v>147</v>
      </c>
      <c r="F67" t="s">
        <v>148</v>
      </c>
      <c r="G67">
        <v>3240</v>
      </c>
      <c r="H67">
        <f>IF(PNL!A67="","",_CALC_PNL!P67)</f>
        <v>3240</v>
      </c>
      <c r="I67" t="str">
        <f>IF(PNL!A67="","",IF(_CALC_PNL!E67=1,H67-G67,""))</f>
        <v/>
      </c>
    </row>
    <row r="68" ht="14.25" customHeight="1">
      <c r="A68" t="s">
        <v>86</v>
      </c>
      <c r="B68" t="s">
        <v>202</v>
      </c>
      <c r="C68" t="s">
        <v>156</v>
      </c>
      <c r="D68" t="s">
        <v>229</v>
      </c>
      <c r="E68" t="s">
        <v>147</v>
      </c>
      <c r="F68" t="s">
        <v>148</v>
      </c>
      <c r="G68">
        <v>3240</v>
      </c>
      <c r="H68">
        <f>IF(PNL!A68="","",_CALC_PNL!P68)</f>
        <v>3240</v>
      </c>
      <c r="I68" t="str">
        <f>IF(PNL!A68="","",IF(_CALC_PNL!E68=1,H68-G68,""))</f>
        <v/>
      </c>
    </row>
    <row r="69" ht="14.25" customHeight="1">
      <c r="A69" t="s">
        <v>106</v>
      </c>
      <c r="B69" t="s">
        <v>202</v>
      </c>
      <c r="C69" t="s">
        <v>156</v>
      </c>
      <c r="D69" t="s">
        <v>229</v>
      </c>
      <c r="E69" t="s">
        <v>147</v>
      </c>
      <c r="F69" t="s">
        <v>148</v>
      </c>
      <c r="G69">
        <v>7380</v>
      </c>
      <c r="H69">
        <f>IF(PNL!A69="","",_CALC_PNL!P69)</f>
        <v>7380</v>
      </c>
      <c r="I69" t="str">
        <f>IF(PNL!A69="","",IF(_CALC_PNL!E69=1,H69-G69,""))</f>
        <v/>
      </c>
    </row>
    <row r="70" ht="14.25" customHeight="1">
      <c r="A70" t="s">
        <v>105</v>
      </c>
      <c r="B70" t="s">
        <v>202</v>
      </c>
      <c r="C70" t="s">
        <v>156</v>
      </c>
      <c r="D70" t="s">
        <v>229</v>
      </c>
      <c r="E70" t="s">
        <v>147</v>
      </c>
      <c r="F70" t="s">
        <v>148</v>
      </c>
      <c r="G70">
        <v>5760</v>
      </c>
      <c r="H70">
        <f>IF(PNL!A70="","",_CALC_PNL!P70)</f>
        <v>5760</v>
      </c>
      <c r="I70" t="str">
        <f>IF(PNL!A70="","",IF(_CALC_PNL!E70=1,H70-G70,""))</f>
        <v/>
      </c>
    </row>
    <row r="71" ht="14.25" customHeight="1">
      <c r="A71" t="s">
        <v>108</v>
      </c>
      <c r="B71" t="s">
        <v>202</v>
      </c>
      <c r="C71" t="s">
        <v>156</v>
      </c>
      <c r="D71" t="s">
        <v>229</v>
      </c>
      <c r="E71" t="s">
        <v>147</v>
      </c>
      <c r="F71" t="s">
        <v>148</v>
      </c>
      <c r="G71">
        <v>3780</v>
      </c>
      <c r="H71">
        <f>IF(PNL!A71="","",_CALC_PNL!P71)</f>
        <v>3780</v>
      </c>
      <c r="I71" t="str">
        <f>IF(PNL!A71="","",IF(_CALC_PNL!E71=1,H71-G71,""))</f>
        <v/>
      </c>
    </row>
    <row r="72" ht="14.25" customHeight="1">
      <c r="A72" t="s">
        <v>107</v>
      </c>
      <c r="B72" t="s">
        <v>202</v>
      </c>
      <c r="C72" t="s">
        <v>156</v>
      </c>
      <c r="D72" t="s">
        <v>229</v>
      </c>
      <c r="E72" t="s">
        <v>147</v>
      </c>
      <c r="F72" t="s">
        <v>148</v>
      </c>
      <c r="G72">
        <v>3240</v>
      </c>
      <c r="H72">
        <f>IF(PNL!A72="","",_CALC_PNL!P72)</f>
        <v>3240</v>
      </c>
      <c r="I72" t="str">
        <f>IF(PNL!A72="","",IF(_CALC_PNL!E72=1,H72-G72,""))</f>
        <v/>
      </c>
    </row>
    <row r="73" ht="14.25" customHeight="1">
      <c r="A73" t="s">
        <v>104</v>
      </c>
      <c r="B73" t="s">
        <v>202</v>
      </c>
      <c r="C73" t="s">
        <v>155</v>
      </c>
      <c r="D73" t="s">
        <v>229</v>
      </c>
      <c r="E73" t="s">
        <v>147</v>
      </c>
      <c r="F73" t="s">
        <v>148</v>
      </c>
      <c r="G73">
        <v>13320</v>
      </c>
      <c r="H73">
        <f>IF(PNL!A73="","",_CALC_PNL!P73)</f>
        <v>13320</v>
      </c>
      <c r="I73" t="str">
        <f>IF(PNL!A73="","",IF(_CALC_PNL!E73=1,H73-G73,""))</f>
        <v/>
      </c>
    </row>
    <row r="74" ht="14.25" customHeight="1">
      <c r="A74" t="s">
        <v>101</v>
      </c>
      <c r="B74" t="s">
        <v>202</v>
      </c>
      <c r="C74" t="s">
        <v>155</v>
      </c>
      <c r="D74" t="s">
        <v>229</v>
      </c>
      <c r="E74" t="s">
        <v>147</v>
      </c>
      <c r="F74" t="s">
        <v>148</v>
      </c>
      <c r="G74">
        <v>11160</v>
      </c>
      <c r="H74">
        <f>IF(PNL!A74="","",_CALC_PNL!P74)</f>
        <v>11160</v>
      </c>
      <c r="I74" t="str">
        <f>IF(PNL!A74="","",IF(_CALC_PNL!E74=1,H74-G74,""))</f>
        <v/>
      </c>
    </row>
    <row r="75" ht="14.25" customHeight="1">
      <c r="A75" t="s">
        <v>103</v>
      </c>
      <c r="B75" t="s">
        <v>202</v>
      </c>
      <c r="C75" t="s">
        <v>155</v>
      </c>
      <c r="D75" t="s">
        <v>229</v>
      </c>
      <c r="E75" t="s">
        <v>147</v>
      </c>
      <c r="F75" t="s">
        <v>148</v>
      </c>
      <c r="G75">
        <v>10260</v>
      </c>
      <c r="H75">
        <f>IF(PNL!A75="","",_CALC_PNL!P75)</f>
        <v>10260</v>
      </c>
      <c r="I75" t="str">
        <f>IF(PNL!A75="","",IF(_CALC_PNL!E75=1,H75-G75,""))</f>
        <v/>
      </c>
    </row>
    <row r="76" ht="14.25" customHeight="1">
      <c r="A76" t="s">
        <v>99</v>
      </c>
      <c r="B76" t="s">
        <v>202</v>
      </c>
      <c r="C76" t="s">
        <v>155</v>
      </c>
      <c r="D76" t="s">
        <v>229</v>
      </c>
      <c r="E76" t="s">
        <v>147</v>
      </c>
      <c r="F76" t="s">
        <v>148</v>
      </c>
      <c r="G76">
        <v>8640</v>
      </c>
      <c r="H76">
        <f>IF(PNL!A76="","",_CALC_PNL!P76)</f>
        <v>8640</v>
      </c>
      <c r="I76" t="str">
        <f>IF(PNL!A76="","",IF(_CALC_PNL!E76=1,H76-G76,""))</f>
        <v/>
      </c>
    </row>
    <row r="77" ht="14.25" customHeight="1">
      <c r="A77" t="s">
        <v>95</v>
      </c>
      <c r="B77" t="s">
        <v>202</v>
      </c>
      <c r="C77" t="s">
        <v>155</v>
      </c>
      <c r="D77" t="s">
        <v>229</v>
      </c>
      <c r="E77" t="s">
        <v>147</v>
      </c>
      <c r="F77" t="s">
        <v>148</v>
      </c>
      <c r="G77">
        <v>12240</v>
      </c>
      <c r="H77">
        <f>IF(PNL!A77="","",_CALC_PNL!P77)</f>
        <v>12240</v>
      </c>
      <c r="I77" t="str">
        <f>IF(PNL!A77="","",IF(_CALC_PNL!E77=1,H77-G77,""))</f>
        <v/>
      </c>
    </row>
    <row r="78" ht="14.25" customHeight="1">
      <c r="A78" t="s">
        <v>93</v>
      </c>
      <c r="B78" t="s">
        <v>202</v>
      </c>
      <c r="C78" t="s">
        <v>155</v>
      </c>
      <c r="D78" t="s">
        <v>229</v>
      </c>
      <c r="E78" t="s">
        <v>147</v>
      </c>
      <c r="F78" t="s">
        <v>148</v>
      </c>
      <c r="G78">
        <v>8460</v>
      </c>
      <c r="H78">
        <f>IF(PNL!A78="","",_CALC_PNL!P78)</f>
        <v>8460</v>
      </c>
      <c r="I78" t="str">
        <f>IF(PNL!A78="","",IF(_CALC_PNL!E78=1,H78-G78,""))</f>
        <v/>
      </c>
    </row>
    <row r="79" ht="14.25" customHeight="1">
      <c r="A79" t="s">
        <v>97</v>
      </c>
      <c r="B79" t="s">
        <v>202</v>
      </c>
      <c r="C79" t="s">
        <v>155</v>
      </c>
      <c r="D79" t="s">
        <v>229</v>
      </c>
      <c r="E79" t="s">
        <v>147</v>
      </c>
      <c r="F79" t="s">
        <v>148</v>
      </c>
      <c r="G79">
        <v>7920</v>
      </c>
      <c r="H79">
        <f>IF(PNL!A79="","",_CALC_PNL!P79)</f>
        <v>7920</v>
      </c>
      <c r="I79" t="str">
        <f>IF(PNL!A79="","",IF(_CALC_PNL!E79=1,H79-G79,""))</f>
        <v/>
      </c>
    </row>
    <row r="80" ht="14.25" customHeight="1">
      <c r="A80" t="s">
        <v>89</v>
      </c>
      <c r="B80" t="s">
        <v>202</v>
      </c>
      <c r="C80" t="s">
        <v>155</v>
      </c>
      <c r="D80" t="s">
        <v>229</v>
      </c>
      <c r="E80" t="s">
        <v>147</v>
      </c>
      <c r="F80" t="s">
        <v>148</v>
      </c>
      <c r="G80">
        <v>4230</v>
      </c>
      <c r="H80">
        <f>IF(PNL!A80="","",_CALC_PNL!P80)</f>
        <v>4230</v>
      </c>
      <c r="I80" t="str">
        <f>IF(PNL!A80="","",IF(_CALC_PNL!E80=1,H80-G80,""))</f>
        <v/>
      </c>
    </row>
    <row r="81" ht="14.25" customHeight="1">
      <c r="A81" t="s">
        <v>91</v>
      </c>
      <c r="B81" t="s">
        <v>202</v>
      </c>
      <c r="C81" t="s">
        <v>155</v>
      </c>
      <c r="D81" t="s">
        <v>229</v>
      </c>
      <c r="E81" t="s">
        <v>147</v>
      </c>
      <c r="F81" t="s">
        <v>148</v>
      </c>
      <c r="G81">
        <v>3420</v>
      </c>
      <c r="H81">
        <f>IF(PNL!A81="","",_CALC_PNL!P81)</f>
        <v>3420</v>
      </c>
      <c r="I81" t="str">
        <f>IF(PNL!A81="","",IF(_CALC_PNL!E81=1,H81-G81,""))</f>
        <v/>
      </c>
    </row>
    <row r="82" ht="14.25" customHeight="1">
      <c r="A82" t="s">
        <v>86</v>
      </c>
      <c r="B82" t="s">
        <v>202</v>
      </c>
      <c r="C82" t="s">
        <v>155</v>
      </c>
      <c r="D82" t="s">
        <v>229</v>
      </c>
      <c r="E82" t="s">
        <v>147</v>
      </c>
      <c r="F82" t="s">
        <v>148</v>
      </c>
      <c r="G82">
        <v>3420</v>
      </c>
      <c r="H82">
        <f>IF(PNL!A82="","",_CALC_PNL!P82)</f>
        <v>3420</v>
      </c>
      <c r="I82" t="str">
        <f>IF(PNL!A82="","",IF(_CALC_PNL!E82=1,H82-G82,""))</f>
        <v/>
      </c>
    </row>
    <row r="83" ht="14.25" customHeight="1">
      <c r="A83" t="s">
        <v>106</v>
      </c>
      <c r="B83" t="s">
        <v>202</v>
      </c>
      <c r="C83" t="s">
        <v>155</v>
      </c>
      <c r="D83" t="s">
        <v>229</v>
      </c>
      <c r="E83" t="s">
        <v>147</v>
      </c>
      <c r="F83" t="s">
        <v>148</v>
      </c>
      <c r="G83">
        <v>7740</v>
      </c>
      <c r="H83">
        <f>IF(PNL!A83="","",_CALC_PNL!P83)</f>
        <v>7740</v>
      </c>
      <c r="I83" t="str">
        <f>IF(PNL!A83="","",IF(_CALC_PNL!E83=1,H83-G83,""))</f>
        <v/>
      </c>
    </row>
    <row r="84" ht="14.25" customHeight="1">
      <c r="A84" t="s">
        <v>105</v>
      </c>
      <c r="B84" t="s">
        <v>202</v>
      </c>
      <c r="C84" t="s">
        <v>155</v>
      </c>
      <c r="D84" t="s">
        <v>229</v>
      </c>
      <c r="E84" t="s">
        <v>147</v>
      </c>
      <c r="F84" t="s">
        <v>148</v>
      </c>
      <c r="G84">
        <v>6120</v>
      </c>
      <c r="H84">
        <f>IF(PNL!A84="","",_CALC_PNL!P84)</f>
        <v>6120</v>
      </c>
      <c r="I84" t="str">
        <f>IF(PNL!A84="","",IF(_CALC_PNL!E84=1,H84-G84,""))</f>
        <v/>
      </c>
    </row>
    <row r="85" ht="14.25" customHeight="1">
      <c r="A85" t="s">
        <v>108</v>
      </c>
      <c r="B85" t="s">
        <v>202</v>
      </c>
      <c r="C85" t="s">
        <v>155</v>
      </c>
      <c r="D85" t="s">
        <v>229</v>
      </c>
      <c r="E85" t="s">
        <v>147</v>
      </c>
      <c r="F85" t="s">
        <v>148</v>
      </c>
      <c r="G85">
        <v>3960</v>
      </c>
      <c r="H85">
        <f>IF(PNL!A85="","",_CALC_PNL!P85)</f>
        <v>3960</v>
      </c>
      <c r="I85" t="str">
        <f>IF(PNL!A85="","",IF(_CALC_PNL!E85=1,H85-G85,""))</f>
        <v/>
      </c>
    </row>
    <row r="86" ht="14.25" customHeight="1">
      <c r="A86" t="s">
        <v>107</v>
      </c>
      <c r="B86" t="s">
        <v>202</v>
      </c>
      <c r="C86" t="s">
        <v>155</v>
      </c>
      <c r="D86" t="s">
        <v>229</v>
      </c>
      <c r="E86" t="s">
        <v>147</v>
      </c>
      <c r="F86" t="s">
        <v>148</v>
      </c>
      <c r="G86">
        <v>3420</v>
      </c>
      <c r="H86">
        <f>IF(PNL!A86="","",_CALC_PNL!P86)</f>
        <v>3420</v>
      </c>
      <c r="I86" t="str">
        <f>IF(PNL!A86="","",IF(_CALC_PNL!E86=1,H86-G86,""))</f>
        <v/>
      </c>
    </row>
    <row r="87" ht="14.25" customHeight="1">
      <c r="A87" t="s">
        <v>104</v>
      </c>
      <c r="B87" t="s">
        <v>202</v>
      </c>
      <c r="C87" t="s">
        <v>152</v>
      </c>
      <c r="D87" t="s">
        <v>229</v>
      </c>
      <c r="E87" t="s">
        <v>147</v>
      </c>
      <c r="F87" t="s">
        <v>148</v>
      </c>
      <c r="G87">
        <v>14040</v>
      </c>
      <c r="H87">
        <f>IF(PNL!A87="","",_CALC_PNL!P87)</f>
        <v>14040</v>
      </c>
      <c r="I87" t="str">
        <f>IF(PNL!A87="","",IF(_CALC_PNL!E87=1,H87-G87,""))</f>
        <v/>
      </c>
    </row>
    <row r="88" ht="14.25" customHeight="1">
      <c r="A88" t="s">
        <v>101</v>
      </c>
      <c r="B88" t="s">
        <v>202</v>
      </c>
      <c r="C88" t="s">
        <v>152</v>
      </c>
      <c r="D88" t="s">
        <v>229</v>
      </c>
      <c r="E88" t="s">
        <v>147</v>
      </c>
      <c r="F88" t="s">
        <v>148</v>
      </c>
      <c r="G88">
        <v>11880</v>
      </c>
      <c r="H88">
        <f>IF(PNL!A88="","",_CALC_PNL!P88)</f>
        <v>11880</v>
      </c>
      <c r="I88" t="str">
        <f>IF(PNL!A88="","",IF(_CALC_PNL!E88=1,H88-G88,""))</f>
        <v/>
      </c>
    </row>
    <row r="89" ht="14.25" customHeight="1">
      <c r="A89" t="s">
        <v>103</v>
      </c>
      <c r="B89" t="s">
        <v>202</v>
      </c>
      <c r="C89" t="s">
        <v>152</v>
      </c>
      <c r="D89" t="s">
        <v>229</v>
      </c>
      <c r="E89" t="s">
        <v>147</v>
      </c>
      <c r="F89" t="s">
        <v>148</v>
      </c>
      <c r="G89">
        <v>10800</v>
      </c>
      <c r="H89">
        <f>IF(PNL!A89="","",_CALC_PNL!P89)</f>
        <v>10800</v>
      </c>
      <c r="I89" t="str">
        <f>IF(PNL!A89="","",IF(_CALC_PNL!E89=1,H89-G89,""))</f>
        <v/>
      </c>
    </row>
    <row r="90" ht="14.25" customHeight="1">
      <c r="A90" t="s">
        <v>99</v>
      </c>
      <c r="B90" t="s">
        <v>202</v>
      </c>
      <c r="C90" t="s">
        <v>152</v>
      </c>
      <c r="D90" t="s">
        <v>229</v>
      </c>
      <c r="E90" t="s">
        <v>147</v>
      </c>
      <c r="F90" t="s">
        <v>148</v>
      </c>
      <c r="G90">
        <v>9180</v>
      </c>
      <c r="H90">
        <f>IF(PNL!A90="","",_CALC_PNL!P90)</f>
        <v>9180</v>
      </c>
      <c r="I90" t="str">
        <f>IF(PNL!A90="","",IF(_CALC_PNL!E90=1,H90-G90,""))</f>
        <v/>
      </c>
    </row>
    <row r="91" ht="14.25" customHeight="1">
      <c r="A91" t="s">
        <v>95</v>
      </c>
      <c r="B91" t="s">
        <v>202</v>
      </c>
      <c r="C91" t="s">
        <v>152</v>
      </c>
      <c r="D91" t="s">
        <v>229</v>
      </c>
      <c r="E91" t="s">
        <v>147</v>
      </c>
      <c r="F91" t="s">
        <v>148</v>
      </c>
      <c r="G91">
        <v>12960</v>
      </c>
      <c r="H91">
        <f>IF(PNL!A91="","",_CALC_PNL!P91)</f>
        <v>12960</v>
      </c>
      <c r="I91" t="str">
        <f>IF(PNL!A91="","",IF(_CALC_PNL!E91=1,H91-G91,""))</f>
        <v/>
      </c>
    </row>
    <row r="92" ht="14.25" customHeight="1">
      <c r="A92" t="s">
        <v>93</v>
      </c>
      <c r="B92" t="s">
        <v>202</v>
      </c>
      <c r="C92" t="s">
        <v>152</v>
      </c>
      <c r="D92" t="s">
        <v>229</v>
      </c>
      <c r="E92" t="s">
        <v>147</v>
      </c>
      <c r="F92" t="s">
        <v>148</v>
      </c>
      <c r="G92">
        <v>9000</v>
      </c>
      <c r="H92">
        <f>IF(PNL!A92="","",_CALC_PNL!P92)</f>
        <v>9000</v>
      </c>
      <c r="I92" t="str">
        <f>IF(PNL!A92="","",IF(_CALC_PNL!E92=1,H92-G92,""))</f>
        <v/>
      </c>
    </row>
    <row r="93" ht="14.25" customHeight="1">
      <c r="A93" t="s">
        <v>97</v>
      </c>
      <c r="B93" t="s">
        <v>202</v>
      </c>
      <c r="C93" t="s">
        <v>152</v>
      </c>
      <c r="D93" t="s">
        <v>229</v>
      </c>
      <c r="E93" t="s">
        <v>147</v>
      </c>
      <c r="F93" t="s">
        <v>148</v>
      </c>
      <c r="G93">
        <v>8460</v>
      </c>
      <c r="H93">
        <f>IF(PNL!A93="","",_CALC_PNL!P93)</f>
        <v>8460</v>
      </c>
      <c r="I93" t="str">
        <f>IF(PNL!A93="","",IF(_CALC_PNL!E93=1,H93-G93,""))</f>
        <v/>
      </c>
    </row>
    <row r="94" ht="14.25" customHeight="1">
      <c r="A94" t="s">
        <v>89</v>
      </c>
      <c r="B94" t="s">
        <v>202</v>
      </c>
      <c r="C94" t="s">
        <v>152</v>
      </c>
      <c r="D94" t="s">
        <v>229</v>
      </c>
      <c r="E94" t="s">
        <v>147</v>
      </c>
      <c r="F94" t="s">
        <v>148</v>
      </c>
      <c r="G94">
        <v>4500</v>
      </c>
      <c r="H94">
        <f>IF(PNL!A94="","",_CALC_PNL!P94)</f>
        <v>4500</v>
      </c>
      <c r="I94" t="str">
        <f>IF(PNL!A94="","",IF(_CALC_PNL!E94=1,H94-G94,""))</f>
        <v/>
      </c>
    </row>
    <row r="95" ht="14.25" customHeight="1">
      <c r="A95" t="s">
        <v>91</v>
      </c>
      <c r="B95" t="s">
        <v>202</v>
      </c>
      <c r="C95" t="s">
        <v>152</v>
      </c>
      <c r="D95" t="s">
        <v>229</v>
      </c>
      <c r="E95" t="s">
        <v>147</v>
      </c>
      <c r="F95" t="s">
        <v>148</v>
      </c>
      <c r="G95">
        <v>3600</v>
      </c>
      <c r="H95">
        <f>IF(PNL!A95="","",_CALC_PNL!P95)</f>
        <v>3600</v>
      </c>
      <c r="I95" t="str">
        <f>IF(PNL!A95="","",IF(_CALC_PNL!E95=1,H95-G95,""))</f>
        <v/>
      </c>
    </row>
    <row r="96" ht="14.25" customHeight="1">
      <c r="A96" t="s">
        <v>86</v>
      </c>
      <c r="B96" t="s">
        <v>202</v>
      </c>
      <c r="C96" t="s">
        <v>152</v>
      </c>
      <c r="D96" t="s">
        <v>229</v>
      </c>
      <c r="E96" t="s">
        <v>147</v>
      </c>
      <c r="F96" t="s">
        <v>148</v>
      </c>
      <c r="G96">
        <v>3600</v>
      </c>
      <c r="H96">
        <f>IF(PNL!A96="","",_CALC_PNL!P96)</f>
        <v>3600</v>
      </c>
      <c r="I96" t="str">
        <f>IF(PNL!A96="","",IF(_CALC_PNL!E96=1,H96-G96,""))</f>
        <v/>
      </c>
    </row>
    <row r="97" ht="14.25" customHeight="1">
      <c r="A97" t="s">
        <v>106</v>
      </c>
      <c r="B97" t="s">
        <v>202</v>
      </c>
      <c r="C97" t="s">
        <v>152</v>
      </c>
      <c r="D97" t="s">
        <v>229</v>
      </c>
      <c r="E97" t="s">
        <v>147</v>
      </c>
      <c r="F97" t="s">
        <v>148</v>
      </c>
      <c r="G97">
        <v>8280</v>
      </c>
      <c r="H97">
        <f>IF(PNL!A97="","",_CALC_PNL!P97)</f>
        <v>8280</v>
      </c>
      <c r="I97" t="str">
        <f>IF(PNL!A97="","",IF(_CALC_PNL!E97=1,H97-G97,""))</f>
        <v/>
      </c>
    </row>
    <row r="98" ht="14.25" customHeight="1">
      <c r="A98" t="s">
        <v>105</v>
      </c>
      <c r="B98" t="s">
        <v>202</v>
      </c>
      <c r="C98" t="s">
        <v>152</v>
      </c>
      <c r="D98" t="s">
        <v>229</v>
      </c>
      <c r="E98" t="s">
        <v>147</v>
      </c>
      <c r="F98" t="s">
        <v>148</v>
      </c>
      <c r="G98">
        <v>6480</v>
      </c>
      <c r="H98">
        <f>IF(PNL!A98="","",_CALC_PNL!P98)</f>
        <v>6480</v>
      </c>
      <c r="I98" t="str">
        <f>IF(PNL!A98="","",IF(_CALC_PNL!E98=1,H98-G98,""))</f>
        <v/>
      </c>
    </row>
    <row r="99" ht="14.25" customHeight="1">
      <c r="A99" t="s">
        <v>108</v>
      </c>
      <c r="B99" t="s">
        <v>202</v>
      </c>
      <c r="C99" t="s">
        <v>152</v>
      </c>
      <c r="D99" t="s">
        <v>229</v>
      </c>
      <c r="E99" t="s">
        <v>147</v>
      </c>
      <c r="F99" t="s">
        <v>148</v>
      </c>
      <c r="G99">
        <v>4230</v>
      </c>
      <c r="H99">
        <f>IF(PNL!A99="","",_CALC_PNL!P99)</f>
        <v>4230</v>
      </c>
      <c r="I99" t="str">
        <f>IF(PNL!A99="","",IF(_CALC_PNL!E99=1,H99-G99,""))</f>
        <v/>
      </c>
    </row>
    <row r="100" ht="14.25" customHeight="1">
      <c r="A100" t="s">
        <v>107</v>
      </c>
      <c r="B100" t="s">
        <v>202</v>
      </c>
      <c r="C100" t="s">
        <v>152</v>
      </c>
      <c r="D100" t="s">
        <v>229</v>
      </c>
      <c r="E100" t="s">
        <v>147</v>
      </c>
      <c r="F100" t="s">
        <v>148</v>
      </c>
      <c r="G100">
        <v>3600</v>
      </c>
      <c r="H100">
        <f>IF(PNL!A100="","",_CALC_PNL!P100)</f>
        <v>3600</v>
      </c>
      <c r="I100" t="str">
        <f>IF(PNL!A100="","",IF(_CALC_PNL!E100=1,H100-G100,""))</f>
        <v/>
      </c>
    </row>
    <row r="101" ht="14.25" customHeight="1">
      <c r="A101" t="s">
        <v>104</v>
      </c>
      <c r="B101" t="s">
        <v>203</v>
      </c>
      <c r="C101" t="s">
        <v>156</v>
      </c>
      <c r="D101" t="s">
        <v>229</v>
      </c>
      <c r="E101" t="s">
        <v>147</v>
      </c>
      <c r="F101" t="s">
        <v>148</v>
      </c>
      <c r="G101">
        <v>165271</v>
      </c>
      <c r="H101">
        <f>IF(PNL!A101="","",_CALC_PNL!P101)</f>
        <v>165271</v>
      </c>
      <c r="I101" t="str">
        <f>IF(PNL!A101="","",IF(_CALC_PNL!E101=1,H101-G101,""))</f>
        <v/>
      </c>
    </row>
    <row r="102" ht="14.25" customHeight="1">
      <c r="A102" t="s">
        <v>101</v>
      </c>
      <c r="B102" t="s">
        <v>203</v>
      </c>
      <c r="C102" t="s">
        <v>156</v>
      </c>
      <c r="D102" t="s">
        <v>229</v>
      </c>
      <c r="E102" t="s">
        <v>147</v>
      </c>
      <c r="F102" t="s">
        <v>148</v>
      </c>
      <c r="G102">
        <v>143235</v>
      </c>
      <c r="H102">
        <f>IF(PNL!A102="","",_CALC_PNL!P102)</f>
        <v>143235</v>
      </c>
      <c r="I102" t="str">
        <f>IF(PNL!A102="","",IF(_CALC_PNL!E102=1,H102-G102,""))</f>
        <v/>
      </c>
    </row>
    <row r="103" ht="14.25" customHeight="1">
      <c r="A103" t="s">
        <v>103</v>
      </c>
      <c r="B103" t="s">
        <v>203</v>
      </c>
      <c r="C103" t="s">
        <v>156</v>
      </c>
      <c r="D103" t="s">
        <v>229</v>
      </c>
      <c r="E103" t="s">
        <v>147</v>
      </c>
      <c r="F103" t="s">
        <v>148</v>
      </c>
      <c r="G103">
        <v>132216</v>
      </c>
      <c r="H103">
        <f>IF(PNL!A103="","",_CALC_PNL!P103)</f>
        <v>132216</v>
      </c>
      <c r="I103" t="str">
        <f>IF(PNL!A103="","",IF(_CALC_PNL!E103=1,H103-G103,""))</f>
        <v/>
      </c>
    </row>
    <row r="104" ht="14.25" customHeight="1">
      <c r="A104" t="s">
        <v>99</v>
      </c>
      <c r="B104" t="s">
        <v>203</v>
      </c>
      <c r="C104" t="s">
        <v>156</v>
      </c>
      <c r="D104" t="s">
        <v>229</v>
      </c>
      <c r="E104" t="s">
        <v>147</v>
      </c>
      <c r="F104" t="s">
        <v>148</v>
      </c>
      <c r="G104">
        <v>110180</v>
      </c>
      <c r="H104">
        <f>IF(PNL!A104="","",_CALC_PNL!P104)</f>
        <v>110180</v>
      </c>
      <c r="I104" t="str">
        <f>IF(PNL!A104="","",IF(_CALC_PNL!E104=1,H104-G104,""))</f>
        <v/>
      </c>
    </row>
    <row r="105" ht="14.25" customHeight="1">
      <c r="A105" t="s">
        <v>95</v>
      </c>
      <c r="B105" t="s">
        <v>203</v>
      </c>
      <c r="C105" t="s">
        <v>156</v>
      </c>
      <c r="D105" t="s">
        <v>229</v>
      </c>
      <c r="E105" t="s">
        <v>147</v>
      </c>
      <c r="F105" t="s">
        <v>148</v>
      </c>
      <c r="G105">
        <v>165271</v>
      </c>
      <c r="H105">
        <f>IF(PNL!A105="","",_CALC_PNL!P105)</f>
        <v>165271</v>
      </c>
      <c r="I105" t="str">
        <f>IF(PNL!A105="","",IF(_CALC_PNL!E105=1,H105-G105,""))</f>
        <v/>
      </c>
    </row>
    <row r="106" ht="14.25" customHeight="1">
      <c r="A106" t="s">
        <v>93</v>
      </c>
      <c r="B106" t="s">
        <v>203</v>
      </c>
      <c r="C106" t="s">
        <v>156</v>
      </c>
      <c r="D106" t="s">
        <v>229</v>
      </c>
      <c r="E106" t="s">
        <v>147</v>
      </c>
      <c r="F106" t="s">
        <v>148</v>
      </c>
      <c r="G106">
        <v>110180</v>
      </c>
      <c r="H106">
        <f>IF(PNL!A106="","",_CALC_PNL!P106)</f>
        <v>110180</v>
      </c>
      <c r="I106" t="str">
        <f>IF(PNL!A106="","",IF(_CALC_PNL!E106=1,H106-G106,""))</f>
        <v/>
      </c>
    </row>
    <row r="107" ht="14.25" customHeight="1">
      <c r="A107" t="s">
        <v>97</v>
      </c>
      <c r="B107" t="s">
        <v>203</v>
      </c>
      <c r="C107" t="s">
        <v>156</v>
      </c>
      <c r="D107" t="s">
        <v>229</v>
      </c>
      <c r="E107" t="s">
        <v>147</v>
      </c>
      <c r="F107" t="s">
        <v>148</v>
      </c>
      <c r="G107">
        <v>110180</v>
      </c>
      <c r="H107">
        <f>IF(PNL!A107="","",_CALC_PNL!P107)</f>
        <v>110180</v>
      </c>
      <c r="I107" t="str">
        <f>IF(PNL!A107="","",IF(_CALC_PNL!E107=1,H107-G107,""))</f>
        <v/>
      </c>
    </row>
    <row r="108" ht="14.25" customHeight="1">
      <c r="A108" t="s">
        <v>89</v>
      </c>
      <c r="B108" t="s">
        <v>203</v>
      </c>
      <c r="C108" t="s">
        <v>156</v>
      </c>
      <c r="D108" t="s">
        <v>229</v>
      </c>
      <c r="E108" t="s">
        <v>147</v>
      </c>
      <c r="F108" t="s">
        <v>148</v>
      </c>
      <c r="G108">
        <v>66108</v>
      </c>
      <c r="H108">
        <f>IF(PNL!A108="","",_CALC_PNL!P108)</f>
        <v>66108</v>
      </c>
      <c r="I108" t="str">
        <f>IF(PNL!A108="","",IF(_CALC_PNL!E108=1,H108-G108,""))</f>
        <v/>
      </c>
    </row>
    <row r="109" ht="14.25" customHeight="1">
      <c r="A109" t="s">
        <v>91</v>
      </c>
      <c r="B109" t="s">
        <v>203</v>
      </c>
      <c r="C109" t="s">
        <v>156</v>
      </c>
      <c r="D109" t="s">
        <v>229</v>
      </c>
      <c r="E109" t="s">
        <v>147</v>
      </c>
      <c r="F109" t="s">
        <v>148</v>
      </c>
      <c r="G109">
        <v>66108</v>
      </c>
      <c r="H109">
        <f>IF(PNL!A109="","",_CALC_PNL!P109)</f>
        <v>66108</v>
      </c>
      <c r="I109" t="str">
        <f>IF(PNL!A109="","",IF(_CALC_PNL!E109=1,H109-G109,""))</f>
        <v/>
      </c>
    </row>
    <row r="110" ht="14.25" customHeight="1">
      <c r="A110" t="s">
        <v>86</v>
      </c>
      <c r="B110" t="s">
        <v>203</v>
      </c>
      <c r="C110" t="s">
        <v>156</v>
      </c>
      <c r="D110" t="s">
        <v>229</v>
      </c>
      <c r="E110" t="s">
        <v>147</v>
      </c>
      <c r="F110" t="s">
        <v>148</v>
      </c>
      <c r="G110">
        <v>66108</v>
      </c>
      <c r="H110">
        <f>IF(PNL!A110="","",_CALC_PNL!P110)</f>
        <v>66108</v>
      </c>
      <c r="I110" t="str">
        <f>IF(PNL!A110="","",IF(_CALC_PNL!E110=1,H110-G110,""))</f>
        <v/>
      </c>
    </row>
    <row r="111" ht="14.25" customHeight="1">
      <c r="A111" t="s">
        <v>106</v>
      </c>
      <c r="B111" t="s">
        <v>203</v>
      </c>
      <c r="C111" t="s">
        <v>156</v>
      </c>
      <c r="D111" t="s">
        <v>229</v>
      </c>
      <c r="E111" t="s">
        <v>147</v>
      </c>
      <c r="F111" t="s">
        <v>148</v>
      </c>
      <c r="G111">
        <v>88144</v>
      </c>
      <c r="H111">
        <f>IF(PNL!A111="","",_CALC_PNL!P111)</f>
        <v>88144</v>
      </c>
      <c r="I111" t="str">
        <f>IF(PNL!A111="","",IF(_CALC_PNL!E111=1,H111-G111,""))</f>
        <v/>
      </c>
    </row>
    <row r="112" ht="14.25" customHeight="1">
      <c r="A112" t="s">
        <v>105</v>
      </c>
      <c r="B112" t="s">
        <v>203</v>
      </c>
      <c r="C112" t="s">
        <v>156</v>
      </c>
      <c r="D112" t="s">
        <v>229</v>
      </c>
      <c r="E112" t="s">
        <v>147</v>
      </c>
      <c r="F112" t="s">
        <v>148</v>
      </c>
      <c r="G112">
        <v>88144</v>
      </c>
      <c r="H112">
        <f>IF(PNL!A112="","",_CALC_PNL!P112)</f>
        <v>88144</v>
      </c>
      <c r="I112" t="str">
        <f>IF(PNL!A112="","",IF(_CALC_PNL!E112=1,H112-G112,""))</f>
        <v/>
      </c>
    </row>
    <row r="113" ht="14.25" customHeight="1">
      <c r="A113" t="s">
        <v>108</v>
      </c>
      <c r="B113" t="s">
        <v>203</v>
      </c>
      <c r="C113" t="s">
        <v>156</v>
      </c>
      <c r="D113" t="s">
        <v>229</v>
      </c>
      <c r="E113" t="s">
        <v>147</v>
      </c>
      <c r="F113" t="s">
        <v>148</v>
      </c>
      <c r="G113">
        <v>66108</v>
      </c>
      <c r="H113">
        <f>IF(PNL!A113="","",_CALC_PNL!P113)</f>
        <v>66108</v>
      </c>
      <c r="I113" t="str">
        <f>IF(PNL!A113="","",IF(_CALC_PNL!E113=1,H113-G113,""))</f>
        <v/>
      </c>
    </row>
    <row r="114" ht="14.25" customHeight="1">
      <c r="A114" t="s">
        <v>107</v>
      </c>
      <c r="B114" t="s">
        <v>203</v>
      </c>
      <c r="C114" t="s">
        <v>156</v>
      </c>
      <c r="D114" t="s">
        <v>229</v>
      </c>
      <c r="E114" t="s">
        <v>147</v>
      </c>
      <c r="F114" t="s">
        <v>148</v>
      </c>
      <c r="G114">
        <v>66108</v>
      </c>
      <c r="H114">
        <f>IF(PNL!A114="","",_CALC_PNL!P114)</f>
        <v>66108</v>
      </c>
      <c r="I114" t="str">
        <f>IF(PNL!A114="","",IF(_CALC_PNL!E114=1,H114-G114,""))</f>
        <v/>
      </c>
    </row>
    <row r="115" ht="14.25" customHeight="1">
      <c r="A115" t="s">
        <v>104</v>
      </c>
      <c r="B115" t="s">
        <v>203</v>
      </c>
      <c r="C115" t="s">
        <v>155</v>
      </c>
      <c r="D115" t="s">
        <v>229</v>
      </c>
      <c r="E115" t="s">
        <v>147</v>
      </c>
      <c r="F115" t="s">
        <v>148</v>
      </c>
      <c r="G115">
        <v>172844</v>
      </c>
      <c r="H115">
        <f>IF(PNL!A115="","",_CALC_PNL!P115)</f>
        <v>172844</v>
      </c>
      <c r="I115" t="str">
        <f>IF(PNL!A115="","",IF(_CALC_PNL!E115=1,H115-G115,""))</f>
        <v/>
      </c>
    </row>
    <row r="116" ht="14.25" customHeight="1">
      <c r="A116" t="s">
        <v>101</v>
      </c>
      <c r="B116" t="s">
        <v>203</v>
      </c>
      <c r="C116" t="s">
        <v>155</v>
      </c>
      <c r="D116" t="s">
        <v>229</v>
      </c>
      <c r="E116" t="s">
        <v>147</v>
      </c>
      <c r="F116" t="s">
        <v>148</v>
      </c>
      <c r="G116">
        <v>149798</v>
      </c>
      <c r="H116">
        <f>IF(PNL!A116="","",_CALC_PNL!P116)</f>
        <v>149798</v>
      </c>
      <c r="I116" t="str">
        <f>IF(PNL!A116="","",IF(_CALC_PNL!E116=1,H116-G116,""))</f>
        <v/>
      </c>
    </row>
    <row r="117" ht="14.25" customHeight="1">
      <c r="A117" t="s">
        <v>103</v>
      </c>
      <c r="B117" t="s">
        <v>203</v>
      </c>
      <c r="C117" t="s">
        <v>155</v>
      </c>
      <c r="D117" t="s">
        <v>229</v>
      </c>
      <c r="E117" t="s">
        <v>147</v>
      </c>
      <c r="F117" t="s">
        <v>148</v>
      </c>
      <c r="G117">
        <v>138275</v>
      </c>
      <c r="H117">
        <f>IF(PNL!A117="","",_CALC_PNL!P117)</f>
        <v>138275</v>
      </c>
      <c r="I117" t="str">
        <f>IF(PNL!A117="","",IF(_CALC_PNL!E117=1,H117-G117,""))</f>
        <v/>
      </c>
    </row>
    <row r="118" ht="14.25" customHeight="1">
      <c r="A118" t="s">
        <v>99</v>
      </c>
      <c r="B118" t="s">
        <v>203</v>
      </c>
      <c r="C118" t="s">
        <v>155</v>
      </c>
      <c r="D118" t="s">
        <v>229</v>
      </c>
      <c r="E118" t="s">
        <v>147</v>
      </c>
      <c r="F118" t="s">
        <v>148</v>
      </c>
      <c r="G118">
        <v>115229</v>
      </c>
      <c r="H118">
        <f>IF(PNL!A118="","",_CALC_PNL!P118)</f>
        <v>115229</v>
      </c>
      <c r="I118" t="str">
        <f>IF(PNL!A118="","",IF(_CALC_PNL!E118=1,H118-G118,""))</f>
        <v/>
      </c>
    </row>
    <row r="119" ht="14.25" customHeight="1">
      <c r="A119" t="s">
        <v>95</v>
      </c>
      <c r="B119" t="s">
        <v>203</v>
      </c>
      <c r="C119" t="s">
        <v>155</v>
      </c>
      <c r="D119" t="s">
        <v>229</v>
      </c>
      <c r="E119" t="s">
        <v>147</v>
      </c>
      <c r="F119" t="s">
        <v>148</v>
      </c>
      <c r="G119">
        <v>172844</v>
      </c>
      <c r="H119">
        <f>IF(PNL!A119="","",_CALC_PNL!P119)</f>
        <v>172844</v>
      </c>
      <c r="I119" t="str">
        <f>IF(PNL!A119="","",IF(_CALC_PNL!E119=1,H119-G119,""))</f>
        <v/>
      </c>
    </row>
    <row r="120" ht="14.25" customHeight="1">
      <c r="A120" t="s">
        <v>93</v>
      </c>
      <c r="B120" t="s">
        <v>203</v>
      </c>
      <c r="C120" t="s">
        <v>155</v>
      </c>
      <c r="D120" t="s">
        <v>229</v>
      </c>
      <c r="E120" t="s">
        <v>147</v>
      </c>
      <c r="F120" t="s">
        <v>148</v>
      </c>
      <c r="G120">
        <v>115229</v>
      </c>
      <c r="H120">
        <f>IF(PNL!A120="","",_CALC_PNL!P120)</f>
        <v>115229</v>
      </c>
      <c r="I120" t="str">
        <f>IF(PNL!A120="","",IF(_CALC_PNL!E120=1,H120-G120,""))</f>
        <v/>
      </c>
    </row>
    <row r="121" ht="14.25" customHeight="1">
      <c r="A121" t="s">
        <v>97</v>
      </c>
      <c r="B121" t="s">
        <v>203</v>
      </c>
      <c r="C121" t="s">
        <v>155</v>
      </c>
      <c r="D121" t="s">
        <v>229</v>
      </c>
      <c r="E121" t="s">
        <v>147</v>
      </c>
      <c r="F121" t="s">
        <v>148</v>
      </c>
      <c r="G121">
        <v>115229</v>
      </c>
      <c r="H121">
        <f>IF(PNL!A121="","",_CALC_PNL!P121)</f>
        <v>115229</v>
      </c>
      <c r="I121" t="str">
        <f>IF(PNL!A121="","",IF(_CALC_PNL!E121=1,H121-G121,""))</f>
        <v/>
      </c>
    </row>
    <row r="122" ht="14.25" customHeight="1">
      <c r="A122" t="s">
        <v>89</v>
      </c>
      <c r="B122" t="s">
        <v>203</v>
      </c>
      <c r="C122" t="s">
        <v>155</v>
      </c>
      <c r="D122" t="s">
        <v>229</v>
      </c>
      <c r="E122" t="s">
        <v>147</v>
      </c>
      <c r="F122" t="s">
        <v>148</v>
      </c>
      <c r="G122">
        <v>69137</v>
      </c>
      <c r="H122">
        <f>IF(PNL!A122="","",_CALC_PNL!P122)</f>
        <v>69137</v>
      </c>
      <c r="I122" t="str">
        <f>IF(PNL!A122="","",IF(_CALC_PNL!E122=1,H122-G122,""))</f>
        <v/>
      </c>
    </row>
    <row r="123" ht="14.25" customHeight="1">
      <c r="A123" t="s">
        <v>91</v>
      </c>
      <c r="B123" t="s">
        <v>203</v>
      </c>
      <c r="C123" t="s">
        <v>155</v>
      </c>
      <c r="D123" t="s">
        <v>229</v>
      </c>
      <c r="E123" t="s">
        <v>147</v>
      </c>
      <c r="F123" t="s">
        <v>148</v>
      </c>
      <c r="G123">
        <v>69137</v>
      </c>
      <c r="H123">
        <f>IF(PNL!A123="","",_CALC_PNL!P123)</f>
        <v>69137</v>
      </c>
      <c r="I123" t="str">
        <f>IF(PNL!A123="","",IF(_CALC_PNL!E123=1,H123-G123,""))</f>
        <v/>
      </c>
    </row>
    <row r="124" ht="14.25" customHeight="1">
      <c r="A124" t="s">
        <v>86</v>
      </c>
      <c r="B124" t="s">
        <v>203</v>
      </c>
      <c r="C124" t="s">
        <v>155</v>
      </c>
      <c r="D124" t="s">
        <v>229</v>
      </c>
      <c r="E124" t="s">
        <v>147</v>
      </c>
      <c r="F124" t="s">
        <v>148</v>
      </c>
      <c r="G124">
        <v>69137</v>
      </c>
      <c r="H124">
        <f>IF(PNL!A124="","",_CALC_PNL!P124)</f>
        <v>69137</v>
      </c>
      <c r="I124" t="str">
        <f>IF(PNL!A124="","",IF(_CALC_PNL!E124=1,H124-G124,""))</f>
        <v/>
      </c>
    </row>
    <row r="125" ht="14.25" customHeight="1">
      <c r="A125" t="s">
        <v>106</v>
      </c>
      <c r="B125" t="s">
        <v>203</v>
      </c>
      <c r="C125" t="s">
        <v>155</v>
      </c>
      <c r="D125" t="s">
        <v>229</v>
      </c>
      <c r="E125" t="s">
        <v>147</v>
      </c>
      <c r="F125" t="s">
        <v>148</v>
      </c>
      <c r="G125">
        <v>92183</v>
      </c>
      <c r="H125">
        <f>IF(PNL!A125="","",_CALC_PNL!P125)</f>
        <v>92183</v>
      </c>
      <c r="I125" t="str">
        <f>IF(PNL!A125="","",IF(_CALC_PNL!E125=1,H125-G125,""))</f>
        <v/>
      </c>
    </row>
    <row r="126" ht="14.25" customHeight="1">
      <c r="A126" t="s">
        <v>105</v>
      </c>
      <c r="B126" t="s">
        <v>203</v>
      </c>
      <c r="C126" t="s">
        <v>155</v>
      </c>
      <c r="D126" t="s">
        <v>229</v>
      </c>
      <c r="E126" t="s">
        <v>147</v>
      </c>
      <c r="F126" t="s">
        <v>148</v>
      </c>
      <c r="G126">
        <v>92183</v>
      </c>
      <c r="H126">
        <f>IF(PNL!A126="","",_CALC_PNL!P126)</f>
        <v>92183</v>
      </c>
      <c r="I126" t="str">
        <f>IF(PNL!A126="","",IF(_CALC_PNL!E126=1,H126-G126,""))</f>
        <v/>
      </c>
    </row>
    <row r="127" ht="14.25" customHeight="1">
      <c r="A127" t="s">
        <v>108</v>
      </c>
      <c r="B127" t="s">
        <v>203</v>
      </c>
      <c r="C127" t="s">
        <v>155</v>
      </c>
      <c r="D127" t="s">
        <v>229</v>
      </c>
      <c r="E127" t="s">
        <v>147</v>
      </c>
      <c r="F127" t="s">
        <v>148</v>
      </c>
      <c r="G127">
        <v>69137</v>
      </c>
      <c r="H127">
        <f>IF(PNL!A127="","",_CALC_PNL!P127)</f>
        <v>69137</v>
      </c>
      <c r="I127" t="str">
        <f>IF(PNL!A127="","",IF(_CALC_PNL!E127=1,H127-G127,""))</f>
        <v/>
      </c>
    </row>
    <row r="128" ht="14.25" customHeight="1">
      <c r="A128" t="s">
        <v>107</v>
      </c>
      <c r="B128" t="s">
        <v>203</v>
      </c>
      <c r="C128" t="s">
        <v>155</v>
      </c>
      <c r="D128" t="s">
        <v>229</v>
      </c>
      <c r="E128" t="s">
        <v>147</v>
      </c>
      <c r="F128" t="s">
        <v>148</v>
      </c>
      <c r="G128">
        <v>69137</v>
      </c>
      <c r="H128">
        <f>IF(PNL!A128="","",_CALC_PNL!P128)</f>
        <v>69137</v>
      </c>
      <c r="I128" t="str">
        <f>IF(PNL!A128="","",IF(_CALC_PNL!E128=1,H128-G128,""))</f>
        <v/>
      </c>
    </row>
    <row r="129" ht="14.25" customHeight="1">
      <c r="A129" t="s">
        <v>104</v>
      </c>
      <c r="B129" t="s">
        <v>203</v>
      </c>
      <c r="C129" t="s">
        <v>152</v>
      </c>
      <c r="D129" t="s">
        <v>229</v>
      </c>
      <c r="E129" t="s">
        <v>147</v>
      </c>
      <c r="F129" t="s">
        <v>148</v>
      </c>
      <c r="G129">
        <v>181094</v>
      </c>
      <c r="H129">
        <f>IF(PNL!A129="","",_CALC_PNL!P129)</f>
        <v>181094</v>
      </c>
      <c r="I129" t="str">
        <f>IF(PNL!A129="","",IF(_CALC_PNL!E129=1,H129-G129,""))</f>
        <v/>
      </c>
    </row>
    <row r="130" ht="14.25" customHeight="1">
      <c r="A130" t="s">
        <v>101</v>
      </c>
      <c r="B130" t="s">
        <v>203</v>
      </c>
      <c r="C130" t="s">
        <v>152</v>
      </c>
      <c r="D130" t="s">
        <v>229</v>
      </c>
      <c r="E130" t="s">
        <v>147</v>
      </c>
      <c r="F130" t="s">
        <v>148</v>
      </c>
      <c r="G130">
        <v>156948</v>
      </c>
      <c r="H130">
        <f>IF(PNL!A130="","",_CALC_PNL!P130)</f>
        <v>156948</v>
      </c>
      <c r="I130" t="str">
        <f>IF(PNL!A130="","",IF(_CALC_PNL!E130=1,H130-G130,""))</f>
        <v/>
      </c>
    </row>
    <row r="131" ht="14.25" customHeight="1">
      <c r="A131" t="s">
        <v>103</v>
      </c>
      <c r="B131" t="s">
        <v>203</v>
      </c>
      <c r="C131" t="s">
        <v>152</v>
      </c>
      <c r="D131" t="s">
        <v>229</v>
      </c>
      <c r="E131" t="s">
        <v>147</v>
      </c>
      <c r="F131" t="s">
        <v>148</v>
      </c>
      <c r="G131">
        <v>144875</v>
      </c>
      <c r="H131">
        <f>IF(PNL!A131="","",_CALC_PNL!P131)</f>
        <v>144875</v>
      </c>
      <c r="I131" t="str">
        <f>IF(PNL!A131="","",IF(_CALC_PNL!E131=1,H131-G131,""))</f>
        <v/>
      </c>
    </row>
    <row r="132" ht="14.25" customHeight="1">
      <c r="A132" t="s">
        <v>99</v>
      </c>
      <c r="B132" t="s">
        <v>203</v>
      </c>
      <c r="C132" t="s">
        <v>152</v>
      </c>
      <c r="D132" t="s">
        <v>229</v>
      </c>
      <c r="E132" t="s">
        <v>147</v>
      </c>
      <c r="F132" t="s">
        <v>148</v>
      </c>
      <c r="G132">
        <v>120729</v>
      </c>
      <c r="H132">
        <f>IF(PNL!A132="","",_CALC_PNL!P132)</f>
        <v>120729</v>
      </c>
      <c r="I132" t="str">
        <f>IF(PNL!A132="","",IF(_CALC_PNL!E132=1,H132-G132,""))</f>
        <v/>
      </c>
    </row>
    <row r="133" ht="14.25" customHeight="1">
      <c r="A133" t="s">
        <v>95</v>
      </c>
      <c r="B133" t="s">
        <v>203</v>
      </c>
      <c r="C133" t="s">
        <v>152</v>
      </c>
      <c r="D133" t="s">
        <v>229</v>
      </c>
      <c r="E133" t="s">
        <v>147</v>
      </c>
      <c r="F133" t="s">
        <v>148</v>
      </c>
      <c r="G133">
        <v>181094</v>
      </c>
      <c r="H133">
        <f>IF(PNL!A133="","",_CALC_PNL!P133)</f>
        <v>181094</v>
      </c>
      <c r="I133" t="str">
        <f>IF(PNL!A133="","",IF(_CALC_PNL!E133=1,H133-G133,""))</f>
        <v/>
      </c>
    </row>
    <row r="134" ht="14.25" customHeight="1">
      <c r="A134" t="s">
        <v>93</v>
      </c>
      <c r="B134" t="s">
        <v>203</v>
      </c>
      <c r="C134" t="s">
        <v>152</v>
      </c>
      <c r="D134" t="s">
        <v>229</v>
      </c>
      <c r="E134" t="s">
        <v>147</v>
      </c>
      <c r="F134" t="s">
        <v>148</v>
      </c>
      <c r="G134">
        <v>120729</v>
      </c>
      <c r="H134">
        <f>IF(PNL!A134="","",_CALC_PNL!P134)</f>
        <v>120729</v>
      </c>
      <c r="I134" t="str">
        <f>IF(PNL!A134="","",IF(_CALC_PNL!E134=1,H134-G134,""))</f>
        <v/>
      </c>
    </row>
    <row r="135" ht="14.25" customHeight="1">
      <c r="A135" t="s">
        <v>97</v>
      </c>
      <c r="B135" t="s">
        <v>203</v>
      </c>
      <c r="C135" t="s">
        <v>152</v>
      </c>
      <c r="D135" t="s">
        <v>229</v>
      </c>
      <c r="E135" t="s">
        <v>147</v>
      </c>
      <c r="F135" t="s">
        <v>148</v>
      </c>
      <c r="G135">
        <v>120729</v>
      </c>
      <c r="H135">
        <f>IF(PNL!A135="","",_CALC_PNL!P135)</f>
        <v>120729</v>
      </c>
      <c r="I135" t="str">
        <f>IF(PNL!A135="","",IF(_CALC_PNL!E135=1,H135-G135,""))</f>
        <v/>
      </c>
    </row>
    <row r="136" ht="14.25" customHeight="1">
      <c r="A136" t="s">
        <v>89</v>
      </c>
      <c r="B136" t="s">
        <v>203</v>
      </c>
      <c r="C136" t="s">
        <v>152</v>
      </c>
      <c r="D136" t="s">
        <v>229</v>
      </c>
      <c r="E136" t="s">
        <v>147</v>
      </c>
      <c r="F136" t="s">
        <v>148</v>
      </c>
      <c r="G136">
        <v>72438</v>
      </c>
      <c r="H136">
        <f>IF(PNL!A136="","",_CALC_PNL!P136)</f>
        <v>72438</v>
      </c>
      <c r="I136" t="str">
        <f>IF(PNL!A136="","",IF(_CALC_PNL!E136=1,H136-G136,""))</f>
        <v/>
      </c>
    </row>
    <row r="137" ht="14.25" customHeight="1">
      <c r="A137" t="s">
        <v>91</v>
      </c>
      <c r="B137" t="s">
        <v>203</v>
      </c>
      <c r="C137" t="s">
        <v>152</v>
      </c>
      <c r="D137" t="s">
        <v>229</v>
      </c>
      <c r="E137" t="s">
        <v>147</v>
      </c>
      <c r="F137" t="s">
        <v>148</v>
      </c>
      <c r="G137">
        <v>72438</v>
      </c>
      <c r="H137">
        <f>IF(PNL!A137="","",_CALC_PNL!P137)</f>
        <v>72438</v>
      </c>
      <c r="I137" t="str">
        <f>IF(PNL!A137="","",IF(_CALC_PNL!E137=1,H137-G137,""))</f>
        <v/>
      </c>
    </row>
    <row r="138" ht="14.25" customHeight="1">
      <c r="A138" t="s">
        <v>86</v>
      </c>
      <c r="B138" t="s">
        <v>203</v>
      </c>
      <c r="C138" t="s">
        <v>152</v>
      </c>
      <c r="D138" t="s">
        <v>229</v>
      </c>
      <c r="E138" t="s">
        <v>147</v>
      </c>
      <c r="F138" t="s">
        <v>148</v>
      </c>
      <c r="G138">
        <v>72438</v>
      </c>
      <c r="H138">
        <f>IF(PNL!A138="","",_CALC_PNL!P138)</f>
        <v>72438</v>
      </c>
      <c r="I138" t="str">
        <f>IF(PNL!A138="","",IF(_CALC_PNL!E138=1,H138-G138,""))</f>
        <v/>
      </c>
    </row>
    <row r="139" ht="14.25" customHeight="1">
      <c r="A139" t="s">
        <v>106</v>
      </c>
      <c r="B139" t="s">
        <v>203</v>
      </c>
      <c r="C139" t="s">
        <v>152</v>
      </c>
      <c r="D139" t="s">
        <v>229</v>
      </c>
      <c r="E139" t="s">
        <v>147</v>
      </c>
      <c r="F139" t="s">
        <v>148</v>
      </c>
      <c r="G139">
        <v>96583</v>
      </c>
      <c r="H139">
        <f>IF(PNL!A139="","",_CALC_PNL!P139)</f>
        <v>96583</v>
      </c>
      <c r="I139" t="str">
        <f>IF(PNL!A139="","",IF(_CALC_PNL!E139=1,H139-G139,""))</f>
        <v/>
      </c>
    </row>
    <row r="140" ht="14.25" customHeight="1">
      <c r="A140" t="s">
        <v>105</v>
      </c>
      <c r="B140" t="s">
        <v>203</v>
      </c>
      <c r="C140" t="s">
        <v>152</v>
      </c>
      <c r="D140" t="s">
        <v>229</v>
      </c>
      <c r="E140" t="s">
        <v>147</v>
      </c>
      <c r="F140" t="s">
        <v>148</v>
      </c>
      <c r="G140">
        <v>96583</v>
      </c>
      <c r="H140">
        <f>IF(PNL!A140="","",_CALC_PNL!P140)</f>
        <v>96583</v>
      </c>
      <c r="I140" t="str">
        <f>IF(PNL!A140="","",IF(_CALC_PNL!E140=1,H140-G140,""))</f>
        <v/>
      </c>
    </row>
    <row r="141" ht="14.25" customHeight="1">
      <c r="A141" t="s">
        <v>108</v>
      </c>
      <c r="B141" t="s">
        <v>203</v>
      </c>
      <c r="C141" t="s">
        <v>152</v>
      </c>
      <c r="D141" t="s">
        <v>229</v>
      </c>
      <c r="E141" t="s">
        <v>147</v>
      </c>
      <c r="F141" t="s">
        <v>148</v>
      </c>
      <c r="G141">
        <v>72438</v>
      </c>
      <c r="H141">
        <f>IF(PNL!A141="","",_CALC_PNL!P141)</f>
        <v>72438</v>
      </c>
      <c r="I141" t="str">
        <f>IF(PNL!A141="","",IF(_CALC_PNL!E141=1,H141-G141,""))</f>
        <v/>
      </c>
    </row>
    <row r="142" ht="14.25" customHeight="1">
      <c r="A142" t="s">
        <v>107</v>
      </c>
      <c r="B142" t="s">
        <v>203</v>
      </c>
      <c r="C142" t="s">
        <v>152</v>
      </c>
      <c r="D142" t="s">
        <v>229</v>
      </c>
      <c r="E142" t="s">
        <v>147</v>
      </c>
      <c r="F142" t="s">
        <v>148</v>
      </c>
      <c r="G142">
        <v>72438</v>
      </c>
      <c r="H142">
        <f>IF(PNL!A142="","",_CALC_PNL!P142)</f>
        <v>72438</v>
      </c>
      <c r="I142" t="str">
        <f>IF(PNL!A142="","",IF(_CALC_PNL!E142=1,H142-G142,""))</f>
        <v/>
      </c>
    </row>
    <row r="143" ht="14.25" customHeight="1">
      <c r="A143" t="s">
        <v>104</v>
      </c>
      <c r="B143" t="s">
        <v>204</v>
      </c>
      <c r="C143" t="s">
        <v>156</v>
      </c>
      <c r="D143" t="s">
        <v>229</v>
      </c>
      <c r="E143" t="s">
        <v>147</v>
      </c>
      <c r="F143" t="s">
        <v>148</v>
      </c>
      <c r="G143">
        <v>77832</v>
      </c>
      <c r="H143">
        <f>IF(PNL!A143="","",_CALC_PNL!P143)</f>
        <v>77832</v>
      </c>
      <c r="I143" t="str">
        <f>IF(PNL!A143="","",IF(_CALC_PNL!E143=1,H143-G143,""))</f>
        <v/>
      </c>
    </row>
    <row r="144" ht="14.25" customHeight="1">
      <c r="A144" t="s">
        <v>101</v>
      </c>
      <c r="B144" t="s">
        <v>204</v>
      </c>
      <c r="C144" t="s">
        <v>156</v>
      </c>
      <c r="D144" t="s">
        <v>229</v>
      </c>
      <c r="E144" t="s">
        <v>147</v>
      </c>
      <c r="F144" t="s">
        <v>148</v>
      </c>
      <c r="G144">
        <v>66015</v>
      </c>
      <c r="H144">
        <f>IF(PNL!A144="","",_CALC_PNL!P144)</f>
        <v>66015</v>
      </c>
      <c r="I144" t="str">
        <f>IF(PNL!A144="","",IF(_CALC_PNL!E144=1,H144-G144,""))</f>
        <v/>
      </c>
    </row>
    <row r="145" ht="14.25" customHeight="1">
      <c r="A145" t="s">
        <v>103</v>
      </c>
      <c r="B145" t="s">
        <v>204</v>
      </c>
      <c r="C145" t="s">
        <v>156</v>
      </c>
      <c r="D145" t="s">
        <v>229</v>
      </c>
      <c r="E145" t="s">
        <v>147</v>
      </c>
      <c r="F145" t="s">
        <v>148</v>
      </c>
      <c r="G145">
        <v>59902</v>
      </c>
      <c r="H145">
        <f>IF(PNL!A145="","",_CALC_PNL!P145)</f>
        <v>59902</v>
      </c>
      <c r="I145" t="str">
        <f>IF(PNL!A145="","",IF(_CALC_PNL!E145=1,H145-G145,""))</f>
        <v/>
      </c>
    </row>
    <row r="146" ht="14.25" customHeight="1">
      <c r="A146" t="s">
        <v>99</v>
      </c>
      <c r="B146" t="s">
        <v>204</v>
      </c>
      <c r="C146" t="s">
        <v>156</v>
      </c>
      <c r="D146" t="s">
        <v>229</v>
      </c>
      <c r="E146" t="s">
        <v>147</v>
      </c>
      <c r="F146" t="s">
        <v>148</v>
      </c>
      <c r="G146">
        <v>50734</v>
      </c>
      <c r="H146">
        <f>IF(PNL!A146="","",_CALC_PNL!P146)</f>
        <v>50734</v>
      </c>
      <c r="I146" t="str">
        <f>IF(PNL!A146="","",IF(_CALC_PNL!E146=1,H146-G146,""))</f>
        <v/>
      </c>
    </row>
    <row r="147" ht="14.25" customHeight="1">
      <c r="A147" t="s">
        <v>95</v>
      </c>
      <c r="B147" t="s">
        <v>204</v>
      </c>
      <c r="C147" t="s">
        <v>156</v>
      </c>
      <c r="D147" t="s">
        <v>229</v>
      </c>
      <c r="E147" t="s">
        <v>147</v>
      </c>
      <c r="F147" t="s">
        <v>148</v>
      </c>
      <c r="G147">
        <v>72127</v>
      </c>
      <c r="H147">
        <f>IF(PNL!A147="","",_CALC_PNL!P147)</f>
        <v>72127</v>
      </c>
      <c r="I147" t="str">
        <f>IF(PNL!A147="","",IF(_CALC_PNL!E147=1,H147-G147,""))</f>
        <v/>
      </c>
    </row>
    <row r="148" ht="14.25" customHeight="1">
      <c r="A148" t="s">
        <v>93</v>
      </c>
      <c r="B148" t="s">
        <v>204</v>
      </c>
      <c r="C148" t="s">
        <v>156</v>
      </c>
      <c r="D148" t="s">
        <v>229</v>
      </c>
      <c r="E148" t="s">
        <v>147</v>
      </c>
      <c r="F148" t="s">
        <v>148</v>
      </c>
      <c r="G148">
        <v>49715</v>
      </c>
      <c r="H148">
        <f>IF(PNL!A148="","",_CALC_PNL!P148)</f>
        <v>49715</v>
      </c>
      <c r="I148" t="str">
        <f>IF(PNL!A148="","",IF(_CALC_PNL!E148=1,H148-G148,""))</f>
        <v/>
      </c>
    </row>
    <row r="149" ht="14.25" customHeight="1">
      <c r="A149" t="s">
        <v>97</v>
      </c>
      <c r="B149" t="s">
        <v>204</v>
      </c>
      <c r="C149" t="s">
        <v>156</v>
      </c>
      <c r="D149" t="s">
        <v>229</v>
      </c>
      <c r="E149" t="s">
        <v>147</v>
      </c>
      <c r="F149" t="s">
        <v>148</v>
      </c>
      <c r="G149">
        <v>47066</v>
      </c>
      <c r="H149">
        <f>IF(PNL!A149="","",_CALC_PNL!P149)</f>
        <v>47066</v>
      </c>
      <c r="I149" t="str">
        <f>IF(PNL!A149="","",IF(_CALC_PNL!E149=1,H149-G149,""))</f>
        <v/>
      </c>
    </row>
    <row r="150" ht="14.25" customHeight="1">
      <c r="A150" t="s">
        <v>89</v>
      </c>
      <c r="B150" t="s">
        <v>204</v>
      </c>
      <c r="C150" t="s">
        <v>156</v>
      </c>
      <c r="D150" t="s">
        <v>229</v>
      </c>
      <c r="E150" t="s">
        <v>147</v>
      </c>
      <c r="F150" t="s">
        <v>148</v>
      </c>
      <c r="G150">
        <v>29544</v>
      </c>
      <c r="H150">
        <f>IF(PNL!A150="","",_CALC_PNL!P150)</f>
        <v>29544</v>
      </c>
      <c r="I150" t="str">
        <f>IF(PNL!A150="","",IF(_CALC_PNL!E150=1,H150-G150,""))</f>
        <v/>
      </c>
    </row>
    <row r="151" ht="14.25" customHeight="1">
      <c r="A151" t="s">
        <v>91</v>
      </c>
      <c r="B151" t="s">
        <v>204</v>
      </c>
      <c r="C151" t="s">
        <v>156</v>
      </c>
      <c r="D151" t="s">
        <v>229</v>
      </c>
      <c r="E151" t="s">
        <v>147</v>
      </c>
      <c r="F151" t="s">
        <v>148</v>
      </c>
      <c r="G151">
        <v>23839</v>
      </c>
      <c r="H151">
        <f>IF(PNL!A151="","",_CALC_PNL!P151)</f>
        <v>23839</v>
      </c>
      <c r="I151" t="str">
        <f>IF(PNL!A151="","",IF(_CALC_PNL!E151=1,H151-G151,""))</f>
        <v/>
      </c>
    </row>
    <row r="152" ht="14.25" customHeight="1">
      <c r="A152" t="s">
        <v>86</v>
      </c>
      <c r="B152" t="s">
        <v>204</v>
      </c>
      <c r="C152" t="s">
        <v>156</v>
      </c>
      <c r="D152" t="s">
        <v>229</v>
      </c>
      <c r="E152" t="s">
        <v>147</v>
      </c>
      <c r="F152" t="s">
        <v>148</v>
      </c>
      <c r="G152">
        <v>23839</v>
      </c>
      <c r="H152">
        <f>IF(PNL!A152="","",_CALC_PNL!P152)</f>
        <v>23839</v>
      </c>
      <c r="I152" t="str">
        <f>IF(PNL!A152="","",IF(_CALC_PNL!E152=1,H152-G152,""))</f>
        <v/>
      </c>
    </row>
    <row r="153" ht="14.25" customHeight="1">
      <c r="A153" t="s">
        <v>106</v>
      </c>
      <c r="B153" t="s">
        <v>204</v>
      </c>
      <c r="C153" t="s">
        <v>156</v>
      </c>
      <c r="D153" t="s">
        <v>229</v>
      </c>
      <c r="E153" t="s">
        <v>147</v>
      </c>
      <c r="F153" t="s">
        <v>148</v>
      </c>
      <c r="G153">
        <v>37082</v>
      </c>
      <c r="H153">
        <f>IF(PNL!A153="","",_CALC_PNL!P153)</f>
        <v>37082</v>
      </c>
      <c r="I153" t="str">
        <f>IF(PNL!A153="","",IF(_CALC_PNL!E153=1,H153-G153,""))</f>
        <v/>
      </c>
    </row>
    <row r="154" ht="14.25" customHeight="1">
      <c r="A154" t="s">
        <v>105</v>
      </c>
      <c r="B154" t="s">
        <v>204</v>
      </c>
      <c r="C154" t="s">
        <v>156</v>
      </c>
      <c r="D154" t="s">
        <v>229</v>
      </c>
      <c r="E154" t="s">
        <v>147</v>
      </c>
      <c r="F154" t="s">
        <v>148</v>
      </c>
      <c r="G154">
        <v>28932</v>
      </c>
      <c r="H154">
        <f>IF(PNL!A154="","",_CALC_PNL!P154)</f>
        <v>28932</v>
      </c>
      <c r="I154" t="str">
        <f>IF(PNL!A154="","",IF(_CALC_PNL!E154=1,H154-G154,""))</f>
        <v/>
      </c>
    </row>
    <row r="155" ht="14.25" customHeight="1">
      <c r="A155" t="s">
        <v>108</v>
      </c>
      <c r="B155" t="s">
        <v>204</v>
      </c>
      <c r="C155" t="s">
        <v>156</v>
      </c>
      <c r="D155" t="s">
        <v>229</v>
      </c>
      <c r="E155" t="s">
        <v>147</v>
      </c>
      <c r="F155" t="s">
        <v>148</v>
      </c>
      <c r="G155">
        <v>28117</v>
      </c>
      <c r="H155">
        <f>IF(PNL!A155="","",_CALC_PNL!P155)</f>
        <v>28117</v>
      </c>
      <c r="I155" t="str">
        <f>IF(PNL!A155="","",IF(_CALC_PNL!E155=1,H155-G155,""))</f>
        <v/>
      </c>
    </row>
    <row r="156" ht="14.25" customHeight="1">
      <c r="A156" t="s">
        <v>107</v>
      </c>
      <c r="B156" t="s">
        <v>204</v>
      </c>
      <c r="C156" t="s">
        <v>156</v>
      </c>
      <c r="D156" t="s">
        <v>229</v>
      </c>
      <c r="E156" t="s">
        <v>147</v>
      </c>
      <c r="F156" t="s">
        <v>148</v>
      </c>
      <c r="G156">
        <v>23839</v>
      </c>
      <c r="H156">
        <f>IF(PNL!A156="","",_CALC_PNL!P156)</f>
        <v>23839</v>
      </c>
      <c r="I156" t="str">
        <f>IF(PNL!A156="","",IF(_CALC_PNL!E156=1,H156-G156,""))</f>
        <v/>
      </c>
    </row>
    <row r="157" ht="14.25" customHeight="1">
      <c r="A157" t="s">
        <v>104</v>
      </c>
      <c r="B157" t="s">
        <v>204</v>
      </c>
      <c r="C157" t="s">
        <v>155</v>
      </c>
      <c r="D157" t="s">
        <v>229</v>
      </c>
      <c r="E157" t="s">
        <v>147</v>
      </c>
      <c r="F157" t="s">
        <v>148</v>
      </c>
      <c r="G157">
        <v>81399</v>
      </c>
      <c r="H157">
        <f>IF(PNL!A157="","",_CALC_PNL!P157)</f>
        <v>81399</v>
      </c>
      <c r="I157" t="str">
        <f>IF(PNL!A157="","",IF(_CALC_PNL!E157=1,H157-G157,""))</f>
        <v/>
      </c>
    </row>
    <row r="158" ht="14.25" customHeight="1">
      <c r="A158" t="s">
        <v>101</v>
      </c>
      <c r="B158" t="s">
        <v>204</v>
      </c>
      <c r="C158" t="s">
        <v>155</v>
      </c>
      <c r="D158" t="s">
        <v>229</v>
      </c>
      <c r="E158" t="s">
        <v>147</v>
      </c>
      <c r="F158" t="s">
        <v>148</v>
      </c>
      <c r="G158">
        <v>69040</v>
      </c>
      <c r="H158">
        <f>IF(PNL!A158="","",_CALC_PNL!P158)</f>
        <v>69040</v>
      </c>
      <c r="I158" t="str">
        <f>IF(PNL!A158="","",IF(_CALC_PNL!E158=1,H158-G158,""))</f>
        <v/>
      </c>
    </row>
    <row r="159" ht="14.25" customHeight="1">
      <c r="A159" t="s">
        <v>103</v>
      </c>
      <c r="B159" t="s">
        <v>204</v>
      </c>
      <c r="C159" t="s">
        <v>155</v>
      </c>
      <c r="D159" t="s">
        <v>229</v>
      </c>
      <c r="E159" t="s">
        <v>147</v>
      </c>
      <c r="F159" t="s">
        <v>148</v>
      </c>
      <c r="G159">
        <v>62647</v>
      </c>
      <c r="H159">
        <f>IF(PNL!A159="","",_CALC_PNL!P159)</f>
        <v>62647</v>
      </c>
      <c r="I159" t="str">
        <f>IF(PNL!A159="","",IF(_CALC_PNL!E159=1,H159-G159,""))</f>
        <v/>
      </c>
    </row>
    <row r="160" ht="14.25" customHeight="1">
      <c r="A160" t="s">
        <v>99</v>
      </c>
      <c r="B160" t="s">
        <v>204</v>
      </c>
      <c r="C160" t="s">
        <v>155</v>
      </c>
      <c r="D160" t="s">
        <v>229</v>
      </c>
      <c r="E160" t="s">
        <v>147</v>
      </c>
      <c r="F160" t="s">
        <v>148</v>
      </c>
      <c r="G160">
        <v>53058</v>
      </c>
      <c r="H160">
        <f>IF(PNL!A160="","",_CALC_PNL!P160)</f>
        <v>53058</v>
      </c>
      <c r="I160" t="str">
        <f>IF(PNL!A160="","",IF(_CALC_PNL!E160=1,H160-G160,""))</f>
        <v/>
      </c>
    </row>
    <row r="161" ht="14.25" customHeight="1">
      <c r="A161" t="s">
        <v>95</v>
      </c>
      <c r="B161" t="s">
        <v>204</v>
      </c>
      <c r="C161" t="s">
        <v>155</v>
      </c>
      <c r="D161" t="s">
        <v>229</v>
      </c>
      <c r="E161" t="s">
        <v>147</v>
      </c>
      <c r="F161" t="s">
        <v>148</v>
      </c>
      <c r="G161">
        <v>75432</v>
      </c>
      <c r="H161">
        <f>IF(PNL!A161="","",_CALC_PNL!P161)</f>
        <v>75432</v>
      </c>
      <c r="I161" t="str">
        <f>IF(PNL!A161="","",IF(_CALC_PNL!E161=1,H161-G161,""))</f>
        <v/>
      </c>
    </row>
    <row r="162" ht="14.25" customHeight="1">
      <c r="A162" t="s">
        <v>93</v>
      </c>
      <c r="B162" t="s">
        <v>204</v>
      </c>
      <c r="C162" t="s">
        <v>155</v>
      </c>
      <c r="D162" t="s">
        <v>229</v>
      </c>
      <c r="E162" t="s">
        <v>147</v>
      </c>
      <c r="F162" t="s">
        <v>148</v>
      </c>
      <c r="G162">
        <v>51993</v>
      </c>
      <c r="H162">
        <f>IF(PNL!A162="","",_CALC_PNL!P162)</f>
        <v>51993</v>
      </c>
      <c r="I162" t="str">
        <f>IF(PNL!A162="","",IF(_CALC_PNL!E162=1,H162-G162,""))</f>
        <v/>
      </c>
    </row>
    <row r="163" ht="14.25" customHeight="1">
      <c r="A163" t="s">
        <v>97</v>
      </c>
      <c r="B163" t="s">
        <v>204</v>
      </c>
      <c r="C163" t="s">
        <v>155</v>
      </c>
      <c r="D163" t="s">
        <v>229</v>
      </c>
      <c r="E163" t="s">
        <v>147</v>
      </c>
      <c r="F163" t="s">
        <v>148</v>
      </c>
      <c r="G163">
        <v>49223</v>
      </c>
      <c r="H163">
        <f>IF(PNL!A163="","",_CALC_PNL!P163)</f>
        <v>49223</v>
      </c>
      <c r="I163" t="str">
        <f>IF(PNL!A163="","",IF(_CALC_PNL!E163=1,H163-G163,""))</f>
        <v/>
      </c>
    </row>
    <row r="164" ht="14.25" customHeight="1">
      <c r="A164" t="s">
        <v>89</v>
      </c>
      <c r="B164" t="s">
        <v>204</v>
      </c>
      <c r="C164" t="s">
        <v>155</v>
      </c>
      <c r="D164" t="s">
        <v>229</v>
      </c>
      <c r="E164" t="s">
        <v>147</v>
      </c>
      <c r="F164" t="s">
        <v>148</v>
      </c>
      <c r="G164">
        <v>30897</v>
      </c>
      <c r="H164">
        <f>IF(PNL!A164="","",_CALC_PNL!P164)</f>
        <v>30897</v>
      </c>
      <c r="I164" t="str">
        <f>IF(PNL!A164="","",IF(_CALC_PNL!E164=1,H164-G164,""))</f>
        <v/>
      </c>
    </row>
    <row r="165" ht="14.25" customHeight="1">
      <c r="A165" t="s">
        <v>91</v>
      </c>
      <c r="B165" t="s">
        <v>204</v>
      </c>
      <c r="C165" t="s">
        <v>155</v>
      </c>
      <c r="D165" t="s">
        <v>229</v>
      </c>
      <c r="E165" t="s">
        <v>147</v>
      </c>
      <c r="F165" t="s">
        <v>148</v>
      </c>
      <c r="G165">
        <v>24931</v>
      </c>
      <c r="H165">
        <f>IF(PNL!A165="","",_CALC_PNL!P165)</f>
        <v>24931</v>
      </c>
      <c r="I165" t="str">
        <f>IF(PNL!A165="","",IF(_CALC_PNL!E165=1,H165-G165,""))</f>
        <v/>
      </c>
    </row>
    <row r="166" ht="14.25" customHeight="1">
      <c r="A166" t="s">
        <v>86</v>
      </c>
      <c r="B166" t="s">
        <v>204</v>
      </c>
      <c r="C166" t="s">
        <v>155</v>
      </c>
      <c r="D166" t="s">
        <v>229</v>
      </c>
      <c r="E166" t="s">
        <v>147</v>
      </c>
      <c r="F166" t="s">
        <v>148</v>
      </c>
      <c r="G166">
        <v>24931</v>
      </c>
      <c r="H166">
        <f>IF(PNL!A166="","",_CALC_PNL!P166)</f>
        <v>24931</v>
      </c>
      <c r="I166" t="str">
        <f>IF(PNL!A166="","",IF(_CALC_PNL!E166=1,H166-G166,""))</f>
        <v/>
      </c>
    </row>
    <row r="167" ht="14.25" customHeight="1">
      <c r="A167" t="s">
        <v>106</v>
      </c>
      <c r="B167" t="s">
        <v>204</v>
      </c>
      <c r="C167" t="s">
        <v>155</v>
      </c>
      <c r="D167" t="s">
        <v>229</v>
      </c>
      <c r="E167" t="s">
        <v>147</v>
      </c>
      <c r="F167" t="s">
        <v>148</v>
      </c>
      <c r="G167">
        <v>38782</v>
      </c>
      <c r="H167">
        <f>IF(PNL!A167="","",_CALC_PNL!P167)</f>
        <v>38782</v>
      </c>
      <c r="I167" t="str">
        <f>IF(PNL!A167="","",IF(_CALC_PNL!E167=1,H167-G167,""))</f>
        <v/>
      </c>
    </row>
    <row r="168" ht="14.25" customHeight="1">
      <c r="A168" t="s">
        <v>105</v>
      </c>
      <c r="B168" t="s">
        <v>204</v>
      </c>
      <c r="C168" t="s">
        <v>155</v>
      </c>
      <c r="D168" t="s">
        <v>229</v>
      </c>
      <c r="E168" t="s">
        <v>147</v>
      </c>
      <c r="F168" t="s">
        <v>148</v>
      </c>
      <c r="G168">
        <v>30258</v>
      </c>
      <c r="H168">
        <f>IF(PNL!A168="","",_CALC_PNL!P168)</f>
        <v>30258</v>
      </c>
      <c r="I168" t="str">
        <f>IF(PNL!A168="","",IF(_CALC_PNL!E168=1,H168-G168,""))</f>
        <v/>
      </c>
    </row>
    <row r="169" ht="14.25" customHeight="1">
      <c r="A169" t="s">
        <v>108</v>
      </c>
      <c r="B169" t="s">
        <v>204</v>
      </c>
      <c r="C169" t="s">
        <v>155</v>
      </c>
      <c r="D169" t="s">
        <v>229</v>
      </c>
      <c r="E169" t="s">
        <v>147</v>
      </c>
      <c r="F169" t="s">
        <v>148</v>
      </c>
      <c r="G169">
        <v>29406</v>
      </c>
      <c r="H169">
        <f>IF(PNL!A169="","",_CALC_PNL!P169)</f>
        <v>29406</v>
      </c>
      <c r="I169" t="str">
        <f>IF(PNL!A169="","",IF(_CALC_PNL!E169=1,H169-G169,""))</f>
        <v/>
      </c>
    </row>
    <row r="170" ht="14.25" customHeight="1">
      <c r="A170" t="s">
        <v>107</v>
      </c>
      <c r="B170" t="s">
        <v>204</v>
      </c>
      <c r="C170" t="s">
        <v>155</v>
      </c>
      <c r="D170" t="s">
        <v>229</v>
      </c>
      <c r="E170" t="s">
        <v>147</v>
      </c>
      <c r="F170" t="s">
        <v>148</v>
      </c>
      <c r="G170">
        <v>24931</v>
      </c>
      <c r="H170">
        <f>IF(PNL!A170="","",_CALC_PNL!P170)</f>
        <v>24931</v>
      </c>
      <c r="I170" t="str">
        <f>IF(PNL!A170="","",IF(_CALC_PNL!E170=1,H170-G170,""))</f>
        <v/>
      </c>
    </row>
    <row r="171" ht="14.25" customHeight="1">
      <c r="A171" t="s">
        <v>104</v>
      </c>
      <c r="B171" t="s">
        <v>204</v>
      </c>
      <c r="C171" t="s">
        <v>152</v>
      </c>
      <c r="D171" t="s">
        <v>229</v>
      </c>
      <c r="E171" t="s">
        <v>147</v>
      </c>
      <c r="F171" t="s">
        <v>148</v>
      </c>
      <c r="G171">
        <v>85284</v>
      </c>
      <c r="H171">
        <f>IF(PNL!A171="","",_CALC_PNL!P171)</f>
        <v>85284</v>
      </c>
      <c r="I171" t="str">
        <f>IF(PNL!A171="","",IF(_CALC_PNL!E171=1,H171-G171,""))</f>
        <v/>
      </c>
    </row>
    <row r="172" ht="14.25" customHeight="1">
      <c r="A172" t="s">
        <v>101</v>
      </c>
      <c r="B172" t="s">
        <v>204</v>
      </c>
      <c r="C172" t="s">
        <v>152</v>
      </c>
      <c r="D172" t="s">
        <v>229</v>
      </c>
      <c r="E172" t="s">
        <v>147</v>
      </c>
      <c r="F172" t="s">
        <v>148</v>
      </c>
      <c r="G172">
        <v>72335</v>
      </c>
      <c r="H172">
        <f>IF(PNL!A172="","",_CALC_PNL!P172)</f>
        <v>72335</v>
      </c>
      <c r="I172" t="str">
        <f>IF(PNL!A172="","",IF(_CALC_PNL!E172=1,H172-G172,""))</f>
        <v/>
      </c>
    </row>
    <row r="173" ht="14.25" customHeight="1">
      <c r="A173" t="s">
        <v>103</v>
      </c>
      <c r="B173" t="s">
        <v>204</v>
      </c>
      <c r="C173" t="s">
        <v>152</v>
      </c>
      <c r="D173" t="s">
        <v>229</v>
      </c>
      <c r="E173" t="s">
        <v>147</v>
      </c>
      <c r="F173" t="s">
        <v>148</v>
      </c>
      <c r="G173">
        <v>65638</v>
      </c>
      <c r="H173">
        <f>IF(PNL!A173="","",_CALC_PNL!P173)</f>
        <v>65638</v>
      </c>
      <c r="I173" t="str">
        <f>IF(PNL!A173="","",IF(_CALC_PNL!E173=1,H173-G173,""))</f>
        <v/>
      </c>
    </row>
    <row r="174" ht="14.25" customHeight="1">
      <c r="A174" t="s">
        <v>99</v>
      </c>
      <c r="B174" t="s">
        <v>204</v>
      </c>
      <c r="C174" t="s">
        <v>152</v>
      </c>
      <c r="D174" t="s">
        <v>229</v>
      </c>
      <c r="E174" t="s">
        <v>147</v>
      </c>
      <c r="F174" t="s">
        <v>148</v>
      </c>
      <c r="G174">
        <v>55591</v>
      </c>
      <c r="H174">
        <f>IF(PNL!A174="","",_CALC_PNL!P174)</f>
        <v>55591</v>
      </c>
      <c r="I174" t="str">
        <f>IF(PNL!A174="","",IF(_CALC_PNL!E174=1,H174-G174,""))</f>
        <v/>
      </c>
    </row>
    <row r="175" ht="14.25" customHeight="1">
      <c r="A175" t="s">
        <v>95</v>
      </c>
      <c r="B175" t="s">
        <v>204</v>
      </c>
      <c r="C175" t="s">
        <v>152</v>
      </c>
      <c r="D175" t="s">
        <v>229</v>
      </c>
      <c r="E175" t="s">
        <v>147</v>
      </c>
      <c r="F175" t="s">
        <v>148</v>
      </c>
      <c r="G175">
        <v>79033</v>
      </c>
      <c r="H175">
        <f>IF(PNL!A175="","",_CALC_PNL!P175)</f>
        <v>79033</v>
      </c>
      <c r="I175" t="str">
        <f>IF(PNL!A175="","",IF(_CALC_PNL!E175=1,H175-G175,""))</f>
        <v/>
      </c>
    </row>
    <row r="176" ht="14.25" customHeight="1">
      <c r="A176" t="s">
        <v>93</v>
      </c>
      <c r="B176" t="s">
        <v>204</v>
      </c>
      <c r="C176" t="s">
        <v>152</v>
      </c>
      <c r="D176" t="s">
        <v>229</v>
      </c>
      <c r="E176" t="s">
        <v>147</v>
      </c>
      <c r="F176" t="s">
        <v>148</v>
      </c>
      <c r="G176">
        <v>54475</v>
      </c>
      <c r="H176">
        <f>IF(PNL!A176="","",_CALC_PNL!P176)</f>
        <v>54475</v>
      </c>
      <c r="I176" t="str">
        <f>IF(PNL!A176="","",IF(_CALC_PNL!E176=1,H176-G176,""))</f>
        <v/>
      </c>
    </row>
    <row r="177" ht="14.25" customHeight="1">
      <c r="A177" t="s">
        <v>97</v>
      </c>
      <c r="B177" t="s">
        <v>204</v>
      </c>
      <c r="C177" t="s">
        <v>152</v>
      </c>
      <c r="D177" t="s">
        <v>229</v>
      </c>
      <c r="E177" t="s">
        <v>147</v>
      </c>
      <c r="F177" t="s">
        <v>148</v>
      </c>
      <c r="G177">
        <v>51572</v>
      </c>
      <c r="H177">
        <f>IF(PNL!A177="","",_CALC_PNL!P177)</f>
        <v>51572</v>
      </c>
      <c r="I177" t="str">
        <f>IF(PNL!A177="","",IF(_CALC_PNL!E177=1,H177-G177,""))</f>
        <v/>
      </c>
    </row>
    <row r="178" ht="14.25" customHeight="1">
      <c r="A178" t="s">
        <v>89</v>
      </c>
      <c r="B178" t="s">
        <v>204</v>
      </c>
      <c r="C178" t="s">
        <v>152</v>
      </c>
      <c r="D178" t="s">
        <v>229</v>
      </c>
      <c r="E178" t="s">
        <v>147</v>
      </c>
      <c r="F178" t="s">
        <v>148</v>
      </c>
      <c r="G178">
        <v>32372</v>
      </c>
      <c r="H178">
        <f>IF(PNL!A178="","",_CALC_PNL!P178)</f>
        <v>32372</v>
      </c>
      <c r="I178" t="str">
        <f>IF(PNL!A178="","",IF(_CALC_PNL!E178=1,H178-G178,""))</f>
        <v/>
      </c>
    </row>
    <row r="179" ht="14.25" customHeight="1">
      <c r="A179" t="s">
        <v>91</v>
      </c>
      <c r="B179" t="s">
        <v>204</v>
      </c>
      <c r="C179" t="s">
        <v>152</v>
      </c>
      <c r="D179" t="s">
        <v>229</v>
      </c>
      <c r="E179" t="s">
        <v>147</v>
      </c>
      <c r="F179" t="s">
        <v>148</v>
      </c>
      <c r="G179">
        <v>26121</v>
      </c>
      <c r="H179">
        <f>IF(PNL!A179="","",_CALC_PNL!P179)</f>
        <v>26121</v>
      </c>
      <c r="I179" t="str">
        <f>IF(PNL!A179="","",IF(_CALC_PNL!E179=1,H179-G179,""))</f>
        <v/>
      </c>
    </row>
    <row r="180" ht="14.25" customHeight="1">
      <c r="A180" t="s">
        <v>86</v>
      </c>
      <c r="B180" t="s">
        <v>204</v>
      </c>
      <c r="C180" t="s">
        <v>152</v>
      </c>
      <c r="D180" t="s">
        <v>229</v>
      </c>
      <c r="E180" t="s">
        <v>147</v>
      </c>
      <c r="F180" t="s">
        <v>148</v>
      </c>
      <c r="G180">
        <v>26121</v>
      </c>
      <c r="H180">
        <f>IF(PNL!A180="","",_CALC_PNL!P180)</f>
        <v>26121</v>
      </c>
      <c r="I180" t="str">
        <f>IF(PNL!A180="","",IF(_CALC_PNL!E180=1,H180-G180,""))</f>
        <v/>
      </c>
    </row>
    <row r="181" ht="14.25" customHeight="1">
      <c r="A181" t="s">
        <v>106</v>
      </c>
      <c r="B181" t="s">
        <v>204</v>
      </c>
      <c r="C181" t="s">
        <v>152</v>
      </c>
      <c r="D181" t="s">
        <v>229</v>
      </c>
      <c r="E181" t="s">
        <v>147</v>
      </c>
      <c r="F181" t="s">
        <v>148</v>
      </c>
      <c r="G181">
        <v>40633</v>
      </c>
      <c r="H181">
        <f>IF(PNL!A181="","",_CALC_PNL!P181)</f>
        <v>40633</v>
      </c>
      <c r="I181" t="str">
        <f>IF(PNL!A181="","",IF(_CALC_PNL!E181=1,H181-G181,""))</f>
        <v/>
      </c>
    </row>
    <row r="182" ht="14.25" customHeight="1">
      <c r="A182" t="s">
        <v>105</v>
      </c>
      <c r="B182" t="s">
        <v>204</v>
      </c>
      <c r="C182" t="s">
        <v>152</v>
      </c>
      <c r="D182" t="s">
        <v>229</v>
      </c>
      <c r="E182" t="s">
        <v>147</v>
      </c>
      <c r="F182" t="s">
        <v>148</v>
      </c>
      <c r="G182">
        <v>31703</v>
      </c>
      <c r="H182">
        <f>IF(PNL!A182="","",_CALC_PNL!P182)</f>
        <v>31703</v>
      </c>
      <c r="I182" t="str">
        <f>IF(PNL!A182="","",IF(_CALC_PNL!E182=1,H182-G182,""))</f>
        <v/>
      </c>
    </row>
    <row r="183" ht="14.25" customHeight="1">
      <c r="A183" t="s">
        <v>108</v>
      </c>
      <c r="B183" t="s">
        <v>204</v>
      </c>
      <c r="C183" t="s">
        <v>152</v>
      </c>
      <c r="D183" t="s">
        <v>229</v>
      </c>
      <c r="E183" t="s">
        <v>147</v>
      </c>
      <c r="F183" t="s">
        <v>148</v>
      </c>
      <c r="G183">
        <v>30809</v>
      </c>
      <c r="H183">
        <f>IF(PNL!A183="","",_CALC_PNL!P183)</f>
        <v>30809</v>
      </c>
      <c r="I183" t="str">
        <f>IF(PNL!A183="","",IF(_CALC_PNL!E183=1,H183-G183,""))</f>
        <v/>
      </c>
    </row>
    <row r="184" ht="14.25" customHeight="1">
      <c r="A184" t="s">
        <v>107</v>
      </c>
      <c r="B184" t="s">
        <v>204</v>
      </c>
      <c r="C184" t="s">
        <v>152</v>
      </c>
      <c r="D184" t="s">
        <v>229</v>
      </c>
      <c r="E184" t="s">
        <v>147</v>
      </c>
      <c r="F184" t="s">
        <v>148</v>
      </c>
      <c r="G184">
        <v>26121</v>
      </c>
      <c r="H184">
        <f>IF(PNL!A184="","",_CALC_PNL!P184)</f>
        <v>26121</v>
      </c>
      <c r="I184" t="str">
        <f>IF(PNL!A184="","",IF(_CALC_PNL!E184=1,H184-G184,""))</f>
        <v/>
      </c>
    </row>
    <row r="185" ht="14.25" customHeight="1">
      <c r="A185" t="s">
        <v>104</v>
      </c>
      <c r="B185" t="s">
        <v>205</v>
      </c>
      <c r="C185" t="s">
        <v>156</v>
      </c>
      <c r="D185" t="s">
        <v>229</v>
      </c>
      <c r="E185" t="s">
        <v>147</v>
      </c>
      <c r="F185" t="s">
        <v>148</v>
      </c>
      <c r="G185">
        <v>51888</v>
      </c>
      <c r="H185">
        <f>IF(PNL!A185="","",_CALC_PNL!P185)</f>
        <v>51888</v>
      </c>
      <c r="I185" t="str">
        <f>IF(PNL!A185="","",IF(_CALC_PNL!E185=1,H185-G185,""))</f>
        <v/>
      </c>
    </row>
    <row r="186" ht="14.25" customHeight="1">
      <c r="A186" t="s">
        <v>101</v>
      </c>
      <c r="B186" t="s">
        <v>205</v>
      </c>
      <c r="C186" t="s">
        <v>156</v>
      </c>
      <c r="D186" t="s">
        <v>229</v>
      </c>
      <c r="E186" t="s">
        <v>147</v>
      </c>
      <c r="F186" t="s">
        <v>148</v>
      </c>
      <c r="G186">
        <v>44010</v>
      </c>
      <c r="H186">
        <f>IF(PNL!A186="","",_CALC_PNL!P186)</f>
        <v>44010</v>
      </c>
      <c r="I186" t="str">
        <f>IF(PNL!A186="","",IF(_CALC_PNL!E186=1,H186-G186,""))</f>
        <v/>
      </c>
    </row>
    <row r="187" ht="14.25" customHeight="1">
      <c r="A187" t="s">
        <v>103</v>
      </c>
      <c r="B187" t="s">
        <v>205</v>
      </c>
      <c r="C187" t="s">
        <v>156</v>
      </c>
      <c r="D187" t="s">
        <v>229</v>
      </c>
      <c r="E187" t="s">
        <v>147</v>
      </c>
      <c r="F187" t="s">
        <v>148</v>
      </c>
      <c r="G187">
        <v>39935</v>
      </c>
      <c r="H187">
        <f>IF(PNL!A187="","",_CALC_PNL!P187)</f>
        <v>39935</v>
      </c>
      <c r="I187" t="str">
        <f>IF(PNL!A187="","",IF(_CALC_PNL!E187=1,H187-G187,""))</f>
        <v/>
      </c>
    </row>
    <row r="188" ht="14.25" customHeight="1">
      <c r="A188" t="s">
        <v>99</v>
      </c>
      <c r="B188" t="s">
        <v>205</v>
      </c>
      <c r="C188" t="s">
        <v>156</v>
      </c>
      <c r="D188" t="s">
        <v>229</v>
      </c>
      <c r="E188" t="s">
        <v>147</v>
      </c>
      <c r="F188" t="s">
        <v>148</v>
      </c>
      <c r="G188">
        <v>33822</v>
      </c>
      <c r="H188">
        <f>IF(PNL!A188="","",_CALC_PNL!P188)</f>
        <v>33822</v>
      </c>
      <c r="I188" t="str">
        <f>IF(PNL!A188="","",IF(_CALC_PNL!E188=1,H188-G188,""))</f>
        <v/>
      </c>
    </row>
    <row r="189" ht="14.25" customHeight="1">
      <c r="A189" t="s">
        <v>95</v>
      </c>
      <c r="B189" t="s">
        <v>205</v>
      </c>
      <c r="C189" t="s">
        <v>156</v>
      </c>
      <c r="D189" t="s">
        <v>229</v>
      </c>
      <c r="E189" t="s">
        <v>147</v>
      </c>
      <c r="F189" t="s">
        <v>148</v>
      </c>
      <c r="G189">
        <v>48085</v>
      </c>
      <c r="H189">
        <f>IF(PNL!A189="","",_CALC_PNL!P189)</f>
        <v>48085</v>
      </c>
      <c r="I189" t="str">
        <f>IF(PNL!A189="","",IF(_CALC_PNL!E189=1,H189-G189,""))</f>
        <v/>
      </c>
    </row>
    <row r="190" ht="14.25" customHeight="1">
      <c r="A190" t="s">
        <v>93</v>
      </c>
      <c r="B190" t="s">
        <v>205</v>
      </c>
      <c r="C190" t="s">
        <v>156</v>
      </c>
      <c r="D190" t="s">
        <v>229</v>
      </c>
      <c r="E190" t="s">
        <v>147</v>
      </c>
      <c r="F190" t="s">
        <v>148</v>
      </c>
      <c r="G190">
        <v>33143</v>
      </c>
      <c r="H190">
        <f>IF(PNL!A190="","",_CALC_PNL!P190)</f>
        <v>33143</v>
      </c>
      <c r="I190" t="str">
        <f>IF(PNL!A190="","",IF(_CALC_PNL!E190=1,H190-G190,""))</f>
        <v/>
      </c>
    </row>
    <row r="191" ht="14.25" customHeight="1">
      <c r="A191" t="s">
        <v>97</v>
      </c>
      <c r="B191" t="s">
        <v>205</v>
      </c>
      <c r="C191" t="s">
        <v>156</v>
      </c>
      <c r="D191" t="s">
        <v>229</v>
      </c>
      <c r="E191" t="s">
        <v>147</v>
      </c>
      <c r="F191" t="s">
        <v>148</v>
      </c>
      <c r="G191">
        <v>31377</v>
      </c>
      <c r="H191">
        <f>IF(PNL!A191="","",_CALC_PNL!P191)</f>
        <v>31377</v>
      </c>
      <c r="I191" t="str">
        <f>IF(PNL!A191="","",IF(_CALC_PNL!E191=1,H191-G191,""))</f>
        <v/>
      </c>
    </row>
    <row r="192" ht="14.25" customHeight="1">
      <c r="A192" t="s">
        <v>89</v>
      </c>
      <c r="B192" t="s">
        <v>205</v>
      </c>
      <c r="C192" t="s">
        <v>156</v>
      </c>
      <c r="D192" t="s">
        <v>229</v>
      </c>
      <c r="E192" t="s">
        <v>147</v>
      </c>
      <c r="F192" t="s">
        <v>148</v>
      </c>
      <c r="G192">
        <v>19696</v>
      </c>
      <c r="H192">
        <f>IF(PNL!A192="","",_CALC_PNL!P192)</f>
        <v>19696</v>
      </c>
      <c r="I192" t="str">
        <f>IF(PNL!A192="","",IF(_CALC_PNL!E192=1,H192-G192,""))</f>
        <v/>
      </c>
    </row>
    <row r="193" ht="14.25" customHeight="1">
      <c r="A193" t="s">
        <v>91</v>
      </c>
      <c r="B193" t="s">
        <v>205</v>
      </c>
      <c r="C193" t="s">
        <v>156</v>
      </c>
      <c r="D193" t="s">
        <v>229</v>
      </c>
      <c r="E193" t="s">
        <v>147</v>
      </c>
      <c r="F193" t="s">
        <v>148</v>
      </c>
      <c r="G193">
        <v>15892</v>
      </c>
      <c r="H193">
        <f>IF(PNL!A193="","",_CALC_PNL!P193)</f>
        <v>15892</v>
      </c>
      <c r="I193" t="str">
        <f>IF(PNL!A193="","",IF(_CALC_PNL!E193=1,H193-G193,""))</f>
        <v/>
      </c>
    </row>
    <row r="194" ht="14.25" customHeight="1">
      <c r="A194" t="s">
        <v>86</v>
      </c>
      <c r="B194" t="s">
        <v>205</v>
      </c>
      <c r="C194" t="s">
        <v>156</v>
      </c>
      <c r="D194" t="s">
        <v>229</v>
      </c>
      <c r="E194" t="s">
        <v>147</v>
      </c>
      <c r="F194" t="s">
        <v>148</v>
      </c>
      <c r="G194">
        <v>15892</v>
      </c>
      <c r="H194">
        <f>IF(PNL!A194="","",_CALC_PNL!P194)</f>
        <v>15892</v>
      </c>
      <c r="I194" t="str">
        <f>IF(PNL!A194="","",IF(_CALC_PNL!E194=1,H194-G194,""))</f>
        <v/>
      </c>
    </row>
    <row r="195" ht="14.25" customHeight="1">
      <c r="A195" t="s">
        <v>106</v>
      </c>
      <c r="B195" t="s">
        <v>205</v>
      </c>
      <c r="C195" t="s">
        <v>156</v>
      </c>
      <c r="D195" t="s">
        <v>229</v>
      </c>
      <c r="E195" t="s">
        <v>147</v>
      </c>
      <c r="F195" t="s">
        <v>148</v>
      </c>
      <c r="G195">
        <v>24722</v>
      </c>
      <c r="H195">
        <f>IF(PNL!A195="","",_CALC_PNL!P195)</f>
        <v>24722</v>
      </c>
      <c r="I195" t="str">
        <f>IF(PNL!A195="","",IF(_CALC_PNL!E195=1,H195-G195,""))</f>
        <v/>
      </c>
    </row>
    <row r="196" ht="14.25" customHeight="1">
      <c r="A196" t="s">
        <v>105</v>
      </c>
      <c r="B196" t="s">
        <v>205</v>
      </c>
      <c r="C196" t="s">
        <v>156</v>
      </c>
      <c r="D196" t="s">
        <v>229</v>
      </c>
      <c r="E196" t="s">
        <v>147</v>
      </c>
      <c r="F196" t="s">
        <v>148</v>
      </c>
      <c r="G196">
        <v>19288</v>
      </c>
      <c r="H196">
        <f>IF(PNL!A196="","",_CALC_PNL!P196)</f>
        <v>19288</v>
      </c>
      <c r="I196" t="str">
        <f>IF(PNL!A196="","",IF(_CALC_PNL!E196=1,H196-G196,""))</f>
        <v/>
      </c>
    </row>
    <row r="197" ht="14.25" customHeight="1">
      <c r="A197" t="s">
        <v>108</v>
      </c>
      <c r="B197" t="s">
        <v>205</v>
      </c>
      <c r="C197" t="s">
        <v>156</v>
      </c>
      <c r="D197" t="s">
        <v>229</v>
      </c>
      <c r="E197" t="s">
        <v>147</v>
      </c>
      <c r="F197" t="s">
        <v>148</v>
      </c>
      <c r="G197">
        <v>18745</v>
      </c>
      <c r="H197">
        <f>IF(PNL!A197="","",_CALC_PNL!P197)</f>
        <v>18745</v>
      </c>
      <c r="I197" t="str">
        <f>IF(PNL!A197="","",IF(_CALC_PNL!E197=1,H197-G197,""))</f>
        <v/>
      </c>
    </row>
    <row r="198" ht="14.25" customHeight="1">
      <c r="A198" t="s">
        <v>107</v>
      </c>
      <c r="B198" t="s">
        <v>205</v>
      </c>
      <c r="C198" t="s">
        <v>156</v>
      </c>
      <c r="D198" t="s">
        <v>229</v>
      </c>
      <c r="E198" t="s">
        <v>147</v>
      </c>
      <c r="F198" t="s">
        <v>148</v>
      </c>
      <c r="G198">
        <v>15892</v>
      </c>
      <c r="H198">
        <f>IF(PNL!A198="","",_CALC_PNL!P198)</f>
        <v>15892</v>
      </c>
      <c r="I198" t="str">
        <f>IF(PNL!A198="","",IF(_CALC_PNL!E198=1,H198-G198,""))</f>
        <v/>
      </c>
    </row>
    <row r="199" ht="14.25" customHeight="1">
      <c r="A199" t="s">
        <v>104</v>
      </c>
      <c r="B199" t="s">
        <v>205</v>
      </c>
      <c r="C199" t="s">
        <v>155</v>
      </c>
      <c r="D199" t="s">
        <v>229</v>
      </c>
      <c r="E199" t="s">
        <v>147</v>
      </c>
      <c r="F199" t="s">
        <v>148</v>
      </c>
      <c r="G199">
        <v>54266</v>
      </c>
      <c r="H199">
        <f>IF(PNL!A199="","",_CALC_PNL!P199)</f>
        <v>54266</v>
      </c>
      <c r="I199" t="str">
        <f>IF(PNL!A199="","",IF(_CALC_PNL!E199=1,H199-G199,""))</f>
        <v/>
      </c>
    </row>
    <row r="200" ht="14.25" customHeight="1">
      <c r="A200" t="s">
        <v>101</v>
      </c>
      <c r="B200" t="s">
        <v>205</v>
      </c>
      <c r="C200" t="s">
        <v>155</v>
      </c>
      <c r="D200" t="s">
        <v>229</v>
      </c>
      <c r="E200" t="s">
        <v>147</v>
      </c>
      <c r="F200" t="s">
        <v>148</v>
      </c>
      <c r="G200">
        <v>46027</v>
      </c>
      <c r="H200">
        <f>IF(PNL!A200="","",_CALC_PNL!P200)</f>
        <v>46027</v>
      </c>
      <c r="I200" t="str">
        <f>IF(PNL!A200="","",IF(_CALC_PNL!E200=1,H200-G200,""))</f>
        <v/>
      </c>
    </row>
    <row r="201" ht="14.25" customHeight="1">
      <c r="A201" t="s">
        <v>103</v>
      </c>
      <c r="B201" t="s">
        <v>205</v>
      </c>
      <c r="C201" t="s">
        <v>155</v>
      </c>
      <c r="D201" t="s">
        <v>229</v>
      </c>
      <c r="E201" t="s">
        <v>147</v>
      </c>
      <c r="F201" t="s">
        <v>148</v>
      </c>
      <c r="G201">
        <v>41765</v>
      </c>
      <c r="H201">
        <f>IF(PNL!A201="","",_CALC_PNL!P201)</f>
        <v>41765</v>
      </c>
      <c r="I201" t="str">
        <f>IF(PNL!A201="","",IF(_CALC_PNL!E201=1,H201-G201,""))</f>
        <v/>
      </c>
    </row>
    <row r="202" ht="14.25" customHeight="1">
      <c r="A202" t="s">
        <v>99</v>
      </c>
      <c r="B202" t="s">
        <v>205</v>
      </c>
      <c r="C202" t="s">
        <v>155</v>
      </c>
      <c r="D202" t="s">
        <v>229</v>
      </c>
      <c r="E202" t="s">
        <v>147</v>
      </c>
      <c r="F202" t="s">
        <v>148</v>
      </c>
      <c r="G202">
        <v>35372</v>
      </c>
      <c r="H202">
        <f>IF(PNL!A202="","",_CALC_PNL!P202)</f>
        <v>35372</v>
      </c>
      <c r="I202" t="str">
        <f>IF(PNL!A202="","",IF(_CALC_PNL!E202=1,H202-G202,""))</f>
        <v/>
      </c>
    </row>
    <row r="203" ht="14.25" customHeight="1">
      <c r="A203" t="s">
        <v>95</v>
      </c>
      <c r="B203" t="s">
        <v>205</v>
      </c>
      <c r="C203" t="s">
        <v>155</v>
      </c>
      <c r="D203" t="s">
        <v>229</v>
      </c>
      <c r="E203" t="s">
        <v>147</v>
      </c>
      <c r="F203" t="s">
        <v>148</v>
      </c>
      <c r="G203">
        <v>50288</v>
      </c>
      <c r="H203">
        <f>IF(PNL!A203="","",_CALC_PNL!P203)</f>
        <v>50288</v>
      </c>
      <c r="I203" t="str">
        <f>IF(PNL!A203="","",IF(_CALC_PNL!E203=1,H203-G203,""))</f>
        <v/>
      </c>
    </row>
    <row r="204" ht="14.25" customHeight="1">
      <c r="A204" t="s">
        <v>93</v>
      </c>
      <c r="B204" t="s">
        <v>205</v>
      </c>
      <c r="C204" t="s">
        <v>155</v>
      </c>
      <c r="D204" t="s">
        <v>229</v>
      </c>
      <c r="E204" t="s">
        <v>147</v>
      </c>
      <c r="F204" t="s">
        <v>148</v>
      </c>
      <c r="G204">
        <v>34662</v>
      </c>
      <c r="H204">
        <f>IF(PNL!A204="","",_CALC_PNL!P204)</f>
        <v>34662</v>
      </c>
      <c r="I204" t="str">
        <f>IF(PNL!A204="","",IF(_CALC_PNL!E204=1,H204-G204,""))</f>
        <v/>
      </c>
    </row>
    <row r="205" ht="14.25" customHeight="1">
      <c r="A205" t="s">
        <v>97</v>
      </c>
      <c r="B205" t="s">
        <v>205</v>
      </c>
      <c r="C205" t="s">
        <v>155</v>
      </c>
      <c r="D205" t="s">
        <v>229</v>
      </c>
      <c r="E205" t="s">
        <v>147</v>
      </c>
      <c r="F205" t="s">
        <v>148</v>
      </c>
      <c r="G205">
        <v>32815</v>
      </c>
      <c r="H205">
        <f>IF(PNL!A205="","",_CALC_PNL!P205)</f>
        <v>32815</v>
      </c>
      <c r="I205" t="str">
        <f>IF(PNL!A205="","",IF(_CALC_PNL!E205=1,H205-G205,""))</f>
        <v/>
      </c>
    </row>
    <row r="206" ht="14.25" customHeight="1">
      <c r="A206" t="s">
        <v>89</v>
      </c>
      <c r="B206" t="s">
        <v>205</v>
      </c>
      <c r="C206" t="s">
        <v>155</v>
      </c>
      <c r="D206" t="s">
        <v>229</v>
      </c>
      <c r="E206" t="s">
        <v>147</v>
      </c>
      <c r="F206" t="s">
        <v>148</v>
      </c>
      <c r="G206">
        <v>20598</v>
      </c>
      <c r="H206">
        <f>IF(PNL!A206="","",_CALC_PNL!P206)</f>
        <v>20598</v>
      </c>
      <c r="I206" t="str">
        <f>IF(PNL!A206="","",IF(_CALC_PNL!E206=1,H206-G206,""))</f>
        <v/>
      </c>
    </row>
    <row r="207" ht="14.25" customHeight="1">
      <c r="A207" t="s">
        <v>91</v>
      </c>
      <c r="B207" t="s">
        <v>205</v>
      </c>
      <c r="C207" t="s">
        <v>155</v>
      </c>
      <c r="D207" t="s">
        <v>229</v>
      </c>
      <c r="E207" t="s">
        <v>147</v>
      </c>
      <c r="F207" t="s">
        <v>148</v>
      </c>
      <c r="G207">
        <v>16621</v>
      </c>
      <c r="H207">
        <f>IF(PNL!A207="","",_CALC_PNL!P207)</f>
        <v>16621</v>
      </c>
      <c r="I207" t="str">
        <f>IF(PNL!A207="","",IF(_CALC_PNL!E207=1,H207-G207,""))</f>
        <v/>
      </c>
    </row>
    <row r="208" ht="14.25" customHeight="1">
      <c r="A208" t="s">
        <v>86</v>
      </c>
      <c r="B208" t="s">
        <v>205</v>
      </c>
      <c r="C208" t="s">
        <v>155</v>
      </c>
      <c r="D208" t="s">
        <v>229</v>
      </c>
      <c r="E208" t="s">
        <v>147</v>
      </c>
      <c r="F208" t="s">
        <v>148</v>
      </c>
      <c r="G208">
        <v>16621</v>
      </c>
      <c r="H208">
        <f>IF(PNL!A208="","",_CALC_PNL!P208)</f>
        <v>16621</v>
      </c>
      <c r="I208" t="str">
        <f>IF(PNL!A208="","",IF(_CALC_PNL!E208=1,H208-G208,""))</f>
        <v/>
      </c>
    </row>
    <row r="209" ht="14.25" customHeight="1">
      <c r="A209" t="s">
        <v>106</v>
      </c>
      <c r="B209" t="s">
        <v>205</v>
      </c>
      <c r="C209" t="s">
        <v>155</v>
      </c>
      <c r="D209" t="s">
        <v>229</v>
      </c>
      <c r="E209" t="s">
        <v>147</v>
      </c>
      <c r="F209" t="s">
        <v>148</v>
      </c>
      <c r="G209">
        <v>25854</v>
      </c>
      <c r="H209">
        <f>IF(PNL!A209="","",_CALC_PNL!P209)</f>
        <v>25854</v>
      </c>
      <c r="I209" t="str">
        <f>IF(PNL!A209="","",IF(_CALC_PNL!E209=1,H209-G209,""))</f>
        <v/>
      </c>
    </row>
    <row r="210" ht="14.25" customHeight="1">
      <c r="A210" t="s">
        <v>105</v>
      </c>
      <c r="B210" t="s">
        <v>205</v>
      </c>
      <c r="C210" t="s">
        <v>155</v>
      </c>
      <c r="D210" t="s">
        <v>229</v>
      </c>
      <c r="E210" t="s">
        <v>147</v>
      </c>
      <c r="F210" t="s">
        <v>148</v>
      </c>
      <c r="G210">
        <v>20172</v>
      </c>
      <c r="H210">
        <f>IF(PNL!A210="","",_CALC_PNL!P210)</f>
        <v>20172</v>
      </c>
      <c r="I210" t="str">
        <f>IF(PNL!A210="","",IF(_CALC_PNL!E210=1,H210-G210,""))</f>
        <v/>
      </c>
    </row>
    <row r="211" ht="14.25" customHeight="1">
      <c r="A211" t="s">
        <v>108</v>
      </c>
      <c r="B211" t="s">
        <v>205</v>
      </c>
      <c r="C211" t="s">
        <v>155</v>
      </c>
      <c r="D211" t="s">
        <v>229</v>
      </c>
      <c r="E211" t="s">
        <v>147</v>
      </c>
      <c r="F211" t="s">
        <v>148</v>
      </c>
      <c r="G211">
        <v>19604</v>
      </c>
      <c r="H211">
        <f>IF(PNL!A211="","",_CALC_PNL!P211)</f>
        <v>19604</v>
      </c>
      <c r="I211" t="str">
        <f>IF(PNL!A211="","",IF(_CALC_PNL!E211=1,H211-G211,""))</f>
        <v/>
      </c>
    </row>
    <row r="212" ht="14.25" customHeight="1">
      <c r="A212" t="s">
        <v>107</v>
      </c>
      <c r="B212" t="s">
        <v>205</v>
      </c>
      <c r="C212" t="s">
        <v>155</v>
      </c>
      <c r="D212" t="s">
        <v>229</v>
      </c>
      <c r="E212" t="s">
        <v>147</v>
      </c>
      <c r="F212" t="s">
        <v>148</v>
      </c>
      <c r="G212">
        <v>16621</v>
      </c>
      <c r="H212">
        <f>IF(PNL!A212="","",_CALC_PNL!P212)</f>
        <v>16621</v>
      </c>
      <c r="I212" t="str">
        <f>IF(PNL!A212="","",IF(_CALC_PNL!E212=1,H212-G212,""))</f>
        <v/>
      </c>
    </row>
    <row r="213" ht="14.25" customHeight="1">
      <c r="A213" t="s">
        <v>104</v>
      </c>
      <c r="B213" t="s">
        <v>205</v>
      </c>
      <c r="C213" t="s">
        <v>152</v>
      </c>
      <c r="D213" t="s">
        <v>229</v>
      </c>
      <c r="E213" t="s">
        <v>147</v>
      </c>
      <c r="F213" t="s">
        <v>148</v>
      </c>
      <c r="G213">
        <v>56856</v>
      </c>
      <c r="H213">
        <f>IF(PNL!A213="","",_CALC_PNL!P213)</f>
        <v>56856</v>
      </c>
      <c r="I213" t="str">
        <f>IF(PNL!A213="","",IF(_CALC_PNL!E213=1,H213-G213,""))</f>
        <v/>
      </c>
    </row>
    <row r="214" ht="14.25" customHeight="1">
      <c r="A214" t="s">
        <v>101</v>
      </c>
      <c r="B214" t="s">
        <v>205</v>
      </c>
      <c r="C214" t="s">
        <v>152</v>
      </c>
      <c r="D214" t="s">
        <v>229</v>
      </c>
      <c r="E214" t="s">
        <v>147</v>
      </c>
      <c r="F214" t="s">
        <v>148</v>
      </c>
      <c r="G214">
        <v>48224</v>
      </c>
      <c r="H214">
        <f>IF(PNL!A214="","",_CALC_PNL!P214)</f>
        <v>48224</v>
      </c>
      <c r="I214" t="str">
        <f>IF(PNL!A214="","",IF(_CALC_PNL!E214=1,H214-G214,""))</f>
        <v/>
      </c>
    </row>
    <row r="215" ht="14.25" customHeight="1">
      <c r="A215" t="s">
        <v>103</v>
      </c>
      <c r="B215" t="s">
        <v>205</v>
      </c>
      <c r="C215" t="s">
        <v>152</v>
      </c>
      <c r="D215" t="s">
        <v>229</v>
      </c>
      <c r="E215" t="s">
        <v>147</v>
      </c>
      <c r="F215" t="s">
        <v>148</v>
      </c>
      <c r="G215">
        <v>43758</v>
      </c>
      <c r="H215">
        <f>IF(PNL!A215="","",_CALC_PNL!P215)</f>
        <v>43758</v>
      </c>
      <c r="I215" t="str">
        <f>IF(PNL!A215="","",IF(_CALC_PNL!E215=1,H215-G215,""))</f>
        <v/>
      </c>
    </row>
    <row r="216" ht="14.25" customHeight="1">
      <c r="A216" t="s">
        <v>99</v>
      </c>
      <c r="B216" t="s">
        <v>205</v>
      </c>
      <c r="C216" t="s">
        <v>152</v>
      </c>
      <c r="D216" t="s">
        <v>229</v>
      </c>
      <c r="E216" t="s">
        <v>147</v>
      </c>
      <c r="F216" t="s">
        <v>148</v>
      </c>
      <c r="G216">
        <v>37061</v>
      </c>
      <c r="H216">
        <f>IF(PNL!A216="","",_CALC_PNL!P216)</f>
        <v>37061</v>
      </c>
      <c r="I216" t="str">
        <f>IF(PNL!A216="","",IF(_CALC_PNL!E216=1,H216-G216,""))</f>
        <v/>
      </c>
    </row>
    <row r="217" ht="14.25" customHeight="1">
      <c r="A217" t="s">
        <v>95</v>
      </c>
      <c r="B217" t="s">
        <v>205</v>
      </c>
      <c r="C217" t="s">
        <v>152</v>
      </c>
      <c r="D217" t="s">
        <v>229</v>
      </c>
      <c r="E217" t="s">
        <v>147</v>
      </c>
      <c r="F217" t="s">
        <v>148</v>
      </c>
      <c r="G217">
        <v>52689</v>
      </c>
      <c r="H217">
        <f>IF(PNL!A217="","",_CALC_PNL!P217)</f>
        <v>52689</v>
      </c>
      <c r="I217" t="str">
        <f>IF(PNL!A217="","",IF(_CALC_PNL!E217=1,H217-G217,""))</f>
        <v/>
      </c>
    </row>
    <row r="218" ht="14.25" customHeight="1">
      <c r="A218" t="s">
        <v>93</v>
      </c>
      <c r="B218" t="s">
        <v>205</v>
      </c>
      <c r="C218" t="s">
        <v>152</v>
      </c>
      <c r="D218" t="s">
        <v>229</v>
      </c>
      <c r="E218" t="s">
        <v>147</v>
      </c>
      <c r="F218" t="s">
        <v>148</v>
      </c>
      <c r="G218">
        <v>36316</v>
      </c>
      <c r="H218">
        <f>IF(PNL!A218="","",_CALC_PNL!P218)</f>
        <v>36316</v>
      </c>
      <c r="I218" t="str">
        <f>IF(PNL!A218="","",IF(_CALC_PNL!E218=1,H218-G218,""))</f>
        <v/>
      </c>
    </row>
    <row r="219" ht="14.25" customHeight="1">
      <c r="A219" t="s">
        <v>97</v>
      </c>
      <c r="B219" t="s">
        <v>205</v>
      </c>
      <c r="C219" t="s">
        <v>152</v>
      </c>
      <c r="D219" t="s">
        <v>229</v>
      </c>
      <c r="E219" t="s">
        <v>147</v>
      </c>
      <c r="F219" t="s">
        <v>148</v>
      </c>
      <c r="G219">
        <v>34382</v>
      </c>
      <c r="H219">
        <f>IF(PNL!A219="","",_CALC_PNL!P219)</f>
        <v>34382</v>
      </c>
      <c r="I219" t="str">
        <f>IF(PNL!A219="","",IF(_CALC_PNL!E219=1,H219-G219,""))</f>
        <v/>
      </c>
    </row>
    <row r="220" ht="14.25" customHeight="1">
      <c r="A220" t="s">
        <v>89</v>
      </c>
      <c r="B220" t="s">
        <v>205</v>
      </c>
      <c r="C220" t="s">
        <v>152</v>
      </c>
      <c r="D220" t="s">
        <v>229</v>
      </c>
      <c r="E220" t="s">
        <v>147</v>
      </c>
      <c r="F220" t="s">
        <v>148</v>
      </c>
      <c r="G220">
        <v>21582</v>
      </c>
      <c r="H220">
        <f>IF(PNL!A220="","",_CALC_PNL!P220)</f>
        <v>21582</v>
      </c>
      <c r="I220" t="str">
        <f>IF(PNL!A220="","",IF(_CALC_PNL!E220=1,H220-G220,""))</f>
        <v/>
      </c>
    </row>
    <row r="221" ht="14.25" customHeight="1">
      <c r="A221" t="s">
        <v>91</v>
      </c>
      <c r="B221" t="s">
        <v>205</v>
      </c>
      <c r="C221" t="s">
        <v>152</v>
      </c>
      <c r="D221" t="s">
        <v>229</v>
      </c>
      <c r="E221" t="s">
        <v>147</v>
      </c>
      <c r="F221" t="s">
        <v>148</v>
      </c>
      <c r="G221">
        <v>17414</v>
      </c>
      <c r="H221">
        <f>IF(PNL!A221="","",_CALC_PNL!P221)</f>
        <v>17414</v>
      </c>
      <c r="I221" t="str">
        <f>IF(PNL!A221="","",IF(_CALC_PNL!E221=1,H221-G221,""))</f>
        <v/>
      </c>
    </row>
    <row r="222" ht="14.25" customHeight="1">
      <c r="A222" t="s">
        <v>86</v>
      </c>
      <c r="B222" t="s">
        <v>205</v>
      </c>
      <c r="C222" t="s">
        <v>152</v>
      </c>
      <c r="D222" t="s">
        <v>229</v>
      </c>
      <c r="E222" t="s">
        <v>147</v>
      </c>
      <c r="F222" t="s">
        <v>148</v>
      </c>
      <c r="G222">
        <v>17414</v>
      </c>
      <c r="H222">
        <f>IF(PNL!A222="","",_CALC_PNL!P222)</f>
        <v>17414</v>
      </c>
      <c r="I222" t="str">
        <f>IF(PNL!A222="","",IF(_CALC_PNL!E222=1,H222-G222,""))</f>
        <v/>
      </c>
    </row>
    <row r="223" ht="14.25" customHeight="1">
      <c r="A223" t="s">
        <v>106</v>
      </c>
      <c r="B223" t="s">
        <v>205</v>
      </c>
      <c r="C223" t="s">
        <v>152</v>
      </c>
      <c r="D223" t="s">
        <v>229</v>
      </c>
      <c r="E223" t="s">
        <v>147</v>
      </c>
      <c r="F223" t="s">
        <v>148</v>
      </c>
      <c r="G223">
        <v>27089</v>
      </c>
      <c r="H223">
        <f>IF(PNL!A223="","",_CALC_PNL!P223)</f>
        <v>27089</v>
      </c>
      <c r="I223" t="str">
        <f>IF(PNL!A223="","",IF(_CALC_PNL!E223=1,H223-G223,""))</f>
        <v/>
      </c>
    </row>
    <row r="224" ht="14.25" customHeight="1">
      <c r="A224" t="s">
        <v>105</v>
      </c>
      <c r="B224" t="s">
        <v>205</v>
      </c>
      <c r="C224" t="s">
        <v>152</v>
      </c>
      <c r="D224" t="s">
        <v>229</v>
      </c>
      <c r="E224" t="s">
        <v>147</v>
      </c>
      <c r="F224" t="s">
        <v>148</v>
      </c>
      <c r="G224">
        <v>21135</v>
      </c>
      <c r="H224">
        <f>IF(PNL!A224="","",_CALC_PNL!P224)</f>
        <v>21135</v>
      </c>
      <c r="I224" t="str">
        <f>IF(PNL!A224="","",IF(_CALC_PNL!E224=1,H224-G224,""))</f>
        <v/>
      </c>
    </row>
    <row r="225" ht="14.25" customHeight="1">
      <c r="A225" t="s">
        <v>108</v>
      </c>
      <c r="B225" t="s">
        <v>205</v>
      </c>
      <c r="C225" t="s">
        <v>152</v>
      </c>
      <c r="D225" t="s">
        <v>229</v>
      </c>
      <c r="E225" t="s">
        <v>147</v>
      </c>
      <c r="F225" t="s">
        <v>148</v>
      </c>
      <c r="G225">
        <v>20540</v>
      </c>
      <c r="H225">
        <f>IF(PNL!A225="","",_CALC_PNL!P225)</f>
        <v>20540</v>
      </c>
      <c r="I225" t="str">
        <f>IF(PNL!A225="","",IF(_CALC_PNL!E225=1,H225-G225,""))</f>
        <v/>
      </c>
    </row>
    <row r="226" ht="14.25" customHeight="1">
      <c r="A226" t="s">
        <v>107</v>
      </c>
      <c r="B226" t="s">
        <v>205</v>
      </c>
      <c r="C226" t="s">
        <v>152</v>
      </c>
      <c r="D226" t="s">
        <v>229</v>
      </c>
      <c r="E226" t="s">
        <v>147</v>
      </c>
      <c r="F226" t="s">
        <v>148</v>
      </c>
      <c r="G226">
        <v>17414</v>
      </c>
      <c r="H226">
        <f>IF(PNL!A226="","",_CALC_PNL!P226)</f>
        <v>17414</v>
      </c>
      <c r="I226" t="str">
        <f>IF(PNL!A226="","",IF(_CALC_PNL!E226=1,H226-G226,""))</f>
        <v/>
      </c>
    </row>
    <row r="227" ht="14.25" customHeight="1">
      <c r="A227" t="s">
        <v>104</v>
      </c>
      <c r="B227" t="s">
        <v>206</v>
      </c>
      <c r="C227" t="s">
        <v>156</v>
      </c>
      <c r="D227" t="s">
        <v>229</v>
      </c>
      <c r="E227" t="s">
        <v>147</v>
      </c>
      <c r="F227" t="s">
        <v>148</v>
      </c>
      <c r="G227">
        <v>56438</v>
      </c>
      <c r="H227">
        <f>IF(PNL!A227="","",_CALC_PNL!P227)</f>
        <v>56438</v>
      </c>
      <c r="I227" t="str">
        <f>IF(PNL!A227="","",IF(_CALC_PNL!E227=1,H227-G227,""))</f>
        <v/>
      </c>
    </row>
    <row r="228" ht="14.25" customHeight="1">
      <c r="A228" t="s">
        <v>101</v>
      </c>
      <c r="B228" t="s">
        <v>206</v>
      </c>
      <c r="C228" t="s">
        <v>156</v>
      </c>
      <c r="D228" t="s">
        <v>229</v>
      </c>
      <c r="E228" t="s">
        <v>147</v>
      </c>
      <c r="F228" t="s">
        <v>148</v>
      </c>
      <c r="G228">
        <v>34532</v>
      </c>
      <c r="H228">
        <f>IF(PNL!A228="","",_CALC_PNL!P228)</f>
        <v>34532</v>
      </c>
      <c r="I228" t="str">
        <f>IF(PNL!A228="","",IF(_CALC_PNL!E228=1,H228-G228,""))</f>
        <v/>
      </c>
    </row>
    <row r="229" ht="14.25" customHeight="1">
      <c r="A229" t="s">
        <v>103</v>
      </c>
      <c r="B229" t="s">
        <v>206</v>
      </c>
      <c r="C229" t="s">
        <v>156</v>
      </c>
      <c r="D229" t="s">
        <v>229</v>
      </c>
      <c r="E229" t="s">
        <v>147</v>
      </c>
      <c r="F229" t="s">
        <v>148</v>
      </c>
      <c r="G229">
        <v>26060</v>
      </c>
      <c r="H229">
        <f>IF(PNL!A229="","",_CALC_PNL!P229)</f>
        <v>26060</v>
      </c>
      <c r="I229" t="str">
        <f>IF(PNL!A229="","",IF(_CALC_PNL!E229=1,H229-G229,""))</f>
        <v/>
      </c>
    </row>
    <row r="230" ht="14.25" customHeight="1">
      <c r="A230" t="s">
        <v>99</v>
      </c>
      <c r="B230" t="s">
        <v>206</v>
      </c>
      <c r="C230" t="s">
        <v>156</v>
      </c>
      <c r="D230" t="s">
        <v>229</v>
      </c>
      <c r="E230" t="s">
        <v>147</v>
      </c>
      <c r="F230" t="s">
        <v>148</v>
      </c>
      <c r="G230">
        <v>20597</v>
      </c>
      <c r="H230">
        <f>IF(PNL!A230="","",_CALC_PNL!P230)</f>
        <v>20597</v>
      </c>
      <c r="I230" t="str">
        <f>IF(PNL!A230="","",IF(_CALC_PNL!E230=1,H230-G230,""))</f>
        <v/>
      </c>
    </row>
    <row r="231" ht="14.25" customHeight="1">
      <c r="A231" t="s">
        <v>95</v>
      </c>
      <c r="B231" t="s">
        <v>206</v>
      </c>
      <c r="C231" t="s">
        <v>156</v>
      </c>
      <c r="D231" t="s">
        <v>229</v>
      </c>
      <c r="E231" t="s">
        <v>147</v>
      </c>
      <c r="F231" t="s">
        <v>148</v>
      </c>
      <c r="G231">
        <v>50248</v>
      </c>
      <c r="H231">
        <f>IF(PNL!A231="","",_CALC_PNL!P231)</f>
        <v>50248</v>
      </c>
      <c r="I231" t="str">
        <f>IF(PNL!A231="","",IF(_CALC_PNL!E231=1,H231-G231,""))</f>
        <v/>
      </c>
    </row>
    <row r="232" ht="14.25" customHeight="1">
      <c r="A232" t="s">
        <v>93</v>
      </c>
      <c r="B232" t="s">
        <v>206</v>
      </c>
      <c r="C232" t="s">
        <v>156</v>
      </c>
      <c r="D232" t="s">
        <v>229</v>
      </c>
      <c r="E232" t="s">
        <v>147</v>
      </c>
      <c r="F232" t="s">
        <v>148</v>
      </c>
      <c r="G232">
        <v>20843</v>
      </c>
      <c r="H232">
        <f>IF(PNL!A232="","",_CALC_PNL!P232)</f>
        <v>20843</v>
      </c>
      <c r="I232" t="str">
        <f>IF(PNL!A232="","",IF(_CALC_PNL!E232=1,H232-G232,""))</f>
        <v/>
      </c>
    </row>
    <row r="233" ht="14.25" customHeight="1">
      <c r="A233" t="s">
        <v>97</v>
      </c>
      <c r="B233" t="s">
        <v>206</v>
      </c>
      <c r="C233" t="s">
        <v>156</v>
      </c>
      <c r="D233" t="s">
        <v>229</v>
      </c>
      <c r="E233" t="s">
        <v>147</v>
      </c>
      <c r="F233" t="s">
        <v>148</v>
      </c>
      <c r="G233">
        <v>18251</v>
      </c>
      <c r="H233">
        <f>IF(PNL!A233="","",_CALC_PNL!P233)</f>
        <v>18251</v>
      </c>
      <c r="I233" t="str">
        <f>IF(PNL!A233="","",IF(_CALC_PNL!E233=1,H233-G233,""))</f>
        <v/>
      </c>
    </row>
    <row r="234" ht="14.25" customHeight="1">
      <c r="A234" t="s">
        <v>89</v>
      </c>
      <c r="B234" t="s">
        <v>206</v>
      </c>
      <c r="C234" t="s">
        <v>156</v>
      </c>
      <c r="D234" t="s">
        <v>229</v>
      </c>
      <c r="E234" t="s">
        <v>147</v>
      </c>
      <c r="F234" t="s">
        <v>148</v>
      </c>
      <c r="G234">
        <v>17983</v>
      </c>
      <c r="H234">
        <f>IF(PNL!A234="","",_CALC_PNL!P234)</f>
        <v>17983</v>
      </c>
      <c r="I234" t="str">
        <f>IF(PNL!A234="","",IF(_CALC_PNL!E234=1,H234-G234,""))</f>
        <v/>
      </c>
    </row>
    <row r="235" ht="14.25" customHeight="1">
      <c r="A235" t="s">
        <v>91</v>
      </c>
      <c r="B235" t="s">
        <v>206</v>
      </c>
      <c r="C235" t="s">
        <v>156</v>
      </c>
      <c r="D235" t="s">
        <v>229</v>
      </c>
      <c r="E235" t="s">
        <v>147</v>
      </c>
      <c r="F235" t="s">
        <v>148</v>
      </c>
      <c r="G235">
        <v>12341</v>
      </c>
      <c r="H235">
        <f>IF(PNL!A235="","",_CALC_PNL!P235)</f>
        <v>12341</v>
      </c>
      <c r="I235" t="str">
        <f>IF(PNL!A235="","",IF(_CALC_PNL!E235=1,H235-G235,""))</f>
        <v/>
      </c>
    </row>
    <row r="236" ht="14.25" customHeight="1">
      <c r="A236" t="s">
        <v>86</v>
      </c>
      <c r="B236" t="s">
        <v>206</v>
      </c>
      <c r="C236" t="s">
        <v>156</v>
      </c>
      <c r="D236" t="s">
        <v>229</v>
      </c>
      <c r="E236" t="s">
        <v>147</v>
      </c>
      <c r="F236" t="s">
        <v>148</v>
      </c>
      <c r="G236">
        <v>12543</v>
      </c>
      <c r="H236">
        <f>IF(PNL!A236="","",_CALC_PNL!P236)</f>
        <v>12543</v>
      </c>
      <c r="I236" t="str">
        <f>IF(PNL!A236="","",IF(_CALC_PNL!E236=1,H236-G236,""))</f>
        <v/>
      </c>
    </row>
    <row r="237" ht="14.25" customHeight="1">
      <c r="A237" t="s">
        <v>106</v>
      </c>
      <c r="B237" t="s">
        <v>206</v>
      </c>
      <c r="C237" t="s">
        <v>156</v>
      </c>
      <c r="D237" t="s">
        <v>229</v>
      </c>
      <c r="E237" t="s">
        <v>147</v>
      </c>
      <c r="F237" t="s">
        <v>148</v>
      </c>
      <c r="G237">
        <v>30258</v>
      </c>
      <c r="H237">
        <f>IF(PNL!A237="","",_CALC_PNL!P237)</f>
        <v>30258</v>
      </c>
      <c r="I237" t="str">
        <f>IF(PNL!A237="","",IF(_CALC_PNL!E237=1,H237-G237,""))</f>
        <v/>
      </c>
    </row>
    <row r="238" ht="14.25" customHeight="1">
      <c r="A238" t="s">
        <v>105</v>
      </c>
      <c r="B238" t="s">
        <v>206</v>
      </c>
      <c r="C238" t="s">
        <v>156</v>
      </c>
      <c r="D238" t="s">
        <v>229</v>
      </c>
      <c r="E238" t="s">
        <v>147</v>
      </c>
      <c r="F238" t="s">
        <v>148</v>
      </c>
      <c r="G238">
        <v>18155</v>
      </c>
      <c r="H238">
        <f>IF(PNL!A238="","",_CALC_PNL!P238)</f>
        <v>18155</v>
      </c>
      <c r="I238" t="str">
        <f>IF(PNL!A238="","",IF(_CALC_PNL!E238=1,H238-G238,""))</f>
        <v/>
      </c>
    </row>
    <row r="239" ht="14.25" customHeight="1">
      <c r="A239" t="s">
        <v>108</v>
      </c>
      <c r="B239" t="s">
        <v>206</v>
      </c>
      <c r="C239" t="s">
        <v>156</v>
      </c>
      <c r="D239" t="s">
        <v>229</v>
      </c>
      <c r="E239" t="s">
        <v>147</v>
      </c>
      <c r="F239" t="s">
        <v>148</v>
      </c>
      <c r="G239">
        <v>24992</v>
      </c>
      <c r="H239">
        <f>IF(PNL!A239="","",_CALC_PNL!P239)</f>
        <v>24992</v>
      </c>
      <c r="I239" t="str">
        <f>IF(PNL!A239="","",IF(_CALC_PNL!E239=1,H239-G239,""))</f>
        <v/>
      </c>
    </row>
    <row r="240" ht="14.25" customHeight="1">
      <c r="A240" t="s">
        <v>107</v>
      </c>
      <c r="B240" t="s">
        <v>206</v>
      </c>
      <c r="C240" t="s">
        <v>156</v>
      </c>
      <c r="D240" t="s">
        <v>229</v>
      </c>
      <c r="E240" t="s">
        <v>147</v>
      </c>
      <c r="F240" t="s">
        <v>148</v>
      </c>
      <c r="G240">
        <v>15578</v>
      </c>
      <c r="H240">
        <f>IF(PNL!A240="","",_CALC_PNL!P240)</f>
        <v>15578</v>
      </c>
      <c r="I240" t="str">
        <f>IF(PNL!A240="","",IF(_CALC_PNL!E240=1,H240-G240,""))</f>
        <v/>
      </c>
    </row>
    <row r="241" ht="14.25" customHeight="1">
      <c r="A241" t="s">
        <v>104</v>
      </c>
      <c r="B241" t="s">
        <v>206</v>
      </c>
      <c r="C241" t="s">
        <v>155</v>
      </c>
      <c r="D241" t="s">
        <v>229</v>
      </c>
      <c r="E241" t="s">
        <v>147</v>
      </c>
      <c r="F241" t="s">
        <v>148</v>
      </c>
      <c r="G241">
        <v>62082</v>
      </c>
      <c r="H241">
        <f>IF(PNL!A241="","",_CALC_PNL!P241)</f>
        <v>62082</v>
      </c>
      <c r="I241" t="str">
        <f>IF(PNL!A241="","",IF(_CALC_PNL!E241=1,H241-G241,""))</f>
        <v/>
      </c>
    </row>
    <row r="242" ht="14.25" customHeight="1">
      <c r="A242" t="s">
        <v>101</v>
      </c>
      <c r="B242" t="s">
        <v>206</v>
      </c>
      <c r="C242" t="s">
        <v>155</v>
      </c>
      <c r="D242" t="s">
        <v>229</v>
      </c>
      <c r="E242" t="s">
        <v>147</v>
      </c>
      <c r="F242" t="s">
        <v>148</v>
      </c>
      <c r="G242">
        <v>37985</v>
      </c>
      <c r="H242">
        <f>IF(PNL!A242="","",_CALC_PNL!P242)</f>
        <v>37985</v>
      </c>
      <c r="I242" t="str">
        <f>IF(PNL!A242="","",IF(_CALC_PNL!E242=1,H242-G242,""))</f>
        <v/>
      </c>
    </row>
    <row r="243" ht="14.25" customHeight="1">
      <c r="A243" t="s">
        <v>103</v>
      </c>
      <c r="B243" t="s">
        <v>206</v>
      </c>
      <c r="C243" t="s">
        <v>155</v>
      </c>
      <c r="D243" t="s">
        <v>229</v>
      </c>
      <c r="E243" t="s">
        <v>147</v>
      </c>
      <c r="F243" t="s">
        <v>148</v>
      </c>
      <c r="G243">
        <v>28666</v>
      </c>
      <c r="H243">
        <f>IF(PNL!A243="","",_CALC_PNL!P243)</f>
        <v>28666</v>
      </c>
      <c r="I243" t="str">
        <f>IF(PNL!A243="","",IF(_CALC_PNL!E243=1,H243-G243,""))</f>
        <v/>
      </c>
    </row>
    <row r="244" ht="14.25" customHeight="1">
      <c r="A244" t="s">
        <v>99</v>
      </c>
      <c r="B244" t="s">
        <v>206</v>
      </c>
      <c r="C244" t="s">
        <v>155</v>
      </c>
      <c r="D244" t="s">
        <v>229</v>
      </c>
      <c r="E244" t="s">
        <v>147</v>
      </c>
      <c r="F244" t="s">
        <v>148</v>
      </c>
      <c r="G244">
        <v>22657</v>
      </c>
      <c r="H244">
        <f>IF(PNL!A244="","",_CALC_PNL!P244)</f>
        <v>22657</v>
      </c>
      <c r="I244" t="str">
        <f>IF(PNL!A244="","",IF(_CALC_PNL!E244=1,H244-G244,""))</f>
        <v/>
      </c>
    </row>
    <row r="245" ht="14.25" customHeight="1">
      <c r="A245" t="s">
        <v>95</v>
      </c>
      <c r="B245" t="s">
        <v>206</v>
      </c>
      <c r="C245" t="s">
        <v>155</v>
      </c>
      <c r="D245" t="s">
        <v>229</v>
      </c>
      <c r="E245" t="s">
        <v>147</v>
      </c>
      <c r="F245" t="s">
        <v>148</v>
      </c>
      <c r="G245">
        <v>55272</v>
      </c>
      <c r="H245">
        <f>IF(PNL!A245="","",_CALC_PNL!P245)</f>
        <v>55272</v>
      </c>
      <c r="I245" t="str">
        <f>IF(PNL!A245="","",IF(_CALC_PNL!E245=1,H245-G245,""))</f>
        <v/>
      </c>
    </row>
    <row r="246" ht="14.25" customHeight="1">
      <c r="A246" t="s">
        <v>93</v>
      </c>
      <c r="B246" t="s">
        <v>206</v>
      </c>
      <c r="C246" t="s">
        <v>155</v>
      </c>
      <c r="D246" t="s">
        <v>229</v>
      </c>
      <c r="E246" t="s">
        <v>147</v>
      </c>
      <c r="F246" t="s">
        <v>148</v>
      </c>
      <c r="G246">
        <v>22927</v>
      </c>
      <c r="H246">
        <f>IF(PNL!A246="","",_CALC_PNL!P246)</f>
        <v>22927</v>
      </c>
      <c r="I246" t="str">
        <f>IF(PNL!A246="","",IF(_CALC_PNL!E246=1,H246-G246,""))</f>
        <v/>
      </c>
    </row>
    <row r="247" ht="14.25" customHeight="1">
      <c r="A247" t="s">
        <v>97</v>
      </c>
      <c r="B247" t="s">
        <v>206</v>
      </c>
      <c r="C247" t="s">
        <v>155</v>
      </c>
      <c r="D247" t="s">
        <v>229</v>
      </c>
      <c r="E247" t="s">
        <v>147</v>
      </c>
      <c r="F247" t="s">
        <v>148</v>
      </c>
      <c r="G247">
        <v>20076</v>
      </c>
      <c r="H247">
        <f>IF(PNL!A247="","",_CALC_PNL!P247)</f>
        <v>20076</v>
      </c>
      <c r="I247" t="str">
        <f>IF(PNL!A247="","",IF(_CALC_PNL!E247=1,H247-G247,""))</f>
        <v/>
      </c>
    </row>
    <row r="248" ht="14.25" customHeight="1">
      <c r="A248" t="s">
        <v>89</v>
      </c>
      <c r="B248" t="s">
        <v>206</v>
      </c>
      <c r="C248" t="s">
        <v>155</v>
      </c>
      <c r="D248" t="s">
        <v>229</v>
      </c>
      <c r="E248" t="s">
        <v>147</v>
      </c>
      <c r="F248" t="s">
        <v>148</v>
      </c>
      <c r="G248">
        <v>19782</v>
      </c>
      <c r="H248">
        <f>IF(PNL!A248="","",_CALC_PNL!P248)</f>
        <v>19782</v>
      </c>
      <c r="I248" t="str">
        <f>IF(PNL!A248="","",IF(_CALC_PNL!E248=1,H248-G248,""))</f>
        <v/>
      </c>
    </row>
    <row r="249" ht="14.25" customHeight="1">
      <c r="A249" t="s">
        <v>91</v>
      </c>
      <c r="B249" t="s">
        <v>206</v>
      </c>
      <c r="C249" t="s">
        <v>155</v>
      </c>
      <c r="D249" t="s">
        <v>229</v>
      </c>
      <c r="E249" t="s">
        <v>147</v>
      </c>
      <c r="F249" t="s">
        <v>148</v>
      </c>
      <c r="G249">
        <v>13575</v>
      </c>
      <c r="H249">
        <f>IF(PNL!A249="","",_CALC_PNL!P249)</f>
        <v>13575</v>
      </c>
      <c r="I249" t="str">
        <f>IF(PNL!A249="","",IF(_CALC_PNL!E249=1,H249-G249,""))</f>
        <v/>
      </c>
    </row>
    <row r="250" ht="14.25" customHeight="1">
      <c r="A250" t="s">
        <v>86</v>
      </c>
      <c r="B250" t="s">
        <v>206</v>
      </c>
      <c r="C250" t="s">
        <v>155</v>
      </c>
      <c r="D250" t="s">
        <v>229</v>
      </c>
      <c r="E250" t="s">
        <v>147</v>
      </c>
      <c r="F250" t="s">
        <v>148</v>
      </c>
      <c r="G250">
        <v>13798</v>
      </c>
      <c r="H250">
        <f>IF(PNL!A250="","",_CALC_PNL!P250)</f>
        <v>13798</v>
      </c>
      <c r="I250" t="str">
        <f>IF(PNL!A250="","",IF(_CALC_PNL!E250=1,H250-G250,""))</f>
        <v/>
      </c>
    </row>
    <row r="251" ht="14.25" customHeight="1">
      <c r="A251" t="s">
        <v>106</v>
      </c>
      <c r="B251" t="s">
        <v>206</v>
      </c>
      <c r="C251" t="s">
        <v>155</v>
      </c>
      <c r="D251" t="s">
        <v>229</v>
      </c>
      <c r="E251" t="s">
        <v>147</v>
      </c>
      <c r="F251" t="s">
        <v>148</v>
      </c>
      <c r="G251">
        <v>33284</v>
      </c>
      <c r="H251">
        <f>IF(PNL!A251="","",_CALC_PNL!P251)</f>
        <v>33284</v>
      </c>
      <c r="I251" t="str">
        <f>IF(PNL!A251="","",IF(_CALC_PNL!E251=1,H251-G251,""))</f>
        <v/>
      </c>
    </row>
    <row r="252" ht="14.25" customHeight="1">
      <c r="A252" t="s">
        <v>105</v>
      </c>
      <c r="B252" t="s">
        <v>206</v>
      </c>
      <c r="C252" t="s">
        <v>155</v>
      </c>
      <c r="D252" t="s">
        <v>229</v>
      </c>
      <c r="E252" t="s">
        <v>147</v>
      </c>
      <c r="F252" t="s">
        <v>148</v>
      </c>
      <c r="G252">
        <v>19971</v>
      </c>
      <c r="H252">
        <f>IF(PNL!A252="","",_CALC_PNL!P252)</f>
        <v>19971</v>
      </c>
      <c r="I252" t="str">
        <f>IF(PNL!A252="","",IF(_CALC_PNL!E252=1,H252-G252,""))</f>
        <v/>
      </c>
    </row>
    <row r="253" ht="14.25" customHeight="1">
      <c r="A253" t="s">
        <v>108</v>
      </c>
      <c r="B253" t="s">
        <v>206</v>
      </c>
      <c r="C253" t="s">
        <v>155</v>
      </c>
      <c r="D253" t="s">
        <v>229</v>
      </c>
      <c r="E253" t="s">
        <v>147</v>
      </c>
      <c r="F253" t="s">
        <v>148</v>
      </c>
      <c r="G253">
        <v>27491</v>
      </c>
      <c r="H253">
        <f>IF(PNL!A253="","",_CALC_PNL!P253)</f>
        <v>27491</v>
      </c>
      <c r="I253" t="str">
        <f>IF(PNL!A253="","",IF(_CALC_PNL!E253=1,H253-G253,""))</f>
        <v/>
      </c>
    </row>
    <row r="254" ht="14.25" customHeight="1">
      <c r="A254" t="s">
        <v>107</v>
      </c>
      <c r="B254" t="s">
        <v>206</v>
      </c>
      <c r="C254" t="s">
        <v>155</v>
      </c>
      <c r="D254" t="s">
        <v>229</v>
      </c>
      <c r="E254" t="s">
        <v>147</v>
      </c>
      <c r="F254" t="s">
        <v>148</v>
      </c>
      <c r="G254">
        <v>17136</v>
      </c>
      <c r="H254">
        <f>IF(PNL!A254="","",_CALC_PNL!P254)</f>
        <v>17136</v>
      </c>
      <c r="I254" t="str">
        <f>IF(PNL!A254="","",IF(_CALC_PNL!E254=1,H254-G254,""))</f>
        <v/>
      </c>
    </row>
    <row r="255" ht="14.25" customHeight="1">
      <c r="A255" t="s">
        <v>104</v>
      </c>
      <c r="B255" t="s">
        <v>206</v>
      </c>
      <c r="C255" t="s">
        <v>152</v>
      </c>
      <c r="D255" t="s">
        <v>229</v>
      </c>
      <c r="E255" t="s">
        <v>147</v>
      </c>
      <c r="F255" t="s">
        <v>148</v>
      </c>
      <c r="G255">
        <v>68291</v>
      </c>
      <c r="H255">
        <f>IF(PNL!A255="","",_CALC_PNL!P255)</f>
        <v>68291</v>
      </c>
      <c r="I255" t="str">
        <f>IF(PNL!A255="","",IF(_CALC_PNL!E255=1,H255-G255,""))</f>
        <v/>
      </c>
    </row>
    <row r="256" ht="14.25" customHeight="1">
      <c r="A256" t="s">
        <v>101</v>
      </c>
      <c r="B256" t="s">
        <v>206</v>
      </c>
      <c r="C256" t="s">
        <v>152</v>
      </c>
      <c r="D256" t="s">
        <v>229</v>
      </c>
      <c r="E256" t="s">
        <v>147</v>
      </c>
      <c r="F256" t="s">
        <v>148</v>
      </c>
      <c r="G256">
        <v>41783</v>
      </c>
      <c r="H256">
        <f>IF(PNL!A256="","",_CALC_PNL!P256)</f>
        <v>41783</v>
      </c>
      <c r="I256" t="str">
        <f>IF(PNL!A256="","",IF(_CALC_PNL!E256=1,H256-G256,""))</f>
        <v/>
      </c>
    </row>
    <row r="257" ht="14.25" customHeight="1">
      <c r="A257" t="s">
        <v>103</v>
      </c>
      <c r="B257" t="s">
        <v>206</v>
      </c>
      <c r="C257" t="s">
        <v>152</v>
      </c>
      <c r="D257" t="s">
        <v>229</v>
      </c>
      <c r="E257" t="s">
        <v>147</v>
      </c>
      <c r="F257" t="s">
        <v>148</v>
      </c>
      <c r="G257">
        <v>31533</v>
      </c>
      <c r="H257">
        <f>IF(PNL!A257="","",_CALC_PNL!P257)</f>
        <v>31533</v>
      </c>
      <c r="I257" t="str">
        <f>IF(PNL!A257="","",IF(_CALC_PNL!E257=1,H257-G257,""))</f>
        <v/>
      </c>
    </row>
    <row r="258" ht="14.25" customHeight="1">
      <c r="A258" t="s">
        <v>99</v>
      </c>
      <c r="B258" t="s">
        <v>206</v>
      </c>
      <c r="C258" t="s">
        <v>152</v>
      </c>
      <c r="D258" t="s">
        <v>229</v>
      </c>
      <c r="E258" t="s">
        <v>147</v>
      </c>
      <c r="F258" t="s">
        <v>148</v>
      </c>
      <c r="G258">
        <v>24923</v>
      </c>
      <c r="H258">
        <f>IF(PNL!A258="","",_CALC_PNL!P258)</f>
        <v>24923</v>
      </c>
      <c r="I258" t="str">
        <f>IF(PNL!A258="","",IF(_CALC_PNL!E258=1,H258-G258,""))</f>
        <v/>
      </c>
    </row>
    <row r="259" ht="14.25" customHeight="1">
      <c r="A259" t="s">
        <v>95</v>
      </c>
      <c r="B259" t="s">
        <v>206</v>
      </c>
      <c r="C259" t="s">
        <v>152</v>
      </c>
      <c r="D259" t="s">
        <v>229</v>
      </c>
      <c r="E259" t="s">
        <v>147</v>
      </c>
      <c r="F259" t="s">
        <v>148</v>
      </c>
      <c r="G259">
        <v>60800</v>
      </c>
      <c r="H259">
        <f>IF(PNL!A259="","",_CALC_PNL!P259)</f>
        <v>60800</v>
      </c>
      <c r="I259" t="str">
        <f>IF(PNL!A259="","",IF(_CALC_PNL!E259=1,H259-G259,""))</f>
        <v/>
      </c>
    </row>
    <row r="260" ht="14.25" customHeight="1">
      <c r="A260" t="s">
        <v>93</v>
      </c>
      <c r="B260" t="s">
        <v>206</v>
      </c>
      <c r="C260" t="s">
        <v>152</v>
      </c>
      <c r="D260" t="s">
        <v>229</v>
      </c>
      <c r="E260" t="s">
        <v>147</v>
      </c>
      <c r="F260" t="s">
        <v>148</v>
      </c>
      <c r="G260">
        <v>25220</v>
      </c>
      <c r="H260">
        <f>IF(PNL!A260="","",_CALC_PNL!P260)</f>
        <v>25220</v>
      </c>
      <c r="I260" t="str">
        <f>IF(PNL!A260="","",IF(_CALC_PNL!E260=1,H260-G260,""))</f>
        <v/>
      </c>
    </row>
    <row r="261" ht="14.25" customHeight="1">
      <c r="A261" t="s">
        <v>97</v>
      </c>
      <c r="B261" t="s">
        <v>206</v>
      </c>
      <c r="C261" t="s">
        <v>152</v>
      </c>
      <c r="D261" t="s">
        <v>229</v>
      </c>
      <c r="E261" t="s">
        <v>147</v>
      </c>
      <c r="F261" t="s">
        <v>148</v>
      </c>
      <c r="G261">
        <v>22083</v>
      </c>
      <c r="H261">
        <f>IF(PNL!A261="","",_CALC_PNL!P261)</f>
        <v>22083</v>
      </c>
      <c r="I261" t="str">
        <f>IF(PNL!A261="","",IF(_CALC_PNL!E261=1,H261-G261,""))</f>
        <v/>
      </c>
    </row>
    <row r="262" ht="14.25" customHeight="1">
      <c r="A262" t="s">
        <v>89</v>
      </c>
      <c r="B262" t="s">
        <v>206</v>
      </c>
      <c r="C262" t="s">
        <v>152</v>
      </c>
      <c r="D262" t="s">
        <v>229</v>
      </c>
      <c r="E262" t="s">
        <v>147</v>
      </c>
      <c r="F262" t="s">
        <v>148</v>
      </c>
      <c r="G262">
        <v>21760</v>
      </c>
      <c r="H262">
        <f>IF(PNL!A262="","",_CALC_PNL!P262)</f>
        <v>21760</v>
      </c>
      <c r="I262" t="str">
        <f>IF(PNL!A262="","",IF(_CALC_PNL!E262=1,H262-G262,""))</f>
        <v/>
      </c>
    </row>
    <row r="263" ht="14.25" customHeight="1">
      <c r="A263" t="s">
        <v>91</v>
      </c>
      <c r="B263" t="s">
        <v>206</v>
      </c>
      <c r="C263" t="s">
        <v>152</v>
      </c>
      <c r="D263" t="s">
        <v>229</v>
      </c>
      <c r="E263" t="s">
        <v>147</v>
      </c>
      <c r="F263" t="s">
        <v>148</v>
      </c>
      <c r="G263">
        <v>14933</v>
      </c>
      <c r="H263">
        <f>IF(PNL!A263="","",_CALC_PNL!P263)</f>
        <v>14933</v>
      </c>
      <c r="I263" t="str">
        <f>IF(PNL!A263="","",IF(_CALC_PNL!E263=1,H263-G263,""))</f>
        <v/>
      </c>
    </row>
    <row r="264" ht="14.25" customHeight="1">
      <c r="A264" t="s">
        <v>86</v>
      </c>
      <c r="B264" t="s">
        <v>206</v>
      </c>
      <c r="C264" t="s">
        <v>152</v>
      </c>
      <c r="D264" t="s">
        <v>229</v>
      </c>
      <c r="E264" t="s">
        <v>147</v>
      </c>
      <c r="F264" t="s">
        <v>148</v>
      </c>
      <c r="G264">
        <v>15178</v>
      </c>
      <c r="H264">
        <f>IF(PNL!A264="","",_CALC_PNL!P264)</f>
        <v>15178</v>
      </c>
      <c r="I264" t="str">
        <f>IF(PNL!A264="","",IF(_CALC_PNL!E264=1,H264-G264,""))</f>
        <v/>
      </c>
    </row>
    <row r="265" ht="14.25" customHeight="1">
      <c r="A265" t="s">
        <v>106</v>
      </c>
      <c r="B265" t="s">
        <v>206</v>
      </c>
      <c r="C265" t="s">
        <v>152</v>
      </c>
      <c r="D265" t="s">
        <v>229</v>
      </c>
      <c r="E265" t="s">
        <v>147</v>
      </c>
      <c r="F265" t="s">
        <v>148</v>
      </c>
      <c r="G265">
        <v>36612</v>
      </c>
      <c r="H265">
        <f>IF(PNL!A265="","",_CALC_PNL!P265)</f>
        <v>36612</v>
      </c>
      <c r="I265" t="str">
        <f>IF(PNL!A265="","",IF(_CALC_PNL!E265=1,H265-G265,""))</f>
        <v/>
      </c>
    </row>
    <row r="266" ht="14.25" customHeight="1">
      <c r="A266" t="s">
        <v>105</v>
      </c>
      <c r="B266" t="s">
        <v>206</v>
      </c>
      <c r="C266" t="s">
        <v>152</v>
      </c>
      <c r="D266" t="s">
        <v>229</v>
      </c>
      <c r="E266" t="s">
        <v>147</v>
      </c>
      <c r="F266" t="s">
        <v>148</v>
      </c>
      <c r="G266">
        <v>21968</v>
      </c>
      <c r="H266">
        <f>IF(PNL!A266="","",_CALC_PNL!P266)</f>
        <v>21968</v>
      </c>
      <c r="I266" t="str">
        <f>IF(PNL!A266="","",IF(_CALC_PNL!E266=1,H266-G266,""))</f>
        <v/>
      </c>
    </row>
    <row r="267" ht="14.25" customHeight="1">
      <c r="A267" t="s">
        <v>108</v>
      </c>
      <c r="B267" t="s">
        <v>206</v>
      </c>
      <c r="C267" t="s">
        <v>152</v>
      </c>
      <c r="D267" t="s">
        <v>229</v>
      </c>
      <c r="E267" t="s">
        <v>147</v>
      </c>
      <c r="F267" t="s">
        <v>148</v>
      </c>
      <c r="G267">
        <v>30240</v>
      </c>
      <c r="H267">
        <f>IF(PNL!A267="","",_CALC_PNL!P267)</f>
        <v>30240</v>
      </c>
      <c r="I267" t="str">
        <f>IF(PNL!A267="","",IF(_CALC_PNL!E267=1,H267-G267,""))</f>
        <v/>
      </c>
    </row>
    <row r="268" ht="14.25" customHeight="1">
      <c r="A268" t="s">
        <v>107</v>
      </c>
      <c r="B268" t="s">
        <v>206</v>
      </c>
      <c r="C268" t="s">
        <v>152</v>
      </c>
      <c r="D268" t="s">
        <v>229</v>
      </c>
      <c r="E268" t="s">
        <v>147</v>
      </c>
      <c r="F268" t="s">
        <v>148</v>
      </c>
      <c r="G268">
        <v>18850</v>
      </c>
      <c r="H268">
        <f>IF(PNL!A268="","",_CALC_PNL!P268)</f>
        <v>18850</v>
      </c>
      <c r="I268" t="str">
        <f>IF(PNL!A268="","",IF(_CALC_PNL!E268=1,H268-G268,""))</f>
        <v/>
      </c>
    </row>
    <row r="269" ht="14.25" customHeight="1">
      <c r="A269" t="s">
        <v>104</v>
      </c>
      <c r="B269" t="s">
        <v>207</v>
      </c>
      <c r="C269" t="s">
        <v>156</v>
      </c>
      <c r="D269" t="s">
        <v>229</v>
      </c>
      <c r="E269" t="s">
        <v>147</v>
      </c>
      <c r="F269" t="s">
        <v>148</v>
      </c>
      <c r="G269">
        <v>461593.76</v>
      </c>
      <c r="H269">
        <f>IF(PNL!A269="","",_CALC_PNL!P269)</f>
        <v>461593.76</v>
      </c>
      <c r="I269" t="str">
        <f>IF(PNL!A269="","",IF(_CALC_PNL!E269=1,H269-G269,""))</f>
        <v/>
      </c>
    </row>
    <row r="270" ht="14.25" customHeight="1">
      <c r="A270" t="s">
        <v>101</v>
      </c>
      <c r="B270" t="s">
        <v>207</v>
      </c>
      <c r="C270" t="s">
        <v>156</v>
      </c>
      <c r="D270" t="s">
        <v>229</v>
      </c>
      <c r="E270" t="s">
        <v>147</v>
      </c>
      <c r="F270" t="s">
        <v>148</v>
      </c>
      <c r="G270">
        <v>368902.58</v>
      </c>
      <c r="H270">
        <f>IF(PNL!A270="","",_CALC_PNL!P270)</f>
        <v>368902.58</v>
      </c>
      <c r="I270" t="str">
        <f>IF(PNL!A270="","",IF(_CALC_PNL!E270=1,H270-G270,""))</f>
        <v/>
      </c>
    </row>
    <row r="271" ht="14.25" customHeight="1">
      <c r="A271" t="s">
        <v>103</v>
      </c>
      <c r="B271" t="s">
        <v>207</v>
      </c>
      <c r="C271" t="s">
        <v>156</v>
      </c>
      <c r="D271" t="s">
        <v>229</v>
      </c>
      <c r="E271" t="s">
        <v>147</v>
      </c>
      <c r="F271" t="s">
        <v>148</v>
      </c>
      <c r="G271">
        <v>316903.04</v>
      </c>
      <c r="H271">
        <f>IF(PNL!A271="","",_CALC_PNL!P271)</f>
        <v>316903.04</v>
      </c>
      <c r="I271" t="str">
        <f>IF(PNL!A271="","",IF(_CALC_PNL!E271=1,H271-G271,""))</f>
        <v/>
      </c>
    </row>
    <row r="272" ht="14.25" customHeight="1">
      <c r="A272" t="s">
        <v>99</v>
      </c>
      <c r="B272" t="s">
        <v>207</v>
      </c>
      <c r="C272" t="s">
        <v>156</v>
      </c>
      <c r="D272" t="s">
        <v>229</v>
      </c>
      <c r="E272" t="s">
        <v>147</v>
      </c>
      <c r="F272" t="s">
        <v>148</v>
      </c>
      <c r="G272">
        <v>256743.58</v>
      </c>
      <c r="H272">
        <f>IF(PNL!A272="","",_CALC_PNL!P272)</f>
        <v>256743.58</v>
      </c>
      <c r="I272" t="str">
        <f>IF(PNL!A272="","",IF(_CALC_PNL!E272=1,H272-G272,""))</f>
        <v/>
      </c>
    </row>
    <row r="273" ht="14.25" customHeight="1">
      <c r="A273" t="s">
        <v>95</v>
      </c>
      <c r="B273" t="s">
        <v>207</v>
      </c>
      <c r="C273" t="s">
        <v>156</v>
      </c>
      <c r="D273" t="s">
        <v>229</v>
      </c>
      <c r="E273" t="s">
        <v>147</v>
      </c>
      <c r="F273" t="s">
        <v>148</v>
      </c>
      <c r="G273">
        <v>443568.93</v>
      </c>
      <c r="H273">
        <f>IF(PNL!A273="","",_CALC_PNL!P273)</f>
        <v>443568.93</v>
      </c>
      <c r="I273" t="str">
        <f>IF(PNL!A273="","",IF(_CALC_PNL!E273=1,H273-G273,""))</f>
        <v/>
      </c>
    </row>
    <row r="274" ht="14.25" customHeight="1">
      <c r="A274" t="s">
        <v>93</v>
      </c>
      <c r="B274" t="s">
        <v>207</v>
      </c>
      <c r="C274" t="s">
        <v>156</v>
      </c>
      <c r="D274" t="s">
        <v>229</v>
      </c>
      <c r="E274" t="s">
        <v>147</v>
      </c>
      <c r="F274" t="s">
        <v>148</v>
      </c>
      <c r="G274">
        <v>259421.46</v>
      </c>
      <c r="H274">
        <f>IF(PNL!A274="","",_CALC_PNL!P274)</f>
        <v>259421.46</v>
      </c>
      <c r="I274" t="str">
        <f>IF(PNL!A274="","",IF(_CALC_PNL!E274=1,H274-G274,""))</f>
        <v/>
      </c>
    </row>
    <row r="275" ht="14.25" customHeight="1">
      <c r="A275" t="s">
        <v>97</v>
      </c>
      <c r="B275" t="s">
        <v>207</v>
      </c>
      <c r="C275" t="s">
        <v>156</v>
      </c>
      <c r="D275" t="s">
        <v>229</v>
      </c>
      <c r="E275" t="s">
        <v>147</v>
      </c>
      <c r="F275" t="s">
        <v>148</v>
      </c>
      <c r="G275">
        <v>244893.8</v>
      </c>
      <c r="H275">
        <f>IF(PNL!A275="","",_CALC_PNL!P275)</f>
        <v>244893.8</v>
      </c>
      <c r="I275" t="str">
        <f>IF(PNL!A275="","",IF(_CALC_PNL!E275=1,H275-G275,""))</f>
        <v/>
      </c>
    </row>
    <row r="276" ht="14.25" customHeight="1">
      <c r="A276" t="s">
        <v>89</v>
      </c>
      <c r="B276" t="s">
        <v>207</v>
      </c>
      <c r="C276" t="s">
        <v>156</v>
      </c>
      <c r="D276" t="s">
        <v>229</v>
      </c>
      <c r="E276" t="s">
        <v>147</v>
      </c>
      <c r="F276" t="s">
        <v>148</v>
      </c>
      <c r="G276">
        <v>155733.6</v>
      </c>
      <c r="H276">
        <f>IF(PNL!A276="","",_CALC_PNL!P276)</f>
        <v>155733.6</v>
      </c>
      <c r="I276" t="str">
        <f>IF(PNL!A276="","",IF(_CALC_PNL!E276=1,H276-G276,""))</f>
        <v/>
      </c>
    </row>
    <row r="277" ht="14.25" customHeight="1">
      <c r="A277" t="s">
        <v>91</v>
      </c>
      <c r="B277" t="s">
        <v>207</v>
      </c>
      <c r="C277" t="s">
        <v>156</v>
      </c>
      <c r="D277" t="s">
        <v>229</v>
      </c>
      <c r="E277" t="s">
        <v>147</v>
      </c>
      <c r="F277" t="s">
        <v>148</v>
      </c>
      <c r="G277">
        <v>127624.16</v>
      </c>
      <c r="H277">
        <f>IF(PNL!A277="","",_CALC_PNL!P277)</f>
        <v>127624.16</v>
      </c>
      <c r="I277" t="str">
        <f>IF(PNL!A277="","",IF(_CALC_PNL!E277=1,H277-G277,""))</f>
        <v/>
      </c>
    </row>
    <row r="278" ht="14.25" customHeight="1">
      <c r="A278" t="s">
        <v>86</v>
      </c>
      <c r="B278" t="s">
        <v>207</v>
      </c>
      <c r="C278" t="s">
        <v>156</v>
      </c>
      <c r="D278" t="s">
        <v>229</v>
      </c>
      <c r="E278" t="s">
        <v>147</v>
      </c>
      <c r="F278" t="s">
        <v>148</v>
      </c>
      <c r="G278">
        <v>127557.21</v>
      </c>
      <c r="H278">
        <f>IF(PNL!A278="","",_CALC_PNL!P278)</f>
        <v>127557.21</v>
      </c>
      <c r="I278" t="str">
        <f>IF(PNL!A278="","",IF(_CALC_PNL!E278=1,H278-G278,""))</f>
        <v/>
      </c>
    </row>
    <row r="279" ht="14.25" customHeight="1">
      <c r="A279" t="s">
        <v>106</v>
      </c>
      <c r="B279" t="s">
        <v>207</v>
      </c>
      <c r="C279" t="s">
        <v>156</v>
      </c>
      <c r="D279" t="s">
        <v>229</v>
      </c>
      <c r="E279" t="s">
        <v>147</v>
      </c>
      <c r="F279" t="s">
        <v>148</v>
      </c>
      <c r="G279">
        <v>220599.82</v>
      </c>
      <c r="H279">
        <f>IF(PNL!A279="","",_CALC_PNL!P279)</f>
        <v>220599.82</v>
      </c>
      <c r="I279" t="str">
        <f>IF(PNL!A279="","",IF(_CALC_PNL!E279=1,H279-G279,""))</f>
        <v/>
      </c>
    </row>
    <row r="280" ht="14.25" customHeight="1">
      <c r="A280" t="s">
        <v>105</v>
      </c>
      <c r="B280" t="s">
        <v>207</v>
      </c>
      <c r="C280" t="s">
        <v>156</v>
      </c>
      <c r="D280" t="s">
        <v>229</v>
      </c>
      <c r="E280" t="s">
        <v>147</v>
      </c>
      <c r="F280" t="s">
        <v>148</v>
      </c>
      <c r="G280">
        <v>166342.4</v>
      </c>
      <c r="H280">
        <f>IF(PNL!A280="","",_CALC_PNL!P280)</f>
        <v>166342.4</v>
      </c>
      <c r="I280" t="str">
        <f>IF(PNL!A280="","",IF(_CALC_PNL!E280=1,H280-G280,""))</f>
        <v/>
      </c>
    </row>
    <row r="281" ht="14.25" customHeight="1">
      <c r="A281" t="s">
        <v>108</v>
      </c>
      <c r="B281" t="s">
        <v>207</v>
      </c>
      <c r="C281" t="s">
        <v>156</v>
      </c>
      <c r="D281" t="s">
        <v>229</v>
      </c>
      <c r="E281" t="s">
        <v>147</v>
      </c>
      <c r="F281" t="s">
        <v>148</v>
      </c>
      <c r="G281">
        <v>193142.69</v>
      </c>
      <c r="H281">
        <f>IF(PNL!A281="","",_CALC_PNL!P281)</f>
        <v>193142.69</v>
      </c>
      <c r="I281" t="str">
        <f>IF(PNL!A281="","",IF(_CALC_PNL!E281=1,H281-G281,""))</f>
        <v/>
      </c>
    </row>
    <row r="282" ht="14.25" customHeight="1">
      <c r="A282" t="s">
        <v>107</v>
      </c>
      <c r="B282" t="s">
        <v>207</v>
      </c>
      <c r="C282" t="s">
        <v>156</v>
      </c>
      <c r="D282" t="s">
        <v>229</v>
      </c>
      <c r="E282" t="s">
        <v>147</v>
      </c>
      <c r="F282" t="s">
        <v>148</v>
      </c>
      <c r="G282">
        <v>161858.54</v>
      </c>
      <c r="H282">
        <f>IF(PNL!A282="","",_CALC_PNL!P282)</f>
        <v>161858.54</v>
      </c>
      <c r="I282" t="str">
        <f>IF(PNL!A282="","",IF(_CALC_PNL!E282=1,H282-G282,""))</f>
        <v/>
      </c>
    </row>
    <row r="283" ht="14.25" customHeight="1">
      <c r="A283" t="s">
        <v>104</v>
      </c>
      <c r="B283" t="s">
        <v>207</v>
      </c>
      <c r="C283" t="s">
        <v>155</v>
      </c>
      <c r="D283" t="s">
        <v>229</v>
      </c>
      <c r="E283" t="s">
        <v>147</v>
      </c>
      <c r="F283" t="s">
        <v>148</v>
      </c>
      <c r="G283">
        <v>484866.41</v>
      </c>
      <c r="H283">
        <f>IF(PNL!A283="","",_CALC_PNL!P283)</f>
        <v>484866.41</v>
      </c>
      <c r="I283" t="str">
        <f>IF(PNL!A283="","",IF(_CALC_PNL!E283=1,H283-G283,""))</f>
        <v/>
      </c>
    </row>
    <row r="284" ht="14.25" customHeight="1">
      <c r="A284" t="s">
        <v>101</v>
      </c>
      <c r="B284" t="s">
        <v>207</v>
      </c>
      <c r="C284" t="s">
        <v>155</v>
      </c>
      <c r="D284" t="s">
        <v>229</v>
      </c>
      <c r="E284" t="s">
        <v>147</v>
      </c>
      <c r="F284" t="s">
        <v>148</v>
      </c>
      <c r="G284">
        <v>381714.36</v>
      </c>
      <c r="H284">
        <f>IF(PNL!A284="","",_CALC_PNL!P284)</f>
        <v>381714.36</v>
      </c>
      <c r="I284" t="str">
        <f>IF(PNL!A284="","",IF(_CALC_PNL!E284=1,H284-G284,""))</f>
        <v/>
      </c>
    </row>
    <row r="285" ht="14.25" customHeight="1">
      <c r="A285" t="s">
        <v>103</v>
      </c>
      <c r="B285" t="s">
        <v>207</v>
      </c>
      <c r="C285" t="s">
        <v>155</v>
      </c>
      <c r="D285" t="s">
        <v>229</v>
      </c>
      <c r="E285" t="s">
        <v>147</v>
      </c>
      <c r="F285" t="s">
        <v>148</v>
      </c>
      <c r="G285">
        <v>333028.5</v>
      </c>
      <c r="H285">
        <f>IF(PNL!A285="","",_CALC_PNL!P285)</f>
        <v>333028.5</v>
      </c>
      <c r="I285" t="str">
        <f>IF(PNL!A285="","",IF(_CALC_PNL!E285=1,H285-G285,""))</f>
        <v/>
      </c>
    </row>
    <row r="286" ht="14.25" customHeight="1">
      <c r="A286" t="s">
        <v>99</v>
      </c>
      <c r="B286" t="s">
        <v>207</v>
      </c>
      <c r="C286" t="s">
        <v>155</v>
      </c>
      <c r="D286" t="s">
        <v>229</v>
      </c>
      <c r="E286" t="s">
        <v>147</v>
      </c>
      <c r="F286" t="s">
        <v>148</v>
      </c>
      <c r="G286">
        <v>267929</v>
      </c>
      <c r="H286">
        <f>IF(PNL!A286="","",_CALC_PNL!P286)</f>
        <v>267929</v>
      </c>
      <c r="I286" t="str">
        <f>IF(PNL!A286="","",IF(_CALC_PNL!E286=1,H286-G286,""))</f>
        <v/>
      </c>
    </row>
    <row r="287" ht="14.25" customHeight="1">
      <c r="A287" t="s">
        <v>95</v>
      </c>
      <c r="B287" t="s">
        <v>207</v>
      </c>
      <c r="C287" t="s">
        <v>155</v>
      </c>
      <c r="D287" t="s">
        <v>229</v>
      </c>
      <c r="E287" t="s">
        <v>147</v>
      </c>
      <c r="F287" t="s">
        <v>148</v>
      </c>
      <c r="G287">
        <v>466993.12</v>
      </c>
      <c r="H287">
        <f>IF(PNL!A287="","",_CALC_PNL!P287)</f>
        <v>466993.12</v>
      </c>
      <c r="I287" t="str">
        <f>IF(PNL!A287="","",IF(_CALC_PNL!E287=1,H287-G287,""))</f>
        <v/>
      </c>
    </row>
    <row r="288" ht="14.25" customHeight="1">
      <c r="A288" t="s">
        <v>93</v>
      </c>
      <c r="B288" t="s">
        <v>207</v>
      </c>
      <c r="C288" t="s">
        <v>155</v>
      </c>
      <c r="D288" t="s">
        <v>229</v>
      </c>
      <c r="E288" t="s">
        <v>147</v>
      </c>
      <c r="F288" t="s">
        <v>148</v>
      </c>
      <c r="G288">
        <v>270570.21</v>
      </c>
      <c r="H288">
        <f>IF(PNL!A288="","",_CALC_PNL!P288)</f>
        <v>270570.21</v>
      </c>
      <c r="I288" t="str">
        <f>IF(PNL!A288="","",IF(_CALC_PNL!E288=1,H288-G288,""))</f>
        <v/>
      </c>
    </row>
    <row r="289" ht="14.25" customHeight="1">
      <c r="A289" t="s">
        <v>97</v>
      </c>
      <c r="B289" t="s">
        <v>207</v>
      </c>
      <c r="C289" t="s">
        <v>155</v>
      </c>
      <c r="D289" t="s">
        <v>229</v>
      </c>
      <c r="E289" t="s">
        <v>147</v>
      </c>
      <c r="F289" t="s">
        <v>148</v>
      </c>
      <c r="G289">
        <v>253220.84</v>
      </c>
      <c r="H289">
        <f>IF(PNL!A289="","",_CALC_PNL!P289)</f>
        <v>253220.84</v>
      </c>
      <c r="I289" t="str">
        <f>IF(PNL!A289="","",IF(_CALC_PNL!E289=1,H289-G289,""))</f>
        <v/>
      </c>
    </row>
    <row r="290" ht="14.25" customHeight="1">
      <c r="A290" t="s">
        <v>89</v>
      </c>
      <c r="B290" t="s">
        <v>207</v>
      </c>
      <c r="C290" t="s">
        <v>155</v>
      </c>
      <c r="D290" t="s">
        <v>229</v>
      </c>
      <c r="E290" t="s">
        <v>147</v>
      </c>
      <c r="F290" t="s">
        <v>148</v>
      </c>
      <c r="G290">
        <v>160911.47</v>
      </c>
      <c r="H290">
        <f>IF(PNL!A290="","",_CALC_PNL!P290)</f>
        <v>160911.47</v>
      </c>
      <c r="I290" t="str">
        <f>IF(PNL!A290="","",IF(_CALC_PNL!E290=1,H290-G290,""))</f>
        <v/>
      </c>
    </row>
    <row r="291" ht="14.25" customHeight="1">
      <c r="A291" t="s">
        <v>91</v>
      </c>
      <c r="B291" t="s">
        <v>207</v>
      </c>
      <c r="C291" t="s">
        <v>155</v>
      </c>
      <c r="D291" t="s">
        <v>229</v>
      </c>
      <c r="E291" t="s">
        <v>147</v>
      </c>
      <c r="F291" t="s">
        <v>148</v>
      </c>
      <c r="G291">
        <v>132256.93</v>
      </c>
      <c r="H291">
        <f>IF(PNL!A291="","",_CALC_PNL!P291)</f>
        <v>132256.93</v>
      </c>
      <c r="I291" t="str">
        <f>IF(PNL!A291="","",IF(_CALC_PNL!E291=1,H291-G291,""))</f>
        <v/>
      </c>
    </row>
    <row r="292" ht="14.25" customHeight="1">
      <c r="A292" t="s">
        <v>86</v>
      </c>
      <c r="B292" t="s">
        <v>207</v>
      </c>
      <c r="C292" t="s">
        <v>155</v>
      </c>
      <c r="D292" t="s">
        <v>229</v>
      </c>
      <c r="E292" t="s">
        <v>147</v>
      </c>
      <c r="F292" t="s">
        <v>148</v>
      </c>
      <c r="G292">
        <v>132183.02</v>
      </c>
      <c r="H292">
        <f>IF(PNL!A292="","",_CALC_PNL!P292)</f>
        <v>132183.02</v>
      </c>
      <c r="I292" t="str">
        <f>IF(PNL!A292="","",IF(_CALC_PNL!E292=1,H292-G292,""))</f>
        <v/>
      </c>
    </row>
    <row r="293" ht="14.25" customHeight="1">
      <c r="A293" t="s">
        <v>106</v>
      </c>
      <c r="B293" t="s">
        <v>207</v>
      </c>
      <c r="C293" t="s">
        <v>155</v>
      </c>
      <c r="D293" t="s">
        <v>229</v>
      </c>
      <c r="E293" t="s">
        <v>147</v>
      </c>
      <c r="F293" t="s">
        <v>148</v>
      </c>
      <c r="G293">
        <v>228262.14</v>
      </c>
      <c r="H293">
        <f>IF(PNL!A293="","",_CALC_PNL!P293)</f>
        <v>228262.14</v>
      </c>
      <c r="I293" t="str">
        <f>IF(PNL!A293="","",IF(_CALC_PNL!E293=1,H293-G293,""))</f>
        <v/>
      </c>
    </row>
    <row r="294" ht="14.25" customHeight="1">
      <c r="A294" t="s">
        <v>105</v>
      </c>
      <c r="B294" t="s">
        <v>207</v>
      </c>
      <c r="C294" t="s">
        <v>155</v>
      </c>
      <c r="D294" t="s">
        <v>229</v>
      </c>
      <c r="E294" t="s">
        <v>147</v>
      </c>
      <c r="F294" t="s">
        <v>148</v>
      </c>
      <c r="G294">
        <v>175123.55</v>
      </c>
      <c r="H294">
        <f>IF(PNL!A294="","",_CALC_PNL!P294)</f>
        <v>175123.55</v>
      </c>
      <c r="I294" t="str">
        <f>IF(PNL!A294="","",IF(_CALC_PNL!E294=1,H294-G294,""))</f>
        <v/>
      </c>
    </row>
    <row r="295" ht="14.25" customHeight="1">
      <c r="A295" t="s">
        <v>108</v>
      </c>
      <c r="B295" t="s">
        <v>207</v>
      </c>
      <c r="C295" t="s">
        <v>155</v>
      </c>
      <c r="D295" t="s">
        <v>229</v>
      </c>
      <c r="E295" t="s">
        <v>147</v>
      </c>
      <c r="F295" t="s">
        <v>148</v>
      </c>
      <c r="G295">
        <v>205065.3</v>
      </c>
      <c r="H295">
        <f>IF(PNL!A295="","",_CALC_PNL!P295)</f>
        <v>205065.3</v>
      </c>
      <c r="I295" t="str">
        <f>IF(PNL!A295="","",IF(_CALC_PNL!E295=1,H295-G295,""))</f>
        <v/>
      </c>
    </row>
    <row r="296" ht="14.25" customHeight="1">
      <c r="A296" t="s">
        <v>107</v>
      </c>
      <c r="B296" t="s">
        <v>207</v>
      </c>
      <c r="C296" t="s">
        <v>155</v>
      </c>
      <c r="D296" t="s">
        <v>229</v>
      </c>
      <c r="E296" t="s">
        <v>147</v>
      </c>
      <c r="F296" t="s">
        <v>148</v>
      </c>
      <c r="G296">
        <v>173666.48</v>
      </c>
      <c r="H296">
        <f>IF(PNL!A296="","",_CALC_PNL!P296)</f>
        <v>173666.48</v>
      </c>
      <c r="I296" t="str">
        <f>IF(PNL!A296="","",IF(_CALC_PNL!E296=1,H296-G296,""))</f>
        <v/>
      </c>
    </row>
    <row r="297" ht="14.25" customHeight="1">
      <c r="A297" t="s">
        <v>104</v>
      </c>
      <c r="B297" t="s">
        <v>207</v>
      </c>
      <c r="C297" t="s">
        <v>152</v>
      </c>
      <c r="D297" t="s">
        <v>229</v>
      </c>
      <c r="E297" t="s">
        <v>147</v>
      </c>
      <c r="F297" t="s">
        <v>148</v>
      </c>
      <c r="G297">
        <v>502062.96</v>
      </c>
      <c r="H297">
        <f>IF(PNL!A297="","",_CALC_PNL!P297)</f>
        <v>502062.96</v>
      </c>
      <c r="I297" t="str">
        <f>IF(PNL!A297="","",IF(_CALC_PNL!E297=1,H297-G297,""))</f>
        <v/>
      </c>
    </row>
    <row r="298" ht="14.25" customHeight="1">
      <c r="A298" t="s">
        <v>101</v>
      </c>
      <c r="B298" t="s">
        <v>207</v>
      </c>
      <c r="C298" t="s">
        <v>152</v>
      </c>
      <c r="D298" t="s">
        <v>229</v>
      </c>
      <c r="E298" t="s">
        <v>147</v>
      </c>
      <c r="F298" t="s">
        <v>148</v>
      </c>
      <c r="G298">
        <v>400192.8</v>
      </c>
      <c r="H298">
        <f>IF(PNL!A298="","",_CALC_PNL!P298)</f>
        <v>400192.8</v>
      </c>
      <c r="I298" t="str">
        <f>IF(PNL!A298="","",IF(_CALC_PNL!E298=1,H298-G298,""))</f>
        <v/>
      </c>
    </row>
    <row r="299" ht="14.25" customHeight="1">
      <c r="A299" t="s">
        <v>103</v>
      </c>
      <c r="B299" t="s">
        <v>207</v>
      </c>
      <c r="C299" t="s">
        <v>152</v>
      </c>
      <c r="D299" t="s">
        <v>229</v>
      </c>
      <c r="E299" t="s">
        <v>147</v>
      </c>
      <c r="F299" t="s">
        <v>148</v>
      </c>
      <c r="G299">
        <v>344252.4</v>
      </c>
      <c r="H299">
        <f>IF(PNL!A299="","",_CALC_PNL!P299)</f>
        <v>344252.4</v>
      </c>
      <c r="I299" t="str">
        <f>IF(PNL!A299="","",IF(_CALC_PNL!E299=1,H299-G299,""))</f>
        <v/>
      </c>
    </row>
    <row r="300" ht="14.25" customHeight="1">
      <c r="A300" t="s">
        <v>99</v>
      </c>
      <c r="B300" t="s">
        <v>207</v>
      </c>
      <c r="C300" t="s">
        <v>152</v>
      </c>
      <c r="D300" t="s">
        <v>229</v>
      </c>
      <c r="E300" t="s">
        <v>147</v>
      </c>
      <c r="F300" t="s">
        <v>148</v>
      </c>
      <c r="G300">
        <v>280337.09</v>
      </c>
      <c r="H300">
        <f>IF(PNL!A300="","",_CALC_PNL!P300)</f>
        <v>280337.09</v>
      </c>
      <c r="I300" t="str">
        <f>IF(PNL!A300="","",IF(_CALC_PNL!E300=1,H300-G300,""))</f>
        <v/>
      </c>
    </row>
    <row r="301" ht="14.25" customHeight="1">
      <c r="A301" t="s">
        <v>95</v>
      </c>
      <c r="B301" t="s">
        <v>207</v>
      </c>
      <c r="C301" t="s">
        <v>152</v>
      </c>
      <c r="D301" t="s">
        <v>229</v>
      </c>
      <c r="E301" t="s">
        <v>147</v>
      </c>
      <c r="F301" t="s">
        <v>148</v>
      </c>
      <c r="G301">
        <v>488050.48</v>
      </c>
      <c r="H301">
        <f>IF(PNL!A301="","",_CALC_PNL!P301)</f>
        <v>488050.48</v>
      </c>
      <c r="I301" t="str">
        <f>IF(PNL!A301="","",IF(_CALC_PNL!E301=1,H301-G301,""))</f>
        <v/>
      </c>
    </row>
    <row r="302" ht="14.25" customHeight="1">
      <c r="A302" t="s">
        <v>93</v>
      </c>
      <c r="B302" t="s">
        <v>207</v>
      </c>
      <c r="C302" t="s">
        <v>152</v>
      </c>
      <c r="D302" t="s">
        <v>229</v>
      </c>
      <c r="E302" t="s">
        <v>147</v>
      </c>
      <c r="F302" t="s">
        <v>148</v>
      </c>
      <c r="G302">
        <v>284669.17</v>
      </c>
      <c r="H302">
        <f>IF(PNL!A302="","",_CALC_PNL!P302)</f>
        <v>284669.17</v>
      </c>
      <c r="I302" t="str">
        <f>IF(PNL!A302="","",IF(_CALC_PNL!E302=1,H302-G302,""))</f>
        <v/>
      </c>
    </row>
    <row r="303" ht="14.25" customHeight="1">
      <c r="A303" t="s">
        <v>97</v>
      </c>
      <c r="B303" t="s">
        <v>207</v>
      </c>
      <c r="C303" t="s">
        <v>152</v>
      </c>
      <c r="D303" t="s">
        <v>229</v>
      </c>
      <c r="E303" t="s">
        <v>147</v>
      </c>
      <c r="F303" t="s">
        <v>148</v>
      </c>
      <c r="G303">
        <v>267683.87</v>
      </c>
      <c r="H303">
        <f>IF(PNL!A303="","",_CALC_PNL!P303)</f>
        <v>267683.87</v>
      </c>
      <c r="I303" t="str">
        <f>IF(PNL!A303="","",IF(_CALC_PNL!E303=1,H303-G303,""))</f>
        <v/>
      </c>
    </row>
    <row r="304" ht="14.25" customHeight="1">
      <c r="A304" t="s">
        <v>89</v>
      </c>
      <c r="B304" t="s">
        <v>207</v>
      </c>
      <c r="C304" t="s">
        <v>152</v>
      </c>
      <c r="D304" t="s">
        <v>229</v>
      </c>
      <c r="E304" t="s">
        <v>147</v>
      </c>
      <c r="F304" t="s">
        <v>148</v>
      </c>
      <c r="G304">
        <v>168182.73</v>
      </c>
      <c r="H304">
        <f>IF(PNL!A304="","",_CALC_PNL!P304)</f>
        <v>168182.73</v>
      </c>
      <c r="I304" t="str">
        <f>IF(PNL!A304="","",IF(_CALC_PNL!E304=1,H304-G304,""))</f>
        <v/>
      </c>
    </row>
    <row r="305" ht="14.25" customHeight="1">
      <c r="A305" t="s">
        <v>91</v>
      </c>
      <c r="B305" t="s">
        <v>207</v>
      </c>
      <c r="C305" t="s">
        <v>152</v>
      </c>
      <c r="D305" t="s">
        <v>229</v>
      </c>
      <c r="E305" t="s">
        <v>147</v>
      </c>
      <c r="F305" t="s">
        <v>148</v>
      </c>
      <c r="G305">
        <v>136168.63</v>
      </c>
      <c r="H305">
        <f>IF(PNL!A305="","",_CALC_PNL!P305)</f>
        <v>136168.63</v>
      </c>
      <c r="I305" t="str">
        <f>IF(PNL!A305="","",IF(_CALC_PNL!E305=1,H305-G305,""))</f>
        <v/>
      </c>
    </row>
    <row r="306" ht="14.25" customHeight="1">
      <c r="A306" t="s">
        <v>86</v>
      </c>
      <c r="B306" t="s">
        <v>207</v>
      </c>
      <c r="C306" t="s">
        <v>152</v>
      </c>
      <c r="D306" t="s">
        <v>229</v>
      </c>
      <c r="E306" t="s">
        <v>147</v>
      </c>
      <c r="F306" t="s">
        <v>148</v>
      </c>
      <c r="G306">
        <v>136087.43</v>
      </c>
      <c r="H306">
        <f>IF(PNL!A306="","",_CALC_PNL!P306)</f>
        <v>136087.43</v>
      </c>
      <c r="I306" t="str">
        <f>IF(PNL!A306="","",IF(_CALC_PNL!E306=1,H306-G306,""))</f>
        <v/>
      </c>
    </row>
    <row r="307" ht="14.25" customHeight="1">
      <c r="A307" t="s">
        <v>106</v>
      </c>
      <c r="B307" t="s">
        <v>207</v>
      </c>
      <c r="C307" t="s">
        <v>152</v>
      </c>
      <c r="D307" t="s">
        <v>229</v>
      </c>
      <c r="E307" t="s">
        <v>147</v>
      </c>
      <c r="F307" t="s">
        <v>148</v>
      </c>
      <c r="G307">
        <v>241308.7</v>
      </c>
      <c r="H307">
        <f>IF(PNL!A307="","",_CALC_PNL!P307)</f>
        <v>241308.7</v>
      </c>
      <c r="I307" t="str">
        <f>IF(PNL!A307="","",IF(_CALC_PNL!E307=1,H307-G307,""))</f>
        <v/>
      </c>
    </row>
    <row r="308" ht="14.25" customHeight="1">
      <c r="A308" t="s">
        <v>105</v>
      </c>
      <c r="B308" t="s">
        <v>207</v>
      </c>
      <c r="C308" t="s">
        <v>152</v>
      </c>
      <c r="D308" t="s">
        <v>229</v>
      </c>
      <c r="E308" t="s">
        <v>147</v>
      </c>
      <c r="F308" t="s">
        <v>148</v>
      </c>
      <c r="G308">
        <v>182756.35</v>
      </c>
      <c r="H308">
        <f>IF(PNL!A308="","",_CALC_PNL!P308)</f>
        <v>182756.35</v>
      </c>
      <c r="I308" t="str">
        <f>IF(PNL!A308="","",IF(_CALC_PNL!E308=1,H308-G308,""))</f>
        <v/>
      </c>
    </row>
    <row r="309" ht="14.25" customHeight="1">
      <c r="A309" t="s">
        <v>108</v>
      </c>
      <c r="B309" t="s">
        <v>207</v>
      </c>
      <c r="C309" t="s">
        <v>152</v>
      </c>
      <c r="D309" t="s">
        <v>229</v>
      </c>
      <c r="E309" t="s">
        <v>147</v>
      </c>
      <c r="F309" t="s">
        <v>148</v>
      </c>
      <c r="G309">
        <v>223369.51</v>
      </c>
      <c r="H309">
        <f>IF(PNL!A309="","",_CALC_PNL!P309)</f>
        <v>223369.51</v>
      </c>
      <c r="I309" t="str">
        <f>IF(PNL!A309="","",IF(_CALC_PNL!E309=1,H309-G309,""))</f>
        <v/>
      </c>
    </row>
    <row r="310" ht="14.25" customHeight="1">
      <c r="A310" t="s">
        <v>107</v>
      </c>
      <c r="B310" t="s">
        <v>207</v>
      </c>
      <c r="C310" t="s">
        <v>152</v>
      </c>
      <c r="D310" t="s">
        <v>229</v>
      </c>
      <c r="E310" t="s">
        <v>147</v>
      </c>
      <c r="F310" t="s">
        <v>148</v>
      </c>
      <c r="G310">
        <v>185947.72</v>
      </c>
      <c r="H310">
        <f>IF(PNL!A310="","",_CALC_PNL!P310)</f>
        <v>185947.72</v>
      </c>
      <c r="I310" t="str">
        <f>IF(PNL!A310="","",IF(_CALC_PNL!E310=1,H310-G310,""))</f>
        <v/>
      </c>
    </row>
    <row r="311" ht="14.25" customHeight="1">
      <c r="A311" t="s">
        <v>104</v>
      </c>
      <c r="B311" t="s">
        <v>208</v>
      </c>
      <c r="C311" t="s">
        <v>156</v>
      </c>
      <c r="D311" t="s">
        <v>229</v>
      </c>
      <c r="E311" t="s">
        <v>147</v>
      </c>
      <c r="F311" t="s">
        <v>148</v>
      </c>
      <c r="G311">
        <v>266491.87</v>
      </c>
      <c r="H311">
        <f>IF(PNL!A311="","",_CALC_PNL!P311)</f>
        <v>266491.87</v>
      </c>
      <c r="I311" t="str">
        <f>IF(PNL!A311="","",IF(_CALC_PNL!E311=1,H311-G311,""))</f>
        <v/>
      </c>
    </row>
    <row r="312" ht="14.25" customHeight="1">
      <c r="A312" t="s">
        <v>101</v>
      </c>
      <c r="B312" t="s">
        <v>208</v>
      </c>
      <c r="C312" t="s">
        <v>156</v>
      </c>
      <c r="D312" t="s">
        <v>229</v>
      </c>
      <c r="E312" t="s">
        <v>147</v>
      </c>
      <c r="F312" t="s">
        <v>148</v>
      </c>
      <c r="G312">
        <v>208432.22</v>
      </c>
      <c r="H312">
        <f>IF(PNL!A312="","",_CALC_PNL!P312)</f>
        <v>208432.22</v>
      </c>
      <c r="I312" t="str">
        <f>IF(PNL!A312="","",IF(_CALC_PNL!E312=1,H312-G312,""))</f>
        <v/>
      </c>
    </row>
    <row r="313" ht="14.25" customHeight="1">
      <c r="A313" t="s">
        <v>103</v>
      </c>
      <c r="B313" t="s">
        <v>208</v>
      </c>
      <c r="C313" t="s">
        <v>156</v>
      </c>
      <c r="D313" t="s">
        <v>229</v>
      </c>
      <c r="E313" t="s">
        <v>147</v>
      </c>
      <c r="F313" t="s">
        <v>148</v>
      </c>
      <c r="G313">
        <v>176012.71</v>
      </c>
      <c r="H313">
        <f>IF(PNL!A313="","",_CALC_PNL!P313)</f>
        <v>176012.71</v>
      </c>
      <c r="I313" t="str">
        <f>IF(PNL!A313="","",IF(_CALC_PNL!E313=1,H313-G313,""))</f>
        <v/>
      </c>
    </row>
    <row r="314" ht="14.25" customHeight="1">
      <c r="A314" t="s">
        <v>99</v>
      </c>
      <c r="B314" t="s">
        <v>208</v>
      </c>
      <c r="C314" t="s">
        <v>156</v>
      </c>
      <c r="D314" t="s">
        <v>229</v>
      </c>
      <c r="E314" t="s">
        <v>147</v>
      </c>
      <c r="F314" t="s">
        <v>148</v>
      </c>
      <c r="G314">
        <v>144927.58</v>
      </c>
      <c r="H314">
        <f>IF(PNL!A314="","",_CALC_PNL!P314)</f>
        <v>144927.58</v>
      </c>
      <c r="I314" t="str">
        <f>IF(PNL!A314="","",IF(_CALC_PNL!E314=1,H314-G314,""))</f>
        <v/>
      </c>
    </row>
    <row r="315" ht="14.25" customHeight="1">
      <c r="A315" t="s">
        <v>95</v>
      </c>
      <c r="B315" t="s">
        <v>208</v>
      </c>
      <c r="C315" t="s">
        <v>156</v>
      </c>
      <c r="D315" t="s">
        <v>229</v>
      </c>
      <c r="E315" t="s">
        <v>147</v>
      </c>
      <c r="F315" t="s">
        <v>148</v>
      </c>
      <c r="G315">
        <v>237314.78</v>
      </c>
      <c r="H315">
        <f>IF(PNL!A315="","",_CALC_PNL!P315)</f>
        <v>237314.78</v>
      </c>
      <c r="I315" t="str">
        <f>IF(PNL!A315="","",IF(_CALC_PNL!E315=1,H315-G315,""))</f>
        <v/>
      </c>
    </row>
    <row r="316" ht="14.25" customHeight="1">
      <c r="A316" t="s">
        <v>93</v>
      </c>
      <c r="B316" t="s">
        <v>208</v>
      </c>
      <c r="C316" t="s">
        <v>156</v>
      </c>
      <c r="D316" t="s">
        <v>229</v>
      </c>
      <c r="E316" t="s">
        <v>147</v>
      </c>
      <c r="F316" t="s">
        <v>148</v>
      </c>
      <c r="G316">
        <v>143499.42</v>
      </c>
      <c r="H316">
        <f>IF(PNL!A316="","",_CALC_PNL!P316)</f>
        <v>143499.42</v>
      </c>
      <c r="I316" t="str">
        <f>IF(PNL!A316="","",IF(_CALC_PNL!E316=1,H316-G316,""))</f>
        <v/>
      </c>
    </row>
    <row r="317" ht="14.25" customHeight="1">
      <c r="A317" t="s">
        <v>97</v>
      </c>
      <c r="B317" t="s">
        <v>208</v>
      </c>
      <c r="C317" t="s">
        <v>156</v>
      </c>
      <c r="D317" t="s">
        <v>229</v>
      </c>
      <c r="E317" t="s">
        <v>147</v>
      </c>
      <c r="F317" t="s">
        <v>148</v>
      </c>
      <c r="G317">
        <v>128244.7</v>
      </c>
      <c r="H317">
        <f>IF(PNL!A317="","",_CALC_PNL!P317)</f>
        <v>128244.7</v>
      </c>
      <c r="I317" t="str">
        <f>IF(PNL!A317="","",IF(_CALC_PNL!E317=1,H317-G317,""))</f>
        <v/>
      </c>
    </row>
    <row r="318" ht="14.25" customHeight="1">
      <c r="A318" t="s">
        <v>89</v>
      </c>
      <c r="B318" t="s">
        <v>208</v>
      </c>
      <c r="C318" t="s">
        <v>156</v>
      </c>
      <c r="D318" t="s">
        <v>229</v>
      </c>
      <c r="E318" t="s">
        <v>147</v>
      </c>
      <c r="F318" t="s">
        <v>148</v>
      </c>
      <c r="G318">
        <v>85320.26</v>
      </c>
      <c r="H318">
        <f>IF(PNL!A318="","",_CALC_PNL!P318)</f>
        <v>85320.26</v>
      </c>
      <c r="I318" t="str">
        <f>IF(PNL!A318="","",IF(_CALC_PNL!E318=1,H318-G318,""))</f>
        <v/>
      </c>
    </row>
    <row r="319" ht="14.25" customHeight="1">
      <c r="A319" t="s">
        <v>91</v>
      </c>
      <c r="B319" t="s">
        <v>208</v>
      </c>
      <c r="C319" t="s">
        <v>156</v>
      </c>
      <c r="D319" t="s">
        <v>229</v>
      </c>
      <c r="E319" t="s">
        <v>147</v>
      </c>
      <c r="F319" t="s">
        <v>148</v>
      </c>
      <c r="G319">
        <v>56418.53</v>
      </c>
      <c r="H319">
        <f>IF(PNL!A319="","",_CALC_PNL!P319)</f>
        <v>56418.53</v>
      </c>
      <c r="I319" t="str">
        <f>IF(PNL!A319="","",IF(_CALC_PNL!E319=1,H319-G319,""))</f>
        <v/>
      </c>
    </row>
    <row r="320" ht="14.25" customHeight="1">
      <c r="A320" t="s">
        <v>86</v>
      </c>
      <c r="B320" t="s">
        <v>208</v>
      </c>
      <c r="C320" t="s">
        <v>156</v>
      </c>
      <c r="D320" t="s">
        <v>229</v>
      </c>
      <c r="E320" t="s">
        <v>147</v>
      </c>
      <c r="F320" t="s">
        <v>148</v>
      </c>
      <c r="G320">
        <v>56388.94</v>
      </c>
      <c r="H320">
        <f>IF(PNL!A320="","",_CALC_PNL!P320)</f>
        <v>56388.94</v>
      </c>
      <c r="I320" t="str">
        <f>IF(PNL!A320="","",IF(_CALC_PNL!E320=1,H320-G320,""))</f>
        <v/>
      </c>
    </row>
    <row r="321" ht="14.25" customHeight="1">
      <c r="A321" t="s">
        <v>106</v>
      </c>
      <c r="B321" t="s">
        <v>208</v>
      </c>
      <c r="C321" t="s">
        <v>156</v>
      </c>
      <c r="D321" t="s">
        <v>229</v>
      </c>
      <c r="E321" t="s">
        <v>147</v>
      </c>
      <c r="F321" t="s">
        <v>148</v>
      </c>
      <c r="G321">
        <v>113772.68</v>
      </c>
      <c r="H321">
        <f>IF(PNL!A321="","",_CALC_PNL!P321)</f>
        <v>113772.68</v>
      </c>
      <c r="I321" t="str">
        <f>IF(PNL!A321="","",IF(_CALC_PNL!E321=1,H321-G321,""))</f>
        <v/>
      </c>
    </row>
    <row r="322" ht="14.25" customHeight="1">
      <c r="A322" t="s">
        <v>105</v>
      </c>
      <c r="B322" t="s">
        <v>208</v>
      </c>
      <c r="C322" t="s">
        <v>156</v>
      </c>
      <c r="D322" t="s">
        <v>229</v>
      </c>
      <c r="E322" t="s">
        <v>147</v>
      </c>
      <c r="F322" t="s">
        <v>148</v>
      </c>
      <c r="G322">
        <v>66934.77</v>
      </c>
      <c r="H322">
        <f>IF(PNL!A322="","",_CALC_PNL!P322)</f>
        <v>66934.77</v>
      </c>
      <c r="I322" t="str">
        <f>IF(PNL!A322="","",IF(_CALC_PNL!E322=1,H322-G322,""))</f>
        <v/>
      </c>
    </row>
    <row r="323" ht="14.25" customHeight="1">
      <c r="A323" t="s">
        <v>108</v>
      </c>
      <c r="B323" t="s">
        <v>208</v>
      </c>
      <c r="C323" t="s">
        <v>156</v>
      </c>
      <c r="D323" t="s">
        <v>229</v>
      </c>
      <c r="E323" t="s">
        <v>147</v>
      </c>
      <c r="F323" t="s">
        <v>148</v>
      </c>
      <c r="G323">
        <v>100706.89</v>
      </c>
      <c r="H323">
        <f>IF(PNL!A323="","",_CALC_PNL!P323)</f>
        <v>100706.89</v>
      </c>
      <c r="I323" t="str">
        <f>IF(PNL!A323="","",IF(_CALC_PNL!E323=1,H323-G323,""))</f>
        <v/>
      </c>
    </row>
    <row r="324" ht="14.25" customHeight="1">
      <c r="A324" t="s">
        <v>107</v>
      </c>
      <c r="B324" t="s">
        <v>208</v>
      </c>
      <c r="C324" t="s">
        <v>156</v>
      </c>
      <c r="D324" t="s">
        <v>229</v>
      </c>
      <c r="E324" t="s">
        <v>147</v>
      </c>
      <c r="F324" t="s">
        <v>148</v>
      </c>
      <c r="G324">
        <v>71551.52</v>
      </c>
      <c r="H324">
        <f>IF(PNL!A324="","",_CALC_PNL!P324)</f>
        <v>71551.52</v>
      </c>
      <c r="I324" t="str">
        <f>IF(PNL!A324="","",IF(_CALC_PNL!E324=1,H324-G324,""))</f>
        <v/>
      </c>
    </row>
    <row r="325" ht="14.25" customHeight="1">
      <c r="A325" t="s">
        <v>104</v>
      </c>
      <c r="B325" t="s">
        <v>208</v>
      </c>
      <c r="C325" t="s">
        <v>155</v>
      </c>
      <c r="D325" t="s">
        <v>229</v>
      </c>
      <c r="E325" t="s">
        <v>147</v>
      </c>
      <c r="F325" t="s">
        <v>148</v>
      </c>
      <c r="G325">
        <v>279927.82</v>
      </c>
      <c r="H325">
        <f>IF(PNL!A325="","",_CALC_PNL!P325)</f>
        <v>279927.82</v>
      </c>
      <c r="I325" t="str">
        <f>IF(PNL!A325="","",IF(_CALC_PNL!E325=1,H325-G325,""))</f>
        <v/>
      </c>
    </row>
    <row r="326" ht="14.25" customHeight="1">
      <c r="A326" t="s">
        <v>101</v>
      </c>
      <c r="B326" t="s">
        <v>208</v>
      </c>
      <c r="C326" t="s">
        <v>155</v>
      </c>
      <c r="D326" t="s">
        <v>229</v>
      </c>
      <c r="E326" t="s">
        <v>147</v>
      </c>
      <c r="F326" t="s">
        <v>148</v>
      </c>
      <c r="G326">
        <v>215670.6</v>
      </c>
      <c r="H326">
        <f>IF(PNL!A326="","",_CALC_PNL!P326)</f>
        <v>215670.6</v>
      </c>
      <c r="I326" t="str">
        <f>IF(PNL!A326="","",IF(_CALC_PNL!E326=1,H326-G326,""))</f>
        <v/>
      </c>
    </row>
    <row r="327" ht="14.25" customHeight="1">
      <c r="A327" t="s">
        <v>103</v>
      </c>
      <c r="B327" t="s">
        <v>208</v>
      </c>
      <c r="C327" t="s">
        <v>155</v>
      </c>
      <c r="D327" t="s">
        <v>229</v>
      </c>
      <c r="E327" t="s">
        <v>147</v>
      </c>
      <c r="F327" t="s">
        <v>148</v>
      </c>
      <c r="G327">
        <v>184969.52</v>
      </c>
      <c r="H327">
        <f>IF(PNL!A327="","",_CALC_PNL!P327)</f>
        <v>184969.52</v>
      </c>
      <c r="I327" t="str">
        <f>IF(PNL!A327="","",IF(_CALC_PNL!E327=1,H327-G327,""))</f>
        <v/>
      </c>
    </row>
    <row r="328" ht="14.25" customHeight="1">
      <c r="A328" t="s">
        <v>99</v>
      </c>
      <c r="B328" t="s">
        <v>208</v>
      </c>
      <c r="C328" t="s">
        <v>155</v>
      </c>
      <c r="D328" t="s">
        <v>229</v>
      </c>
      <c r="E328" t="s">
        <v>147</v>
      </c>
      <c r="F328" t="s">
        <v>148</v>
      </c>
      <c r="G328">
        <v>151241.36</v>
      </c>
      <c r="H328">
        <f>IF(PNL!A328="","",_CALC_PNL!P328)</f>
        <v>151241.36</v>
      </c>
      <c r="I328" t="str">
        <f>IF(PNL!A328="","",IF(_CALC_PNL!E328=1,H328-G328,""))</f>
        <v/>
      </c>
    </row>
    <row r="329" ht="14.25" customHeight="1">
      <c r="A329" t="s">
        <v>95</v>
      </c>
      <c r="B329" t="s">
        <v>208</v>
      </c>
      <c r="C329" t="s">
        <v>155</v>
      </c>
      <c r="D329" t="s">
        <v>229</v>
      </c>
      <c r="E329" t="s">
        <v>147</v>
      </c>
      <c r="F329" t="s">
        <v>148</v>
      </c>
      <c r="G329">
        <v>249846.94</v>
      </c>
      <c r="H329">
        <f>IF(PNL!A329="","",_CALC_PNL!P329)</f>
        <v>249846.94</v>
      </c>
      <c r="I329" t="str">
        <f>IF(PNL!A329="","",IF(_CALC_PNL!E329=1,H329-G329,""))</f>
        <v/>
      </c>
    </row>
    <row r="330" ht="14.25" customHeight="1">
      <c r="A330" t="s">
        <v>93</v>
      </c>
      <c r="B330" t="s">
        <v>208</v>
      </c>
      <c r="C330" t="s">
        <v>155</v>
      </c>
      <c r="D330" t="s">
        <v>229</v>
      </c>
      <c r="E330" t="s">
        <v>147</v>
      </c>
      <c r="F330" t="s">
        <v>148</v>
      </c>
      <c r="G330">
        <v>149666</v>
      </c>
      <c r="H330">
        <f>IF(PNL!A330="","",_CALC_PNL!P330)</f>
        <v>149666</v>
      </c>
      <c r="I330" t="str">
        <f>IF(PNL!A330="","",IF(_CALC_PNL!E330=1,H330-G330,""))</f>
        <v/>
      </c>
    </row>
    <row r="331" ht="14.25" customHeight="1">
      <c r="A331" t="s">
        <v>97</v>
      </c>
      <c r="B331" t="s">
        <v>208</v>
      </c>
      <c r="C331" t="s">
        <v>155</v>
      </c>
      <c r="D331" t="s">
        <v>229</v>
      </c>
      <c r="E331" t="s">
        <v>147</v>
      </c>
      <c r="F331" t="s">
        <v>148</v>
      </c>
      <c r="G331">
        <v>132606.06</v>
      </c>
      <c r="H331">
        <f>IF(PNL!A331="","",_CALC_PNL!P331)</f>
        <v>132606.06</v>
      </c>
      <c r="I331" t="str">
        <f>IF(PNL!A331="","",IF(_CALC_PNL!E331=1,H331-G331,""))</f>
        <v/>
      </c>
    </row>
    <row r="332" ht="14.25" customHeight="1">
      <c r="A332" t="s">
        <v>89</v>
      </c>
      <c r="B332" t="s">
        <v>208</v>
      </c>
      <c r="C332" t="s">
        <v>155</v>
      </c>
      <c r="D332" t="s">
        <v>229</v>
      </c>
      <c r="E332" t="s">
        <v>147</v>
      </c>
      <c r="F332" t="s">
        <v>148</v>
      </c>
      <c r="G332">
        <v>88156.35</v>
      </c>
      <c r="H332">
        <f>IF(PNL!A332="","",_CALC_PNL!P332)</f>
        <v>88156.35</v>
      </c>
      <c r="I332" t="str">
        <f>IF(PNL!A332="","",IF(_CALC_PNL!E332=1,H332-G332,""))</f>
        <v/>
      </c>
    </row>
    <row r="333" ht="14.25" customHeight="1">
      <c r="A333" t="s">
        <v>91</v>
      </c>
      <c r="B333" t="s">
        <v>208</v>
      </c>
      <c r="C333" t="s">
        <v>155</v>
      </c>
      <c r="D333" t="s">
        <v>229</v>
      </c>
      <c r="E333" t="s">
        <v>147</v>
      </c>
      <c r="F333" t="s">
        <v>148</v>
      </c>
      <c r="G333">
        <v>58466.61</v>
      </c>
      <c r="H333">
        <f>IF(PNL!A333="","",_CALC_PNL!P333)</f>
        <v>58466.61</v>
      </c>
      <c r="I333" t="str">
        <f>IF(PNL!A333="","",IF(_CALC_PNL!E333=1,H333-G333,""))</f>
        <v/>
      </c>
    </row>
    <row r="334" ht="14.25" customHeight="1">
      <c r="A334" t="s">
        <v>86</v>
      </c>
      <c r="B334" t="s">
        <v>208</v>
      </c>
      <c r="C334" t="s">
        <v>155</v>
      </c>
      <c r="D334" t="s">
        <v>229</v>
      </c>
      <c r="E334" t="s">
        <v>147</v>
      </c>
      <c r="F334" t="s">
        <v>148</v>
      </c>
      <c r="G334">
        <v>58433.93</v>
      </c>
      <c r="H334">
        <f>IF(PNL!A334="","",_CALC_PNL!P334)</f>
        <v>58433.93</v>
      </c>
      <c r="I334" t="str">
        <f>IF(PNL!A334="","",IF(_CALC_PNL!E334=1,H334-G334,""))</f>
        <v/>
      </c>
    </row>
    <row r="335" ht="14.25" customHeight="1">
      <c r="A335" t="s">
        <v>106</v>
      </c>
      <c r="B335" t="s">
        <v>208</v>
      </c>
      <c r="C335" t="s">
        <v>155</v>
      </c>
      <c r="D335" t="s">
        <v>229</v>
      </c>
      <c r="E335" t="s">
        <v>147</v>
      </c>
      <c r="F335" t="s">
        <v>148</v>
      </c>
      <c r="G335">
        <v>117724.56</v>
      </c>
      <c r="H335">
        <f>IF(PNL!A335="","",_CALC_PNL!P335)</f>
        <v>117724.56</v>
      </c>
      <c r="I335" t="str">
        <f>IF(PNL!A335="","",IF(_CALC_PNL!E335=1,H335-G335,""))</f>
        <v/>
      </c>
    </row>
    <row r="336" ht="14.25" customHeight="1">
      <c r="A336" t="s">
        <v>105</v>
      </c>
      <c r="B336" t="s">
        <v>208</v>
      </c>
      <c r="C336" t="s">
        <v>155</v>
      </c>
      <c r="D336" t="s">
        <v>229</v>
      </c>
      <c r="E336" t="s">
        <v>147</v>
      </c>
      <c r="F336" t="s">
        <v>148</v>
      </c>
      <c r="G336">
        <v>70468.65</v>
      </c>
      <c r="H336">
        <f>IF(PNL!A336="","",_CALC_PNL!P336)</f>
        <v>70468.65</v>
      </c>
      <c r="I336" t="str">
        <f>IF(PNL!A336="","",IF(_CALC_PNL!E336=1,H336-G336,""))</f>
        <v/>
      </c>
    </row>
    <row r="337" ht="14.25" customHeight="1">
      <c r="A337" t="s">
        <v>108</v>
      </c>
      <c r="B337" t="s">
        <v>208</v>
      </c>
      <c r="C337" t="s">
        <v>155</v>
      </c>
      <c r="D337" t="s">
        <v>229</v>
      </c>
      <c r="E337" t="s">
        <v>147</v>
      </c>
      <c r="F337" t="s">
        <v>148</v>
      </c>
      <c r="G337">
        <v>106923.25</v>
      </c>
      <c r="H337">
        <f>IF(PNL!A337="","",_CALC_PNL!P337)</f>
        <v>106923.25</v>
      </c>
      <c r="I337" t="str">
        <f>IF(PNL!A337="","",IF(_CALC_PNL!E337=1,H337-G337,""))</f>
        <v/>
      </c>
    </row>
    <row r="338" ht="14.25" customHeight="1">
      <c r="A338" t="s">
        <v>107</v>
      </c>
      <c r="B338" t="s">
        <v>208</v>
      </c>
      <c r="C338" t="s">
        <v>155</v>
      </c>
      <c r="D338" t="s">
        <v>229</v>
      </c>
      <c r="E338" t="s">
        <v>147</v>
      </c>
      <c r="F338" t="s">
        <v>148</v>
      </c>
      <c r="G338">
        <v>76771.37</v>
      </c>
      <c r="H338">
        <f>IF(PNL!A338="","",_CALC_PNL!P338)</f>
        <v>76771.37</v>
      </c>
      <c r="I338" t="str">
        <f>IF(PNL!A338="","",IF(_CALC_PNL!E338=1,H338-G338,""))</f>
        <v/>
      </c>
    </row>
    <row r="339" ht="14.25" customHeight="1">
      <c r="A339" t="s">
        <v>104</v>
      </c>
      <c r="B339" t="s">
        <v>208</v>
      </c>
      <c r="C339" t="s">
        <v>152</v>
      </c>
      <c r="D339" t="s">
        <v>229</v>
      </c>
      <c r="E339" t="s">
        <v>147</v>
      </c>
      <c r="F339" t="s">
        <v>148</v>
      </c>
      <c r="G339">
        <v>289855.78</v>
      </c>
      <c r="H339">
        <f>IF(PNL!A339="","",_CALC_PNL!P339)</f>
        <v>289855.78</v>
      </c>
      <c r="I339" t="str">
        <f>IF(PNL!A339="","",IF(_CALC_PNL!E339=1,H339-G339,""))</f>
        <v/>
      </c>
    </row>
    <row r="340" ht="14.25" customHeight="1">
      <c r="A340" t="s">
        <v>101</v>
      </c>
      <c r="B340" t="s">
        <v>208</v>
      </c>
      <c r="C340" t="s">
        <v>152</v>
      </c>
      <c r="D340" t="s">
        <v>229</v>
      </c>
      <c r="E340" t="s">
        <v>147</v>
      </c>
      <c r="F340" t="s">
        <v>148</v>
      </c>
      <c r="G340">
        <v>226112.25</v>
      </c>
      <c r="H340">
        <f>IF(PNL!A340="","",_CALC_PNL!P340)</f>
        <v>226112.25</v>
      </c>
      <c r="I340" t="str">
        <f>IF(PNL!A340="","",IF(_CALC_PNL!E340=1,H340-G340,""))</f>
        <v/>
      </c>
    </row>
    <row r="341" ht="14.25" customHeight="1">
      <c r="A341" t="s">
        <v>103</v>
      </c>
      <c r="B341" t="s">
        <v>208</v>
      </c>
      <c r="C341" t="s">
        <v>152</v>
      </c>
      <c r="D341" t="s">
        <v>229</v>
      </c>
      <c r="E341" t="s">
        <v>147</v>
      </c>
      <c r="F341" t="s">
        <v>148</v>
      </c>
      <c r="G341">
        <v>191202.82</v>
      </c>
      <c r="H341">
        <f>IF(PNL!A341="","",_CALC_PNL!P341)</f>
        <v>191202.82</v>
      </c>
      <c r="I341" t="str">
        <f>IF(PNL!A341="","",IF(_CALC_PNL!E341=1,H341-G341,""))</f>
        <v/>
      </c>
    </row>
    <row r="342" ht="14.25" customHeight="1">
      <c r="A342" t="s">
        <v>99</v>
      </c>
      <c r="B342" t="s">
        <v>208</v>
      </c>
      <c r="C342" t="s">
        <v>152</v>
      </c>
      <c r="D342" t="s">
        <v>229</v>
      </c>
      <c r="E342" t="s">
        <v>147</v>
      </c>
      <c r="F342" t="s">
        <v>148</v>
      </c>
      <c r="G342">
        <v>158245.25</v>
      </c>
      <c r="H342">
        <f>IF(PNL!A342="","",_CALC_PNL!P342)</f>
        <v>158245.25</v>
      </c>
      <c r="I342" t="str">
        <f>IF(PNL!A342="","",IF(_CALC_PNL!E342=1,H342-G342,""))</f>
        <v/>
      </c>
    </row>
    <row r="343" ht="14.25" customHeight="1">
      <c r="A343" t="s">
        <v>95</v>
      </c>
      <c r="B343" t="s">
        <v>208</v>
      </c>
      <c r="C343" t="s">
        <v>152</v>
      </c>
      <c r="D343" t="s">
        <v>229</v>
      </c>
      <c r="E343" t="s">
        <v>147</v>
      </c>
      <c r="F343" t="s">
        <v>148</v>
      </c>
      <c r="G343">
        <v>261113.4</v>
      </c>
      <c r="H343">
        <f>IF(PNL!A343="","",_CALC_PNL!P343)</f>
        <v>261113.4</v>
      </c>
      <c r="I343" t="str">
        <f>IF(PNL!A343="","",IF(_CALC_PNL!E343=1,H343-G343,""))</f>
        <v/>
      </c>
    </row>
    <row r="344" ht="14.25" customHeight="1">
      <c r="A344" t="s">
        <v>93</v>
      </c>
      <c r="B344" t="s">
        <v>208</v>
      </c>
      <c r="C344" t="s">
        <v>152</v>
      </c>
      <c r="D344" t="s">
        <v>229</v>
      </c>
      <c r="E344" t="s">
        <v>147</v>
      </c>
      <c r="F344" t="s">
        <v>148</v>
      </c>
      <c r="G344">
        <v>157464.43</v>
      </c>
      <c r="H344">
        <f>IF(PNL!A344="","",_CALC_PNL!P344)</f>
        <v>157464.43</v>
      </c>
      <c r="I344" t="str">
        <f>IF(PNL!A344="","",IF(_CALC_PNL!E344=1,H344-G344,""))</f>
        <v/>
      </c>
    </row>
    <row r="345" ht="14.25" customHeight="1">
      <c r="A345" t="s">
        <v>97</v>
      </c>
      <c r="B345" t="s">
        <v>208</v>
      </c>
      <c r="C345" t="s">
        <v>152</v>
      </c>
      <c r="D345" t="s">
        <v>229</v>
      </c>
      <c r="E345" t="s">
        <v>147</v>
      </c>
      <c r="F345" t="s">
        <v>148</v>
      </c>
      <c r="G345">
        <v>140180.27</v>
      </c>
      <c r="H345">
        <f>IF(PNL!A345="","",_CALC_PNL!P345)</f>
        <v>140180.27</v>
      </c>
      <c r="I345" t="str">
        <f>IF(PNL!A345="","",IF(_CALC_PNL!E345=1,H345-G345,""))</f>
        <v/>
      </c>
    </row>
    <row r="346" ht="14.25" customHeight="1">
      <c r="A346" t="s">
        <v>89</v>
      </c>
      <c r="B346" t="s">
        <v>208</v>
      </c>
      <c r="C346" t="s">
        <v>152</v>
      </c>
      <c r="D346" t="s">
        <v>229</v>
      </c>
      <c r="E346" t="s">
        <v>147</v>
      </c>
      <c r="F346" t="s">
        <v>148</v>
      </c>
      <c r="G346">
        <v>92140.18</v>
      </c>
      <c r="H346">
        <f>IF(PNL!A346="","",_CALC_PNL!P346)</f>
        <v>92140.18</v>
      </c>
      <c r="I346" t="str">
        <f>IF(PNL!A346="","",IF(_CALC_PNL!E346=1,H346-G346,""))</f>
        <v/>
      </c>
    </row>
    <row r="347" ht="14.25" customHeight="1">
      <c r="A347" t="s">
        <v>91</v>
      </c>
      <c r="B347" t="s">
        <v>208</v>
      </c>
      <c r="C347" t="s">
        <v>152</v>
      </c>
      <c r="D347" t="s">
        <v>229</v>
      </c>
      <c r="E347" t="s">
        <v>147</v>
      </c>
      <c r="F347" t="s">
        <v>148</v>
      </c>
      <c r="G347">
        <v>60195.4</v>
      </c>
      <c r="H347">
        <f>IF(PNL!A347="","",_CALC_PNL!P347)</f>
        <v>60195.4</v>
      </c>
      <c r="I347" t="str">
        <f>IF(PNL!A347="","",IF(_CALC_PNL!E347=1,H347-G347,""))</f>
        <v/>
      </c>
    </row>
    <row r="348" ht="14.25" customHeight="1">
      <c r="A348" t="s">
        <v>86</v>
      </c>
      <c r="B348" t="s">
        <v>208</v>
      </c>
      <c r="C348" t="s">
        <v>152</v>
      </c>
      <c r="D348" t="s">
        <v>229</v>
      </c>
      <c r="E348" t="s">
        <v>147</v>
      </c>
      <c r="F348" t="s">
        <v>148</v>
      </c>
      <c r="G348">
        <v>60159.5</v>
      </c>
      <c r="H348">
        <f>IF(PNL!A348="","",_CALC_PNL!P348)</f>
        <v>60159.5</v>
      </c>
      <c r="I348" t="str">
        <f>IF(PNL!A348="","",IF(_CALC_PNL!E348=1,H348-G348,""))</f>
        <v/>
      </c>
    </row>
    <row r="349" ht="14.25" customHeight="1">
      <c r="A349" t="s">
        <v>106</v>
      </c>
      <c r="B349" t="s">
        <v>208</v>
      </c>
      <c r="C349" t="s">
        <v>152</v>
      </c>
      <c r="D349" t="s">
        <v>229</v>
      </c>
      <c r="E349" t="s">
        <v>147</v>
      </c>
      <c r="F349" t="s">
        <v>148</v>
      </c>
      <c r="G349">
        <v>124452.63</v>
      </c>
      <c r="H349">
        <f>IF(PNL!A349="","",_CALC_PNL!P349)</f>
        <v>124452.63</v>
      </c>
      <c r="I349" t="str">
        <f>IF(PNL!A349="","",IF(_CALC_PNL!E349=1,H349-G349,""))</f>
        <v/>
      </c>
    </row>
    <row r="350" ht="14.25" customHeight="1">
      <c r="A350" t="s">
        <v>105</v>
      </c>
      <c r="B350" t="s">
        <v>208</v>
      </c>
      <c r="C350" t="s">
        <v>152</v>
      </c>
      <c r="D350" t="s">
        <v>229</v>
      </c>
      <c r="E350" t="s">
        <v>147</v>
      </c>
      <c r="F350" t="s">
        <v>148</v>
      </c>
      <c r="G350">
        <v>73539.85</v>
      </c>
      <c r="H350">
        <f>IF(PNL!A350="","",_CALC_PNL!P350)</f>
        <v>73539.85</v>
      </c>
      <c r="I350" t="str">
        <f>IF(PNL!A350="","",IF(_CALC_PNL!E350=1,H350-G350,""))</f>
        <v/>
      </c>
    </row>
    <row r="351" ht="14.25" customHeight="1">
      <c r="A351" t="s">
        <v>108</v>
      </c>
      <c r="B351" t="s">
        <v>208</v>
      </c>
      <c r="C351" t="s">
        <v>152</v>
      </c>
      <c r="D351" t="s">
        <v>229</v>
      </c>
      <c r="E351" t="s">
        <v>147</v>
      </c>
      <c r="F351" t="s">
        <v>148</v>
      </c>
      <c r="G351">
        <v>116467.6</v>
      </c>
      <c r="H351">
        <f>IF(PNL!A351="","",_CALC_PNL!P351)</f>
        <v>116467.6</v>
      </c>
      <c r="I351" t="str">
        <f>IF(PNL!A351="","",IF(_CALC_PNL!E351=1,H351-G351,""))</f>
        <v/>
      </c>
    </row>
    <row r="352" ht="14.25" customHeight="1">
      <c r="A352" t="s">
        <v>107</v>
      </c>
      <c r="B352" t="s">
        <v>208</v>
      </c>
      <c r="C352" t="s">
        <v>152</v>
      </c>
      <c r="D352" t="s">
        <v>229</v>
      </c>
      <c r="E352" t="s">
        <v>147</v>
      </c>
      <c r="F352" t="s">
        <v>148</v>
      </c>
      <c r="G352">
        <v>82201.24</v>
      </c>
      <c r="H352">
        <f>IF(PNL!A352="","",_CALC_PNL!P352)</f>
        <v>82201.24</v>
      </c>
      <c r="I352" t="str">
        <f>IF(PNL!A352="","",IF(_CALC_PNL!E352=1,H352-G352,""))</f>
        <v/>
      </c>
    </row>
    <row r="353" ht="14.25" customHeight="1">
      <c r="A353" t="s">
        <v>209</v>
      </c>
      <c r="B353" t="s">
        <v>210</v>
      </c>
      <c r="C353" t="s">
        <v>156</v>
      </c>
      <c r="D353" t="s">
        <v>229</v>
      </c>
      <c r="E353" t="s">
        <v>147</v>
      </c>
      <c r="F353" t="s">
        <v>148</v>
      </c>
      <c r="G353">
        <v>1134071</v>
      </c>
      <c r="H353">
        <f>IF(PNL!A353="","",_CALC_PNL!P353)</f>
        <v>1134071</v>
      </c>
      <c r="I353" t="str">
        <f>IF(PNL!A353="","",IF(_CALC_PNL!E353=1,H353-G353,""))</f>
        <v/>
      </c>
    </row>
    <row r="354" ht="14.25" customHeight="1">
      <c r="A354" t="s">
        <v>209</v>
      </c>
      <c r="B354" t="s">
        <v>210</v>
      </c>
      <c r="C354" t="s">
        <v>155</v>
      </c>
      <c r="D354" t="s">
        <v>229</v>
      </c>
      <c r="E354" t="s">
        <v>147</v>
      </c>
      <c r="F354" t="s">
        <v>148</v>
      </c>
      <c r="G354">
        <v>1186037</v>
      </c>
      <c r="H354">
        <f>IF(PNL!A354="","",_CALC_PNL!P354)</f>
        <v>1186037</v>
      </c>
      <c r="I354" t="str">
        <f>IF(PNL!A354="","",IF(_CALC_PNL!E354=1,H354-G354,""))</f>
        <v/>
      </c>
    </row>
    <row r="355" ht="14.25" customHeight="1">
      <c r="A355" t="s">
        <v>209</v>
      </c>
      <c r="B355" t="s">
        <v>210</v>
      </c>
      <c r="C355" t="s">
        <v>152</v>
      </c>
      <c r="D355" t="s">
        <v>229</v>
      </c>
      <c r="E355" t="s">
        <v>147</v>
      </c>
      <c r="F355" t="s">
        <v>148</v>
      </c>
      <c r="G355">
        <v>1242649</v>
      </c>
      <c r="H355">
        <f>IF(PNL!A355="","",_CALC_PNL!P355)</f>
        <v>1242649</v>
      </c>
      <c r="I355" t="str">
        <f>IF(PNL!A355="","",IF(_CALC_PNL!E355=1,H355-G355,""))</f>
        <v/>
      </c>
    </row>
    <row r="356" ht="14.25" customHeight="1">
      <c r="A356" t="s">
        <v>104</v>
      </c>
      <c r="B356" t="s">
        <v>211</v>
      </c>
      <c r="C356" t="s">
        <v>156</v>
      </c>
      <c r="D356" t="s">
        <v>229</v>
      </c>
      <c r="E356" t="s">
        <v>147</v>
      </c>
      <c r="F356" t="s">
        <v>148</v>
      </c>
      <c r="G356">
        <v>414542.82</v>
      </c>
      <c r="H356">
        <f>IF(PNL!A356="","",_CALC_PNL!P356)</f>
        <v>414542.82</v>
      </c>
      <c r="I356" t="str">
        <f>IF(PNL!A356="","",IF(_CALC_PNL!E356=1,H356-G356,""))</f>
        <v/>
      </c>
    </row>
    <row r="357" ht="14.25" customHeight="1">
      <c r="A357" t="s">
        <v>101</v>
      </c>
      <c r="B357" t="s">
        <v>211</v>
      </c>
      <c r="C357" t="s">
        <v>156</v>
      </c>
      <c r="D357" t="s">
        <v>229</v>
      </c>
      <c r="E357" t="s">
        <v>147</v>
      </c>
      <c r="F357" t="s">
        <v>148</v>
      </c>
      <c r="G357">
        <v>324229.13</v>
      </c>
      <c r="H357">
        <f>IF(PNL!A357="","",_CALC_PNL!P357)</f>
        <v>324229.13</v>
      </c>
      <c r="I357" t="str">
        <f>IF(PNL!A357="","",IF(_CALC_PNL!E357=1,H357-G357,""))</f>
        <v/>
      </c>
    </row>
    <row r="358" ht="14.25" customHeight="1">
      <c r="A358" t="s">
        <v>103</v>
      </c>
      <c r="B358" t="s">
        <v>211</v>
      </c>
      <c r="C358" t="s">
        <v>156</v>
      </c>
      <c r="D358" t="s">
        <v>229</v>
      </c>
      <c r="E358" t="s">
        <v>147</v>
      </c>
      <c r="F358" t="s">
        <v>148</v>
      </c>
      <c r="G358">
        <v>273798.58</v>
      </c>
      <c r="H358">
        <f>IF(PNL!A358="","",_CALC_PNL!P358)</f>
        <v>273798.58</v>
      </c>
      <c r="I358" t="str">
        <f>IF(PNL!A358="","",IF(_CALC_PNL!E358=1,H358-G358,""))</f>
        <v/>
      </c>
    </row>
    <row r="359" ht="14.25" customHeight="1">
      <c r="A359" t="s">
        <v>99</v>
      </c>
      <c r="B359" t="s">
        <v>211</v>
      </c>
      <c r="C359" t="s">
        <v>156</v>
      </c>
      <c r="D359" t="s">
        <v>229</v>
      </c>
      <c r="E359" t="s">
        <v>147</v>
      </c>
      <c r="F359" t="s">
        <v>148</v>
      </c>
      <c r="G359">
        <v>225443.62</v>
      </c>
      <c r="H359">
        <f>IF(PNL!A359="","",_CALC_PNL!P359)</f>
        <v>225443.62</v>
      </c>
      <c r="I359" t="str">
        <f>IF(PNL!A359="","",IF(_CALC_PNL!E359=1,H359-G359,""))</f>
        <v/>
      </c>
    </row>
    <row r="360" ht="14.25" customHeight="1">
      <c r="A360" t="s">
        <v>95</v>
      </c>
      <c r="B360" t="s">
        <v>211</v>
      </c>
      <c r="C360" t="s">
        <v>156</v>
      </c>
      <c r="D360" t="s">
        <v>229</v>
      </c>
      <c r="E360" t="s">
        <v>147</v>
      </c>
      <c r="F360" t="s">
        <v>148</v>
      </c>
      <c r="G360">
        <v>369156.24</v>
      </c>
      <c r="H360">
        <f>IF(PNL!A360="","",_CALC_PNL!P360)</f>
        <v>369156.24</v>
      </c>
      <c r="I360" t="str">
        <f>IF(PNL!A360="","",IF(_CALC_PNL!E360=1,H360-G360,""))</f>
        <v/>
      </c>
    </row>
    <row r="361" ht="14.25" customHeight="1">
      <c r="A361" t="s">
        <v>93</v>
      </c>
      <c r="B361" t="s">
        <v>211</v>
      </c>
      <c r="C361" t="s">
        <v>156</v>
      </c>
      <c r="D361" t="s">
        <v>229</v>
      </c>
      <c r="E361" t="s">
        <v>147</v>
      </c>
      <c r="F361" t="s">
        <v>148</v>
      </c>
      <c r="G361">
        <v>223220.64</v>
      </c>
      <c r="H361">
        <f>IF(PNL!A361="","",_CALC_PNL!P361)</f>
        <v>223220.64</v>
      </c>
      <c r="I361" t="str">
        <f>IF(PNL!A361="","",IF(_CALC_PNL!E361=1,H361-G361,""))</f>
        <v/>
      </c>
    </row>
    <row r="362" ht="14.25" customHeight="1">
      <c r="A362" t="s">
        <v>97</v>
      </c>
      <c r="B362" t="s">
        <v>211</v>
      </c>
      <c r="C362" t="s">
        <v>156</v>
      </c>
      <c r="D362" t="s">
        <v>229</v>
      </c>
      <c r="E362" t="s">
        <v>147</v>
      </c>
      <c r="F362" t="s">
        <v>148</v>
      </c>
      <c r="G362">
        <v>199491.89</v>
      </c>
      <c r="H362">
        <f>IF(PNL!A362="","",_CALC_PNL!P362)</f>
        <v>199491.89</v>
      </c>
      <c r="I362" t="str">
        <f>IF(PNL!A362="","",IF(_CALC_PNL!E362=1,H362-G362,""))</f>
        <v/>
      </c>
    </row>
    <row r="363" ht="14.25" customHeight="1">
      <c r="A363" t="s">
        <v>89</v>
      </c>
      <c r="B363" t="s">
        <v>211</v>
      </c>
      <c r="C363" t="s">
        <v>156</v>
      </c>
      <c r="D363" t="s">
        <v>229</v>
      </c>
      <c r="E363" t="s">
        <v>147</v>
      </c>
      <c r="F363" t="s">
        <v>148</v>
      </c>
      <c r="G363">
        <v>132720.02</v>
      </c>
      <c r="H363">
        <f>IF(PNL!A363="","",_CALC_PNL!P363)</f>
        <v>132720.02</v>
      </c>
      <c r="I363" t="str">
        <f>IF(PNL!A363="","",IF(_CALC_PNL!E363=1,H363-G363,""))</f>
        <v/>
      </c>
    </row>
    <row r="364" ht="14.25" customHeight="1">
      <c r="A364" t="s">
        <v>91</v>
      </c>
      <c r="B364" t="s">
        <v>211</v>
      </c>
      <c r="C364" t="s">
        <v>156</v>
      </c>
      <c r="D364" t="s">
        <v>229</v>
      </c>
      <c r="E364" t="s">
        <v>147</v>
      </c>
      <c r="F364" t="s">
        <v>148</v>
      </c>
      <c r="G364">
        <v>87761.22</v>
      </c>
      <c r="H364">
        <f>IF(PNL!A364="","",_CALC_PNL!P364)</f>
        <v>87761.22</v>
      </c>
      <c r="I364" t="str">
        <f>IF(PNL!A364="","",IF(_CALC_PNL!E364=1,H364-G364,""))</f>
        <v/>
      </c>
    </row>
    <row r="365" ht="14.25" customHeight="1">
      <c r="A365" t="s">
        <v>86</v>
      </c>
      <c r="B365" t="s">
        <v>211</v>
      </c>
      <c r="C365" t="s">
        <v>156</v>
      </c>
      <c r="D365" t="s">
        <v>229</v>
      </c>
      <c r="E365" t="s">
        <v>147</v>
      </c>
      <c r="F365" t="s">
        <v>148</v>
      </c>
      <c r="G365">
        <v>87715.18</v>
      </c>
      <c r="H365">
        <f>IF(PNL!A365="","",_CALC_PNL!P365)</f>
        <v>87715.18</v>
      </c>
      <c r="I365" t="str">
        <f>IF(PNL!A365="","",IF(_CALC_PNL!E365=1,H365-G365,""))</f>
        <v/>
      </c>
    </row>
    <row r="366" ht="14.25" customHeight="1">
      <c r="A366" t="s">
        <v>106</v>
      </c>
      <c r="B366" t="s">
        <v>211</v>
      </c>
      <c r="C366" t="s">
        <v>156</v>
      </c>
      <c r="D366" t="s">
        <v>229</v>
      </c>
      <c r="E366" t="s">
        <v>147</v>
      </c>
      <c r="F366" t="s">
        <v>148</v>
      </c>
      <c r="G366">
        <v>176980.09</v>
      </c>
      <c r="H366">
        <f>IF(PNL!A366="","",_CALC_PNL!P366)</f>
        <v>176980.09</v>
      </c>
      <c r="I366" t="str">
        <f>IF(PNL!A366="","",IF(_CALC_PNL!E366=1,H366-G366,""))</f>
        <v/>
      </c>
    </row>
    <row r="367" ht="14.25" customHeight="1">
      <c r="A367" t="s">
        <v>105</v>
      </c>
      <c r="B367" t="s">
        <v>211</v>
      </c>
      <c r="C367" t="s">
        <v>156</v>
      </c>
      <c r="D367" t="s">
        <v>229</v>
      </c>
      <c r="E367" t="s">
        <v>147</v>
      </c>
      <c r="F367" t="s">
        <v>148</v>
      </c>
      <c r="G367">
        <v>104121.04</v>
      </c>
      <c r="H367">
        <f>IF(PNL!A367="","",_CALC_PNL!P367)</f>
        <v>104121.04</v>
      </c>
      <c r="I367" t="str">
        <f>IF(PNL!A367="","",IF(_CALC_PNL!E367=1,H367-G367,""))</f>
        <v/>
      </c>
    </row>
    <row r="368" ht="14.25" customHeight="1">
      <c r="A368" t="s">
        <v>108</v>
      </c>
      <c r="B368" t="s">
        <v>211</v>
      </c>
      <c r="C368" t="s">
        <v>156</v>
      </c>
      <c r="D368" t="s">
        <v>229</v>
      </c>
      <c r="E368" t="s">
        <v>147</v>
      </c>
      <c r="F368" t="s">
        <v>148</v>
      </c>
      <c r="G368">
        <v>156654.97</v>
      </c>
      <c r="H368">
        <f>IF(PNL!A368="","",_CALC_PNL!P368)</f>
        <v>156654.97</v>
      </c>
      <c r="I368" t="str">
        <f>IF(PNL!A368="","",IF(_CALC_PNL!E368=1,H368-G368,""))</f>
        <v/>
      </c>
    </row>
    <row r="369" ht="14.25" customHeight="1">
      <c r="A369" t="s">
        <v>107</v>
      </c>
      <c r="B369" t="s">
        <v>211</v>
      </c>
      <c r="C369" t="s">
        <v>156</v>
      </c>
      <c r="D369" t="s">
        <v>229</v>
      </c>
      <c r="E369" t="s">
        <v>147</v>
      </c>
      <c r="F369" t="s">
        <v>148</v>
      </c>
      <c r="G369">
        <v>111302.72</v>
      </c>
      <c r="H369">
        <f>IF(PNL!A369="","",_CALC_PNL!P369)</f>
        <v>111302.72</v>
      </c>
      <c r="I369" t="str">
        <f>IF(PNL!A369="","",IF(_CALC_PNL!E369=1,H369-G369,""))</f>
        <v/>
      </c>
    </row>
    <row r="370" ht="14.25" customHeight="1">
      <c r="A370" t="s">
        <v>104</v>
      </c>
      <c r="B370" t="s">
        <v>211</v>
      </c>
      <c r="C370" t="s">
        <v>155</v>
      </c>
      <c r="D370" t="s">
        <v>229</v>
      </c>
      <c r="E370" t="s">
        <v>147</v>
      </c>
      <c r="F370" t="s">
        <v>148</v>
      </c>
      <c r="G370">
        <v>435443.83</v>
      </c>
      <c r="H370">
        <f>IF(PNL!A370="","",_CALC_PNL!P370)</f>
        <v>435443.83</v>
      </c>
      <c r="I370" t="str">
        <f>IF(PNL!A370="","",IF(_CALC_PNL!E370=1,H370-G370,""))</f>
        <v/>
      </c>
    </row>
    <row r="371" ht="14.25" customHeight="1">
      <c r="A371" t="s">
        <v>101</v>
      </c>
      <c r="B371" t="s">
        <v>211</v>
      </c>
      <c r="C371" t="s">
        <v>155</v>
      </c>
      <c r="D371" t="s">
        <v>229</v>
      </c>
      <c r="E371" t="s">
        <v>147</v>
      </c>
      <c r="F371" t="s">
        <v>148</v>
      </c>
      <c r="G371">
        <v>335488.83</v>
      </c>
      <c r="H371">
        <f>IF(PNL!A371="","",_CALC_PNL!P371)</f>
        <v>335488.83</v>
      </c>
      <c r="I371" t="str">
        <f>IF(PNL!A371="","",IF(_CALC_PNL!E371=1,H371-G371,""))</f>
        <v/>
      </c>
    </row>
    <row r="372" ht="14.25" customHeight="1">
      <c r="A372" t="s">
        <v>103</v>
      </c>
      <c r="B372" t="s">
        <v>211</v>
      </c>
      <c r="C372" t="s">
        <v>155</v>
      </c>
      <c r="D372" t="s">
        <v>229</v>
      </c>
      <c r="E372" t="s">
        <v>147</v>
      </c>
      <c r="F372" t="s">
        <v>148</v>
      </c>
      <c r="G372">
        <v>287730.62</v>
      </c>
      <c r="H372">
        <f>IF(PNL!A372="","",_CALC_PNL!P372)</f>
        <v>287730.62</v>
      </c>
      <c r="I372" t="str">
        <f>IF(PNL!A372="","",IF(_CALC_PNL!E372=1,H372-G372,""))</f>
        <v/>
      </c>
    </row>
    <row r="373" ht="14.25" customHeight="1">
      <c r="A373" t="s">
        <v>99</v>
      </c>
      <c r="B373" t="s">
        <v>211</v>
      </c>
      <c r="C373" t="s">
        <v>155</v>
      </c>
      <c r="D373" t="s">
        <v>229</v>
      </c>
      <c r="E373" t="s">
        <v>147</v>
      </c>
      <c r="F373" t="s">
        <v>148</v>
      </c>
      <c r="G373">
        <v>235264.58</v>
      </c>
      <c r="H373">
        <f>IF(PNL!A373="","",_CALC_PNL!P373)</f>
        <v>235264.58</v>
      </c>
      <c r="I373" t="str">
        <f>IF(PNL!A373="","",IF(_CALC_PNL!E373=1,H373-G373,""))</f>
        <v/>
      </c>
    </row>
    <row r="374" ht="14.25" customHeight="1">
      <c r="A374" t="s">
        <v>95</v>
      </c>
      <c r="B374" t="s">
        <v>211</v>
      </c>
      <c r="C374" t="s">
        <v>155</v>
      </c>
      <c r="D374" t="s">
        <v>229</v>
      </c>
      <c r="E374" t="s">
        <v>147</v>
      </c>
      <c r="F374" t="s">
        <v>148</v>
      </c>
      <c r="G374">
        <v>388651.33</v>
      </c>
      <c r="H374">
        <f>IF(PNL!A374="","",_CALC_PNL!P374)</f>
        <v>388651.33</v>
      </c>
      <c r="I374" t="str">
        <f>IF(PNL!A374="","",IF(_CALC_PNL!E374=1,H374-G374,""))</f>
        <v/>
      </c>
    </row>
    <row r="375" ht="14.25" customHeight="1">
      <c r="A375" t="s">
        <v>93</v>
      </c>
      <c r="B375" t="s">
        <v>211</v>
      </c>
      <c r="C375" t="s">
        <v>155</v>
      </c>
      <c r="D375" t="s">
        <v>229</v>
      </c>
      <c r="E375" t="s">
        <v>147</v>
      </c>
      <c r="F375" t="s">
        <v>148</v>
      </c>
      <c r="G375">
        <v>232813.78</v>
      </c>
      <c r="H375">
        <f>IF(PNL!A375="","",_CALC_PNL!P375)</f>
        <v>232813.78</v>
      </c>
      <c r="I375" t="str">
        <f>IF(PNL!A375="","",IF(_CALC_PNL!E375=1,H375-G375,""))</f>
        <v/>
      </c>
    </row>
    <row r="376" ht="14.25" customHeight="1">
      <c r="A376" t="s">
        <v>97</v>
      </c>
      <c r="B376" t="s">
        <v>211</v>
      </c>
      <c r="C376" t="s">
        <v>155</v>
      </c>
      <c r="D376" t="s">
        <v>229</v>
      </c>
      <c r="E376" t="s">
        <v>147</v>
      </c>
      <c r="F376" t="s">
        <v>148</v>
      </c>
      <c r="G376">
        <v>206275.97</v>
      </c>
      <c r="H376">
        <f>IF(PNL!A376="","",_CALC_PNL!P376)</f>
        <v>206275.97</v>
      </c>
      <c r="I376" t="str">
        <f>IF(PNL!A376="","",IF(_CALC_PNL!E376=1,H376-G376,""))</f>
        <v/>
      </c>
    </row>
    <row r="377" ht="14.25" customHeight="1">
      <c r="A377" t="s">
        <v>89</v>
      </c>
      <c r="B377" t="s">
        <v>211</v>
      </c>
      <c r="C377" t="s">
        <v>155</v>
      </c>
      <c r="D377" t="s">
        <v>229</v>
      </c>
      <c r="E377" t="s">
        <v>147</v>
      </c>
      <c r="F377" t="s">
        <v>148</v>
      </c>
      <c r="G377">
        <v>137132.11</v>
      </c>
      <c r="H377">
        <f>IF(PNL!A377="","",_CALC_PNL!P377)</f>
        <v>137132.11</v>
      </c>
      <c r="I377" t="str">
        <f>IF(PNL!A377="","",IF(_CALC_PNL!E377=1,H377-G377,""))</f>
        <v/>
      </c>
    </row>
    <row r="378" ht="14.25" customHeight="1">
      <c r="A378" t="s">
        <v>91</v>
      </c>
      <c r="B378" t="s">
        <v>211</v>
      </c>
      <c r="C378" t="s">
        <v>155</v>
      </c>
      <c r="D378" t="s">
        <v>229</v>
      </c>
      <c r="E378" t="s">
        <v>147</v>
      </c>
      <c r="F378" t="s">
        <v>148</v>
      </c>
      <c r="G378">
        <v>90947.59</v>
      </c>
      <c r="H378">
        <f>IF(PNL!A378="","",_CALC_PNL!P378)</f>
        <v>90947.59</v>
      </c>
      <c r="I378" t="str">
        <f>IF(PNL!A378="","",IF(_CALC_PNL!E378=1,H378-G378,""))</f>
        <v/>
      </c>
    </row>
    <row r="379" ht="14.25" customHeight="1">
      <c r="A379" t="s">
        <v>86</v>
      </c>
      <c r="B379" t="s">
        <v>211</v>
      </c>
      <c r="C379" t="s">
        <v>155</v>
      </c>
      <c r="D379" t="s">
        <v>229</v>
      </c>
      <c r="E379" t="s">
        <v>147</v>
      </c>
      <c r="F379" t="s">
        <v>148</v>
      </c>
      <c r="G379">
        <v>90896.76</v>
      </c>
      <c r="H379">
        <f>IF(PNL!A379="","",_CALC_PNL!P379)</f>
        <v>90896.76</v>
      </c>
      <c r="I379" t="str">
        <f>IF(PNL!A379="","",IF(_CALC_PNL!E379=1,H379-G379,""))</f>
        <v/>
      </c>
    </row>
    <row r="380" ht="14.25" customHeight="1">
      <c r="A380" t="s">
        <v>106</v>
      </c>
      <c r="B380" t="s">
        <v>211</v>
      </c>
      <c r="C380" t="s">
        <v>155</v>
      </c>
      <c r="D380" t="s">
        <v>229</v>
      </c>
      <c r="E380" t="s">
        <v>147</v>
      </c>
      <c r="F380" t="s">
        <v>148</v>
      </c>
      <c r="G380">
        <v>183127.57</v>
      </c>
      <c r="H380">
        <f>IF(PNL!A380="","",_CALC_PNL!P380)</f>
        <v>183127.57</v>
      </c>
      <c r="I380" t="str">
        <f>IF(PNL!A380="","",IF(_CALC_PNL!E380=1,H380-G380,""))</f>
        <v/>
      </c>
    </row>
    <row r="381" ht="14.25" customHeight="1">
      <c r="A381" t="s">
        <v>105</v>
      </c>
      <c r="B381" t="s">
        <v>211</v>
      </c>
      <c r="C381" t="s">
        <v>155</v>
      </c>
      <c r="D381" t="s">
        <v>229</v>
      </c>
      <c r="E381" t="s">
        <v>147</v>
      </c>
      <c r="F381" t="s">
        <v>148</v>
      </c>
      <c r="G381">
        <v>109617.21</v>
      </c>
      <c r="H381">
        <f>IF(PNL!A381="","",_CALC_PNL!P381)</f>
        <v>109617.21</v>
      </c>
      <c r="I381" t="str">
        <f>IF(PNL!A381="","",IF(_CALC_PNL!E381=1,H381-G381,""))</f>
        <v/>
      </c>
    </row>
    <row r="382" ht="14.25" customHeight="1">
      <c r="A382" t="s">
        <v>108</v>
      </c>
      <c r="B382" t="s">
        <v>211</v>
      </c>
      <c r="C382" t="s">
        <v>155</v>
      </c>
      <c r="D382" t="s">
        <v>229</v>
      </c>
      <c r="E382" t="s">
        <v>147</v>
      </c>
      <c r="F382" t="s">
        <v>148</v>
      </c>
      <c r="G382">
        <v>166324.67</v>
      </c>
      <c r="H382">
        <f>IF(PNL!A382="","",_CALC_PNL!P382)</f>
        <v>166324.67</v>
      </c>
      <c r="I382" t="str">
        <f>IF(PNL!A382="","",IF(_CALC_PNL!E382=1,H382-G382,""))</f>
        <v/>
      </c>
    </row>
    <row r="383" ht="14.25" customHeight="1">
      <c r="A383" t="s">
        <v>107</v>
      </c>
      <c r="B383" t="s">
        <v>211</v>
      </c>
      <c r="C383" t="s">
        <v>155</v>
      </c>
      <c r="D383" t="s">
        <v>229</v>
      </c>
      <c r="E383" t="s">
        <v>147</v>
      </c>
      <c r="F383" t="s">
        <v>148</v>
      </c>
      <c r="G383">
        <v>119422.61</v>
      </c>
      <c r="H383">
        <f>IF(PNL!A383="","",_CALC_PNL!P383)</f>
        <v>119422.61</v>
      </c>
      <c r="I383" t="str">
        <f>IF(PNL!A383="","",IF(_CALC_PNL!E383=1,H383-G383,""))</f>
        <v/>
      </c>
    </row>
    <row r="384" ht="14.25" customHeight="1">
      <c r="A384" t="s">
        <v>104</v>
      </c>
      <c r="B384" t="s">
        <v>211</v>
      </c>
      <c r="C384" t="s">
        <v>152</v>
      </c>
      <c r="D384" t="s">
        <v>229</v>
      </c>
      <c r="E384" t="s">
        <v>147</v>
      </c>
      <c r="F384" t="s">
        <v>148</v>
      </c>
      <c r="G384">
        <v>450887.05</v>
      </c>
      <c r="H384">
        <f>IF(PNL!A384="","",_CALC_PNL!P384)</f>
        <v>450887.05</v>
      </c>
      <c r="I384" t="str">
        <f>IF(PNL!A384="","",IF(_CALC_PNL!E384=1,H384-G384,""))</f>
        <v/>
      </c>
    </row>
    <row r="385" ht="14.25" customHeight="1">
      <c r="A385" t="s">
        <v>101</v>
      </c>
      <c r="B385" t="s">
        <v>211</v>
      </c>
      <c r="C385" t="s">
        <v>152</v>
      </c>
      <c r="D385" t="s">
        <v>229</v>
      </c>
      <c r="E385" t="s">
        <v>147</v>
      </c>
      <c r="F385" t="s">
        <v>148</v>
      </c>
      <c r="G385">
        <v>351729.06</v>
      </c>
      <c r="H385">
        <f>IF(PNL!A385="","",_CALC_PNL!P385)</f>
        <v>351729.06</v>
      </c>
      <c r="I385" t="str">
        <f>IF(PNL!A385="","",IF(_CALC_PNL!E385=1,H385-G385,""))</f>
        <v/>
      </c>
    </row>
    <row r="386" ht="14.25" customHeight="1">
      <c r="A386" t="s">
        <v>103</v>
      </c>
      <c r="B386" t="s">
        <v>211</v>
      </c>
      <c r="C386" t="s">
        <v>152</v>
      </c>
      <c r="D386" t="s">
        <v>229</v>
      </c>
      <c r="E386" t="s">
        <v>147</v>
      </c>
      <c r="F386" t="s">
        <v>148</v>
      </c>
      <c r="G386">
        <v>297427.9</v>
      </c>
      <c r="H386">
        <f>IF(PNL!A386="","",_CALC_PNL!P386)</f>
        <v>297427.9</v>
      </c>
      <c r="I386" t="str">
        <f>IF(PNL!A386="","",IF(_CALC_PNL!E386=1,H386-G386,""))</f>
        <v/>
      </c>
    </row>
    <row r="387" ht="14.25" customHeight="1">
      <c r="A387" t="s">
        <v>99</v>
      </c>
      <c r="B387" t="s">
        <v>211</v>
      </c>
      <c r="C387" t="s">
        <v>152</v>
      </c>
      <c r="D387" t="s">
        <v>229</v>
      </c>
      <c r="E387" t="s">
        <v>147</v>
      </c>
      <c r="F387" t="s">
        <v>148</v>
      </c>
      <c r="G387">
        <v>246160.47</v>
      </c>
      <c r="H387">
        <f>IF(PNL!A387="","",_CALC_PNL!P387)</f>
        <v>246160.47</v>
      </c>
      <c r="I387" t="str">
        <f>IF(PNL!A387="","",IF(_CALC_PNL!E387=1,H387-G387,""))</f>
        <v/>
      </c>
    </row>
    <row r="388" ht="14.25" customHeight="1">
      <c r="A388" t="s">
        <v>95</v>
      </c>
      <c r="B388" t="s">
        <v>211</v>
      </c>
      <c r="C388" t="s">
        <v>152</v>
      </c>
      <c r="D388" t="s">
        <v>229</v>
      </c>
      <c r="E388" t="s">
        <v>147</v>
      </c>
      <c r="F388" t="s">
        <v>148</v>
      </c>
      <c r="G388">
        <v>406175.69</v>
      </c>
      <c r="H388">
        <f>IF(PNL!A388="","",_CALC_PNL!P388)</f>
        <v>406175.69</v>
      </c>
      <c r="I388" t="str">
        <f>IF(PNL!A388="","",IF(_CALC_PNL!E388=1,H388-G388,""))</f>
        <v/>
      </c>
    </row>
    <row r="389" ht="14.25" customHeight="1">
      <c r="A389" t="s">
        <v>93</v>
      </c>
      <c r="B389" t="s">
        <v>211</v>
      </c>
      <c r="C389" t="s">
        <v>152</v>
      </c>
      <c r="D389" t="s">
        <v>229</v>
      </c>
      <c r="E389" t="s">
        <v>147</v>
      </c>
      <c r="F389" t="s">
        <v>148</v>
      </c>
      <c r="G389">
        <v>244944.94</v>
      </c>
      <c r="H389">
        <f>IF(PNL!A389="","",_CALC_PNL!P389)</f>
        <v>244944.94</v>
      </c>
      <c r="I389" t="str">
        <f>IF(PNL!A389="","",IF(_CALC_PNL!E389=1,H389-G389,""))</f>
        <v/>
      </c>
    </row>
    <row r="390" ht="14.25" customHeight="1">
      <c r="A390" t="s">
        <v>97</v>
      </c>
      <c r="B390" t="s">
        <v>211</v>
      </c>
      <c r="C390" t="s">
        <v>152</v>
      </c>
      <c r="D390" t="s">
        <v>229</v>
      </c>
      <c r="E390" t="s">
        <v>147</v>
      </c>
      <c r="F390" t="s">
        <v>148</v>
      </c>
      <c r="G390">
        <v>218057.94</v>
      </c>
      <c r="H390">
        <f>IF(PNL!A390="","",_CALC_PNL!P390)</f>
        <v>218057.94</v>
      </c>
      <c r="I390" t="str">
        <f>IF(PNL!A390="","",IF(_CALC_PNL!E390=1,H390-G390,""))</f>
        <v/>
      </c>
    </row>
    <row r="391" ht="14.25" customHeight="1">
      <c r="A391" t="s">
        <v>89</v>
      </c>
      <c r="B391" t="s">
        <v>211</v>
      </c>
      <c r="C391" t="s">
        <v>152</v>
      </c>
      <c r="D391" t="s">
        <v>229</v>
      </c>
      <c r="E391" t="s">
        <v>147</v>
      </c>
      <c r="F391" t="s">
        <v>148</v>
      </c>
      <c r="G391">
        <v>143328.92</v>
      </c>
      <c r="H391">
        <f>IF(PNL!A391="","",_CALC_PNL!P391)</f>
        <v>143328.92</v>
      </c>
      <c r="I391" t="str">
        <f>IF(PNL!A391="","",IF(_CALC_PNL!E391=1,H391-G391,""))</f>
        <v/>
      </c>
    </row>
    <row r="392" ht="14.25" customHeight="1">
      <c r="A392" t="s">
        <v>91</v>
      </c>
      <c r="B392" t="s">
        <v>211</v>
      </c>
      <c r="C392" t="s">
        <v>152</v>
      </c>
      <c r="D392" t="s">
        <v>229</v>
      </c>
      <c r="E392" t="s">
        <v>147</v>
      </c>
      <c r="F392" t="s">
        <v>148</v>
      </c>
      <c r="G392">
        <v>93636.71</v>
      </c>
      <c r="H392">
        <f>IF(PNL!A392="","",_CALC_PNL!P392)</f>
        <v>93636.71</v>
      </c>
      <c r="I392" t="str">
        <f>IF(PNL!A392="","",IF(_CALC_PNL!E392=1,H392-G392,""))</f>
        <v/>
      </c>
    </row>
    <row r="393" ht="14.25" customHeight="1">
      <c r="A393" t="s">
        <v>86</v>
      </c>
      <c r="B393" t="s">
        <v>211</v>
      </c>
      <c r="C393" t="s">
        <v>152</v>
      </c>
      <c r="D393" t="s">
        <v>229</v>
      </c>
      <c r="E393" t="s">
        <v>147</v>
      </c>
      <c r="F393" t="s">
        <v>148</v>
      </c>
      <c r="G393">
        <v>93580.87</v>
      </c>
      <c r="H393">
        <f>IF(PNL!A393="","",_CALC_PNL!P393)</f>
        <v>93580.87</v>
      </c>
      <c r="I393" t="str">
        <f>IF(PNL!A393="","",IF(_CALC_PNL!E393=1,H393-G393,""))</f>
        <v/>
      </c>
    </row>
    <row r="394" ht="14.25" customHeight="1">
      <c r="A394" t="s">
        <v>106</v>
      </c>
      <c r="B394" t="s">
        <v>211</v>
      </c>
      <c r="C394" t="s">
        <v>152</v>
      </c>
      <c r="D394" t="s">
        <v>229</v>
      </c>
      <c r="E394" t="s">
        <v>147</v>
      </c>
      <c r="F394" t="s">
        <v>148</v>
      </c>
      <c r="G394">
        <v>193593.69</v>
      </c>
      <c r="H394">
        <f>IF(PNL!A394="","",_CALC_PNL!P394)</f>
        <v>193593.69</v>
      </c>
      <c r="I394" t="str">
        <f>IF(PNL!A394="","",IF(_CALC_PNL!E394=1,H394-G394,""))</f>
        <v/>
      </c>
    </row>
    <row r="395" ht="14.25" customHeight="1">
      <c r="A395" t="s">
        <v>105</v>
      </c>
      <c r="B395" t="s">
        <v>211</v>
      </c>
      <c r="C395" t="s">
        <v>152</v>
      </c>
      <c r="D395" t="s">
        <v>229</v>
      </c>
      <c r="E395" t="s">
        <v>147</v>
      </c>
      <c r="F395" t="s">
        <v>148</v>
      </c>
      <c r="G395">
        <v>114395.03</v>
      </c>
      <c r="H395">
        <f>IF(PNL!A395="","",_CALC_PNL!P395)</f>
        <v>114395.03</v>
      </c>
      <c r="I395" t="str">
        <f>IF(PNL!A395="","",IF(_CALC_PNL!E395=1,H395-G395,""))</f>
        <v/>
      </c>
    </row>
    <row r="396" ht="14.25" customHeight="1">
      <c r="A396" t="s">
        <v>108</v>
      </c>
      <c r="B396" t="s">
        <v>211</v>
      </c>
      <c r="C396" t="s">
        <v>152</v>
      </c>
      <c r="D396" t="s">
        <v>229</v>
      </c>
      <c r="E396" t="s">
        <v>147</v>
      </c>
      <c r="F396" t="s">
        <v>148</v>
      </c>
      <c r="G396">
        <v>181171.41</v>
      </c>
      <c r="H396">
        <f>IF(PNL!A396="","",_CALC_PNL!P396)</f>
        <v>181171.41</v>
      </c>
      <c r="I396" t="str">
        <f>IF(PNL!A396="","",IF(_CALC_PNL!E396=1,H396-G396,""))</f>
        <v/>
      </c>
    </row>
    <row r="397" ht="14.25" customHeight="1">
      <c r="A397" t="s">
        <v>107</v>
      </c>
      <c r="B397" t="s">
        <v>211</v>
      </c>
      <c r="C397" t="s">
        <v>152</v>
      </c>
      <c r="D397" t="s">
        <v>229</v>
      </c>
      <c r="E397" t="s">
        <v>147</v>
      </c>
      <c r="F397" t="s">
        <v>148</v>
      </c>
      <c r="G397">
        <v>127868.22</v>
      </c>
      <c r="H397">
        <f>IF(PNL!A397="","",_CALC_PNL!P397)</f>
        <v>127868.22</v>
      </c>
      <c r="I397" t="str">
        <f>IF(PNL!A397="","",IF(_CALC_PNL!E397=1,H397-G397,""))</f>
        <v/>
      </c>
    </row>
    <row r="398" ht="14.25" customHeight="1">
      <c r="A398" t="s">
        <v>104</v>
      </c>
      <c r="B398" t="s">
        <v>212</v>
      </c>
      <c r="C398" t="s">
        <v>156</v>
      </c>
      <c r="D398" t="s">
        <v>229</v>
      </c>
      <c r="E398" t="s">
        <v>147</v>
      </c>
      <c r="F398" t="s">
        <v>148</v>
      </c>
      <c r="G398">
        <v>285101.98</v>
      </c>
      <c r="H398">
        <f>IF(PNL!A398="","",_CALC_PNL!P398)</f>
        <v>285101.98</v>
      </c>
      <c r="I398" t="str">
        <f>IF(PNL!A398="","",IF(_CALC_PNL!E398=1,H398-G398,""))</f>
        <v/>
      </c>
    </row>
    <row r="399" ht="14.25" customHeight="1">
      <c r="A399" t="s">
        <v>101</v>
      </c>
      <c r="B399" t="s">
        <v>212</v>
      </c>
      <c r="C399" t="s">
        <v>156</v>
      </c>
      <c r="D399" t="s">
        <v>229</v>
      </c>
      <c r="E399" t="s">
        <v>147</v>
      </c>
      <c r="F399" t="s">
        <v>148</v>
      </c>
      <c r="G399">
        <v>227851.72</v>
      </c>
      <c r="H399">
        <f>IF(PNL!A399="","",_CALC_PNL!P399)</f>
        <v>227851.72</v>
      </c>
      <c r="I399" t="str">
        <f>IF(PNL!A399="","",IF(_CALC_PNL!E399=1,H399-G399,""))</f>
        <v/>
      </c>
    </row>
    <row r="400" ht="14.25" customHeight="1">
      <c r="A400" t="s">
        <v>103</v>
      </c>
      <c r="B400" t="s">
        <v>212</v>
      </c>
      <c r="C400" t="s">
        <v>156</v>
      </c>
      <c r="D400" t="s">
        <v>229</v>
      </c>
      <c r="E400" t="s">
        <v>147</v>
      </c>
      <c r="F400" t="s">
        <v>148</v>
      </c>
      <c r="G400">
        <v>195734.4</v>
      </c>
      <c r="H400">
        <f>IF(PNL!A400="","",_CALC_PNL!P400)</f>
        <v>195734.4</v>
      </c>
      <c r="I400" t="str">
        <f>IF(PNL!A400="","",IF(_CALC_PNL!E400=1,H400-G400,""))</f>
        <v/>
      </c>
    </row>
    <row r="401" ht="14.25" customHeight="1">
      <c r="A401" t="s">
        <v>99</v>
      </c>
      <c r="B401" t="s">
        <v>212</v>
      </c>
      <c r="C401" t="s">
        <v>156</v>
      </c>
      <c r="D401" t="s">
        <v>229</v>
      </c>
      <c r="E401" t="s">
        <v>147</v>
      </c>
      <c r="F401" t="s">
        <v>148</v>
      </c>
      <c r="G401">
        <v>158577.14</v>
      </c>
      <c r="H401">
        <f>IF(PNL!A401="","",_CALC_PNL!P401)</f>
        <v>158577.14</v>
      </c>
      <c r="I401" t="str">
        <f>IF(PNL!A401="","",IF(_CALC_PNL!E401=1,H401-G401,""))</f>
        <v/>
      </c>
    </row>
    <row r="402" ht="14.25" customHeight="1">
      <c r="A402" t="s">
        <v>95</v>
      </c>
      <c r="B402" t="s">
        <v>212</v>
      </c>
      <c r="C402" t="s">
        <v>156</v>
      </c>
      <c r="D402" t="s">
        <v>229</v>
      </c>
      <c r="E402" t="s">
        <v>147</v>
      </c>
      <c r="F402" t="s">
        <v>148</v>
      </c>
      <c r="G402">
        <v>273969</v>
      </c>
      <c r="H402">
        <f>IF(PNL!A402="","",_CALC_PNL!P402)</f>
        <v>273969</v>
      </c>
      <c r="I402" t="str">
        <f>IF(PNL!A402="","",IF(_CALC_PNL!E402=1,H402-G402,""))</f>
        <v/>
      </c>
    </row>
    <row r="403" ht="14.25" customHeight="1">
      <c r="A403" t="s">
        <v>93</v>
      </c>
      <c r="B403" t="s">
        <v>212</v>
      </c>
      <c r="C403" t="s">
        <v>156</v>
      </c>
      <c r="D403" t="s">
        <v>229</v>
      </c>
      <c r="E403" t="s">
        <v>147</v>
      </c>
      <c r="F403" t="s">
        <v>148</v>
      </c>
      <c r="G403">
        <v>160231.45</v>
      </c>
      <c r="H403">
        <f>IF(PNL!A403="","",_CALC_PNL!P403)</f>
        <v>160231.45</v>
      </c>
      <c r="I403" t="str">
        <f>IF(PNL!A403="","",IF(_CALC_PNL!E403=1,H403-G403,""))</f>
        <v/>
      </c>
    </row>
    <row r="404" ht="14.25" customHeight="1">
      <c r="A404" t="s">
        <v>97</v>
      </c>
      <c r="B404" t="s">
        <v>212</v>
      </c>
      <c r="C404" t="s">
        <v>156</v>
      </c>
      <c r="D404" t="s">
        <v>229</v>
      </c>
      <c r="E404" t="s">
        <v>147</v>
      </c>
      <c r="F404" t="s">
        <v>148</v>
      </c>
      <c r="G404">
        <v>151257.51</v>
      </c>
      <c r="H404">
        <f>IF(PNL!A404="","",_CALC_PNL!P404)</f>
        <v>151257.51</v>
      </c>
      <c r="I404" t="str">
        <f>IF(PNL!A404="","",IF(_CALC_PNL!E404=1,H404-G404,""))</f>
        <v/>
      </c>
    </row>
    <row r="405" ht="14.25" customHeight="1">
      <c r="A405" t="s">
        <v>89</v>
      </c>
      <c r="B405" t="s">
        <v>212</v>
      </c>
      <c r="C405" t="s">
        <v>156</v>
      </c>
      <c r="D405" t="s">
        <v>229</v>
      </c>
      <c r="E405" t="s">
        <v>147</v>
      </c>
      <c r="F405" t="s">
        <v>148</v>
      </c>
      <c r="G405">
        <v>96188.13</v>
      </c>
      <c r="H405">
        <f>IF(PNL!A405="","",_CALC_PNL!P405)</f>
        <v>96188.13</v>
      </c>
      <c r="I405" t="str">
        <f>IF(PNL!A405="","",IF(_CALC_PNL!E405=1,H405-G405,""))</f>
        <v/>
      </c>
    </row>
    <row r="406" ht="14.25" customHeight="1">
      <c r="A406" t="s">
        <v>91</v>
      </c>
      <c r="B406" t="s">
        <v>212</v>
      </c>
      <c r="C406" t="s">
        <v>156</v>
      </c>
      <c r="D406" t="s">
        <v>229</v>
      </c>
      <c r="E406" t="s">
        <v>147</v>
      </c>
      <c r="F406" t="s">
        <v>148</v>
      </c>
      <c r="G406">
        <v>78826.22</v>
      </c>
      <c r="H406">
        <f>IF(PNL!A406="","",_CALC_PNL!P406)</f>
        <v>78826.22</v>
      </c>
      <c r="I406" t="str">
        <f>IF(PNL!A406="","",IF(_CALC_PNL!E406=1,H406-G406,""))</f>
        <v/>
      </c>
    </row>
    <row r="407" ht="14.25" customHeight="1">
      <c r="A407" t="s">
        <v>86</v>
      </c>
      <c r="B407" t="s">
        <v>212</v>
      </c>
      <c r="C407" t="s">
        <v>156</v>
      </c>
      <c r="D407" t="s">
        <v>229</v>
      </c>
      <c r="E407" t="s">
        <v>147</v>
      </c>
      <c r="F407" t="s">
        <v>148</v>
      </c>
      <c r="G407">
        <v>78784.87</v>
      </c>
      <c r="H407">
        <f>IF(PNL!A407="","",_CALC_PNL!P407)</f>
        <v>78784.87</v>
      </c>
      <c r="I407" t="str">
        <f>IF(PNL!A407="","",IF(_CALC_PNL!E407=1,H407-G407,""))</f>
        <v/>
      </c>
    </row>
    <row r="408" ht="14.25" customHeight="1">
      <c r="A408" t="s">
        <v>106</v>
      </c>
      <c r="B408" t="s">
        <v>212</v>
      </c>
      <c r="C408" t="s">
        <v>156</v>
      </c>
      <c r="D408" t="s">
        <v>229</v>
      </c>
      <c r="E408" t="s">
        <v>147</v>
      </c>
      <c r="F408" t="s">
        <v>148</v>
      </c>
      <c r="G408">
        <v>136253.6</v>
      </c>
      <c r="H408">
        <f>IF(PNL!A408="","",_CALC_PNL!P408)</f>
        <v>136253.6</v>
      </c>
      <c r="I408" t="str">
        <f>IF(PNL!A408="","",IF(_CALC_PNL!E408=1,H408-G408,""))</f>
        <v/>
      </c>
    </row>
    <row r="409" ht="14.25" customHeight="1">
      <c r="A409" t="s">
        <v>105</v>
      </c>
      <c r="B409" t="s">
        <v>212</v>
      </c>
      <c r="C409" t="s">
        <v>156</v>
      </c>
      <c r="D409" t="s">
        <v>229</v>
      </c>
      <c r="E409" t="s">
        <v>147</v>
      </c>
      <c r="F409" t="s">
        <v>148</v>
      </c>
      <c r="G409">
        <v>102741</v>
      </c>
      <c r="H409">
        <f>IF(PNL!A409="","",_CALC_PNL!P409)</f>
        <v>102741</v>
      </c>
      <c r="I409" t="str">
        <f>IF(PNL!A409="","",IF(_CALC_PNL!E409=1,H409-G409,""))</f>
        <v/>
      </c>
    </row>
    <row r="410" ht="14.25" customHeight="1">
      <c r="A410" t="s">
        <v>108</v>
      </c>
      <c r="B410" t="s">
        <v>212</v>
      </c>
      <c r="C410" t="s">
        <v>156</v>
      </c>
      <c r="D410" t="s">
        <v>229</v>
      </c>
      <c r="E410" t="s">
        <v>147</v>
      </c>
      <c r="F410" t="s">
        <v>148</v>
      </c>
      <c r="G410">
        <v>119293.89</v>
      </c>
      <c r="H410">
        <f>IF(PNL!A410="","",_CALC_PNL!P410)</f>
        <v>119293.89</v>
      </c>
      <c r="I410" t="str">
        <f>IF(PNL!A410="","",IF(_CALC_PNL!E410=1,H410-G410,""))</f>
        <v/>
      </c>
    </row>
    <row r="411" ht="14.25" customHeight="1">
      <c r="A411" t="s">
        <v>107</v>
      </c>
      <c r="B411" t="s">
        <v>212</v>
      </c>
      <c r="C411" t="s">
        <v>156</v>
      </c>
      <c r="D411" t="s">
        <v>229</v>
      </c>
      <c r="E411" t="s">
        <v>147</v>
      </c>
      <c r="F411" t="s">
        <v>148</v>
      </c>
      <c r="G411">
        <v>99971.42</v>
      </c>
      <c r="H411">
        <f>IF(PNL!A411="","",_CALC_PNL!P411)</f>
        <v>99971.42</v>
      </c>
      <c r="I411" t="str">
        <f>IF(PNL!A411="","",IF(_CALC_PNL!E411=1,H411-G411,""))</f>
        <v/>
      </c>
    </row>
    <row r="412" ht="14.25" customHeight="1">
      <c r="A412" t="s">
        <v>104</v>
      </c>
      <c r="B412" t="s">
        <v>212</v>
      </c>
      <c r="C412" t="s">
        <v>155</v>
      </c>
      <c r="D412" t="s">
        <v>229</v>
      </c>
      <c r="E412" t="s">
        <v>147</v>
      </c>
      <c r="F412" t="s">
        <v>148</v>
      </c>
      <c r="G412">
        <v>299476.76</v>
      </c>
      <c r="H412">
        <f>IF(PNL!A412="","",_CALC_PNL!P412)</f>
        <v>299476.76</v>
      </c>
      <c r="I412" t="str">
        <f>IF(PNL!A412="","",IF(_CALC_PNL!E412=1,H412-G412,""))</f>
        <v/>
      </c>
    </row>
    <row r="413" ht="14.25" customHeight="1">
      <c r="A413" t="s">
        <v>101</v>
      </c>
      <c r="B413" t="s">
        <v>212</v>
      </c>
      <c r="C413" t="s">
        <v>155</v>
      </c>
      <c r="D413" t="s">
        <v>229</v>
      </c>
      <c r="E413" t="s">
        <v>147</v>
      </c>
      <c r="F413" t="s">
        <v>148</v>
      </c>
      <c r="G413">
        <v>235764.2</v>
      </c>
      <c r="H413">
        <f>IF(PNL!A413="","",_CALC_PNL!P413)</f>
        <v>235764.2</v>
      </c>
      <c r="I413" t="str">
        <f>IF(PNL!A413="","",IF(_CALC_PNL!E413=1,H413-G413,""))</f>
        <v/>
      </c>
    </row>
    <row r="414" ht="14.25" customHeight="1">
      <c r="A414" t="s">
        <v>103</v>
      </c>
      <c r="B414" t="s">
        <v>212</v>
      </c>
      <c r="C414" t="s">
        <v>155</v>
      </c>
      <c r="D414" t="s">
        <v>229</v>
      </c>
      <c r="E414" t="s">
        <v>147</v>
      </c>
      <c r="F414" t="s">
        <v>148</v>
      </c>
      <c r="G414">
        <v>205695</v>
      </c>
      <c r="H414">
        <f>IF(PNL!A414="","",_CALC_PNL!P414)</f>
        <v>205695</v>
      </c>
      <c r="I414" t="str">
        <f>IF(PNL!A414="","",IF(_CALC_PNL!E414=1,H414-G414,""))</f>
        <v/>
      </c>
    </row>
    <row r="415" ht="14.25" customHeight="1">
      <c r="A415" t="s">
        <v>99</v>
      </c>
      <c r="B415" t="s">
        <v>212</v>
      </c>
      <c r="C415" t="s">
        <v>155</v>
      </c>
      <c r="D415" t="s">
        <v>229</v>
      </c>
      <c r="E415" t="s">
        <v>147</v>
      </c>
      <c r="F415" t="s">
        <v>148</v>
      </c>
      <c r="G415">
        <v>165486.22</v>
      </c>
      <c r="H415">
        <f>IF(PNL!A415="","",_CALC_PNL!P415)</f>
        <v>165486.22</v>
      </c>
      <c r="I415" t="str">
        <f>IF(PNL!A415="","",IF(_CALC_PNL!E415=1,H415-G415,""))</f>
        <v/>
      </c>
    </row>
    <row r="416" ht="14.25" customHeight="1">
      <c r="A416" t="s">
        <v>95</v>
      </c>
      <c r="B416" t="s">
        <v>212</v>
      </c>
      <c r="C416" t="s">
        <v>155</v>
      </c>
      <c r="D416" t="s">
        <v>229</v>
      </c>
      <c r="E416" t="s">
        <v>147</v>
      </c>
      <c r="F416" t="s">
        <v>148</v>
      </c>
      <c r="G416">
        <v>288437.36</v>
      </c>
      <c r="H416">
        <f>IF(PNL!A416="","",_CALC_PNL!P416)</f>
        <v>288437.36</v>
      </c>
      <c r="I416" t="str">
        <f>IF(PNL!A416="","",IF(_CALC_PNL!E416=1,H416-G416,""))</f>
        <v/>
      </c>
    </row>
    <row r="417" ht="14.25" customHeight="1">
      <c r="A417" t="s">
        <v>93</v>
      </c>
      <c r="B417" t="s">
        <v>212</v>
      </c>
      <c r="C417" t="s">
        <v>155</v>
      </c>
      <c r="D417" t="s">
        <v>229</v>
      </c>
      <c r="E417" t="s">
        <v>147</v>
      </c>
      <c r="F417" t="s">
        <v>148</v>
      </c>
      <c r="G417">
        <v>167117.08</v>
      </c>
      <c r="H417">
        <f>IF(PNL!A417="","",_CALC_PNL!P417)</f>
        <v>167117.08</v>
      </c>
      <c r="I417" t="str">
        <f>IF(PNL!A417="","",IF(_CALC_PNL!E417=1,H417-G417,""))</f>
        <v/>
      </c>
    </row>
    <row r="418" ht="14.25" customHeight="1">
      <c r="A418" t="s">
        <v>97</v>
      </c>
      <c r="B418" t="s">
        <v>212</v>
      </c>
      <c r="C418" t="s">
        <v>155</v>
      </c>
      <c r="D418" t="s">
        <v>229</v>
      </c>
      <c r="E418" t="s">
        <v>147</v>
      </c>
      <c r="F418" t="s">
        <v>148</v>
      </c>
      <c r="G418">
        <v>156401.63</v>
      </c>
      <c r="H418">
        <f>IF(PNL!A418="","",_CALC_PNL!P418)</f>
        <v>156401.63</v>
      </c>
      <c r="I418" t="str">
        <f>IF(PNL!A418="","",IF(_CALC_PNL!E418=1,H418-G418,""))</f>
        <v/>
      </c>
    </row>
    <row r="419" ht="14.25" customHeight="1">
      <c r="A419" t="s">
        <v>89</v>
      </c>
      <c r="B419" t="s">
        <v>212</v>
      </c>
      <c r="C419" t="s">
        <v>155</v>
      </c>
      <c r="D419" t="s">
        <v>229</v>
      </c>
      <c r="E419" t="s">
        <v>147</v>
      </c>
      <c r="F419" t="s">
        <v>148</v>
      </c>
      <c r="G419">
        <v>99386.59</v>
      </c>
      <c r="H419">
        <f>IF(PNL!A419="","",_CALC_PNL!P419)</f>
        <v>99386.59</v>
      </c>
      <c r="I419" t="str">
        <f>IF(PNL!A419="","",IF(_CALC_PNL!E419=1,H419-G419,""))</f>
        <v/>
      </c>
    </row>
    <row r="420" ht="14.25" customHeight="1">
      <c r="A420" t="s">
        <v>91</v>
      </c>
      <c r="B420" t="s">
        <v>212</v>
      </c>
      <c r="C420" t="s">
        <v>155</v>
      </c>
      <c r="D420" t="s">
        <v>229</v>
      </c>
      <c r="E420" t="s">
        <v>147</v>
      </c>
      <c r="F420" t="s">
        <v>148</v>
      </c>
      <c r="G420">
        <v>81688.23</v>
      </c>
      <c r="H420">
        <f>IF(PNL!A420="","",_CALC_PNL!P420)</f>
        <v>81688.23</v>
      </c>
      <c r="I420" t="str">
        <f>IF(PNL!A420="","",IF(_CALC_PNL!E420=1,H420-G420,""))</f>
        <v/>
      </c>
    </row>
    <row r="421" ht="14.25" customHeight="1">
      <c r="A421" t="s">
        <v>86</v>
      </c>
      <c r="B421" t="s">
        <v>212</v>
      </c>
      <c r="C421" t="s">
        <v>155</v>
      </c>
      <c r="D421" t="s">
        <v>229</v>
      </c>
      <c r="E421" t="s">
        <v>147</v>
      </c>
      <c r="F421" t="s">
        <v>148</v>
      </c>
      <c r="G421">
        <v>81642.58</v>
      </c>
      <c r="H421">
        <f>IF(PNL!A421="","",_CALC_PNL!P421)</f>
        <v>81642.58</v>
      </c>
      <c r="I421" t="str">
        <f>IF(PNL!A421="","",IF(_CALC_PNL!E421=1,H421-G421,""))</f>
        <v/>
      </c>
    </row>
    <row r="422" ht="14.25" customHeight="1">
      <c r="A422" t="s">
        <v>106</v>
      </c>
      <c r="B422" t="s">
        <v>212</v>
      </c>
      <c r="C422" t="s">
        <v>155</v>
      </c>
      <c r="D422" t="s">
        <v>229</v>
      </c>
      <c r="E422" t="s">
        <v>147</v>
      </c>
      <c r="F422" t="s">
        <v>148</v>
      </c>
      <c r="G422">
        <v>140985.25</v>
      </c>
      <c r="H422">
        <f>IF(PNL!A422="","",_CALC_PNL!P422)</f>
        <v>140985.25</v>
      </c>
      <c r="I422" t="str">
        <f>IF(PNL!A422="","",IF(_CALC_PNL!E422=1,H422-G422,""))</f>
        <v/>
      </c>
    </row>
    <row r="423" ht="14.25" customHeight="1">
      <c r="A423" t="s">
        <v>105</v>
      </c>
      <c r="B423" t="s">
        <v>212</v>
      </c>
      <c r="C423" t="s">
        <v>155</v>
      </c>
      <c r="D423" t="s">
        <v>229</v>
      </c>
      <c r="E423" t="s">
        <v>147</v>
      </c>
      <c r="F423" t="s">
        <v>148</v>
      </c>
      <c r="G423">
        <v>108163.95</v>
      </c>
      <c r="H423">
        <f>IF(PNL!A423="","",_CALC_PNL!P423)</f>
        <v>108163.95</v>
      </c>
      <c r="I423" t="str">
        <f>IF(PNL!A423="","",IF(_CALC_PNL!E423=1,H423-G423,""))</f>
        <v/>
      </c>
    </row>
    <row r="424" ht="14.25" customHeight="1">
      <c r="A424" t="s">
        <v>108</v>
      </c>
      <c r="B424" t="s">
        <v>212</v>
      </c>
      <c r="C424" t="s">
        <v>155</v>
      </c>
      <c r="D424" t="s">
        <v>229</v>
      </c>
      <c r="E424" t="s">
        <v>147</v>
      </c>
      <c r="F424" t="s">
        <v>148</v>
      </c>
      <c r="G424">
        <v>126658.34</v>
      </c>
      <c r="H424">
        <f>IF(PNL!A424="","",_CALC_PNL!P424)</f>
        <v>126658.34</v>
      </c>
      <c r="I424" t="str">
        <f>IF(PNL!A424="","",IF(_CALC_PNL!E424=1,H424-G424,""))</f>
        <v/>
      </c>
    </row>
    <row r="425" ht="14.25" customHeight="1">
      <c r="A425" t="s">
        <v>107</v>
      </c>
      <c r="B425" t="s">
        <v>212</v>
      </c>
      <c r="C425" t="s">
        <v>155</v>
      </c>
      <c r="D425" t="s">
        <v>229</v>
      </c>
      <c r="E425" t="s">
        <v>147</v>
      </c>
      <c r="F425" t="s">
        <v>148</v>
      </c>
      <c r="G425">
        <v>107264.65</v>
      </c>
      <c r="H425">
        <f>IF(PNL!A425="","",_CALC_PNL!P425)</f>
        <v>107264.65</v>
      </c>
      <c r="I425" t="str">
        <f>IF(PNL!A425="","",IF(_CALC_PNL!E425=1,H425-G425,""))</f>
        <v/>
      </c>
    </row>
    <row r="426" ht="14.25" customHeight="1">
      <c r="A426" t="s">
        <v>104</v>
      </c>
      <c r="B426" t="s">
        <v>212</v>
      </c>
      <c r="C426" t="s">
        <v>152</v>
      </c>
      <c r="D426" t="s">
        <v>229</v>
      </c>
      <c r="E426" t="s">
        <v>147</v>
      </c>
      <c r="F426" t="s">
        <v>148</v>
      </c>
      <c r="G426">
        <v>310097.52</v>
      </c>
      <c r="H426">
        <f>IF(PNL!A426="","",_CALC_PNL!P426)</f>
        <v>310097.52</v>
      </c>
      <c r="I426" t="str">
        <f>IF(PNL!A426="","",IF(_CALC_PNL!E426=1,H426-G426,""))</f>
        <v/>
      </c>
    </row>
    <row r="427" ht="14.25" customHeight="1">
      <c r="A427" t="s">
        <v>101</v>
      </c>
      <c r="B427" t="s">
        <v>212</v>
      </c>
      <c r="C427" t="s">
        <v>152</v>
      </c>
      <c r="D427" t="s">
        <v>229</v>
      </c>
      <c r="E427" t="s">
        <v>147</v>
      </c>
      <c r="F427" t="s">
        <v>148</v>
      </c>
      <c r="G427">
        <v>247177.87</v>
      </c>
      <c r="H427">
        <f>IF(PNL!A427="","",_CALC_PNL!P427)</f>
        <v>247177.87</v>
      </c>
      <c r="I427" t="str">
        <f>IF(PNL!A427="","",IF(_CALC_PNL!E427=1,H427-G427,""))</f>
        <v/>
      </c>
    </row>
    <row r="428" ht="14.25" customHeight="1">
      <c r="A428" t="s">
        <v>103</v>
      </c>
      <c r="B428" t="s">
        <v>212</v>
      </c>
      <c r="C428" t="s">
        <v>152</v>
      </c>
      <c r="D428" t="s">
        <v>229</v>
      </c>
      <c r="E428" t="s">
        <v>147</v>
      </c>
      <c r="F428" t="s">
        <v>148</v>
      </c>
      <c r="G428">
        <v>212626.38</v>
      </c>
      <c r="H428">
        <f>IF(PNL!A428="","",_CALC_PNL!P428)</f>
        <v>212626.38</v>
      </c>
      <c r="I428" t="str">
        <f>IF(PNL!A428="","",IF(_CALC_PNL!E428=1,H428-G428,""))</f>
        <v/>
      </c>
    </row>
    <row r="429" ht="14.25" customHeight="1">
      <c r="A429" t="s">
        <v>99</v>
      </c>
      <c r="B429" t="s">
        <v>212</v>
      </c>
      <c r="C429" t="s">
        <v>152</v>
      </c>
      <c r="D429" t="s">
        <v>229</v>
      </c>
      <c r="E429" t="s">
        <v>147</v>
      </c>
      <c r="F429" t="s">
        <v>148</v>
      </c>
      <c r="G429">
        <v>173149.35</v>
      </c>
      <c r="H429">
        <f>IF(PNL!A429="","",_CALC_PNL!P429)</f>
        <v>173149.35</v>
      </c>
      <c r="I429" t="str">
        <f>IF(PNL!A429="","",IF(_CALC_PNL!E429=1,H429-G429,""))</f>
        <v/>
      </c>
    </row>
    <row r="430" ht="14.25" customHeight="1">
      <c r="A430" t="s">
        <v>95</v>
      </c>
      <c r="B430" t="s">
        <v>212</v>
      </c>
      <c r="C430" t="s">
        <v>152</v>
      </c>
      <c r="D430" t="s">
        <v>229</v>
      </c>
      <c r="E430" t="s">
        <v>147</v>
      </c>
      <c r="F430" t="s">
        <v>148</v>
      </c>
      <c r="G430">
        <v>301442.76</v>
      </c>
      <c r="H430">
        <f>IF(PNL!A430="","",_CALC_PNL!P430)</f>
        <v>301442.76</v>
      </c>
      <c r="I430" t="str">
        <f>IF(PNL!A430="","",IF(_CALC_PNL!E430=1,H430-G430,""))</f>
        <v/>
      </c>
    </row>
    <row r="431" ht="14.25" customHeight="1">
      <c r="A431" t="s">
        <v>93</v>
      </c>
      <c r="B431" t="s">
        <v>212</v>
      </c>
      <c r="C431" t="s">
        <v>152</v>
      </c>
      <c r="D431" t="s">
        <v>229</v>
      </c>
      <c r="E431" t="s">
        <v>147</v>
      </c>
      <c r="F431" t="s">
        <v>148</v>
      </c>
      <c r="G431">
        <v>175824.49</v>
      </c>
      <c r="H431">
        <f>IF(PNL!A431="","",_CALC_PNL!P431)</f>
        <v>175824.49</v>
      </c>
      <c r="I431" t="str">
        <f>IF(PNL!A431="","",IF(_CALC_PNL!E431=1,H431-G431,""))</f>
        <v/>
      </c>
    </row>
    <row r="432" ht="14.25" customHeight="1">
      <c r="A432" t="s">
        <v>97</v>
      </c>
      <c r="B432" t="s">
        <v>212</v>
      </c>
      <c r="C432" t="s">
        <v>152</v>
      </c>
      <c r="D432" t="s">
        <v>229</v>
      </c>
      <c r="E432" t="s">
        <v>147</v>
      </c>
      <c r="F432" t="s">
        <v>148</v>
      </c>
      <c r="G432">
        <v>165334.19</v>
      </c>
      <c r="H432">
        <f>IF(PNL!A432="","",_CALC_PNL!P432)</f>
        <v>165334.19</v>
      </c>
      <c r="I432" t="str">
        <f>IF(PNL!A432="","",IF(_CALC_PNL!E432=1,H432-G432,""))</f>
        <v/>
      </c>
    </row>
    <row r="433" ht="14.25" customHeight="1">
      <c r="A433" t="s">
        <v>89</v>
      </c>
      <c r="B433" t="s">
        <v>212</v>
      </c>
      <c r="C433" t="s">
        <v>152</v>
      </c>
      <c r="D433" t="s">
        <v>229</v>
      </c>
      <c r="E433" t="s">
        <v>147</v>
      </c>
      <c r="F433" t="s">
        <v>148</v>
      </c>
      <c r="G433">
        <v>103877.74</v>
      </c>
      <c r="H433">
        <f>IF(PNL!A433="","",_CALC_PNL!P433)</f>
        <v>103877.74</v>
      </c>
      <c r="I433" t="str">
        <f>IF(PNL!A433="","",IF(_CALC_PNL!E433=1,H433-G433,""))</f>
        <v/>
      </c>
    </row>
    <row r="434" ht="14.25" customHeight="1">
      <c r="A434" t="s">
        <v>91</v>
      </c>
      <c r="B434" t="s">
        <v>212</v>
      </c>
      <c r="C434" t="s">
        <v>152</v>
      </c>
      <c r="D434" t="s">
        <v>229</v>
      </c>
      <c r="E434" t="s">
        <v>147</v>
      </c>
      <c r="F434" t="s">
        <v>148</v>
      </c>
      <c r="G434">
        <v>84103.94</v>
      </c>
      <c r="H434">
        <f>IF(PNL!A434="","",_CALC_PNL!P434)</f>
        <v>84103.94</v>
      </c>
      <c r="I434" t="str">
        <f>IF(PNL!A434="","",IF(_CALC_PNL!E434=1,H434-G434,""))</f>
        <v/>
      </c>
    </row>
    <row r="435" ht="14.25" customHeight="1">
      <c r="A435" t="s">
        <v>86</v>
      </c>
      <c r="B435" t="s">
        <v>212</v>
      </c>
      <c r="C435" t="s">
        <v>152</v>
      </c>
      <c r="D435" t="s">
        <v>229</v>
      </c>
      <c r="E435" t="s">
        <v>147</v>
      </c>
      <c r="F435" t="s">
        <v>148</v>
      </c>
      <c r="G435">
        <v>84053.79</v>
      </c>
      <c r="H435">
        <f>IF(PNL!A435="","",_CALC_PNL!P435)</f>
        <v>84053.79</v>
      </c>
      <c r="I435" t="str">
        <f>IF(PNL!A435="","",IF(_CALC_PNL!E435=1,H435-G435,""))</f>
        <v/>
      </c>
    </row>
    <row r="436" ht="14.25" customHeight="1">
      <c r="A436" t="s">
        <v>106</v>
      </c>
      <c r="B436" t="s">
        <v>212</v>
      </c>
      <c r="C436" t="s">
        <v>152</v>
      </c>
      <c r="D436" t="s">
        <v>229</v>
      </c>
      <c r="E436" t="s">
        <v>147</v>
      </c>
      <c r="F436" t="s">
        <v>148</v>
      </c>
      <c r="G436">
        <v>149043.83</v>
      </c>
      <c r="H436">
        <f>IF(PNL!A436="","",_CALC_PNL!P436)</f>
        <v>149043.83</v>
      </c>
      <c r="I436" t="str">
        <f>IF(PNL!A436="","",IF(_CALC_PNL!E436=1,H436-G436,""))</f>
        <v/>
      </c>
    </row>
    <row r="437" ht="14.25" customHeight="1">
      <c r="A437" t="s">
        <v>105</v>
      </c>
      <c r="B437" t="s">
        <v>212</v>
      </c>
      <c r="C437" t="s">
        <v>152</v>
      </c>
      <c r="D437" t="s">
        <v>229</v>
      </c>
      <c r="E437" t="s">
        <v>147</v>
      </c>
      <c r="F437" t="s">
        <v>148</v>
      </c>
      <c r="G437">
        <v>112878.51</v>
      </c>
      <c r="H437">
        <f>IF(PNL!A437="","",_CALC_PNL!P437)</f>
        <v>112878.51</v>
      </c>
      <c r="I437" t="str">
        <f>IF(PNL!A437="","",IF(_CALC_PNL!E437=1,H437-G437,""))</f>
        <v/>
      </c>
    </row>
    <row r="438" ht="14.25" customHeight="1">
      <c r="A438" t="s">
        <v>108</v>
      </c>
      <c r="B438" t="s">
        <v>212</v>
      </c>
      <c r="C438" t="s">
        <v>152</v>
      </c>
      <c r="D438" t="s">
        <v>229</v>
      </c>
      <c r="E438" t="s">
        <v>147</v>
      </c>
      <c r="F438" t="s">
        <v>148</v>
      </c>
      <c r="G438">
        <v>137962.95</v>
      </c>
      <c r="H438">
        <f>IF(PNL!A438="","",_CALC_PNL!P438)</f>
        <v>137962.95</v>
      </c>
      <c r="I438" t="str">
        <f>IF(PNL!A438="","",IF(_CALC_PNL!E438=1,H438-G438,""))</f>
        <v/>
      </c>
    </row>
    <row r="439" ht="14.25" customHeight="1">
      <c r="A439" t="s">
        <v>107</v>
      </c>
      <c r="B439" t="s">
        <v>212</v>
      </c>
      <c r="C439" t="s">
        <v>152</v>
      </c>
      <c r="D439" t="s">
        <v>229</v>
      </c>
      <c r="E439" t="s">
        <v>147</v>
      </c>
      <c r="F439" t="s">
        <v>148</v>
      </c>
      <c r="G439">
        <v>114850.19</v>
      </c>
      <c r="H439">
        <f>IF(PNL!A439="","",_CALC_PNL!P439)</f>
        <v>114850.19</v>
      </c>
      <c r="I439" t="str">
        <f>IF(PNL!A439="","",IF(_CALC_PNL!E439=1,H439-G439,""))</f>
        <v/>
      </c>
    </row>
    <row r="440" ht="14.25" customHeight="1">
      <c r="A440" t="s">
        <v>104</v>
      </c>
      <c r="B440" t="s">
        <v>213</v>
      </c>
      <c r="C440" t="s">
        <v>156</v>
      </c>
      <c r="D440" t="s">
        <v>229</v>
      </c>
      <c r="E440" t="s">
        <v>147</v>
      </c>
      <c r="F440" t="s">
        <v>148</v>
      </c>
      <c r="G440">
        <v>40728.62</v>
      </c>
      <c r="H440">
        <f>IF(PNL!A440="","",_CALC_PNL!P440)</f>
        <v>40728.62</v>
      </c>
      <c r="I440" t="str">
        <f>IF(PNL!A440="","",IF(_CALC_PNL!E440=1,H440-G440,""))</f>
        <v/>
      </c>
    </row>
    <row r="441" ht="14.25" customHeight="1">
      <c r="A441" t="s">
        <v>101</v>
      </c>
      <c r="B441" t="s">
        <v>213</v>
      </c>
      <c r="C441" t="s">
        <v>156</v>
      </c>
      <c r="D441" t="s">
        <v>229</v>
      </c>
      <c r="E441" t="s">
        <v>147</v>
      </c>
      <c r="F441" t="s">
        <v>148</v>
      </c>
      <c r="G441">
        <v>32549.77</v>
      </c>
      <c r="H441">
        <f>IF(PNL!A441="","",_CALC_PNL!P441)</f>
        <v>32549.77</v>
      </c>
      <c r="I441" t="str">
        <f>IF(PNL!A441="","",IF(_CALC_PNL!E441=1,H441-G441,""))</f>
        <v/>
      </c>
    </row>
    <row r="442" ht="14.25" customHeight="1">
      <c r="A442" t="s">
        <v>103</v>
      </c>
      <c r="B442" t="s">
        <v>213</v>
      </c>
      <c r="C442" t="s">
        <v>156</v>
      </c>
      <c r="D442" t="s">
        <v>229</v>
      </c>
      <c r="E442" t="s">
        <v>147</v>
      </c>
      <c r="F442" t="s">
        <v>148</v>
      </c>
      <c r="G442">
        <v>27961.73</v>
      </c>
      <c r="H442">
        <f>IF(PNL!A442="","",_CALC_PNL!P442)</f>
        <v>27961.73</v>
      </c>
      <c r="I442" t="str">
        <f>IF(PNL!A442="","",IF(_CALC_PNL!E442=1,H442-G442,""))</f>
        <v/>
      </c>
    </row>
    <row r="443" ht="14.25" customHeight="1">
      <c r="A443" t="s">
        <v>99</v>
      </c>
      <c r="B443" t="s">
        <v>213</v>
      </c>
      <c r="C443" t="s">
        <v>156</v>
      </c>
      <c r="D443" t="s">
        <v>229</v>
      </c>
      <c r="E443" t="s">
        <v>147</v>
      </c>
      <c r="F443" t="s">
        <v>148</v>
      </c>
      <c r="G443">
        <v>22653.88</v>
      </c>
      <c r="H443">
        <f>IF(PNL!A443="","",_CALC_PNL!P443)</f>
        <v>22653.88</v>
      </c>
      <c r="I443" t="str">
        <f>IF(PNL!A443="","",IF(_CALC_PNL!E443=1,H443-G443,""))</f>
        <v/>
      </c>
    </row>
    <row r="444" ht="14.25" customHeight="1">
      <c r="A444" t="s">
        <v>95</v>
      </c>
      <c r="B444" t="s">
        <v>213</v>
      </c>
      <c r="C444" t="s">
        <v>156</v>
      </c>
      <c r="D444" t="s">
        <v>229</v>
      </c>
      <c r="E444" t="s">
        <v>147</v>
      </c>
      <c r="F444" t="s">
        <v>148</v>
      </c>
      <c r="G444">
        <v>39138.2</v>
      </c>
      <c r="H444">
        <f>IF(PNL!A444="","",_CALC_PNL!P444)</f>
        <v>39138.2</v>
      </c>
      <c r="I444" t="str">
        <f>IF(PNL!A444="","",IF(_CALC_PNL!E444=1,H444-G444,""))</f>
        <v/>
      </c>
    </row>
    <row r="445" ht="14.25" customHeight="1">
      <c r="A445" t="s">
        <v>93</v>
      </c>
      <c r="B445" t="s">
        <v>213</v>
      </c>
      <c r="C445" t="s">
        <v>156</v>
      </c>
      <c r="D445" t="s">
        <v>229</v>
      </c>
      <c r="E445" t="s">
        <v>147</v>
      </c>
      <c r="F445" t="s">
        <v>148</v>
      </c>
      <c r="G445">
        <v>22890.38</v>
      </c>
      <c r="H445">
        <f>IF(PNL!A445="","",_CALC_PNL!P445)</f>
        <v>22890.38</v>
      </c>
      <c r="I445" t="str">
        <f>IF(PNL!A445="","",IF(_CALC_PNL!E445=1,H445-G445,""))</f>
        <v/>
      </c>
    </row>
    <row r="446" ht="14.25" customHeight="1">
      <c r="A446" t="s">
        <v>97</v>
      </c>
      <c r="B446" t="s">
        <v>213</v>
      </c>
      <c r="C446" t="s">
        <v>156</v>
      </c>
      <c r="D446" t="s">
        <v>229</v>
      </c>
      <c r="E446" t="s">
        <v>147</v>
      </c>
      <c r="F446" t="s">
        <v>148</v>
      </c>
      <c r="G446">
        <v>21608.56</v>
      </c>
      <c r="H446">
        <f>IF(PNL!A446="","",_CALC_PNL!P446)</f>
        <v>21608.56</v>
      </c>
      <c r="I446" t="str">
        <f>IF(PNL!A446="","",IF(_CALC_PNL!E446=1,H446-G446,""))</f>
        <v/>
      </c>
    </row>
    <row r="447" ht="14.25" customHeight="1">
      <c r="A447" t="s">
        <v>89</v>
      </c>
      <c r="B447" t="s">
        <v>213</v>
      </c>
      <c r="C447" t="s">
        <v>156</v>
      </c>
      <c r="D447" t="s">
        <v>229</v>
      </c>
      <c r="E447" t="s">
        <v>147</v>
      </c>
      <c r="F447" t="s">
        <v>148</v>
      </c>
      <c r="G447">
        <v>13741</v>
      </c>
      <c r="H447">
        <f>IF(PNL!A447="","",_CALC_PNL!P447)</f>
        <v>13741</v>
      </c>
      <c r="I447" t="str">
        <f>IF(PNL!A447="","",IF(_CALC_PNL!E447=1,H447-G447,""))</f>
        <v/>
      </c>
    </row>
    <row r="448" ht="14.25" customHeight="1">
      <c r="A448" t="s">
        <v>91</v>
      </c>
      <c r="B448" t="s">
        <v>213</v>
      </c>
      <c r="C448" t="s">
        <v>156</v>
      </c>
      <c r="D448" t="s">
        <v>229</v>
      </c>
      <c r="E448" t="s">
        <v>147</v>
      </c>
      <c r="F448" t="s">
        <v>148</v>
      </c>
      <c r="G448">
        <v>11260.74</v>
      </c>
      <c r="H448">
        <f>IF(PNL!A448="","",_CALC_PNL!P448)</f>
        <v>11260.74</v>
      </c>
      <c r="I448" t="str">
        <f>IF(PNL!A448="","",IF(_CALC_PNL!E448=1,H448-G448,""))</f>
        <v/>
      </c>
    </row>
    <row r="449" ht="14.25" customHeight="1">
      <c r="A449" t="s">
        <v>86</v>
      </c>
      <c r="B449" t="s">
        <v>213</v>
      </c>
      <c r="C449" t="s">
        <v>156</v>
      </c>
      <c r="D449" t="s">
        <v>229</v>
      </c>
      <c r="E449" t="s">
        <v>147</v>
      </c>
      <c r="F449" t="s">
        <v>148</v>
      </c>
      <c r="G449">
        <v>11254.83</v>
      </c>
      <c r="H449">
        <f>IF(PNL!A449="","",_CALC_PNL!P449)</f>
        <v>11254.83</v>
      </c>
      <c r="I449" t="str">
        <f>IF(PNL!A449="","",IF(_CALC_PNL!E449=1,H449-G449,""))</f>
        <v/>
      </c>
    </row>
    <row r="450" ht="14.25" customHeight="1">
      <c r="A450" t="s">
        <v>106</v>
      </c>
      <c r="B450" t="s">
        <v>213</v>
      </c>
      <c r="C450" t="s">
        <v>156</v>
      </c>
      <c r="D450" t="s">
        <v>229</v>
      </c>
      <c r="E450" t="s">
        <v>147</v>
      </c>
      <c r="F450" t="s">
        <v>148</v>
      </c>
      <c r="G450">
        <v>19465.26</v>
      </c>
      <c r="H450">
        <f>IF(PNL!A450="","",_CALC_PNL!P450)</f>
        <v>19465.26</v>
      </c>
      <c r="I450" t="str">
        <f>IF(PNL!A450="","",IF(_CALC_PNL!E450=1,H450-G450,""))</f>
        <v/>
      </c>
    </row>
    <row r="451" ht="14.25" customHeight="1">
      <c r="A451" t="s">
        <v>105</v>
      </c>
      <c r="B451" t="s">
        <v>213</v>
      </c>
      <c r="C451" t="s">
        <v>156</v>
      </c>
      <c r="D451" t="s">
        <v>229</v>
      </c>
      <c r="E451" t="s">
        <v>147</v>
      </c>
      <c r="F451" t="s">
        <v>148</v>
      </c>
      <c r="G451">
        <v>14676.91</v>
      </c>
      <c r="H451">
        <f>IF(PNL!A451="","",_CALC_PNL!P451)</f>
        <v>14676.91</v>
      </c>
      <c r="I451" t="str">
        <f>IF(PNL!A451="","",IF(_CALC_PNL!E451=1,H451-G451,""))</f>
        <v/>
      </c>
    </row>
    <row r="452" ht="14.25" customHeight="1">
      <c r="A452" t="s">
        <v>108</v>
      </c>
      <c r="B452" t="s">
        <v>213</v>
      </c>
      <c r="C452" t="s">
        <v>156</v>
      </c>
      <c r="D452" t="s">
        <v>229</v>
      </c>
      <c r="E452" t="s">
        <v>147</v>
      </c>
      <c r="F452" t="s">
        <v>148</v>
      </c>
      <c r="G452">
        <v>17042.23</v>
      </c>
      <c r="H452">
        <f>IF(PNL!A452="","",_CALC_PNL!P452)</f>
        <v>17042.23</v>
      </c>
      <c r="I452" t="str">
        <f>IF(PNL!A452="","",IF(_CALC_PNL!E452=1,H452-G452,""))</f>
        <v/>
      </c>
    </row>
    <row r="453" ht="14.25" customHeight="1">
      <c r="A453" t="s">
        <v>107</v>
      </c>
      <c r="B453" t="s">
        <v>213</v>
      </c>
      <c r="C453" t="s">
        <v>156</v>
      </c>
      <c r="D453" t="s">
        <v>229</v>
      </c>
      <c r="E453" t="s">
        <v>147</v>
      </c>
      <c r="F453" t="s">
        <v>148</v>
      </c>
      <c r="G453">
        <v>14281.48</v>
      </c>
      <c r="H453">
        <f>IF(PNL!A453="","",_CALC_PNL!P453)</f>
        <v>14281.48</v>
      </c>
      <c r="I453" t="str">
        <f>IF(PNL!A453="","",IF(_CALC_PNL!E453=1,H453-G453,""))</f>
        <v/>
      </c>
    </row>
    <row r="454" ht="14.25" customHeight="1">
      <c r="A454" t="s">
        <v>104</v>
      </c>
      <c r="B454" t="s">
        <v>213</v>
      </c>
      <c r="C454" t="s">
        <v>155</v>
      </c>
      <c r="D454" t="s">
        <v>229</v>
      </c>
      <c r="E454" t="s">
        <v>147</v>
      </c>
      <c r="F454" t="s">
        <v>148</v>
      </c>
      <c r="G454">
        <v>42782.03</v>
      </c>
      <c r="H454">
        <f>IF(PNL!A454="","",_CALC_PNL!P454)</f>
        <v>42782.03</v>
      </c>
      <c r="I454" t="str">
        <f>IF(PNL!A454="","",IF(_CALC_PNL!E454=1,H454-G454,""))</f>
        <v/>
      </c>
    </row>
    <row r="455" ht="14.25" customHeight="1">
      <c r="A455" t="s">
        <v>101</v>
      </c>
      <c r="B455" t="s">
        <v>213</v>
      </c>
      <c r="C455" t="s">
        <v>155</v>
      </c>
      <c r="D455" t="s">
        <v>229</v>
      </c>
      <c r="E455" t="s">
        <v>147</v>
      </c>
      <c r="F455" t="s">
        <v>148</v>
      </c>
      <c r="G455">
        <v>33680.13</v>
      </c>
      <c r="H455">
        <f>IF(PNL!A455="","",_CALC_PNL!P455)</f>
        <v>33680.13</v>
      </c>
      <c r="I455" t="str">
        <f>IF(PNL!A455="","",IF(_CALC_PNL!E455=1,H455-G455,""))</f>
        <v/>
      </c>
    </row>
    <row r="456" ht="14.25" customHeight="1">
      <c r="A456" t="s">
        <v>103</v>
      </c>
      <c r="B456" t="s">
        <v>213</v>
      </c>
      <c r="C456" t="s">
        <v>155</v>
      </c>
      <c r="D456" t="s">
        <v>229</v>
      </c>
      <c r="E456" t="s">
        <v>147</v>
      </c>
      <c r="F456" t="s">
        <v>148</v>
      </c>
      <c r="G456">
        <v>29384.83</v>
      </c>
      <c r="H456">
        <f>IF(PNL!A456="","",_CALC_PNL!P456)</f>
        <v>29384.83</v>
      </c>
      <c r="I456" t="str">
        <f>IF(PNL!A456="","",IF(_CALC_PNL!E456=1,H456-G456,""))</f>
        <v/>
      </c>
    </row>
    <row r="457" ht="14.25" customHeight="1">
      <c r="A457" t="s">
        <v>99</v>
      </c>
      <c r="B457" t="s">
        <v>213</v>
      </c>
      <c r="C457" t="s">
        <v>155</v>
      </c>
      <c r="D457" t="s">
        <v>229</v>
      </c>
      <c r="E457" t="s">
        <v>147</v>
      </c>
      <c r="F457" t="s">
        <v>148</v>
      </c>
      <c r="G457">
        <v>23640.89</v>
      </c>
      <c r="H457">
        <f>IF(PNL!A457="","",_CALC_PNL!P457)</f>
        <v>23640.89</v>
      </c>
      <c r="I457" t="str">
        <f>IF(PNL!A457="","",IF(_CALC_PNL!E457=1,H457-G457,""))</f>
        <v/>
      </c>
    </row>
    <row r="458" ht="14.25" customHeight="1">
      <c r="A458" t="s">
        <v>95</v>
      </c>
      <c r="B458" t="s">
        <v>213</v>
      </c>
      <c r="C458" t="s">
        <v>155</v>
      </c>
      <c r="D458" t="s">
        <v>229</v>
      </c>
      <c r="E458" t="s">
        <v>147</v>
      </c>
      <c r="F458" t="s">
        <v>148</v>
      </c>
      <c r="G458">
        <v>41204.99</v>
      </c>
      <c r="H458">
        <f>IF(PNL!A458="","",_CALC_PNL!P458)</f>
        <v>41204.99</v>
      </c>
      <c r="I458" t="str">
        <f>IF(PNL!A458="","",IF(_CALC_PNL!E458=1,H458-G458,""))</f>
        <v/>
      </c>
    </row>
    <row r="459" ht="14.25" customHeight="1">
      <c r="A459" t="s">
        <v>93</v>
      </c>
      <c r="B459" t="s">
        <v>213</v>
      </c>
      <c r="C459" t="s">
        <v>155</v>
      </c>
      <c r="D459" t="s">
        <v>229</v>
      </c>
      <c r="E459" t="s">
        <v>147</v>
      </c>
      <c r="F459" t="s">
        <v>148</v>
      </c>
      <c r="G459">
        <v>23873.51</v>
      </c>
      <c r="H459">
        <f>IF(PNL!A459="","",_CALC_PNL!P459)</f>
        <v>23873.51</v>
      </c>
      <c r="I459" t="str">
        <f>IF(PNL!A459="","",IF(_CALC_PNL!E459=1,H459-G459,""))</f>
        <v/>
      </c>
    </row>
    <row r="460" ht="14.25" customHeight="1">
      <c r="A460" t="s">
        <v>97</v>
      </c>
      <c r="B460" t="s">
        <v>213</v>
      </c>
      <c r="C460" t="s">
        <v>155</v>
      </c>
      <c r="D460" t="s">
        <v>229</v>
      </c>
      <c r="E460" t="s">
        <v>147</v>
      </c>
      <c r="F460" t="s">
        <v>148</v>
      </c>
      <c r="G460">
        <v>22343.26</v>
      </c>
      <c r="H460">
        <f>IF(PNL!A460="","",_CALC_PNL!P460)</f>
        <v>22343.26</v>
      </c>
      <c r="I460" t="str">
        <f>IF(PNL!A460="","",IF(_CALC_PNL!E460=1,H460-G460,""))</f>
        <v/>
      </c>
    </row>
    <row r="461" ht="14.25" customHeight="1">
      <c r="A461" t="s">
        <v>89</v>
      </c>
      <c r="B461" t="s">
        <v>213</v>
      </c>
      <c r="C461" t="s">
        <v>155</v>
      </c>
      <c r="D461" t="s">
        <v>229</v>
      </c>
      <c r="E461" t="s">
        <v>147</v>
      </c>
      <c r="F461" t="s">
        <v>148</v>
      </c>
      <c r="G461">
        <v>14198.57</v>
      </c>
      <c r="H461">
        <f>IF(PNL!A461="","",_CALC_PNL!P461)</f>
        <v>14198.57</v>
      </c>
      <c r="I461" t="str">
        <f>IF(PNL!A461="","",IF(_CALC_PNL!E461=1,H461-G461,""))</f>
        <v/>
      </c>
    </row>
    <row r="462" ht="14.25" customHeight="1">
      <c r="A462" t="s">
        <v>91</v>
      </c>
      <c r="B462" t="s">
        <v>213</v>
      </c>
      <c r="C462" t="s">
        <v>155</v>
      </c>
      <c r="D462" t="s">
        <v>229</v>
      </c>
      <c r="E462" t="s">
        <v>147</v>
      </c>
      <c r="F462" t="s">
        <v>148</v>
      </c>
      <c r="G462">
        <v>11669.3</v>
      </c>
      <c r="H462">
        <f>IF(PNL!A462="","",_CALC_PNL!P462)</f>
        <v>11669.3</v>
      </c>
      <c r="I462" t="str">
        <f>IF(PNL!A462="","",IF(_CALC_PNL!E462=1,H462-G462,""))</f>
        <v/>
      </c>
    </row>
    <row r="463" ht="14.25" customHeight="1">
      <c r="A463" t="s">
        <v>86</v>
      </c>
      <c r="B463" t="s">
        <v>213</v>
      </c>
      <c r="C463" t="s">
        <v>155</v>
      </c>
      <c r="D463" t="s">
        <v>229</v>
      </c>
      <c r="E463" t="s">
        <v>147</v>
      </c>
      <c r="F463" t="s">
        <v>148</v>
      </c>
      <c r="G463">
        <v>11662.77</v>
      </c>
      <c r="H463">
        <f>IF(PNL!A463="","",_CALC_PNL!P463)</f>
        <v>11662.77</v>
      </c>
      <c r="I463" t="str">
        <f>IF(PNL!A463="","",IF(_CALC_PNL!E463=1,H463-G463,""))</f>
        <v/>
      </c>
    </row>
    <row r="464" ht="14.25" customHeight="1">
      <c r="A464" t="s">
        <v>106</v>
      </c>
      <c r="B464" t="s">
        <v>213</v>
      </c>
      <c r="C464" t="s">
        <v>155</v>
      </c>
      <c r="D464" t="s">
        <v>229</v>
      </c>
      <c r="E464" t="s">
        <v>147</v>
      </c>
      <c r="F464" t="s">
        <v>148</v>
      </c>
      <c r="G464">
        <v>20140.9</v>
      </c>
      <c r="H464">
        <f>IF(PNL!A464="","",_CALC_PNL!P464)</f>
        <v>20140.9</v>
      </c>
      <c r="I464" t="str">
        <f>IF(PNL!A464="","",IF(_CALC_PNL!E464=1,H464-G464,""))</f>
        <v/>
      </c>
    </row>
    <row r="465" ht="14.25" customHeight="1">
      <c r="A465" t="s">
        <v>105</v>
      </c>
      <c r="B465" t="s">
        <v>213</v>
      </c>
      <c r="C465" t="s">
        <v>155</v>
      </c>
      <c r="D465" t="s">
        <v>229</v>
      </c>
      <c r="E465" t="s">
        <v>147</v>
      </c>
      <c r="F465" t="s">
        <v>148</v>
      </c>
      <c r="G465">
        <v>15451.74</v>
      </c>
      <c r="H465">
        <f>IF(PNL!A465="","",_CALC_PNL!P465)</f>
        <v>15451.74</v>
      </c>
      <c r="I465" t="str">
        <f>IF(PNL!A465="","",IF(_CALC_PNL!E465=1,H465-G465,""))</f>
        <v/>
      </c>
    </row>
    <row r="466" ht="14.25" customHeight="1">
      <c r="A466" t="s">
        <v>108</v>
      </c>
      <c r="B466" t="s">
        <v>213</v>
      </c>
      <c r="C466" t="s">
        <v>155</v>
      </c>
      <c r="D466" t="s">
        <v>229</v>
      </c>
      <c r="E466" t="s">
        <v>147</v>
      </c>
      <c r="F466" t="s">
        <v>148</v>
      </c>
      <c r="G466">
        <v>18094.05</v>
      </c>
      <c r="H466">
        <f>IF(PNL!A466="","",_CALC_PNL!P466)</f>
        <v>18094.05</v>
      </c>
      <c r="I466" t="str">
        <f>IF(PNL!A466="","",IF(_CALC_PNL!E466=1,H466-G466,""))</f>
        <v/>
      </c>
    </row>
    <row r="467" ht="14.25" customHeight="1">
      <c r="A467" t="s">
        <v>107</v>
      </c>
      <c r="B467" t="s">
        <v>213</v>
      </c>
      <c r="C467" t="s">
        <v>155</v>
      </c>
      <c r="D467" t="s">
        <v>229</v>
      </c>
      <c r="E467" t="s">
        <v>147</v>
      </c>
      <c r="F467" t="s">
        <v>148</v>
      </c>
      <c r="G467">
        <v>15323.83</v>
      </c>
      <c r="H467">
        <f>IF(PNL!A467="","",_CALC_PNL!P467)</f>
        <v>15323.83</v>
      </c>
      <c r="I467" t="str">
        <f>IF(PNL!A467="","",IF(_CALC_PNL!E467=1,H467-G467,""))</f>
        <v/>
      </c>
    </row>
    <row r="468" ht="14.25" customHeight="1">
      <c r="A468" t="s">
        <v>104</v>
      </c>
      <c r="B468" t="s">
        <v>213</v>
      </c>
      <c r="C468" t="s">
        <v>152</v>
      </c>
      <c r="D468" t="s">
        <v>229</v>
      </c>
      <c r="E468" t="s">
        <v>147</v>
      </c>
      <c r="F468" t="s">
        <v>148</v>
      </c>
      <c r="G468">
        <v>44299.53</v>
      </c>
      <c r="H468">
        <f>IF(PNL!A468="","",_CALC_PNL!P468)</f>
        <v>44299.53</v>
      </c>
      <c r="I468" t="str">
        <f>IF(PNL!A468="","",IF(_CALC_PNL!E468=1,H468-G468,""))</f>
        <v/>
      </c>
    </row>
    <row r="469" ht="14.25" customHeight="1">
      <c r="A469" t="s">
        <v>101</v>
      </c>
      <c r="B469" t="s">
        <v>213</v>
      </c>
      <c r="C469" t="s">
        <v>152</v>
      </c>
      <c r="D469" t="s">
        <v>229</v>
      </c>
      <c r="E469" t="s">
        <v>147</v>
      </c>
      <c r="F469" t="s">
        <v>148</v>
      </c>
      <c r="G469">
        <v>35310.97</v>
      </c>
      <c r="H469">
        <f>IF(PNL!A469="","",_CALC_PNL!P469)</f>
        <v>35310.97</v>
      </c>
      <c r="I469" t="str">
        <f>IF(PNL!A469="","",IF(_CALC_PNL!E469=1,H469-G469,""))</f>
        <v/>
      </c>
    </row>
    <row r="470" ht="14.25" customHeight="1">
      <c r="A470" t="s">
        <v>103</v>
      </c>
      <c r="B470" t="s">
        <v>213</v>
      </c>
      <c r="C470" t="s">
        <v>152</v>
      </c>
      <c r="D470" t="s">
        <v>229</v>
      </c>
      <c r="E470" t="s">
        <v>147</v>
      </c>
      <c r="F470" t="s">
        <v>148</v>
      </c>
      <c r="G470">
        <v>30374.7</v>
      </c>
      <c r="H470">
        <f>IF(PNL!A470="","",_CALC_PNL!P470)</f>
        <v>30374.7</v>
      </c>
      <c r="I470" t="str">
        <f>IF(PNL!A470="","",IF(_CALC_PNL!E470=1,H470-G470,""))</f>
        <v/>
      </c>
    </row>
    <row r="471" ht="14.25" customHeight="1">
      <c r="A471" t="s">
        <v>99</v>
      </c>
      <c r="B471" t="s">
        <v>213</v>
      </c>
      <c r="C471" t="s">
        <v>152</v>
      </c>
      <c r="D471" t="s">
        <v>229</v>
      </c>
      <c r="E471" t="s">
        <v>147</v>
      </c>
      <c r="F471" t="s">
        <v>148</v>
      </c>
      <c r="G471">
        <v>24735.47</v>
      </c>
      <c r="H471">
        <f>IF(PNL!A471="","",_CALC_PNL!P471)</f>
        <v>24735.47</v>
      </c>
      <c r="I471" t="str">
        <f>IF(PNL!A471="","",IF(_CALC_PNL!E471=1,H471-G471,""))</f>
        <v/>
      </c>
    </row>
    <row r="472" ht="14.25" customHeight="1">
      <c r="A472" t="s">
        <v>95</v>
      </c>
      <c r="B472" t="s">
        <v>213</v>
      </c>
      <c r="C472" t="s">
        <v>152</v>
      </c>
      <c r="D472" t="s">
        <v>229</v>
      </c>
      <c r="E472" t="s">
        <v>147</v>
      </c>
      <c r="F472" t="s">
        <v>148</v>
      </c>
      <c r="G472">
        <v>43063.14</v>
      </c>
      <c r="H472">
        <f>IF(PNL!A472="","",_CALC_PNL!P472)</f>
        <v>43063.14</v>
      </c>
      <c r="I472" t="str">
        <f>IF(PNL!A472="","",IF(_CALC_PNL!E472=1,H472-G472,""))</f>
        <v/>
      </c>
    </row>
    <row r="473" ht="14.25" customHeight="1">
      <c r="A473" t="s">
        <v>93</v>
      </c>
      <c r="B473" t="s">
        <v>213</v>
      </c>
      <c r="C473" t="s">
        <v>152</v>
      </c>
      <c r="D473" t="s">
        <v>229</v>
      </c>
      <c r="E473" t="s">
        <v>147</v>
      </c>
      <c r="F473" t="s">
        <v>148</v>
      </c>
      <c r="G473">
        <v>25117.43</v>
      </c>
      <c r="H473">
        <f>IF(PNL!A473="","",_CALC_PNL!P473)</f>
        <v>25117.43</v>
      </c>
      <c r="I473" t="str">
        <f>IF(PNL!A473="","",IF(_CALC_PNL!E473=1,H473-G473,""))</f>
        <v/>
      </c>
    </row>
    <row r="474" ht="14.25" customHeight="1">
      <c r="A474" t="s">
        <v>97</v>
      </c>
      <c r="B474" t="s">
        <v>213</v>
      </c>
      <c r="C474" t="s">
        <v>152</v>
      </c>
      <c r="D474" t="s">
        <v>229</v>
      </c>
      <c r="E474" t="s">
        <v>147</v>
      </c>
      <c r="F474" t="s">
        <v>148</v>
      </c>
      <c r="G474">
        <v>23619.34</v>
      </c>
      <c r="H474">
        <f>IF(PNL!A474="","",_CALC_PNL!P474)</f>
        <v>23619.34</v>
      </c>
      <c r="I474" t="str">
        <f>IF(PNL!A474="","",IF(_CALC_PNL!E474=1,H474-G474,""))</f>
        <v/>
      </c>
    </row>
    <row r="475" ht="14.25" customHeight="1">
      <c r="A475" t="s">
        <v>89</v>
      </c>
      <c r="B475" t="s">
        <v>213</v>
      </c>
      <c r="C475" t="s">
        <v>152</v>
      </c>
      <c r="D475" t="s">
        <v>229</v>
      </c>
      <c r="E475" t="s">
        <v>147</v>
      </c>
      <c r="F475" t="s">
        <v>148</v>
      </c>
      <c r="G475">
        <v>14839.36</v>
      </c>
      <c r="H475">
        <f>IF(PNL!A475="","",_CALC_PNL!P475)</f>
        <v>14839.36</v>
      </c>
      <c r="I475" t="str">
        <f>IF(PNL!A475="","",IF(_CALC_PNL!E475=1,H475-G475,""))</f>
        <v/>
      </c>
    </row>
    <row r="476" ht="14.25" customHeight="1">
      <c r="A476" t="s">
        <v>91</v>
      </c>
      <c r="B476" t="s">
        <v>213</v>
      </c>
      <c r="C476" t="s">
        <v>152</v>
      </c>
      <c r="D476" t="s">
        <v>229</v>
      </c>
      <c r="E476" t="s">
        <v>147</v>
      </c>
      <c r="F476" t="s">
        <v>148</v>
      </c>
      <c r="G476">
        <v>12014.85</v>
      </c>
      <c r="H476">
        <f>IF(PNL!A476="","",_CALC_PNL!P476)</f>
        <v>12014.85</v>
      </c>
      <c r="I476" t="str">
        <f>IF(PNL!A476="","",IF(_CALC_PNL!E476=1,H476-G476,""))</f>
        <v/>
      </c>
    </row>
    <row r="477" ht="14.25" customHeight="1">
      <c r="A477" t="s">
        <v>86</v>
      </c>
      <c r="B477" t="s">
        <v>213</v>
      </c>
      <c r="C477" t="s">
        <v>152</v>
      </c>
      <c r="D477" t="s">
        <v>229</v>
      </c>
      <c r="E477" t="s">
        <v>147</v>
      </c>
      <c r="F477" t="s">
        <v>148</v>
      </c>
      <c r="G477">
        <v>12007.68</v>
      </c>
      <c r="H477">
        <f>IF(PNL!A477="","",_CALC_PNL!P477)</f>
        <v>12007.68</v>
      </c>
      <c r="I477" t="str">
        <f>IF(PNL!A477="","",IF(_CALC_PNL!E477=1,H477-G477,""))</f>
        <v/>
      </c>
    </row>
    <row r="478" ht="14.25" customHeight="1">
      <c r="A478" t="s">
        <v>106</v>
      </c>
      <c r="B478" t="s">
        <v>213</v>
      </c>
      <c r="C478" t="s">
        <v>152</v>
      </c>
      <c r="D478" t="s">
        <v>229</v>
      </c>
      <c r="E478" t="s">
        <v>147</v>
      </c>
      <c r="F478" t="s">
        <v>148</v>
      </c>
      <c r="G478">
        <v>21291.98</v>
      </c>
      <c r="H478">
        <f>IF(PNL!A478="","",_CALC_PNL!P478)</f>
        <v>21291.98</v>
      </c>
      <c r="I478" t="str">
        <f>IF(PNL!A478="","",IF(_CALC_PNL!E478=1,H478-G478,""))</f>
        <v/>
      </c>
    </row>
    <row r="479" ht="14.25" customHeight="1">
      <c r="A479" t="s">
        <v>105</v>
      </c>
      <c r="B479" t="s">
        <v>213</v>
      </c>
      <c r="C479" t="s">
        <v>152</v>
      </c>
      <c r="D479" t="s">
        <v>229</v>
      </c>
      <c r="E479" t="s">
        <v>147</v>
      </c>
      <c r="F479" t="s">
        <v>148</v>
      </c>
      <c r="G479">
        <v>16125.25</v>
      </c>
      <c r="H479">
        <f>IF(PNL!A479="","",_CALC_PNL!P479)</f>
        <v>16125.25</v>
      </c>
      <c r="I479" t="str">
        <f>IF(PNL!A479="","",IF(_CALC_PNL!E479=1,H479-G479,""))</f>
        <v/>
      </c>
    </row>
    <row r="480" ht="14.25" customHeight="1">
      <c r="A480" t="s">
        <v>108</v>
      </c>
      <c r="B480" t="s">
        <v>213</v>
      </c>
      <c r="C480" t="s">
        <v>152</v>
      </c>
      <c r="D480" t="s">
        <v>229</v>
      </c>
      <c r="E480" t="s">
        <v>147</v>
      </c>
      <c r="F480" t="s">
        <v>148</v>
      </c>
      <c r="G480">
        <v>19708.99</v>
      </c>
      <c r="H480">
        <f>IF(PNL!A480="","",_CALC_PNL!P480)</f>
        <v>19708.99</v>
      </c>
      <c r="I480" t="str">
        <f>IF(PNL!A480="","",IF(_CALC_PNL!E480=1,H480-G480,""))</f>
        <v/>
      </c>
    </row>
    <row r="481" ht="14.25" customHeight="1">
      <c r="A481" t="s">
        <v>107</v>
      </c>
      <c r="B481" t="s">
        <v>213</v>
      </c>
      <c r="C481" t="s">
        <v>152</v>
      </c>
      <c r="D481" t="s">
        <v>229</v>
      </c>
      <c r="E481" t="s">
        <v>147</v>
      </c>
      <c r="F481" t="s">
        <v>148</v>
      </c>
      <c r="G481">
        <v>16406.69</v>
      </c>
      <c r="H481">
        <f>IF(PNL!A481="","",_CALC_PNL!P481)</f>
        <v>16406.69</v>
      </c>
      <c r="I481" t="str">
        <f>IF(PNL!A481="","",IF(_CALC_PNL!E481=1,H481-G481,""))</f>
        <v/>
      </c>
    </row>
    <row r="482" ht="14.25" customHeight="1">
      <c r="A482" t="s">
        <v>104</v>
      </c>
      <c r="B482" t="s">
        <v>214</v>
      </c>
      <c r="C482" t="s">
        <v>156</v>
      </c>
      <c r="D482" t="s">
        <v>229</v>
      </c>
      <c r="E482" t="s">
        <v>147</v>
      </c>
      <c r="F482" t="s">
        <v>148</v>
      </c>
      <c r="G482">
        <v>29610.02</v>
      </c>
      <c r="H482">
        <f>IF(PNL!A482="","",_CALC_PNL!P482)</f>
        <v>29610.02</v>
      </c>
      <c r="I482" t="str">
        <f>IF(PNL!A482="","",IF(_CALC_PNL!E482=1,H482-G482,""))</f>
        <v/>
      </c>
    </row>
    <row r="483" ht="14.25" customHeight="1">
      <c r="A483" t="s">
        <v>101</v>
      </c>
      <c r="B483" t="s">
        <v>214</v>
      </c>
      <c r="C483" t="s">
        <v>156</v>
      </c>
      <c r="D483" t="s">
        <v>229</v>
      </c>
      <c r="E483" t="s">
        <v>147</v>
      </c>
      <c r="F483" t="s">
        <v>148</v>
      </c>
      <c r="G483">
        <v>23159.38</v>
      </c>
      <c r="H483">
        <f>IF(PNL!A483="","",_CALC_PNL!P483)</f>
        <v>23159.38</v>
      </c>
      <c r="I483" t="str">
        <f>IF(PNL!A483="","",IF(_CALC_PNL!E483=1,H483-G483,""))</f>
        <v/>
      </c>
    </row>
    <row r="484" ht="14.25" customHeight="1">
      <c r="A484" t="s">
        <v>103</v>
      </c>
      <c r="B484" t="s">
        <v>214</v>
      </c>
      <c r="C484" t="s">
        <v>156</v>
      </c>
      <c r="D484" t="s">
        <v>229</v>
      </c>
      <c r="E484" t="s">
        <v>147</v>
      </c>
      <c r="F484" t="s">
        <v>148</v>
      </c>
      <c r="G484">
        <v>19556.71</v>
      </c>
      <c r="H484">
        <f>IF(PNL!A484="","",_CALC_PNL!P484)</f>
        <v>19556.71</v>
      </c>
      <c r="I484" t="str">
        <f>IF(PNL!A484="","",IF(_CALC_PNL!E484=1,H484-G484,""))</f>
        <v/>
      </c>
    </row>
    <row r="485" ht="14.25" customHeight="1">
      <c r="A485" t="s">
        <v>99</v>
      </c>
      <c r="B485" t="s">
        <v>214</v>
      </c>
      <c r="C485" t="s">
        <v>156</v>
      </c>
      <c r="D485" t="s">
        <v>229</v>
      </c>
      <c r="E485" t="s">
        <v>147</v>
      </c>
      <c r="F485" t="s">
        <v>148</v>
      </c>
      <c r="G485">
        <v>16103.42</v>
      </c>
      <c r="H485">
        <f>IF(PNL!A485="","",_CALC_PNL!P485)</f>
        <v>16103.42</v>
      </c>
      <c r="I485" t="str">
        <f>IF(PNL!A485="","",IF(_CALC_PNL!E485=1,H485-G485,""))</f>
        <v/>
      </c>
    </row>
    <row r="486" ht="14.25" customHeight="1">
      <c r="A486" t="s">
        <v>95</v>
      </c>
      <c r="B486" t="s">
        <v>214</v>
      </c>
      <c r="C486" t="s">
        <v>156</v>
      </c>
      <c r="D486" t="s">
        <v>229</v>
      </c>
      <c r="E486" t="s">
        <v>147</v>
      </c>
      <c r="F486" t="s">
        <v>148</v>
      </c>
      <c r="G486">
        <v>26368.13</v>
      </c>
      <c r="H486">
        <f>IF(PNL!A486="","",_CALC_PNL!P486)</f>
        <v>26368.13</v>
      </c>
      <c r="I486" t="str">
        <f>IF(PNL!A486="","",IF(_CALC_PNL!E486=1,H486-G486,""))</f>
        <v/>
      </c>
    </row>
    <row r="487" ht="14.25" customHeight="1">
      <c r="A487" t="s">
        <v>93</v>
      </c>
      <c r="B487" t="s">
        <v>214</v>
      </c>
      <c r="C487" t="s">
        <v>156</v>
      </c>
      <c r="D487" t="s">
        <v>229</v>
      </c>
      <c r="E487" t="s">
        <v>147</v>
      </c>
      <c r="F487" t="s">
        <v>148</v>
      </c>
      <c r="G487">
        <v>15944.24</v>
      </c>
      <c r="H487">
        <f>IF(PNL!A487="","",_CALC_PNL!P487)</f>
        <v>15944.24</v>
      </c>
      <c r="I487" t="str">
        <f>IF(PNL!A487="","",IF(_CALC_PNL!E487=1,H487-G487,""))</f>
        <v/>
      </c>
    </row>
    <row r="488" ht="14.25" customHeight="1">
      <c r="A488" t="s">
        <v>97</v>
      </c>
      <c r="B488" t="s">
        <v>214</v>
      </c>
      <c r="C488" t="s">
        <v>156</v>
      </c>
      <c r="D488" t="s">
        <v>229</v>
      </c>
      <c r="E488" t="s">
        <v>147</v>
      </c>
      <c r="F488" t="s">
        <v>148</v>
      </c>
      <c r="G488">
        <v>14249.68</v>
      </c>
      <c r="H488">
        <f>IF(PNL!A488="","",_CALC_PNL!P488)</f>
        <v>14249.68</v>
      </c>
      <c r="I488" t="str">
        <f>IF(PNL!A488="","",IF(_CALC_PNL!E488=1,H488-G488,""))</f>
        <v/>
      </c>
    </row>
    <row r="489" ht="14.25" customHeight="1">
      <c r="A489" t="s">
        <v>89</v>
      </c>
      <c r="B489" t="s">
        <v>214</v>
      </c>
      <c r="C489" t="s">
        <v>156</v>
      </c>
      <c r="D489" t="s">
        <v>229</v>
      </c>
      <c r="E489" t="s">
        <v>147</v>
      </c>
      <c r="F489" t="s">
        <v>148</v>
      </c>
      <c r="G489">
        <v>9480.41</v>
      </c>
      <c r="H489">
        <f>IF(PNL!A489="","",_CALC_PNL!P489)</f>
        <v>9480.41</v>
      </c>
      <c r="I489" t="str">
        <f>IF(PNL!A489="","",IF(_CALC_PNL!E489=1,H489-G489,""))</f>
        <v/>
      </c>
    </row>
    <row r="490" ht="14.25" customHeight="1">
      <c r="A490" t="s">
        <v>91</v>
      </c>
      <c r="B490" t="s">
        <v>214</v>
      </c>
      <c r="C490" t="s">
        <v>156</v>
      </c>
      <c r="D490" t="s">
        <v>229</v>
      </c>
      <c r="E490" t="s">
        <v>147</v>
      </c>
      <c r="F490" t="s">
        <v>148</v>
      </c>
      <c r="G490">
        <v>6268.96</v>
      </c>
      <c r="H490">
        <f>IF(PNL!A490="","",_CALC_PNL!P490)</f>
        <v>6268.96</v>
      </c>
      <c r="I490" t="str">
        <f>IF(PNL!A490="","",IF(_CALC_PNL!E490=1,H490-G490,""))</f>
        <v/>
      </c>
    </row>
    <row r="491" ht="14.25" customHeight="1">
      <c r="A491" t="s">
        <v>86</v>
      </c>
      <c r="B491" t="s">
        <v>214</v>
      </c>
      <c r="C491" t="s">
        <v>156</v>
      </c>
      <c r="D491" t="s">
        <v>229</v>
      </c>
      <c r="E491" t="s">
        <v>147</v>
      </c>
      <c r="F491" t="s">
        <v>148</v>
      </c>
      <c r="G491">
        <v>6265.67</v>
      </c>
      <c r="H491">
        <f>IF(PNL!A491="","",_CALC_PNL!P491)</f>
        <v>6265.67</v>
      </c>
      <c r="I491" t="str">
        <f>IF(PNL!A491="","",IF(_CALC_PNL!E491=1,H491-G491,""))</f>
        <v/>
      </c>
    </row>
    <row r="492" ht="14.25" customHeight="1">
      <c r="A492" t="s">
        <v>106</v>
      </c>
      <c r="B492" t="s">
        <v>214</v>
      </c>
      <c r="C492" t="s">
        <v>156</v>
      </c>
      <c r="D492" t="s">
        <v>229</v>
      </c>
      <c r="E492" t="s">
        <v>147</v>
      </c>
      <c r="F492" t="s">
        <v>148</v>
      </c>
      <c r="G492">
        <v>12641.05</v>
      </c>
      <c r="H492">
        <f>IF(PNL!A492="","",_CALC_PNL!P492)</f>
        <v>12641.05</v>
      </c>
      <c r="I492" t="str">
        <f>IF(PNL!A492="","",IF(_CALC_PNL!E492=1,H492-G492,""))</f>
        <v/>
      </c>
    </row>
    <row r="493" ht="14.25" customHeight="1">
      <c r="A493" t="s">
        <v>105</v>
      </c>
      <c r="B493" t="s">
        <v>214</v>
      </c>
      <c r="C493" t="s">
        <v>156</v>
      </c>
      <c r="D493" t="s">
        <v>229</v>
      </c>
      <c r="E493" t="s">
        <v>147</v>
      </c>
      <c r="F493" t="s">
        <v>148</v>
      </c>
      <c r="G493">
        <v>7436.91</v>
      </c>
      <c r="H493">
        <f>IF(PNL!A493="","",_CALC_PNL!P493)</f>
        <v>7436.91</v>
      </c>
      <c r="I493" t="str">
        <f>IF(PNL!A493="","",IF(_CALC_PNL!E493=1,H493-G493,""))</f>
        <v/>
      </c>
    </row>
    <row r="494" ht="14.25" customHeight="1">
      <c r="A494" t="s">
        <v>108</v>
      </c>
      <c r="B494" t="s">
        <v>214</v>
      </c>
      <c r="C494" t="s">
        <v>156</v>
      </c>
      <c r="D494" t="s">
        <v>229</v>
      </c>
      <c r="E494" t="s">
        <v>147</v>
      </c>
      <c r="F494" t="s">
        <v>148</v>
      </c>
      <c r="G494">
        <v>11189.27</v>
      </c>
      <c r="H494">
        <f>IF(PNL!A494="","",_CALC_PNL!P494)</f>
        <v>11189.27</v>
      </c>
      <c r="I494" t="str">
        <f>IF(PNL!A494="","",IF(_CALC_PNL!E494=1,H494-G494,""))</f>
        <v/>
      </c>
    </row>
    <row r="495" ht="14.25" customHeight="1">
      <c r="A495" t="s">
        <v>107</v>
      </c>
      <c r="B495" t="s">
        <v>214</v>
      </c>
      <c r="C495" t="s">
        <v>156</v>
      </c>
      <c r="D495" t="s">
        <v>229</v>
      </c>
      <c r="E495" t="s">
        <v>147</v>
      </c>
      <c r="F495" t="s">
        <v>148</v>
      </c>
      <c r="G495">
        <v>7949.82</v>
      </c>
      <c r="H495">
        <f>IF(PNL!A495="","",_CALC_PNL!P495)</f>
        <v>7949.82</v>
      </c>
      <c r="I495" t="str">
        <f>IF(PNL!A495="","",IF(_CALC_PNL!E495=1,H495-G495,""))</f>
        <v/>
      </c>
    </row>
    <row r="496" ht="14.25" customHeight="1">
      <c r="A496" t="s">
        <v>104</v>
      </c>
      <c r="B496" t="s">
        <v>214</v>
      </c>
      <c r="C496" t="s">
        <v>155</v>
      </c>
      <c r="D496" t="s">
        <v>229</v>
      </c>
      <c r="E496" t="s">
        <v>147</v>
      </c>
      <c r="F496" t="s">
        <v>148</v>
      </c>
      <c r="G496">
        <v>31103.37</v>
      </c>
      <c r="H496">
        <f>IF(PNL!A496="","",_CALC_PNL!P496)</f>
        <v>31103.37</v>
      </c>
      <c r="I496" t="str">
        <f>IF(PNL!A496="","",IF(_CALC_PNL!E496=1,H496-G496,""))</f>
        <v/>
      </c>
    </row>
    <row r="497" ht="14.25" customHeight="1">
      <c r="A497" t="s">
        <v>101</v>
      </c>
      <c r="B497" t="s">
        <v>214</v>
      </c>
      <c r="C497" t="s">
        <v>155</v>
      </c>
      <c r="D497" t="s">
        <v>229</v>
      </c>
      <c r="E497" t="s">
        <v>147</v>
      </c>
      <c r="F497" t="s">
        <v>148</v>
      </c>
      <c r="G497">
        <v>23963.65</v>
      </c>
      <c r="H497">
        <f>IF(PNL!A497="","",_CALC_PNL!P497)</f>
        <v>23963.65</v>
      </c>
      <c r="I497" t="str">
        <f>IF(PNL!A497="","",IF(_CALC_PNL!E497=1,H497-G497,""))</f>
        <v/>
      </c>
    </row>
    <row r="498" ht="14.25" customHeight="1">
      <c r="A498" t="s">
        <v>103</v>
      </c>
      <c r="B498" t="s">
        <v>214</v>
      </c>
      <c r="C498" t="s">
        <v>155</v>
      </c>
      <c r="D498" t="s">
        <v>229</v>
      </c>
      <c r="E498" t="s">
        <v>147</v>
      </c>
      <c r="F498" t="s">
        <v>148</v>
      </c>
      <c r="G498">
        <v>20552.69</v>
      </c>
      <c r="H498">
        <f>IF(PNL!A498="","",_CALC_PNL!P498)</f>
        <v>20552.69</v>
      </c>
      <c r="I498" t="str">
        <f>IF(PNL!A498="","",IF(_CALC_PNL!E498=1,H498-G498,""))</f>
        <v/>
      </c>
    </row>
    <row r="499" ht="14.25" customHeight="1">
      <c r="A499" t="s">
        <v>99</v>
      </c>
      <c r="B499" t="s">
        <v>214</v>
      </c>
      <c r="C499" t="s">
        <v>155</v>
      </c>
      <c r="D499" t="s">
        <v>229</v>
      </c>
      <c r="E499" t="s">
        <v>147</v>
      </c>
      <c r="F499" t="s">
        <v>148</v>
      </c>
      <c r="G499">
        <v>16805.07</v>
      </c>
      <c r="H499">
        <f>IF(PNL!A499="","",_CALC_PNL!P499)</f>
        <v>16805.07</v>
      </c>
      <c r="I499" t="str">
        <f>IF(PNL!A499="","",IF(_CALC_PNL!E499=1,H499-G499,""))</f>
        <v/>
      </c>
    </row>
    <row r="500" ht="14.25" customHeight="1">
      <c r="A500" t="s">
        <v>95</v>
      </c>
      <c r="B500" t="s">
        <v>214</v>
      </c>
      <c r="C500" t="s">
        <v>155</v>
      </c>
      <c r="D500" t="s">
        <v>229</v>
      </c>
      <c r="E500" t="s">
        <v>147</v>
      </c>
      <c r="F500" t="s">
        <v>148</v>
      </c>
      <c r="G500">
        <v>27761.04</v>
      </c>
      <c r="H500">
        <f>IF(PNL!A500="","",_CALC_PNL!P500)</f>
        <v>27761.04</v>
      </c>
      <c r="I500" t="str">
        <f>IF(PNL!A500="","",IF(_CALC_PNL!E500=1,H500-G500,""))</f>
        <v/>
      </c>
    </row>
    <row r="501" ht="14.25" customHeight="1">
      <c r="A501" t="s">
        <v>93</v>
      </c>
      <c r="B501" t="s">
        <v>214</v>
      </c>
      <c r="C501" t="s">
        <v>155</v>
      </c>
      <c r="D501" t="s">
        <v>229</v>
      </c>
      <c r="E501" t="s">
        <v>147</v>
      </c>
      <c r="F501" t="s">
        <v>148</v>
      </c>
      <c r="G501">
        <v>16629.56</v>
      </c>
      <c r="H501">
        <f>IF(PNL!A501="","",_CALC_PNL!P501)</f>
        <v>16629.56</v>
      </c>
      <c r="I501" t="str">
        <f>IF(PNL!A501="","",IF(_CALC_PNL!E501=1,H501-G501,""))</f>
        <v/>
      </c>
    </row>
    <row r="502" ht="14.25" customHeight="1">
      <c r="A502" t="s">
        <v>97</v>
      </c>
      <c r="B502" t="s">
        <v>214</v>
      </c>
      <c r="C502" t="s">
        <v>155</v>
      </c>
      <c r="D502" t="s">
        <v>229</v>
      </c>
      <c r="E502" t="s">
        <v>147</v>
      </c>
      <c r="F502" t="s">
        <v>148</v>
      </c>
      <c r="G502">
        <v>14733.74</v>
      </c>
      <c r="H502">
        <f>IF(PNL!A502="","",_CALC_PNL!P502)</f>
        <v>14733.74</v>
      </c>
      <c r="I502" t="str">
        <f>IF(PNL!A502="","",IF(_CALC_PNL!E502=1,H502-G502,""))</f>
        <v/>
      </c>
    </row>
    <row r="503" ht="14.25" customHeight="1">
      <c r="A503" t="s">
        <v>89</v>
      </c>
      <c r="B503" t="s">
        <v>214</v>
      </c>
      <c r="C503" t="s">
        <v>155</v>
      </c>
      <c r="D503" t="s">
        <v>229</v>
      </c>
      <c r="E503" t="s">
        <v>147</v>
      </c>
      <c r="F503" t="s">
        <v>148</v>
      </c>
      <c r="G503">
        <v>9795.15</v>
      </c>
      <c r="H503">
        <f>IF(PNL!A503="","",_CALC_PNL!P503)</f>
        <v>9795.15</v>
      </c>
      <c r="I503" t="str">
        <f>IF(PNL!A503="","",IF(_CALC_PNL!E503=1,H503-G503,""))</f>
        <v/>
      </c>
    </row>
    <row r="504" ht="14.25" customHeight="1">
      <c r="A504" t="s">
        <v>91</v>
      </c>
      <c r="B504" t="s">
        <v>214</v>
      </c>
      <c r="C504" t="s">
        <v>155</v>
      </c>
      <c r="D504" t="s">
        <v>229</v>
      </c>
      <c r="E504" t="s">
        <v>147</v>
      </c>
      <c r="F504" t="s">
        <v>148</v>
      </c>
      <c r="G504">
        <v>6496.41</v>
      </c>
      <c r="H504">
        <f>IF(PNL!A504="","",_CALC_PNL!P504)</f>
        <v>6496.41</v>
      </c>
      <c r="I504" t="str">
        <f>IF(PNL!A504="","",IF(_CALC_PNL!E504=1,H504-G504,""))</f>
        <v/>
      </c>
    </row>
    <row r="505" ht="14.25" customHeight="1">
      <c r="A505" t="s">
        <v>86</v>
      </c>
      <c r="B505" t="s">
        <v>214</v>
      </c>
      <c r="C505" t="s">
        <v>155</v>
      </c>
      <c r="D505" t="s">
        <v>229</v>
      </c>
      <c r="E505" t="s">
        <v>147</v>
      </c>
      <c r="F505" t="s">
        <v>148</v>
      </c>
      <c r="G505">
        <v>6492.78</v>
      </c>
      <c r="H505">
        <f>IF(PNL!A505="","",_CALC_PNL!P505)</f>
        <v>6492.78</v>
      </c>
      <c r="I505" t="str">
        <f>IF(PNL!A505="","",IF(_CALC_PNL!E505=1,H505-G505,""))</f>
        <v/>
      </c>
    </row>
    <row r="506" ht="14.25" customHeight="1">
      <c r="A506" t="s">
        <v>106</v>
      </c>
      <c r="B506" t="s">
        <v>214</v>
      </c>
      <c r="C506" t="s">
        <v>155</v>
      </c>
      <c r="D506" t="s">
        <v>229</v>
      </c>
      <c r="E506" t="s">
        <v>147</v>
      </c>
      <c r="F506" t="s">
        <v>148</v>
      </c>
      <c r="G506">
        <v>13080.39</v>
      </c>
      <c r="H506">
        <f>IF(PNL!A506="","",_CALC_PNL!P506)</f>
        <v>13080.39</v>
      </c>
      <c r="I506" t="str">
        <f>IF(PNL!A506="","",IF(_CALC_PNL!E506=1,H506-G506,""))</f>
        <v/>
      </c>
    </row>
    <row r="507" ht="14.25" customHeight="1">
      <c r="A507" t="s">
        <v>105</v>
      </c>
      <c r="B507" t="s">
        <v>214</v>
      </c>
      <c r="C507" t="s">
        <v>155</v>
      </c>
      <c r="D507" t="s">
        <v>229</v>
      </c>
      <c r="E507" t="s">
        <v>147</v>
      </c>
      <c r="F507" t="s">
        <v>148</v>
      </c>
      <c r="G507">
        <v>7830.24</v>
      </c>
      <c r="H507">
        <f>IF(PNL!A507="","",_CALC_PNL!P507)</f>
        <v>7830.24</v>
      </c>
      <c r="I507" t="str">
        <f>IF(PNL!A507="","",IF(_CALC_PNL!E507=1,H507-G507,""))</f>
        <v/>
      </c>
    </row>
    <row r="508" ht="14.25" customHeight="1">
      <c r="A508" t="s">
        <v>108</v>
      </c>
      <c r="B508" t="s">
        <v>214</v>
      </c>
      <c r="C508" t="s">
        <v>155</v>
      </c>
      <c r="D508" t="s">
        <v>229</v>
      </c>
      <c r="E508" t="s">
        <v>147</v>
      </c>
      <c r="F508" t="s">
        <v>148</v>
      </c>
      <c r="G508">
        <v>11880.46</v>
      </c>
      <c r="H508">
        <f>IF(PNL!A508="","",_CALC_PNL!P508)</f>
        <v>11880.46</v>
      </c>
      <c r="I508" t="str">
        <f>IF(PNL!A508="","",IF(_CALC_PNL!E508=1,H508-G508,""))</f>
        <v/>
      </c>
    </row>
    <row r="509" ht="14.25" customHeight="1">
      <c r="A509" t="s">
        <v>107</v>
      </c>
      <c r="B509" t="s">
        <v>214</v>
      </c>
      <c r="C509" t="s">
        <v>155</v>
      </c>
      <c r="D509" t="s">
        <v>229</v>
      </c>
      <c r="E509" t="s">
        <v>147</v>
      </c>
      <c r="F509" t="s">
        <v>148</v>
      </c>
      <c r="G509">
        <v>8530.03</v>
      </c>
      <c r="H509">
        <f>IF(PNL!A509="","",_CALC_PNL!P509)</f>
        <v>8530.03</v>
      </c>
      <c r="I509" t="str">
        <f>IF(PNL!A509="","",IF(_CALC_PNL!E509=1,H509-G509,""))</f>
        <v/>
      </c>
    </row>
    <row r="510" ht="14.25" customHeight="1">
      <c r="A510" t="s">
        <v>104</v>
      </c>
      <c r="B510" t="s">
        <v>214</v>
      </c>
      <c r="C510" t="s">
        <v>152</v>
      </c>
      <c r="D510" t="s">
        <v>229</v>
      </c>
      <c r="E510" t="s">
        <v>147</v>
      </c>
      <c r="F510" t="s">
        <v>148</v>
      </c>
      <c r="G510">
        <v>32205.92</v>
      </c>
      <c r="H510">
        <f>IF(PNL!A510="","",_CALC_PNL!P510)</f>
        <v>32205.92</v>
      </c>
      <c r="I510" t="str">
        <f>IF(PNL!A510="","",IF(_CALC_PNL!E510=1,H510-G510,""))</f>
        <v/>
      </c>
    </row>
    <row r="511" ht="14.25" customHeight="1">
      <c r="A511" t="s">
        <v>101</v>
      </c>
      <c r="B511" t="s">
        <v>214</v>
      </c>
      <c r="C511" t="s">
        <v>152</v>
      </c>
      <c r="D511" t="s">
        <v>229</v>
      </c>
      <c r="E511" t="s">
        <v>147</v>
      </c>
      <c r="F511" t="s">
        <v>148</v>
      </c>
      <c r="G511">
        <v>25123.58</v>
      </c>
      <c r="H511">
        <f>IF(PNL!A511="","",_CALC_PNL!P511)</f>
        <v>25123.58</v>
      </c>
      <c r="I511" t="str">
        <f>IF(PNL!A511="","",IF(_CALC_PNL!E511=1,H511-G511,""))</f>
        <v/>
      </c>
    </row>
    <row r="512" ht="14.25" customHeight="1">
      <c r="A512" t="s">
        <v>103</v>
      </c>
      <c r="B512" t="s">
        <v>214</v>
      </c>
      <c r="C512" t="s">
        <v>152</v>
      </c>
      <c r="D512" t="s">
        <v>229</v>
      </c>
      <c r="E512" t="s">
        <v>147</v>
      </c>
      <c r="F512" t="s">
        <v>148</v>
      </c>
      <c r="G512">
        <v>21245.01</v>
      </c>
      <c r="H512">
        <f>IF(PNL!A512="","",_CALC_PNL!P512)</f>
        <v>21245.01</v>
      </c>
      <c r="I512" t="str">
        <f>IF(PNL!A512="","",IF(_CALC_PNL!E512=1,H512-G512,""))</f>
        <v/>
      </c>
    </row>
    <row r="513" ht="14.25" customHeight="1">
      <c r="A513" t="s">
        <v>99</v>
      </c>
      <c r="B513" t="s">
        <v>214</v>
      </c>
      <c r="C513" t="s">
        <v>152</v>
      </c>
      <c r="D513" t="s">
        <v>229</v>
      </c>
      <c r="E513" t="s">
        <v>147</v>
      </c>
      <c r="F513" t="s">
        <v>148</v>
      </c>
      <c r="G513">
        <v>17583.04</v>
      </c>
      <c r="H513">
        <f>IF(PNL!A513="","",_CALC_PNL!P513)</f>
        <v>17583.04</v>
      </c>
      <c r="I513" t="str">
        <f>IF(PNL!A513="","",IF(_CALC_PNL!E513=1,H513-G513,""))</f>
        <v/>
      </c>
    </row>
    <row r="514" ht="14.25" customHeight="1">
      <c r="A514" t="s">
        <v>95</v>
      </c>
      <c r="B514" t="s">
        <v>214</v>
      </c>
      <c r="C514" t="s">
        <v>152</v>
      </c>
      <c r="D514" t="s">
        <v>229</v>
      </c>
      <c r="E514" t="s">
        <v>147</v>
      </c>
      <c r="F514" t="s">
        <v>148</v>
      </c>
      <c r="G514">
        <v>29012.78</v>
      </c>
      <c r="H514">
        <f>IF(PNL!A514="","",_CALC_PNL!P514)</f>
        <v>29012.78</v>
      </c>
      <c r="I514" t="str">
        <f>IF(PNL!A514="","",IF(_CALC_PNL!E514=1,H514-G514,""))</f>
        <v/>
      </c>
    </row>
    <row r="515" ht="14.25" customHeight="1">
      <c r="A515" t="s">
        <v>93</v>
      </c>
      <c r="B515" t="s">
        <v>214</v>
      </c>
      <c r="C515" t="s">
        <v>152</v>
      </c>
      <c r="D515" t="s">
        <v>229</v>
      </c>
      <c r="E515" t="s">
        <v>147</v>
      </c>
      <c r="F515" t="s">
        <v>148</v>
      </c>
      <c r="G515">
        <v>17496.6</v>
      </c>
      <c r="H515">
        <f>IF(PNL!A515="","",_CALC_PNL!P515)</f>
        <v>17496.6</v>
      </c>
      <c r="I515" t="str">
        <f>IF(PNL!A515="","",IF(_CALC_PNL!E515=1,H515-G515,""))</f>
        <v/>
      </c>
    </row>
    <row r="516" ht="14.25" customHeight="1">
      <c r="A516" t="s">
        <v>97</v>
      </c>
      <c r="B516" t="s">
        <v>214</v>
      </c>
      <c r="C516" t="s">
        <v>152</v>
      </c>
      <c r="D516" t="s">
        <v>229</v>
      </c>
      <c r="E516" t="s">
        <v>147</v>
      </c>
      <c r="F516" t="s">
        <v>148</v>
      </c>
      <c r="G516">
        <v>15575.06</v>
      </c>
      <c r="H516">
        <f>IF(PNL!A516="","",_CALC_PNL!P516)</f>
        <v>15575.06</v>
      </c>
      <c r="I516" t="str">
        <f>IF(PNL!A516="","",IF(_CALC_PNL!E516=1,H516-G516,""))</f>
        <v/>
      </c>
    </row>
    <row r="517" ht="14.25" customHeight="1">
      <c r="A517" t="s">
        <v>89</v>
      </c>
      <c r="B517" t="s">
        <v>214</v>
      </c>
      <c r="C517" t="s">
        <v>152</v>
      </c>
      <c r="D517" t="s">
        <v>229</v>
      </c>
      <c r="E517" t="s">
        <v>147</v>
      </c>
      <c r="F517" t="s">
        <v>148</v>
      </c>
      <c r="G517">
        <v>10237.3</v>
      </c>
      <c r="H517">
        <f>IF(PNL!A517="","",_CALC_PNL!P517)</f>
        <v>10237.3</v>
      </c>
      <c r="I517" t="str">
        <f>IF(PNL!A517="","",IF(_CALC_PNL!E517=1,H517-G517,""))</f>
        <v/>
      </c>
    </row>
    <row r="518" ht="14.25" customHeight="1">
      <c r="A518" t="s">
        <v>91</v>
      </c>
      <c r="B518" t="s">
        <v>214</v>
      </c>
      <c r="C518" t="s">
        <v>152</v>
      </c>
      <c r="D518" t="s">
        <v>229</v>
      </c>
      <c r="E518" t="s">
        <v>147</v>
      </c>
      <c r="F518" t="s">
        <v>148</v>
      </c>
      <c r="G518">
        <v>6688.26</v>
      </c>
      <c r="H518">
        <f>IF(PNL!A518="","",_CALC_PNL!P518)</f>
        <v>6688.26</v>
      </c>
      <c r="I518" t="str">
        <f>IF(PNL!A518="","",IF(_CALC_PNL!E518=1,H518-G518,""))</f>
        <v/>
      </c>
    </row>
    <row r="519" ht="14.25" customHeight="1">
      <c r="A519" t="s">
        <v>86</v>
      </c>
      <c r="B519" t="s">
        <v>214</v>
      </c>
      <c r="C519" t="s">
        <v>152</v>
      </c>
      <c r="D519" t="s">
        <v>229</v>
      </c>
      <c r="E519" t="s">
        <v>147</v>
      </c>
      <c r="F519" t="s">
        <v>148</v>
      </c>
      <c r="G519">
        <v>6684.27</v>
      </c>
      <c r="H519">
        <f>IF(PNL!A519="","",_CALC_PNL!P519)</f>
        <v>6684.27</v>
      </c>
      <c r="I519" t="str">
        <f>IF(PNL!A519="","",IF(_CALC_PNL!E519=1,H519-G519,""))</f>
        <v/>
      </c>
    </row>
    <row r="520" ht="14.25" customHeight="1">
      <c r="A520" t="s">
        <v>106</v>
      </c>
      <c r="B520" t="s">
        <v>214</v>
      </c>
      <c r="C520" t="s">
        <v>152</v>
      </c>
      <c r="D520" t="s">
        <v>229</v>
      </c>
      <c r="E520" t="s">
        <v>147</v>
      </c>
      <c r="F520" t="s">
        <v>148</v>
      </c>
      <c r="G520">
        <v>13828.43</v>
      </c>
      <c r="H520">
        <f>IF(PNL!A520="","",_CALC_PNL!P520)</f>
        <v>13828.43</v>
      </c>
      <c r="I520" t="str">
        <f>IF(PNL!A520="","",IF(_CALC_PNL!E520=1,H520-G520,""))</f>
        <v/>
      </c>
    </row>
    <row r="521" ht="14.25" customHeight="1">
      <c r="A521" t="s">
        <v>105</v>
      </c>
      <c r="B521" t="s">
        <v>214</v>
      </c>
      <c r="C521" t="s">
        <v>152</v>
      </c>
      <c r="D521" t="s">
        <v>229</v>
      </c>
      <c r="E521" t="s">
        <v>147</v>
      </c>
      <c r="F521" t="s">
        <v>148</v>
      </c>
      <c r="G521">
        <v>8171.39</v>
      </c>
      <c r="H521">
        <f>IF(PNL!A521="","",_CALC_PNL!P521)</f>
        <v>8171.39</v>
      </c>
      <c r="I521" t="str">
        <f>IF(PNL!A521="","",IF(_CALC_PNL!E521=1,H521-G521,""))</f>
        <v/>
      </c>
    </row>
    <row r="522" ht="14.25" customHeight="1">
      <c r="A522" t="s">
        <v>108</v>
      </c>
      <c r="B522" t="s">
        <v>214</v>
      </c>
      <c r="C522" t="s">
        <v>152</v>
      </c>
      <c r="D522" t="s">
        <v>229</v>
      </c>
      <c r="E522" t="s">
        <v>147</v>
      </c>
      <c r="F522" t="s">
        <v>148</v>
      </c>
      <c r="G522">
        <v>12940.95</v>
      </c>
      <c r="H522">
        <f>IF(PNL!A522="","",_CALC_PNL!P522)</f>
        <v>12940.95</v>
      </c>
      <c r="I522" t="str">
        <f>IF(PNL!A522="","",IF(_CALC_PNL!E522=1,H522-G522,""))</f>
        <v/>
      </c>
    </row>
    <row r="523" ht="14.25" customHeight="1">
      <c r="A523" t="s">
        <v>107</v>
      </c>
      <c r="B523" t="s">
        <v>214</v>
      </c>
      <c r="C523" t="s">
        <v>152</v>
      </c>
      <c r="D523" t="s">
        <v>229</v>
      </c>
      <c r="E523" t="s">
        <v>147</v>
      </c>
      <c r="F523" t="s">
        <v>148</v>
      </c>
      <c r="G523">
        <v>9133.84</v>
      </c>
      <c r="H523">
        <f>IF(PNL!A523="","",_CALC_PNL!P523)</f>
        <v>9133.84</v>
      </c>
      <c r="I523" t="str">
        <f>IF(PNL!A523="","",IF(_CALC_PNL!E523=1,H523-G523,""))</f>
        <v/>
      </c>
    </row>
    <row r="524" ht="14.25" customHeight="1">
      <c r="A524" t="s">
        <v>209</v>
      </c>
      <c r="B524" t="s">
        <v>215</v>
      </c>
      <c r="C524" t="s">
        <v>156</v>
      </c>
      <c r="D524" t="s">
        <v>229</v>
      </c>
      <c r="E524" t="s">
        <v>147</v>
      </c>
      <c r="F524" t="s">
        <v>148</v>
      </c>
      <c r="G524">
        <v>515487</v>
      </c>
      <c r="H524">
        <f>IF(PNL!A524="","",_CALC_PNL!P524)</f>
        <v>515487</v>
      </c>
      <c r="I524" t="str">
        <f>IF(PNL!A524="","",IF(_CALC_PNL!E524=1,H524-G524,""))</f>
        <v/>
      </c>
    </row>
    <row r="525" ht="14.25" customHeight="1">
      <c r="A525" t="s">
        <v>209</v>
      </c>
      <c r="B525" t="s">
        <v>215</v>
      </c>
      <c r="C525" t="s">
        <v>155</v>
      </c>
      <c r="D525" t="s">
        <v>229</v>
      </c>
      <c r="E525" t="s">
        <v>147</v>
      </c>
      <c r="F525" t="s">
        <v>148</v>
      </c>
      <c r="G525">
        <v>539108</v>
      </c>
      <c r="H525">
        <f>IF(PNL!A525="","",_CALC_PNL!P525)</f>
        <v>539108</v>
      </c>
      <c r="I525" t="str">
        <f>IF(PNL!A525="","",IF(_CALC_PNL!E525=1,H525-G525,""))</f>
        <v/>
      </c>
    </row>
    <row r="526" ht="14.25" customHeight="1">
      <c r="A526" t="s">
        <v>209</v>
      </c>
      <c r="B526" t="s">
        <v>215</v>
      </c>
      <c r="C526" t="s">
        <v>152</v>
      </c>
      <c r="D526" t="s">
        <v>229</v>
      </c>
      <c r="E526" t="s">
        <v>147</v>
      </c>
      <c r="F526" t="s">
        <v>148</v>
      </c>
      <c r="G526">
        <v>564841</v>
      </c>
      <c r="H526">
        <f>IF(PNL!A526="","",_CALC_PNL!P526)</f>
        <v>564841</v>
      </c>
      <c r="I526" t="str">
        <f>IF(PNL!A526="","",IF(_CALC_PNL!E526=1,H526-G526,""))</f>
        <v/>
      </c>
    </row>
    <row r="527" ht="14.25" customHeight="1">
      <c r="A527" t="s">
        <v>209</v>
      </c>
      <c r="B527" t="s">
        <v>216</v>
      </c>
      <c r="C527" t="s">
        <v>156</v>
      </c>
      <c r="D527" t="s">
        <v>229</v>
      </c>
      <c r="E527" t="s">
        <v>147</v>
      </c>
      <c r="F527" t="s">
        <v>148</v>
      </c>
      <c r="G527">
        <v>499926</v>
      </c>
      <c r="H527">
        <f>IF(PNL!A527="","",_CALC_PNL!P527)</f>
        <v>499926</v>
      </c>
      <c r="I527" t="str">
        <f>IF(PNL!A527="","",IF(_CALC_PNL!E527=1,H527-G527,""))</f>
        <v/>
      </c>
    </row>
    <row r="528" ht="14.25" customHeight="1">
      <c r="A528" t="s">
        <v>209</v>
      </c>
      <c r="B528" t="s">
        <v>216</v>
      </c>
      <c r="C528" t="s">
        <v>155</v>
      </c>
      <c r="D528" t="s">
        <v>229</v>
      </c>
      <c r="E528" t="s">
        <v>147</v>
      </c>
      <c r="F528" t="s">
        <v>148</v>
      </c>
      <c r="G528">
        <v>580167</v>
      </c>
      <c r="H528">
        <f>IF(PNL!A528="","",_CALC_PNL!P528)</f>
        <v>580167</v>
      </c>
      <c r="I528" t="str">
        <f>IF(PNL!A528="","",IF(_CALC_PNL!E528=1,H528-G528,""))</f>
        <v/>
      </c>
    </row>
    <row r="529" ht="14.25" customHeight="1">
      <c r="A529" t="s">
        <v>209</v>
      </c>
      <c r="B529" t="s">
        <v>216</v>
      </c>
      <c r="C529" t="s">
        <v>152</v>
      </c>
      <c r="D529" t="s">
        <v>229</v>
      </c>
      <c r="E529" t="s">
        <v>147</v>
      </c>
      <c r="F529" t="s">
        <v>148</v>
      </c>
      <c r="G529">
        <v>676344</v>
      </c>
      <c r="H529">
        <f>IF(PNL!A529="","",_CALC_PNL!P529)</f>
        <v>676344</v>
      </c>
      <c r="I529" t="str">
        <f>IF(PNL!A529="","",IF(_CALC_PNL!E529=1,H529-G529,""))</f>
        <v/>
      </c>
    </row>
    <row r="530" ht="14.25" customHeight="1">
      <c r="A530" t="s">
        <v>104</v>
      </c>
      <c r="B530" t="s">
        <v>217</v>
      </c>
      <c r="C530" t="s">
        <v>156</v>
      </c>
      <c r="D530" t="s">
        <v>229</v>
      </c>
      <c r="E530" t="s">
        <v>147</v>
      </c>
      <c r="F530" t="s">
        <v>148</v>
      </c>
      <c r="G530">
        <v>44415.03</v>
      </c>
      <c r="H530">
        <f>IF(PNL!A530="","",_CALC_PNL!P530)</f>
        <v>44415.03</v>
      </c>
      <c r="I530" t="str">
        <f>IF(PNL!A530="","",IF(_CALC_PNL!E530=1,H530-G530,""))</f>
        <v/>
      </c>
    </row>
    <row r="531" ht="14.25" customHeight="1">
      <c r="A531" t="s">
        <v>101</v>
      </c>
      <c r="B531" t="s">
        <v>217</v>
      </c>
      <c r="C531" t="s">
        <v>156</v>
      </c>
      <c r="D531" t="s">
        <v>229</v>
      </c>
      <c r="E531" t="s">
        <v>147</v>
      </c>
      <c r="F531" t="s">
        <v>148</v>
      </c>
      <c r="G531">
        <v>34739.07</v>
      </c>
      <c r="H531">
        <f>IF(PNL!A531="","",_CALC_PNL!P531)</f>
        <v>34739.07</v>
      </c>
      <c r="I531" t="str">
        <f>IF(PNL!A531="","",IF(_CALC_PNL!E531=1,H531-G531,""))</f>
        <v/>
      </c>
    </row>
    <row r="532" ht="14.25" customHeight="1">
      <c r="A532" t="s">
        <v>103</v>
      </c>
      <c r="B532" t="s">
        <v>217</v>
      </c>
      <c r="C532" t="s">
        <v>156</v>
      </c>
      <c r="D532" t="s">
        <v>229</v>
      </c>
      <c r="E532" t="s">
        <v>147</v>
      </c>
      <c r="F532" t="s">
        <v>148</v>
      </c>
      <c r="G532">
        <v>29335.06</v>
      </c>
      <c r="H532">
        <f>IF(PNL!A532="","",_CALC_PNL!P532)</f>
        <v>29335.06</v>
      </c>
      <c r="I532" t="str">
        <f>IF(PNL!A532="","",IF(_CALC_PNL!E532=1,H532-G532,""))</f>
        <v/>
      </c>
    </row>
    <row r="533" ht="14.25" customHeight="1">
      <c r="A533" t="s">
        <v>99</v>
      </c>
      <c r="B533" t="s">
        <v>217</v>
      </c>
      <c r="C533" t="s">
        <v>156</v>
      </c>
      <c r="D533" t="s">
        <v>229</v>
      </c>
      <c r="E533" t="s">
        <v>147</v>
      </c>
      <c r="F533" t="s">
        <v>148</v>
      </c>
      <c r="G533">
        <v>24154.6</v>
      </c>
      <c r="H533">
        <f>IF(PNL!A533="","",_CALC_PNL!P533)</f>
        <v>24154.6</v>
      </c>
      <c r="I533" t="str">
        <f>IF(PNL!A533="","",IF(_CALC_PNL!E533=1,H533-G533,""))</f>
        <v/>
      </c>
    </row>
    <row r="534" ht="14.25" customHeight="1">
      <c r="A534" t="s">
        <v>95</v>
      </c>
      <c r="B534" t="s">
        <v>217</v>
      </c>
      <c r="C534" t="s">
        <v>156</v>
      </c>
      <c r="D534" t="s">
        <v>229</v>
      </c>
      <c r="E534" t="s">
        <v>147</v>
      </c>
      <c r="F534" t="s">
        <v>148</v>
      </c>
      <c r="G534">
        <v>39552.6</v>
      </c>
      <c r="H534">
        <f>IF(PNL!A534="","",_CALC_PNL!P534)</f>
        <v>39552.6</v>
      </c>
      <c r="I534" t="str">
        <f>IF(PNL!A534="","",IF(_CALC_PNL!E534=1,H534-G534,""))</f>
        <v/>
      </c>
    </row>
    <row r="535" ht="14.25" customHeight="1">
      <c r="A535" t="s">
        <v>93</v>
      </c>
      <c r="B535" t="s">
        <v>217</v>
      </c>
      <c r="C535" t="s">
        <v>156</v>
      </c>
      <c r="D535" t="s">
        <v>229</v>
      </c>
      <c r="E535" t="s">
        <v>147</v>
      </c>
      <c r="F535" t="s">
        <v>148</v>
      </c>
      <c r="G535">
        <v>23916.36</v>
      </c>
      <c r="H535">
        <f>IF(PNL!A535="","",_CALC_PNL!P535)</f>
        <v>23916.36</v>
      </c>
      <c r="I535" t="str">
        <f>IF(PNL!A535="","",IF(_CALC_PNL!E535=1,H535-G535,""))</f>
        <v/>
      </c>
    </row>
    <row r="536" ht="14.25" customHeight="1">
      <c r="A536" t="s">
        <v>97</v>
      </c>
      <c r="B536" t="s">
        <v>217</v>
      </c>
      <c r="C536" t="s">
        <v>156</v>
      </c>
      <c r="D536" t="s">
        <v>229</v>
      </c>
      <c r="E536" t="s">
        <v>147</v>
      </c>
      <c r="F536" t="s">
        <v>148</v>
      </c>
      <c r="G536">
        <v>21373.92</v>
      </c>
      <c r="H536">
        <f>IF(PNL!A536="","",_CALC_PNL!P536)</f>
        <v>21373.92</v>
      </c>
      <c r="I536" t="str">
        <f>IF(PNL!A536="","",IF(_CALC_PNL!E536=1,H536-G536,""))</f>
        <v/>
      </c>
    </row>
    <row r="537" ht="14.25" customHeight="1">
      <c r="A537" t="s">
        <v>89</v>
      </c>
      <c r="B537" t="s">
        <v>217</v>
      </c>
      <c r="C537" t="s">
        <v>156</v>
      </c>
      <c r="D537" t="s">
        <v>229</v>
      </c>
      <c r="E537" t="s">
        <v>147</v>
      </c>
      <c r="F537" t="s">
        <v>148</v>
      </c>
      <c r="G537">
        <v>14219.47</v>
      </c>
      <c r="H537">
        <f>IF(PNL!A537="","",_CALC_PNL!P537)</f>
        <v>14219.47</v>
      </c>
      <c r="I537" t="str">
        <f>IF(PNL!A537="","",IF(_CALC_PNL!E537=1,H537-G537,""))</f>
        <v/>
      </c>
    </row>
    <row r="538" ht="14.25" customHeight="1">
      <c r="A538" t="s">
        <v>91</v>
      </c>
      <c r="B538" t="s">
        <v>217</v>
      </c>
      <c r="C538" t="s">
        <v>156</v>
      </c>
      <c r="D538" t="s">
        <v>229</v>
      </c>
      <c r="E538" t="s">
        <v>147</v>
      </c>
      <c r="F538" t="s">
        <v>148</v>
      </c>
      <c r="G538">
        <v>9402.91</v>
      </c>
      <c r="H538">
        <f>IF(PNL!A538="","",_CALC_PNL!P538)</f>
        <v>9402.91</v>
      </c>
      <c r="I538" t="str">
        <f>IF(PNL!A538="","",IF(_CALC_PNL!E538=1,H538-G538,""))</f>
        <v/>
      </c>
    </row>
    <row r="539" ht="14.25" customHeight="1">
      <c r="A539" t="s">
        <v>86</v>
      </c>
      <c r="B539" t="s">
        <v>217</v>
      </c>
      <c r="C539" t="s">
        <v>156</v>
      </c>
      <c r="D539" t="s">
        <v>229</v>
      </c>
      <c r="E539" t="s">
        <v>147</v>
      </c>
      <c r="F539" t="s">
        <v>148</v>
      </c>
      <c r="G539">
        <v>9397.98</v>
      </c>
      <c r="H539">
        <f>IF(PNL!A539="","",_CALC_PNL!P539)</f>
        <v>9397.98</v>
      </c>
      <c r="I539" t="str">
        <f>IF(PNL!A539="","",IF(_CALC_PNL!E539=1,H539-G539,""))</f>
        <v/>
      </c>
    </row>
    <row r="540" ht="14.25" customHeight="1">
      <c r="A540" t="s">
        <v>106</v>
      </c>
      <c r="B540" t="s">
        <v>217</v>
      </c>
      <c r="C540" t="s">
        <v>156</v>
      </c>
      <c r="D540" t="s">
        <v>229</v>
      </c>
      <c r="E540" t="s">
        <v>147</v>
      </c>
      <c r="F540" t="s">
        <v>148</v>
      </c>
      <c r="G540">
        <v>18962.65</v>
      </c>
      <c r="H540">
        <f>IF(PNL!A540="","",_CALC_PNL!P540)</f>
        <v>18962.65</v>
      </c>
      <c r="I540" t="str">
        <f>IF(PNL!A540="","",IF(_CALC_PNL!E540=1,H540-G540,""))</f>
        <v/>
      </c>
    </row>
    <row r="541" ht="14.25" customHeight="1">
      <c r="A541" t="s">
        <v>105</v>
      </c>
      <c r="B541" t="s">
        <v>217</v>
      </c>
      <c r="C541" t="s">
        <v>156</v>
      </c>
      <c r="D541" t="s">
        <v>229</v>
      </c>
      <c r="E541" t="s">
        <v>147</v>
      </c>
      <c r="F541" t="s">
        <v>148</v>
      </c>
      <c r="G541">
        <v>11156.23</v>
      </c>
      <c r="H541">
        <f>IF(PNL!A541="","",_CALC_PNL!P541)</f>
        <v>11156.23</v>
      </c>
      <c r="I541" t="str">
        <f>IF(PNL!A541="","",IF(_CALC_PNL!E541=1,H541-G541,""))</f>
        <v/>
      </c>
    </row>
    <row r="542" ht="14.25" customHeight="1">
      <c r="A542" t="s">
        <v>108</v>
      </c>
      <c r="B542" t="s">
        <v>217</v>
      </c>
      <c r="C542" t="s">
        <v>156</v>
      </c>
      <c r="D542" t="s">
        <v>229</v>
      </c>
      <c r="E542" t="s">
        <v>147</v>
      </c>
      <c r="F542" t="s">
        <v>148</v>
      </c>
      <c r="G542">
        <v>16784.34</v>
      </c>
      <c r="H542">
        <f>IF(PNL!A542="","",_CALC_PNL!P542)</f>
        <v>16784.34</v>
      </c>
      <c r="I542" t="str">
        <f>IF(PNL!A542="","",IF(_CALC_PNL!E542=1,H542-G542,""))</f>
        <v/>
      </c>
    </row>
    <row r="543" ht="14.25" customHeight="1">
      <c r="A543" t="s">
        <v>107</v>
      </c>
      <c r="B543" t="s">
        <v>217</v>
      </c>
      <c r="C543" t="s">
        <v>156</v>
      </c>
      <c r="D543" t="s">
        <v>229</v>
      </c>
      <c r="E543" t="s">
        <v>147</v>
      </c>
      <c r="F543" t="s">
        <v>148</v>
      </c>
      <c r="G543">
        <v>11925.78</v>
      </c>
      <c r="H543">
        <f>IF(PNL!A543="","",_CALC_PNL!P543)</f>
        <v>11925.78</v>
      </c>
      <c r="I543" t="str">
        <f>IF(PNL!A543="","",IF(_CALC_PNL!E543=1,H543-G543,""))</f>
        <v/>
      </c>
    </row>
    <row r="544" ht="14.25" customHeight="1">
      <c r="A544" t="s">
        <v>104</v>
      </c>
      <c r="B544" t="s">
        <v>217</v>
      </c>
      <c r="C544" t="s">
        <v>155</v>
      </c>
      <c r="D544" t="s">
        <v>229</v>
      </c>
      <c r="E544" t="s">
        <v>147</v>
      </c>
      <c r="F544" t="s">
        <v>148</v>
      </c>
      <c r="G544">
        <v>46655.06</v>
      </c>
      <c r="H544">
        <f>IF(PNL!A544="","",_CALC_PNL!P544)</f>
        <v>46655.06</v>
      </c>
      <c r="I544" t="str">
        <f>IF(PNL!A544="","",IF(_CALC_PNL!E544=1,H544-G544,""))</f>
        <v/>
      </c>
    </row>
    <row r="545" ht="14.25" customHeight="1">
      <c r="A545" t="s">
        <v>101</v>
      </c>
      <c r="B545" t="s">
        <v>217</v>
      </c>
      <c r="C545" t="s">
        <v>155</v>
      </c>
      <c r="D545" t="s">
        <v>229</v>
      </c>
      <c r="E545" t="s">
        <v>147</v>
      </c>
      <c r="F545" t="s">
        <v>148</v>
      </c>
      <c r="G545">
        <v>35945.47</v>
      </c>
      <c r="H545">
        <f>IF(PNL!A545="","",_CALC_PNL!P545)</f>
        <v>35945.47</v>
      </c>
      <c r="I545" t="str">
        <f>IF(PNL!A545="","",IF(_CALC_PNL!E545=1,H545-G545,""))</f>
        <v/>
      </c>
    </row>
    <row r="546" ht="14.25" customHeight="1">
      <c r="A546" t="s">
        <v>103</v>
      </c>
      <c r="B546" t="s">
        <v>217</v>
      </c>
      <c r="C546" t="s">
        <v>155</v>
      </c>
      <c r="D546" t="s">
        <v>229</v>
      </c>
      <c r="E546" t="s">
        <v>147</v>
      </c>
      <c r="F546" t="s">
        <v>148</v>
      </c>
      <c r="G546">
        <v>30827.86</v>
      </c>
      <c r="H546">
        <f>IF(PNL!A546="","",_CALC_PNL!P546)</f>
        <v>30827.86</v>
      </c>
      <c r="I546" t="str">
        <f>IF(PNL!A546="","",IF(_CALC_PNL!E546=1,H546-G546,""))</f>
        <v/>
      </c>
    </row>
    <row r="547" ht="14.25" customHeight="1">
      <c r="A547" t="s">
        <v>99</v>
      </c>
      <c r="B547" t="s">
        <v>217</v>
      </c>
      <c r="C547" t="s">
        <v>155</v>
      </c>
      <c r="D547" t="s">
        <v>229</v>
      </c>
      <c r="E547" t="s">
        <v>147</v>
      </c>
      <c r="F547" t="s">
        <v>148</v>
      </c>
      <c r="G547">
        <v>25207.07</v>
      </c>
      <c r="H547">
        <f>IF(PNL!A547="","",_CALC_PNL!P547)</f>
        <v>25207.07</v>
      </c>
      <c r="I547" t="str">
        <f>IF(PNL!A547="","",IF(_CALC_PNL!E547=1,H547-G547,""))</f>
        <v/>
      </c>
    </row>
    <row r="548" ht="14.25" customHeight="1">
      <c r="A548" t="s">
        <v>95</v>
      </c>
      <c r="B548" t="s">
        <v>217</v>
      </c>
      <c r="C548" t="s">
        <v>155</v>
      </c>
      <c r="D548" t="s">
        <v>229</v>
      </c>
      <c r="E548" t="s">
        <v>147</v>
      </c>
      <c r="F548" t="s">
        <v>148</v>
      </c>
      <c r="G548">
        <v>41641.56</v>
      </c>
      <c r="H548">
        <f>IF(PNL!A548="","",_CALC_PNL!P548)</f>
        <v>41641.56</v>
      </c>
      <c r="I548" t="str">
        <f>IF(PNL!A548="","",IF(_CALC_PNL!E548=1,H548-G548,""))</f>
        <v/>
      </c>
    </row>
    <row r="549" ht="14.25" customHeight="1">
      <c r="A549" t="s">
        <v>93</v>
      </c>
      <c r="B549" t="s">
        <v>217</v>
      </c>
      <c r="C549" t="s">
        <v>155</v>
      </c>
      <c r="D549" t="s">
        <v>229</v>
      </c>
      <c r="E549" t="s">
        <v>147</v>
      </c>
      <c r="F549" t="s">
        <v>148</v>
      </c>
      <c r="G549">
        <v>24943.71</v>
      </c>
      <c r="H549">
        <f>IF(PNL!A549="","",_CALC_PNL!P549)</f>
        <v>24943.71</v>
      </c>
      <c r="I549" t="str">
        <f>IF(PNL!A549="","",IF(_CALC_PNL!E549=1,H549-G549,""))</f>
        <v/>
      </c>
    </row>
    <row r="550" ht="14.25" customHeight="1">
      <c r="A550" t="s">
        <v>97</v>
      </c>
      <c r="B550" t="s">
        <v>217</v>
      </c>
      <c r="C550" t="s">
        <v>155</v>
      </c>
      <c r="D550" t="s">
        <v>229</v>
      </c>
      <c r="E550" t="s">
        <v>147</v>
      </c>
      <c r="F550" t="s">
        <v>148</v>
      </c>
      <c r="G550">
        <v>22100.62</v>
      </c>
      <c r="H550">
        <f>IF(PNL!A550="","",_CALC_PNL!P550)</f>
        <v>22100.62</v>
      </c>
      <c r="I550" t="str">
        <f>IF(PNL!A550="","",IF(_CALC_PNL!E550=1,H550-G550,""))</f>
        <v/>
      </c>
    </row>
    <row r="551" ht="14.25" customHeight="1">
      <c r="A551" t="s">
        <v>89</v>
      </c>
      <c r="B551" t="s">
        <v>217</v>
      </c>
      <c r="C551" t="s">
        <v>155</v>
      </c>
      <c r="D551" t="s">
        <v>229</v>
      </c>
      <c r="E551" t="s">
        <v>147</v>
      </c>
      <c r="F551" t="s">
        <v>148</v>
      </c>
      <c r="G551">
        <v>14692.73</v>
      </c>
      <c r="H551">
        <f>IF(PNL!A551="","",_CALC_PNL!P551)</f>
        <v>14692.73</v>
      </c>
      <c r="I551" t="str">
        <f>IF(PNL!A551="","",IF(_CALC_PNL!E551=1,H551-G551,""))</f>
        <v/>
      </c>
    </row>
    <row r="552" ht="14.25" customHeight="1">
      <c r="A552" t="s">
        <v>91</v>
      </c>
      <c r="B552" t="s">
        <v>217</v>
      </c>
      <c r="C552" t="s">
        <v>155</v>
      </c>
      <c r="D552" t="s">
        <v>229</v>
      </c>
      <c r="E552" t="s">
        <v>147</v>
      </c>
      <c r="F552" t="s">
        <v>148</v>
      </c>
      <c r="G552">
        <v>9744.08</v>
      </c>
      <c r="H552">
        <f>IF(PNL!A552="","",_CALC_PNL!P552)</f>
        <v>9744.08</v>
      </c>
      <c r="I552" t="str">
        <f>IF(PNL!A552="","",IF(_CALC_PNL!E552=1,H552-G552,""))</f>
        <v/>
      </c>
    </row>
    <row r="553" ht="14.25" customHeight="1">
      <c r="A553" t="s">
        <v>86</v>
      </c>
      <c r="B553" t="s">
        <v>217</v>
      </c>
      <c r="C553" t="s">
        <v>155</v>
      </c>
      <c r="D553" t="s">
        <v>229</v>
      </c>
      <c r="E553" t="s">
        <v>147</v>
      </c>
      <c r="F553" t="s">
        <v>148</v>
      </c>
      <c r="G553">
        <v>9738.64</v>
      </c>
      <c r="H553">
        <f>IF(PNL!A553="","",_CALC_PNL!P553)</f>
        <v>9738.64</v>
      </c>
      <c r="I553" t="str">
        <f>IF(PNL!A553="","",IF(_CALC_PNL!E553=1,H553-G553,""))</f>
        <v/>
      </c>
    </row>
    <row r="554" ht="14.25" customHeight="1">
      <c r="A554" t="s">
        <v>106</v>
      </c>
      <c r="B554" t="s">
        <v>217</v>
      </c>
      <c r="C554" t="s">
        <v>155</v>
      </c>
      <c r="D554" t="s">
        <v>229</v>
      </c>
      <c r="E554" t="s">
        <v>147</v>
      </c>
      <c r="F554" t="s">
        <v>148</v>
      </c>
      <c r="G554">
        <v>19621.12</v>
      </c>
      <c r="H554">
        <f>IF(PNL!A554="","",_CALC_PNL!P554)</f>
        <v>19621.12</v>
      </c>
      <c r="I554" t="str">
        <f>IF(PNL!A554="","",IF(_CALC_PNL!E554=1,H554-G554,""))</f>
        <v/>
      </c>
    </row>
    <row r="555" ht="14.25" customHeight="1">
      <c r="A555" t="s">
        <v>105</v>
      </c>
      <c r="B555" t="s">
        <v>217</v>
      </c>
      <c r="C555" t="s">
        <v>155</v>
      </c>
      <c r="D555" t="s">
        <v>229</v>
      </c>
      <c r="E555" t="s">
        <v>147</v>
      </c>
      <c r="F555" t="s">
        <v>148</v>
      </c>
      <c r="G555">
        <v>11744.48</v>
      </c>
      <c r="H555">
        <f>IF(PNL!A555="","",_CALC_PNL!P555)</f>
        <v>11744.48</v>
      </c>
      <c r="I555" t="str">
        <f>IF(PNL!A555="","",IF(_CALC_PNL!E555=1,H555-G555,""))</f>
        <v/>
      </c>
    </row>
    <row r="556" ht="14.25" customHeight="1">
      <c r="A556" t="s">
        <v>108</v>
      </c>
      <c r="B556" t="s">
        <v>217</v>
      </c>
      <c r="C556" t="s">
        <v>155</v>
      </c>
      <c r="D556" t="s">
        <v>229</v>
      </c>
      <c r="E556" t="s">
        <v>147</v>
      </c>
      <c r="F556" t="s">
        <v>148</v>
      </c>
      <c r="G556">
        <v>17820.69</v>
      </c>
      <c r="H556">
        <f>IF(PNL!A556="","",_CALC_PNL!P556)</f>
        <v>17820.69</v>
      </c>
      <c r="I556" t="str">
        <f>IF(PNL!A556="","",IF(_CALC_PNL!E556=1,H556-G556,""))</f>
        <v/>
      </c>
    </row>
    <row r="557" ht="14.25" customHeight="1">
      <c r="A557" t="s">
        <v>107</v>
      </c>
      <c r="B557" t="s">
        <v>217</v>
      </c>
      <c r="C557" t="s">
        <v>155</v>
      </c>
      <c r="D557" t="s">
        <v>229</v>
      </c>
      <c r="E557" t="s">
        <v>147</v>
      </c>
      <c r="F557" t="s">
        <v>148</v>
      </c>
      <c r="G557">
        <v>12795.05</v>
      </c>
      <c r="H557">
        <f>IF(PNL!A557="","",_CALC_PNL!P557)</f>
        <v>12795.05</v>
      </c>
      <c r="I557" t="str">
        <f>IF(PNL!A557="","",IF(_CALC_PNL!E557=1,H557-G557,""))</f>
        <v/>
      </c>
    </row>
    <row r="558" ht="14.25" customHeight="1">
      <c r="A558" t="s">
        <v>104</v>
      </c>
      <c r="B558" t="s">
        <v>217</v>
      </c>
      <c r="C558" t="s">
        <v>152</v>
      </c>
      <c r="D558" t="s">
        <v>229</v>
      </c>
      <c r="E558" t="s">
        <v>147</v>
      </c>
      <c r="F558" t="s">
        <v>148</v>
      </c>
      <c r="G558">
        <v>48309.71</v>
      </c>
      <c r="H558">
        <f>IF(PNL!A558="","",_CALC_PNL!P558)</f>
        <v>48309.71</v>
      </c>
      <c r="I558" t="str">
        <f>IF(PNL!A558="","",IF(_CALC_PNL!E558=1,H558-G558,""))</f>
        <v/>
      </c>
    </row>
    <row r="559" ht="14.25" customHeight="1">
      <c r="A559" t="s">
        <v>101</v>
      </c>
      <c r="B559" t="s">
        <v>217</v>
      </c>
      <c r="C559" t="s">
        <v>152</v>
      </c>
      <c r="D559" t="s">
        <v>229</v>
      </c>
      <c r="E559" t="s">
        <v>147</v>
      </c>
      <c r="F559" t="s">
        <v>148</v>
      </c>
      <c r="G559">
        <v>37684.82</v>
      </c>
      <c r="H559">
        <f>IF(PNL!A559="","",_CALC_PNL!P559)</f>
        <v>37684.82</v>
      </c>
      <c r="I559" t="str">
        <f>IF(PNL!A559="","",IF(_CALC_PNL!E559=1,H559-G559,""))</f>
        <v/>
      </c>
    </row>
    <row r="560" ht="14.25" customHeight="1">
      <c r="A560" t="s">
        <v>103</v>
      </c>
      <c r="B560" t="s">
        <v>217</v>
      </c>
      <c r="C560" t="s">
        <v>152</v>
      </c>
      <c r="D560" t="s">
        <v>229</v>
      </c>
      <c r="E560" t="s">
        <v>147</v>
      </c>
      <c r="F560" t="s">
        <v>148</v>
      </c>
      <c r="G560">
        <v>31867.52</v>
      </c>
      <c r="H560">
        <f>IF(PNL!A560="","",_CALC_PNL!P560)</f>
        <v>31867.52</v>
      </c>
      <c r="I560" t="str">
        <f>IF(PNL!A560="","",IF(_CALC_PNL!E560=1,H560-G560,""))</f>
        <v/>
      </c>
    </row>
    <row r="561" ht="14.25" customHeight="1">
      <c r="A561" t="s">
        <v>99</v>
      </c>
      <c r="B561" t="s">
        <v>217</v>
      </c>
      <c r="C561" t="s">
        <v>152</v>
      </c>
      <c r="D561" t="s">
        <v>229</v>
      </c>
      <c r="E561" t="s">
        <v>147</v>
      </c>
      <c r="F561" t="s">
        <v>148</v>
      </c>
      <c r="G561">
        <v>26374.57</v>
      </c>
      <c r="H561">
        <f>IF(PNL!A561="","",_CALC_PNL!P561)</f>
        <v>26374.57</v>
      </c>
      <c r="I561" t="str">
        <f>IF(PNL!A561="","",IF(_CALC_PNL!E561=1,H561-G561,""))</f>
        <v/>
      </c>
    </row>
    <row r="562" ht="14.25" customHeight="1">
      <c r="A562" t="s">
        <v>95</v>
      </c>
      <c r="B562" t="s">
        <v>217</v>
      </c>
      <c r="C562" t="s">
        <v>152</v>
      </c>
      <c r="D562" t="s">
        <v>229</v>
      </c>
      <c r="E562" t="s">
        <v>147</v>
      </c>
      <c r="F562" t="s">
        <v>148</v>
      </c>
      <c r="G562">
        <v>43518.77</v>
      </c>
      <c r="H562">
        <f>IF(PNL!A562="","",_CALC_PNL!P562)</f>
        <v>43518.77</v>
      </c>
      <c r="I562" t="str">
        <f>IF(PNL!A562="","",IF(_CALC_PNL!E562=1,H562-G562,""))</f>
        <v/>
      </c>
    </row>
    <row r="563" ht="14.25" customHeight="1">
      <c r="A563" t="s">
        <v>93</v>
      </c>
      <c r="B563" t="s">
        <v>217</v>
      </c>
      <c r="C563" t="s">
        <v>152</v>
      </c>
      <c r="D563" t="s">
        <v>229</v>
      </c>
      <c r="E563" t="s">
        <v>147</v>
      </c>
      <c r="F563" t="s">
        <v>148</v>
      </c>
      <c r="G563">
        <v>26244.28</v>
      </c>
      <c r="H563">
        <f>IF(PNL!A563="","",_CALC_PNL!P563)</f>
        <v>26244.28</v>
      </c>
      <c r="I563" t="str">
        <f>IF(PNL!A563="","",IF(_CALC_PNL!E563=1,H563-G563,""))</f>
        <v/>
      </c>
    </row>
    <row r="564" ht="14.25" customHeight="1">
      <c r="A564" t="s">
        <v>97</v>
      </c>
      <c r="B564" t="s">
        <v>217</v>
      </c>
      <c r="C564" t="s">
        <v>152</v>
      </c>
      <c r="D564" t="s">
        <v>229</v>
      </c>
      <c r="E564" t="s">
        <v>147</v>
      </c>
      <c r="F564" t="s">
        <v>148</v>
      </c>
      <c r="G564">
        <v>23363.78</v>
      </c>
      <c r="H564">
        <f>IF(PNL!A564="","",_CALC_PNL!P564)</f>
        <v>23363.78</v>
      </c>
      <c r="I564" t="str">
        <f>IF(PNL!A564="","",IF(_CALC_PNL!E564=1,H564-G564,""))</f>
        <v/>
      </c>
    </row>
    <row r="565" ht="14.25" customHeight="1">
      <c r="A565" t="s">
        <v>89</v>
      </c>
      <c r="B565" t="s">
        <v>217</v>
      </c>
      <c r="C565" t="s">
        <v>152</v>
      </c>
      <c r="D565" t="s">
        <v>229</v>
      </c>
      <c r="E565" t="s">
        <v>147</v>
      </c>
      <c r="F565" t="s">
        <v>148</v>
      </c>
      <c r="G565">
        <v>15357.07</v>
      </c>
      <c r="H565">
        <f>IF(PNL!A565="","",_CALC_PNL!P565)</f>
        <v>15357.07</v>
      </c>
      <c r="I565" t="str">
        <f>IF(PNL!A565="","",IF(_CALC_PNL!E565=1,H565-G565,""))</f>
        <v/>
      </c>
    </row>
    <row r="566" ht="14.25" customHeight="1">
      <c r="A566" t="s">
        <v>91</v>
      </c>
      <c r="B566" t="s">
        <v>217</v>
      </c>
      <c r="C566" t="s">
        <v>152</v>
      </c>
      <c r="D566" t="s">
        <v>229</v>
      </c>
      <c r="E566" t="s">
        <v>147</v>
      </c>
      <c r="F566" t="s">
        <v>148</v>
      </c>
      <c r="G566">
        <v>10032.91</v>
      </c>
      <c r="H566">
        <f>IF(PNL!A566="","",_CALC_PNL!P566)</f>
        <v>10032.91</v>
      </c>
      <c r="I566" t="str">
        <f>IF(PNL!A566="","",IF(_CALC_PNL!E566=1,H566-G566,""))</f>
        <v/>
      </c>
    </row>
    <row r="567" ht="14.25" customHeight="1">
      <c r="A567" t="s">
        <v>86</v>
      </c>
      <c r="B567" t="s">
        <v>217</v>
      </c>
      <c r="C567" t="s">
        <v>152</v>
      </c>
      <c r="D567" t="s">
        <v>229</v>
      </c>
      <c r="E567" t="s">
        <v>147</v>
      </c>
      <c r="F567" t="s">
        <v>148</v>
      </c>
      <c r="G567">
        <v>10026.93</v>
      </c>
      <c r="H567">
        <f>IF(PNL!A567="","",_CALC_PNL!P567)</f>
        <v>10026.93</v>
      </c>
      <c r="I567" t="str">
        <f>IF(PNL!A567="","",IF(_CALC_PNL!E567=1,H567-G567,""))</f>
        <v/>
      </c>
    </row>
    <row r="568" ht="14.25" customHeight="1">
      <c r="A568" t="s">
        <v>106</v>
      </c>
      <c r="B568" t="s">
        <v>217</v>
      </c>
      <c r="C568" t="s">
        <v>152</v>
      </c>
      <c r="D568" t="s">
        <v>229</v>
      </c>
      <c r="E568" t="s">
        <v>147</v>
      </c>
      <c r="F568" t="s">
        <v>148</v>
      </c>
      <c r="G568">
        <v>20742.64</v>
      </c>
      <c r="H568">
        <f>IF(PNL!A568="","",_CALC_PNL!P568)</f>
        <v>20742.64</v>
      </c>
      <c r="I568" t="str">
        <f>IF(PNL!A568="","",IF(_CALC_PNL!E568=1,H568-G568,""))</f>
        <v/>
      </c>
    </row>
    <row r="569" ht="14.25" customHeight="1">
      <c r="A569" t="s">
        <v>105</v>
      </c>
      <c r="B569" t="s">
        <v>217</v>
      </c>
      <c r="C569" t="s">
        <v>152</v>
      </c>
      <c r="D569" t="s">
        <v>229</v>
      </c>
      <c r="E569" t="s">
        <v>147</v>
      </c>
      <c r="F569" t="s">
        <v>148</v>
      </c>
      <c r="G569">
        <v>12256.21</v>
      </c>
      <c r="H569">
        <f>IF(PNL!A569="","",_CALC_PNL!P569)</f>
        <v>12256.21</v>
      </c>
      <c r="I569" t="str">
        <f>IF(PNL!A569="","",IF(_CALC_PNL!E569=1,H569-G569,""))</f>
        <v/>
      </c>
    </row>
    <row r="570" ht="14.25" customHeight="1">
      <c r="A570" t="s">
        <v>108</v>
      </c>
      <c r="B570" t="s">
        <v>217</v>
      </c>
      <c r="C570" t="s">
        <v>152</v>
      </c>
      <c r="D570" t="s">
        <v>229</v>
      </c>
      <c r="E570" t="s">
        <v>147</v>
      </c>
      <c r="F570" t="s">
        <v>148</v>
      </c>
      <c r="G570">
        <v>19410.96</v>
      </c>
      <c r="H570">
        <f>IF(PNL!A570="","",_CALC_PNL!P570)</f>
        <v>19410.96</v>
      </c>
      <c r="I570" t="str">
        <f>IF(PNL!A570="","",IF(_CALC_PNL!E570=1,H570-G570,""))</f>
        <v/>
      </c>
    </row>
    <row r="571" ht="14.25" customHeight="1">
      <c r="A571" t="s">
        <v>107</v>
      </c>
      <c r="B571" t="s">
        <v>217</v>
      </c>
      <c r="C571" t="s">
        <v>152</v>
      </c>
      <c r="D571" t="s">
        <v>229</v>
      </c>
      <c r="E571" t="s">
        <v>147</v>
      </c>
      <c r="F571" t="s">
        <v>148</v>
      </c>
      <c r="G571">
        <v>13700.21</v>
      </c>
      <c r="H571">
        <f>IF(PNL!A571="","",_CALC_PNL!P571)</f>
        <v>13700.21</v>
      </c>
      <c r="I571" t="str">
        <f>IF(PNL!A571="","",IF(_CALC_PNL!E571=1,H571-G571,""))</f>
        <v/>
      </c>
    </row>
    <row r="572" ht="14.25" customHeight="1">
      <c r="A572" t="s">
        <v>209</v>
      </c>
      <c r="B572" t="s">
        <v>218</v>
      </c>
      <c r="C572" t="s">
        <v>156</v>
      </c>
      <c r="D572" t="s">
        <v>229</v>
      </c>
      <c r="E572" t="s">
        <v>147</v>
      </c>
      <c r="F572" t="s">
        <v>148</v>
      </c>
      <c r="G572">
        <v>412389</v>
      </c>
      <c r="H572">
        <f>IF(PNL!A572="","",_CALC_PNL!P572)</f>
        <v>412389</v>
      </c>
      <c r="I572" t="str">
        <f>IF(PNL!A572="","",IF(_CALC_PNL!E572=1,H572-G572,""))</f>
        <v/>
      </c>
    </row>
    <row r="573" ht="14.25" customHeight="1">
      <c r="A573" t="s">
        <v>209</v>
      </c>
      <c r="B573" t="s">
        <v>218</v>
      </c>
      <c r="C573" t="s">
        <v>155</v>
      </c>
      <c r="D573" t="s">
        <v>229</v>
      </c>
      <c r="E573" t="s">
        <v>147</v>
      </c>
      <c r="F573" t="s">
        <v>148</v>
      </c>
      <c r="G573">
        <v>431286</v>
      </c>
      <c r="H573">
        <f>IF(PNL!A573="","",_CALC_PNL!P573)</f>
        <v>431286</v>
      </c>
      <c r="I573" t="str">
        <f>IF(PNL!A573="","",IF(_CALC_PNL!E573=1,H573-G573,""))</f>
        <v/>
      </c>
    </row>
    <row r="574" ht="14.25" customHeight="1">
      <c r="A574" t="s">
        <v>209</v>
      </c>
      <c r="B574" t="s">
        <v>218</v>
      </c>
      <c r="C574" t="s">
        <v>152</v>
      </c>
      <c r="D574" t="s">
        <v>229</v>
      </c>
      <c r="E574" t="s">
        <v>147</v>
      </c>
      <c r="F574" t="s">
        <v>148</v>
      </c>
      <c r="G574">
        <v>451872</v>
      </c>
      <c r="H574">
        <f>IF(PNL!A574="","",_CALC_PNL!P574)</f>
        <v>451872</v>
      </c>
      <c r="I574" t="str">
        <f>IF(PNL!A574="","",IF(_CALC_PNL!E574=1,H574-G574,""))</f>
        <v/>
      </c>
    </row>
    <row r="575" ht="14.25" customHeight="1">
      <c r="A575" t="s">
        <v>209</v>
      </c>
      <c r="B575" t="s">
        <v>219</v>
      </c>
      <c r="C575" t="s">
        <v>156</v>
      </c>
      <c r="D575" t="s">
        <v>229</v>
      </c>
      <c r="E575" t="s">
        <v>147</v>
      </c>
      <c r="F575" t="s">
        <v>148</v>
      </c>
      <c r="G575">
        <v>164956</v>
      </c>
      <c r="H575">
        <f>IF(PNL!A575="","",_CALC_PNL!P575)</f>
        <v>164956</v>
      </c>
      <c r="I575" t="str">
        <f>IF(PNL!A575="","",IF(_CALC_PNL!E575=1,H575-G575,""))</f>
        <v/>
      </c>
    </row>
    <row r="576" ht="14.25" customHeight="1">
      <c r="A576" t="s">
        <v>209</v>
      </c>
      <c r="B576" t="s">
        <v>219</v>
      </c>
      <c r="C576" t="s">
        <v>155</v>
      </c>
      <c r="D576" t="s">
        <v>229</v>
      </c>
      <c r="E576" t="s">
        <v>147</v>
      </c>
      <c r="F576" t="s">
        <v>148</v>
      </c>
      <c r="G576">
        <v>172514</v>
      </c>
      <c r="H576">
        <f>IF(PNL!A576="","",_CALC_PNL!P576)</f>
        <v>172514</v>
      </c>
      <c r="I576" t="str">
        <f>IF(PNL!A576="","",IF(_CALC_PNL!E576=1,H576-G576,""))</f>
        <v/>
      </c>
    </row>
    <row r="577" ht="14.25" customHeight="1">
      <c r="A577" t="s">
        <v>209</v>
      </c>
      <c r="B577" t="s">
        <v>219</v>
      </c>
      <c r="C577" t="s">
        <v>152</v>
      </c>
      <c r="D577" t="s">
        <v>229</v>
      </c>
      <c r="E577" t="s">
        <v>147</v>
      </c>
      <c r="F577" t="s">
        <v>148</v>
      </c>
      <c r="G577">
        <v>180749</v>
      </c>
      <c r="H577">
        <f>IF(PNL!A577="","",_CALC_PNL!P577)</f>
        <v>180749</v>
      </c>
      <c r="I577" t="str">
        <f>IF(PNL!A577="","",IF(_CALC_PNL!E577=1,H577-G577,""))</f>
        <v/>
      </c>
    </row>
    <row r="578" ht="14.25" customHeight="1">
      <c r="A578" t="s">
        <v>209</v>
      </c>
      <c r="B578" t="s">
        <v>220</v>
      </c>
      <c r="C578" t="s">
        <v>156</v>
      </c>
      <c r="D578" t="s">
        <v>229</v>
      </c>
      <c r="E578" t="s">
        <v>147</v>
      </c>
      <c r="F578" t="s">
        <v>148</v>
      </c>
      <c r="G578">
        <v>309292</v>
      </c>
      <c r="H578">
        <f>IF(PNL!A578="","",_CALC_PNL!P578)</f>
        <v>309292</v>
      </c>
      <c r="I578" t="str">
        <f>IF(PNL!A578="","",IF(_CALC_PNL!E578=1,H578-G578,""))</f>
        <v/>
      </c>
    </row>
    <row r="579" ht="14.25" customHeight="1">
      <c r="A579" t="s">
        <v>209</v>
      </c>
      <c r="B579" t="s">
        <v>220</v>
      </c>
      <c r="C579" t="s">
        <v>155</v>
      </c>
      <c r="D579" t="s">
        <v>229</v>
      </c>
      <c r="E579" t="s">
        <v>147</v>
      </c>
      <c r="F579" t="s">
        <v>148</v>
      </c>
      <c r="G579">
        <v>323465</v>
      </c>
      <c r="H579">
        <f>IF(PNL!A579="","",_CALC_PNL!P579)</f>
        <v>323465</v>
      </c>
      <c r="I579" t="str">
        <f>IF(PNL!A579="","",IF(_CALC_PNL!E579=1,H579-G579,""))</f>
        <v/>
      </c>
    </row>
    <row r="580" ht="14.25" customHeight="1">
      <c r="A580" t="s">
        <v>209</v>
      </c>
      <c r="B580" t="s">
        <v>220</v>
      </c>
      <c r="C580" t="s">
        <v>152</v>
      </c>
      <c r="D580" t="s">
        <v>229</v>
      </c>
      <c r="E580" t="s">
        <v>147</v>
      </c>
      <c r="F580" t="s">
        <v>148</v>
      </c>
      <c r="G580">
        <v>338904</v>
      </c>
      <c r="H580">
        <f>IF(PNL!A580="","",_CALC_PNL!P580)</f>
        <v>338904</v>
      </c>
      <c r="I580" t="str">
        <f>IF(PNL!A580="","",IF(_CALC_PNL!E580=1,H580-G580,""))</f>
        <v/>
      </c>
    </row>
    <row r="581" ht="14.25" customHeight="1">
      <c r="A581" t="s">
        <v>104</v>
      </c>
      <c r="B581" t="s">
        <v>221</v>
      </c>
      <c r="C581" t="s">
        <v>156</v>
      </c>
      <c r="D581" t="s">
        <v>229</v>
      </c>
      <c r="E581" t="s">
        <v>147</v>
      </c>
      <c r="F581" t="s">
        <v>148</v>
      </c>
      <c r="G581">
        <v>27152.97</v>
      </c>
      <c r="H581">
        <f>IF(PNL!A581="","",_CALC_PNL!P581)</f>
        <v>27152.97</v>
      </c>
      <c r="I581" t="str">
        <f>IF(PNL!A581="","",IF(_CALC_PNL!E581=1,H581-G581,""))</f>
        <v/>
      </c>
    </row>
    <row r="582" ht="14.25" customHeight="1">
      <c r="A582" t="s">
        <v>101</v>
      </c>
      <c r="B582" t="s">
        <v>221</v>
      </c>
      <c r="C582" t="s">
        <v>156</v>
      </c>
      <c r="D582" t="s">
        <v>229</v>
      </c>
      <c r="E582" t="s">
        <v>147</v>
      </c>
      <c r="F582" t="s">
        <v>148</v>
      </c>
      <c r="G582">
        <v>21700.22</v>
      </c>
      <c r="H582">
        <f>IF(PNL!A582="","",_CALC_PNL!P582)</f>
        <v>21700.22</v>
      </c>
      <c r="I582" t="str">
        <f>IF(PNL!A582="","",IF(_CALC_PNL!E582=1,H582-G582,""))</f>
        <v/>
      </c>
    </row>
    <row r="583" ht="14.25" customHeight="1">
      <c r="A583" t="s">
        <v>103</v>
      </c>
      <c r="B583" t="s">
        <v>221</v>
      </c>
      <c r="C583" t="s">
        <v>156</v>
      </c>
      <c r="D583" t="s">
        <v>229</v>
      </c>
      <c r="E583" t="s">
        <v>147</v>
      </c>
      <c r="F583" t="s">
        <v>148</v>
      </c>
      <c r="G583">
        <v>18641.15</v>
      </c>
      <c r="H583">
        <f>IF(PNL!A583="","",_CALC_PNL!P583)</f>
        <v>18641.15</v>
      </c>
      <c r="I583" t="str">
        <f>IF(PNL!A583="","",IF(_CALC_PNL!E583=1,H583-G583,""))</f>
        <v/>
      </c>
    </row>
    <row r="584" ht="14.25" customHeight="1">
      <c r="A584" t="s">
        <v>99</v>
      </c>
      <c r="B584" t="s">
        <v>221</v>
      </c>
      <c r="C584" t="s">
        <v>156</v>
      </c>
      <c r="D584" t="s">
        <v>229</v>
      </c>
      <c r="E584" t="s">
        <v>147</v>
      </c>
      <c r="F584" t="s">
        <v>148</v>
      </c>
      <c r="G584">
        <v>15102.94</v>
      </c>
      <c r="H584">
        <f>IF(PNL!A584="","",_CALC_PNL!P584)</f>
        <v>15102.94</v>
      </c>
      <c r="I584" t="str">
        <f>IF(PNL!A584="","",IF(_CALC_PNL!E584=1,H584-G584,""))</f>
        <v/>
      </c>
    </row>
    <row r="585" ht="14.25" customHeight="1">
      <c r="A585" t="s">
        <v>95</v>
      </c>
      <c r="B585" t="s">
        <v>221</v>
      </c>
      <c r="C585" t="s">
        <v>156</v>
      </c>
      <c r="D585" t="s">
        <v>229</v>
      </c>
      <c r="E585" t="s">
        <v>147</v>
      </c>
      <c r="F585" t="s">
        <v>148</v>
      </c>
      <c r="G585">
        <v>26092.67</v>
      </c>
      <c r="H585">
        <f>IF(PNL!A585="","",_CALC_PNL!P585)</f>
        <v>26092.67</v>
      </c>
      <c r="I585" t="str">
        <f>IF(PNL!A585="","",IF(_CALC_PNL!E585=1,H585-G585,""))</f>
        <v/>
      </c>
    </row>
    <row r="586" ht="14.25" customHeight="1">
      <c r="A586" t="s">
        <v>93</v>
      </c>
      <c r="B586" t="s">
        <v>221</v>
      </c>
      <c r="C586" t="s">
        <v>156</v>
      </c>
      <c r="D586" t="s">
        <v>229</v>
      </c>
      <c r="E586" t="s">
        <v>147</v>
      </c>
      <c r="F586" t="s">
        <v>148</v>
      </c>
      <c r="G586">
        <v>15260.67</v>
      </c>
      <c r="H586">
        <f>IF(PNL!A586="","",_CALC_PNL!P586)</f>
        <v>15260.67</v>
      </c>
      <c r="I586" t="str">
        <f>IF(PNL!A586="","",IF(_CALC_PNL!E586=1,H586-G586,""))</f>
        <v/>
      </c>
    </row>
    <row r="587" ht="14.25" customHeight="1">
      <c r="A587" t="s">
        <v>97</v>
      </c>
      <c r="B587" t="s">
        <v>221</v>
      </c>
      <c r="C587" t="s">
        <v>156</v>
      </c>
      <c r="D587" t="s">
        <v>229</v>
      </c>
      <c r="E587" t="s">
        <v>147</v>
      </c>
      <c r="F587" t="s">
        <v>148</v>
      </c>
      <c r="G587">
        <v>14405.31</v>
      </c>
      <c r="H587">
        <f>IF(PNL!A587="","",_CALC_PNL!P587)</f>
        <v>14405.31</v>
      </c>
      <c r="I587" t="str">
        <f>IF(PNL!A587="","",IF(_CALC_PNL!E587=1,H587-G587,""))</f>
        <v/>
      </c>
    </row>
    <row r="588" ht="14.25" customHeight="1">
      <c r="A588" t="s">
        <v>89</v>
      </c>
      <c r="B588" t="s">
        <v>221</v>
      </c>
      <c r="C588" t="s">
        <v>156</v>
      </c>
      <c r="D588" t="s">
        <v>229</v>
      </c>
      <c r="E588" t="s">
        <v>147</v>
      </c>
      <c r="F588" t="s">
        <v>148</v>
      </c>
      <c r="G588">
        <v>9160.67</v>
      </c>
      <c r="H588">
        <f>IF(PNL!A588="","",_CALC_PNL!P588)</f>
        <v>9160.67</v>
      </c>
      <c r="I588" t="str">
        <f>IF(PNL!A588="","",IF(_CALC_PNL!E588=1,H588-G588,""))</f>
        <v/>
      </c>
    </row>
    <row r="589" ht="14.25" customHeight="1">
      <c r="A589" t="s">
        <v>91</v>
      </c>
      <c r="B589" t="s">
        <v>221</v>
      </c>
      <c r="C589" t="s">
        <v>156</v>
      </c>
      <c r="D589" t="s">
        <v>229</v>
      </c>
      <c r="E589" t="s">
        <v>147</v>
      </c>
      <c r="F589" t="s">
        <v>148</v>
      </c>
      <c r="G589">
        <v>7506.8</v>
      </c>
      <c r="H589">
        <f>IF(PNL!A589="","",_CALC_PNL!P589)</f>
        <v>7506.8</v>
      </c>
      <c r="I589" t="str">
        <f>IF(PNL!A589="","",IF(_CALC_PNL!E589=1,H589-G589,""))</f>
        <v/>
      </c>
    </row>
    <row r="590" ht="14.25" customHeight="1">
      <c r="A590" t="s">
        <v>86</v>
      </c>
      <c r="B590" t="s">
        <v>221</v>
      </c>
      <c r="C590" t="s">
        <v>156</v>
      </c>
      <c r="D590" t="s">
        <v>229</v>
      </c>
      <c r="E590" t="s">
        <v>147</v>
      </c>
      <c r="F590" t="s">
        <v>148</v>
      </c>
      <c r="G590">
        <v>7502.87</v>
      </c>
      <c r="H590">
        <f>IF(PNL!A590="","",_CALC_PNL!P590)</f>
        <v>7502.87</v>
      </c>
      <c r="I590" t="str">
        <f>IF(PNL!A590="","",IF(_CALC_PNL!E590=1,H590-G590,""))</f>
        <v/>
      </c>
    </row>
    <row r="591" ht="14.25" customHeight="1">
      <c r="A591" t="s">
        <v>106</v>
      </c>
      <c r="B591" t="s">
        <v>221</v>
      </c>
      <c r="C591" t="s">
        <v>156</v>
      </c>
      <c r="D591" t="s">
        <v>229</v>
      </c>
      <c r="E591" t="s">
        <v>147</v>
      </c>
      <c r="F591" t="s">
        <v>148</v>
      </c>
      <c r="G591">
        <v>12976.84</v>
      </c>
      <c r="H591">
        <f>IF(PNL!A591="","",_CALC_PNL!P591)</f>
        <v>12976.84</v>
      </c>
      <c r="I591" t="str">
        <f>IF(PNL!A591="","",IF(_CALC_PNL!E591=1,H591-G591,""))</f>
        <v/>
      </c>
    </row>
    <row r="592" ht="14.25" customHeight="1">
      <c r="A592" t="s">
        <v>105</v>
      </c>
      <c r="B592" t="s">
        <v>221</v>
      </c>
      <c r="C592" t="s">
        <v>156</v>
      </c>
      <c r="D592" t="s">
        <v>229</v>
      </c>
      <c r="E592" t="s">
        <v>147</v>
      </c>
      <c r="F592" t="s">
        <v>148</v>
      </c>
      <c r="G592">
        <v>9784.9</v>
      </c>
      <c r="H592">
        <f>IF(PNL!A592="","",_CALC_PNL!P592)</f>
        <v>9784.9</v>
      </c>
      <c r="I592" t="str">
        <f>IF(PNL!A592="","",IF(_CALC_PNL!E592=1,H592-G592,""))</f>
        <v/>
      </c>
    </row>
    <row r="593" ht="14.25" customHeight="1">
      <c r="A593" t="s">
        <v>108</v>
      </c>
      <c r="B593" t="s">
        <v>221</v>
      </c>
      <c r="C593" t="s">
        <v>156</v>
      </c>
      <c r="D593" t="s">
        <v>229</v>
      </c>
      <c r="E593" t="s">
        <v>147</v>
      </c>
      <c r="F593" t="s">
        <v>148</v>
      </c>
      <c r="G593">
        <v>11361.49</v>
      </c>
      <c r="H593">
        <f>IF(PNL!A593="","",_CALC_PNL!P593)</f>
        <v>11361.49</v>
      </c>
      <c r="I593" t="str">
        <f>IF(PNL!A593="","",IF(_CALC_PNL!E593=1,H593-G593,""))</f>
        <v/>
      </c>
    </row>
    <row r="594" ht="14.25" customHeight="1">
      <c r="A594" t="s">
        <v>107</v>
      </c>
      <c r="B594" t="s">
        <v>221</v>
      </c>
      <c r="C594" t="s">
        <v>156</v>
      </c>
      <c r="D594" t="s">
        <v>229</v>
      </c>
      <c r="E594" t="s">
        <v>147</v>
      </c>
      <c r="F594" t="s">
        <v>148</v>
      </c>
      <c r="G594">
        <v>9521.34</v>
      </c>
      <c r="H594">
        <f>IF(PNL!A594="","",_CALC_PNL!P594)</f>
        <v>9521.34</v>
      </c>
      <c r="I594" t="str">
        <f>IF(PNL!A594="","",IF(_CALC_PNL!E594=1,H594-G594,""))</f>
        <v/>
      </c>
    </row>
    <row r="595" ht="14.25" customHeight="1">
      <c r="A595" t="s">
        <v>104</v>
      </c>
      <c r="B595" t="s">
        <v>221</v>
      </c>
      <c r="C595" t="s">
        <v>155</v>
      </c>
      <c r="D595" t="s">
        <v>229</v>
      </c>
      <c r="E595" t="s">
        <v>147</v>
      </c>
      <c r="F595" t="s">
        <v>148</v>
      </c>
      <c r="G595">
        <v>28521.36</v>
      </c>
      <c r="H595">
        <f>IF(PNL!A595="","",_CALC_PNL!P595)</f>
        <v>28521.36</v>
      </c>
      <c r="I595" t="str">
        <f>IF(PNL!A595="","",IF(_CALC_PNL!E595=1,H595-G595,""))</f>
        <v/>
      </c>
    </row>
    <row r="596" ht="14.25" customHeight="1">
      <c r="A596" t="s">
        <v>101</v>
      </c>
      <c r="B596" t="s">
        <v>221</v>
      </c>
      <c r="C596" t="s">
        <v>155</v>
      </c>
      <c r="D596" t="s">
        <v>229</v>
      </c>
      <c r="E596" t="s">
        <v>147</v>
      </c>
      <c r="F596" t="s">
        <v>148</v>
      </c>
      <c r="G596">
        <v>22453.79</v>
      </c>
      <c r="H596">
        <f>IF(PNL!A596="","",_CALC_PNL!P596)</f>
        <v>22453.79</v>
      </c>
      <c r="I596" t="str">
        <f>IF(PNL!A596="","",IF(_CALC_PNL!E596=1,H596-G596,""))</f>
        <v/>
      </c>
    </row>
    <row r="597" ht="14.25" customHeight="1">
      <c r="A597" t="s">
        <v>103</v>
      </c>
      <c r="B597" t="s">
        <v>221</v>
      </c>
      <c r="C597" t="s">
        <v>155</v>
      </c>
      <c r="D597" t="s">
        <v>229</v>
      </c>
      <c r="E597" t="s">
        <v>147</v>
      </c>
      <c r="F597" t="s">
        <v>148</v>
      </c>
      <c r="G597">
        <v>19589.5</v>
      </c>
      <c r="H597">
        <f>IF(PNL!A597="","",_CALC_PNL!P597)</f>
        <v>19589.5</v>
      </c>
      <c r="I597" t="str">
        <f>IF(PNL!A597="","",IF(_CALC_PNL!E597=1,H597-G597,""))</f>
        <v/>
      </c>
    </row>
    <row r="598" ht="14.25" customHeight="1">
      <c r="A598" t="s">
        <v>99</v>
      </c>
      <c r="B598" t="s">
        <v>221</v>
      </c>
      <c r="C598" t="s">
        <v>155</v>
      </c>
      <c r="D598" t="s">
        <v>229</v>
      </c>
      <c r="E598" t="s">
        <v>147</v>
      </c>
      <c r="F598" t="s">
        <v>148</v>
      </c>
      <c r="G598">
        <v>15760.59</v>
      </c>
      <c r="H598">
        <f>IF(PNL!A598="","",_CALC_PNL!P598)</f>
        <v>15760.59</v>
      </c>
      <c r="I598" t="str">
        <f>IF(PNL!A598="","",IF(_CALC_PNL!E598=1,H598-G598,""))</f>
        <v/>
      </c>
    </row>
    <row r="599" ht="14.25" customHeight="1">
      <c r="A599" t="s">
        <v>95</v>
      </c>
      <c r="B599" t="s">
        <v>221</v>
      </c>
      <c r="C599" t="s">
        <v>155</v>
      </c>
      <c r="D599" t="s">
        <v>229</v>
      </c>
      <c r="E599" t="s">
        <v>147</v>
      </c>
      <c r="F599" t="s">
        <v>148</v>
      </c>
      <c r="G599">
        <v>27469.99</v>
      </c>
      <c r="H599">
        <f>IF(PNL!A599="","",_CALC_PNL!P599)</f>
        <v>27469.99</v>
      </c>
      <c r="I599" t="str">
        <f>IF(PNL!A599="","",IF(_CALC_PNL!E599=1,H599-G599,""))</f>
        <v/>
      </c>
    </row>
    <row r="600" ht="14.25" customHeight="1">
      <c r="A600" t="s">
        <v>93</v>
      </c>
      <c r="B600" t="s">
        <v>221</v>
      </c>
      <c r="C600" t="s">
        <v>155</v>
      </c>
      <c r="D600" t="s">
        <v>229</v>
      </c>
      <c r="E600" t="s">
        <v>147</v>
      </c>
      <c r="F600" t="s">
        <v>148</v>
      </c>
      <c r="G600">
        <v>15915.68</v>
      </c>
      <c r="H600">
        <f>IF(PNL!A600="","",_CALC_PNL!P600)</f>
        <v>15915.68</v>
      </c>
      <c r="I600" t="str">
        <f>IF(PNL!A600="","",IF(_CALC_PNL!E600=1,H600-G600,""))</f>
        <v/>
      </c>
    </row>
    <row r="601" ht="14.25" customHeight="1">
      <c r="A601" t="s">
        <v>97</v>
      </c>
      <c r="B601" t="s">
        <v>221</v>
      </c>
      <c r="C601" t="s">
        <v>155</v>
      </c>
      <c r="D601" t="s">
        <v>229</v>
      </c>
      <c r="E601" t="s">
        <v>147</v>
      </c>
      <c r="F601" t="s">
        <v>148</v>
      </c>
      <c r="G601">
        <v>14895.9</v>
      </c>
      <c r="H601">
        <f>IF(PNL!A601="","",_CALC_PNL!P601)</f>
        <v>14895.9</v>
      </c>
      <c r="I601" t="str">
        <f>IF(PNL!A601="","",IF(_CALC_PNL!E601=1,H601-G601,""))</f>
        <v/>
      </c>
    </row>
    <row r="602" ht="14.25" customHeight="1">
      <c r="A602" t="s">
        <v>89</v>
      </c>
      <c r="B602" t="s">
        <v>221</v>
      </c>
      <c r="C602" t="s">
        <v>155</v>
      </c>
      <c r="D602" t="s">
        <v>229</v>
      </c>
      <c r="E602" t="s">
        <v>147</v>
      </c>
      <c r="F602" t="s">
        <v>148</v>
      </c>
      <c r="G602">
        <v>9465.71</v>
      </c>
      <c r="H602">
        <f>IF(PNL!A602="","",_CALC_PNL!P602)</f>
        <v>9465.71</v>
      </c>
      <c r="I602" t="str">
        <f>IF(PNL!A602="","",IF(_CALC_PNL!E602=1,H602-G602,""))</f>
        <v/>
      </c>
    </row>
    <row r="603" ht="14.25" customHeight="1">
      <c r="A603" t="s">
        <v>91</v>
      </c>
      <c r="B603" t="s">
        <v>221</v>
      </c>
      <c r="C603" t="s">
        <v>155</v>
      </c>
      <c r="D603" t="s">
        <v>229</v>
      </c>
      <c r="E603" t="s">
        <v>147</v>
      </c>
      <c r="F603" t="s">
        <v>148</v>
      </c>
      <c r="G603">
        <v>7779.88</v>
      </c>
      <c r="H603">
        <f>IF(PNL!A603="","",_CALC_PNL!P603)</f>
        <v>7779.88</v>
      </c>
      <c r="I603" t="str">
        <f>IF(PNL!A603="","",IF(_CALC_PNL!E603=1,H603-G603,""))</f>
        <v/>
      </c>
    </row>
    <row r="604" ht="14.25" customHeight="1">
      <c r="A604" t="s">
        <v>86</v>
      </c>
      <c r="B604" t="s">
        <v>221</v>
      </c>
      <c r="C604" t="s">
        <v>155</v>
      </c>
      <c r="D604" t="s">
        <v>229</v>
      </c>
      <c r="E604" t="s">
        <v>147</v>
      </c>
      <c r="F604" t="s">
        <v>148</v>
      </c>
      <c r="G604">
        <v>7775.53</v>
      </c>
      <c r="H604">
        <f>IF(PNL!A604="","",_CALC_PNL!P604)</f>
        <v>7775.53</v>
      </c>
      <c r="I604" t="str">
        <f>IF(PNL!A604="","",IF(_CALC_PNL!E604=1,H604-G604,""))</f>
        <v/>
      </c>
    </row>
    <row r="605" ht="14.25" customHeight="1">
      <c r="A605" t="s">
        <v>106</v>
      </c>
      <c r="B605" t="s">
        <v>221</v>
      </c>
      <c r="C605" t="s">
        <v>155</v>
      </c>
      <c r="D605" t="s">
        <v>229</v>
      </c>
      <c r="E605" t="s">
        <v>147</v>
      </c>
      <c r="F605" t="s">
        <v>148</v>
      </c>
      <c r="G605">
        <v>13427.63</v>
      </c>
      <c r="H605">
        <f>IF(PNL!A605="","",_CALC_PNL!P605)</f>
        <v>13427.63</v>
      </c>
      <c r="I605" t="str">
        <f>IF(PNL!A605="","",IF(_CALC_PNL!E605=1,H605-G605,""))</f>
        <v/>
      </c>
    </row>
    <row r="606" ht="14.25" customHeight="1">
      <c r="A606" t="s">
        <v>105</v>
      </c>
      <c r="B606" t="s">
        <v>221</v>
      </c>
      <c r="C606" t="s">
        <v>155</v>
      </c>
      <c r="D606" t="s">
        <v>229</v>
      </c>
      <c r="E606" t="s">
        <v>147</v>
      </c>
      <c r="F606" t="s">
        <v>148</v>
      </c>
      <c r="G606">
        <v>10301.75</v>
      </c>
      <c r="H606">
        <f>IF(PNL!A606="","",_CALC_PNL!P606)</f>
        <v>10301.75</v>
      </c>
      <c r="I606" t="str">
        <f>IF(PNL!A606="","",IF(_CALC_PNL!E606=1,H606-G606,""))</f>
        <v/>
      </c>
    </row>
    <row r="607" ht="14.25" customHeight="1">
      <c r="A607" t="s">
        <v>108</v>
      </c>
      <c r="B607" t="s">
        <v>221</v>
      </c>
      <c r="C607" t="s">
        <v>155</v>
      </c>
      <c r="D607" t="s">
        <v>229</v>
      </c>
      <c r="E607" t="s">
        <v>147</v>
      </c>
      <c r="F607" t="s">
        <v>148</v>
      </c>
      <c r="G607">
        <v>12062.4</v>
      </c>
      <c r="H607">
        <f>IF(PNL!A607="","",_CALC_PNL!P607)</f>
        <v>12062.4</v>
      </c>
      <c r="I607" t="str">
        <f>IF(PNL!A607="","",IF(_CALC_PNL!E607=1,H607-G607,""))</f>
        <v/>
      </c>
    </row>
    <row r="608" ht="14.25" customHeight="1">
      <c r="A608" t="s">
        <v>107</v>
      </c>
      <c r="B608" t="s">
        <v>221</v>
      </c>
      <c r="C608" t="s">
        <v>155</v>
      </c>
      <c r="D608" t="s">
        <v>229</v>
      </c>
      <c r="E608" t="s">
        <v>147</v>
      </c>
      <c r="F608" t="s">
        <v>148</v>
      </c>
      <c r="G608">
        <v>10215.16</v>
      </c>
      <c r="H608">
        <f>IF(PNL!A608="","",_CALC_PNL!P608)</f>
        <v>10215.16</v>
      </c>
      <c r="I608" t="str">
        <f>IF(PNL!A608="","",IF(_CALC_PNL!E608=1,H608-G608,""))</f>
        <v/>
      </c>
    </row>
    <row r="609" ht="14.25" customHeight="1">
      <c r="A609" t="s">
        <v>104</v>
      </c>
      <c r="B609" t="s">
        <v>221</v>
      </c>
      <c r="C609" t="s">
        <v>152</v>
      </c>
      <c r="D609" t="s">
        <v>229</v>
      </c>
      <c r="E609" t="s">
        <v>147</v>
      </c>
      <c r="F609" t="s">
        <v>148</v>
      </c>
      <c r="G609">
        <v>29533.02</v>
      </c>
      <c r="H609">
        <f>IF(PNL!A609="","",_CALC_PNL!P609)</f>
        <v>29533.02</v>
      </c>
      <c r="I609" t="str">
        <f>IF(PNL!A609="","",IF(_CALC_PNL!E609=1,H609-G609,""))</f>
        <v/>
      </c>
    </row>
    <row r="610" ht="14.25" customHeight="1">
      <c r="A610" t="s">
        <v>101</v>
      </c>
      <c r="B610" t="s">
        <v>221</v>
      </c>
      <c r="C610" t="s">
        <v>152</v>
      </c>
      <c r="D610" t="s">
        <v>229</v>
      </c>
      <c r="E610" t="s">
        <v>147</v>
      </c>
      <c r="F610" t="s">
        <v>148</v>
      </c>
      <c r="G610">
        <v>23541.01</v>
      </c>
      <c r="H610">
        <f>IF(PNL!A610="","",_CALC_PNL!P610)</f>
        <v>23541.01</v>
      </c>
      <c r="I610" t="str">
        <f>IF(PNL!A610="","",IF(_CALC_PNL!E610=1,H610-G610,""))</f>
        <v/>
      </c>
    </row>
    <row r="611" ht="14.25" customHeight="1">
      <c r="A611" t="s">
        <v>103</v>
      </c>
      <c r="B611" t="s">
        <v>221</v>
      </c>
      <c r="C611" t="s">
        <v>152</v>
      </c>
      <c r="D611" t="s">
        <v>229</v>
      </c>
      <c r="E611" t="s">
        <v>147</v>
      </c>
      <c r="F611" t="s">
        <v>148</v>
      </c>
      <c r="G611">
        <v>20249.8</v>
      </c>
      <c r="H611">
        <f>IF(PNL!A611="","",_CALC_PNL!P611)</f>
        <v>20249.8</v>
      </c>
      <c r="I611" t="str">
        <f>IF(PNL!A611="","",IF(_CALC_PNL!E611=1,H611-G611,""))</f>
        <v/>
      </c>
    </row>
    <row r="612" ht="14.25" customHeight="1">
      <c r="A612" t="s">
        <v>99</v>
      </c>
      <c r="B612" t="s">
        <v>221</v>
      </c>
      <c r="C612" t="s">
        <v>152</v>
      </c>
      <c r="D612" t="s">
        <v>229</v>
      </c>
      <c r="E612" t="s">
        <v>147</v>
      </c>
      <c r="F612" t="s">
        <v>148</v>
      </c>
      <c r="G612">
        <v>16490.67</v>
      </c>
      <c r="H612">
        <f>IF(PNL!A612="","",_CALC_PNL!P612)</f>
        <v>16490.67</v>
      </c>
      <c r="I612" t="str">
        <f>IF(PNL!A612="","",IF(_CALC_PNL!E612=1,H612-G612,""))</f>
        <v/>
      </c>
    </row>
    <row r="613" ht="14.25" customHeight="1">
      <c r="A613" t="s">
        <v>95</v>
      </c>
      <c r="B613" t="s">
        <v>221</v>
      </c>
      <c r="C613" t="s">
        <v>152</v>
      </c>
      <c r="D613" t="s">
        <v>229</v>
      </c>
      <c r="E613" t="s">
        <v>147</v>
      </c>
      <c r="F613" t="s">
        <v>148</v>
      </c>
      <c r="G613">
        <v>28708.76</v>
      </c>
      <c r="H613">
        <f>IF(PNL!A613="","",_CALC_PNL!P613)</f>
        <v>28708.76</v>
      </c>
      <c r="I613" t="str">
        <f>IF(PNL!A613="","",IF(_CALC_PNL!E613=1,H613-G613,""))</f>
        <v/>
      </c>
    </row>
    <row r="614" ht="14.25" customHeight="1">
      <c r="A614" t="s">
        <v>93</v>
      </c>
      <c r="B614" t="s">
        <v>221</v>
      </c>
      <c r="C614" t="s">
        <v>152</v>
      </c>
      <c r="D614" t="s">
        <v>229</v>
      </c>
      <c r="E614" t="s">
        <v>147</v>
      </c>
      <c r="F614" t="s">
        <v>148</v>
      </c>
      <c r="G614">
        <v>16744.95</v>
      </c>
      <c r="H614">
        <f>IF(PNL!A614="","",_CALC_PNL!P614)</f>
        <v>16744.95</v>
      </c>
      <c r="I614" t="str">
        <f>IF(PNL!A614="","",IF(_CALC_PNL!E614=1,H614-G614,""))</f>
        <v/>
      </c>
    </row>
    <row r="615" ht="14.25" customHeight="1">
      <c r="A615" t="s">
        <v>97</v>
      </c>
      <c r="B615" t="s">
        <v>221</v>
      </c>
      <c r="C615" t="s">
        <v>152</v>
      </c>
      <c r="D615" t="s">
        <v>229</v>
      </c>
      <c r="E615" t="s">
        <v>147</v>
      </c>
      <c r="F615" t="s">
        <v>148</v>
      </c>
      <c r="G615">
        <v>15745.83</v>
      </c>
      <c r="H615">
        <f>IF(PNL!A615="","",_CALC_PNL!P615)</f>
        <v>15745.83</v>
      </c>
      <c r="I615" t="str">
        <f>IF(PNL!A615="","",IF(_CALC_PNL!E615=1,H615-G615,""))</f>
        <v/>
      </c>
    </row>
    <row r="616" ht="14.25" customHeight="1">
      <c r="A616" t="s">
        <v>89</v>
      </c>
      <c r="B616" t="s">
        <v>221</v>
      </c>
      <c r="C616" t="s">
        <v>152</v>
      </c>
      <c r="D616" t="s">
        <v>229</v>
      </c>
      <c r="E616" t="s">
        <v>147</v>
      </c>
      <c r="F616" t="s">
        <v>148</v>
      </c>
      <c r="G616">
        <v>9892.9</v>
      </c>
      <c r="H616">
        <f>IF(PNL!A616="","",_CALC_PNL!P616)</f>
        <v>9892.9</v>
      </c>
      <c r="I616" t="str">
        <f>IF(PNL!A616="","",IF(_CALC_PNL!E616=1,H616-G616,""))</f>
        <v/>
      </c>
    </row>
    <row r="617" ht="14.25" customHeight="1">
      <c r="A617" t="s">
        <v>91</v>
      </c>
      <c r="B617" t="s">
        <v>221</v>
      </c>
      <c r="C617" t="s">
        <v>152</v>
      </c>
      <c r="D617" t="s">
        <v>229</v>
      </c>
      <c r="E617" t="s">
        <v>147</v>
      </c>
      <c r="F617" t="s">
        <v>148</v>
      </c>
      <c r="G617">
        <v>8009.55</v>
      </c>
      <c r="H617">
        <f>IF(PNL!A617="","",_CALC_PNL!P617)</f>
        <v>8009.55</v>
      </c>
      <c r="I617" t="str">
        <f>IF(PNL!A617="","",IF(_CALC_PNL!E617=1,H617-G617,""))</f>
        <v/>
      </c>
    </row>
    <row r="618" ht="14.25" customHeight="1">
      <c r="A618" t="s">
        <v>86</v>
      </c>
      <c r="B618" t="s">
        <v>221</v>
      </c>
      <c r="C618" t="s">
        <v>152</v>
      </c>
      <c r="D618" t="s">
        <v>229</v>
      </c>
      <c r="E618" t="s">
        <v>147</v>
      </c>
      <c r="F618" t="s">
        <v>148</v>
      </c>
      <c r="G618">
        <v>8004.78</v>
      </c>
      <c r="H618">
        <f>IF(PNL!A618="","",_CALC_PNL!P618)</f>
        <v>8004.78</v>
      </c>
      <c r="I618" t="str">
        <f>IF(PNL!A618="","",IF(_CALC_PNL!E618=1,H618-G618,""))</f>
        <v/>
      </c>
    </row>
    <row r="619" ht="14.25" customHeight="1">
      <c r="A619" t="s">
        <v>106</v>
      </c>
      <c r="B619" t="s">
        <v>221</v>
      </c>
      <c r="C619" t="s">
        <v>152</v>
      </c>
      <c r="D619" t="s">
        <v>229</v>
      </c>
      <c r="E619" t="s">
        <v>147</v>
      </c>
      <c r="F619" t="s">
        <v>148</v>
      </c>
      <c r="G619">
        <v>14195.01</v>
      </c>
      <c r="H619">
        <f>IF(PNL!A619="","",_CALC_PNL!P619)</f>
        <v>14195.01</v>
      </c>
      <c r="I619" t="str">
        <f>IF(PNL!A619="","",IF(_CALC_PNL!E619=1,H619-G619,""))</f>
        <v/>
      </c>
    </row>
    <row r="620" ht="14.25" customHeight="1">
      <c r="A620" t="s">
        <v>105</v>
      </c>
      <c r="B620" t="s">
        <v>221</v>
      </c>
      <c r="C620" t="s">
        <v>152</v>
      </c>
      <c r="D620" t="s">
        <v>229</v>
      </c>
      <c r="E620" t="s">
        <v>147</v>
      </c>
      <c r="F620" t="s">
        <v>148</v>
      </c>
      <c r="G620">
        <v>10750.17</v>
      </c>
      <c r="H620">
        <f>IF(PNL!A620="","",_CALC_PNL!P620)</f>
        <v>10750.17</v>
      </c>
      <c r="I620" t="str">
        <f>IF(PNL!A620="","",IF(_CALC_PNL!E620=1,H620-G620,""))</f>
        <v/>
      </c>
    </row>
    <row r="621" ht="14.25" customHeight="1">
      <c r="A621" t="s">
        <v>108</v>
      </c>
      <c r="B621" t="s">
        <v>221</v>
      </c>
      <c r="C621" t="s">
        <v>152</v>
      </c>
      <c r="D621" t="s">
        <v>229</v>
      </c>
      <c r="E621" t="s">
        <v>147</v>
      </c>
      <c r="F621" t="s">
        <v>148</v>
      </c>
      <c r="G621">
        <v>13139.33</v>
      </c>
      <c r="H621">
        <f>IF(PNL!A621="","",_CALC_PNL!P621)</f>
        <v>13139.33</v>
      </c>
      <c r="I621" t="str">
        <f>IF(PNL!A621="","",IF(_CALC_PNL!E621=1,H621-G621,""))</f>
        <v/>
      </c>
    </row>
    <row r="622" ht="14.25" customHeight="1">
      <c r="A622" t="s">
        <v>107</v>
      </c>
      <c r="B622" t="s">
        <v>221</v>
      </c>
      <c r="C622" t="s">
        <v>152</v>
      </c>
      <c r="D622" t="s">
        <v>229</v>
      </c>
      <c r="E622" t="s">
        <v>147</v>
      </c>
      <c r="F622" t="s">
        <v>148</v>
      </c>
      <c r="G622">
        <v>10938.17</v>
      </c>
      <c r="H622">
        <f>IF(PNL!A622="","",_CALC_PNL!P622)</f>
        <v>10938.17</v>
      </c>
      <c r="I622" t="str">
        <f>IF(PNL!A622="","",IF(_CALC_PNL!E622=1,H622-G622,""))</f>
        <v/>
      </c>
    </row>
    <row r="623" ht="14.25" customHeight="1">
      <c r="A623" t="s">
        <v>209</v>
      </c>
      <c r="B623" t="s">
        <v>222</v>
      </c>
      <c r="C623" t="s">
        <v>156</v>
      </c>
      <c r="D623" t="s">
        <v>229</v>
      </c>
      <c r="E623" t="s">
        <v>147</v>
      </c>
      <c r="F623" t="s">
        <v>148</v>
      </c>
      <c r="G623">
        <v>103097</v>
      </c>
      <c r="H623">
        <f>IF(PNL!A623="","",_CALC_PNL!P623)</f>
        <v>103097</v>
      </c>
      <c r="I623" t="str">
        <f>IF(PNL!A623="","",IF(_CALC_PNL!E623=1,H623-G623,""))</f>
        <v/>
      </c>
    </row>
    <row r="624" ht="14.25" customHeight="1">
      <c r="A624" t="s">
        <v>209</v>
      </c>
      <c r="B624" t="s">
        <v>222</v>
      </c>
      <c r="C624" t="s">
        <v>155</v>
      </c>
      <c r="D624" t="s">
        <v>229</v>
      </c>
      <c r="E624" t="s">
        <v>147</v>
      </c>
      <c r="F624" t="s">
        <v>148</v>
      </c>
      <c r="G624">
        <v>107822</v>
      </c>
      <c r="H624">
        <f>IF(PNL!A624="","",_CALC_PNL!P624)</f>
        <v>107822</v>
      </c>
      <c r="I624" t="str">
        <f>IF(PNL!A624="","",IF(_CALC_PNL!E624=1,H624-G624,""))</f>
        <v/>
      </c>
    </row>
    <row r="625" ht="14.25" customHeight="1">
      <c r="A625" t="s">
        <v>209</v>
      </c>
      <c r="B625" t="s">
        <v>222</v>
      </c>
      <c r="C625" t="s">
        <v>152</v>
      </c>
      <c r="D625" t="s">
        <v>229</v>
      </c>
      <c r="E625" t="s">
        <v>147</v>
      </c>
      <c r="F625" t="s">
        <v>148</v>
      </c>
      <c r="G625">
        <v>112968</v>
      </c>
      <c r="H625">
        <f>IF(PNL!A625="","",_CALC_PNL!P625)</f>
        <v>112968</v>
      </c>
      <c r="I625" t="str">
        <f>IF(PNL!A625="","",IF(_CALC_PNL!E625=1,H625-G625,""))</f>
        <v/>
      </c>
    </row>
    <row r="626" ht="14.25" customHeight="1">
      <c r="A626" t="s">
        <v>104</v>
      </c>
      <c r="B626" t="s">
        <v>223</v>
      </c>
      <c r="C626" t="s">
        <v>156</v>
      </c>
      <c r="D626" t="s">
        <v>229</v>
      </c>
      <c r="E626" t="s">
        <v>147</v>
      </c>
      <c r="F626" t="s">
        <v>148</v>
      </c>
      <c r="G626">
        <v>137849</v>
      </c>
      <c r="H626">
        <f>IF(PNL!A626="","",_CALC_PNL!P626)</f>
        <v>137849</v>
      </c>
      <c r="I626" t="str">
        <f>IF(PNL!A626="","",IF(_CALC_PNL!E626=1,H626-G626,""))</f>
        <v/>
      </c>
    </row>
    <row r="627" ht="14.25" customHeight="1">
      <c r="A627" t="s">
        <v>101</v>
      </c>
      <c r="B627" t="s">
        <v>223</v>
      </c>
      <c r="C627" t="s">
        <v>156</v>
      </c>
      <c r="D627" t="s">
        <v>229</v>
      </c>
      <c r="E627" t="s">
        <v>147</v>
      </c>
      <c r="F627" t="s">
        <v>148</v>
      </c>
      <c r="G627">
        <v>119469</v>
      </c>
      <c r="H627">
        <f>IF(PNL!A627="","",_CALC_PNL!P627)</f>
        <v>119469</v>
      </c>
      <c r="I627" t="str">
        <f>IF(PNL!A627="","",IF(_CALC_PNL!E627=1,H627-G627,""))</f>
        <v/>
      </c>
    </row>
    <row r="628" ht="14.25" customHeight="1">
      <c r="A628" t="s">
        <v>103</v>
      </c>
      <c r="B628" t="s">
        <v>223</v>
      </c>
      <c r="C628" t="s">
        <v>156</v>
      </c>
      <c r="D628" t="s">
        <v>229</v>
      </c>
      <c r="E628" t="s">
        <v>147</v>
      </c>
      <c r="F628" t="s">
        <v>148</v>
      </c>
      <c r="G628">
        <v>110279</v>
      </c>
      <c r="H628">
        <f>IF(PNL!A628="","",_CALC_PNL!P628)</f>
        <v>110279</v>
      </c>
      <c r="I628" t="str">
        <f>IF(PNL!A628="","",IF(_CALC_PNL!E628=1,H628-G628,""))</f>
        <v/>
      </c>
    </row>
    <row r="629" ht="14.25" customHeight="1">
      <c r="A629" t="s">
        <v>99</v>
      </c>
      <c r="B629" t="s">
        <v>223</v>
      </c>
      <c r="C629" t="s">
        <v>156</v>
      </c>
      <c r="D629" t="s">
        <v>229</v>
      </c>
      <c r="E629" t="s">
        <v>147</v>
      </c>
      <c r="F629" t="s">
        <v>148</v>
      </c>
      <c r="G629">
        <v>91900</v>
      </c>
      <c r="H629">
        <f>IF(PNL!A629="","",_CALC_PNL!P629)</f>
        <v>91900</v>
      </c>
      <c r="I629" t="str">
        <f>IF(PNL!A629="","",IF(_CALC_PNL!E629=1,H629-G629,""))</f>
        <v/>
      </c>
    </row>
    <row r="630" ht="14.25" customHeight="1">
      <c r="A630" t="s">
        <v>95</v>
      </c>
      <c r="B630" t="s">
        <v>223</v>
      </c>
      <c r="C630" t="s">
        <v>156</v>
      </c>
      <c r="D630" t="s">
        <v>229</v>
      </c>
      <c r="E630" t="s">
        <v>147</v>
      </c>
      <c r="F630" t="s">
        <v>148</v>
      </c>
      <c r="G630">
        <v>137849</v>
      </c>
      <c r="H630">
        <f>IF(PNL!A630="","",_CALC_PNL!P630)</f>
        <v>137849</v>
      </c>
      <c r="I630" t="str">
        <f>IF(PNL!A630="","",IF(_CALC_PNL!E630=1,H630-G630,""))</f>
        <v/>
      </c>
    </row>
    <row r="631" ht="14.25" customHeight="1">
      <c r="A631" t="s">
        <v>93</v>
      </c>
      <c r="B631" t="s">
        <v>223</v>
      </c>
      <c r="C631" t="s">
        <v>156</v>
      </c>
      <c r="D631" t="s">
        <v>229</v>
      </c>
      <c r="E631" t="s">
        <v>147</v>
      </c>
      <c r="F631" t="s">
        <v>148</v>
      </c>
      <c r="G631">
        <v>91900</v>
      </c>
      <c r="H631">
        <f>IF(PNL!A631="","",_CALC_PNL!P631)</f>
        <v>91900</v>
      </c>
      <c r="I631" t="str">
        <f>IF(PNL!A631="","",IF(_CALC_PNL!E631=1,H631-G631,""))</f>
        <v/>
      </c>
    </row>
    <row r="632" ht="14.25" customHeight="1">
      <c r="A632" t="s">
        <v>97</v>
      </c>
      <c r="B632" t="s">
        <v>223</v>
      </c>
      <c r="C632" t="s">
        <v>156</v>
      </c>
      <c r="D632" t="s">
        <v>229</v>
      </c>
      <c r="E632" t="s">
        <v>147</v>
      </c>
      <c r="F632" t="s">
        <v>148</v>
      </c>
      <c r="G632">
        <v>91900</v>
      </c>
      <c r="H632">
        <f>IF(PNL!A632="","",_CALC_PNL!P632)</f>
        <v>91900</v>
      </c>
      <c r="I632" t="str">
        <f>IF(PNL!A632="","",IF(_CALC_PNL!E632=1,H632-G632,""))</f>
        <v/>
      </c>
    </row>
    <row r="633" ht="14.25" customHeight="1">
      <c r="A633" t="s">
        <v>89</v>
      </c>
      <c r="B633" t="s">
        <v>223</v>
      </c>
      <c r="C633" t="s">
        <v>156</v>
      </c>
      <c r="D633" t="s">
        <v>229</v>
      </c>
      <c r="E633" t="s">
        <v>147</v>
      </c>
      <c r="F633" t="s">
        <v>148</v>
      </c>
      <c r="G633">
        <v>55140</v>
      </c>
      <c r="H633">
        <f>IF(PNL!A633="","",_CALC_PNL!P633)</f>
        <v>55140</v>
      </c>
      <c r="I633" t="str">
        <f>IF(PNL!A633="","",IF(_CALC_PNL!E633=1,H633-G633,""))</f>
        <v/>
      </c>
    </row>
    <row r="634" ht="14.25" customHeight="1">
      <c r="A634" t="s">
        <v>91</v>
      </c>
      <c r="B634" t="s">
        <v>223</v>
      </c>
      <c r="C634" t="s">
        <v>156</v>
      </c>
      <c r="D634" t="s">
        <v>229</v>
      </c>
      <c r="E634" t="s">
        <v>147</v>
      </c>
      <c r="F634" t="s">
        <v>148</v>
      </c>
      <c r="G634">
        <v>55140</v>
      </c>
      <c r="H634">
        <f>IF(PNL!A634="","",_CALC_PNL!P634)</f>
        <v>55140</v>
      </c>
      <c r="I634" t="str">
        <f>IF(PNL!A634="","",IF(_CALC_PNL!E634=1,H634-G634,""))</f>
        <v/>
      </c>
    </row>
    <row r="635" ht="14.25" customHeight="1">
      <c r="A635" t="s">
        <v>86</v>
      </c>
      <c r="B635" t="s">
        <v>223</v>
      </c>
      <c r="C635" t="s">
        <v>156</v>
      </c>
      <c r="D635" t="s">
        <v>229</v>
      </c>
      <c r="E635" t="s">
        <v>147</v>
      </c>
      <c r="F635" t="s">
        <v>148</v>
      </c>
      <c r="G635">
        <v>55140</v>
      </c>
      <c r="H635">
        <f>IF(PNL!A635="","",_CALC_PNL!P635)</f>
        <v>55140</v>
      </c>
      <c r="I635" t="str">
        <f>IF(PNL!A635="","",IF(_CALC_PNL!E635=1,H635-G635,""))</f>
        <v/>
      </c>
    </row>
    <row r="636" ht="14.25" customHeight="1">
      <c r="A636" t="s">
        <v>106</v>
      </c>
      <c r="B636" t="s">
        <v>223</v>
      </c>
      <c r="C636" t="s">
        <v>156</v>
      </c>
      <c r="D636" t="s">
        <v>229</v>
      </c>
      <c r="E636" t="s">
        <v>147</v>
      </c>
      <c r="F636" t="s">
        <v>148</v>
      </c>
      <c r="G636">
        <v>73520</v>
      </c>
      <c r="H636">
        <f>IF(PNL!A636="","",_CALC_PNL!P636)</f>
        <v>73520</v>
      </c>
      <c r="I636" t="str">
        <f>IF(PNL!A636="","",IF(_CALC_PNL!E636=1,H636-G636,""))</f>
        <v/>
      </c>
    </row>
    <row r="637" ht="14.25" customHeight="1">
      <c r="A637" t="s">
        <v>105</v>
      </c>
      <c r="B637" t="s">
        <v>223</v>
      </c>
      <c r="C637" t="s">
        <v>156</v>
      </c>
      <c r="D637" t="s">
        <v>229</v>
      </c>
      <c r="E637" t="s">
        <v>147</v>
      </c>
      <c r="F637" t="s">
        <v>148</v>
      </c>
      <c r="G637">
        <v>73520</v>
      </c>
      <c r="H637">
        <f>IF(PNL!A637="","",_CALC_PNL!P637)</f>
        <v>73520</v>
      </c>
      <c r="I637" t="str">
        <f>IF(PNL!A637="","",IF(_CALC_PNL!E637=1,H637-G637,""))</f>
        <v/>
      </c>
    </row>
    <row r="638" ht="14.25" customHeight="1">
      <c r="A638" t="s">
        <v>108</v>
      </c>
      <c r="B638" t="s">
        <v>223</v>
      </c>
      <c r="C638" t="s">
        <v>156</v>
      </c>
      <c r="D638" t="s">
        <v>229</v>
      </c>
      <c r="E638" t="s">
        <v>147</v>
      </c>
      <c r="F638" t="s">
        <v>148</v>
      </c>
      <c r="G638">
        <v>55140</v>
      </c>
      <c r="H638">
        <f>IF(PNL!A638="","",_CALC_PNL!P638)</f>
        <v>55140</v>
      </c>
      <c r="I638" t="str">
        <f>IF(PNL!A638="","",IF(_CALC_PNL!E638=1,H638-G638,""))</f>
        <v/>
      </c>
    </row>
    <row r="639" ht="14.25" customHeight="1">
      <c r="A639" t="s">
        <v>107</v>
      </c>
      <c r="B639" t="s">
        <v>223</v>
      </c>
      <c r="C639" t="s">
        <v>156</v>
      </c>
      <c r="D639" t="s">
        <v>229</v>
      </c>
      <c r="E639" t="s">
        <v>147</v>
      </c>
      <c r="F639" t="s">
        <v>148</v>
      </c>
      <c r="G639">
        <v>55140</v>
      </c>
      <c r="H639">
        <f>IF(PNL!A639="","",_CALC_PNL!P639)</f>
        <v>55140</v>
      </c>
      <c r="I639" t="str">
        <f>IF(PNL!A639="","",IF(_CALC_PNL!E639=1,H639-G639,""))</f>
        <v/>
      </c>
    </row>
    <row r="640" ht="14.25" customHeight="1">
      <c r="A640" t="s">
        <v>104</v>
      </c>
      <c r="B640" t="s">
        <v>223</v>
      </c>
      <c r="C640" t="s">
        <v>155</v>
      </c>
      <c r="D640" t="s">
        <v>229</v>
      </c>
      <c r="E640" t="s">
        <v>147</v>
      </c>
      <c r="F640" t="s">
        <v>148</v>
      </c>
      <c r="G640">
        <v>146120</v>
      </c>
      <c r="H640">
        <f>IF(PNL!A640="","",_CALC_PNL!P640)</f>
        <v>146120</v>
      </c>
      <c r="I640" t="str">
        <f>IF(PNL!A640="","",IF(_CALC_PNL!E640=1,H640-G640,""))</f>
        <v/>
      </c>
    </row>
    <row r="641" ht="14.25" customHeight="1">
      <c r="A641" t="s">
        <v>101</v>
      </c>
      <c r="B641" t="s">
        <v>223</v>
      </c>
      <c r="C641" t="s">
        <v>155</v>
      </c>
      <c r="D641" t="s">
        <v>229</v>
      </c>
      <c r="E641" t="s">
        <v>147</v>
      </c>
      <c r="F641" t="s">
        <v>148</v>
      </c>
      <c r="G641">
        <v>126638</v>
      </c>
      <c r="H641">
        <f>IF(PNL!A641="","",_CALC_PNL!P641)</f>
        <v>126638</v>
      </c>
      <c r="I641" t="str">
        <f>IF(PNL!A641="","",IF(_CALC_PNL!E641=1,H641-G641,""))</f>
        <v/>
      </c>
    </row>
    <row r="642" ht="14.25" customHeight="1">
      <c r="A642" t="s">
        <v>103</v>
      </c>
      <c r="B642" t="s">
        <v>223</v>
      </c>
      <c r="C642" t="s">
        <v>155</v>
      </c>
      <c r="D642" t="s">
        <v>229</v>
      </c>
      <c r="E642" t="s">
        <v>147</v>
      </c>
      <c r="F642" t="s">
        <v>148</v>
      </c>
      <c r="G642">
        <v>116896</v>
      </c>
      <c r="H642">
        <f>IF(PNL!A642="","",_CALC_PNL!P642)</f>
        <v>116896</v>
      </c>
      <c r="I642" t="str">
        <f>IF(PNL!A642="","",IF(_CALC_PNL!E642=1,H642-G642,""))</f>
        <v/>
      </c>
    </row>
    <row r="643" ht="14.25" customHeight="1">
      <c r="A643" t="s">
        <v>99</v>
      </c>
      <c r="B643" t="s">
        <v>223</v>
      </c>
      <c r="C643" t="s">
        <v>155</v>
      </c>
      <c r="D643" t="s">
        <v>229</v>
      </c>
      <c r="E643" t="s">
        <v>147</v>
      </c>
      <c r="F643" t="s">
        <v>148</v>
      </c>
      <c r="G643">
        <v>97413</v>
      </c>
      <c r="H643">
        <f>IF(PNL!A643="","",_CALC_PNL!P643)</f>
        <v>97413</v>
      </c>
      <c r="I643" t="str">
        <f>IF(PNL!A643="","",IF(_CALC_PNL!E643=1,H643-G643,""))</f>
        <v/>
      </c>
    </row>
    <row r="644" ht="14.25" customHeight="1">
      <c r="A644" t="s">
        <v>95</v>
      </c>
      <c r="B644" t="s">
        <v>223</v>
      </c>
      <c r="C644" t="s">
        <v>155</v>
      </c>
      <c r="D644" t="s">
        <v>229</v>
      </c>
      <c r="E644" t="s">
        <v>147</v>
      </c>
      <c r="F644" t="s">
        <v>148</v>
      </c>
      <c r="G644">
        <v>146120</v>
      </c>
      <c r="H644">
        <f>IF(PNL!A644="","",_CALC_PNL!P644)</f>
        <v>146120</v>
      </c>
      <c r="I644" t="str">
        <f>IF(PNL!A644="","",IF(_CALC_PNL!E644=1,H644-G644,""))</f>
        <v/>
      </c>
    </row>
    <row r="645" ht="14.25" customHeight="1">
      <c r="A645" t="s">
        <v>93</v>
      </c>
      <c r="B645" t="s">
        <v>223</v>
      </c>
      <c r="C645" t="s">
        <v>155</v>
      </c>
      <c r="D645" t="s">
        <v>229</v>
      </c>
      <c r="E645" t="s">
        <v>147</v>
      </c>
      <c r="F645" t="s">
        <v>148</v>
      </c>
      <c r="G645">
        <v>97413</v>
      </c>
      <c r="H645">
        <f>IF(PNL!A645="","",_CALC_PNL!P645)</f>
        <v>97413</v>
      </c>
      <c r="I645" t="str">
        <f>IF(PNL!A645="","",IF(_CALC_PNL!E645=1,H645-G645,""))</f>
        <v/>
      </c>
    </row>
    <row r="646" ht="14.25" customHeight="1">
      <c r="A646" t="s">
        <v>97</v>
      </c>
      <c r="B646" t="s">
        <v>223</v>
      </c>
      <c r="C646" t="s">
        <v>155</v>
      </c>
      <c r="D646" t="s">
        <v>229</v>
      </c>
      <c r="E646" t="s">
        <v>147</v>
      </c>
      <c r="F646" t="s">
        <v>148</v>
      </c>
      <c r="G646">
        <v>97413</v>
      </c>
      <c r="H646">
        <f>IF(PNL!A646="","",_CALC_PNL!P646)</f>
        <v>97413</v>
      </c>
      <c r="I646" t="str">
        <f>IF(PNL!A646="","",IF(_CALC_PNL!E646=1,H646-G646,""))</f>
        <v/>
      </c>
    </row>
    <row r="647" ht="14.25" customHeight="1">
      <c r="A647" t="s">
        <v>89</v>
      </c>
      <c r="B647" t="s">
        <v>223</v>
      </c>
      <c r="C647" t="s">
        <v>155</v>
      </c>
      <c r="D647" t="s">
        <v>229</v>
      </c>
      <c r="E647" t="s">
        <v>147</v>
      </c>
      <c r="F647" t="s">
        <v>148</v>
      </c>
      <c r="G647">
        <v>58448</v>
      </c>
      <c r="H647">
        <f>IF(PNL!A647="","",_CALC_PNL!P647)</f>
        <v>58448</v>
      </c>
      <c r="I647" t="str">
        <f>IF(PNL!A647="","",IF(_CALC_PNL!E647=1,H647-G647,""))</f>
        <v/>
      </c>
    </row>
    <row r="648" ht="14.25" customHeight="1">
      <c r="A648" t="s">
        <v>91</v>
      </c>
      <c r="B648" t="s">
        <v>223</v>
      </c>
      <c r="C648" t="s">
        <v>155</v>
      </c>
      <c r="D648" t="s">
        <v>229</v>
      </c>
      <c r="E648" t="s">
        <v>147</v>
      </c>
      <c r="F648" t="s">
        <v>148</v>
      </c>
      <c r="G648">
        <v>58448</v>
      </c>
      <c r="H648">
        <f>IF(PNL!A648="","",_CALC_PNL!P648)</f>
        <v>58448</v>
      </c>
      <c r="I648" t="str">
        <f>IF(PNL!A648="","",IF(_CALC_PNL!E648=1,H648-G648,""))</f>
        <v/>
      </c>
    </row>
    <row r="649" ht="14.25" customHeight="1">
      <c r="A649" t="s">
        <v>86</v>
      </c>
      <c r="B649" t="s">
        <v>223</v>
      </c>
      <c r="C649" t="s">
        <v>155</v>
      </c>
      <c r="D649" t="s">
        <v>229</v>
      </c>
      <c r="E649" t="s">
        <v>147</v>
      </c>
      <c r="F649" t="s">
        <v>148</v>
      </c>
      <c r="G649">
        <v>58448</v>
      </c>
      <c r="H649">
        <f>IF(PNL!A649="","",_CALC_PNL!P649)</f>
        <v>58448</v>
      </c>
      <c r="I649" t="str">
        <f>IF(PNL!A649="","",IF(_CALC_PNL!E649=1,H649-G649,""))</f>
        <v/>
      </c>
    </row>
    <row r="650" ht="14.25" customHeight="1">
      <c r="A650" t="s">
        <v>106</v>
      </c>
      <c r="B650" t="s">
        <v>223</v>
      </c>
      <c r="C650" t="s">
        <v>155</v>
      </c>
      <c r="D650" t="s">
        <v>229</v>
      </c>
      <c r="E650" t="s">
        <v>147</v>
      </c>
      <c r="F650" t="s">
        <v>148</v>
      </c>
      <c r="G650">
        <v>77931</v>
      </c>
      <c r="H650">
        <f>IF(PNL!A650="","",_CALC_PNL!P650)</f>
        <v>77931</v>
      </c>
      <c r="I650" t="str">
        <f>IF(PNL!A650="","",IF(_CALC_PNL!E650=1,H650-G650,""))</f>
        <v/>
      </c>
    </row>
    <row r="651" ht="14.25" customHeight="1">
      <c r="A651" t="s">
        <v>105</v>
      </c>
      <c r="B651" t="s">
        <v>223</v>
      </c>
      <c r="C651" t="s">
        <v>155</v>
      </c>
      <c r="D651" t="s">
        <v>229</v>
      </c>
      <c r="E651" t="s">
        <v>147</v>
      </c>
      <c r="F651" t="s">
        <v>148</v>
      </c>
      <c r="G651">
        <v>77931</v>
      </c>
      <c r="H651">
        <f>IF(PNL!A651="","",_CALC_PNL!P651)</f>
        <v>77931</v>
      </c>
      <c r="I651" t="str">
        <f>IF(PNL!A651="","",IF(_CALC_PNL!E651=1,H651-G651,""))</f>
        <v/>
      </c>
    </row>
    <row r="652" ht="14.25" customHeight="1">
      <c r="A652" t="s">
        <v>108</v>
      </c>
      <c r="B652" t="s">
        <v>223</v>
      </c>
      <c r="C652" t="s">
        <v>155</v>
      </c>
      <c r="D652" t="s">
        <v>229</v>
      </c>
      <c r="E652" t="s">
        <v>147</v>
      </c>
      <c r="F652" t="s">
        <v>148</v>
      </c>
      <c r="G652">
        <v>58448</v>
      </c>
      <c r="H652">
        <f>IF(PNL!A652="","",_CALC_PNL!P652)</f>
        <v>58448</v>
      </c>
      <c r="I652" t="str">
        <f>IF(PNL!A652="","",IF(_CALC_PNL!E652=1,H652-G652,""))</f>
        <v/>
      </c>
    </row>
    <row r="653" ht="14.25" customHeight="1">
      <c r="A653" t="s">
        <v>107</v>
      </c>
      <c r="B653" t="s">
        <v>223</v>
      </c>
      <c r="C653" t="s">
        <v>155</v>
      </c>
      <c r="D653" t="s">
        <v>229</v>
      </c>
      <c r="E653" t="s">
        <v>147</v>
      </c>
      <c r="F653" t="s">
        <v>148</v>
      </c>
      <c r="G653">
        <v>58448</v>
      </c>
      <c r="H653">
        <f>IF(PNL!A653="","",_CALC_PNL!P653)</f>
        <v>58448</v>
      </c>
      <c r="I653" t="str">
        <f>IF(PNL!A653="","",IF(_CALC_PNL!E653=1,H653-G653,""))</f>
        <v/>
      </c>
    </row>
    <row r="654" ht="14.25" customHeight="1">
      <c r="A654" t="s">
        <v>104</v>
      </c>
      <c r="B654" t="s">
        <v>223</v>
      </c>
      <c r="C654" t="s">
        <v>152</v>
      </c>
      <c r="D654" t="s">
        <v>229</v>
      </c>
      <c r="E654" t="s">
        <v>147</v>
      </c>
      <c r="F654" t="s">
        <v>148</v>
      </c>
      <c r="G654">
        <v>154887</v>
      </c>
      <c r="H654">
        <f>IF(PNL!A654="","",_CALC_PNL!P654)</f>
        <v>154887</v>
      </c>
      <c r="I654" t="str">
        <f>IF(PNL!A654="","",IF(_CALC_PNL!E654=1,H654-G654,""))</f>
        <v/>
      </c>
    </row>
    <row r="655" ht="14.25" customHeight="1">
      <c r="A655" t="s">
        <v>101</v>
      </c>
      <c r="B655" t="s">
        <v>223</v>
      </c>
      <c r="C655" t="s">
        <v>152</v>
      </c>
      <c r="D655" t="s">
        <v>229</v>
      </c>
      <c r="E655" t="s">
        <v>147</v>
      </c>
      <c r="F655" t="s">
        <v>148</v>
      </c>
      <c r="G655">
        <v>134236</v>
      </c>
      <c r="H655">
        <f>IF(PNL!A655="","",_CALC_PNL!P655)</f>
        <v>134236</v>
      </c>
      <c r="I655" t="str">
        <f>IF(PNL!A655="","",IF(_CALC_PNL!E655=1,H655-G655,""))</f>
        <v/>
      </c>
    </row>
    <row r="656" ht="14.25" customHeight="1">
      <c r="A656" t="s">
        <v>103</v>
      </c>
      <c r="B656" t="s">
        <v>223</v>
      </c>
      <c r="C656" t="s">
        <v>152</v>
      </c>
      <c r="D656" t="s">
        <v>229</v>
      </c>
      <c r="E656" t="s">
        <v>147</v>
      </c>
      <c r="F656" t="s">
        <v>148</v>
      </c>
      <c r="G656">
        <v>123910</v>
      </c>
      <c r="H656">
        <f>IF(PNL!A656="","",_CALC_PNL!P656)</f>
        <v>123910</v>
      </c>
      <c r="I656" t="str">
        <f>IF(PNL!A656="","",IF(_CALC_PNL!E656=1,H656-G656,""))</f>
        <v/>
      </c>
    </row>
    <row r="657" ht="14.25" customHeight="1">
      <c r="A657" t="s">
        <v>99</v>
      </c>
      <c r="B657" t="s">
        <v>223</v>
      </c>
      <c r="C657" t="s">
        <v>152</v>
      </c>
      <c r="D657" t="s">
        <v>229</v>
      </c>
      <c r="E657" t="s">
        <v>147</v>
      </c>
      <c r="F657" t="s">
        <v>148</v>
      </c>
      <c r="G657">
        <v>103258</v>
      </c>
      <c r="H657">
        <f>IF(PNL!A657="","",_CALC_PNL!P657)</f>
        <v>103258</v>
      </c>
      <c r="I657" t="str">
        <f>IF(PNL!A657="","",IF(_CALC_PNL!E657=1,H657-G657,""))</f>
        <v/>
      </c>
    </row>
    <row r="658" ht="14.25" customHeight="1">
      <c r="A658" t="s">
        <v>95</v>
      </c>
      <c r="B658" t="s">
        <v>223</v>
      </c>
      <c r="C658" t="s">
        <v>152</v>
      </c>
      <c r="D658" t="s">
        <v>229</v>
      </c>
      <c r="E658" t="s">
        <v>147</v>
      </c>
      <c r="F658" t="s">
        <v>148</v>
      </c>
      <c r="G658">
        <v>154887</v>
      </c>
      <c r="H658">
        <f>IF(PNL!A658="","",_CALC_PNL!P658)</f>
        <v>154887</v>
      </c>
      <c r="I658" t="str">
        <f>IF(PNL!A658="","",IF(_CALC_PNL!E658=1,H658-G658,""))</f>
        <v/>
      </c>
    </row>
    <row r="659" ht="14.25" customHeight="1">
      <c r="A659" t="s">
        <v>93</v>
      </c>
      <c r="B659" t="s">
        <v>223</v>
      </c>
      <c r="C659" t="s">
        <v>152</v>
      </c>
      <c r="D659" t="s">
        <v>229</v>
      </c>
      <c r="E659" t="s">
        <v>147</v>
      </c>
      <c r="F659" t="s">
        <v>148</v>
      </c>
      <c r="G659">
        <v>103258</v>
      </c>
      <c r="H659">
        <f>IF(PNL!A659="","",_CALC_PNL!P659)</f>
        <v>103258</v>
      </c>
      <c r="I659" t="str">
        <f>IF(PNL!A659="","",IF(_CALC_PNL!E659=1,H659-G659,""))</f>
        <v/>
      </c>
    </row>
    <row r="660" ht="14.25" customHeight="1">
      <c r="A660" t="s">
        <v>97</v>
      </c>
      <c r="B660" t="s">
        <v>223</v>
      </c>
      <c r="C660" t="s">
        <v>152</v>
      </c>
      <c r="D660" t="s">
        <v>229</v>
      </c>
      <c r="E660" t="s">
        <v>147</v>
      </c>
      <c r="F660" t="s">
        <v>148</v>
      </c>
      <c r="G660">
        <v>103258</v>
      </c>
      <c r="H660">
        <f>IF(PNL!A660="","",_CALC_PNL!P660)</f>
        <v>103258</v>
      </c>
      <c r="I660" t="str">
        <f>IF(PNL!A660="","",IF(_CALC_PNL!E660=1,H660-G660,""))</f>
        <v/>
      </c>
    </row>
    <row r="661" ht="14.25" customHeight="1">
      <c r="A661" t="s">
        <v>89</v>
      </c>
      <c r="B661" t="s">
        <v>223</v>
      </c>
      <c r="C661" t="s">
        <v>152</v>
      </c>
      <c r="D661" t="s">
        <v>229</v>
      </c>
      <c r="E661" t="s">
        <v>147</v>
      </c>
      <c r="F661" t="s">
        <v>148</v>
      </c>
      <c r="G661">
        <v>61955</v>
      </c>
      <c r="H661">
        <f>IF(PNL!A661="","",_CALC_PNL!P661)</f>
        <v>61955</v>
      </c>
      <c r="I661" t="str">
        <f>IF(PNL!A661="","",IF(_CALC_PNL!E661=1,H661-G661,""))</f>
        <v/>
      </c>
    </row>
    <row r="662" ht="14.25" customHeight="1">
      <c r="A662" t="s">
        <v>91</v>
      </c>
      <c r="B662" t="s">
        <v>223</v>
      </c>
      <c r="C662" t="s">
        <v>152</v>
      </c>
      <c r="D662" t="s">
        <v>229</v>
      </c>
      <c r="E662" t="s">
        <v>147</v>
      </c>
      <c r="F662" t="s">
        <v>148</v>
      </c>
      <c r="G662">
        <v>61955</v>
      </c>
      <c r="H662">
        <f>IF(PNL!A662="","",_CALC_PNL!P662)</f>
        <v>61955</v>
      </c>
      <c r="I662" t="str">
        <f>IF(PNL!A662="","",IF(_CALC_PNL!E662=1,H662-G662,""))</f>
        <v/>
      </c>
    </row>
    <row r="663" ht="14.25" customHeight="1">
      <c r="A663" t="s">
        <v>86</v>
      </c>
      <c r="B663" t="s">
        <v>223</v>
      </c>
      <c r="C663" t="s">
        <v>152</v>
      </c>
      <c r="D663" t="s">
        <v>229</v>
      </c>
      <c r="E663" t="s">
        <v>147</v>
      </c>
      <c r="F663" t="s">
        <v>148</v>
      </c>
      <c r="G663">
        <v>61955</v>
      </c>
      <c r="H663">
        <f>IF(PNL!A663="","",_CALC_PNL!P663)</f>
        <v>61955</v>
      </c>
      <c r="I663" t="str">
        <f>IF(PNL!A663="","",IF(_CALC_PNL!E663=1,H663-G663,""))</f>
        <v/>
      </c>
    </row>
    <row r="664" ht="14.25" customHeight="1">
      <c r="A664" t="s">
        <v>106</v>
      </c>
      <c r="B664" t="s">
        <v>223</v>
      </c>
      <c r="C664" t="s">
        <v>152</v>
      </c>
      <c r="D664" t="s">
        <v>229</v>
      </c>
      <c r="E664" t="s">
        <v>147</v>
      </c>
      <c r="F664" t="s">
        <v>148</v>
      </c>
      <c r="G664">
        <v>82607</v>
      </c>
      <c r="H664">
        <f>IF(PNL!A664="","",_CALC_PNL!P664)</f>
        <v>82607</v>
      </c>
      <c r="I664" t="str">
        <f>IF(PNL!A664="","",IF(_CALC_PNL!E664=1,H664-G664,""))</f>
        <v/>
      </c>
    </row>
    <row r="665" ht="14.25" customHeight="1">
      <c r="A665" t="s">
        <v>105</v>
      </c>
      <c r="B665" t="s">
        <v>223</v>
      </c>
      <c r="C665" t="s">
        <v>152</v>
      </c>
      <c r="D665" t="s">
        <v>229</v>
      </c>
      <c r="E665" t="s">
        <v>147</v>
      </c>
      <c r="F665" t="s">
        <v>148</v>
      </c>
      <c r="G665">
        <v>82607</v>
      </c>
      <c r="H665">
        <f>IF(PNL!A665="","",_CALC_PNL!P665)</f>
        <v>82607</v>
      </c>
      <c r="I665" t="str">
        <f>IF(PNL!A665="","",IF(_CALC_PNL!E665=1,H665-G665,""))</f>
        <v/>
      </c>
    </row>
    <row r="666" ht="14.25" customHeight="1">
      <c r="A666" t="s">
        <v>108</v>
      </c>
      <c r="B666" t="s">
        <v>223</v>
      </c>
      <c r="C666" t="s">
        <v>152</v>
      </c>
      <c r="D666" t="s">
        <v>229</v>
      </c>
      <c r="E666" t="s">
        <v>147</v>
      </c>
      <c r="F666" t="s">
        <v>148</v>
      </c>
      <c r="G666">
        <v>61955</v>
      </c>
      <c r="H666">
        <f>IF(PNL!A666="","",_CALC_PNL!P666)</f>
        <v>61955</v>
      </c>
      <c r="I666" t="str">
        <f>IF(PNL!A666="","",IF(_CALC_PNL!E666=1,H666-G666,""))</f>
        <v/>
      </c>
    </row>
    <row r="667" ht="14.25" customHeight="1">
      <c r="A667" t="s">
        <v>107</v>
      </c>
      <c r="B667" t="s">
        <v>223</v>
      </c>
      <c r="C667" t="s">
        <v>152</v>
      </c>
      <c r="D667" t="s">
        <v>229</v>
      </c>
      <c r="E667" t="s">
        <v>147</v>
      </c>
      <c r="F667" t="s">
        <v>148</v>
      </c>
      <c r="G667">
        <v>61955</v>
      </c>
      <c r="H667">
        <f>IF(PNL!A667="","",_CALC_PNL!P667)</f>
        <v>61955</v>
      </c>
      <c r="I667" t="str">
        <f>IF(PNL!A667="","",IF(_CALC_PNL!E667=1,H667-G667,""))</f>
        <v/>
      </c>
    </row>
    <row r="668" ht="14.25" customHeight="1">
      <c r="A668" t="s">
        <v>105</v>
      </c>
      <c r="B668" t="s">
        <v>200</v>
      </c>
      <c r="C668" t="s">
        <v>156</v>
      </c>
      <c r="D668" t="s">
        <v>229</v>
      </c>
      <c r="E668" t="s">
        <v>147</v>
      </c>
      <c r="F668" t="s">
        <v>148</v>
      </c>
      <c r="G668">
        <v>998130</v>
      </c>
      <c r="H668">
        <f>IF(PNL!A668="","",_CALC_PNL!P668)</f>
        <v>998130</v>
      </c>
      <c r="I668" t="str">
        <f>IF(PNL!A668="","",IF(_CALC_PNL!E668=1,H668-G668,""))</f>
        <v/>
      </c>
    </row>
    <row r="669" ht="14.25" customHeight="1">
      <c r="A669" t="s">
        <v>105</v>
      </c>
      <c r="B669" t="s">
        <v>200</v>
      </c>
      <c r="C669" t="s">
        <v>155</v>
      </c>
      <c r="D669" t="s">
        <v>229</v>
      </c>
      <c r="E669" t="s">
        <v>147</v>
      </c>
      <c r="F669" t="s">
        <v>148</v>
      </c>
      <c r="G669">
        <v>1062150</v>
      </c>
      <c r="H669">
        <f>IF(PNL!A669="","",_CALC_PNL!P669)</f>
        <v>1062150</v>
      </c>
      <c r="I669" t="str">
        <f>IF(PNL!A669="","",IF(_CALC_PNL!E669=1,H669-G669,""))</f>
        <v/>
      </c>
    </row>
    <row r="670" ht="14.25" customHeight="1">
      <c r="A670" t="s">
        <v>105</v>
      </c>
      <c r="B670" t="s">
        <v>200</v>
      </c>
      <c r="C670" t="s">
        <v>152</v>
      </c>
      <c r="D670" t="s">
        <v>229</v>
      </c>
      <c r="E670" t="s">
        <v>147</v>
      </c>
      <c r="F670" t="s">
        <v>148</v>
      </c>
      <c r="G670">
        <v>1126170</v>
      </c>
      <c r="H670">
        <f>IF(PNL!A670="","",_CALC_PNL!P670)</f>
        <v>1126170</v>
      </c>
      <c r="I670" t="str">
        <f>IF(PNL!A670="","",IF(_CALC_PNL!E670=1,H670-G670,""))</f>
        <v/>
      </c>
    </row>
    <row r="671" ht="14.25" customHeight="1">
      <c r="A671" t="s">
        <v>106</v>
      </c>
      <c r="B671" t="s">
        <v>200</v>
      </c>
      <c r="C671" t="s">
        <v>156</v>
      </c>
      <c r="D671" t="s">
        <v>229</v>
      </c>
      <c r="E671" t="s">
        <v>147</v>
      </c>
      <c r="F671" t="s">
        <v>148</v>
      </c>
      <c r="G671">
        <v>1392300</v>
      </c>
      <c r="H671">
        <f>IF(PNL!A671="","",_CALC_PNL!P671)</f>
        <v>1392300</v>
      </c>
      <c r="I671" t="str">
        <f>IF(PNL!A671="","",IF(_CALC_PNL!E671=1,H671-G671,""))</f>
        <v/>
      </c>
    </row>
    <row r="672" ht="14.25" customHeight="1">
      <c r="A672" t="s">
        <v>106</v>
      </c>
      <c r="B672" t="s">
        <v>200</v>
      </c>
      <c r="C672" t="s">
        <v>155</v>
      </c>
      <c r="D672" t="s">
        <v>229</v>
      </c>
      <c r="E672" t="s">
        <v>147</v>
      </c>
      <c r="F672" t="s">
        <v>148</v>
      </c>
      <c r="G672">
        <v>1461600</v>
      </c>
      <c r="H672">
        <f>IF(PNL!A672="","",_CALC_PNL!P672)</f>
        <v>1461600</v>
      </c>
      <c r="I672" t="str">
        <f>IF(PNL!A672="","",IF(_CALC_PNL!E672=1,H672-G672,""))</f>
        <v/>
      </c>
    </row>
    <row r="673" ht="14.25" customHeight="1">
      <c r="A673" t="s">
        <v>106</v>
      </c>
      <c r="B673" t="s">
        <v>200</v>
      </c>
      <c r="C673" t="s">
        <v>152</v>
      </c>
      <c r="D673" t="s">
        <v>229</v>
      </c>
      <c r="E673" t="s">
        <v>147</v>
      </c>
      <c r="F673" t="s">
        <v>148</v>
      </c>
      <c r="G673">
        <v>1565550</v>
      </c>
      <c r="H673">
        <f>IF(PNL!A673="","",_CALC_PNL!P673)</f>
        <v>1565550</v>
      </c>
      <c r="I673" t="str">
        <f>IF(PNL!A673="","",IF(_CALC_PNL!E673=1,H673-G673,""))</f>
        <v/>
      </c>
    </row>
    <row r="674" ht="14.25" customHeight="1">
      <c r="A674" t="s">
        <v>86</v>
      </c>
      <c r="B674" t="s">
        <v>204</v>
      </c>
      <c r="C674" t="s">
        <v>189</v>
      </c>
      <c r="D674" t="s">
        <v>7</v>
      </c>
      <c r="E674" t="s">
        <v>147</v>
      </c>
      <c r="F674" t="s">
        <v>148</v>
      </c>
      <c r="G674">
        <v>26894.960411</v>
      </c>
      <c r="H674">
        <f>IF(PNL!A674="","",_CALC_PNL!P674)</f>
        <v>26894.9755249585</v>
      </c>
      <c r="I674">
        <f>IF(PNL!A674="","",IF(_CALC_PNL!E674=1,H674-G674,""))</f>
        <v>0.015113958499569</v>
      </c>
    </row>
    <row r="675" ht="14.25" customHeight="1">
      <c r="A675" t="s">
        <v>89</v>
      </c>
      <c r="B675" t="s">
        <v>204</v>
      </c>
      <c r="C675" t="s">
        <v>189</v>
      </c>
      <c r="D675" t="s">
        <v>7</v>
      </c>
      <c r="E675" t="s">
        <v>147</v>
      </c>
      <c r="F675" t="s">
        <v>148</v>
      </c>
      <c r="G675">
        <v>33331.176387</v>
      </c>
      <c r="H675">
        <f>IF(PNL!A675="","",_CALC_PNL!P675)</f>
        <v>33331.1951186385</v>
      </c>
      <c r="I675">
        <f>IF(PNL!A675="","",IF(_CALC_PNL!E675=1,H675-G675,""))</f>
        <v>0.0187316384981386</v>
      </c>
    </row>
    <row r="676" ht="14.25" customHeight="1">
      <c r="A676" t="s">
        <v>91</v>
      </c>
      <c r="B676" t="s">
        <v>204</v>
      </c>
      <c r="C676" t="s">
        <v>189</v>
      </c>
      <c r="D676" t="s">
        <v>7</v>
      </c>
      <c r="E676" t="s">
        <v>147</v>
      </c>
      <c r="F676" t="s">
        <v>148</v>
      </c>
      <c r="G676">
        <v>26894.960411</v>
      </c>
      <c r="H676">
        <f>IF(PNL!A676="","",_CALC_PNL!P676)</f>
        <v>26894.9755249585</v>
      </c>
      <c r="I676">
        <f>IF(PNL!A676="","",IF(_CALC_PNL!E676=1,H676-G676,""))</f>
        <v>0.015113958499569</v>
      </c>
    </row>
    <row r="677" ht="14.25" customHeight="1">
      <c r="A677" t="s">
        <v>93</v>
      </c>
      <c r="B677" t="s">
        <v>204</v>
      </c>
      <c r="C677" t="s">
        <v>189</v>
      </c>
      <c r="D677" t="s">
        <v>7</v>
      </c>
      <c r="E677" t="s">
        <v>147</v>
      </c>
      <c r="F677" t="s">
        <v>148</v>
      </c>
      <c r="G677">
        <v>56089.084199</v>
      </c>
      <c r="H677">
        <f>IF(PNL!A677="","",_CALC_PNL!P677)</f>
        <v>56089.1157199997</v>
      </c>
      <c r="I677">
        <f>IF(PNL!A677="","",IF(_CALC_PNL!E677=1,H677-G677,""))</f>
        <v>0.0315209997061174</v>
      </c>
    </row>
    <row r="678" ht="14.25" customHeight="1">
      <c r="A678" t="s">
        <v>95</v>
      </c>
      <c r="B678" t="s">
        <v>204</v>
      </c>
      <c r="C678" t="s">
        <v>189</v>
      </c>
      <c r="D678" t="s">
        <v>7</v>
      </c>
      <c r="E678" t="s">
        <v>147</v>
      </c>
      <c r="F678" t="s">
        <v>148</v>
      </c>
      <c r="G678">
        <v>81374.733208</v>
      </c>
      <c r="H678">
        <f>IF(PNL!A678="","",_CALC_PNL!P678)</f>
        <v>81374.7789389396</v>
      </c>
      <c r="I678">
        <f>IF(PNL!A678="","",IF(_CALC_PNL!E678=1,H678-G678,""))</f>
        <v>0.0457309396006167</v>
      </c>
    </row>
    <row r="679" ht="14.25" customHeight="1">
      <c r="A679" t="s">
        <v>97</v>
      </c>
      <c r="B679" t="s">
        <v>204</v>
      </c>
      <c r="C679" t="s">
        <v>189</v>
      </c>
      <c r="D679" t="s">
        <v>7</v>
      </c>
      <c r="E679" t="s">
        <v>147</v>
      </c>
      <c r="F679" t="s">
        <v>148</v>
      </c>
      <c r="G679">
        <v>53100.068845</v>
      </c>
      <c r="H679">
        <f>IF(PNL!A679="","",_CALC_PNL!P679)</f>
        <v>53100.0986858527</v>
      </c>
      <c r="I679">
        <f>IF(PNL!A679="","",IF(_CALC_PNL!E679=1,H679-G679,""))</f>
        <v>0.0298408527014544</v>
      </c>
    </row>
    <row r="680" ht="14.25" customHeight="1">
      <c r="A680" t="s">
        <v>99</v>
      </c>
      <c r="B680" t="s">
        <v>204</v>
      </c>
      <c r="C680" t="s">
        <v>189</v>
      </c>
      <c r="D680" t="s">
        <v>7</v>
      </c>
      <c r="E680" t="s">
        <v>147</v>
      </c>
      <c r="F680" t="s">
        <v>148</v>
      </c>
      <c r="G680">
        <v>57238.151073</v>
      </c>
      <c r="H680">
        <f>IF(PNL!A680="","",_CALC_PNL!P680)</f>
        <v>57238.183239844</v>
      </c>
      <c r="I680">
        <f>IF(PNL!A680="","",IF(_CALC_PNL!E680=1,H680-G680,""))</f>
        <v>0.0321668440010399</v>
      </c>
    </row>
    <row r="681" ht="14.25" customHeight="1">
      <c r="A681" t="s">
        <v>101</v>
      </c>
      <c r="B681" t="s">
        <v>204</v>
      </c>
      <c r="C681" t="s">
        <v>189</v>
      </c>
      <c r="D681" t="s">
        <v>7</v>
      </c>
      <c r="E681" t="s">
        <v>147</v>
      </c>
      <c r="F681" t="s">
        <v>148</v>
      </c>
      <c r="G681">
        <v>74478.272704</v>
      </c>
      <c r="H681">
        <f>IF(PNL!A681="","",_CALC_PNL!P681)</f>
        <v>74478.3145590854</v>
      </c>
      <c r="I681">
        <f>IF(PNL!A681="","",IF(_CALC_PNL!E681=1,H681-G681,""))</f>
        <v>0.0418550853937631</v>
      </c>
    </row>
    <row r="682" ht="14.25" customHeight="1">
      <c r="A682" t="s">
        <v>103</v>
      </c>
      <c r="B682" t="s">
        <v>204</v>
      </c>
      <c r="C682" t="s">
        <v>189</v>
      </c>
      <c r="D682" t="s">
        <v>7</v>
      </c>
      <c r="E682" t="s">
        <v>147</v>
      </c>
      <c r="F682" t="s">
        <v>148</v>
      </c>
      <c r="G682">
        <v>67582.84183</v>
      </c>
      <c r="H682">
        <f>IF(PNL!A682="","",_CALC_PNL!P682)</f>
        <v>67582.8798096253</v>
      </c>
      <c r="I682">
        <f>IF(PNL!A682="","",IF(_CALC_PNL!E682=1,H682-G682,""))</f>
        <v>0.0379796252964297</v>
      </c>
    </row>
    <row r="683" ht="14.25" customHeight="1">
      <c r="A683" t="s">
        <v>104</v>
      </c>
      <c r="B683" t="s">
        <v>204</v>
      </c>
      <c r="C683" t="s">
        <v>189</v>
      </c>
      <c r="D683" t="s">
        <v>7</v>
      </c>
      <c r="E683" t="s">
        <v>147</v>
      </c>
      <c r="F683" t="s">
        <v>148</v>
      </c>
      <c r="G683">
        <v>87810.949185</v>
      </c>
      <c r="H683">
        <f>IF(PNL!A683="","",_CALC_PNL!P683)</f>
        <v>87810.9985326196</v>
      </c>
      <c r="I683">
        <f>IF(PNL!A683="","",IF(_CALC_PNL!E683=1,H683-G683,""))</f>
        <v>0.0493476195988478</v>
      </c>
    </row>
    <row r="684" ht="14.25" customHeight="1">
      <c r="A684" t="s">
        <v>105</v>
      </c>
      <c r="B684" t="s">
        <v>204</v>
      </c>
      <c r="C684" t="s">
        <v>189</v>
      </c>
      <c r="D684" t="s">
        <v>7</v>
      </c>
      <c r="E684" t="s">
        <v>147</v>
      </c>
      <c r="F684" t="s">
        <v>148</v>
      </c>
      <c r="G684">
        <v>32642.354041</v>
      </c>
      <c r="H684">
        <f>IF(PNL!A684="","",_CALC_PNL!P684)</f>
        <v>32642.3723849683</v>
      </c>
      <c r="I684">
        <f>IF(PNL!A684="","",IF(_CALC_PNL!E684=1,H684-G684,""))</f>
        <v>0.0183439683023607</v>
      </c>
    </row>
    <row r="685" ht="14.25" customHeight="1">
      <c r="A685" t="s">
        <v>106</v>
      </c>
      <c r="B685" t="s">
        <v>204</v>
      </c>
      <c r="C685" t="s">
        <v>189</v>
      </c>
      <c r="D685" t="s">
        <v>7</v>
      </c>
      <c r="E685" t="s">
        <v>147</v>
      </c>
      <c r="F685" t="s">
        <v>148</v>
      </c>
      <c r="G685">
        <v>41836.948293</v>
      </c>
      <c r="H685">
        <f>IF(PNL!A685="","",_CALC_PNL!P685)</f>
        <v>41836.9718045112</v>
      </c>
      <c r="I685">
        <f>IF(PNL!A685="","",IF(_CALC_PNL!E685=1,H685-G685,""))</f>
        <v>0.0235115112009225</v>
      </c>
    </row>
    <row r="686" ht="14.25" customHeight="1">
      <c r="A686" t="s">
        <v>107</v>
      </c>
      <c r="B686" t="s">
        <v>204</v>
      </c>
      <c r="C686" t="s">
        <v>189</v>
      </c>
      <c r="D686" t="s">
        <v>7</v>
      </c>
      <c r="E686" t="s">
        <v>147</v>
      </c>
      <c r="F686" t="s">
        <v>148</v>
      </c>
      <c r="G686">
        <v>26894.960411</v>
      </c>
      <c r="H686">
        <f>IF(PNL!A686="","",_CALC_PNL!P686)</f>
        <v>26894.9755249585</v>
      </c>
      <c r="I686">
        <f>IF(PNL!A686="","",IF(_CALC_PNL!E686=1,H686-G686,""))</f>
        <v>0.015113958499569</v>
      </c>
    </row>
    <row r="687" ht="14.25" customHeight="1">
      <c r="A687" t="s">
        <v>108</v>
      </c>
      <c r="B687" t="s">
        <v>204</v>
      </c>
      <c r="C687" t="s">
        <v>189</v>
      </c>
      <c r="D687" t="s">
        <v>7</v>
      </c>
      <c r="E687" t="s">
        <v>147</v>
      </c>
      <c r="F687" t="s">
        <v>148</v>
      </c>
      <c r="G687">
        <v>31721.864986</v>
      </c>
      <c r="H687">
        <f>IF(PNL!A687="","",_CALC_PNL!P687)</f>
        <v>31721.8828126199</v>
      </c>
      <c r="I687">
        <f>IF(PNL!A687="","",IF(_CALC_PNL!E687=1,H687-G687,""))</f>
        <v>0.0178266199000063</v>
      </c>
    </row>
    <row r="688" ht="14.25" customHeight="1">
      <c r="A688" t="s">
        <v>86</v>
      </c>
      <c r="B688" t="s">
        <v>205</v>
      </c>
      <c r="C688" t="s">
        <v>189</v>
      </c>
      <c r="D688" t="s">
        <v>7</v>
      </c>
      <c r="E688" t="s">
        <v>147</v>
      </c>
      <c r="F688" t="s">
        <v>148</v>
      </c>
      <c r="G688">
        <v>17929.973607</v>
      </c>
      <c r="H688">
        <f>IF(PNL!A688="","",_CALC_PNL!P688)</f>
        <v>17929.9836833056</v>
      </c>
      <c r="I688">
        <f>IF(PNL!A688="","",IF(_CALC_PNL!E688=1,H688-G688,""))</f>
        <v>0.0100763055997959</v>
      </c>
    </row>
    <row r="689" ht="14.25" customHeight="1">
      <c r="A689" t="s">
        <v>89</v>
      </c>
      <c r="B689" t="s">
        <v>205</v>
      </c>
      <c r="C689" t="s">
        <v>189</v>
      </c>
      <c r="D689" t="s">
        <v>7</v>
      </c>
      <c r="E689" t="s">
        <v>147</v>
      </c>
      <c r="F689" t="s">
        <v>148</v>
      </c>
      <c r="G689">
        <v>22221.470678</v>
      </c>
      <c r="H689">
        <f>IF(PNL!A689="","",_CALC_PNL!P689)</f>
        <v>22221.4831660217</v>
      </c>
      <c r="I689">
        <f>IF(PNL!A689="","",IF(_CALC_PNL!E689=1,H689-G689,""))</f>
        <v>0.0124880216972088</v>
      </c>
    </row>
    <row r="690" ht="14.25" customHeight="1">
      <c r="A690" t="s">
        <v>91</v>
      </c>
      <c r="B690" t="s">
        <v>205</v>
      </c>
      <c r="C690" t="s">
        <v>189</v>
      </c>
      <c r="D690" t="s">
        <v>7</v>
      </c>
      <c r="E690" t="s">
        <v>147</v>
      </c>
      <c r="F690" t="s">
        <v>148</v>
      </c>
      <c r="G690">
        <v>17929.973607</v>
      </c>
      <c r="H690">
        <f>IF(PNL!A690="","",_CALC_PNL!P690)</f>
        <v>17929.9836833056</v>
      </c>
      <c r="I690">
        <f>IF(PNL!A690="","",IF(_CALC_PNL!E690=1,H690-G690,""))</f>
        <v>0.0100763055997959</v>
      </c>
    </row>
    <row r="691" ht="14.25" customHeight="1">
      <c r="A691" t="s">
        <v>93</v>
      </c>
      <c r="B691" t="s">
        <v>205</v>
      </c>
      <c r="C691" t="s">
        <v>189</v>
      </c>
      <c r="D691" t="s">
        <v>7</v>
      </c>
      <c r="E691" t="s">
        <v>147</v>
      </c>
      <c r="F691" t="s">
        <v>148</v>
      </c>
      <c r="G691">
        <v>37392.03638</v>
      </c>
      <c r="H691">
        <f>IF(PNL!A691="","",_CALC_PNL!P691)</f>
        <v>37392.0573930704</v>
      </c>
      <c r="I691">
        <f>IF(PNL!A691="","",IF(_CALC_PNL!E691=1,H691-G691,""))</f>
        <v>0.0210130703999312</v>
      </c>
    </row>
    <row r="692" ht="14.25" customHeight="1">
      <c r="A692" t="s">
        <v>95</v>
      </c>
      <c r="B692" t="s">
        <v>205</v>
      </c>
      <c r="C692" t="s">
        <v>189</v>
      </c>
      <c r="D692" t="s">
        <v>7</v>
      </c>
      <c r="E692" t="s">
        <v>147</v>
      </c>
      <c r="F692" t="s">
        <v>148</v>
      </c>
      <c r="G692">
        <v>54250.165349</v>
      </c>
      <c r="H692">
        <f>IF(PNL!A692="","",_CALC_PNL!P692)</f>
        <v>54250.1958360911</v>
      </c>
      <c r="I692">
        <f>IF(PNL!A692="","",IF(_CALC_PNL!E692=1,H692-G692,""))</f>
        <v>0.030487091098621</v>
      </c>
    </row>
    <row r="693" ht="14.25" customHeight="1">
      <c r="A693" t="s">
        <v>97</v>
      </c>
      <c r="B693" t="s">
        <v>205</v>
      </c>
      <c r="C693" t="s">
        <v>189</v>
      </c>
      <c r="D693" t="s">
        <v>7</v>
      </c>
      <c r="E693" t="s">
        <v>147</v>
      </c>
      <c r="F693" t="s">
        <v>148</v>
      </c>
      <c r="G693">
        <v>35400.732317</v>
      </c>
      <c r="H693">
        <f>IF(PNL!A693="","",_CALC_PNL!P693)</f>
        <v>35400.7522108312</v>
      </c>
      <c r="I693">
        <f>IF(PNL!A693="","",IF(_CALC_PNL!E693=1,H693-G693,""))</f>
        <v>0.0198938311950769</v>
      </c>
    </row>
    <row r="694" ht="14.25" customHeight="1">
      <c r="A694" t="s">
        <v>99</v>
      </c>
      <c r="B694" t="s">
        <v>205</v>
      </c>
      <c r="C694" t="s">
        <v>189</v>
      </c>
      <c r="D694" t="s">
        <v>7</v>
      </c>
      <c r="E694" t="s">
        <v>147</v>
      </c>
      <c r="F694" t="s">
        <v>148</v>
      </c>
      <c r="G694">
        <v>38159.110592</v>
      </c>
      <c r="H694">
        <f>IF(PNL!A694="","",_CALC_PNL!P694)</f>
        <v>38159.1320366941</v>
      </c>
      <c r="I694">
        <f>IF(PNL!A694="","",IF(_CALC_PNL!E694=1,H694-G694,""))</f>
        <v>0.0214446941026836</v>
      </c>
    </row>
    <row r="695" ht="14.25" customHeight="1">
      <c r="A695" t="s">
        <v>101</v>
      </c>
      <c r="B695" t="s">
        <v>205</v>
      </c>
      <c r="C695" t="s">
        <v>189</v>
      </c>
      <c r="D695" t="s">
        <v>7</v>
      </c>
      <c r="E695" t="s">
        <v>147</v>
      </c>
      <c r="F695" t="s">
        <v>148</v>
      </c>
      <c r="G695">
        <v>49652.868223</v>
      </c>
      <c r="H695">
        <f>IF(PNL!A695="","",_CALC_PNL!P695)</f>
        <v>49652.8961263197</v>
      </c>
      <c r="I695">
        <f>IF(PNL!A695="","",IF(_CALC_PNL!E695=1,H695-G695,""))</f>
        <v>0.0279033197002718</v>
      </c>
    </row>
    <row r="696" ht="14.25" customHeight="1">
      <c r="A696" t="s">
        <v>103</v>
      </c>
      <c r="B696" t="s">
        <v>205</v>
      </c>
      <c r="C696" t="s">
        <v>189</v>
      </c>
      <c r="D696" t="s">
        <v>7</v>
      </c>
      <c r="E696" t="s">
        <v>147</v>
      </c>
      <c r="F696" t="s">
        <v>148</v>
      </c>
      <c r="G696">
        <v>45054.541467</v>
      </c>
      <c r="H696">
        <f>IF(PNL!A696="","",_CALC_PNL!P696)</f>
        <v>45054.5667861541</v>
      </c>
      <c r="I696">
        <f>IF(PNL!A696="","",IF(_CALC_PNL!E696=1,H696-G696,""))</f>
        <v>0.025319154097815</v>
      </c>
    </row>
    <row r="697" ht="14.25" customHeight="1">
      <c r="A697" t="s">
        <v>104</v>
      </c>
      <c r="B697" t="s">
        <v>205</v>
      </c>
      <c r="C697" t="s">
        <v>189</v>
      </c>
      <c r="D697" t="s">
        <v>7</v>
      </c>
      <c r="E697" t="s">
        <v>147</v>
      </c>
      <c r="F697" t="s">
        <v>148</v>
      </c>
      <c r="G697">
        <v>58540.63279</v>
      </c>
      <c r="H697">
        <f>IF(PNL!A697="","",_CALC_PNL!P697)</f>
        <v>58540.6656884131</v>
      </c>
      <c r="I697">
        <f>IF(PNL!A697="","",IF(_CALC_PNL!E697=1,H697-G697,""))</f>
        <v>0.0328984130974277</v>
      </c>
    </row>
    <row r="698" ht="14.25" customHeight="1">
      <c r="A698" t="s">
        <v>105</v>
      </c>
      <c r="B698" t="s">
        <v>205</v>
      </c>
      <c r="C698" t="s">
        <v>189</v>
      </c>
      <c r="D698" t="s">
        <v>7</v>
      </c>
      <c r="E698" t="s">
        <v>147</v>
      </c>
      <c r="F698" t="s">
        <v>148</v>
      </c>
      <c r="G698">
        <v>21761.226151</v>
      </c>
      <c r="H698">
        <f>IF(PNL!A698="","",_CALC_PNL!P698)</f>
        <v>21761.2383798475</v>
      </c>
      <c r="I698">
        <f>IF(PNL!A698="","",IF(_CALC_PNL!E698=1,H698-G698,""))</f>
        <v>0.0122288474995003</v>
      </c>
    </row>
    <row r="699" ht="14.25" customHeight="1">
      <c r="A699" t="s">
        <v>106</v>
      </c>
      <c r="B699" t="s">
        <v>205</v>
      </c>
      <c r="C699" t="s">
        <v>189</v>
      </c>
      <c r="D699" t="s">
        <v>7</v>
      </c>
      <c r="E699" t="s">
        <v>147</v>
      </c>
      <c r="F699" t="s">
        <v>148</v>
      </c>
      <c r="G699">
        <v>27891.642072</v>
      </c>
      <c r="H699">
        <f>IF(PNL!A699="","",_CALC_PNL!P699)</f>
        <v>27891.6577464722</v>
      </c>
      <c r="I699">
        <f>IF(PNL!A699="","",IF(_CALC_PNL!E699=1,H699-G699,""))</f>
        <v>0.0156744722007716</v>
      </c>
    </row>
    <row r="700" ht="14.25" customHeight="1">
      <c r="A700" t="s">
        <v>107</v>
      </c>
      <c r="B700" t="s">
        <v>205</v>
      </c>
      <c r="C700" t="s">
        <v>189</v>
      </c>
      <c r="D700" t="s">
        <v>7</v>
      </c>
      <c r="E700" t="s">
        <v>147</v>
      </c>
      <c r="F700" t="s">
        <v>148</v>
      </c>
      <c r="G700">
        <v>17929.973607</v>
      </c>
      <c r="H700">
        <f>IF(PNL!A700="","",_CALC_PNL!P700)</f>
        <v>17929.9836833056</v>
      </c>
      <c r="I700">
        <f>IF(PNL!A700="","",IF(_CALC_PNL!E700=1,H700-G700,""))</f>
        <v>0.0100763055997959</v>
      </c>
    </row>
    <row r="701" ht="14.25" customHeight="1">
      <c r="A701" t="s">
        <v>108</v>
      </c>
      <c r="B701" t="s">
        <v>205</v>
      </c>
      <c r="C701" t="s">
        <v>189</v>
      </c>
      <c r="D701" t="s">
        <v>7</v>
      </c>
      <c r="E701" t="s">
        <v>147</v>
      </c>
      <c r="F701" t="s">
        <v>148</v>
      </c>
      <c r="G701">
        <v>21148.59641</v>
      </c>
      <c r="H701">
        <f>IF(PNL!A701="","",_CALC_PNL!P701)</f>
        <v>21148.6082953427</v>
      </c>
      <c r="I701">
        <f>IF(PNL!A701="","",IF(_CALC_PNL!E701=1,H701-G701,""))</f>
        <v>0.0118853427011345</v>
      </c>
    </row>
    <row r="702" ht="14.25" customHeight="1">
      <c r="A702" t="s">
        <v>86</v>
      </c>
      <c r="B702" t="s">
        <v>212</v>
      </c>
      <c r="C702" t="s">
        <v>189</v>
      </c>
      <c r="D702" t="s">
        <v>7</v>
      </c>
      <c r="E702" t="s">
        <v>147</v>
      </c>
      <c r="F702" t="s">
        <v>148</v>
      </c>
      <c r="G702">
        <v>84148.770783</v>
      </c>
      <c r="H702">
        <f>IF(PNL!A702="","",_CALC_PNL!P702)</f>
        <v>84148.7707827</v>
      </c>
      <c r="I702">
        <f>IF(PNL!A702="","",IF(_CALC_PNL!E702=1,H702-G702,""))</f>
        <v>-3.00002284348011e-7</v>
      </c>
    </row>
    <row r="703" ht="14.25" customHeight="1">
      <c r="A703" t="s">
        <v>89</v>
      </c>
      <c r="B703" t="s">
        <v>212</v>
      </c>
      <c r="C703" t="s">
        <v>189</v>
      </c>
      <c r="D703" t="s">
        <v>7</v>
      </c>
      <c r="E703" t="s">
        <v>147</v>
      </c>
      <c r="F703" t="s">
        <v>148</v>
      </c>
      <c r="G703">
        <v>103995.121846</v>
      </c>
      <c r="H703">
        <f>IF(PNL!A703="","",_CALC_PNL!P703)</f>
        <v>103995.1218462</v>
      </c>
      <c r="I703">
        <f>IF(PNL!A703="","",IF(_CALC_PNL!E703=1,H703-G703,""))</f>
        <v>2.00001522898674e-7</v>
      </c>
    </row>
    <row r="704" ht="14.25" customHeight="1">
      <c r="A704" t="s">
        <v>91</v>
      </c>
      <c r="B704" t="s">
        <v>212</v>
      </c>
      <c r="C704" t="s">
        <v>189</v>
      </c>
      <c r="D704" t="s">
        <v>7</v>
      </c>
      <c r="E704" t="s">
        <v>147</v>
      </c>
      <c r="F704" t="s">
        <v>148</v>
      </c>
      <c r="G704">
        <v>84198.977452</v>
      </c>
      <c r="H704">
        <f>IF(PNL!A704="","",_CALC_PNL!P704)</f>
        <v>84198.9774522</v>
      </c>
      <c r="I704">
        <f>IF(PNL!A704="","",IF(_CALC_PNL!E704=1,H704-G704,""))</f>
        <v>1.99986970983446e-7</v>
      </c>
    </row>
    <row r="705" ht="14.25" customHeight="1">
      <c r="A705" t="s">
        <v>93</v>
      </c>
      <c r="B705" t="s">
        <v>212</v>
      </c>
      <c r="C705" t="s">
        <v>189</v>
      </c>
      <c r="D705" t="s">
        <v>7</v>
      </c>
      <c r="E705" t="s">
        <v>147</v>
      </c>
      <c r="F705" t="s">
        <v>148</v>
      </c>
      <c r="G705">
        <v>176023.171674</v>
      </c>
      <c r="H705">
        <f>IF(PNL!A705="","",_CALC_PNL!P705)</f>
        <v>176023.1716737</v>
      </c>
      <c r="I705">
        <f>IF(PNL!A705="","",IF(_CALC_PNL!E705=1,H705-G705,""))</f>
        <v>-3.00002284348011e-7</v>
      </c>
    </row>
    <row r="706" ht="14.25" customHeight="1">
      <c r="A706" t="s">
        <v>95</v>
      </c>
      <c r="B706" t="s">
        <v>212</v>
      </c>
      <c r="C706" t="s">
        <v>189</v>
      </c>
      <c r="D706" t="s">
        <v>7</v>
      </c>
      <c r="E706" t="s">
        <v>147</v>
      </c>
      <c r="F706" t="s">
        <v>148</v>
      </c>
      <c r="G706">
        <v>301783.390319</v>
      </c>
      <c r="H706">
        <f>IF(PNL!A706="","",_CALC_PNL!P706)</f>
        <v>301783.3903188</v>
      </c>
      <c r="I706">
        <f>IF(PNL!A706="","",IF(_CALC_PNL!E706=1,H706-G706,""))</f>
        <v>-2.00001522898674e-7</v>
      </c>
    </row>
    <row r="707" ht="14.25" customHeight="1">
      <c r="A707" t="s">
        <v>97</v>
      </c>
      <c r="B707" t="s">
        <v>212</v>
      </c>
      <c r="C707" t="s">
        <v>189</v>
      </c>
      <c r="D707" t="s">
        <v>7</v>
      </c>
      <c r="E707" t="s">
        <v>147</v>
      </c>
      <c r="F707" t="s">
        <v>148</v>
      </c>
      <c r="G707">
        <v>165521.017635</v>
      </c>
      <c r="H707">
        <f>IF(PNL!A707="","",_CALC_PNL!P707)</f>
        <v>165521.0176347</v>
      </c>
      <c r="I707">
        <f>IF(PNL!A707="","",IF(_CALC_PNL!E707=1,H707-G707,""))</f>
        <v>-3.00002284348011e-7</v>
      </c>
    </row>
    <row r="708" ht="14.25" customHeight="1">
      <c r="A708" t="s">
        <v>99</v>
      </c>
      <c r="B708" t="s">
        <v>212</v>
      </c>
      <c r="C708" t="s">
        <v>189</v>
      </c>
      <c r="D708" t="s">
        <v>7</v>
      </c>
      <c r="E708" t="s">
        <v>147</v>
      </c>
      <c r="F708" t="s">
        <v>148</v>
      </c>
      <c r="G708">
        <v>173345.008766</v>
      </c>
      <c r="H708">
        <f>IF(PNL!A708="","",_CALC_PNL!P708)</f>
        <v>173345.0087655</v>
      </c>
      <c r="I708">
        <f>IF(PNL!A708="","",IF(_CALC_PNL!E708=1,H708-G708,""))</f>
        <v>-5.00003807246685e-7</v>
      </c>
    </row>
    <row r="709" ht="14.25" customHeight="1">
      <c r="A709" t="s">
        <v>101</v>
      </c>
      <c r="B709" t="s">
        <v>212</v>
      </c>
      <c r="C709" t="s">
        <v>189</v>
      </c>
      <c r="D709" t="s">
        <v>7</v>
      </c>
      <c r="E709" t="s">
        <v>147</v>
      </c>
      <c r="F709" t="s">
        <v>148</v>
      </c>
      <c r="G709">
        <v>247457.180993</v>
      </c>
      <c r="H709">
        <f>IF(PNL!A709="","",_CALC_PNL!P709)</f>
        <v>247457.1809931</v>
      </c>
      <c r="I709">
        <f>IF(PNL!A709="","",IF(_CALC_PNL!E709=1,H709-G709,""))</f>
        <v>1.00000761449337e-7</v>
      </c>
    </row>
    <row r="710" ht="14.25" customHeight="1">
      <c r="A710" t="s">
        <v>103</v>
      </c>
      <c r="B710" t="s">
        <v>212</v>
      </c>
      <c r="C710" t="s">
        <v>189</v>
      </c>
      <c r="D710" t="s">
        <v>7</v>
      </c>
      <c r="E710" t="s">
        <v>147</v>
      </c>
      <c r="F710" t="s">
        <v>148</v>
      </c>
      <c r="G710">
        <v>212866.647809</v>
      </c>
      <c r="H710">
        <f>IF(PNL!A710="","",_CALC_PNL!P710)</f>
        <v>212866.6478094</v>
      </c>
      <c r="I710">
        <f>IF(PNL!A710="","",IF(_CALC_PNL!E710=1,H710-G710,""))</f>
        <v>4.00003045797348e-7</v>
      </c>
    </row>
    <row r="711" ht="14.25" customHeight="1">
      <c r="A711" t="s">
        <v>104</v>
      </c>
      <c r="B711" t="s">
        <v>212</v>
      </c>
      <c r="C711" t="s">
        <v>189</v>
      </c>
      <c r="D711" t="s">
        <v>7</v>
      </c>
      <c r="E711" t="s">
        <v>147</v>
      </c>
      <c r="F711" t="s">
        <v>148</v>
      </c>
      <c r="G711">
        <v>310447.930198</v>
      </c>
      <c r="H711">
        <f>IF(PNL!A711="","",_CALC_PNL!P711)</f>
        <v>310447.9301976</v>
      </c>
      <c r="I711">
        <f>IF(PNL!A711="","",IF(_CALC_PNL!E711=1,H711-G711,""))</f>
        <v>-4.00003045797348e-7</v>
      </c>
    </row>
    <row r="712" ht="14.25" customHeight="1">
      <c r="A712" t="s">
        <v>105</v>
      </c>
      <c r="B712" t="s">
        <v>212</v>
      </c>
      <c r="C712" t="s">
        <v>189</v>
      </c>
      <c r="D712" t="s">
        <v>7</v>
      </c>
      <c r="E712" t="s">
        <v>147</v>
      </c>
      <c r="F712" t="s">
        <v>148</v>
      </c>
      <c r="G712">
        <v>113006.062716</v>
      </c>
      <c r="H712">
        <f>IF(PNL!A712="","",_CALC_PNL!P712)</f>
        <v>113006.0627163</v>
      </c>
      <c r="I712">
        <f>IF(PNL!A712="","",IF(_CALC_PNL!E712=1,H712-G712,""))</f>
        <v>3.00002284348011e-7</v>
      </c>
    </row>
    <row r="713" ht="14.25" customHeight="1">
      <c r="A713" t="s">
        <v>106</v>
      </c>
      <c r="B713" t="s">
        <v>212</v>
      </c>
      <c r="C713" t="s">
        <v>189</v>
      </c>
      <c r="D713" t="s">
        <v>7</v>
      </c>
      <c r="E713" t="s">
        <v>147</v>
      </c>
      <c r="F713" t="s">
        <v>148</v>
      </c>
      <c r="G713">
        <v>149212.249528</v>
      </c>
      <c r="H713">
        <f>IF(PNL!A713="","",_CALC_PNL!P713)</f>
        <v>149212.2495279</v>
      </c>
      <c r="I713">
        <f>IF(PNL!A713="","",IF(_CALC_PNL!E713=1,H713-G713,""))</f>
        <v>-9.99716576188803e-8</v>
      </c>
    </row>
    <row r="714" ht="14.25" customHeight="1">
      <c r="A714" t="s">
        <v>107</v>
      </c>
      <c r="B714" t="s">
        <v>212</v>
      </c>
      <c r="C714" t="s">
        <v>189</v>
      </c>
      <c r="D714" t="s">
        <v>7</v>
      </c>
      <c r="E714" t="s">
        <v>147</v>
      </c>
      <c r="F714" t="s">
        <v>148</v>
      </c>
      <c r="G714">
        <v>114979.970715</v>
      </c>
      <c r="H714">
        <f>IF(PNL!A714="","",_CALC_PNL!P714)</f>
        <v>114979.9707147</v>
      </c>
      <c r="I714">
        <f>IF(PNL!A714="","",IF(_CALC_PNL!E714=1,H714-G714,""))</f>
        <v>-3.00002284348011e-7</v>
      </c>
    </row>
    <row r="715" ht="14.25" customHeight="1">
      <c r="A715" t="s">
        <v>108</v>
      </c>
      <c r="B715" t="s">
        <v>212</v>
      </c>
      <c r="C715" t="s">
        <v>189</v>
      </c>
      <c r="D715" t="s">
        <v>7</v>
      </c>
      <c r="E715" t="s">
        <v>147</v>
      </c>
      <c r="F715" t="s">
        <v>148</v>
      </c>
      <c r="G715">
        <v>138118.848134</v>
      </c>
      <c r="H715">
        <f>IF(PNL!A715="","",_CALC_PNL!P715)</f>
        <v>138118.8481335</v>
      </c>
      <c r="I715">
        <f>IF(PNL!A715="","",IF(_CALC_PNL!E715=1,H715-G715,""))</f>
        <v>-5.00003807246685e-7</v>
      </c>
    </row>
    <row r="716" ht="14.25" customHeight="1">
      <c r="A716" t="s">
        <v>86</v>
      </c>
      <c r="B716" t="s">
        <v>213</v>
      </c>
      <c r="C716" t="s">
        <v>189</v>
      </c>
      <c r="D716" t="s">
        <v>7</v>
      </c>
      <c r="E716" t="s">
        <v>147</v>
      </c>
      <c r="F716" t="s">
        <v>148</v>
      </c>
      <c r="G716">
        <v>12021.248678</v>
      </c>
      <c r="H716">
        <f>IF(PNL!A716="","",_CALC_PNL!P716)</f>
        <v>12021.2486784</v>
      </c>
      <c r="I716">
        <f>IF(PNL!A716="","",IF(_CALC_PNL!E716=1,H716-G716,""))</f>
        <v>3.99999407818541e-7</v>
      </c>
    </row>
    <row r="717" ht="14.25" customHeight="1">
      <c r="A717" t="s">
        <v>89</v>
      </c>
      <c r="B717" t="s">
        <v>213</v>
      </c>
      <c r="C717" t="s">
        <v>189</v>
      </c>
      <c r="D717" t="s">
        <v>7</v>
      </c>
      <c r="E717" t="s">
        <v>147</v>
      </c>
      <c r="F717" t="s">
        <v>148</v>
      </c>
      <c r="G717">
        <v>14856.128477</v>
      </c>
      <c r="H717">
        <f>IF(PNL!A717="","",_CALC_PNL!P717)</f>
        <v>14856.1284768</v>
      </c>
      <c r="I717">
        <f>IF(PNL!A717="","",IF(_CALC_PNL!E717=1,H717-G717,""))</f>
        <v>-1.9999970390927e-7</v>
      </c>
    </row>
    <row r="718" ht="14.25" customHeight="1">
      <c r="A718" t="s">
        <v>91</v>
      </c>
      <c r="B718" t="s">
        <v>213</v>
      </c>
      <c r="C718" t="s">
        <v>189</v>
      </c>
      <c r="D718" t="s">
        <v>7</v>
      </c>
      <c r="E718" t="s">
        <v>147</v>
      </c>
      <c r="F718" t="s">
        <v>148</v>
      </c>
      <c r="G718">
        <v>12028.426781</v>
      </c>
      <c r="H718">
        <f>IF(PNL!A718="","",_CALC_PNL!P718)</f>
        <v>12028.4267805</v>
      </c>
      <c r="I718">
        <f>IF(PNL!A718="","",IF(_CALC_PNL!E718=1,H718-G718,""))</f>
        <v>-5.00000169267878e-7</v>
      </c>
    </row>
    <row r="719" ht="14.25" customHeight="1">
      <c r="A719" t="s">
        <v>93</v>
      </c>
      <c r="B719" t="s">
        <v>213</v>
      </c>
      <c r="C719" t="s">
        <v>189</v>
      </c>
      <c r="D719" t="s">
        <v>7</v>
      </c>
      <c r="E719" t="s">
        <v>147</v>
      </c>
      <c r="F719" t="s">
        <v>148</v>
      </c>
      <c r="G719">
        <v>25145.812696</v>
      </c>
      <c r="H719">
        <f>IF(PNL!A719="","",_CALC_PNL!P719)</f>
        <v>25145.8126959</v>
      </c>
      <c r="I719">
        <f>IF(PNL!A719="","",IF(_CALC_PNL!E719=1,H719-G719,""))</f>
        <v>-1.00000761449337e-7</v>
      </c>
    </row>
    <row r="720" ht="14.25" customHeight="1">
      <c r="A720" t="s">
        <v>95</v>
      </c>
      <c r="B720" t="s">
        <v>213</v>
      </c>
      <c r="C720" t="s">
        <v>189</v>
      </c>
      <c r="D720" t="s">
        <v>7</v>
      </c>
      <c r="E720" t="s">
        <v>147</v>
      </c>
      <c r="F720" t="s">
        <v>148</v>
      </c>
      <c r="G720">
        <v>43111.801348</v>
      </c>
      <c r="H720">
        <f>IF(PNL!A720="","",_CALC_PNL!P720)</f>
        <v>43111.8013482</v>
      </c>
      <c r="I720">
        <f>IF(PNL!A720="","",IF(_CALC_PNL!E720=1,H720-G720,""))</f>
        <v>2.00001522898674e-7</v>
      </c>
    </row>
    <row r="721" ht="14.25" customHeight="1">
      <c r="A721" t="s">
        <v>97</v>
      </c>
      <c r="B721" t="s">
        <v>213</v>
      </c>
      <c r="C721" t="s">
        <v>189</v>
      </c>
      <c r="D721" t="s">
        <v>7</v>
      </c>
      <c r="E721" t="s">
        <v>147</v>
      </c>
      <c r="F721" t="s">
        <v>148</v>
      </c>
      <c r="G721">
        <v>23646.029854</v>
      </c>
      <c r="H721">
        <f>IF(PNL!A721="","",_CALC_PNL!P721)</f>
        <v>23646.0298542</v>
      </c>
      <c r="I721">
        <f>IF(PNL!A721="","",IF(_CALC_PNL!E721=1,H721-G721,""))</f>
        <v>1.99997884919867e-7</v>
      </c>
    </row>
    <row r="722" ht="14.25" customHeight="1">
      <c r="A722" t="s">
        <v>99</v>
      </c>
      <c r="B722" t="s">
        <v>213</v>
      </c>
      <c r="C722" t="s">
        <v>189</v>
      </c>
      <c r="D722" t="s">
        <v>7</v>
      </c>
      <c r="E722" t="s">
        <v>147</v>
      </c>
      <c r="F722" t="s">
        <v>148</v>
      </c>
      <c r="G722">
        <v>24763.421081</v>
      </c>
      <c r="H722">
        <f>IF(PNL!A722="","",_CALC_PNL!P722)</f>
        <v>24763.4210811</v>
      </c>
      <c r="I722">
        <f>IF(PNL!A722="","",IF(_CALC_PNL!E722=1,H722-G722,""))</f>
        <v>1.00000761449337e-7</v>
      </c>
    </row>
    <row r="723" ht="14.25" customHeight="1">
      <c r="A723" t="s">
        <v>101</v>
      </c>
      <c r="B723" t="s">
        <v>213</v>
      </c>
      <c r="C723" t="s">
        <v>189</v>
      </c>
      <c r="D723" t="s">
        <v>7</v>
      </c>
      <c r="E723" t="s">
        <v>147</v>
      </c>
      <c r="F723" t="s">
        <v>148</v>
      </c>
      <c r="G723">
        <v>35350.871396</v>
      </c>
      <c r="H723">
        <f>IF(PNL!A723="","",_CALC_PNL!P723)</f>
        <v>35350.8713961</v>
      </c>
      <c r="I723">
        <f>IF(PNL!A723="","",IF(_CALC_PNL!E723=1,H723-G723,""))</f>
        <v>1.00000761449337e-7</v>
      </c>
    </row>
    <row r="724" ht="14.25" customHeight="1">
      <c r="A724" t="s">
        <v>103</v>
      </c>
      <c r="B724" t="s">
        <v>213</v>
      </c>
      <c r="C724" t="s">
        <v>189</v>
      </c>
      <c r="D724" t="s">
        <v>7</v>
      </c>
      <c r="E724" t="s">
        <v>147</v>
      </c>
      <c r="F724" t="s">
        <v>148</v>
      </c>
      <c r="G724">
        <v>30409.023411</v>
      </c>
      <c r="H724">
        <f>IF(PNL!A724="","",_CALC_PNL!P724)</f>
        <v>30409.023411</v>
      </c>
      <c r="I724">
        <f>IF(PNL!A724="","",IF(_CALC_PNL!E724=1,H724-G724,""))</f>
        <v>0</v>
      </c>
    </row>
    <row r="725" ht="14.25" customHeight="1">
      <c r="A725" t="s">
        <v>104</v>
      </c>
      <c r="B725" t="s">
        <v>213</v>
      </c>
      <c r="C725" t="s">
        <v>189</v>
      </c>
      <c r="D725" t="s">
        <v>7</v>
      </c>
      <c r="E725" t="s">
        <v>147</v>
      </c>
      <c r="F725" t="s">
        <v>148</v>
      </c>
      <c r="G725">
        <v>44349.588469</v>
      </c>
      <c r="H725">
        <f>IF(PNL!A725="","",_CALC_PNL!P725)</f>
        <v>44349.5884689</v>
      </c>
      <c r="I725">
        <f>IF(PNL!A725="","",IF(_CALC_PNL!E725=1,H725-G725,""))</f>
        <v>-1.00000761449337e-7</v>
      </c>
    </row>
    <row r="726" ht="14.25" customHeight="1">
      <c r="A726" t="s">
        <v>105</v>
      </c>
      <c r="B726" t="s">
        <v>213</v>
      </c>
      <c r="C726" t="s">
        <v>189</v>
      </c>
      <c r="D726" t="s">
        <v>7</v>
      </c>
      <c r="E726" t="s">
        <v>147</v>
      </c>
      <c r="F726" t="s">
        <v>148</v>
      </c>
      <c r="G726">
        <v>16143.471533</v>
      </c>
      <c r="H726">
        <f>IF(PNL!A726="","",_CALC_PNL!P726)</f>
        <v>16143.4715325</v>
      </c>
      <c r="I726">
        <f>IF(PNL!A726="","",IF(_CALC_PNL!E726=1,H726-G726,""))</f>
        <v>-5.00000169267878e-7</v>
      </c>
    </row>
    <row r="727" ht="14.25" customHeight="1">
      <c r="A727" t="s">
        <v>106</v>
      </c>
      <c r="B727" t="s">
        <v>213</v>
      </c>
      <c r="C727" t="s">
        <v>189</v>
      </c>
      <c r="D727" t="s">
        <v>7</v>
      </c>
      <c r="E727" t="s">
        <v>147</v>
      </c>
      <c r="F727" t="s">
        <v>148</v>
      </c>
      <c r="G727">
        <v>21316.039937</v>
      </c>
      <c r="H727">
        <f>IF(PNL!A727="","",_CALC_PNL!P727)</f>
        <v>21316.0399374</v>
      </c>
      <c r="I727">
        <f>IF(PNL!A727="","",IF(_CALC_PNL!E727=1,H727-G727,""))</f>
        <v>3.99999407818541e-7</v>
      </c>
    </row>
    <row r="728" ht="14.25" customHeight="1">
      <c r="A728" t="s">
        <v>107</v>
      </c>
      <c r="B728" t="s">
        <v>213</v>
      </c>
      <c r="C728" t="s">
        <v>189</v>
      </c>
      <c r="D728" t="s">
        <v>7</v>
      </c>
      <c r="E728" t="s">
        <v>147</v>
      </c>
      <c r="F728" t="s">
        <v>148</v>
      </c>
      <c r="G728">
        <v>16425.22956</v>
      </c>
      <c r="H728">
        <f>IF(PNL!A728="","",_CALC_PNL!P728)</f>
        <v>16425.2295597</v>
      </c>
      <c r="I728">
        <f>IF(PNL!A728="","",IF(_CALC_PNL!E728=1,H728-G728,""))</f>
        <v>-2.99998646369204e-7</v>
      </c>
    </row>
    <row r="729" ht="14.25" customHeight="1">
      <c r="A729" t="s">
        <v>108</v>
      </c>
      <c r="B729" t="s">
        <v>213</v>
      </c>
      <c r="C729" t="s">
        <v>189</v>
      </c>
      <c r="D729" t="s">
        <v>7</v>
      </c>
      <c r="E729" t="s">
        <v>147</v>
      </c>
      <c r="F729" t="s">
        <v>148</v>
      </c>
      <c r="G729">
        <v>19731.261159</v>
      </c>
      <c r="H729">
        <f>IF(PNL!A729="","",_CALC_PNL!P729)</f>
        <v>19731.2611587</v>
      </c>
      <c r="I729">
        <f>IF(PNL!A729="","",IF(_CALC_PNL!E729=1,H729-G729,""))</f>
        <v>-3.00002284348011e-7</v>
      </c>
    </row>
    <row r="730" ht="14.25" customHeight="1">
      <c r="A730" t="s">
        <v>86</v>
      </c>
      <c r="B730" t="s">
        <v>214</v>
      </c>
      <c r="C730" t="s">
        <v>189</v>
      </c>
      <c r="D730" t="s">
        <v>7</v>
      </c>
      <c r="E730" t="s">
        <v>147</v>
      </c>
      <c r="F730" t="s">
        <v>148</v>
      </c>
      <c r="G730">
        <v>6691.823225</v>
      </c>
      <c r="H730">
        <f>IF(PNL!A730="","",_CALC_PNL!P730)</f>
        <v>6691.8232251</v>
      </c>
      <c r="I730">
        <f>IF(PNL!A730="","",IF(_CALC_PNL!E730=1,H730-G730,""))</f>
        <v>9.99998519546352e-8</v>
      </c>
    </row>
    <row r="731" ht="14.25" customHeight="1">
      <c r="A731" t="s">
        <v>89</v>
      </c>
      <c r="B731" t="s">
        <v>214</v>
      </c>
      <c r="C731" t="s">
        <v>189</v>
      </c>
      <c r="D731" t="s">
        <v>7</v>
      </c>
      <c r="E731" t="s">
        <v>147</v>
      </c>
      <c r="F731" t="s">
        <v>148</v>
      </c>
      <c r="G731">
        <v>10248.868149</v>
      </c>
      <c r="H731">
        <f>IF(PNL!A731="","",_CALC_PNL!P731)</f>
        <v>10248.868149</v>
      </c>
      <c r="I731">
        <f>IF(PNL!A731="","",IF(_CALC_PNL!E731=1,H731-G731,""))</f>
        <v>0</v>
      </c>
    </row>
    <row r="732" ht="14.25" customHeight="1">
      <c r="A732" t="s">
        <v>91</v>
      </c>
      <c r="B732" t="s">
        <v>214</v>
      </c>
      <c r="C732" t="s">
        <v>189</v>
      </c>
      <c r="D732" t="s">
        <v>7</v>
      </c>
      <c r="E732" t="s">
        <v>147</v>
      </c>
      <c r="F732" t="s">
        <v>148</v>
      </c>
      <c r="G732">
        <v>6695.817734</v>
      </c>
      <c r="H732">
        <f>IF(PNL!A732="","",_CALC_PNL!P732)</f>
        <v>6695.8177338</v>
      </c>
      <c r="I732">
        <f>IF(PNL!A732="","",IF(_CALC_PNL!E732=1,H732-G732,""))</f>
        <v>-2.00000613403972e-7</v>
      </c>
    </row>
    <row r="733" ht="14.25" customHeight="1">
      <c r="A733" t="s">
        <v>93</v>
      </c>
      <c r="B733" t="s">
        <v>214</v>
      </c>
      <c r="C733" t="s">
        <v>189</v>
      </c>
      <c r="D733" t="s">
        <v>7</v>
      </c>
      <c r="E733" t="s">
        <v>147</v>
      </c>
      <c r="F733" t="s">
        <v>148</v>
      </c>
      <c r="G733">
        <v>17516.371158</v>
      </c>
      <c r="H733">
        <f>IF(PNL!A733="","",_CALC_PNL!P733)</f>
        <v>17516.371158</v>
      </c>
      <c r="I733">
        <f>IF(PNL!A733="","",IF(_CALC_PNL!E733=1,H733-G733,""))</f>
        <v>0</v>
      </c>
    </row>
    <row r="734" ht="14.25" customHeight="1">
      <c r="A734" t="s">
        <v>95</v>
      </c>
      <c r="B734" t="s">
        <v>214</v>
      </c>
      <c r="C734" t="s">
        <v>189</v>
      </c>
      <c r="D734" t="s">
        <v>7</v>
      </c>
      <c r="E734" t="s">
        <v>147</v>
      </c>
      <c r="F734" t="s">
        <v>148</v>
      </c>
      <c r="G734">
        <v>29045.564441</v>
      </c>
      <c r="H734">
        <f>IF(PNL!A734="","",_CALC_PNL!P734)</f>
        <v>29045.5644414</v>
      </c>
      <c r="I734">
        <f>IF(PNL!A734="","",IF(_CALC_PNL!E734=1,H734-G734,""))</f>
        <v>4.00003045797348e-7</v>
      </c>
    </row>
    <row r="735" ht="14.25" customHeight="1">
      <c r="A735" t="s">
        <v>97</v>
      </c>
      <c r="B735" t="s">
        <v>214</v>
      </c>
      <c r="C735" t="s">
        <v>189</v>
      </c>
      <c r="D735" t="s">
        <v>7</v>
      </c>
      <c r="E735" t="s">
        <v>147</v>
      </c>
      <c r="F735" t="s">
        <v>148</v>
      </c>
      <c r="G735">
        <v>15592.659818</v>
      </c>
      <c r="H735">
        <f>IF(PNL!A735="","",_CALC_PNL!P735)</f>
        <v>15592.6598178</v>
      </c>
      <c r="I735">
        <f>IF(PNL!A735="","",IF(_CALC_PNL!E735=1,H735-G735,""))</f>
        <v>-1.9999970390927e-7</v>
      </c>
    </row>
    <row r="736" ht="14.25" customHeight="1">
      <c r="A736" t="s">
        <v>99</v>
      </c>
      <c r="B736" t="s">
        <v>214</v>
      </c>
      <c r="C736" t="s">
        <v>189</v>
      </c>
      <c r="D736" t="s">
        <v>7</v>
      </c>
      <c r="E736" t="s">
        <v>147</v>
      </c>
      <c r="F736" t="s">
        <v>148</v>
      </c>
      <c r="G736">
        <v>17602.908835</v>
      </c>
      <c r="H736">
        <f>IF(PNL!A736="","",_CALC_PNL!P736)</f>
        <v>17602.9088352</v>
      </c>
      <c r="I736">
        <f>IF(PNL!A736="","",IF(_CALC_PNL!E736=1,H736-G736,""))</f>
        <v>2.00001522898674e-7</v>
      </c>
    </row>
    <row r="737" ht="14.25" customHeight="1">
      <c r="A737" t="s">
        <v>101</v>
      </c>
      <c r="B737" t="s">
        <v>214</v>
      </c>
      <c r="C737" t="s">
        <v>189</v>
      </c>
      <c r="D737" t="s">
        <v>7</v>
      </c>
      <c r="E737" t="s">
        <v>147</v>
      </c>
      <c r="F737" t="s">
        <v>148</v>
      </c>
      <c r="G737">
        <v>25151.969645</v>
      </c>
      <c r="H737">
        <f>IF(PNL!A737="","",_CALC_PNL!P737)</f>
        <v>25151.9696454</v>
      </c>
      <c r="I737">
        <f>IF(PNL!A737="","",IF(_CALC_PNL!E737=1,H737-G737,""))</f>
        <v>3.99999407818541e-7</v>
      </c>
    </row>
    <row r="738" ht="14.25" customHeight="1">
      <c r="A738" t="s">
        <v>103</v>
      </c>
      <c r="B738" t="s">
        <v>214</v>
      </c>
      <c r="C738" t="s">
        <v>189</v>
      </c>
      <c r="D738" t="s">
        <v>7</v>
      </c>
      <c r="E738" t="s">
        <v>147</v>
      </c>
      <c r="F738" t="s">
        <v>148</v>
      </c>
      <c r="G738">
        <v>21269.016861</v>
      </c>
      <c r="H738">
        <f>IF(PNL!A738="","",_CALC_PNL!P738)</f>
        <v>21269.0168613</v>
      </c>
      <c r="I738">
        <f>IF(PNL!A738="","",IF(_CALC_PNL!E738=1,H738-G738,""))</f>
        <v>2.99998646369204e-7</v>
      </c>
    </row>
    <row r="739" ht="14.25" customHeight="1">
      <c r="A739" t="s">
        <v>104</v>
      </c>
      <c r="B739" t="s">
        <v>214</v>
      </c>
      <c r="C739" t="s">
        <v>189</v>
      </c>
      <c r="D739" t="s">
        <v>7</v>
      </c>
      <c r="E739" t="s">
        <v>147</v>
      </c>
      <c r="F739" t="s">
        <v>148</v>
      </c>
      <c r="G739">
        <v>32242.31269</v>
      </c>
      <c r="H739">
        <f>IF(PNL!A739="","",_CALC_PNL!P739)</f>
        <v>32242.3126896</v>
      </c>
      <c r="I739">
        <f>IF(PNL!A739="","",IF(_CALC_PNL!E739=1,H739-G739,""))</f>
        <v>-3.99999407818541e-7</v>
      </c>
    </row>
    <row r="740" ht="14.25" customHeight="1">
      <c r="A740" t="s">
        <v>105</v>
      </c>
      <c r="B740" t="s">
        <v>214</v>
      </c>
      <c r="C740" t="s">
        <v>189</v>
      </c>
      <c r="D740" t="s">
        <v>7</v>
      </c>
      <c r="E740" t="s">
        <v>147</v>
      </c>
      <c r="F740" t="s">
        <v>148</v>
      </c>
      <c r="G740">
        <v>8180.623671</v>
      </c>
      <c r="H740">
        <f>IF(PNL!A740="","",_CALC_PNL!P740)</f>
        <v>8180.6236707</v>
      </c>
      <c r="I740">
        <f>IF(PNL!A740="","",IF(_CALC_PNL!E740=1,H740-G740,""))</f>
        <v>-3.00000465358607e-7</v>
      </c>
    </row>
    <row r="741" ht="14.25" customHeight="1">
      <c r="A741" t="s">
        <v>106</v>
      </c>
      <c r="B741" t="s">
        <v>214</v>
      </c>
      <c r="C741" t="s">
        <v>189</v>
      </c>
      <c r="D741" t="s">
        <v>7</v>
      </c>
      <c r="E741" t="s">
        <v>147</v>
      </c>
      <c r="F741" t="s">
        <v>148</v>
      </c>
      <c r="G741">
        <v>13844.056126</v>
      </c>
      <c r="H741">
        <f>IF(PNL!A741="","",_CALC_PNL!P741)</f>
        <v>13844.0561259</v>
      </c>
      <c r="I741">
        <f>IF(PNL!A741="","",IF(_CALC_PNL!E741=1,H741-G741,""))</f>
        <v>-9.99989424599335e-8</v>
      </c>
    </row>
    <row r="742" ht="14.25" customHeight="1">
      <c r="A742" t="s">
        <v>107</v>
      </c>
      <c r="B742" t="s">
        <v>214</v>
      </c>
      <c r="C742" t="s">
        <v>189</v>
      </c>
      <c r="D742" t="s">
        <v>7</v>
      </c>
      <c r="E742" t="s">
        <v>147</v>
      </c>
      <c r="F742" t="s">
        <v>148</v>
      </c>
      <c r="G742">
        <v>9144.161239</v>
      </c>
      <c r="H742">
        <f>IF(PNL!A742="","",_CALC_PNL!P742)</f>
        <v>9144.1612392</v>
      </c>
      <c r="I742">
        <f>IF(PNL!A742="","",IF(_CALC_PNL!E742=1,H742-G742,""))</f>
        <v>2.00001522898674e-7</v>
      </c>
    </row>
    <row r="743" ht="14.25" customHeight="1">
      <c r="A743" t="s">
        <v>108</v>
      </c>
      <c r="B743" t="s">
        <v>214</v>
      </c>
      <c r="C743" t="s">
        <v>189</v>
      </c>
      <c r="D743" t="s">
        <v>7</v>
      </c>
      <c r="E743" t="s">
        <v>147</v>
      </c>
      <c r="F743" t="s">
        <v>148</v>
      </c>
      <c r="G743">
        <v>12955.573274</v>
      </c>
      <c r="H743">
        <f>IF(PNL!A743="","",_CALC_PNL!P743)</f>
        <v>12955.5732735</v>
      </c>
      <c r="I743">
        <f>IF(PNL!A743="","",IF(_CALC_PNL!E743=1,H743-G743,""))</f>
        <v>-5.00000169267878e-7</v>
      </c>
    </row>
    <row r="744" ht="14.25" customHeight="1">
      <c r="A744" t="s">
        <v>86</v>
      </c>
      <c r="B744" t="s">
        <v>203</v>
      </c>
      <c r="C744" t="s">
        <v>189</v>
      </c>
      <c r="D744" t="s">
        <v>7</v>
      </c>
      <c r="E744" t="s">
        <v>147</v>
      </c>
      <c r="F744" t="s">
        <v>148</v>
      </c>
      <c r="G744">
        <v>74584.324575</v>
      </c>
      <c r="H744">
        <f>IF(PNL!A744="","",_CALC_PNL!P744)</f>
        <v>74584.3664896804</v>
      </c>
      <c r="I744">
        <f>IF(PNL!A744="","",IF(_CALC_PNL!E744=1,H744-G744,""))</f>
        <v>0.0419146803906187</v>
      </c>
    </row>
    <row r="745" ht="14.25" customHeight="1">
      <c r="A745" t="s">
        <v>89</v>
      </c>
      <c r="B745" t="s">
        <v>203</v>
      </c>
      <c r="C745" t="s">
        <v>189</v>
      </c>
      <c r="D745" t="s">
        <v>7</v>
      </c>
      <c r="E745" t="s">
        <v>147</v>
      </c>
      <c r="F745" t="s">
        <v>148</v>
      </c>
      <c r="G745">
        <v>74584.324575</v>
      </c>
      <c r="H745">
        <f>IF(PNL!A745="","",_CALC_PNL!P745)</f>
        <v>74584.3664896804</v>
      </c>
      <c r="I745">
        <f>IF(PNL!A745="","",IF(_CALC_PNL!E745=1,H745-G745,""))</f>
        <v>0.0419146803906187</v>
      </c>
    </row>
    <row r="746" ht="14.25" customHeight="1">
      <c r="A746" t="s">
        <v>91</v>
      </c>
      <c r="B746" t="s">
        <v>203</v>
      </c>
      <c r="C746" t="s">
        <v>189</v>
      </c>
      <c r="D746" t="s">
        <v>7</v>
      </c>
      <c r="E746" t="s">
        <v>147</v>
      </c>
      <c r="F746" t="s">
        <v>148</v>
      </c>
      <c r="G746">
        <v>74584.324575</v>
      </c>
      <c r="H746">
        <f>IF(PNL!A746="","",_CALC_PNL!P746)</f>
        <v>74584.3664896804</v>
      </c>
      <c r="I746">
        <f>IF(PNL!A746="","",IF(_CALC_PNL!E746=1,H746-G746,""))</f>
        <v>0.0419146803906187</v>
      </c>
    </row>
    <row r="747" ht="14.25" customHeight="1">
      <c r="A747" t="s">
        <v>93</v>
      </c>
      <c r="B747" t="s">
        <v>203</v>
      </c>
      <c r="C747" t="s">
        <v>189</v>
      </c>
      <c r="D747" t="s">
        <v>7</v>
      </c>
      <c r="E747" t="s">
        <v>147</v>
      </c>
      <c r="F747" t="s">
        <v>148</v>
      </c>
      <c r="G747">
        <v>124306.177995</v>
      </c>
      <c r="H747">
        <f>IF(PNL!A747="","",_CALC_PNL!P747)</f>
        <v>124306.247852406</v>
      </c>
      <c r="I747">
        <f>IF(PNL!A747="","",IF(_CALC_PNL!E747=1,H747-G747,""))</f>
        <v>0.069857405993389</v>
      </c>
    </row>
    <row r="748" ht="14.25" customHeight="1">
      <c r="A748" t="s">
        <v>95</v>
      </c>
      <c r="B748" t="s">
        <v>203</v>
      </c>
      <c r="C748" t="s">
        <v>189</v>
      </c>
      <c r="D748" t="s">
        <v>7</v>
      </c>
      <c r="E748" t="s">
        <v>147</v>
      </c>
      <c r="F748" t="s">
        <v>148</v>
      </c>
      <c r="G748">
        <v>186459.781808</v>
      </c>
      <c r="H748">
        <f>IF(PNL!A748="","",_CALC_PNL!P748)</f>
        <v>186459.886593807</v>
      </c>
      <c r="I748">
        <f>IF(PNL!A748="","",IF(_CALC_PNL!E748=1,H748-G748,""))</f>
        <v>0.104785806994187</v>
      </c>
    </row>
    <row r="749" ht="14.25" customHeight="1">
      <c r="A749" t="s">
        <v>97</v>
      </c>
      <c r="B749" t="s">
        <v>203</v>
      </c>
      <c r="C749" t="s">
        <v>189</v>
      </c>
      <c r="D749" t="s">
        <v>7</v>
      </c>
      <c r="E749" t="s">
        <v>147</v>
      </c>
      <c r="F749" t="s">
        <v>148</v>
      </c>
      <c r="G749">
        <v>124306.177995</v>
      </c>
      <c r="H749">
        <f>IF(PNL!A749="","",_CALC_PNL!P749)</f>
        <v>124306.247852406</v>
      </c>
      <c r="I749">
        <f>IF(PNL!A749="","",IF(_CALC_PNL!E749=1,H749-G749,""))</f>
        <v>0.069857405993389</v>
      </c>
    </row>
    <row r="750" ht="14.25" customHeight="1">
      <c r="A750" t="s">
        <v>99</v>
      </c>
      <c r="B750" t="s">
        <v>203</v>
      </c>
      <c r="C750" t="s">
        <v>189</v>
      </c>
      <c r="D750" t="s">
        <v>7</v>
      </c>
      <c r="E750" t="s">
        <v>147</v>
      </c>
      <c r="F750" t="s">
        <v>148</v>
      </c>
      <c r="G750">
        <v>124306.177995</v>
      </c>
      <c r="H750">
        <f>IF(PNL!A750="","",_CALC_PNL!P750)</f>
        <v>124306.247852406</v>
      </c>
      <c r="I750">
        <f>IF(PNL!A750="","",IF(_CALC_PNL!E750=1,H750-G750,""))</f>
        <v>0.069857405993389</v>
      </c>
    </row>
    <row r="751" ht="14.25" customHeight="1">
      <c r="A751" t="s">
        <v>101</v>
      </c>
      <c r="B751" t="s">
        <v>203</v>
      </c>
      <c r="C751" t="s">
        <v>189</v>
      </c>
      <c r="D751" t="s">
        <v>7</v>
      </c>
      <c r="E751" t="s">
        <v>147</v>
      </c>
      <c r="F751" t="s">
        <v>148</v>
      </c>
      <c r="G751">
        <v>161598.340283</v>
      </c>
      <c r="H751">
        <f>IF(PNL!A751="","",_CALC_PNL!P751)</f>
        <v>161598.431097247</v>
      </c>
      <c r="I751">
        <f>IF(PNL!A751="","",IF(_CALC_PNL!E751=1,H751-G751,""))</f>
        <v>0.0908142469997983</v>
      </c>
    </row>
    <row r="752" ht="14.25" customHeight="1">
      <c r="A752" t="s">
        <v>103</v>
      </c>
      <c r="B752" t="s">
        <v>203</v>
      </c>
      <c r="C752" t="s">
        <v>189</v>
      </c>
      <c r="D752" t="s">
        <v>7</v>
      </c>
      <c r="E752" t="s">
        <v>147</v>
      </c>
      <c r="F752" t="s">
        <v>148</v>
      </c>
      <c r="G752">
        <v>149167.619521</v>
      </c>
      <c r="H752">
        <f>IF(PNL!A752="","",_CALC_PNL!P752)</f>
        <v>149167.703348967</v>
      </c>
      <c r="I752">
        <f>IF(PNL!A752="","",IF(_CALC_PNL!E752=1,H752-G752,""))</f>
        <v>0.0838279670279007</v>
      </c>
    </row>
    <row r="753" ht="14.25" customHeight="1">
      <c r="A753" t="s">
        <v>104</v>
      </c>
      <c r="B753" t="s">
        <v>203</v>
      </c>
      <c r="C753" t="s">
        <v>189</v>
      </c>
      <c r="D753" t="s">
        <v>7</v>
      </c>
      <c r="E753" t="s">
        <v>147</v>
      </c>
      <c r="F753" t="s">
        <v>148</v>
      </c>
      <c r="G753">
        <v>186459.781808</v>
      </c>
      <c r="H753">
        <f>IF(PNL!A753="","",_CALC_PNL!P753)</f>
        <v>186459.886593807</v>
      </c>
      <c r="I753">
        <f>IF(PNL!A753="","",IF(_CALC_PNL!E753=1,H753-G753,""))</f>
        <v>0.104785806994187</v>
      </c>
    </row>
    <row r="754" ht="14.25" customHeight="1">
      <c r="A754" t="s">
        <v>105</v>
      </c>
      <c r="B754" t="s">
        <v>203</v>
      </c>
      <c r="C754" t="s">
        <v>189</v>
      </c>
      <c r="D754" t="s">
        <v>7</v>
      </c>
      <c r="E754" t="s">
        <v>147</v>
      </c>
      <c r="F754" t="s">
        <v>148</v>
      </c>
      <c r="G754">
        <v>99444.73647</v>
      </c>
      <c r="H754">
        <f>IF(PNL!A754="","",_CALC_PNL!P754)</f>
        <v>99444.7923558464</v>
      </c>
      <c r="I754">
        <f>IF(PNL!A754="","",IF(_CALC_PNL!E754=1,H754-G754,""))</f>
        <v>0.0558858463919023</v>
      </c>
    </row>
    <row r="755" ht="14.25" customHeight="1">
      <c r="A755" t="s">
        <v>106</v>
      </c>
      <c r="B755" t="s">
        <v>203</v>
      </c>
      <c r="C755" t="s">
        <v>189</v>
      </c>
      <c r="D755" t="s">
        <v>7</v>
      </c>
      <c r="E755" t="s">
        <v>147</v>
      </c>
      <c r="F755" t="s">
        <v>148</v>
      </c>
      <c r="G755">
        <v>99444.73647</v>
      </c>
      <c r="H755">
        <f>IF(PNL!A755="","",_CALC_PNL!P755)</f>
        <v>99444.7923558464</v>
      </c>
      <c r="I755">
        <f>IF(PNL!A755="","",IF(_CALC_PNL!E755=1,H755-G755,""))</f>
        <v>0.0558858463919023</v>
      </c>
    </row>
    <row r="756" ht="14.25" customHeight="1">
      <c r="A756" t="s">
        <v>107</v>
      </c>
      <c r="B756" t="s">
        <v>203</v>
      </c>
      <c r="C756" t="s">
        <v>189</v>
      </c>
      <c r="D756" t="s">
        <v>7</v>
      </c>
      <c r="E756" t="s">
        <v>147</v>
      </c>
      <c r="F756" t="s">
        <v>148</v>
      </c>
      <c r="G756">
        <v>74584.324575</v>
      </c>
      <c r="H756">
        <f>IF(PNL!A756="","",_CALC_PNL!P756)</f>
        <v>74584.3664896804</v>
      </c>
      <c r="I756">
        <f>IF(PNL!A756="","",IF(_CALC_PNL!E756=1,H756-G756,""))</f>
        <v>0.0419146803906187</v>
      </c>
    </row>
    <row r="757" ht="14.25" customHeight="1">
      <c r="A757" t="s">
        <v>108</v>
      </c>
      <c r="B757" t="s">
        <v>203</v>
      </c>
      <c r="C757" t="s">
        <v>189</v>
      </c>
      <c r="D757" t="s">
        <v>7</v>
      </c>
      <c r="E757" t="s">
        <v>147</v>
      </c>
      <c r="F757" t="s">
        <v>148</v>
      </c>
      <c r="G757">
        <v>74584.324575</v>
      </c>
      <c r="H757">
        <f>IF(PNL!A757="","",_CALC_PNL!P757)</f>
        <v>74584.3664896804</v>
      </c>
      <c r="I757">
        <f>IF(PNL!A757="","",IF(_CALC_PNL!E757=1,H757-G757,""))</f>
        <v>0.0419146803906187</v>
      </c>
    </row>
    <row r="758" ht="14.25" customHeight="1">
      <c r="A758" t="s">
        <v>209</v>
      </c>
      <c r="B758" t="s">
        <v>215</v>
      </c>
      <c r="C758" t="s">
        <v>189</v>
      </c>
      <c r="D758" t="s">
        <v>7</v>
      </c>
      <c r="E758" t="s">
        <v>147</v>
      </c>
      <c r="F758" t="s">
        <v>148</v>
      </c>
      <c r="G758">
        <v>565479.27033</v>
      </c>
      <c r="H758">
        <f>IF(PNL!A758="","",_CALC_PNL!P758)</f>
        <v>565479.27033</v>
      </c>
      <c r="I758">
        <f>IF(PNL!A758="","",IF(_CALC_PNL!E758=1,H758-G758,""))</f>
        <v>0</v>
      </c>
    </row>
    <row r="759" ht="14.25" customHeight="1">
      <c r="A759" t="s">
        <v>86</v>
      </c>
      <c r="B759" t="s">
        <v>206</v>
      </c>
      <c r="C759" t="s">
        <v>189</v>
      </c>
      <c r="D759" t="s">
        <v>7</v>
      </c>
      <c r="E759" t="s">
        <v>147</v>
      </c>
      <c r="F759" t="s">
        <v>148</v>
      </c>
      <c r="G759">
        <v>16392.24</v>
      </c>
      <c r="H759">
        <f>IF(PNL!A759="","",_CALC_PNL!P759)</f>
        <v>16392.24</v>
      </c>
      <c r="I759">
        <f>IF(PNL!A759="","",IF(_CALC_PNL!E759=1,H759-G759,""))</f>
        <v>0</v>
      </c>
    </row>
    <row r="760" ht="14.25" customHeight="1">
      <c r="A760" t="s">
        <v>89</v>
      </c>
      <c r="B760" t="s">
        <v>206</v>
      </c>
      <c r="C760" t="s">
        <v>189</v>
      </c>
      <c r="D760" t="s">
        <v>7</v>
      </c>
      <c r="E760" t="s">
        <v>147</v>
      </c>
      <c r="F760" t="s">
        <v>148</v>
      </c>
      <c r="G760">
        <v>23500.8</v>
      </c>
      <c r="H760">
        <f>IF(PNL!A760="","",_CALC_PNL!P760)</f>
        <v>23500.8</v>
      </c>
      <c r="I760">
        <f>IF(PNL!A760="","",IF(_CALC_PNL!E760=1,H760-G760,""))</f>
        <v>0</v>
      </c>
    </row>
    <row r="761" ht="14.25" customHeight="1">
      <c r="A761" t="s">
        <v>91</v>
      </c>
      <c r="B761" t="s">
        <v>206</v>
      </c>
      <c r="C761" t="s">
        <v>189</v>
      </c>
      <c r="D761" t="s">
        <v>7</v>
      </c>
      <c r="E761" t="s">
        <v>147</v>
      </c>
      <c r="F761" t="s">
        <v>148</v>
      </c>
      <c r="G761">
        <v>16127.64</v>
      </c>
      <c r="H761">
        <f>IF(PNL!A761="","",_CALC_PNL!P761)</f>
        <v>16127.64</v>
      </c>
      <c r="I761">
        <f>IF(PNL!A761="","",IF(_CALC_PNL!E761=1,H761-G761,""))</f>
        <v>0</v>
      </c>
    </row>
    <row r="762" ht="14.25" customHeight="1">
      <c r="A762" t="s">
        <v>93</v>
      </c>
      <c r="B762" t="s">
        <v>206</v>
      </c>
      <c r="C762" t="s">
        <v>189</v>
      </c>
      <c r="D762" t="s">
        <v>7</v>
      </c>
      <c r="E762" t="s">
        <v>147</v>
      </c>
      <c r="F762" t="s">
        <v>148</v>
      </c>
      <c r="G762">
        <v>27237.6</v>
      </c>
      <c r="H762">
        <f>IF(PNL!A762="","",_CALC_PNL!P762)</f>
        <v>27237.6</v>
      </c>
      <c r="I762">
        <f>IF(PNL!A762="","",IF(_CALC_PNL!E762=1,H762-G762,""))</f>
        <v>0</v>
      </c>
    </row>
    <row r="763" ht="14.25" customHeight="1">
      <c r="A763" t="s">
        <v>95</v>
      </c>
      <c r="B763" t="s">
        <v>206</v>
      </c>
      <c r="C763" t="s">
        <v>189</v>
      </c>
      <c r="D763" t="s">
        <v>7</v>
      </c>
      <c r="E763" t="s">
        <v>147</v>
      </c>
      <c r="F763" t="s">
        <v>148</v>
      </c>
      <c r="G763">
        <v>65664</v>
      </c>
      <c r="H763">
        <f>IF(PNL!A763="","",_CALC_PNL!P763)</f>
        <v>65664</v>
      </c>
      <c r="I763">
        <f>IF(PNL!A763="","",IF(_CALC_PNL!E763=1,H763-G763,""))</f>
        <v>0</v>
      </c>
    </row>
    <row r="764" ht="14.25" customHeight="1">
      <c r="A764" t="s">
        <v>97</v>
      </c>
      <c r="B764" t="s">
        <v>206</v>
      </c>
      <c r="C764" t="s">
        <v>189</v>
      </c>
      <c r="D764" t="s">
        <v>7</v>
      </c>
      <c r="E764" t="s">
        <v>147</v>
      </c>
      <c r="F764" t="s">
        <v>148</v>
      </c>
      <c r="G764">
        <v>23849.64</v>
      </c>
      <c r="H764">
        <f>IF(PNL!A764="","",_CALC_PNL!P764)</f>
        <v>23849.64</v>
      </c>
      <c r="I764">
        <f>IF(PNL!A764="","",IF(_CALC_PNL!E764=1,H764-G764,""))</f>
        <v>0</v>
      </c>
    </row>
    <row r="765" ht="14.25" customHeight="1">
      <c r="A765" t="s">
        <v>99</v>
      </c>
      <c r="B765" t="s">
        <v>206</v>
      </c>
      <c r="C765" t="s">
        <v>189</v>
      </c>
      <c r="D765" t="s">
        <v>7</v>
      </c>
      <c r="E765" t="s">
        <v>147</v>
      </c>
      <c r="F765" t="s">
        <v>148</v>
      </c>
      <c r="G765">
        <v>26916.84</v>
      </c>
      <c r="H765">
        <f>IF(PNL!A765="","",_CALC_PNL!P765)</f>
        <v>26916.84</v>
      </c>
      <c r="I765">
        <f>IF(PNL!A765="","",IF(_CALC_PNL!E765=1,H765-G765,""))</f>
        <v>0</v>
      </c>
    </row>
    <row r="766" ht="14.25" customHeight="1">
      <c r="A766" t="s">
        <v>101</v>
      </c>
      <c r="B766" t="s">
        <v>206</v>
      </c>
      <c r="C766" t="s">
        <v>189</v>
      </c>
      <c r="D766" t="s">
        <v>7</v>
      </c>
      <c r="E766" t="s">
        <v>147</v>
      </c>
      <c r="F766" t="s">
        <v>148</v>
      </c>
      <c r="G766">
        <v>45125.64</v>
      </c>
      <c r="H766">
        <f>IF(PNL!A766="","",_CALC_PNL!P766)</f>
        <v>45125.64</v>
      </c>
      <c r="I766">
        <f>IF(PNL!A766="","",IF(_CALC_PNL!E766=1,H766-G766,""))</f>
        <v>0</v>
      </c>
    </row>
    <row r="767" ht="14.25" customHeight="1">
      <c r="A767" t="s">
        <v>103</v>
      </c>
      <c r="B767" t="s">
        <v>206</v>
      </c>
      <c r="C767" t="s">
        <v>189</v>
      </c>
      <c r="D767" t="s">
        <v>7</v>
      </c>
      <c r="E767" t="s">
        <v>147</v>
      </c>
      <c r="F767" t="s">
        <v>148</v>
      </c>
      <c r="G767">
        <v>34055.64</v>
      </c>
      <c r="H767">
        <f>IF(PNL!A767="","",_CALC_PNL!P767)</f>
        <v>34055.64</v>
      </c>
      <c r="I767">
        <f>IF(PNL!A767="","",IF(_CALC_PNL!E767=1,H767-G767,""))</f>
        <v>0</v>
      </c>
    </row>
    <row r="768" ht="14.25" customHeight="1">
      <c r="A768" t="s">
        <v>104</v>
      </c>
      <c r="B768" t="s">
        <v>206</v>
      </c>
      <c r="C768" t="s">
        <v>189</v>
      </c>
      <c r="D768" t="s">
        <v>7</v>
      </c>
      <c r="E768" t="s">
        <v>147</v>
      </c>
      <c r="F768" t="s">
        <v>148</v>
      </c>
      <c r="G768">
        <v>73754.28</v>
      </c>
      <c r="H768">
        <f>IF(PNL!A768="","",_CALC_PNL!P768)</f>
        <v>73754.28</v>
      </c>
      <c r="I768">
        <f>IF(PNL!A768="","",IF(_CALC_PNL!E768=1,H768-G768,""))</f>
        <v>0</v>
      </c>
    </row>
    <row r="769" ht="14.25" customHeight="1">
      <c r="A769" t="s">
        <v>105</v>
      </c>
      <c r="B769" t="s">
        <v>206</v>
      </c>
      <c r="C769" t="s">
        <v>189</v>
      </c>
      <c r="D769" t="s">
        <v>7</v>
      </c>
      <c r="E769" t="s">
        <v>147</v>
      </c>
      <c r="F769" t="s">
        <v>148</v>
      </c>
      <c r="G769">
        <v>23725.44</v>
      </c>
      <c r="H769">
        <f>IF(PNL!A769="","",_CALC_PNL!P769)</f>
        <v>23725.44</v>
      </c>
      <c r="I769">
        <f>IF(PNL!A769="","",IF(_CALC_PNL!E769=1,H769-G769,""))</f>
        <v>0</v>
      </c>
    </row>
    <row r="770" ht="14.25" customHeight="1">
      <c r="A770" t="s">
        <v>106</v>
      </c>
      <c r="B770" t="s">
        <v>206</v>
      </c>
      <c r="C770" t="s">
        <v>189</v>
      </c>
      <c r="D770" t="s">
        <v>7</v>
      </c>
      <c r="E770" t="s">
        <v>147</v>
      </c>
      <c r="F770" t="s">
        <v>148</v>
      </c>
      <c r="G770">
        <v>39540.96</v>
      </c>
      <c r="H770">
        <f>IF(PNL!A770="","",_CALC_PNL!P770)</f>
        <v>39540.96</v>
      </c>
      <c r="I770">
        <f>IF(PNL!A770="","",IF(_CALC_PNL!E770=1,H770-G770,""))</f>
        <v>0</v>
      </c>
    </row>
    <row r="771" ht="14.25" customHeight="1">
      <c r="A771" t="s">
        <v>107</v>
      </c>
      <c r="B771" t="s">
        <v>206</v>
      </c>
      <c r="C771" t="s">
        <v>189</v>
      </c>
      <c r="D771" t="s">
        <v>7</v>
      </c>
      <c r="E771" t="s">
        <v>147</v>
      </c>
      <c r="F771" t="s">
        <v>148</v>
      </c>
      <c r="G771">
        <v>20358</v>
      </c>
      <c r="H771">
        <f>IF(PNL!A771="","",_CALC_PNL!P771)</f>
        <v>20358</v>
      </c>
      <c r="I771">
        <f>IF(PNL!A771="","",IF(_CALC_PNL!E771=1,H771-G771,""))</f>
        <v>0</v>
      </c>
    </row>
    <row r="772" ht="14.25" customHeight="1">
      <c r="A772" t="s">
        <v>108</v>
      </c>
      <c r="B772" t="s">
        <v>206</v>
      </c>
      <c r="C772" t="s">
        <v>189</v>
      </c>
      <c r="D772" t="s">
        <v>7</v>
      </c>
      <c r="E772" t="s">
        <v>147</v>
      </c>
      <c r="F772" t="s">
        <v>148</v>
      </c>
      <c r="G772">
        <v>32659.2</v>
      </c>
      <c r="H772">
        <f>IF(PNL!A772="","",_CALC_PNL!P772)</f>
        <v>32659.2</v>
      </c>
      <c r="I772">
        <f>IF(PNL!A772="","",IF(_CALC_PNL!E772=1,H772-G772,""))</f>
        <v>0</v>
      </c>
    </row>
    <row r="773" ht="14.25" customHeight="1">
      <c r="A773" t="s">
        <v>209</v>
      </c>
      <c r="B773" t="s">
        <v>216</v>
      </c>
      <c r="C773" t="s">
        <v>189</v>
      </c>
      <c r="D773" t="s">
        <v>7</v>
      </c>
      <c r="E773" t="s">
        <v>147</v>
      </c>
      <c r="F773" t="s">
        <v>148</v>
      </c>
      <c r="G773">
        <v>743978.4</v>
      </c>
      <c r="H773">
        <f>IF(PNL!A773="","",_CALC_PNL!P773)</f>
        <v>743978.4</v>
      </c>
      <c r="I773">
        <f>IF(PNL!A773="","",IF(_CALC_PNL!E773=1,H773-G773,""))</f>
        <v>0</v>
      </c>
    </row>
    <row r="774" ht="14.25" customHeight="1">
      <c r="A774" t="s">
        <v>86</v>
      </c>
      <c r="B774" t="s">
        <v>217</v>
      </c>
      <c r="C774" t="s">
        <v>189</v>
      </c>
      <c r="D774" t="s">
        <v>7</v>
      </c>
      <c r="E774" t="s">
        <v>147</v>
      </c>
      <c r="F774" t="s">
        <v>148</v>
      </c>
      <c r="G774">
        <v>10038.260431</v>
      </c>
      <c r="H774">
        <f>IF(PNL!A774="","",_CALC_PNL!P774)</f>
        <v>10038.2604309</v>
      </c>
      <c r="I774">
        <f>IF(PNL!A774="","",IF(_CALC_PNL!E774=1,H774-G774,""))</f>
        <v>-1.00000761449337e-7</v>
      </c>
    </row>
    <row r="775" ht="14.25" customHeight="1">
      <c r="A775" t="s">
        <v>89</v>
      </c>
      <c r="B775" t="s">
        <v>217</v>
      </c>
      <c r="C775" t="s">
        <v>189</v>
      </c>
      <c r="D775" t="s">
        <v>7</v>
      </c>
      <c r="E775" t="s">
        <v>147</v>
      </c>
      <c r="F775" t="s">
        <v>148</v>
      </c>
      <c r="G775">
        <v>15374.423489</v>
      </c>
      <c r="H775">
        <f>IF(PNL!A775="","",_CALC_PNL!P775)</f>
        <v>15374.4234891</v>
      </c>
      <c r="I775">
        <f>IF(PNL!A775="","",IF(_CALC_PNL!E775=1,H775-G775,""))</f>
        <v>9.99989424599335e-8</v>
      </c>
    </row>
    <row r="776" ht="14.25" customHeight="1">
      <c r="A776" t="s">
        <v>91</v>
      </c>
      <c r="B776" t="s">
        <v>217</v>
      </c>
      <c r="C776" t="s">
        <v>189</v>
      </c>
      <c r="D776" t="s">
        <v>7</v>
      </c>
      <c r="E776" t="s">
        <v>147</v>
      </c>
      <c r="F776" t="s">
        <v>148</v>
      </c>
      <c r="G776">
        <v>10044.247188</v>
      </c>
      <c r="H776">
        <f>IF(PNL!A776="","",_CALC_PNL!P776)</f>
        <v>10044.2471883</v>
      </c>
      <c r="I776">
        <f>IF(PNL!A776="","",IF(_CALC_PNL!E776=1,H776-G776,""))</f>
        <v>3.00000465358607e-7</v>
      </c>
    </row>
    <row r="777" ht="14.25" customHeight="1">
      <c r="A777" t="s">
        <v>93</v>
      </c>
      <c r="B777" t="s">
        <v>217</v>
      </c>
      <c r="C777" t="s">
        <v>189</v>
      </c>
      <c r="D777" t="s">
        <v>7</v>
      </c>
      <c r="E777" t="s">
        <v>147</v>
      </c>
      <c r="F777" t="s">
        <v>148</v>
      </c>
      <c r="G777">
        <v>26273.936036</v>
      </c>
      <c r="H777">
        <f>IF(PNL!A777="","",_CALC_PNL!P777)</f>
        <v>26273.9360364</v>
      </c>
      <c r="I777">
        <f>IF(PNL!A777="","",IF(_CALC_PNL!E777=1,H777-G777,""))</f>
        <v>3.99999407818541e-7</v>
      </c>
    </row>
    <row r="778" ht="14.25" customHeight="1">
      <c r="A778" t="s">
        <v>95</v>
      </c>
      <c r="B778" t="s">
        <v>217</v>
      </c>
      <c r="C778" t="s">
        <v>189</v>
      </c>
      <c r="D778" t="s">
        <v>7</v>
      </c>
      <c r="E778" t="s">
        <v>147</v>
      </c>
      <c r="F778" t="s">
        <v>148</v>
      </c>
      <c r="G778">
        <v>43567.94621</v>
      </c>
      <c r="H778">
        <f>IF(PNL!A778="","",_CALC_PNL!P778)</f>
        <v>43567.9462101</v>
      </c>
      <c r="I778">
        <f>IF(PNL!A778="","",IF(_CALC_PNL!E778=1,H778-G778,""))</f>
        <v>1.00000761449337e-7</v>
      </c>
    </row>
    <row r="779" ht="14.25" customHeight="1">
      <c r="A779" t="s">
        <v>97</v>
      </c>
      <c r="B779" t="s">
        <v>217</v>
      </c>
      <c r="C779" t="s">
        <v>189</v>
      </c>
      <c r="D779" t="s">
        <v>7</v>
      </c>
      <c r="E779" t="s">
        <v>147</v>
      </c>
      <c r="F779" t="s">
        <v>148</v>
      </c>
      <c r="G779">
        <v>23390.181071</v>
      </c>
      <c r="H779">
        <f>IF(PNL!A779="","",_CALC_PNL!P779)</f>
        <v>23390.1810714</v>
      </c>
      <c r="I779">
        <f>IF(PNL!A779="","",IF(_CALC_PNL!E779=1,H779-G779,""))</f>
        <v>3.99999407818541e-7</v>
      </c>
    </row>
    <row r="780" ht="14.25" customHeight="1">
      <c r="A780" t="s">
        <v>99</v>
      </c>
      <c r="B780" t="s">
        <v>217</v>
      </c>
      <c r="C780" t="s">
        <v>189</v>
      </c>
      <c r="D780" t="s">
        <v>7</v>
      </c>
      <c r="E780" t="s">
        <v>147</v>
      </c>
      <c r="F780" t="s">
        <v>148</v>
      </c>
      <c r="G780">
        <v>26404.373264</v>
      </c>
      <c r="H780">
        <f>IF(PNL!A780="","",_CALC_PNL!P780)</f>
        <v>26404.3732641</v>
      </c>
      <c r="I780">
        <f>IF(PNL!A780="","",IF(_CALC_PNL!E780=1,H780-G780,""))</f>
        <v>9.99971234705299e-8</v>
      </c>
    </row>
    <row r="781" ht="14.25" customHeight="1">
      <c r="A781" t="s">
        <v>101</v>
      </c>
      <c r="B781" t="s">
        <v>217</v>
      </c>
      <c r="C781" t="s">
        <v>189</v>
      </c>
      <c r="D781" t="s">
        <v>7</v>
      </c>
      <c r="E781" t="s">
        <v>147</v>
      </c>
      <c r="F781" t="s">
        <v>148</v>
      </c>
      <c r="G781">
        <v>37727.403847</v>
      </c>
      <c r="H781">
        <f>IF(PNL!A781="","",_CALC_PNL!P781)</f>
        <v>37727.4038466</v>
      </c>
      <c r="I781">
        <f>IF(PNL!A781="","",IF(_CALC_PNL!E781=1,H781-G781,""))</f>
        <v>-4.00003045797348e-7</v>
      </c>
    </row>
    <row r="782" ht="14.25" customHeight="1">
      <c r="A782" t="s">
        <v>103</v>
      </c>
      <c r="B782" t="s">
        <v>217</v>
      </c>
      <c r="C782" t="s">
        <v>189</v>
      </c>
      <c r="D782" t="s">
        <v>7</v>
      </c>
      <c r="E782" t="s">
        <v>147</v>
      </c>
      <c r="F782" t="s">
        <v>148</v>
      </c>
      <c r="G782">
        <v>31903.530298</v>
      </c>
      <c r="H782">
        <f>IF(PNL!A782="","",_CALC_PNL!P782)</f>
        <v>31903.5302976</v>
      </c>
      <c r="I782">
        <f>IF(PNL!A782="","",IF(_CALC_PNL!E782=1,H782-G782,""))</f>
        <v>-4.00003045797348e-7</v>
      </c>
    </row>
    <row r="783" ht="14.25" customHeight="1">
      <c r="A783" t="s">
        <v>104</v>
      </c>
      <c r="B783" t="s">
        <v>217</v>
      </c>
      <c r="C783" t="s">
        <v>189</v>
      </c>
      <c r="D783" t="s">
        <v>7</v>
      </c>
      <c r="E783" t="s">
        <v>147</v>
      </c>
      <c r="F783" t="s">
        <v>148</v>
      </c>
      <c r="G783">
        <v>48364.299972</v>
      </c>
      <c r="H783">
        <f>IF(PNL!A783="","",_CALC_PNL!P783)</f>
        <v>48364.2999723</v>
      </c>
      <c r="I783">
        <f>IF(PNL!A783="","",IF(_CALC_PNL!E783=1,H783-G783,""))</f>
        <v>3.00002284348011e-7</v>
      </c>
    </row>
    <row r="784" ht="14.25" customHeight="1">
      <c r="A784" t="s">
        <v>105</v>
      </c>
      <c r="B784" t="s">
        <v>217</v>
      </c>
      <c r="C784" t="s">
        <v>189</v>
      </c>
      <c r="D784" t="s">
        <v>7</v>
      </c>
      <c r="E784" t="s">
        <v>147</v>
      </c>
      <c r="F784" t="s">
        <v>148</v>
      </c>
      <c r="G784">
        <v>12270.059517</v>
      </c>
      <c r="H784">
        <f>IF(PNL!A784="","",_CALC_PNL!P784)</f>
        <v>12270.0595173</v>
      </c>
      <c r="I784">
        <f>IF(PNL!A784="","",IF(_CALC_PNL!E784=1,H784-G784,""))</f>
        <v>3.00000465358607e-7</v>
      </c>
    </row>
    <row r="785" ht="14.25" customHeight="1">
      <c r="A785" t="s">
        <v>106</v>
      </c>
      <c r="B785" t="s">
        <v>217</v>
      </c>
      <c r="C785" t="s">
        <v>189</v>
      </c>
      <c r="D785" t="s">
        <v>7</v>
      </c>
      <c r="E785" t="s">
        <v>147</v>
      </c>
      <c r="F785" t="s">
        <v>148</v>
      </c>
      <c r="G785">
        <v>20766.079183</v>
      </c>
      <c r="H785">
        <f>IF(PNL!A785="","",_CALC_PNL!P785)</f>
        <v>20766.0791832</v>
      </c>
      <c r="I785">
        <f>IF(PNL!A785="","",IF(_CALC_PNL!E785=1,H785-G785,""))</f>
        <v>1.99997884919867e-7</v>
      </c>
    </row>
    <row r="786" ht="14.25" customHeight="1">
      <c r="A786" t="s">
        <v>107</v>
      </c>
      <c r="B786" t="s">
        <v>217</v>
      </c>
      <c r="C786" t="s">
        <v>189</v>
      </c>
      <c r="D786" t="s">
        <v>7</v>
      </c>
      <c r="E786" t="s">
        <v>147</v>
      </c>
      <c r="F786" t="s">
        <v>148</v>
      </c>
      <c r="G786">
        <v>13715.691237</v>
      </c>
      <c r="H786">
        <f>IF(PNL!A786="","",_CALC_PNL!P786)</f>
        <v>13715.6912373</v>
      </c>
      <c r="I786">
        <f>IF(PNL!A786="","",IF(_CALC_PNL!E786=1,H786-G786,""))</f>
        <v>3.00000465358607e-7</v>
      </c>
    </row>
    <row r="787" ht="14.25" customHeight="1">
      <c r="A787" t="s">
        <v>108</v>
      </c>
      <c r="B787" t="s">
        <v>217</v>
      </c>
      <c r="C787" t="s">
        <v>189</v>
      </c>
      <c r="D787" t="s">
        <v>7</v>
      </c>
      <c r="E787" t="s">
        <v>147</v>
      </c>
      <c r="F787" t="s">
        <v>148</v>
      </c>
      <c r="G787">
        <v>19432.894385</v>
      </c>
      <c r="H787">
        <f>IF(PNL!A787="","",_CALC_PNL!P787)</f>
        <v>19432.8943848</v>
      </c>
      <c r="I787">
        <f>IF(PNL!A787="","",IF(_CALC_PNL!E787=1,H787-G787,""))</f>
        <v>-1.99997884919867e-7</v>
      </c>
    </row>
    <row r="788" ht="14.25" customHeight="1">
      <c r="A788" t="s">
        <v>209</v>
      </c>
      <c r="B788" t="s">
        <v>218</v>
      </c>
      <c r="C788" t="s">
        <v>189</v>
      </c>
      <c r="D788" t="s">
        <v>7</v>
      </c>
      <c r="E788" t="s">
        <v>147</v>
      </c>
      <c r="F788" t="s">
        <v>148</v>
      </c>
      <c r="G788">
        <v>452382.61536</v>
      </c>
      <c r="H788">
        <f>IF(PNL!A788="","",_CALC_PNL!P788)</f>
        <v>452382.61536</v>
      </c>
      <c r="I788">
        <f>IF(PNL!A788="","",IF(_CALC_PNL!E788=1,H788-G788,""))</f>
        <v>0</v>
      </c>
    </row>
    <row r="789" ht="14.25" customHeight="1">
      <c r="A789" t="s">
        <v>209</v>
      </c>
      <c r="B789" t="s">
        <v>219</v>
      </c>
      <c r="C789" t="s">
        <v>189</v>
      </c>
      <c r="D789" t="s">
        <v>7</v>
      </c>
      <c r="E789" t="s">
        <v>147</v>
      </c>
      <c r="F789" t="s">
        <v>148</v>
      </c>
      <c r="G789">
        <v>180953.24637</v>
      </c>
      <c r="H789">
        <f>IF(PNL!A789="","",_CALC_PNL!P789)</f>
        <v>180953.24637</v>
      </c>
      <c r="I789">
        <f>IF(PNL!A789="","",IF(_CALC_PNL!E789=1,H789-G789,""))</f>
        <v>0</v>
      </c>
    </row>
    <row r="790" ht="14.25" customHeight="1">
      <c r="A790" t="s">
        <v>209</v>
      </c>
      <c r="B790" t="s">
        <v>220</v>
      </c>
      <c r="C790" t="s">
        <v>189</v>
      </c>
      <c r="D790" t="s">
        <v>7</v>
      </c>
      <c r="E790" t="s">
        <v>147</v>
      </c>
      <c r="F790" t="s">
        <v>148</v>
      </c>
      <c r="G790">
        <v>339286.96152</v>
      </c>
      <c r="H790">
        <f>IF(PNL!A790="","",_CALC_PNL!P790)</f>
        <v>339286.96152</v>
      </c>
      <c r="I790">
        <f>IF(PNL!A790="","",IF(_CALC_PNL!E790=1,H790-G790,""))</f>
        <v>0</v>
      </c>
    </row>
    <row r="791" ht="14.25" customHeight="1">
      <c r="A791" t="s">
        <v>209</v>
      </c>
      <c r="B791" t="s">
        <v>222</v>
      </c>
      <c r="C791" t="s">
        <v>189</v>
      </c>
      <c r="D791" t="s">
        <v>7</v>
      </c>
      <c r="E791" t="s">
        <v>147</v>
      </c>
      <c r="F791" t="s">
        <v>148</v>
      </c>
      <c r="G791">
        <v>113095.65384</v>
      </c>
      <c r="H791">
        <f>IF(PNL!A791="","",_CALC_PNL!P791)</f>
        <v>113095.65384</v>
      </c>
      <c r="I791">
        <f>IF(PNL!A791="","",IF(_CALC_PNL!E791=1,H791-G791,""))</f>
        <v>0</v>
      </c>
    </row>
    <row r="792" ht="14.25" customHeight="1">
      <c r="A792" t="s">
        <v>86</v>
      </c>
      <c r="B792" t="s">
        <v>221</v>
      </c>
      <c r="C792" t="s">
        <v>189</v>
      </c>
      <c r="D792" t="s">
        <v>7</v>
      </c>
      <c r="E792" t="s">
        <v>147</v>
      </c>
      <c r="F792" t="s">
        <v>148</v>
      </c>
      <c r="G792">
        <v>8013.825401</v>
      </c>
      <c r="H792">
        <f>IF(PNL!A792="","",_CALC_PNL!P792)</f>
        <v>8013.8254014</v>
      </c>
      <c r="I792">
        <f>IF(PNL!A792="","",IF(_CALC_PNL!E792=1,H792-G792,""))</f>
        <v>4.00000317313243e-7</v>
      </c>
    </row>
    <row r="793" ht="14.25" customHeight="1">
      <c r="A793" t="s">
        <v>89</v>
      </c>
      <c r="B793" t="s">
        <v>221</v>
      </c>
      <c r="C793" t="s">
        <v>189</v>
      </c>
      <c r="D793" t="s">
        <v>7</v>
      </c>
      <c r="E793" t="s">
        <v>147</v>
      </c>
      <c r="F793" t="s">
        <v>148</v>
      </c>
      <c r="G793">
        <v>9904.078977</v>
      </c>
      <c r="H793">
        <f>IF(PNL!A793="","",_CALC_PNL!P793)</f>
        <v>9904.078977</v>
      </c>
      <c r="I793">
        <f>IF(PNL!A793="","",IF(_CALC_PNL!E793=1,H793-G793,""))</f>
        <v>0</v>
      </c>
    </row>
    <row r="794" ht="14.25" customHeight="1">
      <c r="A794" t="s">
        <v>91</v>
      </c>
      <c r="B794" t="s">
        <v>221</v>
      </c>
      <c r="C794" t="s">
        <v>189</v>
      </c>
      <c r="D794" t="s">
        <v>7</v>
      </c>
      <c r="E794" t="s">
        <v>147</v>
      </c>
      <c r="F794" t="s">
        <v>148</v>
      </c>
      <c r="G794">
        <v>8018.600792</v>
      </c>
      <c r="H794">
        <f>IF(PNL!A794="","",_CALC_PNL!P794)</f>
        <v>8018.6007915</v>
      </c>
      <c r="I794">
        <f>IF(PNL!A794="","",IF(_CALC_PNL!E794=1,H794-G794,""))</f>
        <v>-5.00000169267878e-7</v>
      </c>
    </row>
    <row r="795" ht="14.25" customHeight="1">
      <c r="A795" t="s">
        <v>93</v>
      </c>
      <c r="B795" t="s">
        <v>221</v>
      </c>
      <c r="C795" t="s">
        <v>189</v>
      </c>
      <c r="D795" t="s">
        <v>7</v>
      </c>
      <c r="E795" t="s">
        <v>147</v>
      </c>
      <c r="F795" t="s">
        <v>148</v>
      </c>
      <c r="G795">
        <v>16763.871794</v>
      </c>
      <c r="H795">
        <f>IF(PNL!A795="","",_CALC_PNL!P795)</f>
        <v>16763.8717935</v>
      </c>
      <c r="I795">
        <f>IF(PNL!A795="","",IF(_CALC_PNL!E795=1,H795-G795,""))</f>
        <v>-5.00000169267878e-7</v>
      </c>
    </row>
    <row r="796" ht="14.25" customHeight="1">
      <c r="A796" t="s">
        <v>95</v>
      </c>
      <c r="B796" t="s">
        <v>221</v>
      </c>
      <c r="C796" t="s">
        <v>189</v>
      </c>
      <c r="D796" t="s">
        <v>7</v>
      </c>
      <c r="E796" t="s">
        <v>147</v>
      </c>
      <c r="F796" t="s">
        <v>148</v>
      </c>
      <c r="G796">
        <v>28741.200899</v>
      </c>
      <c r="H796">
        <f>IF(PNL!A796="","",_CALC_PNL!P796)</f>
        <v>28741.2008988</v>
      </c>
      <c r="I796">
        <f>IF(PNL!A796="","",IF(_CALC_PNL!E796=1,H796-G796,""))</f>
        <v>-1.99997884919867e-7</v>
      </c>
    </row>
    <row r="797" ht="14.25" customHeight="1">
      <c r="A797" t="s">
        <v>97</v>
      </c>
      <c r="B797" t="s">
        <v>221</v>
      </c>
      <c r="C797" t="s">
        <v>189</v>
      </c>
      <c r="D797" t="s">
        <v>7</v>
      </c>
      <c r="E797" t="s">
        <v>147</v>
      </c>
      <c r="F797" t="s">
        <v>148</v>
      </c>
      <c r="G797">
        <v>15763.622788</v>
      </c>
      <c r="H797">
        <f>IF(PNL!A797="","",_CALC_PNL!P797)</f>
        <v>15763.6227879</v>
      </c>
      <c r="I797">
        <f>IF(PNL!A797="","",IF(_CALC_PNL!E797=1,H797-G797,""))</f>
        <v>-1.00000761449337e-7</v>
      </c>
    </row>
    <row r="798" ht="14.25" customHeight="1">
      <c r="A798" t="s">
        <v>99</v>
      </c>
      <c r="B798" t="s">
        <v>221</v>
      </c>
      <c r="C798" t="s">
        <v>189</v>
      </c>
      <c r="D798" t="s">
        <v>7</v>
      </c>
      <c r="E798" t="s">
        <v>147</v>
      </c>
      <c r="F798" t="s">
        <v>148</v>
      </c>
      <c r="G798">
        <v>16509.304457</v>
      </c>
      <c r="H798">
        <f>IF(PNL!A798="","",_CALC_PNL!P798)</f>
        <v>16509.3044571</v>
      </c>
      <c r="I798">
        <f>IF(PNL!A798="","",IF(_CALC_PNL!E798=1,H798-G798,""))</f>
        <v>1.00000761449337e-7</v>
      </c>
    </row>
    <row r="799" ht="14.25" customHeight="1">
      <c r="A799" t="s">
        <v>101</v>
      </c>
      <c r="B799" t="s">
        <v>221</v>
      </c>
      <c r="C799" t="s">
        <v>189</v>
      </c>
      <c r="D799" t="s">
        <v>7</v>
      </c>
      <c r="E799" t="s">
        <v>147</v>
      </c>
      <c r="F799" t="s">
        <v>148</v>
      </c>
      <c r="G799">
        <v>23567.611341</v>
      </c>
      <c r="H799">
        <f>IF(PNL!A799="","",_CALC_PNL!P799)</f>
        <v>23567.6113413</v>
      </c>
      <c r="I799">
        <f>IF(PNL!A799="","",IF(_CALC_PNL!E799=1,H799-G799,""))</f>
        <v>2.99998646369204e-7</v>
      </c>
    </row>
    <row r="800" ht="14.25" customHeight="1">
      <c r="A800" t="s">
        <v>103</v>
      </c>
      <c r="B800" t="s">
        <v>221</v>
      </c>
      <c r="C800" t="s">
        <v>189</v>
      </c>
      <c r="D800" t="s">
        <v>7</v>
      </c>
      <c r="E800" t="s">
        <v>147</v>
      </c>
      <c r="F800" t="s">
        <v>148</v>
      </c>
      <c r="G800">
        <v>20272.682274</v>
      </c>
      <c r="H800">
        <f>IF(PNL!A800="","",_CALC_PNL!P800)</f>
        <v>20272.682274</v>
      </c>
      <c r="I800">
        <f>IF(PNL!A800="","",IF(_CALC_PNL!E800=1,H800-G800,""))</f>
        <v>0</v>
      </c>
    </row>
    <row r="801" ht="14.25" customHeight="1">
      <c r="A801" t="s">
        <v>104</v>
      </c>
      <c r="B801" t="s">
        <v>221</v>
      </c>
      <c r="C801" t="s">
        <v>189</v>
      </c>
      <c r="D801" t="s">
        <v>7</v>
      </c>
      <c r="E801" t="s">
        <v>147</v>
      </c>
      <c r="F801" t="s">
        <v>148</v>
      </c>
      <c r="G801">
        <v>29566.392313</v>
      </c>
      <c r="H801">
        <f>IF(PNL!A801="","",_CALC_PNL!P801)</f>
        <v>29566.3923126</v>
      </c>
      <c r="I801">
        <f>IF(PNL!A801="","",IF(_CALC_PNL!E801=1,H801-G801,""))</f>
        <v>-3.99999407818541e-7</v>
      </c>
    </row>
    <row r="802" ht="14.25" customHeight="1">
      <c r="A802" t="s">
        <v>105</v>
      </c>
      <c r="B802" t="s">
        <v>221</v>
      </c>
      <c r="C802" t="s">
        <v>189</v>
      </c>
      <c r="D802" t="s">
        <v>7</v>
      </c>
      <c r="E802" t="s">
        <v>147</v>
      </c>
      <c r="F802" t="s">
        <v>148</v>
      </c>
      <c r="G802">
        <v>10762.317692</v>
      </c>
      <c r="H802">
        <f>IF(PNL!A802="","",_CALC_PNL!P802)</f>
        <v>10762.3176921</v>
      </c>
      <c r="I802">
        <f>IF(PNL!A802="","",IF(_CALC_PNL!E802=1,H802-G802,""))</f>
        <v>9.99989424599335e-8</v>
      </c>
    </row>
    <row r="803" ht="14.25" customHeight="1">
      <c r="A803" t="s">
        <v>106</v>
      </c>
      <c r="B803" t="s">
        <v>221</v>
      </c>
      <c r="C803" t="s">
        <v>189</v>
      </c>
      <c r="D803" t="s">
        <v>7</v>
      </c>
      <c r="E803" t="s">
        <v>147</v>
      </c>
      <c r="F803" t="s">
        <v>148</v>
      </c>
      <c r="G803">
        <v>14211.050361</v>
      </c>
      <c r="H803">
        <f>IF(PNL!A803="","",_CALC_PNL!P803)</f>
        <v>14211.0503613</v>
      </c>
      <c r="I803">
        <f>IF(PNL!A803="","",IF(_CALC_PNL!E803=1,H803-G803,""))</f>
        <v>3.00000465358607e-7</v>
      </c>
    </row>
    <row r="804" ht="14.25" customHeight="1">
      <c r="A804" t="s">
        <v>107</v>
      </c>
      <c r="B804" t="s">
        <v>221</v>
      </c>
      <c r="C804" t="s">
        <v>189</v>
      </c>
      <c r="D804" t="s">
        <v>7</v>
      </c>
      <c r="E804" t="s">
        <v>147</v>
      </c>
      <c r="F804" t="s">
        <v>148</v>
      </c>
      <c r="G804">
        <v>10950.530132</v>
      </c>
      <c r="H804">
        <f>IF(PNL!A804="","",_CALC_PNL!P804)</f>
        <v>10950.5301321</v>
      </c>
      <c r="I804">
        <f>IF(PNL!A804="","",IF(_CALC_PNL!E804=1,H804-G804,""))</f>
        <v>1.00000761449337e-7</v>
      </c>
    </row>
    <row r="805" ht="14.25" customHeight="1">
      <c r="A805" t="s">
        <v>108</v>
      </c>
      <c r="B805" t="s">
        <v>221</v>
      </c>
      <c r="C805" t="s">
        <v>189</v>
      </c>
      <c r="D805" t="s">
        <v>7</v>
      </c>
      <c r="E805" t="s">
        <v>147</v>
      </c>
      <c r="F805" t="s">
        <v>148</v>
      </c>
      <c r="G805">
        <v>13154.177443</v>
      </c>
      <c r="H805">
        <f>IF(PNL!A805="","",_CALC_PNL!P805)</f>
        <v>13154.1774429</v>
      </c>
      <c r="I805">
        <f>IF(PNL!A805="","",IF(_CALC_PNL!E805=1,H805-G805,""))</f>
        <v>-1.00000761449337e-7</v>
      </c>
    </row>
    <row r="806" ht="14.25" customHeight="1">
      <c r="A806" t="s">
        <v>86</v>
      </c>
      <c r="B806" t="s">
        <v>207</v>
      </c>
      <c r="C806" t="s">
        <v>189</v>
      </c>
      <c r="D806" t="s">
        <v>7</v>
      </c>
      <c r="E806" t="s">
        <v>147</v>
      </c>
      <c r="F806" t="s">
        <v>148</v>
      </c>
      <c r="G806">
        <v>145069.20038</v>
      </c>
      <c r="H806">
        <f>IF(PNL!A806="","",_CALC_PNL!P806)</f>
        <v>145069.20038</v>
      </c>
      <c r="I806">
        <f>IF(PNL!A806="","",IF(_CALC_PNL!E806=1,H806-G806,""))</f>
        <v>0</v>
      </c>
    </row>
    <row r="807" ht="14.25" customHeight="1">
      <c r="A807" t="s">
        <v>89</v>
      </c>
      <c r="B807" t="s">
        <v>207</v>
      </c>
      <c r="C807" t="s">
        <v>189</v>
      </c>
      <c r="D807" t="s">
        <v>7</v>
      </c>
      <c r="E807" t="s">
        <v>147</v>
      </c>
      <c r="F807" t="s">
        <v>148</v>
      </c>
      <c r="G807">
        <v>179282.79018</v>
      </c>
      <c r="H807">
        <f>IF(PNL!A807="","",_CALC_PNL!P807)</f>
        <v>179282.79018</v>
      </c>
      <c r="I807">
        <f>IF(PNL!A807="","",IF(_CALC_PNL!E807=1,H807-G807,""))</f>
        <v>0</v>
      </c>
    </row>
    <row r="808" ht="14.25" customHeight="1">
      <c r="A808" t="s">
        <v>91</v>
      </c>
      <c r="B808" t="s">
        <v>207</v>
      </c>
      <c r="C808" t="s">
        <v>189</v>
      </c>
      <c r="D808" t="s">
        <v>7</v>
      </c>
      <c r="E808" t="s">
        <v>147</v>
      </c>
      <c r="F808" t="s">
        <v>148</v>
      </c>
      <c r="G808">
        <v>145155.75958</v>
      </c>
      <c r="H808">
        <f>IF(PNL!A808="","",_CALC_PNL!P808)</f>
        <v>145155.75958</v>
      </c>
      <c r="I808">
        <f>IF(PNL!A808="","",IF(_CALC_PNL!E808=1,H808-G808,""))</f>
        <v>0</v>
      </c>
    </row>
    <row r="809" ht="14.25" customHeight="1">
      <c r="A809" t="s">
        <v>93</v>
      </c>
      <c r="B809" t="s">
        <v>207</v>
      </c>
      <c r="C809" t="s">
        <v>189</v>
      </c>
      <c r="D809" t="s">
        <v>7</v>
      </c>
      <c r="E809" t="s">
        <v>147</v>
      </c>
      <c r="F809" t="s">
        <v>148</v>
      </c>
      <c r="G809">
        <v>303457.33522</v>
      </c>
      <c r="H809">
        <f>IF(PNL!A809="","",_CALC_PNL!P809)</f>
        <v>303457.33522</v>
      </c>
      <c r="I809">
        <f>IF(PNL!A809="","",IF(_CALC_PNL!E809=1,H809-G809,""))</f>
        <v>0</v>
      </c>
    </row>
    <row r="810" ht="14.25" customHeight="1">
      <c r="A810" t="s">
        <v>95</v>
      </c>
      <c r="B810" t="s">
        <v>207</v>
      </c>
      <c r="C810" t="s">
        <v>189</v>
      </c>
      <c r="D810" t="s">
        <v>7</v>
      </c>
      <c r="E810" t="s">
        <v>147</v>
      </c>
      <c r="F810" t="s">
        <v>148</v>
      </c>
      <c r="G810">
        <v>520261.81168</v>
      </c>
      <c r="H810">
        <f>IF(PNL!A810="","",_CALC_PNL!P810)</f>
        <v>520261.81168</v>
      </c>
      <c r="I810">
        <f>IF(PNL!A810="","",IF(_CALC_PNL!E810=1,H810-G810,""))</f>
        <v>0</v>
      </c>
    </row>
    <row r="811" ht="14.25" customHeight="1">
      <c r="A811" t="s">
        <v>97</v>
      </c>
      <c r="B811" t="s">
        <v>207</v>
      </c>
      <c r="C811" t="s">
        <v>189</v>
      </c>
      <c r="D811" t="s">
        <v>7</v>
      </c>
      <c r="E811" t="s">
        <v>147</v>
      </c>
      <c r="F811" t="s">
        <v>148</v>
      </c>
      <c r="G811">
        <v>285351.00542</v>
      </c>
      <c r="H811">
        <f>IF(PNL!A811="","",_CALC_PNL!P811)</f>
        <v>285351.00542</v>
      </c>
      <c r="I811">
        <f>IF(PNL!A811="","",IF(_CALC_PNL!E811=1,H811-G811,""))</f>
        <v>0</v>
      </c>
    </row>
    <row r="812" ht="14.25" customHeight="1">
      <c r="A812" t="s">
        <v>99</v>
      </c>
      <c r="B812" t="s">
        <v>207</v>
      </c>
      <c r="C812" t="s">
        <v>189</v>
      </c>
      <c r="D812" t="s">
        <v>7</v>
      </c>
      <c r="E812" t="s">
        <v>147</v>
      </c>
      <c r="F812" t="s">
        <v>148</v>
      </c>
      <c r="G812">
        <v>298839.33794</v>
      </c>
      <c r="H812">
        <f>IF(PNL!A812="","",_CALC_PNL!P812)</f>
        <v>298839.33794</v>
      </c>
      <c r="I812">
        <f>IF(PNL!A812="","",IF(_CALC_PNL!E812=1,H812-G812,""))</f>
        <v>0</v>
      </c>
    </row>
    <row r="813" ht="14.25" customHeight="1">
      <c r="A813" t="s">
        <v>101</v>
      </c>
      <c r="B813" t="s">
        <v>207</v>
      </c>
      <c r="C813" t="s">
        <v>189</v>
      </c>
      <c r="D813" t="s">
        <v>7</v>
      </c>
      <c r="E813" t="s">
        <v>147</v>
      </c>
      <c r="F813" t="s">
        <v>148</v>
      </c>
      <c r="G813">
        <v>426605.5248</v>
      </c>
      <c r="H813">
        <f>IF(PNL!A813="","",_CALC_PNL!P813)</f>
        <v>426605.5248</v>
      </c>
      <c r="I813">
        <f>IF(PNL!A813="","",IF(_CALC_PNL!E813=1,H813-G813,""))</f>
        <v>0</v>
      </c>
    </row>
    <row r="814" ht="14.25" customHeight="1">
      <c r="A814" t="s">
        <v>103</v>
      </c>
      <c r="B814" t="s">
        <v>207</v>
      </c>
      <c r="C814" t="s">
        <v>189</v>
      </c>
      <c r="D814" t="s">
        <v>7</v>
      </c>
      <c r="E814" t="s">
        <v>147</v>
      </c>
      <c r="F814" t="s">
        <v>148</v>
      </c>
      <c r="G814">
        <v>366973.0584</v>
      </c>
      <c r="H814">
        <f>IF(PNL!A814="","",_CALC_PNL!P814)</f>
        <v>366973.0584</v>
      </c>
      <c r="I814">
        <f>IF(PNL!A814="","",IF(_CALC_PNL!E814=1,H814-G814,""))</f>
        <v>0</v>
      </c>
    </row>
    <row r="815" ht="14.25" customHeight="1">
      <c r="A815" t="s">
        <v>104</v>
      </c>
      <c r="B815" t="s">
        <v>207</v>
      </c>
      <c r="C815" t="s">
        <v>189</v>
      </c>
      <c r="D815" t="s">
        <v>7</v>
      </c>
      <c r="E815" t="s">
        <v>147</v>
      </c>
      <c r="F815" t="s">
        <v>148</v>
      </c>
      <c r="G815">
        <v>535199.11536</v>
      </c>
      <c r="H815">
        <f>IF(PNL!A815="","",_CALC_PNL!P815)</f>
        <v>535199.11536</v>
      </c>
      <c r="I815">
        <f>IF(PNL!A815="","",IF(_CALC_PNL!E815=1,H815-G815,""))</f>
        <v>0</v>
      </c>
    </row>
    <row r="816" ht="14.25" customHeight="1">
      <c r="A816" t="s">
        <v>105</v>
      </c>
      <c r="B816" t="s">
        <v>207</v>
      </c>
      <c r="C816" t="s">
        <v>189</v>
      </c>
      <c r="D816" t="s">
        <v>7</v>
      </c>
      <c r="E816" t="s">
        <v>147</v>
      </c>
      <c r="F816" t="s">
        <v>148</v>
      </c>
      <c r="G816">
        <v>194818.2691</v>
      </c>
      <c r="H816">
        <f>IF(PNL!A816="","",_CALC_PNL!P816)</f>
        <v>194818.2691</v>
      </c>
      <c r="I816">
        <f>IF(PNL!A816="","",IF(_CALC_PNL!E816=1,H816-G816,""))</f>
        <v>0</v>
      </c>
    </row>
    <row r="817" ht="14.25" customHeight="1">
      <c r="A817" t="s">
        <v>106</v>
      </c>
      <c r="B817" t="s">
        <v>207</v>
      </c>
      <c r="C817" t="s">
        <v>189</v>
      </c>
      <c r="D817" t="s">
        <v>7</v>
      </c>
      <c r="E817" t="s">
        <v>147</v>
      </c>
      <c r="F817" t="s">
        <v>148</v>
      </c>
      <c r="G817">
        <v>257235.0742</v>
      </c>
      <c r="H817">
        <f>IF(PNL!A817="","",_CALC_PNL!P817)</f>
        <v>257235.0742</v>
      </c>
      <c r="I817">
        <f>IF(PNL!A817="","",IF(_CALC_PNL!E817=1,H817-G817,""))</f>
        <v>0</v>
      </c>
    </row>
    <row r="818" ht="14.25" customHeight="1">
      <c r="A818" t="s">
        <v>107</v>
      </c>
      <c r="B818" t="s">
        <v>207</v>
      </c>
      <c r="C818" t="s">
        <v>189</v>
      </c>
      <c r="D818" t="s">
        <v>7</v>
      </c>
      <c r="E818" t="s">
        <v>147</v>
      </c>
      <c r="F818" t="s">
        <v>148</v>
      </c>
      <c r="G818">
        <v>198220.26952</v>
      </c>
      <c r="H818">
        <f>IF(PNL!A818="","",_CALC_PNL!P818)</f>
        <v>198220.26952</v>
      </c>
      <c r="I818">
        <f>IF(PNL!A818="","",IF(_CALC_PNL!E818=1,H818-G818,""))</f>
        <v>0</v>
      </c>
    </row>
    <row r="819" ht="14.25" customHeight="1">
      <c r="A819" t="s">
        <v>108</v>
      </c>
      <c r="B819" t="s">
        <v>207</v>
      </c>
      <c r="C819" t="s">
        <v>189</v>
      </c>
      <c r="D819" t="s">
        <v>7</v>
      </c>
      <c r="E819" t="s">
        <v>147</v>
      </c>
      <c r="F819" t="s">
        <v>148</v>
      </c>
      <c r="G819">
        <v>238111.89766</v>
      </c>
      <c r="H819">
        <f>IF(PNL!A819="","",_CALC_PNL!P819)</f>
        <v>238111.89766</v>
      </c>
      <c r="I819">
        <f>IF(PNL!A819="","",IF(_CALC_PNL!E819=1,H819-G819,""))</f>
        <v>0</v>
      </c>
    </row>
    <row r="820" ht="14.25" customHeight="1">
      <c r="A820" t="s">
        <v>86</v>
      </c>
      <c r="B820" t="s">
        <v>208</v>
      </c>
      <c r="C820" t="s">
        <v>189</v>
      </c>
      <c r="D820" t="s">
        <v>7</v>
      </c>
      <c r="E820" t="s">
        <v>147</v>
      </c>
      <c r="F820" t="s">
        <v>148</v>
      </c>
      <c r="G820">
        <v>64130.027</v>
      </c>
      <c r="H820">
        <f>IF(PNL!A820="","",_CALC_PNL!P820)</f>
        <v>64130.027</v>
      </c>
      <c r="I820">
        <f>IF(PNL!A820="","",IF(_CALC_PNL!E820=1,H820-G820,""))</f>
        <v>0</v>
      </c>
    </row>
    <row r="821" ht="14.25" customHeight="1">
      <c r="A821" t="s">
        <v>89</v>
      </c>
      <c r="B821" t="s">
        <v>208</v>
      </c>
      <c r="C821" t="s">
        <v>189</v>
      </c>
      <c r="D821" t="s">
        <v>7</v>
      </c>
      <c r="E821" t="s">
        <v>147</v>
      </c>
      <c r="F821" t="s">
        <v>148</v>
      </c>
      <c r="G821">
        <v>98221.43188</v>
      </c>
      <c r="H821">
        <f>IF(PNL!A821="","",_CALC_PNL!P821)</f>
        <v>98221.43188</v>
      </c>
      <c r="I821">
        <f>IF(PNL!A821="","",IF(_CALC_PNL!E821=1,H821-G821,""))</f>
        <v>0</v>
      </c>
    </row>
    <row r="822" ht="14.25" customHeight="1">
      <c r="A822" t="s">
        <v>91</v>
      </c>
      <c r="B822" t="s">
        <v>208</v>
      </c>
      <c r="C822" t="s">
        <v>189</v>
      </c>
      <c r="D822" t="s">
        <v>7</v>
      </c>
      <c r="E822" t="s">
        <v>147</v>
      </c>
      <c r="F822" t="s">
        <v>148</v>
      </c>
      <c r="G822">
        <v>64168.2964</v>
      </c>
      <c r="H822">
        <f>IF(PNL!A822="","",_CALC_PNL!P822)</f>
        <v>64168.2964</v>
      </c>
      <c r="I822">
        <f>IF(PNL!A822="","",IF(_CALC_PNL!E822=1,H822-G822,""))</f>
        <v>0</v>
      </c>
    </row>
    <row r="823" ht="14.25" customHeight="1">
      <c r="A823" t="s">
        <v>93</v>
      </c>
      <c r="B823" t="s">
        <v>208</v>
      </c>
      <c r="C823" t="s">
        <v>189</v>
      </c>
      <c r="D823" t="s">
        <v>7</v>
      </c>
      <c r="E823" t="s">
        <v>147</v>
      </c>
      <c r="F823" t="s">
        <v>148</v>
      </c>
      <c r="G823">
        <v>167857.08238</v>
      </c>
      <c r="H823">
        <f>IF(PNL!A823="","",_CALC_PNL!P823)</f>
        <v>167857.08238</v>
      </c>
      <c r="I823">
        <f>IF(PNL!A823="","",IF(_CALC_PNL!E823=1,H823-G823,""))</f>
        <v>0</v>
      </c>
    </row>
    <row r="824" ht="14.25" customHeight="1">
      <c r="A824" t="s">
        <v>95</v>
      </c>
      <c r="B824" t="s">
        <v>208</v>
      </c>
      <c r="C824" t="s">
        <v>189</v>
      </c>
      <c r="D824" t="s">
        <v>7</v>
      </c>
      <c r="E824" t="s">
        <v>147</v>
      </c>
      <c r="F824" t="s">
        <v>148</v>
      </c>
      <c r="G824">
        <v>278346.8844</v>
      </c>
      <c r="H824">
        <f>IF(PNL!A824="","",_CALC_PNL!P824)</f>
        <v>278346.8844</v>
      </c>
      <c r="I824">
        <f>IF(PNL!A824="","",IF(_CALC_PNL!E824=1,H824-G824,""))</f>
        <v>0</v>
      </c>
    </row>
    <row r="825" ht="14.25" customHeight="1">
      <c r="A825" t="s">
        <v>97</v>
      </c>
      <c r="B825" t="s">
        <v>208</v>
      </c>
      <c r="C825" t="s">
        <v>189</v>
      </c>
      <c r="D825" t="s">
        <v>7</v>
      </c>
      <c r="E825" t="s">
        <v>147</v>
      </c>
      <c r="F825" t="s">
        <v>148</v>
      </c>
      <c r="G825">
        <v>149432.16782</v>
      </c>
      <c r="H825">
        <f>IF(PNL!A825="","",_CALC_PNL!P825)</f>
        <v>149432.16782</v>
      </c>
      <c r="I825">
        <f>IF(PNL!A825="","",IF(_CALC_PNL!E825=1,H825-G825,""))</f>
        <v>0</v>
      </c>
    </row>
    <row r="826" ht="14.25" customHeight="1">
      <c r="A826" t="s">
        <v>99</v>
      </c>
      <c r="B826" t="s">
        <v>208</v>
      </c>
      <c r="C826" t="s">
        <v>189</v>
      </c>
      <c r="D826" t="s">
        <v>7</v>
      </c>
      <c r="E826" t="s">
        <v>147</v>
      </c>
      <c r="F826" t="s">
        <v>148</v>
      </c>
      <c r="G826">
        <v>168689.4365</v>
      </c>
      <c r="H826">
        <f>IF(PNL!A826="","",_CALC_PNL!P826)</f>
        <v>168689.4365</v>
      </c>
      <c r="I826">
        <f>IF(PNL!A826="","",IF(_CALC_PNL!E826=1,H826-G826,""))</f>
        <v>0</v>
      </c>
    </row>
    <row r="827" ht="14.25" customHeight="1">
      <c r="A827" t="s">
        <v>101</v>
      </c>
      <c r="B827" t="s">
        <v>208</v>
      </c>
      <c r="C827" t="s">
        <v>189</v>
      </c>
      <c r="D827" t="s">
        <v>7</v>
      </c>
      <c r="E827" t="s">
        <v>147</v>
      </c>
      <c r="F827" t="s">
        <v>148</v>
      </c>
      <c r="G827">
        <v>241035.6585</v>
      </c>
      <c r="H827">
        <f>IF(PNL!A827="","",_CALC_PNL!P827)</f>
        <v>241035.6585</v>
      </c>
      <c r="I827">
        <f>IF(PNL!A827="","",IF(_CALC_PNL!E827=1,H827-G827,""))</f>
        <v>0</v>
      </c>
    </row>
    <row r="828" ht="14.25" customHeight="1">
      <c r="A828" t="s">
        <v>103</v>
      </c>
      <c r="B828" t="s">
        <v>208</v>
      </c>
      <c r="C828" t="s">
        <v>189</v>
      </c>
      <c r="D828" t="s">
        <v>7</v>
      </c>
      <c r="E828" t="s">
        <v>147</v>
      </c>
      <c r="F828" t="s">
        <v>148</v>
      </c>
      <c r="G828">
        <v>203822.20612</v>
      </c>
      <c r="H828">
        <f>IF(PNL!A828="","",_CALC_PNL!P828)</f>
        <v>203822.20612</v>
      </c>
      <c r="I828">
        <f>IF(PNL!A828="","",IF(_CALC_PNL!E828=1,H828-G828,""))</f>
        <v>0</v>
      </c>
    </row>
    <row r="829" ht="14.25" customHeight="1">
      <c r="A829" t="s">
        <v>104</v>
      </c>
      <c r="B829" t="s">
        <v>208</v>
      </c>
      <c r="C829" t="s">
        <v>189</v>
      </c>
      <c r="D829" t="s">
        <v>7</v>
      </c>
      <c r="E829" t="s">
        <v>147</v>
      </c>
      <c r="F829" t="s">
        <v>148</v>
      </c>
      <c r="G829">
        <v>308986.26148</v>
      </c>
      <c r="H829">
        <f>IF(PNL!A829="","",_CALC_PNL!P829)</f>
        <v>308986.26148</v>
      </c>
      <c r="I829">
        <f>IF(PNL!A829="","",IF(_CALC_PNL!E829=1,H829-G829,""))</f>
        <v>0</v>
      </c>
    </row>
    <row r="830" ht="14.25" customHeight="1">
      <c r="A830" t="s">
        <v>105</v>
      </c>
      <c r="B830" t="s">
        <v>208</v>
      </c>
      <c r="C830" t="s">
        <v>189</v>
      </c>
      <c r="D830" t="s">
        <v>7</v>
      </c>
      <c r="E830" t="s">
        <v>147</v>
      </c>
      <c r="F830" t="s">
        <v>148</v>
      </c>
      <c r="G830">
        <v>78393.4801</v>
      </c>
      <c r="H830">
        <f>IF(PNL!A830="","",_CALC_PNL!P830)</f>
        <v>78393.4801</v>
      </c>
      <c r="I830">
        <f>IF(PNL!A830="","",IF(_CALC_PNL!E830=1,H830-G830,""))</f>
        <v>0</v>
      </c>
    </row>
    <row r="831" ht="14.25" customHeight="1">
      <c r="A831" t="s">
        <v>106</v>
      </c>
      <c r="B831" t="s">
        <v>208</v>
      </c>
      <c r="C831" t="s">
        <v>189</v>
      </c>
      <c r="D831" t="s">
        <v>7</v>
      </c>
      <c r="E831" t="s">
        <v>147</v>
      </c>
      <c r="F831" t="s">
        <v>148</v>
      </c>
      <c r="G831">
        <v>132666.50358</v>
      </c>
      <c r="H831">
        <f>IF(PNL!A831="","",_CALC_PNL!P831)</f>
        <v>132666.50358</v>
      </c>
      <c r="I831">
        <f>IF(PNL!A831="","",IF(_CALC_PNL!E831=1,H831-G831,""))</f>
        <v>0</v>
      </c>
    </row>
    <row r="832" ht="14.25" customHeight="1">
      <c r="A832" t="s">
        <v>107</v>
      </c>
      <c r="B832" t="s">
        <v>208</v>
      </c>
      <c r="C832" t="s">
        <v>189</v>
      </c>
      <c r="D832" t="s">
        <v>7</v>
      </c>
      <c r="E832" t="s">
        <v>147</v>
      </c>
      <c r="F832" t="s">
        <v>148</v>
      </c>
      <c r="G832">
        <v>87626.52184</v>
      </c>
      <c r="H832">
        <f>IF(PNL!A832="","",_CALC_PNL!P832)</f>
        <v>87626.52184</v>
      </c>
      <c r="I832">
        <f>IF(PNL!A832="","",IF(_CALC_PNL!E832=1,H832-G832,""))</f>
        <v>0</v>
      </c>
    </row>
    <row r="833" ht="14.25" customHeight="1">
      <c r="A833" t="s">
        <v>108</v>
      </c>
      <c r="B833" t="s">
        <v>208</v>
      </c>
      <c r="C833" t="s">
        <v>189</v>
      </c>
      <c r="D833" t="s">
        <v>7</v>
      </c>
      <c r="E833" t="s">
        <v>147</v>
      </c>
      <c r="F833" t="s">
        <v>148</v>
      </c>
      <c r="G833">
        <v>124154.4616</v>
      </c>
      <c r="H833">
        <f>IF(PNL!A833="","",_CALC_PNL!P833)</f>
        <v>124154.4616</v>
      </c>
      <c r="I833">
        <f>IF(PNL!A833="","",IF(_CALC_PNL!E833=1,H833-G833,""))</f>
        <v>0</v>
      </c>
    </row>
    <row r="834" ht="14.25" customHeight="1">
      <c r="A834" t="s">
        <v>209</v>
      </c>
      <c r="B834" t="s">
        <v>210</v>
      </c>
      <c r="C834" t="s">
        <v>189</v>
      </c>
      <c r="D834" t="s">
        <v>7</v>
      </c>
      <c r="E834" t="s">
        <v>147</v>
      </c>
      <c r="F834" t="s">
        <v>148</v>
      </c>
      <c r="G834">
        <v>1324663.834</v>
      </c>
      <c r="H834">
        <f>IF(PNL!A834="","",_CALC_PNL!P834)</f>
        <v>1324663.834</v>
      </c>
      <c r="I834">
        <f>IF(PNL!A834="","",IF(_CALC_PNL!E834=1,H834-G834,""))</f>
        <v>0</v>
      </c>
    </row>
    <row r="835" ht="14.25" customHeight="1">
      <c r="A835" t="s">
        <v>86</v>
      </c>
      <c r="B835" t="s">
        <v>211</v>
      </c>
      <c r="C835" t="s">
        <v>189</v>
      </c>
      <c r="D835" t="s">
        <v>7</v>
      </c>
      <c r="E835" t="s">
        <v>147</v>
      </c>
      <c r="F835" t="s">
        <v>148</v>
      </c>
      <c r="G835">
        <v>99757.20742</v>
      </c>
      <c r="H835">
        <f>IF(PNL!A835="","",_CALC_PNL!P835)</f>
        <v>99757.20742</v>
      </c>
      <c r="I835">
        <f>IF(PNL!A835="","",IF(_CALC_PNL!E835=1,H835-G835,""))</f>
        <v>0</v>
      </c>
    </row>
    <row r="836" ht="14.25" customHeight="1">
      <c r="A836" t="s">
        <v>89</v>
      </c>
      <c r="B836" t="s">
        <v>211</v>
      </c>
      <c r="C836" t="s">
        <v>189</v>
      </c>
      <c r="D836" t="s">
        <v>7</v>
      </c>
      <c r="E836" t="s">
        <v>147</v>
      </c>
      <c r="F836" t="s">
        <v>148</v>
      </c>
      <c r="G836">
        <v>152788.62872</v>
      </c>
      <c r="H836">
        <f>IF(PNL!A836="","",_CALC_PNL!P836)</f>
        <v>152788.62872</v>
      </c>
      <c r="I836">
        <f>IF(PNL!A836="","",IF(_CALC_PNL!E836=1,H836-G836,""))</f>
        <v>0</v>
      </c>
    </row>
    <row r="837" ht="14.25" customHeight="1">
      <c r="A837" t="s">
        <v>91</v>
      </c>
      <c r="B837" t="s">
        <v>211</v>
      </c>
      <c r="C837" t="s">
        <v>189</v>
      </c>
      <c r="D837" t="s">
        <v>7</v>
      </c>
      <c r="E837" t="s">
        <v>147</v>
      </c>
      <c r="F837" t="s">
        <v>148</v>
      </c>
      <c r="G837">
        <v>99816.73286</v>
      </c>
      <c r="H837">
        <f>IF(PNL!A837="","",_CALC_PNL!P837)</f>
        <v>99816.73286</v>
      </c>
      <c r="I837">
        <f>IF(PNL!A837="","",IF(_CALC_PNL!E837=1,H837-G837,""))</f>
        <v>0</v>
      </c>
    </row>
    <row r="838" ht="14.25" customHeight="1">
      <c r="A838" t="s">
        <v>93</v>
      </c>
      <c r="B838" t="s">
        <v>211</v>
      </c>
      <c r="C838" t="s">
        <v>189</v>
      </c>
      <c r="D838" t="s">
        <v>7</v>
      </c>
      <c r="E838" t="s">
        <v>147</v>
      </c>
      <c r="F838" t="s">
        <v>148</v>
      </c>
      <c r="G838">
        <v>261111.30604</v>
      </c>
      <c r="H838">
        <f>IF(PNL!A838="","",_CALC_PNL!P838)</f>
        <v>261111.30604</v>
      </c>
      <c r="I838">
        <f>IF(PNL!A838="","",IF(_CALC_PNL!E838=1,H838-G838,""))</f>
        <v>0</v>
      </c>
    </row>
    <row r="839" ht="14.25" customHeight="1">
      <c r="A839" t="s">
        <v>95</v>
      </c>
      <c r="B839" t="s">
        <v>211</v>
      </c>
      <c r="C839" t="s">
        <v>189</v>
      </c>
      <c r="D839" t="s">
        <v>7</v>
      </c>
      <c r="E839" t="s">
        <v>147</v>
      </c>
      <c r="F839" t="s">
        <v>148</v>
      </c>
      <c r="G839">
        <v>432983.28554</v>
      </c>
      <c r="H839">
        <f>IF(PNL!A839="","",_CALC_PNL!P839)</f>
        <v>432983.28554</v>
      </c>
      <c r="I839">
        <f>IF(PNL!A839="","",IF(_CALC_PNL!E839=1,H839-G839,""))</f>
        <v>0</v>
      </c>
    </row>
    <row r="840" ht="14.25" customHeight="1">
      <c r="A840" t="s">
        <v>97</v>
      </c>
      <c r="B840" t="s">
        <v>211</v>
      </c>
      <c r="C840" t="s">
        <v>189</v>
      </c>
      <c r="D840" t="s">
        <v>7</v>
      </c>
      <c r="E840" t="s">
        <v>147</v>
      </c>
      <c r="F840" t="s">
        <v>148</v>
      </c>
      <c r="G840">
        <v>232449.76404</v>
      </c>
      <c r="H840">
        <f>IF(PNL!A840="","",_CALC_PNL!P840)</f>
        <v>232449.76404</v>
      </c>
      <c r="I840">
        <f>IF(PNL!A840="","",IF(_CALC_PNL!E840=1,H840-G840,""))</f>
        <v>0</v>
      </c>
    </row>
    <row r="841" ht="14.25" customHeight="1">
      <c r="A841" t="s">
        <v>99</v>
      </c>
      <c r="B841" t="s">
        <v>211</v>
      </c>
      <c r="C841" t="s">
        <v>189</v>
      </c>
      <c r="D841" t="s">
        <v>7</v>
      </c>
      <c r="E841" t="s">
        <v>147</v>
      </c>
      <c r="F841" t="s">
        <v>148</v>
      </c>
      <c r="G841">
        <v>262407.06102</v>
      </c>
      <c r="H841">
        <f>IF(PNL!A841="","",_CALC_PNL!P841)</f>
        <v>262407.06102</v>
      </c>
      <c r="I841">
        <f>IF(PNL!A841="","",IF(_CALC_PNL!E841=1,H841-G841,""))</f>
        <v>0</v>
      </c>
    </row>
    <row r="842" ht="14.25" customHeight="1">
      <c r="A842" t="s">
        <v>101</v>
      </c>
      <c r="B842" t="s">
        <v>211</v>
      </c>
      <c r="C842" t="s">
        <v>189</v>
      </c>
      <c r="D842" t="s">
        <v>7</v>
      </c>
      <c r="E842" t="s">
        <v>147</v>
      </c>
      <c r="F842" t="s">
        <v>148</v>
      </c>
      <c r="G842">
        <v>374943.17796</v>
      </c>
      <c r="H842">
        <f>IF(PNL!A842="","",_CALC_PNL!P842)</f>
        <v>374943.17796</v>
      </c>
      <c r="I842">
        <f>IF(PNL!A842="","",IF(_CALC_PNL!E842=1,H842-G842,""))</f>
        <v>0</v>
      </c>
    </row>
    <row r="843" ht="14.25" customHeight="1">
      <c r="A843" t="s">
        <v>103</v>
      </c>
      <c r="B843" t="s">
        <v>211</v>
      </c>
      <c r="C843" t="s">
        <v>189</v>
      </c>
      <c r="D843" t="s">
        <v>7</v>
      </c>
      <c r="E843" t="s">
        <v>147</v>
      </c>
      <c r="F843" t="s">
        <v>148</v>
      </c>
      <c r="G843">
        <v>317058.1414</v>
      </c>
      <c r="H843">
        <f>IF(PNL!A843="","",_CALC_PNL!P843)</f>
        <v>317058.1414</v>
      </c>
      <c r="I843">
        <f>IF(PNL!A843="","",IF(_CALC_PNL!E843=1,H843-G843,""))</f>
        <v>0</v>
      </c>
    </row>
    <row r="844" ht="14.25" customHeight="1">
      <c r="A844" t="s">
        <v>104</v>
      </c>
      <c r="B844" t="s">
        <v>211</v>
      </c>
      <c r="C844" t="s">
        <v>189</v>
      </c>
      <c r="D844" t="s">
        <v>7</v>
      </c>
      <c r="E844" t="s">
        <v>147</v>
      </c>
      <c r="F844" t="s">
        <v>148</v>
      </c>
      <c r="G844">
        <v>480645.5953</v>
      </c>
      <c r="H844">
        <f>IF(PNL!A844="","",_CALC_PNL!P844)</f>
        <v>480645.5953</v>
      </c>
      <c r="I844">
        <f>IF(PNL!A844="","",IF(_CALC_PNL!E844=1,H844-G844,""))</f>
        <v>0</v>
      </c>
    </row>
    <row r="845" ht="14.25" customHeight="1">
      <c r="A845" t="s">
        <v>105</v>
      </c>
      <c r="B845" t="s">
        <v>211</v>
      </c>
      <c r="C845" t="s">
        <v>189</v>
      </c>
      <c r="D845" t="s">
        <v>7</v>
      </c>
      <c r="E845" t="s">
        <v>147</v>
      </c>
      <c r="F845" t="s">
        <v>148</v>
      </c>
      <c r="G845">
        <v>121945.10198</v>
      </c>
      <c r="H845">
        <f>IF(PNL!A845="","",_CALC_PNL!P845)</f>
        <v>121945.10198</v>
      </c>
      <c r="I845">
        <f>IF(PNL!A845="","",IF(_CALC_PNL!E845=1,H845-G845,""))</f>
        <v>0</v>
      </c>
    </row>
    <row r="846" ht="14.25" customHeight="1">
      <c r="A846" t="s">
        <v>106</v>
      </c>
      <c r="B846" t="s">
        <v>211</v>
      </c>
      <c r="C846" t="s">
        <v>189</v>
      </c>
      <c r="D846" t="s">
        <v>7</v>
      </c>
      <c r="E846" t="s">
        <v>147</v>
      </c>
      <c r="F846" t="s">
        <v>148</v>
      </c>
      <c r="G846">
        <v>206370.87354</v>
      </c>
      <c r="H846">
        <f>IF(PNL!A846="","",_CALC_PNL!P846)</f>
        <v>206370.87354</v>
      </c>
      <c r="I846">
        <f>IF(PNL!A846="","",IF(_CALC_PNL!E846=1,H846-G846,""))</f>
        <v>0</v>
      </c>
    </row>
    <row r="847" ht="14.25" customHeight="1">
      <c r="A847" t="s">
        <v>107</v>
      </c>
      <c r="B847" t="s">
        <v>211</v>
      </c>
      <c r="C847" t="s">
        <v>189</v>
      </c>
      <c r="D847" t="s">
        <v>7</v>
      </c>
      <c r="E847" t="s">
        <v>147</v>
      </c>
      <c r="F847" t="s">
        <v>148</v>
      </c>
      <c r="G847">
        <v>136307.52252</v>
      </c>
      <c r="H847">
        <f>IF(PNL!A847="","",_CALC_PNL!P847)</f>
        <v>136307.52252</v>
      </c>
      <c r="I847">
        <f>IF(PNL!A847="","",IF(_CALC_PNL!E847=1,H847-G847,""))</f>
        <v>0</v>
      </c>
    </row>
    <row r="848" ht="14.25" customHeight="1">
      <c r="A848" t="s">
        <v>108</v>
      </c>
      <c r="B848" t="s">
        <v>211</v>
      </c>
      <c r="C848" t="s">
        <v>189</v>
      </c>
      <c r="D848" t="s">
        <v>7</v>
      </c>
      <c r="E848" t="s">
        <v>147</v>
      </c>
      <c r="F848" t="s">
        <v>148</v>
      </c>
      <c r="G848">
        <v>193128.72306</v>
      </c>
      <c r="H848">
        <f>IF(PNL!A848="","",_CALC_PNL!P848)</f>
        <v>193128.72306</v>
      </c>
      <c r="I848">
        <f>IF(PNL!A848="","",IF(_CALC_PNL!E848=1,H848-G848,""))</f>
        <v>0</v>
      </c>
    </row>
    <row r="849" ht="14.25" customHeight="1">
      <c r="A849" t="s">
        <v>86</v>
      </c>
      <c r="B849" t="s">
        <v>223</v>
      </c>
      <c r="C849" t="s">
        <v>189</v>
      </c>
      <c r="D849" t="s">
        <v>7</v>
      </c>
      <c r="E849" t="s">
        <v>147</v>
      </c>
      <c r="F849" t="s">
        <v>148</v>
      </c>
      <c r="G849">
        <v>63194.1</v>
      </c>
      <c r="H849">
        <f>IF(PNL!A849="","",_CALC_PNL!P849)</f>
        <v>63194.1</v>
      </c>
      <c r="I849">
        <f>IF(PNL!A849="","",IF(_CALC_PNL!E849=1,H849-G849,""))</f>
        <v>0</v>
      </c>
    </row>
    <row r="850" ht="14.25" customHeight="1">
      <c r="A850" t="s">
        <v>89</v>
      </c>
      <c r="B850" t="s">
        <v>223</v>
      </c>
      <c r="C850" t="s">
        <v>189</v>
      </c>
      <c r="D850" t="s">
        <v>7</v>
      </c>
      <c r="E850" t="s">
        <v>147</v>
      </c>
      <c r="F850" t="s">
        <v>148</v>
      </c>
      <c r="G850">
        <v>63194.1</v>
      </c>
      <c r="H850">
        <f>IF(PNL!A850="","",_CALC_PNL!P850)</f>
        <v>63194.1</v>
      </c>
      <c r="I850">
        <f>IF(PNL!A850="","",IF(_CALC_PNL!E850=1,H850-G850,""))</f>
        <v>0</v>
      </c>
    </row>
    <row r="851" ht="14.25" customHeight="1">
      <c r="A851" t="s">
        <v>91</v>
      </c>
      <c r="B851" t="s">
        <v>223</v>
      </c>
      <c r="C851" t="s">
        <v>189</v>
      </c>
      <c r="D851" t="s">
        <v>7</v>
      </c>
      <c r="E851" t="s">
        <v>147</v>
      </c>
      <c r="F851" t="s">
        <v>148</v>
      </c>
      <c r="G851">
        <v>63194.1</v>
      </c>
      <c r="H851">
        <f>IF(PNL!A851="","",_CALC_PNL!P851)</f>
        <v>63194.1</v>
      </c>
      <c r="I851">
        <f>IF(PNL!A851="","",IF(_CALC_PNL!E851=1,H851-G851,""))</f>
        <v>0</v>
      </c>
    </row>
    <row r="852" ht="14.25" customHeight="1">
      <c r="A852" t="s">
        <v>93</v>
      </c>
      <c r="B852" t="s">
        <v>223</v>
      </c>
      <c r="C852" t="s">
        <v>189</v>
      </c>
      <c r="D852" t="s">
        <v>7</v>
      </c>
      <c r="E852" t="s">
        <v>147</v>
      </c>
      <c r="F852" t="s">
        <v>148</v>
      </c>
      <c r="G852">
        <v>105323.16</v>
      </c>
      <c r="H852">
        <f>IF(PNL!A852="","",_CALC_PNL!P852)</f>
        <v>105323.16</v>
      </c>
      <c r="I852">
        <f>IF(PNL!A852="","",IF(_CALC_PNL!E852=1,H852-G852,""))</f>
        <v>0</v>
      </c>
    </row>
    <row r="853" ht="14.25" customHeight="1">
      <c r="A853" t="s">
        <v>95</v>
      </c>
      <c r="B853" t="s">
        <v>223</v>
      </c>
      <c r="C853" t="s">
        <v>189</v>
      </c>
      <c r="D853" t="s">
        <v>7</v>
      </c>
      <c r="E853" t="s">
        <v>147</v>
      </c>
      <c r="F853" t="s">
        <v>148</v>
      </c>
      <c r="G853">
        <v>157984.74</v>
      </c>
      <c r="H853">
        <f>IF(PNL!A853="","",_CALC_PNL!P853)</f>
        <v>157984.74</v>
      </c>
      <c r="I853">
        <f>IF(PNL!A853="","",IF(_CALC_PNL!E853=1,H853-G853,""))</f>
        <v>0</v>
      </c>
    </row>
    <row r="854" ht="14.25" customHeight="1">
      <c r="A854" t="s">
        <v>97</v>
      </c>
      <c r="B854" t="s">
        <v>223</v>
      </c>
      <c r="C854" t="s">
        <v>189</v>
      </c>
      <c r="D854" t="s">
        <v>7</v>
      </c>
      <c r="E854" t="s">
        <v>147</v>
      </c>
      <c r="F854" t="s">
        <v>148</v>
      </c>
      <c r="G854">
        <v>105323.16</v>
      </c>
      <c r="H854">
        <f>IF(PNL!A854="","",_CALC_PNL!P854)</f>
        <v>105323.16</v>
      </c>
      <c r="I854">
        <f>IF(PNL!A854="","",IF(_CALC_PNL!E854=1,H854-G854,""))</f>
        <v>0</v>
      </c>
    </row>
    <row r="855" ht="14.25" customHeight="1">
      <c r="A855" t="s">
        <v>99</v>
      </c>
      <c r="B855" t="s">
        <v>223</v>
      </c>
      <c r="C855" t="s">
        <v>189</v>
      </c>
      <c r="D855" t="s">
        <v>7</v>
      </c>
      <c r="E855" t="s">
        <v>147</v>
      </c>
      <c r="F855" t="s">
        <v>148</v>
      </c>
      <c r="G855">
        <v>105323.16</v>
      </c>
      <c r="H855">
        <f>IF(PNL!A855="","",_CALC_PNL!P855)</f>
        <v>105323.16</v>
      </c>
      <c r="I855">
        <f>IF(PNL!A855="","",IF(_CALC_PNL!E855=1,H855-G855,""))</f>
        <v>0</v>
      </c>
    </row>
    <row r="856" ht="14.25" customHeight="1">
      <c r="A856" t="s">
        <v>101</v>
      </c>
      <c r="B856" t="s">
        <v>223</v>
      </c>
      <c r="C856" t="s">
        <v>189</v>
      </c>
      <c r="D856" t="s">
        <v>7</v>
      </c>
      <c r="E856" t="s">
        <v>147</v>
      </c>
      <c r="F856" t="s">
        <v>148</v>
      </c>
      <c r="G856">
        <v>136920.72</v>
      </c>
      <c r="H856">
        <f>IF(PNL!A856="","",_CALC_PNL!P856)</f>
        <v>136920.72</v>
      </c>
      <c r="I856">
        <f>IF(PNL!A856="","",IF(_CALC_PNL!E856=1,H856-G856,""))</f>
        <v>0</v>
      </c>
    </row>
    <row r="857" ht="14.25" customHeight="1">
      <c r="A857" t="s">
        <v>103</v>
      </c>
      <c r="B857" t="s">
        <v>223</v>
      </c>
      <c r="C857" t="s">
        <v>189</v>
      </c>
      <c r="D857" t="s">
        <v>7</v>
      </c>
      <c r="E857" t="s">
        <v>147</v>
      </c>
      <c r="F857" t="s">
        <v>148</v>
      </c>
      <c r="G857">
        <v>126388.2</v>
      </c>
      <c r="H857">
        <f>IF(PNL!A857="","",_CALC_PNL!P857)</f>
        <v>126388.2</v>
      </c>
      <c r="I857">
        <f>IF(PNL!A857="","",IF(_CALC_PNL!E857=1,H857-G857,""))</f>
        <v>0</v>
      </c>
    </row>
    <row r="858" ht="14.25" customHeight="1">
      <c r="A858" t="s">
        <v>104</v>
      </c>
      <c r="B858" t="s">
        <v>223</v>
      </c>
      <c r="C858" t="s">
        <v>189</v>
      </c>
      <c r="D858" t="s">
        <v>7</v>
      </c>
      <c r="E858" t="s">
        <v>147</v>
      </c>
      <c r="F858" t="s">
        <v>148</v>
      </c>
      <c r="G858">
        <v>157984.74</v>
      </c>
      <c r="H858">
        <f>IF(PNL!A858="","",_CALC_PNL!P858)</f>
        <v>157984.74</v>
      </c>
      <c r="I858">
        <f>IF(PNL!A858="","",IF(_CALC_PNL!E858=1,H858-G858,""))</f>
        <v>0</v>
      </c>
    </row>
    <row r="859" ht="14.25" customHeight="1">
      <c r="A859" t="s">
        <v>105</v>
      </c>
      <c r="B859" t="s">
        <v>223</v>
      </c>
      <c r="C859" t="s">
        <v>189</v>
      </c>
      <c r="D859" t="s">
        <v>7</v>
      </c>
      <c r="E859" t="s">
        <v>147</v>
      </c>
      <c r="F859" t="s">
        <v>148</v>
      </c>
      <c r="G859">
        <v>84259.14</v>
      </c>
      <c r="H859">
        <f>IF(PNL!A859="","",_CALC_PNL!P859)</f>
        <v>84259.14</v>
      </c>
      <c r="I859">
        <f>IF(PNL!A859="","",IF(_CALC_PNL!E859=1,H859-G859,""))</f>
        <v>0</v>
      </c>
    </row>
    <row r="860" ht="14.25" customHeight="1">
      <c r="A860" t="s">
        <v>106</v>
      </c>
      <c r="B860" t="s">
        <v>223</v>
      </c>
      <c r="C860" t="s">
        <v>189</v>
      </c>
      <c r="D860" t="s">
        <v>7</v>
      </c>
      <c r="E860" t="s">
        <v>147</v>
      </c>
      <c r="F860" t="s">
        <v>148</v>
      </c>
      <c r="G860">
        <v>84259.14</v>
      </c>
      <c r="H860">
        <f>IF(PNL!A860="","",_CALC_PNL!P860)</f>
        <v>84259.14</v>
      </c>
      <c r="I860">
        <f>IF(PNL!A860="","",IF(_CALC_PNL!E860=1,H860-G860,""))</f>
        <v>0</v>
      </c>
    </row>
    <row r="861" ht="14.25" customHeight="1">
      <c r="A861" t="s">
        <v>107</v>
      </c>
      <c r="B861" t="s">
        <v>223</v>
      </c>
      <c r="C861" t="s">
        <v>189</v>
      </c>
      <c r="D861" t="s">
        <v>7</v>
      </c>
      <c r="E861" t="s">
        <v>147</v>
      </c>
      <c r="F861" t="s">
        <v>148</v>
      </c>
      <c r="G861">
        <v>63194.1</v>
      </c>
      <c r="H861">
        <f>IF(PNL!A861="","",_CALC_PNL!P861)</f>
        <v>63194.1</v>
      </c>
      <c r="I861">
        <f>IF(PNL!A861="","",IF(_CALC_PNL!E861=1,H861-G861,""))</f>
        <v>0</v>
      </c>
    </row>
    <row r="862" ht="14.25" customHeight="1">
      <c r="A862" t="s">
        <v>108</v>
      </c>
      <c r="B862" t="s">
        <v>223</v>
      </c>
      <c r="C862" t="s">
        <v>189</v>
      </c>
      <c r="D862" t="s">
        <v>7</v>
      </c>
      <c r="E862" t="s">
        <v>147</v>
      </c>
      <c r="F862" t="s">
        <v>148</v>
      </c>
      <c r="G862">
        <v>63194.1</v>
      </c>
      <c r="H862">
        <f>IF(PNL!A862="","",_CALC_PNL!P862)</f>
        <v>63194.1</v>
      </c>
      <c r="I862">
        <f>IF(PNL!A862="","",IF(_CALC_PNL!E862=1,H862-G862,""))</f>
        <v>0</v>
      </c>
    </row>
    <row r="863" ht="14.25" customHeight="1">
      <c r="A863" t="s">
        <v>93</v>
      </c>
      <c r="B863" t="s">
        <v>201</v>
      </c>
      <c r="C863" t="s">
        <v>189</v>
      </c>
      <c r="D863" t="s">
        <v>7</v>
      </c>
      <c r="E863" t="s">
        <v>147</v>
      </c>
      <c r="F863" t="s">
        <v>148</v>
      </c>
      <c r="G863">
        <v>385521.0975</v>
      </c>
      <c r="H863">
        <f>IF(PNL!A863="","",_CALC_PNL!P863)</f>
        <v>385521.314153039</v>
      </c>
      <c r="I863">
        <f>IF(PNL!A863="","",IF(_CALC_PNL!E863=1,H863-G863,""))</f>
        <v>0.216653039038647</v>
      </c>
    </row>
    <row r="864" ht="14.25" customHeight="1">
      <c r="A864" t="s">
        <v>95</v>
      </c>
      <c r="B864" t="s">
        <v>201</v>
      </c>
      <c r="C864" t="s">
        <v>189</v>
      </c>
      <c r="D864" t="s">
        <v>7</v>
      </c>
      <c r="E864" t="s">
        <v>147</v>
      </c>
      <c r="F864" t="s">
        <v>148</v>
      </c>
      <c r="G864">
        <v>634457.5776</v>
      </c>
      <c r="H864">
        <f>IF(PNL!A864="","",_CALC_PNL!P864)</f>
        <v>634457.934149002</v>
      </c>
      <c r="I864">
        <f>IF(PNL!A864="","",IF(_CALC_PNL!E864=1,H864-G864,""))</f>
        <v>0.356549001997337</v>
      </c>
    </row>
    <row r="865" ht="14.25" customHeight="1">
      <c r="A865" t="s">
        <v>97</v>
      </c>
      <c r="B865" t="s">
        <v>201</v>
      </c>
      <c r="C865" t="s">
        <v>189</v>
      </c>
      <c r="D865" t="s">
        <v>7</v>
      </c>
      <c r="E865" t="s">
        <v>147</v>
      </c>
      <c r="F865" t="s">
        <v>148</v>
      </c>
      <c r="G865">
        <v>354994.1208</v>
      </c>
      <c r="H865">
        <f>IF(PNL!A865="","",_CALC_PNL!P865)</f>
        <v>354994.320297656</v>
      </c>
      <c r="I865">
        <f>IF(PNL!A865="","",IF(_CALC_PNL!E865=1,H865-G865,""))</f>
        <v>0.199497656023595</v>
      </c>
    </row>
    <row r="866" ht="14.25" customHeight="1">
      <c r="A866" t="s">
        <v>99</v>
      </c>
      <c r="B866" t="s">
        <v>201</v>
      </c>
      <c r="C866" t="s">
        <v>189</v>
      </c>
      <c r="D866" t="s">
        <v>7</v>
      </c>
      <c r="E866" t="s">
        <v>147</v>
      </c>
      <c r="F866" t="s">
        <v>148</v>
      </c>
      <c r="G866">
        <v>389218.952925</v>
      </c>
      <c r="H866">
        <f>IF(PNL!A866="","",_CALC_PNL!P866)</f>
        <v>389219.17165614</v>
      </c>
      <c r="I866">
        <f>IF(PNL!A866="","",IF(_CALC_PNL!E866=1,H866-G866,""))</f>
        <v>0.218731140019372</v>
      </c>
    </row>
    <row r="867" ht="14.25" customHeight="1">
      <c r="A867" t="s">
        <v>101</v>
      </c>
      <c r="B867" t="s">
        <v>201</v>
      </c>
      <c r="C867" t="s">
        <v>189</v>
      </c>
      <c r="D867" t="s">
        <v>7</v>
      </c>
      <c r="E867" t="s">
        <v>147</v>
      </c>
      <c r="F867" t="s">
        <v>148</v>
      </c>
      <c r="G867">
        <v>545236.98075</v>
      </c>
      <c r="H867">
        <f>IF(PNL!A867="","",_CALC_PNL!P867)</f>
        <v>545237.287159299</v>
      </c>
      <c r="I867">
        <f>IF(PNL!A867="","",IF(_CALC_PNL!E867=1,H867-G867,""))</f>
        <v>0.306409299024381</v>
      </c>
    </row>
    <row r="868" ht="14.25" customHeight="1">
      <c r="A868" t="s">
        <v>103</v>
      </c>
      <c r="B868" t="s">
        <v>201</v>
      </c>
      <c r="C868" t="s">
        <v>189</v>
      </c>
      <c r="D868" t="s">
        <v>7</v>
      </c>
      <c r="E868" t="s">
        <v>147</v>
      </c>
      <c r="F868" t="s">
        <v>148</v>
      </c>
      <c r="G868">
        <v>472066.65</v>
      </c>
      <c r="H868">
        <f>IF(PNL!A868="","",_CALC_PNL!P868)</f>
        <v>472066.915289436</v>
      </c>
      <c r="I868">
        <f>IF(PNL!A868="","",IF(_CALC_PNL!E868=1,H868-G868,""))</f>
        <v>0.265289435978048</v>
      </c>
    </row>
    <row r="869" ht="14.25" customHeight="1">
      <c r="A869" t="s">
        <v>104</v>
      </c>
      <c r="B869" t="s">
        <v>201</v>
      </c>
      <c r="C869" t="s">
        <v>189</v>
      </c>
      <c r="D869" t="s">
        <v>7</v>
      </c>
      <c r="E869" t="s">
        <v>147</v>
      </c>
      <c r="F869" t="s">
        <v>148</v>
      </c>
      <c r="G869">
        <v>687329.0424</v>
      </c>
      <c r="H869">
        <f>IF(PNL!A869="","",_CALC_PNL!P869)</f>
        <v>687329.428661419</v>
      </c>
      <c r="I869">
        <f>IF(PNL!A869="","",IF(_CALC_PNL!E869=1,H869-G869,""))</f>
        <v>0.386261418927461</v>
      </c>
    </row>
    <row r="870" ht="14.25" customHeight="1">
      <c r="A870" t="s">
        <v>86</v>
      </c>
      <c r="B870" t="s">
        <v>200</v>
      </c>
      <c r="C870" t="s">
        <v>189</v>
      </c>
      <c r="D870" t="s">
        <v>7</v>
      </c>
      <c r="E870" t="s">
        <v>147</v>
      </c>
      <c r="F870" t="s">
        <v>148</v>
      </c>
      <c r="G870">
        <v>816203.23785</v>
      </c>
      <c r="H870">
        <f>IF(PNL!A870="","",_CALC_PNL!P870)</f>
        <v>816203.696535435</v>
      </c>
      <c r="I870">
        <f>IF(PNL!A870="","",IF(_CALC_PNL!E870=1,H870-G870,""))</f>
        <v>0.458685435005464</v>
      </c>
    </row>
    <row r="871" ht="14.25" customHeight="1">
      <c r="A871" t="s">
        <v>89</v>
      </c>
      <c r="B871" t="s">
        <v>200</v>
      </c>
      <c r="C871" t="s">
        <v>189</v>
      </c>
      <c r="D871" t="s">
        <v>7</v>
      </c>
      <c r="E871" t="s">
        <v>147</v>
      </c>
      <c r="F871" t="s">
        <v>148</v>
      </c>
      <c r="G871">
        <v>1064772.555</v>
      </c>
      <c r="H871">
        <f>IF(PNL!A871="","",_CALC_PNL!P871)</f>
        <v>1064773.15337506</v>
      </c>
      <c r="I871">
        <f>IF(PNL!A871="","",IF(_CALC_PNL!E871=1,H871-G871,""))</f>
        <v>0.598375060129911</v>
      </c>
    </row>
    <row r="872" ht="14.25" customHeight="1">
      <c r="A872" t="s">
        <v>91</v>
      </c>
      <c r="B872" t="s">
        <v>200</v>
      </c>
      <c r="C872" t="s">
        <v>189</v>
      </c>
      <c r="D872" t="s">
        <v>7</v>
      </c>
      <c r="E872" t="s">
        <v>147</v>
      </c>
      <c r="F872" t="s">
        <v>148</v>
      </c>
      <c r="G872">
        <v>816203.23785</v>
      </c>
      <c r="H872">
        <f>IF(PNL!A872="","",_CALC_PNL!P872)</f>
        <v>816203.696535435</v>
      </c>
      <c r="I872">
        <f>IF(PNL!A872="","",IF(_CALC_PNL!E872=1,H872-G872,""))</f>
        <v>0.458685435005464</v>
      </c>
    </row>
    <row r="873" ht="14.25" customHeight="1">
      <c r="A873" t="s">
        <v>93</v>
      </c>
      <c r="B873" t="s">
        <v>200</v>
      </c>
      <c r="C873" t="s">
        <v>189</v>
      </c>
      <c r="D873" t="s">
        <v>7</v>
      </c>
      <c r="E873" t="s">
        <v>147</v>
      </c>
      <c r="F873" t="s">
        <v>148</v>
      </c>
      <c r="G873">
        <v>1446989.18595</v>
      </c>
      <c r="H873">
        <f>IF(PNL!A873="","",_CALC_PNL!P873)</f>
        <v>1446989.99912107</v>
      </c>
      <c r="I873">
        <f>IF(PNL!A873="","",IF(_CALC_PNL!E873=1,H873-G873,""))</f>
        <v>0.813171069836244</v>
      </c>
    </row>
    <row r="874" ht="14.25" customHeight="1">
      <c r="A874" t="s">
        <v>95</v>
      </c>
      <c r="B874" t="s">
        <v>200</v>
      </c>
      <c r="C874" t="s">
        <v>189</v>
      </c>
      <c r="D874" t="s">
        <v>7</v>
      </c>
      <c r="E874" t="s">
        <v>147</v>
      </c>
      <c r="F874" t="s">
        <v>148</v>
      </c>
      <c r="G874">
        <v>2403301.80552</v>
      </c>
      <c r="H874">
        <f>IF(PNL!A874="","",_CALC_PNL!P874)</f>
        <v>2403303.15611441</v>
      </c>
      <c r="I874">
        <f>IF(PNL!A874="","",IF(_CALC_PNL!E874=1,H874-G874,""))</f>
        <v>1.35059441020712</v>
      </c>
    </row>
    <row r="875" ht="14.25" customHeight="1">
      <c r="A875" t="s">
        <v>97</v>
      </c>
      <c r="B875" t="s">
        <v>200</v>
      </c>
      <c r="C875" t="s">
        <v>189</v>
      </c>
      <c r="D875" t="s">
        <v>7</v>
      </c>
      <c r="E875" t="s">
        <v>147</v>
      </c>
      <c r="F875" t="s">
        <v>148</v>
      </c>
      <c r="G875">
        <v>1343942.28144</v>
      </c>
      <c r="H875">
        <f>IF(PNL!A875="","",_CALC_PNL!P875)</f>
        <v>1343943.03670134</v>
      </c>
      <c r="I875">
        <f>IF(PNL!A875="","",IF(_CALC_PNL!E875=1,H875-G875,""))</f>
        <v>0.755261339945719</v>
      </c>
    </row>
    <row r="876" ht="14.25" customHeight="1">
      <c r="A876" t="s">
        <v>99</v>
      </c>
      <c r="B876" t="s">
        <v>200</v>
      </c>
      <c r="C876" t="s">
        <v>189</v>
      </c>
      <c r="D876" t="s">
        <v>7</v>
      </c>
      <c r="E876" t="s">
        <v>147</v>
      </c>
      <c r="F876" t="s">
        <v>148</v>
      </c>
      <c r="G876">
        <v>1461733.400985</v>
      </c>
      <c r="H876">
        <f>IF(PNL!A876="","",_CALC_PNL!P876)</f>
        <v>1461734.22244195</v>
      </c>
      <c r="I876">
        <f>IF(PNL!A876="","",IF(_CALC_PNL!E876=1,H876-G876,""))</f>
        <v>0.821456950157881</v>
      </c>
    </row>
    <row r="877" ht="14.25" customHeight="1">
      <c r="A877" t="s">
        <v>101</v>
      </c>
      <c r="B877" t="s">
        <v>200</v>
      </c>
      <c r="C877" t="s">
        <v>189</v>
      </c>
      <c r="D877" t="s">
        <v>7</v>
      </c>
      <c r="E877" t="s">
        <v>147</v>
      </c>
      <c r="F877" t="s">
        <v>148</v>
      </c>
      <c r="G877">
        <v>2061436.382775</v>
      </c>
      <c r="H877">
        <f>IF(PNL!A877="","",_CALC_PNL!P877)</f>
        <v>2061437.54124975</v>
      </c>
      <c r="I877">
        <f>IF(PNL!A877="","",IF(_CALC_PNL!E877=1,H877-G877,""))</f>
        <v>1.1584747498855</v>
      </c>
    </row>
    <row r="878" ht="14.25" customHeight="1">
      <c r="A878" t="s">
        <v>103</v>
      </c>
      <c r="B878" t="s">
        <v>200</v>
      </c>
      <c r="C878" t="s">
        <v>189</v>
      </c>
      <c r="D878" t="s">
        <v>7</v>
      </c>
      <c r="E878" t="s">
        <v>147</v>
      </c>
      <c r="F878" t="s">
        <v>148</v>
      </c>
      <c r="G878">
        <v>1780740.3075</v>
      </c>
      <c r="H878">
        <f>IF(PNL!A878="","",_CALC_PNL!P878)</f>
        <v>1780741.30823071</v>
      </c>
      <c r="I878">
        <f>IF(PNL!A878="","",IF(_CALC_PNL!E878=1,H878-G878,""))</f>
        <v>1.00073070987128</v>
      </c>
    </row>
    <row r="879" ht="14.25" customHeight="1">
      <c r="A879" t="s">
        <v>104</v>
      </c>
      <c r="B879" t="s">
        <v>200</v>
      </c>
      <c r="C879" t="s">
        <v>189</v>
      </c>
      <c r="D879" t="s">
        <v>7</v>
      </c>
      <c r="E879" t="s">
        <v>147</v>
      </c>
      <c r="F879" t="s">
        <v>148</v>
      </c>
      <c r="G879">
        <v>2590701.7752</v>
      </c>
      <c r="H879">
        <f>IF(PNL!A879="","",_CALC_PNL!P879)</f>
        <v>2590703.23110842</v>
      </c>
      <c r="I879">
        <f>IF(PNL!A879="","",IF(_CALC_PNL!E879=1,H879-G879,""))</f>
        <v>1.45590842003003</v>
      </c>
    </row>
    <row r="880" ht="14.25" customHeight="1">
      <c r="A880" t="s">
        <v>105</v>
      </c>
      <c r="B880" t="s">
        <v>200</v>
      </c>
      <c r="C880" t="s">
        <v>189</v>
      </c>
      <c r="D880" t="s">
        <v>7</v>
      </c>
      <c r="E880" t="s">
        <v>147</v>
      </c>
      <c r="F880" t="s">
        <v>148</v>
      </c>
      <c r="G880">
        <v>1181393.99829</v>
      </c>
      <c r="H880">
        <f>IF(PNL!A880="","",_CALC_PNL!P880)</f>
        <v>1181394.66220334</v>
      </c>
      <c r="I880">
        <f>IF(PNL!A880="","",IF(_CALC_PNL!E880=1,H880-G880,""))</f>
        <v>0.663913340074942</v>
      </c>
    </row>
    <row r="881" ht="14.25" customHeight="1">
      <c r="A881" t="s">
        <v>106</v>
      </c>
      <c r="B881" t="s">
        <v>200</v>
      </c>
      <c r="C881" t="s">
        <v>189</v>
      </c>
      <c r="D881" t="s">
        <v>7</v>
      </c>
      <c r="E881" t="s">
        <v>147</v>
      </c>
      <c r="F881" t="s">
        <v>148</v>
      </c>
      <c r="G881">
        <v>1642319.87535</v>
      </c>
      <c r="H881">
        <f>IF(PNL!A881="","",_CALC_PNL!P881)</f>
        <v>1642320.79829195</v>
      </c>
      <c r="I881">
        <f>IF(PNL!A881="","",IF(_CALC_PNL!E881=1,H881-G881,""))</f>
        <v>0.922941949917004</v>
      </c>
    </row>
    <row r="882" ht="14.25" customHeight="1">
      <c r="A882" t="s">
        <v>107</v>
      </c>
      <c r="B882" t="s">
        <v>200</v>
      </c>
      <c r="C882" t="s">
        <v>189</v>
      </c>
      <c r="D882" t="s">
        <v>7</v>
      </c>
      <c r="E882" t="s">
        <v>147</v>
      </c>
      <c r="F882" t="s">
        <v>148</v>
      </c>
      <c r="G882">
        <v>902119.36815</v>
      </c>
      <c r="H882">
        <f>IF(PNL!A882="","",_CALC_PNL!P882)</f>
        <v>902119.875118112</v>
      </c>
      <c r="I882">
        <f>IF(PNL!A882="","",IF(_CALC_PNL!E882=1,H882-G882,""))</f>
        <v>0.506968111963943</v>
      </c>
    </row>
    <row r="883" ht="14.25" customHeight="1">
      <c r="A883" t="s">
        <v>108</v>
      </c>
      <c r="B883" t="s">
        <v>200</v>
      </c>
      <c r="C883" t="s">
        <v>189</v>
      </c>
      <c r="D883" t="s">
        <v>7</v>
      </c>
      <c r="E883" t="s">
        <v>147</v>
      </c>
      <c r="F883" t="s">
        <v>148</v>
      </c>
      <c r="G883">
        <v>1134974.11104</v>
      </c>
      <c r="H883">
        <f>IF(PNL!A883="","",_CALC_PNL!P883)</f>
        <v>1134974.74886655</v>
      </c>
      <c r="I883">
        <f>IF(PNL!A883="","",IF(_CALC_PNL!E883=1,H883-G883,""))</f>
        <v>0.637826549820602</v>
      </c>
    </row>
    <row r="884" ht="14.25" customHeight="1">
      <c r="A884" t="s">
        <v>86</v>
      </c>
      <c r="B884" t="s">
        <v>202</v>
      </c>
      <c r="C884" t="s">
        <v>189</v>
      </c>
      <c r="D884" t="s">
        <v>7</v>
      </c>
      <c r="E884" t="s">
        <v>147</v>
      </c>
      <c r="F884" t="s">
        <v>148</v>
      </c>
      <c r="G884">
        <v>3776.5332</v>
      </c>
      <c r="H884">
        <f>IF(PNL!A884="","",_CALC_PNL!P884)</f>
        <v>3776.53532231549</v>
      </c>
      <c r="I884">
        <f>IF(PNL!A884="","",IF(_CALC_PNL!E884=1,H884-G884,""))</f>
        <v>0.00212231548994168</v>
      </c>
    </row>
    <row r="885" ht="14.25" customHeight="1">
      <c r="A885" t="s">
        <v>89</v>
      </c>
      <c r="B885" t="s">
        <v>202</v>
      </c>
      <c r="C885" t="s">
        <v>189</v>
      </c>
      <c r="D885" t="s">
        <v>7</v>
      </c>
      <c r="E885" t="s">
        <v>147</v>
      </c>
      <c r="F885" t="s">
        <v>148</v>
      </c>
      <c r="G885">
        <v>4720.6665</v>
      </c>
      <c r="H885">
        <f>IF(PNL!A885="","",_CALC_PNL!P885)</f>
        <v>4720.66915289436</v>
      </c>
      <c r="I885">
        <f>IF(PNL!A885="","",IF(_CALC_PNL!E885=1,H885-G885,""))</f>
        <v>0.00265289435992599</v>
      </c>
    </row>
    <row r="886" ht="14.25" customHeight="1">
      <c r="A886" t="s">
        <v>91</v>
      </c>
      <c r="B886" t="s">
        <v>202</v>
      </c>
      <c r="C886" t="s">
        <v>189</v>
      </c>
      <c r="D886" t="s">
        <v>7</v>
      </c>
      <c r="E886" t="s">
        <v>147</v>
      </c>
      <c r="F886" t="s">
        <v>148</v>
      </c>
      <c r="G886">
        <v>3776.5332</v>
      </c>
      <c r="H886">
        <f>IF(PNL!A886="","",_CALC_PNL!P886)</f>
        <v>3776.53532231549</v>
      </c>
      <c r="I886">
        <f>IF(PNL!A886="","",IF(_CALC_PNL!E886=1,H886-G886,""))</f>
        <v>0.00212231548994168</v>
      </c>
    </row>
    <row r="887" ht="14.25" customHeight="1">
      <c r="A887" t="s">
        <v>93</v>
      </c>
      <c r="B887" t="s">
        <v>202</v>
      </c>
      <c r="C887" t="s">
        <v>189</v>
      </c>
      <c r="D887" t="s">
        <v>7</v>
      </c>
      <c r="E887" t="s">
        <v>147</v>
      </c>
      <c r="F887" t="s">
        <v>148</v>
      </c>
      <c r="G887">
        <v>9441.333</v>
      </c>
      <c r="H887">
        <f>IF(PNL!A887="","",_CALC_PNL!P887)</f>
        <v>9441.33830578872</v>
      </c>
      <c r="I887">
        <f>IF(PNL!A887="","",IF(_CALC_PNL!E887=1,H887-G887,""))</f>
        <v>0.00530578871985199</v>
      </c>
    </row>
    <row r="888" ht="14.25" customHeight="1">
      <c r="A888" t="s">
        <v>95</v>
      </c>
      <c r="B888" t="s">
        <v>202</v>
      </c>
      <c r="C888" t="s">
        <v>189</v>
      </c>
      <c r="D888" t="s">
        <v>7</v>
      </c>
      <c r="E888" t="s">
        <v>147</v>
      </c>
      <c r="F888" t="s">
        <v>148</v>
      </c>
      <c r="G888">
        <v>13595.51952</v>
      </c>
      <c r="H888">
        <f>IF(PNL!A888="","",_CALC_PNL!P888)</f>
        <v>13595.5271603358</v>
      </c>
      <c r="I888">
        <f>IF(PNL!A888="","",IF(_CALC_PNL!E888=1,H888-G888,""))</f>
        <v>0.00764033579980605</v>
      </c>
    </row>
    <row r="889" ht="14.25" customHeight="1">
      <c r="A889" t="s">
        <v>97</v>
      </c>
      <c r="B889" t="s">
        <v>202</v>
      </c>
      <c r="C889" t="s">
        <v>189</v>
      </c>
      <c r="D889" t="s">
        <v>7</v>
      </c>
      <c r="E889" t="s">
        <v>147</v>
      </c>
      <c r="F889" t="s">
        <v>148</v>
      </c>
      <c r="G889">
        <v>8874.85302</v>
      </c>
      <c r="H889">
        <f>IF(PNL!A889="","",_CALC_PNL!P889)</f>
        <v>8874.8580074414</v>
      </c>
      <c r="I889">
        <f>IF(PNL!A889="","",IF(_CALC_PNL!E889=1,H889-G889,""))</f>
        <v>0.00498744139986229</v>
      </c>
    </row>
    <row r="890" ht="14.25" customHeight="1">
      <c r="A890" t="s">
        <v>99</v>
      </c>
      <c r="B890" t="s">
        <v>202</v>
      </c>
      <c r="C890" t="s">
        <v>189</v>
      </c>
      <c r="D890" t="s">
        <v>7</v>
      </c>
      <c r="E890" t="s">
        <v>147</v>
      </c>
      <c r="F890" t="s">
        <v>148</v>
      </c>
      <c r="G890">
        <v>9630.15966</v>
      </c>
      <c r="H890">
        <f>IF(PNL!A890="","",_CALC_PNL!P890)</f>
        <v>9630.1650719045</v>
      </c>
      <c r="I890">
        <f>IF(PNL!A890="","",IF(_CALC_PNL!E890=1,H890-G890,""))</f>
        <v>0.00541190449985152</v>
      </c>
    </row>
    <row r="891" ht="14.25" customHeight="1">
      <c r="A891" t="s">
        <v>101</v>
      </c>
      <c r="B891" t="s">
        <v>202</v>
      </c>
      <c r="C891" t="s">
        <v>189</v>
      </c>
      <c r="D891" t="s">
        <v>7</v>
      </c>
      <c r="E891" t="s">
        <v>147</v>
      </c>
      <c r="F891" t="s">
        <v>148</v>
      </c>
      <c r="G891">
        <v>12462.55956</v>
      </c>
      <c r="H891">
        <f>IF(PNL!A891="","",_CALC_PNL!P891)</f>
        <v>12462.5665636411</v>
      </c>
      <c r="I891">
        <f>IF(PNL!A891="","",IF(_CALC_PNL!E891=1,H891-G891,""))</f>
        <v>0.00700364109980001</v>
      </c>
    </row>
    <row r="892" ht="14.25" customHeight="1">
      <c r="A892" t="s">
        <v>103</v>
      </c>
      <c r="B892" t="s">
        <v>202</v>
      </c>
      <c r="C892" t="s">
        <v>189</v>
      </c>
      <c r="D892" t="s">
        <v>7</v>
      </c>
      <c r="E892" t="s">
        <v>147</v>
      </c>
      <c r="F892" t="s">
        <v>148</v>
      </c>
      <c r="G892">
        <v>11329.5996</v>
      </c>
      <c r="H892">
        <f>IF(PNL!A892="","",_CALC_PNL!P892)</f>
        <v>11329.6059669465</v>
      </c>
      <c r="I892">
        <f>IF(PNL!A892="","",IF(_CALC_PNL!E892=1,H892-G892,""))</f>
        <v>0.00636694649983838</v>
      </c>
    </row>
    <row r="893" ht="14.25" customHeight="1">
      <c r="A893" t="s">
        <v>104</v>
      </c>
      <c r="B893" t="s">
        <v>202</v>
      </c>
      <c r="C893" t="s">
        <v>189</v>
      </c>
      <c r="D893" t="s">
        <v>7</v>
      </c>
      <c r="E893" t="s">
        <v>147</v>
      </c>
      <c r="F893" t="s">
        <v>148</v>
      </c>
      <c r="G893">
        <v>14728.47948</v>
      </c>
      <c r="H893">
        <f>IF(PNL!A893="","",_CALC_PNL!P893)</f>
        <v>14728.4877570304</v>
      </c>
      <c r="I893">
        <f>IF(PNL!A893="","",IF(_CALC_PNL!E893=1,H893-G893,""))</f>
        <v>0.00827703039976768</v>
      </c>
    </row>
    <row r="894" ht="14.25" customHeight="1">
      <c r="A894" t="s">
        <v>105</v>
      </c>
      <c r="B894" t="s">
        <v>202</v>
      </c>
      <c r="C894" t="s">
        <v>189</v>
      </c>
      <c r="D894" t="s">
        <v>7</v>
      </c>
      <c r="E894" t="s">
        <v>147</v>
      </c>
      <c r="F894" t="s">
        <v>148</v>
      </c>
      <c r="G894">
        <v>6797.75976</v>
      </c>
      <c r="H894">
        <f>IF(PNL!A894="","",_CALC_PNL!P894)</f>
        <v>6797.76358016788</v>
      </c>
      <c r="I894">
        <f>IF(PNL!A894="","",IF(_CALC_PNL!E894=1,H894-G894,""))</f>
        <v>0.00382016787989414</v>
      </c>
    </row>
    <row r="895" ht="14.25" customHeight="1">
      <c r="A895" t="s">
        <v>106</v>
      </c>
      <c r="B895" t="s">
        <v>202</v>
      </c>
      <c r="C895" t="s">
        <v>189</v>
      </c>
      <c r="D895" t="s">
        <v>7</v>
      </c>
      <c r="E895" t="s">
        <v>147</v>
      </c>
      <c r="F895" t="s">
        <v>148</v>
      </c>
      <c r="G895">
        <v>8686.02636</v>
      </c>
      <c r="H895">
        <f>IF(PNL!A895="","",_CALC_PNL!P895)</f>
        <v>8686.03124132562</v>
      </c>
      <c r="I895">
        <f>IF(PNL!A895="","",IF(_CALC_PNL!E895=1,H895-G895,""))</f>
        <v>0.00488132561986276</v>
      </c>
    </row>
    <row r="896" ht="14.25" customHeight="1">
      <c r="A896" t="s">
        <v>107</v>
      </c>
      <c r="B896" t="s">
        <v>202</v>
      </c>
      <c r="C896" t="s">
        <v>189</v>
      </c>
      <c r="D896" t="s">
        <v>7</v>
      </c>
      <c r="E896" t="s">
        <v>147</v>
      </c>
      <c r="F896" t="s">
        <v>148</v>
      </c>
      <c r="G896">
        <v>3776.5332</v>
      </c>
      <c r="H896">
        <f>IF(PNL!A896="","",_CALC_PNL!P896)</f>
        <v>3776.53532231549</v>
      </c>
      <c r="I896">
        <f>IF(PNL!A896="","",IF(_CALC_PNL!E896=1,H896-G896,""))</f>
        <v>0.00212231548994168</v>
      </c>
    </row>
    <row r="897" ht="14.25" customHeight="1">
      <c r="A897" t="s">
        <v>108</v>
      </c>
      <c r="B897" t="s">
        <v>202</v>
      </c>
      <c r="C897" t="s">
        <v>189</v>
      </c>
      <c r="D897" t="s">
        <v>7</v>
      </c>
      <c r="E897" t="s">
        <v>147</v>
      </c>
      <c r="F897" t="s">
        <v>148</v>
      </c>
      <c r="G897">
        <v>4437.42651</v>
      </c>
      <c r="H897">
        <f>IF(PNL!A897="","",_CALC_PNL!P897)</f>
        <v>4437.4290037207</v>
      </c>
      <c r="I897">
        <f>IF(PNL!A897="","",IF(_CALC_PNL!E897=1,H897-G897,""))</f>
        <v>0.00249372069993115</v>
      </c>
    </row>
    <row r="898" ht="14.25" customHeight="1">
      <c r="A898" t="s">
        <v>86</v>
      </c>
      <c r="B898" t="s">
        <v>204</v>
      </c>
      <c r="C898" t="s">
        <v>189</v>
      </c>
      <c r="D898" t="s">
        <v>193</v>
      </c>
      <c r="E898" t="s">
        <v>147</v>
      </c>
      <c r="F898" t="s">
        <v>148</v>
      </c>
      <c r="G898">
        <v>29412.556579</v>
      </c>
      <c r="H898">
        <f>IF(PNL!A898="","",_CALC_PNL!P898)</f>
        <v>29412.5699878957</v>
      </c>
      <c r="I898">
        <f>IF(PNL!A898="","",IF(_CALC_PNL!E898=1,H898-G898,""))</f>
        <v>0.013408895698376</v>
      </c>
    </row>
    <row r="899" ht="14.25" customHeight="1">
      <c r="A899" t="s">
        <v>89</v>
      </c>
      <c r="B899" t="s">
        <v>204</v>
      </c>
      <c r="C899" t="s">
        <v>189</v>
      </c>
      <c r="D899" t="s">
        <v>193</v>
      </c>
      <c r="E899" t="s">
        <v>147</v>
      </c>
      <c r="F899" t="s">
        <v>148</v>
      </c>
      <c r="G899">
        <v>36451.256903</v>
      </c>
      <c r="H899">
        <f>IF(PNL!A899="","",_CALC_PNL!P899)</f>
        <v>36451.2735212342</v>
      </c>
      <c r="I899">
        <f>IF(PNL!A899="","",IF(_CALC_PNL!E899=1,H899-G899,""))</f>
        <v>0.0166182341999956</v>
      </c>
    </row>
    <row r="900" ht="14.25" customHeight="1">
      <c r="A900" t="s">
        <v>91</v>
      </c>
      <c r="B900" t="s">
        <v>204</v>
      </c>
      <c r="C900" t="s">
        <v>189</v>
      </c>
      <c r="D900" t="s">
        <v>193</v>
      </c>
      <c r="E900" t="s">
        <v>147</v>
      </c>
      <c r="F900" t="s">
        <v>148</v>
      </c>
      <c r="G900">
        <v>29412.556579</v>
      </c>
      <c r="H900">
        <f>IF(PNL!A900="","",_CALC_PNL!P900)</f>
        <v>29412.5699878957</v>
      </c>
      <c r="I900">
        <f>IF(PNL!A900="","",IF(_CALC_PNL!E900=1,H900-G900,""))</f>
        <v>0.013408895698376</v>
      </c>
    </row>
    <row r="901" ht="14.25" customHeight="1">
      <c r="A901" t="s">
        <v>93</v>
      </c>
      <c r="B901" t="s">
        <v>204</v>
      </c>
      <c r="C901" t="s">
        <v>189</v>
      </c>
      <c r="D901" t="s">
        <v>193</v>
      </c>
      <c r="E901" t="s">
        <v>147</v>
      </c>
      <c r="F901" t="s">
        <v>148</v>
      </c>
      <c r="G901">
        <v>61339.497708</v>
      </c>
      <c r="H901">
        <f>IF(PNL!A901="","",_CALC_PNL!P901)</f>
        <v>61339.5256724711</v>
      </c>
      <c r="I901">
        <f>IF(PNL!A901="","",IF(_CALC_PNL!E901=1,H901-G901,""))</f>
        <v>0.0279644710972207</v>
      </c>
    </row>
    <row r="902" ht="14.25" customHeight="1">
      <c r="A902" t="s">
        <v>95</v>
      </c>
      <c r="B902" t="s">
        <v>204</v>
      </c>
      <c r="C902" t="s">
        <v>189</v>
      </c>
      <c r="D902" t="s">
        <v>193</v>
      </c>
      <c r="E902" t="s">
        <v>147</v>
      </c>
      <c r="F902" t="s">
        <v>148</v>
      </c>
      <c r="G902">
        <v>88992.097702</v>
      </c>
      <c r="H902">
        <f>IF(PNL!A902="","",_CALC_PNL!P902)</f>
        <v>88992.1382739313</v>
      </c>
      <c r="I902">
        <f>IF(PNL!A902="","",IF(_CALC_PNL!E902=1,H902-G902,""))</f>
        <v>0.0405719312984729</v>
      </c>
    </row>
    <row r="903" ht="14.25" customHeight="1">
      <c r="A903" t="s">
        <v>97</v>
      </c>
      <c r="B903" t="s">
        <v>204</v>
      </c>
      <c r="C903" t="s">
        <v>189</v>
      </c>
      <c r="D903" t="s">
        <v>193</v>
      </c>
      <c r="E903" t="s">
        <v>147</v>
      </c>
      <c r="F903" t="s">
        <v>148</v>
      </c>
      <c r="G903">
        <v>58070.685191</v>
      </c>
      <c r="H903">
        <f>IF(PNL!A903="","",_CALC_PNL!P903)</f>
        <v>58070.7116655471</v>
      </c>
      <c r="I903">
        <f>IF(PNL!A903="","",IF(_CALC_PNL!E903=1,H903-G903,""))</f>
        <v>0.0264745471067727</v>
      </c>
    </row>
    <row r="904" ht="14.25" customHeight="1">
      <c r="A904" t="s">
        <v>99</v>
      </c>
      <c r="B904" t="s">
        <v>204</v>
      </c>
      <c r="C904" t="s">
        <v>189</v>
      </c>
      <c r="D904" t="s">
        <v>193</v>
      </c>
      <c r="E904" t="s">
        <v>147</v>
      </c>
      <c r="F904" t="s">
        <v>148</v>
      </c>
      <c r="G904">
        <v>62596.126977</v>
      </c>
      <c r="H904">
        <f>IF(PNL!A904="","",_CALC_PNL!P904)</f>
        <v>62596.1555146093</v>
      </c>
      <c r="I904">
        <f>IF(PNL!A904="","",IF(_CALC_PNL!E904=1,H904-G904,""))</f>
        <v>0.0285376093015657</v>
      </c>
    </row>
    <row r="905" ht="14.25" customHeight="1">
      <c r="A905" t="s">
        <v>101</v>
      </c>
      <c r="B905" t="s">
        <v>204</v>
      </c>
      <c r="C905" t="s">
        <v>189</v>
      </c>
      <c r="D905" t="s">
        <v>193</v>
      </c>
      <c r="E905" t="s">
        <v>147</v>
      </c>
      <c r="F905" t="s">
        <v>148</v>
      </c>
      <c r="G905">
        <v>81450.070063</v>
      </c>
      <c r="H905">
        <f>IF(PNL!A905="","",_CALC_PNL!P905)</f>
        <v>81450.1071962955</v>
      </c>
      <c r="I905">
        <f>IF(PNL!A905="","",IF(_CALC_PNL!E905=1,H905-G905,""))</f>
        <v>0.0371332954964601</v>
      </c>
    </row>
    <row r="906" ht="14.25" customHeight="1">
      <c r="A906" t="s">
        <v>103</v>
      </c>
      <c r="B906" t="s">
        <v>204</v>
      </c>
      <c r="C906" t="s">
        <v>189</v>
      </c>
      <c r="D906" t="s">
        <v>193</v>
      </c>
      <c r="E906" t="s">
        <v>147</v>
      </c>
      <c r="F906" t="s">
        <v>148</v>
      </c>
      <c r="G906">
        <v>73909.168436</v>
      </c>
      <c r="H906">
        <f>IF(PNL!A906="","",_CALC_PNL!P906)</f>
        <v>73909.202131063</v>
      </c>
      <c r="I906">
        <f>IF(PNL!A906="","",IF(_CALC_PNL!E906=1,H906-G906,""))</f>
        <v>0.0336950629862258</v>
      </c>
    </row>
    <row r="907" ht="14.25" customHeight="1">
      <c r="A907" t="s">
        <v>104</v>
      </c>
      <c r="B907" t="s">
        <v>204</v>
      </c>
      <c r="C907" t="s">
        <v>189</v>
      </c>
      <c r="D907" t="s">
        <v>193</v>
      </c>
      <c r="E907" t="s">
        <v>147</v>
      </c>
      <c r="F907" t="s">
        <v>148</v>
      </c>
      <c r="G907">
        <v>96030.798027</v>
      </c>
      <c r="H907">
        <f>IF(PNL!A907="","",_CALC_PNL!P907)</f>
        <v>96030.8418072698</v>
      </c>
      <c r="I907">
        <f>IF(PNL!A907="","",IF(_CALC_PNL!E907=1,H907-G907,""))</f>
        <v>0.043780269799754</v>
      </c>
    </row>
    <row r="908" ht="14.25" customHeight="1">
      <c r="A908" t="s">
        <v>105</v>
      </c>
      <c r="B908" t="s">
        <v>204</v>
      </c>
      <c r="C908" t="s">
        <v>189</v>
      </c>
      <c r="D908" t="s">
        <v>193</v>
      </c>
      <c r="E908" t="s">
        <v>147</v>
      </c>
      <c r="F908" t="s">
        <v>148</v>
      </c>
      <c r="G908">
        <v>35697.954949</v>
      </c>
      <c r="H908">
        <f>IF(PNL!A908="","",_CALC_PNL!P908)</f>
        <v>35697.9712233933</v>
      </c>
      <c r="I908">
        <f>IF(PNL!A908="","",IF(_CALC_PNL!E908=1,H908-G908,""))</f>
        <v>0.0162743933033198</v>
      </c>
    </row>
    <row r="909" ht="14.25" customHeight="1">
      <c r="A909" t="s">
        <v>106</v>
      </c>
      <c r="B909" t="s">
        <v>204</v>
      </c>
      <c r="C909" t="s">
        <v>189</v>
      </c>
      <c r="D909" t="s">
        <v>193</v>
      </c>
      <c r="E909" t="s">
        <v>147</v>
      </c>
      <c r="F909" t="s">
        <v>148</v>
      </c>
      <c r="G909">
        <v>45753.241126</v>
      </c>
      <c r="H909">
        <f>IF(PNL!A909="","",_CALC_PNL!P909)</f>
        <v>45753.2619853055</v>
      </c>
      <c r="I909">
        <f>IF(PNL!A909="","",IF(_CALC_PNL!E909=1,H909-G909,""))</f>
        <v>0.0208593054994708</v>
      </c>
    </row>
    <row r="910" ht="14.25" customHeight="1">
      <c r="A910" t="s">
        <v>107</v>
      </c>
      <c r="B910" t="s">
        <v>204</v>
      </c>
      <c r="C910" t="s">
        <v>189</v>
      </c>
      <c r="D910" t="s">
        <v>193</v>
      </c>
      <c r="E910" t="s">
        <v>147</v>
      </c>
      <c r="F910" t="s">
        <v>148</v>
      </c>
      <c r="G910">
        <v>29412.556579</v>
      </c>
      <c r="H910">
        <f>IF(PNL!A910="","",_CALC_PNL!P910)</f>
        <v>29412.5699878957</v>
      </c>
      <c r="I910">
        <f>IF(PNL!A910="","",IF(_CALC_PNL!E910=1,H910-G910,""))</f>
        <v>0.013408895698376</v>
      </c>
    </row>
    <row r="911" ht="14.25" customHeight="1">
      <c r="A911" t="s">
        <v>108</v>
      </c>
      <c r="B911" t="s">
        <v>204</v>
      </c>
      <c r="C911" t="s">
        <v>189</v>
      </c>
      <c r="D911" t="s">
        <v>193</v>
      </c>
      <c r="E911" t="s">
        <v>147</v>
      </c>
      <c r="F911" t="s">
        <v>148</v>
      </c>
      <c r="G911">
        <v>34691.300319</v>
      </c>
      <c r="H911">
        <f>IF(PNL!A911="","",_CALC_PNL!P911)</f>
        <v>34691.3161347987</v>
      </c>
      <c r="I911">
        <f>IF(PNL!A911="","",IF(_CALC_PNL!E911=1,H911-G911,""))</f>
        <v>0.0158157986952574</v>
      </c>
    </row>
    <row r="912" ht="14.25" customHeight="1">
      <c r="A912" t="s">
        <v>86</v>
      </c>
      <c r="B912" t="s">
        <v>205</v>
      </c>
      <c r="C912" t="s">
        <v>189</v>
      </c>
      <c r="D912" t="s">
        <v>193</v>
      </c>
      <c r="E912" t="s">
        <v>147</v>
      </c>
      <c r="F912" t="s">
        <v>148</v>
      </c>
      <c r="G912">
        <v>19608.371052</v>
      </c>
      <c r="H912">
        <f>IF(PNL!A912="","",_CALC_PNL!P912)</f>
        <v>19608.3799919305</v>
      </c>
      <c r="I912">
        <f>IF(PNL!A912="","",IF(_CALC_PNL!E912=1,H912-G912,""))</f>
        <v>0.00893993049976416</v>
      </c>
    </row>
    <row r="913" ht="14.25" customHeight="1">
      <c r="A913" t="s">
        <v>89</v>
      </c>
      <c r="B913" t="s">
        <v>205</v>
      </c>
      <c r="C913" t="s">
        <v>189</v>
      </c>
      <c r="D913" t="s">
        <v>193</v>
      </c>
      <c r="E913" t="s">
        <v>147</v>
      </c>
      <c r="F913" t="s">
        <v>148</v>
      </c>
      <c r="G913">
        <v>24301.58861</v>
      </c>
      <c r="H913">
        <f>IF(PNL!A913="","",_CALC_PNL!P913)</f>
        <v>24301.5996890917</v>
      </c>
      <c r="I913">
        <f>IF(PNL!A913="","",IF(_CALC_PNL!E913=1,H913-G913,""))</f>
        <v>0.0110790917024133</v>
      </c>
    </row>
    <row r="914" ht="14.25" customHeight="1">
      <c r="A914" t="s">
        <v>91</v>
      </c>
      <c r="B914" t="s">
        <v>205</v>
      </c>
      <c r="C914" t="s">
        <v>189</v>
      </c>
      <c r="D914" t="s">
        <v>193</v>
      </c>
      <c r="E914" t="s">
        <v>147</v>
      </c>
      <c r="F914" t="s">
        <v>148</v>
      </c>
      <c r="G914">
        <v>19608.371052</v>
      </c>
      <c r="H914">
        <f>IF(PNL!A914="","",_CALC_PNL!P914)</f>
        <v>19608.3799919305</v>
      </c>
      <c r="I914">
        <f>IF(PNL!A914="","",IF(_CALC_PNL!E914=1,H914-G914,""))</f>
        <v>0.00893993049976416</v>
      </c>
    </row>
    <row r="915" ht="14.25" customHeight="1">
      <c r="A915" t="s">
        <v>93</v>
      </c>
      <c r="B915" t="s">
        <v>205</v>
      </c>
      <c r="C915" t="s">
        <v>189</v>
      </c>
      <c r="D915" t="s">
        <v>193</v>
      </c>
      <c r="E915" t="s">
        <v>147</v>
      </c>
      <c r="F915" t="s">
        <v>148</v>
      </c>
      <c r="G915">
        <v>40892.247797</v>
      </c>
      <c r="H915">
        <f>IF(PNL!A915="","",_CALC_PNL!P915)</f>
        <v>40892.2664400452</v>
      </c>
      <c r="I915">
        <f>IF(PNL!A915="","",IF(_CALC_PNL!E915=1,H915-G915,""))</f>
        <v>0.0186430451940396</v>
      </c>
    </row>
    <row r="916" ht="14.25" customHeight="1">
      <c r="A916" t="s">
        <v>95</v>
      </c>
      <c r="B916" t="s">
        <v>205</v>
      </c>
      <c r="C916" t="s">
        <v>189</v>
      </c>
      <c r="D916" t="s">
        <v>193</v>
      </c>
      <c r="E916" t="s">
        <v>147</v>
      </c>
      <c r="F916" t="s">
        <v>148</v>
      </c>
      <c r="G916">
        <v>59328.440472</v>
      </c>
      <c r="H916">
        <f>IF(PNL!A916="","",_CALC_PNL!P916)</f>
        <v>59328.4675200886</v>
      </c>
      <c r="I916">
        <f>IF(PNL!A916="","",IF(_CALC_PNL!E916=1,H916-G916,""))</f>
        <v>0.0270480885956204</v>
      </c>
    </row>
    <row r="917" ht="14.25" customHeight="1">
      <c r="A917" t="s">
        <v>97</v>
      </c>
      <c r="B917" t="s">
        <v>205</v>
      </c>
      <c r="C917" t="s">
        <v>189</v>
      </c>
      <c r="D917" t="s">
        <v>193</v>
      </c>
      <c r="E917" t="s">
        <v>147</v>
      </c>
      <c r="F917" t="s">
        <v>148</v>
      </c>
      <c r="G917">
        <v>38714.540802</v>
      </c>
      <c r="H917">
        <f>IF(PNL!A917="","",_CALC_PNL!P917)</f>
        <v>38714.558451967</v>
      </c>
      <c r="I917">
        <f>IF(PNL!A917="","",IF(_CALC_PNL!E917=1,H917-G917,""))</f>
        <v>0.0176499669978512</v>
      </c>
    </row>
    <row r="918" ht="14.25" customHeight="1">
      <c r="A918" t="s">
        <v>99</v>
      </c>
      <c r="B918" t="s">
        <v>205</v>
      </c>
      <c r="C918" t="s">
        <v>189</v>
      </c>
      <c r="D918" t="s">
        <v>193</v>
      </c>
      <c r="E918" t="s">
        <v>147</v>
      </c>
      <c r="F918" t="s">
        <v>148</v>
      </c>
      <c r="G918">
        <v>41731.126655</v>
      </c>
      <c r="H918">
        <f>IF(PNL!A918="","",_CALC_PNL!P918)</f>
        <v>41731.1456805406</v>
      </c>
      <c r="I918">
        <f>IF(PNL!A918="","",IF(_CALC_PNL!E918=1,H918-G918,""))</f>
        <v>0.019025540597795</v>
      </c>
    </row>
    <row r="919" ht="14.25" customHeight="1">
      <c r="A919" t="s">
        <v>101</v>
      </c>
      <c r="B919" t="s">
        <v>205</v>
      </c>
      <c r="C919" t="s">
        <v>189</v>
      </c>
      <c r="D919" t="s">
        <v>193</v>
      </c>
      <c r="E919" t="s">
        <v>147</v>
      </c>
      <c r="F919" t="s">
        <v>148</v>
      </c>
      <c r="G919">
        <v>54300.797383</v>
      </c>
      <c r="H919">
        <f>IF(PNL!A919="","",_CALC_PNL!P919)</f>
        <v>54300.8221391326</v>
      </c>
      <c r="I919">
        <f>IF(PNL!A919="","",IF(_CALC_PNL!E919=1,H919-G919,""))</f>
        <v>0.0247561326032155</v>
      </c>
    </row>
    <row r="920" ht="14.25" customHeight="1">
      <c r="A920" t="s">
        <v>103</v>
      </c>
      <c r="B920" t="s">
        <v>205</v>
      </c>
      <c r="C920" t="s">
        <v>189</v>
      </c>
      <c r="D920" t="s">
        <v>193</v>
      </c>
      <c r="E920" t="s">
        <v>147</v>
      </c>
      <c r="F920" t="s">
        <v>148</v>
      </c>
      <c r="G920">
        <v>49272.028283</v>
      </c>
      <c r="H920">
        <f>IF(PNL!A920="","",_CALC_PNL!P920)</f>
        <v>49272.0507457731</v>
      </c>
      <c r="I920">
        <f>IF(PNL!A920="","",IF(_CALC_PNL!E920=1,H920-G920,""))</f>
        <v>0.0224627731004148</v>
      </c>
    </row>
    <row r="921" ht="14.25" customHeight="1">
      <c r="A921" t="s">
        <v>104</v>
      </c>
      <c r="B921" t="s">
        <v>205</v>
      </c>
      <c r="C921" t="s">
        <v>189</v>
      </c>
      <c r="D921" t="s">
        <v>193</v>
      </c>
      <c r="E921" t="s">
        <v>147</v>
      </c>
      <c r="F921" t="s">
        <v>148</v>
      </c>
      <c r="G921">
        <v>64020.532018</v>
      </c>
      <c r="H921">
        <f>IF(PNL!A921="","",_CALC_PNL!P921)</f>
        <v>64020.5612048466</v>
      </c>
      <c r="I921">
        <f>IF(PNL!A921="","",IF(_CALC_PNL!E921=1,H921-G921,""))</f>
        <v>0.0291868466010783</v>
      </c>
    </row>
    <row r="922" ht="14.25" customHeight="1">
      <c r="A922" t="s">
        <v>105</v>
      </c>
      <c r="B922" t="s">
        <v>205</v>
      </c>
      <c r="C922" t="s">
        <v>189</v>
      </c>
      <c r="D922" t="s">
        <v>193</v>
      </c>
      <c r="E922" t="s">
        <v>147</v>
      </c>
      <c r="F922" t="s">
        <v>148</v>
      </c>
      <c r="G922">
        <v>23798.261295</v>
      </c>
      <c r="H922">
        <f>IF(PNL!A922="","",_CALC_PNL!P922)</f>
        <v>23798.2721447944</v>
      </c>
      <c r="I922">
        <f>IF(PNL!A922="","",IF(_CALC_PNL!E922=1,H922-G922,""))</f>
        <v>0.0108497943983821</v>
      </c>
    </row>
    <row r="923" ht="14.25" customHeight="1">
      <c r="A923" t="s">
        <v>106</v>
      </c>
      <c r="B923" t="s">
        <v>205</v>
      </c>
      <c r="C923" t="s">
        <v>189</v>
      </c>
      <c r="D923" t="s">
        <v>193</v>
      </c>
      <c r="E923" t="s">
        <v>147</v>
      </c>
      <c r="F923" t="s">
        <v>148</v>
      </c>
      <c r="G923">
        <v>30502.536088</v>
      </c>
      <c r="H923">
        <f>IF(PNL!A923="","",_CALC_PNL!P923)</f>
        <v>30502.5499943381</v>
      </c>
      <c r="I923">
        <f>IF(PNL!A923="","",IF(_CALC_PNL!E923=1,H923-G923,""))</f>
        <v>0.0139063380993321</v>
      </c>
    </row>
    <row r="924" ht="14.25" customHeight="1">
      <c r="A924" t="s">
        <v>107</v>
      </c>
      <c r="B924" t="s">
        <v>205</v>
      </c>
      <c r="C924" t="s">
        <v>189</v>
      </c>
      <c r="D924" t="s">
        <v>193</v>
      </c>
      <c r="E924" t="s">
        <v>147</v>
      </c>
      <c r="F924" t="s">
        <v>148</v>
      </c>
      <c r="G924">
        <v>19608.371052</v>
      </c>
      <c r="H924">
        <f>IF(PNL!A924="","",_CALC_PNL!P924)</f>
        <v>19608.3799919305</v>
      </c>
      <c r="I924">
        <f>IF(PNL!A924="","",IF(_CALC_PNL!E924=1,H924-G924,""))</f>
        <v>0.00893993049976416</v>
      </c>
    </row>
    <row r="925" ht="14.25" customHeight="1">
      <c r="A925" t="s">
        <v>108</v>
      </c>
      <c r="B925" t="s">
        <v>205</v>
      </c>
      <c r="C925" t="s">
        <v>189</v>
      </c>
      <c r="D925" t="s">
        <v>193</v>
      </c>
      <c r="E925" t="s">
        <v>147</v>
      </c>
      <c r="F925" t="s">
        <v>148</v>
      </c>
      <c r="G925">
        <v>23128.284221</v>
      </c>
      <c r="H925">
        <f>IF(PNL!A925="","",_CALC_PNL!P925)</f>
        <v>23128.2947648014</v>
      </c>
      <c r="I925">
        <f>IF(PNL!A925="","",IF(_CALC_PNL!E925=1,H925-G925,""))</f>
        <v>0.0105438013997627</v>
      </c>
    </row>
    <row r="926" ht="14.25" customHeight="1">
      <c r="A926" t="s">
        <v>86</v>
      </c>
      <c r="B926" t="s">
        <v>212</v>
      </c>
      <c r="C926" t="s">
        <v>189</v>
      </c>
      <c r="D926" t="s">
        <v>193</v>
      </c>
      <c r="E926" t="s">
        <v>147</v>
      </c>
      <c r="F926" t="s">
        <v>148</v>
      </c>
      <c r="G926">
        <v>80272.504177</v>
      </c>
      <c r="H926">
        <f>IF(PNL!A926="","",_CALC_PNL!P926)</f>
        <v>80272.504176165</v>
      </c>
      <c r="I926">
        <f>IF(PNL!A926="","",IF(_CALC_PNL!E926=1,H926-G926,""))</f>
        <v>-8.3498889580369e-7</v>
      </c>
    </row>
    <row r="927" ht="14.25" customHeight="1">
      <c r="A927" t="s">
        <v>89</v>
      </c>
      <c r="B927" t="s">
        <v>212</v>
      </c>
      <c r="C927" t="s">
        <v>189</v>
      </c>
      <c r="D927" t="s">
        <v>193</v>
      </c>
      <c r="E927" t="s">
        <v>147</v>
      </c>
      <c r="F927" t="s">
        <v>148</v>
      </c>
      <c r="G927">
        <v>99204.644049</v>
      </c>
      <c r="H927">
        <f>IF(PNL!A927="","",_CALC_PNL!P927)</f>
        <v>99204.64404949</v>
      </c>
      <c r="I927">
        <f>IF(PNL!A927="","",IF(_CALC_PNL!E927=1,H927-G927,""))</f>
        <v>4.90006641484797e-7</v>
      </c>
    </row>
    <row r="928" ht="14.25" customHeight="1">
      <c r="A928" t="s">
        <v>91</v>
      </c>
      <c r="B928" t="s">
        <v>212</v>
      </c>
      <c r="C928" t="s">
        <v>189</v>
      </c>
      <c r="D928" t="s">
        <v>193</v>
      </c>
      <c r="E928" t="s">
        <v>147</v>
      </c>
      <c r="F928" t="s">
        <v>148</v>
      </c>
      <c r="G928">
        <v>80320.398103</v>
      </c>
      <c r="H928">
        <f>IF(PNL!A928="","",_CALC_PNL!P928)</f>
        <v>80320.39810319</v>
      </c>
      <c r="I928">
        <f>IF(PNL!A928="","",IF(_CALC_PNL!E928=1,H928-G928,""))</f>
        <v>1.90004357136786e-7</v>
      </c>
    </row>
    <row r="929" ht="14.25" customHeight="1">
      <c r="A929" t="s">
        <v>93</v>
      </c>
      <c r="B929" t="s">
        <v>212</v>
      </c>
      <c r="C929" t="s">
        <v>189</v>
      </c>
      <c r="D929" t="s">
        <v>193</v>
      </c>
      <c r="E929" t="s">
        <v>147</v>
      </c>
      <c r="F929" t="s">
        <v>148</v>
      </c>
      <c r="G929">
        <v>167914.761581</v>
      </c>
      <c r="H929">
        <f>IF(PNL!A929="","",_CALC_PNL!P929)</f>
        <v>167914.761580615</v>
      </c>
      <c r="I929">
        <f>IF(PNL!A929="","",IF(_CALC_PNL!E929=1,H929-G929,""))</f>
        <v>-3.84985469281673e-7</v>
      </c>
    </row>
    <row r="930" ht="14.25" customHeight="1">
      <c r="A930" t="s">
        <v>95</v>
      </c>
      <c r="B930" t="s">
        <v>212</v>
      </c>
      <c r="C930" t="s">
        <v>189</v>
      </c>
      <c r="D930" t="s">
        <v>193</v>
      </c>
      <c r="E930" t="s">
        <v>147</v>
      </c>
      <c r="F930" t="s">
        <v>148</v>
      </c>
      <c r="G930">
        <v>287881.905277</v>
      </c>
      <c r="H930">
        <f>IF(PNL!A930="","",_CALC_PNL!P930)</f>
        <v>287881.90527726</v>
      </c>
      <c r="I930">
        <f>IF(PNL!A930="","",IF(_CALC_PNL!E930=1,H930-G930,""))</f>
        <v>2.60013621300459e-7</v>
      </c>
    </row>
    <row r="931" ht="14.25" customHeight="1">
      <c r="A931" t="s">
        <v>97</v>
      </c>
      <c r="B931" t="s">
        <v>212</v>
      </c>
      <c r="C931" t="s">
        <v>189</v>
      </c>
      <c r="D931" t="s">
        <v>193</v>
      </c>
      <c r="E931" t="s">
        <v>147</v>
      </c>
      <c r="F931" t="s">
        <v>148</v>
      </c>
      <c r="G931">
        <v>157896.383462</v>
      </c>
      <c r="H931">
        <f>IF(PNL!A931="","",_CALC_PNL!P931)</f>
        <v>157896.383461565</v>
      </c>
      <c r="I931">
        <f>IF(PNL!A931="","",IF(_CALC_PNL!E931=1,H931-G931,""))</f>
        <v>-4.34985850006342e-7</v>
      </c>
    </row>
    <row r="932" ht="14.25" customHeight="1">
      <c r="A932" t="s">
        <v>99</v>
      </c>
      <c r="B932" t="s">
        <v>212</v>
      </c>
      <c r="C932" t="s">
        <v>189</v>
      </c>
      <c r="D932" t="s">
        <v>193</v>
      </c>
      <c r="E932" t="s">
        <v>147</v>
      </c>
      <c r="F932" t="s">
        <v>148</v>
      </c>
      <c r="G932">
        <v>165359.966767</v>
      </c>
      <c r="H932">
        <f>IF(PNL!A932="","",_CALC_PNL!P932)</f>
        <v>165359.966766225</v>
      </c>
      <c r="I932">
        <f>IF(PNL!A932="","",IF(_CALC_PNL!E932=1,H932-G932,""))</f>
        <v>-7.75005901232362e-7</v>
      </c>
    </row>
    <row r="933" ht="14.25" customHeight="1">
      <c r="A933" t="s">
        <v>101</v>
      </c>
      <c r="B933" t="s">
        <v>212</v>
      </c>
      <c r="C933" t="s">
        <v>189</v>
      </c>
      <c r="D933" t="s">
        <v>193</v>
      </c>
      <c r="E933" t="s">
        <v>147</v>
      </c>
      <c r="F933" t="s">
        <v>148</v>
      </c>
      <c r="G933">
        <v>236058.202752</v>
      </c>
      <c r="H933">
        <f>IF(PNL!A933="","",_CALC_PNL!P933)</f>
        <v>236058.202751245</v>
      </c>
      <c r="I933">
        <f>IF(PNL!A933="","",IF(_CALC_PNL!E933=1,H933-G933,""))</f>
        <v>-7.55011569708586e-7</v>
      </c>
    </row>
    <row r="934" ht="14.25" customHeight="1">
      <c r="A934" t="s">
        <v>103</v>
      </c>
      <c r="B934" t="s">
        <v>212</v>
      </c>
      <c r="C934" t="s">
        <v>189</v>
      </c>
      <c r="D934" t="s">
        <v>193</v>
      </c>
      <c r="E934" t="s">
        <v>147</v>
      </c>
      <c r="F934" t="s">
        <v>148</v>
      </c>
      <c r="G934">
        <v>203061.063356</v>
      </c>
      <c r="H934">
        <f>IF(PNL!A934="","",_CALC_PNL!P934)</f>
        <v>203061.06335613</v>
      </c>
      <c r="I934">
        <f>IF(PNL!A934="","",IF(_CALC_PNL!E934=1,H934-G934,""))</f>
        <v>1.30006810650229e-7</v>
      </c>
    </row>
    <row r="935" ht="14.25" customHeight="1">
      <c r="A935" t="s">
        <v>104</v>
      </c>
      <c r="B935" t="s">
        <v>212</v>
      </c>
      <c r="C935" t="s">
        <v>189</v>
      </c>
      <c r="D935" t="s">
        <v>193</v>
      </c>
      <c r="E935" t="s">
        <v>147</v>
      </c>
      <c r="F935" t="s">
        <v>148</v>
      </c>
      <c r="G935">
        <v>296147.317917</v>
      </c>
      <c r="H935">
        <f>IF(PNL!A935="","",_CALC_PNL!P935)</f>
        <v>296147.31791652</v>
      </c>
      <c r="I935">
        <f>IF(PNL!A935="","",IF(_CALC_PNL!E935=1,H935-G935,""))</f>
        <v>-4.79980371892452e-7</v>
      </c>
    </row>
    <row r="936" ht="14.25" customHeight="1">
      <c r="A936" t="s">
        <v>105</v>
      </c>
      <c r="B936" t="s">
        <v>212</v>
      </c>
      <c r="C936" t="s">
        <v>189</v>
      </c>
      <c r="D936" t="s">
        <v>193</v>
      </c>
      <c r="E936" t="s">
        <v>147</v>
      </c>
      <c r="F936" t="s">
        <v>148</v>
      </c>
      <c r="G936">
        <v>107800.50091</v>
      </c>
      <c r="H936">
        <f>IF(PNL!A936="","",_CALC_PNL!P936)</f>
        <v>107800.500909885</v>
      </c>
      <c r="I936">
        <f>IF(PNL!A936="","",IF(_CALC_PNL!E936=1,H936-G936,""))</f>
        <v>-1.15003786049783e-7</v>
      </c>
    </row>
    <row r="937" ht="14.25" customHeight="1">
      <c r="A937" t="s">
        <v>106</v>
      </c>
      <c r="B937" t="s">
        <v>212</v>
      </c>
      <c r="C937" t="s">
        <v>189</v>
      </c>
      <c r="D937" t="s">
        <v>193</v>
      </c>
      <c r="E937" t="s">
        <v>147</v>
      </c>
      <c r="F937" t="s">
        <v>148</v>
      </c>
      <c r="G937">
        <v>142338.869742</v>
      </c>
      <c r="H937">
        <f>IF(PNL!A937="","",_CALC_PNL!P937)</f>
        <v>142338.869741705</v>
      </c>
      <c r="I937">
        <f>IF(PNL!A937="","",IF(_CALC_PNL!E937=1,H937-G937,""))</f>
        <v>-2.94996425509453e-7</v>
      </c>
    </row>
    <row r="938" ht="14.25" customHeight="1">
      <c r="A938" t="s">
        <v>107</v>
      </c>
      <c r="B938" t="s">
        <v>212</v>
      </c>
      <c r="C938" t="s">
        <v>189</v>
      </c>
      <c r="D938" t="s">
        <v>193</v>
      </c>
      <c r="E938" t="s">
        <v>147</v>
      </c>
      <c r="F938" t="s">
        <v>148</v>
      </c>
      <c r="G938">
        <v>109683.481928</v>
      </c>
      <c r="H938">
        <f>IF(PNL!A938="","",_CALC_PNL!P938)</f>
        <v>109683.481927565</v>
      </c>
      <c r="I938">
        <f>IF(PNL!A938="","",IF(_CALC_PNL!E938=1,H938-G938,""))</f>
        <v>-4.3500040192157e-7</v>
      </c>
    </row>
    <row r="939" ht="14.25" customHeight="1">
      <c r="A939" t="s">
        <v>108</v>
      </c>
      <c r="B939" t="s">
        <v>212</v>
      </c>
      <c r="C939" t="s">
        <v>189</v>
      </c>
      <c r="D939" t="s">
        <v>193</v>
      </c>
      <c r="E939" t="s">
        <v>147</v>
      </c>
      <c r="F939" t="s">
        <v>148</v>
      </c>
      <c r="G939">
        <v>131756.47975</v>
      </c>
      <c r="H939">
        <f>IF(PNL!A939="","",_CALC_PNL!P939)</f>
        <v>131756.479749825</v>
      </c>
      <c r="I939">
        <f>IF(PNL!A939="","",IF(_CALC_PNL!E939=1,H939-G939,""))</f>
        <v>-1.7500133253634e-7</v>
      </c>
    </row>
    <row r="940" ht="14.25" customHeight="1">
      <c r="A940" t="s">
        <v>86</v>
      </c>
      <c r="B940" t="s">
        <v>213</v>
      </c>
      <c r="C940" t="s">
        <v>189</v>
      </c>
      <c r="D940" t="s">
        <v>193</v>
      </c>
      <c r="E940" t="s">
        <v>147</v>
      </c>
      <c r="F940" t="s">
        <v>148</v>
      </c>
      <c r="G940">
        <v>11467.496504</v>
      </c>
      <c r="H940">
        <f>IF(PNL!A940="","",_CALC_PNL!P940)</f>
        <v>11467.49650368</v>
      </c>
      <c r="I940">
        <f>IF(PNL!A940="","",IF(_CALC_PNL!E940=1,H940-G940,""))</f>
        <v>-3.20000253850594e-7</v>
      </c>
    </row>
    <row r="941" ht="14.25" customHeight="1">
      <c r="A941" t="s">
        <v>89</v>
      </c>
      <c r="B941" t="s">
        <v>213</v>
      </c>
      <c r="C941" t="s">
        <v>189</v>
      </c>
      <c r="D941" t="s">
        <v>193</v>
      </c>
      <c r="E941" t="s">
        <v>147</v>
      </c>
      <c r="F941" t="s">
        <v>148</v>
      </c>
      <c r="G941">
        <v>14171.789131</v>
      </c>
      <c r="H941">
        <f>IF(PNL!A941="","",_CALC_PNL!P941)</f>
        <v>14171.78913136</v>
      </c>
      <c r="I941">
        <f>IF(PNL!A941="","",IF(_CALC_PNL!E941=1,H941-G941,""))</f>
        <v>3.59999830834568e-7</v>
      </c>
    </row>
    <row r="942" ht="14.25" customHeight="1">
      <c r="A942" t="s">
        <v>91</v>
      </c>
      <c r="B942" t="s">
        <v>213</v>
      </c>
      <c r="C942" t="s">
        <v>189</v>
      </c>
      <c r="D942" t="s">
        <v>193</v>
      </c>
      <c r="E942" t="s">
        <v>147</v>
      </c>
      <c r="F942" t="s">
        <v>148</v>
      </c>
      <c r="G942">
        <v>11474.343951</v>
      </c>
      <c r="H942">
        <f>IF(PNL!A942="","",_CALC_PNL!P942)</f>
        <v>11474.343950475</v>
      </c>
      <c r="I942">
        <f>IF(PNL!A942="","",IF(_CALC_PNL!E942=1,H942-G942,""))</f>
        <v>-5.25000359630212e-7</v>
      </c>
    </row>
    <row r="943" ht="14.25" customHeight="1">
      <c r="A943" t="s">
        <v>93</v>
      </c>
      <c r="B943" t="s">
        <v>213</v>
      </c>
      <c r="C943" t="s">
        <v>189</v>
      </c>
      <c r="D943" t="s">
        <v>193</v>
      </c>
      <c r="E943" t="s">
        <v>147</v>
      </c>
      <c r="F943" t="s">
        <v>148</v>
      </c>
      <c r="G943">
        <v>23987.484736</v>
      </c>
      <c r="H943">
        <f>IF(PNL!A943="","",_CALC_PNL!P943)</f>
        <v>23987.484735305</v>
      </c>
      <c r="I943">
        <f>IF(PNL!A943="","",IF(_CALC_PNL!E943=1,H943-G943,""))</f>
        <v>-6.94999471306801e-7</v>
      </c>
    </row>
    <row r="944" ht="14.25" customHeight="1">
      <c r="A944" t="s">
        <v>95</v>
      </c>
      <c r="B944" t="s">
        <v>213</v>
      </c>
      <c r="C944" t="s">
        <v>189</v>
      </c>
      <c r="D944" t="s">
        <v>193</v>
      </c>
      <c r="E944" t="s">
        <v>147</v>
      </c>
      <c r="F944" t="s">
        <v>148</v>
      </c>
      <c r="G944">
        <v>41125.880052</v>
      </c>
      <c r="H944">
        <f>IF(PNL!A944="","",_CALC_PNL!P944)</f>
        <v>41125.88005239</v>
      </c>
      <c r="I944">
        <f>IF(PNL!A944="","",IF(_CALC_PNL!E944=1,H944-G944,""))</f>
        <v>3.89998604077846e-7</v>
      </c>
    </row>
    <row r="945" ht="14.25" customHeight="1">
      <c r="A945" t="s">
        <v>97</v>
      </c>
      <c r="B945" t="s">
        <v>213</v>
      </c>
      <c r="C945" t="s">
        <v>189</v>
      </c>
      <c r="D945" t="s">
        <v>193</v>
      </c>
      <c r="E945" t="s">
        <v>147</v>
      </c>
      <c r="F945" t="s">
        <v>148</v>
      </c>
      <c r="G945">
        <v>22556.788561</v>
      </c>
      <c r="H945">
        <f>IF(PNL!A945="","",_CALC_PNL!P945)</f>
        <v>22556.78856109</v>
      </c>
      <c r="I945">
        <f>IF(PNL!A945="","",IF(_CALC_PNL!E945=1,H945-G945,""))</f>
        <v>8.99999577086419e-8</v>
      </c>
    </row>
    <row r="946" ht="14.25" customHeight="1">
      <c r="A946" t="s">
        <v>99</v>
      </c>
      <c r="B946" t="s">
        <v>213</v>
      </c>
      <c r="C946" t="s">
        <v>189</v>
      </c>
      <c r="D946" t="s">
        <v>193</v>
      </c>
      <c r="E946" t="s">
        <v>147</v>
      </c>
      <c r="F946" t="s">
        <v>148</v>
      </c>
      <c r="G946">
        <v>23622.707779</v>
      </c>
      <c r="H946">
        <f>IF(PNL!A946="","",_CALC_PNL!P946)</f>
        <v>23622.707778845</v>
      </c>
      <c r="I946">
        <f>IF(PNL!A946="","",IF(_CALC_PNL!E946=1,H946-G946,""))</f>
        <v>-1.5499972505495e-7</v>
      </c>
    </row>
    <row r="947" ht="14.25" customHeight="1">
      <c r="A947" t="s">
        <v>101</v>
      </c>
      <c r="B947" t="s">
        <v>213</v>
      </c>
      <c r="C947" t="s">
        <v>189</v>
      </c>
      <c r="D947" t="s">
        <v>193</v>
      </c>
      <c r="E947" t="s">
        <v>147</v>
      </c>
      <c r="F947" t="s">
        <v>148</v>
      </c>
      <c r="G947">
        <v>33722.453049</v>
      </c>
      <c r="H947">
        <f>IF(PNL!A947="","",_CALC_PNL!P947)</f>
        <v>33722.453048095</v>
      </c>
      <c r="I947">
        <f>IF(PNL!A947="","",IF(_CALC_PNL!E947=1,H947-G947,""))</f>
        <v>-9.05005435924977e-7</v>
      </c>
    </row>
    <row r="948" ht="14.25" customHeight="1">
      <c r="A948" t="s">
        <v>103</v>
      </c>
      <c r="B948" t="s">
        <v>213</v>
      </c>
      <c r="C948" t="s">
        <v>189</v>
      </c>
      <c r="D948" t="s">
        <v>193</v>
      </c>
      <c r="E948" t="s">
        <v>147</v>
      </c>
      <c r="F948" t="s">
        <v>148</v>
      </c>
      <c r="G948">
        <v>29008.248558</v>
      </c>
      <c r="H948">
        <f>IF(PNL!A948="","",_CALC_PNL!P948)</f>
        <v>29008.24855845</v>
      </c>
      <c r="I948">
        <f>IF(PNL!A948="","",IF(_CALC_PNL!E948=1,H948-G948,""))</f>
        <v>4.49999788543209e-7</v>
      </c>
    </row>
    <row r="949" ht="14.25" customHeight="1">
      <c r="A949" t="s">
        <v>104</v>
      </c>
      <c r="B949" t="s">
        <v>213</v>
      </c>
      <c r="C949" t="s">
        <v>189</v>
      </c>
      <c r="D949" t="s">
        <v>193</v>
      </c>
      <c r="E949" t="s">
        <v>147</v>
      </c>
      <c r="F949" t="s">
        <v>148</v>
      </c>
      <c r="G949">
        <v>42306.649194</v>
      </c>
      <c r="H949">
        <f>IF(PNL!A949="","",_CALC_PNL!P949)</f>
        <v>42306.649193655</v>
      </c>
      <c r="I949">
        <f>IF(PNL!A949="","",IF(_CALC_PNL!E949=1,H949-G949,""))</f>
        <v>-3.44996806234121e-7</v>
      </c>
    </row>
    <row r="950" ht="14.25" customHeight="1">
      <c r="A950" t="s">
        <v>105</v>
      </c>
      <c r="B950" t="s">
        <v>213</v>
      </c>
      <c r="C950" t="s">
        <v>189</v>
      </c>
      <c r="D950" t="s">
        <v>193</v>
      </c>
      <c r="E950" t="s">
        <v>147</v>
      </c>
      <c r="F950" t="s">
        <v>148</v>
      </c>
      <c r="G950">
        <v>15399.831441</v>
      </c>
      <c r="H950">
        <f>IF(PNL!A950="","",_CALC_PNL!P950)</f>
        <v>15399.831440875</v>
      </c>
      <c r="I950">
        <f>IF(PNL!A950="","",IF(_CALC_PNL!E950=1,H950-G950,""))</f>
        <v>-1.25000951811671e-7</v>
      </c>
    </row>
    <row r="951" ht="14.25" customHeight="1">
      <c r="A951" t="s">
        <v>106</v>
      </c>
      <c r="B951" t="s">
        <v>213</v>
      </c>
      <c r="C951" t="s">
        <v>189</v>
      </c>
      <c r="D951" t="s">
        <v>193</v>
      </c>
      <c r="E951" t="s">
        <v>147</v>
      </c>
      <c r="F951" t="s">
        <v>148</v>
      </c>
      <c r="G951">
        <v>20334.128342</v>
      </c>
      <c r="H951">
        <f>IF(PNL!A951="","",_CALC_PNL!P951)</f>
        <v>20334.12834173</v>
      </c>
      <c r="I951">
        <f>IF(PNL!A951="","",IF(_CALC_PNL!E951=1,H951-G951,""))</f>
        <v>-2.69999873125926e-7</v>
      </c>
    </row>
    <row r="952" ht="14.25" customHeight="1">
      <c r="A952" t="s">
        <v>107</v>
      </c>
      <c r="B952" t="s">
        <v>213</v>
      </c>
      <c r="C952" t="s">
        <v>189</v>
      </c>
      <c r="D952" t="s">
        <v>193</v>
      </c>
      <c r="E952" t="s">
        <v>147</v>
      </c>
      <c r="F952" t="s">
        <v>148</v>
      </c>
      <c r="G952">
        <v>15668.610441</v>
      </c>
      <c r="H952">
        <f>IF(PNL!A952="","",_CALC_PNL!P952)</f>
        <v>15668.610440315</v>
      </c>
      <c r="I952">
        <f>IF(PNL!A952="","",IF(_CALC_PNL!E952=1,H952-G952,""))</f>
        <v>-6.85000486555509e-7</v>
      </c>
    </row>
    <row r="953" ht="14.25" customHeight="1">
      <c r="A953" t="s">
        <v>108</v>
      </c>
      <c r="B953" t="s">
        <v>213</v>
      </c>
      <c r="C953" t="s">
        <v>189</v>
      </c>
      <c r="D953" t="s">
        <v>193</v>
      </c>
      <c r="E953" t="s">
        <v>147</v>
      </c>
      <c r="F953" t="s">
        <v>148</v>
      </c>
      <c r="G953">
        <v>18822.351522</v>
      </c>
      <c r="H953">
        <f>IF(PNL!A953="","",_CALC_PNL!P953)</f>
        <v>18822.351521365</v>
      </c>
      <c r="I953">
        <f>IF(PNL!A953="","",IF(_CALC_PNL!E953=1,H953-G953,""))</f>
        <v>-6.35001924820244e-7</v>
      </c>
    </row>
    <row r="954" ht="14.25" customHeight="1">
      <c r="A954" t="s">
        <v>86</v>
      </c>
      <c r="B954" t="s">
        <v>214</v>
      </c>
      <c r="C954" t="s">
        <v>189</v>
      </c>
      <c r="D954" t="s">
        <v>193</v>
      </c>
      <c r="E954" t="s">
        <v>147</v>
      </c>
      <c r="F954" t="s">
        <v>148</v>
      </c>
      <c r="G954">
        <v>6383.568088</v>
      </c>
      <c r="H954">
        <f>IF(PNL!A954="","",_CALC_PNL!P954)</f>
        <v>6383.568087645</v>
      </c>
      <c r="I954">
        <f>IF(PNL!A954="","",IF(_CALC_PNL!E954=1,H954-G954,""))</f>
        <v>-3.55000338458922e-7</v>
      </c>
    </row>
    <row r="955" ht="14.25" customHeight="1">
      <c r="A955" t="s">
        <v>89</v>
      </c>
      <c r="B955" t="s">
        <v>214</v>
      </c>
      <c r="C955" t="s">
        <v>189</v>
      </c>
      <c r="D955" t="s">
        <v>193</v>
      </c>
      <c r="E955" t="s">
        <v>147</v>
      </c>
      <c r="F955" t="s">
        <v>148</v>
      </c>
      <c r="G955">
        <v>9776.759704</v>
      </c>
      <c r="H955">
        <f>IF(PNL!A955="","",_CALC_PNL!P955)</f>
        <v>9776.75970355</v>
      </c>
      <c r="I955">
        <f>IF(PNL!A955="","",IF(_CALC_PNL!E955=1,H955-G955,""))</f>
        <v>-4.49999788543209e-7</v>
      </c>
    </row>
    <row r="956" ht="14.25" customHeight="1">
      <c r="A956" t="s">
        <v>91</v>
      </c>
      <c r="B956" t="s">
        <v>214</v>
      </c>
      <c r="C956" t="s">
        <v>189</v>
      </c>
      <c r="D956" t="s">
        <v>193</v>
      </c>
      <c r="E956" t="s">
        <v>147</v>
      </c>
      <c r="F956" t="s">
        <v>148</v>
      </c>
      <c r="G956">
        <v>6387.378592</v>
      </c>
      <c r="H956">
        <f>IF(PNL!A956="","",_CALC_PNL!P956)</f>
        <v>6387.37859151</v>
      </c>
      <c r="I956">
        <f>IF(PNL!A956="","",IF(_CALC_PNL!E956=1,H956-G956,""))</f>
        <v>-4.90000275021885e-7</v>
      </c>
    </row>
    <row r="957" ht="14.25" customHeight="1">
      <c r="A957" t="s">
        <v>93</v>
      </c>
      <c r="B957" t="s">
        <v>214</v>
      </c>
      <c r="C957" t="s">
        <v>189</v>
      </c>
      <c r="D957" t="s">
        <v>193</v>
      </c>
      <c r="E957" t="s">
        <v>147</v>
      </c>
      <c r="F957" t="s">
        <v>148</v>
      </c>
      <c r="G957">
        <v>16709.489204</v>
      </c>
      <c r="H957">
        <f>IF(PNL!A957="","",_CALC_PNL!P957)</f>
        <v>16709.4892041</v>
      </c>
      <c r="I957">
        <f>IF(PNL!A957="","",IF(_CALC_PNL!E957=1,H957-G957,""))</f>
        <v>9.99971234705299e-8</v>
      </c>
    </row>
    <row r="958" ht="14.25" customHeight="1">
      <c r="A958" t="s">
        <v>95</v>
      </c>
      <c r="B958" t="s">
        <v>214</v>
      </c>
      <c r="C958" t="s">
        <v>189</v>
      </c>
      <c r="D958" t="s">
        <v>193</v>
      </c>
      <c r="E958" t="s">
        <v>147</v>
      </c>
      <c r="F958" t="s">
        <v>148</v>
      </c>
      <c r="G958">
        <v>27707.596573</v>
      </c>
      <c r="H958">
        <f>IF(PNL!A958="","",_CALC_PNL!P958)</f>
        <v>27707.59657253</v>
      </c>
      <c r="I958">
        <f>IF(PNL!A958="","",IF(_CALC_PNL!E958=1,H958-G958,""))</f>
        <v>-4.69997758045793e-7</v>
      </c>
    </row>
    <row r="959" ht="14.25" customHeight="1">
      <c r="A959" t="s">
        <v>97</v>
      </c>
      <c r="B959" t="s">
        <v>214</v>
      </c>
      <c r="C959" t="s">
        <v>189</v>
      </c>
      <c r="D959" t="s">
        <v>193</v>
      </c>
      <c r="E959" t="s">
        <v>147</v>
      </c>
      <c r="F959" t="s">
        <v>148</v>
      </c>
      <c r="G959">
        <v>14874.392563</v>
      </c>
      <c r="H959">
        <f>IF(PNL!A959="","",_CALC_PNL!P959)</f>
        <v>14874.39256331</v>
      </c>
      <c r="I959">
        <f>IF(PNL!A959="","",IF(_CALC_PNL!E959=1,H959-G959,""))</f>
        <v>3.10001269099303e-7</v>
      </c>
    </row>
    <row r="960" ht="14.25" customHeight="1">
      <c r="A960" t="s">
        <v>99</v>
      </c>
      <c r="B960" t="s">
        <v>214</v>
      </c>
      <c r="C960" t="s">
        <v>189</v>
      </c>
      <c r="D960" t="s">
        <v>193</v>
      </c>
      <c r="E960" t="s">
        <v>147</v>
      </c>
      <c r="F960" t="s">
        <v>148</v>
      </c>
      <c r="G960">
        <v>16792.040571</v>
      </c>
      <c r="H960">
        <f>IF(PNL!A960="","",_CALC_PNL!P960)</f>
        <v>16792.04057104</v>
      </c>
      <c r="I960">
        <f>IF(PNL!A960="","",IF(_CALC_PNL!E960=1,H960-G960,""))</f>
        <v>3.99995769839734e-8</v>
      </c>
    </row>
    <row r="961" ht="14.25" customHeight="1">
      <c r="A961" t="s">
        <v>101</v>
      </c>
      <c r="B961" t="s">
        <v>214</v>
      </c>
      <c r="C961" t="s">
        <v>189</v>
      </c>
      <c r="D961" t="s">
        <v>193</v>
      </c>
      <c r="E961" t="s">
        <v>147</v>
      </c>
      <c r="F961" t="s">
        <v>148</v>
      </c>
      <c r="G961">
        <v>23993.358068</v>
      </c>
      <c r="H961">
        <f>IF(PNL!A961="","",_CALC_PNL!P961)</f>
        <v>23993.35806833</v>
      </c>
      <c r="I961">
        <f>IF(PNL!A961="","",IF(_CALC_PNL!E961=1,H961-G961,""))</f>
        <v>3.29997419612482e-7</v>
      </c>
    </row>
    <row r="962" ht="14.25" customHeight="1">
      <c r="A962" t="s">
        <v>103</v>
      </c>
      <c r="B962" t="s">
        <v>214</v>
      </c>
      <c r="C962" t="s">
        <v>189</v>
      </c>
      <c r="D962" t="s">
        <v>193</v>
      </c>
      <c r="E962" t="s">
        <v>147</v>
      </c>
      <c r="F962" t="s">
        <v>148</v>
      </c>
      <c r="G962">
        <v>20289.271358</v>
      </c>
      <c r="H962">
        <f>IF(PNL!A962="","",_CALC_PNL!P962)</f>
        <v>20289.271357635</v>
      </c>
      <c r="I962">
        <f>IF(PNL!A962="","",IF(_CALC_PNL!E962=1,H962-G962,""))</f>
        <v>-3.65002051694319e-7</v>
      </c>
    </row>
    <row r="963" ht="14.25" customHeight="1">
      <c r="A963" t="s">
        <v>104</v>
      </c>
      <c r="B963" t="s">
        <v>214</v>
      </c>
      <c r="C963" t="s">
        <v>189</v>
      </c>
      <c r="D963" t="s">
        <v>193</v>
      </c>
      <c r="E963" t="s">
        <v>147</v>
      </c>
      <c r="F963" t="s">
        <v>148</v>
      </c>
      <c r="G963">
        <v>30757.08838</v>
      </c>
      <c r="H963">
        <f>IF(PNL!A963="","",_CALC_PNL!P963)</f>
        <v>30757.08837992</v>
      </c>
      <c r="I963">
        <f>IF(PNL!A963="","",IF(_CALC_PNL!E963=1,H963-G963,""))</f>
        <v>-8.00027919467539e-8</v>
      </c>
    </row>
    <row r="964" ht="14.25" customHeight="1">
      <c r="A964" t="s">
        <v>105</v>
      </c>
      <c r="B964" t="s">
        <v>214</v>
      </c>
      <c r="C964" t="s">
        <v>189</v>
      </c>
      <c r="D964" t="s">
        <v>193</v>
      </c>
      <c r="E964" t="s">
        <v>147</v>
      </c>
      <c r="F964" t="s">
        <v>148</v>
      </c>
      <c r="G964">
        <v>7803.787764</v>
      </c>
      <c r="H964">
        <f>IF(PNL!A964="","",_CALC_PNL!P964)</f>
        <v>7803.787763765</v>
      </c>
      <c r="I964">
        <f>IF(PNL!A964="","",IF(_CALC_PNL!E964=1,H964-G964,""))</f>
        <v>-2.34999788517598e-7</v>
      </c>
    </row>
    <row r="965" ht="14.25" customHeight="1">
      <c r="A965" t="s">
        <v>106</v>
      </c>
      <c r="B965" t="s">
        <v>214</v>
      </c>
      <c r="C965" t="s">
        <v>189</v>
      </c>
      <c r="D965" t="s">
        <v>193</v>
      </c>
      <c r="E965" t="s">
        <v>147</v>
      </c>
      <c r="F965" t="s">
        <v>148</v>
      </c>
      <c r="G965">
        <v>13206.337334</v>
      </c>
      <c r="H965">
        <f>IF(PNL!A965="","",_CALC_PNL!P965)</f>
        <v>13206.337333805</v>
      </c>
      <c r="I965">
        <f>IF(PNL!A965="","",IF(_CALC_PNL!E965=1,H965-G965,""))</f>
        <v>-1.94999302038923e-7</v>
      </c>
    </row>
    <row r="966" ht="14.25" customHeight="1">
      <c r="A966" t="s">
        <v>107</v>
      </c>
      <c r="B966" t="s">
        <v>214</v>
      </c>
      <c r="C966" t="s">
        <v>189</v>
      </c>
      <c r="D966" t="s">
        <v>193</v>
      </c>
      <c r="E966" t="s">
        <v>147</v>
      </c>
      <c r="F966" t="s">
        <v>148</v>
      </c>
      <c r="G966">
        <v>8722.940507</v>
      </c>
      <c r="H966">
        <f>IF(PNL!A966="","",_CALC_PNL!P966)</f>
        <v>8722.94050684</v>
      </c>
      <c r="I966">
        <f>IF(PNL!A966="","",IF(_CALC_PNL!E966=1,H966-G966,""))</f>
        <v>-1.60000126925297e-7</v>
      </c>
    </row>
    <row r="967" ht="14.25" customHeight="1">
      <c r="A967" t="s">
        <v>108</v>
      </c>
      <c r="B967" t="s">
        <v>214</v>
      </c>
      <c r="C967" t="s">
        <v>189</v>
      </c>
      <c r="D967" t="s">
        <v>193</v>
      </c>
      <c r="E967" t="s">
        <v>147</v>
      </c>
      <c r="F967" t="s">
        <v>148</v>
      </c>
      <c r="G967">
        <v>12358.781953</v>
      </c>
      <c r="H967">
        <f>IF(PNL!A967="","",_CALC_PNL!P967)</f>
        <v>12358.781952825</v>
      </c>
      <c r="I967">
        <f>IF(PNL!A967="","",IF(_CALC_PNL!E967=1,H967-G967,""))</f>
        <v>-1.74999513546936e-7</v>
      </c>
    </row>
    <row r="968" ht="14.25" customHeight="1">
      <c r="A968" t="s">
        <v>86</v>
      </c>
      <c r="B968" t="s">
        <v>203</v>
      </c>
      <c r="C968" t="s">
        <v>189</v>
      </c>
      <c r="D968" t="s">
        <v>193</v>
      </c>
      <c r="E968" t="s">
        <v>147</v>
      </c>
      <c r="F968" t="s">
        <v>148</v>
      </c>
      <c r="G968">
        <v>81566.049288</v>
      </c>
      <c r="H968">
        <f>IF(PNL!A968="","",_CALC_PNL!P968)</f>
        <v>81566.0864738405</v>
      </c>
      <c r="I968">
        <f>IF(PNL!A968="","",IF(_CALC_PNL!E968=1,H968-G968,""))</f>
        <v>0.037185840512393</v>
      </c>
    </row>
    <row r="969" ht="14.25" customHeight="1">
      <c r="A969" t="s">
        <v>89</v>
      </c>
      <c r="B969" t="s">
        <v>203</v>
      </c>
      <c r="C969" t="s">
        <v>189</v>
      </c>
      <c r="D969" t="s">
        <v>193</v>
      </c>
      <c r="E969" t="s">
        <v>147</v>
      </c>
      <c r="F969" t="s">
        <v>148</v>
      </c>
      <c r="G969">
        <v>81566.049288</v>
      </c>
      <c r="H969">
        <f>IF(PNL!A969="","",_CALC_PNL!P969)</f>
        <v>81566.0864738405</v>
      </c>
      <c r="I969">
        <f>IF(PNL!A969="","",IF(_CALC_PNL!E969=1,H969-G969,""))</f>
        <v>0.037185840512393</v>
      </c>
    </row>
    <row r="970" ht="14.25" customHeight="1">
      <c r="A970" t="s">
        <v>91</v>
      </c>
      <c r="B970" t="s">
        <v>203</v>
      </c>
      <c r="C970" t="s">
        <v>189</v>
      </c>
      <c r="D970" t="s">
        <v>193</v>
      </c>
      <c r="E970" t="s">
        <v>147</v>
      </c>
      <c r="F970" t="s">
        <v>148</v>
      </c>
      <c r="G970">
        <v>81566.049288</v>
      </c>
      <c r="H970">
        <f>IF(PNL!A970="","",_CALC_PNL!P970)</f>
        <v>81566.0864738405</v>
      </c>
      <c r="I970">
        <f>IF(PNL!A970="","",IF(_CALC_PNL!E970=1,H970-G970,""))</f>
        <v>0.037185840512393</v>
      </c>
    </row>
    <row r="971" ht="14.25" customHeight="1">
      <c r="A971" t="s">
        <v>93</v>
      </c>
      <c r="B971" t="s">
        <v>203</v>
      </c>
      <c r="C971" t="s">
        <v>189</v>
      </c>
      <c r="D971" t="s">
        <v>193</v>
      </c>
      <c r="E971" t="s">
        <v>147</v>
      </c>
      <c r="F971" t="s">
        <v>148</v>
      </c>
      <c r="G971">
        <v>135942.289468</v>
      </c>
      <c r="H971">
        <f>IF(PNL!A971="","",_CALC_PNL!P971)</f>
        <v>135942.351443997</v>
      </c>
      <c r="I971">
        <f>IF(PNL!A971="","",IF(_CALC_PNL!E971=1,H971-G971,""))</f>
        <v>0.0619759969995357</v>
      </c>
    </row>
    <row r="972" ht="14.25" customHeight="1">
      <c r="A972" t="s">
        <v>95</v>
      </c>
      <c r="B972" t="s">
        <v>203</v>
      </c>
      <c r="C972" t="s">
        <v>189</v>
      </c>
      <c r="D972" t="s">
        <v>193</v>
      </c>
      <c r="E972" t="s">
        <v>147</v>
      </c>
      <c r="F972" t="s">
        <v>148</v>
      </c>
      <c r="G972">
        <v>203913.997208</v>
      </c>
      <c r="H972">
        <f>IF(PNL!A972="","",_CALC_PNL!P972)</f>
        <v>203914.090172198</v>
      </c>
      <c r="I972">
        <f>IF(PNL!A972="","",IF(_CALC_PNL!E972=1,H972-G972,""))</f>
        <v>0.0929641980037559</v>
      </c>
    </row>
    <row r="973" ht="14.25" customHeight="1">
      <c r="A973" t="s">
        <v>97</v>
      </c>
      <c r="B973" t="s">
        <v>203</v>
      </c>
      <c r="C973" t="s">
        <v>189</v>
      </c>
      <c r="D973" t="s">
        <v>193</v>
      </c>
      <c r="E973" t="s">
        <v>147</v>
      </c>
      <c r="F973" t="s">
        <v>148</v>
      </c>
      <c r="G973">
        <v>135942.289468</v>
      </c>
      <c r="H973">
        <f>IF(PNL!A973="","",_CALC_PNL!P973)</f>
        <v>135942.351443997</v>
      </c>
      <c r="I973">
        <f>IF(PNL!A973="","",IF(_CALC_PNL!E973=1,H973-G973,""))</f>
        <v>0.0619759969995357</v>
      </c>
    </row>
    <row r="974" ht="14.25" customHeight="1">
      <c r="A974" t="s">
        <v>99</v>
      </c>
      <c r="B974" t="s">
        <v>203</v>
      </c>
      <c r="C974" t="s">
        <v>189</v>
      </c>
      <c r="D974" t="s">
        <v>193</v>
      </c>
      <c r="E974" t="s">
        <v>147</v>
      </c>
      <c r="F974" t="s">
        <v>148</v>
      </c>
      <c r="G974">
        <v>135942.289468</v>
      </c>
      <c r="H974">
        <f>IF(PNL!A974="","",_CALC_PNL!P974)</f>
        <v>135942.351443997</v>
      </c>
      <c r="I974">
        <f>IF(PNL!A974="","",IF(_CALC_PNL!E974=1,H974-G974,""))</f>
        <v>0.0619759969995357</v>
      </c>
    </row>
    <row r="975" ht="14.25" customHeight="1">
      <c r="A975" t="s">
        <v>101</v>
      </c>
      <c r="B975" t="s">
        <v>203</v>
      </c>
      <c r="C975" t="s">
        <v>189</v>
      </c>
      <c r="D975" t="s">
        <v>193</v>
      </c>
      <c r="E975" t="s">
        <v>147</v>
      </c>
      <c r="F975" t="s">
        <v>148</v>
      </c>
      <c r="G975">
        <v>176725.314112</v>
      </c>
      <c r="H975">
        <f>IF(PNL!A975="","",_CALC_PNL!P975)</f>
        <v>176725.394680918</v>
      </c>
      <c r="I975">
        <f>IF(PNL!A975="","",IF(_CALC_PNL!E975=1,H975-G975,""))</f>
        <v>0.0805689179978799</v>
      </c>
    </row>
    <row r="976" ht="14.25" customHeight="1">
      <c r="A976" t="s">
        <v>103</v>
      </c>
      <c r="B976" t="s">
        <v>203</v>
      </c>
      <c r="C976" t="s">
        <v>189</v>
      </c>
      <c r="D976" t="s">
        <v>193</v>
      </c>
      <c r="E976" t="s">
        <v>147</v>
      </c>
      <c r="F976" t="s">
        <v>148</v>
      </c>
      <c r="G976">
        <v>163130.972564</v>
      </c>
      <c r="H976">
        <f>IF(PNL!A976="","",_CALC_PNL!P976)</f>
        <v>163131.046935278</v>
      </c>
      <c r="I976">
        <f>IF(PNL!A976="","",IF(_CALC_PNL!E976=1,H976-G976,""))</f>
        <v>0.0743712779949419</v>
      </c>
    </row>
    <row r="977" ht="14.25" customHeight="1">
      <c r="A977" t="s">
        <v>104</v>
      </c>
      <c r="B977" t="s">
        <v>203</v>
      </c>
      <c r="C977" t="s">
        <v>189</v>
      </c>
      <c r="D977" t="s">
        <v>193</v>
      </c>
      <c r="E977" t="s">
        <v>147</v>
      </c>
      <c r="F977" t="s">
        <v>148</v>
      </c>
      <c r="G977">
        <v>203913.997208</v>
      </c>
      <c r="H977">
        <f>IF(PNL!A977="","",_CALC_PNL!P977)</f>
        <v>203914.090172198</v>
      </c>
      <c r="I977">
        <f>IF(PNL!A977="","",IF(_CALC_PNL!E977=1,H977-G977,""))</f>
        <v>0.0929641980037559</v>
      </c>
    </row>
    <row r="978" ht="14.25" customHeight="1">
      <c r="A978" t="s">
        <v>105</v>
      </c>
      <c r="B978" t="s">
        <v>203</v>
      </c>
      <c r="C978" t="s">
        <v>189</v>
      </c>
      <c r="D978" t="s">
        <v>193</v>
      </c>
      <c r="E978" t="s">
        <v>147</v>
      </c>
      <c r="F978" t="s">
        <v>148</v>
      </c>
      <c r="G978">
        <v>108753.606372</v>
      </c>
      <c r="H978">
        <f>IF(PNL!A978="","",_CALC_PNL!P978)</f>
        <v>108753.655952717</v>
      </c>
      <c r="I978">
        <f>IF(PNL!A978="","",IF(_CALC_PNL!E978=1,H978-G978,""))</f>
        <v>0.0495807170082116</v>
      </c>
    </row>
    <row r="979" ht="14.25" customHeight="1">
      <c r="A979" t="s">
        <v>106</v>
      </c>
      <c r="B979" t="s">
        <v>203</v>
      </c>
      <c r="C979" t="s">
        <v>189</v>
      </c>
      <c r="D979" t="s">
        <v>193</v>
      </c>
      <c r="E979" t="s">
        <v>147</v>
      </c>
      <c r="F979" t="s">
        <v>148</v>
      </c>
      <c r="G979">
        <v>108753.606372</v>
      </c>
      <c r="H979">
        <f>IF(PNL!A979="","",_CALC_PNL!P979)</f>
        <v>108753.655952717</v>
      </c>
      <c r="I979">
        <f>IF(PNL!A979="","",IF(_CALC_PNL!E979=1,H979-G979,""))</f>
        <v>0.0495807170082116</v>
      </c>
    </row>
    <row r="980" ht="14.25" customHeight="1">
      <c r="A980" t="s">
        <v>107</v>
      </c>
      <c r="B980" t="s">
        <v>203</v>
      </c>
      <c r="C980" t="s">
        <v>189</v>
      </c>
      <c r="D980" t="s">
        <v>193</v>
      </c>
      <c r="E980" t="s">
        <v>147</v>
      </c>
      <c r="F980" t="s">
        <v>148</v>
      </c>
      <c r="G980">
        <v>81566.049288</v>
      </c>
      <c r="H980">
        <f>IF(PNL!A980="","",_CALC_PNL!P980)</f>
        <v>81566.0864738405</v>
      </c>
      <c r="I980">
        <f>IF(PNL!A980="","",IF(_CALC_PNL!E980=1,H980-G980,""))</f>
        <v>0.037185840512393</v>
      </c>
    </row>
    <row r="981" ht="14.25" customHeight="1">
      <c r="A981" t="s">
        <v>108</v>
      </c>
      <c r="B981" t="s">
        <v>203</v>
      </c>
      <c r="C981" t="s">
        <v>189</v>
      </c>
      <c r="D981" t="s">
        <v>193</v>
      </c>
      <c r="E981" t="s">
        <v>147</v>
      </c>
      <c r="F981" t="s">
        <v>148</v>
      </c>
      <c r="G981">
        <v>81566.049288</v>
      </c>
      <c r="H981">
        <f>IF(PNL!A981="","",_CALC_PNL!P981)</f>
        <v>81566.0864738405</v>
      </c>
      <c r="I981">
        <f>IF(PNL!A981="","",IF(_CALC_PNL!E981=1,H981-G981,""))</f>
        <v>0.037185840512393</v>
      </c>
    </row>
    <row r="982" ht="14.25" customHeight="1">
      <c r="A982" t="s">
        <v>209</v>
      </c>
      <c r="B982" t="s">
        <v>215</v>
      </c>
      <c r="C982" t="s">
        <v>189</v>
      </c>
      <c r="D982" t="s">
        <v>193</v>
      </c>
      <c r="E982" t="s">
        <v>147</v>
      </c>
      <c r="F982" t="s">
        <v>148</v>
      </c>
      <c r="G982">
        <v>539430.780354</v>
      </c>
      <c r="H982">
        <f>IF(PNL!A982="","",_CALC_PNL!P982)</f>
        <v>539430.7803535</v>
      </c>
      <c r="I982">
        <f>IF(PNL!A982="","",IF(_CALC_PNL!E982=1,H982-G982,""))</f>
        <v>-5.00003807246685e-7</v>
      </c>
    </row>
    <row r="983" ht="14.25" customHeight="1">
      <c r="A983" t="s">
        <v>86</v>
      </c>
      <c r="B983" t="s">
        <v>206</v>
      </c>
      <c r="C983" t="s">
        <v>189</v>
      </c>
      <c r="D983" t="s">
        <v>193</v>
      </c>
      <c r="E983" t="s">
        <v>147</v>
      </c>
      <c r="F983" t="s">
        <v>148</v>
      </c>
      <c r="G983">
        <v>17454.7</v>
      </c>
      <c r="H983">
        <f>IF(PNL!A983="","",_CALC_PNL!P983)</f>
        <v>17454.7</v>
      </c>
      <c r="I983">
        <f>IF(PNL!A983="","",IF(_CALC_PNL!E983=1,H983-G983,""))</f>
        <v>0</v>
      </c>
    </row>
    <row r="984" ht="14.25" customHeight="1">
      <c r="A984" t="s">
        <v>89</v>
      </c>
      <c r="B984" t="s">
        <v>206</v>
      </c>
      <c r="C984" t="s">
        <v>189</v>
      </c>
      <c r="D984" t="s">
        <v>193</v>
      </c>
      <c r="E984" t="s">
        <v>147</v>
      </c>
      <c r="F984" t="s">
        <v>148</v>
      </c>
      <c r="G984">
        <v>25024</v>
      </c>
      <c r="H984">
        <f>IF(PNL!A984="","",_CALC_PNL!P984)</f>
        <v>25024</v>
      </c>
      <c r="I984">
        <f>IF(PNL!A984="","",IF(_CALC_PNL!E984=1,H984-G984,""))</f>
        <v>0</v>
      </c>
    </row>
    <row r="985" ht="14.25" customHeight="1">
      <c r="A985" t="s">
        <v>91</v>
      </c>
      <c r="B985" t="s">
        <v>206</v>
      </c>
      <c r="C985" t="s">
        <v>189</v>
      </c>
      <c r="D985" t="s">
        <v>193</v>
      </c>
      <c r="E985" t="s">
        <v>147</v>
      </c>
      <c r="F985" t="s">
        <v>148</v>
      </c>
      <c r="G985">
        <v>17172.95</v>
      </c>
      <c r="H985">
        <f>IF(PNL!A985="","",_CALC_PNL!P985)</f>
        <v>17172.95</v>
      </c>
      <c r="I985">
        <f>IF(PNL!A985="","",IF(_CALC_PNL!E985=1,H985-G985,""))</f>
        <v>0</v>
      </c>
    </row>
    <row r="986" ht="14.25" customHeight="1">
      <c r="A986" t="s">
        <v>93</v>
      </c>
      <c r="B986" t="s">
        <v>206</v>
      </c>
      <c r="C986" t="s">
        <v>189</v>
      </c>
      <c r="D986" t="s">
        <v>193</v>
      </c>
      <c r="E986" t="s">
        <v>147</v>
      </c>
      <c r="F986" t="s">
        <v>148</v>
      </c>
      <c r="G986">
        <v>29003</v>
      </c>
      <c r="H986">
        <f>IF(PNL!A986="","",_CALC_PNL!P986)</f>
        <v>29003</v>
      </c>
      <c r="I986">
        <f>IF(PNL!A986="","",IF(_CALC_PNL!E986=1,H986-G986,""))</f>
        <v>0</v>
      </c>
    </row>
    <row r="987" ht="14.25" customHeight="1">
      <c r="A987" t="s">
        <v>95</v>
      </c>
      <c r="B987" t="s">
        <v>206</v>
      </c>
      <c r="C987" t="s">
        <v>189</v>
      </c>
      <c r="D987" t="s">
        <v>193</v>
      </c>
      <c r="E987" t="s">
        <v>147</v>
      </c>
      <c r="F987" t="s">
        <v>148</v>
      </c>
      <c r="G987">
        <v>69920</v>
      </c>
      <c r="H987">
        <f>IF(PNL!A987="","",_CALC_PNL!P987)</f>
        <v>69920</v>
      </c>
      <c r="I987">
        <f>IF(PNL!A987="","",IF(_CALC_PNL!E987=1,H987-G987,""))</f>
        <v>0</v>
      </c>
    </row>
    <row r="988" ht="14.25" customHeight="1">
      <c r="A988" t="s">
        <v>97</v>
      </c>
      <c r="B988" t="s">
        <v>206</v>
      </c>
      <c r="C988" t="s">
        <v>189</v>
      </c>
      <c r="D988" t="s">
        <v>193</v>
      </c>
      <c r="E988" t="s">
        <v>147</v>
      </c>
      <c r="F988" t="s">
        <v>148</v>
      </c>
      <c r="G988">
        <v>25395.45</v>
      </c>
      <c r="H988">
        <f>IF(PNL!A988="","",_CALC_PNL!P988)</f>
        <v>25395.45</v>
      </c>
      <c r="I988">
        <f>IF(PNL!A988="","",IF(_CALC_PNL!E988=1,H988-G988,""))</f>
        <v>0</v>
      </c>
    </row>
    <row r="989" ht="14.25" customHeight="1">
      <c r="A989" t="s">
        <v>99</v>
      </c>
      <c r="B989" t="s">
        <v>206</v>
      </c>
      <c r="C989" t="s">
        <v>189</v>
      </c>
      <c r="D989" t="s">
        <v>193</v>
      </c>
      <c r="E989" t="s">
        <v>147</v>
      </c>
      <c r="F989" t="s">
        <v>148</v>
      </c>
      <c r="G989">
        <v>28661.45</v>
      </c>
      <c r="H989">
        <f>IF(PNL!A989="","",_CALC_PNL!P989)</f>
        <v>28661.45</v>
      </c>
      <c r="I989">
        <f>IF(PNL!A989="","",IF(_CALC_PNL!E989=1,H989-G989,""))</f>
        <v>0</v>
      </c>
    </row>
    <row r="990" ht="14.25" customHeight="1">
      <c r="A990" t="s">
        <v>101</v>
      </c>
      <c r="B990" t="s">
        <v>206</v>
      </c>
      <c r="C990" t="s">
        <v>189</v>
      </c>
      <c r="D990" t="s">
        <v>193</v>
      </c>
      <c r="E990" t="s">
        <v>147</v>
      </c>
      <c r="F990" t="s">
        <v>148</v>
      </c>
      <c r="G990">
        <v>48050.45</v>
      </c>
      <c r="H990">
        <f>IF(PNL!A990="","",_CALC_PNL!P990)</f>
        <v>48050.45</v>
      </c>
      <c r="I990">
        <f>IF(PNL!A990="","",IF(_CALC_PNL!E990=1,H990-G990,""))</f>
        <v>0</v>
      </c>
    </row>
    <row r="991" ht="14.25" customHeight="1">
      <c r="A991" t="s">
        <v>103</v>
      </c>
      <c r="B991" t="s">
        <v>206</v>
      </c>
      <c r="C991" t="s">
        <v>189</v>
      </c>
      <c r="D991" t="s">
        <v>193</v>
      </c>
      <c r="E991" t="s">
        <v>147</v>
      </c>
      <c r="F991" t="s">
        <v>148</v>
      </c>
      <c r="G991">
        <v>36262.95</v>
      </c>
      <c r="H991">
        <f>IF(PNL!A991="","",_CALC_PNL!P991)</f>
        <v>36262.95</v>
      </c>
      <c r="I991">
        <f>IF(PNL!A991="","",IF(_CALC_PNL!E991=1,H991-G991,""))</f>
        <v>0</v>
      </c>
    </row>
    <row r="992" ht="14.25" customHeight="1">
      <c r="A992" t="s">
        <v>104</v>
      </c>
      <c r="B992" t="s">
        <v>206</v>
      </c>
      <c r="C992" t="s">
        <v>189</v>
      </c>
      <c r="D992" t="s">
        <v>193</v>
      </c>
      <c r="E992" t="s">
        <v>147</v>
      </c>
      <c r="F992" t="s">
        <v>148</v>
      </c>
      <c r="G992">
        <v>78534.65</v>
      </c>
      <c r="H992">
        <f>IF(PNL!A992="","",_CALC_PNL!P992)</f>
        <v>78534.65</v>
      </c>
      <c r="I992">
        <f>IF(PNL!A992="","",IF(_CALC_PNL!E992=1,H992-G992,""))</f>
        <v>0</v>
      </c>
    </row>
    <row r="993" ht="14.25" customHeight="1">
      <c r="A993" t="s">
        <v>105</v>
      </c>
      <c r="B993" t="s">
        <v>206</v>
      </c>
      <c r="C993" t="s">
        <v>189</v>
      </c>
      <c r="D993" t="s">
        <v>193</v>
      </c>
      <c r="E993" t="s">
        <v>147</v>
      </c>
      <c r="F993" t="s">
        <v>148</v>
      </c>
      <c r="G993">
        <v>25263.2</v>
      </c>
      <c r="H993">
        <f>IF(PNL!A993="","",_CALC_PNL!P993)</f>
        <v>25263.2</v>
      </c>
      <c r="I993">
        <f>IF(PNL!A993="","",IF(_CALC_PNL!E993=1,H993-G993,""))</f>
        <v>0</v>
      </c>
    </row>
    <row r="994" ht="14.25" customHeight="1">
      <c r="A994" t="s">
        <v>106</v>
      </c>
      <c r="B994" t="s">
        <v>206</v>
      </c>
      <c r="C994" t="s">
        <v>189</v>
      </c>
      <c r="D994" t="s">
        <v>193</v>
      </c>
      <c r="E994" t="s">
        <v>147</v>
      </c>
      <c r="F994" t="s">
        <v>148</v>
      </c>
      <c r="G994">
        <v>42103.8</v>
      </c>
      <c r="H994">
        <f>IF(PNL!A994="","",_CALC_PNL!P994)</f>
        <v>42103.8</v>
      </c>
      <c r="I994">
        <f>IF(PNL!A994="","",IF(_CALC_PNL!E994=1,H994-G994,""))</f>
        <v>0</v>
      </c>
    </row>
    <row r="995" ht="14.25" customHeight="1">
      <c r="A995" t="s">
        <v>107</v>
      </c>
      <c r="B995" t="s">
        <v>206</v>
      </c>
      <c r="C995" t="s">
        <v>189</v>
      </c>
      <c r="D995" t="s">
        <v>193</v>
      </c>
      <c r="E995" t="s">
        <v>147</v>
      </c>
      <c r="F995" t="s">
        <v>148</v>
      </c>
      <c r="G995">
        <v>21677.5</v>
      </c>
      <c r="H995">
        <f>IF(PNL!A995="","",_CALC_PNL!P995)</f>
        <v>21677.5</v>
      </c>
      <c r="I995">
        <f>IF(PNL!A995="","",IF(_CALC_PNL!E995=1,H995-G995,""))</f>
        <v>0</v>
      </c>
    </row>
    <row r="996" ht="14.25" customHeight="1">
      <c r="A996" t="s">
        <v>108</v>
      </c>
      <c r="B996" t="s">
        <v>206</v>
      </c>
      <c r="C996" t="s">
        <v>189</v>
      </c>
      <c r="D996" t="s">
        <v>193</v>
      </c>
      <c r="E996" t="s">
        <v>147</v>
      </c>
      <c r="F996" t="s">
        <v>148</v>
      </c>
      <c r="G996">
        <v>34776</v>
      </c>
      <c r="H996">
        <f>IF(PNL!A996="","",_CALC_PNL!P996)</f>
        <v>34776</v>
      </c>
      <c r="I996">
        <f>IF(PNL!A996="","",IF(_CALC_PNL!E996=1,H996-G996,""))</f>
        <v>0</v>
      </c>
    </row>
    <row r="997" ht="14.25" customHeight="1">
      <c r="A997" t="s">
        <v>209</v>
      </c>
      <c r="B997" t="s">
        <v>216</v>
      </c>
      <c r="C997" t="s">
        <v>189</v>
      </c>
      <c r="D997" t="s">
        <v>193</v>
      </c>
      <c r="E997" t="s">
        <v>147</v>
      </c>
      <c r="F997" t="s">
        <v>148</v>
      </c>
      <c r="G997">
        <v>777795.6</v>
      </c>
      <c r="H997">
        <f>IF(PNL!A997="","",_CALC_PNL!P997)</f>
        <v>777795.6</v>
      </c>
      <c r="I997">
        <f>IF(PNL!A997="","",IF(_CALC_PNL!E997=1,H997-G997,""))</f>
        <v>0</v>
      </c>
    </row>
    <row r="998" ht="14.25" customHeight="1">
      <c r="A998" t="s">
        <v>86</v>
      </c>
      <c r="B998" t="s">
        <v>217</v>
      </c>
      <c r="C998" t="s">
        <v>189</v>
      </c>
      <c r="D998" t="s">
        <v>193</v>
      </c>
      <c r="E998" t="s">
        <v>147</v>
      </c>
      <c r="F998" t="s">
        <v>148</v>
      </c>
      <c r="G998">
        <v>9575.853514</v>
      </c>
      <c r="H998">
        <f>IF(PNL!A998="","",_CALC_PNL!P998)</f>
        <v>9575.853513555</v>
      </c>
      <c r="I998">
        <f>IF(PNL!A998="","",IF(_CALC_PNL!E998=1,H998-G998,""))</f>
        <v>-4.45001205662265e-7</v>
      </c>
    </row>
    <row r="999" ht="14.25" customHeight="1">
      <c r="A999" t="s">
        <v>89</v>
      </c>
      <c r="B999" t="s">
        <v>217</v>
      </c>
      <c r="C999" t="s">
        <v>189</v>
      </c>
      <c r="D999" t="s">
        <v>193</v>
      </c>
      <c r="E999" t="s">
        <v>147</v>
      </c>
      <c r="F999" t="s">
        <v>148</v>
      </c>
      <c r="G999">
        <v>14666.209171</v>
      </c>
      <c r="H999">
        <f>IF(PNL!A999="","",_CALC_PNL!P999)</f>
        <v>14666.209170445</v>
      </c>
      <c r="I999">
        <f>IF(PNL!A999="","",IF(_CALC_PNL!E999=1,H999-G999,""))</f>
        <v>-5.55000951862894e-7</v>
      </c>
    </row>
    <row r="1000" ht="14.25" customHeight="1">
      <c r="A1000" t="s">
        <v>91</v>
      </c>
      <c r="B1000" t="s">
        <v>217</v>
      </c>
      <c r="C1000" t="s">
        <v>189</v>
      </c>
      <c r="D1000" t="s">
        <v>193</v>
      </c>
      <c r="E1000" t="s">
        <v>147</v>
      </c>
      <c r="F1000" t="s">
        <v>148</v>
      </c>
      <c r="G1000">
        <v>9581.564495</v>
      </c>
      <c r="H1000">
        <f>IF(PNL!A1000="","",_CALC_PNL!P1000)</f>
        <v>9581.564494285</v>
      </c>
      <c r="I1000">
        <f>IF(PNL!A1000="","",IF(_CALC_PNL!E1000=1,H1000-G1000,""))</f>
        <v>-7.15001078788191e-7</v>
      </c>
    </row>
    <row r="1001" ht="14.25" customHeight="1">
      <c r="A1001" t="s">
        <v>93</v>
      </c>
      <c r="B1001" t="s">
        <v>217</v>
      </c>
      <c r="C1001" t="s">
        <v>189</v>
      </c>
      <c r="D1001" t="s">
        <v>193</v>
      </c>
      <c r="E1001" t="s">
        <v>147</v>
      </c>
      <c r="F1001" t="s">
        <v>148</v>
      </c>
      <c r="G1001">
        <v>25063.641698</v>
      </c>
      <c r="H1001">
        <f>IF(PNL!A1001="","",_CALC_PNL!P1001)</f>
        <v>25063.64169778</v>
      </c>
      <c r="I1001">
        <f>IF(PNL!A1001="","",IF(_CALC_PNL!E1001=1,H1001-G1001,""))</f>
        <v>-2.19999492401257e-7</v>
      </c>
    </row>
    <row r="1002" ht="14.25" customHeight="1">
      <c r="A1002" t="s">
        <v>95</v>
      </c>
      <c r="B1002" t="s">
        <v>217</v>
      </c>
      <c r="C1002" t="s">
        <v>189</v>
      </c>
      <c r="D1002" t="s">
        <v>193</v>
      </c>
      <c r="E1002" t="s">
        <v>147</v>
      </c>
      <c r="F1002" t="s">
        <v>148</v>
      </c>
      <c r="G1002">
        <v>41561.012854</v>
      </c>
      <c r="H1002">
        <f>IF(PNL!A1002="","",_CALC_PNL!P1002)</f>
        <v>41561.012853395</v>
      </c>
      <c r="I1002">
        <f>IF(PNL!A1002="","",IF(_CALC_PNL!E1002=1,H1002-G1002,""))</f>
        <v>-6.05003151576966e-7</v>
      </c>
    </row>
    <row r="1003" ht="14.25" customHeight="1">
      <c r="A1003" t="s">
        <v>97</v>
      </c>
      <c r="B1003" t="s">
        <v>217</v>
      </c>
      <c r="C1003" t="s">
        <v>189</v>
      </c>
      <c r="D1003" t="s">
        <v>193</v>
      </c>
      <c r="E1003" t="s">
        <v>147</v>
      </c>
      <c r="F1003" t="s">
        <v>148</v>
      </c>
      <c r="G1003">
        <v>22312.725311</v>
      </c>
      <c r="H1003">
        <f>IF(PNL!A1003="","",_CALC_PNL!P1003)</f>
        <v>22312.72531103</v>
      </c>
      <c r="I1003">
        <f>IF(PNL!A1003="","",IF(_CALC_PNL!E1003=1,H1003-G1003,""))</f>
        <v>3.00024112220854e-8</v>
      </c>
    </row>
    <row r="1004" ht="14.25" customHeight="1">
      <c r="A1004" t="s">
        <v>99</v>
      </c>
      <c r="B1004" t="s">
        <v>217</v>
      </c>
      <c r="C1004" t="s">
        <v>189</v>
      </c>
      <c r="D1004" t="s">
        <v>193</v>
      </c>
      <c r="E1004" t="s">
        <v>147</v>
      </c>
      <c r="F1004" t="s">
        <v>148</v>
      </c>
      <c r="G1004">
        <v>25188.070407</v>
      </c>
      <c r="H1004">
        <f>IF(PNL!A1004="","",_CALC_PNL!P1004)</f>
        <v>25188.070406695</v>
      </c>
      <c r="I1004">
        <f>IF(PNL!A1004="","",IF(_CALC_PNL!E1004=1,H1004-G1004,""))</f>
        <v>-3.05000867228955e-7</v>
      </c>
    </row>
    <row r="1005" ht="14.25" customHeight="1">
      <c r="A1005" t="s">
        <v>101</v>
      </c>
      <c r="B1005" t="s">
        <v>217</v>
      </c>
      <c r="C1005" t="s">
        <v>189</v>
      </c>
      <c r="D1005" t="s">
        <v>193</v>
      </c>
      <c r="E1005" t="s">
        <v>147</v>
      </c>
      <c r="F1005" t="s">
        <v>148</v>
      </c>
      <c r="G1005">
        <v>35989.511845</v>
      </c>
      <c r="H1005">
        <f>IF(PNL!A1005="","",_CALC_PNL!P1005)</f>
        <v>35989.51184507</v>
      </c>
      <c r="I1005">
        <f>IF(PNL!A1005="","",IF(_CALC_PNL!E1005=1,H1005-G1005,""))</f>
        <v>7.00019882060587e-8</v>
      </c>
    </row>
    <row r="1006" ht="14.25" customHeight="1">
      <c r="A1006" t="s">
        <v>103</v>
      </c>
      <c r="B1006" t="s">
        <v>217</v>
      </c>
      <c r="C1006" t="s">
        <v>189</v>
      </c>
      <c r="D1006" t="s">
        <v>193</v>
      </c>
      <c r="E1006" t="s">
        <v>147</v>
      </c>
      <c r="F1006" t="s">
        <v>148</v>
      </c>
      <c r="G1006">
        <v>30433.911812</v>
      </c>
      <c r="H1006">
        <f>IF(PNL!A1006="","",_CALC_PNL!P1006)</f>
        <v>30433.91181152</v>
      </c>
      <c r="I1006">
        <f>IF(PNL!A1006="","",IF(_CALC_PNL!E1006=1,H1006-G1006,""))</f>
        <v>-4.79998561786488e-7</v>
      </c>
    </row>
    <row r="1007" ht="14.25" customHeight="1">
      <c r="A1007" t="s">
        <v>104</v>
      </c>
      <c r="B1007" t="s">
        <v>217</v>
      </c>
      <c r="C1007" t="s">
        <v>189</v>
      </c>
      <c r="D1007" t="s">
        <v>193</v>
      </c>
      <c r="E1007" t="s">
        <v>147</v>
      </c>
      <c r="F1007" t="s">
        <v>148</v>
      </c>
      <c r="G1007">
        <v>46136.425232</v>
      </c>
      <c r="H1007">
        <f>IF(PNL!A1007="","",_CALC_PNL!P1007)</f>
        <v>46136.425231085</v>
      </c>
      <c r="I1007">
        <f>IF(PNL!A1007="","",IF(_CALC_PNL!E1007=1,H1007-G1007,""))</f>
        <v>-9.15002601686865e-7</v>
      </c>
    </row>
    <row r="1008" ht="14.25" customHeight="1">
      <c r="A1008" t="s">
        <v>105</v>
      </c>
      <c r="B1008" t="s">
        <v>217</v>
      </c>
      <c r="C1008" t="s">
        <v>189</v>
      </c>
      <c r="D1008" t="s">
        <v>193</v>
      </c>
      <c r="E1008" t="s">
        <v>147</v>
      </c>
      <c r="F1008" t="s">
        <v>148</v>
      </c>
      <c r="G1008">
        <v>11704.846009</v>
      </c>
      <c r="H1008">
        <f>IF(PNL!A1008="","",_CALC_PNL!P1008)</f>
        <v>11704.846008835</v>
      </c>
      <c r="I1008">
        <f>IF(PNL!A1008="","",IF(_CALC_PNL!E1008=1,H1008-G1008,""))</f>
        <v>-1.65000528795645e-7</v>
      </c>
    </row>
    <row r="1009" ht="14.25" customHeight="1">
      <c r="A1009" t="s">
        <v>106</v>
      </c>
      <c r="B1009" t="s">
        <v>217</v>
      </c>
      <c r="C1009" t="s">
        <v>189</v>
      </c>
      <c r="D1009" t="s">
        <v>193</v>
      </c>
      <c r="E1009" t="s">
        <v>147</v>
      </c>
      <c r="F1009" t="s">
        <v>148</v>
      </c>
      <c r="G1009">
        <v>19809.501226</v>
      </c>
      <c r="H1009">
        <f>IF(PNL!A1009="","",_CALC_PNL!P1009)</f>
        <v>19809.50122564</v>
      </c>
      <c r="I1009">
        <f>IF(PNL!A1009="","",IF(_CALC_PNL!E1009=1,H1009-G1009,""))</f>
        <v>-3.59999830834568e-7</v>
      </c>
    </row>
    <row r="1010" ht="14.25" customHeight="1">
      <c r="A1010" t="s">
        <v>107</v>
      </c>
      <c r="B1010" t="s">
        <v>217</v>
      </c>
      <c r="C1010" t="s">
        <v>189</v>
      </c>
      <c r="D1010" t="s">
        <v>193</v>
      </c>
      <c r="E1010" t="s">
        <v>147</v>
      </c>
      <c r="F1010" t="s">
        <v>148</v>
      </c>
      <c r="G1010">
        <v>13083.885503</v>
      </c>
      <c r="H1010">
        <f>IF(PNL!A1010="","",_CALC_PNL!P1010)</f>
        <v>13083.885502835</v>
      </c>
      <c r="I1010">
        <f>IF(PNL!A1010="","",IF(_CALC_PNL!E1010=1,H1010-G1010,""))</f>
        <v>-1.64998709806241e-7</v>
      </c>
    </row>
    <row r="1011" ht="14.25" customHeight="1">
      <c r="A1011" t="s">
        <v>108</v>
      </c>
      <c r="B1011" t="s">
        <v>217</v>
      </c>
      <c r="C1011" t="s">
        <v>189</v>
      </c>
      <c r="D1011" t="s">
        <v>193</v>
      </c>
      <c r="E1011" t="s">
        <v>147</v>
      </c>
      <c r="F1011" t="s">
        <v>148</v>
      </c>
      <c r="G1011">
        <v>18537.728848</v>
      </c>
      <c r="H1011">
        <f>IF(PNL!A1011="","",_CALC_PNL!P1011)</f>
        <v>18537.72884796</v>
      </c>
      <c r="I1011">
        <f>IF(PNL!A1011="","",IF(_CALC_PNL!E1011=1,H1011-G1011,""))</f>
        <v>-3.99995769839734e-8</v>
      </c>
    </row>
    <row r="1012" ht="14.25" customHeight="1">
      <c r="A1012" t="s">
        <v>209</v>
      </c>
      <c r="B1012" t="s">
        <v>218</v>
      </c>
      <c r="C1012" t="s">
        <v>189</v>
      </c>
      <c r="D1012" t="s">
        <v>193</v>
      </c>
      <c r="E1012" t="s">
        <v>147</v>
      </c>
      <c r="F1012" t="s">
        <v>148</v>
      </c>
      <c r="G1012">
        <v>431543.860272</v>
      </c>
      <c r="H1012">
        <f>IF(PNL!A1012="","",_CALC_PNL!P1012)</f>
        <v>431543.860272</v>
      </c>
      <c r="I1012">
        <f>IF(PNL!A1012="","",IF(_CALC_PNL!E1012=1,H1012-G1012,""))</f>
        <v>0</v>
      </c>
    </row>
    <row r="1013" ht="14.25" customHeight="1">
      <c r="A1013" t="s">
        <v>209</v>
      </c>
      <c r="B1013" t="s">
        <v>219</v>
      </c>
      <c r="C1013" t="s">
        <v>189</v>
      </c>
      <c r="D1013" t="s">
        <v>193</v>
      </c>
      <c r="E1013" t="s">
        <v>147</v>
      </c>
      <c r="F1013" t="s">
        <v>148</v>
      </c>
      <c r="G1013">
        <v>172617.735112</v>
      </c>
      <c r="H1013">
        <f>IF(PNL!A1013="","",_CALC_PNL!P1013)</f>
        <v>172617.7351115</v>
      </c>
      <c r="I1013">
        <f>IF(PNL!A1013="","",IF(_CALC_PNL!E1013=1,H1013-G1013,""))</f>
        <v>-5.00003807246685e-7</v>
      </c>
    </row>
    <row r="1014" ht="14.25" customHeight="1">
      <c r="A1014" t="s">
        <v>209</v>
      </c>
      <c r="B1014" t="s">
        <v>220</v>
      </c>
      <c r="C1014" t="s">
        <v>189</v>
      </c>
      <c r="D1014" t="s">
        <v>193</v>
      </c>
      <c r="E1014" t="s">
        <v>147</v>
      </c>
      <c r="F1014" t="s">
        <v>148</v>
      </c>
      <c r="G1014">
        <v>333667.9332</v>
      </c>
      <c r="H1014">
        <f>IF(PNL!A1014="","",_CALC_PNL!P1014)</f>
        <v>333667.9332</v>
      </c>
      <c r="I1014">
        <f>IF(PNL!A1014="","",IF(_CALC_PNL!E1014=1,H1014-G1014,""))</f>
        <v>0</v>
      </c>
    </row>
    <row r="1015" ht="14.25" customHeight="1">
      <c r="A1015" t="s">
        <v>209</v>
      </c>
      <c r="B1015" t="s">
        <v>222</v>
      </c>
      <c r="C1015" t="s">
        <v>189</v>
      </c>
      <c r="D1015" t="s">
        <v>193</v>
      </c>
      <c r="E1015" t="s">
        <v>147</v>
      </c>
      <c r="F1015" t="s">
        <v>148</v>
      </c>
      <c r="G1015">
        <v>111222.6444</v>
      </c>
      <c r="H1015">
        <f>IF(PNL!A1015="","",_CALC_PNL!P1015)</f>
        <v>111222.6444</v>
      </c>
      <c r="I1015">
        <f>IF(PNL!A1015="","",IF(_CALC_PNL!E1015=1,H1015-G1015,""))</f>
        <v>0</v>
      </c>
    </row>
    <row r="1016" ht="14.25" customHeight="1">
      <c r="A1016" t="s">
        <v>86</v>
      </c>
      <c r="B1016" t="s">
        <v>221</v>
      </c>
      <c r="C1016" t="s">
        <v>189</v>
      </c>
      <c r="D1016" t="s">
        <v>193</v>
      </c>
      <c r="E1016" t="s">
        <v>147</v>
      </c>
      <c r="F1016" t="s">
        <v>148</v>
      </c>
      <c r="G1016">
        <v>7881.106149</v>
      </c>
      <c r="H1016">
        <f>IF(PNL!A1016="","",_CALC_PNL!P1016)</f>
        <v>7881.106149</v>
      </c>
      <c r="I1016">
        <f>IF(PNL!A1016="","",IF(_CALC_PNL!E1016=1,H1016-G1016,""))</f>
        <v>0</v>
      </c>
    </row>
    <row r="1017" ht="14.25" customHeight="1">
      <c r="A1017" t="s">
        <v>89</v>
      </c>
      <c r="B1017" t="s">
        <v>221</v>
      </c>
      <c r="C1017" t="s">
        <v>189</v>
      </c>
      <c r="D1017" t="s">
        <v>193</v>
      </c>
      <c r="E1017" t="s">
        <v>147</v>
      </c>
      <c r="F1017" t="s">
        <v>148</v>
      </c>
      <c r="G1017">
        <v>9740.054695</v>
      </c>
      <c r="H1017">
        <f>IF(PNL!A1017="","",_CALC_PNL!P1017)</f>
        <v>9740.054695</v>
      </c>
      <c r="I1017">
        <f>IF(PNL!A1017="","",IF(_CALC_PNL!E1017=1,H1017-G1017,""))</f>
        <v>0</v>
      </c>
    </row>
    <row r="1018" ht="14.25" customHeight="1">
      <c r="A1018" t="s">
        <v>91</v>
      </c>
      <c r="B1018" t="s">
        <v>221</v>
      </c>
      <c r="C1018" t="s">
        <v>189</v>
      </c>
      <c r="D1018" t="s">
        <v>193</v>
      </c>
      <c r="E1018" t="s">
        <v>147</v>
      </c>
      <c r="F1018" t="s">
        <v>148</v>
      </c>
      <c r="G1018">
        <v>7885.802453</v>
      </c>
      <c r="H1018">
        <f>IF(PNL!A1018="","",_CALC_PNL!P1018)</f>
        <v>7885.8024525</v>
      </c>
      <c r="I1018">
        <f>IF(PNL!A1018="","",IF(_CALC_PNL!E1018=1,H1018-G1018,""))</f>
        <v>-5.00000169267878e-7</v>
      </c>
    </row>
    <row r="1019" ht="14.25" customHeight="1">
      <c r="A1019" t="s">
        <v>93</v>
      </c>
      <c r="B1019" t="s">
        <v>221</v>
      </c>
      <c r="C1019" t="s">
        <v>189</v>
      </c>
      <c r="D1019" t="s">
        <v>193</v>
      </c>
      <c r="E1019" t="s">
        <v>147</v>
      </c>
      <c r="F1019" t="s">
        <v>148</v>
      </c>
      <c r="G1019">
        <v>16486.240523</v>
      </c>
      <c r="H1019">
        <f>IF(PNL!A1019="","",_CALC_PNL!P1019)</f>
        <v>16486.2405225</v>
      </c>
      <c r="I1019">
        <f>IF(PNL!A1019="","",IF(_CALC_PNL!E1019=1,H1019-G1019,""))</f>
        <v>-5.00000169267878e-7</v>
      </c>
    </row>
    <row r="1020" ht="14.25" customHeight="1">
      <c r="A1020" t="s">
        <v>95</v>
      </c>
      <c r="B1020" t="s">
        <v>221</v>
      </c>
      <c r="C1020" t="s">
        <v>189</v>
      </c>
      <c r="D1020" t="s">
        <v>193</v>
      </c>
      <c r="E1020" t="s">
        <v>147</v>
      </c>
      <c r="F1020" t="s">
        <v>148</v>
      </c>
      <c r="G1020">
        <v>28265.209658</v>
      </c>
      <c r="H1020">
        <f>IF(PNL!A1020="","",_CALC_PNL!P1020)</f>
        <v>28265.209658</v>
      </c>
      <c r="I1020">
        <f>IF(PNL!A1020="","",IF(_CALC_PNL!E1020=1,H1020-G1020,""))</f>
        <v>0</v>
      </c>
    </row>
    <row r="1021" ht="14.25" customHeight="1">
      <c r="A1021" t="s">
        <v>97</v>
      </c>
      <c r="B1021" t="s">
        <v>221</v>
      </c>
      <c r="C1021" t="s">
        <v>189</v>
      </c>
      <c r="D1021" t="s">
        <v>193</v>
      </c>
      <c r="E1021" t="s">
        <v>147</v>
      </c>
      <c r="F1021" t="s">
        <v>148</v>
      </c>
      <c r="G1021">
        <v>15502.556927</v>
      </c>
      <c r="H1021">
        <f>IF(PNL!A1021="","",_CALC_PNL!P1021)</f>
        <v>15502.5569265</v>
      </c>
      <c r="I1021">
        <f>IF(PNL!A1021="","",IF(_CALC_PNL!E1021=1,H1021-G1021,""))</f>
        <v>-5.00000169267878e-7</v>
      </c>
    </row>
    <row r="1022" ht="14.25" customHeight="1">
      <c r="A1022" t="s">
        <v>99</v>
      </c>
      <c r="B1022" t="s">
        <v>221</v>
      </c>
      <c r="C1022" t="s">
        <v>189</v>
      </c>
      <c r="D1022" t="s">
        <v>193</v>
      </c>
      <c r="E1022" t="s">
        <v>147</v>
      </c>
      <c r="F1022" t="s">
        <v>148</v>
      </c>
      <c r="G1022">
        <v>16235.889149</v>
      </c>
      <c r="H1022">
        <f>IF(PNL!A1022="","",_CALC_PNL!P1022)</f>
        <v>16235.8891485</v>
      </c>
      <c r="I1022">
        <f>IF(PNL!A1022="","",IF(_CALC_PNL!E1022=1,H1022-G1022,""))</f>
        <v>-5.00000169267878e-7</v>
      </c>
    </row>
    <row r="1023" ht="14.25" customHeight="1">
      <c r="A1023" t="s">
        <v>101</v>
      </c>
      <c r="B1023" t="s">
        <v>221</v>
      </c>
      <c r="C1023" t="s">
        <v>189</v>
      </c>
      <c r="D1023" t="s">
        <v>193</v>
      </c>
      <c r="E1023" t="s">
        <v>147</v>
      </c>
      <c r="F1023" t="s">
        <v>148</v>
      </c>
      <c r="G1023">
        <v>23177.301396</v>
      </c>
      <c r="H1023">
        <f>IF(PNL!A1023="","",_CALC_PNL!P1023)</f>
        <v>23177.3013955</v>
      </c>
      <c r="I1023">
        <f>IF(PNL!A1023="","",IF(_CALC_PNL!E1023=1,H1023-G1023,""))</f>
        <v>-5.00000169267878e-7</v>
      </c>
    </row>
    <row r="1024" ht="14.25" customHeight="1">
      <c r="A1024" t="s">
        <v>103</v>
      </c>
      <c r="B1024" t="s">
        <v>221</v>
      </c>
      <c r="C1024" t="s">
        <v>189</v>
      </c>
      <c r="D1024" t="s">
        <v>193</v>
      </c>
      <c r="E1024" t="s">
        <v>147</v>
      </c>
      <c r="F1024" t="s">
        <v>148</v>
      </c>
      <c r="G1024">
        <v>19936.94059</v>
      </c>
      <c r="H1024">
        <f>IF(PNL!A1024="","",_CALC_PNL!P1024)</f>
        <v>19936.94059</v>
      </c>
      <c r="I1024">
        <f>IF(PNL!A1024="","",IF(_CALC_PNL!E1024=1,H1024-G1024,""))</f>
        <v>0</v>
      </c>
    </row>
    <row r="1025" ht="14.25" customHeight="1">
      <c r="A1025" t="s">
        <v>104</v>
      </c>
      <c r="B1025" t="s">
        <v>221</v>
      </c>
      <c r="C1025" t="s">
        <v>189</v>
      </c>
      <c r="D1025" t="s">
        <v>193</v>
      </c>
      <c r="E1025" t="s">
        <v>147</v>
      </c>
      <c r="F1025" t="s">
        <v>148</v>
      </c>
      <c r="G1025">
        <v>29076.734841</v>
      </c>
      <c r="H1025">
        <f>IF(PNL!A1025="","",_CALC_PNL!P1025)</f>
        <v>29076.734841</v>
      </c>
      <c r="I1025">
        <f>IF(PNL!A1025="","",IF(_CALC_PNL!E1025=1,H1025-G1025,""))</f>
        <v>0</v>
      </c>
    </row>
    <row r="1026" ht="14.25" customHeight="1">
      <c r="A1026" t="s">
        <v>105</v>
      </c>
      <c r="B1026" t="s">
        <v>221</v>
      </c>
      <c r="C1026" t="s">
        <v>189</v>
      </c>
      <c r="D1026" t="s">
        <v>193</v>
      </c>
      <c r="E1026" t="s">
        <v>147</v>
      </c>
      <c r="F1026" t="s">
        <v>148</v>
      </c>
      <c r="G1026">
        <v>10584.079874</v>
      </c>
      <c r="H1026">
        <f>IF(PNL!A1026="","",_CALC_PNL!P1026)</f>
        <v>10584.0798735</v>
      </c>
      <c r="I1026">
        <f>IF(PNL!A1026="","",IF(_CALC_PNL!E1026=1,H1026-G1026,""))</f>
        <v>-4.99998350278474e-7</v>
      </c>
    </row>
    <row r="1027" ht="14.25" customHeight="1">
      <c r="A1027" t="s">
        <v>106</v>
      </c>
      <c r="B1027" t="s">
        <v>221</v>
      </c>
      <c r="C1027" t="s">
        <v>189</v>
      </c>
      <c r="D1027" t="s">
        <v>193</v>
      </c>
      <c r="E1027" t="s">
        <v>147</v>
      </c>
      <c r="F1027" t="s">
        <v>148</v>
      </c>
      <c r="G1027">
        <v>13975.697096</v>
      </c>
      <c r="H1027">
        <f>IF(PNL!A1027="","",_CALC_PNL!P1027)</f>
        <v>13975.6970955</v>
      </c>
      <c r="I1027">
        <f>IF(PNL!A1027="","",IF(_CALC_PNL!E1027=1,H1027-G1027,""))</f>
        <v>-5.00000169267878e-7</v>
      </c>
    </row>
    <row r="1028" ht="14.25" customHeight="1">
      <c r="A1028" t="s">
        <v>107</v>
      </c>
      <c r="B1028" t="s">
        <v>221</v>
      </c>
      <c r="C1028" t="s">
        <v>189</v>
      </c>
      <c r="D1028" t="s">
        <v>193</v>
      </c>
      <c r="E1028" t="s">
        <v>147</v>
      </c>
      <c r="F1028" t="s">
        <v>148</v>
      </c>
      <c r="G1028">
        <v>10769.175274</v>
      </c>
      <c r="H1028">
        <f>IF(PNL!A1028="","",_CALC_PNL!P1028)</f>
        <v>10769.1752735</v>
      </c>
      <c r="I1028">
        <f>IF(PNL!A1028="","",IF(_CALC_PNL!E1028=1,H1028-G1028,""))</f>
        <v>-5.00000169267878e-7</v>
      </c>
    </row>
    <row r="1029" ht="14.25" customHeight="1">
      <c r="A1029" t="s">
        <v>108</v>
      </c>
      <c r="B1029" t="s">
        <v>221</v>
      </c>
      <c r="C1029" t="s">
        <v>189</v>
      </c>
      <c r="D1029" t="s">
        <v>193</v>
      </c>
      <c r="E1029" t="s">
        <v>147</v>
      </c>
      <c r="F1029" t="s">
        <v>148</v>
      </c>
      <c r="G1029">
        <v>12936.327352</v>
      </c>
      <c r="H1029">
        <f>IF(PNL!A1029="","",_CALC_PNL!P1029)</f>
        <v>12936.3273515</v>
      </c>
      <c r="I1029">
        <f>IF(PNL!A1029="","",IF(_CALC_PNL!E1029=1,H1029-G1029,""))</f>
        <v>-5.00000169267878e-7</v>
      </c>
    </row>
    <row r="1030" ht="14.25" customHeight="1">
      <c r="A1030" t="s">
        <v>86</v>
      </c>
      <c r="B1030" t="s">
        <v>207</v>
      </c>
      <c r="C1030" t="s">
        <v>189</v>
      </c>
      <c r="D1030" t="s">
        <v>193</v>
      </c>
      <c r="E1030" t="s">
        <v>147</v>
      </c>
      <c r="F1030" t="s">
        <v>148</v>
      </c>
      <c r="G1030">
        <v>142973.453958</v>
      </c>
      <c r="H1030">
        <f>IF(PNL!A1030="","",_CALC_PNL!P1030)</f>
        <v>142973.453958</v>
      </c>
      <c r="I1030">
        <f>IF(PNL!A1030="","",IF(_CALC_PNL!E1030=1,H1030-G1030,""))</f>
        <v>0</v>
      </c>
    </row>
    <row r="1031" ht="14.25" customHeight="1">
      <c r="A1031" t="s">
        <v>89</v>
      </c>
      <c r="B1031" t="s">
        <v>207</v>
      </c>
      <c r="C1031" t="s">
        <v>189</v>
      </c>
      <c r="D1031" t="s">
        <v>193</v>
      </c>
      <c r="E1031" t="s">
        <v>147</v>
      </c>
      <c r="F1031" t="s">
        <v>148</v>
      </c>
      <c r="G1031">
        <v>176692.776138</v>
      </c>
      <c r="H1031">
        <f>IF(PNL!A1031="","",_CALC_PNL!P1031)</f>
        <v>176692.776138</v>
      </c>
      <c r="I1031">
        <f>IF(PNL!A1031="","",IF(_CALC_PNL!E1031=1,H1031-G1031,""))</f>
        <v>0</v>
      </c>
    </row>
    <row r="1032" ht="14.25" customHeight="1">
      <c r="A1032" t="s">
        <v>91</v>
      </c>
      <c r="B1032" t="s">
        <v>207</v>
      </c>
      <c r="C1032" t="s">
        <v>189</v>
      </c>
      <c r="D1032" t="s">
        <v>193</v>
      </c>
      <c r="E1032" t="s">
        <v>147</v>
      </c>
      <c r="F1032" t="s">
        <v>148</v>
      </c>
      <c r="G1032">
        <v>143058.762678</v>
      </c>
      <c r="H1032">
        <f>IF(PNL!A1032="","",_CALC_PNL!P1032)</f>
        <v>143058.762678</v>
      </c>
      <c r="I1032">
        <f>IF(PNL!A1032="","",IF(_CALC_PNL!E1032=1,H1032-G1032,""))</f>
        <v>0</v>
      </c>
    </row>
    <row r="1033" ht="14.25" customHeight="1">
      <c r="A1033" t="s">
        <v>93</v>
      </c>
      <c r="B1033" t="s">
        <v>207</v>
      </c>
      <c r="C1033" t="s">
        <v>189</v>
      </c>
      <c r="D1033" t="s">
        <v>193</v>
      </c>
      <c r="E1033" t="s">
        <v>147</v>
      </c>
      <c r="F1033" t="s">
        <v>148</v>
      </c>
      <c r="G1033">
        <v>299073.430002</v>
      </c>
      <c r="H1033">
        <f>IF(PNL!A1033="","",_CALC_PNL!P1033)</f>
        <v>299073.430002</v>
      </c>
      <c r="I1033">
        <f>IF(PNL!A1033="","",IF(_CALC_PNL!E1033=1,H1033-G1033,""))</f>
        <v>0</v>
      </c>
    </row>
    <row r="1034" ht="14.25" customHeight="1">
      <c r="A1034" t="s">
        <v>95</v>
      </c>
      <c r="B1034" t="s">
        <v>207</v>
      </c>
      <c r="C1034" t="s">
        <v>189</v>
      </c>
      <c r="D1034" t="s">
        <v>193</v>
      </c>
      <c r="E1034" t="s">
        <v>147</v>
      </c>
      <c r="F1034" t="s">
        <v>148</v>
      </c>
      <c r="G1034">
        <v>512745.834288</v>
      </c>
      <c r="H1034">
        <f>IF(PNL!A1034="","",_CALC_PNL!P1034)</f>
        <v>512745.834288</v>
      </c>
      <c r="I1034">
        <f>IF(PNL!A1034="","",IF(_CALC_PNL!E1034=1,H1034-G1034,""))</f>
        <v>0</v>
      </c>
    </row>
    <row r="1035" ht="14.25" customHeight="1">
      <c r="A1035" t="s">
        <v>97</v>
      </c>
      <c r="B1035" t="s">
        <v>207</v>
      </c>
      <c r="C1035" t="s">
        <v>189</v>
      </c>
      <c r="D1035" t="s">
        <v>193</v>
      </c>
      <c r="E1035" t="s">
        <v>147</v>
      </c>
      <c r="F1035" t="s">
        <v>148</v>
      </c>
      <c r="G1035">
        <v>281228.673822</v>
      </c>
      <c r="H1035">
        <f>IF(PNL!A1035="","",_CALC_PNL!P1035)</f>
        <v>281228.673822</v>
      </c>
      <c r="I1035">
        <f>IF(PNL!A1035="","",IF(_CALC_PNL!E1035=1,H1035-G1035,""))</f>
        <v>0</v>
      </c>
    </row>
    <row r="1036" ht="14.25" customHeight="1">
      <c r="A1036" t="s">
        <v>99</v>
      </c>
      <c r="B1036" t="s">
        <v>207</v>
      </c>
      <c r="C1036" t="s">
        <v>189</v>
      </c>
      <c r="D1036" t="s">
        <v>193</v>
      </c>
      <c r="E1036" t="s">
        <v>147</v>
      </c>
      <c r="F1036" t="s">
        <v>148</v>
      </c>
      <c r="G1036">
        <v>294522.146754</v>
      </c>
      <c r="H1036">
        <f>IF(PNL!A1036="","",_CALC_PNL!P1036)</f>
        <v>294522.146754</v>
      </c>
      <c r="I1036">
        <f>IF(PNL!A1036="","",IF(_CALC_PNL!E1036=1,H1036-G1036,""))</f>
        <v>0</v>
      </c>
    </row>
    <row r="1037" ht="14.25" customHeight="1">
      <c r="A1037" t="s">
        <v>101</v>
      </c>
      <c r="B1037" t="s">
        <v>207</v>
      </c>
      <c r="C1037" t="s">
        <v>189</v>
      </c>
      <c r="D1037" t="s">
        <v>193</v>
      </c>
      <c r="E1037" t="s">
        <v>147</v>
      </c>
      <c r="F1037" t="s">
        <v>148</v>
      </c>
      <c r="G1037">
        <v>420442.55568</v>
      </c>
      <c r="H1037">
        <f>IF(PNL!A1037="","",_CALC_PNL!P1037)</f>
        <v>420442.55568</v>
      </c>
      <c r="I1037">
        <f>IF(PNL!A1037="","",IF(_CALC_PNL!E1037=1,H1037-G1037,""))</f>
        <v>0</v>
      </c>
    </row>
    <row r="1038" ht="14.25" customHeight="1">
      <c r="A1038" t="s">
        <v>103</v>
      </c>
      <c r="B1038" t="s">
        <v>207</v>
      </c>
      <c r="C1038" t="s">
        <v>189</v>
      </c>
      <c r="D1038" t="s">
        <v>193</v>
      </c>
      <c r="E1038" t="s">
        <v>147</v>
      </c>
      <c r="F1038" t="s">
        <v>148</v>
      </c>
      <c r="G1038">
        <v>361671.57144</v>
      </c>
      <c r="H1038">
        <f>IF(PNL!A1038="","",_CALC_PNL!P1038)</f>
        <v>361671.57144</v>
      </c>
      <c r="I1038">
        <f>IF(PNL!A1038="","",IF(_CALC_PNL!E1038=1,H1038-G1038,""))</f>
        <v>0</v>
      </c>
    </row>
    <row r="1039" ht="14.25" customHeight="1">
      <c r="A1039" t="s">
        <v>104</v>
      </c>
      <c r="B1039" t="s">
        <v>207</v>
      </c>
      <c r="C1039" t="s">
        <v>189</v>
      </c>
      <c r="D1039" t="s">
        <v>193</v>
      </c>
      <c r="E1039" t="s">
        <v>147</v>
      </c>
      <c r="F1039" t="s">
        <v>148</v>
      </c>
      <c r="G1039">
        <v>527467.345776</v>
      </c>
      <c r="H1039">
        <f>IF(PNL!A1039="","",_CALC_PNL!P1039)</f>
        <v>527467.345776</v>
      </c>
      <c r="I1039">
        <f>IF(PNL!A1039="","",IF(_CALC_PNL!E1039=1,H1039-G1039,""))</f>
        <v>0</v>
      </c>
    </row>
    <row r="1040" ht="14.25" customHeight="1">
      <c r="A1040" t="s">
        <v>105</v>
      </c>
      <c r="B1040" t="s">
        <v>207</v>
      </c>
      <c r="C1040" t="s">
        <v>189</v>
      </c>
      <c r="D1040" t="s">
        <v>193</v>
      </c>
      <c r="E1040" t="s">
        <v>147</v>
      </c>
      <c r="F1040" t="s">
        <v>148</v>
      </c>
      <c r="G1040">
        <v>192003.82131</v>
      </c>
      <c r="H1040">
        <f>IF(PNL!A1040="","",_CALC_PNL!P1040)</f>
        <v>192003.82131</v>
      </c>
      <c r="I1040">
        <f>IF(PNL!A1040="","",IF(_CALC_PNL!E1040=1,H1040-G1040,""))</f>
        <v>0</v>
      </c>
    </row>
    <row r="1041" ht="14.25" customHeight="1">
      <c r="A1041" t="s">
        <v>106</v>
      </c>
      <c r="B1041" t="s">
        <v>207</v>
      </c>
      <c r="C1041" t="s">
        <v>189</v>
      </c>
      <c r="D1041" t="s">
        <v>193</v>
      </c>
      <c r="E1041" t="s">
        <v>147</v>
      </c>
      <c r="F1041" t="s">
        <v>148</v>
      </c>
      <c r="G1041">
        <v>253518.92022</v>
      </c>
      <c r="H1041">
        <f>IF(PNL!A1041="","",_CALC_PNL!P1041)</f>
        <v>253518.92022</v>
      </c>
      <c r="I1041">
        <f>IF(PNL!A1041="","",IF(_CALC_PNL!E1041=1,H1041-G1041,""))</f>
        <v>0</v>
      </c>
    </row>
    <row r="1042" ht="14.25" customHeight="1">
      <c r="A1042" t="s">
        <v>107</v>
      </c>
      <c r="B1042" t="s">
        <v>207</v>
      </c>
      <c r="C1042" t="s">
        <v>189</v>
      </c>
      <c r="D1042" t="s">
        <v>193</v>
      </c>
      <c r="E1042" t="s">
        <v>147</v>
      </c>
      <c r="F1042" t="s">
        <v>148</v>
      </c>
      <c r="G1042">
        <v>195356.674632</v>
      </c>
      <c r="H1042">
        <f>IF(PNL!A1042="","",_CALC_PNL!P1042)</f>
        <v>195356.674632</v>
      </c>
      <c r="I1042">
        <f>IF(PNL!A1042="","",IF(_CALC_PNL!E1042=1,H1042-G1042,""))</f>
        <v>0</v>
      </c>
    </row>
    <row r="1043" ht="14.25" customHeight="1">
      <c r="A1043" t="s">
        <v>108</v>
      </c>
      <c r="B1043" t="s">
        <v>207</v>
      </c>
      <c r="C1043" t="s">
        <v>189</v>
      </c>
      <c r="D1043" t="s">
        <v>193</v>
      </c>
      <c r="E1043" t="s">
        <v>147</v>
      </c>
      <c r="F1043" t="s">
        <v>148</v>
      </c>
      <c r="G1043">
        <v>234672.007206</v>
      </c>
      <c r="H1043">
        <f>IF(PNL!A1043="","",_CALC_PNL!P1043)</f>
        <v>234672.007206</v>
      </c>
      <c r="I1043">
        <f>IF(PNL!A1043="","",IF(_CALC_PNL!E1043=1,H1043-G1043,""))</f>
        <v>0</v>
      </c>
    </row>
    <row r="1044" ht="14.25" customHeight="1">
      <c r="A1044" t="s">
        <v>86</v>
      </c>
      <c r="B1044" t="s">
        <v>208</v>
      </c>
      <c r="C1044" t="s">
        <v>189</v>
      </c>
      <c r="D1044" t="s">
        <v>193</v>
      </c>
      <c r="E1044" t="s">
        <v>147</v>
      </c>
      <c r="F1044" t="s">
        <v>148</v>
      </c>
      <c r="G1044">
        <v>63203.5707</v>
      </c>
      <c r="H1044">
        <f>IF(PNL!A1044="","",_CALC_PNL!P1044)</f>
        <v>63203.5707</v>
      </c>
      <c r="I1044">
        <f>IF(PNL!A1044="","",IF(_CALC_PNL!E1044=1,H1044-G1044,""))</f>
        <v>0</v>
      </c>
    </row>
    <row r="1045" ht="14.25" customHeight="1">
      <c r="A1045" t="s">
        <v>89</v>
      </c>
      <c r="B1045" t="s">
        <v>208</v>
      </c>
      <c r="C1045" t="s">
        <v>189</v>
      </c>
      <c r="D1045" t="s">
        <v>193</v>
      </c>
      <c r="E1045" t="s">
        <v>147</v>
      </c>
      <c r="F1045" t="s">
        <v>148</v>
      </c>
      <c r="G1045">
        <v>96802.473108</v>
      </c>
      <c r="H1045">
        <f>IF(PNL!A1045="","",_CALC_PNL!P1045)</f>
        <v>96802.473108</v>
      </c>
      <c r="I1045">
        <f>IF(PNL!A1045="","",IF(_CALC_PNL!E1045=1,H1045-G1045,""))</f>
        <v>0</v>
      </c>
    </row>
    <row r="1046" ht="14.25" customHeight="1">
      <c r="A1046" t="s">
        <v>91</v>
      </c>
      <c r="B1046" t="s">
        <v>208</v>
      </c>
      <c r="C1046" t="s">
        <v>189</v>
      </c>
      <c r="D1046" t="s">
        <v>193</v>
      </c>
      <c r="E1046" t="s">
        <v>147</v>
      </c>
      <c r="F1046" t="s">
        <v>148</v>
      </c>
      <c r="G1046">
        <v>63241.28724</v>
      </c>
      <c r="H1046">
        <f>IF(PNL!A1046="","",_CALC_PNL!P1046)</f>
        <v>63241.28724</v>
      </c>
      <c r="I1046">
        <f>IF(PNL!A1046="","",IF(_CALC_PNL!E1046=1,H1046-G1046,""))</f>
        <v>0</v>
      </c>
    </row>
    <row r="1047" ht="14.25" customHeight="1">
      <c r="A1047" t="s">
        <v>93</v>
      </c>
      <c r="B1047" t="s">
        <v>208</v>
      </c>
      <c r="C1047" t="s">
        <v>189</v>
      </c>
      <c r="D1047" t="s">
        <v>193</v>
      </c>
      <c r="E1047" t="s">
        <v>147</v>
      </c>
      <c r="F1047" t="s">
        <v>148</v>
      </c>
      <c r="G1047">
        <v>165432.130158</v>
      </c>
      <c r="H1047">
        <f>IF(PNL!A1047="","",_CALC_PNL!P1047)</f>
        <v>165432.130158</v>
      </c>
      <c r="I1047">
        <f>IF(PNL!A1047="","",IF(_CALC_PNL!E1047=1,H1047-G1047,""))</f>
        <v>0</v>
      </c>
    </row>
    <row r="1048" ht="14.25" customHeight="1">
      <c r="A1048" t="s">
        <v>95</v>
      </c>
      <c r="B1048" t="s">
        <v>208</v>
      </c>
      <c r="C1048" t="s">
        <v>189</v>
      </c>
      <c r="D1048" t="s">
        <v>193</v>
      </c>
      <c r="E1048" t="s">
        <v>147</v>
      </c>
      <c r="F1048" t="s">
        <v>148</v>
      </c>
      <c r="G1048">
        <v>274325.73804</v>
      </c>
      <c r="H1048">
        <f>IF(PNL!A1048="","",_CALC_PNL!P1048)</f>
        <v>274325.73804</v>
      </c>
      <c r="I1048">
        <f>IF(PNL!A1048="","",IF(_CALC_PNL!E1048=1,H1048-G1048,""))</f>
        <v>0</v>
      </c>
    </row>
    <row r="1049" ht="14.25" customHeight="1">
      <c r="A1049" t="s">
        <v>97</v>
      </c>
      <c r="B1049" t="s">
        <v>208</v>
      </c>
      <c r="C1049" t="s">
        <v>189</v>
      </c>
      <c r="D1049" t="s">
        <v>193</v>
      </c>
      <c r="E1049" t="s">
        <v>147</v>
      </c>
      <c r="F1049" t="s">
        <v>148</v>
      </c>
      <c r="G1049">
        <v>147273.391662</v>
      </c>
      <c r="H1049">
        <f>IF(PNL!A1049="","",_CALC_PNL!P1049)</f>
        <v>147273.391662</v>
      </c>
      <c r="I1049">
        <f>IF(PNL!A1049="","",IF(_CALC_PNL!E1049=1,H1049-G1049,""))</f>
        <v>0</v>
      </c>
    </row>
    <row r="1050" ht="14.25" customHeight="1">
      <c r="A1050" t="s">
        <v>99</v>
      </c>
      <c r="B1050" t="s">
        <v>208</v>
      </c>
      <c r="C1050" t="s">
        <v>189</v>
      </c>
      <c r="D1050" t="s">
        <v>193</v>
      </c>
      <c r="E1050" t="s">
        <v>147</v>
      </c>
      <c r="F1050" t="s">
        <v>148</v>
      </c>
      <c r="G1050">
        <v>166252.45965</v>
      </c>
      <c r="H1050">
        <f>IF(PNL!A1050="","",_CALC_PNL!P1050)</f>
        <v>166252.45965</v>
      </c>
      <c r="I1050">
        <f>IF(PNL!A1050="","",IF(_CALC_PNL!E1050=1,H1050-G1050,""))</f>
        <v>0</v>
      </c>
    </row>
    <row r="1051" ht="14.25" customHeight="1">
      <c r="A1051" t="s">
        <v>101</v>
      </c>
      <c r="B1051" t="s">
        <v>208</v>
      </c>
      <c r="C1051" t="s">
        <v>189</v>
      </c>
      <c r="D1051" t="s">
        <v>193</v>
      </c>
      <c r="E1051" t="s">
        <v>147</v>
      </c>
      <c r="F1051" t="s">
        <v>148</v>
      </c>
      <c r="G1051">
        <v>237553.52985</v>
      </c>
      <c r="H1051">
        <f>IF(PNL!A1051="","",_CALC_PNL!P1051)</f>
        <v>237553.52985</v>
      </c>
      <c r="I1051">
        <f>IF(PNL!A1051="","",IF(_CALC_PNL!E1051=1,H1051-G1051,""))</f>
        <v>0</v>
      </c>
    </row>
    <row r="1052" ht="14.25" customHeight="1">
      <c r="A1052" t="s">
        <v>103</v>
      </c>
      <c r="B1052" t="s">
        <v>208</v>
      </c>
      <c r="C1052" t="s">
        <v>189</v>
      </c>
      <c r="D1052" t="s">
        <v>193</v>
      </c>
      <c r="E1052" t="s">
        <v>147</v>
      </c>
      <c r="F1052" t="s">
        <v>148</v>
      </c>
      <c r="G1052">
        <v>200877.682692</v>
      </c>
      <c r="H1052">
        <f>IF(PNL!A1052="","",_CALC_PNL!P1052)</f>
        <v>200877.682692</v>
      </c>
      <c r="I1052">
        <f>IF(PNL!A1052="","",IF(_CALC_PNL!E1052=1,H1052-G1052,""))</f>
        <v>0</v>
      </c>
    </row>
    <row r="1053" ht="14.25" customHeight="1">
      <c r="A1053" t="s">
        <v>104</v>
      </c>
      <c r="B1053" t="s">
        <v>208</v>
      </c>
      <c r="C1053" t="s">
        <v>189</v>
      </c>
      <c r="D1053" t="s">
        <v>193</v>
      </c>
      <c r="E1053" t="s">
        <v>147</v>
      </c>
      <c r="F1053" t="s">
        <v>148</v>
      </c>
      <c r="G1053">
        <v>304522.482468</v>
      </c>
      <c r="H1053">
        <f>IF(PNL!A1053="","",_CALC_PNL!P1053)</f>
        <v>304522.482468</v>
      </c>
      <c r="I1053">
        <f>IF(PNL!A1053="","",IF(_CALC_PNL!E1053=1,H1053-G1053,""))</f>
        <v>0</v>
      </c>
    </row>
    <row r="1054" ht="14.25" customHeight="1">
      <c r="A1054" t="s">
        <v>105</v>
      </c>
      <c r="B1054" t="s">
        <v>208</v>
      </c>
      <c r="C1054" t="s">
        <v>189</v>
      </c>
      <c r="D1054" t="s">
        <v>193</v>
      </c>
      <c r="E1054" t="s">
        <v>147</v>
      </c>
      <c r="F1054" t="s">
        <v>148</v>
      </c>
      <c r="G1054">
        <v>77260.96641</v>
      </c>
      <c r="H1054">
        <f>IF(PNL!A1054="","",_CALC_PNL!P1054)</f>
        <v>77260.96641</v>
      </c>
      <c r="I1054">
        <f>IF(PNL!A1054="","",IF(_CALC_PNL!E1054=1,H1054-G1054,""))</f>
        <v>0</v>
      </c>
    </row>
    <row r="1055" ht="14.25" customHeight="1">
      <c r="A1055" t="s">
        <v>106</v>
      </c>
      <c r="B1055" t="s">
        <v>208</v>
      </c>
      <c r="C1055" t="s">
        <v>189</v>
      </c>
      <c r="D1055" t="s">
        <v>193</v>
      </c>
      <c r="E1055" t="s">
        <v>147</v>
      </c>
      <c r="F1055" t="s">
        <v>148</v>
      </c>
      <c r="G1055">
        <v>130749.933078</v>
      </c>
      <c r="H1055">
        <f>IF(PNL!A1055="","",_CALC_PNL!P1055)</f>
        <v>130749.933078</v>
      </c>
      <c r="I1055">
        <f>IF(PNL!A1055="","",IF(_CALC_PNL!E1055=1,H1055-G1055,""))</f>
        <v>0</v>
      </c>
    </row>
    <row r="1056" ht="14.25" customHeight="1">
      <c r="A1056" t="s">
        <v>107</v>
      </c>
      <c r="B1056" t="s">
        <v>208</v>
      </c>
      <c r="C1056" t="s">
        <v>189</v>
      </c>
      <c r="D1056" t="s">
        <v>193</v>
      </c>
      <c r="E1056" t="s">
        <v>147</v>
      </c>
      <c r="F1056" t="s">
        <v>148</v>
      </c>
      <c r="G1056">
        <v>86360.622744</v>
      </c>
      <c r="H1056">
        <f>IF(PNL!A1056="","",_CALC_PNL!P1056)</f>
        <v>86360.622744</v>
      </c>
      <c r="I1056">
        <f>IF(PNL!A1056="","",IF(_CALC_PNL!E1056=1,H1056-G1056,""))</f>
        <v>0</v>
      </c>
    </row>
    <row r="1057" ht="14.25" customHeight="1">
      <c r="A1057" t="s">
        <v>108</v>
      </c>
      <c r="B1057" t="s">
        <v>208</v>
      </c>
      <c r="C1057" t="s">
        <v>189</v>
      </c>
      <c r="D1057" t="s">
        <v>193</v>
      </c>
      <c r="E1057" t="s">
        <v>147</v>
      </c>
      <c r="F1057" t="s">
        <v>148</v>
      </c>
      <c r="G1057">
        <v>122360.86056</v>
      </c>
      <c r="H1057">
        <f>IF(PNL!A1057="","",_CALC_PNL!P1057)</f>
        <v>122360.86056</v>
      </c>
      <c r="I1057">
        <f>IF(PNL!A1057="","",IF(_CALC_PNL!E1057=1,H1057-G1057,""))</f>
        <v>0</v>
      </c>
    </row>
    <row r="1058" ht="14.25" customHeight="1">
      <c r="A1058" t="s">
        <v>209</v>
      </c>
      <c r="B1058" t="s">
        <v>210</v>
      </c>
      <c r="C1058" t="s">
        <v>189</v>
      </c>
      <c r="D1058" t="s">
        <v>193</v>
      </c>
      <c r="E1058" t="s">
        <v>147</v>
      </c>
      <c r="F1058" t="s">
        <v>148</v>
      </c>
      <c r="G1058">
        <v>1305527.0394</v>
      </c>
      <c r="H1058">
        <f>IF(PNL!A1058="","",_CALC_PNL!P1058)</f>
        <v>1305527.0394</v>
      </c>
      <c r="I1058">
        <f>IF(PNL!A1058="","",IF(_CALC_PNL!E1058=1,H1058-G1058,""))</f>
        <v>0</v>
      </c>
    </row>
    <row r="1059" ht="14.25" customHeight="1">
      <c r="A1059" t="s">
        <v>86</v>
      </c>
      <c r="B1059" t="s">
        <v>211</v>
      </c>
      <c r="C1059" t="s">
        <v>189</v>
      </c>
      <c r="D1059" t="s">
        <v>193</v>
      </c>
      <c r="E1059" t="s">
        <v>147</v>
      </c>
      <c r="F1059" t="s">
        <v>148</v>
      </c>
      <c r="G1059">
        <v>98316.062022</v>
      </c>
      <c r="H1059">
        <f>IF(PNL!A1059="","",_CALC_PNL!P1059)</f>
        <v>98316.062022</v>
      </c>
      <c r="I1059">
        <f>IF(PNL!A1059="","",IF(_CALC_PNL!E1059=1,H1059-G1059,""))</f>
        <v>0</v>
      </c>
    </row>
    <row r="1060" ht="14.25" customHeight="1">
      <c r="A1060" t="s">
        <v>89</v>
      </c>
      <c r="B1060" t="s">
        <v>211</v>
      </c>
      <c r="C1060" t="s">
        <v>189</v>
      </c>
      <c r="D1060" t="s">
        <v>193</v>
      </c>
      <c r="E1060" t="s">
        <v>147</v>
      </c>
      <c r="F1060" t="s">
        <v>148</v>
      </c>
      <c r="G1060">
        <v>150581.363352</v>
      </c>
      <c r="H1060">
        <f>IF(PNL!A1060="","",_CALC_PNL!P1060)</f>
        <v>150581.363352</v>
      </c>
      <c r="I1060">
        <f>IF(PNL!A1060="","",IF(_CALC_PNL!E1060=1,H1060-G1060,""))</f>
        <v>0</v>
      </c>
    </row>
    <row r="1061" ht="14.25" customHeight="1">
      <c r="A1061" t="s">
        <v>91</v>
      </c>
      <c r="B1061" t="s">
        <v>211</v>
      </c>
      <c r="C1061" t="s">
        <v>189</v>
      </c>
      <c r="D1061" t="s">
        <v>193</v>
      </c>
      <c r="E1061" t="s">
        <v>147</v>
      </c>
      <c r="F1061" t="s">
        <v>148</v>
      </c>
      <c r="G1061">
        <v>98374.727526</v>
      </c>
      <c r="H1061">
        <f>IF(PNL!A1061="","",_CALC_PNL!P1061)</f>
        <v>98374.727526</v>
      </c>
      <c r="I1061">
        <f>IF(PNL!A1061="","",IF(_CALC_PNL!E1061=1,H1061-G1061,""))</f>
        <v>0</v>
      </c>
    </row>
    <row r="1062" ht="14.25" customHeight="1">
      <c r="A1062" t="s">
        <v>93</v>
      </c>
      <c r="B1062" t="s">
        <v>211</v>
      </c>
      <c r="C1062" t="s">
        <v>189</v>
      </c>
      <c r="D1062" t="s">
        <v>193</v>
      </c>
      <c r="E1062" t="s">
        <v>147</v>
      </c>
      <c r="F1062" t="s">
        <v>148</v>
      </c>
      <c r="G1062">
        <v>257339.153964</v>
      </c>
      <c r="H1062">
        <f>IF(PNL!A1062="","",_CALC_PNL!P1062)</f>
        <v>257339.153964</v>
      </c>
      <c r="I1062">
        <f>IF(PNL!A1062="","",IF(_CALC_PNL!E1062=1,H1062-G1062,""))</f>
        <v>0</v>
      </c>
    </row>
    <row r="1063" ht="14.25" customHeight="1">
      <c r="A1063" t="s">
        <v>95</v>
      </c>
      <c r="B1063" t="s">
        <v>211</v>
      </c>
      <c r="C1063" t="s">
        <v>189</v>
      </c>
      <c r="D1063" t="s">
        <v>193</v>
      </c>
      <c r="E1063" t="s">
        <v>147</v>
      </c>
      <c r="F1063" t="s">
        <v>148</v>
      </c>
      <c r="G1063">
        <v>426728.179914</v>
      </c>
      <c r="H1063">
        <f>IF(PNL!A1063="","",_CALC_PNL!P1063)</f>
        <v>426728.179914</v>
      </c>
      <c r="I1063">
        <f>IF(PNL!A1063="","",IF(_CALC_PNL!E1063=1,H1063-G1063,""))</f>
        <v>0</v>
      </c>
    </row>
    <row r="1064" ht="14.25" customHeight="1">
      <c r="A1064" t="s">
        <v>97</v>
      </c>
      <c r="B1064" t="s">
        <v>211</v>
      </c>
      <c r="C1064" t="s">
        <v>189</v>
      </c>
      <c r="D1064" t="s">
        <v>193</v>
      </c>
      <c r="E1064" t="s">
        <v>147</v>
      </c>
      <c r="F1064" t="s">
        <v>148</v>
      </c>
      <c r="G1064">
        <v>229091.671764</v>
      </c>
      <c r="H1064">
        <f>IF(PNL!A1064="","",_CALC_PNL!P1064)</f>
        <v>229091.671764</v>
      </c>
      <c r="I1064">
        <f>IF(PNL!A1064="","",IF(_CALC_PNL!E1064=1,H1064-G1064,""))</f>
        <v>0</v>
      </c>
    </row>
    <row r="1065" ht="14.25" customHeight="1">
      <c r="A1065" t="s">
        <v>99</v>
      </c>
      <c r="B1065" t="s">
        <v>211</v>
      </c>
      <c r="C1065" t="s">
        <v>189</v>
      </c>
      <c r="D1065" t="s">
        <v>193</v>
      </c>
      <c r="E1065" t="s">
        <v>147</v>
      </c>
      <c r="F1065" t="s">
        <v>148</v>
      </c>
      <c r="G1065">
        <v>258616.189782</v>
      </c>
      <c r="H1065">
        <f>IF(PNL!A1065="","",_CALC_PNL!P1065)</f>
        <v>258616.189782</v>
      </c>
      <c r="I1065">
        <f>IF(PNL!A1065="","",IF(_CALC_PNL!E1065=1,H1065-G1065,""))</f>
        <v>0</v>
      </c>
    </row>
    <row r="1066" ht="14.25" customHeight="1">
      <c r="A1066" t="s">
        <v>101</v>
      </c>
      <c r="B1066" t="s">
        <v>211</v>
      </c>
      <c r="C1066" t="s">
        <v>189</v>
      </c>
      <c r="D1066" t="s">
        <v>193</v>
      </c>
      <c r="E1066" t="s">
        <v>147</v>
      </c>
      <c r="F1066" t="s">
        <v>148</v>
      </c>
      <c r="G1066">
        <v>369526.550436</v>
      </c>
      <c r="H1066">
        <f>IF(PNL!A1066="","",_CALC_PNL!P1066)</f>
        <v>369526.550436</v>
      </c>
      <c r="I1066">
        <f>IF(PNL!A1066="","",IF(_CALC_PNL!E1066=1,H1066-G1066,""))</f>
        <v>0</v>
      </c>
    </row>
    <row r="1067" ht="14.25" customHeight="1">
      <c r="A1067" t="s">
        <v>103</v>
      </c>
      <c r="B1067" t="s">
        <v>211</v>
      </c>
      <c r="C1067" t="s">
        <v>189</v>
      </c>
      <c r="D1067" t="s">
        <v>193</v>
      </c>
      <c r="E1067" t="s">
        <v>147</v>
      </c>
      <c r="F1067" t="s">
        <v>148</v>
      </c>
      <c r="G1067">
        <v>312477.75174</v>
      </c>
      <c r="H1067">
        <f>IF(PNL!A1067="","",_CALC_PNL!P1067)</f>
        <v>312477.75174</v>
      </c>
      <c r="I1067">
        <f>IF(PNL!A1067="","",IF(_CALC_PNL!E1067=1,H1067-G1067,""))</f>
        <v>0</v>
      </c>
    </row>
    <row r="1068" ht="14.25" customHeight="1">
      <c r="A1068" t="s">
        <v>104</v>
      </c>
      <c r="B1068" t="s">
        <v>211</v>
      </c>
      <c r="C1068" t="s">
        <v>189</v>
      </c>
      <c r="D1068" t="s">
        <v>193</v>
      </c>
      <c r="E1068" t="s">
        <v>147</v>
      </c>
      <c r="F1068" t="s">
        <v>148</v>
      </c>
      <c r="G1068">
        <v>473701.93473</v>
      </c>
      <c r="H1068">
        <f>IF(PNL!A1068="","",_CALC_PNL!P1068)</f>
        <v>473701.93473</v>
      </c>
      <c r="I1068">
        <f>IF(PNL!A1068="","",IF(_CALC_PNL!E1068=1,H1068-G1068,""))</f>
        <v>0</v>
      </c>
    </row>
    <row r="1069" ht="14.25" customHeight="1">
      <c r="A1069" t="s">
        <v>105</v>
      </c>
      <c r="B1069" t="s">
        <v>211</v>
      </c>
      <c r="C1069" t="s">
        <v>189</v>
      </c>
      <c r="D1069" t="s">
        <v>193</v>
      </c>
      <c r="E1069" t="s">
        <v>147</v>
      </c>
      <c r="F1069" t="s">
        <v>148</v>
      </c>
      <c r="G1069">
        <v>120183.418518</v>
      </c>
      <c r="H1069">
        <f>IF(PNL!A1069="","",_CALC_PNL!P1069)</f>
        <v>120183.418518</v>
      </c>
      <c r="I1069">
        <f>IF(PNL!A1069="","",IF(_CALC_PNL!E1069=1,H1069-G1069,""))</f>
        <v>0</v>
      </c>
    </row>
    <row r="1070" ht="14.25" customHeight="1">
      <c r="A1070" t="s">
        <v>106</v>
      </c>
      <c r="B1070" t="s">
        <v>211</v>
      </c>
      <c r="C1070" t="s">
        <v>189</v>
      </c>
      <c r="D1070" t="s">
        <v>193</v>
      </c>
      <c r="E1070" t="s">
        <v>147</v>
      </c>
      <c r="F1070" t="s">
        <v>148</v>
      </c>
      <c r="G1070">
        <v>203389.530714</v>
      </c>
      <c r="H1070">
        <f>IF(PNL!A1070="","",_CALC_PNL!P1070)</f>
        <v>203389.530714</v>
      </c>
      <c r="I1070">
        <f>IF(PNL!A1070="","",IF(_CALC_PNL!E1070=1,H1070-G1070,""))</f>
        <v>0</v>
      </c>
    </row>
    <row r="1071" ht="14.25" customHeight="1">
      <c r="A1071" t="s">
        <v>107</v>
      </c>
      <c r="B1071" t="s">
        <v>211</v>
      </c>
      <c r="C1071" t="s">
        <v>189</v>
      </c>
      <c r="D1071" t="s">
        <v>193</v>
      </c>
      <c r="E1071" t="s">
        <v>147</v>
      </c>
      <c r="F1071" t="s">
        <v>148</v>
      </c>
      <c r="G1071">
        <v>134338.351932</v>
      </c>
      <c r="H1071">
        <f>IF(PNL!A1071="","",_CALC_PNL!P1071)</f>
        <v>134338.351932</v>
      </c>
      <c r="I1071">
        <f>IF(PNL!A1071="","",IF(_CALC_PNL!E1071=1,H1071-G1071,""))</f>
        <v>0</v>
      </c>
    </row>
    <row r="1072" ht="14.25" customHeight="1">
      <c r="A1072" t="s">
        <v>108</v>
      </c>
      <c r="B1072" t="s">
        <v>211</v>
      </c>
      <c r="C1072" t="s">
        <v>189</v>
      </c>
      <c r="D1072" t="s">
        <v>193</v>
      </c>
      <c r="E1072" t="s">
        <v>147</v>
      </c>
      <c r="F1072" t="s">
        <v>148</v>
      </c>
      <c r="G1072">
        <v>190338.683346</v>
      </c>
      <c r="H1072">
        <f>IF(PNL!A1072="","",_CALC_PNL!P1072)</f>
        <v>190338.683346</v>
      </c>
      <c r="I1072">
        <f>IF(PNL!A1072="","",IF(_CALC_PNL!E1072=1,H1072-G1072,""))</f>
        <v>0</v>
      </c>
    </row>
    <row r="1073" ht="14.25" customHeight="1">
      <c r="A1073" t="s">
        <v>86</v>
      </c>
      <c r="B1073" t="s">
        <v>223</v>
      </c>
      <c r="C1073" t="s">
        <v>189</v>
      </c>
      <c r="D1073" t="s">
        <v>193</v>
      </c>
      <c r="E1073" t="s">
        <v>147</v>
      </c>
      <c r="F1073" t="s">
        <v>148</v>
      </c>
      <c r="G1073">
        <v>62884.325</v>
      </c>
      <c r="H1073">
        <f>IF(PNL!A1073="","",_CALC_PNL!P1073)</f>
        <v>62884.325</v>
      </c>
      <c r="I1073">
        <f>IF(PNL!A1073="","",IF(_CALC_PNL!E1073=1,H1073-G1073,""))</f>
        <v>0</v>
      </c>
    </row>
    <row r="1074" ht="14.25" customHeight="1">
      <c r="A1074" t="s">
        <v>89</v>
      </c>
      <c r="B1074" t="s">
        <v>223</v>
      </c>
      <c r="C1074" t="s">
        <v>189</v>
      </c>
      <c r="D1074" t="s">
        <v>193</v>
      </c>
      <c r="E1074" t="s">
        <v>147</v>
      </c>
      <c r="F1074" t="s">
        <v>148</v>
      </c>
      <c r="G1074">
        <v>62884.325</v>
      </c>
      <c r="H1074">
        <f>IF(PNL!A1074="","",_CALC_PNL!P1074)</f>
        <v>62884.325</v>
      </c>
      <c r="I1074">
        <f>IF(PNL!A1074="","",IF(_CALC_PNL!E1074=1,H1074-G1074,""))</f>
        <v>0</v>
      </c>
    </row>
    <row r="1075" ht="14.25" customHeight="1">
      <c r="A1075" t="s">
        <v>91</v>
      </c>
      <c r="B1075" t="s">
        <v>223</v>
      </c>
      <c r="C1075" t="s">
        <v>189</v>
      </c>
      <c r="D1075" t="s">
        <v>193</v>
      </c>
      <c r="E1075" t="s">
        <v>147</v>
      </c>
      <c r="F1075" t="s">
        <v>148</v>
      </c>
      <c r="G1075">
        <v>62884.325</v>
      </c>
      <c r="H1075">
        <f>IF(PNL!A1075="","",_CALC_PNL!P1075)</f>
        <v>62884.325</v>
      </c>
      <c r="I1075">
        <f>IF(PNL!A1075="","",IF(_CALC_PNL!E1075=1,H1075-G1075,""))</f>
        <v>0</v>
      </c>
    </row>
    <row r="1076" ht="14.25" customHeight="1">
      <c r="A1076" t="s">
        <v>93</v>
      </c>
      <c r="B1076" t="s">
        <v>223</v>
      </c>
      <c r="C1076" t="s">
        <v>189</v>
      </c>
      <c r="D1076" t="s">
        <v>193</v>
      </c>
      <c r="E1076" t="s">
        <v>147</v>
      </c>
      <c r="F1076" t="s">
        <v>148</v>
      </c>
      <c r="G1076">
        <v>104806.87</v>
      </c>
      <c r="H1076">
        <f>IF(PNL!A1076="","",_CALC_PNL!P1076)</f>
        <v>104806.87</v>
      </c>
      <c r="I1076">
        <f>IF(PNL!A1076="","",IF(_CALC_PNL!E1076=1,H1076-G1076,""))</f>
        <v>0</v>
      </c>
    </row>
    <row r="1077" ht="14.25" customHeight="1">
      <c r="A1077" t="s">
        <v>95</v>
      </c>
      <c r="B1077" t="s">
        <v>223</v>
      </c>
      <c r="C1077" t="s">
        <v>189</v>
      </c>
      <c r="D1077" t="s">
        <v>193</v>
      </c>
      <c r="E1077" t="s">
        <v>147</v>
      </c>
      <c r="F1077" t="s">
        <v>148</v>
      </c>
      <c r="G1077">
        <v>157210.305</v>
      </c>
      <c r="H1077">
        <f>IF(PNL!A1077="","",_CALC_PNL!P1077)</f>
        <v>157210.305</v>
      </c>
      <c r="I1077">
        <f>IF(PNL!A1077="","",IF(_CALC_PNL!E1077=1,H1077-G1077,""))</f>
        <v>0</v>
      </c>
    </row>
    <row r="1078" ht="14.25" customHeight="1">
      <c r="A1078" t="s">
        <v>97</v>
      </c>
      <c r="B1078" t="s">
        <v>223</v>
      </c>
      <c r="C1078" t="s">
        <v>189</v>
      </c>
      <c r="D1078" t="s">
        <v>193</v>
      </c>
      <c r="E1078" t="s">
        <v>147</v>
      </c>
      <c r="F1078" t="s">
        <v>148</v>
      </c>
      <c r="G1078">
        <v>104806.87</v>
      </c>
      <c r="H1078">
        <f>IF(PNL!A1078="","",_CALC_PNL!P1078)</f>
        <v>104806.87</v>
      </c>
      <c r="I1078">
        <f>IF(PNL!A1078="","",IF(_CALC_PNL!E1078=1,H1078-G1078,""))</f>
        <v>0</v>
      </c>
    </row>
    <row r="1079" ht="14.25" customHeight="1">
      <c r="A1079" t="s">
        <v>99</v>
      </c>
      <c r="B1079" t="s">
        <v>223</v>
      </c>
      <c r="C1079" t="s">
        <v>189</v>
      </c>
      <c r="D1079" t="s">
        <v>193</v>
      </c>
      <c r="E1079" t="s">
        <v>147</v>
      </c>
      <c r="F1079" t="s">
        <v>148</v>
      </c>
      <c r="G1079">
        <v>104806.87</v>
      </c>
      <c r="H1079">
        <f>IF(PNL!A1079="","",_CALC_PNL!P1079)</f>
        <v>104806.87</v>
      </c>
      <c r="I1079">
        <f>IF(PNL!A1079="","",IF(_CALC_PNL!E1079=1,H1079-G1079,""))</f>
        <v>0</v>
      </c>
    </row>
    <row r="1080" ht="14.25" customHeight="1">
      <c r="A1080" t="s">
        <v>101</v>
      </c>
      <c r="B1080" t="s">
        <v>223</v>
      </c>
      <c r="C1080" t="s">
        <v>189</v>
      </c>
      <c r="D1080" t="s">
        <v>193</v>
      </c>
      <c r="E1080" t="s">
        <v>147</v>
      </c>
      <c r="F1080" t="s">
        <v>148</v>
      </c>
      <c r="G1080">
        <v>136249.54</v>
      </c>
      <c r="H1080">
        <f>IF(PNL!A1080="","",_CALC_PNL!P1080)</f>
        <v>136249.54</v>
      </c>
      <c r="I1080">
        <f>IF(PNL!A1080="","",IF(_CALC_PNL!E1080=1,H1080-G1080,""))</f>
        <v>0</v>
      </c>
    </row>
    <row r="1081" ht="14.25" customHeight="1">
      <c r="A1081" t="s">
        <v>103</v>
      </c>
      <c r="B1081" t="s">
        <v>223</v>
      </c>
      <c r="C1081" t="s">
        <v>189</v>
      </c>
      <c r="D1081" t="s">
        <v>193</v>
      </c>
      <c r="E1081" t="s">
        <v>147</v>
      </c>
      <c r="F1081" t="s">
        <v>148</v>
      </c>
      <c r="G1081">
        <v>125768.65</v>
      </c>
      <c r="H1081">
        <f>IF(PNL!A1081="","",_CALC_PNL!P1081)</f>
        <v>125768.65</v>
      </c>
      <c r="I1081">
        <f>IF(PNL!A1081="","",IF(_CALC_PNL!E1081=1,H1081-G1081,""))</f>
        <v>0</v>
      </c>
    </row>
    <row r="1082" ht="14.25" customHeight="1">
      <c r="A1082" t="s">
        <v>104</v>
      </c>
      <c r="B1082" t="s">
        <v>223</v>
      </c>
      <c r="C1082" t="s">
        <v>189</v>
      </c>
      <c r="D1082" t="s">
        <v>193</v>
      </c>
      <c r="E1082" t="s">
        <v>147</v>
      </c>
      <c r="F1082" t="s">
        <v>148</v>
      </c>
      <c r="G1082">
        <v>157210.305</v>
      </c>
      <c r="H1082">
        <f>IF(PNL!A1082="","",_CALC_PNL!P1082)</f>
        <v>157210.305</v>
      </c>
      <c r="I1082">
        <f>IF(PNL!A1082="","",IF(_CALC_PNL!E1082=1,H1082-G1082,""))</f>
        <v>0</v>
      </c>
    </row>
    <row r="1083" ht="14.25" customHeight="1">
      <c r="A1083" t="s">
        <v>105</v>
      </c>
      <c r="B1083" t="s">
        <v>223</v>
      </c>
      <c r="C1083" t="s">
        <v>189</v>
      </c>
      <c r="D1083" t="s">
        <v>193</v>
      </c>
      <c r="E1083" t="s">
        <v>147</v>
      </c>
      <c r="F1083" t="s">
        <v>148</v>
      </c>
      <c r="G1083">
        <v>83846.105</v>
      </c>
      <c r="H1083">
        <f>IF(PNL!A1083="","",_CALC_PNL!P1083)</f>
        <v>83846.105</v>
      </c>
      <c r="I1083">
        <f>IF(PNL!A1083="","",IF(_CALC_PNL!E1083=1,H1083-G1083,""))</f>
        <v>0</v>
      </c>
    </row>
    <row r="1084" ht="14.25" customHeight="1">
      <c r="A1084" t="s">
        <v>106</v>
      </c>
      <c r="B1084" t="s">
        <v>223</v>
      </c>
      <c r="C1084" t="s">
        <v>189</v>
      </c>
      <c r="D1084" t="s">
        <v>193</v>
      </c>
      <c r="E1084" t="s">
        <v>147</v>
      </c>
      <c r="F1084" t="s">
        <v>148</v>
      </c>
      <c r="G1084">
        <v>83846.105</v>
      </c>
      <c r="H1084">
        <f>IF(PNL!A1084="","",_CALC_PNL!P1084)</f>
        <v>83846.105</v>
      </c>
      <c r="I1084">
        <f>IF(PNL!A1084="","",IF(_CALC_PNL!E1084=1,H1084-G1084,""))</f>
        <v>0</v>
      </c>
    </row>
    <row r="1085" ht="14.25" customHeight="1">
      <c r="A1085" t="s">
        <v>107</v>
      </c>
      <c r="B1085" t="s">
        <v>223</v>
      </c>
      <c r="C1085" t="s">
        <v>189</v>
      </c>
      <c r="D1085" t="s">
        <v>193</v>
      </c>
      <c r="E1085" t="s">
        <v>147</v>
      </c>
      <c r="F1085" t="s">
        <v>148</v>
      </c>
      <c r="G1085">
        <v>62884.325</v>
      </c>
      <c r="H1085">
        <f>IF(PNL!A1085="","",_CALC_PNL!P1085)</f>
        <v>62884.325</v>
      </c>
      <c r="I1085">
        <f>IF(PNL!A1085="","",IF(_CALC_PNL!E1085=1,H1085-G1085,""))</f>
        <v>0</v>
      </c>
    </row>
    <row r="1086" ht="14.25" customHeight="1">
      <c r="A1086" t="s">
        <v>108</v>
      </c>
      <c r="B1086" t="s">
        <v>223</v>
      </c>
      <c r="C1086" t="s">
        <v>189</v>
      </c>
      <c r="D1086" t="s">
        <v>193</v>
      </c>
      <c r="E1086" t="s">
        <v>147</v>
      </c>
      <c r="F1086" t="s">
        <v>148</v>
      </c>
      <c r="G1086">
        <v>62884.325</v>
      </c>
      <c r="H1086">
        <f>IF(PNL!A1086="","",_CALC_PNL!P1086)</f>
        <v>62884.325</v>
      </c>
      <c r="I1086">
        <f>IF(PNL!A1086="","",IF(_CALC_PNL!E1086=1,H1086-G1086,""))</f>
        <v>0</v>
      </c>
    </row>
    <row r="1087" ht="14.25" customHeight="1">
      <c r="A1087" t="s">
        <v>93</v>
      </c>
      <c r="B1087" t="s">
        <v>201</v>
      </c>
      <c r="C1087" t="s">
        <v>189</v>
      </c>
      <c r="D1087" t="s">
        <v>193</v>
      </c>
      <c r="E1087" t="s">
        <v>147</v>
      </c>
      <c r="F1087" t="s">
        <v>148</v>
      </c>
      <c r="G1087">
        <v>426607.5975</v>
      </c>
      <c r="H1087">
        <f>IF(PNL!A1087="","",_CALC_PNL!P1087)</f>
        <v>426607.791990709</v>
      </c>
      <c r="I1087">
        <f>IF(PNL!A1087="","",IF(_CALC_PNL!E1087=1,H1087-G1087,""))</f>
        <v>0.194490709051024</v>
      </c>
    </row>
    <row r="1088" ht="14.25" customHeight="1">
      <c r="A1088" t="s">
        <v>95</v>
      </c>
      <c r="B1088" t="s">
        <v>201</v>
      </c>
      <c r="C1088" t="s">
        <v>189</v>
      </c>
      <c r="D1088" t="s">
        <v>193</v>
      </c>
      <c r="E1088" t="s">
        <v>147</v>
      </c>
      <c r="F1088" t="s">
        <v>148</v>
      </c>
      <c r="G1088">
        <v>702074.2176</v>
      </c>
      <c r="H1088">
        <f>IF(PNL!A1088="","",_CALC_PNL!P1088)</f>
        <v>702074.537676139</v>
      </c>
      <c r="I1088">
        <f>IF(PNL!A1088="","",IF(_CALC_PNL!E1088=1,H1088-G1088,""))</f>
        <v>0.320076139061712</v>
      </c>
    </row>
    <row r="1089" ht="14.25" customHeight="1">
      <c r="A1089" t="s">
        <v>97</v>
      </c>
      <c r="B1089" t="s">
        <v>201</v>
      </c>
      <c r="C1089" t="s">
        <v>189</v>
      </c>
      <c r="D1089" t="s">
        <v>193</v>
      </c>
      <c r="E1089" t="s">
        <v>147</v>
      </c>
      <c r="F1089" t="s">
        <v>148</v>
      </c>
      <c r="G1089">
        <v>392827.2408</v>
      </c>
      <c r="H1089">
        <f>IF(PNL!A1089="","",_CALC_PNL!P1089)</f>
        <v>392827.419890221</v>
      </c>
      <c r="I1089">
        <f>IF(PNL!A1089="","",IF(_CALC_PNL!E1089=1,H1089-G1089,""))</f>
        <v>0.179090220946819</v>
      </c>
    </row>
    <row r="1090" ht="14.25" customHeight="1">
      <c r="A1090" t="s">
        <v>99</v>
      </c>
      <c r="B1090" t="s">
        <v>201</v>
      </c>
      <c r="C1090" t="s">
        <v>189</v>
      </c>
      <c r="D1090" t="s">
        <v>193</v>
      </c>
      <c r="E1090" t="s">
        <v>147</v>
      </c>
      <c r="F1090" t="s">
        <v>148</v>
      </c>
      <c r="G1090">
        <v>430699.547925</v>
      </c>
      <c r="H1090">
        <f>IF(PNL!A1090="","",_CALC_PNL!P1090)</f>
        <v>430699.744281232</v>
      </c>
      <c r="I1090">
        <f>IF(PNL!A1090="","",IF(_CALC_PNL!E1090=1,H1090-G1090,""))</f>
        <v>0.196356231987011</v>
      </c>
    </row>
    <row r="1091" ht="14.25" customHeight="1">
      <c r="A1091" t="s">
        <v>101</v>
      </c>
      <c r="B1091" t="s">
        <v>201</v>
      </c>
      <c r="C1091" t="s">
        <v>189</v>
      </c>
      <c r="D1091" t="s">
        <v>193</v>
      </c>
      <c r="E1091" t="s">
        <v>147</v>
      </c>
      <c r="F1091" t="s">
        <v>148</v>
      </c>
      <c r="G1091">
        <v>603345.03075</v>
      </c>
      <c r="H1091">
        <f>IF(PNL!A1091="","",_CALC_PNL!P1091)</f>
        <v>603345.305815432</v>
      </c>
      <c r="I1091">
        <f>IF(PNL!A1091="","",IF(_CALC_PNL!E1091=1,H1091-G1091,""))</f>
        <v>0.275065431953408</v>
      </c>
    </row>
    <row r="1092" ht="14.25" customHeight="1">
      <c r="A1092" t="s">
        <v>103</v>
      </c>
      <c r="B1092" t="s">
        <v>201</v>
      </c>
      <c r="C1092" t="s">
        <v>189</v>
      </c>
      <c r="D1092" t="s">
        <v>193</v>
      </c>
      <c r="E1092" t="s">
        <v>147</v>
      </c>
      <c r="F1092" t="s">
        <v>148</v>
      </c>
      <c r="G1092">
        <v>522376.65</v>
      </c>
      <c r="H1092">
        <f>IF(PNL!A1092="","",_CALC_PNL!P1092)</f>
        <v>522376.888151889</v>
      </c>
      <c r="I1092">
        <f>IF(PNL!A1092="","",IF(_CALC_PNL!E1092=1,H1092-G1092,""))</f>
        <v>0.238151889003348</v>
      </c>
    </row>
    <row r="1093" ht="14.25" customHeight="1">
      <c r="A1093" t="s">
        <v>104</v>
      </c>
      <c r="B1093" t="s">
        <v>201</v>
      </c>
      <c r="C1093" t="s">
        <v>189</v>
      </c>
      <c r="D1093" t="s">
        <v>193</v>
      </c>
      <c r="E1093" t="s">
        <v>147</v>
      </c>
      <c r="F1093" t="s">
        <v>148</v>
      </c>
      <c r="G1093">
        <v>760580.4024</v>
      </c>
      <c r="H1093">
        <f>IF(PNL!A1093="","",_CALC_PNL!P1093)</f>
        <v>760580.74914915</v>
      </c>
      <c r="I1093">
        <f>IF(PNL!A1093="","",IF(_CALC_PNL!E1093=1,H1093-G1093,""))</f>
        <v>0.346749149961397</v>
      </c>
    </row>
    <row r="1094" ht="14.25" customHeight="1">
      <c r="A1094" t="s">
        <v>86</v>
      </c>
      <c r="B1094" t="s">
        <v>200</v>
      </c>
      <c r="C1094" t="s">
        <v>189</v>
      </c>
      <c r="D1094" t="s">
        <v>193</v>
      </c>
      <c r="E1094" t="s">
        <v>147</v>
      </c>
      <c r="F1094" t="s">
        <v>148</v>
      </c>
      <c r="G1094">
        <v>903189.22785</v>
      </c>
      <c r="H1094">
        <f>IF(PNL!A1094="","",_CALC_PNL!P1094)</f>
        <v>903189.639614616</v>
      </c>
      <c r="I1094">
        <f>IF(PNL!A1094="","",IF(_CALC_PNL!E1094=1,H1094-G1094,""))</f>
        <v>0.411764616030268</v>
      </c>
    </row>
    <row r="1095" ht="14.25" customHeight="1">
      <c r="A1095" t="s">
        <v>89</v>
      </c>
      <c r="B1095" t="s">
        <v>200</v>
      </c>
      <c r="C1095" t="s">
        <v>189</v>
      </c>
      <c r="D1095" t="s">
        <v>193</v>
      </c>
      <c r="E1095" t="s">
        <v>147</v>
      </c>
      <c r="F1095" t="s">
        <v>148</v>
      </c>
      <c r="G1095">
        <v>1178249.555</v>
      </c>
      <c r="H1095">
        <f>IF(PNL!A1095="","",_CALC_PNL!P1095)</f>
        <v>1178250.09216482</v>
      </c>
      <c r="I1095">
        <f>IF(PNL!A1095="","",IF(_CALC_PNL!E1095=1,H1095-G1095,""))</f>
        <v>0.537164820125327</v>
      </c>
    </row>
    <row r="1096" ht="14.25" customHeight="1">
      <c r="A1096" t="s">
        <v>91</v>
      </c>
      <c r="B1096" t="s">
        <v>200</v>
      </c>
      <c r="C1096" t="s">
        <v>189</v>
      </c>
      <c r="D1096" t="s">
        <v>193</v>
      </c>
      <c r="E1096" t="s">
        <v>147</v>
      </c>
      <c r="F1096" t="s">
        <v>148</v>
      </c>
      <c r="G1096">
        <v>903189.22785</v>
      </c>
      <c r="H1096">
        <f>IF(PNL!A1096="","",_CALC_PNL!P1096)</f>
        <v>903189.639614616</v>
      </c>
      <c r="I1096">
        <f>IF(PNL!A1096="","",IF(_CALC_PNL!E1096=1,H1096-G1096,""))</f>
        <v>0.411764616030268</v>
      </c>
    </row>
    <row r="1097" ht="14.25" customHeight="1">
      <c r="A1097" t="s">
        <v>93</v>
      </c>
      <c r="B1097" t="s">
        <v>200</v>
      </c>
      <c r="C1097" t="s">
        <v>189</v>
      </c>
      <c r="D1097" t="s">
        <v>193</v>
      </c>
      <c r="E1097" t="s">
        <v>147</v>
      </c>
      <c r="F1097" t="s">
        <v>148</v>
      </c>
      <c r="G1097">
        <v>1601200.51595</v>
      </c>
      <c r="H1097">
        <f>IF(PNL!A1097="","",_CALC_PNL!P1097)</f>
        <v>1601201.24593846</v>
      </c>
      <c r="I1097">
        <f>IF(PNL!A1097="","",IF(_CALC_PNL!E1097=1,H1097-G1097,""))</f>
        <v>0.729988460196182</v>
      </c>
    </row>
    <row r="1098" ht="14.25" customHeight="1">
      <c r="A1098" t="s">
        <v>95</v>
      </c>
      <c r="B1098" t="s">
        <v>200</v>
      </c>
      <c r="C1098" t="s">
        <v>189</v>
      </c>
      <c r="D1098" t="s">
        <v>193</v>
      </c>
      <c r="E1098" t="s">
        <v>147</v>
      </c>
      <c r="F1098" t="s">
        <v>148</v>
      </c>
      <c r="G1098">
        <v>2659431.13352</v>
      </c>
      <c r="H1098">
        <f>IF(PNL!A1098="","",_CALC_PNL!P1098)</f>
        <v>2659432.34595656</v>
      </c>
      <c r="I1098">
        <f>IF(PNL!A1098="","",IF(_CALC_PNL!E1098=1,H1098-G1098,""))</f>
        <v>1.21243656007573</v>
      </c>
    </row>
    <row r="1099" ht="14.25" customHeight="1">
      <c r="A1099" t="s">
        <v>97</v>
      </c>
      <c r="B1099" t="s">
        <v>200</v>
      </c>
      <c r="C1099" t="s">
        <v>189</v>
      </c>
      <c r="D1099" t="s">
        <v>193</v>
      </c>
      <c r="E1099" t="s">
        <v>147</v>
      </c>
      <c r="F1099" t="s">
        <v>148</v>
      </c>
      <c r="G1099">
        <v>1487171.49744</v>
      </c>
      <c r="H1099">
        <f>IF(PNL!A1099="","",_CALC_PNL!P1099)</f>
        <v>1487172.17544255</v>
      </c>
      <c r="I1099">
        <f>IF(PNL!A1099="","",IF(_CALC_PNL!E1099=1,H1099-G1099,""))</f>
        <v>0.678002550033852</v>
      </c>
    </row>
    <row r="1100" ht="14.25" customHeight="1">
      <c r="A1100" t="s">
        <v>99</v>
      </c>
      <c r="B1100" t="s">
        <v>200</v>
      </c>
      <c r="C1100" t="s">
        <v>189</v>
      </c>
      <c r="D1100" t="s">
        <v>193</v>
      </c>
      <c r="E1100" t="s">
        <v>147</v>
      </c>
      <c r="F1100" t="s">
        <v>148</v>
      </c>
      <c r="G1100">
        <v>1617516.079985</v>
      </c>
      <c r="H1100">
        <f>IF(PNL!A1100="","",_CALC_PNL!P1100)</f>
        <v>1617516.81741174</v>
      </c>
      <c r="I1100">
        <f>IF(PNL!A1100="","",IF(_CALC_PNL!E1100=1,H1100-G1100,""))</f>
        <v>0.737426740117371</v>
      </c>
    </row>
    <row r="1101" ht="14.25" customHeight="1">
      <c r="A1101" t="s">
        <v>101</v>
      </c>
      <c r="B1101" t="s">
        <v>200</v>
      </c>
      <c r="C1101" t="s">
        <v>189</v>
      </c>
      <c r="D1101" t="s">
        <v>193</v>
      </c>
      <c r="E1101" t="s">
        <v>147</v>
      </c>
      <c r="F1101" t="s">
        <v>148</v>
      </c>
      <c r="G1101">
        <v>2281131.767775</v>
      </c>
      <c r="H1101">
        <f>IF(PNL!A1101="","",_CALC_PNL!P1101)</f>
        <v>2281132.80774461</v>
      </c>
      <c r="I1101">
        <f>IF(PNL!A1101="","",IF(_CALC_PNL!E1101=1,H1101-G1101,""))</f>
        <v>1.03996961005032</v>
      </c>
    </row>
    <row r="1102" ht="14.25" customHeight="1">
      <c r="A1102" t="s">
        <v>103</v>
      </c>
      <c r="B1102" t="s">
        <v>200</v>
      </c>
      <c r="C1102" t="s">
        <v>189</v>
      </c>
      <c r="D1102" t="s">
        <v>193</v>
      </c>
      <c r="E1102" t="s">
        <v>147</v>
      </c>
      <c r="F1102" t="s">
        <v>148</v>
      </c>
      <c r="G1102">
        <v>1970520.8075</v>
      </c>
      <c r="H1102">
        <f>IF(PNL!A1102="","",_CALC_PNL!P1102)</f>
        <v>1970521.70586185</v>
      </c>
      <c r="I1102">
        <f>IF(PNL!A1102="","",IF(_CALC_PNL!E1102=1,H1102-G1102,""))</f>
        <v>0.898361849831417</v>
      </c>
    </row>
    <row r="1103" ht="14.25" customHeight="1">
      <c r="A1103" t="s">
        <v>104</v>
      </c>
      <c r="B1103" t="s">
        <v>200</v>
      </c>
      <c r="C1103" t="s">
        <v>189</v>
      </c>
      <c r="D1103" t="s">
        <v>193</v>
      </c>
      <c r="E1103" t="s">
        <v>147</v>
      </c>
      <c r="F1103" t="s">
        <v>148</v>
      </c>
      <c r="G1103">
        <v>2866803.0552</v>
      </c>
      <c r="H1103">
        <f>IF(PNL!A1103="","",_CALC_PNL!P1103)</f>
        <v>2866804.36217757</v>
      </c>
      <c r="I1103">
        <f>IF(PNL!A1103="","",IF(_CALC_PNL!E1103=1,H1103-G1103,""))</f>
        <v>1.30697757005692</v>
      </c>
    </row>
    <row r="1104" ht="14.25" customHeight="1">
      <c r="A1104" t="s">
        <v>105</v>
      </c>
      <c r="B1104" t="s">
        <v>200</v>
      </c>
      <c r="C1104" t="s">
        <v>189</v>
      </c>
      <c r="D1104" t="s">
        <v>193</v>
      </c>
      <c r="E1104" t="s">
        <v>147</v>
      </c>
      <c r="F1104" t="s">
        <v>148</v>
      </c>
      <c r="G1104">
        <v>1307299.80429</v>
      </c>
      <c r="H1104">
        <f>IF(PNL!A1104="","",_CALC_PNL!P1104)</f>
        <v>1307300.40028892</v>
      </c>
      <c r="I1104">
        <f>IF(PNL!A1104="","",IF(_CALC_PNL!E1104=1,H1104-G1104,""))</f>
        <v>0.595998920034617</v>
      </c>
    </row>
    <row r="1105" ht="14.25" customHeight="1">
      <c r="A1105" t="s">
        <v>106</v>
      </c>
      <c r="B1105" t="s">
        <v>200</v>
      </c>
      <c r="C1105" t="s">
        <v>189</v>
      </c>
      <c r="D1105" t="s">
        <v>193</v>
      </c>
      <c r="E1105" t="s">
        <v>147</v>
      </c>
      <c r="F1105" t="s">
        <v>148</v>
      </c>
      <c r="G1105">
        <v>1817348.36535</v>
      </c>
      <c r="H1105">
        <f>IF(PNL!A1105="","",_CALC_PNL!P1105)</f>
        <v>1817349.19388042</v>
      </c>
      <c r="I1105">
        <f>IF(PNL!A1105="","",IF(_CALC_PNL!E1105=1,H1105-G1105,""))</f>
        <v>0.828530419850722</v>
      </c>
    </row>
    <row r="1106" ht="14.25" customHeight="1">
      <c r="A1106" t="s">
        <v>107</v>
      </c>
      <c r="B1106" t="s">
        <v>200</v>
      </c>
      <c r="C1106" t="s">
        <v>189</v>
      </c>
      <c r="D1106" t="s">
        <v>193</v>
      </c>
      <c r="E1106" t="s">
        <v>147</v>
      </c>
      <c r="F1106" t="s">
        <v>148</v>
      </c>
      <c r="G1106">
        <v>998261.77815</v>
      </c>
      <c r="H1106">
        <f>IF(PNL!A1106="","",_CALC_PNL!P1106)</f>
        <v>998262.23325826</v>
      </c>
      <c r="I1106">
        <f>IF(PNL!A1106="","",IF(_CALC_PNL!E1106=1,H1106-G1106,""))</f>
        <v>0.455108259920962</v>
      </c>
    </row>
    <row r="1107" ht="14.25" customHeight="1">
      <c r="A1107" t="s">
        <v>108</v>
      </c>
      <c r="B1107" t="s">
        <v>200</v>
      </c>
      <c r="C1107" t="s">
        <v>189</v>
      </c>
      <c r="D1107" t="s">
        <v>193</v>
      </c>
      <c r="E1107" t="s">
        <v>147</v>
      </c>
      <c r="F1107" t="s">
        <v>148</v>
      </c>
      <c r="G1107">
        <v>1255932.76704</v>
      </c>
      <c r="H1107">
        <f>IF(PNL!A1107="","",_CALC_PNL!P1107)</f>
        <v>1255933.33962065</v>
      </c>
      <c r="I1107">
        <f>IF(PNL!A1107="","",IF(_CALC_PNL!E1107=1,H1107-G1107,""))</f>
        <v>0.572580649983138</v>
      </c>
    </row>
    <row r="1108" ht="14.25" customHeight="1">
      <c r="A1108" t="s">
        <v>86</v>
      </c>
      <c r="B1108" t="s">
        <v>202</v>
      </c>
      <c r="C1108" t="s">
        <v>189</v>
      </c>
      <c r="D1108" t="s">
        <v>193</v>
      </c>
      <c r="E1108" t="s">
        <v>147</v>
      </c>
      <c r="F1108" t="s">
        <v>148</v>
      </c>
      <c r="G1108">
        <v>4179.0132</v>
      </c>
      <c r="H1108">
        <f>IF(PNL!A1108="","",_CALC_PNL!P1108)</f>
        <v>4179.01510521511</v>
      </c>
      <c r="I1108">
        <f>IF(PNL!A1108="","",IF(_CALC_PNL!E1108=1,H1108-G1108,""))</f>
        <v>0.00190521511012776</v>
      </c>
    </row>
    <row r="1109" ht="14.25" customHeight="1">
      <c r="A1109" t="s">
        <v>89</v>
      </c>
      <c r="B1109" t="s">
        <v>202</v>
      </c>
      <c r="C1109" t="s">
        <v>189</v>
      </c>
      <c r="D1109" t="s">
        <v>193</v>
      </c>
      <c r="E1109" t="s">
        <v>147</v>
      </c>
      <c r="F1109" t="s">
        <v>148</v>
      </c>
      <c r="G1109">
        <v>5223.7665</v>
      </c>
      <c r="H1109">
        <f>IF(PNL!A1109="","",_CALC_PNL!P1109)</f>
        <v>5223.76888151889</v>
      </c>
      <c r="I1109">
        <f>IF(PNL!A1109="","",IF(_CALC_PNL!E1109=1,H1109-G1109,""))</f>
        <v>0.00238151889061555</v>
      </c>
    </row>
    <row r="1110" ht="14.25" customHeight="1">
      <c r="A1110" t="s">
        <v>91</v>
      </c>
      <c r="B1110" t="s">
        <v>202</v>
      </c>
      <c r="C1110" t="s">
        <v>189</v>
      </c>
      <c r="D1110" t="s">
        <v>193</v>
      </c>
      <c r="E1110" t="s">
        <v>147</v>
      </c>
      <c r="F1110" t="s">
        <v>148</v>
      </c>
      <c r="G1110">
        <v>4179.0132</v>
      </c>
      <c r="H1110">
        <f>IF(PNL!A1110="","",_CALC_PNL!P1110)</f>
        <v>4179.01510521511</v>
      </c>
      <c r="I1110">
        <f>IF(PNL!A1110="","",IF(_CALC_PNL!E1110=1,H1110-G1110,""))</f>
        <v>0.00190521511012776</v>
      </c>
    </row>
    <row r="1111" ht="14.25" customHeight="1">
      <c r="A1111" t="s">
        <v>93</v>
      </c>
      <c r="B1111" t="s">
        <v>202</v>
      </c>
      <c r="C1111" t="s">
        <v>189</v>
      </c>
      <c r="D1111" t="s">
        <v>193</v>
      </c>
      <c r="E1111" t="s">
        <v>147</v>
      </c>
      <c r="F1111" t="s">
        <v>148</v>
      </c>
      <c r="G1111">
        <v>10447.533</v>
      </c>
      <c r="H1111">
        <f>IF(PNL!A1111="","",_CALC_PNL!P1111)</f>
        <v>10447.5377630378</v>
      </c>
      <c r="I1111">
        <f>IF(PNL!A1111="","",IF(_CALC_PNL!E1111=1,H1111-G1111,""))</f>
        <v>0.00476303780123999</v>
      </c>
    </row>
    <row r="1112" ht="14.25" customHeight="1">
      <c r="A1112" t="s">
        <v>95</v>
      </c>
      <c r="B1112" t="s">
        <v>202</v>
      </c>
      <c r="C1112" t="s">
        <v>189</v>
      </c>
      <c r="D1112" t="s">
        <v>193</v>
      </c>
      <c r="E1112" t="s">
        <v>147</v>
      </c>
      <c r="F1112" t="s">
        <v>148</v>
      </c>
      <c r="G1112">
        <v>15044.44752</v>
      </c>
      <c r="H1112">
        <f>IF(PNL!A1112="","",_CALC_PNL!P1112)</f>
        <v>15044.4543787744</v>
      </c>
      <c r="I1112">
        <f>IF(PNL!A1112="","",IF(_CALC_PNL!E1112=1,H1112-G1112,""))</f>
        <v>0.0068587744008255</v>
      </c>
    </row>
    <row r="1113" ht="14.25" customHeight="1">
      <c r="A1113" t="s">
        <v>97</v>
      </c>
      <c r="B1113" t="s">
        <v>202</v>
      </c>
      <c r="C1113" t="s">
        <v>189</v>
      </c>
      <c r="D1113" t="s">
        <v>193</v>
      </c>
      <c r="E1113" t="s">
        <v>147</v>
      </c>
      <c r="F1113" t="s">
        <v>148</v>
      </c>
      <c r="G1113">
        <v>9820.68102</v>
      </c>
      <c r="H1113">
        <f>IF(PNL!A1113="","",_CALC_PNL!P1113)</f>
        <v>9820.68549725551</v>
      </c>
      <c r="I1113">
        <f>IF(PNL!A1113="","",IF(_CALC_PNL!E1113=1,H1113-G1113,""))</f>
        <v>0.00447725551020994</v>
      </c>
    </row>
    <row r="1114" ht="14.25" customHeight="1">
      <c r="A1114" t="s">
        <v>99</v>
      </c>
      <c r="B1114" t="s">
        <v>202</v>
      </c>
      <c r="C1114" t="s">
        <v>189</v>
      </c>
      <c r="D1114" t="s">
        <v>193</v>
      </c>
      <c r="E1114" t="s">
        <v>147</v>
      </c>
      <c r="F1114" t="s">
        <v>148</v>
      </c>
      <c r="G1114">
        <v>10656.48366</v>
      </c>
      <c r="H1114">
        <f>IF(PNL!A1114="","",_CALC_PNL!P1114)</f>
        <v>10656.4885182985</v>
      </c>
      <c r="I1114">
        <f>IF(PNL!A1114="","",IF(_CALC_PNL!E1114=1,H1114-G1114,""))</f>
        <v>0.00485829850003938</v>
      </c>
    </row>
    <row r="1115" ht="14.25" customHeight="1">
      <c r="A1115" t="s">
        <v>101</v>
      </c>
      <c r="B1115" t="s">
        <v>202</v>
      </c>
      <c r="C1115" t="s">
        <v>189</v>
      </c>
      <c r="D1115" t="s">
        <v>193</v>
      </c>
      <c r="E1115" t="s">
        <v>147</v>
      </c>
      <c r="F1115" t="s">
        <v>148</v>
      </c>
      <c r="G1115">
        <v>13790.74356</v>
      </c>
      <c r="H1115">
        <f>IF(PNL!A1115="","",_CALC_PNL!P1115)</f>
        <v>13790.7498472099</v>
      </c>
      <c r="I1115">
        <f>IF(PNL!A1115="","",IF(_CALC_PNL!E1115=1,H1115-G1115,""))</f>
        <v>0.00628720989880094</v>
      </c>
    </row>
    <row r="1116" ht="14.25" customHeight="1">
      <c r="A1116" t="s">
        <v>103</v>
      </c>
      <c r="B1116" t="s">
        <v>202</v>
      </c>
      <c r="C1116" t="s">
        <v>189</v>
      </c>
      <c r="D1116" t="s">
        <v>193</v>
      </c>
      <c r="E1116" t="s">
        <v>147</v>
      </c>
      <c r="F1116" t="s">
        <v>148</v>
      </c>
      <c r="G1116">
        <v>12537.0396</v>
      </c>
      <c r="H1116">
        <f>IF(PNL!A1116="","",_CALC_PNL!P1116)</f>
        <v>12537.0453156453</v>
      </c>
      <c r="I1116">
        <f>IF(PNL!A1116="","",IF(_CALC_PNL!E1116=1,H1116-G1116,""))</f>
        <v>0.00571564530036994</v>
      </c>
    </row>
    <row r="1117" ht="14.25" customHeight="1">
      <c r="A1117" t="s">
        <v>104</v>
      </c>
      <c r="B1117" t="s">
        <v>202</v>
      </c>
      <c r="C1117" t="s">
        <v>189</v>
      </c>
      <c r="D1117" t="s">
        <v>193</v>
      </c>
      <c r="E1117" t="s">
        <v>147</v>
      </c>
      <c r="F1117" t="s">
        <v>148</v>
      </c>
      <c r="G1117">
        <v>16298.15148</v>
      </c>
      <c r="H1117">
        <f>IF(PNL!A1117="","",_CALC_PNL!P1117)</f>
        <v>16298.1589103389</v>
      </c>
      <c r="I1117">
        <f>IF(PNL!A1117="","",IF(_CALC_PNL!E1117=1,H1117-G1117,""))</f>
        <v>0.00743033889921207</v>
      </c>
    </row>
    <row r="1118" ht="14.25" customHeight="1">
      <c r="A1118" t="s">
        <v>105</v>
      </c>
      <c r="B1118" t="s">
        <v>202</v>
      </c>
      <c r="C1118" t="s">
        <v>189</v>
      </c>
      <c r="D1118" t="s">
        <v>193</v>
      </c>
      <c r="E1118" t="s">
        <v>147</v>
      </c>
      <c r="F1118" t="s">
        <v>148</v>
      </c>
      <c r="G1118">
        <v>7522.22376</v>
      </c>
      <c r="H1118">
        <f>IF(PNL!A1118="","",_CALC_PNL!P1118)</f>
        <v>7522.2271893872</v>
      </c>
      <c r="I1118">
        <f>IF(PNL!A1118="","",IF(_CALC_PNL!E1118=1,H1118-G1118,""))</f>
        <v>0.00342938720041275</v>
      </c>
    </row>
    <row r="1119" ht="14.25" customHeight="1">
      <c r="A1119" t="s">
        <v>106</v>
      </c>
      <c r="B1119" t="s">
        <v>202</v>
      </c>
      <c r="C1119" t="s">
        <v>189</v>
      </c>
      <c r="D1119" t="s">
        <v>193</v>
      </c>
      <c r="E1119" t="s">
        <v>147</v>
      </c>
      <c r="F1119" t="s">
        <v>148</v>
      </c>
      <c r="G1119">
        <v>9611.73036</v>
      </c>
      <c r="H1119">
        <f>IF(PNL!A1119="","",_CALC_PNL!P1119)</f>
        <v>9611.73474199476</v>
      </c>
      <c r="I1119">
        <f>IF(PNL!A1119="","",IF(_CALC_PNL!E1119=1,H1119-G1119,""))</f>
        <v>0.00438199476047885</v>
      </c>
    </row>
    <row r="1120" ht="14.25" customHeight="1">
      <c r="A1120" t="s">
        <v>107</v>
      </c>
      <c r="B1120" t="s">
        <v>202</v>
      </c>
      <c r="C1120" t="s">
        <v>189</v>
      </c>
      <c r="D1120" t="s">
        <v>193</v>
      </c>
      <c r="E1120" t="s">
        <v>147</v>
      </c>
      <c r="F1120" t="s">
        <v>148</v>
      </c>
      <c r="G1120">
        <v>4179.0132</v>
      </c>
      <c r="H1120">
        <f>IF(PNL!A1120="","",_CALC_PNL!P1120)</f>
        <v>4179.01510521511</v>
      </c>
      <c r="I1120">
        <f>IF(PNL!A1120="","",IF(_CALC_PNL!E1120=1,H1120-G1120,""))</f>
        <v>0.00190521511012776</v>
      </c>
    </row>
    <row r="1121" ht="14.25" customHeight="1">
      <c r="A1121" t="s">
        <v>108</v>
      </c>
      <c r="B1121" t="s">
        <v>202</v>
      </c>
      <c r="C1121" t="s">
        <v>189</v>
      </c>
      <c r="D1121" t="s">
        <v>193</v>
      </c>
      <c r="E1121" t="s">
        <v>147</v>
      </c>
      <c r="F1121" t="s">
        <v>148</v>
      </c>
      <c r="G1121">
        <v>4910.34051</v>
      </c>
      <c r="H1121">
        <f>IF(PNL!A1121="","",_CALC_PNL!P1121)</f>
        <v>4910.34274862776</v>
      </c>
      <c r="I1121">
        <f>IF(PNL!A1121="","",IF(_CALC_PNL!E1121=1,H1121-G1121,""))</f>
        <v>0.00223862775965245</v>
      </c>
    </row>
    <row r="1122" ht="14.25" customHeight="1">
      <c r="A1122" t="s">
        <v>86</v>
      </c>
      <c r="B1122" t="s">
        <v>204</v>
      </c>
      <c r="C1122" t="s">
        <v>189</v>
      </c>
      <c r="D1122" t="s">
        <v>194</v>
      </c>
      <c r="E1122" t="s">
        <v>147</v>
      </c>
      <c r="F1122" t="s">
        <v>148</v>
      </c>
      <c r="G1122">
        <v>25614.827262</v>
      </c>
      <c r="H1122">
        <f>IF(PNL!A1122="","",_CALC_PNL!P1122)</f>
        <v>25614.8293290031</v>
      </c>
      <c r="I1122">
        <f>IF(PNL!A1122="","",IF(_CALC_PNL!E1122=1,H1122-G1122,""))</f>
        <v>0.00206700310081942</v>
      </c>
    </row>
    <row r="1123" ht="14.25" customHeight="1">
      <c r="A1123" t="s">
        <v>89</v>
      </c>
      <c r="B1123" t="s">
        <v>204</v>
      </c>
      <c r="C1123" t="s">
        <v>189</v>
      </c>
      <c r="D1123" t="s">
        <v>194</v>
      </c>
      <c r="E1123" t="s">
        <v>147</v>
      </c>
      <c r="F1123" t="s">
        <v>148</v>
      </c>
      <c r="G1123">
        <v>31744.695384</v>
      </c>
      <c r="H1123">
        <f>IF(PNL!A1123="","",_CALC_PNL!P1123)</f>
        <v>31744.6979456563</v>
      </c>
      <c r="I1123">
        <f>IF(PNL!A1123="","",IF(_CALC_PNL!E1123=1,H1123-G1123,""))</f>
        <v>0.00256165629980387</v>
      </c>
    </row>
    <row r="1124" ht="14.25" customHeight="1">
      <c r="A1124" t="s">
        <v>91</v>
      </c>
      <c r="B1124" t="s">
        <v>204</v>
      </c>
      <c r="C1124" t="s">
        <v>189</v>
      </c>
      <c r="D1124" t="s">
        <v>194</v>
      </c>
      <c r="E1124" t="s">
        <v>147</v>
      </c>
      <c r="F1124" t="s">
        <v>148</v>
      </c>
      <c r="G1124">
        <v>25614.827262</v>
      </c>
      <c r="H1124">
        <f>IF(PNL!A1124="","",_CALC_PNL!P1124)</f>
        <v>25614.8293290031</v>
      </c>
      <c r="I1124">
        <f>IF(PNL!A1124="","",IF(_CALC_PNL!E1124=1,H1124-G1124,""))</f>
        <v>0.00206700310081942</v>
      </c>
    </row>
    <row r="1125" ht="14.25" customHeight="1">
      <c r="A1125" t="s">
        <v>93</v>
      </c>
      <c r="B1125" t="s">
        <v>204</v>
      </c>
      <c r="C1125" t="s">
        <v>189</v>
      </c>
      <c r="D1125" t="s">
        <v>194</v>
      </c>
      <c r="E1125" t="s">
        <v>147</v>
      </c>
      <c r="F1125" t="s">
        <v>148</v>
      </c>
      <c r="G1125">
        <v>53419.38345</v>
      </c>
      <c r="H1125">
        <f>IF(PNL!A1125="","",_CALC_PNL!P1125)</f>
        <v>53419.3877607077</v>
      </c>
      <c r="I1125">
        <f>IF(PNL!A1125="","",IF(_CALC_PNL!E1125=1,H1125-G1125,""))</f>
        <v>0.00431070769991493</v>
      </c>
    </row>
    <row r="1126" ht="14.25" customHeight="1">
      <c r="A1126" t="s">
        <v>95</v>
      </c>
      <c r="B1126" t="s">
        <v>204</v>
      </c>
      <c r="C1126" t="s">
        <v>189</v>
      </c>
      <c r="D1126" t="s">
        <v>194</v>
      </c>
      <c r="E1126" t="s">
        <v>147</v>
      </c>
      <c r="F1126" t="s">
        <v>148</v>
      </c>
      <c r="G1126">
        <v>77501.498526</v>
      </c>
      <c r="H1126">
        <f>IF(PNL!A1126="","",_CALC_PNL!P1126)</f>
        <v>77501.5047800277</v>
      </c>
      <c r="I1126">
        <f>IF(PNL!A1126="","",IF(_CALC_PNL!E1126=1,H1126-G1126,""))</f>
        <v>0.00625402769946959</v>
      </c>
    </row>
    <row r="1127" ht="14.25" customHeight="1">
      <c r="A1127" t="s">
        <v>97</v>
      </c>
      <c r="B1127" t="s">
        <v>204</v>
      </c>
      <c r="C1127" t="s">
        <v>189</v>
      </c>
      <c r="D1127" t="s">
        <v>194</v>
      </c>
      <c r="E1127" t="s">
        <v>147</v>
      </c>
      <c r="F1127" t="s">
        <v>148</v>
      </c>
      <c r="G1127">
        <v>50572.637784</v>
      </c>
      <c r="H1127">
        <f>IF(PNL!A1127="","",_CALC_PNL!P1127)</f>
        <v>50572.6418649879</v>
      </c>
      <c r="I1127">
        <f>IF(PNL!A1127="","",IF(_CALC_PNL!E1127=1,H1127-G1127,""))</f>
        <v>0.00408098789921496</v>
      </c>
    </row>
    <row r="1128" ht="14.25" customHeight="1">
      <c r="A1128" t="s">
        <v>99</v>
      </c>
      <c r="B1128" t="s">
        <v>204</v>
      </c>
      <c r="C1128" t="s">
        <v>189</v>
      </c>
      <c r="D1128" t="s">
        <v>194</v>
      </c>
      <c r="E1128" t="s">
        <v>147</v>
      </c>
      <c r="F1128" t="s">
        <v>148</v>
      </c>
      <c r="G1128">
        <v>54513.757602</v>
      </c>
      <c r="H1128">
        <f>IF(PNL!A1128="","",_CALC_PNL!P1128)</f>
        <v>54513.7620010188</v>
      </c>
      <c r="I1128">
        <f>IF(PNL!A1128="","",IF(_CALC_PNL!E1128=1,H1128-G1128,""))</f>
        <v>0.00439901879872195</v>
      </c>
    </row>
    <row r="1129" ht="14.25" customHeight="1">
      <c r="A1129" t="s">
        <v>101</v>
      </c>
      <c r="B1129" t="s">
        <v>204</v>
      </c>
      <c r="C1129" t="s">
        <v>189</v>
      </c>
      <c r="D1129" t="s">
        <v>194</v>
      </c>
      <c r="E1129" t="s">
        <v>147</v>
      </c>
      <c r="F1129" t="s">
        <v>148</v>
      </c>
      <c r="G1129">
        <v>70933.29237</v>
      </c>
      <c r="H1129">
        <f>IF(PNL!A1129="","",_CALC_PNL!P1129)</f>
        <v>70933.2980940026</v>
      </c>
      <c r="I1129">
        <f>IF(PNL!A1129="","",IF(_CALC_PNL!E1129=1,H1129-G1129,""))</f>
        <v>0.00572400260716677</v>
      </c>
    </row>
    <row r="1130" ht="14.25" customHeight="1">
      <c r="A1130" t="s">
        <v>103</v>
      </c>
      <c r="B1130" t="s">
        <v>204</v>
      </c>
      <c r="C1130" t="s">
        <v>189</v>
      </c>
      <c r="D1130" t="s">
        <v>194</v>
      </c>
      <c r="E1130" t="s">
        <v>147</v>
      </c>
      <c r="F1130" t="s">
        <v>148</v>
      </c>
      <c r="G1130">
        <v>64366.066836</v>
      </c>
      <c r="H1130">
        <f>IF(PNL!A1130="","",_CALC_PNL!P1130)</f>
        <v>64366.0720300566</v>
      </c>
      <c r="I1130">
        <f>IF(PNL!A1130="","",IF(_CALC_PNL!E1130=1,H1130-G1130,""))</f>
        <v>0.00519405660452321</v>
      </c>
    </row>
    <row r="1131" ht="14.25" customHeight="1">
      <c r="A1131" t="s">
        <v>104</v>
      </c>
      <c r="B1131" t="s">
        <v>204</v>
      </c>
      <c r="C1131" t="s">
        <v>189</v>
      </c>
      <c r="D1131" t="s">
        <v>194</v>
      </c>
      <c r="E1131" t="s">
        <v>147</v>
      </c>
      <c r="F1131" t="s">
        <v>148</v>
      </c>
      <c r="G1131">
        <v>83631.366648</v>
      </c>
      <c r="H1131">
        <f>IF(PNL!A1131="","",_CALC_PNL!P1131)</f>
        <v>83631.373396681</v>
      </c>
      <c r="I1131">
        <f>IF(PNL!A1131="","",IF(_CALC_PNL!E1131=1,H1131-G1131,""))</f>
        <v>0.00674868100031745</v>
      </c>
    </row>
    <row r="1132" ht="14.25" customHeight="1">
      <c r="A1132" t="s">
        <v>105</v>
      </c>
      <c r="B1132" t="s">
        <v>204</v>
      </c>
      <c r="C1132" t="s">
        <v>189</v>
      </c>
      <c r="D1132" t="s">
        <v>194</v>
      </c>
      <c r="E1132" t="s">
        <v>147</v>
      </c>
      <c r="F1132" t="s">
        <v>148</v>
      </c>
      <c r="G1132">
        <v>31088.659266</v>
      </c>
      <c r="H1132">
        <f>IF(PNL!A1132="","",_CALC_PNL!P1132)</f>
        <v>31088.6617747171</v>
      </c>
      <c r="I1132">
        <f>IF(PNL!A1132="","",IF(_CALC_PNL!E1132=1,H1132-G1132,""))</f>
        <v>0.00250871710159117</v>
      </c>
    </row>
    <row r="1133" ht="14.25" customHeight="1">
      <c r="A1133" t="s">
        <v>106</v>
      </c>
      <c r="B1133" t="s">
        <v>204</v>
      </c>
      <c r="C1133" t="s">
        <v>189</v>
      </c>
      <c r="D1133" t="s">
        <v>194</v>
      </c>
      <c r="E1133" t="s">
        <v>147</v>
      </c>
      <c r="F1133" t="s">
        <v>148</v>
      </c>
      <c r="G1133">
        <v>39845.613726</v>
      </c>
      <c r="H1133">
        <f>IF(PNL!A1133="","",_CALC_PNL!P1133)</f>
        <v>39845.6169413646</v>
      </c>
      <c r="I1133">
        <f>IF(PNL!A1133="","",IF(_CALC_PNL!E1133=1,H1133-G1133,""))</f>
        <v>0.00321536459523486</v>
      </c>
    </row>
    <row r="1134" ht="14.25" customHeight="1">
      <c r="A1134" t="s">
        <v>107</v>
      </c>
      <c r="B1134" t="s">
        <v>204</v>
      </c>
      <c r="C1134" t="s">
        <v>189</v>
      </c>
      <c r="D1134" t="s">
        <v>194</v>
      </c>
      <c r="E1134" t="s">
        <v>147</v>
      </c>
      <c r="F1134" t="s">
        <v>148</v>
      </c>
      <c r="G1134">
        <v>25614.827262</v>
      </c>
      <c r="H1134">
        <f>IF(PNL!A1134="","",_CALC_PNL!P1134)</f>
        <v>25614.8293290031</v>
      </c>
      <c r="I1134">
        <f>IF(PNL!A1134="","",IF(_CALC_PNL!E1134=1,H1134-G1134,""))</f>
        <v>0.00206700310081942</v>
      </c>
    </row>
    <row r="1135" ht="14.25" customHeight="1">
      <c r="A1135" t="s">
        <v>108</v>
      </c>
      <c r="B1135" t="s">
        <v>204</v>
      </c>
      <c r="C1135" t="s">
        <v>189</v>
      </c>
      <c r="D1135" t="s">
        <v>194</v>
      </c>
      <c r="E1135" t="s">
        <v>147</v>
      </c>
      <c r="F1135" t="s">
        <v>148</v>
      </c>
      <c r="G1135">
        <v>30211.983198</v>
      </c>
      <c r="H1135">
        <f>IF(PNL!A1135="","",_CALC_PNL!P1135)</f>
        <v>30211.9856359733</v>
      </c>
      <c r="I1135">
        <f>IF(PNL!A1135="","",IF(_CALC_PNL!E1135=1,H1135-G1135,""))</f>
        <v>0.00243797329676454</v>
      </c>
    </row>
    <row r="1136" ht="14.25" customHeight="1">
      <c r="A1136" t="s">
        <v>86</v>
      </c>
      <c r="B1136" t="s">
        <v>205</v>
      </c>
      <c r="C1136" t="s">
        <v>189</v>
      </c>
      <c r="D1136" t="s">
        <v>194</v>
      </c>
      <c r="E1136" t="s">
        <v>147</v>
      </c>
      <c r="F1136" t="s">
        <v>148</v>
      </c>
      <c r="G1136">
        <v>17076.551508</v>
      </c>
      <c r="H1136">
        <f>IF(PNL!A1136="","",_CALC_PNL!P1136)</f>
        <v>17076.5528860021</v>
      </c>
      <c r="I1136">
        <f>IF(PNL!A1136="","",IF(_CALC_PNL!E1136=1,H1136-G1136,""))</f>
        <v>0.00137800209995476</v>
      </c>
    </row>
    <row r="1137" ht="14.25" customHeight="1">
      <c r="A1137" t="s">
        <v>89</v>
      </c>
      <c r="B1137" t="s">
        <v>205</v>
      </c>
      <c r="C1137" t="s">
        <v>189</v>
      </c>
      <c r="D1137" t="s">
        <v>194</v>
      </c>
      <c r="E1137" t="s">
        <v>147</v>
      </c>
      <c r="F1137" t="s">
        <v>148</v>
      </c>
      <c r="G1137">
        <v>21163.784004</v>
      </c>
      <c r="H1137">
        <f>IF(PNL!A1137="","",_CALC_PNL!P1137)</f>
        <v>21163.7857118236</v>
      </c>
      <c r="I1137">
        <f>IF(PNL!A1137="","",IF(_CALC_PNL!E1137=1,H1137-G1137,""))</f>
        <v>0.00170782359782606</v>
      </c>
    </row>
    <row r="1138" ht="14.25" customHeight="1">
      <c r="A1138" t="s">
        <v>91</v>
      </c>
      <c r="B1138" t="s">
        <v>205</v>
      </c>
      <c r="C1138" t="s">
        <v>189</v>
      </c>
      <c r="D1138" t="s">
        <v>194</v>
      </c>
      <c r="E1138" t="s">
        <v>147</v>
      </c>
      <c r="F1138" t="s">
        <v>148</v>
      </c>
      <c r="G1138">
        <v>17076.551508</v>
      </c>
      <c r="H1138">
        <f>IF(PNL!A1138="","",_CALC_PNL!P1138)</f>
        <v>17076.5528860021</v>
      </c>
      <c r="I1138">
        <f>IF(PNL!A1138="","",IF(_CALC_PNL!E1138=1,H1138-G1138,""))</f>
        <v>0.00137800209995476</v>
      </c>
    </row>
    <row r="1139" ht="14.25" customHeight="1">
      <c r="A1139" t="s">
        <v>93</v>
      </c>
      <c r="B1139" t="s">
        <v>205</v>
      </c>
      <c r="C1139" t="s">
        <v>189</v>
      </c>
      <c r="D1139" t="s">
        <v>194</v>
      </c>
      <c r="E1139" t="s">
        <v>147</v>
      </c>
      <c r="F1139" t="s">
        <v>148</v>
      </c>
      <c r="G1139">
        <v>35612.268552</v>
      </c>
      <c r="H1139">
        <f>IF(PNL!A1139="","",_CALC_PNL!P1139)</f>
        <v>35612.2714257524</v>
      </c>
      <c r="I1139">
        <f>IF(PNL!A1139="","",IF(_CALC_PNL!E1139=1,H1139-G1139,""))</f>
        <v>0.00287375239713583</v>
      </c>
    </row>
    <row r="1140" ht="14.25" customHeight="1">
      <c r="A1140" t="s">
        <v>95</v>
      </c>
      <c r="B1140" t="s">
        <v>205</v>
      </c>
      <c r="C1140" t="s">
        <v>189</v>
      </c>
      <c r="D1140" t="s">
        <v>194</v>
      </c>
      <c r="E1140" t="s">
        <v>147</v>
      </c>
      <c r="F1140" t="s">
        <v>148</v>
      </c>
      <c r="G1140">
        <v>51667.992558</v>
      </c>
      <c r="H1140">
        <f>IF(PNL!A1140="","",_CALC_PNL!P1140)</f>
        <v>51667.9967273782</v>
      </c>
      <c r="I1140">
        <f>IF(PNL!A1140="","",IF(_CALC_PNL!E1140=1,H1140-G1140,""))</f>
        <v>0.00416937820409657</v>
      </c>
    </row>
    <row r="1141" ht="14.25" customHeight="1">
      <c r="A1141" t="s">
        <v>97</v>
      </c>
      <c r="B1141" t="s">
        <v>205</v>
      </c>
      <c r="C1141" t="s">
        <v>189</v>
      </c>
      <c r="D1141" t="s">
        <v>194</v>
      </c>
      <c r="E1141" t="s">
        <v>147</v>
      </c>
      <c r="F1141" t="s">
        <v>148</v>
      </c>
      <c r="G1141">
        <v>33715.745604</v>
      </c>
      <c r="H1141">
        <f>IF(PNL!A1141="","",_CALC_PNL!P1141)</f>
        <v>33715.7483247114</v>
      </c>
      <c r="I1141">
        <f>IF(PNL!A1141="","",IF(_CALC_PNL!E1141=1,H1141-G1141,""))</f>
        <v>0.00272071139625041</v>
      </c>
    </row>
    <row r="1142" ht="14.25" customHeight="1">
      <c r="A1142" t="s">
        <v>99</v>
      </c>
      <c r="B1142" t="s">
        <v>205</v>
      </c>
      <c r="C1142" t="s">
        <v>189</v>
      </c>
      <c r="D1142" t="s">
        <v>194</v>
      </c>
      <c r="E1142" t="s">
        <v>147</v>
      </c>
      <c r="F1142" t="s">
        <v>148</v>
      </c>
      <c r="G1142">
        <v>36342.831942</v>
      </c>
      <c r="H1142">
        <f>IF(PNL!A1142="","",_CALC_PNL!P1142)</f>
        <v>36342.8348747056</v>
      </c>
      <c r="I1142">
        <f>IF(PNL!A1142="","",IF(_CALC_PNL!E1142=1,H1142-G1142,""))</f>
        <v>0.00293270560359815</v>
      </c>
    </row>
    <row r="1143" ht="14.25" customHeight="1">
      <c r="A1143" t="s">
        <v>101</v>
      </c>
      <c r="B1143" t="s">
        <v>205</v>
      </c>
      <c r="C1143" t="s">
        <v>189</v>
      </c>
      <c r="D1143" t="s">
        <v>194</v>
      </c>
      <c r="E1143" t="s">
        <v>147</v>
      </c>
      <c r="F1143" t="s">
        <v>148</v>
      </c>
      <c r="G1143">
        <v>47289.515328</v>
      </c>
      <c r="H1143">
        <f>IF(PNL!A1143="","",_CALC_PNL!P1143)</f>
        <v>47289.5191440545</v>
      </c>
      <c r="I1143">
        <f>IF(PNL!A1143="","",IF(_CALC_PNL!E1143=1,H1143-G1143,""))</f>
        <v>0.00381605450093048</v>
      </c>
    </row>
    <row r="1144" ht="14.25" customHeight="1">
      <c r="A1144" t="s">
        <v>103</v>
      </c>
      <c r="B1144" t="s">
        <v>205</v>
      </c>
      <c r="C1144" t="s">
        <v>189</v>
      </c>
      <c r="D1144" t="s">
        <v>194</v>
      </c>
      <c r="E1144" t="s">
        <v>147</v>
      </c>
      <c r="F1144" t="s">
        <v>148</v>
      </c>
      <c r="G1144">
        <v>42910.057476</v>
      </c>
      <c r="H1144">
        <f>IF(PNL!A1144="","",_CALC_PNL!P1144)</f>
        <v>42910.0609386516</v>
      </c>
      <c r="I1144">
        <f>IF(PNL!A1144="","",IF(_CALC_PNL!E1144=1,H1144-G1144,""))</f>
        <v>0.00346265159896575</v>
      </c>
    </row>
    <row r="1145" ht="14.25" customHeight="1">
      <c r="A1145" t="s">
        <v>104</v>
      </c>
      <c r="B1145" t="s">
        <v>205</v>
      </c>
      <c r="C1145" t="s">
        <v>189</v>
      </c>
      <c r="D1145" t="s">
        <v>194</v>
      </c>
      <c r="E1145" t="s">
        <v>147</v>
      </c>
      <c r="F1145" t="s">
        <v>148</v>
      </c>
      <c r="G1145">
        <v>55754.244432</v>
      </c>
      <c r="H1145">
        <f>IF(PNL!A1145="","",_CALC_PNL!P1145)</f>
        <v>55754.2489311206</v>
      </c>
      <c r="I1145">
        <f>IF(PNL!A1145="","",IF(_CALC_PNL!E1145=1,H1145-G1145,""))</f>
        <v>0.00449912060139468</v>
      </c>
    </row>
    <row r="1146" ht="14.25" customHeight="1">
      <c r="A1146" t="s">
        <v>105</v>
      </c>
      <c r="B1146" t="s">
        <v>205</v>
      </c>
      <c r="C1146" t="s">
        <v>189</v>
      </c>
      <c r="D1146" t="s">
        <v>194</v>
      </c>
      <c r="E1146" t="s">
        <v>147</v>
      </c>
      <c r="F1146" t="s">
        <v>148</v>
      </c>
      <c r="G1146">
        <v>20725.44597</v>
      </c>
      <c r="H1146">
        <f>IF(PNL!A1146="","",_CALC_PNL!P1146)</f>
        <v>20725.4476424517</v>
      </c>
      <c r="I1146">
        <f>IF(PNL!A1146="","",IF(_CALC_PNL!E1146=1,H1146-G1146,""))</f>
        <v>0.00167245170086971</v>
      </c>
    </row>
    <row r="1147" ht="14.25" customHeight="1">
      <c r="A1147" t="s">
        <v>106</v>
      </c>
      <c r="B1147" t="s">
        <v>205</v>
      </c>
      <c r="C1147" t="s">
        <v>189</v>
      </c>
      <c r="D1147" t="s">
        <v>194</v>
      </c>
      <c r="E1147" t="s">
        <v>147</v>
      </c>
      <c r="F1147" t="s">
        <v>148</v>
      </c>
      <c r="G1147">
        <v>26564.069358</v>
      </c>
      <c r="H1147">
        <f>IF(PNL!A1147="","",_CALC_PNL!P1147)</f>
        <v>26564.0715016028</v>
      </c>
      <c r="I1147">
        <f>IF(PNL!A1147="","",IF(_CALC_PNL!E1147=1,H1147-G1147,""))</f>
        <v>0.00214360280006076</v>
      </c>
    </row>
    <row r="1148" ht="14.25" customHeight="1">
      <c r="A1148" t="s">
        <v>107</v>
      </c>
      <c r="B1148" t="s">
        <v>205</v>
      </c>
      <c r="C1148" t="s">
        <v>189</v>
      </c>
      <c r="D1148" t="s">
        <v>194</v>
      </c>
      <c r="E1148" t="s">
        <v>147</v>
      </c>
      <c r="F1148" t="s">
        <v>148</v>
      </c>
      <c r="G1148">
        <v>17076.551508</v>
      </c>
      <c r="H1148">
        <f>IF(PNL!A1148="","",_CALC_PNL!P1148)</f>
        <v>17076.5528860021</v>
      </c>
      <c r="I1148">
        <f>IF(PNL!A1148="","",IF(_CALC_PNL!E1148=1,H1148-G1148,""))</f>
        <v>0.00137800209995476</v>
      </c>
    </row>
    <row r="1149" ht="14.25" customHeight="1">
      <c r="A1149" t="s">
        <v>108</v>
      </c>
      <c r="B1149" t="s">
        <v>205</v>
      </c>
      <c r="C1149" t="s">
        <v>189</v>
      </c>
      <c r="D1149" t="s">
        <v>194</v>
      </c>
      <c r="E1149" t="s">
        <v>147</v>
      </c>
      <c r="F1149" t="s">
        <v>148</v>
      </c>
      <c r="G1149">
        <v>20141.97588</v>
      </c>
      <c r="H1149">
        <f>IF(PNL!A1149="","",_CALC_PNL!P1149)</f>
        <v>20141.9775053683</v>
      </c>
      <c r="I1149">
        <f>IF(PNL!A1149="","",IF(_CALC_PNL!E1149=1,H1149-G1149,""))</f>
        <v>0.0016253682988463</v>
      </c>
    </row>
    <row r="1150" ht="14.25" customHeight="1">
      <c r="A1150" t="s">
        <v>86</v>
      </c>
      <c r="B1150" t="s">
        <v>212</v>
      </c>
      <c r="C1150" t="s">
        <v>189</v>
      </c>
      <c r="D1150" t="s">
        <v>194</v>
      </c>
      <c r="E1150" t="s">
        <v>147</v>
      </c>
      <c r="F1150" t="s">
        <v>148</v>
      </c>
      <c r="G1150">
        <v>90038.419848</v>
      </c>
      <c r="H1150">
        <f>IF(PNL!A1150="","",_CALC_PNL!P1150)</f>
        <v>90038.419848</v>
      </c>
      <c r="I1150">
        <f>IF(PNL!A1150="","",IF(_CALC_PNL!E1150=1,H1150-G1150,""))</f>
        <v>0</v>
      </c>
    </row>
    <row r="1151" ht="14.25" customHeight="1">
      <c r="A1151" t="s">
        <v>89</v>
      </c>
      <c r="B1151" t="s">
        <v>212</v>
      </c>
      <c r="C1151" t="s">
        <v>189</v>
      </c>
      <c r="D1151" t="s">
        <v>194</v>
      </c>
      <c r="E1151" t="s">
        <v>147</v>
      </c>
      <c r="F1151" t="s">
        <v>148</v>
      </c>
      <c r="G1151">
        <v>111273.835088</v>
      </c>
      <c r="H1151">
        <f>IF(PNL!A1151="","",_CALC_PNL!P1151)</f>
        <v>111273.835088</v>
      </c>
      <c r="I1151">
        <f>IF(PNL!A1151="","",IF(_CALC_PNL!E1151=1,H1151-G1151,""))</f>
        <v>0</v>
      </c>
    </row>
    <row r="1152" ht="14.25" customHeight="1">
      <c r="A1152" t="s">
        <v>91</v>
      </c>
      <c r="B1152" t="s">
        <v>212</v>
      </c>
      <c r="C1152" t="s">
        <v>189</v>
      </c>
      <c r="D1152" t="s">
        <v>194</v>
      </c>
      <c r="E1152" t="s">
        <v>147</v>
      </c>
      <c r="F1152" t="s">
        <v>148</v>
      </c>
      <c r="G1152">
        <v>90092.140528</v>
      </c>
      <c r="H1152">
        <f>IF(PNL!A1152="","",_CALC_PNL!P1152)</f>
        <v>90092.140528</v>
      </c>
      <c r="I1152">
        <f>IF(PNL!A1152="","",IF(_CALC_PNL!E1152=1,H1152-G1152,""))</f>
        <v>0</v>
      </c>
    </row>
    <row r="1153" ht="14.25" customHeight="1">
      <c r="A1153" t="s">
        <v>93</v>
      </c>
      <c r="B1153" t="s">
        <v>212</v>
      </c>
      <c r="C1153" t="s">
        <v>189</v>
      </c>
      <c r="D1153" t="s">
        <v>194</v>
      </c>
      <c r="E1153" t="s">
        <v>147</v>
      </c>
      <c r="F1153" t="s">
        <v>148</v>
      </c>
      <c r="G1153">
        <v>188343.193688</v>
      </c>
      <c r="H1153">
        <f>IF(PNL!A1153="","",_CALC_PNL!P1153)</f>
        <v>188343.193688</v>
      </c>
      <c r="I1153">
        <f>IF(PNL!A1153="","",IF(_CALC_PNL!E1153=1,H1153-G1153,""))</f>
        <v>0</v>
      </c>
    </row>
    <row r="1154" ht="14.25" customHeight="1">
      <c r="A1154" t="s">
        <v>95</v>
      </c>
      <c r="B1154" t="s">
        <v>212</v>
      </c>
      <c r="C1154" t="s">
        <v>189</v>
      </c>
      <c r="D1154" t="s">
        <v>194</v>
      </c>
      <c r="E1154" t="s">
        <v>147</v>
      </c>
      <c r="F1154" t="s">
        <v>148</v>
      </c>
      <c r="G1154">
        <v>322905.484512</v>
      </c>
      <c r="H1154">
        <f>IF(PNL!A1154="","",_CALC_PNL!P1154)</f>
        <v>322905.484512</v>
      </c>
      <c r="I1154">
        <f>IF(PNL!A1154="","",IF(_CALC_PNL!E1154=1,H1154-G1154,""))</f>
        <v>0</v>
      </c>
    </row>
    <row r="1155" ht="14.25" customHeight="1">
      <c r="A1155" t="s">
        <v>97</v>
      </c>
      <c r="B1155" t="s">
        <v>212</v>
      </c>
      <c r="C1155" t="s">
        <v>189</v>
      </c>
      <c r="D1155" t="s">
        <v>194</v>
      </c>
      <c r="E1155" t="s">
        <v>147</v>
      </c>
      <c r="F1155" t="s">
        <v>148</v>
      </c>
      <c r="G1155">
        <v>177105.984328</v>
      </c>
      <c r="H1155">
        <f>IF(PNL!A1155="","",_CALC_PNL!P1155)</f>
        <v>177105.984328</v>
      </c>
      <c r="I1155">
        <f>IF(PNL!A1155="","",IF(_CALC_PNL!E1155=1,H1155-G1155,""))</f>
        <v>0</v>
      </c>
    </row>
    <row r="1156" ht="14.25" customHeight="1">
      <c r="A1156" t="s">
        <v>99</v>
      </c>
      <c r="B1156" t="s">
        <v>212</v>
      </c>
      <c r="C1156" t="s">
        <v>189</v>
      </c>
      <c r="D1156" t="s">
        <v>194</v>
      </c>
      <c r="E1156" t="s">
        <v>147</v>
      </c>
      <c r="F1156" t="s">
        <v>148</v>
      </c>
      <c r="G1156">
        <v>185477.58372</v>
      </c>
      <c r="H1156">
        <f>IF(PNL!A1156="","",_CALC_PNL!P1156)</f>
        <v>185477.58372</v>
      </c>
      <c r="I1156">
        <f>IF(PNL!A1156="","",IF(_CALC_PNL!E1156=1,H1156-G1156,""))</f>
        <v>0</v>
      </c>
    </row>
    <row r="1157" ht="14.25" customHeight="1">
      <c r="A1157" t="s">
        <v>101</v>
      </c>
      <c r="B1157" t="s">
        <v>212</v>
      </c>
      <c r="C1157" t="s">
        <v>189</v>
      </c>
      <c r="D1157" t="s">
        <v>194</v>
      </c>
      <c r="E1157" t="s">
        <v>147</v>
      </c>
      <c r="F1157" t="s">
        <v>148</v>
      </c>
      <c r="G1157">
        <v>264776.934344</v>
      </c>
      <c r="H1157">
        <f>IF(PNL!A1157="","",_CALC_PNL!P1157)</f>
        <v>264776.934344</v>
      </c>
      <c r="I1157">
        <f>IF(PNL!A1157="","",IF(_CALC_PNL!E1157=1,H1157-G1157,""))</f>
        <v>0</v>
      </c>
    </row>
    <row r="1158" ht="14.25" customHeight="1">
      <c r="A1158" t="s">
        <v>103</v>
      </c>
      <c r="B1158" t="s">
        <v>212</v>
      </c>
      <c r="C1158" t="s">
        <v>189</v>
      </c>
      <c r="D1158" t="s">
        <v>194</v>
      </c>
      <c r="E1158" t="s">
        <v>147</v>
      </c>
      <c r="F1158" t="s">
        <v>148</v>
      </c>
      <c r="G1158">
        <v>227765.378256</v>
      </c>
      <c r="H1158">
        <f>IF(PNL!A1158="","",_CALC_PNL!P1158)</f>
        <v>227765.378256</v>
      </c>
      <c r="I1158">
        <f>IF(PNL!A1158="","",IF(_CALC_PNL!E1158=1,H1158-G1158,""))</f>
        <v>0</v>
      </c>
    </row>
    <row r="1159" ht="14.25" customHeight="1">
      <c r="A1159" t="s">
        <v>104</v>
      </c>
      <c r="B1159" t="s">
        <v>212</v>
      </c>
      <c r="C1159" t="s">
        <v>189</v>
      </c>
      <c r="D1159" t="s">
        <v>194</v>
      </c>
      <c r="E1159" t="s">
        <v>147</v>
      </c>
      <c r="F1159" t="s">
        <v>148</v>
      </c>
      <c r="G1159">
        <v>332176.463424</v>
      </c>
      <c r="H1159">
        <f>IF(PNL!A1159="","",_CALC_PNL!P1159)</f>
        <v>332176.463424</v>
      </c>
      <c r="I1159">
        <f>IF(PNL!A1159="","",IF(_CALC_PNL!E1159=1,H1159-G1159,""))</f>
        <v>0</v>
      </c>
    </row>
    <row r="1160" ht="14.25" customHeight="1">
      <c r="A1160" t="s">
        <v>105</v>
      </c>
      <c r="B1160" t="s">
        <v>212</v>
      </c>
      <c r="C1160" t="s">
        <v>189</v>
      </c>
      <c r="D1160" t="s">
        <v>194</v>
      </c>
      <c r="E1160" t="s">
        <v>147</v>
      </c>
      <c r="F1160" t="s">
        <v>148</v>
      </c>
      <c r="G1160">
        <v>120915.459912</v>
      </c>
      <c r="H1160">
        <f>IF(PNL!A1160="","",_CALC_PNL!P1160)</f>
        <v>120915.459912</v>
      </c>
      <c r="I1160">
        <f>IF(PNL!A1160="","",IF(_CALC_PNL!E1160=1,H1160-G1160,""))</f>
        <v>0</v>
      </c>
    </row>
    <row r="1161" ht="14.25" customHeight="1">
      <c r="A1161" t="s">
        <v>106</v>
      </c>
      <c r="B1161" t="s">
        <v>212</v>
      </c>
      <c r="C1161" t="s">
        <v>189</v>
      </c>
      <c r="D1161" t="s">
        <v>194</v>
      </c>
      <c r="E1161" t="s">
        <v>147</v>
      </c>
      <c r="F1161" t="s">
        <v>148</v>
      </c>
      <c r="G1161">
        <v>159655.750696</v>
      </c>
      <c r="H1161">
        <f>IF(PNL!A1161="","",_CALC_PNL!P1161)</f>
        <v>159655.750696</v>
      </c>
      <c r="I1161">
        <f>IF(PNL!A1161="","",IF(_CALC_PNL!E1161=1,H1161-G1161,""))</f>
        <v>0</v>
      </c>
    </row>
    <row r="1162" ht="14.25" customHeight="1">
      <c r="A1162" t="s">
        <v>107</v>
      </c>
      <c r="B1162" t="s">
        <v>212</v>
      </c>
      <c r="C1162" t="s">
        <v>189</v>
      </c>
      <c r="D1162" t="s">
        <v>194</v>
      </c>
      <c r="E1162" t="s">
        <v>147</v>
      </c>
      <c r="F1162" t="s">
        <v>148</v>
      </c>
      <c r="G1162">
        <v>123027.523528</v>
      </c>
      <c r="H1162">
        <f>IF(PNL!A1162="","",_CALC_PNL!P1162)</f>
        <v>123027.523528</v>
      </c>
      <c r="I1162">
        <f>IF(PNL!A1162="","",IF(_CALC_PNL!E1162=1,H1162-G1162,""))</f>
        <v>0</v>
      </c>
    </row>
    <row r="1163" ht="14.25" customHeight="1">
      <c r="A1163" t="s">
        <v>108</v>
      </c>
      <c r="B1163" t="s">
        <v>212</v>
      </c>
      <c r="C1163" t="s">
        <v>189</v>
      </c>
      <c r="D1163" t="s">
        <v>194</v>
      </c>
      <c r="E1163" t="s">
        <v>147</v>
      </c>
      <c r="F1163" t="s">
        <v>148</v>
      </c>
      <c r="G1163">
        <v>147785.91204</v>
      </c>
      <c r="H1163">
        <f>IF(PNL!A1163="","",_CALC_PNL!P1163)</f>
        <v>147785.91204</v>
      </c>
      <c r="I1163">
        <f>IF(PNL!A1163="","",IF(_CALC_PNL!E1163=1,H1163-G1163,""))</f>
        <v>0</v>
      </c>
    </row>
    <row r="1164" ht="14.25" customHeight="1">
      <c r="A1164" t="s">
        <v>86</v>
      </c>
      <c r="B1164" t="s">
        <v>213</v>
      </c>
      <c r="C1164" t="s">
        <v>189</v>
      </c>
      <c r="D1164" t="s">
        <v>194</v>
      </c>
      <c r="E1164" t="s">
        <v>147</v>
      </c>
      <c r="F1164" t="s">
        <v>148</v>
      </c>
      <c r="G1164">
        <v>12862.626816</v>
      </c>
      <c r="H1164">
        <f>IF(PNL!A1164="","",_CALC_PNL!P1164)</f>
        <v>12862.626816</v>
      </c>
      <c r="I1164">
        <f>IF(PNL!A1164="","",IF(_CALC_PNL!E1164=1,H1164-G1164,""))</f>
        <v>0</v>
      </c>
    </row>
    <row r="1165" ht="14.25" customHeight="1">
      <c r="A1165" t="s">
        <v>89</v>
      </c>
      <c r="B1165" t="s">
        <v>213</v>
      </c>
      <c r="C1165" t="s">
        <v>189</v>
      </c>
      <c r="D1165" t="s">
        <v>194</v>
      </c>
      <c r="E1165" t="s">
        <v>147</v>
      </c>
      <c r="F1165" t="s">
        <v>148</v>
      </c>
      <c r="G1165">
        <v>15895.922432</v>
      </c>
      <c r="H1165">
        <f>IF(PNL!A1165="","",_CALC_PNL!P1165)</f>
        <v>15895.922432</v>
      </c>
      <c r="I1165">
        <f>IF(PNL!A1165="","",IF(_CALC_PNL!E1165=1,H1165-G1165,""))</f>
        <v>0</v>
      </c>
    </row>
    <row r="1166" ht="14.25" customHeight="1">
      <c r="A1166" t="s">
        <v>91</v>
      </c>
      <c r="B1166" t="s">
        <v>213</v>
      </c>
      <c r="C1166" t="s">
        <v>189</v>
      </c>
      <c r="D1166" t="s">
        <v>194</v>
      </c>
      <c r="E1166" t="s">
        <v>147</v>
      </c>
      <c r="F1166" t="s">
        <v>148</v>
      </c>
      <c r="G1166">
        <v>12870.30732</v>
      </c>
      <c r="H1166">
        <f>IF(PNL!A1166="","",_CALC_PNL!P1166)</f>
        <v>12870.30732</v>
      </c>
      <c r="I1166">
        <f>IF(PNL!A1166="","",IF(_CALC_PNL!E1166=1,H1166-G1166,""))</f>
        <v>0</v>
      </c>
    </row>
    <row r="1167" ht="14.25" customHeight="1">
      <c r="A1167" t="s">
        <v>93</v>
      </c>
      <c r="B1167" t="s">
        <v>213</v>
      </c>
      <c r="C1167" t="s">
        <v>189</v>
      </c>
      <c r="D1167" t="s">
        <v>194</v>
      </c>
      <c r="E1167" t="s">
        <v>147</v>
      </c>
      <c r="F1167" t="s">
        <v>148</v>
      </c>
      <c r="G1167">
        <v>26905.791016</v>
      </c>
      <c r="H1167">
        <f>IF(PNL!A1167="","",_CALC_PNL!P1167)</f>
        <v>26905.791016</v>
      </c>
      <c r="I1167">
        <f>IF(PNL!A1167="","",IF(_CALC_PNL!E1167=1,H1167-G1167,""))</f>
        <v>0</v>
      </c>
    </row>
    <row r="1168" ht="14.25" customHeight="1">
      <c r="A1168" t="s">
        <v>95</v>
      </c>
      <c r="B1168" t="s">
        <v>213</v>
      </c>
      <c r="C1168" t="s">
        <v>189</v>
      </c>
      <c r="D1168" t="s">
        <v>194</v>
      </c>
      <c r="E1168" t="s">
        <v>147</v>
      </c>
      <c r="F1168" t="s">
        <v>148</v>
      </c>
      <c r="G1168">
        <v>46129.235568</v>
      </c>
      <c r="H1168">
        <f>IF(PNL!A1168="","",_CALC_PNL!P1168)</f>
        <v>46129.235568</v>
      </c>
      <c r="I1168">
        <f>IF(PNL!A1168="","",IF(_CALC_PNL!E1168=1,H1168-G1168,""))</f>
        <v>0</v>
      </c>
    </row>
    <row r="1169" ht="14.25" customHeight="1">
      <c r="A1169" t="s">
        <v>97</v>
      </c>
      <c r="B1169" t="s">
        <v>213</v>
      </c>
      <c r="C1169" t="s">
        <v>189</v>
      </c>
      <c r="D1169" t="s">
        <v>194</v>
      </c>
      <c r="E1169" t="s">
        <v>147</v>
      </c>
      <c r="F1169" t="s">
        <v>148</v>
      </c>
      <c r="G1169">
        <v>25301.037008</v>
      </c>
      <c r="H1169">
        <f>IF(PNL!A1169="","",_CALC_PNL!P1169)</f>
        <v>25301.037008</v>
      </c>
      <c r="I1169">
        <f>IF(PNL!A1169="","",IF(_CALC_PNL!E1169=1,H1169-G1169,""))</f>
        <v>0</v>
      </c>
    </row>
    <row r="1170" ht="14.25" customHeight="1">
      <c r="A1170" t="s">
        <v>99</v>
      </c>
      <c r="B1170" t="s">
        <v>213</v>
      </c>
      <c r="C1170" t="s">
        <v>189</v>
      </c>
      <c r="D1170" t="s">
        <v>194</v>
      </c>
      <c r="E1170" t="s">
        <v>147</v>
      </c>
      <c r="F1170" t="s">
        <v>148</v>
      </c>
      <c r="G1170">
        <v>26496.635464</v>
      </c>
      <c r="H1170">
        <f>IF(PNL!A1170="","",_CALC_PNL!P1170)</f>
        <v>26496.635464</v>
      </c>
      <c r="I1170">
        <f>IF(PNL!A1170="","",IF(_CALC_PNL!E1170=1,H1170-G1170,""))</f>
        <v>0</v>
      </c>
    </row>
    <row r="1171" ht="14.25" customHeight="1">
      <c r="A1171" t="s">
        <v>101</v>
      </c>
      <c r="B1171" t="s">
        <v>213</v>
      </c>
      <c r="C1171" t="s">
        <v>189</v>
      </c>
      <c r="D1171" t="s">
        <v>194</v>
      </c>
      <c r="E1171" t="s">
        <v>147</v>
      </c>
      <c r="F1171" t="s">
        <v>148</v>
      </c>
      <c r="G1171">
        <v>37825.111064</v>
      </c>
      <c r="H1171">
        <f>IF(PNL!A1171="","",_CALC_PNL!P1171)</f>
        <v>37825.111064</v>
      </c>
      <c r="I1171">
        <f>IF(PNL!A1171="","",IF(_CALC_PNL!E1171=1,H1171-G1171,""))</f>
        <v>0</v>
      </c>
    </row>
    <row r="1172" ht="14.25" customHeight="1">
      <c r="A1172" t="s">
        <v>103</v>
      </c>
      <c r="B1172" t="s">
        <v>213</v>
      </c>
      <c r="C1172" t="s">
        <v>189</v>
      </c>
      <c r="D1172" t="s">
        <v>194</v>
      </c>
      <c r="E1172" t="s">
        <v>147</v>
      </c>
      <c r="F1172" t="s">
        <v>148</v>
      </c>
      <c r="G1172">
        <v>32537.37864</v>
      </c>
      <c r="H1172">
        <f>IF(PNL!A1172="","",_CALC_PNL!P1172)</f>
        <v>32537.37864</v>
      </c>
      <c r="I1172">
        <f>IF(PNL!A1172="","",IF(_CALC_PNL!E1172=1,H1172-G1172,""))</f>
        <v>0</v>
      </c>
    </row>
    <row r="1173" ht="14.25" customHeight="1">
      <c r="A1173" t="s">
        <v>104</v>
      </c>
      <c r="B1173" t="s">
        <v>213</v>
      </c>
      <c r="C1173" t="s">
        <v>189</v>
      </c>
      <c r="D1173" t="s">
        <v>194</v>
      </c>
      <c r="E1173" t="s">
        <v>147</v>
      </c>
      <c r="F1173" t="s">
        <v>148</v>
      </c>
      <c r="G1173">
        <v>47453.656536</v>
      </c>
      <c r="H1173">
        <f>IF(PNL!A1173="","",_CALC_PNL!P1173)</f>
        <v>47453.656536</v>
      </c>
      <c r="I1173">
        <f>IF(PNL!A1173="","",IF(_CALC_PNL!E1173=1,H1173-G1173,""))</f>
        <v>0</v>
      </c>
    </row>
    <row r="1174" ht="14.25" customHeight="1">
      <c r="A1174" t="s">
        <v>105</v>
      </c>
      <c r="B1174" t="s">
        <v>213</v>
      </c>
      <c r="C1174" t="s">
        <v>189</v>
      </c>
      <c r="D1174" t="s">
        <v>194</v>
      </c>
      <c r="E1174" t="s">
        <v>147</v>
      </c>
      <c r="F1174" t="s">
        <v>148</v>
      </c>
      <c r="G1174">
        <v>17273.3678</v>
      </c>
      <c r="H1174">
        <f>IF(PNL!A1174="","",_CALC_PNL!P1174)</f>
        <v>17273.3678</v>
      </c>
      <c r="I1174">
        <f>IF(PNL!A1174="","",IF(_CALC_PNL!E1174=1,H1174-G1174,""))</f>
        <v>0</v>
      </c>
    </row>
    <row r="1175" ht="14.25" customHeight="1">
      <c r="A1175" t="s">
        <v>106</v>
      </c>
      <c r="B1175" t="s">
        <v>213</v>
      </c>
      <c r="C1175" t="s">
        <v>189</v>
      </c>
      <c r="D1175" t="s">
        <v>194</v>
      </c>
      <c r="E1175" t="s">
        <v>147</v>
      </c>
      <c r="F1175" t="s">
        <v>148</v>
      </c>
      <c r="G1175">
        <v>22807.968976</v>
      </c>
      <c r="H1175">
        <f>IF(PNL!A1175="","",_CALC_PNL!P1175)</f>
        <v>22807.968976</v>
      </c>
      <c r="I1175">
        <f>IF(PNL!A1175="","",IF(_CALC_PNL!E1175=1,H1175-G1175,""))</f>
        <v>0</v>
      </c>
    </row>
    <row r="1176" ht="14.25" customHeight="1">
      <c r="A1176" t="s">
        <v>107</v>
      </c>
      <c r="B1176" t="s">
        <v>213</v>
      </c>
      <c r="C1176" t="s">
        <v>189</v>
      </c>
      <c r="D1176" t="s">
        <v>194</v>
      </c>
      <c r="E1176" t="s">
        <v>147</v>
      </c>
      <c r="F1176" t="s">
        <v>148</v>
      </c>
      <c r="G1176">
        <v>17574.846328</v>
      </c>
      <c r="H1176">
        <f>IF(PNL!A1176="","",_CALC_PNL!P1176)</f>
        <v>17574.846328</v>
      </c>
      <c r="I1176">
        <f>IF(PNL!A1176="","",IF(_CALC_PNL!E1176=1,H1176-G1176,""))</f>
        <v>0</v>
      </c>
    </row>
    <row r="1177" ht="14.25" customHeight="1">
      <c r="A1177" t="s">
        <v>108</v>
      </c>
      <c r="B1177" t="s">
        <v>213</v>
      </c>
      <c r="C1177" t="s">
        <v>189</v>
      </c>
      <c r="D1177" t="s">
        <v>194</v>
      </c>
      <c r="E1177" t="s">
        <v>147</v>
      </c>
      <c r="F1177" t="s">
        <v>148</v>
      </c>
      <c r="G1177">
        <v>21112.270088</v>
      </c>
      <c r="H1177">
        <f>IF(PNL!A1177="","",_CALC_PNL!P1177)</f>
        <v>21112.270088</v>
      </c>
      <c r="I1177">
        <f>IF(PNL!A1177="","",IF(_CALC_PNL!E1177=1,H1177-G1177,""))</f>
        <v>0</v>
      </c>
    </row>
    <row r="1178" ht="14.25" customHeight="1">
      <c r="A1178" t="s">
        <v>86</v>
      </c>
      <c r="B1178" t="s">
        <v>214</v>
      </c>
      <c r="C1178" t="s">
        <v>189</v>
      </c>
      <c r="D1178" t="s">
        <v>194</v>
      </c>
      <c r="E1178" t="s">
        <v>147</v>
      </c>
      <c r="F1178" t="s">
        <v>148</v>
      </c>
      <c r="G1178">
        <v>7160.190024</v>
      </c>
      <c r="H1178">
        <f>IF(PNL!A1178="","",_CALC_PNL!P1178)</f>
        <v>7160.190024</v>
      </c>
      <c r="I1178">
        <f>IF(PNL!A1178="","",IF(_CALC_PNL!E1178=1,H1178-G1178,""))</f>
        <v>0</v>
      </c>
    </row>
    <row r="1179" ht="14.25" customHeight="1">
      <c r="A1179" t="s">
        <v>89</v>
      </c>
      <c r="B1179" t="s">
        <v>214</v>
      </c>
      <c r="C1179" t="s">
        <v>189</v>
      </c>
      <c r="D1179" t="s">
        <v>194</v>
      </c>
      <c r="E1179" t="s">
        <v>147</v>
      </c>
      <c r="F1179" t="s">
        <v>148</v>
      </c>
      <c r="G1179">
        <v>10966.19576</v>
      </c>
      <c r="H1179">
        <f>IF(PNL!A1179="","",_CALC_PNL!P1179)</f>
        <v>10966.19576</v>
      </c>
      <c r="I1179">
        <f>IF(PNL!A1179="","",IF(_CALC_PNL!E1179=1,H1179-G1179,""))</f>
        <v>0</v>
      </c>
    </row>
    <row r="1180" ht="14.25" customHeight="1">
      <c r="A1180" t="s">
        <v>91</v>
      </c>
      <c r="B1180" t="s">
        <v>214</v>
      </c>
      <c r="C1180" t="s">
        <v>189</v>
      </c>
      <c r="D1180" t="s">
        <v>194</v>
      </c>
      <c r="E1180" t="s">
        <v>147</v>
      </c>
      <c r="F1180" t="s">
        <v>148</v>
      </c>
      <c r="G1180">
        <v>7164.464112</v>
      </c>
      <c r="H1180">
        <f>IF(PNL!A1180="","",_CALC_PNL!P1180)</f>
        <v>7164.464112</v>
      </c>
      <c r="I1180">
        <f>IF(PNL!A1180="","",IF(_CALC_PNL!E1180=1,H1180-G1180,""))</f>
        <v>0</v>
      </c>
    </row>
    <row r="1181" ht="14.25" customHeight="1">
      <c r="A1181" t="s">
        <v>93</v>
      </c>
      <c r="B1181" t="s">
        <v>214</v>
      </c>
      <c r="C1181" t="s">
        <v>189</v>
      </c>
      <c r="D1181" t="s">
        <v>194</v>
      </c>
      <c r="E1181" t="s">
        <v>147</v>
      </c>
      <c r="F1181" t="s">
        <v>148</v>
      </c>
      <c r="G1181">
        <v>18742.35792</v>
      </c>
      <c r="H1181">
        <f>IF(PNL!A1181="","",_CALC_PNL!P1181)</f>
        <v>18742.35792</v>
      </c>
      <c r="I1181">
        <f>IF(PNL!A1181="","",IF(_CALC_PNL!E1181=1,H1181-G1181,""))</f>
        <v>0</v>
      </c>
    </row>
    <row r="1182" ht="14.25" customHeight="1">
      <c r="A1182" t="s">
        <v>95</v>
      </c>
      <c r="B1182" t="s">
        <v>214</v>
      </c>
      <c r="C1182" t="s">
        <v>189</v>
      </c>
      <c r="D1182" t="s">
        <v>194</v>
      </c>
      <c r="E1182" t="s">
        <v>147</v>
      </c>
      <c r="F1182" t="s">
        <v>148</v>
      </c>
      <c r="G1182">
        <v>31078.489936</v>
      </c>
      <c r="H1182">
        <f>IF(PNL!A1182="","",_CALC_PNL!P1182)</f>
        <v>31078.489936</v>
      </c>
      <c r="I1182">
        <f>IF(PNL!A1182="","",IF(_CALC_PNL!E1182=1,H1182-G1182,""))</f>
        <v>0</v>
      </c>
    </row>
    <row r="1183" ht="14.25" customHeight="1">
      <c r="A1183" t="s">
        <v>97</v>
      </c>
      <c r="B1183" t="s">
        <v>214</v>
      </c>
      <c r="C1183" t="s">
        <v>189</v>
      </c>
      <c r="D1183" t="s">
        <v>194</v>
      </c>
      <c r="E1183" t="s">
        <v>147</v>
      </c>
      <c r="F1183" t="s">
        <v>148</v>
      </c>
      <c r="G1183">
        <v>16684.004272</v>
      </c>
      <c r="H1183">
        <f>IF(PNL!A1183="","",_CALC_PNL!P1183)</f>
        <v>16684.004272</v>
      </c>
      <c r="I1183">
        <f>IF(PNL!A1183="","",IF(_CALC_PNL!E1183=1,H1183-G1183,""))</f>
        <v>0</v>
      </c>
    </row>
    <row r="1184" ht="14.25" customHeight="1">
      <c r="A1184" t="s">
        <v>99</v>
      </c>
      <c r="B1184" t="s">
        <v>214</v>
      </c>
      <c r="C1184" t="s">
        <v>189</v>
      </c>
      <c r="D1184" t="s">
        <v>194</v>
      </c>
      <c r="E1184" t="s">
        <v>147</v>
      </c>
      <c r="F1184" t="s">
        <v>148</v>
      </c>
      <c r="G1184">
        <v>18834.952448</v>
      </c>
      <c r="H1184">
        <f>IF(PNL!A1184="","",_CALC_PNL!P1184)</f>
        <v>18834.952448</v>
      </c>
      <c r="I1184">
        <f>IF(PNL!A1184="","",IF(_CALC_PNL!E1184=1,H1184-G1184,""))</f>
        <v>0</v>
      </c>
    </row>
    <row r="1185" ht="14.25" customHeight="1">
      <c r="A1185" t="s">
        <v>101</v>
      </c>
      <c r="B1185" t="s">
        <v>214</v>
      </c>
      <c r="C1185" t="s">
        <v>189</v>
      </c>
      <c r="D1185" t="s">
        <v>194</v>
      </c>
      <c r="E1185" t="s">
        <v>147</v>
      </c>
      <c r="F1185" t="s">
        <v>148</v>
      </c>
      <c r="G1185">
        <v>26912.378896</v>
      </c>
      <c r="H1185">
        <f>IF(PNL!A1185="","",_CALC_PNL!P1185)</f>
        <v>26912.378896</v>
      </c>
      <c r="I1185">
        <f>IF(PNL!A1185="","",IF(_CALC_PNL!E1185=1,H1185-G1185,""))</f>
        <v>0</v>
      </c>
    </row>
    <row r="1186" ht="14.25" customHeight="1">
      <c r="A1186" t="s">
        <v>103</v>
      </c>
      <c r="B1186" t="s">
        <v>214</v>
      </c>
      <c r="C1186" t="s">
        <v>189</v>
      </c>
      <c r="D1186" t="s">
        <v>194</v>
      </c>
      <c r="E1186" t="s">
        <v>147</v>
      </c>
      <c r="F1186" t="s">
        <v>148</v>
      </c>
      <c r="G1186">
        <v>22757.654712</v>
      </c>
      <c r="H1186">
        <f>IF(PNL!A1186="","",_CALC_PNL!P1186)</f>
        <v>22757.654712</v>
      </c>
      <c r="I1186">
        <f>IF(PNL!A1186="","",IF(_CALC_PNL!E1186=1,H1186-G1186,""))</f>
        <v>0</v>
      </c>
    </row>
    <row r="1187" ht="14.25" customHeight="1">
      <c r="A1187" t="s">
        <v>104</v>
      </c>
      <c r="B1187" t="s">
        <v>214</v>
      </c>
      <c r="C1187" t="s">
        <v>189</v>
      </c>
      <c r="D1187" t="s">
        <v>194</v>
      </c>
      <c r="E1187" t="s">
        <v>147</v>
      </c>
      <c r="F1187" t="s">
        <v>148</v>
      </c>
      <c r="G1187">
        <v>34498.981504</v>
      </c>
      <c r="H1187">
        <f>IF(PNL!A1187="","",_CALC_PNL!P1187)</f>
        <v>34498.981504</v>
      </c>
      <c r="I1187">
        <f>IF(PNL!A1187="","",IF(_CALC_PNL!E1187=1,H1187-G1187,""))</f>
        <v>0</v>
      </c>
    </row>
    <row r="1188" ht="14.25" customHeight="1">
      <c r="A1188" t="s">
        <v>105</v>
      </c>
      <c r="B1188" t="s">
        <v>214</v>
      </c>
      <c r="C1188" t="s">
        <v>189</v>
      </c>
      <c r="D1188" t="s">
        <v>194</v>
      </c>
      <c r="E1188" t="s">
        <v>147</v>
      </c>
      <c r="F1188" t="s">
        <v>148</v>
      </c>
      <c r="G1188">
        <v>8753.192968</v>
      </c>
      <c r="H1188">
        <f>IF(PNL!A1188="","",_CALC_PNL!P1188)</f>
        <v>8753.192968</v>
      </c>
      <c r="I1188">
        <f>IF(PNL!A1188="","",IF(_CALC_PNL!E1188=1,H1188-G1188,""))</f>
        <v>0</v>
      </c>
    </row>
    <row r="1189" ht="14.25" customHeight="1">
      <c r="A1189" t="s">
        <v>106</v>
      </c>
      <c r="B1189" t="s">
        <v>214</v>
      </c>
      <c r="C1189" t="s">
        <v>189</v>
      </c>
      <c r="D1189" t="s">
        <v>194</v>
      </c>
      <c r="E1189" t="s">
        <v>147</v>
      </c>
      <c r="F1189" t="s">
        <v>148</v>
      </c>
      <c r="G1189">
        <v>14813.014216</v>
      </c>
      <c r="H1189">
        <f>IF(PNL!A1189="","",_CALC_PNL!P1189)</f>
        <v>14813.014216</v>
      </c>
      <c r="I1189">
        <f>IF(PNL!A1189="","",IF(_CALC_PNL!E1189=1,H1189-G1189,""))</f>
        <v>0</v>
      </c>
    </row>
    <row r="1190" ht="14.25" customHeight="1">
      <c r="A1190" t="s">
        <v>107</v>
      </c>
      <c r="B1190" t="s">
        <v>214</v>
      </c>
      <c r="C1190" t="s">
        <v>189</v>
      </c>
      <c r="D1190" t="s">
        <v>194</v>
      </c>
      <c r="E1190" t="s">
        <v>147</v>
      </c>
      <c r="F1190" t="s">
        <v>148</v>
      </c>
      <c r="G1190">
        <v>9784.169408</v>
      </c>
      <c r="H1190">
        <f>IF(PNL!A1190="","",_CALC_PNL!P1190)</f>
        <v>9784.169408</v>
      </c>
      <c r="I1190">
        <f>IF(PNL!A1190="","",IF(_CALC_PNL!E1190=1,H1190-G1190,""))</f>
        <v>0</v>
      </c>
    </row>
    <row r="1191" ht="14.25" customHeight="1">
      <c r="A1191" t="s">
        <v>108</v>
      </c>
      <c r="B1191" t="s">
        <v>214</v>
      </c>
      <c r="C1191" t="s">
        <v>189</v>
      </c>
      <c r="D1191" t="s">
        <v>194</v>
      </c>
      <c r="E1191" t="s">
        <v>147</v>
      </c>
      <c r="F1191" t="s">
        <v>148</v>
      </c>
      <c r="G1191">
        <v>13862.34564</v>
      </c>
      <c r="H1191">
        <f>IF(PNL!A1191="","",_CALC_PNL!P1191)</f>
        <v>13862.34564</v>
      </c>
      <c r="I1191">
        <f>IF(PNL!A1191="","",IF(_CALC_PNL!E1191=1,H1191-G1191,""))</f>
        <v>0</v>
      </c>
    </row>
    <row r="1192" ht="14.25" customHeight="1">
      <c r="A1192" t="s">
        <v>86</v>
      </c>
      <c r="B1192" t="s">
        <v>203</v>
      </c>
      <c r="C1192" t="s">
        <v>189</v>
      </c>
      <c r="D1192" t="s">
        <v>194</v>
      </c>
      <c r="E1192" t="s">
        <v>147</v>
      </c>
      <c r="F1192" t="s">
        <v>148</v>
      </c>
      <c r="G1192">
        <v>71034.296436</v>
      </c>
      <c r="H1192">
        <f>IF(PNL!A1192="","",_CALC_PNL!P1192)</f>
        <v>71034.3021681532</v>
      </c>
      <c r="I1192">
        <f>IF(PNL!A1192="","",IF(_CALC_PNL!E1192=1,H1192-G1192,""))</f>
        <v>0.00573215319309384</v>
      </c>
    </row>
    <row r="1193" ht="14.25" customHeight="1">
      <c r="A1193" t="s">
        <v>89</v>
      </c>
      <c r="B1193" t="s">
        <v>203</v>
      </c>
      <c r="C1193" t="s">
        <v>189</v>
      </c>
      <c r="D1193" t="s">
        <v>194</v>
      </c>
      <c r="E1193" t="s">
        <v>147</v>
      </c>
      <c r="F1193" t="s">
        <v>148</v>
      </c>
      <c r="G1193">
        <v>71034.296436</v>
      </c>
      <c r="H1193">
        <f>IF(PNL!A1193="","",_CALC_PNL!P1193)</f>
        <v>71034.3021681532</v>
      </c>
      <c r="I1193">
        <f>IF(PNL!A1193="","",IF(_CALC_PNL!E1193=1,H1193-G1193,""))</f>
        <v>0.00573215319309384</v>
      </c>
    </row>
    <row r="1194" ht="14.25" customHeight="1">
      <c r="A1194" t="s">
        <v>91</v>
      </c>
      <c r="B1194" t="s">
        <v>203</v>
      </c>
      <c r="C1194" t="s">
        <v>189</v>
      </c>
      <c r="D1194" t="s">
        <v>194</v>
      </c>
      <c r="E1194" t="s">
        <v>147</v>
      </c>
      <c r="F1194" t="s">
        <v>148</v>
      </c>
      <c r="G1194">
        <v>71034.296436</v>
      </c>
      <c r="H1194">
        <f>IF(PNL!A1194="","",_CALC_PNL!P1194)</f>
        <v>71034.3021681532</v>
      </c>
      <c r="I1194">
        <f>IF(PNL!A1194="","",IF(_CALC_PNL!E1194=1,H1194-G1194,""))</f>
        <v>0.00573215319309384</v>
      </c>
    </row>
    <row r="1195" ht="14.25" customHeight="1">
      <c r="A1195" t="s">
        <v>93</v>
      </c>
      <c r="B1195" t="s">
        <v>203</v>
      </c>
      <c r="C1195" t="s">
        <v>189</v>
      </c>
      <c r="D1195" t="s">
        <v>194</v>
      </c>
      <c r="E1195" t="s">
        <v>147</v>
      </c>
      <c r="F1195" t="s">
        <v>148</v>
      </c>
      <c r="G1195">
        <v>118389.513438</v>
      </c>
      <c r="H1195">
        <f>IF(PNL!A1195="","",_CALC_PNL!P1195)</f>
        <v>118389.522991509</v>
      </c>
      <c r="I1195">
        <f>IF(PNL!A1195="","",IF(_CALC_PNL!E1195=1,H1195-G1195,""))</f>
        <v>0.00955350900767371</v>
      </c>
    </row>
    <row r="1196" ht="14.25" customHeight="1">
      <c r="A1196" t="s">
        <v>95</v>
      </c>
      <c r="B1196" t="s">
        <v>203</v>
      </c>
      <c r="C1196" t="s">
        <v>189</v>
      </c>
      <c r="D1196" t="s">
        <v>194</v>
      </c>
      <c r="E1196" t="s">
        <v>147</v>
      </c>
      <c r="F1196" t="s">
        <v>148</v>
      </c>
      <c r="G1196">
        <v>177584.760468</v>
      </c>
      <c r="H1196">
        <f>IF(PNL!A1196="","",_CALC_PNL!P1196)</f>
        <v>177584.774798304</v>
      </c>
      <c r="I1196">
        <f>IF(PNL!A1196="","",IF(_CALC_PNL!E1196=1,H1196-G1196,""))</f>
        <v>0.0143303039949387</v>
      </c>
    </row>
    <row r="1197" ht="14.25" customHeight="1">
      <c r="A1197" t="s">
        <v>97</v>
      </c>
      <c r="B1197" t="s">
        <v>203</v>
      </c>
      <c r="C1197" t="s">
        <v>189</v>
      </c>
      <c r="D1197" t="s">
        <v>194</v>
      </c>
      <c r="E1197" t="s">
        <v>147</v>
      </c>
      <c r="F1197" t="s">
        <v>148</v>
      </c>
      <c r="G1197">
        <v>118389.513438</v>
      </c>
      <c r="H1197">
        <f>IF(PNL!A1197="","",_CALC_PNL!P1197)</f>
        <v>118389.522991509</v>
      </c>
      <c r="I1197">
        <f>IF(PNL!A1197="","",IF(_CALC_PNL!E1197=1,H1197-G1197,""))</f>
        <v>0.00955350900767371</v>
      </c>
    </row>
    <row r="1198" ht="14.25" customHeight="1">
      <c r="A1198" t="s">
        <v>99</v>
      </c>
      <c r="B1198" t="s">
        <v>203</v>
      </c>
      <c r="C1198" t="s">
        <v>189</v>
      </c>
      <c r="D1198" t="s">
        <v>194</v>
      </c>
      <c r="E1198" t="s">
        <v>147</v>
      </c>
      <c r="F1198" t="s">
        <v>148</v>
      </c>
      <c r="G1198">
        <v>118389.513438</v>
      </c>
      <c r="H1198">
        <f>IF(PNL!A1198="","",_CALC_PNL!P1198)</f>
        <v>118389.522991509</v>
      </c>
      <c r="I1198">
        <f>IF(PNL!A1198="","",IF(_CALC_PNL!E1198=1,H1198-G1198,""))</f>
        <v>0.00955350900767371</v>
      </c>
    </row>
    <row r="1199" ht="14.25" customHeight="1">
      <c r="A1199" t="s">
        <v>101</v>
      </c>
      <c r="B1199" t="s">
        <v>203</v>
      </c>
      <c r="C1199" t="s">
        <v>189</v>
      </c>
      <c r="D1199" t="s">
        <v>194</v>
      </c>
      <c r="E1199" t="s">
        <v>147</v>
      </c>
      <c r="F1199" t="s">
        <v>148</v>
      </c>
      <c r="G1199">
        <v>153906.661656</v>
      </c>
      <c r="H1199">
        <f>IF(PNL!A1199="","",_CALC_PNL!P1199)</f>
        <v>153906.674075586</v>
      </c>
      <c r="I1199">
        <f>IF(PNL!A1199="","",IF(_CALC_PNL!E1199=1,H1199-G1199,""))</f>
        <v>0.0124195859825704</v>
      </c>
    </row>
    <row r="1200" ht="14.25" customHeight="1">
      <c r="A1200" t="s">
        <v>103</v>
      </c>
      <c r="B1200" t="s">
        <v>203</v>
      </c>
      <c r="C1200" t="s">
        <v>189</v>
      </c>
      <c r="D1200" t="s">
        <v>194</v>
      </c>
      <c r="E1200" t="s">
        <v>147</v>
      </c>
      <c r="F1200" t="s">
        <v>148</v>
      </c>
      <c r="G1200">
        <v>142067.61225</v>
      </c>
      <c r="H1200">
        <f>IF(PNL!A1200="","",_CALC_PNL!P1200)</f>
        <v>142067.623714227</v>
      </c>
      <c r="I1200">
        <f>IF(PNL!A1200="","",IF(_CALC_PNL!E1200=1,H1200-G1200,""))</f>
        <v>0.0114642269909382</v>
      </c>
    </row>
    <row r="1201" ht="14.25" customHeight="1">
      <c r="A1201" t="s">
        <v>104</v>
      </c>
      <c r="B1201" t="s">
        <v>203</v>
      </c>
      <c r="C1201" t="s">
        <v>189</v>
      </c>
      <c r="D1201" t="s">
        <v>194</v>
      </c>
      <c r="E1201" t="s">
        <v>147</v>
      </c>
      <c r="F1201" t="s">
        <v>148</v>
      </c>
      <c r="G1201">
        <v>177584.760468</v>
      </c>
      <c r="H1201">
        <f>IF(PNL!A1201="","",_CALC_PNL!P1201)</f>
        <v>177584.774798304</v>
      </c>
      <c r="I1201">
        <f>IF(PNL!A1201="","",IF(_CALC_PNL!E1201=1,H1201-G1201,""))</f>
        <v>0.0143303039949387</v>
      </c>
    </row>
    <row r="1202" ht="14.25" customHeight="1">
      <c r="A1202" t="s">
        <v>105</v>
      </c>
      <c r="B1202" t="s">
        <v>203</v>
      </c>
      <c r="C1202" t="s">
        <v>189</v>
      </c>
      <c r="D1202" t="s">
        <v>194</v>
      </c>
      <c r="E1202" t="s">
        <v>147</v>
      </c>
      <c r="F1202" t="s">
        <v>148</v>
      </c>
      <c r="G1202">
        <v>94711.414626</v>
      </c>
      <c r="H1202">
        <f>IF(PNL!A1202="","",_CALC_PNL!P1202)</f>
        <v>94711.4222687917</v>
      </c>
      <c r="I1202">
        <f>IF(PNL!A1202="","",IF(_CALC_PNL!E1202=1,H1202-G1202,""))</f>
        <v>0.00764279170834925</v>
      </c>
    </row>
    <row r="1203" ht="14.25" customHeight="1">
      <c r="A1203" t="s">
        <v>106</v>
      </c>
      <c r="B1203" t="s">
        <v>203</v>
      </c>
      <c r="C1203" t="s">
        <v>189</v>
      </c>
      <c r="D1203" t="s">
        <v>194</v>
      </c>
      <c r="E1203" t="s">
        <v>147</v>
      </c>
      <c r="F1203" t="s">
        <v>148</v>
      </c>
      <c r="G1203">
        <v>94711.414626</v>
      </c>
      <c r="H1203">
        <f>IF(PNL!A1203="","",_CALC_PNL!P1203)</f>
        <v>94711.4222687917</v>
      </c>
      <c r="I1203">
        <f>IF(PNL!A1203="","",IF(_CALC_PNL!E1203=1,H1203-G1203,""))</f>
        <v>0.00764279170834925</v>
      </c>
    </row>
    <row r="1204" ht="14.25" customHeight="1">
      <c r="A1204" t="s">
        <v>107</v>
      </c>
      <c r="B1204" t="s">
        <v>203</v>
      </c>
      <c r="C1204" t="s">
        <v>189</v>
      </c>
      <c r="D1204" t="s">
        <v>194</v>
      </c>
      <c r="E1204" t="s">
        <v>147</v>
      </c>
      <c r="F1204" t="s">
        <v>148</v>
      </c>
      <c r="G1204">
        <v>71034.296436</v>
      </c>
      <c r="H1204">
        <f>IF(PNL!A1204="","",_CALC_PNL!P1204)</f>
        <v>71034.3021681532</v>
      </c>
      <c r="I1204">
        <f>IF(PNL!A1204="","",IF(_CALC_PNL!E1204=1,H1204-G1204,""))</f>
        <v>0.00573215319309384</v>
      </c>
    </row>
    <row r="1205" ht="14.25" customHeight="1">
      <c r="A1205" t="s">
        <v>108</v>
      </c>
      <c r="B1205" t="s">
        <v>203</v>
      </c>
      <c r="C1205" t="s">
        <v>189</v>
      </c>
      <c r="D1205" t="s">
        <v>194</v>
      </c>
      <c r="E1205" t="s">
        <v>147</v>
      </c>
      <c r="F1205" t="s">
        <v>148</v>
      </c>
      <c r="G1205">
        <v>71034.296436</v>
      </c>
      <c r="H1205">
        <f>IF(PNL!A1205="","",_CALC_PNL!P1205)</f>
        <v>71034.3021681532</v>
      </c>
      <c r="I1205">
        <f>IF(PNL!A1205="","",IF(_CALC_PNL!E1205=1,H1205-G1205,""))</f>
        <v>0.00573215319309384</v>
      </c>
    </row>
    <row r="1206" ht="14.25" customHeight="1">
      <c r="A1206" t="s">
        <v>209</v>
      </c>
      <c r="B1206" t="s">
        <v>215</v>
      </c>
      <c r="C1206" t="s">
        <v>189</v>
      </c>
      <c r="D1206" t="s">
        <v>194</v>
      </c>
      <c r="E1206" t="s">
        <v>147</v>
      </c>
      <c r="F1206" t="s">
        <v>148</v>
      </c>
      <c r="G1206">
        <v>605057.6792</v>
      </c>
      <c r="H1206">
        <f>IF(PNL!A1206="","",_CALC_PNL!P1206)</f>
        <v>605057.6792</v>
      </c>
      <c r="I1206">
        <f>IF(PNL!A1206="","",IF(_CALC_PNL!E1206=1,H1206-G1206,""))</f>
        <v>0</v>
      </c>
    </row>
    <row r="1207" ht="14.25" customHeight="1">
      <c r="A1207" t="s">
        <v>86</v>
      </c>
      <c r="B1207" t="s">
        <v>206</v>
      </c>
      <c r="C1207" t="s">
        <v>189</v>
      </c>
      <c r="D1207" t="s">
        <v>194</v>
      </c>
      <c r="E1207" t="s">
        <v>147</v>
      </c>
      <c r="F1207" t="s">
        <v>148</v>
      </c>
      <c r="G1207">
        <v>14419.1</v>
      </c>
      <c r="H1207">
        <f>IF(PNL!A1207="","",_CALC_PNL!P1207)</f>
        <v>14419.1</v>
      </c>
      <c r="I1207">
        <f>IF(PNL!A1207="","",IF(_CALC_PNL!E1207=1,H1207-G1207,""))</f>
        <v>0</v>
      </c>
    </row>
    <row r="1208" ht="14.25" customHeight="1">
      <c r="A1208" t="s">
        <v>89</v>
      </c>
      <c r="B1208" t="s">
        <v>206</v>
      </c>
      <c r="C1208" t="s">
        <v>189</v>
      </c>
      <c r="D1208" t="s">
        <v>194</v>
      </c>
      <c r="E1208" t="s">
        <v>147</v>
      </c>
      <c r="F1208" t="s">
        <v>148</v>
      </c>
      <c r="G1208">
        <v>20672</v>
      </c>
      <c r="H1208">
        <f>IF(PNL!A1208="","",_CALC_PNL!P1208)</f>
        <v>20672</v>
      </c>
      <c r="I1208">
        <f>IF(PNL!A1208="","",IF(_CALC_PNL!E1208=1,H1208-G1208,""))</f>
        <v>0</v>
      </c>
    </row>
    <row r="1209" ht="14.25" customHeight="1">
      <c r="A1209" t="s">
        <v>91</v>
      </c>
      <c r="B1209" t="s">
        <v>206</v>
      </c>
      <c r="C1209" t="s">
        <v>189</v>
      </c>
      <c r="D1209" t="s">
        <v>194</v>
      </c>
      <c r="E1209" t="s">
        <v>147</v>
      </c>
      <c r="F1209" t="s">
        <v>148</v>
      </c>
      <c r="G1209">
        <v>14186.35</v>
      </c>
      <c r="H1209">
        <f>IF(PNL!A1209="","",_CALC_PNL!P1209)</f>
        <v>14186.35</v>
      </c>
      <c r="I1209">
        <f>IF(PNL!A1209="","",IF(_CALC_PNL!E1209=1,H1209-G1209,""))</f>
        <v>0</v>
      </c>
    </row>
    <row r="1210" ht="14.25" customHeight="1">
      <c r="A1210" t="s">
        <v>93</v>
      </c>
      <c r="B1210" t="s">
        <v>206</v>
      </c>
      <c r="C1210" t="s">
        <v>189</v>
      </c>
      <c r="D1210" t="s">
        <v>194</v>
      </c>
      <c r="E1210" t="s">
        <v>147</v>
      </c>
      <c r="F1210" t="s">
        <v>148</v>
      </c>
      <c r="G1210">
        <v>23959</v>
      </c>
      <c r="H1210">
        <f>IF(PNL!A1210="","",_CALC_PNL!P1210)</f>
        <v>23959</v>
      </c>
      <c r="I1210">
        <f>IF(PNL!A1210="","",IF(_CALC_PNL!E1210=1,H1210-G1210,""))</f>
        <v>0</v>
      </c>
    </row>
    <row r="1211" ht="14.25" customHeight="1">
      <c r="A1211" t="s">
        <v>95</v>
      </c>
      <c r="B1211" t="s">
        <v>206</v>
      </c>
      <c r="C1211" t="s">
        <v>189</v>
      </c>
      <c r="D1211" t="s">
        <v>194</v>
      </c>
      <c r="E1211" t="s">
        <v>147</v>
      </c>
      <c r="F1211" t="s">
        <v>148</v>
      </c>
      <c r="G1211">
        <v>57760</v>
      </c>
      <c r="H1211">
        <f>IF(PNL!A1211="","",_CALC_PNL!P1211)</f>
        <v>57760</v>
      </c>
      <c r="I1211">
        <f>IF(PNL!A1211="","",IF(_CALC_PNL!E1211=1,H1211-G1211,""))</f>
        <v>0</v>
      </c>
    </row>
    <row r="1212" ht="14.25" customHeight="1">
      <c r="A1212" t="s">
        <v>97</v>
      </c>
      <c r="B1212" t="s">
        <v>206</v>
      </c>
      <c r="C1212" t="s">
        <v>189</v>
      </c>
      <c r="D1212" t="s">
        <v>194</v>
      </c>
      <c r="E1212" t="s">
        <v>147</v>
      </c>
      <c r="F1212" t="s">
        <v>148</v>
      </c>
      <c r="G1212">
        <v>20978.85</v>
      </c>
      <c r="H1212">
        <f>IF(PNL!A1212="","",_CALC_PNL!P1212)</f>
        <v>20978.85</v>
      </c>
      <c r="I1212">
        <f>IF(PNL!A1212="","",IF(_CALC_PNL!E1212=1,H1212-G1212,""))</f>
        <v>0</v>
      </c>
    </row>
    <row r="1213" ht="14.25" customHeight="1">
      <c r="A1213" t="s">
        <v>99</v>
      </c>
      <c r="B1213" t="s">
        <v>206</v>
      </c>
      <c r="C1213" t="s">
        <v>189</v>
      </c>
      <c r="D1213" t="s">
        <v>194</v>
      </c>
      <c r="E1213" t="s">
        <v>147</v>
      </c>
      <c r="F1213" t="s">
        <v>148</v>
      </c>
      <c r="G1213">
        <v>23676.85</v>
      </c>
      <c r="H1213">
        <f>IF(PNL!A1213="","",_CALC_PNL!P1213)</f>
        <v>23676.85</v>
      </c>
      <c r="I1213">
        <f>IF(PNL!A1213="","",IF(_CALC_PNL!E1213=1,H1213-G1213,""))</f>
        <v>0</v>
      </c>
    </row>
    <row r="1214" ht="14.25" customHeight="1">
      <c r="A1214" t="s">
        <v>101</v>
      </c>
      <c r="B1214" t="s">
        <v>206</v>
      </c>
      <c r="C1214" t="s">
        <v>189</v>
      </c>
      <c r="D1214" t="s">
        <v>194</v>
      </c>
      <c r="E1214" t="s">
        <v>147</v>
      </c>
      <c r="F1214" t="s">
        <v>148</v>
      </c>
      <c r="G1214">
        <v>39693.85</v>
      </c>
      <c r="H1214">
        <f>IF(PNL!A1214="","",_CALC_PNL!P1214)</f>
        <v>39693.85</v>
      </c>
      <c r="I1214">
        <f>IF(PNL!A1214="","",IF(_CALC_PNL!E1214=1,H1214-G1214,""))</f>
        <v>0</v>
      </c>
    </row>
    <row r="1215" ht="14.25" customHeight="1">
      <c r="A1215" t="s">
        <v>103</v>
      </c>
      <c r="B1215" t="s">
        <v>206</v>
      </c>
      <c r="C1215" t="s">
        <v>189</v>
      </c>
      <c r="D1215" t="s">
        <v>194</v>
      </c>
      <c r="E1215" t="s">
        <v>147</v>
      </c>
      <c r="F1215" t="s">
        <v>148</v>
      </c>
      <c r="G1215">
        <v>29956.35</v>
      </c>
      <c r="H1215">
        <f>IF(PNL!A1215="","",_CALC_PNL!P1215)</f>
        <v>29956.35</v>
      </c>
      <c r="I1215">
        <f>IF(PNL!A1215="","",IF(_CALC_PNL!E1215=1,H1215-G1215,""))</f>
        <v>0</v>
      </c>
    </row>
    <row r="1216" ht="14.25" customHeight="1">
      <c r="A1216" t="s">
        <v>104</v>
      </c>
      <c r="B1216" t="s">
        <v>206</v>
      </c>
      <c r="C1216" t="s">
        <v>189</v>
      </c>
      <c r="D1216" t="s">
        <v>194</v>
      </c>
      <c r="E1216" t="s">
        <v>147</v>
      </c>
      <c r="F1216" t="s">
        <v>148</v>
      </c>
      <c r="G1216">
        <v>64876.45</v>
      </c>
      <c r="H1216">
        <f>IF(PNL!A1216="","",_CALC_PNL!P1216)</f>
        <v>64876.45</v>
      </c>
      <c r="I1216">
        <f>IF(PNL!A1216="","",IF(_CALC_PNL!E1216=1,H1216-G1216,""))</f>
        <v>0</v>
      </c>
    </row>
    <row r="1217" ht="14.25" customHeight="1">
      <c r="A1217" t="s">
        <v>105</v>
      </c>
      <c r="B1217" t="s">
        <v>206</v>
      </c>
      <c r="C1217" t="s">
        <v>189</v>
      </c>
      <c r="D1217" t="s">
        <v>194</v>
      </c>
      <c r="E1217" t="s">
        <v>147</v>
      </c>
      <c r="F1217" t="s">
        <v>148</v>
      </c>
      <c r="G1217">
        <v>20869.6</v>
      </c>
      <c r="H1217">
        <f>IF(PNL!A1217="","",_CALC_PNL!P1217)</f>
        <v>20869.6</v>
      </c>
      <c r="I1217">
        <f>IF(PNL!A1217="","",IF(_CALC_PNL!E1217=1,H1217-G1217,""))</f>
        <v>0</v>
      </c>
    </row>
    <row r="1218" ht="14.25" customHeight="1">
      <c r="A1218" t="s">
        <v>106</v>
      </c>
      <c r="B1218" t="s">
        <v>206</v>
      </c>
      <c r="C1218" t="s">
        <v>189</v>
      </c>
      <c r="D1218" t="s">
        <v>194</v>
      </c>
      <c r="E1218" t="s">
        <v>147</v>
      </c>
      <c r="F1218" t="s">
        <v>148</v>
      </c>
      <c r="G1218">
        <v>34781.4</v>
      </c>
      <c r="H1218">
        <f>IF(PNL!A1218="","",_CALC_PNL!P1218)</f>
        <v>34781.4</v>
      </c>
      <c r="I1218">
        <f>IF(PNL!A1218="","",IF(_CALC_PNL!E1218=1,H1218-G1218,""))</f>
        <v>0</v>
      </c>
    </row>
    <row r="1219" ht="14.25" customHeight="1">
      <c r="A1219" t="s">
        <v>107</v>
      </c>
      <c r="B1219" t="s">
        <v>206</v>
      </c>
      <c r="C1219" t="s">
        <v>189</v>
      </c>
      <c r="D1219" t="s">
        <v>194</v>
      </c>
      <c r="E1219" t="s">
        <v>147</v>
      </c>
      <c r="F1219" t="s">
        <v>148</v>
      </c>
      <c r="G1219">
        <v>17907.5</v>
      </c>
      <c r="H1219">
        <f>IF(PNL!A1219="","",_CALC_PNL!P1219)</f>
        <v>17907.5</v>
      </c>
      <c r="I1219">
        <f>IF(PNL!A1219="","",IF(_CALC_PNL!E1219=1,H1219-G1219,""))</f>
        <v>0</v>
      </c>
    </row>
    <row r="1220" ht="14.25" customHeight="1">
      <c r="A1220" t="s">
        <v>108</v>
      </c>
      <c r="B1220" t="s">
        <v>206</v>
      </c>
      <c r="C1220" t="s">
        <v>189</v>
      </c>
      <c r="D1220" t="s">
        <v>194</v>
      </c>
      <c r="E1220" t="s">
        <v>147</v>
      </c>
      <c r="F1220" t="s">
        <v>148</v>
      </c>
      <c r="G1220">
        <v>28728</v>
      </c>
      <c r="H1220">
        <f>IF(PNL!A1220="","",_CALC_PNL!P1220)</f>
        <v>28728</v>
      </c>
      <c r="I1220">
        <f>IF(PNL!A1220="","",IF(_CALC_PNL!E1220=1,H1220-G1220,""))</f>
        <v>0</v>
      </c>
    </row>
    <row r="1221" ht="14.25" customHeight="1">
      <c r="A1221" t="s">
        <v>209</v>
      </c>
      <c r="B1221" t="s">
        <v>216</v>
      </c>
      <c r="C1221" t="s">
        <v>189</v>
      </c>
      <c r="D1221" t="s">
        <v>194</v>
      </c>
      <c r="E1221" t="s">
        <v>147</v>
      </c>
      <c r="F1221" t="s">
        <v>148</v>
      </c>
      <c r="G1221">
        <v>642526.8</v>
      </c>
      <c r="H1221">
        <f>IF(PNL!A1221="","",_CALC_PNL!P1221)</f>
        <v>642526.8</v>
      </c>
      <c r="I1221">
        <f>IF(PNL!A1221="","",IF(_CALC_PNL!E1221=1,H1221-G1221,""))</f>
        <v>0</v>
      </c>
    </row>
    <row r="1222" ht="14.25" customHeight="1">
      <c r="A1222" t="s">
        <v>86</v>
      </c>
      <c r="B1222" t="s">
        <v>217</v>
      </c>
      <c r="C1222" t="s">
        <v>189</v>
      </c>
      <c r="D1222" t="s">
        <v>194</v>
      </c>
      <c r="E1222" t="s">
        <v>147</v>
      </c>
      <c r="F1222" t="s">
        <v>148</v>
      </c>
      <c r="G1222">
        <v>10740.847416</v>
      </c>
      <c r="H1222">
        <f>IF(PNL!A1222="","",_CALC_PNL!P1222)</f>
        <v>10740.847416</v>
      </c>
      <c r="I1222">
        <f>IF(PNL!A1222="","",IF(_CALC_PNL!E1222=1,H1222-G1222,""))</f>
        <v>0</v>
      </c>
    </row>
    <row r="1223" ht="14.25" customHeight="1">
      <c r="A1223" t="s">
        <v>89</v>
      </c>
      <c r="B1223" t="s">
        <v>217</v>
      </c>
      <c r="C1223" t="s">
        <v>189</v>
      </c>
      <c r="D1223" t="s">
        <v>194</v>
      </c>
      <c r="E1223" t="s">
        <v>147</v>
      </c>
      <c r="F1223" t="s">
        <v>148</v>
      </c>
      <c r="G1223">
        <v>16450.493384</v>
      </c>
      <c r="H1223">
        <f>IF(PNL!A1223="","",_CALC_PNL!P1223)</f>
        <v>16450.493384</v>
      </c>
      <c r="I1223">
        <f>IF(PNL!A1223="","",IF(_CALC_PNL!E1223=1,H1223-G1223,""))</f>
        <v>0</v>
      </c>
    </row>
    <row r="1224" ht="14.25" customHeight="1">
      <c r="A1224" t="s">
        <v>91</v>
      </c>
      <c r="B1224" t="s">
        <v>217</v>
      </c>
      <c r="C1224" t="s">
        <v>189</v>
      </c>
      <c r="D1224" t="s">
        <v>194</v>
      </c>
      <c r="E1224" t="s">
        <v>147</v>
      </c>
      <c r="F1224" t="s">
        <v>148</v>
      </c>
      <c r="G1224">
        <v>10747.253192</v>
      </c>
      <c r="H1224">
        <f>IF(PNL!A1224="","",_CALC_PNL!P1224)</f>
        <v>10747.253192</v>
      </c>
      <c r="I1224">
        <f>IF(PNL!A1224="","",IF(_CALC_PNL!E1224=1,H1224-G1224,""))</f>
        <v>0</v>
      </c>
    </row>
    <row r="1225" ht="14.25" customHeight="1">
      <c r="A1225" t="s">
        <v>93</v>
      </c>
      <c r="B1225" t="s">
        <v>217</v>
      </c>
      <c r="C1225" t="s">
        <v>189</v>
      </c>
      <c r="D1225" t="s">
        <v>194</v>
      </c>
      <c r="E1225" t="s">
        <v>147</v>
      </c>
      <c r="F1225" t="s">
        <v>148</v>
      </c>
      <c r="G1225">
        <v>28112.872736</v>
      </c>
      <c r="H1225">
        <f>IF(PNL!A1225="","",_CALC_PNL!P1225)</f>
        <v>28112.872736</v>
      </c>
      <c r="I1225">
        <f>IF(PNL!A1225="","",IF(_CALC_PNL!E1225=1,H1225-G1225,""))</f>
        <v>0</v>
      </c>
    </row>
    <row r="1226" ht="14.25" customHeight="1">
      <c r="A1226" t="s">
        <v>95</v>
      </c>
      <c r="B1226" t="s">
        <v>217</v>
      </c>
      <c r="C1226" t="s">
        <v>189</v>
      </c>
      <c r="D1226" t="s">
        <v>194</v>
      </c>
      <c r="E1226" t="s">
        <v>147</v>
      </c>
      <c r="F1226" t="s">
        <v>148</v>
      </c>
      <c r="G1226">
        <v>46617.306424</v>
      </c>
      <c r="H1226">
        <f>IF(PNL!A1226="","",_CALC_PNL!P1226)</f>
        <v>46617.306424</v>
      </c>
      <c r="I1226">
        <f>IF(PNL!A1226="","",IF(_CALC_PNL!E1226=1,H1226-G1226,""))</f>
        <v>0</v>
      </c>
    </row>
    <row r="1227" ht="14.25" customHeight="1">
      <c r="A1227" t="s">
        <v>97</v>
      </c>
      <c r="B1227" t="s">
        <v>217</v>
      </c>
      <c r="C1227" t="s">
        <v>189</v>
      </c>
      <c r="D1227" t="s">
        <v>194</v>
      </c>
      <c r="E1227" t="s">
        <v>147</v>
      </c>
      <c r="F1227" t="s">
        <v>148</v>
      </c>
      <c r="G1227">
        <v>25027.281136</v>
      </c>
      <c r="H1227">
        <f>IF(PNL!A1227="","",_CALC_PNL!P1227)</f>
        <v>25027.281136</v>
      </c>
      <c r="I1227">
        <f>IF(PNL!A1227="","",IF(_CALC_PNL!E1227=1,H1227-G1227,""))</f>
        <v>0</v>
      </c>
    </row>
    <row r="1228" ht="14.25" customHeight="1">
      <c r="A1228" t="s">
        <v>99</v>
      </c>
      <c r="B1228" t="s">
        <v>217</v>
      </c>
      <c r="C1228" t="s">
        <v>189</v>
      </c>
      <c r="D1228" t="s">
        <v>194</v>
      </c>
      <c r="E1228" t="s">
        <v>147</v>
      </c>
      <c r="F1228" t="s">
        <v>148</v>
      </c>
      <c r="G1228">
        <v>28252.439384</v>
      </c>
      <c r="H1228">
        <f>IF(PNL!A1228="","",_CALC_PNL!P1228)</f>
        <v>28252.439384</v>
      </c>
      <c r="I1228">
        <f>IF(PNL!A1228="","",IF(_CALC_PNL!E1228=1,H1228-G1228,""))</f>
        <v>0</v>
      </c>
    </row>
    <row r="1229" ht="14.25" customHeight="1">
      <c r="A1229" t="s">
        <v>101</v>
      </c>
      <c r="B1229" t="s">
        <v>217</v>
      </c>
      <c r="C1229" t="s">
        <v>189</v>
      </c>
      <c r="D1229" t="s">
        <v>194</v>
      </c>
      <c r="E1229" t="s">
        <v>147</v>
      </c>
      <c r="F1229" t="s">
        <v>148</v>
      </c>
      <c r="G1229">
        <v>40367.979184</v>
      </c>
      <c r="H1229">
        <f>IF(PNL!A1229="","",_CALC_PNL!P1229)</f>
        <v>40367.979184</v>
      </c>
      <c r="I1229">
        <f>IF(PNL!A1229="","",IF(_CALC_PNL!E1229=1,H1229-G1229,""))</f>
        <v>0</v>
      </c>
    </row>
    <row r="1230" ht="14.25" customHeight="1">
      <c r="A1230" t="s">
        <v>103</v>
      </c>
      <c r="B1230" t="s">
        <v>217</v>
      </c>
      <c r="C1230" t="s">
        <v>189</v>
      </c>
      <c r="D1230" t="s">
        <v>194</v>
      </c>
      <c r="E1230" t="s">
        <v>147</v>
      </c>
      <c r="F1230" t="s">
        <v>148</v>
      </c>
      <c r="G1230">
        <v>34136.487424</v>
      </c>
      <c r="H1230">
        <f>IF(PNL!A1230="","",_CALC_PNL!P1230)</f>
        <v>34136.487424</v>
      </c>
      <c r="I1230">
        <f>IF(PNL!A1230="","",IF(_CALC_PNL!E1230=1,H1230-G1230,""))</f>
        <v>0</v>
      </c>
    </row>
    <row r="1231" ht="14.25" customHeight="1">
      <c r="A1231" t="s">
        <v>104</v>
      </c>
      <c r="B1231" t="s">
        <v>217</v>
      </c>
      <c r="C1231" t="s">
        <v>189</v>
      </c>
      <c r="D1231" t="s">
        <v>194</v>
      </c>
      <c r="E1231" t="s">
        <v>147</v>
      </c>
      <c r="F1231" t="s">
        <v>148</v>
      </c>
      <c r="G1231">
        <v>51749.361352</v>
      </c>
      <c r="H1231">
        <f>IF(PNL!A1231="","",_CALC_PNL!P1231)</f>
        <v>51749.361352</v>
      </c>
      <c r="I1231">
        <f>IF(PNL!A1231="","",IF(_CALC_PNL!E1231=1,H1231-G1231,""))</f>
        <v>0</v>
      </c>
    </row>
    <row r="1232" ht="14.25" customHeight="1">
      <c r="A1232" t="s">
        <v>105</v>
      </c>
      <c r="B1232" t="s">
        <v>217</v>
      </c>
      <c r="C1232" t="s">
        <v>189</v>
      </c>
      <c r="D1232" t="s">
        <v>194</v>
      </c>
      <c r="E1232" t="s">
        <v>147</v>
      </c>
      <c r="F1232" t="s">
        <v>148</v>
      </c>
      <c r="G1232">
        <v>13128.852152</v>
      </c>
      <c r="H1232">
        <f>IF(PNL!A1232="","",_CALC_PNL!P1232)</f>
        <v>13128.852152</v>
      </c>
      <c r="I1232">
        <f>IF(PNL!A1232="","",IF(_CALC_PNL!E1232=1,H1232-G1232,""))</f>
        <v>0</v>
      </c>
    </row>
    <row r="1233" ht="14.25" customHeight="1">
      <c r="A1233" t="s">
        <v>106</v>
      </c>
      <c r="B1233" t="s">
        <v>217</v>
      </c>
      <c r="C1233" t="s">
        <v>189</v>
      </c>
      <c r="D1233" t="s">
        <v>194</v>
      </c>
      <c r="E1233" t="s">
        <v>147</v>
      </c>
      <c r="F1233" t="s">
        <v>148</v>
      </c>
      <c r="G1233">
        <v>22219.515968</v>
      </c>
      <c r="H1233">
        <f>IF(PNL!A1233="","",_CALC_PNL!P1233)</f>
        <v>22219.515968</v>
      </c>
      <c r="I1233">
        <f>IF(PNL!A1233="","",IF(_CALC_PNL!E1233=1,H1233-G1233,""))</f>
        <v>0</v>
      </c>
    </row>
    <row r="1234" ht="14.25" customHeight="1">
      <c r="A1234" t="s">
        <v>107</v>
      </c>
      <c r="B1234" t="s">
        <v>217</v>
      </c>
      <c r="C1234" t="s">
        <v>189</v>
      </c>
      <c r="D1234" t="s">
        <v>194</v>
      </c>
      <c r="E1234" t="s">
        <v>147</v>
      </c>
      <c r="F1234" t="s">
        <v>148</v>
      </c>
      <c r="G1234">
        <v>14675.664952</v>
      </c>
      <c r="H1234">
        <f>IF(PNL!A1234="","",_CALC_PNL!P1234)</f>
        <v>14675.664952</v>
      </c>
      <c r="I1234">
        <f>IF(PNL!A1234="","",IF(_CALC_PNL!E1234=1,H1234-G1234,""))</f>
        <v>0</v>
      </c>
    </row>
    <row r="1235" ht="14.25" customHeight="1">
      <c r="A1235" t="s">
        <v>108</v>
      </c>
      <c r="B1235" t="s">
        <v>217</v>
      </c>
      <c r="C1235" t="s">
        <v>189</v>
      </c>
      <c r="D1235" t="s">
        <v>194</v>
      </c>
      <c r="E1235" t="s">
        <v>147</v>
      </c>
      <c r="F1235" t="s">
        <v>148</v>
      </c>
      <c r="G1235">
        <v>20793.020352</v>
      </c>
      <c r="H1235">
        <f>IF(PNL!A1235="","",_CALC_PNL!P1235)</f>
        <v>20793.020352</v>
      </c>
      <c r="I1235">
        <f>IF(PNL!A1235="","",IF(_CALC_PNL!E1235=1,H1235-G1235,""))</f>
        <v>0</v>
      </c>
    </row>
    <row r="1236" ht="14.25" customHeight="1">
      <c r="A1236" t="s">
        <v>209</v>
      </c>
      <c r="B1236" t="s">
        <v>218</v>
      </c>
      <c r="C1236" t="s">
        <v>189</v>
      </c>
      <c r="D1236" t="s">
        <v>194</v>
      </c>
      <c r="E1236" t="s">
        <v>147</v>
      </c>
      <c r="F1236" t="s">
        <v>148</v>
      </c>
      <c r="G1236">
        <v>484045.2864</v>
      </c>
      <c r="H1236">
        <f>IF(PNL!A1236="","",_CALC_PNL!P1236)</f>
        <v>484045.2864</v>
      </c>
      <c r="I1236">
        <f>IF(PNL!A1236="","",IF(_CALC_PNL!E1236=1,H1236-G1236,""))</f>
        <v>0</v>
      </c>
    </row>
    <row r="1237" ht="14.25" customHeight="1">
      <c r="A1237" t="s">
        <v>209</v>
      </c>
      <c r="B1237" t="s">
        <v>219</v>
      </c>
      <c r="C1237" t="s">
        <v>189</v>
      </c>
      <c r="D1237" t="s">
        <v>194</v>
      </c>
      <c r="E1237" t="s">
        <v>147</v>
      </c>
      <c r="F1237" t="s">
        <v>148</v>
      </c>
      <c r="G1237">
        <v>193618.3288</v>
      </c>
      <c r="H1237">
        <f>IF(PNL!A1237="","",_CALC_PNL!P1237)</f>
        <v>193618.3288</v>
      </c>
      <c r="I1237">
        <f>IF(PNL!A1237="","",IF(_CALC_PNL!E1237=1,H1237-G1237,""))</f>
        <v>0</v>
      </c>
    </row>
    <row r="1238" ht="14.25" customHeight="1">
      <c r="A1238" t="s">
        <v>209</v>
      </c>
      <c r="B1238" t="s">
        <v>220</v>
      </c>
      <c r="C1238" t="s">
        <v>189</v>
      </c>
      <c r="D1238" t="s">
        <v>194</v>
      </c>
      <c r="E1238" t="s">
        <v>147</v>
      </c>
      <c r="F1238" t="s">
        <v>148</v>
      </c>
      <c r="G1238">
        <v>349071.12</v>
      </c>
      <c r="H1238">
        <f>IF(PNL!A1238="","",_CALC_PNL!P1238)</f>
        <v>349071.12</v>
      </c>
      <c r="I1238">
        <f>IF(PNL!A1238="","",IF(_CALC_PNL!E1238=1,H1238-G1238,""))</f>
        <v>0</v>
      </c>
    </row>
    <row r="1239" ht="14.25" customHeight="1">
      <c r="A1239" t="s">
        <v>209</v>
      </c>
      <c r="B1239" t="s">
        <v>222</v>
      </c>
      <c r="C1239" t="s">
        <v>189</v>
      </c>
      <c r="D1239" t="s">
        <v>194</v>
      </c>
      <c r="E1239" t="s">
        <v>147</v>
      </c>
      <c r="F1239" t="s">
        <v>148</v>
      </c>
      <c r="G1239">
        <v>116357.04</v>
      </c>
      <c r="H1239">
        <f>IF(PNL!A1239="","",_CALC_PNL!P1239)</f>
        <v>116357.04</v>
      </c>
      <c r="I1239">
        <f>IF(PNL!A1239="","",IF(_CALC_PNL!E1239=1,H1239-G1239,""))</f>
        <v>0</v>
      </c>
    </row>
    <row r="1240" ht="14.25" customHeight="1">
      <c r="A1240" t="s">
        <v>86</v>
      </c>
      <c r="B1240" t="s">
        <v>221</v>
      </c>
      <c r="C1240" t="s">
        <v>189</v>
      </c>
      <c r="D1240" t="s">
        <v>194</v>
      </c>
      <c r="E1240" t="s">
        <v>147</v>
      </c>
      <c r="F1240" t="s">
        <v>148</v>
      </c>
      <c r="G1240">
        <v>8244.9234</v>
      </c>
      <c r="H1240">
        <f>IF(PNL!A1240="","",_CALC_PNL!P1240)</f>
        <v>8244.9234</v>
      </c>
      <c r="I1240">
        <f>IF(PNL!A1240="","",IF(_CALC_PNL!E1240=1,H1240-G1240,""))</f>
        <v>0</v>
      </c>
    </row>
    <row r="1241" ht="14.25" customHeight="1">
      <c r="A1241" t="s">
        <v>89</v>
      </c>
      <c r="B1241" t="s">
        <v>221</v>
      </c>
      <c r="C1241" t="s">
        <v>189</v>
      </c>
      <c r="D1241" t="s">
        <v>194</v>
      </c>
      <c r="E1241" t="s">
        <v>147</v>
      </c>
      <c r="F1241" t="s">
        <v>148</v>
      </c>
      <c r="G1241">
        <v>10189.687</v>
      </c>
      <c r="H1241">
        <f>IF(PNL!A1241="","",_CALC_PNL!P1241)</f>
        <v>10189.687</v>
      </c>
      <c r="I1241">
        <f>IF(PNL!A1241="","",IF(_CALC_PNL!E1241=1,H1241-G1241,""))</f>
        <v>0</v>
      </c>
    </row>
    <row r="1242" ht="14.25" customHeight="1">
      <c r="A1242" t="s">
        <v>91</v>
      </c>
      <c r="B1242" t="s">
        <v>221</v>
      </c>
      <c r="C1242" t="s">
        <v>189</v>
      </c>
      <c r="D1242" t="s">
        <v>194</v>
      </c>
      <c r="E1242" t="s">
        <v>147</v>
      </c>
      <c r="F1242" t="s">
        <v>148</v>
      </c>
      <c r="G1242">
        <v>8249.8365</v>
      </c>
      <c r="H1242">
        <f>IF(PNL!A1242="","",_CALC_PNL!P1242)</f>
        <v>8249.8365</v>
      </c>
      <c r="I1242">
        <f>IF(PNL!A1242="","",IF(_CALC_PNL!E1242=1,H1242-G1242,""))</f>
        <v>0</v>
      </c>
    </row>
    <row r="1243" ht="14.25" customHeight="1">
      <c r="A1243" t="s">
        <v>93</v>
      </c>
      <c r="B1243" t="s">
        <v>221</v>
      </c>
      <c r="C1243" t="s">
        <v>189</v>
      </c>
      <c r="D1243" t="s">
        <v>194</v>
      </c>
      <c r="E1243" t="s">
        <v>147</v>
      </c>
      <c r="F1243" t="s">
        <v>148</v>
      </c>
      <c r="G1243">
        <v>17247.2985</v>
      </c>
      <c r="H1243">
        <f>IF(PNL!A1243="","",_CALC_PNL!P1243)</f>
        <v>17247.2985</v>
      </c>
      <c r="I1243">
        <f>IF(PNL!A1243="","",IF(_CALC_PNL!E1243=1,H1243-G1243,""))</f>
        <v>0</v>
      </c>
    </row>
    <row r="1244" ht="14.25" customHeight="1">
      <c r="A1244" t="s">
        <v>95</v>
      </c>
      <c r="B1244" t="s">
        <v>221</v>
      </c>
      <c r="C1244" t="s">
        <v>189</v>
      </c>
      <c r="D1244" t="s">
        <v>194</v>
      </c>
      <c r="E1244" t="s">
        <v>147</v>
      </c>
      <c r="F1244" t="s">
        <v>148</v>
      </c>
      <c r="G1244">
        <v>29570.0228</v>
      </c>
      <c r="H1244">
        <f>IF(PNL!A1244="","",_CALC_PNL!P1244)</f>
        <v>29570.0228</v>
      </c>
      <c r="I1244">
        <f>IF(PNL!A1244="","",IF(_CALC_PNL!E1244=1,H1244-G1244,""))</f>
        <v>0</v>
      </c>
    </row>
    <row r="1245" ht="14.25" customHeight="1">
      <c r="A1245" t="s">
        <v>97</v>
      </c>
      <c r="B1245" t="s">
        <v>221</v>
      </c>
      <c r="C1245" t="s">
        <v>189</v>
      </c>
      <c r="D1245" t="s">
        <v>194</v>
      </c>
      <c r="E1245" t="s">
        <v>147</v>
      </c>
      <c r="F1245" t="s">
        <v>148</v>
      </c>
      <c r="G1245">
        <v>16218.2049</v>
      </c>
      <c r="H1245">
        <f>IF(PNL!A1245="","",_CALC_PNL!P1245)</f>
        <v>16218.2049</v>
      </c>
      <c r="I1245">
        <f>IF(PNL!A1245="","",IF(_CALC_PNL!E1245=1,H1245-G1245,""))</f>
        <v>0</v>
      </c>
    </row>
    <row r="1246" ht="14.25" customHeight="1">
      <c r="A1246" t="s">
        <v>99</v>
      </c>
      <c r="B1246" t="s">
        <v>221</v>
      </c>
      <c r="C1246" t="s">
        <v>189</v>
      </c>
      <c r="D1246" t="s">
        <v>194</v>
      </c>
      <c r="E1246" t="s">
        <v>147</v>
      </c>
      <c r="F1246" t="s">
        <v>148</v>
      </c>
      <c r="G1246">
        <v>16985.3901</v>
      </c>
      <c r="H1246">
        <f>IF(PNL!A1246="","",_CALC_PNL!P1246)</f>
        <v>16985.3901</v>
      </c>
      <c r="I1246">
        <f>IF(PNL!A1246="","",IF(_CALC_PNL!E1246=1,H1246-G1246,""))</f>
        <v>0</v>
      </c>
    </row>
    <row r="1247" ht="14.25" customHeight="1">
      <c r="A1247" t="s">
        <v>101</v>
      </c>
      <c r="B1247" t="s">
        <v>221</v>
      </c>
      <c r="C1247" t="s">
        <v>189</v>
      </c>
      <c r="D1247" t="s">
        <v>194</v>
      </c>
      <c r="E1247" t="s">
        <v>147</v>
      </c>
      <c r="F1247" t="s">
        <v>148</v>
      </c>
      <c r="G1247">
        <v>24247.2403</v>
      </c>
      <c r="H1247">
        <f>IF(PNL!A1247="","",_CALC_PNL!P1247)</f>
        <v>24247.2403</v>
      </c>
      <c r="I1247">
        <f>IF(PNL!A1247="","",IF(_CALC_PNL!E1247=1,H1247-G1247,""))</f>
        <v>0</v>
      </c>
    </row>
    <row r="1248" ht="14.25" customHeight="1">
      <c r="A1248" t="s">
        <v>103</v>
      </c>
      <c r="B1248" t="s">
        <v>221</v>
      </c>
      <c r="C1248" t="s">
        <v>189</v>
      </c>
      <c r="D1248" t="s">
        <v>194</v>
      </c>
      <c r="E1248" t="s">
        <v>147</v>
      </c>
      <c r="F1248" t="s">
        <v>148</v>
      </c>
      <c r="G1248">
        <v>20857.294</v>
      </c>
      <c r="H1248">
        <f>IF(PNL!A1248="","",_CALC_PNL!P1248)</f>
        <v>20857.294</v>
      </c>
      <c r="I1248">
        <f>IF(PNL!A1248="","",IF(_CALC_PNL!E1248=1,H1248-G1248,""))</f>
        <v>0</v>
      </c>
    </row>
    <row r="1249" ht="14.25" customHeight="1">
      <c r="A1249" t="s">
        <v>104</v>
      </c>
      <c r="B1249" t="s">
        <v>221</v>
      </c>
      <c r="C1249" t="s">
        <v>189</v>
      </c>
      <c r="D1249" t="s">
        <v>194</v>
      </c>
      <c r="E1249" t="s">
        <v>147</v>
      </c>
      <c r="F1249" t="s">
        <v>148</v>
      </c>
      <c r="G1249">
        <v>30419.0106</v>
      </c>
      <c r="H1249">
        <f>IF(PNL!A1249="","",_CALC_PNL!P1249)</f>
        <v>30419.0106</v>
      </c>
      <c r="I1249">
        <f>IF(PNL!A1249="","",IF(_CALC_PNL!E1249=1,H1249-G1249,""))</f>
        <v>0</v>
      </c>
    </row>
    <row r="1250" ht="14.25" customHeight="1">
      <c r="A1250" t="s">
        <v>105</v>
      </c>
      <c r="B1250" t="s">
        <v>221</v>
      </c>
      <c r="C1250" t="s">
        <v>189</v>
      </c>
      <c r="D1250" t="s">
        <v>194</v>
      </c>
      <c r="E1250" t="s">
        <v>147</v>
      </c>
      <c r="F1250" t="s">
        <v>148</v>
      </c>
      <c r="G1250">
        <v>11072.6751</v>
      </c>
      <c r="H1250">
        <f>IF(PNL!A1250="","",_CALC_PNL!P1250)</f>
        <v>11072.6751</v>
      </c>
      <c r="I1250">
        <f>IF(PNL!A1250="","",IF(_CALC_PNL!E1250=1,H1250-G1250,""))</f>
        <v>0</v>
      </c>
    </row>
    <row r="1251" ht="14.25" customHeight="1">
      <c r="A1251" t="s">
        <v>106</v>
      </c>
      <c r="B1251" t="s">
        <v>221</v>
      </c>
      <c r="C1251" t="s">
        <v>189</v>
      </c>
      <c r="D1251" t="s">
        <v>194</v>
      </c>
      <c r="E1251" t="s">
        <v>147</v>
      </c>
      <c r="F1251" t="s">
        <v>148</v>
      </c>
      <c r="G1251">
        <v>14620.8603</v>
      </c>
      <c r="H1251">
        <f>IF(PNL!A1251="","",_CALC_PNL!P1251)</f>
        <v>14620.8603</v>
      </c>
      <c r="I1251">
        <f>IF(PNL!A1251="","",IF(_CALC_PNL!E1251=1,H1251-G1251,""))</f>
        <v>0</v>
      </c>
    </row>
    <row r="1252" ht="14.25" customHeight="1">
      <c r="A1252" t="s">
        <v>107</v>
      </c>
      <c r="B1252" t="s">
        <v>221</v>
      </c>
      <c r="C1252" t="s">
        <v>189</v>
      </c>
      <c r="D1252" t="s">
        <v>194</v>
      </c>
      <c r="E1252" t="s">
        <v>147</v>
      </c>
      <c r="F1252" t="s">
        <v>148</v>
      </c>
      <c r="G1252">
        <v>11266.3151</v>
      </c>
      <c r="H1252">
        <f>IF(PNL!A1252="","",_CALC_PNL!P1252)</f>
        <v>11266.3151</v>
      </c>
      <c r="I1252">
        <f>IF(PNL!A1252="","",IF(_CALC_PNL!E1252=1,H1252-G1252,""))</f>
        <v>0</v>
      </c>
    </row>
    <row r="1253" ht="14.25" customHeight="1">
      <c r="A1253" t="s">
        <v>108</v>
      </c>
      <c r="B1253" t="s">
        <v>221</v>
      </c>
      <c r="C1253" t="s">
        <v>189</v>
      </c>
      <c r="D1253" t="s">
        <v>194</v>
      </c>
      <c r="E1253" t="s">
        <v>147</v>
      </c>
      <c r="F1253" t="s">
        <v>148</v>
      </c>
      <c r="G1253">
        <v>13533.5099</v>
      </c>
      <c r="H1253">
        <f>IF(PNL!A1253="","",_CALC_PNL!P1253)</f>
        <v>13533.5099</v>
      </c>
      <c r="I1253">
        <f>IF(PNL!A1253="","",IF(_CALC_PNL!E1253=1,H1253-G1253,""))</f>
        <v>0</v>
      </c>
    </row>
    <row r="1254" ht="14.25" customHeight="1">
      <c r="A1254" t="s">
        <v>86</v>
      </c>
      <c r="B1254" t="s">
        <v>207</v>
      </c>
      <c r="C1254" t="s">
        <v>189</v>
      </c>
      <c r="D1254" t="s">
        <v>194</v>
      </c>
      <c r="E1254" t="s">
        <v>147</v>
      </c>
      <c r="F1254" t="s">
        <v>148</v>
      </c>
      <c r="G1254">
        <v>147178.555545</v>
      </c>
      <c r="H1254">
        <f>IF(PNL!A1254="","",_CALC_PNL!P1254)</f>
        <v>147178.555545</v>
      </c>
      <c r="I1254">
        <f>IF(PNL!A1254="","",IF(_CALC_PNL!E1254=1,H1254-G1254,""))</f>
        <v>0</v>
      </c>
    </row>
    <row r="1255" ht="14.25" customHeight="1">
      <c r="A1255" t="s">
        <v>89</v>
      </c>
      <c r="B1255" t="s">
        <v>207</v>
      </c>
      <c r="C1255" t="s">
        <v>189</v>
      </c>
      <c r="D1255" t="s">
        <v>194</v>
      </c>
      <c r="E1255" t="s">
        <v>147</v>
      </c>
      <c r="F1255" t="s">
        <v>148</v>
      </c>
      <c r="G1255">
        <v>181889.622495</v>
      </c>
      <c r="H1255">
        <f>IF(PNL!A1255="","",_CALC_PNL!P1255)</f>
        <v>181889.622495</v>
      </c>
      <c r="I1255">
        <f>IF(PNL!A1255="","",IF(_CALC_PNL!E1255=1,H1255-G1255,""))</f>
        <v>0</v>
      </c>
    </row>
    <row r="1256" ht="14.25" customHeight="1">
      <c r="A1256" t="s">
        <v>91</v>
      </c>
      <c r="B1256" t="s">
        <v>207</v>
      </c>
      <c r="C1256" t="s">
        <v>189</v>
      </c>
      <c r="D1256" t="s">
        <v>194</v>
      </c>
      <c r="E1256" t="s">
        <v>147</v>
      </c>
      <c r="F1256" t="s">
        <v>148</v>
      </c>
      <c r="G1256">
        <v>147266.373345</v>
      </c>
      <c r="H1256">
        <f>IF(PNL!A1256="","",_CALC_PNL!P1256)</f>
        <v>147266.373345</v>
      </c>
      <c r="I1256">
        <f>IF(PNL!A1256="","",IF(_CALC_PNL!E1256=1,H1256-G1256,""))</f>
        <v>0</v>
      </c>
    </row>
    <row r="1257" ht="14.25" customHeight="1">
      <c r="A1257" t="s">
        <v>93</v>
      </c>
      <c r="B1257" t="s">
        <v>207</v>
      </c>
      <c r="C1257" t="s">
        <v>189</v>
      </c>
      <c r="D1257" t="s">
        <v>194</v>
      </c>
      <c r="E1257" t="s">
        <v>147</v>
      </c>
      <c r="F1257" t="s">
        <v>148</v>
      </c>
      <c r="G1257">
        <v>307869.707355</v>
      </c>
      <c r="H1257">
        <f>IF(PNL!A1257="","",_CALC_PNL!P1257)</f>
        <v>307869.707355</v>
      </c>
      <c r="I1257">
        <f>IF(PNL!A1257="","",IF(_CALC_PNL!E1257=1,H1257-G1257,""))</f>
        <v>0</v>
      </c>
    </row>
    <row r="1258" ht="14.25" customHeight="1">
      <c r="A1258" t="s">
        <v>95</v>
      </c>
      <c r="B1258" t="s">
        <v>207</v>
      </c>
      <c r="C1258" t="s">
        <v>189</v>
      </c>
      <c r="D1258" t="s">
        <v>194</v>
      </c>
      <c r="E1258" t="s">
        <v>147</v>
      </c>
      <c r="F1258" t="s">
        <v>148</v>
      </c>
      <c r="G1258">
        <v>527826.59412</v>
      </c>
      <c r="H1258">
        <f>IF(PNL!A1258="","",_CALC_PNL!P1258)</f>
        <v>527826.59412</v>
      </c>
      <c r="I1258">
        <f>IF(PNL!A1258="","",IF(_CALC_PNL!E1258=1,H1258-G1258,""))</f>
        <v>0</v>
      </c>
    </row>
    <row r="1259" ht="14.25" customHeight="1">
      <c r="A1259" t="s">
        <v>97</v>
      </c>
      <c r="B1259" t="s">
        <v>207</v>
      </c>
      <c r="C1259" t="s">
        <v>189</v>
      </c>
      <c r="D1259" t="s">
        <v>194</v>
      </c>
      <c r="E1259" t="s">
        <v>147</v>
      </c>
      <c r="F1259" t="s">
        <v>148</v>
      </c>
      <c r="G1259">
        <v>289500.105405</v>
      </c>
      <c r="H1259">
        <f>IF(PNL!A1259="","",_CALC_PNL!P1259)</f>
        <v>289500.105405</v>
      </c>
      <c r="I1259">
        <f>IF(PNL!A1259="","",IF(_CALC_PNL!E1259=1,H1259-G1259,""))</f>
        <v>0</v>
      </c>
    </row>
    <row r="1260" ht="14.25" customHeight="1">
      <c r="A1260" t="s">
        <v>99</v>
      </c>
      <c r="B1260" t="s">
        <v>207</v>
      </c>
      <c r="C1260" t="s">
        <v>189</v>
      </c>
      <c r="D1260" t="s">
        <v>194</v>
      </c>
      <c r="E1260" t="s">
        <v>147</v>
      </c>
      <c r="F1260" t="s">
        <v>148</v>
      </c>
      <c r="G1260">
        <v>303184.562835</v>
      </c>
      <c r="H1260">
        <f>IF(PNL!A1260="","",_CALC_PNL!P1260)</f>
        <v>303184.562835</v>
      </c>
      <c r="I1260">
        <f>IF(PNL!A1260="","",IF(_CALC_PNL!E1260=1,H1260-G1260,""))</f>
        <v>0</v>
      </c>
    </row>
    <row r="1261" ht="14.25" customHeight="1">
      <c r="A1261" t="s">
        <v>101</v>
      </c>
      <c r="B1261" t="s">
        <v>207</v>
      </c>
      <c r="C1261" t="s">
        <v>189</v>
      </c>
      <c r="D1261" t="s">
        <v>194</v>
      </c>
      <c r="E1261" t="s">
        <v>147</v>
      </c>
      <c r="F1261" t="s">
        <v>148</v>
      </c>
      <c r="G1261">
        <v>432808.5132</v>
      </c>
      <c r="H1261">
        <f>IF(PNL!A1261="","",_CALC_PNL!P1261)</f>
        <v>432808.5132</v>
      </c>
      <c r="I1261">
        <f>IF(PNL!A1261="","",IF(_CALC_PNL!E1261=1,H1261-G1261,""))</f>
        <v>0</v>
      </c>
    </row>
    <row r="1262" ht="14.25" customHeight="1">
      <c r="A1262" t="s">
        <v>103</v>
      </c>
      <c r="B1262" t="s">
        <v>207</v>
      </c>
      <c r="C1262" t="s">
        <v>189</v>
      </c>
      <c r="D1262" t="s">
        <v>194</v>
      </c>
      <c r="E1262" t="s">
        <v>147</v>
      </c>
      <c r="F1262" t="s">
        <v>148</v>
      </c>
      <c r="G1262">
        <v>372308.9706</v>
      </c>
      <c r="H1262">
        <f>IF(PNL!A1262="","",_CALC_PNL!P1262)</f>
        <v>372308.9706</v>
      </c>
      <c r="I1262">
        <f>IF(PNL!A1262="","",IF(_CALC_PNL!E1262=1,H1262-G1262,""))</f>
        <v>0</v>
      </c>
    </row>
    <row r="1263" ht="14.25" customHeight="1">
      <c r="A1263" t="s">
        <v>104</v>
      </c>
      <c r="B1263" t="s">
        <v>207</v>
      </c>
      <c r="C1263" t="s">
        <v>189</v>
      </c>
      <c r="D1263" t="s">
        <v>194</v>
      </c>
      <c r="E1263" t="s">
        <v>147</v>
      </c>
      <c r="F1263" t="s">
        <v>148</v>
      </c>
      <c r="G1263">
        <v>542981.09124</v>
      </c>
      <c r="H1263">
        <f>IF(PNL!A1263="","",_CALC_PNL!P1263)</f>
        <v>542981.09124</v>
      </c>
      <c r="I1263">
        <f>IF(PNL!A1263="","",IF(_CALC_PNL!E1263=1,H1263-G1263,""))</f>
        <v>0</v>
      </c>
    </row>
    <row r="1264" ht="14.25" customHeight="1">
      <c r="A1264" t="s">
        <v>105</v>
      </c>
      <c r="B1264" t="s">
        <v>207</v>
      </c>
      <c r="C1264" t="s">
        <v>189</v>
      </c>
      <c r="D1264" t="s">
        <v>194</v>
      </c>
      <c r="E1264" t="s">
        <v>147</v>
      </c>
      <c r="F1264" t="s">
        <v>148</v>
      </c>
      <c r="G1264">
        <v>197650.992525</v>
      </c>
      <c r="H1264">
        <f>IF(PNL!A1264="","",_CALC_PNL!P1264)</f>
        <v>197650.992525</v>
      </c>
      <c r="I1264">
        <f>IF(PNL!A1264="","",IF(_CALC_PNL!E1264=1,H1264-G1264,""))</f>
        <v>0</v>
      </c>
    </row>
    <row r="1265" ht="14.25" customHeight="1">
      <c r="A1265" t="s">
        <v>106</v>
      </c>
      <c r="B1265" t="s">
        <v>207</v>
      </c>
      <c r="C1265" t="s">
        <v>189</v>
      </c>
      <c r="D1265" t="s">
        <v>194</v>
      </c>
      <c r="E1265" t="s">
        <v>147</v>
      </c>
      <c r="F1265" t="s">
        <v>148</v>
      </c>
      <c r="G1265">
        <v>260975.35905</v>
      </c>
      <c r="H1265">
        <f>IF(PNL!A1265="","",_CALC_PNL!P1265)</f>
        <v>260975.35905</v>
      </c>
      <c r="I1265">
        <f>IF(PNL!A1265="","",IF(_CALC_PNL!E1265=1,H1265-G1265,""))</f>
        <v>0</v>
      </c>
    </row>
    <row r="1266" ht="14.25" customHeight="1">
      <c r="A1266" t="s">
        <v>107</v>
      </c>
      <c r="B1266" t="s">
        <v>207</v>
      </c>
      <c r="C1266" t="s">
        <v>189</v>
      </c>
      <c r="D1266" t="s">
        <v>194</v>
      </c>
      <c r="E1266" t="s">
        <v>147</v>
      </c>
      <c r="F1266" t="s">
        <v>148</v>
      </c>
      <c r="G1266">
        <v>201102.45918</v>
      </c>
      <c r="H1266">
        <f>IF(PNL!A1266="","",_CALC_PNL!P1266)</f>
        <v>201102.45918</v>
      </c>
      <c r="I1266">
        <f>IF(PNL!A1266="","",IF(_CALC_PNL!E1266=1,H1266-G1266,""))</f>
        <v>0</v>
      </c>
    </row>
    <row r="1267" ht="14.25" customHeight="1">
      <c r="A1267" t="s">
        <v>108</v>
      </c>
      <c r="B1267" t="s">
        <v>207</v>
      </c>
      <c r="C1267" t="s">
        <v>189</v>
      </c>
      <c r="D1267" t="s">
        <v>194</v>
      </c>
      <c r="E1267" t="s">
        <v>147</v>
      </c>
      <c r="F1267" t="s">
        <v>148</v>
      </c>
      <c r="G1267">
        <v>241574.125065</v>
      </c>
      <c r="H1267">
        <f>IF(PNL!A1267="","",_CALC_PNL!P1267)</f>
        <v>241574.125065</v>
      </c>
      <c r="I1267">
        <f>IF(PNL!A1267="","",IF(_CALC_PNL!E1267=1,H1267-G1267,""))</f>
        <v>0</v>
      </c>
    </row>
    <row r="1268" ht="14.25" customHeight="1">
      <c r="A1268" t="s">
        <v>86</v>
      </c>
      <c r="B1268" t="s">
        <v>208</v>
      </c>
      <c r="C1268" t="s">
        <v>189</v>
      </c>
      <c r="D1268" t="s">
        <v>194</v>
      </c>
      <c r="E1268" t="s">
        <v>147</v>
      </c>
      <c r="F1268" t="s">
        <v>148</v>
      </c>
      <c r="G1268">
        <v>65062.49925</v>
      </c>
      <c r="H1268">
        <f>IF(PNL!A1268="","",_CALC_PNL!P1268)</f>
        <v>65062.49925</v>
      </c>
      <c r="I1268">
        <f>IF(PNL!A1268="","",IF(_CALC_PNL!E1268=1,H1268-G1268,""))</f>
        <v>0</v>
      </c>
    </row>
    <row r="1269" ht="14.25" customHeight="1">
      <c r="A1269" t="s">
        <v>89</v>
      </c>
      <c r="B1269" t="s">
        <v>208</v>
      </c>
      <c r="C1269" t="s">
        <v>189</v>
      </c>
      <c r="D1269" t="s">
        <v>194</v>
      </c>
      <c r="E1269" t="s">
        <v>147</v>
      </c>
      <c r="F1269" t="s">
        <v>148</v>
      </c>
      <c r="G1269">
        <v>99649.60467</v>
      </c>
      <c r="H1269">
        <f>IF(PNL!A1269="","",_CALC_PNL!P1269)</f>
        <v>99649.60467</v>
      </c>
      <c r="I1269">
        <f>IF(PNL!A1269="","",IF(_CALC_PNL!E1269=1,H1269-G1269,""))</f>
        <v>0</v>
      </c>
    </row>
    <row r="1270" ht="14.25" customHeight="1">
      <c r="A1270" t="s">
        <v>91</v>
      </c>
      <c r="B1270" t="s">
        <v>208</v>
      </c>
      <c r="C1270" t="s">
        <v>189</v>
      </c>
      <c r="D1270" t="s">
        <v>194</v>
      </c>
      <c r="E1270" t="s">
        <v>147</v>
      </c>
      <c r="F1270" t="s">
        <v>148</v>
      </c>
      <c r="G1270">
        <v>65101.3251</v>
      </c>
      <c r="H1270">
        <f>IF(PNL!A1270="","",_CALC_PNL!P1270)</f>
        <v>65101.3251</v>
      </c>
      <c r="I1270">
        <f>IF(PNL!A1270="","",IF(_CALC_PNL!E1270=1,H1270-G1270,""))</f>
        <v>0</v>
      </c>
    </row>
    <row r="1271" ht="14.25" customHeight="1">
      <c r="A1271" t="s">
        <v>93</v>
      </c>
      <c r="B1271" t="s">
        <v>208</v>
      </c>
      <c r="C1271" t="s">
        <v>189</v>
      </c>
      <c r="D1271" t="s">
        <v>194</v>
      </c>
      <c r="E1271" t="s">
        <v>147</v>
      </c>
      <c r="F1271" t="s">
        <v>148</v>
      </c>
      <c r="G1271">
        <v>170297.781045</v>
      </c>
      <c r="H1271">
        <f>IF(PNL!A1271="","",_CALC_PNL!P1271)</f>
        <v>170297.781045</v>
      </c>
      <c r="I1271">
        <f>IF(PNL!A1271="","",IF(_CALC_PNL!E1271=1,H1271-G1271,""))</f>
        <v>0</v>
      </c>
    </row>
    <row r="1272" ht="14.25" customHeight="1">
      <c r="A1272" t="s">
        <v>95</v>
      </c>
      <c r="B1272" t="s">
        <v>208</v>
      </c>
      <c r="C1272" t="s">
        <v>189</v>
      </c>
      <c r="D1272" t="s">
        <v>194</v>
      </c>
      <c r="E1272" t="s">
        <v>147</v>
      </c>
      <c r="F1272" t="s">
        <v>148</v>
      </c>
      <c r="G1272">
        <v>282394.1421</v>
      </c>
      <c r="H1272">
        <f>IF(PNL!A1272="","",_CALC_PNL!P1272)</f>
        <v>282394.1421</v>
      </c>
      <c r="I1272">
        <f>IF(PNL!A1272="","",IF(_CALC_PNL!E1272=1,H1272-G1272,""))</f>
        <v>0</v>
      </c>
    </row>
    <row r="1273" ht="14.25" customHeight="1">
      <c r="A1273" t="s">
        <v>97</v>
      </c>
      <c r="B1273" t="s">
        <v>208</v>
      </c>
      <c r="C1273" t="s">
        <v>189</v>
      </c>
      <c r="D1273" t="s">
        <v>194</v>
      </c>
      <c r="E1273" t="s">
        <v>147</v>
      </c>
      <c r="F1273" t="s">
        <v>148</v>
      </c>
      <c r="G1273">
        <v>151604.962005</v>
      </c>
      <c r="H1273">
        <f>IF(PNL!A1273="","",_CALC_PNL!P1273)</f>
        <v>151604.962005</v>
      </c>
      <c r="I1273">
        <f>IF(PNL!A1273="","",IF(_CALC_PNL!E1273=1,H1273-G1273,""))</f>
        <v>0</v>
      </c>
    </row>
    <row r="1274" ht="14.25" customHeight="1">
      <c r="A1274" t="s">
        <v>99</v>
      </c>
      <c r="B1274" t="s">
        <v>208</v>
      </c>
      <c r="C1274" t="s">
        <v>189</v>
      </c>
      <c r="D1274" t="s">
        <v>194</v>
      </c>
      <c r="E1274" t="s">
        <v>147</v>
      </c>
      <c r="F1274" t="s">
        <v>148</v>
      </c>
      <c r="G1274">
        <v>171142.237875</v>
      </c>
      <c r="H1274">
        <f>IF(PNL!A1274="","",_CALC_PNL!P1274)</f>
        <v>171142.237875</v>
      </c>
      <c r="I1274">
        <f>IF(PNL!A1274="","",IF(_CALC_PNL!E1274=1,H1274-G1274,""))</f>
        <v>0</v>
      </c>
    </row>
    <row r="1275" ht="14.25" customHeight="1">
      <c r="A1275" t="s">
        <v>101</v>
      </c>
      <c r="B1275" t="s">
        <v>208</v>
      </c>
      <c r="C1275" t="s">
        <v>189</v>
      </c>
      <c r="D1275" t="s">
        <v>194</v>
      </c>
      <c r="E1275" t="s">
        <v>147</v>
      </c>
      <c r="F1275" t="s">
        <v>148</v>
      </c>
      <c r="G1275">
        <v>244540.398375</v>
      </c>
      <c r="H1275">
        <f>IF(PNL!A1275="","",_CALC_PNL!P1275)</f>
        <v>244540.398375</v>
      </c>
      <c r="I1275">
        <f>IF(PNL!A1275="","",IF(_CALC_PNL!E1275=1,H1275-G1275,""))</f>
        <v>0</v>
      </c>
    </row>
    <row r="1276" ht="14.25" customHeight="1">
      <c r="A1276" t="s">
        <v>103</v>
      </c>
      <c r="B1276" t="s">
        <v>208</v>
      </c>
      <c r="C1276" t="s">
        <v>189</v>
      </c>
      <c r="D1276" t="s">
        <v>194</v>
      </c>
      <c r="E1276" t="s">
        <v>147</v>
      </c>
      <c r="F1276" t="s">
        <v>148</v>
      </c>
      <c r="G1276">
        <v>206785.84983</v>
      </c>
      <c r="H1276">
        <f>IF(PNL!A1276="","",_CALC_PNL!P1276)</f>
        <v>206785.84983</v>
      </c>
      <c r="I1276">
        <f>IF(PNL!A1276="","",IF(_CALC_PNL!E1276=1,H1276-G1276,""))</f>
        <v>0</v>
      </c>
    </row>
    <row r="1277" ht="14.25" customHeight="1">
      <c r="A1277" t="s">
        <v>104</v>
      </c>
      <c r="B1277" t="s">
        <v>208</v>
      </c>
      <c r="C1277" t="s">
        <v>189</v>
      </c>
      <c r="D1277" t="s">
        <v>194</v>
      </c>
      <c r="E1277" t="s">
        <v>147</v>
      </c>
      <c r="F1277" t="s">
        <v>148</v>
      </c>
      <c r="G1277">
        <v>313479.02607</v>
      </c>
      <c r="H1277">
        <f>IF(PNL!A1277="","",_CALC_PNL!P1277)</f>
        <v>313479.02607</v>
      </c>
      <c r="I1277">
        <f>IF(PNL!A1277="","",IF(_CALC_PNL!E1277=1,H1277-G1277,""))</f>
        <v>0</v>
      </c>
    </row>
    <row r="1278" ht="14.25" customHeight="1">
      <c r="A1278" t="s">
        <v>105</v>
      </c>
      <c r="B1278" t="s">
        <v>208</v>
      </c>
      <c r="C1278" t="s">
        <v>189</v>
      </c>
      <c r="D1278" t="s">
        <v>194</v>
      </c>
      <c r="E1278" t="s">
        <v>147</v>
      </c>
      <c r="F1278" t="s">
        <v>148</v>
      </c>
      <c r="G1278">
        <v>79533.347775</v>
      </c>
      <c r="H1278">
        <f>IF(PNL!A1278="","",_CALC_PNL!P1278)</f>
        <v>79533.347775</v>
      </c>
      <c r="I1278">
        <f>IF(PNL!A1278="","",IF(_CALC_PNL!E1278=1,H1278-G1278,""))</f>
        <v>0</v>
      </c>
    </row>
    <row r="1279" ht="14.25" customHeight="1">
      <c r="A1279" t="s">
        <v>106</v>
      </c>
      <c r="B1279" t="s">
        <v>208</v>
      </c>
      <c r="C1279" t="s">
        <v>189</v>
      </c>
      <c r="D1279" t="s">
        <v>194</v>
      </c>
      <c r="E1279" t="s">
        <v>147</v>
      </c>
      <c r="F1279" t="s">
        <v>148</v>
      </c>
      <c r="G1279">
        <v>134595.519345</v>
      </c>
      <c r="H1279">
        <f>IF(PNL!A1279="","",_CALC_PNL!P1279)</f>
        <v>134595.519345</v>
      </c>
      <c r="I1279">
        <f>IF(PNL!A1279="","",IF(_CALC_PNL!E1279=1,H1279-G1279,""))</f>
        <v>0</v>
      </c>
    </row>
    <row r="1280" ht="14.25" customHeight="1">
      <c r="A1280" t="s">
        <v>107</v>
      </c>
      <c r="B1280" t="s">
        <v>208</v>
      </c>
      <c r="C1280" t="s">
        <v>189</v>
      </c>
      <c r="D1280" t="s">
        <v>194</v>
      </c>
      <c r="E1280" t="s">
        <v>147</v>
      </c>
      <c r="F1280" t="s">
        <v>148</v>
      </c>
      <c r="G1280">
        <v>88900.64106</v>
      </c>
      <c r="H1280">
        <f>IF(PNL!A1280="","",_CALC_PNL!P1280)</f>
        <v>88900.64106</v>
      </c>
      <c r="I1280">
        <f>IF(PNL!A1280="","",IF(_CALC_PNL!E1280=1,H1280-G1280,""))</f>
        <v>0</v>
      </c>
    </row>
    <row r="1281" ht="14.25" customHeight="1">
      <c r="A1281" t="s">
        <v>108</v>
      </c>
      <c r="B1281" t="s">
        <v>208</v>
      </c>
      <c r="C1281" t="s">
        <v>189</v>
      </c>
      <c r="D1281" t="s">
        <v>194</v>
      </c>
      <c r="E1281" t="s">
        <v>147</v>
      </c>
      <c r="F1281" t="s">
        <v>148</v>
      </c>
      <c r="G1281">
        <v>125959.7094</v>
      </c>
      <c r="H1281">
        <f>IF(PNL!A1281="","",_CALC_PNL!P1281)</f>
        <v>125959.7094</v>
      </c>
      <c r="I1281">
        <f>IF(PNL!A1281="","",IF(_CALC_PNL!E1281=1,H1281-G1281,""))</f>
        <v>0</v>
      </c>
    </row>
    <row r="1282" ht="14.25" customHeight="1">
      <c r="A1282" t="s">
        <v>209</v>
      </c>
      <c r="B1282" t="s">
        <v>210</v>
      </c>
      <c r="C1282" t="s">
        <v>189</v>
      </c>
      <c r="D1282" t="s">
        <v>194</v>
      </c>
      <c r="E1282" t="s">
        <v>147</v>
      </c>
      <c r="F1282" t="s">
        <v>148</v>
      </c>
      <c r="G1282">
        <v>1343924.8935</v>
      </c>
      <c r="H1282">
        <f>IF(PNL!A1282="","",_CALC_PNL!P1282)</f>
        <v>1343924.8935</v>
      </c>
      <c r="I1282">
        <f>IF(PNL!A1282="","",IF(_CALC_PNL!E1282=1,H1282-G1282,""))</f>
        <v>0</v>
      </c>
    </row>
    <row r="1283" ht="14.25" customHeight="1">
      <c r="A1283" t="s">
        <v>86</v>
      </c>
      <c r="B1283" t="s">
        <v>211</v>
      </c>
      <c r="C1283" t="s">
        <v>189</v>
      </c>
      <c r="D1283" t="s">
        <v>194</v>
      </c>
      <c r="E1283" t="s">
        <v>147</v>
      </c>
      <c r="F1283" t="s">
        <v>148</v>
      </c>
      <c r="G1283">
        <v>101207.710905</v>
      </c>
      <c r="H1283">
        <f>IF(PNL!A1283="","",_CALC_PNL!P1283)</f>
        <v>101207.710905</v>
      </c>
      <c r="I1283">
        <f>IF(PNL!A1283="","",IF(_CALC_PNL!E1283=1,H1283-G1283,""))</f>
        <v>0</v>
      </c>
    </row>
    <row r="1284" ht="14.25" customHeight="1">
      <c r="A1284" t="s">
        <v>89</v>
      </c>
      <c r="B1284" t="s">
        <v>211</v>
      </c>
      <c r="C1284" t="s">
        <v>189</v>
      </c>
      <c r="D1284" t="s">
        <v>194</v>
      </c>
      <c r="E1284" t="s">
        <v>147</v>
      </c>
      <c r="F1284" t="s">
        <v>148</v>
      </c>
      <c r="G1284">
        <v>155010.22698</v>
      </c>
      <c r="H1284">
        <f>IF(PNL!A1284="","",_CALC_PNL!P1284)</f>
        <v>155010.22698</v>
      </c>
      <c r="I1284">
        <f>IF(PNL!A1284="","",IF(_CALC_PNL!E1284=1,H1284-G1284,""))</f>
        <v>0</v>
      </c>
    </row>
    <row r="1285" ht="14.25" customHeight="1">
      <c r="A1285" t="s">
        <v>91</v>
      </c>
      <c r="B1285" t="s">
        <v>211</v>
      </c>
      <c r="C1285" t="s">
        <v>189</v>
      </c>
      <c r="D1285" t="s">
        <v>194</v>
      </c>
      <c r="E1285" t="s">
        <v>147</v>
      </c>
      <c r="F1285" t="s">
        <v>148</v>
      </c>
      <c r="G1285">
        <v>101268.101865</v>
      </c>
      <c r="H1285">
        <f>IF(PNL!A1285="","",_CALC_PNL!P1285)</f>
        <v>101268.101865</v>
      </c>
      <c r="I1285">
        <f>IF(PNL!A1285="","",IF(_CALC_PNL!E1285=1,H1285-G1285,""))</f>
        <v>0</v>
      </c>
    </row>
    <row r="1286" ht="14.25" customHeight="1">
      <c r="A1286" t="s">
        <v>93</v>
      </c>
      <c r="B1286" t="s">
        <v>211</v>
      </c>
      <c r="C1286" t="s">
        <v>189</v>
      </c>
      <c r="D1286" t="s">
        <v>194</v>
      </c>
      <c r="E1286" t="s">
        <v>147</v>
      </c>
      <c r="F1286" t="s">
        <v>148</v>
      </c>
      <c r="G1286">
        <v>264907.95261</v>
      </c>
      <c r="H1286">
        <f>IF(PNL!A1286="","",_CALC_PNL!P1286)</f>
        <v>264907.95261</v>
      </c>
      <c r="I1286">
        <f>IF(PNL!A1286="","",IF(_CALC_PNL!E1286=1,H1286-G1286,""))</f>
        <v>0</v>
      </c>
    </row>
    <row r="1287" ht="14.25" customHeight="1">
      <c r="A1287" t="s">
        <v>95</v>
      </c>
      <c r="B1287" t="s">
        <v>211</v>
      </c>
      <c r="C1287" t="s">
        <v>189</v>
      </c>
      <c r="D1287" t="s">
        <v>194</v>
      </c>
      <c r="E1287" t="s">
        <v>147</v>
      </c>
      <c r="F1287" t="s">
        <v>148</v>
      </c>
      <c r="G1287">
        <v>439279.008735</v>
      </c>
      <c r="H1287">
        <f>IF(PNL!A1287="","",_CALC_PNL!P1287)</f>
        <v>439279.008735</v>
      </c>
      <c r="I1287">
        <f>IF(PNL!A1287="","",IF(_CALC_PNL!E1287=1,H1287-G1287,""))</f>
        <v>0</v>
      </c>
    </row>
    <row r="1288" ht="14.25" customHeight="1">
      <c r="A1288" t="s">
        <v>97</v>
      </c>
      <c r="B1288" t="s">
        <v>211</v>
      </c>
      <c r="C1288" t="s">
        <v>189</v>
      </c>
      <c r="D1288" t="s">
        <v>194</v>
      </c>
      <c r="E1288" t="s">
        <v>147</v>
      </c>
      <c r="F1288" t="s">
        <v>148</v>
      </c>
      <c r="G1288">
        <v>235829.66211</v>
      </c>
      <c r="H1288">
        <f>IF(PNL!A1288="","",_CALC_PNL!P1288)</f>
        <v>235829.66211</v>
      </c>
      <c r="I1288">
        <f>IF(PNL!A1288="","",IF(_CALC_PNL!E1288=1,H1288-G1288,""))</f>
        <v>0</v>
      </c>
    </row>
    <row r="1289" ht="14.25" customHeight="1">
      <c r="A1289" t="s">
        <v>99</v>
      </c>
      <c r="B1289" t="s">
        <v>211</v>
      </c>
      <c r="C1289" t="s">
        <v>189</v>
      </c>
      <c r="D1289" t="s">
        <v>194</v>
      </c>
      <c r="E1289" t="s">
        <v>147</v>
      </c>
      <c r="F1289" t="s">
        <v>148</v>
      </c>
      <c r="G1289">
        <v>266222.548305</v>
      </c>
      <c r="H1289">
        <f>IF(PNL!A1289="","",_CALC_PNL!P1289)</f>
        <v>266222.548305</v>
      </c>
      <c r="I1289">
        <f>IF(PNL!A1289="","",IF(_CALC_PNL!E1289=1,H1289-G1289,""))</f>
        <v>0</v>
      </c>
    </row>
    <row r="1290" ht="14.25" customHeight="1">
      <c r="A1290" t="s">
        <v>101</v>
      </c>
      <c r="B1290" t="s">
        <v>211</v>
      </c>
      <c r="C1290" t="s">
        <v>189</v>
      </c>
      <c r="D1290" t="s">
        <v>194</v>
      </c>
      <c r="E1290" t="s">
        <v>147</v>
      </c>
      <c r="F1290" t="s">
        <v>148</v>
      </c>
      <c r="G1290">
        <v>380394.97839</v>
      </c>
      <c r="H1290">
        <f>IF(PNL!A1290="","",_CALC_PNL!P1290)</f>
        <v>380394.97839</v>
      </c>
      <c r="I1290">
        <f>IF(PNL!A1290="","",IF(_CALC_PNL!E1290=1,H1290-G1290,""))</f>
        <v>0</v>
      </c>
    </row>
    <row r="1291" ht="14.25" customHeight="1">
      <c r="A1291" t="s">
        <v>103</v>
      </c>
      <c r="B1291" t="s">
        <v>211</v>
      </c>
      <c r="C1291" t="s">
        <v>189</v>
      </c>
      <c r="D1291" t="s">
        <v>194</v>
      </c>
      <c r="E1291" t="s">
        <v>147</v>
      </c>
      <c r="F1291" t="s">
        <v>148</v>
      </c>
      <c r="G1291">
        <v>321668.27385</v>
      </c>
      <c r="H1291">
        <f>IF(PNL!A1291="","",_CALC_PNL!P1291)</f>
        <v>321668.27385</v>
      </c>
      <c r="I1291">
        <f>IF(PNL!A1291="","",IF(_CALC_PNL!E1291=1,H1291-G1291,""))</f>
        <v>0</v>
      </c>
    </row>
    <row r="1292" ht="14.25" customHeight="1">
      <c r="A1292" t="s">
        <v>104</v>
      </c>
      <c r="B1292" t="s">
        <v>211</v>
      </c>
      <c r="C1292" t="s">
        <v>189</v>
      </c>
      <c r="D1292" t="s">
        <v>194</v>
      </c>
      <c r="E1292" t="s">
        <v>147</v>
      </c>
      <c r="F1292" t="s">
        <v>148</v>
      </c>
      <c r="G1292">
        <v>487634.344575</v>
      </c>
      <c r="H1292">
        <f>IF(PNL!A1292="","",_CALC_PNL!P1292)</f>
        <v>487634.344575</v>
      </c>
      <c r="I1292">
        <f>IF(PNL!A1292="","",IF(_CALC_PNL!E1292=1,H1292-G1292,""))</f>
        <v>0</v>
      </c>
    </row>
    <row r="1293" ht="14.25" customHeight="1">
      <c r="A1293" t="s">
        <v>105</v>
      </c>
      <c r="B1293" t="s">
        <v>211</v>
      </c>
      <c r="C1293" t="s">
        <v>189</v>
      </c>
      <c r="D1293" t="s">
        <v>194</v>
      </c>
      <c r="E1293" t="s">
        <v>147</v>
      </c>
      <c r="F1293" t="s">
        <v>148</v>
      </c>
      <c r="G1293">
        <v>123718.224945</v>
      </c>
      <c r="H1293">
        <f>IF(PNL!A1293="","",_CALC_PNL!P1293)</f>
        <v>123718.224945</v>
      </c>
      <c r="I1293">
        <f>IF(PNL!A1293="","",IF(_CALC_PNL!E1293=1,H1293-G1293,""))</f>
        <v>0</v>
      </c>
    </row>
    <row r="1294" ht="14.25" customHeight="1">
      <c r="A1294" t="s">
        <v>106</v>
      </c>
      <c r="B1294" t="s">
        <v>211</v>
      </c>
      <c r="C1294" t="s">
        <v>189</v>
      </c>
      <c r="D1294" t="s">
        <v>194</v>
      </c>
      <c r="E1294" t="s">
        <v>147</v>
      </c>
      <c r="F1294" t="s">
        <v>148</v>
      </c>
      <c r="G1294">
        <v>209371.575735</v>
      </c>
      <c r="H1294">
        <f>IF(PNL!A1294="","",_CALC_PNL!P1294)</f>
        <v>209371.575735</v>
      </c>
      <c r="I1294">
        <f>IF(PNL!A1294="","",IF(_CALC_PNL!E1294=1,H1294-G1294,""))</f>
        <v>0</v>
      </c>
    </row>
    <row r="1295" ht="14.25" customHeight="1">
      <c r="A1295" t="s">
        <v>107</v>
      </c>
      <c r="B1295" t="s">
        <v>211</v>
      </c>
      <c r="C1295" t="s">
        <v>189</v>
      </c>
      <c r="D1295" t="s">
        <v>194</v>
      </c>
      <c r="E1295" t="s">
        <v>147</v>
      </c>
      <c r="F1295" t="s">
        <v>148</v>
      </c>
      <c r="G1295">
        <v>138289.47993</v>
      </c>
      <c r="H1295">
        <f>IF(PNL!A1295="","",_CALC_PNL!P1295)</f>
        <v>138289.47993</v>
      </c>
      <c r="I1295">
        <f>IF(PNL!A1295="","",IF(_CALC_PNL!E1295=1,H1295-G1295,""))</f>
        <v>0</v>
      </c>
    </row>
    <row r="1296" ht="14.25" customHeight="1">
      <c r="A1296" t="s">
        <v>108</v>
      </c>
      <c r="B1296" t="s">
        <v>211</v>
      </c>
      <c r="C1296" t="s">
        <v>189</v>
      </c>
      <c r="D1296" t="s">
        <v>194</v>
      </c>
      <c r="E1296" t="s">
        <v>147</v>
      </c>
      <c r="F1296" t="s">
        <v>148</v>
      </c>
      <c r="G1296">
        <v>195936.879915</v>
      </c>
      <c r="H1296">
        <f>IF(PNL!A1296="","",_CALC_PNL!P1296)</f>
        <v>195936.879915</v>
      </c>
      <c r="I1296">
        <f>IF(PNL!A1296="","",IF(_CALC_PNL!E1296=1,H1296-G1296,""))</f>
        <v>0</v>
      </c>
    </row>
    <row r="1297" ht="14.25" customHeight="1">
      <c r="A1297" t="s">
        <v>86</v>
      </c>
      <c r="B1297" t="s">
        <v>223</v>
      </c>
      <c r="C1297" t="s">
        <v>189</v>
      </c>
      <c r="D1297" t="s">
        <v>194</v>
      </c>
      <c r="E1297" t="s">
        <v>147</v>
      </c>
      <c r="F1297" t="s">
        <v>148</v>
      </c>
      <c r="G1297">
        <v>63813.65</v>
      </c>
      <c r="H1297">
        <f>IF(PNL!A1297="","",_CALC_PNL!P1297)</f>
        <v>63813.65</v>
      </c>
      <c r="I1297">
        <f>IF(PNL!A1297="","",IF(_CALC_PNL!E1297=1,H1297-G1297,""))</f>
        <v>0</v>
      </c>
    </row>
    <row r="1298" ht="14.25" customHeight="1">
      <c r="A1298" t="s">
        <v>89</v>
      </c>
      <c r="B1298" t="s">
        <v>223</v>
      </c>
      <c r="C1298" t="s">
        <v>189</v>
      </c>
      <c r="D1298" t="s">
        <v>194</v>
      </c>
      <c r="E1298" t="s">
        <v>147</v>
      </c>
      <c r="F1298" t="s">
        <v>148</v>
      </c>
      <c r="G1298">
        <v>63813.65</v>
      </c>
      <c r="H1298">
        <f>IF(PNL!A1298="","",_CALC_PNL!P1298)</f>
        <v>63813.65</v>
      </c>
      <c r="I1298">
        <f>IF(PNL!A1298="","",IF(_CALC_PNL!E1298=1,H1298-G1298,""))</f>
        <v>0</v>
      </c>
    </row>
    <row r="1299" ht="14.25" customHeight="1">
      <c r="A1299" t="s">
        <v>91</v>
      </c>
      <c r="B1299" t="s">
        <v>223</v>
      </c>
      <c r="C1299" t="s">
        <v>189</v>
      </c>
      <c r="D1299" t="s">
        <v>194</v>
      </c>
      <c r="E1299" t="s">
        <v>147</v>
      </c>
      <c r="F1299" t="s">
        <v>148</v>
      </c>
      <c r="G1299">
        <v>63813.65</v>
      </c>
      <c r="H1299">
        <f>IF(PNL!A1299="","",_CALC_PNL!P1299)</f>
        <v>63813.65</v>
      </c>
      <c r="I1299">
        <f>IF(PNL!A1299="","",IF(_CALC_PNL!E1299=1,H1299-G1299,""))</f>
        <v>0</v>
      </c>
    </row>
    <row r="1300" ht="14.25" customHeight="1">
      <c r="A1300" t="s">
        <v>93</v>
      </c>
      <c r="B1300" t="s">
        <v>223</v>
      </c>
      <c r="C1300" t="s">
        <v>189</v>
      </c>
      <c r="D1300" t="s">
        <v>194</v>
      </c>
      <c r="E1300" t="s">
        <v>147</v>
      </c>
      <c r="F1300" t="s">
        <v>148</v>
      </c>
      <c r="G1300">
        <v>106355.74</v>
      </c>
      <c r="H1300">
        <f>IF(PNL!A1300="","",_CALC_PNL!P1300)</f>
        <v>106355.74</v>
      </c>
      <c r="I1300">
        <f>IF(PNL!A1300="","",IF(_CALC_PNL!E1300=1,H1300-G1300,""))</f>
        <v>0</v>
      </c>
    </row>
    <row r="1301" ht="14.25" customHeight="1">
      <c r="A1301" t="s">
        <v>95</v>
      </c>
      <c r="B1301" t="s">
        <v>223</v>
      </c>
      <c r="C1301" t="s">
        <v>189</v>
      </c>
      <c r="D1301" t="s">
        <v>194</v>
      </c>
      <c r="E1301" t="s">
        <v>147</v>
      </c>
      <c r="F1301" t="s">
        <v>148</v>
      </c>
      <c r="G1301">
        <v>159533.61</v>
      </c>
      <c r="H1301">
        <f>IF(PNL!A1301="","",_CALC_PNL!P1301)</f>
        <v>159533.61</v>
      </c>
      <c r="I1301">
        <f>IF(PNL!A1301="","",IF(_CALC_PNL!E1301=1,H1301-G1301,""))</f>
        <v>0</v>
      </c>
    </row>
    <row r="1302" ht="14.25" customHeight="1">
      <c r="A1302" t="s">
        <v>97</v>
      </c>
      <c r="B1302" t="s">
        <v>223</v>
      </c>
      <c r="C1302" t="s">
        <v>189</v>
      </c>
      <c r="D1302" t="s">
        <v>194</v>
      </c>
      <c r="E1302" t="s">
        <v>147</v>
      </c>
      <c r="F1302" t="s">
        <v>148</v>
      </c>
      <c r="G1302">
        <v>106355.74</v>
      </c>
      <c r="H1302">
        <f>IF(PNL!A1302="","",_CALC_PNL!P1302)</f>
        <v>106355.74</v>
      </c>
      <c r="I1302">
        <f>IF(PNL!A1302="","",IF(_CALC_PNL!E1302=1,H1302-G1302,""))</f>
        <v>0</v>
      </c>
    </row>
    <row r="1303" ht="14.25" customHeight="1">
      <c r="A1303" t="s">
        <v>99</v>
      </c>
      <c r="B1303" t="s">
        <v>223</v>
      </c>
      <c r="C1303" t="s">
        <v>189</v>
      </c>
      <c r="D1303" t="s">
        <v>194</v>
      </c>
      <c r="E1303" t="s">
        <v>147</v>
      </c>
      <c r="F1303" t="s">
        <v>148</v>
      </c>
      <c r="G1303">
        <v>106355.74</v>
      </c>
      <c r="H1303">
        <f>IF(PNL!A1303="","",_CALC_PNL!P1303)</f>
        <v>106355.74</v>
      </c>
      <c r="I1303">
        <f>IF(PNL!A1303="","",IF(_CALC_PNL!E1303=1,H1303-G1303,""))</f>
        <v>0</v>
      </c>
    </row>
    <row r="1304" ht="14.25" customHeight="1">
      <c r="A1304" t="s">
        <v>101</v>
      </c>
      <c r="B1304" t="s">
        <v>223</v>
      </c>
      <c r="C1304" t="s">
        <v>189</v>
      </c>
      <c r="D1304" t="s">
        <v>194</v>
      </c>
      <c r="E1304" t="s">
        <v>147</v>
      </c>
      <c r="F1304" t="s">
        <v>148</v>
      </c>
      <c r="G1304">
        <v>138263.08</v>
      </c>
      <c r="H1304">
        <f>IF(PNL!A1304="","",_CALC_PNL!P1304)</f>
        <v>138263.08</v>
      </c>
      <c r="I1304">
        <f>IF(PNL!A1304="","",IF(_CALC_PNL!E1304=1,H1304-G1304,""))</f>
        <v>0</v>
      </c>
    </row>
    <row r="1305" ht="14.25" customHeight="1">
      <c r="A1305" t="s">
        <v>103</v>
      </c>
      <c r="B1305" t="s">
        <v>223</v>
      </c>
      <c r="C1305" t="s">
        <v>189</v>
      </c>
      <c r="D1305" t="s">
        <v>194</v>
      </c>
      <c r="E1305" t="s">
        <v>147</v>
      </c>
      <c r="F1305" t="s">
        <v>148</v>
      </c>
      <c r="G1305">
        <v>127627.3</v>
      </c>
      <c r="H1305">
        <f>IF(PNL!A1305="","",_CALC_PNL!P1305)</f>
        <v>127627.3</v>
      </c>
      <c r="I1305">
        <f>IF(PNL!A1305="","",IF(_CALC_PNL!E1305=1,H1305-G1305,""))</f>
        <v>0</v>
      </c>
    </row>
    <row r="1306" ht="14.25" customHeight="1">
      <c r="A1306" t="s">
        <v>104</v>
      </c>
      <c r="B1306" t="s">
        <v>223</v>
      </c>
      <c r="C1306" t="s">
        <v>189</v>
      </c>
      <c r="D1306" t="s">
        <v>194</v>
      </c>
      <c r="E1306" t="s">
        <v>147</v>
      </c>
      <c r="F1306" t="s">
        <v>148</v>
      </c>
      <c r="G1306">
        <v>159533.61</v>
      </c>
      <c r="H1306">
        <f>IF(PNL!A1306="","",_CALC_PNL!P1306)</f>
        <v>159533.61</v>
      </c>
      <c r="I1306">
        <f>IF(PNL!A1306="","",IF(_CALC_PNL!E1306=1,H1306-G1306,""))</f>
        <v>0</v>
      </c>
    </row>
    <row r="1307" ht="14.25" customHeight="1">
      <c r="A1307" t="s">
        <v>105</v>
      </c>
      <c r="B1307" t="s">
        <v>223</v>
      </c>
      <c r="C1307" t="s">
        <v>189</v>
      </c>
      <c r="D1307" t="s">
        <v>194</v>
      </c>
      <c r="E1307" t="s">
        <v>147</v>
      </c>
      <c r="F1307" t="s">
        <v>148</v>
      </c>
      <c r="G1307">
        <v>85085.21</v>
      </c>
      <c r="H1307">
        <f>IF(PNL!A1307="","",_CALC_PNL!P1307)</f>
        <v>85085.21</v>
      </c>
      <c r="I1307">
        <f>IF(PNL!A1307="","",IF(_CALC_PNL!E1307=1,H1307-G1307,""))</f>
        <v>0</v>
      </c>
    </row>
    <row r="1308" ht="14.25" customHeight="1">
      <c r="A1308" t="s">
        <v>106</v>
      </c>
      <c r="B1308" t="s">
        <v>223</v>
      </c>
      <c r="C1308" t="s">
        <v>189</v>
      </c>
      <c r="D1308" t="s">
        <v>194</v>
      </c>
      <c r="E1308" t="s">
        <v>147</v>
      </c>
      <c r="F1308" t="s">
        <v>148</v>
      </c>
      <c r="G1308">
        <v>85085.21</v>
      </c>
      <c r="H1308">
        <f>IF(PNL!A1308="","",_CALC_PNL!P1308)</f>
        <v>85085.21</v>
      </c>
      <c r="I1308">
        <f>IF(PNL!A1308="","",IF(_CALC_PNL!E1308=1,H1308-G1308,""))</f>
        <v>0</v>
      </c>
    </row>
    <row r="1309" ht="14.25" customHeight="1">
      <c r="A1309" t="s">
        <v>107</v>
      </c>
      <c r="B1309" t="s">
        <v>223</v>
      </c>
      <c r="C1309" t="s">
        <v>189</v>
      </c>
      <c r="D1309" t="s">
        <v>194</v>
      </c>
      <c r="E1309" t="s">
        <v>147</v>
      </c>
      <c r="F1309" t="s">
        <v>148</v>
      </c>
      <c r="G1309">
        <v>63813.65</v>
      </c>
      <c r="H1309">
        <f>IF(PNL!A1309="","",_CALC_PNL!P1309)</f>
        <v>63813.65</v>
      </c>
      <c r="I1309">
        <f>IF(PNL!A1309="","",IF(_CALC_PNL!E1309=1,H1309-G1309,""))</f>
        <v>0</v>
      </c>
    </row>
    <row r="1310" ht="14.25" customHeight="1">
      <c r="A1310" t="s">
        <v>108</v>
      </c>
      <c r="B1310" t="s">
        <v>223</v>
      </c>
      <c r="C1310" t="s">
        <v>189</v>
      </c>
      <c r="D1310" t="s">
        <v>194</v>
      </c>
      <c r="E1310" t="s">
        <v>147</v>
      </c>
      <c r="F1310" t="s">
        <v>148</v>
      </c>
      <c r="G1310">
        <v>63813.65</v>
      </c>
      <c r="H1310">
        <f>IF(PNL!A1310="","",_CALC_PNL!P1310)</f>
        <v>63813.65</v>
      </c>
      <c r="I1310">
        <f>IF(PNL!A1310="","",IF(_CALC_PNL!E1310=1,H1310-G1310,""))</f>
        <v>0</v>
      </c>
    </row>
    <row r="1311" ht="14.25" customHeight="1">
      <c r="A1311" t="s">
        <v>93</v>
      </c>
      <c r="B1311" t="s">
        <v>201</v>
      </c>
      <c r="C1311" t="s">
        <v>189</v>
      </c>
      <c r="D1311" t="s">
        <v>194</v>
      </c>
      <c r="E1311" t="s">
        <v>147</v>
      </c>
      <c r="F1311" t="s">
        <v>148</v>
      </c>
      <c r="G1311">
        <v>360378.585</v>
      </c>
      <c r="H1311">
        <f>IF(PNL!A1311="","",_CALC_PNL!P1311)</f>
        <v>360378.614080956</v>
      </c>
      <c r="I1311">
        <f>IF(PNL!A1311="","",IF(_CALC_PNL!E1311=1,H1311-G1311,""))</f>
        <v>0.0290809559519403</v>
      </c>
    </row>
    <row r="1312" ht="14.25" customHeight="1">
      <c r="A1312" t="s">
        <v>95</v>
      </c>
      <c r="B1312" t="s">
        <v>201</v>
      </c>
      <c r="C1312" t="s">
        <v>189</v>
      </c>
      <c r="D1312" t="s">
        <v>194</v>
      </c>
      <c r="E1312" t="s">
        <v>147</v>
      </c>
      <c r="F1312" t="s">
        <v>148</v>
      </c>
      <c r="G1312">
        <v>593080.1856</v>
      </c>
      <c r="H1312">
        <f>IF(PNL!A1312="","",_CALC_PNL!P1312)</f>
        <v>593080.233458945</v>
      </c>
      <c r="I1312">
        <f>IF(PNL!A1312="","",IF(_CALC_PNL!E1312=1,H1312-G1312,""))</f>
        <v>0.0478589449776337</v>
      </c>
    </row>
    <row r="1313" ht="14.25" customHeight="1">
      <c r="A1313" t="s">
        <v>97</v>
      </c>
      <c r="B1313" t="s">
        <v>201</v>
      </c>
      <c r="C1313" t="s">
        <v>189</v>
      </c>
      <c r="D1313" t="s">
        <v>194</v>
      </c>
      <c r="E1313" t="s">
        <v>147</v>
      </c>
      <c r="F1313" t="s">
        <v>148</v>
      </c>
      <c r="G1313">
        <v>331842.4848</v>
      </c>
      <c r="H1313">
        <f>IF(PNL!A1313="","",_CALC_PNL!P1313)</f>
        <v>331842.511578219</v>
      </c>
      <c r="I1313">
        <f>IF(PNL!A1313="","",IF(_CALC_PNL!E1313=1,H1313-G1313,""))</f>
        <v>0.0267782190348953</v>
      </c>
    </row>
    <row r="1314" ht="14.25" customHeight="1">
      <c r="A1314" t="s">
        <v>99</v>
      </c>
      <c r="B1314" t="s">
        <v>201</v>
      </c>
      <c r="C1314" t="s">
        <v>189</v>
      </c>
      <c r="D1314" t="s">
        <v>194</v>
      </c>
      <c r="E1314" t="s">
        <v>147</v>
      </c>
      <c r="F1314" t="s">
        <v>148</v>
      </c>
      <c r="G1314">
        <v>363835.27755</v>
      </c>
      <c r="H1314">
        <f>IF(PNL!A1314="","",_CALC_PNL!P1314)</f>
        <v>363835.306909896</v>
      </c>
      <c r="I1314">
        <f>IF(PNL!A1314="","",IF(_CALC_PNL!E1314=1,H1314-G1314,""))</f>
        <v>0.0293598960270174</v>
      </c>
    </row>
    <row r="1315" ht="14.25" customHeight="1">
      <c r="A1315" t="s">
        <v>101</v>
      </c>
      <c r="B1315" t="s">
        <v>201</v>
      </c>
      <c r="C1315" t="s">
        <v>189</v>
      </c>
      <c r="D1315" t="s">
        <v>194</v>
      </c>
      <c r="E1315" t="s">
        <v>147</v>
      </c>
      <c r="F1315" t="s">
        <v>148</v>
      </c>
      <c r="G1315">
        <v>509678.2845</v>
      </c>
      <c r="H1315">
        <f>IF(PNL!A1315="","",_CALC_PNL!P1315)</f>
        <v>509678.325628781</v>
      </c>
      <c r="I1315">
        <f>IF(PNL!A1315="","",IF(_CALC_PNL!E1315=1,H1315-G1315,""))</f>
        <v>0.0411287809838541</v>
      </c>
    </row>
    <row r="1316" ht="14.25" customHeight="1">
      <c r="A1316" t="s">
        <v>103</v>
      </c>
      <c r="B1316" t="s">
        <v>201</v>
      </c>
      <c r="C1316" t="s">
        <v>189</v>
      </c>
      <c r="D1316" t="s">
        <v>194</v>
      </c>
      <c r="E1316" t="s">
        <v>147</v>
      </c>
      <c r="F1316" t="s">
        <v>148</v>
      </c>
      <c r="G1316">
        <v>441279.9</v>
      </c>
      <c r="H1316">
        <f>IF(PNL!A1316="","",_CALC_PNL!P1316)</f>
        <v>441279.935609334</v>
      </c>
      <c r="I1316">
        <f>IF(PNL!A1316="","",IF(_CALC_PNL!E1316=1,H1316-G1316,""))</f>
        <v>0.0356093339505605</v>
      </c>
    </row>
    <row r="1317" ht="14.25" customHeight="1">
      <c r="A1317" t="s">
        <v>104</v>
      </c>
      <c r="B1317" t="s">
        <v>201</v>
      </c>
      <c r="C1317" t="s">
        <v>189</v>
      </c>
      <c r="D1317" t="s">
        <v>194</v>
      </c>
      <c r="E1317" t="s">
        <v>147</v>
      </c>
      <c r="F1317" t="s">
        <v>148</v>
      </c>
      <c r="G1317">
        <v>642503.5344</v>
      </c>
      <c r="H1317">
        <f>IF(PNL!A1317="","",_CALC_PNL!P1317)</f>
        <v>642503.58624719</v>
      </c>
      <c r="I1317">
        <f>IF(PNL!A1317="","",IF(_CALC_PNL!E1317=1,H1317-G1317,""))</f>
        <v>0.0518471900140867</v>
      </c>
    </row>
    <row r="1318" ht="14.25" customHeight="1">
      <c r="A1318" t="s">
        <v>86</v>
      </c>
      <c r="B1318" t="s">
        <v>200</v>
      </c>
      <c r="C1318" t="s">
        <v>189</v>
      </c>
      <c r="D1318" t="s">
        <v>194</v>
      </c>
      <c r="E1318" t="s">
        <v>147</v>
      </c>
      <c r="F1318" t="s">
        <v>148</v>
      </c>
      <c r="G1318">
        <v>762972.9471</v>
      </c>
      <c r="H1318">
        <f>IF(PNL!A1318="","",_CALC_PNL!P1318)</f>
        <v>762973.008668538</v>
      </c>
      <c r="I1318">
        <f>IF(PNL!A1318="","",IF(_CALC_PNL!E1318=1,H1318-G1318,""))</f>
        <v>0.061568537959829</v>
      </c>
    </row>
    <row r="1319" ht="14.25" customHeight="1">
      <c r="A1319" t="s">
        <v>89</v>
      </c>
      <c r="B1319" t="s">
        <v>200</v>
      </c>
      <c r="C1319" t="s">
        <v>189</v>
      </c>
      <c r="D1319" t="s">
        <v>194</v>
      </c>
      <c r="E1319" t="s">
        <v>147</v>
      </c>
      <c r="F1319" t="s">
        <v>148</v>
      </c>
      <c r="G1319">
        <v>995331.33</v>
      </c>
      <c r="H1319">
        <f>IF(PNL!A1319="","",_CALC_PNL!P1319)</f>
        <v>995331.410318831</v>
      </c>
      <c r="I1319">
        <f>IF(PNL!A1319="","",IF(_CALC_PNL!E1319=1,H1319-G1319,""))</f>
        <v>0.0803188310237601</v>
      </c>
    </row>
    <row r="1320" ht="14.25" customHeight="1">
      <c r="A1320" t="s">
        <v>91</v>
      </c>
      <c r="B1320" t="s">
        <v>200</v>
      </c>
      <c r="C1320" t="s">
        <v>189</v>
      </c>
      <c r="D1320" t="s">
        <v>194</v>
      </c>
      <c r="E1320" t="s">
        <v>147</v>
      </c>
      <c r="F1320" t="s">
        <v>148</v>
      </c>
      <c r="G1320">
        <v>762972.9471</v>
      </c>
      <c r="H1320">
        <f>IF(PNL!A1320="","",_CALC_PNL!P1320)</f>
        <v>762973.008668538</v>
      </c>
      <c r="I1320">
        <f>IF(PNL!A1320="","",IF(_CALC_PNL!E1320=1,H1320-G1320,""))</f>
        <v>0.061568537959829</v>
      </c>
    </row>
    <row r="1321" ht="14.25" customHeight="1">
      <c r="A1321" t="s">
        <v>93</v>
      </c>
      <c r="B1321" t="s">
        <v>200</v>
      </c>
      <c r="C1321" t="s">
        <v>189</v>
      </c>
      <c r="D1321" t="s">
        <v>194</v>
      </c>
      <c r="E1321" t="s">
        <v>147</v>
      </c>
      <c r="F1321" t="s">
        <v>148</v>
      </c>
      <c r="G1321">
        <v>1352620.9557</v>
      </c>
      <c r="H1321">
        <f>IF(PNL!A1321="","",_CALC_PNL!P1321)</f>
        <v>1352621.06485052</v>
      </c>
      <c r="I1321">
        <f>IF(PNL!A1321="","",IF(_CALC_PNL!E1321=1,H1321-G1321,""))</f>
        <v>0.109150520060211</v>
      </c>
    </row>
    <row r="1322" ht="14.25" customHeight="1">
      <c r="A1322" t="s">
        <v>95</v>
      </c>
      <c r="B1322" t="s">
        <v>200</v>
      </c>
      <c r="C1322" t="s">
        <v>189</v>
      </c>
      <c r="D1322" t="s">
        <v>194</v>
      </c>
      <c r="E1322" t="s">
        <v>147</v>
      </c>
      <c r="F1322" t="s">
        <v>148</v>
      </c>
      <c r="G1322">
        <v>2246565.77712</v>
      </c>
      <c r="H1322">
        <f>IF(PNL!A1322="","",_CALC_PNL!P1322)</f>
        <v>2246565.95840791</v>
      </c>
      <c r="I1322">
        <f>IF(PNL!A1322="","",IF(_CALC_PNL!E1322=1,H1322-G1322,""))</f>
        <v>0.181287909857929</v>
      </c>
    </row>
    <row r="1323" ht="14.25" customHeight="1">
      <c r="A1323" t="s">
        <v>97</v>
      </c>
      <c r="B1323" t="s">
        <v>200</v>
      </c>
      <c r="C1323" t="s">
        <v>189</v>
      </c>
      <c r="D1323" t="s">
        <v>194</v>
      </c>
      <c r="E1323" t="s">
        <v>147</v>
      </c>
      <c r="F1323" t="s">
        <v>148</v>
      </c>
      <c r="G1323">
        <v>1256294.45664</v>
      </c>
      <c r="H1323">
        <f>IF(PNL!A1323="","",_CALC_PNL!P1323)</f>
        <v>1256294.5580174</v>
      </c>
      <c r="I1323">
        <f>IF(PNL!A1323="","",IF(_CALC_PNL!E1323=1,H1323-G1323,""))</f>
        <v>0.101377400103956</v>
      </c>
    </row>
    <row r="1324" ht="14.25" customHeight="1">
      <c r="A1324" t="s">
        <v>99</v>
      </c>
      <c r="B1324" t="s">
        <v>200</v>
      </c>
      <c r="C1324" t="s">
        <v>189</v>
      </c>
      <c r="D1324" t="s">
        <v>194</v>
      </c>
      <c r="E1324" t="s">
        <v>147</v>
      </c>
      <c r="F1324" t="s">
        <v>148</v>
      </c>
      <c r="G1324">
        <v>1366403.59791</v>
      </c>
      <c r="H1324">
        <f>IF(PNL!A1324="","",_CALC_PNL!P1324)</f>
        <v>1366403.70817272</v>
      </c>
      <c r="I1324">
        <f>IF(PNL!A1324="","",IF(_CALC_PNL!E1324=1,H1324-G1324,""))</f>
        <v>0.110262719914317</v>
      </c>
    </row>
    <row r="1325" ht="14.25" customHeight="1">
      <c r="A1325" t="s">
        <v>101</v>
      </c>
      <c r="B1325" t="s">
        <v>200</v>
      </c>
      <c r="C1325" t="s">
        <v>189</v>
      </c>
      <c r="D1325" t="s">
        <v>194</v>
      </c>
      <c r="E1325" t="s">
        <v>147</v>
      </c>
      <c r="F1325" t="s">
        <v>148</v>
      </c>
      <c r="G1325">
        <v>1926995.77665</v>
      </c>
      <c r="H1325">
        <f>IF(PNL!A1325="","",_CALC_PNL!P1325)</f>
        <v>1926995.93215003</v>
      </c>
      <c r="I1325">
        <f>IF(PNL!A1325="","",IF(_CALC_PNL!E1325=1,H1325-G1325,""))</f>
        <v>0.155500030145049</v>
      </c>
    </row>
    <row r="1326" ht="14.25" customHeight="1">
      <c r="A1326" t="s">
        <v>103</v>
      </c>
      <c r="B1326" t="s">
        <v>200</v>
      </c>
      <c r="C1326" t="s">
        <v>189</v>
      </c>
      <c r="D1326" t="s">
        <v>194</v>
      </c>
      <c r="E1326" t="s">
        <v>147</v>
      </c>
      <c r="F1326" t="s">
        <v>148</v>
      </c>
      <c r="G1326">
        <v>1664605.845</v>
      </c>
      <c r="H1326">
        <f>IF(PNL!A1326="","",_CALC_PNL!P1326)</f>
        <v>1664605.97932632</v>
      </c>
      <c r="I1326">
        <f>IF(PNL!A1326="","",IF(_CALC_PNL!E1326=1,H1326-G1326,""))</f>
        <v>0.134326320141554</v>
      </c>
    </row>
    <row r="1327" ht="14.25" customHeight="1">
      <c r="A1327" t="s">
        <v>104</v>
      </c>
      <c r="B1327" t="s">
        <v>200</v>
      </c>
      <c r="C1327" t="s">
        <v>189</v>
      </c>
      <c r="D1327" t="s">
        <v>194</v>
      </c>
      <c r="E1327" t="s">
        <v>147</v>
      </c>
      <c r="F1327" t="s">
        <v>148</v>
      </c>
      <c r="G1327">
        <v>2421744.0912</v>
      </c>
      <c r="H1327">
        <f>IF(PNL!A1327="","",_CALC_PNL!P1327)</f>
        <v>2421744.28662402</v>
      </c>
      <c r="I1327">
        <f>IF(PNL!A1327="","",IF(_CALC_PNL!E1327=1,H1327-G1327,""))</f>
        <v>0.195424019824713</v>
      </c>
    </row>
    <row r="1328" ht="14.25" customHeight="1">
      <c r="A1328" t="s">
        <v>105</v>
      </c>
      <c r="B1328" t="s">
        <v>200</v>
      </c>
      <c r="C1328" t="s">
        <v>189</v>
      </c>
      <c r="D1328" t="s">
        <v>194</v>
      </c>
      <c r="E1328" t="s">
        <v>147</v>
      </c>
      <c r="F1328" t="s">
        <v>148</v>
      </c>
      <c r="G1328">
        <v>1104347.07774</v>
      </c>
      <c r="H1328">
        <f>IF(PNL!A1328="","",_CALC_PNL!P1328)</f>
        <v>1104347.16685592</v>
      </c>
      <c r="I1328">
        <f>IF(PNL!A1328="","",IF(_CALC_PNL!E1328=1,H1328-G1328,""))</f>
        <v>0.0891159200109541</v>
      </c>
    </row>
    <row r="1329" ht="14.25" customHeight="1">
      <c r="A1329" t="s">
        <v>106</v>
      </c>
      <c r="B1329" t="s">
        <v>200</v>
      </c>
      <c r="C1329" t="s">
        <v>189</v>
      </c>
      <c r="D1329" t="s">
        <v>194</v>
      </c>
      <c r="E1329" t="s">
        <v>147</v>
      </c>
      <c r="F1329" t="s">
        <v>148</v>
      </c>
      <c r="G1329">
        <v>1535212.7721</v>
      </c>
      <c r="H1329">
        <f>IF(PNL!A1329="","",_CALC_PNL!P1329)</f>
        <v>1535212.89598487</v>
      </c>
      <c r="I1329">
        <f>IF(PNL!A1329="","",IF(_CALC_PNL!E1329=1,H1329-G1329,""))</f>
        <v>0.123884869972244</v>
      </c>
    </row>
    <row r="1330" ht="14.25" customHeight="1">
      <c r="A1330" t="s">
        <v>107</v>
      </c>
      <c r="B1330" t="s">
        <v>200</v>
      </c>
      <c r="C1330" t="s">
        <v>189</v>
      </c>
      <c r="D1330" t="s">
        <v>194</v>
      </c>
      <c r="E1330" t="s">
        <v>147</v>
      </c>
      <c r="F1330" t="s">
        <v>148</v>
      </c>
      <c r="G1330">
        <v>843285.8889</v>
      </c>
      <c r="H1330">
        <f>IF(PNL!A1330="","",_CALC_PNL!P1330)</f>
        <v>843285.956949437</v>
      </c>
      <c r="I1330">
        <f>IF(PNL!A1330="","",IF(_CALC_PNL!E1330=1,H1330-G1330,""))</f>
        <v>0.06804943701718</v>
      </c>
    </row>
    <row r="1331" ht="14.25" customHeight="1">
      <c r="A1331" t="s">
        <v>108</v>
      </c>
      <c r="B1331" t="s">
        <v>200</v>
      </c>
      <c r="C1331" t="s">
        <v>189</v>
      </c>
      <c r="D1331" t="s">
        <v>194</v>
      </c>
      <c r="E1331" t="s">
        <v>147</v>
      </c>
      <c r="F1331" t="s">
        <v>148</v>
      </c>
      <c r="G1331">
        <v>1060954.55424</v>
      </c>
      <c r="H1331">
        <f>IF(PNL!A1331="","",_CALC_PNL!P1331)</f>
        <v>1060954.63985433</v>
      </c>
      <c r="I1331">
        <f>IF(PNL!A1331="","",IF(_CALC_PNL!E1331=1,H1331-G1331,""))</f>
        <v>0.0856143301352859</v>
      </c>
    </row>
    <row r="1332" ht="14.25" customHeight="1">
      <c r="A1332" t="s">
        <v>86</v>
      </c>
      <c r="B1332" t="s">
        <v>202</v>
      </c>
      <c r="C1332" t="s">
        <v>189</v>
      </c>
      <c r="D1332" t="s">
        <v>194</v>
      </c>
      <c r="E1332" t="s">
        <v>147</v>
      </c>
      <c r="F1332" t="s">
        <v>148</v>
      </c>
      <c r="G1332">
        <v>3530.2392</v>
      </c>
      <c r="H1332">
        <f>IF(PNL!A1332="","",_CALC_PNL!P1332)</f>
        <v>3530.23948487467</v>
      </c>
      <c r="I1332">
        <f>IF(PNL!A1332="","",IF(_CALC_PNL!E1332=1,H1332-G1332,""))</f>
        <v>0.000284874669887358</v>
      </c>
    </row>
    <row r="1333" ht="14.25" customHeight="1">
      <c r="A1333" t="s">
        <v>89</v>
      </c>
      <c r="B1333" t="s">
        <v>202</v>
      </c>
      <c r="C1333" t="s">
        <v>189</v>
      </c>
      <c r="D1333" t="s">
        <v>194</v>
      </c>
      <c r="E1333" t="s">
        <v>147</v>
      </c>
      <c r="F1333" t="s">
        <v>148</v>
      </c>
      <c r="G1333">
        <v>4412.799</v>
      </c>
      <c r="H1333">
        <f>IF(PNL!A1333="","",_CALC_PNL!P1333)</f>
        <v>4412.79935609334</v>
      </c>
      <c r="I1333">
        <f>IF(PNL!A1333="","",IF(_CALC_PNL!E1333=1,H1333-G1333,""))</f>
        <v>0.000356093340087682</v>
      </c>
    </row>
    <row r="1334" ht="14.25" customHeight="1">
      <c r="A1334" t="s">
        <v>91</v>
      </c>
      <c r="B1334" t="s">
        <v>202</v>
      </c>
      <c r="C1334" t="s">
        <v>189</v>
      </c>
      <c r="D1334" t="s">
        <v>194</v>
      </c>
      <c r="E1334" t="s">
        <v>147</v>
      </c>
      <c r="F1334" t="s">
        <v>148</v>
      </c>
      <c r="G1334">
        <v>3530.2392</v>
      </c>
      <c r="H1334">
        <f>IF(PNL!A1334="","",_CALC_PNL!P1334)</f>
        <v>3530.23948487467</v>
      </c>
      <c r="I1334">
        <f>IF(PNL!A1334="","",IF(_CALC_PNL!E1334=1,H1334-G1334,""))</f>
        <v>0.000284874669887358</v>
      </c>
    </row>
    <row r="1335" ht="14.25" customHeight="1">
      <c r="A1335" t="s">
        <v>93</v>
      </c>
      <c r="B1335" t="s">
        <v>202</v>
      </c>
      <c r="C1335" t="s">
        <v>189</v>
      </c>
      <c r="D1335" t="s">
        <v>194</v>
      </c>
      <c r="E1335" t="s">
        <v>147</v>
      </c>
      <c r="F1335" t="s">
        <v>148</v>
      </c>
      <c r="G1335">
        <v>8825.598</v>
      </c>
      <c r="H1335">
        <f>IF(PNL!A1335="","",_CALC_PNL!P1335)</f>
        <v>8825.59871218668</v>
      </c>
      <c r="I1335">
        <f>IF(PNL!A1335="","",IF(_CALC_PNL!E1335=1,H1335-G1335,""))</f>
        <v>0.000712186680175364</v>
      </c>
    </row>
    <row r="1336" ht="14.25" customHeight="1">
      <c r="A1336" t="s">
        <v>95</v>
      </c>
      <c r="B1336" t="s">
        <v>202</v>
      </c>
      <c r="C1336" t="s">
        <v>189</v>
      </c>
      <c r="D1336" t="s">
        <v>194</v>
      </c>
      <c r="E1336" t="s">
        <v>147</v>
      </c>
      <c r="F1336" t="s">
        <v>148</v>
      </c>
      <c r="G1336">
        <v>12708.86112</v>
      </c>
      <c r="H1336">
        <f>IF(PNL!A1336="","",_CALC_PNL!P1336)</f>
        <v>12708.8621455488</v>
      </c>
      <c r="I1336">
        <f>IF(PNL!A1336="","",IF(_CALC_PNL!E1336=1,H1336-G1336,""))</f>
        <v>0.00102554879958916</v>
      </c>
    </row>
    <row r="1337" ht="14.25" customHeight="1">
      <c r="A1337" t="s">
        <v>97</v>
      </c>
      <c r="B1337" t="s">
        <v>202</v>
      </c>
      <c r="C1337" t="s">
        <v>189</v>
      </c>
      <c r="D1337" t="s">
        <v>194</v>
      </c>
      <c r="E1337" t="s">
        <v>147</v>
      </c>
      <c r="F1337" t="s">
        <v>148</v>
      </c>
      <c r="G1337">
        <v>8296.06212</v>
      </c>
      <c r="H1337">
        <f>IF(PNL!A1337="","",_CALC_PNL!P1337)</f>
        <v>8296.06278945548</v>
      </c>
      <c r="I1337">
        <f>IF(PNL!A1337="","",IF(_CALC_PNL!E1337=1,H1337-G1337,""))</f>
        <v>0.000669455479510361</v>
      </c>
    </row>
    <row r="1338" ht="14.25" customHeight="1">
      <c r="A1338" t="s">
        <v>99</v>
      </c>
      <c r="B1338" t="s">
        <v>202</v>
      </c>
      <c r="C1338" t="s">
        <v>189</v>
      </c>
      <c r="D1338" t="s">
        <v>194</v>
      </c>
      <c r="E1338" t="s">
        <v>147</v>
      </c>
      <c r="F1338" t="s">
        <v>148</v>
      </c>
      <c r="G1338">
        <v>9002.10996</v>
      </c>
      <c r="H1338">
        <f>IF(PNL!A1338="","",_CALC_PNL!P1338)</f>
        <v>9002.11068643041</v>
      </c>
      <c r="I1338">
        <f>IF(PNL!A1338="","",IF(_CALC_PNL!E1338=1,H1338-G1338,""))</f>
        <v>0.000726430409486056</v>
      </c>
    </row>
    <row r="1339" ht="14.25" customHeight="1">
      <c r="A1339" t="s">
        <v>101</v>
      </c>
      <c r="B1339" t="s">
        <v>202</v>
      </c>
      <c r="C1339" t="s">
        <v>189</v>
      </c>
      <c r="D1339" t="s">
        <v>194</v>
      </c>
      <c r="E1339" t="s">
        <v>147</v>
      </c>
      <c r="F1339" t="s">
        <v>148</v>
      </c>
      <c r="G1339">
        <v>11649.78936</v>
      </c>
      <c r="H1339">
        <f>IF(PNL!A1339="","",_CALC_PNL!P1339)</f>
        <v>11649.7903000864</v>
      </c>
      <c r="I1339">
        <f>IF(PNL!A1339="","",IF(_CALC_PNL!E1339=1,H1339-G1339,""))</f>
        <v>0.000940086400078144</v>
      </c>
    </row>
    <row r="1340" ht="14.25" customHeight="1">
      <c r="A1340" t="s">
        <v>103</v>
      </c>
      <c r="B1340" t="s">
        <v>202</v>
      </c>
      <c r="C1340" t="s">
        <v>189</v>
      </c>
      <c r="D1340" t="s">
        <v>194</v>
      </c>
      <c r="E1340" t="s">
        <v>147</v>
      </c>
      <c r="F1340" t="s">
        <v>148</v>
      </c>
      <c r="G1340">
        <v>10590.7176</v>
      </c>
      <c r="H1340">
        <f>IF(PNL!A1340="","",_CALC_PNL!P1340)</f>
        <v>10590.718454624</v>
      </c>
      <c r="I1340">
        <f>IF(PNL!A1340="","",IF(_CALC_PNL!E1340=1,H1340-G1340,""))</f>
        <v>0.000854624000567128</v>
      </c>
    </row>
    <row r="1341" ht="14.25" customHeight="1">
      <c r="A1341" t="s">
        <v>104</v>
      </c>
      <c r="B1341" t="s">
        <v>202</v>
      </c>
      <c r="C1341" t="s">
        <v>189</v>
      </c>
      <c r="D1341" t="s">
        <v>194</v>
      </c>
      <c r="E1341" t="s">
        <v>147</v>
      </c>
      <c r="F1341" t="s">
        <v>148</v>
      </c>
      <c r="G1341">
        <v>13767.93288</v>
      </c>
      <c r="H1341">
        <f>IF(PNL!A1341="","",_CALC_PNL!P1341)</f>
        <v>13767.9339910112</v>
      </c>
      <c r="I1341">
        <f>IF(PNL!A1341="","",IF(_CALC_PNL!E1341=1,H1341-G1341,""))</f>
        <v>0.00111101119910018</v>
      </c>
    </row>
    <row r="1342" ht="14.25" customHeight="1">
      <c r="A1342" t="s">
        <v>105</v>
      </c>
      <c r="B1342" t="s">
        <v>202</v>
      </c>
      <c r="C1342" t="s">
        <v>189</v>
      </c>
      <c r="D1342" t="s">
        <v>194</v>
      </c>
      <c r="E1342" t="s">
        <v>147</v>
      </c>
      <c r="F1342" t="s">
        <v>148</v>
      </c>
      <c r="G1342">
        <v>6354.43056</v>
      </c>
      <c r="H1342">
        <f>IF(PNL!A1342="","",_CALC_PNL!P1342)</f>
        <v>6354.43107277441</v>
      </c>
      <c r="I1342">
        <f>IF(PNL!A1342="","",IF(_CALC_PNL!E1342=1,H1342-G1342,""))</f>
        <v>0.000512774409799022</v>
      </c>
    </row>
    <row r="1343" ht="14.25" customHeight="1">
      <c r="A1343" t="s">
        <v>106</v>
      </c>
      <c r="B1343" t="s">
        <v>202</v>
      </c>
      <c r="C1343" t="s">
        <v>189</v>
      </c>
      <c r="D1343" t="s">
        <v>194</v>
      </c>
      <c r="E1343" t="s">
        <v>147</v>
      </c>
      <c r="F1343" t="s">
        <v>148</v>
      </c>
      <c r="G1343">
        <v>8119.55016</v>
      </c>
      <c r="H1343">
        <f>IF(PNL!A1343="","",_CALC_PNL!P1343)</f>
        <v>8119.55081521174</v>
      </c>
      <c r="I1343">
        <f>IF(PNL!A1343="","",IF(_CALC_PNL!E1343=1,H1343-G1343,""))</f>
        <v>0.000655211740195227</v>
      </c>
    </row>
    <row r="1344" ht="14.25" customHeight="1">
      <c r="A1344" t="s">
        <v>107</v>
      </c>
      <c r="B1344" t="s">
        <v>202</v>
      </c>
      <c r="C1344" t="s">
        <v>189</v>
      </c>
      <c r="D1344" t="s">
        <v>194</v>
      </c>
      <c r="E1344" t="s">
        <v>147</v>
      </c>
      <c r="F1344" t="s">
        <v>148</v>
      </c>
      <c r="G1344">
        <v>3530.2392</v>
      </c>
      <c r="H1344">
        <f>IF(PNL!A1344="","",_CALC_PNL!P1344)</f>
        <v>3530.23948487467</v>
      </c>
      <c r="I1344">
        <f>IF(PNL!A1344="","",IF(_CALC_PNL!E1344=1,H1344-G1344,""))</f>
        <v>0.000284874669887358</v>
      </c>
    </row>
    <row r="1345" ht="14.25" customHeight="1">
      <c r="A1345" t="s">
        <v>108</v>
      </c>
      <c r="B1345" t="s">
        <v>202</v>
      </c>
      <c r="C1345" t="s">
        <v>189</v>
      </c>
      <c r="D1345" t="s">
        <v>194</v>
      </c>
      <c r="E1345" t="s">
        <v>147</v>
      </c>
      <c r="F1345" t="s">
        <v>148</v>
      </c>
      <c r="G1345">
        <v>4148.03106</v>
      </c>
      <c r="H1345">
        <f>IF(PNL!A1345="","",_CALC_PNL!P1345)</f>
        <v>4148.03139472774</v>
      </c>
      <c r="I1345">
        <f>IF(PNL!A1345="","",IF(_CALC_PNL!E1345=1,H1345-G1345,""))</f>
        <v>0.000334727739755181</v>
      </c>
    </row>
    <row r="1346" ht="14.25" customHeight="1">
      <c r="H1346" t="str">
        <f>IF(PNL!A1346="","",_CALC_PNL!P1346)</f>
        <v/>
      </c>
      <c r="I1346" t="str">
        <f>IF(PNL!A1346="","",IF(_CALC_PNL!E1346=1,H1346-G1346,""))</f>
        <v/>
      </c>
    </row>
    <row r="1347" ht="14.25" customHeight="1">
      <c r="H1347" t="str">
        <f>IF(PNL!A1347="","",_CALC_PNL!P1347)</f>
        <v/>
      </c>
      <c r="I1347" t="str">
        <f>IF(PNL!A1347="","",IF(_CALC_PNL!E1347=1,H1347-G1347,""))</f>
        <v/>
      </c>
    </row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914598-78C8-5108-C07D-06E4DE57F0E5}" mc:Ignorable="x14ac xr xr2 xr3">
  <dimension ref="A1:AK190"/>
  <sheetViews>
    <sheetView topLeftCell="Y1" workbookViewId="0">
      <selection activeCell="A1" sqref="A1:AC2"/>
    </sheetView>
  </sheetViews>
  <sheetFormatPr defaultRowHeight="14.25" defaultColWidth="9.00390625" customHeight="1"/>
  <sheetData>
    <row r="1" ht="14.25" customHeight="1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126</v>
      </c>
      <c r="H1" t="s">
        <v>132</v>
      </c>
      <c r="I1" t="s">
        <v>134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169</v>
      </c>
      <c r="P1" t="s">
        <v>170</v>
      </c>
      <c r="Q1" t="s">
        <v>171</v>
      </c>
      <c r="R1" t="s">
        <v>174</v>
      </c>
      <c r="S1" t="s">
        <v>176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180</v>
      </c>
      <c r="AF1" t="s">
        <v>181</v>
      </c>
      <c r="AG1" t="s">
        <v>182</v>
      </c>
      <c r="AH1" t="s">
        <v>26</v>
      </c>
      <c r="AJ1" t="s">
        <v>252</v>
      </c>
    </row>
    <row r="2" ht="14.25" customHeight="1">
      <c r="A2" t="str">
        <f>IF(Moteur!D2="","",Moteur!D2)</f>
        <v>MBWAY_PAR</v>
      </c>
      <c r="B2" t="str">
        <f>IF(Moteur!B2="","",Moteur!B2)</f>
        <v>V01</v>
      </c>
      <c r="C2" t="str">
        <f>IF(Moteur!F2="","",Moteur!F2)</f>
        <v>BAC_MGT</v>
      </c>
      <c r="D2" t="str">
        <f>IF(Moteur!G2="","",Moteur!G2)</f>
        <v>B1</v>
      </c>
      <c r="E2" t="str">
        <f>IF(Moteur!H2="","",Moteur!H2)</f>
        <v>INIT</v>
      </c>
      <c r="F2" t="str">
        <f>IF(Moteur!E2="","",Moteur!E2)</f>
        <v>MBWAY</v>
      </c>
      <c r="G2">
        <f>IF($A2="","",_xlfn.SUMIFS(Socle!$H$1:$H$658,Socle!$C$1:$C$658,$A2,Socle!$D$1:$D$658,$C2,Socle!$E$1:$E$658,$D2,Socle!$F$1:$F$658,$E2,Socle!$G$1:$G$658,"2026"))</f>
        <v>646</v>
      </c>
      <c r="H2">
        <f>IF($A2="","",_xlfn.SUMIFS(Socle!$N$1:$N$658,Socle!$C$1:$C$658,$A2,Socle!$D$1:$D$658,$C2,Socle!$E$1:$E$658,$D2,Socle!$F$1:$F$658,$E2,Socle!$G$1:$G$658,"2026"))</f>
        <v>0</v>
      </c>
      <c r="I2">
        <f>IF($A2="","",_xlfn.SUMIFS(Socle!$P$1:$P$658,Socle!$C$1:$C$658,$A2,Socle!$D$1:$D$658,$C2,Socle!$E$1:$E$658,$D2,Socle!$F$1:$F$658,$E2,Socle!$G$1:$G$658,"2026"))</f>
        <v>8400</v>
      </c>
      <c r="J2">
        <f>IF($A2="","",_xlfn.SUMIFS(Socle!$W$1:$W$658,Socle!$C$1:$C$658,$A2,Socle!$D$1:$D$658,$C2,Socle!$E$1:$E$658,$D2,Socle!$F$1:$F$658,$E2,Socle!$G$1:$G$658,"2026"))</f>
        <v>0.280185759</v>
      </c>
      <c r="K2">
        <f>IF($A2="","",_xlfn.SUMIFS(Socle!$X$1:$X$658,Socle!$C$1:$C$658,$A2,Socle!$D$1:$D$658,$C2,Socle!$E$1:$E$658,$D2,Socle!$F$1:$F$658,$E2,Socle!$G$1:$G$658,"2026"))</f>
        <v>0.718232044</v>
      </c>
      <c r="L2">
        <f>IF($A2="","",_xlfn.SUMIFS(Socle!$Y$1:$Y$658,Socle!$C$1:$C$658,$A2,Socle!$D$1:$D$658,$C2,Socle!$E$1:$E$658,$D2,Socle!$F$1:$F$658,$E2,Socle!$G$1:$G$658,"2026"))</f>
        <v>0.6</v>
      </c>
      <c r="M2">
        <f>IF($A2="","",_xlfn.SUMIFS(Socle!$V$1:$V$658,Socle!$C$1:$C$658,$A2,Socle!$D$1:$D$658,$C2,Socle!$E$1:$E$658,$D2,Socle!$F$1:$F$658,$E2,Socle!$G$1:$G$658,"2026"))</f>
        <v>0</v>
      </c>
      <c r="N2">
        <f t="shared" si="0" ref="N2:N190">IF($A2="","",IF(OR($D2="B1",$D2="M1",$D2="BTS1"),1,0))</f>
        <v>1</v>
      </c>
      <c r="O2">
        <f>IF($A2="","",_xlfn.SUMIFS(Campagne!$D$1:$D$141,Campagne!$C$1:$C$141,$A2))</f>
        <v>711</v>
      </c>
      <c r="P2">
        <f>IF($A2="","",_xlfn.SUMIFS(Campagne!$E$1:$E$141,Campagne!$C$1:$C$141,$A2))</f>
        <v>1265</v>
      </c>
      <c r="Q2">
        <f>IF($A2="","",_xlfn.SUMIFS(Campagne!$F$1:$F$141,Campagne!$C$1:$C$141,$A2))</f>
        <v>1976</v>
      </c>
      <c r="R2">
        <f>IF($A2="","",_xlfn.SUMIFS(Campagne!$K$1:$K$141,Campagne!$C$1:$C$141,$A2))</f>
        <v>0.463595949</v>
      </c>
      <c r="S2">
        <f>IF($A2="","",_xlfn.SUMIFS(Campagne!$M$1:$M$141,Campagne!$C$1:$C$141,$A2))</f>
        <v>0.308054121</v>
      </c>
      <c r="T2">
        <f>IF($A2="","",_xlfn.SUMIFS(Pilotage!$K$19:$K$32,Pilotage!$A$19:$A$32,$A2)*_xlfn.SUMIFS(Pilotage!$J$19:$J$32,Pilotage!$A$19:$A$32,$A2)*(SUM(Pilotage!$K$19:$K$32)/SUMPRODUCT(Pilotage!$K$19:$K$32,Pilotage!$J$19:$J$32)))</f>
        <v>68291</v>
      </c>
      <c r="U2">
        <f>IF($A2="","",_xlfn.SUMIFS(Pilotage!$K$19:$K$32,Pilotage!$A$19:$A$32,$A2))</f>
        <v>68291</v>
      </c>
      <c r="V2">
        <f>IF($A2="","",IF($B2="V01",Cadrage!$C$23,IF($B2="V02",Cadrage!$D$23,Cadrage!$E$23)))</f>
        <v>0.08</v>
      </c>
      <c r="W2">
        <f>IF($A2="","",IF($B2="V01",Cadrage!$C$24,IF($B2="V02",Cadrage!$D$24,Cadrage!$E$24)))</f>
        <v>0.1</v>
      </c>
      <c r="X2">
        <f>IF($A2="","",IF($B2="V01",Cadrage!$C$25,IF($B2="V02",Cadrage!$D$25,Cadrage!$E$25)))</f>
        <v>0.0029</v>
      </c>
      <c r="Y2">
        <f>IF($A2="","",IF($B2="V01",Cadrage!$C$26,IF($B2="V02",Cadrage!$D$26,Cadrage!$E$26)))</f>
        <v>0.01</v>
      </c>
      <c r="Z2">
        <f>IF($A2="","",IF($B2="V01",Cadrage!$C$27,IF($B2="V02",Cadrage!$D$27,Cadrage!$E$27)))</f>
        <v>0.01</v>
      </c>
      <c r="AA2">
        <f>IF($A2="","",IF($B2="V01",Cadrage!$C$28,IF($B2="V02",Cadrage!$D$28,Cadrage!$E$28)))</f>
        <v>0.005</v>
      </c>
      <c r="AB2">
        <f>IF($A2="","",IF($B2="V01",Cadrage!$C$42,IF($B2="V02",Cadrage!$D$42,Cadrage!$E$42)))</f>
        <v>90</v>
      </c>
      <c r="AC2">
        <f>IF($A2="","",IF($F2="MBWAY",Cadrage!$K$34,IF($F2="ISCOM",Cadrage!$K$35,IF($F2="IPAC",Cadrage!$K$36,IF($F2="PIGIER",Cadrage!$K$37,Cadrage!$K$38)))))</f>
        <v>1.2</v>
      </c>
      <c r="AD2">
        <f t="shared" si="1" ref="AD2:AD190">IF($A2="","",($O2*(1+$W2)^$S2+$P2*_xlfn.IFERROR((($T2/$U2)*(1+$V2))^$R2,0))*_xlfn.IFERROR($G2/$Q2,0)*($J2+$Y2)*$K2*($L2+$Z2))</f>
        <v>84.9205941173284</v>
      </c>
      <c r="AE2">
        <f t="shared" si="2" ref="AE2:AE190">IF($A2="","",IF($N2=1,$AD2,0))</f>
        <v>84.9205941173284</v>
      </c>
      <c r="AF2">
        <f t="shared" si="3" ref="AF2:AF190">IF($A2="","",IF($N2=1,$AD2,$H2*($M2+$AA2)))</f>
        <v>84.9205941173284</v>
      </c>
      <c r="AG2">
        <f t="shared" si="4" ref="AG2:AG190">IF($A2="","",$I2*(1+$X2*$AC2))</f>
        <v>8429.232</v>
      </c>
      <c r="AH2">
        <f t="shared" si="5" ref="AH2:AH190">IF($A2="","",$AF2*$AG2+$AE2*$AB2)</f>
        <v>723458.242863356</v>
      </c>
    </row>
    <row r="3" ht="14.25" customHeight="1">
      <c r="A3" t="str">
        <f>IF(Moteur!D3="","",Moteur!D3)</f>
        <v>MBWAY_PAR</v>
      </c>
      <c r="B3" t="str">
        <f>IF(Moteur!B3="","",Moteur!B3)</f>
        <v>V01</v>
      </c>
      <c r="C3" t="str">
        <f>IF(Moteur!F3="","",Moteur!F3)</f>
        <v>BAC_MGT</v>
      </c>
      <c r="D3" t="str">
        <f>IF(Moteur!G3="","",Moteur!G3)</f>
        <v>B2</v>
      </c>
      <c r="E3" t="str">
        <f>IF(Moteur!H3="","",Moteur!H3)</f>
        <v>ALT</v>
      </c>
      <c r="F3" t="str">
        <f>IF(Moteur!E3="","",Moteur!E3)</f>
        <v>MBWAY</v>
      </c>
      <c r="G3">
        <f>IF($A3="","",_xlfn.SUMIFS(Socle!$H$1:$H$658,Socle!$C$1:$C$658,$A3,Socle!$D$1:$D$658,$C3,Socle!$E$1:$E$658,$D3,Socle!$F$1:$F$658,$E3,Socle!$G$1:$G$658,"2026"))</f>
        <v>0</v>
      </c>
      <c r="H3">
        <f>IF($A3="","",_xlfn.SUMIFS(Socle!$N$1:$N$658,Socle!$C$1:$C$658,$A3,Socle!$D$1:$D$658,$C3,Socle!$E$1:$E$658,$D3,Socle!$F$1:$F$658,$E3,Socle!$G$1:$G$658,"2026"))</f>
        <v>78</v>
      </c>
      <c r="I3">
        <f>IF($A3="","",_xlfn.SUMIFS(Socle!$P$1:$P$658,Socle!$C$1:$C$658,$A3,Socle!$D$1:$D$658,$C3,Socle!$E$1:$E$658,$D3,Socle!$F$1:$F$658,$E3,Socle!$G$1:$G$658,"2026"))</f>
        <v>7840</v>
      </c>
      <c r="J3">
        <f>IF($A3="","",_xlfn.SUMIFS(Socle!$W$1:$W$658,Socle!$C$1:$C$658,$A3,Socle!$D$1:$D$658,$C3,Socle!$E$1:$E$658,$D3,Socle!$F$1:$F$658,$E3,Socle!$G$1:$G$658,"2026"))</f>
        <v>0</v>
      </c>
      <c r="K3">
        <f>IF($A3="","",_xlfn.SUMIFS(Socle!$X$1:$X$658,Socle!$C$1:$C$658,$A3,Socle!$D$1:$D$658,$C3,Socle!$E$1:$E$658,$D3,Socle!$F$1:$F$658,$E3,Socle!$G$1:$G$658,"2026"))</f>
        <v>0</v>
      </c>
      <c r="L3">
        <f>IF($A3="","",_xlfn.SUMIFS(Socle!$Y$1:$Y$658,Socle!$C$1:$C$658,$A3,Socle!$D$1:$D$658,$C3,Socle!$E$1:$E$658,$D3,Socle!$F$1:$F$658,$E3,Socle!$G$1:$G$658,"2026"))</f>
        <v>0</v>
      </c>
      <c r="M3">
        <f>IF($A3="","",_xlfn.SUMIFS(Socle!$V$1:$V$658,Socle!$C$1:$C$658,$A3,Socle!$D$1:$D$658,$C3,Socle!$E$1:$E$658,$D3,Socle!$F$1:$F$658,$E3,Socle!$G$1:$G$658,"2026"))</f>
        <v>0.974358974</v>
      </c>
      <c r="N3">
        <f t="shared" si="0"/>
        <v>0</v>
      </c>
      <c r="O3">
        <f>IF($A3="","",_xlfn.SUMIFS(Campagne!$D$1:$D$141,Campagne!$C$1:$C$141,$A3))</f>
        <v>711</v>
      </c>
      <c r="P3">
        <f>IF($A3="","",_xlfn.SUMIFS(Campagne!$E$1:$E$141,Campagne!$C$1:$C$141,$A3))</f>
        <v>1265</v>
      </c>
      <c r="Q3">
        <f>IF($A3="","",_xlfn.SUMIFS(Campagne!$F$1:$F$141,Campagne!$C$1:$C$141,$A3))</f>
        <v>1976</v>
      </c>
      <c r="R3">
        <f>IF($A3="","",_xlfn.SUMIFS(Campagne!$K$1:$K$141,Campagne!$C$1:$C$141,$A3))</f>
        <v>0.463595949</v>
      </c>
      <c r="S3">
        <f>IF($A3="","",_xlfn.SUMIFS(Campagne!$M$1:$M$141,Campagne!$C$1:$C$141,$A3))</f>
        <v>0.308054121</v>
      </c>
      <c r="T3">
        <f>IF($A3="","",_xlfn.SUMIFS(Pilotage!$K$19:$K$32,Pilotage!$A$19:$A$32,$A3)*_xlfn.SUMIFS(Pilotage!$J$19:$J$32,Pilotage!$A$19:$A$32,$A3)*(SUM(Pilotage!$K$19:$K$32)/SUMPRODUCT(Pilotage!$K$19:$K$32,Pilotage!$J$19:$J$32)))</f>
        <v>68291</v>
      </c>
      <c r="U3">
        <f>IF($A3="","",_xlfn.SUMIFS(Pilotage!$K$19:$K$32,Pilotage!$A$19:$A$32,$A3))</f>
        <v>68291</v>
      </c>
      <c r="V3">
        <f>IF($A3="","",IF($B3="V01",Cadrage!$C$23,IF($B3="V02",Cadrage!$D$23,Cadrage!$E$23)))</f>
        <v>0.08</v>
      </c>
      <c r="W3">
        <f>IF($A3="","",IF($B3="V01",Cadrage!$C$24,IF($B3="V02",Cadrage!$D$24,Cadrage!$E$24)))</f>
        <v>0.1</v>
      </c>
      <c r="X3">
        <f>IF($A3="","",IF($B3="V01",Cadrage!$C$25,IF($B3="V02",Cadrage!$D$25,Cadrage!$E$25)))</f>
        <v>0.0029</v>
      </c>
      <c r="Y3">
        <f>IF($A3="","",IF($B3="V01",Cadrage!$C$26,IF($B3="V02",Cadrage!$D$26,Cadrage!$E$26)))</f>
        <v>0.01</v>
      </c>
      <c r="Z3">
        <f>IF($A3="","",IF($B3="V01",Cadrage!$C$27,IF($B3="V02",Cadrage!$D$27,Cadrage!$E$27)))</f>
        <v>0.01</v>
      </c>
      <c r="AA3">
        <f>IF($A3="","",IF($B3="V01",Cadrage!$C$28,IF($B3="V02",Cadrage!$D$28,Cadrage!$E$28)))</f>
        <v>0.005</v>
      </c>
      <c r="AB3">
        <f>IF($A3="","",IF($B3="V01",Cadrage!$C$42,IF($B3="V02",Cadrage!$D$42,Cadrage!$E$42)))</f>
        <v>90</v>
      </c>
      <c r="AC3">
        <f>IF($A3="","",IF($F3="MBWAY",Cadrage!$K$34,IF($F3="ISCOM",Cadrage!$K$35,IF($F3="IPAC",Cadrage!$K$36,IF($F3="PIGIER",Cadrage!$K$37,Cadrage!$K$38)))))</f>
        <v>1.2</v>
      </c>
      <c r="AD3">
        <f t="shared" si="1"/>
        <v>0</v>
      </c>
      <c r="AE3">
        <f t="shared" si="2"/>
        <v>0</v>
      </c>
      <c r="AF3">
        <f t="shared" si="3"/>
        <v>76.389999972</v>
      </c>
      <c r="AG3">
        <f t="shared" si="4"/>
        <v>7867.2832</v>
      </c>
      <c r="AH3">
        <f t="shared" si="5"/>
        <v>600981.763427716</v>
      </c>
    </row>
    <row r="4" ht="14.25" customHeight="1">
      <c r="A4" t="str">
        <f>IF(Moteur!D4="","",Moteur!D4)</f>
        <v>MBWAY_PAR</v>
      </c>
      <c r="B4" t="str">
        <f>IF(Moteur!B4="","",Moteur!B4)</f>
        <v>V01</v>
      </c>
      <c r="C4" t="str">
        <f>IF(Moteur!F4="","",Moteur!F4)</f>
        <v>BAC_MGT</v>
      </c>
      <c r="D4" t="str">
        <f>IF(Moteur!G4="","",Moteur!G4)</f>
        <v>B3</v>
      </c>
      <c r="E4" t="str">
        <f>IF(Moteur!H4="","",Moteur!H4)</f>
        <v>ALT</v>
      </c>
      <c r="F4" t="str">
        <f>IF(Moteur!E4="","",Moteur!E4)</f>
        <v>MBWAY</v>
      </c>
      <c r="G4">
        <f>IF($A4="","",_xlfn.SUMIFS(Socle!$H$1:$H$658,Socle!$C$1:$C$658,$A4,Socle!$D$1:$D$658,$C4,Socle!$E$1:$E$658,$D4,Socle!$F$1:$F$658,$E4,Socle!$G$1:$G$658,"2026"))</f>
        <v>0</v>
      </c>
      <c r="H4">
        <f>IF($A4="","",_xlfn.SUMIFS(Socle!$N$1:$N$658,Socle!$C$1:$C$658,$A4,Socle!$D$1:$D$658,$C4,Socle!$E$1:$E$658,$D4,Socle!$F$1:$F$658,$E4,Socle!$G$1:$G$658,"2026"))</f>
        <v>76</v>
      </c>
      <c r="I4">
        <f>IF($A4="","",_xlfn.SUMIFS(Socle!$P$1:$P$658,Socle!$C$1:$C$658,$A4,Socle!$D$1:$D$658,$C4,Socle!$E$1:$E$658,$D4,Socle!$F$1:$F$658,$E4,Socle!$G$1:$G$658,"2026"))</f>
        <v>7840</v>
      </c>
      <c r="J4">
        <f>IF($A4="","",_xlfn.SUMIFS(Socle!$W$1:$W$658,Socle!$C$1:$C$658,$A4,Socle!$D$1:$D$658,$C4,Socle!$E$1:$E$658,$D4,Socle!$F$1:$F$658,$E4,Socle!$G$1:$G$658,"2026"))</f>
        <v>0</v>
      </c>
      <c r="K4">
        <f>IF($A4="","",_xlfn.SUMIFS(Socle!$X$1:$X$658,Socle!$C$1:$C$658,$A4,Socle!$D$1:$D$658,$C4,Socle!$E$1:$E$658,$D4,Socle!$F$1:$F$658,$E4,Socle!$G$1:$G$658,"2026"))</f>
        <v>0</v>
      </c>
      <c r="L4">
        <f>IF($A4="","",_xlfn.SUMIFS(Socle!$Y$1:$Y$658,Socle!$C$1:$C$658,$A4,Socle!$D$1:$D$658,$C4,Socle!$E$1:$E$658,$D4,Socle!$F$1:$F$658,$E4,Socle!$G$1:$G$658,"2026"))</f>
        <v>0</v>
      </c>
      <c r="M4">
        <f>IF($A4="","",_xlfn.SUMIFS(Socle!$V$1:$V$658,Socle!$C$1:$C$658,$A4,Socle!$D$1:$D$658,$C4,Socle!$E$1:$E$658,$D4,Socle!$F$1:$F$658,$E4,Socle!$G$1:$G$658,"2026"))</f>
        <v>0.973684211</v>
      </c>
      <c r="N4">
        <f t="shared" si="0"/>
        <v>0</v>
      </c>
      <c r="O4">
        <f>IF($A4="","",_xlfn.SUMIFS(Campagne!$D$1:$D$141,Campagne!$C$1:$C$141,$A4))</f>
        <v>711</v>
      </c>
      <c r="P4">
        <f>IF($A4="","",_xlfn.SUMIFS(Campagne!$E$1:$E$141,Campagne!$C$1:$C$141,$A4))</f>
        <v>1265</v>
      </c>
      <c r="Q4">
        <f>IF($A4="","",_xlfn.SUMIFS(Campagne!$F$1:$F$141,Campagne!$C$1:$C$141,$A4))</f>
        <v>1976</v>
      </c>
      <c r="R4">
        <f>IF($A4="","",_xlfn.SUMIFS(Campagne!$K$1:$K$141,Campagne!$C$1:$C$141,$A4))</f>
        <v>0.463595949</v>
      </c>
      <c r="S4">
        <f>IF($A4="","",_xlfn.SUMIFS(Campagne!$M$1:$M$141,Campagne!$C$1:$C$141,$A4))</f>
        <v>0.308054121</v>
      </c>
      <c r="T4">
        <f>IF($A4="","",_xlfn.SUMIFS(Pilotage!$K$19:$K$32,Pilotage!$A$19:$A$32,$A4)*_xlfn.SUMIFS(Pilotage!$J$19:$J$32,Pilotage!$A$19:$A$32,$A4)*(SUM(Pilotage!$K$19:$K$32)/SUMPRODUCT(Pilotage!$K$19:$K$32,Pilotage!$J$19:$J$32)))</f>
        <v>68291</v>
      </c>
      <c r="U4">
        <f>IF($A4="","",_xlfn.SUMIFS(Pilotage!$K$19:$K$32,Pilotage!$A$19:$A$32,$A4))</f>
        <v>68291</v>
      </c>
      <c r="V4">
        <f>IF($A4="","",IF($B4="V01",Cadrage!$C$23,IF($B4="V02",Cadrage!$D$23,Cadrage!$E$23)))</f>
        <v>0.08</v>
      </c>
      <c r="W4">
        <f>IF($A4="","",IF($B4="V01",Cadrage!$C$24,IF($B4="V02",Cadrage!$D$24,Cadrage!$E$24)))</f>
        <v>0.1</v>
      </c>
      <c r="X4">
        <f>IF($A4="","",IF($B4="V01",Cadrage!$C$25,IF($B4="V02",Cadrage!$D$25,Cadrage!$E$25)))</f>
        <v>0.0029</v>
      </c>
      <c r="Y4">
        <f>IF($A4="","",IF($B4="V01",Cadrage!$C$26,IF($B4="V02",Cadrage!$D$26,Cadrage!$E$26)))</f>
        <v>0.01</v>
      </c>
      <c r="Z4">
        <f>IF($A4="","",IF($B4="V01",Cadrage!$C$27,IF($B4="V02",Cadrage!$D$27,Cadrage!$E$27)))</f>
        <v>0.01</v>
      </c>
      <c r="AA4">
        <f>IF($A4="","",IF($B4="V01",Cadrage!$C$28,IF($B4="V02",Cadrage!$D$28,Cadrage!$E$28)))</f>
        <v>0.005</v>
      </c>
      <c r="AB4">
        <f>IF($A4="","",IF($B4="V01",Cadrage!$C$42,IF($B4="V02",Cadrage!$D$42,Cadrage!$E$42)))</f>
        <v>90</v>
      </c>
      <c r="AC4">
        <f>IF($A4="","",IF($F4="MBWAY",Cadrage!$K$34,IF($F4="ISCOM",Cadrage!$K$35,IF($F4="IPAC",Cadrage!$K$36,IF($F4="PIGIER",Cadrage!$K$37,Cadrage!$K$38)))))</f>
        <v>1.2</v>
      </c>
      <c r="AD4">
        <f t="shared" si="1"/>
        <v>0</v>
      </c>
      <c r="AE4">
        <f t="shared" si="2"/>
        <v>0</v>
      </c>
      <c r="AF4">
        <f t="shared" si="3"/>
        <v>74.380000036</v>
      </c>
      <c r="AG4">
        <f t="shared" si="4"/>
        <v>7867.2832</v>
      </c>
      <c r="AH4">
        <f t="shared" si="5"/>
        <v>585168.524699222</v>
      </c>
    </row>
    <row r="5" ht="14.25" customHeight="1">
      <c r="A5" t="str">
        <f>IF(Moteur!D5="","",Moteur!D5)</f>
        <v>MBWAY_PAR</v>
      </c>
      <c r="B5" t="str">
        <f>IF(Moteur!B5="","",Moteur!B5)</f>
        <v>V01</v>
      </c>
      <c r="C5" t="str">
        <f>IF(Moteur!F5="","",Moteur!F5)</f>
        <v>MAS_MGT</v>
      </c>
      <c r="D5" t="str">
        <f>IF(Moteur!G5="","",Moteur!G5)</f>
        <v>M1</v>
      </c>
      <c r="E5" t="str">
        <f>IF(Moteur!H5="","",Moteur!H5)</f>
        <v>ALT</v>
      </c>
      <c r="F5" t="str">
        <f>IF(Moteur!E5="","",Moteur!E5)</f>
        <v>MBWAY</v>
      </c>
      <c r="G5">
        <f>IF($A5="","",_xlfn.SUMIFS(Socle!$H$1:$H$658,Socle!$C$1:$C$658,$A5,Socle!$D$1:$D$658,$C5,Socle!$E$1:$E$658,$D5,Socle!$F$1:$F$658,$E5,Socle!$G$1:$G$658,"2026"))</f>
        <v>1330</v>
      </c>
      <c r="H5">
        <f>IF($A5="","",_xlfn.SUMIFS(Socle!$N$1:$N$658,Socle!$C$1:$C$658,$A5,Socle!$D$1:$D$658,$C5,Socle!$E$1:$E$658,$D5,Socle!$F$1:$F$658,$E5,Socle!$G$1:$G$658,"2026"))</f>
        <v>0</v>
      </c>
      <c r="I5">
        <f>IF($A5="","",_xlfn.SUMIFS(Socle!$P$1:$P$658,Socle!$C$1:$C$658,$A5,Socle!$D$1:$D$658,$C5,Socle!$E$1:$E$658,$D5,Socle!$F$1:$F$658,$E5,Socle!$G$1:$G$658,"2026"))</f>
        <v>8400</v>
      </c>
      <c r="J5">
        <f>IF($A5="","",_xlfn.SUMIFS(Socle!$W$1:$W$658,Socle!$C$1:$C$658,$A5,Socle!$D$1:$D$658,$C5,Socle!$E$1:$E$658,$D5,Socle!$F$1:$F$658,$E5,Socle!$G$1:$G$658,"2026"))</f>
        <v>0.2</v>
      </c>
      <c r="K5">
        <f>IF($A5="","",_xlfn.SUMIFS(Socle!$X$1:$X$658,Socle!$C$1:$C$658,$A5,Socle!$D$1:$D$658,$C5,Socle!$E$1:$E$658,$D5,Socle!$F$1:$F$658,$E5,Socle!$G$1:$G$658,"2026"))</f>
        <v>0.69924812</v>
      </c>
      <c r="L5">
        <f>IF($A5="","",_xlfn.SUMIFS(Socle!$Y$1:$Y$658,Socle!$C$1:$C$658,$A5,Socle!$D$1:$D$658,$C5,Socle!$E$1:$E$658,$D5,Socle!$F$1:$F$658,$E5,Socle!$G$1:$G$658,"2026"))</f>
        <v>0.419354839</v>
      </c>
      <c r="M5">
        <f>IF($A5="","",_xlfn.SUMIFS(Socle!$V$1:$V$658,Socle!$C$1:$C$658,$A5,Socle!$D$1:$D$658,$C5,Socle!$E$1:$E$658,$D5,Socle!$F$1:$F$658,$E5,Socle!$G$1:$G$658,"2026"))</f>
        <v>0</v>
      </c>
      <c r="N5">
        <f t="shared" si="0"/>
        <v>1</v>
      </c>
      <c r="O5">
        <f>IF($A5="","",_xlfn.SUMIFS(Campagne!$D$1:$D$141,Campagne!$C$1:$C$141,$A5))</f>
        <v>711</v>
      </c>
      <c r="P5">
        <f>IF($A5="","",_xlfn.SUMIFS(Campagne!$E$1:$E$141,Campagne!$C$1:$C$141,$A5))</f>
        <v>1265</v>
      </c>
      <c r="Q5">
        <f>IF($A5="","",_xlfn.SUMIFS(Campagne!$F$1:$F$141,Campagne!$C$1:$C$141,$A5))</f>
        <v>1976</v>
      </c>
      <c r="R5">
        <f>IF($A5="","",_xlfn.SUMIFS(Campagne!$K$1:$K$141,Campagne!$C$1:$C$141,$A5))</f>
        <v>0.463595949</v>
      </c>
      <c r="S5">
        <f>IF($A5="","",_xlfn.SUMIFS(Campagne!$M$1:$M$141,Campagne!$C$1:$C$141,$A5))</f>
        <v>0.308054121</v>
      </c>
      <c r="T5">
        <f>IF($A5="","",_xlfn.SUMIFS(Pilotage!$K$19:$K$32,Pilotage!$A$19:$A$32,$A5)*_xlfn.SUMIFS(Pilotage!$J$19:$J$32,Pilotage!$A$19:$A$32,$A5)*(SUM(Pilotage!$K$19:$K$32)/SUMPRODUCT(Pilotage!$K$19:$K$32,Pilotage!$J$19:$J$32)))</f>
        <v>68291</v>
      </c>
      <c r="U5">
        <f>IF($A5="","",_xlfn.SUMIFS(Pilotage!$K$19:$K$32,Pilotage!$A$19:$A$32,$A5))</f>
        <v>68291</v>
      </c>
      <c r="V5">
        <f>IF($A5="","",IF($B5="V01",Cadrage!$C$23,IF($B5="V02",Cadrage!$D$23,Cadrage!$E$23)))</f>
        <v>0.08</v>
      </c>
      <c r="W5">
        <f>IF($A5="","",IF($B5="V01",Cadrage!$C$24,IF($B5="V02",Cadrage!$D$24,Cadrage!$E$24)))</f>
        <v>0.1</v>
      </c>
      <c r="X5">
        <f>IF($A5="","",IF($B5="V01",Cadrage!$C$25,IF($B5="V02",Cadrage!$D$25,Cadrage!$E$25)))</f>
        <v>0.0029</v>
      </c>
      <c r="Y5">
        <f>IF($A5="","",IF($B5="V01",Cadrage!$C$26,IF($B5="V02",Cadrage!$D$26,Cadrage!$E$26)))</f>
        <v>0.01</v>
      </c>
      <c r="Z5">
        <f>IF($A5="","",IF($B5="V01",Cadrage!$C$27,IF($B5="V02",Cadrage!$D$27,Cadrage!$E$27)))</f>
        <v>0.01</v>
      </c>
      <c r="AA5">
        <f>IF($A5="","",IF($B5="V01",Cadrage!$C$28,IF($B5="V02",Cadrage!$D$28,Cadrage!$E$28)))</f>
        <v>0.005</v>
      </c>
      <c r="AB5">
        <f>IF($A5="","",IF($B5="V01",Cadrage!$C$42,IF($B5="V02",Cadrage!$D$42,Cadrage!$E$42)))</f>
        <v>90</v>
      </c>
      <c r="AC5">
        <f>IF($A5="","",IF($F5="MBWAY",Cadrage!$K$34,IF($F5="ISCOM",Cadrage!$K$35,IF($F5="IPAC",Cadrage!$K$36,IF($F5="PIGIER",Cadrage!$K$37,Cadrage!$K$38)))))</f>
        <v>1.2</v>
      </c>
      <c r="AD5">
        <f t="shared" si="1"/>
        <v>86.7018577567161</v>
      </c>
      <c r="AE5">
        <f t="shared" si="2"/>
        <v>86.7018577567161</v>
      </c>
      <c r="AF5">
        <f t="shared" si="3"/>
        <v>86.7018577567161</v>
      </c>
      <c r="AG5">
        <f t="shared" si="4"/>
        <v>8429.232</v>
      </c>
      <c r="AH5">
        <f t="shared" si="5"/>
        <v>738633.241060464</v>
      </c>
    </row>
    <row r="6" ht="14.25" customHeight="1">
      <c r="A6" t="str">
        <f>IF(Moteur!D6="","",Moteur!D6)</f>
        <v>MBWAY_PAR</v>
      </c>
      <c r="B6" t="str">
        <f>IF(Moteur!B6="","",Moteur!B6)</f>
        <v>V01</v>
      </c>
      <c r="C6" t="str">
        <f>IF(Moteur!F6="","",Moteur!F6)</f>
        <v>MAS_MGT</v>
      </c>
      <c r="D6" t="str">
        <f>IF(Moteur!G6="","",Moteur!G6)</f>
        <v>M2</v>
      </c>
      <c r="E6" t="str">
        <f>IF(Moteur!H6="","",Moteur!H6)</f>
        <v>ALT</v>
      </c>
      <c r="F6" t="str">
        <f>IF(Moteur!E6="","",Moteur!E6)</f>
        <v>MBWAY</v>
      </c>
      <c r="G6">
        <f>IF($A6="","",_xlfn.SUMIFS(Socle!$H$1:$H$658,Socle!$C$1:$C$658,$A6,Socle!$D$1:$D$658,$C6,Socle!$E$1:$E$658,$D6,Socle!$F$1:$F$658,$E6,Socle!$G$1:$G$658,"2026"))</f>
        <v>0</v>
      </c>
      <c r="H6">
        <f>IF($A6="","",_xlfn.SUMIFS(Socle!$N$1:$N$658,Socle!$C$1:$C$658,$A6,Socle!$D$1:$D$658,$C6,Socle!$E$1:$E$658,$D6,Socle!$F$1:$F$658,$E6,Socle!$G$1:$G$658,"2026"))</f>
        <v>78</v>
      </c>
      <c r="I6">
        <f>IF($A6="","",_xlfn.SUMIFS(Socle!$P$1:$P$658,Socle!$C$1:$C$658,$A6,Socle!$D$1:$D$658,$C6,Socle!$E$1:$E$658,$D6,Socle!$F$1:$F$658,$E6,Socle!$G$1:$G$658,"2026"))</f>
        <v>8400</v>
      </c>
      <c r="J6">
        <f>IF($A6="","",_xlfn.SUMIFS(Socle!$W$1:$W$658,Socle!$C$1:$C$658,$A6,Socle!$D$1:$D$658,$C6,Socle!$E$1:$E$658,$D6,Socle!$F$1:$F$658,$E6,Socle!$G$1:$G$658,"2026"))</f>
        <v>0</v>
      </c>
      <c r="K6">
        <f>IF($A6="","",_xlfn.SUMIFS(Socle!$X$1:$X$658,Socle!$C$1:$C$658,$A6,Socle!$D$1:$D$658,$C6,Socle!$E$1:$E$658,$D6,Socle!$F$1:$F$658,$E6,Socle!$G$1:$G$658,"2026"))</f>
        <v>0</v>
      </c>
      <c r="L6">
        <f>IF($A6="","",_xlfn.SUMIFS(Socle!$Y$1:$Y$658,Socle!$C$1:$C$658,$A6,Socle!$D$1:$D$658,$C6,Socle!$E$1:$E$658,$D6,Socle!$F$1:$F$658,$E6,Socle!$G$1:$G$658,"2026"))</f>
        <v>0</v>
      </c>
      <c r="M6">
        <f>IF($A6="","",_xlfn.SUMIFS(Socle!$V$1:$V$658,Socle!$C$1:$C$658,$A6,Socle!$D$1:$D$658,$C6,Socle!$E$1:$E$658,$D6,Socle!$F$1:$F$658,$E6,Socle!$G$1:$G$658,"2026"))</f>
        <v>0.974358974</v>
      </c>
      <c r="N6">
        <f t="shared" si="0"/>
        <v>0</v>
      </c>
      <c r="O6">
        <f>IF($A6="","",_xlfn.SUMIFS(Campagne!$D$1:$D$141,Campagne!$C$1:$C$141,$A6))</f>
        <v>711</v>
      </c>
      <c r="P6">
        <f>IF($A6="","",_xlfn.SUMIFS(Campagne!$E$1:$E$141,Campagne!$C$1:$C$141,$A6))</f>
        <v>1265</v>
      </c>
      <c r="Q6">
        <f>IF($A6="","",_xlfn.SUMIFS(Campagne!$F$1:$F$141,Campagne!$C$1:$C$141,$A6))</f>
        <v>1976</v>
      </c>
      <c r="R6">
        <f>IF($A6="","",_xlfn.SUMIFS(Campagne!$K$1:$K$141,Campagne!$C$1:$C$141,$A6))</f>
        <v>0.463595949</v>
      </c>
      <c r="S6">
        <f>IF($A6="","",_xlfn.SUMIFS(Campagne!$M$1:$M$141,Campagne!$C$1:$C$141,$A6))</f>
        <v>0.308054121</v>
      </c>
      <c r="T6">
        <f>IF($A6="","",_xlfn.SUMIFS(Pilotage!$K$19:$K$32,Pilotage!$A$19:$A$32,$A6)*_xlfn.SUMIFS(Pilotage!$J$19:$J$32,Pilotage!$A$19:$A$32,$A6)*(SUM(Pilotage!$K$19:$K$32)/SUMPRODUCT(Pilotage!$K$19:$K$32,Pilotage!$J$19:$J$32)))</f>
        <v>68291</v>
      </c>
      <c r="U6">
        <f>IF($A6="","",_xlfn.SUMIFS(Pilotage!$K$19:$K$32,Pilotage!$A$19:$A$32,$A6))</f>
        <v>68291</v>
      </c>
      <c r="V6">
        <f>IF($A6="","",IF($B6="V01",Cadrage!$C$23,IF($B6="V02",Cadrage!$D$23,Cadrage!$E$23)))</f>
        <v>0.08</v>
      </c>
      <c r="W6">
        <f>IF($A6="","",IF($B6="V01",Cadrage!$C$24,IF($B6="V02",Cadrage!$D$24,Cadrage!$E$24)))</f>
        <v>0.1</v>
      </c>
      <c r="X6">
        <f>IF($A6="","",IF($B6="V01",Cadrage!$C$25,IF($B6="V02",Cadrage!$D$25,Cadrage!$E$25)))</f>
        <v>0.0029</v>
      </c>
      <c r="Y6">
        <f>IF($A6="","",IF($B6="V01",Cadrage!$C$26,IF($B6="V02",Cadrage!$D$26,Cadrage!$E$26)))</f>
        <v>0.01</v>
      </c>
      <c r="Z6">
        <f>IF($A6="","",IF($B6="V01",Cadrage!$C$27,IF($B6="V02",Cadrage!$D$27,Cadrage!$E$27)))</f>
        <v>0.01</v>
      </c>
      <c r="AA6">
        <f>IF($A6="","",IF($B6="V01",Cadrage!$C$28,IF($B6="V02",Cadrage!$D$28,Cadrage!$E$28)))</f>
        <v>0.005</v>
      </c>
      <c r="AB6">
        <f>IF($A6="","",IF($B6="V01",Cadrage!$C$42,IF($B6="V02",Cadrage!$D$42,Cadrage!$E$42)))</f>
        <v>90</v>
      </c>
      <c r="AC6">
        <f>IF($A6="","",IF($F6="MBWAY",Cadrage!$K$34,IF($F6="ISCOM",Cadrage!$K$35,IF($F6="IPAC",Cadrage!$K$36,IF($F6="PIGIER",Cadrage!$K$37,Cadrage!$K$38)))))</f>
        <v>1.2</v>
      </c>
      <c r="AD6">
        <f t="shared" si="1"/>
        <v>0</v>
      </c>
      <c r="AE6">
        <f t="shared" si="2"/>
        <v>0</v>
      </c>
      <c r="AF6">
        <f t="shared" si="3"/>
        <v>76.389999972</v>
      </c>
      <c r="AG6">
        <f t="shared" si="4"/>
        <v>8429.232</v>
      </c>
      <c r="AH6">
        <f t="shared" si="5"/>
        <v>643909.032243981</v>
      </c>
    </row>
    <row r="7" ht="14.25" customHeight="1">
      <c r="A7" t="str">
        <f>IF(Moteur!D7="","",Moteur!D7)</f>
        <v>MBWAY_LYO</v>
      </c>
      <c r="B7" t="str">
        <f>IF(Moteur!B7="","",Moteur!B7)</f>
        <v>V01</v>
      </c>
      <c r="C7" t="str">
        <f>IF(Moteur!F7="","",Moteur!F7)</f>
        <v>BAC_MGT</v>
      </c>
      <c r="D7" t="str">
        <f>IF(Moteur!G7="","",Moteur!G7)</f>
        <v>B1</v>
      </c>
      <c r="E7" t="str">
        <f>IF(Moteur!H7="","",Moteur!H7)</f>
        <v>INIT</v>
      </c>
      <c r="F7" t="str">
        <f>IF(Moteur!E7="","",Moteur!E7)</f>
        <v>MBWAY</v>
      </c>
      <c r="G7">
        <f>IF($A7="","",_xlfn.SUMIFS(Socle!$H$1:$H$658,Socle!$C$1:$C$658,$A7,Socle!$D$1:$D$658,$C7,Socle!$E$1:$E$658,$D7,Socle!$F$1:$F$658,$E7,Socle!$G$1:$G$658,"2026"))</f>
        <v>546</v>
      </c>
      <c r="H7">
        <f>IF($A7="","",_xlfn.SUMIFS(Socle!$N$1:$N$658,Socle!$C$1:$C$658,$A7,Socle!$D$1:$D$658,$C7,Socle!$E$1:$E$658,$D7,Socle!$F$1:$F$658,$E7,Socle!$G$1:$G$658,"2026"))</f>
        <v>0</v>
      </c>
      <c r="I7">
        <f>IF($A7="","",_xlfn.SUMIFS(Socle!$P$1:$P$658,Socle!$C$1:$C$658,$A7,Socle!$D$1:$D$658,$C7,Socle!$E$1:$E$658,$D7,Socle!$F$1:$F$658,$E7,Socle!$G$1:$G$658,"2026"))</f>
        <v>7875</v>
      </c>
      <c r="J7">
        <f>IF($A7="","",_xlfn.SUMIFS(Socle!$W$1:$W$658,Socle!$C$1:$C$658,$A7,Socle!$D$1:$D$658,$C7,Socle!$E$1:$E$658,$D7,Socle!$F$1:$F$658,$E7,Socle!$G$1:$G$658,"2026"))</f>
        <v>0.28021978</v>
      </c>
      <c r="K7">
        <f>IF($A7="","",_xlfn.SUMIFS(Socle!$X$1:$X$658,Socle!$C$1:$C$658,$A7,Socle!$D$1:$D$658,$C7,Socle!$E$1:$E$658,$D7,Socle!$F$1:$F$658,$E7,Socle!$G$1:$G$658,"2026"))</f>
        <v>0.718954248</v>
      </c>
      <c r="L7">
        <f>IF($A7="","",_xlfn.SUMIFS(Socle!$Y$1:$Y$658,Socle!$C$1:$C$658,$A7,Socle!$D$1:$D$658,$C7,Socle!$E$1:$E$658,$D7,Socle!$F$1:$F$658,$E7,Socle!$G$1:$G$658,"2026"))</f>
        <v>0.6</v>
      </c>
      <c r="M7">
        <f>IF($A7="","",_xlfn.SUMIFS(Socle!$V$1:$V$658,Socle!$C$1:$C$658,$A7,Socle!$D$1:$D$658,$C7,Socle!$E$1:$E$658,$D7,Socle!$F$1:$F$658,$E7,Socle!$G$1:$G$658,"2026"))</f>
        <v>0</v>
      </c>
      <c r="N7">
        <f t="shared" si="0"/>
        <v>1</v>
      </c>
      <c r="O7">
        <f>IF($A7="","",_xlfn.SUMIFS(Campagne!$D$1:$D$141,Campagne!$C$1:$C$141,$A7))</f>
        <v>716</v>
      </c>
      <c r="P7">
        <f>IF($A7="","",_xlfn.SUMIFS(Campagne!$E$1:$E$141,Campagne!$C$1:$C$141,$A7))</f>
        <v>950</v>
      </c>
      <c r="Q7">
        <f>IF($A7="","",_xlfn.SUMIFS(Campagne!$F$1:$F$141,Campagne!$C$1:$C$141,$A7))</f>
        <v>1666</v>
      </c>
      <c r="R7">
        <f>IF($A7="","",_xlfn.SUMIFS(Campagne!$K$1:$K$141,Campagne!$C$1:$C$141,$A7))</f>
        <v>0.503912411</v>
      </c>
      <c r="S7">
        <f>IF($A7="","",_xlfn.SUMIFS(Campagne!$M$1:$M$141,Campagne!$C$1:$C$141,$A7))</f>
        <v>0.326593761</v>
      </c>
      <c r="T7">
        <f>IF($A7="","",_xlfn.SUMIFS(Pilotage!$K$19:$K$32,Pilotage!$A$19:$A$32,$A7)*_xlfn.SUMIFS(Pilotage!$J$19:$J$32,Pilotage!$A$19:$A$32,$A7)*(SUM(Pilotage!$K$19:$K$32)/SUMPRODUCT(Pilotage!$K$19:$K$32,Pilotage!$J$19:$J$32)))</f>
        <v>41783</v>
      </c>
      <c r="U7">
        <f>IF($A7="","",_xlfn.SUMIFS(Pilotage!$K$19:$K$32,Pilotage!$A$19:$A$32,$A7))</f>
        <v>41783</v>
      </c>
      <c r="V7">
        <f>IF($A7="","",IF($B7="V01",Cadrage!$C$23,IF($B7="V02",Cadrage!$D$23,Cadrage!$E$23)))</f>
        <v>0.08</v>
      </c>
      <c r="W7">
        <f>IF($A7="","",IF($B7="V01",Cadrage!$C$24,IF($B7="V02",Cadrage!$D$24,Cadrage!$E$24)))</f>
        <v>0.1</v>
      </c>
      <c r="X7">
        <f>IF($A7="","",IF($B7="V01",Cadrage!$C$25,IF($B7="V02",Cadrage!$D$25,Cadrage!$E$25)))</f>
        <v>0.0029</v>
      </c>
      <c r="Y7">
        <f>IF($A7="","",IF($B7="V01",Cadrage!$C$26,IF($B7="V02",Cadrage!$D$26,Cadrage!$E$26)))</f>
        <v>0.01</v>
      </c>
      <c r="Z7">
        <f>IF($A7="","",IF($B7="V01",Cadrage!$C$27,IF($B7="V02",Cadrage!$D$27,Cadrage!$E$27)))</f>
        <v>0.01</v>
      </c>
      <c r="AA7">
        <f>IF($A7="","",IF($B7="V01",Cadrage!$C$28,IF($B7="V02",Cadrage!$D$28,Cadrage!$E$28)))</f>
        <v>0.005</v>
      </c>
      <c r="AB7">
        <f>IF($A7="","",IF($B7="V01",Cadrage!$C$42,IF($B7="V02",Cadrage!$D$42,Cadrage!$E$42)))</f>
        <v>90</v>
      </c>
      <c r="AC7">
        <f>IF($A7="","",IF($F7="MBWAY",Cadrage!$K$34,IF($F7="ISCOM",Cadrage!$K$35,IF($F7="IPAC",Cadrage!$K$36,IF($F7="PIGIER",Cadrage!$K$37,Cadrage!$K$38)))))</f>
        <v>1.2</v>
      </c>
      <c r="AD7">
        <f t="shared" si="1"/>
        <v>72.0058725792696</v>
      </c>
      <c r="AE7">
        <f t="shared" si="2"/>
        <v>72.0058725792696</v>
      </c>
      <c r="AF7">
        <f t="shared" si="3"/>
        <v>72.0058725792696</v>
      </c>
      <c r="AG7">
        <f t="shared" si="4"/>
        <v>7902.405</v>
      </c>
      <c r="AH7">
        <f t="shared" si="5"/>
        <v>575500.096031917</v>
      </c>
    </row>
    <row r="8" ht="14.25" customHeight="1">
      <c r="A8" t="str">
        <f>IF(Moteur!D8="","",Moteur!D8)</f>
        <v>MBWAY_LYO</v>
      </c>
      <c r="B8" t="str">
        <f>IF(Moteur!B8="","",Moteur!B8)</f>
        <v>V01</v>
      </c>
      <c r="C8" t="str">
        <f>IF(Moteur!F8="","",Moteur!F8)</f>
        <v>BAC_MGT</v>
      </c>
      <c r="D8" t="str">
        <f>IF(Moteur!G8="","",Moteur!G8)</f>
        <v>B2</v>
      </c>
      <c r="E8" t="str">
        <f>IF(Moteur!H8="","",Moteur!H8)</f>
        <v>ALT</v>
      </c>
      <c r="F8" t="str">
        <f>IF(Moteur!E8="","",Moteur!E8)</f>
        <v>MBWAY</v>
      </c>
      <c r="G8">
        <f>IF($A8="","",_xlfn.SUMIFS(Socle!$H$1:$H$658,Socle!$C$1:$C$658,$A8,Socle!$D$1:$D$658,$C8,Socle!$E$1:$E$658,$D8,Socle!$F$1:$F$658,$E8,Socle!$G$1:$G$658,"2026"))</f>
        <v>0</v>
      </c>
      <c r="H8">
        <f>IF($A8="","",_xlfn.SUMIFS(Socle!$N$1:$N$658,Socle!$C$1:$C$658,$A8,Socle!$D$1:$D$658,$C8,Socle!$E$1:$E$658,$D8,Socle!$F$1:$F$658,$E8,Socle!$G$1:$G$658,"2026"))</f>
        <v>66</v>
      </c>
      <c r="I8">
        <f>IF($A8="","",_xlfn.SUMIFS(Socle!$P$1:$P$658,Socle!$C$1:$C$658,$A8,Socle!$D$1:$D$658,$C8,Socle!$E$1:$E$658,$D8,Socle!$F$1:$F$658,$E8,Socle!$G$1:$G$658,"2026"))</f>
        <v>7350</v>
      </c>
      <c r="J8">
        <f>IF($A8="","",_xlfn.SUMIFS(Socle!$W$1:$W$658,Socle!$C$1:$C$658,$A8,Socle!$D$1:$D$658,$C8,Socle!$E$1:$E$658,$D8,Socle!$F$1:$F$658,$E8,Socle!$G$1:$G$658,"2026"))</f>
        <v>0</v>
      </c>
      <c r="K8">
        <f>IF($A8="","",_xlfn.SUMIFS(Socle!$X$1:$X$658,Socle!$C$1:$C$658,$A8,Socle!$D$1:$D$658,$C8,Socle!$E$1:$E$658,$D8,Socle!$F$1:$F$658,$E8,Socle!$G$1:$G$658,"2026"))</f>
        <v>0</v>
      </c>
      <c r="L8">
        <f>IF($A8="","",_xlfn.SUMIFS(Socle!$Y$1:$Y$658,Socle!$C$1:$C$658,$A8,Socle!$D$1:$D$658,$C8,Socle!$E$1:$E$658,$D8,Socle!$F$1:$F$658,$E8,Socle!$G$1:$G$658,"2026"))</f>
        <v>0</v>
      </c>
      <c r="M8">
        <f>IF($A8="","",_xlfn.SUMIFS(Socle!$V$1:$V$658,Socle!$C$1:$C$658,$A8,Socle!$D$1:$D$658,$C8,Socle!$E$1:$E$658,$D8,Socle!$F$1:$F$658,$E8,Socle!$G$1:$G$658,"2026"))</f>
        <v>0.96969697</v>
      </c>
      <c r="N8">
        <f t="shared" si="0"/>
        <v>0</v>
      </c>
      <c r="O8">
        <f>IF($A8="","",_xlfn.SUMIFS(Campagne!$D$1:$D$141,Campagne!$C$1:$C$141,$A8))</f>
        <v>716</v>
      </c>
      <c r="P8">
        <f>IF($A8="","",_xlfn.SUMIFS(Campagne!$E$1:$E$141,Campagne!$C$1:$C$141,$A8))</f>
        <v>950</v>
      </c>
      <c r="Q8">
        <f>IF($A8="","",_xlfn.SUMIFS(Campagne!$F$1:$F$141,Campagne!$C$1:$C$141,$A8))</f>
        <v>1666</v>
      </c>
      <c r="R8">
        <f>IF($A8="","",_xlfn.SUMIFS(Campagne!$K$1:$K$141,Campagne!$C$1:$C$141,$A8))</f>
        <v>0.503912411</v>
      </c>
      <c r="S8">
        <f>IF($A8="","",_xlfn.SUMIFS(Campagne!$M$1:$M$141,Campagne!$C$1:$C$141,$A8))</f>
        <v>0.326593761</v>
      </c>
      <c r="T8">
        <f>IF($A8="","",_xlfn.SUMIFS(Pilotage!$K$19:$K$32,Pilotage!$A$19:$A$32,$A8)*_xlfn.SUMIFS(Pilotage!$J$19:$J$32,Pilotage!$A$19:$A$32,$A8)*(SUM(Pilotage!$K$19:$K$32)/SUMPRODUCT(Pilotage!$K$19:$K$32,Pilotage!$J$19:$J$32)))</f>
        <v>41783</v>
      </c>
      <c r="U8">
        <f>IF($A8="","",_xlfn.SUMIFS(Pilotage!$K$19:$K$32,Pilotage!$A$19:$A$32,$A8))</f>
        <v>41783</v>
      </c>
      <c r="V8">
        <f>IF($A8="","",IF($B8="V01",Cadrage!$C$23,IF($B8="V02",Cadrage!$D$23,Cadrage!$E$23)))</f>
        <v>0.08</v>
      </c>
      <c r="W8">
        <f>IF($A8="","",IF($B8="V01",Cadrage!$C$24,IF($B8="V02",Cadrage!$D$24,Cadrage!$E$24)))</f>
        <v>0.1</v>
      </c>
      <c r="X8">
        <f>IF($A8="","",IF($B8="V01",Cadrage!$C$25,IF($B8="V02",Cadrage!$D$25,Cadrage!$E$25)))</f>
        <v>0.0029</v>
      </c>
      <c r="Y8">
        <f>IF($A8="","",IF($B8="V01",Cadrage!$C$26,IF($B8="V02",Cadrage!$D$26,Cadrage!$E$26)))</f>
        <v>0.01</v>
      </c>
      <c r="Z8">
        <f>IF($A8="","",IF($B8="V01",Cadrage!$C$27,IF($B8="V02",Cadrage!$D$27,Cadrage!$E$27)))</f>
        <v>0.01</v>
      </c>
      <c r="AA8">
        <f>IF($A8="","",IF($B8="V01",Cadrage!$C$28,IF($B8="V02",Cadrage!$D$28,Cadrage!$E$28)))</f>
        <v>0.005</v>
      </c>
      <c r="AB8">
        <f>IF($A8="","",IF($B8="V01",Cadrage!$C$42,IF($B8="V02",Cadrage!$D$42,Cadrage!$E$42)))</f>
        <v>90</v>
      </c>
      <c r="AC8">
        <f>IF($A8="","",IF($F8="MBWAY",Cadrage!$K$34,IF($F8="ISCOM",Cadrage!$K$35,IF($F8="IPAC",Cadrage!$K$36,IF($F8="PIGIER",Cadrage!$K$37,Cadrage!$K$38)))))</f>
        <v>1.2</v>
      </c>
      <c r="AD8">
        <f t="shared" si="1"/>
        <v>0</v>
      </c>
      <c r="AE8">
        <f t="shared" si="2"/>
        <v>0</v>
      </c>
      <c r="AF8">
        <f t="shared" si="3"/>
        <v>64.33000002</v>
      </c>
      <c r="AG8">
        <f t="shared" si="4"/>
        <v>7375.578</v>
      </c>
      <c r="AH8">
        <f t="shared" si="5"/>
        <v>474470.932887512</v>
      </c>
    </row>
    <row r="9" ht="14.25" customHeight="1">
      <c r="A9" t="str">
        <f>IF(Moteur!D9="","",Moteur!D9)</f>
        <v>MBWAY_LYO</v>
      </c>
      <c r="B9" t="str">
        <f>IF(Moteur!B9="","",Moteur!B9)</f>
        <v>V01</v>
      </c>
      <c r="C9" t="str">
        <f>IF(Moteur!F9="","",Moteur!F9)</f>
        <v>BAC_MGT</v>
      </c>
      <c r="D9" t="str">
        <f>IF(Moteur!G9="","",Moteur!G9)</f>
        <v>B3</v>
      </c>
      <c r="E9" t="str">
        <f>IF(Moteur!H9="","",Moteur!H9)</f>
        <v>ALT</v>
      </c>
      <c r="F9" t="str">
        <f>IF(Moteur!E9="","",Moteur!E9)</f>
        <v>MBWAY</v>
      </c>
      <c r="G9">
        <f>IF($A9="","",_xlfn.SUMIFS(Socle!$H$1:$H$658,Socle!$C$1:$C$658,$A9,Socle!$D$1:$D$658,$C9,Socle!$E$1:$E$658,$D9,Socle!$F$1:$F$658,$E9,Socle!$G$1:$G$658,"2026"))</f>
        <v>0</v>
      </c>
      <c r="H9">
        <f>IF($A9="","",_xlfn.SUMIFS(Socle!$N$1:$N$658,Socle!$C$1:$C$658,$A9,Socle!$D$1:$D$658,$C9,Socle!$E$1:$E$658,$D9,Socle!$F$1:$F$658,$E9,Socle!$G$1:$G$658,"2026"))</f>
        <v>64</v>
      </c>
      <c r="I9">
        <f>IF($A9="","",_xlfn.SUMIFS(Socle!$P$1:$P$658,Socle!$C$1:$C$658,$A9,Socle!$D$1:$D$658,$C9,Socle!$E$1:$E$658,$D9,Socle!$F$1:$F$658,$E9,Socle!$G$1:$G$658,"2026"))</f>
        <v>7350</v>
      </c>
      <c r="J9">
        <f>IF($A9="","",_xlfn.SUMIFS(Socle!$W$1:$W$658,Socle!$C$1:$C$658,$A9,Socle!$D$1:$D$658,$C9,Socle!$E$1:$E$658,$D9,Socle!$F$1:$F$658,$E9,Socle!$G$1:$G$658,"2026"))</f>
        <v>0</v>
      </c>
      <c r="K9">
        <f>IF($A9="","",_xlfn.SUMIFS(Socle!$X$1:$X$658,Socle!$C$1:$C$658,$A9,Socle!$D$1:$D$658,$C9,Socle!$E$1:$E$658,$D9,Socle!$F$1:$F$658,$E9,Socle!$G$1:$G$658,"2026"))</f>
        <v>0</v>
      </c>
      <c r="L9">
        <f>IF($A9="","",_xlfn.SUMIFS(Socle!$Y$1:$Y$658,Socle!$C$1:$C$658,$A9,Socle!$D$1:$D$658,$C9,Socle!$E$1:$E$658,$D9,Socle!$F$1:$F$658,$E9,Socle!$G$1:$G$658,"2026"))</f>
        <v>0</v>
      </c>
      <c r="M9">
        <f>IF($A9="","",_xlfn.SUMIFS(Socle!$V$1:$V$658,Socle!$C$1:$C$658,$A9,Socle!$D$1:$D$658,$C9,Socle!$E$1:$E$658,$D9,Socle!$F$1:$F$658,$E9,Socle!$G$1:$G$658,"2026"))</f>
        <v>0.984375</v>
      </c>
      <c r="N9">
        <f t="shared" si="0"/>
        <v>0</v>
      </c>
      <c r="O9">
        <f>IF($A9="","",_xlfn.SUMIFS(Campagne!$D$1:$D$141,Campagne!$C$1:$C$141,$A9))</f>
        <v>716</v>
      </c>
      <c r="P9">
        <f>IF($A9="","",_xlfn.SUMIFS(Campagne!$E$1:$E$141,Campagne!$C$1:$C$141,$A9))</f>
        <v>950</v>
      </c>
      <c r="Q9">
        <f>IF($A9="","",_xlfn.SUMIFS(Campagne!$F$1:$F$141,Campagne!$C$1:$C$141,$A9))</f>
        <v>1666</v>
      </c>
      <c r="R9">
        <f>IF($A9="","",_xlfn.SUMIFS(Campagne!$K$1:$K$141,Campagne!$C$1:$C$141,$A9))</f>
        <v>0.503912411</v>
      </c>
      <c r="S9">
        <f>IF($A9="","",_xlfn.SUMIFS(Campagne!$M$1:$M$141,Campagne!$C$1:$C$141,$A9))</f>
        <v>0.326593761</v>
      </c>
      <c r="T9">
        <f>IF($A9="","",_xlfn.SUMIFS(Pilotage!$K$19:$K$32,Pilotage!$A$19:$A$32,$A9)*_xlfn.SUMIFS(Pilotage!$J$19:$J$32,Pilotage!$A$19:$A$32,$A9)*(SUM(Pilotage!$K$19:$K$32)/SUMPRODUCT(Pilotage!$K$19:$K$32,Pilotage!$J$19:$J$32)))</f>
        <v>41783</v>
      </c>
      <c r="U9">
        <f>IF($A9="","",_xlfn.SUMIFS(Pilotage!$K$19:$K$32,Pilotage!$A$19:$A$32,$A9))</f>
        <v>41783</v>
      </c>
      <c r="V9">
        <f>IF($A9="","",IF($B9="V01",Cadrage!$C$23,IF($B9="V02",Cadrage!$D$23,Cadrage!$E$23)))</f>
        <v>0.08</v>
      </c>
      <c r="W9">
        <f>IF($A9="","",IF($B9="V01",Cadrage!$C$24,IF($B9="V02",Cadrage!$D$24,Cadrage!$E$24)))</f>
        <v>0.1</v>
      </c>
      <c r="X9">
        <f>IF($A9="","",IF($B9="V01",Cadrage!$C$25,IF($B9="V02",Cadrage!$D$25,Cadrage!$E$25)))</f>
        <v>0.0029</v>
      </c>
      <c r="Y9">
        <f>IF($A9="","",IF($B9="V01",Cadrage!$C$26,IF($B9="V02",Cadrage!$D$26,Cadrage!$E$26)))</f>
        <v>0.01</v>
      </c>
      <c r="Z9">
        <f>IF($A9="","",IF($B9="V01",Cadrage!$C$27,IF($B9="V02",Cadrage!$D$27,Cadrage!$E$27)))</f>
        <v>0.01</v>
      </c>
      <c r="AA9">
        <f>IF($A9="","",IF($B9="V01",Cadrage!$C$28,IF($B9="V02",Cadrage!$D$28,Cadrage!$E$28)))</f>
        <v>0.005</v>
      </c>
      <c r="AB9">
        <f>IF($A9="","",IF($B9="V01",Cadrage!$C$42,IF($B9="V02",Cadrage!$D$42,Cadrage!$E$42)))</f>
        <v>90</v>
      </c>
      <c r="AC9">
        <f>IF($A9="","",IF($F9="MBWAY",Cadrage!$K$34,IF($F9="ISCOM",Cadrage!$K$35,IF($F9="IPAC",Cadrage!$K$36,IF($F9="PIGIER",Cadrage!$K$37,Cadrage!$K$38)))))</f>
        <v>1.2</v>
      </c>
      <c r="AD9">
        <f t="shared" si="1"/>
        <v>0</v>
      </c>
      <c r="AE9">
        <f t="shared" si="2"/>
        <v>0</v>
      </c>
      <c r="AF9">
        <f t="shared" si="3"/>
        <v>63.32</v>
      </c>
      <c r="AG9">
        <f t="shared" si="4"/>
        <v>7375.578</v>
      </c>
      <c r="AH9">
        <f t="shared" si="5"/>
        <v>467021.59896</v>
      </c>
    </row>
    <row r="10" ht="14.25" customHeight="1">
      <c r="A10" t="str">
        <f>IF(Moteur!D10="","",Moteur!D10)</f>
        <v>MBWAY_LYO</v>
      </c>
      <c r="B10" t="str">
        <f>IF(Moteur!B10="","",Moteur!B10)</f>
        <v>V01</v>
      </c>
      <c r="C10" t="str">
        <f>IF(Moteur!F10="","",Moteur!F10)</f>
        <v>MAS_MGT</v>
      </c>
      <c r="D10" t="str">
        <f>IF(Moteur!G10="","",Moteur!G10)</f>
        <v>M1</v>
      </c>
      <c r="E10" t="str">
        <f>IF(Moteur!H10="","",Moteur!H10)</f>
        <v>ALT</v>
      </c>
      <c r="F10" t="str">
        <f>IF(Moteur!E10="","",Moteur!E10)</f>
        <v>MBWAY</v>
      </c>
      <c r="G10">
        <f>IF($A10="","",_xlfn.SUMIFS(Socle!$H$1:$H$658,Socle!$C$1:$C$658,$A10,Socle!$D$1:$D$658,$C10,Socle!$E$1:$E$658,$D10,Socle!$F$1:$F$658,$E10,Socle!$G$1:$G$658,"2026"))</f>
        <v>1120</v>
      </c>
      <c r="H10">
        <f>IF($A10="","",_xlfn.SUMIFS(Socle!$N$1:$N$658,Socle!$C$1:$C$658,$A10,Socle!$D$1:$D$658,$C10,Socle!$E$1:$E$658,$D10,Socle!$F$1:$F$658,$E10,Socle!$G$1:$G$658,"2026"))</f>
        <v>0</v>
      </c>
      <c r="I10">
        <f>IF($A10="","",_xlfn.SUMIFS(Socle!$P$1:$P$658,Socle!$C$1:$C$658,$A10,Socle!$D$1:$D$658,$C10,Socle!$E$1:$E$658,$D10,Socle!$F$1:$F$658,$E10,Socle!$G$1:$G$658,"2026"))</f>
        <v>7875</v>
      </c>
      <c r="J10">
        <f>IF($A10="","",_xlfn.SUMIFS(Socle!$W$1:$W$658,Socle!$C$1:$C$658,$A10,Socle!$D$1:$D$658,$C10,Socle!$E$1:$E$658,$D10,Socle!$F$1:$F$658,$E10,Socle!$G$1:$G$658,"2026"))</f>
        <v>0.2</v>
      </c>
      <c r="K10">
        <f>IF($A10="","",_xlfn.SUMIFS(Socle!$X$1:$X$658,Socle!$C$1:$C$658,$A10,Socle!$D$1:$D$658,$C10,Socle!$E$1:$E$658,$D10,Socle!$F$1:$F$658,$E10,Socle!$G$1:$G$658,"2026"))</f>
        <v>0.700892857</v>
      </c>
      <c r="L10">
        <f>IF($A10="","",_xlfn.SUMIFS(Socle!$Y$1:$Y$658,Socle!$C$1:$C$658,$A10,Socle!$D$1:$D$658,$C10,Socle!$E$1:$E$658,$D10,Socle!$F$1:$F$658,$E10,Socle!$G$1:$G$658,"2026"))</f>
        <v>0.420382166</v>
      </c>
      <c r="M10">
        <f>IF($A10="","",_xlfn.SUMIFS(Socle!$V$1:$V$658,Socle!$C$1:$C$658,$A10,Socle!$D$1:$D$658,$C10,Socle!$E$1:$E$658,$D10,Socle!$F$1:$F$658,$E10,Socle!$G$1:$G$658,"2026"))</f>
        <v>0</v>
      </c>
      <c r="N10">
        <f t="shared" si="0"/>
        <v>1</v>
      </c>
      <c r="O10">
        <f>IF($A10="","",_xlfn.SUMIFS(Campagne!$D$1:$D$141,Campagne!$C$1:$C$141,$A10))</f>
        <v>716</v>
      </c>
      <c r="P10">
        <f>IF($A10="","",_xlfn.SUMIFS(Campagne!$E$1:$E$141,Campagne!$C$1:$C$141,$A10))</f>
        <v>950</v>
      </c>
      <c r="Q10">
        <f>IF($A10="","",_xlfn.SUMIFS(Campagne!$F$1:$F$141,Campagne!$C$1:$C$141,$A10))</f>
        <v>1666</v>
      </c>
      <c r="R10">
        <f>IF($A10="","",_xlfn.SUMIFS(Campagne!$K$1:$K$141,Campagne!$C$1:$C$141,$A10))</f>
        <v>0.503912411</v>
      </c>
      <c r="S10">
        <f>IF($A10="","",_xlfn.SUMIFS(Campagne!$M$1:$M$141,Campagne!$C$1:$C$141,$A10))</f>
        <v>0.326593761</v>
      </c>
      <c r="T10">
        <f>IF($A10="","",_xlfn.SUMIFS(Pilotage!$K$19:$K$32,Pilotage!$A$19:$A$32,$A10)*_xlfn.SUMIFS(Pilotage!$J$19:$J$32,Pilotage!$A$19:$A$32,$A10)*(SUM(Pilotage!$K$19:$K$32)/SUMPRODUCT(Pilotage!$K$19:$K$32,Pilotage!$J$19:$J$32)))</f>
        <v>41783</v>
      </c>
      <c r="U10">
        <f>IF($A10="","",_xlfn.SUMIFS(Pilotage!$K$19:$K$32,Pilotage!$A$19:$A$32,$A10))</f>
        <v>41783</v>
      </c>
      <c r="V10">
        <f>IF($A10="","",IF($B10="V01",Cadrage!$C$23,IF($B10="V02",Cadrage!$D$23,Cadrage!$E$23)))</f>
        <v>0.08</v>
      </c>
      <c r="W10">
        <f>IF($A10="","",IF($B10="V01",Cadrage!$C$24,IF($B10="V02",Cadrage!$D$24,Cadrage!$E$24)))</f>
        <v>0.1</v>
      </c>
      <c r="X10">
        <f>IF($A10="","",IF($B10="V01",Cadrage!$C$25,IF($B10="V02",Cadrage!$D$25,Cadrage!$E$25)))</f>
        <v>0.0029</v>
      </c>
      <c r="Y10">
        <f>IF($A10="","",IF($B10="V01",Cadrage!$C$26,IF($B10="V02",Cadrage!$D$26,Cadrage!$E$26)))</f>
        <v>0.01</v>
      </c>
      <c r="Z10">
        <f>IF($A10="","",IF($B10="V01",Cadrage!$C$27,IF($B10="V02",Cadrage!$D$27,Cadrage!$E$27)))</f>
        <v>0.01</v>
      </c>
      <c r="AA10">
        <f>IF($A10="","",IF($B10="V01",Cadrage!$C$28,IF($B10="V02",Cadrage!$D$28,Cadrage!$E$28)))</f>
        <v>0.005</v>
      </c>
      <c r="AB10">
        <f>IF($A10="","",IF($B10="V01",Cadrage!$C$42,IF($B10="V02",Cadrage!$D$42,Cadrage!$E$42)))</f>
        <v>90</v>
      </c>
      <c r="AC10">
        <f>IF($A10="","",IF($F10="MBWAY",Cadrage!$K$34,IF($F10="ISCOM",Cadrage!$K$35,IF($F10="IPAC",Cadrage!$K$36,IF($F10="PIGIER",Cadrage!$K$37,Cadrage!$K$38)))))</f>
        <v>1.2</v>
      </c>
      <c r="AD10">
        <f t="shared" si="1"/>
        <v>73.5123651117554</v>
      </c>
      <c r="AE10">
        <f t="shared" si="2"/>
        <v>73.5123651117554</v>
      </c>
      <c r="AF10">
        <f t="shared" si="3"/>
        <v>73.5123651117554</v>
      </c>
      <c r="AG10">
        <f t="shared" si="4"/>
        <v>7902.405</v>
      </c>
      <c r="AH10">
        <f t="shared" si="5"/>
        <v>587540.594481019</v>
      </c>
    </row>
    <row r="11" ht="14.25" customHeight="1">
      <c r="A11" t="str">
        <f>IF(Moteur!D11="","",Moteur!D11)</f>
        <v>MBWAY_LYO</v>
      </c>
      <c r="B11" t="str">
        <f>IF(Moteur!B11="","",Moteur!B11)</f>
        <v>V01</v>
      </c>
      <c r="C11" t="str">
        <f>IF(Moteur!F11="","",Moteur!F11)</f>
        <v>MAS_MGT</v>
      </c>
      <c r="D11" t="str">
        <f>IF(Moteur!G11="","",Moteur!G11)</f>
        <v>M2</v>
      </c>
      <c r="E11" t="str">
        <f>IF(Moteur!H11="","",Moteur!H11)</f>
        <v>ALT</v>
      </c>
      <c r="F11" t="str">
        <f>IF(Moteur!E11="","",Moteur!E11)</f>
        <v>MBWAY</v>
      </c>
      <c r="G11">
        <f>IF($A11="","",_xlfn.SUMIFS(Socle!$H$1:$H$658,Socle!$C$1:$C$658,$A11,Socle!$D$1:$D$658,$C11,Socle!$E$1:$E$658,$D11,Socle!$F$1:$F$658,$E11,Socle!$G$1:$G$658,"2026"))</f>
        <v>0</v>
      </c>
      <c r="H11">
        <f>IF($A11="","",_xlfn.SUMIFS(Socle!$N$1:$N$658,Socle!$C$1:$C$658,$A11,Socle!$D$1:$D$658,$C11,Socle!$E$1:$E$658,$D11,Socle!$F$1:$F$658,$E11,Socle!$G$1:$G$658,"2026"))</f>
        <v>66</v>
      </c>
      <c r="I11">
        <f>IF($A11="","",_xlfn.SUMIFS(Socle!$P$1:$P$658,Socle!$C$1:$C$658,$A11,Socle!$D$1:$D$658,$C11,Socle!$E$1:$E$658,$D11,Socle!$F$1:$F$658,$E11,Socle!$G$1:$G$658,"2026"))</f>
        <v>7875</v>
      </c>
      <c r="J11">
        <f>IF($A11="","",_xlfn.SUMIFS(Socle!$W$1:$W$658,Socle!$C$1:$C$658,$A11,Socle!$D$1:$D$658,$C11,Socle!$E$1:$E$658,$D11,Socle!$F$1:$F$658,$E11,Socle!$G$1:$G$658,"2026"))</f>
        <v>0</v>
      </c>
      <c r="K11">
        <f>IF($A11="","",_xlfn.SUMIFS(Socle!$X$1:$X$658,Socle!$C$1:$C$658,$A11,Socle!$D$1:$D$658,$C11,Socle!$E$1:$E$658,$D11,Socle!$F$1:$F$658,$E11,Socle!$G$1:$G$658,"2026"))</f>
        <v>0</v>
      </c>
      <c r="L11">
        <f>IF($A11="","",_xlfn.SUMIFS(Socle!$Y$1:$Y$658,Socle!$C$1:$C$658,$A11,Socle!$D$1:$D$658,$C11,Socle!$E$1:$E$658,$D11,Socle!$F$1:$F$658,$E11,Socle!$G$1:$G$658,"2026"))</f>
        <v>0</v>
      </c>
      <c r="M11">
        <f>IF($A11="","",_xlfn.SUMIFS(Socle!$V$1:$V$658,Socle!$C$1:$C$658,$A11,Socle!$D$1:$D$658,$C11,Socle!$E$1:$E$658,$D11,Socle!$F$1:$F$658,$E11,Socle!$G$1:$G$658,"2026"))</f>
        <v>0.984848485</v>
      </c>
      <c r="N11">
        <f t="shared" si="0"/>
        <v>0</v>
      </c>
      <c r="O11">
        <f>IF($A11="","",_xlfn.SUMIFS(Campagne!$D$1:$D$141,Campagne!$C$1:$C$141,$A11))</f>
        <v>716</v>
      </c>
      <c r="P11">
        <f>IF($A11="","",_xlfn.SUMIFS(Campagne!$E$1:$E$141,Campagne!$C$1:$C$141,$A11))</f>
        <v>950</v>
      </c>
      <c r="Q11">
        <f>IF($A11="","",_xlfn.SUMIFS(Campagne!$F$1:$F$141,Campagne!$C$1:$C$141,$A11))</f>
        <v>1666</v>
      </c>
      <c r="R11">
        <f>IF($A11="","",_xlfn.SUMIFS(Campagne!$K$1:$K$141,Campagne!$C$1:$C$141,$A11))</f>
        <v>0.503912411</v>
      </c>
      <c r="S11">
        <f>IF($A11="","",_xlfn.SUMIFS(Campagne!$M$1:$M$141,Campagne!$C$1:$C$141,$A11))</f>
        <v>0.326593761</v>
      </c>
      <c r="T11">
        <f>IF($A11="","",_xlfn.SUMIFS(Pilotage!$K$19:$K$32,Pilotage!$A$19:$A$32,$A11)*_xlfn.SUMIFS(Pilotage!$J$19:$J$32,Pilotage!$A$19:$A$32,$A11)*(SUM(Pilotage!$K$19:$K$32)/SUMPRODUCT(Pilotage!$K$19:$K$32,Pilotage!$J$19:$J$32)))</f>
        <v>41783</v>
      </c>
      <c r="U11">
        <f>IF($A11="","",_xlfn.SUMIFS(Pilotage!$K$19:$K$32,Pilotage!$A$19:$A$32,$A11))</f>
        <v>41783</v>
      </c>
      <c r="V11">
        <f>IF($A11="","",IF($B11="V01",Cadrage!$C$23,IF($B11="V02",Cadrage!$D$23,Cadrage!$E$23)))</f>
        <v>0.08</v>
      </c>
      <c r="W11">
        <f>IF($A11="","",IF($B11="V01",Cadrage!$C$24,IF($B11="V02",Cadrage!$D$24,Cadrage!$E$24)))</f>
        <v>0.1</v>
      </c>
      <c r="X11">
        <f>IF($A11="","",IF($B11="V01",Cadrage!$C$25,IF($B11="V02",Cadrage!$D$25,Cadrage!$E$25)))</f>
        <v>0.0029</v>
      </c>
      <c r="Y11">
        <f>IF($A11="","",IF($B11="V01",Cadrage!$C$26,IF($B11="V02",Cadrage!$D$26,Cadrage!$E$26)))</f>
        <v>0.01</v>
      </c>
      <c r="Z11">
        <f>IF($A11="","",IF($B11="V01",Cadrage!$C$27,IF($B11="V02",Cadrage!$D$27,Cadrage!$E$27)))</f>
        <v>0.01</v>
      </c>
      <c r="AA11">
        <f>IF($A11="","",IF($B11="V01",Cadrage!$C$28,IF($B11="V02",Cadrage!$D$28,Cadrage!$E$28)))</f>
        <v>0.005</v>
      </c>
      <c r="AB11">
        <f>IF($A11="","",IF($B11="V01",Cadrage!$C$42,IF($B11="V02",Cadrage!$D$42,Cadrage!$E$42)))</f>
        <v>90</v>
      </c>
      <c r="AC11">
        <f>IF($A11="","",IF($F11="MBWAY",Cadrage!$K$34,IF($F11="ISCOM",Cadrage!$K$35,IF($F11="IPAC",Cadrage!$K$36,IF($F11="PIGIER",Cadrage!$K$37,Cadrage!$K$38)))))</f>
        <v>1.2</v>
      </c>
      <c r="AD11">
        <f t="shared" si="1"/>
        <v>0</v>
      </c>
      <c r="AE11">
        <f t="shared" si="2"/>
        <v>0</v>
      </c>
      <c r="AF11">
        <f t="shared" si="3"/>
        <v>65.33000001</v>
      </c>
      <c r="AG11">
        <f t="shared" si="4"/>
        <v>7902.405</v>
      </c>
      <c r="AH11">
        <f t="shared" si="5"/>
        <v>516264.118729024</v>
      </c>
    </row>
    <row r="12" ht="14.25" customHeight="1">
      <c r="A12" t="str">
        <f>IF(Moteur!D12="","",Moteur!D12)</f>
        <v>MBWAY_NAN</v>
      </c>
      <c r="B12" t="str">
        <f>IF(Moteur!B12="","",Moteur!B12)</f>
        <v>V01</v>
      </c>
      <c r="C12" t="str">
        <f>IF(Moteur!F12="","",Moteur!F12)</f>
        <v>BAC_MGT</v>
      </c>
      <c r="D12" t="str">
        <f>IF(Moteur!G12="","",Moteur!G12)</f>
        <v>B1</v>
      </c>
      <c r="E12" t="str">
        <f>IF(Moteur!H12="","",Moteur!H12)</f>
        <v>INIT</v>
      </c>
      <c r="F12" t="str">
        <f>IF(Moteur!E12="","",Moteur!E12)</f>
        <v>MBWAY</v>
      </c>
      <c r="G12">
        <f>IF($A12="","",_xlfn.SUMIFS(Socle!$H$1:$H$658,Socle!$C$1:$C$658,$A12,Socle!$D$1:$D$658,$C12,Socle!$E$1:$E$658,$D12,Socle!$F$1:$F$658,$E12,Socle!$G$1:$G$658,"2026"))</f>
        <v>496</v>
      </c>
      <c r="H12">
        <f>IF($A12="","",_xlfn.SUMIFS(Socle!$N$1:$N$658,Socle!$C$1:$C$658,$A12,Socle!$D$1:$D$658,$C12,Socle!$E$1:$E$658,$D12,Socle!$F$1:$F$658,$E12,Socle!$G$1:$G$658,"2026"))</f>
        <v>0</v>
      </c>
      <c r="I12">
        <f>IF($A12="","",_xlfn.SUMIFS(Socle!$P$1:$P$658,Socle!$C$1:$C$658,$A12,Socle!$D$1:$D$658,$C12,Socle!$E$1:$E$658,$D12,Socle!$F$1:$F$658,$E12,Socle!$G$1:$G$658,"2026"))</f>
        <v>7500</v>
      </c>
      <c r="J12">
        <f>IF($A12="","",_xlfn.SUMIFS(Socle!$W$1:$W$658,Socle!$C$1:$C$658,$A12,Socle!$D$1:$D$658,$C12,Socle!$E$1:$E$658,$D12,Socle!$F$1:$F$658,$E12,Socle!$G$1:$G$658,"2026"))</f>
        <v>0.280241935</v>
      </c>
      <c r="K12">
        <f>IF($A12="","",_xlfn.SUMIFS(Socle!$X$1:$X$658,Socle!$C$1:$C$658,$A12,Socle!$D$1:$D$658,$C12,Socle!$E$1:$E$658,$D12,Socle!$F$1:$F$658,$E12,Socle!$G$1:$G$658,"2026"))</f>
        <v>0.71942446</v>
      </c>
      <c r="L12">
        <f>IF($A12="","",_xlfn.SUMIFS(Socle!$Y$1:$Y$658,Socle!$C$1:$C$658,$A12,Socle!$D$1:$D$658,$C12,Socle!$E$1:$E$658,$D12,Socle!$F$1:$F$658,$E12,Socle!$G$1:$G$658,"2026"))</f>
        <v>0.6</v>
      </c>
      <c r="M12">
        <f>IF($A12="","",_xlfn.SUMIFS(Socle!$V$1:$V$658,Socle!$C$1:$C$658,$A12,Socle!$D$1:$D$658,$C12,Socle!$E$1:$E$658,$D12,Socle!$F$1:$F$658,$E12,Socle!$G$1:$G$658,"2026"))</f>
        <v>0</v>
      </c>
      <c r="N12">
        <f t="shared" si="0"/>
        <v>1</v>
      </c>
      <c r="O12">
        <f>IF($A12="","",_xlfn.SUMIFS(Campagne!$D$1:$D$141,Campagne!$C$1:$C$141,$A12))</f>
        <v>728</v>
      </c>
      <c r="P12">
        <f>IF($A12="","",_xlfn.SUMIFS(Campagne!$E$1:$E$141,Campagne!$C$1:$C$141,$A12))</f>
        <v>788</v>
      </c>
      <c r="Q12">
        <f>IF($A12="","",_xlfn.SUMIFS(Campagne!$F$1:$F$141,Campagne!$C$1:$C$141,$A12))</f>
        <v>1516</v>
      </c>
      <c r="R12">
        <f>IF($A12="","",_xlfn.SUMIFS(Campagne!$K$1:$K$141,Campagne!$C$1:$C$141,$A12))</f>
        <v>0.524655642</v>
      </c>
      <c r="S12">
        <f>IF($A12="","",_xlfn.SUMIFS(Campagne!$M$1:$M$141,Campagne!$C$1:$C$141,$A12))</f>
        <v>0.343450594</v>
      </c>
      <c r="T12">
        <f>IF($A12="","",_xlfn.SUMIFS(Pilotage!$K$19:$K$32,Pilotage!$A$19:$A$32,$A12)*_xlfn.SUMIFS(Pilotage!$J$19:$J$32,Pilotage!$A$19:$A$32,$A12)*(SUM(Pilotage!$K$19:$K$32)/SUMPRODUCT(Pilotage!$K$19:$K$32,Pilotage!$J$19:$J$32)))</f>
        <v>31533</v>
      </c>
      <c r="U12">
        <f>IF($A12="","",_xlfn.SUMIFS(Pilotage!$K$19:$K$32,Pilotage!$A$19:$A$32,$A12))</f>
        <v>31533</v>
      </c>
      <c r="V12">
        <f>IF($A12="","",IF($B12="V01",Cadrage!$C$23,IF($B12="V02",Cadrage!$D$23,Cadrage!$E$23)))</f>
        <v>0.08</v>
      </c>
      <c r="W12">
        <f>IF($A12="","",IF($B12="V01",Cadrage!$C$24,IF($B12="V02",Cadrage!$D$24,Cadrage!$E$24)))</f>
        <v>0.1</v>
      </c>
      <c r="X12">
        <f>IF($A12="","",IF($B12="V01",Cadrage!$C$25,IF($B12="V02",Cadrage!$D$25,Cadrage!$E$25)))</f>
        <v>0.0029</v>
      </c>
      <c r="Y12">
        <f>IF($A12="","",IF($B12="V01",Cadrage!$C$26,IF($B12="V02",Cadrage!$D$26,Cadrage!$E$26)))</f>
        <v>0.01</v>
      </c>
      <c r="Z12">
        <f>IF($A12="","",IF($B12="V01",Cadrage!$C$27,IF($B12="V02",Cadrage!$D$27,Cadrage!$E$27)))</f>
        <v>0.01</v>
      </c>
      <c r="AA12">
        <f>IF($A12="","",IF($B12="V01",Cadrage!$C$28,IF($B12="V02",Cadrage!$D$28,Cadrage!$E$28)))</f>
        <v>0.005</v>
      </c>
      <c r="AB12">
        <f>IF($A12="","",IF($B12="V01",Cadrage!$C$42,IF($B12="V02",Cadrage!$D$42,Cadrage!$E$42)))</f>
        <v>90</v>
      </c>
      <c r="AC12">
        <f>IF($A12="","",IF($F12="MBWAY",Cadrage!$K$34,IF($F12="ISCOM",Cadrage!$K$35,IF($F12="IPAC",Cadrage!$K$36,IF($F12="PIGIER",Cadrage!$K$37,Cadrage!$K$38)))))</f>
        <v>1.2</v>
      </c>
      <c r="AD12">
        <f t="shared" si="1"/>
        <v>65.5393125968495</v>
      </c>
      <c r="AE12">
        <f t="shared" si="2"/>
        <v>65.5393125968495</v>
      </c>
      <c r="AF12">
        <f t="shared" si="3"/>
        <v>65.5393125968495</v>
      </c>
      <c r="AG12">
        <f t="shared" si="4"/>
        <v>7526.1</v>
      </c>
      <c r="AH12">
        <f t="shared" si="5"/>
        <v>499153.958668865</v>
      </c>
    </row>
    <row r="13" ht="14.25" customHeight="1">
      <c r="A13" t="str">
        <f>IF(Moteur!D13="","",Moteur!D13)</f>
        <v>MBWAY_NAN</v>
      </c>
      <c r="B13" t="str">
        <f>IF(Moteur!B13="","",Moteur!B13)</f>
        <v>V01</v>
      </c>
      <c r="C13" t="str">
        <f>IF(Moteur!F13="","",Moteur!F13)</f>
        <v>BAC_MGT</v>
      </c>
      <c r="D13" t="str">
        <f>IF(Moteur!G13="","",Moteur!G13)</f>
        <v>B2</v>
      </c>
      <c r="E13" t="str">
        <f>IF(Moteur!H13="","",Moteur!H13)</f>
        <v>ALT</v>
      </c>
      <c r="F13" t="str">
        <f>IF(Moteur!E13="","",Moteur!E13)</f>
        <v>MBWAY</v>
      </c>
      <c r="G13">
        <f>IF($A13="","",_xlfn.SUMIFS(Socle!$H$1:$H$658,Socle!$C$1:$C$658,$A13,Socle!$D$1:$D$658,$C13,Socle!$E$1:$E$658,$D13,Socle!$F$1:$F$658,$E13,Socle!$G$1:$G$658,"2026"))</f>
        <v>0</v>
      </c>
      <c r="H13">
        <f>IF($A13="","",_xlfn.SUMIFS(Socle!$N$1:$N$658,Socle!$C$1:$C$658,$A13,Socle!$D$1:$D$658,$C13,Socle!$E$1:$E$658,$D13,Socle!$F$1:$F$658,$E13,Socle!$G$1:$G$658,"2026"))</f>
        <v>60</v>
      </c>
      <c r="I13">
        <f>IF($A13="","",_xlfn.SUMIFS(Socle!$P$1:$P$658,Socle!$C$1:$C$658,$A13,Socle!$D$1:$D$658,$C13,Socle!$E$1:$E$658,$D13,Socle!$F$1:$F$658,$E13,Socle!$G$1:$G$658,"2026"))</f>
        <v>7000</v>
      </c>
      <c r="J13">
        <f>IF($A13="","",_xlfn.SUMIFS(Socle!$W$1:$W$658,Socle!$C$1:$C$658,$A13,Socle!$D$1:$D$658,$C13,Socle!$E$1:$E$658,$D13,Socle!$F$1:$F$658,$E13,Socle!$G$1:$G$658,"2026"))</f>
        <v>0</v>
      </c>
      <c r="K13">
        <f>IF($A13="","",_xlfn.SUMIFS(Socle!$X$1:$X$658,Socle!$C$1:$C$658,$A13,Socle!$D$1:$D$658,$C13,Socle!$E$1:$E$658,$D13,Socle!$F$1:$F$658,$E13,Socle!$G$1:$G$658,"2026"))</f>
        <v>0</v>
      </c>
      <c r="L13">
        <f>IF($A13="","",_xlfn.SUMIFS(Socle!$Y$1:$Y$658,Socle!$C$1:$C$658,$A13,Socle!$D$1:$D$658,$C13,Socle!$E$1:$E$658,$D13,Socle!$F$1:$F$658,$E13,Socle!$G$1:$G$658,"2026"))</f>
        <v>0</v>
      </c>
      <c r="M13">
        <f>IF($A13="","",_xlfn.SUMIFS(Socle!$V$1:$V$658,Socle!$C$1:$C$658,$A13,Socle!$D$1:$D$658,$C13,Socle!$E$1:$E$658,$D13,Socle!$F$1:$F$658,$E13,Socle!$G$1:$G$658,"2026"))</f>
        <v>0.966666667</v>
      </c>
      <c r="N13">
        <f t="shared" si="0"/>
        <v>0</v>
      </c>
      <c r="O13">
        <f>IF($A13="","",_xlfn.SUMIFS(Campagne!$D$1:$D$141,Campagne!$C$1:$C$141,$A13))</f>
        <v>728</v>
      </c>
      <c r="P13">
        <f>IF($A13="","",_xlfn.SUMIFS(Campagne!$E$1:$E$141,Campagne!$C$1:$C$141,$A13))</f>
        <v>788</v>
      </c>
      <c r="Q13">
        <f>IF($A13="","",_xlfn.SUMIFS(Campagne!$F$1:$F$141,Campagne!$C$1:$C$141,$A13))</f>
        <v>1516</v>
      </c>
      <c r="R13">
        <f>IF($A13="","",_xlfn.SUMIFS(Campagne!$K$1:$K$141,Campagne!$C$1:$C$141,$A13))</f>
        <v>0.524655642</v>
      </c>
      <c r="S13">
        <f>IF($A13="","",_xlfn.SUMIFS(Campagne!$M$1:$M$141,Campagne!$C$1:$C$141,$A13))</f>
        <v>0.343450594</v>
      </c>
      <c r="T13">
        <f>IF($A13="","",_xlfn.SUMIFS(Pilotage!$K$19:$K$32,Pilotage!$A$19:$A$32,$A13)*_xlfn.SUMIFS(Pilotage!$J$19:$J$32,Pilotage!$A$19:$A$32,$A13)*(SUM(Pilotage!$K$19:$K$32)/SUMPRODUCT(Pilotage!$K$19:$K$32,Pilotage!$J$19:$J$32)))</f>
        <v>31533</v>
      </c>
      <c r="U13">
        <f>IF($A13="","",_xlfn.SUMIFS(Pilotage!$K$19:$K$32,Pilotage!$A$19:$A$32,$A13))</f>
        <v>31533</v>
      </c>
      <c r="V13">
        <f>IF($A13="","",IF($B13="V01",Cadrage!$C$23,IF($B13="V02",Cadrage!$D$23,Cadrage!$E$23)))</f>
        <v>0.08</v>
      </c>
      <c r="W13">
        <f>IF($A13="","",IF($B13="V01",Cadrage!$C$24,IF($B13="V02",Cadrage!$D$24,Cadrage!$E$24)))</f>
        <v>0.1</v>
      </c>
      <c r="X13">
        <f>IF($A13="","",IF($B13="V01",Cadrage!$C$25,IF($B13="V02",Cadrage!$D$25,Cadrage!$E$25)))</f>
        <v>0.0029</v>
      </c>
      <c r="Y13">
        <f>IF($A13="","",IF($B13="V01",Cadrage!$C$26,IF($B13="V02",Cadrage!$D$26,Cadrage!$E$26)))</f>
        <v>0.01</v>
      </c>
      <c r="Z13">
        <f>IF($A13="","",IF($B13="V01",Cadrage!$C$27,IF($B13="V02",Cadrage!$D$27,Cadrage!$E$27)))</f>
        <v>0.01</v>
      </c>
      <c r="AA13">
        <f>IF($A13="","",IF($B13="V01",Cadrage!$C$28,IF($B13="V02",Cadrage!$D$28,Cadrage!$E$28)))</f>
        <v>0.005</v>
      </c>
      <c r="AB13">
        <f>IF($A13="","",IF($B13="V01",Cadrage!$C$42,IF($B13="V02",Cadrage!$D$42,Cadrage!$E$42)))</f>
        <v>90</v>
      </c>
      <c r="AC13">
        <f>IF($A13="","",IF($F13="MBWAY",Cadrage!$K$34,IF($F13="ISCOM",Cadrage!$K$35,IF($F13="IPAC",Cadrage!$K$36,IF($F13="PIGIER",Cadrage!$K$37,Cadrage!$K$38)))))</f>
        <v>1.2</v>
      </c>
      <c r="AD13">
        <f t="shared" si="1"/>
        <v>0</v>
      </c>
      <c r="AE13">
        <f t="shared" si="2"/>
        <v>0</v>
      </c>
      <c r="AF13">
        <f t="shared" si="3"/>
        <v>58.30000002</v>
      </c>
      <c r="AG13">
        <f t="shared" si="4"/>
        <v>7024.36</v>
      </c>
      <c r="AH13">
        <f t="shared" si="5"/>
        <v>409520.188140487</v>
      </c>
    </row>
    <row r="14" ht="14.25" customHeight="1">
      <c r="A14" t="str">
        <f>IF(Moteur!D14="","",Moteur!D14)</f>
        <v>MBWAY_NAN</v>
      </c>
      <c r="B14" t="str">
        <f>IF(Moteur!B14="","",Moteur!B14)</f>
        <v>V01</v>
      </c>
      <c r="C14" t="str">
        <f>IF(Moteur!F14="","",Moteur!F14)</f>
        <v>BAC_MGT</v>
      </c>
      <c r="D14" t="str">
        <f>IF(Moteur!G14="","",Moteur!G14)</f>
        <v>B3</v>
      </c>
      <c r="E14" t="str">
        <f>IF(Moteur!H14="","",Moteur!H14)</f>
        <v>ALT</v>
      </c>
      <c r="F14" t="str">
        <f>IF(Moteur!E14="","",Moteur!E14)</f>
        <v>MBWAY</v>
      </c>
      <c r="G14">
        <f>IF($A14="","",_xlfn.SUMIFS(Socle!$H$1:$H$658,Socle!$C$1:$C$658,$A14,Socle!$D$1:$D$658,$C14,Socle!$E$1:$E$658,$D14,Socle!$F$1:$F$658,$E14,Socle!$G$1:$G$658,"2026"))</f>
        <v>0</v>
      </c>
      <c r="H14">
        <f>IF($A14="","",_xlfn.SUMIFS(Socle!$N$1:$N$658,Socle!$C$1:$C$658,$A14,Socle!$D$1:$D$658,$C14,Socle!$E$1:$E$658,$D14,Socle!$F$1:$F$658,$E14,Socle!$G$1:$G$658,"2026"))</f>
        <v>58</v>
      </c>
      <c r="I14">
        <f>IF($A14="","",_xlfn.SUMIFS(Socle!$P$1:$P$658,Socle!$C$1:$C$658,$A14,Socle!$D$1:$D$658,$C14,Socle!$E$1:$E$658,$D14,Socle!$F$1:$F$658,$E14,Socle!$G$1:$G$658,"2026"))</f>
        <v>7000</v>
      </c>
      <c r="J14">
        <f>IF($A14="","",_xlfn.SUMIFS(Socle!$W$1:$W$658,Socle!$C$1:$C$658,$A14,Socle!$D$1:$D$658,$C14,Socle!$E$1:$E$658,$D14,Socle!$F$1:$F$658,$E14,Socle!$G$1:$G$658,"2026"))</f>
        <v>0</v>
      </c>
      <c r="K14">
        <f>IF($A14="","",_xlfn.SUMIFS(Socle!$X$1:$X$658,Socle!$C$1:$C$658,$A14,Socle!$D$1:$D$658,$C14,Socle!$E$1:$E$658,$D14,Socle!$F$1:$F$658,$E14,Socle!$G$1:$G$658,"2026"))</f>
        <v>0</v>
      </c>
      <c r="L14">
        <f>IF($A14="","",_xlfn.SUMIFS(Socle!$Y$1:$Y$658,Socle!$C$1:$C$658,$A14,Socle!$D$1:$D$658,$C14,Socle!$E$1:$E$658,$D14,Socle!$F$1:$F$658,$E14,Socle!$G$1:$G$658,"2026"))</f>
        <v>0</v>
      </c>
      <c r="M14">
        <f>IF($A14="","",_xlfn.SUMIFS(Socle!$V$1:$V$658,Socle!$C$1:$C$658,$A14,Socle!$D$1:$D$658,$C14,Socle!$E$1:$E$658,$D14,Socle!$F$1:$F$658,$E14,Socle!$G$1:$G$658,"2026"))</f>
        <v>0.982758621</v>
      </c>
      <c r="N14">
        <f t="shared" si="0"/>
        <v>0</v>
      </c>
      <c r="O14">
        <f>IF($A14="","",_xlfn.SUMIFS(Campagne!$D$1:$D$141,Campagne!$C$1:$C$141,$A14))</f>
        <v>728</v>
      </c>
      <c r="P14">
        <f>IF($A14="","",_xlfn.SUMIFS(Campagne!$E$1:$E$141,Campagne!$C$1:$C$141,$A14))</f>
        <v>788</v>
      </c>
      <c r="Q14">
        <f>IF($A14="","",_xlfn.SUMIFS(Campagne!$F$1:$F$141,Campagne!$C$1:$C$141,$A14))</f>
        <v>1516</v>
      </c>
      <c r="R14">
        <f>IF($A14="","",_xlfn.SUMIFS(Campagne!$K$1:$K$141,Campagne!$C$1:$C$141,$A14))</f>
        <v>0.524655642</v>
      </c>
      <c r="S14">
        <f>IF($A14="","",_xlfn.SUMIFS(Campagne!$M$1:$M$141,Campagne!$C$1:$C$141,$A14))</f>
        <v>0.343450594</v>
      </c>
      <c r="T14">
        <f>IF($A14="","",_xlfn.SUMIFS(Pilotage!$K$19:$K$32,Pilotage!$A$19:$A$32,$A14)*_xlfn.SUMIFS(Pilotage!$J$19:$J$32,Pilotage!$A$19:$A$32,$A14)*(SUM(Pilotage!$K$19:$K$32)/SUMPRODUCT(Pilotage!$K$19:$K$32,Pilotage!$J$19:$J$32)))</f>
        <v>31533</v>
      </c>
      <c r="U14">
        <f>IF($A14="","",_xlfn.SUMIFS(Pilotage!$K$19:$K$32,Pilotage!$A$19:$A$32,$A14))</f>
        <v>31533</v>
      </c>
      <c r="V14">
        <f>IF($A14="","",IF($B14="V01",Cadrage!$C$23,IF($B14="V02",Cadrage!$D$23,Cadrage!$E$23)))</f>
        <v>0.08</v>
      </c>
      <c r="W14">
        <f>IF($A14="","",IF($B14="V01",Cadrage!$C$24,IF($B14="V02",Cadrage!$D$24,Cadrage!$E$24)))</f>
        <v>0.1</v>
      </c>
      <c r="X14">
        <f>IF($A14="","",IF($B14="V01",Cadrage!$C$25,IF($B14="V02",Cadrage!$D$25,Cadrage!$E$25)))</f>
        <v>0.0029</v>
      </c>
      <c r="Y14">
        <f>IF($A14="","",IF($B14="V01",Cadrage!$C$26,IF($B14="V02",Cadrage!$D$26,Cadrage!$E$26)))</f>
        <v>0.01</v>
      </c>
      <c r="Z14">
        <f>IF($A14="","",IF($B14="V01",Cadrage!$C$27,IF($B14="V02",Cadrage!$D$27,Cadrage!$E$27)))</f>
        <v>0.01</v>
      </c>
      <c r="AA14">
        <f>IF($A14="","",IF($B14="V01",Cadrage!$C$28,IF($B14="V02",Cadrage!$D$28,Cadrage!$E$28)))</f>
        <v>0.005</v>
      </c>
      <c r="AB14">
        <f>IF($A14="","",IF($B14="V01",Cadrage!$C$42,IF($B14="V02",Cadrage!$D$42,Cadrage!$E$42)))</f>
        <v>90</v>
      </c>
      <c r="AC14">
        <f>IF($A14="","",IF($F14="MBWAY",Cadrage!$K$34,IF($F14="ISCOM",Cadrage!$K$35,IF($F14="IPAC",Cadrage!$K$36,IF($F14="PIGIER",Cadrage!$K$37,Cadrage!$K$38)))))</f>
        <v>1.2</v>
      </c>
      <c r="AD14">
        <f t="shared" si="1"/>
        <v>0</v>
      </c>
      <c r="AE14">
        <f t="shared" si="2"/>
        <v>0</v>
      </c>
      <c r="AF14">
        <f t="shared" si="3"/>
        <v>57.290000018</v>
      </c>
      <c r="AG14">
        <f t="shared" si="4"/>
        <v>7024.36</v>
      </c>
      <c r="AH14">
        <f t="shared" si="5"/>
        <v>402425.584526438</v>
      </c>
    </row>
    <row r="15" ht="14.25" customHeight="1">
      <c r="A15" t="str">
        <f>IF(Moteur!D15="","",Moteur!D15)</f>
        <v>MBWAY_NAN</v>
      </c>
      <c r="B15" t="str">
        <f>IF(Moteur!B15="","",Moteur!B15)</f>
        <v>V01</v>
      </c>
      <c r="C15" t="str">
        <f>IF(Moteur!F15="","",Moteur!F15)</f>
        <v>MAS_MGT</v>
      </c>
      <c r="D15" t="str">
        <f>IF(Moteur!G15="","",Moteur!G15)</f>
        <v>M1</v>
      </c>
      <c r="E15" t="str">
        <f>IF(Moteur!H15="","",Moteur!H15)</f>
        <v>ALT</v>
      </c>
      <c r="F15" t="str">
        <f>IF(Moteur!E15="","",Moteur!E15)</f>
        <v>MBWAY</v>
      </c>
      <c r="G15">
        <f>IF($A15="","",_xlfn.SUMIFS(Socle!$H$1:$H$658,Socle!$C$1:$C$658,$A15,Socle!$D$1:$D$658,$C15,Socle!$E$1:$E$658,$D15,Socle!$F$1:$F$658,$E15,Socle!$G$1:$G$658,"2026"))</f>
        <v>1020</v>
      </c>
      <c r="H15">
        <f>IF($A15="","",_xlfn.SUMIFS(Socle!$N$1:$N$658,Socle!$C$1:$C$658,$A15,Socle!$D$1:$D$658,$C15,Socle!$E$1:$E$658,$D15,Socle!$F$1:$F$658,$E15,Socle!$G$1:$G$658,"2026"))</f>
        <v>0</v>
      </c>
      <c r="I15">
        <f>IF($A15="","",_xlfn.SUMIFS(Socle!$P$1:$P$658,Socle!$C$1:$C$658,$A15,Socle!$D$1:$D$658,$C15,Socle!$E$1:$E$658,$D15,Socle!$F$1:$F$658,$E15,Socle!$G$1:$G$658,"2026"))</f>
        <v>7500</v>
      </c>
      <c r="J15">
        <f>IF($A15="","",_xlfn.SUMIFS(Socle!$W$1:$W$658,Socle!$C$1:$C$658,$A15,Socle!$D$1:$D$658,$C15,Socle!$E$1:$E$658,$D15,Socle!$F$1:$F$658,$E15,Socle!$G$1:$G$658,"2026"))</f>
        <v>0.2</v>
      </c>
      <c r="K15">
        <f>IF($A15="","",_xlfn.SUMIFS(Socle!$X$1:$X$658,Socle!$C$1:$C$658,$A15,Socle!$D$1:$D$658,$C15,Socle!$E$1:$E$658,$D15,Socle!$F$1:$F$658,$E15,Socle!$G$1:$G$658,"2026"))</f>
        <v>0.700980392</v>
      </c>
      <c r="L15">
        <f>IF($A15="","",_xlfn.SUMIFS(Socle!$Y$1:$Y$658,Socle!$C$1:$C$658,$A15,Socle!$D$1:$D$658,$C15,Socle!$E$1:$E$658,$D15,Socle!$F$1:$F$658,$E15,Socle!$G$1:$G$658,"2026"))</f>
        <v>0.41958042</v>
      </c>
      <c r="M15">
        <f>IF($A15="","",_xlfn.SUMIFS(Socle!$V$1:$V$658,Socle!$C$1:$C$658,$A15,Socle!$D$1:$D$658,$C15,Socle!$E$1:$E$658,$D15,Socle!$F$1:$F$658,$E15,Socle!$G$1:$G$658,"2026"))</f>
        <v>0</v>
      </c>
      <c r="N15">
        <f t="shared" si="0"/>
        <v>1</v>
      </c>
      <c r="O15">
        <f>IF($A15="","",_xlfn.SUMIFS(Campagne!$D$1:$D$141,Campagne!$C$1:$C$141,$A15))</f>
        <v>728</v>
      </c>
      <c r="P15">
        <f>IF($A15="","",_xlfn.SUMIFS(Campagne!$E$1:$E$141,Campagne!$C$1:$C$141,$A15))</f>
        <v>788</v>
      </c>
      <c r="Q15">
        <f>IF($A15="","",_xlfn.SUMIFS(Campagne!$F$1:$F$141,Campagne!$C$1:$C$141,$A15))</f>
        <v>1516</v>
      </c>
      <c r="R15">
        <f>IF($A15="","",_xlfn.SUMIFS(Campagne!$K$1:$K$141,Campagne!$C$1:$C$141,$A15))</f>
        <v>0.524655642</v>
      </c>
      <c r="S15">
        <f>IF($A15="","",_xlfn.SUMIFS(Campagne!$M$1:$M$141,Campagne!$C$1:$C$141,$A15))</f>
        <v>0.343450594</v>
      </c>
      <c r="T15">
        <f>IF($A15="","",_xlfn.SUMIFS(Pilotage!$K$19:$K$32,Pilotage!$A$19:$A$32,$A15)*_xlfn.SUMIFS(Pilotage!$J$19:$J$32,Pilotage!$A$19:$A$32,$A15)*(SUM(Pilotage!$K$19:$K$32)/SUMPRODUCT(Pilotage!$K$19:$K$32,Pilotage!$J$19:$J$32)))</f>
        <v>31533</v>
      </c>
      <c r="U15">
        <f>IF($A15="","",_xlfn.SUMIFS(Pilotage!$K$19:$K$32,Pilotage!$A$19:$A$32,$A15))</f>
        <v>31533</v>
      </c>
      <c r="V15">
        <f>IF($A15="","",IF($B15="V01",Cadrage!$C$23,IF($B15="V02",Cadrage!$D$23,Cadrage!$E$23)))</f>
        <v>0.08</v>
      </c>
      <c r="W15">
        <f>IF($A15="","",IF($B15="V01",Cadrage!$C$24,IF($B15="V02",Cadrage!$D$24,Cadrage!$E$24)))</f>
        <v>0.1</v>
      </c>
      <c r="X15">
        <f>IF($A15="","",IF($B15="V01",Cadrage!$C$25,IF($B15="V02",Cadrage!$D$25,Cadrage!$E$25)))</f>
        <v>0.0029</v>
      </c>
      <c r="Y15">
        <f>IF($A15="","",IF($B15="V01",Cadrage!$C$26,IF($B15="V02",Cadrage!$D$26,Cadrage!$E$26)))</f>
        <v>0.01</v>
      </c>
      <c r="Z15">
        <f>IF($A15="","",IF($B15="V01",Cadrage!$C$27,IF($B15="V02",Cadrage!$D$27,Cadrage!$E$27)))</f>
        <v>0.01</v>
      </c>
      <c r="AA15">
        <f>IF($A15="","",IF($B15="V01",Cadrage!$C$28,IF($B15="V02",Cadrage!$D$28,Cadrage!$E$28)))</f>
        <v>0.005</v>
      </c>
      <c r="AB15">
        <f>IF($A15="","",IF($B15="V01",Cadrage!$C$42,IF($B15="V02",Cadrage!$D$42,Cadrage!$E$42)))</f>
        <v>90</v>
      </c>
      <c r="AC15">
        <f>IF($A15="","",IF($F15="MBWAY",Cadrage!$K$34,IF($F15="ISCOM",Cadrage!$K$35,IF($F15="IPAC",Cadrage!$K$36,IF($F15="PIGIER",Cadrage!$K$37,Cadrage!$K$38)))))</f>
        <v>1.2</v>
      </c>
      <c r="AD15">
        <f t="shared" si="1"/>
        <v>66.9136661149438</v>
      </c>
      <c r="AE15">
        <f t="shared" si="2"/>
        <v>66.9136661149438</v>
      </c>
      <c r="AF15">
        <f t="shared" si="3"/>
        <v>66.9136661149438</v>
      </c>
      <c r="AG15">
        <f t="shared" si="4"/>
        <v>7526.1</v>
      </c>
      <c r="AH15">
        <f t="shared" si="5"/>
        <v>509621.172498023</v>
      </c>
    </row>
    <row r="16" ht="14.25" customHeight="1">
      <c r="A16" t="str">
        <f>IF(Moteur!D16="","",Moteur!D16)</f>
        <v>MBWAY_NAN</v>
      </c>
      <c r="B16" t="str">
        <f>IF(Moteur!B16="","",Moteur!B16)</f>
        <v>V01</v>
      </c>
      <c r="C16" t="str">
        <f>IF(Moteur!F16="","",Moteur!F16)</f>
        <v>MAS_MGT</v>
      </c>
      <c r="D16" t="str">
        <f>IF(Moteur!G16="","",Moteur!G16)</f>
        <v>M2</v>
      </c>
      <c r="E16" t="str">
        <f>IF(Moteur!H16="","",Moteur!H16)</f>
        <v>ALT</v>
      </c>
      <c r="F16" t="str">
        <f>IF(Moteur!E16="","",Moteur!E16)</f>
        <v>MBWAY</v>
      </c>
      <c r="G16">
        <f>IF($A16="","",_xlfn.SUMIFS(Socle!$H$1:$H$658,Socle!$C$1:$C$658,$A16,Socle!$D$1:$D$658,$C16,Socle!$E$1:$E$658,$D16,Socle!$F$1:$F$658,$E16,Socle!$G$1:$G$658,"2026"))</f>
        <v>0</v>
      </c>
      <c r="H16">
        <f>IF($A16="","",_xlfn.SUMIFS(Socle!$N$1:$N$658,Socle!$C$1:$C$658,$A16,Socle!$D$1:$D$658,$C16,Socle!$E$1:$E$658,$D16,Socle!$F$1:$F$658,$E16,Socle!$G$1:$G$658,"2026"))</f>
        <v>60</v>
      </c>
      <c r="I16">
        <f>IF($A16="","",_xlfn.SUMIFS(Socle!$P$1:$P$658,Socle!$C$1:$C$658,$A16,Socle!$D$1:$D$658,$C16,Socle!$E$1:$E$658,$D16,Socle!$F$1:$F$658,$E16,Socle!$G$1:$G$658,"2026"))</f>
        <v>7500</v>
      </c>
      <c r="J16">
        <f>IF($A16="","",_xlfn.SUMIFS(Socle!$W$1:$W$658,Socle!$C$1:$C$658,$A16,Socle!$D$1:$D$658,$C16,Socle!$E$1:$E$658,$D16,Socle!$F$1:$F$658,$E16,Socle!$G$1:$G$658,"2026"))</f>
        <v>0</v>
      </c>
      <c r="K16">
        <f>IF($A16="","",_xlfn.SUMIFS(Socle!$X$1:$X$658,Socle!$C$1:$C$658,$A16,Socle!$D$1:$D$658,$C16,Socle!$E$1:$E$658,$D16,Socle!$F$1:$F$658,$E16,Socle!$G$1:$G$658,"2026"))</f>
        <v>0</v>
      </c>
      <c r="L16">
        <f>IF($A16="","",_xlfn.SUMIFS(Socle!$Y$1:$Y$658,Socle!$C$1:$C$658,$A16,Socle!$D$1:$D$658,$C16,Socle!$E$1:$E$658,$D16,Socle!$F$1:$F$658,$E16,Socle!$G$1:$G$658,"2026"))</f>
        <v>0</v>
      </c>
      <c r="M16">
        <f>IF($A16="","",_xlfn.SUMIFS(Socle!$V$1:$V$658,Socle!$C$1:$C$658,$A16,Socle!$D$1:$D$658,$C16,Socle!$E$1:$E$658,$D16,Socle!$F$1:$F$658,$E16,Socle!$G$1:$G$658,"2026"))</f>
        <v>0.983333333</v>
      </c>
      <c r="N16">
        <f t="shared" si="0"/>
        <v>0</v>
      </c>
      <c r="O16">
        <f>IF($A16="","",_xlfn.SUMIFS(Campagne!$D$1:$D$141,Campagne!$C$1:$C$141,$A16))</f>
        <v>728</v>
      </c>
      <c r="P16">
        <f>IF($A16="","",_xlfn.SUMIFS(Campagne!$E$1:$E$141,Campagne!$C$1:$C$141,$A16))</f>
        <v>788</v>
      </c>
      <c r="Q16">
        <f>IF($A16="","",_xlfn.SUMIFS(Campagne!$F$1:$F$141,Campagne!$C$1:$C$141,$A16))</f>
        <v>1516</v>
      </c>
      <c r="R16">
        <f>IF($A16="","",_xlfn.SUMIFS(Campagne!$K$1:$K$141,Campagne!$C$1:$C$141,$A16))</f>
        <v>0.524655642</v>
      </c>
      <c r="S16">
        <f>IF($A16="","",_xlfn.SUMIFS(Campagne!$M$1:$M$141,Campagne!$C$1:$C$141,$A16))</f>
        <v>0.343450594</v>
      </c>
      <c r="T16">
        <f>IF($A16="","",_xlfn.SUMIFS(Pilotage!$K$19:$K$32,Pilotage!$A$19:$A$32,$A16)*_xlfn.SUMIFS(Pilotage!$J$19:$J$32,Pilotage!$A$19:$A$32,$A16)*(SUM(Pilotage!$K$19:$K$32)/SUMPRODUCT(Pilotage!$K$19:$K$32,Pilotage!$J$19:$J$32)))</f>
        <v>31533</v>
      </c>
      <c r="U16">
        <f>IF($A16="","",_xlfn.SUMIFS(Pilotage!$K$19:$K$32,Pilotage!$A$19:$A$32,$A16))</f>
        <v>31533</v>
      </c>
      <c r="V16">
        <f>IF($A16="","",IF($B16="V01",Cadrage!$C$23,IF($B16="V02",Cadrage!$D$23,Cadrage!$E$23)))</f>
        <v>0.08</v>
      </c>
      <c r="W16">
        <f>IF($A16="","",IF($B16="V01",Cadrage!$C$24,IF($B16="V02",Cadrage!$D$24,Cadrage!$E$24)))</f>
        <v>0.1</v>
      </c>
      <c r="X16">
        <f>IF($A16="","",IF($B16="V01",Cadrage!$C$25,IF($B16="V02",Cadrage!$D$25,Cadrage!$E$25)))</f>
        <v>0.0029</v>
      </c>
      <c r="Y16">
        <f>IF($A16="","",IF($B16="V01",Cadrage!$C$26,IF($B16="V02",Cadrage!$D$26,Cadrage!$E$26)))</f>
        <v>0.01</v>
      </c>
      <c r="Z16">
        <f>IF($A16="","",IF($B16="V01",Cadrage!$C$27,IF($B16="V02",Cadrage!$D$27,Cadrage!$E$27)))</f>
        <v>0.01</v>
      </c>
      <c r="AA16">
        <f>IF($A16="","",IF($B16="V01",Cadrage!$C$28,IF($B16="V02",Cadrage!$D$28,Cadrage!$E$28)))</f>
        <v>0.005</v>
      </c>
      <c r="AB16">
        <f>IF($A16="","",IF($B16="V01",Cadrage!$C$42,IF($B16="V02",Cadrage!$D$42,Cadrage!$E$42)))</f>
        <v>90</v>
      </c>
      <c r="AC16">
        <f>IF($A16="","",IF($F16="MBWAY",Cadrage!$K$34,IF($F16="ISCOM",Cadrage!$K$35,IF($F16="IPAC",Cadrage!$K$36,IF($F16="PIGIER",Cadrage!$K$37,Cadrage!$K$38)))))</f>
        <v>1.2</v>
      </c>
      <c r="AD16">
        <f t="shared" si="1"/>
        <v>0</v>
      </c>
      <c r="AE16">
        <f t="shared" si="2"/>
        <v>0</v>
      </c>
      <c r="AF16">
        <f t="shared" si="3"/>
        <v>59.29999998</v>
      </c>
      <c r="AG16">
        <f t="shared" si="4"/>
        <v>7526.1</v>
      </c>
      <c r="AH16">
        <f t="shared" si="5"/>
        <v>446297.729849478</v>
      </c>
    </row>
    <row r="17" ht="14.25" customHeight="1">
      <c r="A17" t="str">
        <f>IF(Moteur!D17="","",Moteur!D17)</f>
        <v>MBWAY_BOR</v>
      </c>
      <c r="B17" t="str">
        <f>IF(Moteur!B17="","",Moteur!B17)</f>
        <v>V01</v>
      </c>
      <c r="C17" t="str">
        <f>IF(Moteur!F17="","",Moteur!F17)</f>
        <v>BAC_MGT</v>
      </c>
      <c r="D17" t="str">
        <f>IF(Moteur!G17="","",Moteur!G17)</f>
        <v>B1</v>
      </c>
      <c r="E17" t="str">
        <f>IF(Moteur!H17="","",Moteur!H17)</f>
        <v>INIT</v>
      </c>
      <c r="F17" t="str">
        <f>IF(Moteur!E17="","",Moteur!E17)</f>
        <v>MBWAY</v>
      </c>
      <c r="G17">
        <f>IF($A17="","",_xlfn.SUMIFS(Socle!$H$1:$H$658,Socle!$C$1:$C$658,$A17,Socle!$D$1:$D$658,$C17,Socle!$E$1:$E$658,$D17,Socle!$F$1:$F$658,$E17,Socle!$G$1:$G$658,"2026"))</f>
        <v>421</v>
      </c>
      <c r="H17">
        <f>IF($A17="","",_xlfn.SUMIFS(Socle!$N$1:$N$658,Socle!$C$1:$C$658,$A17,Socle!$D$1:$D$658,$C17,Socle!$E$1:$E$658,$D17,Socle!$F$1:$F$658,$E17,Socle!$G$1:$G$658,"2026"))</f>
        <v>0</v>
      </c>
      <c r="I17">
        <f>IF($A17="","",_xlfn.SUMIFS(Socle!$P$1:$P$658,Socle!$C$1:$C$658,$A17,Socle!$D$1:$D$658,$C17,Socle!$E$1:$E$658,$D17,Socle!$F$1:$F$658,$E17,Socle!$G$1:$G$658,"2026"))</f>
        <v>7275</v>
      </c>
      <c r="J17">
        <f>IF($A17="","",_xlfn.SUMIFS(Socle!$W$1:$W$658,Socle!$C$1:$C$658,$A17,Socle!$D$1:$D$658,$C17,Socle!$E$1:$E$658,$D17,Socle!$F$1:$F$658,$E17,Socle!$G$1:$G$658,"2026"))</f>
        <v>0.280285036</v>
      </c>
      <c r="K17">
        <f>IF($A17="","",_xlfn.SUMIFS(Socle!$X$1:$X$658,Socle!$C$1:$C$658,$A17,Socle!$D$1:$D$658,$C17,Socle!$E$1:$E$658,$D17,Socle!$F$1:$F$658,$E17,Socle!$G$1:$G$658,"2026"))</f>
        <v>0.720338983</v>
      </c>
      <c r="L17">
        <f>IF($A17="","",_xlfn.SUMIFS(Socle!$Y$1:$Y$658,Socle!$C$1:$C$658,$A17,Socle!$D$1:$D$658,$C17,Socle!$E$1:$E$658,$D17,Socle!$F$1:$F$658,$E17,Socle!$G$1:$G$658,"2026"))</f>
        <v>0.6</v>
      </c>
      <c r="M17">
        <f>IF($A17="","",_xlfn.SUMIFS(Socle!$V$1:$V$658,Socle!$C$1:$C$658,$A17,Socle!$D$1:$D$658,$C17,Socle!$E$1:$E$658,$D17,Socle!$F$1:$F$658,$E17,Socle!$G$1:$G$658,"2026"))</f>
        <v>0</v>
      </c>
      <c r="N17">
        <f t="shared" si="0"/>
        <v>1</v>
      </c>
      <c r="O17">
        <f>IF($A17="","",_xlfn.SUMIFS(Campagne!$D$1:$D$141,Campagne!$C$1:$C$141,$A17))</f>
        <v>630</v>
      </c>
      <c r="P17">
        <f>IF($A17="","",_xlfn.SUMIFS(Campagne!$E$1:$E$141,Campagne!$C$1:$C$141,$A17))</f>
        <v>656</v>
      </c>
      <c r="Q17">
        <f>IF($A17="","",_xlfn.SUMIFS(Campagne!$F$1:$F$141,Campagne!$C$1:$C$141,$A17))</f>
        <v>1286</v>
      </c>
      <c r="R17">
        <f>IF($A17="","",_xlfn.SUMIFS(Campagne!$K$1:$K$141,Campagne!$C$1:$C$141,$A17))</f>
        <v>0.538455294</v>
      </c>
      <c r="S17">
        <f>IF($A17="","",_xlfn.SUMIFS(Campagne!$M$1:$M$141,Campagne!$C$1:$C$141,$A17))</f>
        <v>0.348249172</v>
      </c>
      <c r="T17">
        <f>IF($A17="","",_xlfn.SUMIFS(Pilotage!$K$19:$K$32,Pilotage!$A$19:$A$32,$A17)*_xlfn.SUMIFS(Pilotage!$J$19:$J$32,Pilotage!$A$19:$A$32,$A17)*(SUM(Pilotage!$K$19:$K$32)/SUMPRODUCT(Pilotage!$K$19:$K$32,Pilotage!$J$19:$J$32)))</f>
        <v>24923</v>
      </c>
      <c r="U17">
        <f>IF($A17="","",_xlfn.SUMIFS(Pilotage!$K$19:$K$32,Pilotage!$A$19:$A$32,$A17))</f>
        <v>24923</v>
      </c>
      <c r="V17">
        <f>IF($A17="","",IF($B17="V01",Cadrage!$C$23,IF($B17="V02",Cadrage!$D$23,Cadrage!$E$23)))</f>
        <v>0.08</v>
      </c>
      <c r="W17">
        <f>IF($A17="","",IF($B17="V01",Cadrage!$C$24,IF($B17="V02",Cadrage!$D$24,Cadrage!$E$24)))</f>
        <v>0.1</v>
      </c>
      <c r="X17">
        <f>IF($A17="","",IF($B17="V01",Cadrage!$C$25,IF($B17="V02",Cadrage!$D$25,Cadrage!$E$25)))</f>
        <v>0.0029</v>
      </c>
      <c r="Y17">
        <f>IF($A17="","",IF($B17="V01",Cadrage!$C$26,IF($B17="V02",Cadrage!$D$26,Cadrage!$E$26)))</f>
        <v>0.01</v>
      </c>
      <c r="Z17">
        <f>IF($A17="","",IF($B17="V01",Cadrage!$C$27,IF($B17="V02",Cadrage!$D$27,Cadrage!$E$27)))</f>
        <v>0.01</v>
      </c>
      <c r="AA17">
        <f>IF($A17="","",IF($B17="V01",Cadrage!$C$28,IF($B17="V02",Cadrage!$D$28,Cadrage!$E$28)))</f>
        <v>0.005</v>
      </c>
      <c r="AB17">
        <f>IF($A17="","",IF($B17="V01",Cadrage!$C$42,IF($B17="V02",Cadrage!$D$42,Cadrage!$E$42)))</f>
        <v>90</v>
      </c>
      <c r="AC17">
        <f>IF($A17="","",IF($F17="MBWAY",Cadrage!$K$34,IF($F17="ISCOM",Cadrage!$K$35,IF($F17="IPAC",Cadrage!$K$36,IF($F17="PIGIER",Cadrage!$K$37,Cadrage!$K$38)))))</f>
        <v>1.2</v>
      </c>
      <c r="AD17">
        <f t="shared" si="1"/>
        <v>55.7467412571368</v>
      </c>
      <c r="AE17">
        <f t="shared" si="2"/>
        <v>55.7467412571368</v>
      </c>
      <c r="AF17">
        <f t="shared" si="3"/>
        <v>55.7467412571368</v>
      </c>
      <c r="AG17">
        <f t="shared" si="4"/>
        <v>7300.317</v>
      </c>
      <c r="AH17">
        <f t="shared" si="5"/>
        <v>411986.089607219</v>
      </c>
    </row>
    <row r="18" ht="14.25" customHeight="1">
      <c r="A18" t="str">
        <f>IF(Moteur!D18="","",Moteur!D18)</f>
        <v>MBWAY_BOR</v>
      </c>
      <c r="B18" t="str">
        <f>IF(Moteur!B18="","",Moteur!B18)</f>
        <v>V01</v>
      </c>
      <c r="C18" t="str">
        <f>IF(Moteur!F18="","",Moteur!F18)</f>
        <v>BAC_MGT</v>
      </c>
      <c r="D18" t="str">
        <f>IF(Moteur!G18="","",Moteur!G18)</f>
        <v>B2</v>
      </c>
      <c r="E18" t="str">
        <f>IF(Moteur!H18="","",Moteur!H18)</f>
        <v>ALT</v>
      </c>
      <c r="F18" t="str">
        <f>IF(Moteur!E18="","",Moteur!E18)</f>
        <v>MBWAY</v>
      </c>
      <c r="G18">
        <f>IF($A18="","",_xlfn.SUMIFS(Socle!$H$1:$H$658,Socle!$C$1:$C$658,$A18,Socle!$D$1:$D$658,$C18,Socle!$E$1:$E$658,$D18,Socle!$F$1:$F$658,$E18,Socle!$G$1:$G$658,"2026"))</f>
        <v>0</v>
      </c>
      <c r="H18">
        <f>IF($A18="","",_xlfn.SUMIFS(Socle!$N$1:$N$658,Socle!$C$1:$C$658,$A18,Socle!$D$1:$D$658,$C18,Socle!$E$1:$E$658,$D18,Socle!$F$1:$F$658,$E18,Socle!$G$1:$G$658,"2026"))</f>
        <v>51</v>
      </c>
      <c r="I18">
        <f>IF($A18="","",_xlfn.SUMIFS(Socle!$P$1:$P$658,Socle!$C$1:$C$658,$A18,Socle!$D$1:$D$658,$C18,Socle!$E$1:$E$658,$D18,Socle!$F$1:$F$658,$E18,Socle!$G$1:$G$658,"2026"))</f>
        <v>6790</v>
      </c>
      <c r="J18">
        <f>IF($A18="","",_xlfn.SUMIFS(Socle!$W$1:$W$658,Socle!$C$1:$C$658,$A18,Socle!$D$1:$D$658,$C18,Socle!$E$1:$E$658,$D18,Socle!$F$1:$F$658,$E18,Socle!$G$1:$G$658,"2026"))</f>
        <v>0</v>
      </c>
      <c r="K18">
        <f>IF($A18="","",_xlfn.SUMIFS(Socle!$X$1:$X$658,Socle!$C$1:$C$658,$A18,Socle!$D$1:$D$658,$C18,Socle!$E$1:$E$658,$D18,Socle!$F$1:$F$658,$E18,Socle!$G$1:$G$658,"2026"))</f>
        <v>0</v>
      </c>
      <c r="L18">
        <f>IF($A18="","",_xlfn.SUMIFS(Socle!$Y$1:$Y$658,Socle!$C$1:$C$658,$A18,Socle!$D$1:$D$658,$C18,Socle!$E$1:$E$658,$D18,Socle!$F$1:$F$658,$E18,Socle!$G$1:$G$658,"2026"))</f>
        <v>0</v>
      </c>
      <c r="M18">
        <f>IF($A18="","",_xlfn.SUMIFS(Socle!$V$1:$V$658,Socle!$C$1:$C$658,$A18,Socle!$D$1:$D$658,$C18,Socle!$E$1:$E$658,$D18,Socle!$F$1:$F$658,$E18,Socle!$G$1:$G$658,"2026"))</f>
        <v>0.960784314</v>
      </c>
      <c r="N18">
        <f t="shared" si="0"/>
        <v>0</v>
      </c>
      <c r="O18">
        <f>IF($A18="","",_xlfn.SUMIFS(Campagne!$D$1:$D$141,Campagne!$C$1:$C$141,$A18))</f>
        <v>630</v>
      </c>
      <c r="P18">
        <f>IF($A18="","",_xlfn.SUMIFS(Campagne!$E$1:$E$141,Campagne!$C$1:$C$141,$A18))</f>
        <v>656</v>
      </c>
      <c r="Q18">
        <f>IF($A18="","",_xlfn.SUMIFS(Campagne!$F$1:$F$141,Campagne!$C$1:$C$141,$A18))</f>
        <v>1286</v>
      </c>
      <c r="R18">
        <f>IF($A18="","",_xlfn.SUMIFS(Campagne!$K$1:$K$141,Campagne!$C$1:$C$141,$A18))</f>
        <v>0.538455294</v>
      </c>
      <c r="S18">
        <f>IF($A18="","",_xlfn.SUMIFS(Campagne!$M$1:$M$141,Campagne!$C$1:$C$141,$A18))</f>
        <v>0.348249172</v>
      </c>
      <c r="T18">
        <f>IF($A18="","",_xlfn.SUMIFS(Pilotage!$K$19:$K$32,Pilotage!$A$19:$A$32,$A18)*_xlfn.SUMIFS(Pilotage!$J$19:$J$32,Pilotage!$A$19:$A$32,$A18)*(SUM(Pilotage!$K$19:$K$32)/SUMPRODUCT(Pilotage!$K$19:$K$32,Pilotage!$J$19:$J$32)))</f>
        <v>24923</v>
      </c>
      <c r="U18">
        <f>IF($A18="","",_xlfn.SUMIFS(Pilotage!$K$19:$K$32,Pilotage!$A$19:$A$32,$A18))</f>
        <v>24923</v>
      </c>
      <c r="V18">
        <f>IF($A18="","",IF($B18="V01",Cadrage!$C$23,IF($B18="V02",Cadrage!$D$23,Cadrage!$E$23)))</f>
        <v>0.08</v>
      </c>
      <c r="W18">
        <f>IF($A18="","",IF($B18="V01",Cadrage!$C$24,IF($B18="V02",Cadrage!$D$24,Cadrage!$E$24)))</f>
        <v>0.1</v>
      </c>
      <c r="X18">
        <f>IF($A18="","",IF($B18="V01",Cadrage!$C$25,IF($B18="V02",Cadrage!$D$25,Cadrage!$E$25)))</f>
        <v>0.0029</v>
      </c>
      <c r="Y18">
        <f>IF($A18="","",IF($B18="V01",Cadrage!$C$26,IF($B18="V02",Cadrage!$D$26,Cadrage!$E$26)))</f>
        <v>0.01</v>
      </c>
      <c r="Z18">
        <f>IF($A18="","",IF($B18="V01",Cadrage!$C$27,IF($B18="V02",Cadrage!$D$27,Cadrage!$E$27)))</f>
        <v>0.01</v>
      </c>
      <c r="AA18">
        <f>IF($A18="","",IF($B18="V01",Cadrage!$C$28,IF($B18="V02",Cadrage!$D$28,Cadrage!$E$28)))</f>
        <v>0.005</v>
      </c>
      <c r="AB18">
        <f>IF($A18="","",IF($B18="V01",Cadrage!$C$42,IF($B18="V02",Cadrage!$D$42,Cadrage!$E$42)))</f>
        <v>90</v>
      </c>
      <c r="AC18">
        <f>IF($A18="","",IF($F18="MBWAY",Cadrage!$K$34,IF($F18="ISCOM",Cadrage!$K$35,IF($F18="IPAC",Cadrage!$K$36,IF($F18="PIGIER",Cadrage!$K$37,Cadrage!$K$38)))))</f>
        <v>1.2</v>
      </c>
      <c r="AD18">
        <f t="shared" si="1"/>
        <v>0</v>
      </c>
      <c r="AE18">
        <f t="shared" si="2"/>
        <v>0</v>
      </c>
      <c r="AF18">
        <f t="shared" si="3"/>
        <v>49.255000014</v>
      </c>
      <c r="AG18">
        <f t="shared" si="4"/>
        <v>6813.6292</v>
      </c>
      <c r="AH18">
        <f t="shared" si="5"/>
        <v>335605.306341391</v>
      </c>
    </row>
    <row r="19" ht="14.25" customHeight="1">
      <c r="A19" t="str">
        <f>IF(Moteur!D19="","",Moteur!D19)</f>
        <v>MBWAY_BOR</v>
      </c>
      <c r="B19" t="str">
        <f>IF(Moteur!B19="","",Moteur!B19)</f>
        <v>V01</v>
      </c>
      <c r="C19" t="str">
        <f>IF(Moteur!F19="","",Moteur!F19)</f>
        <v>BAC_MGT</v>
      </c>
      <c r="D19" t="str">
        <f>IF(Moteur!G19="","",Moteur!G19)</f>
        <v>B3</v>
      </c>
      <c r="E19" t="str">
        <f>IF(Moteur!H19="","",Moteur!H19)</f>
        <v>ALT</v>
      </c>
      <c r="F19" t="str">
        <f>IF(Moteur!E19="","",Moteur!E19)</f>
        <v>MBWAY</v>
      </c>
      <c r="G19">
        <f>IF($A19="","",_xlfn.SUMIFS(Socle!$H$1:$H$658,Socle!$C$1:$C$658,$A19,Socle!$D$1:$D$658,$C19,Socle!$E$1:$E$658,$D19,Socle!$F$1:$F$658,$E19,Socle!$G$1:$G$658,"2026"))</f>
        <v>0</v>
      </c>
      <c r="H19">
        <f>IF($A19="","",_xlfn.SUMIFS(Socle!$N$1:$N$658,Socle!$C$1:$C$658,$A19,Socle!$D$1:$D$658,$C19,Socle!$E$1:$E$658,$D19,Socle!$F$1:$F$658,$E19,Socle!$G$1:$G$658,"2026"))</f>
        <v>49</v>
      </c>
      <c r="I19">
        <f>IF($A19="","",_xlfn.SUMIFS(Socle!$P$1:$P$658,Socle!$C$1:$C$658,$A19,Socle!$D$1:$D$658,$C19,Socle!$E$1:$E$658,$D19,Socle!$F$1:$F$658,$E19,Socle!$G$1:$G$658,"2026"))</f>
        <v>6790</v>
      </c>
      <c r="J19">
        <f>IF($A19="","",_xlfn.SUMIFS(Socle!$W$1:$W$658,Socle!$C$1:$C$658,$A19,Socle!$D$1:$D$658,$C19,Socle!$E$1:$E$658,$D19,Socle!$F$1:$F$658,$E19,Socle!$G$1:$G$658,"2026"))</f>
        <v>0</v>
      </c>
      <c r="K19">
        <f>IF($A19="","",_xlfn.SUMIFS(Socle!$X$1:$X$658,Socle!$C$1:$C$658,$A19,Socle!$D$1:$D$658,$C19,Socle!$E$1:$E$658,$D19,Socle!$F$1:$F$658,$E19,Socle!$G$1:$G$658,"2026"))</f>
        <v>0</v>
      </c>
      <c r="L19">
        <f>IF($A19="","",_xlfn.SUMIFS(Socle!$Y$1:$Y$658,Socle!$C$1:$C$658,$A19,Socle!$D$1:$D$658,$C19,Socle!$E$1:$E$658,$D19,Socle!$F$1:$F$658,$E19,Socle!$G$1:$G$658,"2026"))</f>
        <v>0</v>
      </c>
      <c r="M19">
        <f>IF($A19="","",_xlfn.SUMIFS(Socle!$V$1:$V$658,Socle!$C$1:$C$658,$A19,Socle!$D$1:$D$658,$C19,Socle!$E$1:$E$658,$D19,Socle!$F$1:$F$658,$E19,Socle!$G$1:$G$658,"2026"))</f>
        <v>0.979591837</v>
      </c>
      <c r="N19">
        <f t="shared" si="0"/>
        <v>0</v>
      </c>
      <c r="O19">
        <f>IF($A19="","",_xlfn.SUMIFS(Campagne!$D$1:$D$141,Campagne!$C$1:$C$141,$A19))</f>
        <v>630</v>
      </c>
      <c r="P19">
        <f>IF($A19="","",_xlfn.SUMIFS(Campagne!$E$1:$E$141,Campagne!$C$1:$C$141,$A19))</f>
        <v>656</v>
      </c>
      <c r="Q19">
        <f>IF($A19="","",_xlfn.SUMIFS(Campagne!$F$1:$F$141,Campagne!$C$1:$C$141,$A19))</f>
        <v>1286</v>
      </c>
      <c r="R19">
        <f>IF($A19="","",_xlfn.SUMIFS(Campagne!$K$1:$K$141,Campagne!$C$1:$C$141,$A19))</f>
        <v>0.538455294</v>
      </c>
      <c r="S19">
        <f>IF($A19="","",_xlfn.SUMIFS(Campagne!$M$1:$M$141,Campagne!$C$1:$C$141,$A19))</f>
        <v>0.348249172</v>
      </c>
      <c r="T19">
        <f>IF($A19="","",_xlfn.SUMIFS(Pilotage!$K$19:$K$32,Pilotage!$A$19:$A$32,$A19)*_xlfn.SUMIFS(Pilotage!$J$19:$J$32,Pilotage!$A$19:$A$32,$A19)*(SUM(Pilotage!$K$19:$K$32)/SUMPRODUCT(Pilotage!$K$19:$K$32,Pilotage!$J$19:$J$32)))</f>
        <v>24923</v>
      </c>
      <c r="U19">
        <f>IF($A19="","",_xlfn.SUMIFS(Pilotage!$K$19:$K$32,Pilotage!$A$19:$A$32,$A19))</f>
        <v>24923</v>
      </c>
      <c r="V19">
        <f>IF($A19="","",IF($B19="V01",Cadrage!$C$23,IF($B19="V02",Cadrage!$D$23,Cadrage!$E$23)))</f>
        <v>0.08</v>
      </c>
      <c r="W19">
        <f>IF($A19="","",IF($B19="V01",Cadrage!$C$24,IF($B19="V02",Cadrage!$D$24,Cadrage!$E$24)))</f>
        <v>0.1</v>
      </c>
      <c r="X19">
        <f>IF($A19="","",IF($B19="V01",Cadrage!$C$25,IF($B19="V02",Cadrage!$D$25,Cadrage!$E$25)))</f>
        <v>0.0029</v>
      </c>
      <c r="Y19">
        <f>IF($A19="","",IF($B19="V01",Cadrage!$C$26,IF($B19="V02",Cadrage!$D$26,Cadrage!$E$26)))</f>
        <v>0.01</v>
      </c>
      <c r="Z19">
        <f>IF($A19="","",IF($B19="V01",Cadrage!$C$27,IF($B19="V02",Cadrage!$D$27,Cadrage!$E$27)))</f>
        <v>0.01</v>
      </c>
      <c r="AA19">
        <f>IF($A19="","",IF($B19="V01",Cadrage!$C$28,IF($B19="V02",Cadrage!$D$28,Cadrage!$E$28)))</f>
        <v>0.005</v>
      </c>
      <c r="AB19">
        <f>IF($A19="","",IF($B19="V01",Cadrage!$C$42,IF($B19="V02",Cadrage!$D$42,Cadrage!$E$42)))</f>
        <v>90</v>
      </c>
      <c r="AC19">
        <f>IF($A19="","",IF($F19="MBWAY",Cadrage!$K$34,IF($F19="ISCOM",Cadrage!$K$35,IF($F19="IPAC",Cadrage!$K$36,IF($F19="PIGIER",Cadrage!$K$37,Cadrage!$K$38)))))</f>
        <v>1.2</v>
      </c>
      <c r="AD19">
        <f t="shared" si="1"/>
        <v>0</v>
      </c>
      <c r="AE19">
        <f t="shared" si="2"/>
        <v>0</v>
      </c>
      <c r="AF19">
        <f t="shared" si="3"/>
        <v>48.245000013</v>
      </c>
      <c r="AG19">
        <f t="shared" si="4"/>
        <v>6813.6292</v>
      </c>
      <c r="AH19">
        <f t="shared" si="5"/>
        <v>328723.540842577</v>
      </c>
    </row>
    <row r="20" ht="14.25" customHeight="1">
      <c r="A20" t="str">
        <f>IF(Moteur!D20="","",Moteur!D20)</f>
        <v>MBWAY_BOR</v>
      </c>
      <c r="B20" t="str">
        <f>IF(Moteur!B20="","",Moteur!B20)</f>
        <v>V01</v>
      </c>
      <c r="C20" t="str">
        <f>IF(Moteur!F20="","",Moteur!F20)</f>
        <v>MAS_MGT</v>
      </c>
      <c r="D20" t="str">
        <f>IF(Moteur!G20="","",Moteur!G20)</f>
        <v>M1</v>
      </c>
      <c r="E20" t="str">
        <f>IF(Moteur!H20="","",Moteur!H20)</f>
        <v>ALT</v>
      </c>
      <c r="F20" t="str">
        <f>IF(Moteur!E20="","",Moteur!E20)</f>
        <v>MBWAY</v>
      </c>
      <c r="G20">
        <f>IF($A20="","",_xlfn.SUMIFS(Socle!$H$1:$H$658,Socle!$C$1:$C$658,$A20,Socle!$D$1:$D$658,$C20,Socle!$E$1:$E$658,$D20,Socle!$F$1:$F$658,$E20,Socle!$G$1:$G$658,"2026"))</f>
        <v>865</v>
      </c>
      <c r="H20">
        <f>IF($A20="","",_xlfn.SUMIFS(Socle!$N$1:$N$658,Socle!$C$1:$C$658,$A20,Socle!$D$1:$D$658,$C20,Socle!$E$1:$E$658,$D20,Socle!$F$1:$F$658,$E20,Socle!$G$1:$G$658,"2026"))</f>
        <v>0</v>
      </c>
      <c r="I20">
        <f>IF($A20="","",_xlfn.SUMIFS(Socle!$P$1:$P$658,Socle!$C$1:$C$658,$A20,Socle!$D$1:$D$658,$C20,Socle!$E$1:$E$658,$D20,Socle!$F$1:$F$658,$E20,Socle!$G$1:$G$658,"2026"))</f>
        <v>7275</v>
      </c>
      <c r="J20">
        <f>IF($A20="","",_xlfn.SUMIFS(Socle!$W$1:$W$658,Socle!$C$1:$C$658,$A20,Socle!$D$1:$D$658,$C20,Socle!$E$1:$E$658,$D20,Socle!$F$1:$F$658,$E20,Socle!$G$1:$G$658,"2026"))</f>
        <v>0.2</v>
      </c>
      <c r="K20">
        <f>IF($A20="","",_xlfn.SUMIFS(Socle!$X$1:$X$658,Socle!$C$1:$C$658,$A20,Socle!$D$1:$D$658,$C20,Socle!$E$1:$E$658,$D20,Socle!$F$1:$F$658,$E20,Socle!$G$1:$G$658,"2026"))</f>
        <v>0.699421965</v>
      </c>
      <c r="L20">
        <f>IF($A20="","",_xlfn.SUMIFS(Socle!$Y$1:$Y$658,Socle!$C$1:$C$658,$A20,Socle!$D$1:$D$658,$C20,Socle!$E$1:$E$658,$D20,Socle!$F$1:$F$658,$E20,Socle!$G$1:$G$658,"2026"))</f>
        <v>0.421487603</v>
      </c>
      <c r="M20">
        <f>IF($A20="","",_xlfn.SUMIFS(Socle!$V$1:$V$658,Socle!$C$1:$C$658,$A20,Socle!$D$1:$D$658,$C20,Socle!$E$1:$E$658,$D20,Socle!$F$1:$F$658,$E20,Socle!$G$1:$G$658,"2026"))</f>
        <v>0</v>
      </c>
      <c r="N20">
        <f t="shared" si="0"/>
        <v>1</v>
      </c>
      <c r="O20">
        <f>IF($A20="","",_xlfn.SUMIFS(Campagne!$D$1:$D$141,Campagne!$C$1:$C$141,$A20))</f>
        <v>630</v>
      </c>
      <c r="P20">
        <f>IF($A20="","",_xlfn.SUMIFS(Campagne!$E$1:$E$141,Campagne!$C$1:$C$141,$A20))</f>
        <v>656</v>
      </c>
      <c r="Q20">
        <f>IF($A20="","",_xlfn.SUMIFS(Campagne!$F$1:$F$141,Campagne!$C$1:$C$141,$A20))</f>
        <v>1286</v>
      </c>
      <c r="R20">
        <f>IF($A20="","",_xlfn.SUMIFS(Campagne!$K$1:$K$141,Campagne!$C$1:$C$141,$A20))</f>
        <v>0.538455294</v>
      </c>
      <c r="S20">
        <f>IF($A20="","",_xlfn.SUMIFS(Campagne!$M$1:$M$141,Campagne!$C$1:$C$141,$A20))</f>
        <v>0.348249172</v>
      </c>
      <c r="T20">
        <f>IF($A20="","",_xlfn.SUMIFS(Pilotage!$K$19:$K$32,Pilotage!$A$19:$A$32,$A20)*_xlfn.SUMIFS(Pilotage!$J$19:$J$32,Pilotage!$A$19:$A$32,$A20)*(SUM(Pilotage!$K$19:$K$32)/SUMPRODUCT(Pilotage!$K$19:$K$32,Pilotage!$J$19:$J$32)))</f>
        <v>24923</v>
      </c>
      <c r="U20">
        <f>IF($A20="","",_xlfn.SUMIFS(Pilotage!$K$19:$K$32,Pilotage!$A$19:$A$32,$A20))</f>
        <v>24923</v>
      </c>
      <c r="V20">
        <f>IF($A20="","",IF($B20="V01",Cadrage!$C$23,IF($B20="V02",Cadrage!$D$23,Cadrage!$E$23)))</f>
        <v>0.08</v>
      </c>
      <c r="W20">
        <f>IF($A20="","",IF($B20="V01",Cadrage!$C$24,IF($B20="V02",Cadrage!$D$24,Cadrage!$E$24)))</f>
        <v>0.1</v>
      </c>
      <c r="X20">
        <f>IF($A20="","",IF($B20="V01",Cadrage!$C$25,IF($B20="V02",Cadrage!$D$25,Cadrage!$E$25)))</f>
        <v>0.0029</v>
      </c>
      <c r="Y20">
        <f>IF($A20="","",IF($B20="V01",Cadrage!$C$26,IF($B20="V02",Cadrage!$D$26,Cadrage!$E$26)))</f>
        <v>0.01</v>
      </c>
      <c r="Z20">
        <f>IF($A20="","",IF($B20="V01",Cadrage!$C$27,IF($B20="V02",Cadrage!$D$27,Cadrage!$E$27)))</f>
        <v>0.01</v>
      </c>
      <c r="AA20">
        <f>IF($A20="","",IF($B20="V01",Cadrage!$C$28,IF($B20="V02",Cadrage!$D$28,Cadrage!$E$28)))</f>
        <v>0.005</v>
      </c>
      <c r="AB20">
        <f>IF($A20="","",IF($B20="V01",Cadrage!$C$42,IF($B20="V02",Cadrage!$D$42,Cadrage!$E$42)))</f>
        <v>90</v>
      </c>
      <c r="AC20">
        <f>IF($A20="","",IF($F20="MBWAY",Cadrage!$K$34,IF($F20="ISCOM",Cadrage!$K$35,IF($F20="IPAC",Cadrage!$K$36,IF($F20="PIGIER",Cadrage!$K$37,Cadrage!$K$38)))))</f>
        <v>1.2</v>
      </c>
      <c r="AD20">
        <f t="shared" si="1"/>
        <v>56.9100515487012</v>
      </c>
      <c r="AE20">
        <f t="shared" si="2"/>
        <v>56.9100515487012</v>
      </c>
      <c r="AF20">
        <f t="shared" si="3"/>
        <v>56.9100515487012</v>
      </c>
      <c r="AG20">
        <f t="shared" si="4"/>
        <v>7300.317</v>
      </c>
      <c r="AH20">
        <f t="shared" si="5"/>
        <v>420583.321431243</v>
      </c>
    </row>
    <row r="21" ht="14.25" customHeight="1">
      <c r="A21" t="str">
        <f>IF(Moteur!D21="","",Moteur!D21)</f>
        <v>MBWAY_BOR</v>
      </c>
      <c r="B21" t="str">
        <f>IF(Moteur!B21="","",Moteur!B21)</f>
        <v>V01</v>
      </c>
      <c r="C21" t="str">
        <f>IF(Moteur!F21="","",Moteur!F21)</f>
        <v>MAS_MGT</v>
      </c>
      <c r="D21" t="str">
        <f>IF(Moteur!G21="","",Moteur!G21)</f>
        <v>M2</v>
      </c>
      <c r="E21" t="str">
        <f>IF(Moteur!H21="","",Moteur!H21)</f>
        <v>ALT</v>
      </c>
      <c r="F21" t="str">
        <f>IF(Moteur!E21="","",Moteur!E21)</f>
        <v>MBWAY</v>
      </c>
      <c r="G21">
        <f>IF($A21="","",_xlfn.SUMIFS(Socle!$H$1:$H$658,Socle!$C$1:$C$658,$A21,Socle!$D$1:$D$658,$C21,Socle!$E$1:$E$658,$D21,Socle!$F$1:$F$658,$E21,Socle!$G$1:$G$658,"2026"))</f>
        <v>0</v>
      </c>
      <c r="H21">
        <f>IF($A21="","",_xlfn.SUMIFS(Socle!$N$1:$N$658,Socle!$C$1:$C$658,$A21,Socle!$D$1:$D$658,$C21,Socle!$E$1:$E$658,$D21,Socle!$F$1:$F$658,$E21,Socle!$G$1:$G$658,"2026"))</f>
        <v>51</v>
      </c>
      <c r="I21">
        <f>IF($A21="","",_xlfn.SUMIFS(Socle!$P$1:$P$658,Socle!$C$1:$C$658,$A21,Socle!$D$1:$D$658,$C21,Socle!$E$1:$E$658,$D21,Socle!$F$1:$F$658,$E21,Socle!$G$1:$G$658,"2026"))</f>
        <v>7275</v>
      </c>
      <c r="J21">
        <f>IF($A21="","",_xlfn.SUMIFS(Socle!$W$1:$W$658,Socle!$C$1:$C$658,$A21,Socle!$D$1:$D$658,$C21,Socle!$E$1:$E$658,$D21,Socle!$F$1:$F$658,$E21,Socle!$G$1:$G$658,"2026"))</f>
        <v>0</v>
      </c>
      <c r="K21">
        <f>IF($A21="","",_xlfn.SUMIFS(Socle!$X$1:$X$658,Socle!$C$1:$C$658,$A21,Socle!$D$1:$D$658,$C21,Socle!$E$1:$E$658,$D21,Socle!$F$1:$F$658,$E21,Socle!$G$1:$G$658,"2026"))</f>
        <v>0</v>
      </c>
      <c r="L21">
        <f>IF($A21="","",_xlfn.SUMIFS(Socle!$Y$1:$Y$658,Socle!$C$1:$C$658,$A21,Socle!$D$1:$D$658,$C21,Socle!$E$1:$E$658,$D21,Socle!$F$1:$F$658,$E21,Socle!$G$1:$G$658,"2026"))</f>
        <v>0</v>
      </c>
      <c r="M21">
        <f>IF($A21="","",_xlfn.SUMIFS(Socle!$V$1:$V$658,Socle!$C$1:$C$658,$A21,Socle!$D$1:$D$658,$C21,Socle!$E$1:$E$658,$D21,Socle!$F$1:$F$658,$E21,Socle!$G$1:$G$658,"2026"))</f>
        <v>0.980392157</v>
      </c>
      <c r="N21">
        <f t="shared" si="0"/>
        <v>0</v>
      </c>
      <c r="O21">
        <f>IF($A21="","",_xlfn.SUMIFS(Campagne!$D$1:$D$141,Campagne!$C$1:$C$141,$A21))</f>
        <v>630</v>
      </c>
      <c r="P21">
        <f>IF($A21="","",_xlfn.SUMIFS(Campagne!$E$1:$E$141,Campagne!$C$1:$C$141,$A21))</f>
        <v>656</v>
      </c>
      <c r="Q21">
        <f>IF($A21="","",_xlfn.SUMIFS(Campagne!$F$1:$F$141,Campagne!$C$1:$C$141,$A21))</f>
        <v>1286</v>
      </c>
      <c r="R21">
        <f>IF($A21="","",_xlfn.SUMIFS(Campagne!$K$1:$K$141,Campagne!$C$1:$C$141,$A21))</f>
        <v>0.538455294</v>
      </c>
      <c r="S21">
        <f>IF($A21="","",_xlfn.SUMIFS(Campagne!$M$1:$M$141,Campagne!$C$1:$C$141,$A21))</f>
        <v>0.348249172</v>
      </c>
      <c r="T21">
        <f>IF($A21="","",_xlfn.SUMIFS(Pilotage!$K$19:$K$32,Pilotage!$A$19:$A$32,$A21)*_xlfn.SUMIFS(Pilotage!$J$19:$J$32,Pilotage!$A$19:$A$32,$A21)*(SUM(Pilotage!$K$19:$K$32)/SUMPRODUCT(Pilotage!$K$19:$K$32,Pilotage!$J$19:$J$32)))</f>
        <v>24923</v>
      </c>
      <c r="U21">
        <f>IF($A21="","",_xlfn.SUMIFS(Pilotage!$K$19:$K$32,Pilotage!$A$19:$A$32,$A21))</f>
        <v>24923</v>
      </c>
      <c r="V21">
        <f>IF($A21="","",IF($B21="V01",Cadrage!$C$23,IF($B21="V02",Cadrage!$D$23,Cadrage!$E$23)))</f>
        <v>0.08</v>
      </c>
      <c r="W21">
        <f>IF($A21="","",IF($B21="V01",Cadrage!$C$24,IF($B21="V02",Cadrage!$D$24,Cadrage!$E$24)))</f>
        <v>0.1</v>
      </c>
      <c r="X21">
        <f>IF($A21="","",IF($B21="V01",Cadrage!$C$25,IF($B21="V02",Cadrage!$D$25,Cadrage!$E$25)))</f>
        <v>0.0029</v>
      </c>
      <c r="Y21">
        <f>IF($A21="","",IF($B21="V01",Cadrage!$C$26,IF($B21="V02",Cadrage!$D$26,Cadrage!$E$26)))</f>
        <v>0.01</v>
      </c>
      <c r="Z21">
        <f>IF($A21="","",IF($B21="V01",Cadrage!$C$27,IF($B21="V02",Cadrage!$D$27,Cadrage!$E$27)))</f>
        <v>0.01</v>
      </c>
      <c r="AA21">
        <f>IF($A21="","",IF($B21="V01",Cadrage!$C$28,IF($B21="V02",Cadrage!$D$28,Cadrage!$E$28)))</f>
        <v>0.005</v>
      </c>
      <c r="AB21">
        <f>IF($A21="","",IF($B21="V01",Cadrage!$C$42,IF($B21="V02",Cadrage!$D$42,Cadrage!$E$42)))</f>
        <v>90</v>
      </c>
      <c r="AC21">
        <f>IF($A21="","",IF($F21="MBWAY",Cadrage!$K$34,IF($F21="ISCOM",Cadrage!$K$35,IF($F21="IPAC",Cadrage!$K$36,IF($F21="PIGIER",Cadrage!$K$37,Cadrage!$K$38)))))</f>
        <v>1.2</v>
      </c>
      <c r="AD21">
        <f t="shared" si="1"/>
        <v>0</v>
      </c>
      <c r="AE21">
        <f t="shared" si="2"/>
        <v>0</v>
      </c>
      <c r="AF21">
        <f t="shared" si="3"/>
        <v>50.255000007</v>
      </c>
      <c r="AG21">
        <f t="shared" si="4"/>
        <v>7300.317</v>
      </c>
      <c r="AH21">
        <f t="shared" si="5"/>
        <v>366877.430886102</v>
      </c>
    </row>
    <row r="22" ht="14.25" customHeight="1">
      <c r="A22" t="str">
        <f>IF(Moteur!D22="","",Moteur!D22)</f>
        <v>ISCOM_PAR</v>
      </c>
      <c r="B22" t="str">
        <f>IF(Moteur!B22="","",Moteur!B22)</f>
        <v>V01</v>
      </c>
      <c r="C22" t="str">
        <f>IF(Moteur!F22="","",Moteur!F22)</f>
        <v>BAC_COM</v>
      </c>
      <c r="D22" t="str">
        <f>IF(Moteur!G22="","",Moteur!G22)</f>
        <v>B1</v>
      </c>
      <c r="E22" t="str">
        <f>IF(Moteur!H22="","",Moteur!H22)</f>
        <v>INIT</v>
      </c>
      <c r="F22" t="str">
        <f>IF(Moteur!E22="","",Moteur!E22)</f>
        <v>ISCOM</v>
      </c>
      <c r="G22">
        <f>IF($A22="","",_xlfn.SUMIFS(Socle!$H$1:$H$658,Socle!$C$1:$C$658,$A22,Socle!$D$1:$D$658,$C22,Socle!$E$1:$E$658,$D22,Socle!$F$1:$F$658,$E22,Socle!$G$1:$G$658,"2026"))</f>
        <v>596</v>
      </c>
      <c r="H22">
        <f>IF($A22="","",_xlfn.SUMIFS(Socle!$N$1:$N$658,Socle!$C$1:$C$658,$A22,Socle!$D$1:$D$658,$C22,Socle!$E$1:$E$658,$D22,Socle!$F$1:$F$658,$E22,Socle!$G$1:$G$658,"2026"))</f>
        <v>0</v>
      </c>
      <c r="I22">
        <f>IF($A22="","",_xlfn.SUMIFS(Socle!$P$1:$P$658,Socle!$C$1:$C$658,$A22,Socle!$D$1:$D$658,$C22,Socle!$E$1:$E$658,$D22,Socle!$F$1:$F$658,$E22,Socle!$G$1:$G$658,"2026"))</f>
        <v>8400</v>
      </c>
      <c r="J22">
        <f>IF($A22="","",_xlfn.SUMIFS(Socle!$W$1:$W$658,Socle!$C$1:$C$658,$A22,Socle!$D$1:$D$658,$C22,Socle!$E$1:$E$658,$D22,Socle!$F$1:$F$658,$E22,Socle!$G$1:$G$658,"2026"))</f>
        <v>0.280201342</v>
      </c>
      <c r="K22">
        <f>IF($A22="","",_xlfn.SUMIFS(Socle!$X$1:$X$658,Socle!$C$1:$C$658,$A22,Socle!$D$1:$D$658,$C22,Socle!$E$1:$E$658,$D22,Socle!$F$1:$F$658,$E22,Socle!$G$1:$G$658,"2026"))</f>
        <v>0.718562874</v>
      </c>
      <c r="L22">
        <f>IF($A22="","",_xlfn.SUMIFS(Socle!$Y$1:$Y$658,Socle!$C$1:$C$658,$A22,Socle!$D$1:$D$658,$C22,Socle!$E$1:$E$658,$D22,Socle!$F$1:$F$658,$E22,Socle!$G$1:$G$658,"2026"))</f>
        <v>0.6</v>
      </c>
      <c r="M22">
        <f>IF($A22="","",_xlfn.SUMIFS(Socle!$V$1:$V$658,Socle!$C$1:$C$658,$A22,Socle!$D$1:$D$658,$C22,Socle!$E$1:$E$658,$D22,Socle!$F$1:$F$658,$E22,Socle!$G$1:$G$658,"2026"))</f>
        <v>0</v>
      </c>
      <c r="N22">
        <f t="shared" si="0"/>
        <v>1</v>
      </c>
      <c r="O22">
        <f>IF($A22="","",_xlfn.SUMIFS(Campagne!$D$1:$D$141,Campagne!$C$1:$C$141,$A22))</f>
        <v>690</v>
      </c>
      <c r="P22">
        <f>IF($A22="","",_xlfn.SUMIFS(Campagne!$E$1:$E$141,Campagne!$C$1:$C$141,$A22))</f>
        <v>1126</v>
      </c>
      <c r="Q22">
        <f>IF($A22="","",_xlfn.SUMIFS(Campagne!$F$1:$F$141,Campagne!$C$1:$C$141,$A22))</f>
        <v>1816</v>
      </c>
      <c r="R22">
        <f>IF($A22="","",_xlfn.SUMIFS(Campagne!$K$1:$K$141,Campagne!$C$1:$C$141,$A22))</f>
        <v>0.442086266</v>
      </c>
      <c r="S22">
        <f>IF($A22="","",_xlfn.SUMIFS(Campagne!$M$1:$M$141,Campagne!$C$1:$C$141,$A22))</f>
        <v>0.317193514</v>
      </c>
      <c r="T22">
        <f>IF($A22="","",_xlfn.SUMIFS(Pilotage!$K$19:$K$32,Pilotage!$A$19:$A$32,$A22)*_xlfn.SUMIFS(Pilotage!$J$19:$J$32,Pilotage!$A$19:$A$32,$A22)*(SUM(Pilotage!$K$19:$K$32)/SUMPRODUCT(Pilotage!$K$19:$K$32,Pilotage!$J$19:$J$32)))</f>
        <v>60800</v>
      </c>
      <c r="U22">
        <f>IF($A22="","",_xlfn.SUMIFS(Pilotage!$K$19:$K$32,Pilotage!$A$19:$A$32,$A22))</f>
        <v>60800</v>
      </c>
      <c r="V22">
        <f>IF($A22="","",IF($B22="V01",Cadrage!$C$23,IF($B22="V02",Cadrage!$D$23,Cadrage!$E$23)))</f>
        <v>0.08</v>
      </c>
      <c r="W22">
        <f>IF($A22="","",IF($B22="V01",Cadrage!$C$24,IF($B22="V02",Cadrage!$D$24,Cadrage!$E$24)))</f>
        <v>0.1</v>
      </c>
      <c r="X22">
        <f>IF($A22="","",IF($B22="V01",Cadrage!$C$25,IF($B22="V02",Cadrage!$D$25,Cadrage!$E$25)))</f>
        <v>0.0029</v>
      </c>
      <c r="Y22">
        <f>IF($A22="","",IF($B22="V01",Cadrage!$C$26,IF($B22="V02",Cadrage!$D$26,Cadrage!$E$26)))</f>
        <v>0.01</v>
      </c>
      <c r="Z22">
        <f>IF($A22="","",IF($B22="V01",Cadrage!$C$27,IF($B22="V02",Cadrage!$D$27,Cadrage!$E$27)))</f>
        <v>0.01</v>
      </c>
      <c r="AA22">
        <f>IF($A22="","",IF($B22="V01",Cadrage!$C$28,IF($B22="V02",Cadrage!$D$28,Cadrage!$E$28)))</f>
        <v>0.005</v>
      </c>
      <c r="AB22">
        <f>IF($A22="","",IF($B22="V01",Cadrage!$C$42,IF($B22="V02",Cadrage!$D$42,Cadrage!$E$42)))</f>
        <v>90</v>
      </c>
      <c r="AC22">
        <f>IF($A22="","",IF($F22="MBWAY",Cadrage!$K$34,IF($F22="ISCOM",Cadrage!$K$35,IF($F22="IPAC",Cadrage!$K$36,IF($F22="PIGIER",Cadrage!$K$37,Cadrage!$K$38)))))</f>
        <v>1.15</v>
      </c>
      <c r="AD22">
        <f t="shared" si="1"/>
        <v>78.3234003988941</v>
      </c>
      <c r="AE22">
        <f t="shared" si="2"/>
        <v>78.3234003988941</v>
      </c>
      <c r="AF22">
        <f t="shared" si="3"/>
        <v>78.3234003988941</v>
      </c>
      <c r="AG22">
        <f t="shared" si="4"/>
        <v>8428.014</v>
      </c>
      <c r="AH22">
        <f t="shared" si="5"/>
        <v>667159.821125385</v>
      </c>
    </row>
    <row r="23" ht="14.25" customHeight="1">
      <c r="A23" t="str">
        <f>IF(Moteur!D23="","",Moteur!D23)</f>
        <v>ISCOM_PAR</v>
      </c>
      <c r="B23" t="str">
        <f>IF(Moteur!B23="","",Moteur!B23)</f>
        <v>V01</v>
      </c>
      <c r="C23" t="str">
        <f>IF(Moteur!F23="","",Moteur!F23)</f>
        <v>BAC_COM</v>
      </c>
      <c r="D23" t="str">
        <f>IF(Moteur!G23="","",Moteur!G23)</f>
        <v>B2</v>
      </c>
      <c r="E23" t="str">
        <f>IF(Moteur!H23="","",Moteur!H23)</f>
        <v>ALT</v>
      </c>
      <c r="F23" t="str">
        <f>IF(Moteur!E23="","",Moteur!E23)</f>
        <v>ISCOM</v>
      </c>
      <c r="G23">
        <f>IF($A23="","",_xlfn.SUMIFS(Socle!$H$1:$H$658,Socle!$C$1:$C$658,$A23,Socle!$D$1:$D$658,$C23,Socle!$E$1:$E$658,$D23,Socle!$F$1:$F$658,$E23,Socle!$G$1:$G$658,"2026"))</f>
        <v>0</v>
      </c>
      <c r="H23">
        <f>IF($A23="","",_xlfn.SUMIFS(Socle!$N$1:$N$658,Socle!$C$1:$C$658,$A23,Socle!$D$1:$D$658,$C23,Socle!$E$1:$E$658,$D23,Socle!$F$1:$F$658,$E23,Socle!$G$1:$G$658,"2026"))</f>
        <v>72</v>
      </c>
      <c r="I23">
        <f>IF($A23="","",_xlfn.SUMIFS(Socle!$P$1:$P$658,Socle!$C$1:$C$658,$A23,Socle!$D$1:$D$658,$C23,Socle!$E$1:$E$658,$D23,Socle!$F$1:$F$658,$E23,Socle!$G$1:$G$658,"2026"))</f>
        <v>7840</v>
      </c>
      <c r="J23">
        <f>IF($A23="","",_xlfn.SUMIFS(Socle!$W$1:$W$658,Socle!$C$1:$C$658,$A23,Socle!$D$1:$D$658,$C23,Socle!$E$1:$E$658,$D23,Socle!$F$1:$F$658,$E23,Socle!$G$1:$G$658,"2026"))</f>
        <v>0</v>
      </c>
      <c r="K23">
        <f>IF($A23="","",_xlfn.SUMIFS(Socle!$X$1:$X$658,Socle!$C$1:$C$658,$A23,Socle!$D$1:$D$658,$C23,Socle!$E$1:$E$658,$D23,Socle!$F$1:$F$658,$E23,Socle!$G$1:$G$658,"2026"))</f>
        <v>0</v>
      </c>
      <c r="L23">
        <f>IF($A23="","",_xlfn.SUMIFS(Socle!$Y$1:$Y$658,Socle!$C$1:$C$658,$A23,Socle!$D$1:$D$658,$C23,Socle!$E$1:$E$658,$D23,Socle!$F$1:$F$658,$E23,Socle!$G$1:$G$658,"2026"))</f>
        <v>0</v>
      </c>
      <c r="M23">
        <f>IF($A23="","",_xlfn.SUMIFS(Socle!$V$1:$V$658,Socle!$C$1:$C$658,$A23,Socle!$D$1:$D$658,$C23,Socle!$E$1:$E$658,$D23,Socle!$F$1:$F$658,$E23,Socle!$G$1:$G$658,"2026"))</f>
        <v>0.972222222</v>
      </c>
      <c r="N23">
        <f t="shared" si="0"/>
        <v>0</v>
      </c>
      <c r="O23">
        <f>IF($A23="","",_xlfn.SUMIFS(Campagne!$D$1:$D$141,Campagne!$C$1:$C$141,$A23))</f>
        <v>690</v>
      </c>
      <c r="P23">
        <f>IF($A23="","",_xlfn.SUMIFS(Campagne!$E$1:$E$141,Campagne!$C$1:$C$141,$A23))</f>
        <v>1126</v>
      </c>
      <c r="Q23">
        <f>IF($A23="","",_xlfn.SUMIFS(Campagne!$F$1:$F$141,Campagne!$C$1:$C$141,$A23))</f>
        <v>1816</v>
      </c>
      <c r="R23">
        <f>IF($A23="","",_xlfn.SUMIFS(Campagne!$K$1:$K$141,Campagne!$C$1:$C$141,$A23))</f>
        <v>0.442086266</v>
      </c>
      <c r="S23">
        <f>IF($A23="","",_xlfn.SUMIFS(Campagne!$M$1:$M$141,Campagne!$C$1:$C$141,$A23))</f>
        <v>0.317193514</v>
      </c>
      <c r="T23">
        <f>IF($A23="","",_xlfn.SUMIFS(Pilotage!$K$19:$K$32,Pilotage!$A$19:$A$32,$A23)*_xlfn.SUMIFS(Pilotage!$J$19:$J$32,Pilotage!$A$19:$A$32,$A23)*(SUM(Pilotage!$K$19:$K$32)/SUMPRODUCT(Pilotage!$K$19:$K$32,Pilotage!$J$19:$J$32)))</f>
        <v>60800</v>
      </c>
      <c r="U23">
        <f>IF($A23="","",_xlfn.SUMIFS(Pilotage!$K$19:$K$32,Pilotage!$A$19:$A$32,$A23))</f>
        <v>60800</v>
      </c>
      <c r="V23">
        <f>IF($A23="","",IF($B23="V01",Cadrage!$C$23,IF($B23="V02",Cadrage!$D$23,Cadrage!$E$23)))</f>
        <v>0.08</v>
      </c>
      <c r="W23">
        <f>IF($A23="","",IF($B23="V01",Cadrage!$C$24,IF($B23="V02",Cadrage!$D$24,Cadrage!$E$24)))</f>
        <v>0.1</v>
      </c>
      <c r="X23">
        <f>IF($A23="","",IF($B23="V01",Cadrage!$C$25,IF($B23="V02",Cadrage!$D$25,Cadrage!$E$25)))</f>
        <v>0.0029</v>
      </c>
      <c r="Y23">
        <f>IF($A23="","",IF($B23="V01",Cadrage!$C$26,IF($B23="V02",Cadrage!$D$26,Cadrage!$E$26)))</f>
        <v>0.01</v>
      </c>
      <c r="Z23">
        <f>IF($A23="","",IF($B23="V01",Cadrage!$C$27,IF($B23="V02",Cadrage!$D$27,Cadrage!$E$27)))</f>
        <v>0.01</v>
      </c>
      <c r="AA23">
        <f>IF($A23="","",IF($B23="V01",Cadrage!$C$28,IF($B23="V02",Cadrage!$D$28,Cadrage!$E$28)))</f>
        <v>0.005</v>
      </c>
      <c r="AB23">
        <f>IF($A23="","",IF($B23="V01",Cadrage!$C$42,IF($B23="V02",Cadrage!$D$42,Cadrage!$E$42)))</f>
        <v>90</v>
      </c>
      <c r="AC23">
        <f>IF($A23="","",IF($F23="MBWAY",Cadrage!$K$34,IF($F23="ISCOM",Cadrage!$K$35,IF($F23="IPAC",Cadrage!$K$36,IF($F23="PIGIER",Cadrage!$K$37,Cadrage!$K$38)))))</f>
        <v>1.15</v>
      </c>
      <c r="AD23">
        <f t="shared" si="1"/>
        <v>0</v>
      </c>
      <c r="AE23">
        <f t="shared" si="2"/>
        <v>0</v>
      </c>
      <c r="AF23">
        <f t="shared" si="3"/>
        <v>70.359999984</v>
      </c>
      <c r="AG23">
        <f t="shared" si="4"/>
        <v>7866.1464</v>
      </c>
      <c r="AH23">
        <f t="shared" si="5"/>
        <v>553462.060578142</v>
      </c>
    </row>
    <row r="24" ht="14.25" customHeight="1">
      <c r="A24" t="str">
        <f>IF(Moteur!D24="","",Moteur!D24)</f>
        <v>ISCOM_PAR</v>
      </c>
      <c r="B24" t="str">
        <f>IF(Moteur!B24="","",Moteur!B24)</f>
        <v>V01</v>
      </c>
      <c r="C24" t="str">
        <f>IF(Moteur!F24="","",Moteur!F24)</f>
        <v>BAC_COM</v>
      </c>
      <c r="D24" t="str">
        <f>IF(Moteur!G24="","",Moteur!G24)</f>
        <v>B3</v>
      </c>
      <c r="E24" t="str">
        <f>IF(Moteur!H24="","",Moteur!H24)</f>
        <v>ALT</v>
      </c>
      <c r="F24" t="str">
        <f>IF(Moteur!E24="","",Moteur!E24)</f>
        <v>ISCOM</v>
      </c>
      <c r="G24">
        <f>IF($A24="","",_xlfn.SUMIFS(Socle!$H$1:$H$658,Socle!$C$1:$C$658,$A24,Socle!$D$1:$D$658,$C24,Socle!$E$1:$E$658,$D24,Socle!$F$1:$F$658,$E24,Socle!$G$1:$G$658,"2026"))</f>
        <v>0</v>
      </c>
      <c r="H24">
        <f>IF($A24="","",_xlfn.SUMIFS(Socle!$N$1:$N$658,Socle!$C$1:$C$658,$A24,Socle!$D$1:$D$658,$C24,Socle!$E$1:$E$658,$D24,Socle!$F$1:$F$658,$E24,Socle!$G$1:$G$658,"2026"))</f>
        <v>70</v>
      </c>
      <c r="I24">
        <f>IF($A24="","",_xlfn.SUMIFS(Socle!$P$1:$P$658,Socle!$C$1:$C$658,$A24,Socle!$D$1:$D$658,$C24,Socle!$E$1:$E$658,$D24,Socle!$F$1:$F$658,$E24,Socle!$G$1:$G$658,"2026"))</f>
        <v>7840</v>
      </c>
      <c r="J24">
        <f>IF($A24="","",_xlfn.SUMIFS(Socle!$W$1:$W$658,Socle!$C$1:$C$658,$A24,Socle!$D$1:$D$658,$C24,Socle!$E$1:$E$658,$D24,Socle!$F$1:$F$658,$E24,Socle!$G$1:$G$658,"2026"))</f>
        <v>0</v>
      </c>
      <c r="K24">
        <f>IF($A24="","",_xlfn.SUMIFS(Socle!$X$1:$X$658,Socle!$C$1:$C$658,$A24,Socle!$D$1:$D$658,$C24,Socle!$E$1:$E$658,$D24,Socle!$F$1:$F$658,$E24,Socle!$G$1:$G$658,"2026"))</f>
        <v>0</v>
      </c>
      <c r="L24">
        <f>IF($A24="","",_xlfn.SUMIFS(Socle!$Y$1:$Y$658,Socle!$C$1:$C$658,$A24,Socle!$D$1:$D$658,$C24,Socle!$E$1:$E$658,$D24,Socle!$F$1:$F$658,$E24,Socle!$G$1:$G$658,"2026"))</f>
        <v>0</v>
      </c>
      <c r="M24">
        <f>IF($A24="","",_xlfn.SUMIFS(Socle!$V$1:$V$658,Socle!$C$1:$C$658,$A24,Socle!$D$1:$D$658,$C24,Socle!$E$1:$E$658,$D24,Socle!$F$1:$F$658,$E24,Socle!$G$1:$G$658,"2026"))</f>
        <v>0.985714286</v>
      </c>
      <c r="N24">
        <f t="shared" si="0"/>
        <v>0</v>
      </c>
      <c r="O24">
        <f>IF($A24="","",_xlfn.SUMIFS(Campagne!$D$1:$D$141,Campagne!$C$1:$C$141,$A24))</f>
        <v>690</v>
      </c>
      <c r="P24">
        <f>IF($A24="","",_xlfn.SUMIFS(Campagne!$E$1:$E$141,Campagne!$C$1:$C$141,$A24))</f>
        <v>1126</v>
      </c>
      <c r="Q24">
        <f>IF($A24="","",_xlfn.SUMIFS(Campagne!$F$1:$F$141,Campagne!$C$1:$C$141,$A24))</f>
        <v>1816</v>
      </c>
      <c r="R24">
        <f>IF($A24="","",_xlfn.SUMIFS(Campagne!$K$1:$K$141,Campagne!$C$1:$C$141,$A24))</f>
        <v>0.442086266</v>
      </c>
      <c r="S24">
        <f>IF($A24="","",_xlfn.SUMIFS(Campagne!$M$1:$M$141,Campagne!$C$1:$C$141,$A24))</f>
        <v>0.317193514</v>
      </c>
      <c r="T24">
        <f>IF($A24="","",_xlfn.SUMIFS(Pilotage!$K$19:$K$32,Pilotage!$A$19:$A$32,$A24)*_xlfn.SUMIFS(Pilotage!$J$19:$J$32,Pilotage!$A$19:$A$32,$A24)*(SUM(Pilotage!$K$19:$K$32)/SUMPRODUCT(Pilotage!$K$19:$K$32,Pilotage!$J$19:$J$32)))</f>
        <v>60800</v>
      </c>
      <c r="U24">
        <f>IF($A24="","",_xlfn.SUMIFS(Pilotage!$K$19:$K$32,Pilotage!$A$19:$A$32,$A24))</f>
        <v>60800</v>
      </c>
      <c r="V24">
        <f>IF($A24="","",IF($B24="V01",Cadrage!$C$23,IF($B24="V02",Cadrage!$D$23,Cadrage!$E$23)))</f>
        <v>0.08</v>
      </c>
      <c r="W24">
        <f>IF($A24="","",IF($B24="V01",Cadrage!$C$24,IF($B24="V02",Cadrage!$D$24,Cadrage!$E$24)))</f>
        <v>0.1</v>
      </c>
      <c r="X24">
        <f>IF($A24="","",IF($B24="V01",Cadrage!$C$25,IF($B24="V02",Cadrage!$D$25,Cadrage!$E$25)))</f>
        <v>0.0029</v>
      </c>
      <c r="Y24">
        <f>IF($A24="","",IF($B24="V01",Cadrage!$C$26,IF($B24="V02",Cadrage!$D$26,Cadrage!$E$26)))</f>
        <v>0.01</v>
      </c>
      <c r="Z24">
        <f>IF($A24="","",IF($B24="V01",Cadrage!$C$27,IF($B24="V02",Cadrage!$D$27,Cadrage!$E$27)))</f>
        <v>0.01</v>
      </c>
      <c r="AA24">
        <f>IF($A24="","",IF($B24="V01",Cadrage!$C$28,IF($B24="V02",Cadrage!$D$28,Cadrage!$E$28)))</f>
        <v>0.005</v>
      </c>
      <c r="AB24">
        <f>IF($A24="","",IF($B24="V01",Cadrage!$C$42,IF($B24="V02",Cadrage!$D$42,Cadrage!$E$42)))</f>
        <v>90</v>
      </c>
      <c r="AC24">
        <f>IF($A24="","",IF($F24="MBWAY",Cadrage!$K$34,IF($F24="ISCOM",Cadrage!$K$35,IF($F24="IPAC",Cadrage!$K$36,IF($F24="PIGIER",Cadrage!$K$37,Cadrage!$K$38)))))</f>
        <v>1.15</v>
      </c>
      <c r="AD24">
        <f t="shared" si="1"/>
        <v>0</v>
      </c>
      <c r="AE24">
        <f t="shared" si="2"/>
        <v>0</v>
      </c>
      <c r="AF24">
        <f t="shared" si="3"/>
        <v>69.35000002</v>
      </c>
      <c r="AG24">
        <f t="shared" si="4"/>
        <v>7866.1464</v>
      </c>
      <c r="AH24">
        <f t="shared" si="5"/>
        <v>545517.252997323</v>
      </c>
    </row>
    <row r="25" ht="14.25" customHeight="1">
      <c r="A25" t="str">
        <f>IF(Moteur!D25="","",Moteur!D25)</f>
        <v>ISCOM_PAR</v>
      </c>
      <c r="B25" t="str">
        <f>IF(Moteur!B25="","",Moteur!B25)</f>
        <v>V01</v>
      </c>
      <c r="C25" t="str">
        <f>IF(Moteur!F25="","",Moteur!F25)</f>
        <v>MAS_COM</v>
      </c>
      <c r="D25" t="str">
        <f>IF(Moteur!G25="","",Moteur!G25)</f>
        <v>M1</v>
      </c>
      <c r="E25" t="str">
        <f>IF(Moteur!H25="","",Moteur!H25)</f>
        <v>ALT</v>
      </c>
      <c r="F25" t="str">
        <f>IF(Moteur!E25="","",Moteur!E25)</f>
        <v>ISCOM</v>
      </c>
      <c r="G25">
        <f>IF($A25="","",_xlfn.SUMIFS(Socle!$H$1:$H$658,Socle!$C$1:$C$658,$A25,Socle!$D$1:$D$658,$C25,Socle!$E$1:$E$658,$D25,Socle!$F$1:$F$658,$E25,Socle!$G$1:$G$658,"2026"))</f>
        <v>1220</v>
      </c>
      <c r="H25">
        <f>IF($A25="","",_xlfn.SUMIFS(Socle!$N$1:$N$658,Socle!$C$1:$C$658,$A25,Socle!$D$1:$D$658,$C25,Socle!$E$1:$E$658,$D25,Socle!$F$1:$F$658,$E25,Socle!$G$1:$G$658,"2026"))</f>
        <v>0</v>
      </c>
      <c r="I25">
        <f>IF($A25="","",_xlfn.SUMIFS(Socle!$P$1:$P$658,Socle!$C$1:$C$658,$A25,Socle!$D$1:$D$658,$C25,Socle!$E$1:$E$658,$D25,Socle!$F$1:$F$658,$E25,Socle!$G$1:$G$658,"2026"))</f>
        <v>8400</v>
      </c>
      <c r="J25">
        <f>IF($A25="","",_xlfn.SUMIFS(Socle!$W$1:$W$658,Socle!$C$1:$C$658,$A25,Socle!$D$1:$D$658,$C25,Socle!$E$1:$E$658,$D25,Socle!$F$1:$F$658,$E25,Socle!$G$1:$G$658,"2026"))</f>
        <v>0.2</v>
      </c>
      <c r="K25">
        <f>IF($A25="","",_xlfn.SUMIFS(Socle!$X$1:$X$658,Socle!$C$1:$C$658,$A25,Socle!$D$1:$D$658,$C25,Socle!$E$1:$E$658,$D25,Socle!$F$1:$F$658,$E25,Socle!$G$1:$G$658,"2026"))</f>
        <v>0.700819672</v>
      </c>
      <c r="L25">
        <f>IF($A25="","",_xlfn.SUMIFS(Socle!$Y$1:$Y$658,Socle!$C$1:$C$658,$A25,Socle!$D$1:$D$658,$C25,Socle!$E$1:$E$658,$D25,Socle!$F$1:$F$658,$E25,Socle!$G$1:$G$658,"2026"))</f>
        <v>0.421052632</v>
      </c>
      <c r="M25">
        <f>IF($A25="","",_xlfn.SUMIFS(Socle!$V$1:$V$658,Socle!$C$1:$C$658,$A25,Socle!$D$1:$D$658,$C25,Socle!$E$1:$E$658,$D25,Socle!$F$1:$F$658,$E25,Socle!$G$1:$G$658,"2026"))</f>
        <v>0</v>
      </c>
      <c r="N25">
        <f t="shared" si="0"/>
        <v>1</v>
      </c>
      <c r="O25">
        <f>IF($A25="","",_xlfn.SUMIFS(Campagne!$D$1:$D$141,Campagne!$C$1:$C$141,$A25))</f>
        <v>690</v>
      </c>
      <c r="P25">
        <f>IF($A25="","",_xlfn.SUMIFS(Campagne!$E$1:$E$141,Campagne!$C$1:$C$141,$A25))</f>
        <v>1126</v>
      </c>
      <c r="Q25">
        <f>IF($A25="","",_xlfn.SUMIFS(Campagne!$F$1:$F$141,Campagne!$C$1:$C$141,$A25))</f>
        <v>1816</v>
      </c>
      <c r="R25">
        <f>IF($A25="","",_xlfn.SUMIFS(Campagne!$K$1:$K$141,Campagne!$C$1:$C$141,$A25))</f>
        <v>0.442086266</v>
      </c>
      <c r="S25">
        <f>IF($A25="","",_xlfn.SUMIFS(Campagne!$M$1:$M$141,Campagne!$C$1:$C$141,$A25))</f>
        <v>0.317193514</v>
      </c>
      <c r="T25">
        <f>IF($A25="","",_xlfn.SUMIFS(Pilotage!$K$19:$K$32,Pilotage!$A$19:$A$32,$A25)*_xlfn.SUMIFS(Pilotage!$J$19:$J$32,Pilotage!$A$19:$A$32,$A25)*(SUM(Pilotage!$K$19:$K$32)/SUMPRODUCT(Pilotage!$K$19:$K$32,Pilotage!$J$19:$J$32)))</f>
        <v>60800</v>
      </c>
      <c r="U25">
        <f>IF($A25="","",_xlfn.SUMIFS(Pilotage!$K$19:$K$32,Pilotage!$A$19:$A$32,$A25))</f>
        <v>60800</v>
      </c>
      <c r="V25">
        <f>IF($A25="","",IF($B25="V01",Cadrage!$C$23,IF($B25="V02",Cadrage!$D$23,Cadrage!$E$23)))</f>
        <v>0.08</v>
      </c>
      <c r="W25">
        <f>IF($A25="","",IF($B25="V01",Cadrage!$C$24,IF($B25="V02",Cadrage!$D$24,Cadrage!$E$24)))</f>
        <v>0.1</v>
      </c>
      <c r="X25">
        <f>IF($A25="","",IF($B25="V01",Cadrage!$C$25,IF($B25="V02",Cadrage!$D$25,Cadrage!$E$25)))</f>
        <v>0.0029</v>
      </c>
      <c r="Y25">
        <f>IF($A25="","",IF($B25="V01",Cadrage!$C$26,IF($B25="V02",Cadrage!$D$26,Cadrage!$E$26)))</f>
        <v>0.01</v>
      </c>
      <c r="Z25">
        <f>IF($A25="","",IF($B25="V01",Cadrage!$C$27,IF($B25="V02",Cadrage!$D$27,Cadrage!$E$27)))</f>
        <v>0.01</v>
      </c>
      <c r="AA25">
        <f>IF($A25="","",IF($B25="V01",Cadrage!$C$28,IF($B25="V02",Cadrage!$D$28,Cadrage!$E$28)))</f>
        <v>0.005</v>
      </c>
      <c r="AB25">
        <f>IF($A25="","",IF($B25="V01",Cadrage!$C$42,IF($B25="V02",Cadrage!$D$42,Cadrage!$E$42)))</f>
        <v>90</v>
      </c>
      <c r="AC25">
        <f>IF($A25="","",IF($F25="MBWAY",Cadrage!$K$34,IF($F25="ISCOM",Cadrage!$K$35,IF($F25="IPAC",Cadrage!$K$36,IF($F25="PIGIER",Cadrage!$K$37,Cadrage!$K$38)))))</f>
        <v>1.15</v>
      </c>
      <c r="AD25">
        <f t="shared" si="1"/>
        <v>79.9589272178958</v>
      </c>
      <c r="AE25">
        <f t="shared" si="2"/>
        <v>79.9589272178958</v>
      </c>
      <c r="AF25">
        <f t="shared" si="3"/>
        <v>79.9589272178958</v>
      </c>
      <c r="AG25">
        <f t="shared" si="4"/>
        <v>8428.014</v>
      </c>
      <c r="AH25">
        <f t="shared" si="5"/>
        <v>681091.261467017</v>
      </c>
    </row>
    <row r="26" ht="14.25" customHeight="1">
      <c r="A26" t="str">
        <f>IF(Moteur!D26="","",Moteur!D26)</f>
        <v>ISCOM_PAR</v>
      </c>
      <c r="B26" t="str">
        <f>IF(Moteur!B26="","",Moteur!B26)</f>
        <v>V01</v>
      </c>
      <c r="C26" t="str">
        <f>IF(Moteur!F26="","",Moteur!F26)</f>
        <v>MAS_COM</v>
      </c>
      <c r="D26" t="str">
        <f>IF(Moteur!G26="","",Moteur!G26)</f>
        <v>M2</v>
      </c>
      <c r="E26" t="str">
        <f>IF(Moteur!H26="","",Moteur!H26)</f>
        <v>ALT</v>
      </c>
      <c r="F26" t="str">
        <f>IF(Moteur!E26="","",Moteur!E26)</f>
        <v>ISCOM</v>
      </c>
      <c r="G26">
        <f>IF($A26="","",_xlfn.SUMIFS(Socle!$H$1:$H$658,Socle!$C$1:$C$658,$A26,Socle!$D$1:$D$658,$C26,Socle!$E$1:$E$658,$D26,Socle!$F$1:$F$658,$E26,Socle!$G$1:$G$658,"2026"))</f>
        <v>0</v>
      </c>
      <c r="H26">
        <f>IF($A26="","",_xlfn.SUMIFS(Socle!$N$1:$N$658,Socle!$C$1:$C$658,$A26,Socle!$D$1:$D$658,$C26,Socle!$E$1:$E$658,$D26,Socle!$F$1:$F$658,$E26,Socle!$G$1:$G$658,"2026"))</f>
        <v>72</v>
      </c>
      <c r="I26">
        <f>IF($A26="","",_xlfn.SUMIFS(Socle!$P$1:$P$658,Socle!$C$1:$C$658,$A26,Socle!$D$1:$D$658,$C26,Socle!$E$1:$E$658,$D26,Socle!$F$1:$F$658,$E26,Socle!$G$1:$G$658,"2026"))</f>
        <v>8400</v>
      </c>
      <c r="J26">
        <f>IF($A26="","",_xlfn.SUMIFS(Socle!$W$1:$W$658,Socle!$C$1:$C$658,$A26,Socle!$D$1:$D$658,$C26,Socle!$E$1:$E$658,$D26,Socle!$F$1:$F$658,$E26,Socle!$G$1:$G$658,"2026"))</f>
        <v>0</v>
      </c>
      <c r="K26">
        <f>IF($A26="","",_xlfn.SUMIFS(Socle!$X$1:$X$658,Socle!$C$1:$C$658,$A26,Socle!$D$1:$D$658,$C26,Socle!$E$1:$E$658,$D26,Socle!$F$1:$F$658,$E26,Socle!$G$1:$G$658,"2026"))</f>
        <v>0</v>
      </c>
      <c r="L26">
        <f>IF($A26="","",_xlfn.SUMIFS(Socle!$Y$1:$Y$658,Socle!$C$1:$C$658,$A26,Socle!$D$1:$D$658,$C26,Socle!$E$1:$E$658,$D26,Socle!$F$1:$F$658,$E26,Socle!$G$1:$G$658,"2026"))</f>
        <v>0</v>
      </c>
      <c r="M26">
        <f>IF($A26="","",_xlfn.SUMIFS(Socle!$V$1:$V$658,Socle!$C$1:$C$658,$A26,Socle!$D$1:$D$658,$C26,Socle!$E$1:$E$658,$D26,Socle!$F$1:$F$658,$E26,Socle!$G$1:$G$658,"2026"))</f>
        <v>0.986111111</v>
      </c>
      <c r="N26">
        <f t="shared" si="0"/>
        <v>0</v>
      </c>
      <c r="O26">
        <f>IF($A26="","",_xlfn.SUMIFS(Campagne!$D$1:$D$141,Campagne!$C$1:$C$141,$A26))</f>
        <v>690</v>
      </c>
      <c r="P26">
        <f>IF($A26="","",_xlfn.SUMIFS(Campagne!$E$1:$E$141,Campagne!$C$1:$C$141,$A26))</f>
        <v>1126</v>
      </c>
      <c r="Q26">
        <f>IF($A26="","",_xlfn.SUMIFS(Campagne!$F$1:$F$141,Campagne!$C$1:$C$141,$A26))</f>
        <v>1816</v>
      </c>
      <c r="R26">
        <f>IF($A26="","",_xlfn.SUMIFS(Campagne!$K$1:$K$141,Campagne!$C$1:$C$141,$A26))</f>
        <v>0.442086266</v>
      </c>
      <c r="S26">
        <f>IF($A26="","",_xlfn.SUMIFS(Campagne!$M$1:$M$141,Campagne!$C$1:$C$141,$A26))</f>
        <v>0.317193514</v>
      </c>
      <c r="T26">
        <f>IF($A26="","",_xlfn.SUMIFS(Pilotage!$K$19:$K$32,Pilotage!$A$19:$A$32,$A26)*_xlfn.SUMIFS(Pilotage!$J$19:$J$32,Pilotage!$A$19:$A$32,$A26)*(SUM(Pilotage!$K$19:$K$32)/SUMPRODUCT(Pilotage!$K$19:$K$32,Pilotage!$J$19:$J$32)))</f>
        <v>60800</v>
      </c>
      <c r="U26">
        <f>IF($A26="","",_xlfn.SUMIFS(Pilotage!$K$19:$K$32,Pilotage!$A$19:$A$32,$A26))</f>
        <v>60800</v>
      </c>
      <c r="V26">
        <f>IF($A26="","",IF($B26="V01",Cadrage!$C$23,IF($B26="V02",Cadrage!$D$23,Cadrage!$E$23)))</f>
        <v>0.08</v>
      </c>
      <c r="W26">
        <f>IF($A26="","",IF($B26="V01",Cadrage!$C$24,IF($B26="V02",Cadrage!$D$24,Cadrage!$E$24)))</f>
        <v>0.1</v>
      </c>
      <c r="X26">
        <f>IF($A26="","",IF($B26="V01",Cadrage!$C$25,IF($B26="V02",Cadrage!$D$25,Cadrage!$E$25)))</f>
        <v>0.0029</v>
      </c>
      <c r="Y26">
        <f>IF($A26="","",IF($B26="V01",Cadrage!$C$26,IF($B26="V02",Cadrage!$D$26,Cadrage!$E$26)))</f>
        <v>0.01</v>
      </c>
      <c r="Z26">
        <f>IF($A26="","",IF($B26="V01",Cadrage!$C$27,IF($B26="V02",Cadrage!$D$27,Cadrage!$E$27)))</f>
        <v>0.01</v>
      </c>
      <c r="AA26">
        <f>IF($A26="","",IF($B26="V01",Cadrage!$C$28,IF($B26="V02",Cadrage!$D$28,Cadrage!$E$28)))</f>
        <v>0.005</v>
      </c>
      <c r="AB26">
        <f>IF($A26="","",IF($B26="V01",Cadrage!$C$42,IF($B26="V02",Cadrage!$D$42,Cadrage!$E$42)))</f>
        <v>90</v>
      </c>
      <c r="AC26">
        <f>IF($A26="","",IF($F26="MBWAY",Cadrage!$K$34,IF($F26="ISCOM",Cadrage!$K$35,IF($F26="IPAC",Cadrage!$K$36,IF($F26="PIGIER",Cadrage!$K$37,Cadrage!$K$38)))))</f>
        <v>1.15</v>
      </c>
      <c r="AD26">
        <f t="shared" si="1"/>
        <v>0</v>
      </c>
      <c r="AE26">
        <f t="shared" si="2"/>
        <v>0</v>
      </c>
      <c r="AF26">
        <f t="shared" si="3"/>
        <v>71.359999992</v>
      </c>
      <c r="AG26">
        <f t="shared" si="4"/>
        <v>8428.014</v>
      </c>
      <c r="AH26">
        <f t="shared" si="5"/>
        <v>601423.078972576</v>
      </c>
    </row>
    <row r="27" ht="14.25" customHeight="1">
      <c r="A27" t="str">
        <f>IF(Moteur!D27="","",Moteur!D27)</f>
        <v>ISCOM_LIL</v>
      </c>
      <c r="B27" t="str">
        <f>IF(Moteur!B27="","",Moteur!B27)</f>
        <v>V01</v>
      </c>
      <c r="C27" t="str">
        <f>IF(Moteur!F27="","",Moteur!F27)</f>
        <v>BAC_COM</v>
      </c>
      <c r="D27" t="str">
        <f>IF(Moteur!G27="","",Moteur!G27)</f>
        <v>B1</v>
      </c>
      <c r="E27" t="str">
        <f>IF(Moteur!H27="","",Moteur!H27)</f>
        <v>INIT</v>
      </c>
      <c r="F27" t="str">
        <f>IF(Moteur!E27="","",Moteur!E27)</f>
        <v>ISCOM</v>
      </c>
      <c r="G27">
        <f>IF($A27="","",_xlfn.SUMIFS(Socle!$H$1:$H$658,Socle!$C$1:$C$658,$A27,Socle!$D$1:$D$658,$C27,Socle!$E$1:$E$658,$D27,Socle!$F$1:$F$658,$E27,Socle!$G$1:$G$658,"2026"))</f>
        <v>411</v>
      </c>
      <c r="H27">
        <f>IF($A27="","",_xlfn.SUMIFS(Socle!$N$1:$N$658,Socle!$C$1:$C$658,$A27,Socle!$D$1:$D$658,$C27,Socle!$E$1:$E$658,$D27,Socle!$F$1:$F$658,$E27,Socle!$G$1:$G$658,"2026"))</f>
        <v>0</v>
      </c>
      <c r="I27">
        <f>IF($A27="","",_xlfn.SUMIFS(Socle!$P$1:$P$658,Socle!$C$1:$C$658,$A27,Socle!$D$1:$D$658,$C27,Socle!$E$1:$E$658,$D27,Socle!$F$1:$F$658,$E27,Socle!$G$1:$G$658,"2026"))</f>
        <v>7350</v>
      </c>
      <c r="J27">
        <f>IF($A27="","",_xlfn.SUMIFS(Socle!$W$1:$W$658,Socle!$C$1:$C$658,$A27,Socle!$D$1:$D$658,$C27,Socle!$E$1:$E$658,$D27,Socle!$F$1:$F$658,$E27,Socle!$G$1:$G$658,"2026"))</f>
        <v>0.279805353</v>
      </c>
      <c r="K27">
        <f>IF($A27="","",_xlfn.SUMIFS(Socle!$X$1:$X$658,Socle!$C$1:$C$658,$A27,Socle!$D$1:$D$658,$C27,Socle!$E$1:$E$658,$D27,Socle!$F$1:$F$658,$E27,Socle!$G$1:$G$658,"2026"))</f>
        <v>0.72173913</v>
      </c>
      <c r="L27">
        <f>IF($A27="","",_xlfn.SUMIFS(Socle!$Y$1:$Y$658,Socle!$C$1:$C$658,$A27,Socle!$D$1:$D$658,$C27,Socle!$E$1:$E$658,$D27,Socle!$F$1:$F$658,$E27,Socle!$G$1:$G$658,"2026"))</f>
        <v>0.602409639</v>
      </c>
      <c r="M27">
        <f>IF($A27="","",_xlfn.SUMIFS(Socle!$V$1:$V$658,Socle!$C$1:$C$658,$A27,Socle!$D$1:$D$658,$C27,Socle!$E$1:$E$658,$D27,Socle!$F$1:$F$658,$E27,Socle!$G$1:$G$658,"2026"))</f>
        <v>0</v>
      </c>
      <c r="N27">
        <f t="shared" si="0"/>
        <v>1</v>
      </c>
      <c r="O27">
        <f>IF($A27="","",_xlfn.SUMIFS(Campagne!$D$1:$D$141,Campagne!$C$1:$C$141,$A27))</f>
        <v>630</v>
      </c>
      <c r="P27">
        <f>IF($A27="","",_xlfn.SUMIFS(Campagne!$E$1:$E$141,Campagne!$C$1:$C$141,$A27))</f>
        <v>630</v>
      </c>
      <c r="Q27">
        <f>IF($A27="","",_xlfn.SUMIFS(Campagne!$F$1:$F$141,Campagne!$C$1:$C$141,$A27))</f>
        <v>1260</v>
      </c>
      <c r="R27">
        <f>IF($A27="","",_xlfn.SUMIFS(Campagne!$K$1:$K$141,Campagne!$C$1:$C$141,$A27))</f>
        <v>0.515848308</v>
      </c>
      <c r="S27">
        <f>IF($A27="","",_xlfn.SUMIFS(Campagne!$M$1:$M$141,Campagne!$C$1:$C$141,$A27))</f>
        <v>0.348380583</v>
      </c>
      <c r="T27">
        <f>IF($A27="","",_xlfn.SUMIFS(Pilotage!$K$19:$K$32,Pilotage!$A$19:$A$32,$A27)*_xlfn.SUMIFS(Pilotage!$J$19:$J$32,Pilotage!$A$19:$A$32,$A27)*(SUM(Pilotage!$K$19:$K$32)/SUMPRODUCT(Pilotage!$K$19:$K$32,Pilotage!$J$19:$J$32)))</f>
        <v>25220</v>
      </c>
      <c r="U27">
        <f>IF($A27="","",_xlfn.SUMIFS(Pilotage!$K$19:$K$32,Pilotage!$A$19:$A$32,$A27))</f>
        <v>25220</v>
      </c>
      <c r="V27">
        <f>IF($A27="","",IF($B27="V01",Cadrage!$C$23,IF($B27="V02",Cadrage!$D$23,Cadrage!$E$23)))</f>
        <v>0.08</v>
      </c>
      <c r="W27">
        <f>IF($A27="","",IF($B27="V01",Cadrage!$C$24,IF($B27="V02",Cadrage!$D$24,Cadrage!$E$24)))</f>
        <v>0.1</v>
      </c>
      <c r="X27">
        <f>IF($A27="","",IF($B27="V01",Cadrage!$C$25,IF($B27="V02",Cadrage!$D$25,Cadrage!$E$25)))</f>
        <v>0.0029</v>
      </c>
      <c r="Y27">
        <f>IF($A27="","",IF($B27="V01",Cadrage!$C$26,IF($B27="V02",Cadrage!$D$26,Cadrage!$E$26)))</f>
        <v>0.01</v>
      </c>
      <c r="Z27">
        <f>IF($A27="","",IF($B27="V01",Cadrage!$C$27,IF($B27="V02",Cadrage!$D$27,Cadrage!$E$27)))</f>
        <v>0.01</v>
      </c>
      <c r="AA27">
        <f>IF($A27="","",IF($B27="V01",Cadrage!$C$28,IF($B27="V02",Cadrage!$D$28,Cadrage!$E$28)))</f>
        <v>0.005</v>
      </c>
      <c r="AB27">
        <f>IF($A27="","",IF($B27="V01",Cadrage!$C$42,IF($B27="V02",Cadrage!$D$42,Cadrage!$E$42)))</f>
        <v>90</v>
      </c>
      <c r="AC27">
        <f>IF($A27="","",IF($F27="MBWAY",Cadrage!$K$34,IF($F27="ISCOM",Cadrage!$K$35,IF($F27="IPAC",Cadrage!$K$36,IF($F27="PIGIER",Cadrage!$K$37,Cadrage!$K$38)))))</f>
        <v>1.15</v>
      </c>
      <c r="AD27">
        <f t="shared" si="1"/>
        <v>54.6014005758159</v>
      </c>
      <c r="AE27">
        <f t="shared" si="2"/>
        <v>54.6014005758159</v>
      </c>
      <c r="AF27">
        <f t="shared" si="3"/>
        <v>54.6014005758159</v>
      </c>
      <c r="AG27">
        <f t="shared" si="4"/>
        <v>7374.51225</v>
      </c>
      <c r="AH27">
        <f t="shared" si="5"/>
        <v>407572.823465335</v>
      </c>
    </row>
    <row r="28" ht="14.25" customHeight="1">
      <c r="A28" t="str">
        <f>IF(Moteur!D28="","",Moteur!D28)</f>
        <v>ISCOM_LIL</v>
      </c>
      <c r="B28" t="str">
        <f>IF(Moteur!B28="","",Moteur!B28)</f>
        <v>V01</v>
      </c>
      <c r="C28" t="str">
        <f>IF(Moteur!F28="","",Moteur!F28)</f>
        <v>BAC_COM</v>
      </c>
      <c r="D28" t="str">
        <f>IF(Moteur!G28="","",Moteur!G28)</f>
        <v>B2</v>
      </c>
      <c r="E28" t="str">
        <f>IF(Moteur!H28="","",Moteur!H28)</f>
        <v>ALT</v>
      </c>
      <c r="F28" t="str">
        <f>IF(Moteur!E28="","",Moteur!E28)</f>
        <v>ISCOM</v>
      </c>
      <c r="G28">
        <f>IF($A28="","",_xlfn.SUMIFS(Socle!$H$1:$H$658,Socle!$C$1:$C$658,$A28,Socle!$D$1:$D$658,$C28,Socle!$E$1:$E$658,$D28,Socle!$F$1:$F$658,$E28,Socle!$G$1:$G$658,"2026"))</f>
        <v>0</v>
      </c>
      <c r="H28">
        <f>IF($A28="","",_xlfn.SUMIFS(Socle!$N$1:$N$658,Socle!$C$1:$C$658,$A28,Socle!$D$1:$D$658,$C28,Socle!$E$1:$E$658,$D28,Socle!$F$1:$F$658,$E28,Socle!$G$1:$G$658,"2026"))</f>
        <v>50</v>
      </c>
      <c r="I28">
        <f>IF($A28="","",_xlfn.SUMIFS(Socle!$P$1:$P$658,Socle!$C$1:$C$658,$A28,Socle!$D$1:$D$658,$C28,Socle!$E$1:$E$658,$D28,Socle!$F$1:$F$658,$E28,Socle!$G$1:$G$658,"2026"))</f>
        <v>6860</v>
      </c>
      <c r="J28">
        <f>IF($A28="","",_xlfn.SUMIFS(Socle!$W$1:$W$658,Socle!$C$1:$C$658,$A28,Socle!$D$1:$D$658,$C28,Socle!$E$1:$E$658,$D28,Socle!$F$1:$F$658,$E28,Socle!$G$1:$G$658,"2026"))</f>
        <v>0</v>
      </c>
      <c r="K28">
        <f>IF($A28="","",_xlfn.SUMIFS(Socle!$X$1:$X$658,Socle!$C$1:$C$658,$A28,Socle!$D$1:$D$658,$C28,Socle!$E$1:$E$658,$D28,Socle!$F$1:$F$658,$E28,Socle!$G$1:$G$658,"2026"))</f>
        <v>0</v>
      </c>
      <c r="L28">
        <f>IF($A28="","",_xlfn.SUMIFS(Socle!$Y$1:$Y$658,Socle!$C$1:$C$658,$A28,Socle!$D$1:$D$658,$C28,Socle!$E$1:$E$658,$D28,Socle!$F$1:$F$658,$E28,Socle!$G$1:$G$658,"2026"))</f>
        <v>0</v>
      </c>
      <c r="M28">
        <f>IF($A28="","",_xlfn.SUMIFS(Socle!$V$1:$V$658,Socle!$C$1:$C$658,$A28,Socle!$D$1:$D$658,$C28,Socle!$E$1:$E$658,$D28,Socle!$F$1:$F$658,$E28,Socle!$G$1:$G$658,"2026"))</f>
        <v>0.96</v>
      </c>
      <c r="N28">
        <f t="shared" si="0"/>
        <v>0</v>
      </c>
      <c r="O28">
        <f>IF($A28="","",_xlfn.SUMIFS(Campagne!$D$1:$D$141,Campagne!$C$1:$C$141,$A28))</f>
        <v>630</v>
      </c>
      <c r="P28">
        <f>IF($A28="","",_xlfn.SUMIFS(Campagne!$E$1:$E$141,Campagne!$C$1:$C$141,$A28))</f>
        <v>630</v>
      </c>
      <c r="Q28">
        <f>IF($A28="","",_xlfn.SUMIFS(Campagne!$F$1:$F$141,Campagne!$C$1:$C$141,$A28))</f>
        <v>1260</v>
      </c>
      <c r="R28">
        <f>IF($A28="","",_xlfn.SUMIFS(Campagne!$K$1:$K$141,Campagne!$C$1:$C$141,$A28))</f>
        <v>0.515848308</v>
      </c>
      <c r="S28">
        <f>IF($A28="","",_xlfn.SUMIFS(Campagne!$M$1:$M$141,Campagne!$C$1:$C$141,$A28))</f>
        <v>0.348380583</v>
      </c>
      <c r="T28">
        <f>IF($A28="","",_xlfn.SUMIFS(Pilotage!$K$19:$K$32,Pilotage!$A$19:$A$32,$A28)*_xlfn.SUMIFS(Pilotage!$J$19:$J$32,Pilotage!$A$19:$A$32,$A28)*(SUM(Pilotage!$K$19:$K$32)/SUMPRODUCT(Pilotage!$K$19:$K$32,Pilotage!$J$19:$J$32)))</f>
        <v>25220</v>
      </c>
      <c r="U28">
        <f>IF($A28="","",_xlfn.SUMIFS(Pilotage!$K$19:$K$32,Pilotage!$A$19:$A$32,$A28))</f>
        <v>25220</v>
      </c>
      <c r="V28">
        <f>IF($A28="","",IF($B28="V01",Cadrage!$C$23,IF($B28="V02",Cadrage!$D$23,Cadrage!$E$23)))</f>
        <v>0.08</v>
      </c>
      <c r="W28">
        <f>IF($A28="","",IF($B28="V01",Cadrage!$C$24,IF($B28="V02",Cadrage!$D$24,Cadrage!$E$24)))</f>
        <v>0.1</v>
      </c>
      <c r="X28">
        <f>IF($A28="","",IF($B28="V01",Cadrage!$C$25,IF($B28="V02",Cadrage!$D$25,Cadrage!$E$25)))</f>
        <v>0.0029</v>
      </c>
      <c r="Y28">
        <f>IF($A28="","",IF($B28="V01",Cadrage!$C$26,IF($B28="V02",Cadrage!$D$26,Cadrage!$E$26)))</f>
        <v>0.01</v>
      </c>
      <c r="Z28">
        <f>IF($A28="","",IF($B28="V01",Cadrage!$C$27,IF($B28="V02",Cadrage!$D$27,Cadrage!$E$27)))</f>
        <v>0.01</v>
      </c>
      <c r="AA28">
        <f>IF($A28="","",IF($B28="V01",Cadrage!$C$28,IF($B28="V02",Cadrage!$D$28,Cadrage!$E$28)))</f>
        <v>0.005</v>
      </c>
      <c r="AB28">
        <f>IF($A28="","",IF($B28="V01",Cadrage!$C$42,IF($B28="V02",Cadrage!$D$42,Cadrage!$E$42)))</f>
        <v>90</v>
      </c>
      <c r="AC28">
        <f>IF($A28="","",IF($F28="MBWAY",Cadrage!$K$34,IF($F28="ISCOM",Cadrage!$K$35,IF($F28="IPAC",Cadrage!$K$36,IF($F28="PIGIER",Cadrage!$K$37,Cadrage!$K$38)))))</f>
        <v>1.15</v>
      </c>
      <c r="AD28">
        <f t="shared" si="1"/>
        <v>0</v>
      </c>
      <c r="AE28">
        <f t="shared" si="2"/>
        <v>0</v>
      </c>
      <c r="AF28">
        <f t="shared" si="3"/>
        <v>48.25</v>
      </c>
      <c r="AG28">
        <f t="shared" si="4"/>
        <v>6882.8781</v>
      </c>
      <c r="AH28">
        <f t="shared" si="5"/>
        <v>332098.868325</v>
      </c>
    </row>
    <row r="29" ht="14.25" customHeight="1">
      <c r="A29" t="str">
        <f>IF(Moteur!D29="","",Moteur!D29)</f>
        <v>ISCOM_LIL</v>
      </c>
      <c r="B29" t="str">
        <f>IF(Moteur!B29="","",Moteur!B29)</f>
        <v>V01</v>
      </c>
      <c r="C29" t="str">
        <f>IF(Moteur!F29="","",Moteur!F29)</f>
        <v>BAC_COM</v>
      </c>
      <c r="D29" t="str">
        <f>IF(Moteur!G29="","",Moteur!G29)</f>
        <v>B3</v>
      </c>
      <c r="E29" t="str">
        <f>IF(Moteur!H29="","",Moteur!H29)</f>
        <v>ALT</v>
      </c>
      <c r="F29" t="str">
        <f>IF(Moteur!E29="","",Moteur!E29)</f>
        <v>ISCOM</v>
      </c>
      <c r="G29">
        <f>IF($A29="","",_xlfn.SUMIFS(Socle!$H$1:$H$658,Socle!$C$1:$C$658,$A29,Socle!$D$1:$D$658,$C29,Socle!$E$1:$E$658,$D29,Socle!$F$1:$F$658,$E29,Socle!$G$1:$G$658,"2026"))</f>
        <v>0</v>
      </c>
      <c r="H29">
        <f>IF($A29="","",_xlfn.SUMIFS(Socle!$N$1:$N$658,Socle!$C$1:$C$658,$A29,Socle!$D$1:$D$658,$C29,Socle!$E$1:$E$658,$D29,Socle!$F$1:$F$658,$E29,Socle!$G$1:$G$658,"2026"))</f>
        <v>48</v>
      </c>
      <c r="I29">
        <f>IF($A29="","",_xlfn.SUMIFS(Socle!$P$1:$P$658,Socle!$C$1:$C$658,$A29,Socle!$D$1:$D$658,$C29,Socle!$E$1:$E$658,$D29,Socle!$F$1:$F$658,$E29,Socle!$G$1:$G$658,"2026"))</f>
        <v>6860</v>
      </c>
      <c r="J29">
        <f>IF($A29="","",_xlfn.SUMIFS(Socle!$W$1:$W$658,Socle!$C$1:$C$658,$A29,Socle!$D$1:$D$658,$C29,Socle!$E$1:$E$658,$D29,Socle!$F$1:$F$658,$E29,Socle!$G$1:$G$658,"2026"))</f>
        <v>0</v>
      </c>
      <c r="K29">
        <f>IF($A29="","",_xlfn.SUMIFS(Socle!$X$1:$X$658,Socle!$C$1:$C$658,$A29,Socle!$D$1:$D$658,$C29,Socle!$E$1:$E$658,$D29,Socle!$F$1:$F$658,$E29,Socle!$G$1:$G$658,"2026"))</f>
        <v>0</v>
      </c>
      <c r="L29">
        <f>IF($A29="","",_xlfn.SUMIFS(Socle!$Y$1:$Y$658,Socle!$C$1:$C$658,$A29,Socle!$D$1:$D$658,$C29,Socle!$E$1:$E$658,$D29,Socle!$F$1:$F$658,$E29,Socle!$G$1:$G$658,"2026"))</f>
        <v>0</v>
      </c>
      <c r="M29">
        <f>IF($A29="","",_xlfn.SUMIFS(Socle!$V$1:$V$658,Socle!$C$1:$C$658,$A29,Socle!$D$1:$D$658,$C29,Socle!$E$1:$E$658,$D29,Socle!$F$1:$F$658,$E29,Socle!$G$1:$G$658,"2026"))</f>
        <v>0.979166667</v>
      </c>
      <c r="N29">
        <f t="shared" si="0"/>
        <v>0</v>
      </c>
      <c r="O29">
        <f>IF($A29="","",_xlfn.SUMIFS(Campagne!$D$1:$D$141,Campagne!$C$1:$C$141,$A29))</f>
        <v>630</v>
      </c>
      <c r="P29">
        <f>IF($A29="","",_xlfn.SUMIFS(Campagne!$E$1:$E$141,Campagne!$C$1:$C$141,$A29))</f>
        <v>630</v>
      </c>
      <c r="Q29">
        <f>IF($A29="","",_xlfn.SUMIFS(Campagne!$F$1:$F$141,Campagne!$C$1:$C$141,$A29))</f>
        <v>1260</v>
      </c>
      <c r="R29">
        <f>IF($A29="","",_xlfn.SUMIFS(Campagne!$K$1:$K$141,Campagne!$C$1:$C$141,$A29))</f>
        <v>0.515848308</v>
      </c>
      <c r="S29">
        <f>IF($A29="","",_xlfn.SUMIFS(Campagne!$M$1:$M$141,Campagne!$C$1:$C$141,$A29))</f>
        <v>0.348380583</v>
      </c>
      <c r="T29">
        <f>IF($A29="","",_xlfn.SUMIFS(Pilotage!$K$19:$K$32,Pilotage!$A$19:$A$32,$A29)*_xlfn.SUMIFS(Pilotage!$J$19:$J$32,Pilotage!$A$19:$A$32,$A29)*(SUM(Pilotage!$K$19:$K$32)/SUMPRODUCT(Pilotage!$K$19:$K$32,Pilotage!$J$19:$J$32)))</f>
        <v>25220</v>
      </c>
      <c r="U29">
        <f>IF($A29="","",_xlfn.SUMIFS(Pilotage!$K$19:$K$32,Pilotage!$A$19:$A$32,$A29))</f>
        <v>25220</v>
      </c>
      <c r="V29">
        <f>IF($A29="","",IF($B29="V01",Cadrage!$C$23,IF($B29="V02",Cadrage!$D$23,Cadrage!$E$23)))</f>
        <v>0.08</v>
      </c>
      <c r="W29">
        <f>IF($A29="","",IF($B29="V01",Cadrage!$C$24,IF($B29="V02",Cadrage!$D$24,Cadrage!$E$24)))</f>
        <v>0.1</v>
      </c>
      <c r="X29">
        <f>IF($A29="","",IF($B29="V01",Cadrage!$C$25,IF($B29="V02",Cadrage!$D$25,Cadrage!$E$25)))</f>
        <v>0.0029</v>
      </c>
      <c r="Y29">
        <f>IF($A29="","",IF($B29="V01",Cadrage!$C$26,IF($B29="V02",Cadrage!$D$26,Cadrage!$E$26)))</f>
        <v>0.01</v>
      </c>
      <c r="Z29">
        <f>IF($A29="","",IF($B29="V01",Cadrage!$C$27,IF($B29="V02",Cadrage!$D$27,Cadrage!$E$27)))</f>
        <v>0.01</v>
      </c>
      <c r="AA29">
        <f>IF($A29="","",IF($B29="V01",Cadrage!$C$28,IF($B29="V02",Cadrage!$D$28,Cadrage!$E$28)))</f>
        <v>0.005</v>
      </c>
      <c r="AB29">
        <f>IF($A29="","",IF($B29="V01",Cadrage!$C$42,IF($B29="V02",Cadrage!$D$42,Cadrage!$E$42)))</f>
        <v>90</v>
      </c>
      <c r="AC29">
        <f>IF($A29="","",IF($F29="MBWAY",Cadrage!$K$34,IF($F29="ISCOM",Cadrage!$K$35,IF($F29="IPAC",Cadrage!$K$36,IF($F29="PIGIER",Cadrage!$K$37,Cadrage!$K$38)))))</f>
        <v>1.15</v>
      </c>
      <c r="AD29">
        <f t="shared" si="1"/>
        <v>0</v>
      </c>
      <c r="AE29">
        <f t="shared" si="2"/>
        <v>0</v>
      </c>
      <c r="AF29">
        <f t="shared" si="3"/>
        <v>47.240000016</v>
      </c>
      <c r="AG29">
        <f t="shared" si="4"/>
        <v>6882.8781</v>
      </c>
      <c r="AH29">
        <f t="shared" si="5"/>
        <v>325147.161554126</v>
      </c>
    </row>
    <row r="30" ht="14.25" customHeight="1">
      <c r="A30" t="str">
        <f>IF(Moteur!D30="","",Moteur!D30)</f>
        <v>ISCOM_LIL</v>
      </c>
      <c r="B30" t="str">
        <f>IF(Moteur!B30="","",Moteur!B30)</f>
        <v>V01</v>
      </c>
      <c r="C30" t="str">
        <f>IF(Moteur!F30="","",Moteur!F30)</f>
        <v>MAS_COM</v>
      </c>
      <c r="D30" t="str">
        <f>IF(Moteur!G30="","",Moteur!G30)</f>
        <v>M1</v>
      </c>
      <c r="E30" t="str">
        <f>IF(Moteur!H30="","",Moteur!H30)</f>
        <v>ALT</v>
      </c>
      <c r="F30" t="str">
        <f>IF(Moteur!E30="","",Moteur!E30)</f>
        <v>ISCOM</v>
      </c>
      <c r="G30">
        <f>IF($A30="","",_xlfn.SUMIFS(Socle!$H$1:$H$658,Socle!$C$1:$C$658,$A30,Socle!$D$1:$D$658,$C30,Socle!$E$1:$E$658,$D30,Socle!$F$1:$F$658,$E30,Socle!$G$1:$G$658,"2026"))</f>
        <v>850</v>
      </c>
      <c r="H30">
        <f>IF($A30="","",_xlfn.SUMIFS(Socle!$N$1:$N$658,Socle!$C$1:$C$658,$A30,Socle!$D$1:$D$658,$C30,Socle!$E$1:$E$658,$D30,Socle!$F$1:$F$658,$E30,Socle!$G$1:$G$658,"2026"))</f>
        <v>0</v>
      </c>
      <c r="I30">
        <f>IF($A30="","",_xlfn.SUMIFS(Socle!$P$1:$P$658,Socle!$C$1:$C$658,$A30,Socle!$D$1:$D$658,$C30,Socle!$E$1:$E$658,$D30,Socle!$F$1:$F$658,$E30,Socle!$G$1:$G$658,"2026"))</f>
        <v>7350</v>
      </c>
      <c r="J30">
        <f>IF($A30="","",_xlfn.SUMIFS(Socle!$W$1:$W$658,Socle!$C$1:$C$658,$A30,Socle!$D$1:$D$658,$C30,Socle!$E$1:$E$658,$D30,Socle!$F$1:$F$658,$E30,Socle!$G$1:$G$658,"2026"))</f>
        <v>0.2</v>
      </c>
      <c r="K30">
        <f>IF($A30="","",_xlfn.SUMIFS(Socle!$X$1:$X$658,Socle!$C$1:$C$658,$A30,Socle!$D$1:$D$658,$C30,Socle!$E$1:$E$658,$D30,Socle!$F$1:$F$658,$E30,Socle!$G$1:$G$658,"2026"))</f>
        <v>0.7</v>
      </c>
      <c r="L30">
        <f>IF($A30="","",_xlfn.SUMIFS(Socle!$Y$1:$Y$658,Socle!$C$1:$C$658,$A30,Socle!$D$1:$D$658,$C30,Socle!$E$1:$E$658,$D30,Socle!$F$1:$F$658,$E30,Socle!$G$1:$G$658,"2026"))</f>
        <v>0.420168067</v>
      </c>
      <c r="M30">
        <f>IF($A30="","",_xlfn.SUMIFS(Socle!$V$1:$V$658,Socle!$C$1:$C$658,$A30,Socle!$D$1:$D$658,$C30,Socle!$E$1:$E$658,$D30,Socle!$F$1:$F$658,$E30,Socle!$G$1:$G$658,"2026"))</f>
        <v>0</v>
      </c>
      <c r="N30">
        <f t="shared" si="0"/>
        <v>1</v>
      </c>
      <c r="O30">
        <f>IF($A30="","",_xlfn.SUMIFS(Campagne!$D$1:$D$141,Campagne!$C$1:$C$141,$A30))</f>
        <v>630</v>
      </c>
      <c r="P30">
        <f>IF($A30="","",_xlfn.SUMIFS(Campagne!$E$1:$E$141,Campagne!$C$1:$C$141,$A30))</f>
        <v>630</v>
      </c>
      <c r="Q30">
        <f>IF($A30="","",_xlfn.SUMIFS(Campagne!$F$1:$F$141,Campagne!$C$1:$C$141,$A30))</f>
        <v>1260</v>
      </c>
      <c r="R30">
        <f>IF($A30="","",_xlfn.SUMIFS(Campagne!$K$1:$K$141,Campagne!$C$1:$C$141,$A30))</f>
        <v>0.515848308</v>
      </c>
      <c r="S30">
        <f>IF($A30="","",_xlfn.SUMIFS(Campagne!$M$1:$M$141,Campagne!$C$1:$C$141,$A30))</f>
        <v>0.348380583</v>
      </c>
      <c r="T30">
        <f>IF($A30="","",_xlfn.SUMIFS(Pilotage!$K$19:$K$32,Pilotage!$A$19:$A$32,$A30)*_xlfn.SUMIFS(Pilotage!$J$19:$J$32,Pilotage!$A$19:$A$32,$A30)*(SUM(Pilotage!$K$19:$K$32)/SUMPRODUCT(Pilotage!$K$19:$K$32,Pilotage!$J$19:$J$32)))</f>
        <v>25220</v>
      </c>
      <c r="U30">
        <f>IF($A30="","",_xlfn.SUMIFS(Pilotage!$K$19:$K$32,Pilotage!$A$19:$A$32,$A30))</f>
        <v>25220</v>
      </c>
      <c r="V30">
        <f>IF($A30="","",IF($B30="V01",Cadrage!$C$23,IF($B30="V02",Cadrage!$D$23,Cadrage!$E$23)))</f>
        <v>0.08</v>
      </c>
      <c r="W30">
        <f>IF($A30="","",IF($B30="V01",Cadrage!$C$24,IF($B30="V02",Cadrage!$D$24,Cadrage!$E$24)))</f>
        <v>0.1</v>
      </c>
      <c r="X30">
        <f>IF($A30="","",IF($B30="V01",Cadrage!$C$25,IF($B30="V02",Cadrage!$D$25,Cadrage!$E$25)))</f>
        <v>0.0029</v>
      </c>
      <c r="Y30">
        <f>IF($A30="","",IF($B30="V01",Cadrage!$C$26,IF($B30="V02",Cadrage!$D$26,Cadrage!$E$26)))</f>
        <v>0.01</v>
      </c>
      <c r="Z30">
        <f>IF($A30="","",IF($B30="V01",Cadrage!$C$27,IF($B30="V02",Cadrage!$D$27,Cadrage!$E$27)))</f>
        <v>0.01</v>
      </c>
      <c r="AA30">
        <f>IF($A30="","",IF($B30="V01",Cadrage!$C$28,IF($B30="V02",Cadrage!$D$28,Cadrage!$E$28)))</f>
        <v>0.005</v>
      </c>
      <c r="AB30">
        <f>IF($A30="","",IF($B30="V01",Cadrage!$C$42,IF($B30="V02",Cadrage!$D$42,Cadrage!$E$42)))</f>
        <v>90</v>
      </c>
      <c r="AC30">
        <f>IF($A30="","",IF($F30="MBWAY",Cadrage!$K$34,IF($F30="ISCOM",Cadrage!$K$35,IF($F30="IPAC",Cadrage!$K$36,IF($F30="PIGIER",Cadrage!$K$37,Cadrage!$K$38)))))</f>
        <v>1.15</v>
      </c>
      <c r="AD30">
        <f t="shared" si="1"/>
        <v>55.7452306774578</v>
      </c>
      <c r="AE30">
        <f t="shared" si="2"/>
        <v>55.7452306774578</v>
      </c>
      <c r="AF30">
        <f t="shared" si="3"/>
        <v>55.7452306774578</v>
      </c>
      <c r="AG30">
        <f t="shared" si="4"/>
        <v>7374.51225</v>
      </c>
      <c r="AH30">
        <f t="shared" si="5"/>
        <v>416110.95727096</v>
      </c>
    </row>
    <row r="31" ht="14.25" customHeight="1">
      <c r="A31" t="str">
        <f>IF(Moteur!D31="","",Moteur!D31)</f>
        <v>ISCOM_LIL</v>
      </c>
      <c r="B31" t="str">
        <f>IF(Moteur!B31="","",Moteur!B31)</f>
        <v>V01</v>
      </c>
      <c r="C31" t="str">
        <f>IF(Moteur!F31="","",Moteur!F31)</f>
        <v>MAS_COM</v>
      </c>
      <c r="D31" t="str">
        <f>IF(Moteur!G31="","",Moteur!G31)</f>
        <v>M2</v>
      </c>
      <c r="E31" t="str">
        <f>IF(Moteur!H31="","",Moteur!H31)</f>
        <v>ALT</v>
      </c>
      <c r="F31" t="str">
        <f>IF(Moteur!E31="","",Moteur!E31)</f>
        <v>ISCOM</v>
      </c>
      <c r="G31">
        <f>IF($A31="","",_xlfn.SUMIFS(Socle!$H$1:$H$658,Socle!$C$1:$C$658,$A31,Socle!$D$1:$D$658,$C31,Socle!$E$1:$E$658,$D31,Socle!$F$1:$F$658,$E31,Socle!$G$1:$G$658,"2026"))</f>
        <v>0</v>
      </c>
      <c r="H31">
        <f>IF($A31="","",_xlfn.SUMIFS(Socle!$N$1:$N$658,Socle!$C$1:$C$658,$A31,Socle!$D$1:$D$658,$C31,Socle!$E$1:$E$658,$D31,Socle!$F$1:$F$658,$E31,Socle!$G$1:$G$658,"2026"))</f>
        <v>50</v>
      </c>
      <c r="I31">
        <f>IF($A31="","",_xlfn.SUMIFS(Socle!$P$1:$P$658,Socle!$C$1:$C$658,$A31,Socle!$D$1:$D$658,$C31,Socle!$E$1:$E$658,$D31,Socle!$F$1:$F$658,$E31,Socle!$G$1:$G$658,"2026"))</f>
        <v>7350</v>
      </c>
      <c r="J31">
        <f>IF($A31="","",_xlfn.SUMIFS(Socle!$W$1:$W$658,Socle!$C$1:$C$658,$A31,Socle!$D$1:$D$658,$C31,Socle!$E$1:$E$658,$D31,Socle!$F$1:$F$658,$E31,Socle!$G$1:$G$658,"2026"))</f>
        <v>0</v>
      </c>
      <c r="K31">
        <f>IF($A31="","",_xlfn.SUMIFS(Socle!$X$1:$X$658,Socle!$C$1:$C$658,$A31,Socle!$D$1:$D$658,$C31,Socle!$E$1:$E$658,$D31,Socle!$F$1:$F$658,$E31,Socle!$G$1:$G$658,"2026"))</f>
        <v>0</v>
      </c>
      <c r="L31">
        <f>IF($A31="","",_xlfn.SUMIFS(Socle!$Y$1:$Y$658,Socle!$C$1:$C$658,$A31,Socle!$D$1:$D$658,$C31,Socle!$E$1:$E$658,$D31,Socle!$F$1:$F$658,$E31,Socle!$G$1:$G$658,"2026"))</f>
        <v>0</v>
      </c>
      <c r="M31">
        <f>IF($A31="","",_xlfn.SUMIFS(Socle!$V$1:$V$658,Socle!$C$1:$C$658,$A31,Socle!$D$1:$D$658,$C31,Socle!$E$1:$E$658,$D31,Socle!$F$1:$F$658,$E31,Socle!$G$1:$G$658,"2026"))</f>
        <v>0.98</v>
      </c>
      <c r="N31">
        <f t="shared" si="0"/>
        <v>0</v>
      </c>
      <c r="O31">
        <f>IF($A31="","",_xlfn.SUMIFS(Campagne!$D$1:$D$141,Campagne!$C$1:$C$141,$A31))</f>
        <v>630</v>
      </c>
      <c r="P31">
        <f>IF($A31="","",_xlfn.SUMIFS(Campagne!$E$1:$E$141,Campagne!$C$1:$C$141,$A31))</f>
        <v>630</v>
      </c>
      <c r="Q31">
        <f>IF($A31="","",_xlfn.SUMIFS(Campagne!$F$1:$F$141,Campagne!$C$1:$C$141,$A31))</f>
        <v>1260</v>
      </c>
      <c r="R31">
        <f>IF($A31="","",_xlfn.SUMIFS(Campagne!$K$1:$K$141,Campagne!$C$1:$C$141,$A31))</f>
        <v>0.515848308</v>
      </c>
      <c r="S31">
        <f>IF($A31="","",_xlfn.SUMIFS(Campagne!$M$1:$M$141,Campagne!$C$1:$C$141,$A31))</f>
        <v>0.348380583</v>
      </c>
      <c r="T31">
        <f>IF($A31="","",_xlfn.SUMIFS(Pilotage!$K$19:$K$32,Pilotage!$A$19:$A$32,$A31)*_xlfn.SUMIFS(Pilotage!$J$19:$J$32,Pilotage!$A$19:$A$32,$A31)*(SUM(Pilotage!$K$19:$K$32)/SUMPRODUCT(Pilotage!$K$19:$K$32,Pilotage!$J$19:$J$32)))</f>
        <v>25220</v>
      </c>
      <c r="U31">
        <f>IF($A31="","",_xlfn.SUMIFS(Pilotage!$K$19:$K$32,Pilotage!$A$19:$A$32,$A31))</f>
        <v>25220</v>
      </c>
      <c r="V31">
        <f>IF($A31="","",IF($B31="V01",Cadrage!$C$23,IF($B31="V02",Cadrage!$D$23,Cadrage!$E$23)))</f>
        <v>0.08</v>
      </c>
      <c r="W31">
        <f>IF($A31="","",IF($B31="V01",Cadrage!$C$24,IF($B31="V02",Cadrage!$D$24,Cadrage!$E$24)))</f>
        <v>0.1</v>
      </c>
      <c r="X31">
        <f>IF($A31="","",IF($B31="V01",Cadrage!$C$25,IF($B31="V02",Cadrage!$D$25,Cadrage!$E$25)))</f>
        <v>0.0029</v>
      </c>
      <c r="Y31">
        <f>IF($A31="","",IF($B31="V01",Cadrage!$C$26,IF($B31="V02",Cadrage!$D$26,Cadrage!$E$26)))</f>
        <v>0.01</v>
      </c>
      <c r="Z31">
        <f>IF($A31="","",IF($B31="V01",Cadrage!$C$27,IF($B31="V02",Cadrage!$D$27,Cadrage!$E$27)))</f>
        <v>0.01</v>
      </c>
      <c r="AA31">
        <f>IF($A31="","",IF($B31="V01",Cadrage!$C$28,IF($B31="V02",Cadrage!$D$28,Cadrage!$E$28)))</f>
        <v>0.005</v>
      </c>
      <c r="AB31">
        <f>IF($A31="","",IF($B31="V01",Cadrage!$C$42,IF($B31="V02",Cadrage!$D$42,Cadrage!$E$42)))</f>
        <v>90</v>
      </c>
      <c r="AC31">
        <f>IF($A31="","",IF($F31="MBWAY",Cadrage!$K$34,IF($F31="ISCOM",Cadrage!$K$35,IF($F31="IPAC",Cadrage!$K$36,IF($F31="PIGIER",Cadrage!$K$37,Cadrage!$K$38)))))</f>
        <v>1.15</v>
      </c>
      <c r="AD31">
        <f t="shared" si="1"/>
        <v>0</v>
      </c>
      <c r="AE31">
        <f t="shared" si="2"/>
        <v>0</v>
      </c>
      <c r="AF31">
        <f t="shared" si="3"/>
        <v>49.25</v>
      </c>
      <c r="AG31">
        <f t="shared" si="4"/>
        <v>7374.51225</v>
      </c>
      <c r="AH31">
        <f t="shared" si="5"/>
        <v>363194.7283125</v>
      </c>
    </row>
    <row r="32" ht="14.25" customHeight="1">
      <c r="A32" t="str">
        <f>IF(Moteur!D32="","",Moteur!D32)</f>
        <v>ISCOM_TLS</v>
      </c>
      <c r="B32" t="str">
        <f>IF(Moteur!B32="","",Moteur!B32)</f>
        <v>V01</v>
      </c>
      <c r="C32" t="str">
        <f>IF(Moteur!F32="","",Moteur!F32)</f>
        <v>BAC_COM</v>
      </c>
      <c r="D32" t="str">
        <f>IF(Moteur!G32="","",Moteur!G32)</f>
        <v>B1</v>
      </c>
      <c r="E32" t="str">
        <f>IF(Moteur!H32="","",Moteur!H32)</f>
        <v>INIT</v>
      </c>
      <c r="F32" t="str">
        <f>IF(Moteur!E32="","",Moteur!E32)</f>
        <v>ISCOM</v>
      </c>
      <c r="G32">
        <f>IF($A32="","",_xlfn.SUMIFS(Socle!$H$1:$H$658,Socle!$C$1:$C$658,$A32,Socle!$D$1:$D$658,$C32,Socle!$E$1:$E$658,$D32,Socle!$F$1:$F$658,$E32,Socle!$G$1:$G$658,"2026"))</f>
        <v>386</v>
      </c>
      <c r="H32">
        <f>IF($A32="","",_xlfn.SUMIFS(Socle!$N$1:$N$658,Socle!$C$1:$C$658,$A32,Socle!$D$1:$D$658,$C32,Socle!$E$1:$E$658,$D32,Socle!$F$1:$F$658,$E32,Socle!$G$1:$G$658,"2026"))</f>
        <v>0</v>
      </c>
      <c r="I32">
        <f>IF($A32="","",_xlfn.SUMIFS(Socle!$P$1:$P$658,Socle!$C$1:$C$658,$A32,Socle!$D$1:$D$658,$C32,Socle!$E$1:$E$658,$D32,Socle!$F$1:$F$658,$E32,Socle!$G$1:$G$658,"2026"))</f>
        <v>7200</v>
      </c>
      <c r="J32">
        <f>IF($A32="","",_xlfn.SUMIFS(Socle!$W$1:$W$658,Socle!$C$1:$C$658,$A32,Socle!$D$1:$D$658,$C32,Socle!$E$1:$E$658,$D32,Socle!$F$1:$F$658,$E32,Socle!$G$1:$G$658,"2026"))</f>
        <v>0.279792746</v>
      </c>
      <c r="K32">
        <f>IF($A32="","",_xlfn.SUMIFS(Socle!$X$1:$X$658,Socle!$C$1:$C$658,$A32,Socle!$D$1:$D$658,$C32,Socle!$E$1:$E$658,$D32,Socle!$F$1:$F$658,$E32,Socle!$G$1:$G$658,"2026"))</f>
        <v>0.722222222</v>
      </c>
      <c r="L32">
        <f>IF($A32="","",_xlfn.SUMIFS(Socle!$Y$1:$Y$658,Socle!$C$1:$C$658,$A32,Socle!$D$1:$D$658,$C32,Socle!$E$1:$E$658,$D32,Socle!$F$1:$F$658,$E32,Socle!$G$1:$G$658,"2026"))</f>
        <v>0.602564103</v>
      </c>
      <c r="M32">
        <f>IF($A32="","",_xlfn.SUMIFS(Socle!$V$1:$V$658,Socle!$C$1:$C$658,$A32,Socle!$D$1:$D$658,$C32,Socle!$E$1:$E$658,$D32,Socle!$F$1:$F$658,$E32,Socle!$G$1:$G$658,"2026"))</f>
        <v>0</v>
      </c>
      <c r="N32">
        <f t="shared" si="0"/>
        <v>1</v>
      </c>
      <c r="O32">
        <f>IF($A32="","",_xlfn.SUMIFS(Campagne!$D$1:$D$141,Campagne!$C$1:$C$141,$A32))</f>
        <v>605</v>
      </c>
      <c r="P32">
        <f>IF($A32="","",_xlfn.SUMIFS(Campagne!$E$1:$E$141,Campagne!$C$1:$C$141,$A32))</f>
        <v>581</v>
      </c>
      <c r="Q32">
        <f>IF($A32="","",_xlfn.SUMIFS(Campagne!$F$1:$F$141,Campagne!$C$1:$C$141,$A32))</f>
        <v>1186</v>
      </c>
      <c r="R32">
        <f>IF($A32="","",_xlfn.SUMIFS(Campagne!$K$1:$K$141,Campagne!$C$1:$C$141,$A32))</f>
        <v>0.521803369</v>
      </c>
      <c r="S32">
        <f>IF($A32="","",_xlfn.SUMIFS(Campagne!$M$1:$M$141,Campagne!$C$1:$C$141,$A32))</f>
        <v>0.35585226</v>
      </c>
      <c r="T32">
        <f>IF($A32="","",_xlfn.SUMIFS(Pilotage!$K$19:$K$32,Pilotage!$A$19:$A$32,$A32)*_xlfn.SUMIFS(Pilotage!$J$19:$J$32,Pilotage!$A$19:$A$32,$A32)*(SUM(Pilotage!$K$19:$K$32)/SUMPRODUCT(Pilotage!$K$19:$K$32,Pilotage!$J$19:$J$32)))</f>
        <v>22083</v>
      </c>
      <c r="U32">
        <f>IF($A32="","",_xlfn.SUMIFS(Pilotage!$K$19:$K$32,Pilotage!$A$19:$A$32,$A32))</f>
        <v>22083</v>
      </c>
      <c r="V32">
        <f>IF($A32="","",IF($B32="V01",Cadrage!$C$23,IF($B32="V02",Cadrage!$D$23,Cadrage!$E$23)))</f>
        <v>0.08</v>
      </c>
      <c r="W32">
        <f>IF($A32="","",IF($B32="V01",Cadrage!$C$24,IF($B32="V02",Cadrage!$D$24,Cadrage!$E$24)))</f>
        <v>0.1</v>
      </c>
      <c r="X32">
        <f>IF($A32="","",IF($B32="V01",Cadrage!$C$25,IF($B32="V02",Cadrage!$D$25,Cadrage!$E$25)))</f>
        <v>0.0029</v>
      </c>
      <c r="Y32">
        <f>IF($A32="","",IF($B32="V01",Cadrage!$C$26,IF($B32="V02",Cadrage!$D$26,Cadrage!$E$26)))</f>
        <v>0.01</v>
      </c>
      <c r="Z32">
        <f>IF($A32="","",IF($B32="V01",Cadrage!$C$27,IF($B32="V02",Cadrage!$D$27,Cadrage!$E$27)))</f>
        <v>0.01</v>
      </c>
      <c r="AA32">
        <f>IF($A32="","",IF($B32="V01",Cadrage!$C$28,IF($B32="V02",Cadrage!$D$28,Cadrage!$E$28)))</f>
        <v>0.005</v>
      </c>
      <c r="AB32">
        <f>IF($A32="","",IF($B32="V01",Cadrage!$C$42,IF($B32="V02",Cadrage!$D$42,Cadrage!$E$42)))</f>
        <v>90</v>
      </c>
      <c r="AC32">
        <f>IF($A32="","",IF($F32="MBWAY",Cadrage!$K$34,IF($F32="ISCOM",Cadrage!$K$35,IF($F32="IPAC",Cadrage!$K$36,IF($F32="PIGIER",Cadrage!$K$37,Cadrage!$K$38)))))</f>
        <v>1.15</v>
      </c>
      <c r="AD32">
        <f t="shared" si="1"/>
        <v>51.3519623575048</v>
      </c>
      <c r="AE32">
        <f t="shared" si="2"/>
        <v>51.3519623575048</v>
      </c>
      <c r="AF32">
        <f t="shared" si="3"/>
        <v>51.3519623575048</v>
      </c>
      <c r="AG32">
        <f t="shared" si="4"/>
        <v>7224.012</v>
      </c>
      <c r="AH32">
        <f t="shared" si="5"/>
        <v>375588.868906338</v>
      </c>
    </row>
    <row r="33" ht="14.25" customHeight="1">
      <c r="A33" t="str">
        <f>IF(Moteur!D33="","",Moteur!D33)</f>
        <v>ISCOM_TLS</v>
      </c>
      <c r="B33" t="str">
        <f>IF(Moteur!B33="","",Moteur!B33)</f>
        <v>V01</v>
      </c>
      <c r="C33" t="str">
        <f>IF(Moteur!F33="","",Moteur!F33)</f>
        <v>BAC_COM</v>
      </c>
      <c r="D33" t="str">
        <f>IF(Moteur!G33="","",Moteur!G33)</f>
        <v>B2</v>
      </c>
      <c r="E33" t="str">
        <f>IF(Moteur!H33="","",Moteur!H33)</f>
        <v>ALT</v>
      </c>
      <c r="F33" t="str">
        <f>IF(Moteur!E33="","",Moteur!E33)</f>
        <v>ISCOM</v>
      </c>
      <c r="G33">
        <f>IF($A33="","",_xlfn.SUMIFS(Socle!$H$1:$H$658,Socle!$C$1:$C$658,$A33,Socle!$D$1:$D$658,$C33,Socle!$E$1:$E$658,$D33,Socle!$F$1:$F$658,$E33,Socle!$G$1:$G$658,"2026"))</f>
        <v>0</v>
      </c>
      <c r="H33">
        <f>IF($A33="","",_xlfn.SUMIFS(Socle!$N$1:$N$658,Socle!$C$1:$C$658,$A33,Socle!$D$1:$D$658,$C33,Socle!$E$1:$E$658,$D33,Socle!$F$1:$F$658,$E33,Socle!$G$1:$G$658,"2026"))</f>
        <v>47</v>
      </c>
      <c r="I33">
        <f>IF($A33="","",_xlfn.SUMIFS(Socle!$P$1:$P$658,Socle!$C$1:$C$658,$A33,Socle!$D$1:$D$658,$C33,Socle!$E$1:$E$658,$D33,Socle!$F$1:$F$658,$E33,Socle!$G$1:$G$658,"2026"))</f>
        <v>6720</v>
      </c>
      <c r="J33">
        <f>IF($A33="","",_xlfn.SUMIFS(Socle!$W$1:$W$658,Socle!$C$1:$C$658,$A33,Socle!$D$1:$D$658,$C33,Socle!$E$1:$E$658,$D33,Socle!$F$1:$F$658,$E33,Socle!$G$1:$G$658,"2026"))</f>
        <v>0</v>
      </c>
      <c r="K33">
        <f>IF($A33="","",_xlfn.SUMIFS(Socle!$X$1:$X$658,Socle!$C$1:$C$658,$A33,Socle!$D$1:$D$658,$C33,Socle!$E$1:$E$658,$D33,Socle!$F$1:$F$658,$E33,Socle!$G$1:$G$658,"2026"))</f>
        <v>0</v>
      </c>
      <c r="L33">
        <f>IF($A33="","",_xlfn.SUMIFS(Socle!$Y$1:$Y$658,Socle!$C$1:$C$658,$A33,Socle!$D$1:$D$658,$C33,Socle!$E$1:$E$658,$D33,Socle!$F$1:$F$658,$E33,Socle!$G$1:$G$658,"2026"))</f>
        <v>0</v>
      </c>
      <c r="M33">
        <f>IF($A33="","",_xlfn.SUMIFS(Socle!$V$1:$V$658,Socle!$C$1:$C$658,$A33,Socle!$D$1:$D$658,$C33,Socle!$E$1:$E$658,$D33,Socle!$F$1:$F$658,$E33,Socle!$G$1:$G$658,"2026"))</f>
        <v>0.978723404</v>
      </c>
      <c r="N33">
        <f t="shared" si="0"/>
        <v>0</v>
      </c>
      <c r="O33">
        <f>IF($A33="","",_xlfn.SUMIFS(Campagne!$D$1:$D$141,Campagne!$C$1:$C$141,$A33))</f>
        <v>605</v>
      </c>
      <c r="P33">
        <f>IF($A33="","",_xlfn.SUMIFS(Campagne!$E$1:$E$141,Campagne!$C$1:$C$141,$A33))</f>
        <v>581</v>
      </c>
      <c r="Q33">
        <f>IF($A33="","",_xlfn.SUMIFS(Campagne!$F$1:$F$141,Campagne!$C$1:$C$141,$A33))</f>
        <v>1186</v>
      </c>
      <c r="R33">
        <f>IF($A33="","",_xlfn.SUMIFS(Campagne!$K$1:$K$141,Campagne!$C$1:$C$141,$A33))</f>
        <v>0.521803369</v>
      </c>
      <c r="S33">
        <f>IF($A33="","",_xlfn.SUMIFS(Campagne!$M$1:$M$141,Campagne!$C$1:$C$141,$A33))</f>
        <v>0.35585226</v>
      </c>
      <c r="T33">
        <f>IF($A33="","",_xlfn.SUMIFS(Pilotage!$K$19:$K$32,Pilotage!$A$19:$A$32,$A33)*_xlfn.SUMIFS(Pilotage!$J$19:$J$32,Pilotage!$A$19:$A$32,$A33)*(SUM(Pilotage!$K$19:$K$32)/SUMPRODUCT(Pilotage!$K$19:$K$32,Pilotage!$J$19:$J$32)))</f>
        <v>22083</v>
      </c>
      <c r="U33">
        <f>IF($A33="","",_xlfn.SUMIFS(Pilotage!$K$19:$K$32,Pilotage!$A$19:$A$32,$A33))</f>
        <v>22083</v>
      </c>
      <c r="V33">
        <f>IF($A33="","",IF($B33="V01",Cadrage!$C$23,IF($B33="V02",Cadrage!$D$23,Cadrage!$E$23)))</f>
        <v>0.08</v>
      </c>
      <c r="W33">
        <f>IF($A33="","",IF($B33="V01",Cadrage!$C$24,IF($B33="V02",Cadrage!$D$24,Cadrage!$E$24)))</f>
        <v>0.1</v>
      </c>
      <c r="X33">
        <f>IF($A33="","",IF($B33="V01",Cadrage!$C$25,IF($B33="V02",Cadrage!$D$25,Cadrage!$E$25)))</f>
        <v>0.0029</v>
      </c>
      <c r="Y33">
        <f>IF($A33="","",IF($B33="V01",Cadrage!$C$26,IF($B33="V02",Cadrage!$D$26,Cadrage!$E$26)))</f>
        <v>0.01</v>
      </c>
      <c r="Z33">
        <f>IF($A33="","",IF($B33="V01",Cadrage!$C$27,IF($B33="V02",Cadrage!$D$27,Cadrage!$E$27)))</f>
        <v>0.01</v>
      </c>
      <c r="AA33">
        <f>IF($A33="","",IF($B33="V01",Cadrage!$C$28,IF($B33="V02",Cadrage!$D$28,Cadrage!$E$28)))</f>
        <v>0.005</v>
      </c>
      <c r="AB33">
        <f>IF($A33="","",IF($B33="V01",Cadrage!$C$42,IF($B33="V02",Cadrage!$D$42,Cadrage!$E$42)))</f>
        <v>90</v>
      </c>
      <c r="AC33">
        <f>IF($A33="","",IF($F33="MBWAY",Cadrage!$K$34,IF($F33="ISCOM",Cadrage!$K$35,IF($F33="IPAC",Cadrage!$K$36,IF($F33="PIGIER",Cadrage!$K$37,Cadrage!$K$38)))))</f>
        <v>1.15</v>
      </c>
      <c r="AD33">
        <f t="shared" si="1"/>
        <v>0</v>
      </c>
      <c r="AE33">
        <f t="shared" si="2"/>
        <v>0</v>
      </c>
      <c r="AF33">
        <f t="shared" si="3"/>
        <v>46.234999988</v>
      </c>
      <c r="AG33">
        <f t="shared" si="4"/>
        <v>6742.4112</v>
      </c>
      <c r="AH33">
        <f t="shared" si="5"/>
        <v>311735.381751091</v>
      </c>
    </row>
    <row r="34" ht="14.25" customHeight="1">
      <c r="A34" t="str">
        <f>IF(Moteur!D34="","",Moteur!D34)</f>
        <v>ISCOM_TLS</v>
      </c>
      <c r="B34" t="str">
        <f>IF(Moteur!B34="","",Moteur!B34)</f>
        <v>V01</v>
      </c>
      <c r="C34" t="str">
        <f>IF(Moteur!F34="","",Moteur!F34)</f>
        <v>BAC_COM</v>
      </c>
      <c r="D34" t="str">
        <f>IF(Moteur!G34="","",Moteur!G34)</f>
        <v>B3</v>
      </c>
      <c r="E34" t="str">
        <f>IF(Moteur!H34="","",Moteur!H34)</f>
        <v>ALT</v>
      </c>
      <c r="F34" t="str">
        <f>IF(Moteur!E34="","",Moteur!E34)</f>
        <v>ISCOM</v>
      </c>
      <c r="G34">
        <f>IF($A34="","",_xlfn.SUMIFS(Socle!$H$1:$H$658,Socle!$C$1:$C$658,$A34,Socle!$D$1:$D$658,$C34,Socle!$E$1:$E$658,$D34,Socle!$F$1:$F$658,$E34,Socle!$G$1:$G$658,"2026"))</f>
        <v>0</v>
      </c>
      <c r="H34">
        <f>IF($A34="","",_xlfn.SUMIFS(Socle!$N$1:$N$658,Socle!$C$1:$C$658,$A34,Socle!$D$1:$D$658,$C34,Socle!$E$1:$E$658,$D34,Socle!$F$1:$F$658,$E34,Socle!$G$1:$G$658,"2026"))</f>
        <v>46</v>
      </c>
      <c r="I34">
        <f>IF($A34="","",_xlfn.SUMIFS(Socle!$P$1:$P$658,Socle!$C$1:$C$658,$A34,Socle!$D$1:$D$658,$C34,Socle!$E$1:$E$658,$D34,Socle!$F$1:$F$658,$E34,Socle!$G$1:$G$658,"2026"))</f>
        <v>6720</v>
      </c>
      <c r="J34">
        <f>IF($A34="","",_xlfn.SUMIFS(Socle!$W$1:$W$658,Socle!$C$1:$C$658,$A34,Socle!$D$1:$D$658,$C34,Socle!$E$1:$E$658,$D34,Socle!$F$1:$F$658,$E34,Socle!$G$1:$G$658,"2026"))</f>
        <v>0</v>
      </c>
      <c r="K34">
        <f>IF($A34="","",_xlfn.SUMIFS(Socle!$X$1:$X$658,Socle!$C$1:$C$658,$A34,Socle!$D$1:$D$658,$C34,Socle!$E$1:$E$658,$D34,Socle!$F$1:$F$658,$E34,Socle!$G$1:$G$658,"2026"))</f>
        <v>0</v>
      </c>
      <c r="L34">
        <f>IF($A34="","",_xlfn.SUMIFS(Socle!$Y$1:$Y$658,Socle!$C$1:$C$658,$A34,Socle!$D$1:$D$658,$C34,Socle!$E$1:$E$658,$D34,Socle!$F$1:$F$658,$E34,Socle!$G$1:$G$658,"2026"))</f>
        <v>0</v>
      </c>
      <c r="M34">
        <f>IF($A34="","",_xlfn.SUMIFS(Socle!$V$1:$V$658,Socle!$C$1:$C$658,$A34,Socle!$D$1:$D$658,$C34,Socle!$E$1:$E$658,$D34,Socle!$F$1:$F$658,$E34,Socle!$G$1:$G$658,"2026"))</f>
        <v>0.97826087</v>
      </c>
      <c r="N34">
        <f t="shared" si="0"/>
        <v>0</v>
      </c>
      <c r="O34">
        <f>IF($A34="","",_xlfn.SUMIFS(Campagne!$D$1:$D$141,Campagne!$C$1:$C$141,$A34))</f>
        <v>605</v>
      </c>
      <c r="P34">
        <f>IF($A34="","",_xlfn.SUMIFS(Campagne!$E$1:$E$141,Campagne!$C$1:$C$141,$A34))</f>
        <v>581</v>
      </c>
      <c r="Q34">
        <f>IF($A34="","",_xlfn.SUMIFS(Campagne!$F$1:$F$141,Campagne!$C$1:$C$141,$A34))</f>
        <v>1186</v>
      </c>
      <c r="R34">
        <f>IF($A34="","",_xlfn.SUMIFS(Campagne!$K$1:$K$141,Campagne!$C$1:$C$141,$A34))</f>
        <v>0.521803369</v>
      </c>
      <c r="S34">
        <f>IF($A34="","",_xlfn.SUMIFS(Campagne!$M$1:$M$141,Campagne!$C$1:$C$141,$A34))</f>
        <v>0.35585226</v>
      </c>
      <c r="T34">
        <f>IF($A34="","",_xlfn.SUMIFS(Pilotage!$K$19:$K$32,Pilotage!$A$19:$A$32,$A34)*_xlfn.SUMIFS(Pilotage!$J$19:$J$32,Pilotage!$A$19:$A$32,$A34)*(SUM(Pilotage!$K$19:$K$32)/SUMPRODUCT(Pilotage!$K$19:$K$32,Pilotage!$J$19:$J$32)))</f>
        <v>22083</v>
      </c>
      <c r="U34">
        <f>IF($A34="","",_xlfn.SUMIFS(Pilotage!$K$19:$K$32,Pilotage!$A$19:$A$32,$A34))</f>
        <v>22083</v>
      </c>
      <c r="V34">
        <f>IF($A34="","",IF($B34="V01",Cadrage!$C$23,IF($B34="V02",Cadrage!$D$23,Cadrage!$E$23)))</f>
        <v>0.08</v>
      </c>
      <c r="W34">
        <f>IF($A34="","",IF($B34="V01",Cadrage!$C$24,IF($B34="V02",Cadrage!$D$24,Cadrage!$E$24)))</f>
        <v>0.1</v>
      </c>
      <c r="X34">
        <f>IF($A34="","",IF($B34="V01",Cadrage!$C$25,IF($B34="V02",Cadrage!$D$25,Cadrage!$E$25)))</f>
        <v>0.0029</v>
      </c>
      <c r="Y34">
        <f>IF($A34="","",IF($B34="V01",Cadrage!$C$26,IF($B34="V02",Cadrage!$D$26,Cadrage!$E$26)))</f>
        <v>0.01</v>
      </c>
      <c r="Z34">
        <f>IF($A34="","",IF($B34="V01",Cadrage!$C$27,IF($B34="V02",Cadrage!$D$27,Cadrage!$E$27)))</f>
        <v>0.01</v>
      </c>
      <c r="AA34">
        <f>IF($A34="","",IF($B34="V01",Cadrage!$C$28,IF($B34="V02",Cadrage!$D$28,Cadrage!$E$28)))</f>
        <v>0.005</v>
      </c>
      <c r="AB34">
        <f>IF($A34="","",IF($B34="V01",Cadrage!$C$42,IF($B34="V02",Cadrage!$D$42,Cadrage!$E$42)))</f>
        <v>90</v>
      </c>
      <c r="AC34">
        <f>IF($A34="","",IF($F34="MBWAY",Cadrage!$K$34,IF($F34="ISCOM",Cadrage!$K$35,IF($F34="IPAC",Cadrage!$K$36,IF($F34="PIGIER",Cadrage!$K$37,Cadrage!$K$38)))))</f>
        <v>1.15</v>
      </c>
      <c r="AD34">
        <f t="shared" si="1"/>
        <v>0</v>
      </c>
      <c r="AE34">
        <f t="shared" si="2"/>
        <v>0</v>
      </c>
      <c r="AF34">
        <f t="shared" si="3"/>
        <v>45.23000002</v>
      </c>
      <c r="AG34">
        <f t="shared" si="4"/>
        <v>6742.4112</v>
      </c>
      <c r="AH34">
        <f t="shared" si="5"/>
        <v>304959.258710848</v>
      </c>
    </row>
    <row r="35" ht="14.25" customHeight="1">
      <c r="A35" t="str">
        <f>IF(Moteur!D35="","",Moteur!D35)</f>
        <v>ISCOM_TLS</v>
      </c>
      <c r="B35" t="str">
        <f>IF(Moteur!B35="","",Moteur!B35)</f>
        <v>V01</v>
      </c>
      <c r="C35" t="str">
        <f>IF(Moteur!F35="","",Moteur!F35)</f>
        <v>MAS_COM</v>
      </c>
      <c r="D35" t="str">
        <f>IF(Moteur!G35="","",Moteur!G35)</f>
        <v>M1</v>
      </c>
      <c r="E35" t="str">
        <f>IF(Moteur!H35="","",Moteur!H35)</f>
        <v>ALT</v>
      </c>
      <c r="F35" t="str">
        <f>IF(Moteur!E35="","",Moteur!E35)</f>
        <v>ISCOM</v>
      </c>
      <c r="G35">
        <f>IF($A35="","",_xlfn.SUMIFS(Socle!$H$1:$H$658,Socle!$C$1:$C$658,$A35,Socle!$D$1:$D$658,$C35,Socle!$E$1:$E$658,$D35,Socle!$F$1:$F$658,$E35,Socle!$G$1:$G$658,"2026"))</f>
        <v>800</v>
      </c>
      <c r="H35">
        <f>IF($A35="","",_xlfn.SUMIFS(Socle!$N$1:$N$658,Socle!$C$1:$C$658,$A35,Socle!$D$1:$D$658,$C35,Socle!$E$1:$E$658,$D35,Socle!$F$1:$F$658,$E35,Socle!$G$1:$G$658,"2026"))</f>
        <v>0</v>
      </c>
      <c r="I35">
        <f>IF($A35="","",_xlfn.SUMIFS(Socle!$P$1:$P$658,Socle!$C$1:$C$658,$A35,Socle!$D$1:$D$658,$C35,Socle!$E$1:$E$658,$D35,Socle!$F$1:$F$658,$E35,Socle!$G$1:$G$658,"2026"))</f>
        <v>7200</v>
      </c>
      <c r="J35">
        <f>IF($A35="","",_xlfn.SUMIFS(Socle!$W$1:$W$658,Socle!$C$1:$C$658,$A35,Socle!$D$1:$D$658,$C35,Socle!$E$1:$E$658,$D35,Socle!$F$1:$F$658,$E35,Socle!$G$1:$G$658,"2026"))</f>
        <v>0.2</v>
      </c>
      <c r="K35">
        <f>IF($A35="","",_xlfn.SUMIFS(Socle!$X$1:$X$658,Socle!$C$1:$C$658,$A35,Socle!$D$1:$D$658,$C35,Socle!$E$1:$E$658,$D35,Socle!$F$1:$F$658,$E35,Socle!$G$1:$G$658,"2026"))</f>
        <v>0.7</v>
      </c>
      <c r="L35">
        <f>IF($A35="","",_xlfn.SUMIFS(Socle!$Y$1:$Y$658,Socle!$C$1:$C$658,$A35,Socle!$D$1:$D$658,$C35,Socle!$E$1:$E$658,$D35,Socle!$F$1:$F$658,$E35,Socle!$G$1:$G$658,"2026"))</f>
        <v>0.419642857</v>
      </c>
      <c r="M35">
        <f>IF($A35="","",_xlfn.SUMIFS(Socle!$V$1:$V$658,Socle!$C$1:$C$658,$A35,Socle!$D$1:$D$658,$C35,Socle!$E$1:$E$658,$D35,Socle!$F$1:$F$658,$E35,Socle!$G$1:$G$658,"2026"))</f>
        <v>0</v>
      </c>
      <c r="N35">
        <f t="shared" si="0"/>
        <v>1</v>
      </c>
      <c r="O35">
        <f>IF($A35="","",_xlfn.SUMIFS(Campagne!$D$1:$D$141,Campagne!$C$1:$C$141,$A35))</f>
        <v>605</v>
      </c>
      <c r="P35">
        <f>IF($A35="","",_xlfn.SUMIFS(Campagne!$E$1:$E$141,Campagne!$C$1:$C$141,$A35))</f>
        <v>581</v>
      </c>
      <c r="Q35">
        <f>IF($A35="","",_xlfn.SUMIFS(Campagne!$F$1:$F$141,Campagne!$C$1:$C$141,$A35))</f>
        <v>1186</v>
      </c>
      <c r="R35">
        <f>IF($A35="","",_xlfn.SUMIFS(Campagne!$K$1:$K$141,Campagne!$C$1:$C$141,$A35))</f>
        <v>0.521803369</v>
      </c>
      <c r="S35">
        <f>IF($A35="","",_xlfn.SUMIFS(Campagne!$M$1:$M$141,Campagne!$C$1:$C$141,$A35))</f>
        <v>0.35585226</v>
      </c>
      <c r="T35">
        <f>IF($A35="","",_xlfn.SUMIFS(Pilotage!$K$19:$K$32,Pilotage!$A$19:$A$32,$A35)*_xlfn.SUMIFS(Pilotage!$J$19:$J$32,Pilotage!$A$19:$A$32,$A35)*(SUM(Pilotage!$K$19:$K$32)/SUMPRODUCT(Pilotage!$K$19:$K$32,Pilotage!$J$19:$J$32)))</f>
        <v>22083</v>
      </c>
      <c r="U35">
        <f>IF($A35="","",_xlfn.SUMIFS(Pilotage!$K$19:$K$32,Pilotage!$A$19:$A$32,$A35))</f>
        <v>22083</v>
      </c>
      <c r="V35">
        <f>IF($A35="","",IF($B35="V01",Cadrage!$C$23,IF($B35="V02",Cadrage!$D$23,Cadrage!$E$23)))</f>
        <v>0.08</v>
      </c>
      <c r="W35">
        <f>IF($A35="","",IF($B35="V01",Cadrage!$C$24,IF($B35="V02",Cadrage!$D$24,Cadrage!$E$24)))</f>
        <v>0.1</v>
      </c>
      <c r="X35">
        <f>IF($A35="","",IF($B35="V01",Cadrage!$C$25,IF($B35="V02",Cadrage!$D$25,Cadrage!$E$25)))</f>
        <v>0.0029</v>
      </c>
      <c r="Y35">
        <f>IF($A35="","",IF($B35="V01",Cadrage!$C$26,IF($B35="V02",Cadrage!$D$26,Cadrage!$E$26)))</f>
        <v>0.01</v>
      </c>
      <c r="Z35">
        <f>IF($A35="","",IF($B35="V01",Cadrage!$C$27,IF($B35="V02",Cadrage!$D$27,Cadrage!$E$27)))</f>
        <v>0.01</v>
      </c>
      <c r="AA35">
        <f>IF($A35="","",IF($B35="V01",Cadrage!$C$28,IF($B35="V02",Cadrage!$D$28,Cadrage!$E$28)))</f>
        <v>0.005</v>
      </c>
      <c r="AB35">
        <f>IF($A35="","",IF($B35="V01",Cadrage!$C$42,IF($B35="V02",Cadrage!$D$42,Cadrage!$E$42)))</f>
        <v>90</v>
      </c>
      <c r="AC35">
        <f>IF($A35="","",IF($F35="MBWAY",Cadrage!$K$34,IF($F35="ISCOM",Cadrage!$K$35,IF($F35="IPAC",Cadrage!$K$36,IF($F35="PIGIER",Cadrage!$K$37,Cadrage!$K$38)))))</f>
        <v>1.15</v>
      </c>
      <c r="AD35">
        <f t="shared" si="1"/>
        <v>52.4293842217561</v>
      </c>
      <c r="AE35">
        <f t="shared" si="2"/>
        <v>52.4293842217561</v>
      </c>
      <c r="AF35">
        <f t="shared" si="3"/>
        <v>52.4293842217561</v>
      </c>
      <c r="AG35">
        <f t="shared" si="4"/>
        <v>7224.012</v>
      </c>
      <c r="AH35">
        <f t="shared" si="5"/>
        <v>383469.145350535</v>
      </c>
    </row>
    <row r="36" ht="14.25" customHeight="1">
      <c r="A36" t="str">
        <f>IF(Moteur!D36="","",Moteur!D36)</f>
        <v>ISCOM_TLS</v>
      </c>
      <c r="B36" t="str">
        <f>IF(Moteur!B36="","",Moteur!B36)</f>
        <v>V01</v>
      </c>
      <c r="C36" t="str">
        <f>IF(Moteur!F36="","",Moteur!F36)</f>
        <v>MAS_COM</v>
      </c>
      <c r="D36" t="str">
        <f>IF(Moteur!G36="","",Moteur!G36)</f>
        <v>M2</v>
      </c>
      <c r="E36" t="str">
        <f>IF(Moteur!H36="","",Moteur!H36)</f>
        <v>ALT</v>
      </c>
      <c r="F36" t="str">
        <f>IF(Moteur!E36="","",Moteur!E36)</f>
        <v>ISCOM</v>
      </c>
      <c r="G36">
        <f>IF($A36="","",_xlfn.SUMIFS(Socle!$H$1:$H$658,Socle!$C$1:$C$658,$A36,Socle!$D$1:$D$658,$C36,Socle!$E$1:$E$658,$D36,Socle!$F$1:$F$658,$E36,Socle!$G$1:$G$658,"2026"))</f>
        <v>0</v>
      </c>
      <c r="H36">
        <f>IF($A36="","",_xlfn.SUMIFS(Socle!$N$1:$N$658,Socle!$C$1:$C$658,$A36,Socle!$D$1:$D$658,$C36,Socle!$E$1:$E$658,$D36,Socle!$F$1:$F$658,$E36,Socle!$G$1:$G$658,"2026"))</f>
        <v>47</v>
      </c>
      <c r="I36">
        <f>IF($A36="","",_xlfn.SUMIFS(Socle!$P$1:$P$658,Socle!$C$1:$C$658,$A36,Socle!$D$1:$D$658,$C36,Socle!$E$1:$E$658,$D36,Socle!$F$1:$F$658,$E36,Socle!$G$1:$G$658,"2026"))</f>
        <v>7200</v>
      </c>
      <c r="J36">
        <f>IF($A36="","",_xlfn.SUMIFS(Socle!$W$1:$W$658,Socle!$C$1:$C$658,$A36,Socle!$D$1:$D$658,$C36,Socle!$E$1:$E$658,$D36,Socle!$F$1:$F$658,$E36,Socle!$G$1:$G$658,"2026"))</f>
        <v>0</v>
      </c>
      <c r="K36">
        <f>IF($A36="","",_xlfn.SUMIFS(Socle!$X$1:$X$658,Socle!$C$1:$C$658,$A36,Socle!$D$1:$D$658,$C36,Socle!$E$1:$E$658,$D36,Socle!$F$1:$F$658,$E36,Socle!$G$1:$G$658,"2026"))</f>
        <v>0</v>
      </c>
      <c r="L36">
        <f>IF($A36="","",_xlfn.SUMIFS(Socle!$Y$1:$Y$658,Socle!$C$1:$C$658,$A36,Socle!$D$1:$D$658,$C36,Socle!$E$1:$E$658,$D36,Socle!$F$1:$F$658,$E36,Socle!$G$1:$G$658,"2026"))</f>
        <v>0</v>
      </c>
      <c r="M36">
        <f>IF($A36="","",_xlfn.SUMIFS(Socle!$V$1:$V$658,Socle!$C$1:$C$658,$A36,Socle!$D$1:$D$658,$C36,Socle!$E$1:$E$658,$D36,Socle!$F$1:$F$658,$E36,Socle!$G$1:$G$658,"2026"))</f>
        <v>0.978723404</v>
      </c>
      <c r="N36">
        <f t="shared" si="0"/>
        <v>0</v>
      </c>
      <c r="O36">
        <f>IF($A36="","",_xlfn.SUMIFS(Campagne!$D$1:$D$141,Campagne!$C$1:$C$141,$A36))</f>
        <v>605</v>
      </c>
      <c r="P36">
        <f>IF($A36="","",_xlfn.SUMIFS(Campagne!$E$1:$E$141,Campagne!$C$1:$C$141,$A36))</f>
        <v>581</v>
      </c>
      <c r="Q36">
        <f>IF($A36="","",_xlfn.SUMIFS(Campagne!$F$1:$F$141,Campagne!$C$1:$C$141,$A36))</f>
        <v>1186</v>
      </c>
      <c r="R36">
        <f>IF($A36="","",_xlfn.SUMIFS(Campagne!$K$1:$K$141,Campagne!$C$1:$C$141,$A36))</f>
        <v>0.521803369</v>
      </c>
      <c r="S36">
        <f>IF($A36="","",_xlfn.SUMIFS(Campagne!$M$1:$M$141,Campagne!$C$1:$C$141,$A36))</f>
        <v>0.35585226</v>
      </c>
      <c r="T36">
        <f>IF($A36="","",_xlfn.SUMIFS(Pilotage!$K$19:$K$32,Pilotage!$A$19:$A$32,$A36)*_xlfn.SUMIFS(Pilotage!$J$19:$J$32,Pilotage!$A$19:$A$32,$A36)*(SUM(Pilotage!$K$19:$K$32)/SUMPRODUCT(Pilotage!$K$19:$K$32,Pilotage!$J$19:$J$32)))</f>
        <v>22083</v>
      </c>
      <c r="U36">
        <f>IF($A36="","",_xlfn.SUMIFS(Pilotage!$K$19:$K$32,Pilotage!$A$19:$A$32,$A36))</f>
        <v>22083</v>
      </c>
      <c r="V36">
        <f>IF($A36="","",IF($B36="V01",Cadrage!$C$23,IF($B36="V02",Cadrage!$D$23,Cadrage!$E$23)))</f>
        <v>0.08</v>
      </c>
      <c r="W36">
        <f>IF($A36="","",IF($B36="V01",Cadrage!$C$24,IF($B36="V02",Cadrage!$D$24,Cadrage!$E$24)))</f>
        <v>0.1</v>
      </c>
      <c r="X36">
        <f>IF($A36="","",IF($B36="V01",Cadrage!$C$25,IF($B36="V02",Cadrage!$D$25,Cadrage!$E$25)))</f>
        <v>0.0029</v>
      </c>
      <c r="Y36">
        <f>IF($A36="","",IF($B36="V01",Cadrage!$C$26,IF($B36="V02",Cadrage!$D$26,Cadrage!$E$26)))</f>
        <v>0.01</v>
      </c>
      <c r="Z36">
        <f>IF($A36="","",IF($B36="V01",Cadrage!$C$27,IF($B36="V02",Cadrage!$D$27,Cadrage!$E$27)))</f>
        <v>0.01</v>
      </c>
      <c r="AA36">
        <f>IF($A36="","",IF($B36="V01",Cadrage!$C$28,IF($B36="V02",Cadrage!$D$28,Cadrage!$E$28)))</f>
        <v>0.005</v>
      </c>
      <c r="AB36">
        <f>IF($A36="","",IF($B36="V01",Cadrage!$C$42,IF($B36="V02",Cadrage!$D$42,Cadrage!$E$42)))</f>
        <v>90</v>
      </c>
      <c r="AC36">
        <f>IF($A36="","",IF($F36="MBWAY",Cadrage!$K$34,IF($F36="ISCOM",Cadrage!$K$35,IF($F36="IPAC",Cadrage!$K$36,IF($F36="PIGIER",Cadrage!$K$37,Cadrage!$K$38)))))</f>
        <v>1.15</v>
      </c>
      <c r="AD36">
        <f t="shared" si="1"/>
        <v>0</v>
      </c>
      <c r="AE36">
        <f t="shared" si="2"/>
        <v>0</v>
      </c>
      <c r="AF36">
        <f t="shared" si="3"/>
        <v>46.234999988</v>
      </c>
      <c r="AG36">
        <f t="shared" si="4"/>
        <v>7224.012</v>
      </c>
      <c r="AH36">
        <f t="shared" si="5"/>
        <v>334002.194733312</v>
      </c>
    </row>
    <row r="37" ht="14.25" customHeight="1">
      <c r="A37" t="str">
        <f>IF(Moteur!D37="","",Moteur!D37)</f>
        <v>IPAC_NAN</v>
      </c>
      <c r="B37" t="str">
        <f>IF(Moteur!B37="","",Moteur!B37)</f>
        <v>V01</v>
      </c>
      <c r="C37" t="str">
        <f>IF(Moteur!F37="","",Moteur!F37)</f>
        <v>BAC_CCE</v>
      </c>
      <c r="D37" t="str">
        <f>IF(Moteur!G37="","",Moteur!G37)</f>
        <v>B1</v>
      </c>
      <c r="E37" t="str">
        <f>IF(Moteur!H37="","",Moteur!H37)</f>
        <v>ALT</v>
      </c>
      <c r="F37" t="str">
        <f>IF(Moteur!E37="","",Moteur!E37)</f>
        <v>IPAC</v>
      </c>
      <c r="G37">
        <f>IF($A37="","",_xlfn.SUMIFS(Socle!$H$1:$H$658,Socle!$C$1:$C$658,$A37,Socle!$D$1:$D$658,$C37,Socle!$E$1:$E$658,$D37,Socle!$F$1:$F$658,$E37,Socle!$G$1:$G$658,"2026"))</f>
        <v>850</v>
      </c>
      <c r="H37">
        <f>IF($A37="","",_xlfn.SUMIFS(Socle!$N$1:$N$658,Socle!$C$1:$C$658,$A37,Socle!$D$1:$D$658,$C37,Socle!$E$1:$E$658,$D37,Socle!$F$1:$F$658,$E37,Socle!$G$1:$G$658,"2026"))</f>
        <v>0</v>
      </c>
      <c r="I37">
        <f>IF($A37="","",_xlfn.SUMIFS(Socle!$P$1:$P$658,Socle!$C$1:$C$658,$A37,Socle!$D$1:$D$658,$C37,Socle!$E$1:$E$658,$D37,Socle!$F$1:$F$658,$E37,Socle!$G$1:$G$658,"2026"))</f>
        <v>7000</v>
      </c>
      <c r="J37">
        <f>IF($A37="","",_xlfn.SUMIFS(Socle!$W$1:$W$658,Socle!$C$1:$C$658,$A37,Socle!$D$1:$D$658,$C37,Socle!$E$1:$E$658,$D37,Socle!$F$1:$F$658,$E37,Socle!$G$1:$G$658,"2026"))</f>
        <v>0.2</v>
      </c>
      <c r="K37">
        <f>IF($A37="","",_xlfn.SUMIFS(Socle!$X$1:$X$658,Socle!$C$1:$C$658,$A37,Socle!$D$1:$D$658,$C37,Socle!$E$1:$E$658,$D37,Socle!$F$1:$F$658,$E37,Socle!$G$1:$G$658,"2026"))</f>
        <v>0.7</v>
      </c>
      <c r="L37">
        <f>IF($A37="","",_xlfn.SUMIFS(Socle!$Y$1:$Y$658,Socle!$C$1:$C$658,$A37,Socle!$D$1:$D$658,$C37,Socle!$E$1:$E$658,$D37,Socle!$F$1:$F$658,$E37,Socle!$G$1:$G$658,"2026"))</f>
        <v>0.420168067</v>
      </c>
      <c r="M37">
        <f>IF($A37="","",_xlfn.SUMIFS(Socle!$V$1:$V$658,Socle!$C$1:$C$658,$A37,Socle!$D$1:$D$658,$C37,Socle!$E$1:$E$658,$D37,Socle!$F$1:$F$658,$E37,Socle!$G$1:$G$658,"2026"))</f>
        <v>0</v>
      </c>
      <c r="N37">
        <f t="shared" si="0"/>
        <v>1</v>
      </c>
      <c r="O37">
        <f>IF($A37="","",_xlfn.SUMIFS(Campagne!$D$1:$D$141,Campagne!$C$1:$C$141,$A37))</f>
        <v>306</v>
      </c>
      <c r="P37">
        <f>IF($A37="","",_xlfn.SUMIFS(Campagne!$E$1:$E$141,Campagne!$C$1:$C$141,$A37))</f>
        <v>544</v>
      </c>
      <c r="Q37">
        <f>IF($A37="","",_xlfn.SUMIFS(Campagne!$F$1:$F$141,Campagne!$C$1:$C$141,$A37))</f>
        <v>850</v>
      </c>
      <c r="R37">
        <f>IF($A37="","",_xlfn.SUMIFS(Campagne!$K$1:$K$141,Campagne!$C$1:$C$141,$A37))</f>
        <v>0.559080786</v>
      </c>
      <c r="S37">
        <f>IF($A37="","",_xlfn.SUMIFS(Campagne!$M$1:$M$141,Campagne!$C$1:$C$141,$A37))</f>
        <v>0.304912257</v>
      </c>
      <c r="T37">
        <f>IF($A37="","",_xlfn.SUMIFS(Pilotage!$K$19:$K$32,Pilotage!$A$19:$A$32,$A37)*_xlfn.SUMIFS(Pilotage!$J$19:$J$32,Pilotage!$A$19:$A$32,$A37)*(SUM(Pilotage!$K$19:$K$32)/SUMPRODUCT(Pilotage!$K$19:$K$32,Pilotage!$J$19:$J$32)))</f>
        <v>21760</v>
      </c>
      <c r="U37">
        <f>IF($A37="","",_xlfn.SUMIFS(Pilotage!$K$19:$K$32,Pilotage!$A$19:$A$32,$A37))</f>
        <v>21760</v>
      </c>
      <c r="V37">
        <f>IF($A37="","",IF($B37="V01",Cadrage!$C$23,IF($B37="V02",Cadrage!$D$23,Cadrage!$E$23)))</f>
        <v>0.08</v>
      </c>
      <c r="W37">
        <f>IF($A37="","",IF($B37="V01",Cadrage!$C$24,IF($B37="V02",Cadrage!$D$24,Cadrage!$E$24)))</f>
        <v>0.1</v>
      </c>
      <c r="X37">
        <f>IF($A37="","",IF($B37="V01",Cadrage!$C$25,IF($B37="V02",Cadrage!$D$25,Cadrage!$E$25)))</f>
        <v>0.0029</v>
      </c>
      <c r="Y37">
        <f>IF($A37="","",IF($B37="V01",Cadrage!$C$26,IF($B37="V02",Cadrage!$D$26,Cadrage!$E$26)))</f>
        <v>0.01</v>
      </c>
      <c r="Z37">
        <f>IF($A37="","",IF($B37="V01",Cadrage!$C$27,IF($B37="V02",Cadrage!$D$27,Cadrage!$E$27)))</f>
        <v>0.01</v>
      </c>
      <c r="AA37">
        <f>IF($A37="","",IF($B37="V01",Cadrage!$C$28,IF($B37="V02",Cadrage!$D$28,Cadrage!$E$28)))</f>
        <v>0.005</v>
      </c>
      <c r="AB37">
        <f>IF($A37="","",IF($B37="V01",Cadrage!$C$42,IF($B37="V02",Cadrage!$D$42,Cadrage!$E$42)))</f>
        <v>90</v>
      </c>
      <c r="AC37">
        <f>IF($A37="","",IF($F37="MBWAY",Cadrage!$K$34,IF($F37="ISCOM",Cadrage!$K$35,IF($F37="IPAC",Cadrage!$K$36,IF($F37="PIGIER",Cadrage!$K$37,Cadrage!$K$38)))))</f>
        <v>0.95</v>
      </c>
      <c r="AD37">
        <f t="shared" si="1"/>
        <v>55.8325154208285</v>
      </c>
      <c r="AE37">
        <f t="shared" si="2"/>
        <v>55.8325154208285</v>
      </c>
      <c r="AF37">
        <f t="shared" si="3"/>
        <v>55.8325154208285</v>
      </c>
      <c r="AG37">
        <f t="shared" si="4"/>
        <v>7019.285</v>
      </c>
      <c r="AH37">
        <f t="shared" si="5"/>
        <v>396929.264393565</v>
      </c>
    </row>
    <row r="38" ht="14.25" customHeight="1">
      <c r="A38" t="str">
        <f>IF(Moteur!D38="","",Moteur!D38)</f>
        <v>IPAC_NAN</v>
      </c>
      <c r="B38" t="str">
        <f>IF(Moteur!B38="","",Moteur!B38)</f>
        <v>V01</v>
      </c>
      <c r="C38" t="str">
        <f>IF(Moteur!F38="","",Moteur!F38)</f>
        <v>BAC_CCE</v>
      </c>
      <c r="D38" t="str">
        <f>IF(Moteur!G38="","",Moteur!G38)</f>
        <v>B2</v>
      </c>
      <c r="E38" t="str">
        <f>IF(Moteur!H38="","",Moteur!H38)</f>
        <v>ALT</v>
      </c>
      <c r="F38" t="str">
        <f>IF(Moteur!E38="","",Moteur!E38)</f>
        <v>IPAC</v>
      </c>
      <c r="G38">
        <f>IF($A38="","",_xlfn.SUMIFS(Socle!$H$1:$H$658,Socle!$C$1:$C$658,$A38,Socle!$D$1:$D$658,$C38,Socle!$E$1:$E$658,$D38,Socle!$F$1:$F$658,$E38,Socle!$G$1:$G$658,"2026"))</f>
        <v>0</v>
      </c>
      <c r="H38">
        <f>IF($A38="","",_xlfn.SUMIFS(Socle!$N$1:$N$658,Socle!$C$1:$C$658,$A38,Socle!$D$1:$D$658,$C38,Socle!$E$1:$E$658,$D38,Socle!$F$1:$F$658,$E38,Socle!$G$1:$G$658,"2026"))</f>
        <v>50</v>
      </c>
      <c r="I38">
        <f>IF($A38="","",_xlfn.SUMIFS(Socle!$P$1:$P$658,Socle!$C$1:$C$658,$A38,Socle!$D$1:$D$658,$C38,Socle!$E$1:$E$658,$D38,Socle!$F$1:$F$658,$E38,Socle!$G$1:$G$658,"2026"))</f>
        <v>7000</v>
      </c>
      <c r="J38">
        <f>IF($A38="","",_xlfn.SUMIFS(Socle!$W$1:$W$658,Socle!$C$1:$C$658,$A38,Socle!$D$1:$D$658,$C38,Socle!$E$1:$E$658,$D38,Socle!$F$1:$F$658,$E38,Socle!$G$1:$G$658,"2026"))</f>
        <v>0</v>
      </c>
      <c r="K38">
        <f>IF($A38="","",_xlfn.SUMIFS(Socle!$X$1:$X$658,Socle!$C$1:$C$658,$A38,Socle!$D$1:$D$658,$C38,Socle!$E$1:$E$658,$D38,Socle!$F$1:$F$658,$E38,Socle!$G$1:$G$658,"2026"))</f>
        <v>0</v>
      </c>
      <c r="L38">
        <f>IF($A38="","",_xlfn.SUMIFS(Socle!$Y$1:$Y$658,Socle!$C$1:$C$658,$A38,Socle!$D$1:$D$658,$C38,Socle!$E$1:$E$658,$D38,Socle!$F$1:$F$658,$E38,Socle!$G$1:$G$658,"2026"))</f>
        <v>0</v>
      </c>
      <c r="M38">
        <f>IF($A38="","",_xlfn.SUMIFS(Socle!$V$1:$V$658,Socle!$C$1:$C$658,$A38,Socle!$D$1:$D$658,$C38,Socle!$E$1:$E$658,$D38,Socle!$F$1:$F$658,$E38,Socle!$G$1:$G$658,"2026"))</f>
        <v>0.96</v>
      </c>
      <c r="N38">
        <f t="shared" si="0"/>
        <v>0</v>
      </c>
      <c r="O38">
        <f>IF($A38="","",_xlfn.SUMIFS(Campagne!$D$1:$D$141,Campagne!$C$1:$C$141,$A38))</f>
        <v>306</v>
      </c>
      <c r="P38">
        <f>IF($A38="","",_xlfn.SUMIFS(Campagne!$E$1:$E$141,Campagne!$C$1:$C$141,$A38))</f>
        <v>544</v>
      </c>
      <c r="Q38">
        <f>IF($A38="","",_xlfn.SUMIFS(Campagne!$F$1:$F$141,Campagne!$C$1:$C$141,$A38))</f>
        <v>850</v>
      </c>
      <c r="R38">
        <f>IF($A38="","",_xlfn.SUMIFS(Campagne!$K$1:$K$141,Campagne!$C$1:$C$141,$A38))</f>
        <v>0.559080786</v>
      </c>
      <c r="S38">
        <f>IF($A38="","",_xlfn.SUMIFS(Campagne!$M$1:$M$141,Campagne!$C$1:$C$141,$A38))</f>
        <v>0.304912257</v>
      </c>
      <c r="T38">
        <f>IF($A38="","",_xlfn.SUMIFS(Pilotage!$K$19:$K$32,Pilotage!$A$19:$A$32,$A38)*_xlfn.SUMIFS(Pilotage!$J$19:$J$32,Pilotage!$A$19:$A$32,$A38)*(SUM(Pilotage!$K$19:$K$32)/SUMPRODUCT(Pilotage!$K$19:$K$32,Pilotage!$J$19:$J$32)))</f>
        <v>21760</v>
      </c>
      <c r="U38">
        <f>IF($A38="","",_xlfn.SUMIFS(Pilotage!$K$19:$K$32,Pilotage!$A$19:$A$32,$A38))</f>
        <v>21760</v>
      </c>
      <c r="V38">
        <f>IF($A38="","",IF($B38="V01",Cadrage!$C$23,IF($B38="V02",Cadrage!$D$23,Cadrage!$E$23)))</f>
        <v>0.08</v>
      </c>
      <c r="W38">
        <f>IF($A38="","",IF($B38="V01",Cadrage!$C$24,IF($B38="V02",Cadrage!$D$24,Cadrage!$E$24)))</f>
        <v>0.1</v>
      </c>
      <c r="X38">
        <f>IF($A38="","",IF($B38="V01",Cadrage!$C$25,IF($B38="V02",Cadrage!$D$25,Cadrage!$E$25)))</f>
        <v>0.0029</v>
      </c>
      <c r="Y38">
        <f>IF($A38="","",IF($B38="V01",Cadrage!$C$26,IF($B38="V02",Cadrage!$D$26,Cadrage!$E$26)))</f>
        <v>0.01</v>
      </c>
      <c r="Z38">
        <f>IF($A38="","",IF($B38="V01",Cadrage!$C$27,IF($B38="V02",Cadrage!$D$27,Cadrage!$E$27)))</f>
        <v>0.01</v>
      </c>
      <c r="AA38">
        <f>IF($A38="","",IF($B38="V01",Cadrage!$C$28,IF($B38="V02",Cadrage!$D$28,Cadrage!$E$28)))</f>
        <v>0.005</v>
      </c>
      <c r="AB38">
        <f>IF($A38="","",IF($B38="V01",Cadrage!$C$42,IF($B38="V02",Cadrage!$D$42,Cadrage!$E$42)))</f>
        <v>90</v>
      </c>
      <c r="AC38">
        <f>IF($A38="","",IF($F38="MBWAY",Cadrage!$K$34,IF($F38="ISCOM",Cadrage!$K$35,IF($F38="IPAC",Cadrage!$K$36,IF($F38="PIGIER",Cadrage!$K$37,Cadrage!$K$38)))))</f>
        <v>0.95</v>
      </c>
      <c r="AD38">
        <f t="shared" si="1"/>
        <v>0</v>
      </c>
      <c r="AE38">
        <f t="shared" si="2"/>
        <v>0</v>
      </c>
      <c r="AF38">
        <f t="shared" si="3"/>
        <v>48.25</v>
      </c>
      <c r="AG38">
        <f t="shared" si="4"/>
        <v>7019.285</v>
      </c>
      <c r="AH38">
        <f t="shared" si="5"/>
        <v>338680.50125</v>
      </c>
    </row>
    <row r="39" ht="14.25" customHeight="1">
      <c r="A39" t="str">
        <f>IF(Moteur!D39="","",Moteur!D39)</f>
        <v>IPAC_NAN</v>
      </c>
      <c r="B39" t="str">
        <f>IF(Moteur!B39="","",Moteur!B39)</f>
        <v>V01</v>
      </c>
      <c r="C39" t="str">
        <f>IF(Moteur!F39="","",Moteur!F39)</f>
        <v>BAC_CCE</v>
      </c>
      <c r="D39" t="str">
        <f>IF(Moteur!G39="","",Moteur!G39)</f>
        <v>B3</v>
      </c>
      <c r="E39" t="str">
        <f>IF(Moteur!H39="","",Moteur!H39)</f>
        <v>ALT</v>
      </c>
      <c r="F39" t="str">
        <f>IF(Moteur!E39="","",Moteur!E39)</f>
        <v>IPAC</v>
      </c>
      <c r="G39">
        <f>IF($A39="","",_xlfn.SUMIFS(Socle!$H$1:$H$658,Socle!$C$1:$C$658,$A39,Socle!$D$1:$D$658,$C39,Socle!$E$1:$E$658,$D39,Socle!$F$1:$F$658,$E39,Socle!$G$1:$G$658,"2026"))</f>
        <v>0</v>
      </c>
      <c r="H39">
        <f>IF($A39="","",_xlfn.SUMIFS(Socle!$N$1:$N$658,Socle!$C$1:$C$658,$A39,Socle!$D$1:$D$658,$C39,Socle!$E$1:$E$658,$D39,Socle!$F$1:$F$658,$E39,Socle!$G$1:$G$658,"2026"))</f>
        <v>48</v>
      </c>
      <c r="I39">
        <f>IF($A39="","",_xlfn.SUMIFS(Socle!$P$1:$P$658,Socle!$C$1:$C$658,$A39,Socle!$D$1:$D$658,$C39,Socle!$E$1:$E$658,$D39,Socle!$F$1:$F$658,$E39,Socle!$G$1:$G$658,"2026"))</f>
        <v>7000</v>
      </c>
      <c r="J39">
        <f>IF($A39="","",_xlfn.SUMIFS(Socle!$W$1:$W$658,Socle!$C$1:$C$658,$A39,Socle!$D$1:$D$658,$C39,Socle!$E$1:$E$658,$D39,Socle!$F$1:$F$658,$E39,Socle!$G$1:$G$658,"2026"))</f>
        <v>0</v>
      </c>
      <c r="K39">
        <f>IF($A39="","",_xlfn.SUMIFS(Socle!$X$1:$X$658,Socle!$C$1:$C$658,$A39,Socle!$D$1:$D$658,$C39,Socle!$E$1:$E$658,$D39,Socle!$F$1:$F$658,$E39,Socle!$G$1:$G$658,"2026"))</f>
        <v>0</v>
      </c>
      <c r="L39">
        <f>IF($A39="","",_xlfn.SUMIFS(Socle!$Y$1:$Y$658,Socle!$C$1:$C$658,$A39,Socle!$D$1:$D$658,$C39,Socle!$E$1:$E$658,$D39,Socle!$F$1:$F$658,$E39,Socle!$G$1:$G$658,"2026"))</f>
        <v>0</v>
      </c>
      <c r="M39">
        <f>IF($A39="","",_xlfn.SUMIFS(Socle!$V$1:$V$658,Socle!$C$1:$C$658,$A39,Socle!$D$1:$D$658,$C39,Socle!$E$1:$E$658,$D39,Socle!$F$1:$F$658,$E39,Socle!$G$1:$G$658,"2026"))</f>
        <v>0.979166667</v>
      </c>
      <c r="N39">
        <f t="shared" si="0"/>
        <v>0</v>
      </c>
      <c r="O39">
        <f>IF($A39="","",_xlfn.SUMIFS(Campagne!$D$1:$D$141,Campagne!$C$1:$C$141,$A39))</f>
        <v>306</v>
      </c>
      <c r="P39">
        <f>IF($A39="","",_xlfn.SUMIFS(Campagne!$E$1:$E$141,Campagne!$C$1:$C$141,$A39))</f>
        <v>544</v>
      </c>
      <c r="Q39">
        <f>IF($A39="","",_xlfn.SUMIFS(Campagne!$F$1:$F$141,Campagne!$C$1:$C$141,$A39))</f>
        <v>850</v>
      </c>
      <c r="R39">
        <f>IF($A39="","",_xlfn.SUMIFS(Campagne!$K$1:$K$141,Campagne!$C$1:$C$141,$A39))</f>
        <v>0.559080786</v>
      </c>
      <c r="S39">
        <f>IF($A39="","",_xlfn.SUMIFS(Campagne!$M$1:$M$141,Campagne!$C$1:$C$141,$A39))</f>
        <v>0.304912257</v>
      </c>
      <c r="T39">
        <f>IF($A39="","",_xlfn.SUMIFS(Pilotage!$K$19:$K$32,Pilotage!$A$19:$A$32,$A39)*_xlfn.SUMIFS(Pilotage!$J$19:$J$32,Pilotage!$A$19:$A$32,$A39)*(SUM(Pilotage!$K$19:$K$32)/SUMPRODUCT(Pilotage!$K$19:$K$32,Pilotage!$J$19:$J$32)))</f>
        <v>21760</v>
      </c>
      <c r="U39">
        <f>IF($A39="","",_xlfn.SUMIFS(Pilotage!$K$19:$K$32,Pilotage!$A$19:$A$32,$A39))</f>
        <v>21760</v>
      </c>
      <c r="V39">
        <f>IF($A39="","",IF($B39="V01",Cadrage!$C$23,IF($B39="V02",Cadrage!$D$23,Cadrage!$E$23)))</f>
        <v>0.08</v>
      </c>
      <c r="W39">
        <f>IF($A39="","",IF($B39="V01",Cadrage!$C$24,IF($B39="V02",Cadrage!$D$24,Cadrage!$E$24)))</f>
        <v>0.1</v>
      </c>
      <c r="X39">
        <f>IF($A39="","",IF($B39="V01",Cadrage!$C$25,IF($B39="V02",Cadrage!$D$25,Cadrage!$E$25)))</f>
        <v>0.0029</v>
      </c>
      <c r="Y39">
        <f>IF($A39="","",IF($B39="V01",Cadrage!$C$26,IF($B39="V02",Cadrage!$D$26,Cadrage!$E$26)))</f>
        <v>0.01</v>
      </c>
      <c r="Z39">
        <f>IF($A39="","",IF($B39="V01",Cadrage!$C$27,IF($B39="V02",Cadrage!$D$27,Cadrage!$E$27)))</f>
        <v>0.01</v>
      </c>
      <c r="AA39">
        <f>IF($A39="","",IF($B39="V01",Cadrage!$C$28,IF($B39="V02",Cadrage!$D$28,Cadrage!$E$28)))</f>
        <v>0.005</v>
      </c>
      <c r="AB39">
        <f>IF($A39="","",IF($B39="V01",Cadrage!$C$42,IF($B39="V02",Cadrage!$D$42,Cadrage!$E$42)))</f>
        <v>90</v>
      </c>
      <c r="AC39">
        <f>IF($A39="","",IF($F39="MBWAY",Cadrage!$K$34,IF($F39="ISCOM",Cadrage!$K$35,IF($F39="IPAC",Cadrage!$K$36,IF($F39="PIGIER",Cadrage!$K$37,Cadrage!$K$38)))))</f>
        <v>0.95</v>
      </c>
      <c r="AD39">
        <f t="shared" si="1"/>
        <v>0</v>
      </c>
      <c r="AE39">
        <f t="shared" si="2"/>
        <v>0</v>
      </c>
      <c r="AF39">
        <f t="shared" si="3"/>
        <v>47.240000016</v>
      </c>
      <c r="AG39">
        <f t="shared" si="4"/>
        <v>7019.285</v>
      </c>
      <c r="AH39">
        <f t="shared" si="5"/>
        <v>331591.023512309</v>
      </c>
    </row>
    <row r="40" ht="14.25" customHeight="1">
      <c r="A40" t="str">
        <f>IF(Moteur!D40="","",Moteur!D40)</f>
        <v>IPAC_REN</v>
      </c>
      <c r="B40" t="str">
        <f>IF(Moteur!B40="","",Moteur!B40)</f>
        <v>V01</v>
      </c>
      <c r="C40" t="str">
        <f>IF(Moteur!F40="","",Moteur!F40)</f>
        <v>BAC_CCE</v>
      </c>
      <c r="D40" t="str">
        <f>IF(Moteur!G40="","",Moteur!G40)</f>
        <v>B1</v>
      </c>
      <c r="E40" t="str">
        <f>IF(Moteur!H40="","",Moteur!H40)</f>
        <v>ALT</v>
      </c>
      <c r="F40" t="str">
        <f>IF(Moteur!E40="","",Moteur!E40)</f>
        <v>IPAC</v>
      </c>
      <c r="G40">
        <f>IF($A40="","",_xlfn.SUMIFS(Socle!$H$1:$H$658,Socle!$C$1:$C$658,$A40,Socle!$D$1:$D$658,$C40,Socle!$E$1:$E$658,$D40,Socle!$F$1:$F$658,$E40,Socle!$G$1:$G$658,"2026"))</f>
        <v>680</v>
      </c>
      <c r="H40">
        <f>IF($A40="","",_xlfn.SUMIFS(Socle!$N$1:$N$658,Socle!$C$1:$C$658,$A40,Socle!$D$1:$D$658,$C40,Socle!$E$1:$E$658,$D40,Socle!$F$1:$F$658,$E40,Socle!$G$1:$G$658,"2026"))</f>
        <v>0</v>
      </c>
      <c r="I40">
        <f>IF($A40="","",_xlfn.SUMIFS(Socle!$P$1:$P$658,Socle!$C$1:$C$658,$A40,Socle!$D$1:$D$658,$C40,Socle!$E$1:$E$658,$D40,Socle!$F$1:$F$658,$E40,Socle!$G$1:$G$658,"2026"))</f>
        <v>6650</v>
      </c>
      <c r="J40">
        <f>IF($A40="","",_xlfn.SUMIFS(Socle!$W$1:$W$658,Socle!$C$1:$C$658,$A40,Socle!$D$1:$D$658,$C40,Socle!$E$1:$E$658,$D40,Socle!$F$1:$F$658,$E40,Socle!$G$1:$G$658,"2026"))</f>
        <v>0.2</v>
      </c>
      <c r="K40">
        <f>IF($A40="","",_xlfn.SUMIFS(Socle!$X$1:$X$658,Socle!$C$1:$C$658,$A40,Socle!$D$1:$D$658,$C40,Socle!$E$1:$E$658,$D40,Socle!$F$1:$F$658,$E40,Socle!$G$1:$G$658,"2026"))</f>
        <v>0.698529412</v>
      </c>
      <c r="L40">
        <f>IF($A40="","",_xlfn.SUMIFS(Socle!$Y$1:$Y$658,Socle!$C$1:$C$658,$A40,Socle!$D$1:$D$658,$C40,Socle!$E$1:$E$658,$D40,Socle!$F$1:$F$658,$E40,Socle!$G$1:$G$658,"2026"))</f>
        <v>0.421052632</v>
      </c>
      <c r="M40">
        <f>IF($A40="","",_xlfn.SUMIFS(Socle!$V$1:$V$658,Socle!$C$1:$C$658,$A40,Socle!$D$1:$D$658,$C40,Socle!$E$1:$E$658,$D40,Socle!$F$1:$F$658,$E40,Socle!$G$1:$G$658,"2026"))</f>
        <v>0</v>
      </c>
      <c r="N40">
        <f t="shared" si="0"/>
        <v>1</v>
      </c>
      <c r="O40">
        <f>IF($A40="","",_xlfn.SUMIFS(Campagne!$D$1:$D$141,Campagne!$C$1:$C$141,$A40))</f>
        <v>265</v>
      </c>
      <c r="P40">
        <f>IF($A40="","",_xlfn.SUMIFS(Campagne!$E$1:$E$141,Campagne!$C$1:$C$141,$A40))</f>
        <v>415</v>
      </c>
      <c r="Q40">
        <f>IF($A40="","",_xlfn.SUMIFS(Campagne!$F$1:$F$141,Campagne!$C$1:$C$141,$A40))</f>
        <v>680</v>
      </c>
      <c r="R40">
        <f>IF($A40="","",_xlfn.SUMIFS(Campagne!$K$1:$K$141,Campagne!$C$1:$C$141,$A40))</f>
        <v>0.587876564</v>
      </c>
      <c r="S40">
        <f>IF($A40="","",_xlfn.SUMIFS(Campagne!$M$1:$M$141,Campagne!$C$1:$C$141,$A40))</f>
        <v>0.317354148</v>
      </c>
      <c r="T40">
        <f>IF($A40="","",_xlfn.SUMIFS(Pilotage!$K$19:$K$32,Pilotage!$A$19:$A$32,$A40)*_xlfn.SUMIFS(Pilotage!$J$19:$J$32,Pilotage!$A$19:$A$32,$A40)*(SUM(Pilotage!$K$19:$K$32)/SUMPRODUCT(Pilotage!$K$19:$K$32,Pilotage!$J$19:$J$32)))</f>
        <v>14933</v>
      </c>
      <c r="U40">
        <f>IF($A40="","",_xlfn.SUMIFS(Pilotage!$K$19:$K$32,Pilotage!$A$19:$A$32,$A40))</f>
        <v>14933</v>
      </c>
      <c r="V40">
        <f>IF($A40="","",IF($B40="V01",Cadrage!$C$23,IF($B40="V02",Cadrage!$D$23,Cadrage!$E$23)))</f>
        <v>0.08</v>
      </c>
      <c r="W40">
        <f>IF($A40="","",IF($B40="V01",Cadrage!$C$24,IF($B40="V02",Cadrage!$D$24,Cadrage!$E$24)))</f>
        <v>0.1</v>
      </c>
      <c r="X40">
        <f>IF($A40="","",IF($B40="V01",Cadrage!$C$25,IF($B40="V02",Cadrage!$D$25,Cadrage!$E$25)))</f>
        <v>0.0029</v>
      </c>
      <c r="Y40">
        <f>IF($A40="","",IF($B40="V01",Cadrage!$C$26,IF($B40="V02",Cadrage!$D$26,Cadrage!$E$26)))</f>
        <v>0.01</v>
      </c>
      <c r="Z40">
        <f>IF($A40="","",IF($B40="V01",Cadrage!$C$27,IF($B40="V02",Cadrage!$D$27,Cadrage!$E$27)))</f>
        <v>0.01</v>
      </c>
      <c r="AA40">
        <f>IF($A40="","",IF($B40="V01",Cadrage!$C$28,IF($B40="V02",Cadrage!$D$28,Cadrage!$E$28)))</f>
        <v>0.005</v>
      </c>
      <c r="AB40">
        <f>IF($A40="","",IF($B40="V01",Cadrage!$C$42,IF($B40="V02",Cadrage!$D$42,Cadrage!$E$42)))</f>
        <v>90</v>
      </c>
      <c r="AC40">
        <f>IF($A40="","",IF($F40="MBWAY",Cadrage!$K$34,IF($F40="ISCOM",Cadrage!$K$35,IF($F40="IPAC",Cadrage!$K$36,IF($F40="PIGIER",Cadrage!$K$37,Cadrage!$K$38)))))</f>
        <v>0.95</v>
      </c>
      <c r="AD40">
        <f t="shared" si="1"/>
        <v>44.726584383129</v>
      </c>
      <c r="AE40">
        <f t="shared" si="2"/>
        <v>44.726584383129</v>
      </c>
      <c r="AF40">
        <f t="shared" si="3"/>
        <v>44.726584383129</v>
      </c>
      <c r="AG40">
        <f t="shared" si="4"/>
        <v>6668.32075</v>
      </c>
      <c r="AH40">
        <f t="shared" si="5"/>
        <v>302276.603313127</v>
      </c>
    </row>
    <row r="41" ht="14.25" customHeight="1">
      <c r="A41" t="str">
        <f>IF(Moteur!D41="","",Moteur!D41)</f>
        <v>IPAC_REN</v>
      </c>
      <c r="B41" t="str">
        <f>IF(Moteur!B41="","",Moteur!B41)</f>
        <v>V01</v>
      </c>
      <c r="C41" t="str">
        <f>IF(Moteur!F41="","",Moteur!F41)</f>
        <v>BAC_CCE</v>
      </c>
      <c r="D41" t="str">
        <f>IF(Moteur!G41="","",Moteur!G41)</f>
        <v>B2</v>
      </c>
      <c r="E41" t="str">
        <f>IF(Moteur!H41="","",Moteur!H41)</f>
        <v>ALT</v>
      </c>
      <c r="F41" t="str">
        <f>IF(Moteur!E41="","",Moteur!E41)</f>
        <v>IPAC</v>
      </c>
      <c r="G41">
        <f>IF($A41="","",_xlfn.SUMIFS(Socle!$H$1:$H$658,Socle!$C$1:$C$658,$A41,Socle!$D$1:$D$658,$C41,Socle!$E$1:$E$658,$D41,Socle!$F$1:$F$658,$E41,Socle!$G$1:$G$658,"2026"))</f>
        <v>0</v>
      </c>
      <c r="H41">
        <f>IF($A41="","",_xlfn.SUMIFS(Socle!$N$1:$N$658,Socle!$C$1:$C$658,$A41,Socle!$D$1:$D$658,$C41,Socle!$E$1:$E$658,$D41,Socle!$F$1:$F$658,$E41,Socle!$G$1:$G$658,"2026"))</f>
        <v>40</v>
      </c>
      <c r="I41">
        <f>IF($A41="","",_xlfn.SUMIFS(Socle!$P$1:$P$658,Socle!$C$1:$C$658,$A41,Socle!$D$1:$D$658,$C41,Socle!$E$1:$E$658,$D41,Socle!$F$1:$F$658,$E41,Socle!$G$1:$G$658,"2026"))</f>
        <v>6650</v>
      </c>
      <c r="J41">
        <f>IF($A41="","",_xlfn.SUMIFS(Socle!$W$1:$W$658,Socle!$C$1:$C$658,$A41,Socle!$D$1:$D$658,$C41,Socle!$E$1:$E$658,$D41,Socle!$F$1:$F$658,$E41,Socle!$G$1:$G$658,"2026"))</f>
        <v>0</v>
      </c>
      <c r="K41">
        <f>IF($A41="","",_xlfn.SUMIFS(Socle!$X$1:$X$658,Socle!$C$1:$C$658,$A41,Socle!$D$1:$D$658,$C41,Socle!$E$1:$E$658,$D41,Socle!$F$1:$F$658,$E41,Socle!$G$1:$G$658,"2026"))</f>
        <v>0</v>
      </c>
      <c r="L41">
        <f>IF($A41="","",_xlfn.SUMIFS(Socle!$Y$1:$Y$658,Socle!$C$1:$C$658,$A41,Socle!$D$1:$D$658,$C41,Socle!$E$1:$E$658,$D41,Socle!$F$1:$F$658,$E41,Socle!$G$1:$G$658,"2026"))</f>
        <v>0</v>
      </c>
      <c r="M41">
        <f>IF($A41="","",_xlfn.SUMIFS(Socle!$V$1:$V$658,Socle!$C$1:$C$658,$A41,Socle!$D$1:$D$658,$C41,Socle!$E$1:$E$658,$D41,Socle!$F$1:$F$658,$E41,Socle!$G$1:$G$658,"2026"))</f>
        <v>0.975</v>
      </c>
      <c r="N41">
        <f t="shared" si="0"/>
        <v>0</v>
      </c>
      <c r="O41">
        <f>IF($A41="","",_xlfn.SUMIFS(Campagne!$D$1:$D$141,Campagne!$C$1:$C$141,$A41))</f>
        <v>265</v>
      </c>
      <c r="P41">
        <f>IF($A41="","",_xlfn.SUMIFS(Campagne!$E$1:$E$141,Campagne!$C$1:$C$141,$A41))</f>
        <v>415</v>
      </c>
      <c r="Q41">
        <f>IF($A41="","",_xlfn.SUMIFS(Campagne!$F$1:$F$141,Campagne!$C$1:$C$141,$A41))</f>
        <v>680</v>
      </c>
      <c r="R41">
        <f>IF($A41="","",_xlfn.SUMIFS(Campagne!$K$1:$K$141,Campagne!$C$1:$C$141,$A41))</f>
        <v>0.587876564</v>
      </c>
      <c r="S41">
        <f>IF($A41="","",_xlfn.SUMIFS(Campagne!$M$1:$M$141,Campagne!$C$1:$C$141,$A41))</f>
        <v>0.317354148</v>
      </c>
      <c r="T41">
        <f>IF($A41="","",_xlfn.SUMIFS(Pilotage!$K$19:$K$32,Pilotage!$A$19:$A$32,$A41)*_xlfn.SUMIFS(Pilotage!$J$19:$J$32,Pilotage!$A$19:$A$32,$A41)*(SUM(Pilotage!$K$19:$K$32)/SUMPRODUCT(Pilotage!$K$19:$K$32,Pilotage!$J$19:$J$32)))</f>
        <v>14933</v>
      </c>
      <c r="U41">
        <f>IF($A41="","",_xlfn.SUMIFS(Pilotage!$K$19:$K$32,Pilotage!$A$19:$A$32,$A41))</f>
        <v>14933</v>
      </c>
      <c r="V41">
        <f>IF($A41="","",IF($B41="V01",Cadrage!$C$23,IF($B41="V02",Cadrage!$D$23,Cadrage!$E$23)))</f>
        <v>0.08</v>
      </c>
      <c r="W41">
        <f>IF($A41="","",IF($B41="V01",Cadrage!$C$24,IF($B41="V02",Cadrage!$D$24,Cadrage!$E$24)))</f>
        <v>0.1</v>
      </c>
      <c r="X41">
        <f>IF($A41="","",IF($B41="V01",Cadrage!$C$25,IF($B41="V02",Cadrage!$D$25,Cadrage!$E$25)))</f>
        <v>0.0029</v>
      </c>
      <c r="Y41">
        <f>IF($A41="","",IF($B41="V01",Cadrage!$C$26,IF($B41="V02",Cadrage!$D$26,Cadrage!$E$26)))</f>
        <v>0.01</v>
      </c>
      <c r="Z41">
        <f>IF($A41="","",IF($B41="V01",Cadrage!$C$27,IF($B41="V02",Cadrage!$D$27,Cadrage!$E$27)))</f>
        <v>0.01</v>
      </c>
      <c r="AA41">
        <f>IF($A41="","",IF($B41="V01",Cadrage!$C$28,IF($B41="V02",Cadrage!$D$28,Cadrage!$E$28)))</f>
        <v>0.005</v>
      </c>
      <c r="AB41">
        <f>IF($A41="","",IF($B41="V01",Cadrage!$C$42,IF($B41="V02",Cadrage!$D$42,Cadrage!$E$42)))</f>
        <v>90</v>
      </c>
      <c r="AC41">
        <f>IF($A41="","",IF($F41="MBWAY",Cadrage!$K$34,IF($F41="ISCOM",Cadrage!$K$35,IF($F41="IPAC",Cadrage!$K$36,IF($F41="PIGIER",Cadrage!$K$37,Cadrage!$K$38)))))</f>
        <v>0.95</v>
      </c>
      <c r="AD41">
        <f t="shared" si="1"/>
        <v>0</v>
      </c>
      <c r="AE41">
        <f t="shared" si="2"/>
        <v>0</v>
      </c>
      <c r="AF41">
        <f t="shared" si="3"/>
        <v>39.2</v>
      </c>
      <c r="AG41">
        <f t="shared" si="4"/>
        <v>6668.32075</v>
      </c>
      <c r="AH41">
        <f t="shared" si="5"/>
        <v>261398.1734</v>
      </c>
    </row>
    <row r="42" ht="14.25" customHeight="1">
      <c r="A42" t="str">
        <f>IF(Moteur!D42="","",Moteur!D42)</f>
        <v>IPAC_REN</v>
      </c>
      <c r="B42" t="str">
        <f>IF(Moteur!B42="","",Moteur!B42)</f>
        <v>V01</v>
      </c>
      <c r="C42" t="str">
        <f>IF(Moteur!F42="","",Moteur!F42)</f>
        <v>BAC_CCE</v>
      </c>
      <c r="D42" t="str">
        <f>IF(Moteur!G42="","",Moteur!G42)</f>
        <v>B3</v>
      </c>
      <c r="E42" t="str">
        <f>IF(Moteur!H42="","",Moteur!H42)</f>
        <v>ALT</v>
      </c>
      <c r="F42" t="str">
        <f>IF(Moteur!E42="","",Moteur!E42)</f>
        <v>IPAC</v>
      </c>
      <c r="G42">
        <f>IF($A42="","",_xlfn.SUMIFS(Socle!$H$1:$H$658,Socle!$C$1:$C$658,$A42,Socle!$D$1:$D$658,$C42,Socle!$E$1:$E$658,$D42,Socle!$F$1:$F$658,$E42,Socle!$G$1:$G$658,"2026"))</f>
        <v>0</v>
      </c>
      <c r="H42">
        <f>IF($A42="","",_xlfn.SUMIFS(Socle!$N$1:$N$658,Socle!$C$1:$C$658,$A42,Socle!$D$1:$D$658,$C42,Socle!$E$1:$E$658,$D42,Socle!$F$1:$F$658,$E42,Socle!$G$1:$G$658,"2026"))</f>
        <v>39</v>
      </c>
      <c r="I42">
        <f>IF($A42="","",_xlfn.SUMIFS(Socle!$P$1:$P$658,Socle!$C$1:$C$658,$A42,Socle!$D$1:$D$658,$C42,Socle!$E$1:$E$658,$D42,Socle!$F$1:$F$658,$E42,Socle!$G$1:$G$658,"2026"))</f>
        <v>6650</v>
      </c>
      <c r="J42">
        <f>IF($A42="","",_xlfn.SUMIFS(Socle!$W$1:$W$658,Socle!$C$1:$C$658,$A42,Socle!$D$1:$D$658,$C42,Socle!$E$1:$E$658,$D42,Socle!$F$1:$F$658,$E42,Socle!$G$1:$G$658,"2026"))</f>
        <v>0</v>
      </c>
      <c r="K42">
        <f>IF($A42="","",_xlfn.SUMIFS(Socle!$X$1:$X$658,Socle!$C$1:$C$658,$A42,Socle!$D$1:$D$658,$C42,Socle!$E$1:$E$658,$D42,Socle!$F$1:$F$658,$E42,Socle!$G$1:$G$658,"2026"))</f>
        <v>0</v>
      </c>
      <c r="L42">
        <f>IF($A42="","",_xlfn.SUMIFS(Socle!$Y$1:$Y$658,Socle!$C$1:$C$658,$A42,Socle!$D$1:$D$658,$C42,Socle!$E$1:$E$658,$D42,Socle!$F$1:$F$658,$E42,Socle!$G$1:$G$658,"2026"))</f>
        <v>0</v>
      </c>
      <c r="M42">
        <f>IF($A42="","",_xlfn.SUMIFS(Socle!$V$1:$V$658,Socle!$C$1:$C$658,$A42,Socle!$D$1:$D$658,$C42,Socle!$E$1:$E$658,$D42,Socle!$F$1:$F$658,$E42,Socle!$G$1:$G$658,"2026"))</f>
        <v>0.974358974</v>
      </c>
      <c r="N42">
        <f t="shared" si="0"/>
        <v>0</v>
      </c>
      <c r="O42">
        <f>IF($A42="","",_xlfn.SUMIFS(Campagne!$D$1:$D$141,Campagne!$C$1:$C$141,$A42))</f>
        <v>265</v>
      </c>
      <c r="P42">
        <f>IF($A42="","",_xlfn.SUMIFS(Campagne!$E$1:$E$141,Campagne!$C$1:$C$141,$A42))</f>
        <v>415</v>
      </c>
      <c r="Q42">
        <f>IF($A42="","",_xlfn.SUMIFS(Campagne!$F$1:$F$141,Campagne!$C$1:$C$141,$A42))</f>
        <v>680</v>
      </c>
      <c r="R42">
        <f>IF($A42="","",_xlfn.SUMIFS(Campagne!$K$1:$K$141,Campagne!$C$1:$C$141,$A42))</f>
        <v>0.587876564</v>
      </c>
      <c r="S42">
        <f>IF($A42="","",_xlfn.SUMIFS(Campagne!$M$1:$M$141,Campagne!$C$1:$C$141,$A42))</f>
        <v>0.317354148</v>
      </c>
      <c r="T42">
        <f>IF($A42="","",_xlfn.SUMIFS(Pilotage!$K$19:$K$32,Pilotage!$A$19:$A$32,$A42)*_xlfn.SUMIFS(Pilotage!$J$19:$J$32,Pilotage!$A$19:$A$32,$A42)*(SUM(Pilotage!$K$19:$K$32)/SUMPRODUCT(Pilotage!$K$19:$K$32,Pilotage!$J$19:$J$32)))</f>
        <v>14933</v>
      </c>
      <c r="U42">
        <f>IF($A42="","",_xlfn.SUMIFS(Pilotage!$K$19:$K$32,Pilotage!$A$19:$A$32,$A42))</f>
        <v>14933</v>
      </c>
      <c r="V42">
        <f>IF($A42="","",IF($B42="V01",Cadrage!$C$23,IF($B42="V02",Cadrage!$D$23,Cadrage!$E$23)))</f>
        <v>0.08</v>
      </c>
      <c r="W42">
        <f>IF($A42="","",IF($B42="V01",Cadrage!$C$24,IF($B42="V02",Cadrage!$D$24,Cadrage!$E$24)))</f>
        <v>0.1</v>
      </c>
      <c r="X42">
        <f>IF($A42="","",IF($B42="V01",Cadrage!$C$25,IF($B42="V02",Cadrage!$D$25,Cadrage!$E$25)))</f>
        <v>0.0029</v>
      </c>
      <c r="Y42">
        <f>IF($A42="","",IF($B42="V01",Cadrage!$C$26,IF($B42="V02",Cadrage!$D$26,Cadrage!$E$26)))</f>
        <v>0.01</v>
      </c>
      <c r="Z42">
        <f>IF($A42="","",IF($B42="V01",Cadrage!$C$27,IF($B42="V02",Cadrage!$D$27,Cadrage!$E$27)))</f>
        <v>0.01</v>
      </c>
      <c r="AA42">
        <f>IF($A42="","",IF($B42="V01",Cadrage!$C$28,IF($B42="V02",Cadrage!$D$28,Cadrage!$E$28)))</f>
        <v>0.005</v>
      </c>
      <c r="AB42">
        <f>IF($A42="","",IF($B42="V01",Cadrage!$C$42,IF($B42="V02",Cadrage!$D$42,Cadrage!$E$42)))</f>
        <v>90</v>
      </c>
      <c r="AC42">
        <f>IF($A42="","",IF($F42="MBWAY",Cadrage!$K$34,IF($F42="ISCOM",Cadrage!$K$35,IF($F42="IPAC",Cadrage!$K$36,IF($F42="PIGIER",Cadrage!$K$37,Cadrage!$K$38)))))</f>
        <v>0.95</v>
      </c>
      <c r="AD42">
        <f t="shared" si="1"/>
        <v>0</v>
      </c>
      <c r="AE42">
        <f t="shared" si="2"/>
        <v>0</v>
      </c>
      <c r="AF42">
        <f t="shared" si="3"/>
        <v>38.194999986</v>
      </c>
      <c r="AG42">
        <f t="shared" si="4"/>
        <v>6668.32075</v>
      </c>
      <c r="AH42">
        <f t="shared" si="5"/>
        <v>254696.510952893</v>
      </c>
    </row>
    <row r="43" ht="14.25" customHeight="1">
      <c r="A43" t="str">
        <f>IF(Moteur!D43="","",Moteur!D43)</f>
        <v>IPAC_MTP</v>
      </c>
      <c r="B43" t="str">
        <f>IF(Moteur!B43="","",Moteur!B43)</f>
        <v>V01</v>
      </c>
      <c r="C43" t="str">
        <f>IF(Moteur!F43="","",Moteur!F43)</f>
        <v>BAC_CCE</v>
      </c>
      <c r="D43" t="str">
        <f>IF(Moteur!G43="","",Moteur!G43)</f>
        <v>B1</v>
      </c>
      <c r="E43" t="str">
        <f>IF(Moteur!H43="","",Moteur!H43)</f>
        <v>ALT</v>
      </c>
      <c r="F43" t="str">
        <f>IF(Moteur!E43="","",Moteur!E43)</f>
        <v>IPAC</v>
      </c>
      <c r="G43">
        <f>IF($A43="","",_xlfn.SUMIFS(Socle!$H$1:$H$658,Socle!$C$1:$C$658,$A43,Socle!$D$1:$D$658,$C43,Socle!$E$1:$E$658,$D43,Socle!$F$1:$F$658,$E43,Socle!$G$1:$G$658,"2026"))</f>
        <v>680</v>
      </c>
      <c r="H43">
        <f>IF($A43="","",_xlfn.SUMIFS(Socle!$N$1:$N$658,Socle!$C$1:$C$658,$A43,Socle!$D$1:$D$658,$C43,Socle!$E$1:$E$658,$D43,Socle!$F$1:$F$658,$E43,Socle!$G$1:$G$658,"2026"))</f>
        <v>0</v>
      </c>
      <c r="I43">
        <f>IF($A43="","",_xlfn.SUMIFS(Socle!$P$1:$P$658,Socle!$C$1:$C$658,$A43,Socle!$D$1:$D$658,$C43,Socle!$E$1:$E$658,$D43,Socle!$F$1:$F$658,$E43,Socle!$G$1:$G$658,"2026"))</f>
        <v>6650</v>
      </c>
      <c r="J43">
        <f>IF($A43="","",_xlfn.SUMIFS(Socle!$W$1:$W$658,Socle!$C$1:$C$658,$A43,Socle!$D$1:$D$658,$C43,Socle!$E$1:$E$658,$D43,Socle!$F$1:$F$658,$E43,Socle!$G$1:$G$658,"2026"))</f>
        <v>0.2</v>
      </c>
      <c r="K43">
        <f>IF($A43="","",_xlfn.SUMIFS(Socle!$X$1:$X$658,Socle!$C$1:$C$658,$A43,Socle!$D$1:$D$658,$C43,Socle!$E$1:$E$658,$D43,Socle!$F$1:$F$658,$E43,Socle!$G$1:$G$658,"2026"))</f>
        <v>0.698529412</v>
      </c>
      <c r="L43">
        <f>IF($A43="","",_xlfn.SUMIFS(Socle!$Y$1:$Y$658,Socle!$C$1:$C$658,$A43,Socle!$D$1:$D$658,$C43,Socle!$E$1:$E$658,$D43,Socle!$F$1:$F$658,$E43,Socle!$G$1:$G$658,"2026"))</f>
        <v>0.421052632</v>
      </c>
      <c r="M43">
        <f>IF($A43="","",_xlfn.SUMIFS(Socle!$V$1:$V$658,Socle!$C$1:$C$658,$A43,Socle!$D$1:$D$658,$C43,Socle!$E$1:$E$658,$D43,Socle!$F$1:$F$658,$E43,Socle!$G$1:$G$658,"2026"))</f>
        <v>0</v>
      </c>
      <c r="N43">
        <f t="shared" si="0"/>
        <v>1</v>
      </c>
      <c r="O43">
        <f>IF($A43="","",_xlfn.SUMIFS(Campagne!$D$1:$D$141,Campagne!$C$1:$C$141,$A43))</f>
        <v>258</v>
      </c>
      <c r="P43">
        <f>IF($A43="","",_xlfn.SUMIFS(Campagne!$E$1:$E$141,Campagne!$C$1:$C$141,$A43))</f>
        <v>422</v>
      </c>
      <c r="Q43">
        <f>IF($A43="","",_xlfn.SUMIFS(Campagne!$F$1:$F$141,Campagne!$C$1:$C$141,$A43))</f>
        <v>680</v>
      </c>
      <c r="R43">
        <f>IF($A43="","",_xlfn.SUMIFS(Campagne!$K$1:$K$141,Campagne!$C$1:$C$141,$A43))</f>
        <v>0.591344893</v>
      </c>
      <c r="S43">
        <f>IF($A43="","",_xlfn.SUMIFS(Campagne!$M$1:$M$141,Campagne!$C$1:$C$141,$A43))</f>
        <v>0.315275187</v>
      </c>
      <c r="T43">
        <f>IF($A43="","",_xlfn.SUMIFS(Pilotage!$K$19:$K$32,Pilotage!$A$19:$A$32,$A43)*_xlfn.SUMIFS(Pilotage!$J$19:$J$32,Pilotage!$A$19:$A$32,$A43)*(SUM(Pilotage!$K$19:$K$32)/SUMPRODUCT(Pilotage!$K$19:$K$32,Pilotage!$J$19:$J$32)))</f>
        <v>15178</v>
      </c>
      <c r="U43">
        <f>IF($A43="","",_xlfn.SUMIFS(Pilotage!$K$19:$K$32,Pilotage!$A$19:$A$32,$A43))</f>
        <v>15178</v>
      </c>
      <c r="V43">
        <f>IF($A43="","",IF($B43="V01",Cadrage!$C$23,IF($B43="V02",Cadrage!$D$23,Cadrage!$E$23)))</f>
        <v>0.08</v>
      </c>
      <c r="W43">
        <f>IF($A43="","",IF($B43="V01",Cadrage!$C$24,IF($B43="V02",Cadrage!$D$24,Cadrage!$E$24)))</f>
        <v>0.1</v>
      </c>
      <c r="X43">
        <f>IF($A43="","",IF($B43="V01",Cadrage!$C$25,IF($B43="V02",Cadrage!$D$25,Cadrage!$E$25)))</f>
        <v>0.0029</v>
      </c>
      <c r="Y43">
        <f>IF($A43="","",IF($B43="V01",Cadrage!$C$26,IF($B43="V02",Cadrage!$D$26,Cadrage!$E$26)))</f>
        <v>0.01</v>
      </c>
      <c r="Z43">
        <f>IF($A43="","",IF($B43="V01",Cadrage!$C$27,IF($B43="V02",Cadrage!$D$27,Cadrage!$E$27)))</f>
        <v>0.01</v>
      </c>
      <c r="AA43">
        <f>IF($A43="","",IF($B43="V01",Cadrage!$C$28,IF($B43="V02",Cadrage!$D$28,Cadrage!$E$28)))</f>
        <v>0.005</v>
      </c>
      <c r="AB43">
        <f>IF($A43="","",IF($B43="V01",Cadrage!$C$42,IF($B43="V02",Cadrage!$D$42,Cadrage!$E$42)))</f>
        <v>90</v>
      </c>
      <c r="AC43">
        <f>IF($A43="","",IF($F43="MBWAY",Cadrage!$K$34,IF($F43="ISCOM",Cadrage!$K$35,IF($F43="IPAC",Cadrage!$K$36,IF($F43="PIGIER",Cadrage!$K$37,Cadrage!$K$38)))))</f>
        <v>0.95</v>
      </c>
      <c r="AD43">
        <f t="shared" si="1"/>
        <v>44.7375993490518</v>
      </c>
      <c r="AE43">
        <f t="shared" si="2"/>
        <v>44.7375993490518</v>
      </c>
      <c r="AF43">
        <f t="shared" si="3"/>
        <v>44.7375993490518</v>
      </c>
      <c r="AG43">
        <f t="shared" si="4"/>
        <v>6668.32075</v>
      </c>
      <c r="AH43">
        <f t="shared" si="5"/>
        <v>302351.045985883</v>
      </c>
    </row>
    <row r="44" ht="14.25" customHeight="1">
      <c r="A44" t="str">
        <f>IF(Moteur!D44="","",Moteur!D44)</f>
        <v>IPAC_MTP</v>
      </c>
      <c r="B44" t="str">
        <f>IF(Moteur!B44="","",Moteur!B44)</f>
        <v>V01</v>
      </c>
      <c r="C44" t="str">
        <f>IF(Moteur!F44="","",Moteur!F44)</f>
        <v>BAC_CCE</v>
      </c>
      <c r="D44" t="str">
        <f>IF(Moteur!G44="","",Moteur!G44)</f>
        <v>B2</v>
      </c>
      <c r="E44" t="str">
        <f>IF(Moteur!H44="","",Moteur!H44)</f>
        <v>ALT</v>
      </c>
      <c r="F44" t="str">
        <f>IF(Moteur!E44="","",Moteur!E44)</f>
        <v>IPAC</v>
      </c>
      <c r="G44">
        <f>IF($A44="","",_xlfn.SUMIFS(Socle!$H$1:$H$658,Socle!$C$1:$C$658,$A44,Socle!$D$1:$D$658,$C44,Socle!$E$1:$E$658,$D44,Socle!$F$1:$F$658,$E44,Socle!$G$1:$G$658,"2026"))</f>
        <v>0</v>
      </c>
      <c r="H44">
        <f>IF($A44="","",_xlfn.SUMIFS(Socle!$N$1:$N$658,Socle!$C$1:$C$658,$A44,Socle!$D$1:$D$658,$C44,Socle!$E$1:$E$658,$D44,Socle!$F$1:$F$658,$E44,Socle!$G$1:$G$658,"2026"))</f>
        <v>40</v>
      </c>
      <c r="I44">
        <f>IF($A44="","",_xlfn.SUMIFS(Socle!$P$1:$P$658,Socle!$C$1:$C$658,$A44,Socle!$D$1:$D$658,$C44,Socle!$E$1:$E$658,$D44,Socle!$F$1:$F$658,$E44,Socle!$G$1:$G$658,"2026"))</f>
        <v>6650</v>
      </c>
      <c r="J44">
        <f>IF($A44="","",_xlfn.SUMIFS(Socle!$W$1:$W$658,Socle!$C$1:$C$658,$A44,Socle!$D$1:$D$658,$C44,Socle!$E$1:$E$658,$D44,Socle!$F$1:$F$658,$E44,Socle!$G$1:$G$658,"2026"))</f>
        <v>0</v>
      </c>
      <c r="K44">
        <f>IF($A44="","",_xlfn.SUMIFS(Socle!$X$1:$X$658,Socle!$C$1:$C$658,$A44,Socle!$D$1:$D$658,$C44,Socle!$E$1:$E$658,$D44,Socle!$F$1:$F$658,$E44,Socle!$G$1:$G$658,"2026"))</f>
        <v>0</v>
      </c>
      <c r="L44">
        <f>IF($A44="","",_xlfn.SUMIFS(Socle!$Y$1:$Y$658,Socle!$C$1:$C$658,$A44,Socle!$D$1:$D$658,$C44,Socle!$E$1:$E$658,$D44,Socle!$F$1:$F$658,$E44,Socle!$G$1:$G$658,"2026"))</f>
        <v>0</v>
      </c>
      <c r="M44">
        <f>IF($A44="","",_xlfn.SUMIFS(Socle!$V$1:$V$658,Socle!$C$1:$C$658,$A44,Socle!$D$1:$D$658,$C44,Socle!$E$1:$E$658,$D44,Socle!$F$1:$F$658,$E44,Socle!$G$1:$G$658,"2026"))</f>
        <v>0.975</v>
      </c>
      <c r="N44">
        <f t="shared" si="0"/>
        <v>0</v>
      </c>
      <c r="O44">
        <f>IF($A44="","",_xlfn.SUMIFS(Campagne!$D$1:$D$141,Campagne!$C$1:$C$141,$A44))</f>
        <v>258</v>
      </c>
      <c r="P44">
        <f>IF($A44="","",_xlfn.SUMIFS(Campagne!$E$1:$E$141,Campagne!$C$1:$C$141,$A44))</f>
        <v>422</v>
      </c>
      <c r="Q44">
        <f>IF($A44="","",_xlfn.SUMIFS(Campagne!$F$1:$F$141,Campagne!$C$1:$C$141,$A44))</f>
        <v>680</v>
      </c>
      <c r="R44">
        <f>IF($A44="","",_xlfn.SUMIFS(Campagne!$K$1:$K$141,Campagne!$C$1:$C$141,$A44))</f>
        <v>0.591344893</v>
      </c>
      <c r="S44">
        <f>IF($A44="","",_xlfn.SUMIFS(Campagne!$M$1:$M$141,Campagne!$C$1:$C$141,$A44))</f>
        <v>0.315275187</v>
      </c>
      <c r="T44">
        <f>IF($A44="","",_xlfn.SUMIFS(Pilotage!$K$19:$K$32,Pilotage!$A$19:$A$32,$A44)*_xlfn.SUMIFS(Pilotage!$J$19:$J$32,Pilotage!$A$19:$A$32,$A44)*(SUM(Pilotage!$K$19:$K$32)/SUMPRODUCT(Pilotage!$K$19:$K$32,Pilotage!$J$19:$J$32)))</f>
        <v>15178</v>
      </c>
      <c r="U44">
        <f>IF($A44="","",_xlfn.SUMIFS(Pilotage!$K$19:$K$32,Pilotage!$A$19:$A$32,$A44))</f>
        <v>15178</v>
      </c>
      <c r="V44">
        <f>IF($A44="","",IF($B44="V01",Cadrage!$C$23,IF($B44="V02",Cadrage!$D$23,Cadrage!$E$23)))</f>
        <v>0.08</v>
      </c>
      <c r="W44">
        <f>IF($A44="","",IF($B44="V01",Cadrage!$C$24,IF($B44="V02",Cadrage!$D$24,Cadrage!$E$24)))</f>
        <v>0.1</v>
      </c>
      <c r="X44">
        <f>IF($A44="","",IF($B44="V01",Cadrage!$C$25,IF($B44="V02",Cadrage!$D$25,Cadrage!$E$25)))</f>
        <v>0.0029</v>
      </c>
      <c r="Y44">
        <f>IF($A44="","",IF($B44="V01",Cadrage!$C$26,IF($B44="V02",Cadrage!$D$26,Cadrage!$E$26)))</f>
        <v>0.01</v>
      </c>
      <c r="Z44">
        <f>IF($A44="","",IF($B44="V01",Cadrage!$C$27,IF($B44="V02",Cadrage!$D$27,Cadrage!$E$27)))</f>
        <v>0.01</v>
      </c>
      <c r="AA44">
        <f>IF($A44="","",IF($B44="V01",Cadrage!$C$28,IF($B44="V02",Cadrage!$D$28,Cadrage!$E$28)))</f>
        <v>0.005</v>
      </c>
      <c r="AB44">
        <f>IF($A44="","",IF($B44="V01",Cadrage!$C$42,IF($B44="V02",Cadrage!$D$42,Cadrage!$E$42)))</f>
        <v>90</v>
      </c>
      <c r="AC44">
        <f>IF($A44="","",IF($F44="MBWAY",Cadrage!$K$34,IF($F44="ISCOM",Cadrage!$K$35,IF($F44="IPAC",Cadrage!$K$36,IF($F44="PIGIER",Cadrage!$K$37,Cadrage!$K$38)))))</f>
        <v>0.95</v>
      </c>
      <c r="AD44">
        <f t="shared" si="1"/>
        <v>0</v>
      </c>
      <c r="AE44">
        <f t="shared" si="2"/>
        <v>0</v>
      </c>
      <c r="AF44">
        <f t="shared" si="3"/>
        <v>39.2</v>
      </c>
      <c r="AG44">
        <f t="shared" si="4"/>
        <v>6668.32075</v>
      </c>
      <c r="AH44">
        <f t="shared" si="5"/>
        <v>261398.1734</v>
      </c>
    </row>
    <row r="45" ht="14.25" customHeight="1">
      <c r="A45" t="str">
        <f>IF(Moteur!D45="","",Moteur!D45)</f>
        <v>IPAC_MTP</v>
      </c>
      <c r="B45" t="str">
        <f>IF(Moteur!B45="","",Moteur!B45)</f>
        <v>V01</v>
      </c>
      <c r="C45" t="str">
        <f>IF(Moteur!F45="","",Moteur!F45)</f>
        <v>BAC_CCE</v>
      </c>
      <c r="D45" t="str">
        <f>IF(Moteur!G45="","",Moteur!G45)</f>
        <v>B3</v>
      </c>
      <c r="E45" t="str">
        <f>IF(Moteur!H45="","",Moteur!H45)</f>
        <v>ALT</v>
      </c>
      <c r="F45" t="str">
        <f>IF(Moteur!E45="","",Moteur!E45)</f>
        <v>IPAC</v>
      </c>
      <c r="G45">
        <f>IF($A45="","",_xlfn.SUMIFS(Socle!$H$1:$H$658,Socle!$C$1:$C$658,$A45,Socle!$D$1:$D$658,$C45,Socle!$E$1:$E$658,$D45,Socle!$F$1:$F$658,$E45,Socle!$G$1:$G$658,"2026"))</f>
        <v>0</v>
      </c>
      <c r="H45">
        <f>IF($A45="","",_xlfn.SUMIFS(Socle!$N$1:$N$658,Socle!$C$1:$C$658,$A45,Socle!$D$1:$D$658,$C45,Socle!$E$1:$E$658,$D45,Socle!$F$1:$F$658,$E45,Socle!$G$1:$G$658,"2026"))</f>
        <v>39</v>
      </c>
      <c r="I45">
        <f>IF($A45="","",_xlfn.SUMIFS(Socle!$P$1:$P$658,Socle!$C$1:$C$658,$A45,Socle!$D$1:$D$658,$C45,Socle!$E$1:$E$658,$D45,Socle!$F$1:$F$658,$E45,Socle!$G$1:$G$658,"2026"))</f>
        <v>6650</v>
      </c>
      <c r="J45">
        <f>IF($A45="","",_xlfn.SUMIFS(Socle!$W$1:$W$658,Socle!$C$1:$C$658,$A45,Socle!$D$1:$D$658,$C45,Socle!$E$1:$E$658,$D45,Socle!$F$1:$F$658,$E45,Socle!$G$1:$G$658,"2026"))</f>
        <v>0</v>
      </c>
      <c r="K45">
        <f>IF($A45="","",_xlfn.SUMIFS(Socle!$X$1:$X$658,Socle!$C$1:$C$658,$A45,Socle!$D$1:$D$658,$C45,Socle!$E$1:$E$658,$D45,Socle!$F$1:$F$658,$E45,Socle!$G$1:$G$658,"2026"))</f>
        <v>0</v>
      </c>
      <c r="L45">
        <f>IF($A45="","",_xlfn.SUMIFS(Socle!$Y$1:$Y$658,Socle!$C$1:$C$658,$A45,Socle!$D$1:$D$658,$C45,Socle!$E$1:$E$658,$D45,Socle!$F$1:$F$658,$E45,Socle!$G$1:$G$658,"2026"))</f>
        <v>0</v>
      </c>
      <c r="M45">
        <f>IF($A45="","",_xlfn.SUMIFS(Socle!$V$1:$V$658,Socle!$C$1:$C$658,$A45,Socle!$D$1:$D$658,$C45,Socle!$E$1:$E$658,$D45,Socle!$F$1:$F$658,$E45,Socle!$G$1:$G$658,"2026"))</f>
        <v>0.974358974</v>
      </c>
      <c r="N45">
        <f t="shared" si="0"/>
        <v>0</v>
      </c>
      <c r="O45">
        <f>IF($A45="","",_xlfn.SUMIFS(Campagne!$D$1:$D$141,Campagne!$C$1:$C$141,$A45))</f>
        <v>258</v>
      </c>
      <c r="P45">
        <f>IF($A45="","",_xlfn.SUMIFS(Campagne!$E$1:$E$141,Campagne!$C$1:$C$141,$A45))</f>
        <v>422</v>
      </c>
      <c r="Q45">
        <f>IF($A45="","",_xlfn.SUMIFS(Campagne!$F$1:$F$141,Campagne!$C$1:$C$141,$A45))</f>
        <v>680</v>
      </c>
      <c r="R45">
        <f>IF($A45="","",_xlfn.SUMIFS(Campagne!$K$1:$K$141,Campagne!$C$1:$C$141,$A45))</f>
        <v>0.591344893</v>
      </c>
      <c r="S45">
        <f>IF($A45="","",_xlfn.SUMIFS(Campagne!$M$1:$M$141,Campagne!$C$1:$C$141,$A45))</f>
        <v>0.315275187</v>
      </c>
      <c r="T45">
        <f>IF($A45="","",_xlfn.SUMIFS(Pilotage!$K$19:$K$32,Pilotage!$A$19:$A$32,$A45)*_xlfn.SUMIFS(Pilotage!$J$19:$J$32,Pilotage!$A$19:$A$32,$A45)*(SUM(Pilotage!$K$19:$K$32)/SUMPRODUCT(Pilotage!$K$19:$K$32,Pilotage!$J$19:$J$32)))</f>
        <v>15178</v>
      </c>
      <c r="U45">
        <f>IF($A45="","",_xlfn.SUMIFS(Pilotage!$K$19:$K$32,Pilotage!$A$19:$A$32,$A45))</f>
        <v>15178</v>
      </c>
      <c r="V45">
        <f>IF($A45="","",IF($B45="V01",Cadrage!$C$23,IF($B45="V02",Cadrage!$D$23,Cadrage!$E$23)))</f>
        <v>0.08</v>
      </c>
      <c r="W45">
        <f>IF($A45="","",IF($B45="V01",Cadrage!$C$24,IF($B45="V02",Cadrage!$D$24,Cadrage!$E$24)))</f>
        <v>0.1</v>
      </c>
      <c r="X45">
        <f>IF($A45="","",IF($B45="V01",Cadrage!$C$25,IF($B45="V02",Cadrage!$D$25,Cadrage!$E$25)))</f>
        <v>0.0029</v>
      </c>
      <c r="Y45">
        <f>IF($A45="","",IF($B45="V01",Cadrage!$C$26,IF($B45="V02",Cadrage!$D$26,Cadrage!$E$26)))</f>
        <v>0.01</v>
      </c>
      <c r="Z45">
        <f>IF($A45="","",IF($B45="V01",Cadrage!$C$27,IF($B45="V02",Cadrage!$D$27,Cadrage!$E$27)))</f>
        <v>0.01</v>
      </c>
      <c r="AA45">
        <f>IF($A45="","",IF($B45="V01",Cadrage!$C$28,IF($B45="V02",Cadrage!$D$28,Cadrage!$E$28)))</f>
        <v>0.005</v>
      </c>
      <c r="AB45">
        <f>IF($A45="","",IF($B45="V01",Cadrage!$C$42,IF($B45="V02",Cadrage!$D$42,Cadrage!$E$42)))</f>
        <v>90</v>
      </c>
      <c r="AC45">
        <f>IF($A45="","",IF($F45="MBWAY",Cadrage!$K$34,IF($F45="ISCOM",Cadrage!$K$35,IF($F45="IPAC",Cadrage!$K$36,IF($F45="PIGIER",Cadrage!$K$37,Cadrage!$K$38)))))</f>
        <v>0.95</v>
      </c>
      <c r="AD45">
        <f t="shared" si="1"/>
        <v>0</v>
      </c>
      <c r="AE45">
        <f t="shared" si="2"/>
        <v>0</v>
      </c>
      <c r="AF45">
        <f t="shared" si="3"/>
        <v>38.194999986</v>
      </c>
      <c r="AG45">
        <f t="shared" si="4"/>
        <v>6668.32075</v>
      </c>
      <c r="AH45">
        <f t="shared" si="5"/>
        <v>254696.510952893</v>
      </c>
    </row>
    <row r="46" ht="14.25" customHeight="1">
      <c r="A46" t="str">
        <f>IF(Moteur!D46="","",Moteur!D46)</f>
        <v>PIGIER_LYO</v>
      </c>
      <c r="B46" t="str">
        <f>IF(Moteur!B46="","",Moteur!B46)</f>
        <v>V01</v>
      </c>
      <c r="C46" t="str">
        <f>IF(Moteur!F46="","",Moteur!F46)</f>
        <v>BTS_GES</v>
      </c>
      <c r="D46" t="str">
        <f>IF(Moteur!G46="","",Moteur!G46)</f>
        <v>BTS1</v>
      </c>
      <c r="E46" t="str">
        <f>IF(Moteur!H46="","",Moteur!H46)</f>
        <v>ALT</v>
      </c>
      <c r="F46" t="str">
        <f>IF(Moteur!E46="","",Moteur!E46)</f>
        <v>PIGIER</v>
      </c>
      <c r="G46">
        <f>IF($A46="","",_xlfn.SUMIFS(Socle!$H$1:$H$658,Socle!$C$1:$C$658,$A46,Socle!$D$1:$D$658,$C46,Socle!$E$1:$E$658,$D46,Socle!$F$1:$F$658,$E46,Socle!$G$1:$G$658,"2026"))</f>
        <v>785</v>
      </c>
      <c r="H46">
        <f>IF($A46="","",_xlfn.SUMIFS(Socle!$N$1:$N$658,Socle!$C$1:$C$658,$A46,Socle!$D$1:$D$658,$C46,Socle!$E$1:$E$658,$D46,Socle!$F$1:$F$658,$E46,Socle!$G$1:$G$658,"2026"))</f>
        <v>0</v>
      </c>
      <c r="I46">
        <f>IF($A46="","",_xlfn.SUMIFS(Socle!$P$1:$P$658,Socle!$C$1:$C$658,$A46,Socle!$D$1:$D$658,$C46,Socle!$E$1:$E$658,$D46,Socle!$F$1:$F$658,$E46,Socle!$G$1:$G$658,"2026"))</f>
        <v>6300</v>
      </c>
      <c r="J46">
        <f>IF($A46="","",_xlfn.SUMIFS(Socle!$W$1:$W$658,Socle!$C$1:$C$658,$A46,Socle!$D$1:$D$658,$C46,Socle!$E$1:$E$658,$D46,Socle!$F$1:$F$658,$E46,Socle!$G$1:$G$658,"2026"))</f>
        <v>0.2</v>
      </c>
      <c r="K46">
        <f>IF($A46="","",_xlfn.SUMIFS(Socle!$X$1:$X$658,Socle!$C$1:$C$658,$A46,Socle!$D$1:$D$658,$C46,Socle!$E$1:$E$658,$D46,Socle!$F$1:$F$658,$E46,Socle!$G$1:$G$658,"2026"))</f>
        <v>0.700636943</v>
      </c>
      <c r="L46">
        <f>IF($A46="","",_xlfn.SUMIFS(Socle!$Y$1:$Y$658,Socle!$C$1:$C$658,$A46,Socle!$D$1:$D$658,$C46,Socle!$E$1:$E$658,$D46,Socle!$F$1:$F$658,$E46,Socle!$G$1:$G$658,"2026"))</f>
        <v>0.418181818</v>
      </c>
      <c r="M46">
        <f>IF($A46="","",_xlfn.SUMIFS(Socle!$V$1:$V$658,Socle!$C$1:$C$658,$A46,Socle!$D$1:$D$658,$C46,Socle!$E$1:$E$658,$D46,Socle!$F$1:$F$658,$E46,Socle!$G$1:$G$658,"2026"))</f>
        <v>0</v>
      </c>
      <c r="N46">
        <f t="shared" si="0"/>
        <v>1</v>
      </c>
      <c r="O46">
        <f>IF($A46="","",_xlfn.SUMIFS(Campagne!$D$1:$D$141,Campagne!$C$1:$C$141,$A46))</f>
        <v>738</v>
      </c>
      <c r="P46">
        <f>IF($A46="","",_xlfn.SUMIFS(Campagne!$E$1:$E$141,Campagne!$C$1:$C$141,$A46))</f>
        <v>832</v>
      </c>
      <c r="Q46">
        <f>IF($A46="","",_xlfn.SUMIFS(Campagne!$F$1:$F$141,Campagne!$C$1:$C$141,$A46))</f>
        <v>1570</v>
      </c>
      <c r="R46">
        <f>IF($A46="","",_xlfn.SUMIFS(Campagne!$K$1:$K$141,Campagne!$C$1:$C$141,$A46))</f>
        <v>0.440450262</v>
      </c>
      <c r="S46">
        <f>IF($A46="","",_xlfn.SUMIFS(Campagne!$M$1:$M$141,Campagne!$C$1:$C$141,$A46))</f>
        <v>0.343045779</v>
      </c>
      <c r="T46">
        <f>IF($A46="","",_xlfn.SUMIFS(Pilotage!$K$19:$K$32,Pilotage!$A$19:$A$32,$A46)*_xlfn.SUMIFS(Pilotage!$J$19:$J$32,Pilotage!$A$19:$A$32,$A46)*(SUM(Pilotage!$K$19:$K$32)/SUMPRODUCT(Pilotage!$K$19:$K$32,Pilotage!$J$19:$J$32)))</f>
        <v>36612</v>
      </c>
      <c r="U46">
        <f>IF($A46="","",_xlfn.SUMIFS(Pilotage!$K$19:$K$32,Pilotage!$A$19:$A$32,$A46))</f>
        <v>36612</v>
      </c>
      <c r="V46">
        <f>IF($A46="","",IF($B46="V01",Cadrage!$C$23,IF($B46="V02",Cadrage!$D$23,Cadrage!$E$23)))</f>
        <v>0.08</v>
      </c>
      <c r="W46">
        <f>IF($A46="","",IF($B46="V01",Cadrage!$C$24,IF($B46="V02",Cadrage!$D$24,Cadrage!$E$24)))</f>
        <v>0.1</v>
      </c>
      <c r="X46">
        <f>IF($A46="","",IF($B46="V01",Cadrage!$C$25,IF($B46="V02",Cadrage!$D$25,Cadrage!$E$25)))</f>
        <v>0.0029</v>
      </c>
      <c r="Y46">
        <f>IF($A46="","",IF($B46="V01",Cadrage!$C$26,IF($B46="V02",Cadrage!$D$26,Cadrage!$E$26)))</f>
        <v>0.01</v>
      </c>
      <c r="Z46">
        <f>IF($A46="","",IF($B46="V01",Cadrage!$C$27,IF($B46="V02",Cadrage!$D$27,Cadrage!$E$27)))</f>
        <v>0.01</v>
      </c>
      <c r="AA46">
        <f>IF($A46="","",IF($B46="V01",Cadrage!$C$28,IF($B46="V02",Cadrage!$D$28,Cadrage!$E$28)))</f>
        <v>0.005</v>
      </c>
      <c r="AB46">
        <f>IF($A46="","",IF($B46="V01",Cadrage!$C$42,IF($B46="V02",Cadrage!$D$42,Cadrage!$E$42)))</f>
        <v>90</v>
      </c>
      <c r="AC46">
        <f>IF($A46="","",IF($F46="MBWAY",Cadrage!$K$34,IF($F46="ISCOM",Cadrage!$K$35,IF($F46="IPAC",Cadrage!$K$36,IF($F46="PIGIER",Cadrage!$K$37,Cadrage!$K$38)))))</f>
        <v>0.9</v>
      </c>
      <c r="AD46">
        <f t="shared" si="1"/>
        <v>51.1312549987036</v>
      </c>
      <c r="AE46">
        <f t="shared" si="2"/>
        <v>51.1312549987036</v>
      </c>
      <c r="AF46">
        <f t="shared" si="3"/>
        <v>51.1312549987036</v>
      </c>
      <c r="AG46">
        <f t="shared" si="4"/>
        <v>6316.443</v>
      </c>
      <c r="AH46">
        <f t="shared" si="5"/>
        <v>327569.47066766</v>
      </c>
    </row>
    <row r="47" ht="14.25" customHeight="1">
      <c r="A47" t="str">
        <f>IF(Moteur!D47="","",Moteur!D47)</f>
        <v>PIGIER_LYO</v>
      </c>
      <c r="B47" t="str">
        <f>IF(Moteur!B47="","",Moteur!B47)</f>
        <v>V01</v>
      </c>
      <c r="C47" t="str">
        <f>IF(Moteur!F47="","",Moteur!F47)</f>
        <v>BTS_GES</v>
      </c>
      <c r="D47" t="str">
        <f>IF(Moteur!G47="","",Moteur!G47)</f>
        <v>BTS2</v>
      </c>
      <c r="E47" t="str">
        <f>IF(Moteur!H47="","",Moteur!H47)</f>
        <v>ALT</v>
      </c>
      <c r="F47" t="str">
        <f>IF(Moteur!E47="","",Moteur!E47)</f>
        <v>PIGIER</v>
      </c>
      <c r="G47">
        <f>IF($A47="","",_xlfn.SUMIFS(Socle!$H$1:$H$658,Socle!$C$1:$C$658,$A47,Socle!$D$1:$D$658,$C47,Socle!$E$1:$E$658,$D47,Socle!$F$1:$F$658,$E47,Socle!$G$1:$G$658,"2026"))</f>
        <v>0</v>
      </c>
      <c r="H47">
        <f>IF($A47="","",_xlfn.SUMIFS(Socle!$N$1:$N$658,Socle!$C$1:$C$658,$A47,Socle!$D$1:$D$658,$C47,Socle!$E$1:$E$658,$D47,Socle!$F$1:$F$658,$E47,Socle!$G$1:$G$658,"2026"))</f>
        <v>46</v>
      </c>
      <c r="I47">
        <f>IF($A47="","",_xlfn.SUMIFS(Socle!$P$1:$P$658,Socle!$C$1:$C$658,$A47,Socle!$D$1:$D$658,$C47,Socle!$E$1:$E$658,$D47,Socle!$F$1:$F$658,$E47,Socle!$G$1:$G$658,"2026"))</f>
        <v>6300</v>
      </c>
      <c r="J47">
        <f>IF($A47="","",_xlfn.SUMIFS(Socle!$W$1:$W$658,Socle!$C$1:$C$658,$A47,Socle!$D$1:$D$658,$C47,Socle!$E$1:$E$658,$D47,Socle!$F$1:$F$658,$E47,Socle!$G$1:$G$658,"2026"))</f>
        <v>0</v>
      </c>
      <c r="K47">
        <f>IF($A47="","",_xlfn.SUMIFS(Socle!$X$1:$X$658,Socle!$C$1:$C$658,$A47,Socle!$D$1:$D$658,$C47,Socle!$E$1:$E$658,$D47,Socle!$F$1:$F$658,$E47,Socle!$G$1:$G$658,"2026"))</f>
        <v>0</v>
      </c>
      <c r="L47">
        <f>IF($A47="","",_xlfn.SUMIFS(Socle!$Y$1:$Y$658,Socle!$C$1:$C$658,$A47,Socle!$D$1:$D$658,$C47,Socle!$E$1:$E$658,$D47,Socle!$F$1:$F$658,$E47,Socle!$G$1:$G$658,"2026"))</f>
        <v>0</v>
      </c>
      <c r="M47">
        <f>IF($A47="","",_xlfn.SUMIFS(Socle!$V$1:$V$658,Socle!$C$1:$C$658,$A47,Socle!$D$1:$D$658,$C47,Socle!$E$1:$E$658,$D47,Socle!$F$1:$F$658,$E47,Socle!$G$1:$G$658,"2026"))</f>
        <v>0.97826087</v>
      </c>
      <c r="N47">
        <f t="shared" si="0"/>
        <v>0</v>
      </c>
      <c r="O47">
        <f>IF($A47="","",_xlfn.SUMIFS(Campagne!$D$1:$D$141,Campagne!$C$1:$C$141,$A47))</f>
        <v>738</v>
      </c>
      <c r="P47">
        <f>IF($A47="","",_xlfn.SUMIFS(Campagne!$E$1:$E$141,Campagne!$C$1:$C$141,$A47))</f>
        <v>832</v>
      </c>
      <c r="Q47">
        <f>IF($A47="","",_xlfn.SUMIFS(Campagne!$F$1:$F$141,Campagne!$C$1:$C$141,$A47))</f>
        <v>1570</v>
      </c>
      <c r="R47">
        <f>IF($A47="","",_xlfn.SUMIFS(Campagne!$K$1:$K$141,Campagne!$C$1:$C$141,$A47))</f>
        <v>0.440450262</v>
      </c>
      <c r="S47">
        <f>IF($A47="","",_xlfn.SUMIFS(Campagne!$M$1:$M$141,Campagne!$C$1:$C$141,$A47))</f>
        <v>0.343045779</v>
      </c>
      <c r="T47">
        <f>IF($A47="","",_xlfn.SUMIFS(Pilotage!$K$19:$K$32,Pilotage!$A$19:$A$32,$A47)*_xlfn.SUMIFS(Pilotage!$J$19:$J$32,Pilotage!$A$19:$A$32,$A47)*(SUM(Pilotage!$K$19:$K$32)/SUMPRODUCT(Pilotage!$K$19:$K$32,Pilotage!$J$19:$J$32)))</f>
        <v>36612</v>
      </c>
      <c r="U47">
        <f>IF($A47="","",_xlfn.SUMIFS(Pilotage!$K$19:$K$32,Pilotage!$A$19:$A$32,$A47))</f>
        <v>36612</v>
      </c>
      <c r="V47">
        <f>IF($A47="","",IF($B47="V01",Cadrage!$C$23,IF($B47="V02",Cadrage!$D$23,Cadrage!$E$23)))</f>
        <v>0.08</v>
      </c>
      <c r="W47">
        <f>IF($A47="","",IF($B47="V01",Cadrage!$C$24,IF($B47="V02",Cadrage!$D$24,Cadrage!$E$24)))</f>
        <v>0.1</v>
      </c>
      <c r="X47">
        <f>IF($A47="","",IF($B47="V01",Cadrage!$C$25,IF($B47="V02",Cadrage!$D$25,Cadrage!$E$25)))</f>
        <v>0.0029</v>
      </c>
      <c r="Y47">
        <f>IF($A47="","",IF($B47="V01",Cadrage!$C$26,IF($B47="V02",Cadrage!$D$26,Cadrage!$E$26)))</f>
        <v>0.01</v>
      </c>
      <c r="Z47">
        <f>IF($A47="","",IF($B47="V01",Cadrage!$C$27,IF($B47="V02",Cadrage!$D$27,Cadrage!$E$27)))</f>
        <v>0.01</v>
      </c>
      <c r="AA47">
        <f>IF($A47="","",IF($B47="V01",Cadrage!$C$28,IF($B47="V02",Cadrage!$D$28,Cadrage!$E$28)))</f>
        <v>0.005</v>
      </c>
      <c r="AB47">
        <f>IF($A47="","",IF($B47="V01",Cadrage!$C$42,IF($B47="V02",Cadrage!$D$42,Cadrage!$E$42)))</f>
        <v>90</v>
      </c>
      <c r="AC47">
        <f>IF($A47="","",IF($F47="MBWAY",Cadrage!$K$34,IF($F47="ISCOM",Cadrage!$K$35,IF($F47="IPAC",Cadrage!$K$36,IF($F47="PIGIER",Cadrage!$K$37,Cadrage!$K$38)))))</f>
        <v>0.9</v>
      </c>
      <c r="AD47">
        <f t="shared" si="1"/>
        <v>0</v>
      </c>
      <c r="AE47">
        <f t="shared" si="2"/>
        <v>0</v>
      </c>
      <c r="AF47">
        <f t="shared" si="3"/>
        <v>45.23000002</v>
      </c>
      <c r="AG47">
        <f t="shared" si="4"/>
        <v>6316.443</v>
      </c>
      <c r="AH47">
        <f t="shared" si="5"/>
        <v>285692.717016329</v>
      </c>
    </row>
    <row r="48" ht="14.25" customHeight="1">
      <c r="A48" t="str">
        <f>IF(Moteur!D48="","",Moteur!D48)</f>
        <v>PIGIER_LYO</v>
      </c>
      <c r="B48" t="str">
        <f>IF(Moteur!B48="","",Moteur!B48)</f>
        <v>V01</v>
      </c>
      <c r="C48" t="str">
        <f>IF(Moteur!F48="","",Moteur!F48)</f>
        <v>BAC_RH</v>
      </c>
      <c r="D48" t="str">
        <f>IF(Moteur!G48="","",Moteur!G48)</f>
        <v>B1</v>
      </c>
      <c r="E48" t="str">
        <f>IF(Moteur!H48="","",Moteur!H48)</f>
        <v>ALT</v>
      </c>
      <c r="F48" t="str">
        <f>IF(Moteur!E48="","",Moteur!E48)</f>
        <v>PIGIER</v>
      </c>
      <c r="G48">
        <f>IF($A48="","",_xlfn.SUMIFS(Socle!$H$1:$H$658,Socle!$C$1:$C$658,$A48,Socle!$D$1:$D$658,$C48,Socle!$E$1:$E$658,$D48,Socle!$F$1:$F$658,$E48,Socle!$G$1:$G$658,"2026"))</f>
        <v>785</v>
      </c>
      <c r="H48">
        <f>IF($A48="","",_xlfn.SUMIFS(Socle!$N$1:$N$658,Socle!$C$1:$C$658,$A48,Socle!$D$1:$D$658,$C48,Socle!$E$1:$E$658,$D48,Socle!$F$1:$F$658,$E48,Socle!$G$1:$G$658,"2026"))</f>
        <v>0</v>
      </c>
      <c r="I48">
        <f>IF($A48="","",_xlfn.SUMIFS(Socle!$P$1:$P$658,Socle!$C$1:$C$658,$A48,Socle!$D$1:$D$658,$C48,Socle!$E$1:$E$658,$D48,Socle!$F$1:$F$658,$E48,Socle!$G$1:$G$658,"2026"))</f>
        <v>7350</v>
      </c>
      <c r="J48">
        <f>IF($A48="","",_xlfn.SUMIFS(Socle!$W$1:$W$658,Socle!$C$1:$C$658,$A48,Socle!$D$1:$D$658,$C48,Socle!$E$1:$E$658,$D48,Socle!$F$1:$F$658,$E48,Socle!$G$1:$G$658,"2026"))</f>
        <v>0.2</v>
      </c>
      <c r="K48">
        <f>IF($A48="","",_xlfn.SUMIFS(Socle!$X$1:$X$658,Socle!$C$1:$C$658,$A48,Socle!$D$1:$D$658,$C48,Socle!$E$1:$E$658,$D48,Socle!$F$1:$F$658,$E48,Socle!$G$1:$G$658,"2026"))</f>
        <v>0.700636943</v>
      </c>
      <c r="L48">
        <f>IF($A48="","",_xlfn.SUMIFS(Socle!$Y$1:$Y$658,Socle!$C$1:$C$658,$A48,Socle!$D$1:$D$658,$C48,Socle!$E$1:$E$658,$D48,Socle!$F$1:$F$658,$E48,Socle!$G$1:$G$658,"2026"))</f>
        <v>0.418181818</v>
      </c>
      <c r="M48">
        <f>IF($A48="","",_xlfn.SUMIFS(Socle!$V$1:$V$658,Socle!$C$1:$C$658,$A48,Socle!$D$1:$D$658,$C48,Socle!$E$1:$E$658,$D48,Socle!$F$1:$F$658,$E48,Socle!$G$1:$G$658,"2026"))</f>
        <v>0</v>
      </c>
      <c r="N48">
        <f t="shared" si="0"/>
        <v>1</v>
      </c>
      <c r="O48">
        <f>IF($A48="","",_xlfn.SUMIFS(Campagne!$D$1:$D$141,Campagne!$C$1:$C$141,$A48))</f>
        <v>738</v>
      </c>
      <c r="P48">
        <f>IF($A48="","",_xlfn.SUMIFS(Campagne!$E$1:$E$141,Campagne!$C$1:$C$141,$A48))</f>
        <v>832</v>
      </c>
      <c r="Q48">
        <f>IF($A48="","",_xlfn.SUMIFS(Campagne!$F$1:$F$141,Campagne!$C$1:$C$141,$A48))</f>
        <v>1570</v>
      </c>
      <c r="R48">
        <f>IF($A48="","",_xlfn.SUMIFS(Campagne!$K$1:$K$141,Campagne!$C$1:$C$141,$A48))</f>
        <v>0.440450262</v>
      </c>
      <c r="S48">
        <f>IF($A48="","",_xlfn.SUMIFS(Campagne!$M$1:$M$141,Campagne!$C$1:$C$141,$A48))</f>
        <v>0.343045779</v>
      </c>
      <c r="T48">
        <f>IF($A48="","",_xlfn.SUMIFS(Pilotage!$K$19:$K$32,Pilotage!$A$19:$A$32,$A48)*_xlfn.SUMIFS(Pilotage!$J$19:$J$32,Pilotage!$A$19:$A$32,$A48)*(SUM(Pilotage!$K$19:$K$32)/SUMPRODUCT(Pilotage!$K$19:$K$32,Pilotage!$J$19:$J$32)))</f>
        <v>36612</v>
      </c>
      <c r="U48">
        <f>IF($A48="","",_xlfn.SUMIFS(Pilotage!$K$19:$K$32,Pilotage!$A$19:$A$32,$A48))</f>
        <v>36612</v>
      </c>
      <c r="V48">
        <f>IF($A48="","",IF($B48="V01",Cadrage!$C$23,IF($B48="V02",Cadrage!$D$23,Cadrage!$E$23)))</f>
        <v>0.08</v>
      </c>
      <c r="W48">
        <f>IF($A48="","",IF($B48="V01",Cadrage!$C$24,IF($B48="V02",Cadrage!$D$24,Cadrage!$E$24)))</f>
        <v>0.1</v>
      </c>
      <c r="X48">
        <f>IF($A48="","",IF($B48="V01",Cadrage!$C$25,IF($B48="V02",Cadrage!$D$25,Cadrage!$E$25)))</f>
        <v>0.0029</v>
      </c>
      <c r="Y48">
        <f>IF($A48="","",IF($B48="V01",Cadrage!$C$26,IF($B48="V02",Cadrage!$D$26,Cadrage!$E$26)))</f>
        <v>0.01</v>
      </c>
      <c r="Z48">
        <f>IF($A48="","",IF($B48="V01",Cadrage!$C$27,IF($B48="V02",Cadrage!$D$27,Cadrage!$E$27)))</f>
        <v>0.01</v>
      </c>
      <c r="AA48">
        <f>IF($A48="","",IF($B48="V01",Cadrage!$C$28,IF($B48="V02",Cadrage!$D$28,Cadrage!$E$28)))</f>
        <v>0.005</v>
      </c>
      <c r="AB48">
        <f>IF($A48="","",IF($B48="V01",Cadrage!$C$42,IF($B48="V02",Cadrage!$D$42,Cadrage!$E$42)))</f>
        <v>90</v>
      </c>
      <c r="AC48">
        <f>IF($A48="","",IF($F48="MBWAY",Cadrage!$K$34,IF($F48="ISCOM",Cadrage!$K$35,IF($F48="IPAC",Cadrage!$K$36,IF($F48="PIGIER",Cadrage!$K$37,Cadrage!$K$38)))))</f>
        <v>0.9</v>
      </c>
      <c r="AD48">
        <f t="shared" si="1"/>
        <v>51.1312549987036</v>
      </c>
      <c r="AE48">
        <f t="shared" si="2"/>
        <v>51.1312549987036</v>
      </c>
      <c r="AF48">
        <f t="shared" si="3"/>
        <v>51.1312549987036</v>
      </c>
      <c r="AG48">
        <f t="shared" si="4"/>
        <v>7369.1835</v>
      </c>
      <c r="AH48">
        <f t="shared" si="5"/>
        <v>381397.413620622</v>
      </c>
    </row>
    <row r="49" ht="14.25" customHeight="1">
      <c r="A49" t="str">
        <f>IF(Moteur!D49="","",Moteur!D49)</f>
        <v>PIGIER_BOR</v>
      </c>
      <c r="B49" t="str">
        <f>IF(Moteur!B49="","",Moteur!B49)</f>
        <v>V01</v>
      </c>
      <c r="C49" t="str">
        <f>IF(Moteur!F49="","",Moteur!F49)</f>
        <v>BTS_GES</v>
      </c>
      <c r="D49" t="str">
        <f>IF(Moteur!G49="","",Moteur!G49)</f>
        <v>BTS1</v>
      </c>
      <c r="E49" t="str">
        <f>IF(Moteur!H49="","",Moteur!H49)</f>
        <v>ALT</v>
      </c>
      <c r="F49" t="str">
        <f>IF(Moteur!E49="","",Moteur!E49)</f>
        <v>PIGIER</v>
      </c>
      <c r="G49">
        <f>IF($A49="","",_xlfn.SUMIFS(Socle!$H$1:$H$658,Socle!$C$1:$C$658,$A49,Socle!$D$1:$D$658,$C49,Socle!$E$1:$E$658,$D49,Socle!$F$1:$F$658,$E49,Socle!$G$1:$G$658,"2026"))</f>
        <v>615</v>
      </c>
      <c r="H49">
        <f>IF($A49="","",_xlfn.SUMIFS(Socle!$N$1:$N$658,Socle!$C$1:$C$658,$A49,Socle!$D$1:$D$658,$C49,Socle!$E$1:$E$658,$D49,Socle!$F$1:$F$658,$E49,Socle!$G$1:$G$658,"2026"))</f>
        <v>0</v>
      </c>
      <c r="I49">
        <f>IF($A49="","",_xlfn.SUMIFS(Socle!$P$1:$P$658,Socle!$C$1:$C$658,$A49,Socle!$D$1:$D$658,$C49,Socle!$E$1:$E$658,$D49,Socle!$F$1:$F$658,$E49,Socle!$G$1:$G$658,"2026"))</f>
        <v>5820</v>
      </c>
      <c r="J49">
        <f>IF($A49="","",_xlfn.SUMIFS(Socle!$W$1:$W$658,Socle!$C$1:$C$658,$A49,Socle!$D$1:$D$658,$C49,Socle!$E$1:$E$658,$D49,Socle!$F$1:$F$658,$E49,Socle!$G$1:$G$658,"2026"))</f>
        <v>0.2</v>
      </c>
      <c r="K49">
        <f>IF($A49="","",_xlfn.SUMIFS(Socle!$X$1:$X$658,Socle!$C$1:$C$658,$A49,Socle!$D$1:$D$658,$C49,Socle!$E$1:$E$658,$D49,Socle!$F$1:$F$658,$E49,Socle!$G$1:$G$658,"2026"))</f>
        <v>0.699186992</v>
      </c>
      <c r="L49">
        <f>IF($A49="","",_xlfn.SUMIFS(Socle!$Y$1:$Y$658,Socle!$C$1:$C$658,$A49,Socle!$D$1:$D$658,$C49,Socle!$E$1:$E$658,$D49,Socle!$F$1:$F$658,$E49,Socle!$G$1:$G$658,"2026"))</f>
        <v>0.418604651</v>
      </c>
      <c r="M49">
        <f>IF($A49="","",_xlfn.SUMIFS(Socle!$V$1:$V$658,Socle!$C$1:$C$658,$A49,Socle!$D$1:$D$658,$C49,Socle!$E$1:$E$658,$D49,Socle!$F$1:$F$658,$E49,Socle!$G$1:$G$658,"2026"))</f>
        <v>0</v>
      </c>
      <c r="N49">
        <f t="shared" si="0"/>
        <v>1</v>
      </c>
      <c r="O49">
        <f>IF($A49="","",_xlfn.SUMIFS(Campagne!$D$1:$D$141,Campagne!$C$1:$C$141,$A49))</f>
        <v>652</v>
      </c>
      <c r="P49">
        <f>IF($A49="","",_xlfn.SUMIFS(Campagne!$E$1:$E$141,Campagne!$C$1:$C$141,$A49))</f>
        <v>578</v>
      </c>
      <c r="Q49">
        <f>IF($A49="","",_xlfn.SUMIFS(Campagne!$F$1:$F$141,Campagne!$C$1:$C$141,$A49))</f>
        <v>1230</v>
      </c>
      <c r="R49">
        <f>IF($A49="","",_xlfn.SUMIFS(Campagne!$K$1:$K$141,Campagne!$C$1:$C$141,$A49))</f>
        <v>0.474596633</v>
      </c>
      <c r="S49">
        <f>IF($A49="","",_xlfn.SUMIFS(Campagne!$M$1:$M$141,Campagne!$C$1:$C$141,$A49))</f>
        <v>0.357573956</v>
      </c>
      <c r="T49">
        <f>IF($A49="","",_xlfn.SUMIFS(Pilotage!$K$19:$K$32,Pilotage!$A$19:$A$32,$A49)*_xlfn.SUMIFS(Pilotage!$J$19:$J$32,Pilotage!$A$19:$A$32,$A49)*(SUM(Pilotage!$K$19:$K$32)/SUMPRODUCT(Pilotage!$K$19:$K$32,Pilotage!$J$19:$J$32)))</f>
        <v>21968</v>
      </c>
      <c r="U49">
        <f>IF($A49="","",_xlfn.SUMIFS(Pilotage!$K$19:$K$32,Pilotage!$A$19:$A$32,$A49))</f>
        <v>21968</v>
      </c>
      <c r="V49">
        <f>IF($A49="","",IF($B49="V01",Cadrage!$C$23,IF($B49="V02",Cadrage!$D$23,Cadrage!$E$23)))</f>
        <v>0.08</v>
      </c>
      <c r="W49">
        <f>IF($A49="","",IF($B49="V01",Cadrage!$C$24,IF($B49="V02",Cadrage!$D$24,Cadrage!$E$24)))</f>
        <v>0.1</v>
      </c>
      <c r="X49">
        <f>IF($A49="","",IF($B49="V01",Cadrage!$C$25,IF($B49="V02",Cadrage!$D$25,Cadrage!$E$25)))</f>
        <v>0.0029</v>
      </c>
      <c r="Y49">
        <f>IF($A49="","",IF($B49="V01",Cadrage!$C$26,IF($B49="V02",Cadrage!$D$26,Cadrage!$E$26)))</f>
        <v>0.01</v>
      </c>
      <c r="Z49">
        <f>IF($A49="","",IF($B49="V01",Cadrage!$C$27,IF($B49="V02",Cadrage!$D$27,Cadrage!$E$27)))</f>
        <v>0.01</v>
      </c>
      <c r="AA49">
        <f>IF($A49="","",IF($B49="V01",Cadrage!$C$28,IF($B49="V02",Cadrage!$D$28,Cadrage!$E$28)))</f>
        <v>0.005</v>
      </c>
      <c r="AB49">
        <f>IF($A49="","",IF($B49="V01",Cadrage!$C$42,IF($B49="V02",Cadrage!$D$42,Cadrage!$E$42)))</f>
        <v>90</v>
      </c>
      <c r="AC49">
        <f>IF($A49="","",IF($F49="MBWAY",Cadrage!$K$34,IF($F49="ISCOM",Cadrage!$K$35,IF($F49="IPAC",Cadrage!$K$36,IF($F49="PIGIER",Cadrage!$K$37,Cadrage!$K$38)))))</f>
        <v>0.9</v>
      </c>
      <c r="AD49">
        <f t="shared" si="1"/>
        <v>40.090815018055</v>
      </c>
      <c r="AE49">
        <f t="shared" si="2"/>
        <v>40.090815018055</v>
      </c>
      <c r="AF49">
        <f t="shared" si="3"/>
        <v>40.090815018055</v>
      </c>
      <c r="AG49">
        <f t="shared" si="4"/>
        <v>5835.1902</v>
      </c>
      <c r="AH49">
        <f t="shared" si="5"/>
        <v>237545.704254992</v>
      </c>
    </row>
    <row r="50" ht="14.25" customHeight="1">
      <c r="A50" t="str">
        <f>IF(Moteur!D50="","",Moteur!D50)</f>
        <v>PIGIER_BOR</v>
      </c>
      <c r="B50" t="str">
        <f>IF(Moteur!B50="","",Moteur!B50)</f>
        <v>V01</v>
      </c>
      <c r="C50" t="str">
        <f>IF(Moteur!F50="","",Moteur!F50)</f>
        <v>BTS_GES</v>
      </c>
      <c r="D50" t="str">
        <f>IF(Moteur!G50="","",Moteur!G50)</f>
        <v>BTS2</v>
      </c>
      <c r="E50" t="str">
        <f>IF(Moteur!H50="","",Moteur!H50)</f>
        <v>ALT</v>
      </c>
      <c r="F50" t="str">
        <f>IF(Moteur!E50="","",Moteur!E50)</f>
        <v>PIGIER</v>
      </c>
      <c r="G50">
        <f>IF($A50="","",_xlfn.SUMIFS(Socle!$H$1:$H$658,Socle!$C$1:$C$658,$A50,Socle!$D$1:$D$658,$C50,Socle!$E$1:$E$658,$D50,Socle!$F$1:$F$658,$E50,Socle!$G$1:$G$658,"2026"))</f>
        <v>0</v>
      </c>
      <c r="H50">
        <f>IF($A50="","",_xlfn.SUMIFS(Socle!$N$1:$N$658,Socle!$C$1:$C$658,$A50,Socle!$D$1:$D$658,$C50,Socle!$E$1:$E$658,$D50,Socle!$F$1:$F$658,$E50,Socle!$G$1:$G$658,"2026"))</f>
        <v>36</v>
      </c>
      <c r="I50">
        <f>IF($A50="","",_xlfn.SUMIFS(Socle!$P$1:$P$658,Socle!$C$1:$C$658,$A50,Socle!$D$1:$D$658,$C50,Socle!$E$1:$E$658,$D50,Socle!$F$1:$F$658,$E50,Socle!$G$1:$G$658,"2026"))</f>
        <v>5820</v>
      </c>
      <c r="J50">
        <f>IF($A50="","",_xlfn.SUMIFS(Socle!$W$1:$W$658,Socle!$C$1:$C$658,$A50,Socle!$D$1:$D$658,$C50,Socle!$E$1:$E$658,$D50,Socle!$F$1:$F$658,$E50,Socle!$G$1:$G$658,"2026"))</f>
        <v>0</v>
      </c>
      <c r="K50">
        <f>IF($A50="","",_xlfn.SUMIFS(Socle!$X$1:$X$658,Socle!$C$1:$C$658,$A50,Socle!$D$1:$D$658,$C50,Socle!$E$1:$E$658,$D50,Socle!$F$1:$F$658,$E50,Socle!$G$1:$G$658,"2026"))</f>
        <v>0</v>
      </c>
      <c r="L50">
        <f>IF($A50="","",_xlfn.SUMIFS(Socle!$Y$1:$Y$658,Socle!$C$1:$C$658,$A50,Socle!$D$1:$D$658,$C50,Socle!$E$1:$E$658,$D50,Socle!$F$1:$F$658,$E50,Socle!$G$1:$G$658,"2026"))</f>
        <v>0</v>
      </c>
      <c r="M50">
        <f>IF($A50="","",_xlfn.SUMIFS(Socle!$V$1:$V$658,Socle!$C$1:$C$658,$A50,Socle!$D$1:$D$658,$C50,Socle!$E$1:$E$658,$D50,Socle!$F$1:$F$658,$E50,Socle!$G$1:$G$658,"2026"))</f>
        <v>0.972222222</v>
      </c>
      <c r="N50">
        <f t="shared" si="0"/>
        <v>0</v>
      </c>
      <c r="O50">
        <f>IF($A50="","",_xlfn.SUMIFS(Campagne!$D$1:$D$141,Campagne!$C$1:$C$141,$A50))</f>
        <v>652</v>
      </c>
      <c r="P50">
        <f>IF($A50="","",_xlfn.SUMIFS(Campagne!$E$1:$E$141,Campagne!$C$1:$C$141,$A50))</f>
        <v>578</v>
      </c>
      <c r="Q50">
        <f>IF($A50="","",_xlfn.SUMIFS(Campagne!$F$1:$F$141,Campagne!$C$1:$C$141,$A50))</f>
        <v>1230</v>
      </c>
      <c r="R50">
        <f>IF($A50="","",_xlfn.SUMIFS(Campagne!$K$1:$K$141,Campagne!$C$1:$C$141,$A50))</f>
        <v>0.474596633</v>
      </c>
      <c r="S50">
        <f>IF($A50="","",_xlfn.SUMIFS(Campagne!$M$1:$M$141,Campagne!$C$1:$C$141,$A50))</f>
        <v>0.357573956</v>
      </c>
      <c r="T50">
        <f>IF($A50="","",_xlfn.SUMIFS(Pilotage!$K$19:$K$32,Pilotage!$A$19:$A$32,$A50)*_xlfn.SUMIFS(Pilotage!$J$19:$J$32,Pilotage!$A$19:$A$32,$A50)*(SUM(Pilotage!$K$19:$K$32)/SUMPRODUCT(Pilotage!$K$19:$K$32,Pilotage!$J$19:$J$32)))</f>
        <v>21968</v>
      </c>
      <c r="U50">
        <f>IF($A50="","",_xlfn.SUMIFS(Pilotage!$K$19:$K$32,Pilotage!$A$19:$A$32,$A50))</f>
        <v>21968</v>
      </c>
      <c r="V50">
        <f>IF($A50="","",IF($B50="V01",Cadrage!$C$23,IF($B50="V02",Cadrage!$D$23,Cadrage!$E$23)))</f>
        <v>0.08</v>
      </c>
      <c r="W50">
        <f>IF($A50="","",IF($B50="V01",Cadrage!$C$24,IF($B50="V02",Cadrage!$D$24,Cadrage!$E$24)))</f>
        <v>0.1</v>
      </c>
      <c r="X50">
        <f>IF($A50="","",IF($B50="V01",Cadrage!$C$25,IF($B50="V02",Cadrage!$D$25,Cadrage!$E$25)))</f>
        <v>0.0029</v>
      </c>
      <c r="Y50">
        <f>IF($A50="","",IF($B50="V01",Cadrage!$C$26,IF($B50="V02",Cadrage!$D$26,Cadrage!$E$26)))</f>
        <v>0.01</v>
      </c>
      <c r="Z50">
        <f>IF($A50="","",IF($B50="V01",Cadrage!$C$27,IF($B50="V02",Cadrage!$D$27,Cadrage!$E$27)))</f>
        <v>0.01</v>
      </c>
      <c r="AA50">
        <f>IF($A50="","",IF($B50="V01",Cadrage!$C$28,IF($B50="V02",Cadrage!$D$28,Cadrage!$E$28)))</f>
        <v>0.005</v>
      </c>
      <c r="AB50">
        <f>IF($A50="","",IF($B50="V01",Cadrage!$C$42,IF($B50="V02",Cadrage!$D$42,Cadrage!$E$42)))</f>
        <v>90</v>
      </c>
      <c r="AC50">
        <f>IF($A50="","",IF($F50="MBWAY",Cadrage!$K$34,IF($F50="ISCOM",Cadrage!$K$35,IF($F50="IPAC",Cadrage!$K$36,IF($F50="PIGIER",Cadrage!$K$37,Cadrage!$K$38)))))</f>
        <v>0.9</v>
      </c>
      <c r="AD50">
        <f t="shared" si="1"/>
        <v>0</v>
      </c>
      <c r="AE50">
        <f t="shared" si="2"/>
        <v>0</v>
      </c>
      <c r="AF50">
        <f t="shared" si="3"/>
        <v>35.179999992</v>
      </c>
      <c r="AG50">
        <f t="shared" si="4"/>
        <v>5835.1902</v>
      </c>
      <c r="AH50">
        <f t="shared" si="5"/>
        <v>205281.991189318</v>
      </c>
    </row>
    <row r="51" ht="14.25" customHeight="1">
      <c r="A51" t="str">
        <f>IF(Moteur!D51="","",Moteur!D51)</f>
        <v>PIGIER_BOR</v>
      </c>
      <c r="B51" t="str">
        <f>IF(Moteur!B51="","",Moteur!B51)</f>
        <v>V01</v>
      </c>
      <c r="C51" t="str">
        <f>IF(Moteur!F51="","",Moteur!F51)</f>
        <v>BAC_RH</v>
      </c>
      <c r="D51" t="str">
        <f>IF(Moteur!G51="","",Moteur!G51)</f>
        <v>B1</v>
      </c>
      <c r="E51" t="str">
        <f>IF(Moteur!H51="","",Moteur!H51)</f>
        <v>ALT</v>
      </c>
      <c r="F51" t="str">
        <f>IF(Moteur!E51="","",Moteur!E51)</f>
        <v>PIGIER</v>
      </c>
      <c r="G51">
        <f>IF($A51="","",_xlfn.SUMIFS(Socle!$H$1:$H$658,Socle!$C$1:$C$658,$A51,Socle!$D$1:$D$658,$C51,Socle!$E$1:$E$658,$D51,Socle!$F$1:$F$658,$E51,Socle!$G$1:$G$658,"2026"))</f>
        <v>615</v>
      </c>
      <c r="H51">
        <f>IF($A51="","",_xlfn.SUMIFS(Socle!$N$1:$N$658,Socle!$C$1:$C$658,$A51,Socle!$D$1:$D$658,$C51,Socle!$E$1:$E$658,$D51,Socle!$F$1:$F$658,$E51,Socle!$G$1:$G$658,"2026"))</f>
        <v>0</v>
      </c>
      <c r="I51">
        <f>IF($A51="","",_xlfn.SUMIFS(Socle!$P$1:$P$658,Socle!$C$1:$C$658,$A51,Socle!$D$1:$D$658,$C51,Socle!$E$1:$E$658,$D51,Socle!$F$1:$F$658,$E51,Socle!$G$1:$G$658,"2026"))</f>
        <v>6790</v>
      </c>
      <c r="J51">
        <f>IF($A51="","",_xlfn.SUMIFS(Socle!$W$1:$W$658,Socle!$C$1:$C$658,$A51,Socle!$D$1:$D$658,$C51,Socle!$E$1:$E$658,$D51,Socle!$F$1:$F$658,$E51,Socle!$G$1:$G$658,"2026"))</f>
        <v>0.2</v>
      </c>
      <c r="K51">
        <f>IF($A51="","",_xlfn.SUMIFS(Socle!$X$1:$X$658,Socle!$C$1:$C$658,$A51,Socle!$D$1:$D$658,$C51,Socle!$E$1:$E$658,$D51,Socle!$F$1:$F$658,$E51,Socle!$G$1:$G$658,"2026"))</f>
        <v>0.699186992</v>
      </c>
      <c r="L51">
        <f>IF($A51="","",_xlfn.SUMIFS(Socle!$Y$1:$Y$658,Socle!$C$1:$C$658,$A51,Socle!$D$1:$D$658,$C51,Socle!$E$1:$E$658,$D51,Socle!$F$1:$F$658,$E51,Socle!$G$1:$G$658,"2026"))</f>
        <v>0.418604651</v>
      </c>
      <c r="M51">
        <f>IF($A51="","",_xlfn.SUMIFS(Socle!$V$1:$V$658,Socle!$C$1:$C$658,$A51,Socle!$D$1:$D$658,$C51,Socle!$E$1:$E$658,$D51,Socle!$F$1:$F$658,$E51,Socle!$G$1:$G$658,"2026"))</f>
        <v>0</v>
      </c>
      <c r="N51">
        <f t="shared" si="0"/>
        <v>1</v>
      </c>
      <c r="O51">
        <f>IF($A51="","",_xlfn.SUMIFS(Campagne!$D$1:$D$141,Campagne!$C$1:$C$141,$A51))</f>
        <v>652</v>
      </c>
      <c r="P51">
        <f>IF($A51="","",_xlfn.SUMIFS(Campagne!$E$1:$E$141,Campagne!$C$1:$C$141,$A51))</f>
        <v>578</v>
      </c>
      <c r="Q51">
        <f>IF($A51="","",_xlfn.SUMIFS(Campagne!$F$1:$F$141,Campagne!$C$1:$C$141,$A51))</f>
        <v>1230</v>
      </c>
      <c r="R51">
        <f>IF($A51="","",_xlfn.SUMIFS(Campagne!$K$1:$K$141,Campagne!$C$1:$C$141,$A51))</f>
        <v>0.474596633</v>
      </c>
      <c r="S51">
        <f>IF($A51="","",_xlfn.SUMIFS(Campagne!$M$1:$M$141,Campagne!$C$1:$C$141,$A51))</f>
        <v>0.357573956</v>
      </c>
      <c r="T51">
        <f>IF($A51="","",_xlfn.SUMIFS(Pilotage!$K$19:$K$32,Pilotage!$A$19:$A$32,$A51)*_xlfn.SUMIFS(Pilotage!$J$19:$J$32,Pilotage!$A$19:$A$32,$A51)*(SUM(Pilotage!$K$19:$K$32)/SUMPRODUCT(Pilotage!$K$19:$K$32,Pilotage!$J$19:$J$32)))</f>
        <v>21968</v>
      </c>
      <c r="U51">
        <f>IF($A51="","",_xlfn.SUMIFS(Pilotage!$K$19:$K$32,Pilotage!$A$19:$A$32,$A51))</f>
        <v>21968</v>
      </c>
      <c r="V51">
        <f>IF($A51="","",IF($B51="V01",Cadrage!$C$23,IF($B51="V02",Cadrage!$D$23,Cadrage!$E$23)))</f>
        <v>0.08</v>
      </c>
      <c r="W51">
        <f>IF($A51="","",IF($B51="V01",Cadrage!$C$24,IF($B51="V02",Cadrage!$D$24,Cadrage!$E$24)))</f>
        <v>0.1</v>
      </c>
      <c r="X51">
        <f>IF($A51="","",IF($B51="V01",Cadrage!$C$25,IF($B51="V02",Cadrage!$D$25,Cadrage!$E$25)))</f>
        <v>0.0029</v>
      </c>
      <c r="Y51">
        <f>IF($A51="","",IF($B51="V01",Cadrage!$C$26,IF($B51="V02",Cadrage!$D$26,Cadrage!$E$26)))</f>
        <v>0.01</v>
      </c>
      <c r="Z51">
        <f>IF($A51="","",IF($B51="V01",Cadrage!$C$27,IF($B51="V02",Cadrage!$D$27,Cadrage!$E$27)))</f>
        <v>0.01</v>
      </c>
      <c r="AA51">
        <f>IF($A51="","",IF($B51="V01",Cadrage!$C$28,IF($B51="V02",Cadrage!$D$28,Cadrage!$E$28)))</f>
        <v>0.005</v>
      </c>
      <c r="AB51">
        <f>IF($A51="","",IF($B51="V01",Cadrage!$C$42,IF($B51="V02",Cadrage!$D$42,Cadrage!$E$42)))</f>
        <v>90</v>
      </c>
      <c r="AC51">
        <f>IF($A51="","",IF($F51="MBWAY",Cadrage!$K$34,IF($F51="ISCOM",Cadrage!$K$35,IF($F51="IPAC",Cadrage!$K$36,IF($F51="PIGIER",Cadrage!$K$37,Cadrage!$K$38)))))</f>
        <v>0.9</v>
      </c>
      <c r="AD51">
        <f t="shared" si="1"/>
        <v>40.090815018055</v>
      </c>
      <c r="AE51">
        <f t="shared" si="2"/>
        <v>40.090815018055</v>
      </c>
      <c r="AF51">
        <f t="shared" si="3"/>
        <v>40.090815018055</v>
      </c>
      <c r="AG51">
        <f t="shared" si="4"/>
        <v>6807.7219</v>
      </c>
      <c r="AH51">
        <f t="shared" si="5"/>
        <v>276535.292738887</v>
      </c>
    </row>
    <row r="52" ht="14.25" customHeight="1">
      <c r="A52" t="str">
        <f>IF(Moteur!D52="","",Moteur!D52)</f>
        <v>TUNON_PAR</v>
      </c>
      <c r="B52" t="str">
        <f>IF(Moteur!B52="","",Moteur!B52)</f>
        <v>V01</v>
      </c>
      <c r="C52" t="str">
        <f>IF(Moteur!F52="","",Moteur!F52)</f>
        <v>BAC_TOU</v>
      </c>
      <c r="D52" t="str">
        <f>IF(Moteur!G52="","",Moteur!G52)</f>
        <v>B1</v>
      </c>
      <c r="E52" t="str">
        <f>IF(Moteur!H52="","",Moteur!H52)</f>
        <v>ALT</v>
      </c>
      <c r="F52" t="str">
        <f>IF(Moteur!E52="","",Moteur!E52)</f>
        <v>TUNON</v>
      </c>
      <c r="G52">
        <f>IF($A52="","",_xlfn.SUMIFS(Socle!$H$1:$H$658,Socle!$C$1:$C$658,$A52,Socle!$D$1:$D$658,$C52,Socle!$E$1:$E$658,$D52,Socle!$F$1:$F$658,$E52,Socle!$G$1:$G$658,"2026"))</f>
        <v>800</v>
      </c>
      <c r="H52">
        <f>IF($A52="","",_xlfn.SUMIFS(Socle!$N$1:$N$658,Socle!$C$1:$C$658,$A52,Socle!$D$1:$D$658,$C52,Socle!$E$1:$E$658,$D52,Socle!$F$1:$F$658,$E52,Socle!$G$1:$G$658,"2026"))</f>
        <v>0</v>
      </c>
      <c r="I52">
        <f>IF($A52="","",_xlfn.SUMIFS(Socle!$P$1:$P$658,Socle!$C$1:$C$658,$A52,Socle!$D$1:$D$658,$C52,Socle!$E$1:$E$658,$D52,Socle!$F$1:$F$658,$E52,Socle!$G$1:$G$658,"2026"))</f>
        <v>7840</v>
      </c>
      <c r="J52">
        <f>IF($A52="","",_xlfn.SUMIFS(Socle!$W$1:$W$658,Socle!$C$1:$C$658,$A52,Socle!$D$1:$D$658,$C52,Socle!$E$1:$E$658,$D52,Socle!$F$1:$F$658,$E52,Socle!$G$1:$G$658,"2026"))</f>
        <v>0.2</v>
      </c>
      <c r="K52">
        <f>IF($A52="","",_xlfn.SUMIFS(Socle!$X$1:$X$658,Socle!$C$1:$C$658,$A52,Socle!$D$1:$D$658,$C52,Socle!$E$1:$E$658,$D52,Socle!$F$1:$F$658,$E52,Socle!$G$1:$G$658,"2026"))</f>
        <v>0.7</v>
      </c>
      <c r="L52">
        <f>IF($A52="","",_xlfn.SUMIFS(Socle!$Y$1:$Y$658,Socle!$C$1:$C$658,$A52,Socle!$D$1:$D$658,$C52,Socle!$E$1:$E$658,$D52,Socle!$F$1:$F$658,$E52,Socle!$G$1:$G$658,"2026"))</f>
        <v>0.419642857</v>
      </c>
      <c r="M52">
        <f>IF($A52="","",_xlfn.SUMIFS(Socle!$V$1:$V$658,Socle!$C$1:$C$658,$A52,Socle!$D$1:$D$658,$C52,Socle!$E$1:$E$658,$D52,Socle!$F$1:$F$658,$E52,Socle!$G$1:$G$658,"2026"))</f>
        <v>0</v>
      </c>
      <c r="N52">
        <f t="shared" si="0"/>
        <v>1</v>
      </c>
      <c r="O52">
        <f>IF($A52="","",_xlfn.SUMIFS(Campagne!$D$1:$D$141,Campagne!$C$1:$C$141,$A52))</f>
        <v>240</v>
      </c>
      <c r="P52">
        <f>IF($A52="","",_xlfn.SUMIFS(Campagne!$E$1:$E$141,Campagne!$C$1:$C$141,$A52))</f>
        <v>560</v>
      </c>
      <c r="Q52">
        <f>IF($A52="","",_xlfn.SUMIFS(Campagne!$F$1:$F$141,Campagne!$C$1:$C$141,$A52))</f>
        <v>800</v>
      </c>
      <c r="R52">
        <f>IF($A52="","",_xlfn.SUMIFS(Campagne!$K$1:$K$141,Campagne!$C$1:$C$141,$A52))</f>
        <v>0.41914907</v>
      </c>
      <c r="S52">
        <f>IF($A52="","",_xlfn.SUMIFS(Campagne!$M$1:$M$141,Campagne!$C$1:$C$141,$A52))</f>
        <v>0.27988845</v>
      </c>
      <c r="T52">
        <f>IF($A52="","",_xlfn.SUMIFS(Pilotage!$K$19:$K$32,Pilotage!$A$19:$A$32,$A52)*_xlfn.SUMIFS(Pilotage!$J$19:$J$32,Pilotage!$A$19:$A$32,$A52)*(SUM(Pilotage!$K$19:$K$32)/SUMPRODUCT(Pilotage!$K$19:$K$32,Pilotage!$J$19:$J$32)))</f>
        <v>30240</v>
      </c>
      <c r="U52">
        <f>IF($A52="","",_xlfn.SUMIFS(Pilotage!$K$19:$K$32,Pilotage!$A$19:$A$32,$A52))</f>
        <v>30240</v>
      </c>
      <c r="V52">
        <f>IF($A52="","",IF($B52="V01",Cadrage!$C$23,IF($B52="V02",Cadrage!$D$23,Cadrage!$E$23)))</f>
        <v>0.08</v>
      </c>
      <c r="W52">
        <f>IF($A52="","",IF($B52="V01",Cadrage!$C$24,IF($B52="V02",Cadrage!$D$24,Cadrage!$E$24)))</f>
        <v>0.1</v>
      </c>
      <c r="X52">
        <f>IF($A52="","",IF($B52="V01",Cadrage!$C$25,IF($B52="V02",Cadrage!$D$25,Cadrage!$E$25)))</f>
        <v>0.0029</v>
      </c>
      <c r="Y52">
        <f>IF($A52="","",IF($B52="V01",Cadrage!$C$26,IF($B52="V02",Cadrage!$D$26,Cadrage!$E$26)))</f>
        <v>0.01</v>
      </c>
      <c r="Z52">
        <f>IF($A52="","",IF($B52="V01",Cadrage!$C$27,IF($B52="V02",Cadrage!$D$27,Cadrage!$E$27)))</f>
        <v>0.01</v>
      </c>
      <c r="AA52">
        <f>IF($A52="","",IF($B52="V01",Cadrage!$C$28,IF($B52="V02",Cadrage!$D$28,Cadrage!$E$28)))</f>
        <v>0.005</v>
      </c>
      <c r="AB52">
        <f>IF($A52="","",IF($B52="V01",Cadrage!$C$42,IF($B52="V02",Cadrage!$D$42,Cadrage!$E$42)))</f>
        <v>90</v>
      </c>
      <c r="AC52">
        <f>IF($A52="","",IF($F52="MBWAY",Cadrage!$K$34,IF($F52="ISCOM",Cadrage!$K$35,IF($F52="IPAC",Cadrage!$K$36,IF($F52="PIGIER",Cadrage!$K$37,Cadrage!$K$38)))))</f>
        <v>1.05</v>
      </c>
      <c r="AD52">
        <f t="shared" si="1"/>
        <v>52.0953083484985</v>
      </c>
      <c r="AE52">
        <f t="shared" si="2"/>
        <v>52.0953083484985</v>
      </c>
      <c r="AF52">
        <f t="shared" si="3"/>
        <v>52.0953083484985</v>
      </c>
      <c r="AG52">
        <f t="shared" si="4"/>
        <v>7863.8728</v>
      </c>
      <c r="AH52">
        <f t="shared" si="5"/>
        <v>414359.456080735</v>
      </c>
    </row>
    <row r="53" ht="14.25" customHeight="1">
      <c r="A53" t="str">
        <f>IF(Moteur!D53="","",Moteur!D53)</f>
        <v>TUNON_PAR</v>
      </c>
      <c r="B53" t="str">
        <f>IF(Moteur!B53="","",Moteur!B53)</f>
        <v>V01</v>
      </c>
      <c r="C53" t="str">
        <f>IF(Moteur!F53="","",Moteur!F53)</f>
        <v>BAC_TOU</v>
      </c>
      <c r="D53" t="str">
        <f>IF(Moteur!G53="","",Moteur!G53)</f>
        <v>B2</v>
      </c>
      <c r="E53" t="str">
        <f>IF(Moteur!H53="","",Moteur!H53)</f>
        <v>ALT</v>
      </c>
      <c r="F53" t="str">
        <f>IF(Moteur!E53="","",Moteur!E53)</f>
        <v>TUNON</v>
      </c>
      <c r="G53">
        <f>IF($A53="","",_xlfn.SUMIFS(Socle!$H$1:$H$658,Socle!$C$1:$C$658,$A53,Socle!$D$1:$D$658,$C53,Socle!$E$1:$E$658,$D53,Socle!$F$1:$F$658,$E53,Socle!$G$1:$G$658,"2026"))</f>
        <v>0</v>
      </c>
      <c r="H53">
        <f>IF($A53="","",_xlfn.SUMIFS(Socle!$N$1:$N$658,Socle!$C$1:$C$658,$A53,Socle!$D$1:$D$658,$C53,Socle!$E$1:$E$658,$D53,Socle!$F$1:$F$658,$E53,Socle!$G$1:$G$658,"2026"))</f>
        <v>47</v>
      </c>
      <c r="I53">
        <f>IF($A53="","",_xlfn.SUMIFS(Socle!$P$1:$P$658,Socle!$C$1:$C$658,$A53,Socle!$D$1:$D$658,$C53,Socle!$E$1:$E$658,$D53,Socle!$F$1:$F$658,$E53,Socle!$G$1:$G$658,"2026"))</f>
        <v>7840</v>
      </c>
      <c r="J53">
        <f>IF($A53="","",_xlfn.SUMIFS(Socle!$W$1:$W$658,Socle!$C$1:$C$658,$A53,Socle!$D$1:$D$658,$C53,Socle!$E$1:$E$658,$D53,Socle!$F$1:$F$658,$E53,Socle!$G$1:$G$658,"2026"))</f>
        <v>0</v>
      </c>
      <c r="K53">
        <f>IF($A53="","",_xlfn.SUMIFS(Socle!$X$1:$X$658,Socle!$C$1:$C$658,$A53,Socle!$D$1:$D$658,$C53,Socle!$E$1:$E$658,$D53,Socle!$F$1:$F$658,$E53,Socle!$G$1:$G$658,"2026"))</f>
        <v>0</v>
      </c>
      <c r="L53">
        <f>IF($A53="","",_xlfn.SUMIFS(Socle!$Y$1:$Y$658,Socle!$C$1:$C$658,$A53,Socle!$D$1:$D$658,$C53,Socle!$E$1:$E$658,$D53,Socle!$F$1:$F$658,$E53,Socle!$G$1:$G$658,"2026"))</f>
        <v>0</v>
      </c>
      <c r="M53">
        <f>IF($A53="","",_xlfn.SUMIFS(Socle!$V$1:$V$658,Socle!$C$1:$C$658,$A53,Socle!$D$1:$D$658,$C53,Socle!$E$1:$E$658,$D53,Socle!$F$1:$F$658,$E53,Socle!$G$1:$G$658,"2026"))</f>
        <v>0.978723404</v>
      </c>
      <c r="N53">
        <f t="shared" si="0"/>
        <v>0</v>
      </c>
      <c r="O53">
        <f>IF($A53="","",_xlfn.SUMIFS(Campagne!$D$1:$D$141,Campagne!$C$1:$C$141,$A53))</f>
        <v>240</v>
      </c>
      <c r="P53">
        <f>IF($A53="","",_xlfn.SUMIFS(Campagne!$E$1:$E$141,Campagne!$C$1:$C$141,$A53))</f>
        <v>560</v>
      </c>
      <c r="Q53">
        <f>IF($A53="","",_xlfn.SUMIFS(Campagne!$F$1:$F$141,Campagne!$C$1:$C$141,$A53))</f>
        <v>800</v>
      </c>
      <c r="R53">
        <f>IF($A53="","",_xlfn.SUMIFS(Campagne!$K$1:$K$141,Campagne!$C$1:$C$141,$A53))</f>
        <v>0.41914907</v>
      </c>
      <c r="S53">
        <f>IF($A53="","",_xlfn.SUMIFS(Campagne!$M$1:$M$141,Campagne!$C$1:$C$141,$A53))</f>
        <v>0.27988845</v>
      </c>
      <c r="T53">
        <f>IF($A53="","",_xlfn.SUMIFS(Pilotage!$K$19:$K$32,Pilotage!$A$19:$A$32,$A53)*_xlfn.SUMIFS(Pilotage!$J$19:$J$32,Pilotage!$A$19:$A$32,$A53)*(SUM(Pilotage!$K$19:$K$32)/SUMPRODUCT(Pilotage!$K$19:$K$32,Pilotage!$J$19:$J$32)))</f>
        <v>30240</v>
      </c>
      <c r="U53">
        <f>IF($A53="","",_xlfn.SUMIFS(Pilotage!$K$19:$K$32,Pilotage!$A$19:$A$32,$A53))</f>
        <v>30240</v>
      </c>
      <c r="V53">
        <f>IF($A53="","",IF($B53="V01",Cadrage!$C$23,IF($B53="V02",Cadrage!$D$23,Cadrage!$E$23)))</f>
        <v>0.08</v>
      </c>
      <c r="W53">
        <f>IF($A53="","",IF($B53="V01",Cadrage!$C$24,IF($B53="V02",Cadrage!$D$24,Cadrage!$E$24)))</f>
        <v>0.1</v>
      </c>
      <c r="X53">
        <f>IF($A53="","",IF($B53="V01",Cadrage!$C$25,IF($B53="V02",Cadrage!$D$25,Cadrage!$E$25)))</f>
        <v>0.0029</v>
      </c>
      <c r="Y53">
        <f>IF($A53="","",IF($B53="V01",Cadrage!$C$26,IF($B53="V02",Cadrage!$D$26,Cadrage!$E$26)))</f>
        <v>0.01</v>
      </c>
      <c r="Z53">
        <f>IF($A53="","",IF($B53="V01",Cadrage!$C$27,IF($B53="V02",Cadrage!$D$27,Cadrage!$E$27)))</f>
        <v>0.01</v>
      </c>
      <c r="AA53">
        <f>IF($A53="","",IF($B53="V01",Cadrage!$C$28,IF($B53="V02",Cadrage!$D$28,Cadrage!$E$28)))</f>
        <v>0.005</v>
      </c>
      <c r="AB53">
        <f>IF($A53="","",IF($B53="V01",Cadrage!$C$42,IF($B53="V02",Cadrage!$D$42,Cadrage!$E$42)))</f>
        <v>90</v>
      </c>
      <c r="AC53">
        <f>IF($A53="","",IF($F53="MBWAY",Cadrage!$K$34,IF($F53="ISCOM",Cadrage!$K$35,IF($F53="IPAC",Cadrage!$K$36,IF($F53="PIGIER",Cadrage!$K$37,Cadrage!$K$38)))))</f>
        <v>1.05</v>
      </c>
      <c r="AD53">
        <f t="shared" si="1"/>
        <v>0</v>
      </c>
      <c r="AE53">
        <f t="shared" si="2"/>
        <v>0</v>
      </c>
      <c r="AF53">
        <f t="shared" si="3"/>
        <v>46.234999988</v>
      </c>
      <c r="AG53">
        <f t="shared" si="4"/>
        <v>7863.8728</v>
      </c>
      <c r="AH53">
        <f t="shared" si="5"/>
        <v>363586.158813633</v>
      </c>
    </row>
    <row r="54" ht="14.25" customHeight="1">
      <c r="A54" t="str">
        <f>IF(Moteur!D54="","",Moteur!D54)</f>
        <v>TUNON_PAR</v>
      </c>
      <c r="B54" t="str">
        <f>IF(Moteur!B54="","",Moteur!B54)</f>
        <v>V01</v>
      </c>
      <c r="C54" t="str">
        <f>IF(Moteur!F54="","",Moteur!F54)</f>
        <v>BAC_TOU</v>
      </c>
      <c r="D54" t="str">
        <f>IF(Moteur!G54="","",Moteur!G54)</f>
        <v>B3</v>
      </c>
      <c r="E54" t="str">
        <f>IF(Moteur!H54="","",Moteur!H54)</f>
        <v>ALT</v>
      </c>
      <c r="F54" t="str">
        <f>IF(Moteur!E54="","",Moteur!E54)</f>
        <v>TUNON</v>
      </c>
      <c r="G54">
        <f>IF($A54="","",_xlfn.SUMIFS(Socle!$H$1:$H$658,Socle!$C$1:$C$658,$A54,Socle!$D$1:$D$658,$C54,Socle!$E$1:$E$658,$D54,Socle!$F$1:$F$658,$E54,Socle!$G$1:$G$658,"2026"))</f>
        <v>0</v>
      </c>
      <c r="H54">
        <f>IF($A54="","",_xlfn.SUMIFS(Socle!$N$1:$N$658,Socle!$C$1:$C$658,$A54,Socle!$D$1:$D$658,$C54,Socle!$E$1:$E$658,$D54,Socle!$F$1:$F$658,$E54,Socle!$G$1:$G$658,"2026"))</f>
        <v>46</v>
      </c>
      <c r="I54">
        <f>IF($A54="","",_xlfn.SUMIFS(Socle!$P$1:$P$658,Socle!$C$1:$C$658,$A54,Socle!$D$1:$D$658,$C54,Socle!$E$1:$E$658,$D54,Socle!$F$1:$F$658,$E54,Socle!$G$1:$G$658,"2026"))</f>
        <v>7840</v>
      </c>
      <c r="J54">
        <f>IF($A54="","",_xlfn.SUMIFS(Socle!$W$1:$W$658,Socle!$C$1:$C$658,$A54,Socle!$D$1:$D$658,$C54,Socle!$E$1:$E$658,$D54,Socle!$F$1:$F$658,$E54,Socle!$G$1:$G$658,"2026"))</f>
        <v>0</v>
      </c>
      <c r="K54">
        <f>IF($A54="","",_xlfn.SUMIFS(Socle!$X$1:$X$658,Socle!$C$1:$C$658,$A54,Socle!$D$1:$D$658,$C54,Socle!$E$1:$E$658,$D54,Socle!$F$1:$F$658,$E54,Socle!$G$1:$G$658,"2026"))</f>
        <v>0</v>
      </c>
      <c r="L54">
        <f>IF($A54="","",_xlfn.SUMIFS(Socle!$Y$1:$Y$658,Socle!$C$1:$C$658,$A54,Socle!$D$1:$D$658,$C54,Socle!$E$1:$E$658,$D54,Socle!$F$1:$F$658,$E54,Socle!$G$1:$G$658,"2026"))</f>
        <v>0</v>
      </c>
      <c r="M54">
        <f>IF($A54="","",_xlfn.SUMIFS(Socle!$V$1:$V$658,Socle!$C$1:$C$658,$A54,Socle!$D$1:$D$658,$C54,Socle!$E$1:$E$658,$D54,Socle!$F$1:$F$658,$E54,Socle!$G$1:$G$658,"2026"))</f>
        <v>0.97826087</v>
      </c>
      <c r="N54">
        <f t="shared" si="0"/>
        <v>0</v>
      </c>
      <c r="O54">
        <f>IF($A54="","",_xlfn.SUMIFS(Campagne!$D$1:$D$141,Campagne!$C$1:$C$141,$A54))</f>
        <v>240</v>
      </c>
      <c r="P54">
        <f>IF($A54="","",_xlfn.SUMIFS(Campagne!$E$1:$E$141,Campagne!$C$1:$C$141,$A54))</f>
        <v>560</v>
      </c>
      <c r="Q54">
        <f>IF($A54="","",_xlfn.SUMIFS(Campagne!$F$1:$F$141,Campagne!$C$1:$C$141,$A54))</f>
        <v>800</v>
      </c>
      <c r="R54">
        <f>IF($A54="","",_xlfn.SUMIFS(Campagne!$K$1:$K$141,Campagne!$C$1:$C$141,$A54))</f>
        <v>0.41914907</v>
      </c>
      <c r="S54">
        <f>IF($A54="","",_xlfn.SUMIFS(Campagne!$M$1:$M$141,Campagne!$C$1:$C$141,$A54))</f>
        <v>0.27988845</v>
      </c>
      <c r="T54">
        <f>IF($A54="","",_xlfn.SUMIFS(Pilotage!$K$19:$K$32,Pilotage!$A$19:$A$32,$A54)*_xlfn.SUMIFS(Pilotage!$J$19:$J$32,Pilotage!$A$19:$A$32,$A54)*(SUM(Pilotage!$K$19:$K$32)/SUMPRODUCT(Pilotage!$K$19:$K$32,Pilotage!$J$19:$J$32)))</f>
        <v>30240</v>
      </c>
      <c r="U54">
        <f>IF($A54="","",_xlfn.SUMIFS(Pilotage!$K$19:$K$32,Pilotage!$A$19:$A$32,$A54))</f>
        <v>30240</v>
      </c>
      <c r="V54">
        <f>IF($A54="","",IF($B54="V01",Cadrage!$C$23,IF($B54="V02",Cadrage!$D$23,Cadrage!$E$23)))</f>
        <v>0.08</v>
      </c>
      <c r="W54">
        <f>IF($A54="","",IF($B54="V01",Cadrage!$C$24,IF($B54="V02",Cadrage!$D$24,Cadrage!$E$24)))</f>
        <v>0.1</v>
      </c>
      <c r="X54">
        <f>IF($A54="","",IF($B54="V01",Cadrage!$C$25,IF($B54="V02",Cadrage!$D$25,Cadrage!$E$25)))</f>
        <v>0.0029</v>
      </c>
      <c r="Y54">
        <f>IF($A54="","",IF($B54="V01",Cadrage!$C$26,IF($B54="V02",Cadrage!$D$26,Cadrage!$E$26)))</f>
        <v>0.01</v>
      </c>
      <c r="Z54">
        <f>IF($A54="","",IF($B54="V01",Cadrage!$C$27,IF($B54="V02",Cadrage!$D$27,Cadrage!$E$27)))</f>
        <v>0.01</v>
      </c>
      <c r="AA54">
        <f>IF($A54="","",IF($B54="V01",Cadrage!$C$28,IF($B54="V02",Cadrage!$D$28,Cadrage!$E$28)))</f>
        <v>0.005</v>
      </c>
      <c r="AB54">
        <f>IF($A54="","",IF($B54="V01",Cadrage!$C$42,IF($B54="V02",Cadrage!$D$42,Cadrage!$E$42)))</f>
        <v>90</v>
      </c>
      <c r="AC54">
        <f>IF($A54="","",IF($F54="MBWAY",Cadrage!$K$34,IF($F54="ISCOM",Cadrage!$K$35,IF($F54="IPAC",Cadrage!$K$36,IF($F54="PIGIER",Cadrage!$K$37,Cadrage!$K$38)))))</f>
        <v>1.05</v>
      </c>
      <c r="AD54">
        <f t="shared" si="1"/>
        <v>0</v>
      </c>
      <c r="AE54">
        <f t="shared" si="2"/>
        <v>0</v>
      </c>
      <c r="AF54">
        <f t="shared" si="3"/>
        <v>45.23000002</v>
      </c>
      <c r="AG54">
        <f t="shared" si="4"/>
        <v>7863.8728</v>
      </c>
      <c r="AH54">
        <f t="shared" si="5"/>
        <v>355682.966901277</v>
      </c>
    </row>
    <row r="55" ht="14.25" customHeight="1">
      <c r="A55" t="str">
        <f>IF(Moteur!D55="","",Moteur!D55)</f>
        <v>TUNON_LYO</v>
      </c>
      <c r="B55" t="str">
        <f>IF(Moteur!B55="","",Moteur!B55)</f>
        <v>V01</v>
      </c>
      <c r="C55" t="str">
        <f>IF(Moteur!F55="","",Moteur!F55)</f>
        <v>BAC_TOU</v>
      </c>
      <c r="D55" t="str">
        <f>IF(Moteur!G55="","",Moteur!G55)</f>
        <v>B1</v>
      </c>
      <c r="E55" t="str">
        <f>IF(Moteur!H55="","",Moteur!H55)</f>
        <v>ALT</v>
      </c>
      <c r="F55" t="str">
        <f>IF(Moteur!E55="","",Moteur!E55)</f>
        <v>TUNON</v>
      </c>
      <c r="G55">
        <f>IF($A55="","",_xlfn.SUMIFS(Socle!$H$1:$H$658,Socle!$C$1:$C$658,$A55,Socle!$D$1:$D$658,$C55,Socle!$E$1:$E$658,$D55,Socle!$F$1:$F$658,$E55,Socle!$G$1:$G$658,"2026"))</f>
        <v>680</v>
      </c>
      <c r="H55">
        <f>IF($A55="","",_xlfn.SUMIFS(Socle!$N$1:$N$658,Socle!$C$1:$C$658,$A55,Socle!$D$1:$D$658,$C55,Socle!$E$1:$E$658,$D55,Socle!$F$1:$F$658,$E55,Socle!$G$1:$G$658,"2026"))</f>
        <v>0</v>
      </c>
      <c r="I55">
        <f>IF($A55="","",_xlfn.SUMIFS(Socle!$P$1:$P$658,Socle!$C$1:$C$658,$A55,Socle!$D$1:$D$658,$C55,Socle!$E$1:$E$658,$D55,Socle!$F$1:$F$658,$E55,Socle!$G$1:$G$658,"2026"))</f>
        <v>7350</v>
      </c>
      <c r="J55">
        <f>IF($A55="","",_xlfn.SUMIFS(Socle!$W$1:$W$658,Socle!$C$1:$C$658,$A55,Socle!$D$1:$D$658,$C55,Socle!$E$1:$E$658,$D55,Socle!$F$1:$F$658,$E55,Socle!$G$1:$G$658,"2026"))</f>
        <v>0.2</v>
      </c>
      <c r="K55">
        <f>IF($A55="","",_xlfn.SUMIFS(Socle!$X$1:$X$658,Socle!$C$1:$C$658,$A55,Socle!$D$1:$D$658,$C55,Socle!$E$1:$E$658,$D55,Socle!$F$1:$F$658,$E55,Socle!$G$1:$G$658,"2026"))</f>
        <v>0.698529412</v>
      </c>
      <c r="L55">
        <f>IF($A55="","",_xlfn.SUMIFS(Socle!$Y$1:$Y$658,Socle!$C$1:$C$658,$A55,Socle!$D$1:$D$658,$C55,Socle!$E$1:$E$658,$D55,Socle!$F$1:$F$658,$E55,Socle!$G$1:$G$658,"2026"))</f>
        <v>0.421052632</v>
      </c>
      <c r="M55">
        <f>IF($A55="","",_xlfn.SUMIFS(Socle!$V$1:$V$658,Socle!$C$1:$C$658,$A55,Socle!$D$1:$D$658,$C55,Socle!$E$1:$E$658,$D55,Socle!$F$1:$F$658,$E55,Socle!$G$1:$G$658,"2026"))</f>
        <v>0</v>
      </c>
      <c r="N55">
        <f t="shared" si="0"/>
        <v>1</v>
      </c>
      <c r="O55">
        <f>IF($A55="","",_xlfn.SUMIFS(Campagne!$D$1:$D$141,Campagne!$C$1:$C$141,$A55))</f>
        <v>252</v>
      </c>
      <c r="P55">
        <f>IF($A55="","",_xlfn.SUMIFS(Campagne!$E$1:$E$141,Campagne!$C$1:$C$141,$A55))</f>
        <v>428</v>
      </c>
      <c r="Q55">
        <f>IF($A55="","",_xlfn.SUMIFS(Campagne!$F$1:$F$141,Campagne!$C$1:$C$141,$A55))</f>
        <v>680</v>
      </c>
      <c r="R55">
        <f>IF($A55="","",_xlfn.SUMIFS(Campagne!$K$1:$K$141,Campagne!$C$1:$C$141,$A55))</f>
        <v>0.460843562</v>
      </c>
      <c r="S55">
        <f>IF($A55="","",_xlfn.SUMIFS(Campagne!$M$1:$M$141,Campagne!$C$1:$C$141,$A55))</f>
        <v>0.317986245</v>
      </c>
      <c r="T55">
        <f>IF($A55="","",_xlfn.SUMIFS(Pilotage!$K$19:$K$32,Pilotage!$A$19:$A$32,$A55)*_xlfn.SUMIFS(Pilotage!$J$19:$J$32,Pilotage!$A$19:$A$32,$A55)*(SUM(Pilotage!$K$19:$K$32)/SUMPRODUCT(Pilotage!$K$19:$K$32,Pilotage!$J$19:$J$32)))</f>
        <v>18850</v>
      </c>
      <c r="U55">
        <f>IF($A55="","",_xlfn.SUMIFS(Pilotage!$K$19:$K$32,Pilotage!$A$19:$A$32,$A55))</f>
        <v>18850</v>
      </c>
      <c r="V55">
        <f>IF($A55="","",IF($B55="V01",Cadrage!$C$23,IF($B55="V02",Cadrage!$D$23,Cadrage!$E$23)))</f>
        <v>0.08</v>
      </c>
      <c r="W55">
        <f>IF($A55="","",IF($B55="V01",Cadrage!$C$24,IF($B55="V02",Cadrage!$D$24,Cadrage!$E$24)))</f>
        <v>0.1</v>
      </c>
      <c r="X55">
        <f>IF($A55="","",IF($B55="V01",Cadrage!$C$25,IF($B55="V02",Cadrage!$D$25,Cadrage!$E$25)))</f>
        <v>0.0029</v>
      </c>
      <c r="Y55">
        <f>IF($A55="","",IF($B55="V01",Cadrage!$C$26,IF($B55="V02",Cadrage!$D$26,Cadrage!$E$26)))</f>
        <v>0.01</v>
      </c>
      <c r="Z55">
        <f>IF($A55="","",IF($B55="V01",Cadrage!$C$27,IF($B55="V02",Cadrage!$D$27,Cadrage!$E$27)))</f>
        <v>0.01</v>
      </c>
      <c r="AA55">
        <f>IF($A55="","",IF($B55="V01",Cadrage!$C$28,IF($B55="V02",Cadrage!$D$28,Cadrage!$E$28)))</f>
        <v>0.005</v>
      </c>
      <c r="AB55">
        <f>IF($A55="","",IF($B55="V01",Cadrage!$C$42,IF($B55="V02",Cadrage!$D$42,Cadrage!$E$42)))</f>
        <v>90</v>
      </c>
      <c r="AC55">
        <f>IF($A55="","",IF($F55="MBWAY",Cadrage!$K$34,IF($F55="ISCOM",Cadrage!$K$35,IF($F55="IPAC",Cadrage!$K$36,IF($F55="PIGIER",Cadrage!$K$37,Cadrage!$K$38)))))</f>
        <v>1.05</v>
      </c>
      <c r="AD55">
        <f t="shared" si="1"/>
        <v>44.464893381708</v>
      </c>
      <c r="AE55">
        <f t="shared" si="2"/>
        <v>44.464893381708</v>
      </c>
      <c r="AF55">
        <f t="shared" si="3"/>
        <v>44.464893381708</v>
      </c>
      <c r="AG55">
        <f t="shared" si="4"/>
        <v>7372.38075</v>
      </c>
      <c r="AH55">
        <f t="shared" si="5"/>
        <v>331813.96442246</v>
      </c>
    </row>
    <row r="56" ht="14.25" customHeight="1">
      <c r="A56" t="str">
        <f>IF(Moteur!D56="","",Moteur!D56)</f>
        <v>TUNON_LYO</v>
      </c>
      <c r="B56" t="str">
        <f>IF(Moteur!B56="","",Moteur!B56)</f>
        <v>V01</v>
      </c>
      <c r="C56" t="str">
        <f>IF(Moteur!F56="","",Moteur!F56)</f>
        <v>BAC_TOU</v>
      </c>
      <c r="D56" t="str">
        <f>IF(Moteur!G56="","",Moteur!G56)</f>
        <v>B2</v>
      </c>
      <c r="E56" t="str">
        <f>IF(Moteur!H56="","",Moteur!H56)</f>
        <v>ALT</v>
      </c>
      <c r="F56" t="str">
        <f>IF(Moteur!E56="","",Moteur!E56)</f>
        <v>TUNON</v>
      </c>
      <c r="G56">
        <f>IF($A56="","",_xlfn.SUMIFS(Socle!$H$1:$H$658,Socle!$C$1:$C$658,$A56,Socle!$D$1:$D$658,$C56,Socle!$E$1:$E$658,$D56,Socle!$F$1:$F$658,$E56,Socle!$G$1:$G$658,"2026"))</f>
        <v>0</v>
      </c>
      <c r="H56">
        <f>IF($A56="","",_xlfn.SUMIFS(Socle!$N$1:$N$658,Socle!$C$1:$C$658,$A56,Socle!$D$1:$D$658,$C56,Socle!$E$1:$E$658,$D56,Socle!$F$1:$F$658,$E56,Socle!$G$1:$G$658,"2026"))</f>
        <v>40</v>
      </c>
      <c r="I56">
        <f>IF($A56="","",_xlfn.SUMIFS(Socle!$P$1:$P$658,Socle!$C$1:$C$658,$A56,Socle!$D$1:$D$658,$C56,Socle!$E$1:$E$658,$D56,Socle!$F$1:$F$658,$E56,Socle!$G$1:$G$658,"2026"))</f>
        <v>7350</v>
      </c>
      <c r="J56">
        <f>IF($A56="","",_xlfn.SUMIFS(Socle!$W$1:$W$658,Socle!$C$1:$C$658,$A56,Socle!$D$1:$D$658,$C56,Socle!$E$1:$E$658,$D56,Socle!$F$1:$F$658,$E56,Socle!$G$1:$G$658,"2026"))</f>
        <v>0</v>
      </c>
      <c r="K56">
        <f>IF($A56="","",_xlfn.SUMIFS(Socle!$X$1:$X$658,Socle!$C$1:$C$658,$A56,Socle!$D$1:$D$658,$C56,Socle!$E$1:$E$658,$D56,Socle!$F$1:$F$658,$E56,Socle!$G$1:$G$658,"2026"))</f>
        <v>0</v>
      </c>
      <c r="L56">
        <f>IF($A56="","",_xlfn.SUMIFS(Socle!$Y$1:$Y$658,Socle!$C$1:$C$658,$A56,Socle!$D$1:$D$658,$C56,Socle!$E$1:$E$658,$D56,Socle!$F$1:$F$658,$E56,Socle!$G$1:$G$658,"2026"))</f>
        <v>0</v>
      </c>
      <c r="M56">
        <f>IF($A56="","",_xlfn.SUMIFS(Socle!$V$1:$V$658,Socle!$C$1:$C$658,$A56,Socle!$D$1:$D$658,$C56,Socle!$E$1:$E$658,$D56,Socle!$F$1:$F$658,$E56,Socle!$G$1:$G$658,"2026"))</f>
        <v>0.975</v>
      </c>
      <c r="N56">
        <f t="shared" si="0"/>
        <v>0</v>
      </c>
      <c r="O56">
        <f>IF($A56="","",_xlfn.SUMIFS(Campagne!$D$1:$D$141,Campagne!$C$1:$C$141,$A56))</f>
        <v>252</v>
      </c>
      <c r="P56">
        <f>IF($A56="","",_xlfn.SUMIFS(Campagne!$E$1:$E$141,Campagne!$C$1:$C$141,$A56))</f>
        <v>428</v>
      </c>
      <c r="Q56">
        <f>IF($A56="","",_xlfn.SUMIFS(Campagne!$F$1:$F$141,Campagne!$C$1:$C$141,$A56))</f>
        <v>680</v>
      </c>
      <c r="R56">
        <f>IF($A56="","",_xlfn.SUMIFS(Campagne!$K$1:$K$141,Campagne!$C$1:$C$141,$A56))</f>
        <v>0.460843562</v>
      </c>
      <c r="S56">
        <f>IF($A56="","",_xlfn.SUMIFS(Campagne!$M$1:$M$141,Campagne!$C$1:$C$141,$A56))</f>
        <v>0.317986245</v>
      </c>
      <c r="T56">
        <f>IF($A56="","",_xlfn.SUMIFS(Pilotage!$K$19:$K$32,Pilotage!$A$19:$A$32,$A56)*_xlfn.SUMIFS(Pilotage!$J$19:$J$32,Pilotage!$A$19:$A$32,$A56)*(SUM(Pilotage!$K$19:$K$32)/SUMPRODUCT(Pilotage!$K$19:$K$32,Pilotage!$J$19:$J$32)))</f>
        <v>18850</v>
      </c>
      <c r="U56">
        <f>IF($A56="","",_xlfn.SUMIFS(Pilotage!$K$19:$K$32,Pilotage!$A$19:$A$32,$A56))</f>
        <v>18850</v>
      </c>
      <c r="V56">
        <f>IF($A56="","",IF($B56="V01",Cadrage!$C$23,IF($B56="V02",Cadrage!$D$23,Cadrage!$E$23)))</f>
        <v>0.08</v>
      </c>
      <c r="W56">
        <f>IF($A56="","",IF($B56="V01",Cadrage!$C$24,IF($B56="V02",Cadrage!$D$24,Cadrage!$E$24)))</f>
        <v>0.1</v>
      </c>
      <c r="X56">
        <f>IF($A56="","",IF($B56="V01",Cadrage!$C$25,IF($B56="V02",Cadrage!$D$25,Cadrage!$E$25)))</f>
        <v>0.0029</v>
      </c>
      <c r="Y56">
        <f>IF($A56="","",IF($B56="V01",Cadrage!$C$26,IF($B56="V02",Cadrage!$D$26,Cadrage!$E$26)))</f>
        <v>0.01</v>
      </c>
      <c r="Z56">
        <f>IF($A56="","",IF($B56="V01",Cadrage!$C$27,IF($B56="V02",Cadrage!$D$27,Cadrage!$E$27)))</f>
        <v>0.01</v>
      </c>
      <c r="AA56">
        <f>IF($A56="","",IF($B56="V01",Cadrage!$C$28,IF($B56="V02",Cadrage!$D$28,Cadrage!$E$28)))</f>
        <v>0.005</v>
      </c>
      <c r="AB56">
        <f>IF($A56="","",IF($B56="V01",Cadrage!$C$42,IF($B56="V02",Cadrage!$D$42,Cadrage!$E$42)))</f>
        <v>90</v>
      </c>
      <c r="AC56">
        <f>IF($A56="","",IF($F56="MBWAY",Cadrage!$K$34,IF($F56="ISCOM",Cadrage!$K$35,IF($F56="IPAC",Cadrage!$K$36,IF($F56="PIGIER",Cadrage!$K$37,Cadrage!$K$38)))))</f>
        <v>1.05</v>
      </c>
      <c r="AD56">
        <f t="shared" si="1"/>
        <v>0</v>
      </c>
      <c r="AE56">
        <f t="shared" si="2"/>
        <v>0</v>
      </c>
      <c r="AF56">
        <f t="shared" si="3"/>
        <v>39.2</v>
      </c>
      <c r="AG56">
        <f t="shared" si="4"/>
        <v>7372.38075</v>
      </c>
      <c r="AH56">
        <f t="shared" si="5"/>
        <v>288997.3254</v>
      </c>
    </row>
    <row r="57" ht="14.25" customHeight="1">
      <c r="A57" t="str">
        <f>IF(Moteur!D57="","",Moteur!D57)</f>
        <v>TUNON_LYO</v>
      </c>
      <c r="B57" t="str">
        <f>IF(Moteur!B57="","",Moteur!B57)</f>
        <v>V01</v>
      </c>
      <c r="C57" t="str">
        <f>IF(Moteur!F57="","",Moteur!F57)</f>
        <v>BAC_TOU</v>
      </c>
      <c r="D57" t="str">
        <f>IF(Moteur!G57="","",Moteur!G57)</f>
        <v>B3</v>
      </c>
      <c r="E57" t="str">
        <f>IF(Moteur!H57="","",Moteur!H57)</f>
        <v>ALT</v>
      </c>
      <c r="F57" t="str">
        <f>IF(Moteur!E57="","",Moteur!E57)</f>
        <v>TUNON</v>
      </c>
      <c r="G57">
        <f>IF($A57="","",_xlfn.SUMIFS(Socle!$H$1:$H$658,Socle!$C$1:$C$658,$A57,Socle!$D$1:$D$658,$C57,Socle!$E$1:$E$658,$D57,Socle!$F$1:$F$658,$E57,Socle!$G$1:$G$658,"2026"))</f>
        <v>0</v>
      </c>
      <c r="H57">
        <f>IF($A57="","",_xlfn.SUMIFS(Socle!$N$1:$N$658,Socle!$C$1:$C$658,$A57,Socle!$D$1:$D$658,$C57,Socle!$E$1:$E$658,$D57,Socle!$F$1:$F$658,$E57,Socle!$G$1:$G$658,"2026"))</f>
        <v>39</v>
      </c>
      <c r="I57">
        <f>IF($A57="","",_xlfn.SUMIFS(Socle!$P$1:$P$658,Socle!$C$1:$C$658,$A57,Socle!$D$1:$D$658,$C57,Socle!$E$1:$E$658,$D57,Socle!$F$1:$F$658,$E57,Socle!$G$1:$G$658,"2026"))</f>
        <v>7350</v>
      </c>
      <c r="J57">
        <f>IF($A57="","",_xlfn.SUMIFS(Socle!$W$1:$W$658,Socle!$C$1:$C$658,$A57,Socle!$D$1:$D$658,$C57,Socle!$E$1:$E$658,$D57,Socle!$F$1:$F$658,$E57,Socle!$G$1:$G$658,"2026"))</f>
        <v>0</v>
      </c>
      <c r="K57">
        <f>IF($A57="","",_xlfn.SUMIFS(Socle!$X$1:$X$658,Socle!$C$1:$C$658,$A57,Socle!$D$1:$D$658,$C57,Socle!$E$1:$E$658,$D57,Socle!$F$1:$F$658,$E57,Socle!$G$1:$G$658,"2026"))</f>
        <v>0</v>
      </c>
      <c r="L57">
        <f>IF($A57="","",_xlfn.SUMIFS(Socle!$Y$1:$Y$658,Socle!$C$1:$C$658,$A57,Socle!$D$1:$D$658,$C57,Socle!$E$1:$E$658,$D57,Socle!$F$1:$F$658,$E57,Socle!$G$1:$G$658,"2026"))</f>
        <v>0</v>
      </c>
      <c r="M57">
        <f>IF($A57="","",_xlfn.SUMIFS(Socle!$V$1:$V$658,Socle!$C$1:$C$658,$A57,Socle!$D$1:$D$658,$C57,Socle!$E$1:$E$658,$D57,Socle!$F$1:$F$658,$E57,Socle!$G$1:$G$658,"2026"))</f>
        <v>0.974358974</v>
      </c>
      <c r="N57">
        <f t="shared" si="0"/>
        <v>0</v>
      </c>
      <c r="O57">
        <f>IF($A57="","",_xlfn.SUMIFS(Campagne!$D$1:$D$141,Campagne!$C$1:$C$141,$A57))</f>
        <v>252</v>
      </c>
      <c r="P57">
        <f>IF($A57="","",_xlfn.SUMIFS(Campagne!$E$1:$E$141,Campagne!$C$1:$C$141,$A57))</f>
        <v>428</v>
      </c>
      <c r="Q57">
        <f>IF($A57="","",_xlfn.SUMIFS(Campagne!$F$1:$F$141,Campagne!$C$1:$C$141,$A57))</f>
        <v>680</v>
      </c>
      <c r="R57">
        <f>IF($A57="","",_xlfn.SUMIFS(Campagne!$K$1:$K$141,Campagne!$C$1:$C$141,$A57))</f>
        <v>0.460843562</v>
      </c>
      <c r="S57">
        <f>IF($A57="","",_xlfn.SUMIFS(Campagne!$M$1:$M$141,Campagne!$C$1:$C$141,$A57))</f>
        <v>0.317986245</v>
      </c>
      <c r="T57">
        <f>IF($A57="","",_xlfn.SUMIFS(Pilotage!$K$19:$K$32,Pilotage!$A$19:$A$32,$A57)*_xlfn.SUMIFS(Pilotage!$J$19:$J$32,Pilotage!$A$19:$A$32,$A57)*(SUM(Pilotage!$K$19:$K$32)/SUMPRODUCT(Pilotage!$K$19:$K$32,Pilotage!$J$19:$J$32)))</f>
        <v>18850</v>
      </c>
      <c r="U57">
        <f>IF($A57="","",_xlfn.SUMIFS(Pilotage!$K$19:$K$32,Pilotage!$A$19:$A$32,$A57))</f>
        <v>18850</v>
      </c>
      <c r="V57">
        <f>IF($A57="","",IF($B57="V01",Cadrage!$C$23,IF($B57="V02",Cadrage!$D$23,Cadrage!$E$23)))</f>
        <v>0.08</v>
      </c>
      <c r="W57">
        <f>IF($A57="","",IF($B57="V01",Cadrage!$C$24,IF($B57="V02",Cadrage!$D$24,Cadrage!$E$24)))</f>
        <v>0.1</v>
      </c>
      <c r="X57">
        <f>IF($A57="","",IF($B57="V01",Cadrage!$C$25,IF($B57="V02",Cadrage!$D$25,Cadrage!$E$25)))</f>
        <v>0.0029</v>
      </c>
      <c r="Y57">
        <f>IF($A57="","",IF($B57="V01",Cadrage!$C$26,IF($B57="V02",Cadrage!$D$26,Cadrage!$E$26)))</f>
        <v>0.01</v>
      </c>
      <c r="Z57">
        <f>IF($A57="","",IF($B57="V01",Cadrage!$C$27,IF($B57="V02",Cadrage!$D$27,Cadrage!$E$27)))</f>
        <v>0.01</v>
      </c>
      <c r="AA57">
        <f>IF($A57="","",IF($B57="V01",Cadrage!$C$28,IF($B57="V02",Cadrage!$D$28,Cadrage!$E$28)))</f>
        <v>0.005</v>
      </c>
      <c r="AB57">
        <f>IF($A57="","",IF($B57="V01",Cadrage!$C$42,IF($B57="V02",Cadrage!$D$42,Cadrage!$E$42)))</f>
        <v>90</v>
      </c>
      <c r="AC57">
        <f>IF($A57="","",IF($F57="MBWAY",Cadrage!$K$34,IF($F57="ISCOM",Cadrage!$K$35,IF($F57="IPAC",Cadrage!$K$36,IF($F57="PIGIER",Cadrage!$K$37,Cadrage!$K$38)))))</f>
        <v>1.05</v>
      </c>
      <c r="AD57">
        <f t="shared" si="1"/>
        <v>0</v>
      </c>
      <c r="AE57">
        <f t="shared" si="2"/>
        <v>0</v>
      </c>
      <c r="AF57">
        <f t="shared" si="3"/>
        <v>38.194999986</v>
      </c>
      <c r="AG57">
        <f t="shared" si="4"/>
        <v>7372.38075</v>
      </c>
      <c r="AH57">
        <f t="shared" si="5"/>
        <v>281588.082643037</v>
      </c>
    </row>
    <row r="58" ht="14.25" customHeight="1">
      <c r="A58" t="str">
        <f>IF(Moteur!D58="","",Moteur!D58)</f>
        <v>PIGIER_BOR</v>
      </c>
      <c r="B58" t="str">
        <f>IF(Moteur!B58="","",Moteur!B58)</f>
        <v>V01</v>
      </c>
      <c r="C58" t="str">
        <f>IF(Moteur!F58="","",Moteur!F58)</f>
        <v>BAC_RH</v>
      </c>
      <c r="D58" t="str">
        <f>IF(Moteur!G58="","",Moteur!G58)</f>
        <v>B2</v>
      </c>
      <c r="E58" t="str">
        <f>IF(Moteur!H58="","",Moteur!H58)</f>
        <v>ALT</v>
      </c>
      <c r="F58" t="str">
        <f>IF(Moteur!E58="","",Moteur!E58)</f>
        <v>PIGIER</v>
      </c>
      <c r="G58">
        <f>IF($A58="","",_xlfn.SUMIFS(Socle!$H$1:$H$658,Socle!$C$1:$C$658,$A58,Socle!$D$1:$D$658,$C58,Socle!$E$1:$E$658,$D58,Socle!$F$1:$F$658,$E58,Socle!$G$1:$G$658,"2026"))</f>
        <v>0</v>
      </c>
      <c r="H58">
        <f>IF($A58="","",_xlfn.SUMIFS(Socle!$N$1:$N$658,Socle!$C$1:$C$658,$A58,Socle!$D$1:$D$658,$C58,Socle!$E$1:$E$658,$D58,Socle!$F$1:$F$658,$E58,Socle!$G$1:$G$658,"2026"))</f>
        <v>36</v>
      </c>
      <c r="I58">
        <f>IF($A58="","",_xlfn.SUMIFS(Socle!$P$1:$P$658,Socle!$C$1:$C$658,$A58,Socle!$D$1:$D$658,$C58,Socle!$E$1:$E$658,$D58,Socle!$F$1:$F$658,$E58,Socle!$G$1:$G$658,"2026"))</f>
        <v>6790</v>
      </c>
      <c r="J58">
        <f>IF($A58="","",_xlfn.SUMIFS(Socle!$W$1:$W$658,Socle!$C$1:$C$658,$A58,Socle!$D$1:$D$658,$C58,Socle!$E$1:$E$658,$D58,Socle!$F$1:$F$658,$E58,Socle!$G$1:$G$658,"2026"))</f>
        <v>0</v>
      </c>
      <c r="K58">
        <f>IF($A58="","",_xlfn.SUMIFS(Socle!$X$1:$X$658,Socle!$C$1:$C$658,$A58,Socle!$D$1:$D$658,$C58,Socle!$E$1:$E$658,$D58,Socle!$F$1:$F$658,$E58,Socle!$G$1:$G$658,"2026"))</f>
        <v>0</v>
      </c>
      <c r="L58">
        <f>IF($A58="","",_xlfn.SUMIFS(Socle!$Y$1:$Y$658,Socle!$C$1:$C$658,$A58,Socle!$D$1:$D$658,$C58,Socle!$E$1:$E$658,$D58,Socle!$F$1:$F$658,$E58,Socle!$G$1:$G$658,"2026"))</f>
        <v>0</v>
      </c>
      <c r="M58">
        <f>IF($A58="","",_xlfn.SUMIFS(Socle!$V$1:$V$658,Socle!$C$1:$C$658,$A58,Socle!$D$1:$D$658,$C58,Socle!$E$1:$E$658,$D58,Socle!$F$1:$F$658,$E58,Socle!$G$1:$G$658,"2026"))</f>
        <v>0.972222222</v>
      </c>
      <c r="N58">
        <f t="shared" si="0"/>
        <v>0</v>
      </c>
      <c r="O58">
        <f>IF($A58="","",_xlfn.SUMIFS(Campagne!$D$1:$D$141,Campagne!$C$1:$C$141,$A58))</f>
        <v>652</v>
      </c>
      <c r="P58">
        <f>IF($A58="","",_xlfn.SUMIFS(Campagne!$E$1:$E$141,Campagne!$C$1:$C$141,$A58))</f>
        <v>578</v>
      </c>
      <c r="Q58">
        <f>IF($A58="","",_xlfn.SUMIFS(Campagne!$F$1:$F$141,Campagne!$C$1:$C$141,$A58))</f>
        <v>1230</v>
      </c>
      <c r="R58">
        <f>IF($A58="","",_xlfn.SUMIFS(Campagne!$K$1:$K$141,Campagne!$C$1:$C$141,$A58))</f>
        <v>0.474596633</v>
      </c>
      <c r="S58">
        <f>IF($A58="","",_xlfn.SUMIFS(Campagne!$M$1:$M$141,Campagne!$C$1:$C$141,$A58))</f>
        <v>0.357573956</v>
      </c>
      <c r="T58">
        <f>IF($A58="","",_xlfn.SUMIFS(Pilotage!$K$19:$K$32,Pilotage!$A$19:$A$32,$A58)*_xlfn.SUMIFS(Pilotage!$J$19:$J$32,Pilotage!$A$19:$A$32,$A58)*(SUM(Pilotage!$K$19:$K$32)/SUMPRODUCT(Pilotage!$K$19:$K$32,Pilotage!$J$19:$J$32)))</f>
        <v>21968</v>
      </c>
      <c r="U58">
        <f>IF($A58="","",_xlfn.SUMIFS(Pilotage!$K$19:$K$32,Pilotage!$A$19:$A$32,$A58))</f>
        <v>21968</v>
      </c>
      <c r="V58">
        <f>IF($A58="","",IF($B58="V01",Cadrage!$C$23,IF($B58="V02",Cadrage!$D$23,Cadrage!$E$23)))</f>
        <v>0.08</v>
      </c>
      <c r="W58">
        <f>IF($A58="","",IF($B58="V01",Cadrage!$C$24,IF($B58="V02",Cadrage!$D$24,Cadrage!$E$24)))</f>
        <v>0.1</v>
      </c>
      <c r="X58">
        <f>IF($A58="","",IF($B58="V01",Cadrage!$C$25,IF($B58="V02",Cadrage!$D$25,Cadrage!$E$25)))</f>
        <v>0.0029</v>
      </c>
      <c r="Y58">
        <f>IF($A58="","",IF($B58="V01",Cadrage!$C$26,IF($B58="V02",Cadrage!$D$26,Cadrage!$E$26)))</f>
        <v>0.01</v>
      </c>
      <c r="Z58">
        <f>IF($A58="","",IF($B58="V01",Cadrage!$C$27,IF($B58="V02",Cadrage!$D$27,Cadrage!$E$27)))</f>
        <v>0.01</v>
      </c>
      <c r="AA58">
        <f>IF($A58="","",IF($B58="V01",Cadrage!$C$28,IF($B58="V02",Cadrage!$D$28,Cadrage!$E$28)))</f>
        <v>0.005</v>
      </c>
      <c r="AB58">
        <f>IF($A58="","",IF($B58="V01",Cadrage!$C$42,IF($B58="V02",Cadrage!$D$42,Cadrage!$E$42)))</f>
        <v>90</v>
      </c>
      <c r="AC58">
        <f>IF($A58="","",IF($F58="MBWAY",Cadrage!$K$34,IF($F58="ISCOM",Cadrage!$K$35,IF($F58="IPAC",Cadrage!$K$36,IF($F58="PIGIER",Cadrage!$K$37,Cadrage!$K$38)))))</f>
        <v>0.9</v>
      </c>
      <c r="AD58">
        <f t="shared" si="1"/>
        <v>0</v>
      </c>
      <c r="AE58">
        <f t="shared" si="2"/>
        <v>0</v>
      </c>
      <c r="AF58">
        <f t="shared" si="3"/>
        <v>35.179999992</v>
      </c>
      <c r="AG58">
        <f t="shared" si="4"/>
        <v>6807.7219</v>
      </c>
      <c r="AH58">
        <f t="shared" si="5"/>
        <v>239495.656387538</v>
      </c>
    </row>
    <row r="59" ht="14.25" customHeight="1">
      <c r="A59" t="str">
        <f>IF(Moteur!D59="","",Moteur!D59)</f>
        <v>PIGIER_LYO</v>
      </c>
      <c r="B59" t="str">
        <f>IF(Moteur!B59="","",Moteur!B59)</f>
        <v>V01</v>
      </c>
      <c r="C59" t="str">
        <f>IF(Moteur!F59="","",Moteur!F59)</f>
        <v>BAC_RH</v>
      </c>
      <c r="D59" t="str">
        <f>IF(Moteur!G59="","",Moteur!G59)</f>
        <v>B2</v>
      </c>
      <c r="E59" t="str">
        <f>IF(Moteur!H59="","",Moteur!H59)</f>
        <v>ALT</v>
      </c>
      <c r="F59" t="str">
        <f>IF(Moteur!E59="","",Moteur!E59)</f>
        <v>PIGIER</v>
      </c>
      <c r="G59">
        <f>IF($A59="","",_xlfn.SUMIFS(Socle!$H$1:$H$658,Socle!$C$1:$C$658,$A59,Socle!$D$1:$D$658,$C59,Socle!$E$1:$E$658,$D59,Socle!$F$1:$F$658,$E59,Socle!$G$1:$G$658,"2026"))</f>
        <v>0</v>
      </c>
      <c r="H59">
        <f>IF($A59="","",_xlfn.SUMIFS(Socle!$N$1:$N$658,Socle!$C$1:$C$658,$A59,Socle!$D$1:$D$658,$C59,Socle!$E$1:$E$658,$D59,Socle!$F$1:$F$658,$E59,Socle!$G$1:$G$658,"2026"))</f>
        <v>46</v>
      </c>
      <c r="I59">
        <f>IF($A59="","",_xlfn.SUMIFS(Socle!$P$1:$P$658,Socle!$C$1:$C$658,$A59,Socle!$D$1:$D$658,$C59,Socle!$E$1:$E$658,$D59,Socle!$F$1:$F$658,$E59,Socle!$G$1:$G$658,"2026"))</f>
        <v>7350</v>
      </c>
      <c r="J59">
        <f>IF($A59="","",_xlfn.SUMIFS(Socle!$W$1:$W$658,Socle!$C$1:$C$658,$A59,Socle!$D$1:$D$658,$C59,Socle!$E$1:$E$658,$D59,Socle!$F$1:$F$658,$E59,Socle!$G$1:$G$658,"2026"))</f>
        <v>0</v>
      </c>
      <c r="K59">
        <f>IF($A59="","",_xlfn.SUMIFS(Socle!$X$1:$X$658,Socle!$C$1:$C$658,$A59,Socle!$D$1:$D$658,$C59,Socle!$E$1:$E$658,$D59,Socle!$F$1:$F$658,$E59,Socle!$G$1:$G$658,"2026"))</f>
        <v>0</v>
      </c>
      <c r="L59">
        <f>IF($A59="","",_xlfn.SUMIFS(Socle!$Y$1:$Y$658,Socle!$C$1:$C$658,$A59,Socle!$D$1:$D$658,$C59,Socle!$E$1:$E$658,$D59,Socle!$F$1:$F$658,$E59,Socle!$G$1:$G$658,"2026"))</f>
        <v>0</v>
      </c>
      <c r="M59">
        <f>IF($A59="","",_xlfn.SUMIFS(Socle!$V$1:$V$658,Socle!$C$1:$C$658,$A59,Socle!$D$1:$D$658,$C59,Socle!$E$1:$E$658,$D59,Socle!$F$1:$F$658,$E59,Socle!$G$1:$G$658,"2026"))</f>
        <v>0.97826087</v>
      </c>
      <c r="N59">
        <f t="shared" si="0"/>
        <v>0</v>
      </c>
      <c r="O59">
        <f>IF($A59="","",_xlfn.SUMIFS(Campagne!$D$1:$D$141,Campagne!$C$1:$C$141,$A59))</f>
        <v>738</v>
      </c>
      <c r="P59">
        <f>IF($A59="","",_xlfn.SUMIFS(Campagne!$E$1:$E$141,Campagne!$C$1:$C$141,$A59))</f>
        <v>832</v>
      </c>
      <c r="Q59">
        <f>IF($A59="","",_xlfn.SUMIFS(Campagne!$F$1:$F$141,Campagne!$C$1:$C$141,$A59))</f>
        <v>1570</v>
      </c>
      <c r="R59">
        <f>IF($A59="","",_xlfn.SUMIFS(Campagne!$K$1:$K$141,Campagne!$C$1:$C$141,$A59))</f>
        <v>0.440450262</v>
      </c>
      <c r="S59">
        <f>IF($A59="","",_xlfn.SUMIFS(Campagne!$M$1:$M$141,Campagne!$C$1:$C$141,$A59))</f>
        <v>0.343045779</v>
      </c>
      <c r="T59">
        <f>IF($A59="","",_xlfn.SUMIFS(Pilotage!$K$19:$K$32,Pilotage!$A$19:$A$32,$A59)*_xlfn.SUMIFS(Pilotage!$J$19:$J$32,Pilotage!$A$19:$A$32,$A59)*(SUM(Pilotage!$K$19:$K$32)/SUMPRODUCT(Pilotage!$K$19:$K$32,Pilotage!$J$19:$J$32)))</f>
        <v>36612</v>
      </c>
      <c r="U59">
        <f>IF($A59="","",_xlfn.SUMIFS(Pilotage!$K$19:$K$32,Pilotage!$A$19:$A$32,$A59))</f>
        <v>36612</v>
      </c>
      <c r="V59">
        <f>IF($A59="","",IF($B59="V01",Cadrage!$C$23,IF($B59="V02",Cadrage!$D$23,Cadrage!$E$23)))</f>
        <v>0.08</v>
      </c>
      <c r="W59">
        <f>IF($A59="","",IF($B59="V01",Cadrage!$C$24,IF($B59="V02",Cadrage!$D$24,Cadrage!$E$24)))</f>
        <v>0.1</v>
      </c>
      <c r="X59">
        <f>IF($A59="","",IF($B59="V01",Cadrage!$C$25,IF($B59="V02",Cadrage!$D$25,Cadrage!$E$25)))</f>
        <v>0.0029</v>
      </c>
      <c r="Y59">
        <f>IF($A59="","",IF($B59="V01",Cadrage!$C$26,IF($B59="V02",Cadrage!$D$26,Cadrage!$E$26)))</f>
        <v>0.01</v>
      </c>
      <c r="Z59">
        <f>IF($A59="","",IF($B59="V01",Cadrage!$C$27,IF($B59="V02",Cadrage!$D$27,Cadrage!$E$27)))</f>
        <v>0.01</v>
      </c>
      <c r="AA59">
        <f>IF($A59="","",IF($B59="V01",Cadrage!$C$28,IF($B59="V02",Cadrage!$D$28,Cadrage!$E$28)))</f>
        <v>0.005</v>
      </c>
      <c r="AB59">
        <f>IF($A59="","",IF($B59="V01",Cadrage!$C$42,IF($B59="V02",Cadrage!$D$42,Cadrage!$E$42)))</f>
        <v>90</v>
      </c>
      <c r="AC59">
        <f>IF($A59="","",IF($F59="MBWAY",Cadrage!$K$34,IF($F59="ISCOM",Cadrage!$K$35,IF($F59="IPAC",Cadrage!$K$36,IF($F59="PIGIER",Cadrage!$K$37,Cadrage!$K$38)))))</f>
        <v>0.9</v>
      </c>
      <c r="AD59">
        <f t="shared" si="1"/>
        <v>0</v>
      </c>
      <c r="AE59">
        <f t="shared" si="2"/>
        <v>0</v>
      </c>
      <c r="AF59">
        <f t="shared" si="3"/>
        <v>45.23000002</v>
      </c>
      <c r="AG59">
        <f t="shared" si="4"/>
        <v>7369.1835</v>
      </c>
      <c r="AH59">
        <f t="shared" si="5"/>
        <v>333308.169852384</v>
      </c>
    </row>
    <row r="60" ht="14.25" customHeight="1">
      <c r="A60" t="str">
        <f>IF(Moteur!D60="","",Moteur!D60)</f>
        <v>PIGIER_BOR</v>
      </c>
      <c r="B60" t="str">
        <f>IF(Moteur!B60="","",Moteur!B60)</f>
        <v>V01</v>
      </c>
      <c r="C60" t="str">
        <f>IF(Moteur!F60="","",Moteur!F60)</f>
        <v>BAC_RH</v>
      </c>
      <c r="D60" t="str">
        <f>IF(Moteur!G60="","",Moteur!G60)</f>
        <v>B3</v>
      </c>
      <c r="E60" t="str">
        <f>IF(Moteur!H60="","",Moteur!H60)</f>
        <v>ALT</v>
      </c>
      <c r="F60" t="str">
        <f>IF(Moteur!E60="","",Moteur!E60)</f>
        <v>PIGIER</v>
      </c>
      <c r="G60">
        <f>IF($A60="","",_xlfn.SUMIFS(Socle!$H$1:$H$658,Socle!$C$1:$C$658,$A60,Socle!$D$1:$D$658,$C60,Socle!$E$1:$E$658,$D60,Socle!$F$1:$F$658,$E60,Socle!$G$1:$G$658,"2026"))</f>
        <v>0</v>
      </c>
      <c r="H60">
        <f>IF($A60="","",_xlfn.SUMIFS(Socle!$N$1:$N$658,Socle!$C$1:$C$658,$A60,Socle!$D$1:$D$658,$C60,Socle!$E$1:$E$658,$D60,Socle!$F$1:$F$658,$E60,Socle!$G$1:$G$658,"2026"))</f>
        <v>35</v>
      </c>
      <c r="I60">
        <f>IF($A60="","",_xlfn.SUMIFS(Socle!$P$1:$P$658,Socle!$C$1:$C$658,$A60,Socle!$D$1:$D$658,$C60,Socle!$E$1:$E$658,$D60,Socle!$F$1:$F$658,$E60,Socle!$G$1:$G$658,"2026"))</f>
        <v>6790</v>
      </c>
      <c r="J60">
        <f>IF($A60="","",_xlfn.SUMIFS(Socle!$W$1:$W$658,Socle!$C$1:$C$658,$A60,Socle!$D$1:$D$658,$C60,Socle!$E$1:$E$658,$D60,Socle!$F$1:$F$658,$E60,Socle!$G$1:$G$658,"2026"))</f>
        <v>0</v>
      </c>
      <c r="K60">
        <f>IF($A60="","",_xlfn.SUMIFS(Socle!$X$1:$X$658,Socle!$C$1:$C$658,$A60,Socle!$D$1:$D$658,$C60,Socle!$E$1:$E$658,$D60,Socle!$F$1:$F$658,$E60,Socle!$G$1:$G$658,"2026"))</f>
        <v>0</v>
      </c>
      <c r="L60">
        <f>IF($A60="","",_xlfn.SUMIFS(Socle!$Y$1:$Y$658,Socle!$C$1:$C$658,$A60,Socle!$D$1:$D$658,$C60,Socle!$E$1:$E$658,$D60,Socle!$F$1:$F$658,$E60,Socle!$G$1:$G$658,"2026"))</f>
        <v>0</v>
      </c>
      <c r="M60">
        <f>IF($A60="","",_xlfn.SUMIFS(Socle!$V$1:$V$658,Socle!$C$1:$C$658,$A60,Socle!$D$1:$D$658,$C60,Socle!$E$1:$E$658,$D60,Socle!$F$1:$F$658,$E60,Socle!$G$1:$G$658,"2026"))</f>
        <v>0.971428571</v>
      </c>
      <c r="N60">
        <f t="shared" si="0"/>
        <v>0</v>
      </c>
      <c r="O60">
        <f>IF($A60="","",_xlfn.SUMIFS(Campagne!$D$1:$D$141,Campagne!$C$1:$C$141,$A60))</f>
        <v>652</v>
      </c>
      <c r="P60">
        <f>IF($A60="","",_xlfn.SUMIFS(Campagne!$E$1:$E$141,Campagne!$C$1:$C$141,$A60))</f>
        <v>578</v>
      </c>
      <c r="Q60">
        <f>IF($A60="","",_xlfn.SUMIFS(Campagne!$F$1:$F$141,Campagne!$C$1:$C$141,$A60))</f>
        <v>1230</v>
      </c>
      <c r="R60">
        <f>IF($A60="","",_xlfn.SUMIFS(Campagne!$K$1:$K$141,Campagne!$C$1:$C$141,$A60))</f>
        <v>0.474596633</v>
      </c>
      <c r="S60">
        <f>IF($A60="","",_xlfn.SUMIFS(Campagne!$M$1:$M$141,Campagne!$C$1:$C$141,$A60))</f>
        <v>0.357573956</v>
      </c>
      <c r="T60">
        <f>IF($A60="","",_xlfn.SUMIFS(Pilotage!$K$19:$K$32,Pilotage!$A$19:$A$32,$A60)*_xlfn.SUMIFS(Pilotage!$J$19:$J$32,Pilotage!$A$19:$A$32,$A60)*(SUM(Pilotage!$K$19:$K$32)/SUMPRODUCT(Pilotage!$K$19:$K$32,Pilotage!$J$19:$J$32)))</f>
        <v>21968</v>
      </c>
      <c r="U60">
        <f>IF($A60="","",_xlfn.SUMIFS(Pilotage!$K$19:$K$32,Pilotage!$A$19:$A$32,$A60))</f>
        <v>21968</v>
      </c>
      <c r="V60">
        <f>IF($A60="","",IF($B60="V01",Cadrage!$C$23,IF($B60="V02",Cadrage!$D$23,Cadrage!$E$23)))</f>
        <v>0.08</v>
      </c>
      <c r="W60">
        <f>IF($A60="","",IF($B60="V01",Cadrage!$C$24,IF($B60="V02",Cadrage!$D$24,Cadrage!$E$24)))</f>
        <v>0.1</v>
      </c>
      <c r="X60">
        <f>IF($A60="","",IF($B60="V01",Cadrage!$C$25,IF($B60="V02",Cadrage!$D$25,Cadrage!$E$25)))</f>
        <v>0.0029</v>
      </c>
      <c r="Y60">
        <f>IF($A60="","",IF($B60="V01",Cadrage!$C$26,IF($B60="V02",Cadrage!$D$26,Cadrage!$E$26)))</f>
        <v>0.01</v>
      </c>
      <c r="Z60">
        <f>IF($A60="","",IF($B60="V01",Cadrage!$C$27,IF($B60="V02",Cadrage!$D$27,Cadrage!$E$27)))</f>
        <v>0.01</v>
      </c>
      <c r="AA60">
        <f>IF($A60="","",IF($B60="V01",Cadrage!$C$28,IF($B60="V02",Cadrage!$D$28,Cadrage!$E$28)))</f>
        <v>0.005</v>
      </c>
      <c r="AB60">
        <f>IF($A60="","",IF($B60="V01",Cadrage!$C$42,IF($B60="V02",Cadrage!$D$42,Cadrage!$E$42)))</f>
        <v>90</v>
      </c>
      <c r="AC60">
        <f>IF($A60="","",IF($F60="MBWAY",Cadrage!$K$34,IF($F60="ISCOM",Cadrage!$K$35,IF($F60="IPAC",Cadrage!$K$36,IF($F60="PIGIER",Cadrage!$K$37,Cadrage!$K$38)))))</f>
        <v>0.9</v>
      </c>
      <c r="AD60">
        <f t="shared" si="1"/>
        <v>0</v>
      </c>
      <c r="AE60">
        <f t="shared" si="2"/>
        <v>0</v>
      </c>
      <c r="AF60">
        <f t="shared" si="3"/>
        <v>34.174999985</v>
      </c>
      <c r="AG60">
        <f t="shared" si="4"/>
        <v>6807.7219</v>
      </c>
      <c r="AH60">
        <f t="shared" si="5"/>
        <v>232653.895830384</v>
      </c>
    </row>
    <row r="61" ht="14.25" customHeight="1">
      <c r="A61" t="str">
        <f>IF(Moteur!D61="","",Moteur!D61)</f>
        <v>PIGIER_LYO</v>
      </c>
      <c r="B61" t="str">
        <f>IF(Moteur!B61="","",Moteur!B61)</f>
        <v>V01</v>
      </c>
      <c r="C61" t="str">
        <f>IF(Moteur!F61="","",Moteur!F61)</f>
        <v>BAC_RH</v>
      </c>
      <c r="D61" t="str">
        <f>IF(Moteur!G61="","",Moteur!G61)</f>
        <v>B3</v>
      </c>
      <c r="E61" t="str">
        <f>IF(Moteur!H61="","",Moteur!H61)</f>
        <v>ALT</v>
      </c>
      <c r="F61" t="str">
        <f>IF(Moteur!E61="","",Moteur!E61)</f>
        <v>PIGIER</v>
      </c>
      <c r="G61">
        <f>IF($A61="","",_xlfn.SUMIFS(Socle!$H$1:$H$658,Socle!$C$1:$C$658,$A61,Socle!$D$1:$D$658,$C61,Socle!$E$1:$E$658,$D61,Socle!$F$1:$F$658,$E61,Socle!$G$1:$G$658,"2026"))</f>
        <v>0</v>
      </c>
      <c r="H61">
        <f>IF($A61="","",_xlfn.SUMIFS(Socle!$N$1:$N$658,Socle!$C$1:$C$658,$A61,Socle!$D$1:$D$658,$C61,Socle!$E$1:$E$658,$D61,Socle!$F$1:$F$658,$E61,Socle!$G$1:$G$658,"2026"))</f>
        <v>45</v>
      </c>
      <c r="I61">
        <f>IF($A61="","",_xlfn.SUMIFS(Socle!$P$1:$P$658,Socle!$C$1:$C$658,$A61,Socle!$D$1:$D$658,$C61,Socle!$E$1:$E$658,$D61,Socle!$F$1:$F$658,$E61,Socle!$G$1:$G$658,"2026"))</f>
        <v>7350</v>
      </c>
      <c r="J61">
        <f>IF($A61="","",_xlfn.SUMIFS(Socle!$W$1:$W$658,Socle!$C$1:$C$658,$A61,Socle!$D$1:$D$658,$C61,Socle!$E$1:$E$658,$D61,Socle!$F$1:$F$658,$E61,Socle!$G$1:$G$658,"2026"))</f>
        <v>0</v>
      </c>
      <c r="K61">
        <f>IF($A61="","",_xlfn.SUMIFS(Socle!$X$1:$X$658,Socle!$C$1:$C$658,$A61,Socle!$D$1:$D$658,$C61,Socle!$E$1:$E$658,$D61,Socle!$F$1:$F$658,$E61,Socle!$G$1:$G$658,"2026"))</f>
        <v>0</v>
      </c>
      <c r="L61">
        <f>IF($A61="","",_xlfn.SUMIFS(Socle!$Y$1:$Y$658,Socle!$C$1:$C$658,$A61,Socle!$D$1:$D$658,$C61,Socle!$E$1:$E$658,$D61,Socle!$F$1:$F$658,$E61,Socle!$G$1:$G$658,"2026"))</f>
        <v>0</v>
      </c>
      <c r="M61">
        <f>IF($A61="","",_xlfn.SUMIFS(Socle!$V$1:$V$658,Socle!$C$1:$C$658,$A61,Socle!$D$1:$D$658,$C61,Socle!$E$1:$E$658,$D61,Socle!$F$1:$F$658,$E61,Socle!$G$1:$G$658,"2026"))</f>
        <v>0.977777778</v>
      </c>
      <c r="N61">
        <f t="shared" si="0"/>
        <v>0</v>
      </c>
      <c r="O61">
        <f>IF($A61="","",_xlfn.SUMIFS(Campagne!$D$1:$D$141,Campagne!$C$1:$C$141,$A61))</f>
        <v>738</v>
      </c>
      <c r="P61">
        <f>IF($A61="","",_xlfn.SUMIFS(Campagne!$E$1:$E$141,Campagne!$C$1:$C$141,$A61))</f>
        <v>832</v>
      </c>
      <c r="Q61">
        <f>IF($A61="","",_xlfn.SUMIFS(Campagne!$F$1:$F$141,Campagne!$C$1:$C$141,$A61))</f>
        <v>1570</v>
      </c>
      <c r="R61">
        <f>IF($A61="","",_xlfn.SUMIFS(Campagne!$K$1:$K$141,Campagne!$C$1:$C$141,$A61))</f>
        <v>0.440450262</v>
      </c>
      <c r="S61">
        <f>IF($A61="","",_xlfn.SUMIFS(Campagne!$M$1:$M$141,Campagne!$C$1:$C$141,$A61))</f>
        <v>0.343045779</v>
      </c>
      <c r="T61">
        <f>IF($A61="","",_xlfn.SUMIFS(Pilotage!$K$19:$K$32,Pilotage!$A$19:$A$32,$A61)*_xlfn.SUMIFS(Pilotage!$J$19:$J$32,Pilotage!$A$19:$A$32,$A61)*(SUM(Pilotage!$K$19:$K$32)/SUMPRODUCT(Pilotage!$K$19:$K$32,Pilotage!$J$19:$J$32)))</f>
        <v>36612</v>
      </c>
      <c r="U61">
        <f>IF($A61="","",_xlfn.SUMIFS(Pilotage!$K$19:$K$32,Pilotage!$A$19:$A$32,$A61))</f>
        <v>36612</v>
      </c>
      <c r="V61">
        <f>IF($A61="","",IF($B61="V01",Cadrage!$C$23,IF($B61="V02",Cadrage!$D$23,Cadrage!$E$23)))</f>
        <v>0.08</v>
      </c>
      <c r="W61">
        <f>IF($A61="","",IF($B61="V01",Cadrage!$C$24,IF($B61="V02",Cadrage!$D$24,Cadrage!$E$24)))</f>
        <v>0.1</v>
      </c>
      <c r="X61">
        <f>IF($A61="","",IF($B61="V01",Cadrage!$C$25,IF($B61="V02",Cadrage!$D$25,Cadrage!$E$25)))</f>
        <v>0.0029</v>
      </c>
      <c r="Y61">
        <f>IF($A61="","",IF($B61="V01",Cadrage!$C$26,IF($B61="V02",Cadrage!$D$26,Cadrage!$E$26)))</f>
        <v>0.01</v>
      </c>
      <c r="Z61">
        <f>IF($A61="","",IF($B61="V01",Cadrage!$C$27,IF($B61="V02",Cadrage!$D$27,Cadrage!$E$27)))</f>
        <v>0.01</v>
      </c>
      <c r="AA61">
        <f>IF($A61="","",IF($B61="V01",Cadrage!$C$28,IF($B61="V02",Cadrage!$D$28,Cadrage!$E$28)))</f>
        <v>0.005</v>
      </c>
      <c r="AB61">
        <f>IF($A61="","",IF($B61="V01",Cadrage!$C$42,IF($B61="V02",Cadrage!$D$42,Cadrage!$E$42)))</f>
        <v>90</v>
      </c>
      <c r="AC61">
        <f>IF($A61="","",IF($F61="MBWAY",Cadrage!$K$34,IF($F61="ISCOM",Cadrage!$K$35,IF($F61="IPAC",Cadrage!$K$36,IF($F61="PIGIER",Cadrage!$K$37,Cadrage!$K$38)))))</f>
        <v>0.9</v>
      </c>
      <c r="AD61">
        <f t="shared" si="1"/>
        <v>0</v>
      </c>
      <c r="AE61">
        <f t="shared" si="2"/>
        <v>0</v>
      </c>
      <c r="AF61">
        <f t="shared" si="3"/>
        <v>44.22500001</v>
      </c>
      <c r="AG61">
        <f t="shared" si="4"/>
        <v>7369.1835</v>
      </c>
      <c r="AH61">
        <f t="shared" si="5"/>
        <v>325902.140361192</v>
      </c>
    </row>
    <row r="62" ht="14.25" customHeight="1">
      <c r="A62" t="str">
        <f>IF(Moteur!D62="","",Moteur!D62)</f>
        <v>MBWAY_PAR</v>
      </c>
      <c r="B62" t="str">
        <f>IF(Moteur!B62="","",Moteur!B62)</f>
        <v>V02</v>
      </c>
      <c r="C62" t="str">
        <f>IF(Moteur!F62="","",Moteur!F62)</f>
        <v>BAC_MGT</v>
      </c>
      <c r="D62" t="str">
        <f>IF(Moteur!G62="","",Moteur!G62)</f>
        <v>B1</v>
      </c>
      <c r="E62" t="str">
        <f>IF(Moteur!H62="","",Moteur!H62)</f>
        <v>INIT</v>
      </c>
      <c r="F62" t="str">
        <f>IF(Moteur!E62="","",Moteur!E62)</f>
        <v>MBWAY</v>
      </c>
      <c r="G62">
        <f>IF($A62="","",_xlfn.SUMIFS(Socle!$H$1:$H$658,Socle!$C$1:$C$658,$A62,Socle!$D$1:$D$658,$C62,Socle!$E$1:$E$658,$D62,Socle!$F$1:$F$658,$E62,Socle!$G$1:$G$658,"2026"))</f>
        <v>646</v>
      </c>
      <c r="H62">
        <f>IF($A62="","",_xlfn.SUMIFS(Socle!$N$1:$N$658,Socle!$C$1:$C$658,$A62,Socle!$D$1:$D$658,$C62,Socle!$E$1:$E$658,$D62,Socle!$F$1:$F$658,$E62,Socle!$G$1:$G$658,"2026"))</f>
        <v>0</v>
      </c>
      <c r="I62">
        <f>IF($A62="","",_xlfn.SUMIFS(Socle!$P$1:$P$658,Socle!$C$1:$C$658,$A62,Socle!$D$1:$D$658,$C62,Socle!$E$1:$E$658,$D62,Socle!$F$1:$F$658,$E62,Socle!$G$1:$G$658,"2026"))</f>
        <v>8400</v>
      </c>
      <c r="J62">
        <f>IF($A62="","",_xlfn.SUMIFS(Socle!$W$1:$W$658,Socle!$C$1:$C$658,$A62,Socle!$D$1:$D$658,$C62,Socle!$E$1:$E$658,$D62,Socle!$F$1:$F$658,$E62,Socle!$G$1:$G$658,"2026"))</f>
        <v>0.280185759</v>
      </c>
      <c r="K62">
        <f>IF($A62="","",_xlfn.SUMIFS(Socle!$X$1:$X$658,Socle!$C$1:$C$658,$A62,Socle!$D$1:$D$658,$C62,Socle!$E$1:$E$658,$D62,Socle!$F$1:$F$658,$E62,Socle!$G$1:$G$658,"2026"))</f>
        <v>0.718232044</v>
      </c>
      <c r="L62">
        <f>IF($A62="","",_xlfn.SUMIFS(Socle!$Y$1:$Y$658,Socle!$C$1:$C$658,$A62,Socle!$D$1:$D$658,$C62,Socle!$E$1:$E$658,$D62,Socle!$F$1:$F$658,$E62,Socle!$G$1:$G$658,"2026"))</f>
        <v>0.6</v>
      </c>
      <c r="M62">
        <f>IF($A62="","",_xlfn.SUMIFS(Socle!$V$1:$V$658,Socle!$C$1:$C$658,$A62,Socle!$D$1:$D$658,$C62,Socle!$E$1:$E$658,$D62,Socle!$F$1:$F$658,$E62,Socle!$G$1:$G$658,"2026"))</f>
        <v>0</v>
      </c>
      <c r="N62">
        <f t="shared" si="0"/>
        <v>1</v>
      </c>
      <c r="O62">
        <f>IF($A62="","",_xlfn.SUMIFS(Campagne!$D$1:$D$141,Campagne!$C$1:$C$141,$A62))</f>
        <v>711</v>
      </c>
      <c r="P62">
        <f>IF($A62="","",_xlfn.SUMIFS(Campagne!$E$1:$E$141,Campagne!$C$1:$C$141,$A62))</f>
        <v>1265</v>
      </c>
      <c r="Q62">
        <f>IF($A62="","",_xlfn.SUMIFS(Campagne!$F$1:$F$141,Campagne!$C$1:$C$141,$A62))</f>
        <v>1976</v>
      </c>
      <c r="R62">
        <f>IF($A62="","",_xlfn.SUMIFS(Campagne!$K$1:$K$141,Campagne!$C$1:$C$141,$A62))</f>
        <v>0.463595949</v>
      </c>
      <c r="S62">
        <f>IF($A62="","",_xlfn.SUMIFS(Campagne!$M$1:$M$141,Campagne!$C$1:$C$141,$A62))</f>
        <v>0.308054121</v>
      </c>
      <c r="T62">
        <f>IF($A62="","",_xlfn.SUMIFS(Pilotage!$K$19:$K$32,Pilotage!$A$19:$A$32,$A62)*_xlfn.SUMIFS(Pilotage!$J$19:$J$32,Pilotage!$A$19:$A$32,$A62)*(SUM(Pilotage!$K$19:$K$32)/SUMPRODUCT(Pilotage!$K$19:$K$32,Pilotage!$J$19:$J$32)))</f>
        <v>68291</v>
      </c>
      <c r="U62">
        <f>IF($A62="","",_xlfn.SUMIFS(Pilotage!$K$19:$K$32,Pilotage!$A$19:$A$32,$A62))</f>
        <v>68291</v>
      </c>
      <c r="V62">
        <f>IF($A62="","",IF($B62="V01",Cadrage!$C$23,IF($B62="V02",Cadrage!$D$23,Cadrage!$E$23)))</f>
        <v>0.15</v>
      </c>
      <c r="W62">
        <f>IF($A62="","",IF($B62="V01",Cadrage!$C$24,IF($B62="V02",Cadrage!$D$24,Cadrage!$E$24)))</f>
        <v>0.15</v>
      </c>
      <c r="X62">
        <f>IF($A62="","",IF($B62="V01",Cadrage!$C$25,IF($B62="V02",Cadrage!$D$25,Cadrage!$E$25)))</f>
        <v>0.035</v>
      </c>
      <c r="Y62">
        <f>IF($A62="","",IF($B62="V01",Cadrage!$C$26,IF($B62="V02",Cadrage!$D$26,Cadrage!$E$26)))</f>
        <v>0.03</v>
      </c>
      <c r="Z62">
        <f>IF($A62="","",IF($B62="V01",Cadrage!$C$27,IF($B62="V02",Cadrage!$D$27,Cadrage!$E$27)))</f>
        <v>0.025</v>
      </c>
      <c r="AA62">
        <f>IF($A62="","",IF($B62="V01",Cadrage!$C$28,IF($B62="V02",Cadrage!$D$28,Cadrage!$E$28)))</f>
        <v>0.015</v>
      </c>
      <c r="AB62">
        <f>IF($A62="","",IF($B62="V01",Cadrage!$C$42,IF($B62="V02",Cadrage!$D$42,Cadrage!$E$42)))</f>
        <v>90</v>
      </c>
      <c r="AC62">
        <f>IF($A62="","",IF($F62="MBWAY",Cadrage!$K$34,IF($F62="ISCOM",Cadrage!$K$35,IF($F62="IPAC",Cadrage!$K$36,IF($F62="PIGIER",Cadrage!$K$37,Cadrage!$K$38)))))</f>
        <v>1.2</v>
      </c>
      <c r="AD62">
        <f t="shared" si="1"/>
        <v>95.2280675152595</v>
      </c>
      <c r="AE62">
        <f t="shared" si="2"/>
        <v>95.2280675152595</v>
      </c>
      <c r="AF62">
        <f t="shared" si="3"/>
        <v>95.2280675152595</v>
      </c>
      <c r="AG62">
        <f t="shared" si="4"/>
        <v>8752.8</v>
      </c>
      <c r="AH62">
        <f t="shared" si="5"/>
        <v>842082.755423937</v>
      </c>
    </row>
    <row r="63" ht="14.25" customHeight="1">
      <c r="A63" t="str">
        <f>IF(Moteur!D63="","",Moteur!D63)</f>
        <v>MBWAY_PAR</v>
      </c>
      <c r="B63" t="str">
        <f>IF(Moteur!B63="","",Moteur!B63)</f>
        <v>V02</v>
      </c>
      <c r="C63" t="str">
        <f>IF(Moteur!F63="","",Moteur!F63)</f>
        <v>BAC_MGT</v>
      </c>
      <c r="D63" t="str">
        <f>IF(Moteur!G63="","",Moteur!G63)</f>
        <v>B2</v>
      </c>
      <c r="E63" t="str">
        <f>IF(Moteur!H63="","",Moteur!H63)</f>
        <v>ALT</v>
      </c>
      <c r="F63" t="str">
        <f>IF(Moteur!E63="","",Moteur!E63)</f>
        <v>MBWAY</v>
      </c>
      <c r="G63">
        <f>IF($A63="","",_xlfn.SUMIFS(Socle!$H$1:$H$658,Socle!$C$1:$C$658,$A63,Socle!$D$1:$D$658,$C63,Socle!$E$1:$E$658,$D63,Socle!$F$1:$F$658,$E63,Socle!$G$1:$G$658,"2026"))</f>
        <v>0</v>
      </c>
      <c r="H63">
        <f>IF($A63="","",_xlfn.SUMIFS(Socle!$N$1:$N$658,Socle!$C$1:$C$658,$A63,Socle!$D$1:$D$658,$C63,Socle!$E$1:$E$658,$D63,Socle!$F$1:$F$658,$E63,Socle!$G$1:$G$658,"2026"))</f>
        <v>78</v>
      </c>
      <c r="I63">
        <f>IF($A63="","",_xlfn.SUMIFS(Socle!$P$1:$P$658,Socle!$C$1:$C$658,$A63,Socle!$D$1:$D$658,$C63,Socle!$E$1:$E$658,$D63,Socle!$F$1:$F$658,$E63,Socle!$G$1:$G$658,"2026"))</f>
        <v>7840</v>
      </c>
      <c r="J63">
        <f>IF($A63="","",_xlfn.SUMIFS(Socle!$W$1:$W$658,Socle!$C$1:$C$658,$A63,Socle!$D$1:$D$658,$C63,Socle!$E$1:$E$658,$D63,Socle!$F$1:$F$658,$E63,Socle!$G$1:$G$658,"2026"))</f>
        <v>0</v>
      </c>
      <c r="K63">
        <f>IF($A63="","",_xlfn.SUMIFS(Socle!$X$1:$X$658,Socle!$C$1:$C$658,$A63,Socle!$D$1:$D$658,$C63,Socle!$E$1:$E$658,$D63,Socle!$F$1:$F$658,$E63,Socle!$G$1:$G$658,"2026"))</f>
        <v>0</v>
      </c>
      <c r="L63">
        <f>IF($A63="","",_xlfn.SUMIFS(Socle!$Y$1:$Y$658,Socle!$C$1:$C$658,$A63,Socle!$D$1:$D$658,$C63,Socle!$E$1:$E$658,$D63,Socle!$F$1:$F$658,$E63,Socle!$G$1:$G$658,"2026"))</f>
        <v>0</v>
      </c>
      <c r="M63">
        <f>IF($A63="","",_xlfn.SUMIFS(Socle!$V$1:$V$658,Socle!$C$1:$C$658,$A63,Socle!$D$1:$D$658,$C63,Socle!$E$1:$E$658,$D63,Socle!$F$1:$F$658,$E63,Socle!$G$1:$G$658,"2026"))</f>
        <v>0.974358974</v>
      </c>
      <c r="N63">
        <f t="shared" si="0"/>
        <v>0</v>
      </c>
      <c r="O63">
        <f>IF($A63="","",_xlfn.SUMIFS(Campagne!$D$1:$D$141,Campagne!$C$1:$C$141,$A63))</f>
        <v>711</v>
      </c>
      <c r="P63">
        <f>IF($A63="","",_xlfn.SUMIFS(Campagne!$E$1:$E$141,Campagne!$C$1:$C$141,$A63))</f>
        <v>1265</v>
      </c>
      <c r="Q63">
        <f>IF($A63="","",_xlfn.SUMIFS(Campagne!$F$1:$F$141,Campagne!$C$1:$C$141,$A63))</f>
        <v>1976</v>
      </c>
      <c r="R63">
        <f>IF($A63="","",_xlfn.SUMIFS(Campagne!$K$1:$K$141,Campagne!$C$1:$C$141,$A63))</f>
        <v>0.463595949</v>
      </c>
      <c r="S63">
        <f>IF($A63="","",_xlfn.SUMIFS(Campagne!$M$1:$M$141,Campagne!$C$1:$C$141,$A63))</f>
        <v>0.308054121</v>
      </c>
      <c r="T63">
        <f>IF($A63="","",_xlfn.SUMIFS(Pilotage!$K$19:$K$32,Pilotage!$A$19:$A$32,$A63)*_xlfn.SUMIFS(Pilotage!$J$19:$J$32,Pilotage!$A$19:$A$32,$A63)*(SUM(Pilotage!$K$19:$K$32)/SUMPRODUCT(Pilotage!$K$19:$K$32,Pilotage!$J$19:$J$32)))</f>
        <v>68291</v>
      </c>
      <c r="U63">
        <f>IF($A63="","",_xlfn.SUMIFS(Pilotage!$K$19:$K$32,Pilotage!$A$19:$A$32,$A63))</f>
        <v>68291</v>
      </c>
      <c r="V63">
        <f>IF($A63="","",IF($B63="V01",Cadrage!$C$23,IF($B63="V02",Cadrage!$D$23,Cadrage!$E$23)))</f>
        <v>0.15</v>
      </c>
      <c r="W63">
        <f>IF($A63="","",IF($B63="V01",Cadrage!$C$24,IF($B63="V02",Cadrage!$D$24,Cadrage!$E$24)))</f>
        <v>0.15</v>
      </c>
      <c r="X63">
        <f>IF($A63="","",IF($B63="V01",Cadrage!$C$25,IF($B63="V02",Cadrage!$D$25,Cadrage!$E$25)))</f>
        <v>0.035</v>
      </c>
      <c r="Y63">
        <f>IF($A63="","",IF($B63="V01",Cadrage!$C$26,IF($B63="V02",Cadrage!$D$26,Cadrage!$E$26)))</f>
        <v>0.03</v>
      </c>
      <c r="Z63">
        <f>IF($A63="","",IF($B63="V01",Cadrage!$C$27,IF($B63="V02",Cadrage!$D$27,Cadrage!$E$27)))</f>
        <v>0.025</v>
      </c>
      <c r="AA63">
        <f>IF($A63="","",IF($B63="V01",Cadrage!$C$28,IF($B63="V02",Cadrage!$D$28,Cadrage!$E$28)))</f>
        <v>0.015</v>
      </c>
      <c r="AB63">
        <f>IF($A63="","",IF($B63="V01",Cadrage!$C$42,IF($B63="V02",Cadrage!$D$42,Cadrage!$E$42)))</f>
        <v>90</v>
      </c>
      <c r="AC63">
        <f>IF($A63="","",IF($F63="MBWAY",Cadrage!$K$34,IF($F63="ISCOM",Cadrage!$K$35,IF($F63="IPAC",Cadrage!$K$36,IF($F63="PIGIER",Cadrage!$K$37,Cadrage!$K$38)))))</f>
        <v>1.2</v>
      </c>
      <c r="AD63">
        <f t="shared" si="1"/>
        <v>0</v>
      </c>
      <c r="AE63">
        <f t="shared" si="2"/>
        <v>0</v>
      </c>
      <c r="AF63">
        <f t="shared" si="3"/>
        <v>77.169999972</v>
      </c>
      <c r="AG63">
        <f t="shared" si="4"/>
        <v>8169.28</v>
      </c>
      <c r="AH63">
        <f t="shared" si="5"/>
        <v>630423.33737126</v>
      </c>
    </row>
    <row r="64" ht="14.25" customHeight="1">
      <c r="A64" t="str">
        <f>IF(Moteur!D64="","",Moteur!D64)</f>
        <v>MBWAY_PAR</v>
      </c>
      <c r="B64" t="str">
        <f>IF(Moteur!B64="","",Moteur!B64)</f>
        <v>V02</v>
      </c>
      <c r="C64" t="str">
        <f>IF(Moteur!F64="","",Moteur!F64)</f>
        <v>BAC_MGT</v>
      </c>
      <c r="D64" t="str">
        <f>IF(Moteur!G64="","",Moteur!G64)</f>
        <v>B3</v>
      </c>
      <c r="E64" t="str">
        <f>IF(Moteur!H64="","",Moteur!H64)</f>
        <v>ALT</v>
      </c>
      <c r="F64" t="str">
        <f>IF(Moteur!E64="","",Moteur!E64)</f>
        <v>MBWAY</v>
      </c>
      <c r="G64">
        <f>IF($A64="","",_xlfn.SUMIFS(Socle!$H$1:$H$658,Socle!$C$1:$C$658,$A64,Socle!$D$1:$D$658,$C64,Socle!$E$1:$E$658,$D64,Socle!$F$1:$F$658,$E64,Socle!$G$1:$G$658,"2026"))</f>
        <v>0</v>
      </c>
      <c r="H64">
        <f>IF($A64="","",_xlfn.SUMIFS(Socle!$N$1:$N$658,Socle!$C$1:$C$658,$A64,Socle!$D$1:$D$658,$C64,Socle!$E$1:$E$658,$D64,Socle!$F$1:$F$658,$E64,Socle!$G$1:$G$658,"2026"))</f>
        <v>76</v>
      </c>
      <c r="I64">
        <f>IF($A64="","",_xlfn.SUMIFS(Socle!$P$1:$P$658,Socle!$C$1:$C$658,$A64,Socle!$D$1:$D$658,$C64,Socle!$E$1:$E$658,$D64,Socle!$F$1:$F$658,$E64,Socle!$G$1:$G$658,"2026"))</f>
        <v>7840</v>
      </c>
      <c r="J64">
        <f>IF($A64="","",_xlfn.SUMIFS(Socle!$W$1:$W$658,Socle!$C$1:$C$658,$A64,Socle!$D$1:$D$658,$C64,Socle!$E$1:$E$658,$D64,Socle!$F$1:$F$658,$E64,Socle!$G$1:$G$658,"2026"))</f>
        <v>0</v>
      </c>
      <c r="K64">
        <f>IF($A64="","",_xlfn.SUMIFS(Socle!$X$1:$X$658,Socle!$C$1:$C$658,$A64,Socle!$D$1:$D$658,$C64,Socle!$E$1:$E$658,$D64,Socle!$F$1:$F$658,$E64,Socle!$G$1:$G$658,"2026"))</f>
        <v>0</v>
      </c>
      <c r="L64">
        <f>IF($A64="","",_xlfn.SUMIFS(Socle!$Y$1:$Y$658,Socle!$C$1:$C$658,$A64,Socle!$D$1:$D$658,$C64,Socle!$E$1:$E$658,$D64,Socle!$F$1:$F$658,$E64,Socle!$G$1:$G$658,"2026"))</f>
        <v>0</v>
      </c>
      <c r="M64">
        <f>IF($A64="","",_xlfn.SUMIFS(Socle!$V$1:$V$658,Socle!$C$1:$C$658,$A64,Socle!$D$1:$D$658,$C64,Socle!$E$1:$E$658,$D64,Socle!$F$1:$F$658,$E64,Socle!$G$1:$G$658,"2026"))</f>
        <v>0.973684211</v>
      </c>
      <c r="N64">
        <f t="shared" si="0"/>
        <v>0</v>
      </c>
      <c r="O64">
        <f>IF($A64="","",_xlfn.SUMIFS(Campagne!$D$1:$D$141,Campagne!$C$1:$C$141,$A64))</f>
        <v>711</v>
      </c>
      <c r="P64">
        <f>IF($A64="","",_xlfn.SUMIFS(Campagne!$E$1:$E$141,Campagne!$C$1:$C$141,$A64))</f>
        <v>1265</v>
      </c>
      <c r="Q64">
        <f>IF($A64="","",_xlfn.SUMIFS(Campagne!$F$1:$F$141,Campagne!$C$1:$C$141,$A64))</f>
        <v>1976</v>
      </c>
      <c r="R64">
        <f>IF($A64="","",_xlfn.SUMIFS(Campagne!$K$1:$K$141,Campagne!$C$1:$C$141,$A64))</f>
        <v>0.463595949</v>
      </c>
      <c r="S64">
        <f>IF($A64="","",_xlfn.SUMIFS(Campagne!$M$1:$M$141,Campagne!$C$1:$C$141,$A64))</f>
        <v>0.308054121</v>
      </c>
      <c r="T64">
        <f>IF($A64="","",_xlfn.SUMIFS(Pilotage!$K$19:$K$32,Pilotage!$A$19:$A$32,$A64)*_xlfn.SUMIFS(Pilotage!$J$19:$J$32,Pilotage!$A$19:$A$32,$A64)*(SUM(Pilotage!$K$19:$K$32)/SUMPRODUCT(Pilotage!$K$19:$K$32,Pilotage!$J$19:$J$32)))</f>
        <v>68291</v>
      </c>
      <c r="U64">
        <f>IF($A64="","",_xlfn.SUMIFS(Pilotage!$K$19:$K$32,Pilotage!$A$19:$A$32,$A64))</f>
        <v>68291</v>
      </c>
      <c r="V64">
        <f>IF($A64="","",IF($B64="V01",Cadrage!$C$23,IF($B64="V02",Cadrage!$D$23,Cadrage!$E$23)))</f>
        <v>0.15</v>
      </c>
      <c r="W64">
        <f>IF($A64="","",IF($B64="V01",Cadrage!$C$24,IF($B64="V02",Cadrage!$D$24,Cadrage!$E$24)))</f>
        <v>0.15</v>
      </c>
      <c r="X64">
        <f>IF($A64="","",IF($B64="V01",Cadrage!$C$25,IF($B64="V02",Cadrage!$D$25,Cadrage!$E$25)))</f>
        <v>0.035</v>
      </c>
      <c r="Y64">
        <f>IF($A64="","",IF($B64="V01",Cadrage!$C$26,IF($B64="V02",Cadrage!$D$26,Cadrage!$E$26)))</f>
        <v>0.03</v>
      </c>
      <c r="Z64">
        <f>IF($A64="","",IF($B64="V01",Cadrage!$C$27,IF($B64="V02",Cadrage!$D$27,Cadrage!$E$27)))</f>
        <v>0.025</v>
      </c>
      <c r="AA64">
        <f>IF($A64="","",IF($B64="V01",Cadrage!$C$28,IF($B64="V02",Cadrage!$D$28,Cadrage!$E$28)))</f>
        <v>0.015</v>
      </c>
      <c r="AB64">
        <f>IF($A64="","",IF($B64="V01",Cadrage!$C$42,IF($B64="V02",Cadrage!$D$42,Cadrage!$E$42)))</f>
        <v>90</v>
      </c>
      <c r="AC64">
        <f>IF($A64="","",IF($F64="MBWAY",Cadrage!$K$34,IF($F64="ISCOM",Cadrage!$K$35,IF($F64="IPAC",Cadrage!$K$36,IF($F64="PIGIER",Cadrage!$K$37,Cadrage!$K$38)))))</f>
        <v>1.2</v>
      </c>
      <c r="AD64">
        <f t="shared" si="1"/>
        <v>0</v>
      </c>
      <c r="AE64">
        <f t="shared" si="2"/>
        <v>0</v>
      </c>
      <c r="AF64">
        <f t="shared" si="3"/>
        <v>75.140000036</v>
      </c>
      <c r="AG64">
        <f t="shared" si="4"/>
        <v>8169.28</v>
      </c>
      <c r="AH64">
        <f t="shared" si="5"/>
        <v>613839.699494094</v>
      </c>
    </row>
    <row r="65" ht="14.25" customHeight="1">
      <c r="A65" t="str">
        <f>IF(Moteur!D65="","",Moteur!D65)</f>
        <v>MBWAY_PAR</v>
      </c>
      <c r="B65" t="str">
        <f>IF(Moteur!B65="","",Moteur!B65)</f>
        <v>V02</v>
      </c>
      <c r="C65" t="str">
        <f>IF(Moteur!F65="","",Moteur!F65)</f>
        <v>MAS_MGT</v>
      </c>
      <c r="D65" t="str">
        <f>IF(Moteur!G65="","",Moteur!G65)</f>
        <v>M1</v>
      </c>
      <c r="E65" t="str">
        <f>IF(Moteur!H65="","",Moteur!H65)</f>
        <v>ALT</v>
      </c>
      <c r="F65" t="str">
        <f>IF(Moteur!E65="","",Moteur!E65)</f>
        <v>MBWAY</v>
      </c>
      <c r="G65">
        <f>IF($A65="","",_xlfn.SUMIFS(Socle!$H$1:$H$658,Socle!$C$1:$C$658,$A65,Socle!$D$1:$D$658,$C65,Socle!$E$1:$E$658,$D65,Socle!$F$1:$F$658,$E65,Socle!$G$1:$G$658,"2026"))</f>
        <v>1330</v>
      </c>
      <c r="H65">
        <f>IF($A65="","",_xlfn.SUMIFS(Socle!$N$1:$N$658,Socle!$C$1:$C$658,$A65,Socle!$D$1:$D$658,$C65,Socle!$E$1:$E$658,$D65,Socle!$F$1:$F$658,$E65,Socle!$G$1:$G$658,"2026"))</f>
        <v>0</v>
      </c>
      <c r="I65">
        <f>IF($A65="","",_xlfn.SUMIFS(Socle!$P$1:$P$658,Socle!$C$1:$C$658,$A65,Socle!$D$1:$D$658,$C65,Socle!$E$1:$E$658,$D65,Socle!$F$1:$F$658,$E65,Socle!$G$1:$G$658,"2026"))</f>
        <v>8400</v>
      </c>
      <c r="J65">
        <f>IF($A65="","",_xlfn.SUMIFS(Socle!$W$1:$W$658,Socle!$C$1:$C$658,$A65,Socle!$D$1:$D$658,$C65,Socle!$E$1:$E$658,$D65,Socle!$F$1:$F$658,$E65,Socle!$G$1:$G$658,"2026"))</f>
        <v>0.2</v>
      </c>
      <c r="K65">
        <f>IF($A65="","",_xlfn.SUMIFS(Socle!$X$1:$X$658,Socle!$C$1:$C$658,$A65,Socle!$D$1:$D$658,$C65,Socle!$E$1:$E$658,$D65,Socle!$F$1:$F$658,$E65,Socle!$G$1:$G$658,"2026"))</f>
        <v>0.69924812</v>
      </c>
      <c r="L65">
        <f>IF($A65="","",_xlfn.SUMIFS(Socle!$Y$1:$Y$658,Socle!$C$1:$C$658,$A65,Socle!$D$1:$D$658,$C65,Socle!$E$1:$E$658,$D65,Socle!$F$1:$F$658,$E65,Socle!$G$1:$G$658,"2026"))</f>
        <v>0.419354839</v>
      </c>
      <c r="M65">
        <f>IF($A65="","",_xlfn.SUMIFS(Socle!$V$1:$V$658,Socle!$C$1:$C$658,$A65,Socle!$D$1:$D$658,$C65,Socle!$E$1:$E$658,$D65,Socle!$F$1:$F$658,$E65,Socle!$G$1:$G$658,"2026"))</f>
        <v>0</v>
      </c>
      <c r="N65">
        <f t="shared" si="0"/>
        <v>1</v>
      </c>
      <c r="O65">
        <f>IF($A65="","",_xlfn.SUMIFS(Campagne!$D$1:$D$141,Campagne!$C$1:$C$141,$A65))</f>
        <v>711</v>
      </c>
      <c r="P65">
        <f>IF($A65="","",_xlfn.SUMIFS(Campagne!$E$1:$E$141,Campagne!$C$1:$C$141,$A65))</f>
        <v>1265</v>
      </c>
      <c r="Q65">
        <f>IF($A65="","",_xlfn.SUMIFS(Campagne!$F$1:$F$141,Campagne!$C$1:$C$141,$A65))</f>
        <v>1976</v>
      </c>
      <c r="R65">
        <f>IF($A65="","",_xlfn.SUMIFS(Campagne!$K$1:$K$141,Campagne!$C$1:$C$141,$A65))</f>
        <v>0.463595949</v>
      </c>
      <c r="S65">
        <f>IF($A65="","",_xlfn.SUMIFS(Campagne!$M$1:$M$141,Campagne!$C$1:$C$141,$A65))</f>
        <v>0.308054121</v>
      </c>
      <c r="T65">
        <f>IF($A65="","",_xlfn.SUMIFS(Pilotage!$K$19:$K$32,Pilotage!$A$19:$A$32,$A65)*_xlfn.SUMIFS(Pilotage!$J$19:$J$32,Pilotage!$A$19:$A$32,$A65)*(SUM(Pilotage!$K$19:$K$32)/SUMPRODUCT(Pilotage!$K$19:$K$32,Pilotage!$J$19:$J$32)))</f>
        <v>68291</v>
      </c>
      <c r="U65">
        <f>IF($A65="","",_xlfn.SUMIFS(Pilotage!$K$19:$K$32,Pilotage!$A$19:$A$32,$A65))</f>
        <v>68291</v>
      </c>
      <c r="V65">
        <f>IF($A65="","",IF($B65="V01",Cadrage!$C$23,IF($B65="V02",Cadrage!$D$23,Cadrage!$E$23)))</f>
        <v>0.15</v>
      </c>
      <c r="W65">
        <f>IF($A65="","",IF($B65="V01",Cadrage!$C$24,IF($B65="V02",Cadrage!$D$24,Cadrage!$E$24)))</f>
        <v>0.15</v>
      </c>
      <c r="X65">
        <f>IF($A65="","",IF($B65="V01",Cadrage!$C$25,IF($B65="V02",Cadrage!$D$25,Cadrage!$E$25)))</f>
        <v>0.035</v>
      </c>
      <c r="Y65">
        <f>IF($A65="","",IF($B65="V01",Cadrage!$C$26,IF($B65="V02",Cadrage!$D$26,Cadrage!$E$26)))</f>
        <v>0.03</v>
      </c>
      <c r="Z65">
        <f>IF($A65="","",IF($B65="V01",Cadrage!$C$27,IF($B65="V02",Cadrage!$D$27,Cadrage!$E$27)))</f>
        <v>0.025</v>
      </c>
      <c r="AA65">
        <f>IF($A65="","",IF($B65="V01",Cadrage!$C$28,IF($B65="V02",Cadrage!$D$28,Cadrage!$E$28)))</f>
        <v>0.015</v>
      </c>
      <c r="AB65">
        <f>IF($A65="","",IF($B65="V01",Cadrage!$C$42,IF($B65="V02",Cadrage!$D$42,Cadrage!$E$42)))</f>
        <v>90</v>
      </c>
      <c r="AC65">
        <f>IF($A65="","",IF($F65="MBWAY",Cadrage!$K$34,IF($F65="ISCOM",Cadrage!$K$35,IF($F65="IPAC",Cadrage!$K$36,IF($F65="PIGIER",Cadrage!$K$37,Cadrage!$K$38)))))</f>
        <v>1.2</v>
      </c>
      <c r="AD65">
        <f t="shared" si="1"/>
        <v>100.625141000565</v>
      </c>
      <c r="AE65">
        <f t="shared" si="2"/>
        <v>100.625141000565</v>
      </c>
      <c r="AF65">
        <f t="shared" si="3"/>
        <v>100.625141000565</v>
      </c>
      <c r="AG65">
        <f t="shared" si="4"/>
        <v>8752.8</v>
      </c>
      <c r="AH65">
        <f t="shared" si="5"/>
        <v>889807.996839796</v>
      </c>
    </row>
    <row r="66" ht="14.25" customHeight="1">
      <c r="A66" t="str">
        <f>IF(Moteur!D66="","",Moteur!D66)</f>
        <v>MBWAY_PAR</v>
      </c>
      <c r="B66" t="str">
        <f>IF(Moteur!B66="","",Moteur!B66)</f>
        <v>V02</v>
      </c>
      <c r="C66" t="str">
        <f>IF(Moteur!F66="","",Moteur!F66)</f>
        <v>MAS_MGT</v>
      </c>
      <c r="D66" t="str">
        <f>IF(Moteur!G66="","",Moteur!G66)</f>
        <v>M2</v>
      </c>
      <c r="E66" t="str">
        <f>IF(Moteur!H66="","",Moteur!H66)</f>
        <v>ALT</v>
      </c>
      <c r="F66" t="str">
        <f>IF(Moteur!E66="","",Moteur!E66)</f>
        <v>MBWAY</v>
      </c>
      <c r="G66">
        <f>IF($A66="","",_xlfn.SUMIFS(Socle!$H$1:$H$658,Socle!$C$1:$C$658,$A66,Socle!$D$1:$D$658,$C66,Socle!$E$1:$E$658,$D66,Socle!$F$1:$F$658,$E66,Socle!$G$1:$G$658,"2026"))</f>
        <v>0</v>
      </c>
      <c r="H66">
        <f>IF($A66="","",_xlfn.SUMIFS(Socle!$N$1:$N$658,Socle!$C$1:$C$658,$A66,Socle!$D$1:$D$658,$C66,Socle!$E$1:$E$658,$D66,Socle!$F$1:$F$658,$E66,Socle!$G$1:$G$658,"2026"))</f>
        <v>78</v>
      </c>
      <c r="I66">
        <f>IF($A66="","",_xlfn.SUMIFS(Socle!$P$1:$P$658,Socle!$C$1:$C$658,$A66,Socle!$D$1:$D$658,$C66,Socle!$E$1:$E$658,$D66,Socle!$F$1:$F$658,$E66,Socle!$G$1:$G$658,"2026"))</f>
        <v>8400</v>
      </c>
      <c r="J66">
        <f>IF($A66="","",_xlfn.SUMIFS(Socle!$W$1:$W$658,Socle!$C$1:$C$658,$A66,Socle!$D$1:$D$658,$C66,Socle!$E$1:$E$658,$D66,Socle!$F$1:$F$658,$E66,Socle!$G$1:$G$658,"2026"))</f>
        <v>0</v>
      </c>
      <c r="K66">
        <f>IF($A66="","",_xlfn.SUMIFS(Socle!$X$1:$X$658,Socle!$C$1:$C$658,$A66,Socle!$D$1:$D$658,$C66,Socle!$E$1:$E$658,$D66,Socle!$F$1:$F$658,$E66,Socle!$G$1:$G$658,"2026"))</f>
        <v>0</v>
      </c>
      <c r="L66">
        <f>IF($A66="","",_xlfn.SUMIFS(Socle!$Y$1:$Y$658,Socle!$C$1:$C$658,$A66,Socle!$D$1:$D$658,$C66,Socle!$E$1:$E$658,$D66,Socle!$F$1:$F$658,$E66,Socle!$G$1:$G$658,"2026"))</f>
        <v>0</v>
      </c>
      <c r="M66">
        <f>IF($A66="","",_xlfn.SUMIFS(Socle!$V$1:$V$658,Socle!$C$1:$C$658,$A66,Socle!$D$1:$D$658,$C66,Socle!$E$1:$E$658,$D66,Socle!$F$1:$F$658,$E66,Socle!$G$1:$G$658,"2026"))</f>
        <v>0.974358974</v>
      </c>
      <c r="N66">
        <f t="shared" si="0"/>
        <v>0</v>
      </c>
      <c r="O66">
        <f>IF($A66="","",_xlfn.SUMIFS(Campagne!$D$1:$D$141,Campagne!$C$1:$C$141,$A66))</f>
        <v>711</v>
      </c>
      <c r="P66">
        <f>IF($A66="","",_xlfn.SUMIFS(Campagne!$E$1:$E$141,Campagne!$C$1:$C$141,$A66))</f>
        <v>1265</v>
      </c>
      <c r="Q66">
        <f>IF($A66="","",_xlfn.SUMIFS(Campagne!$F$1:$F$141,Campagne!$C$1:$C$141,$A66))</f>
        <v>1976</v>
      </c>
      <c r="R66">
        <f>IF($A66="","",_xlfn.SUMIFS(Campagne!$K$1:$K$141,Campagne!$C$1:$C$141,$A66))</f>
        <v>0.463595949</v>
      </c>
      <c r="S66">
        <f>IF($A66="","",_xlfn.SUMIFS(Campagne!$M$1:$M$141,Campagne!$C$1:$C$141,$A66))</f>
        <v>0.308054121</v>
      </c>
      <c r="T66">
        <f>IF($A66="","",_xlfn.SUMIFS(Pilotage!$K$19:$K$32,Pilotage!$A$19:$A$32,$A66)*_xlfn.SUMIFS(Pilotage!$J$19:$J$32,Pilotage!$A$19:$A$32,$A66)*(SUM(Pilotage!$K$19:$K$32)/SUMPRODUCT(Pilotage!$K$19:$K$32,Pilotage!$J$19:$J$32)))</f>
        <v>68291</v>
      </c>
      <c r="U66">
        <f>IF($A66="","",_xlfn.SUMIFS(Pilotage!$K$19:$K$32,Pilotage!$A$19:$A$32,$A66))</f>
        <v>68291</v>
      </c>
      <c r="V66">
        <f>IF($A66="","",IF($B66="V01",Cadrage!$C$23,IF($B66="V02",Cadrage!$D$23,Cadrage!$E$23)))</f>
        <v>0.15</v>
      </c>
      <c r="W66">
        <f>IF($A66="","",IF($B66="V01",Cadrage!$C$24,IF($B66="V02",Cadrage!$D$24,Cadrage!$E$24)))</f>
        <v>0.15</v>
      </c>
      <c r="X66">
        <f>IF($A66="","",IF($B66="V01",Cadrage!$C$25,IF($B66="V02",Cadrage!$D$25,Cadrage!$E$25)))</f>
        <v>0.035</v>
      </c>
      <c r="Y66">
        <f>IF($A66="","",IF($B66="V01",Cadrage!$C$26,IF($B66="V02",Cadrage!$D$26,Cadrage!$E$26)))</f>
        <v>0.03</v>
      </c>
      <c r="Z66">
        <f>IF($A66="","",IF($B66="V01",Cadrage!$C$27,IF($B66="V02",Cadrage!$D$27,Cadrage!$E$27)))</f>
        <v>0.025</v>
      </c>
      <c r="AA66">
        <f>IF($A66="","",IF($B66="V01",Cadrage!$C$28,IF($B66="V02",Cadrage!$D$28,Cadrage!$E$28)))</f>
        <v>0.015</v>
      </c>
      <c r="AB66">
        <f>IF($A66="","",IF($B66="V01",Cadrage!$C$42,IF($B66="V02",Cadrage!$D$42,Cadrage!$E$42)))</f>
        <v>90</v>
      </c>
      <c r="AC66">
        <f>IF($A66="","",IF($F66="MBWAY",Cadrage!$K$34,IF($F66="ISCOM",Cadrage!$K$35,IF($F66="IPAC",Cadrage!$K$36,IF($F66="PIGIER",Cadrage!$K$37,Cadrage!$K$38)))))</f>
        <v>1.2</v>
      </c>
      <c r="AD66">
        <f t="shared" si="1"/>
        <v>0</v>
      </c>
      <c r="AE66">
        <f t="shared" si="2"/>
        <v>0</v>
      </c>
      <c r="AF66">
        <f t="shared" si="3"/>
        <v>77.169999972</v>
      </c>
      <c r="AG66">
        <f t="shared" si="4"/>
        <v>8752.8</v>
      </c>
      <c r="AH66">
        <f t="shared" si="5"/>
        <v>675453.575754922</v>
      </c>
    </row>
    <row r="67" ht="14.25" customHeight="1">
      <c r="A67" t="str">
        <f>IF(Moteur!D67="","",Moteur!D67)</f>
        <v>MBWAY_LYO</v>
      </c>
      <c r="B67" t="str">
        <f>IF(Moteur!B67="","",Moteur!B67)</f>
        <v>V02</v>
      </c>
      <c r="C67" t="str">
        <f>IF(Moteur!F67="","",Moteur!F67)</f>
        <v>BAC_MGT</v>
      </c>
      <c r="D67" t="str">
        <f>IF(Moteur!G67="","",Moteur!G67)</f>
        <v>B1</v>
      </c>
      <c r="E67" t="str">
        <f>IF(Moteur!H67="","",Moteur!H67)</f>
        <v>INIT</v>
      </c>
      <c r="F67" t="str">
        <f>IF(Moteur!E67="","",Moteur!E67)</f>
        <v>MBWAY</v>
      </c>
      <c r="G67">
        <f>IF($A67="","",_xlfn.SUMIFS(Socle!$H$1:$H$658,Socle!$C$1:$C$658,$A67,Socle!$D$1:$D$658,$C67,Socle!$E$1:$E$658,$D67,Socle!$F$1:$F$658,$E67,Socle!$G$1:$G$658,"2026"))</f>
        <v>546</v>
      </c>
      <c r="H67">
        <f>IF($A67="","",_xlfn.SUMIFS(Socle!$N$1:$N$658,Socle!$C$1:$C$658,$A67,Socle!$D$1:$D$658,$C67,Socle!$E$1:$E$658,$D67,Socle!$F$1:$F$658,$E67,Socle!$G$1:$G$658,"2026"))</f>
        <v>0</v>
      </c>
      <c r="I67">
        <f>IF($A67="","",_xlfn.SUMIFS(Socle!$P$1:$P$658,Socle!$C$1:$C$658,$A67,Socle!$D$1:$D$658,$C67,Socle!$E$1:$E$658,$D67,Socle!$F$1:$F$658,$E67,Socle!$G$1:$G$658,"2026"))</f>
        <v>7875</v>
      </c>
      <c r="J67">
        <f>IF($A67="","",_xlfn.SUMIFS(Socle!$W$1:$W$658,Socle!$C$1:$C$658,$A67,Socle!$D$1:$D$658,$C67,Socle!$E$1:$E$658,$D67,Socle!$F$1:$F$658,$E67,Socle!$G$1:$G$658,"2026"))</f>
        <v>0.28021978</v>
      </c>
      <c r="K67">
        <f>IF($A67="","",_xlfn.SUMIFS(Socle!$X$1:$X$658,Socle!$C$1:$C$658,$A67,Socle!$D$1:$D$658,$C67,Socle!$E$1:$E$658,$D67,Socle!$F$1:$F$658,$E67,Socle!$G$1:$G$658,"2026"))</f>
        <v>0.718954248</v>
      </c>
      <c r="L67">
        <f>IF($A67="","",_xlfn.SUMIFS(Socle!$Y$1:$Y$658,Socle!$C$1:$C$658,$A67,Socle!$D$1:$D$658,$C67,Socle!$E$1:$E$658,$D67,Socle!$F$1:$F$658,$E67,Socle!$G$1:$G$658,"2026"))</f>
        <v>0.6</v>
      </c>
      <c r="M67">
        <f>IF($A67="","",_xlfn.SUMIFS(Socle!$V$1:$V$658,Socle!$C$1:$C$658,$A67,Socle!$D$1:$D$658,$C67,Socle!$E$1:$E$658,$D67,Socle!$F$1:$F$658,$E67,Socle!$G$1:$G$658,"2026"))</f>
        <v>0</v>
      </c>
      <c r="N67">
        <f t="shared" si="0"/>
        <v>1</v>
      </c>
      <c r="O67">
        <f>IF($A67="","",_xlfn.SUMIFS(Campagne!$D$1:$D$141,Campagne!$C$1:$C$141,$A67))</f>
        <v>716</v>
      </c>
      <c r="P67">
        <f>IF($A67="","",_xlfn.SUMIFS(Campagne!$E$1:$E$141,Campagne!$C$1:$C$141,$A67))</f>
        <v>950</v>
      </c>
      <c r="Q67">
        <f>IF($A67="","",_xlfn.SUMIFS(Campagne!$F$1:$F$141,Campagne!$C$1:$C$141,$A67))</f>
        <v>1666</v>
      </c>
      <c r="R67">
        <f>IF($A67="","",_xlfn.SUMIFS(Campagne!$K$1:$K$141,Campagne!$C$1:$C$141,$A67))</f>
        <v>0.503912411</v>
      </c>
      <c r="S67">
        <f>IF($A67="","",_xlfn.SUMIFS(Campagne!$M$1:$M$141,Campagne!$C$1:$C$141,$A67))</f>
        <v>0.326593761</v>
      </c>
      <c r="T67">
        <f>IF($A67="","",_xlfn.SUMIFS(Pilotage!$K$19:$K$32,Pilotage!$A$19:$A$32,$A67)*_xlfn.SUMIFS(Pilotage!$J$19:$J$32,Pilotage!$A$19:$A$32,$A67)*(SUM(Pilotage!$K$19:$K$32)/SUMPRODUCT(Pilotage!$K$19:$K$32,Pilotage!$J$19:$J$32)))</f>
        <v>41783</v>
      </c>
      <c r="U67">
        <f>IF($A67="","",_xlfn.SUMIFS(Pilotage!$K$19:$K$32,Pilotage!$A$19:$A$32,$A67))</f>
        <v>41783</v>
      </c>
      <c r="V67">
        <f>IF($A67="","",IF($B67="V01",Cadrage!$C$23,IF($B67="V02",Cadrage!$D$23,Cadrage!$E$23)))</f>
        <v>0.15</v>
      </c>
      <c r="W67">
        <f>IF($A67="","",IF($B67="V01",Cadrage!$C$24,IF($B67="V02",Cadrage!$D$24,Cadrage!$E$24)))</f>
        <v>0.15</v>
      </c>
      <c r="X67">
        <f>IF($A67="","",IF($B67="V01",Cadrage!$C$25,IF($B67="V02",Cadrage!$D$25,Cadrage!$E$25)))</f>
        <v>0.035</v>
      </c>
      <c r="Y67">
        <f>IF($A67="","",IF($B67="V01",Cadrage!$C$26,IF($B67="V02",Cadrage!$D$26,Cadrage!$E$26)))</f>
        <v>0.03</v>
      </c>
      <c r="Z67">
        <f>IF($A67="","",IF($B67="V01",Cadrage!$C$27,IF($B67="V02",Cadrage!$D$27,Cadrage!$E$27)))</f>
        <v>0.025</v>
      </c>
      <c r="AA67">
        <f>IF($A67="","",IF($B67="V01",Cadrage!$C$28,IF($B67="V02",Cadrage!$D$28,Cadrage!$E$28)))</f>
        <v>0.015</v>
      </c>
      <c r="AB67">
        <f>IF($A67="","",IF($B67="V01",Cadrage!$C$42,IF($B67="V02",Cadrage!$D$42,Cadrage!$E$42)))</f>
        <v>90</v>
      </c>
      <c r="AC67">
        <f>IF($A67="","",IF($F67="MBWAY",Cadrage!$K$34,IF($F67="ISCOM",Cadrage!$K$35,IF($F67="IPAC",Cadrage!$K$36,IF($F67="PIGIER",Cadrage!$K$37,Cadrage!$K$38)))))</f>
        <v>1.2</v>
      </c>
      <c r="AD67">
        <f t="shared" si="1"/>
        <v>80.8047451685359</v>
      </c>
      <c r="AE67">
        <f t="shared" si="2"/>
        <v>80.8047451685359</v>
      </c>
      <c r="AF67">
        <f t="shared" si="3"/>
        <v>80.8047451685359</v>
      </c>
      <c r="AG67">
        <f t="shared" si="4"/>
        <v>8205.75</v>
      </c>
      <c r="AH67">
        <f t="shared" si="5"/>
        <v>670335.964731882</v>
      </c>
    </row>
    <row r="68" ht="14.25" customHeight="1">
      <c r="A68" t="str">
        <f>IF(Moteur!D68="","",Moteur!D68)</f>
        <v>MBWAY_LYO</v>
      </c>
      <c r="B68" t="str">
        <f>IF(Moteur!B68="","",Moteur!B68)</f>
        <v>V02</v>
      </c>
      <c r="C68" t="str">
        <f>IF(Moteur!F68="","",Moteur!F68)</f>
        <v>BAC_MGT</v>
      </c>
      <c r="D68" t="str">
        <f>IF(Moteur!G68="","",Moteur!G68)</f>
        <v>B2</v>
      </c>
      <c r="E68" t="str">
        <f>IF(Moteur!H68="","",Moteur!H68)</f>
        <v>ALT</v>
      </c>
      <c r="F68" t="str">
        <f>IF(Moteur!E68="","",Moteur!E68)</f>
        <v>MBWAY</v>
      </c>
      <c r="G68">
        <f>IF($A68="","",_xlfn.SUMIFS(Socle!$H$1:$H$658,Socle!$C$1:$C$658,$A68,Socle!$D$1:$D$658,$C68,Socle!$E$1:$E$658,$D68,Socle!$F$1:$F$658,$E68,Socle!$G$1:$G$658,"2026"))</f>
        <v>0</v>
      </c>
      <c r="H68">
        <f>IF($A68="","",_xlfn.SUMIFS(Socle!$N$1:$N$658,Socle!$C$1:$C$658,$A68,Socle!$D$1:$D$658,$C68,Socle!$E$1:$E$658,$D68,Socle!$F$1:$F$658,$E68,Socle!$G$1:$G$658,"2026"))</f>
        <v>66</v>
      </c>
      <c r="I68">
        <f>IF($A68="","",_xlfn.SUMIFS(Socle!$P$1:$P$658,Socle!$C$1:$C$658,$A68,Socle!$D$1:$D$658,$C68,Socle!$E$1:$E$658,$D68,Socle!$F$1:$F$658,$E68,Socle!$G$1:$G$658,"2026"))</f>
        <v>7350</v>
      </c>
      <c r="J68">
        <f>IF($A68="","",_xlfn.SUMIFS(Socle!$W$1:$W$658,Socle!$C$1:$C$658,$A68,Socle!$D$1:$D$658,$C68,Socle!$E$1:$E$658,$D68,Socle!$F$1:$F$658,$E68,Socle!$G$1:$G$658,"2026"))</f>
        <v>0</v>
      </c>
      <c r="K68">
        <f>IF($A68="","",_xlfn.SUMIFS(Socle!$X$1:$X$658,Socle!$C$1:$C$658,$A68,Socle!$D$1:$D$658,$C68,Socle!$E$1:$E$658,$D68,Socle!$F$1:$F$658,$E68,Socle!$G$1:$G$658,"2026"))</f>
        <v>0</v>
      </c>
      <c r="L68">
        <f>IF($A68="","",_xlfn.SUMIFS(Socle!$Y$1:$Y$658,Socle!$C$1:$C$658,$A68,Socle!$D$1:$D$658,$C68,Socle!$E$1:$E$658,$D68,Socle!$F$1:$F$658,$E68,Socle!$G$1:$G$658,"2026"))</f>
        <v>0</v>
      </c>
      <c r="M68">
        <f>IF($A68="","",_xlfn.SUMIFS(Socle!$V$1:$V$658,Socle!$C$1:$C$658,$A68,Socle!$D$1:$D$658,$C68,Socle!$E$1:$E$658,$D68,Socle!$F$1:$F$658,$E68,Socle!$G$1:$G$658,"2026"))</f>
        <v>0.96969697</v>
      </c>
      <c r="N68">
        <f t="shared" si="0"/>
        <v>0</v>
      </c>
      <c r="O68">
        <f>IF($A68="","",_xlfn.SUMIFS(Campagne!$D$1:$D$141,Campagne!$C$1:$C$141,$A68))</f>
        <v>716</v>
      </c>
      <c r="P68">
        <f>IF($A68="","",_xlfn.SUMIFS(Campagne!$E$1:$E$141,Campagne!$C$1:$C$141,$A68))</f>
        <v>950</v>
      </c>
      <c r="Q68">
        <f>IF($A68="","",_xlfn.SUMIFS(Campagne!$F$1:$F$141,Campagne!$C$1:$C$141,$A68))</f>
        <v>1666</v>
      </c>
      <c r="R68">
        <f>IF($A68="","",_xlfn.SUMIFS(Campagne!$K$1:$K$141,Campagne!$C$1:$C$141,$A68))</f>
        <v>0.503912411</v>
      </c>
      <c r="S68">
        <f>IF($A68="","",_xlfn.SUMIFS(Campagne!$M$1:$M$141,Campagne!$C$1:$C$141,$A68))</f>
        <v>0.326593761</v>
      </c>
      <c r="T68">
        <f>IF($A68="","",_xlfn.SUMIFS(Pilotage!$K$19:$K$32,Pilotage!$A$19:$A$32,$A68)*_xlfn.SUMIFS(Pilotage!$J$19:$J$32,Pilotage!$A$19:$A$32,$A68)*(SUM(Pilotage!$K$19:$K$32)/SUMPRODUCT(Pilotage!$K$19:$K$32,Pilotage!$J$19:$J$32)))</f>
        <v>41783</v>
      </c>
      <c r="U68">
        <f>IF($A68="","",_xlfn.SUMIFS(Pilotage!$K$19:$K$32,Pilotage!$A$19:$A$32,$A68))</f>
        <v>41783</v>
      </c>
      <c r="V68">
        <f>IF($A68="","",IF($B68="V01",Cadrage!$C$23,IF($B68="V02",Cadrage!$D$23,Cadrage!$E$23)))</f>
        <v>0.15</v>
      </c>
      <c r="W68">
        <f>IF($A68="","",IF($B68="V01",Cadrage!$C$24,IF($B68="V02",Cadrage!$D$24,Cadrage!$E$24)))</f>
        <v>0.15</v>
      </c>
      <c r="X68">
        <f>IF($A68="","",IF($B68="V01",Cadrage!$C$25,IF($B68="V02",Cadrage!$D$25,Cadrage!$E$25)))</f>
        <v>0.035</v>
      </c>
      <c r="Y68">
        <f>IF($A68="","",IF($B68="V01",Cadrage!$C$26,IF($B68="V02",Cadrage!$D$26,Cadrage!$E$26)))</f>
        <v>0.03</v>
      </c>
      <c r="Z68">
        <f>IF($A68="","",IF($B68="V01",Cadrage!$C$27,IF($B68="V02",Cadrage!$D$27,Cadrage!$E$27)))</f>
        <v>0.025</v>
      </c>
      <c r="AA68">
        <f>IF($A68="","",IF($B68="V01",Cadrage!$C$28,IF($B68="V02",Cadrage!$D$28,Cadrage!$E$28)))</f>
        <v>0.015</v>
      </c>
      <c r="AB68">
        <f>IF($A68="","",IF($B68="V01",Cadrage!$C$42,IF($B68="V02",Cadrage!$D$42,Cadrage!$E$42)))</f>
        <v>90</v>
      </c>
      <c r="AC68">
        <f>IF($A68="","",IF($F68="MBWAY",Cadrage!$K$34,IF($F68="ISCOM",Cadrage!$K$35,IF($F68="IPAC",Cadrage!$K$36,IF($F68="PIGIER",Cadrage!$K$37,Cadrage!$K$38)))))</f>
        <v>1.2</v>
      </c>
      <c r="AD68">
        <f t="shared" si="1"/>
        <v>0</v>
      </c>
      <c r="AE68">
        <f t="shared" si="2"/>
        <v>0</v>
      </c>
      <c r="AF68">
        <f t="shared" si="3"/>
        <v>64.99000002</v>
      </c>
      <c r="AG68">
        <f t="shared" si="4"/>
        <v>7658.7</v>
      </c>
      <c r="AH68">
        <f t="shared" si="5"/>
        <v>497738.913153174</v>
      </c>
    </row>
    <row r="69" ht="14.25" customHeight="1">
      <c r="A69" t="str">
        <f>IF(Moteur!D69="","",Moteur!D69)</f>
        <v>MBWAY_LYO</v>
      </c>
      <c r="B69" t="str">
        <f>IF(Moteur!B69="","",Moteur!B69)</f>
        <v>V02</v>
      </c>
      <c r="C69" t="str">
        <f>IF(Moteur!F69="","",Moteur!F69)</f>
        <v>BAC_MGT</v>
      </c>
      <c r="D69" t="str">
        <f>IF(Moteur!G69="","",Moteur!G69)</f>
        <v>B3</v>
      </c>
      <c r="E69" t="str">
        <f>IF(Moteur!H69="","",Moteur!H69)</f>
        <v>ALT</v>
      </c>
      <c r="F69" t="str">
        <f>IF(Moteur!E69="","",Moteur!E69)</f>
        <v>MBWAY</v>
      </c>
      <c r="G69">
        <f>IF($A69="","",_xlfn.SUMIFS(Socle!$H$1:$H$658,Socle!$C$1:$C$658,$A69,Socle!$D$1:$D$658,$C69,Socle!$E$1:$E$658,$D69,Socle!$F$1:$F$658,$E69,Socle!$G$1:$G$658,"2026"))</f>
        <v>0</v>
      </c>
      <c r="H69">
        <f>IF($A69="","",_xlfn.SUMIFS(Socle!$N$1:$N$658,Socle!$C$1:$C$658,$A69,Socle!$D$1:$D$658,$C69,Socle!$E$1:$E$658,$D69,Socle!$F$1:$F$658,$E69,Socle!$G$1:$G$658,"2026"))</f>
        <v>64</v>
      </c>
      <c r="I69">
        <f>IF($A69="","",_xlfn.SUMIFS(Socle!$P$1:$P$658,Socle!$C$1:$C$658,$A69,Socle!$D$1:$D$658,$C69,Socle!$E$1:$E$658,$D69,Socle!$F$1:$F$658,$E69,Socle!$G$1:$G$658,"2026"))</f>
        <v>7350</v>
      </c>
      <c r="J69">
        <f>IF($A69="","",_xlfn.SUMIFS(Socle!$W$1:$W$658,Socle!$C$1:$C$658,$A69,Socle!$D$1:$D$658,$C69,Socle!$E$1:$E$658,$D69,Socle!$F$1:$F$658,$E69,Socle!$G$1:$G$658,"2026"))</f>
        <v>0</v>
      </c>
      <c r="K69">
        <f>IF($A69="","",_xlfn.SUMIFS(Socle!$X$1:$X$658,Socle!$C$1:$C$658,$A69,Socle!$D$1:$D$658,$C69,Socle!$E$1:$E$658,$D69,Socle!$F$1:$F$658,$E69,Socle!$G$1:$G$658,"2026"))</f>
        <v>0</v>
      </c>
      <c r="L69">
        <f>IF($A69="","",_xlfn.SUMIFS(Socle!$Y$1:$Y$658,Socle!$C$1:$C$658,$A69,Socle!$D$1:$D$658,$C69,Socle!$E$1:$E$658,$D69,Socle!$F$1:$F$658,$E69,Socle!$G$1:$G$658,"2026"))</f>
        <v>0</v>
      </c>
      <c r="M69">
        <f>IF($A69="","",_xlfn.SUMIFS(Socle!$V$1:$V$658,Socle!$C$1:$C$658,$A69,Socle!$D$1:$D$658,$C69,Socle!$E$1:$E$658,$D69,Socle!$F$1:$F$658,$E69,Socle!$G$1:$G$658,"2026"))</f>
        <v>0.984375</v>
      </c>
      <c r="N69">
        <f t="shared" si="0"/>
        <v>0</v>
      </c>
      <c r="O69">
        <f>IF($A69="","",_xlfn.SUMIFS(Campagne!$D$1:$D$141,Campagne!$C$1:$C$141,$A69))</f>
        <v>716</v>
      </c>
      <c r="P69">
        <f>IF($A69="","",_xlfn.SUMIFS(Campagne!$E$1:$E$141,Campagne!$C$1:$C$141,$A69))</f>
        <v>950</v>
      </c>
      <c r="Q69">
        <f>IF($A69="","",_xlfn.SUMIFS(Campagne!$F$1:$F$141,Campagne!$C$1:$C$141,$A69))</f>
        <v>1666</v>
      </c>
      <c r="R69">
        <f>IF($A69="","",_xlfn.SUMIFS(Campagne!$K$1:$K$141,Campagne!$C$1:$C$141,$A69))</f>
        <v>0.503912411</v>
      </c>
      <c r="S69">
        <f>IF($A69="","",_xlfn.SUMIFS(Campagne!$M$1:$M$141,Campagne!$C$1:$C$141,$A69))</f>
        <v>0.326593761</v>
      </c>
      <c r="T69">
        <f>IF($A69="","",_xlfn.SUMIFS(Pilotage!$K$19:$K$32,Pilotage!$A$19:$A$32,$A69)*_xlfn.SUMIFS(Pilotage!$J$19:$J$32,Pilotage!$A$19:$A$32,$A69)*(SUM(Pilotage!$K$19:$K$32)/SUMPRODUCT(Pilotage!$K$19:$K$32,Pilotage!$J$19:$J$32)))</f>
        <v>41783</v>
      </c>
      <c r="U69">
        <f>IF($A69="","",_xlfn.SUMIFS(Pilotage!$K$19:$K$32,Pilotage!$A$19:$A$32,$A69))</f>
        <v>41783</v>
      </c>
      <c r="V69">
        <f>IF($A69="","",IF($B69="V01",Cadrage!$C$23,IF($B69="V02",Cadrage!$D$23,Cadrage!$E$23)))</f>
        <v>0.15</v>
      </c>
      <c r="W69">
        <f>IF($A69="","",IF($B69="V01",Cadrage!$C$24,IF($B69="V02",Cadrage!$D$24,Cadrage!$E$24)))</f>
        <v>0.15</v>
      </c>
      <c r="X69">
        <f>IF($A69="","",IF($B69="V01",Cadrage!$C$25,IF($B69="V02",Cadrage!$D$25,Cadrage!$E$25)))</f>
        <v>0.035</v>
      </c>
      <c r="Y69">
        <f>IF($A69="","",IF($B69="V01",Cadrage!$C$26,IF($B69="V02",Cadrage!$D$26,Cadrage!$E$26)))</f>
        <v>0.03</v>
      </c>
      <c r="Z69">
        <f>IF($A69="","",IF($B69="V01",Cadrage!$C$27,IF($B69="V02",Cadrage!$D$27,Cadrage!$E$27)))</f>
        <v>0.025</v>
      </c>
      <c r="AA69">
        <f>IF($A69="","",IF($B69="V01",Cadrage!$C$28,IF($B69="V02",Cadrage!$D$28,Cadrage!$E$28)))</f>
        <v>0.015</v>
      </c>
      <c r="AB69">
        <f>IF($A69="","",IF($B69="V01",Cadrage!$C$42,IF($B69="V02",Cadrage!$D$42,Cadrage!$E$42)))</f>
        <v>90</v>
      </c>
      <c r="AC69">
        <f>IF($A69="","",IF($F69="MBWAY",Cadrage!$K$34,IF($F69="ISCOM",Cadrage!$K$35,IF($F69="IPAC",Cadrage!$K$36,IF($F69="PIGIER",Cadrage!$K$37,Cadrage!$K$38)))))</f>
        <v>1.2</v>
      </c>
      <c r="AD69">
        <f t="shared" si="1"/>
        <v>0</v>
      </c>
      <c r="AE69">
        <f t="shared" si="2"/>
        <v>0</v>
      </c>
      <c r="AF69">
        <f t="shared" si="3"/>
        <v>63.96</v>
      </c>
      <c r="AG69">
        <f t="shared" si="4"/>
        <v>7658.7</v>
      </c>
      <c r="AH69">
        <f t="shared" si="5"/>
        <v>489850.452</v>
      </c>
    </row>
    <row r="70" ht="14.25" customHeight="1">
      <c r="A70" t="str">
        <f>IF(Moteur!D70="","",Moteur!D70)</f>
        <v>MBWAY_LYO</v>
      </c>
      <c r="B70" t="str">
        <f>IF(Moteur!B70="","",Moteur!B70)</f>
        <v>V02</v>
      </c>
      <c r="C70" t="str">
        <f>IF(Moteur!F70="","",Moteur!F70)</f>
        <v>MAS_MGT</v>
      </c>
      <c r="D70" t="str">
        <f>IF(Moteur!G70="","",Moteur!G70)</f>
        <v>M1</v>
      </c>
      <c r="E70" t="str">
        <f>IF(Moteur!H70="","",Moteur!H70)</f>
        <v>ALT</v>
      </c>
      <c r="F70" t="str">
        <f>IF(Moteur!E70="","",Moteur!E70)</f>
        <v>MBWAY</v>
      </c>
      <c r="G70">
        <f>IF($A70="","",_xlfn.SUMIFS(Socle!$H$1:$H$658,Socle!$C$1:$C$658,$A70,Socle!$D$1:$D$658,$C70,Socle!$E$1:$E$658,$D70,Socle!$F$1:$F$658,$E70,Socle!$G$1:$G$658,"2026"))</f>
        <v>1120</v>
      </c>
      <c r="H70">
        <f>IF($A70="","",_xlfn.SUMIFS(Socle!$N$1:$N$658,Socle!$C$1:$C$658,$A70,Socle!$D$1:$D$658,$C70,Socle!$E$1:$E$658,$D70,Socle!$F$1:$F$658,$E70,Socle!$G$1:$G$658,"2026"))</f>
        <v>0</v>
      </c>
      <c r="I70">
        <f>IF($A70="","",_xlfn.SUMIFS(Socle!$P$1:$P$658,Socle!$C$1:$C$658,$A70,Socle!$D$1:$D$658,$C70,Socle!$E$1:$E$658,$D70,Socle!$F$1:$F$658,$E70,Socle!$G$1:$G$658,"2026"))</f>
        <v>7875</v>
      </c>
      <c r="J70">
        <f>IF($A70="","",_xlfn.SUMIFS(Socle!$W$1:$W$658,Socle!$C$1:$C$658,$A70,Socle!$D$1:$D$658,$C70,Socle!$E$1:$E$658,$D70,Socle!$F$1:$F$658,$E70,Socle!$G$1:$G$658,"2026"))</f>
        <v>0.2</v>
      </c>
      <c r="K70">
        <f>IF($A70="","",_xlfn.SUMIFS(Socle!$X$1:$X$658,Socle!$C$1:$C$658,$A70,Socle!$D$1:$D$658,$C70,Socle!$E$1:$E$658,$D70,Socle!$F$1:$F$658,$E70,Socle!$G$1:$G$658,"2026"))</f>
        <v>0.700892857</v>
      </c>
      <c r="L70">
        <f>IF($A70="","",_xlfn.SUMIFS(Socle!$Y$1:$Y$658,Socle!$C$1:$C$658,$A70,Socle!$D$1:$D$658,$C70,Socle!$E$1:$E$658,$D70,Socle!$F$1:$F$658,$E70,Socle!$G$1:$G$658,"2026"))</f>
        <v>0.420382166</v>
      </c>
      <c r="M70">
        <f>IF($A70="","",_xlfn.SUMIFS(Socle!$V$1:$V$658,Socle!$C$1:$C$658,$A70,Socle!$D$1:$D$658,$C70,Socle!$E$1:$E$658,$D70,Socle!$F$1:$F$658,$E70,Socle!$G$1:$G$658,"2026"))</f>
        <v>0</v>
      </c>
      <c r="N70">
        <f t="shared" si="0"/>
        <v>1</v>
      </c>
      <c r="O70">
        <f>IF($A70="","",_xlfn.SUMIFS(Campagne!$D$1:$D$141,Campagne!$C$1:$C$141,$A70))</f>
        <v>716</v>
      </c>
      <c r="P70">
        <f>IF($A70="","",_xlfn.SUMIFS(Campagne!$E$1:$E$141,Campagne!$C$1:$C$141,$A70))</f>
        <v>950</v>
      </c>
      <c r="Q70">
        <f>IF($A70="","",_xlfn.SUMIFS(Campagne!$F$1:$F$141,Campagne!$C$1:$C$141,$A70))</f>
        <v>1666</v>
      </c>
      <c r="R70">
        <f>IF($A70="","",_xlfn.SUMIFS(Campagne!$K$1:$K$141,Campagne!$C$1:$C$141,$A70))</f>
        <v>0.503912411</v>
      </c>
      <c r="S70">
        <f>IF($A70="","",_xlfn.SUMIFS(Campagne!$M$1:$M$141,Campagne!$C$1:$C$141,$A70))</f>
        <v>0.326593761</v>
      </c>
      <c r="T70">
        <f>IF($A70="","",_xlfn.SUMIFS(Pilotage!$K$19:$K$32,Pilotage!$A$19:$A$32,$A70)*_xlfn.SUMIFS(Pilotage!$J$19:$J$32,Pilotage!$A$19:$A$32,$A70)*(SUM(Pilotage!$K$19:$K$32)/SUMPRODUCT(Pilotage!$K$19:$K$32,Pilotage!$J$19:$J$32)))</f>
        <v>41783</v>
      </c>
      <c r="U70">
        <f>IF($A70="","",_xlfn.SUMIFS(Pilotage!$K$19:$K$32,Pilotage!$A$19:$A$32,$A70))</f>
        <v>41783</v>
      </c>
      <c r="V70">
        <f>IF($A70="","",IF($B70="V01",Cadrage!$C$23,IF($B70="V02",Cadrage!$D$23,Cadrage!$E$23)))</f>
        <v>0.15</v>
      </c>
      <c r="W70">
        <f>IF($A70="","",IF($B70="V01",Cadrage!$C$24,IF($B70="V02",Cadrage!$D$24,Cadrage!$E$24)))</f>
        <v>0.15</v>
      </c>
      <c r="X70">
        <f>IF($A70="","",IF($B70="V01",Cadrage!$C$25,IF($B70="V02",Cadrage!$D$25,Cadrage!$E$25)))</f>
        <v>0.035</v>
      </c>
      <c r="Y70">
        <f>IF($A70="","",IF($B70="V01",Cadrage!$C$26,IF($B70="V02",Cadrage!$D$26,Cadrage!$E$26)))</f>
        <v>0.03</v>
      </c>
      <c r="Z70">
        <f>IF($A70="","",IF($B70="V01",Cadrage!$C$27,IF($B70="V02",Cadrage!$D$27,Cadrage!$E$27)))</f>
        <v>0.025</v>
      </c>
      <c r="AA70">
        <f>IF($A70="","",IF($B70="V01",Cadrage!$C$28,IF($B70="V02",Cadrage!$D$28,Cadrage!$E$28)))</f>
        <v>0.015</v>
      </c>
      <c r="AB70">
        <f>IF($A70="","",IF($B70="V01",Cadrage!$C$42,IF($B70="V02",Cadrage!$D$42,Cadrage!$E$42)))</f>
        <v>90</v>
      </c>
      <c r="AC70">
        <f>IF($A70="","",IF($F70="MBWAY",Cadrage!$K$34,IF($F70="ISCOM",Cadrage!$K$35,IF($F70="IPAC",Cadrage!$K$36,IF($F70="PIGIER",Cadrage!$K$37,Cadrage!$K$38)))))</f>
        <v>1.2</v>
      </c>
      <c r="AD70">
        <f t="shared" si="1"/>
        <v>85.3736365688042</v>
      </c>
      <c r="AE70">
        <f t="shared" si="2"/>
        <v>85.3736365688042</v>
      </c>
      <c r="AF70">
        <f t="shared" si="3"/>
        <v>85.3736365688042</v>
      </c>
      <c r="AG70">
        <f t="shared" si="4"/>
        <v>8205.75</v>
      </c>
      <c r="AH70">
        <f t="shared" si="5"/>
        <v>708238.345565657</v>
      </c>
    </row>
    <row r="71" ht="14.25" customHeight="1">
      <c r="A71" t="str">
        <f>IF(Moteur!D71="","",Moteur!D71)</f>
        <v>MBWAY_LYO</v>
      </c>
      <c r="B71" t="str">
        <f>IF(Moteur!B71="","",Moteur!B71)</f>
        <v>V02</v>
      </c>
      <c r="C71" t="str">
        <f>IF(Moteur!F71="","",Moteur!F71)</f>
        <v>MAS_MGT</v>
      </c>
      <c r="D71" t="str">
        <f>IF(Moteur!G71="","",Moteur!G71)</f>
        <v>M2</v>
      </c>
      <c r="E71" t="str">
        <f>IF(Moteur!H71="","",Moteur!H71)</f>
        <v>ALT</v>
      </c>
      <c r="F71" t="str">
        <f>IF(Moteur!E71="","",Moteur!E71)</f>
        <v>MBWAY</v>
      </c>
      <c r="G71">
        <f>IF($A71="","",_xlfn.SUMIFS(Socle!$H$1:$H$658,Socle!$C$1:$C$658,$A71,Socle!$D$1:$D$658,$C71,Socle!$E$1:$E$658,$D71,Socle!$F$1:$F$658,$E71,Socle!$G$1:$G$658,"2026"))</f>
        <v>0</v>
      </c>
      <c r="H71">
        <f>IF($A71="","",_xlfn.SUMIFS(Socle!$N$1:$N$658,Socle!$C$1:$C$658,$A71,Socle!$D$1:$D$658,$C71,Socle!$E$1:$E$658,$D71,Socle!$F$1:$F$658,$E71,Socle!$G$1:$G$658,"2026"))</f>
        <v>66</v>
      </c>
      <c r="I71">
        <f>IF($A71="","",_xlfn.SUMIFS(Socle!$P$1:$P$658,Socle!$C$1:$C$658,$A71,Socle!$D$1:$D$658,$C71,Socle!$E$1:$E$658,$D71,Socle!$F$1:$F$658,$E71,Socle!$G$1:$G$658,"2026"))</f>
        <v>7875</v>
      </c>
      <c r="J71">
        <f>IF($A71="","",_xlfn.SUMIFS(Socle!$W$1:$W$658,Socle!$C$1:$C$658,$A71,Socle!$D$1:$D$658,$C71,Socle!$E$1:$E$658,$D71,Socle!$F$1:$F$658,$E71,Socle!$G$1:$G$658,"2026"))</f>
        <v>0</v>
      </c>
      <c r="K71">
        <f>IF($A71="","",_xlfn.SUMIFS(Socle!$X$1:$X$658,Socle!$C$1:$C$658,$A71,Socle!$D$1:$D$658,$C71,Socle!$E$1:$E$658,$D71,Socle!$F$1:$F$658,$E71,Socle!$G$1:$G$658,"2026"))</f>
        <v>0</v>
      </c>
      <c r="L71">
        <f>IF($A71="","",_xlfn.SUMIFS(Socle!$Y$1:$Y$658,Socle!$C$1:$C$658,$A71,Socle!$D$1:$D$658,$C71,Socle!$E$1:$E$658,$D71,Socle!$F$1:$F$658,$E71,Socle!$G$1:$G$658,"2026"))</f>
        <v>0</v>
      </c>
      <c r="M71">
        <f>IF($A71="","",_xlfn.SUMIFS(Socle!$V$1:$V$658,Socle!$C$1:$C$658,$A71,Socle!$D$1:$D$658,$C71,Socle!$E$1:$E$658,$D71,Socle!$F$1:$F$658,$E71,Socle!$G$1:$G$658,"2026"))</f>
        <v>0.984848485</v>
      </c>
      <c r="N71">
        <f t="shared" si="0"/>
        <v>0</v>
      </c>
      <c r="O71">
        <f>IF($A71="","",_xlfn.SUMIFS(Campagne!$D$1:$D$141,Campagne!$C$1:$C$141,$A71))</f>
        <v>716</v>
      </c>
      <c r="P71">
        <f>IF($A71="","",_xlfn.SUMIFS(Campagne!$E$1:$E$141,Campagne!$C$1:$C$141,$A71))</f>
        <v>950</v>
      </c>
      <c r="Q71">
        <f>IF($A71="","",_xlfn.SUMIFS(Campagne!$F$1:$F$141,Campagne!$C$1:$C$141,$A71))</f>
        <v>1666</v>
      </c>
      <c r="R71">
        <f>IF($A71="","",_xlfn.SUMIFS(Campagne!$K$1:$K$141,Campagne!$C$1:$C$141,$A71))</f>
        <v>0.503912411</v>
      </c>
      <c r="S71">
        <f>IF($A71="","",_xlfn.SUMIFS(Campagne!$M$1:$M$141,Campagne!$C$1:$C$141,$A71))</f>
        <v>0.326593761</v>
      </c>
      <c r="T71">
        <f>IF($A71="","",_xlfn.SUMIFS(Pilotage!$K$19:$K$32,Pilotage!$A$19:$A$32,$A71)*_xlfn.SUMIFS(Pilotage!$J$19:$J$32,Pilotage!$A$19:$A$32,$A71)*(SUM(Pilotage!$K$19:$K$32)/SUMPRODUCT(Pilotage!$K$19:$K$32,Pilotage!$J$19:$J$32)))</f>
        <v>41783</v>
      </c>
      <c r="U71">
        <f>IF($A71="","",_xlfn.SUMIFS(Pilotage!$K$19:$K$32,Pilotage!$A$19:$A$32,$A71))</f>
        <v>41783</v>
      </c>
      <c r="V71">
        <f>IF($A71="","",IF($B71="V01",Cadrage!$C$23,IF($B71="V02",Cadrage!$D$23,Cadrage!$E$23)))</f>
        <v>0.15</v>
      </c>
      <c r="W71">
        <f>IF($A71="","",IF($B71="V01",Cadrage!$C$24,IF($B71="V02",Cadrage!$D$24,Cadrage!$E$24)))</f>
        <v>0.15</v>
      </c>
      <c r="X71">
        <f>IF($A71="","",IF($B71="V01",Cadrage!$C$25,IF($B71="V02",Cadrage!$D$25,Cadrage!$E$25)))</f>
        <v>0.035</v>
      </c>
      <c r="Y71">
        <f>IF($A71="","",IF($B71="V01",Cadrage!$C$26,IF($B71="V02",Cadrage!$D$26,Cadrage!$E$26)))</f>
        <v>0.03</v>
      </c>
      <c r="Z71">
        <f>IF($A71="","",IF($B71="V01",Cadrage!$C$27,IF($B71="V02",Cadrage!$D$27,Cadrage!$E$27)))</f>
        <v>0.025</v>
      </c>
      <c r="AA71">
        <f>IF($A71="","",IF($B71="V01",Cadrage!$C$28,IF($B71="V02",Cadrage!$D$28,Cadrage!$E$28)))</f>
        <v>0.015</v>
      </c>
      <c r="AB71">
        <f>IF($A71="","",IF($B71="V01",Cadrage!$C$42,IF($B71="V02",Cadrage!$D$42,Cadrage!$E$42)))</f>
        <v>90</v>
      </c>
      <c r="AC71">
        <f>IF($A71="","",IF($F71="MBWAY",Cadrage!$K$34,IF($F71="ISCOM",Cadrage!$K$35,IF($F71="IPAC",Cadrage!$K$36,IF($F71="PIGIER",Cadrage!$K$37,Cadrage!$K$38)))))</f>
        <v>1.2</v>
      </c>
      <c r="AD71">
        <f t="shared" si="1"/>
        <v>0</v>
      </c>
      <c r="AE71">
        <f t="shared" si="2"/>
        <v>0</v>
      </c>
      <c r="AF71">
        <f t="shared" si="3"/>
        <v>65.99000001</v>
      </c>
      <c r="AG71">
        <f t="shared" si="4"/>
        <v>8205.75</v>
      </c>
      <c r="AH71">
        <f t="shared" si="5"/>
        <v>541497.442582058</v>
      </c>
    </row>
    <row r="72" ht="14.25" customHeight="1">
      <c r="A72" t="str">
        <f>IF(Moteur!D72="","",Moteur!D72)</f>
        <v>MBWAY_NAN</v>
      </c>
      <c r="B72" t="str">
        <f>IF(Moteur!B72="","",Moteur!B72)</f>
        <v>V02</v>
      </c>
      <c r="C72" t="str">
        <f>IF(Moteur!F72="","",Moteur!F72)</f>
        <v>BAC_MGT</v>
      </c>
      <c r="D72" t="str">
        <f>IF(Moteur!G72="","",Moteur!G72)</f>
        <v>B1</v>
      </c>
      <c r="E72" t="str">
        <f>IF(Moteur!H72="","",Moteur!H72)</f>
        <v>INIT</v>
      </c>
      <c r="F72" t="str">
        <f>IF(Moteur!E72="","",Moteur!E72)</f>
        <v>MBWAY</v>
      </c>
      <c r="G72">
        <f>IF($A72="","",_xlfn.SUMIFS(Socle!$H$1:$H$658,Socle!$C$1:$C$658,$A72,Socle!$D$1:$D$658,$C72,Socle!$E$1:$E$658,$D72,Socle!$F$1:$F$658,$E72,Socle!$G$1:$G$658,"2026"))</f>
        <v>496</v>
      </c>
      <c r="H72">
        <f>IF($A72="","",_xlfn.SUMIFS(Socle!$N$1:$N$658,Socle!$C$1:$C$658,$A72,Socle!$D$1:$D$658,$C72,Socle!$E$1:$E$658,$D72,Socle!$F$1:$F$658,$E72,Socle!$G$1:$G$658,"2026"))</f>
        <v>0</v>
      </c>
      <c r="I72">
        <f>IF($A72="","",_xlfn.SUMIFS(Socle!$P$1:$P$658,Socle!$C$1:$C$658,$A72,Socle!$D$1:$D$658,$C72,Socle!$E$1:$E$658,$D72,Socle!$F$1:$F$658,$E72,Socle!$G$1:$G$658,"2026"))</f>
        <v>7500</v>
      </c>
      <c r="J72">
        <f>IF($A72="","",_xlfn.SUMIFS(Socle!$W$1:$W$658,Socle!$C$1:$C$658,$A72,Socle!$D$1:$D$658,$C72,Socle!$E$1:$E$658,$D72,Socle!$F$1:$F$658,$E72,Socle!$G$1:$G$658,"2026"))</f>
        <v>0.280241935</v>
      </c>
      <c r="K72">
        <f>IF($A72="","",_xlfn.SUMIFS(Socle!$X$1:$X$658,Socle!$C$1:$C$658,$A72,Socle!$D$1:$D$658,$C72,Socle!$E$1:$E$658,$D72,Socle!$F$1:$F$658,$E72,Socle!$G$1:$G$658,"2026"))</f>
        <v>0.71942446</v>
      </c>
      <c r="L72">
        <f>IF($A72="","",_xlfn.SUMIFS(Socle!$Y$1:$Y$658,Socle!$C$1:$C$658,$A72,Socle!$D$1:$D$658,$C72,Socle!$E$1:$E$658,$D72,Socle!$F$1:$F$658,$E72,Socle!$G$1:$G$658,"2026"))</f>
        <v>0.6</v>
      </c>
      <c r="M72">
        <f>IF($A72="","",_xlfn.SUMIFS(Socle!$V$1:$V$658,Socle!$C$1:$C$658,$A72,Socle!$D$1:$D$658,$C72,Socle!$E$1:$E$658,$D72,Socle!$F$1:$F$658,$E72,Socle!$G$1:$G$658,"2026"))</f>
        <v>0</v>
      </c>
      <c r="N72">
        <f t="shared" si="0"/>
        <v>1</v>
      </c>
      <c r="O72">
        <f>IF($A72="","",_xlfn.SUMIFS(Campagne!$D$1:$D$141,Campagne!$C$1:$C$141,$A72))</f>
        <v>728</v>
      </c>
      <c r="P72">
        <f>IF($A72="","",_xlfn.SUMIFS(Campagne!$E$1:$E$141,Campagne!$C$1:$C$141,$A72))</f>
        <v>788</v>
      </c>
      <c r="Q72">
        <f>IF($A72="","",_xlfn.SUMIFS(Campagne!$F$1:$F$141,Campagne!$C$1:$C$141,$A72))</f>
        <v>1516</v>
      </c>
      <c r="R72">
        <f>IF($A72="","",_xlfn.SUMIFS(Campagne!$K$1:$K$141,Campagne!$C$1:$C$141,$A72))</f>
        <v>0.524655642</v>
      </c>
      <c r="S72">
        <f>IF($A72="","",_xlfn.SUMIFS(Campagne!$M$1:$M$141,Campagne!$C$1:$C$141,$A72))</f>
        <v>0.343450594</v>
      </c>
      <c r="T72">
        <f>IF($A72="","",_xlfn.SUMIFS(Pilotage!$K$19:$K$32,Pilotage!$A$19:$A$32,$A72)*_xlfn.SUMIFS(Pilotage!$J$19:$J$32,Pilotage!$A$19:$A$32,$A72)*(SUM(Pilotage!$K$19:$K$32)/SUMPRODUCT(Pilotage!$K$19:$K$32,Pilotage!$J$19:$J$32)))</f>
        <v>31533</v>
      </c>
      <c r="U72">
        <f>IF($A72="","",_xlfn.SUMIFS(Pilotage!$K$19:$K$32,Pilotage!$A$19:$A$32,$A72))</f>
        <v>31533</v>
      </c>
      <c r="V72">
        <f>IF($A72="","",IF($B72="V01",Cadrage!$C$23,IF($B72="V02",Cadrage!$D$23,Cadrage!$E$23)))</f>
        <v>0.15</v>
      </c>
      <c r="W72">
        <f>IF($A72="","",IF($B72="V01",Cadrage!$C$24,IF($B72="V02",Cadrage!$D$24,Cadrage!$E$24)))</f>
        <v>0.15</v>
      </c>
      <c r="X72">
        <f>IF($A72="","",IF($B72="V01",Cadrage!$C$25,IF($B72="V02",Cadrage!$D$25,Cadrage!$E$25)))</f>
        <v>0.035</v>
      </c>
      <c r="Y72">
        <f>IF($A72="","",IF($B72="V01",Cadrage!$C$26,IF($B72="V02",Cadrage!$D$26,Cadrage!$E$26)))</f>
        <v>0.03</v>
      </c>
      <c r="Z72">
        <f>IF($A72="","",IF($B72="V01",Cadrage!$C$27,IF($B72="V02",Cadrage!$D$27,Cadrage!$E$27)))</f>
        <v>0.025</v>
      </c>
      <c r="AA72">
        <f>IF($A72="","",IF($B72="V01",Cadrage!$C$28,IF($B72="V02",Cadrage!$D$28,Cadrage!$E$28)))</f>
        <v>0.015</v>
      </c>
      <c r="AB72">
        <f>IF($A72="","",IF($B72="V01",Cadrage!$C$42,IF($B72="V02",Cadrage!$D$42,Cadrage!$E$42)))</f>
        <v>90</v>
      </c>
      <c r="AC72">
        <f>IF($A72="","",IF($F72="MBWAY",Cadrage!$K$34,IF($F72="ISCOM",Cadrage!$K$35,IF($F72="IPAC",Cadrage!$K$36,IF($F72="PIGIER",Cadrage!$K$37,Cadrage!$K$38)))))</f>
        <v>1.2</v>
      </c>
      <c r="AD72">
        <f t="shared" si="1"/>
        <v>73.5607054946616</v>
      </c>
      <c r="AE72">
        <f t="shared" si="2"/>
        <v>73.5607054946616</v>
      </c>
      <c r="AF72">
        <f t="shared" si="3"/>
        <v>73.5607054946616</v>
      </c>
      <c r="AG72">
        <f t="shared" si="4"/>
        <v>7815</v>
      </c>
      <c r="AH72">
        <f t="shared" si="5"/>
        <v>581497.3769353</v>
      </c>
    </row>
    <row r="73" ht="14.25" customHeight="1">
      <c r="A73" t="str">
        <f>IF(Moteur!D73="","",Moteur!D73)</f>
        <v>MBWAY_NAN</v>
      </c>
      <c r="B73" t="str">
        <f>IF(Moteur!B73="","",Moteur!B73)</f>
        <v>V02</v>
      </c>
      <c r="C73" t="str">
        <f>IF(Moteur!F73="","",Moteur!F73)</f>
        <v>BAC_MGT</v>
      </c>
      <c r="D73" t="str">
        <f>IF(Moteur!G73="","",Moteur!G73)</f>
        <v>B2</v>
      </c>
      <c r="E73" t="str">
        <f>IF(Moteur!H73="","",Moteur!H73)</f>
        <v>ALT</v>
      </c>
      <c r="F73" t="str">
        <f>IF(Moteur!E73="","",Moteur!E73)</f>
        <v>MBWAY</v>
      </c>
      <c r="G73">
        <f>IF($A73="","",_xlfn.SUMIFS(Socle!$H$1:$H$658,Socle!$C$1:$C$658,$A73,Socle!$D$1:$D$658,$C73,Socle!$E$1:$E$658,$D73,Socle!$F$1:$F$658,$E73,Socle!$G$1:$G$658,"2026"))</f>
        <v>0</v>
      </c>
      <c r="H73">
        <f>IF($A73="","",_xlfn.SUMIFS(Socle!$N$1:$N$658,Socle!$C$1:$C$658,$A73,Socle!$D$1:$D$658,$C73,Socle!$E$1:$E$658,$D73,Socle!$F$1:$F$658,$E73,Socle!$G$1:$G$658,"2026"))</f>
        <v>60</v>
      </c>
      <c r="I73">
        <f>IF($A73="","",_xlfn.SUMIFS(Socle!$P$1:$P$658,Socle!$C$1:$C$658,$A73,Socle!$D$1:$D$658,$C73,Socle!$E$1:$E$658,$D73,Socle!$F$1:$F$658,$E73,Socle!$G$1:$G$658,"2026"))</f>
        <v>7000</v>
      </c>
      <c r="J73">
        <f>IF($A73="","",_xlfn.SUMIFS(Socle!$W$1:$W$658,Socle!$C$1:$C$658,$A73,Socle!$D$1:$D$658,$C73,Socle!$E$1:$E$658,$D73,Socle!$F$1:$F$658,$E73,Socle!$G$1:$G$658,"2026"))</f>
        <v>0</v>
      </c>
      <c r="K73">
        <f>IF($A73="","",_xlfn.SUMIFS(Socle!$X$1:$X$658,Socle!$C$1:$C$658,$A73,Socle!$D$1:$D$658,$C73,Socle!$E$1:$E$658,$D73,Socle!$F$1:$F$658,$E73,Socle!$G$1:$G$658,"2026"))</f>
        <v>0</v>
      </c>
      <c r="L73">
        <f>IF($A73="","",_xlfn.SUMIFS(Socle!$Y$1:$Y$658,Socle!$C$1:$C$658,$A73,Socle!$D$1:$D$658,$C73,Socle!$E$1:$E$658,$D73,Socle!$F$1:$F$658,$E73,Socle!$G$1:$G$658,"2026"))</f>
        <v>0</v>
      </c>
      <c r="M73">
        <f>IF($A73="","",_xlfn.SUMIFS(Socle!$V$1:$V$658,Socle!$C$1:$C$658,$A73,Socle!$D$1:$D$658,$C73,Socle!$E$1:$E$658,$D73,Socle!$F$1:$F$658,$E73,Socle!$G$1:$G$658,"2026"))</f>
        <v>0.966666667</v>
      </c>
      <c r="N73">
        <f t="shared" si="0"/>
        <v>0</v>
      </c>
      <c r="O73">
        <f>IF($A73="","",_xlfn.SUMIFS(Campagne!$D$1:$D$141,Campagne!$C$1:$C$141,$A73))</f>
        <v>728</v>
      </c>
      <c r="P73">
        <f>IF($A73="","",_xlfn.SUMIFS(Campagne!$E$1:$E$141,Campagne!$C$1:$C$141,$A73))</f>
        <v>788</v>
      </c>
      <c r="Q73">
        <f>IF($A73="","",_xlfn.SUMIFS(Campagne!$F$1:$F$141,Campagne!$C$1:$C$141,$A73))</f>
        <v>1516</v>
      </c>
      <c r="R73">
        <f>IF($A73="","",_xlfn.SUMIFS(Campagne!$K$1:$K$141,Campagne!$C$1:$C$141,$A73))</f>
        <v>0.524655642</v>
      </c>
      <c r="S73">
        <f>IF($A73="","",_xlfn.SUMIFS(Campagne!$M$1:$M$141,Campagne!$C$1:$C$141,$A73))</f>
        <v>0.343450594</v>
      </c>
      <c r="T73">
        <f>IF($A73="","",_xlfn.SUMIFS(Pilotage!$K$19:$K$32,Pilotage!$A$19:$A$32,$A73)*_xlfn.SUMIFS(Pilotage!$J$19:$J$32,Pilotage!$A$19:$A$32,$A73)*(SUM(Pilotage!$K$19:$K$32)/SUMPRODUCT(Pilotage!$K$19:$K$32,Pilotage!$J$19:$J$32)))</f>
        <v>31533</v>
      </c>
      <c r="U73">
        <f>IF($A73="","",_xlfn.SUMIFS(Pilotage!$K$19:$K$32,Pilotage!$A$19:$A$32,$A73))</f>
        <v>31533</v>
      </c>
      <c r="V73">
        <f>IF($A73="","",IF($B73="V01",Cadrage!$C$23,IF($B73="V02",Cadrage!$D$23,Cadrage!$E$23)))</f>
        <v>0.15</v>
      </c>
      <c r="W73">
        <f>IF($A73="","",IF($B73="V01",Cadrage!$C$24,IF($B73="V02",Cadrage!$D$24,Cadrage!$E$24)))</f>
        <v>0.15</v>
      </c>
      <c r="X73">
        <f>IF($A73="","",IF($B73="V01",Cadrage!$C$25,IF($B73="V02",Cadrage!$D$25,Cadrage!$E$25)))</f>
        <v>0.035</v>
      </c>
      <c r="Y73">
        <f>IF($A73="","",IF($B73="V01",Cadrage!$C$26,IF($B73="V02",Cadrage!$D$26,Cadrage!$E$26)))</f>
        <v>0.03</v>
      </c>
      <c r="Z73">
        <f>IF($A73="","",IF($B73="V01",Cadrage!$C$27,IF($B73="V02",Cadrage!$D$27,Cadrage!$E$27)))</f>
        <v>0.025</v>
      </c>
      <c r="AA73">
        <f>IF($A73="","",IF($B73="V01",Cadrage!$C$28,IF($B73="V02",Cadrage!$D$28,Cadrage!$E$28)))</f>
        <v>0.015</v>
      </c>
      <c r="AB73">
        <f>IF($A73="","",IF($B73="V01",Cadrage!$C$42,IF($B73="V02",Cadrage!$D$42,Cadrage!$E$42)))</f>
        <v>90</v>
      </c>
      <c r="AC73">
        <f>IF($A73="","",IF($F73="MBWAY",Cadrage!$K$34,IF($F73="ISCOM",Cadrage!$K$35,IF($F73="IPAC",Cadrage!$K$36,IF($F73="PIGIER",Cadrage!$K$37,Cadrage!$K$38)))))</f>
        <v>1.2</v>
      </c>
      <c r="AD73">
        <f t="shared" si="1"/>
        <v>0</v>
      </c>
      <c r="AE73">
        <f t="shared" si="2"/>
        <v>0</v>
      </c>
      <c r="AF73">
        <f t="shared" si="3"/>
        <v>58.90000002</v>
      </c>
      <c r="AG73">
        <f t="shared" si="4"/>
        <v>7294</v>
      </c>
      <c r="AH73">
        <f t="shared" si="5"/>
        <v>429616.60014588</v>
      </c>
    </row>
    <row r="74" ht="14.25" customHeight="1">
      <c r="A74" t="str">
        <f>IF(Moteur!D74="","",Moteur!D74)</f>
        <v>MBWAY_NAN</v>
      </c>
      <c r="B74" t="str">
        <f>IF(Moteur!B74="","",Moteur!B74)</f>
        <v>V02</v>
      </c>
      <c r="C74" t="str">
        <f>IF(Moteur!F74="","",Moteur!F74)</f>
        <v>BAC_MGT</v>
      </c>
      <c r="D74" t="str">
        <f>IF(Moteur!G74="","",Moteur!G74)</f>
        <v>B3</v>
      </c>
      <c r="E74" t="str">
        <f>IF(Moteur!H74="","",Moteur!H74)</f>
        <v>ALT</v>
      </c>
      <c r="F74" t="str">
        <f>IF(Moteur!E74="","",Moteur!E74)</f>
        <v>MBWAY</v>
      </c>
      <c r="G74">
        <f>IF($A74="","",_xlfn.SUMIFS(Socle!$H$1:$H$658,Socle!$C$1:$C$658,$A74,Socle!$D$1:$D$658,$C74,Socle!$E$1:$E$658,$D74,Socle!$F$1:$F$658,$E74,Socle!$G$1:$G$658,"2026"))</f>
        <v>0</v>
      </c>
      <c r="H74">
        <f>IF($A74="","",_xlfn.SUMIFS(Socle!$N$1:$N$658,Socle!$C$1:$C$658,$A74,Socle!$D$1:$D$658,$C74,Socle!$E$1:$E$658,$D74,Socle!$F$1:$F$658,$E74,Socle!$G$1:$G$658,"2026"))</f>
        <v>58</v>
      </c>
      <c r="I74">
        <f>IF($A74="","",_xlfn.SUMIFS(Socle!$P$1:$P$658,Socle!$C$1:$C$658,$A74,Socle!$D$1:$D$658,$C74,Socle!$E$1:$E$658,$D74,Socle!$F$1:$F$658,$E74,Socle!$G$1:$G$658,"2026"))</f>
        <v>7000</v>
      </c>
      <c r="J74">
        <f>IF($A74="","",_xlfn.SUMIFS(Socle!$W$1:$W$658,Socle!$C$1:$C$658,$A74,Socle!$D$1:$D$658,$C74,Socle!$E$1:$E$658,$D74,Socle!$F$1:$F$658,$E74,Socle!$G$1:$G$658,"2026"))</f>
        <v>0</v>
      </c>
      <c r="K74">
        <f>IF($A74="","",_xlfn.SUMIFS(Socle!$X$1:$X$658,Socle!$C$1:$C$658,$A74,Socle!$D$1:$D$658,$C74,Socle!$E$1:$E$658,$D74,Socle!$F$1:$F$658,$E74,Socle!$G$1:$G$658,"2026"))</f>
        <v>0</v>
      </c>
      <c r="L74">
        <f>IF($A74="","",_xlfn.SUMIFS(Socle!$Y$1:$Y$658,Socle!$C$1:$C$658,$A74,Socle!$D$1:$D$658,$C74,Socle!$E$1:$E$658,$D74,Socle!$F$1:$F$658,$E74,Socle!$G$1:$G$658,"2026"))</f>
        <v>0</v>
      </c>
      <c r="M74">
        <f>IF($A74="","",_xlfn.SUMIFS(Socle!$V$1:$V$658,Socle!$C$1:$C$658,$A74,Socle!$D$1:$D$658,$C74,Socle!$E$1:$E$658,$D74,Socle!$F$1:$F$658,$E74,Socle!$G$1:$G$658,"2026"))</f>
        <v>0.982758621</v>
      </c>
      <c r="N74">
        <f t="shared" si="0"/>
        <v>0</v>
      </c>
      <c r="O74">
        <f>IF($A74="","",_xlfn.SUMIFS(Campagne!$D$1:$D$141,Campagne!$C$1:$C$141,$A74))</f>
        <v>728</v>
      </c>
      <c r="P74">
        <f>IF($A74="","",_xlfn.SUMIFS(Campagne!$E$1:$E$141,Campagne!$C$1:$C$141,$A74))</f>
        <v>788</v>
      </c>
      <c r="Q74">
        <f>IF($A74="","",_xlfn.SUMIFS(Campagne!$F$1:$F$141,Campagne!$C$1:$C$141,$A74))</f>
        <v>1516</v>
      </c>
      <c r="R74">
        <f>IF($A74="","",_xlfn.SUMIFS(Campagne!$K$1:$K$141,Campagne!$C$1:$C$141,$A74))</f>
        <v>0.524655642</v>
      </c>
      <c r="S74">
        <f>IF($A74="","",_xlfn.SUMIFS(Campagne!$M$1:$M$141,Campagne!$C$1:$C$141,$A74))</f>
        <v>0.343450594</v>
      </c>
      <c r="T74">
        <f>IF($A74="","",_xlfn.SUMIFS(Pilotage!$K$19:$K$32,Pilotage!$A$19:$A$32,$A74)*_xlfn.SUMIFS(Pilotage!$J$19:$J$32,Pilotage!$A$19:$A$32,$A74)*(SUM(Pilotage!$K$19:$K$32)/SUMPRODUCT(Pilotage!$K$19:$K$32,Pilotage!$J$19:$J$32)))</f>
        <v>31533</v>
      </c>
      <c r="U74">
        <f>IF($A74="","",_xlfn.SUMIFS(Pilotage!$K$19:$K$32,Pilotage!$A$19:$A$32,$A74))</f>
        <v>31533</v>
      </c>
      <c r="V74">
        <f>IF($A74="","",IF($B74="V01",Cadrage!$C$23,IF($B74="V02",Cadrage!$D$23,Cadrage!$E$23)))</f>
        <v>0.15</v>
      </c>
      <c r="W74">
        <f>IF($A74="","",IF($B74="V01",Cadrage!$C$24,IF($B74="V02",Cadrage!$D$24,Cadrage!$E$24)))</f>
        <v>0.15</v>
      </c>
      <c r="X74">
        <f>IF($A74="","",IF($B74="V01",Cadrage!$C$25,IF($B74="V02",Cadrage!$D$25,Cadrage!$E$25)))</f>
        <v>0.035</v>
      </c>
      <c r="Y74">
        <f>IF($A74="","",IF($B74="V01",Cadrage!$C$26,IF($B74="V02",Cadrage!$D$26,Cadrage!$E$26)))</f>
        <v>0.03</v>
      </c>
      <c r="Z74">
        <f>IF($A74="","",IF($B74="V01",Cadrage!$C$27,IF($B74="V02",Cadrage!$D$27,Cadrage!$E$27)))</f>
        <v>0.025</v>
      </c>
      <c r="AA74">
        <f>IF($A74="","",IF($B74="V01",Cadrage!$C$28,IF($B74="V02",Cadrage!$D$28,Cadrage!$E$28)))</f>
        <v>0.015</v>
      </c>
      <c r="AB74">
        <f>IF($A74="","",IF($B74="V01",Cadrage!$C$42,IF($B74="V02",Cadrage!$D$42,Cadrage!$E$42)))</f>
        <v>90</v>
      </c>
      <c r="AC74">
        <f>IF($A74="","",IF($F74="MBWAY",Cadrage!$K$34,IF($F74="ISCOM",Cadrage!$K$35,IF($F74="IPAC",Cadrage!$K$36,IF($F74="PIGIER",Cadrage!$K$37,Cadrage!$K$38)))))</f>
        <v>1.2</v>
      </c>
      <c r="AD74">
        <f t="shared" si="1"/>
        <v>0</v>
      </c>
      <c r="AE74">
        <f t="shared" si="2"/>
        <v>0</v>
      </c>
      <c r="AF74">
        <f t="shared" si="3"/>
        <v>57.870000018</v>
      </c>
      <c r="AG74">
        <f t="shared" si="4"/>
        <v>7294</v>
      </c>
      <c r="AH74">
        <f t="shared" si="5"/>
        <v>422103.780131292</v>
      </c>
    </row>
    <row r="75" ht="14.25" customHeight="1">
      <c r="A75" t="str">
        <f>IF(Moteur!D75="","",Moteur!D75)</f>
        <v>MBWAY_NAN</v>
      </c>
      <c r="B75" t="str">
        <f>IF(Moteur!B75="","",Moteur!B75)</f>
        <v>V02</v>
      </c>
      <c r="C75" t="str">
        <f>IF(Moteur!F75="","",Moteur!F75)</f>
        <v>MAS_MGT</v>
      </c>
      <c r="D75" t="str">
        <f>IF(Moteur!G75="","",Moteur!G75)</f>
        <v>M1</v>
      </c>
      <c r="E75" t="str">
        <f>IF(Moteur!H75="","",Moteur!H75)</f>
        <v>ALT</v>
      </c>
      <c r="F75" t="str">
        <f>IF(Moteur!E75="","",Moteur!E75)</f>
        <v>MBWAY</v>
      </c>
      <c r="G75">
        <f>IF($A75="","",_xlfn.SUMIFS(Socle!$H$1:$H$658,Socle!$C$1:$C$658,$A75,Socle!$D$1:$D$658,$C75,Socle!$E$1:$E$658,$D75,Socle!$F$1:$F$658,$E75,Socle!$G$1:$G$658,"2026"))</f>
        <v>1020</v>
      </c>
      <c r="H75">
        <f>IF($A75="","",_xlfn.SUMIFS(Socle!$N$1:$N$658,Socle!$C$1:$C$658,$A75,Socle!$D$1:$D$658,$C75,Socle!$E$1:$E$658,$D75,Socle!$F$1:$F$658,$E75,Socle!$G$1:$G$658,"2026"))</f>
        <v>0</v>
      </c>
      <c r="I75">
        <f>IF($A75="","",_xlfn.SUMIFS(Socle!$P$1:$P$658,Socle!$C$1:$C$658,$A75,Socle!$D$1:$D$658,$C75,Socle!$E$1:$E$658,$D75,Socle!$F$1:$F$658,$E75,Socle!$G$1:$G$658,"2026"))</f>
        <v>7500</v>
      </c>
      <c r="J75">
        <f>IF($A75="","",_xlfn.SUMIFS(Socle!$W$1:$W$658,Socle!$C$1:$C$658,$A75,Socle!$D$1:$D$658,$C75,Socle!$E$1:$E$658,$D75,Socle!$F$1:$F$658,$E75,Socle!$G$1:$G$658,"2026"))</f>
        <v>0.2</v>
      </c>
      <c r="K75">
        <f>IF($A75="","",_xlfn.SUMIFS(Socle!$X$1:$X$658,Socle!$C$1:$C$658,$A75,Socle!$D$1:$D$658,$C75,Socle!$E$1:$E$658,$D75,Socle!$F$1:$F$658,$E75,Socle!$G$1:$G$658,"2026"))</f>
        <v>0.700980392</v>
      </c>
      <c r="L75">
        <f>IF($A75="","",_xlfn.SUMIFS(Socle!$Y$1:$Y$658,Socle!$C$1:$C$658,$A75,Socle!$D$1:$D$658,$C75,Socle!$E$1:$E$658,$D75,Socle!$F$1:$F$658,$E75,Socle!$G$1:$G$658,"2026"))</f>
        <v>0.41958042</v>
      </c>
      <c r="M75">
        <f>IF($A75="","",_xlfn.SUMIFS(Socle!$V$1:$V$658,Socle!$C$1:$C$658,$A75,Socle!$D$1:$D$658,$C75,Socle!$E$1:$E$658,$D75,Socle!$F$1:$F$658,$E75,Socle!$G$1:$G$658,"2026"))</f>
        <v>0</v>
      </c>
      <c r="N75">
        <f t="shared" si="0"/>
        <v>1</v>
      </c>
      <c r="O75">
        <f>IF($A75="","",_xlfn.SUMIFS(Campagne!$D$1:$D$141,Campagne!$C$1:$C$141,$A75))</f>
        <v>728</v>
      </c>
      <c r="P75">
        <f>IF($A75="","",_xlfn.SUMIFS(Campagne!$E$1:$E$141,Campagne!$C$1:$C$141,$A75))</f>
        <v>788</v>
      </c>
      <c r="Q75">
        <f>IF($A75="","",_xlfn.SUMIFS(Campagne!$F$1:$F$141,Campagne!$C$1:$C$141,$A75))</f>
        <v>1516</v>
      </c>
      <c r="R75">
        <f>IF($A75="","",_xlfn.SUMIFS(Campagne!$K$1:$K$141,Campagne!$C$1:$C$141,$A75))</f>
        <v>0.524655642</v>
      </c>
      <c r="S75">
        <f>IF($A75="","",_xlfn.SUMIFS(Campagne!$M$1:$M$141,Campagne!$C$1:$C$141,$A75))</f>
        <v>0.343450594</v>
      </c>
      <c r="T75">
        <f>IF($A75="","",_xlfn.SUMIFS(Pilotage!$K$19:$K$32,Pilotage!$A$19:$A$32,$A75)*_xlfn.SUMIFS(Pilotage!$J$19:$J$32,Pilotage!$A$19:$A$32,$A75)*(SUM(Pilotage!$K$19:$K$32)/SUMPRODUCT(Pilotage!$K$19:$K$32,Pilotage!$J$19:$J$32)))</f>
        <v>31533</v>
      </c>
      <c r="U75">
        <f>IF($A75="","",_xlfn.SUMIFS(Pilotage!$K$19:$K$32,Pilotage!$A$19:$A$32,$A75))</f>
        <v>31533</v>
      </c>
      <c r="V75">
        <f>IF($A75="","",IF($B75="V01",Cadrage!$C$23,IF($B75="V02",Cadrage!$D$23,Cadrage!$E$23)))</f>
        <v>0.15</v>
      </c>
      <c r="W75">
        <f>IF($A75="","",IF($B75="V01",Cadrage!$C$24,IF($B75="V02",Cadrage!$D$24,Cadrage!$E$24)))</f>
        <v>0.15</v>
      </c>
      <c r="X75">
        <f>IF($A75="","",IF($B75="V01",Cadrage!$C$25,IF($B75="V02",Cadrage!$D$25,Cadrage!$E$25)))</f>
        <v>0.035</v>
      </c>
      <c r="Y75">
        <f>IF($A75="","",IF($B75="V01",Cadrage!$C$26,IF($B75="V02",Cadrage!$D$26,Cadrage!$E$26)))</f>
        <v>0.03</v>
      </c>
      <c r="Z75">
        <f>IF($A75="","",IF($B75="V01",Cadrage!$C$27,IF($B75="V02",Cadrage!$D$27,Cadrage!$E$27)))</f>
        <v>0.025</v>
      </c>
      <c r="AA75">
        <f>IF($A75="","",IF($B75="V01",Cadrage!$C$28,IF($B75="V02",Cadrage!$D$28,Cadrage!$E$28)))</f>
        <v>0.015</v>
      </c>
      <c r="AB75">
        <f>IF($A75="","",IF($B75="V01",Cadrage!$C$42,IF($B75="V02",Cadrage!$D$42,Cadrage!$E$42)))</f>
        <v>90</v>
      </c>
      <c r="AC75">
        <f>IF($A75="","",IF($F75="MBWAY",Cadrage!$K$34,IF($F75="ISCOM",Cadrage!$K$35,IF($F75="IPAC",Cadrage!$K$36,IF($F75="PIGIER",Cadrage!$K$37,Cadrage!$K$38)))))</f>
        <v>1.2</v>
      </c>
      <c r="AD75">
        <f t="shared" si="1"/>
        <v>77.7289321722515</v>
      </c>
      <c r="AE75">
        <f t="shared" si="2"/>
        <v>77.7289321722515</v>
      </c>
      <c r="AF75">
        <f t="shared" si="3"/>
        <v>77.7289321722515</v>
      </c>
      <c r="AG75">
        <f t="shared" si="4"/>
        <v>7815</v>
      </c>
      <c r="AH75">
        <f t="shared" si="5"/>
        <v>614447.208821648</v>
      </c>
    </row>
    <row r="76" ht="14.25" customHeight="1">
      <c r="A76" t="str">
        <f>IF(Moteur!D76="","",Moteur!D76)</f>
        <v>MBWAY_NAN</v>
      </c>
      <c r="B76" t="str">
        <f>IF(Moteur!B76="","",Moteur!B76)</f>
        <v>V02</v>
      </c>
      <c r="C76" t="str">
        <f>IF(Moteur!F76="","",Moteur!F76)</f>
        <v>MAS_MGT</v>
      </c>
      <c r="D76" t="str">
        <f>IF(Moteur!G76="","",Moteur!G76)</f>
        <v>M2</v>
      </c>
      <c r="E76" t="str">
        <f>IF(Moteur!H76="","",Moteur!H76)</f>
        <v>ALT</v>
      </c>
      <c r="F76" t="str">
        <f>IF(Moteur!E76="","",Moteur!E76)</f>
        <v>MBWAY</v>
      </c>
      <c r="G76">
        <f>IF($A76="","",_xlfn.SUMIFS(Socle!$H$1:$H$658,Socle!$C$1:$C$658,$A76,Socle!$D$1:$D$658,$C76,Socle!$E$1:$E$658,$D76,Socle!$F$1:$F$658,$E76,Socle!$G$1:$G$658,"2026"))</f>
        <v>0</v>
      </c>
      <c r="H76">
        <f>IF($A76="","",_xlfn.SUMIFS(Socle!$N$1:$N$658,Socle!$C$1:$C$658,$A76,Socle!$D$1:$D$658,$C76,Socle!$E$1:$E$658,$D76,Socle!$F$1:$F$658,$E76,Socle!$G$1:$G$658,"2026"))</f>
        <v>60</v>
      </c>
      <c r="I76">
        <f>IF($A76="","",_xlfn.SUMIFS(Socle!$P$1:$P$658,Socle!$C$1:$C$658,$A76,Socle!$D$1:$D$658,$C76,Socle!$E$1:$E$658,$D76,Socle!$F$1:$F$658,$E76,Socle!$G$1:$G$658,"2026"))</f>
        <v>7500</v>
      </c>
      <c r="J76">
        <f>IF($A76="","",_xlfn.SUMIFS(Socle!$W$1:$W$658,Socle!$C$1:$C$658,$A76,Socle!$D$1:$D$658,$C76,Socle!$E$1:$E$658,$D76,Socle!$F$1:$F$658,$E76,Socle!$G$1:$G$658,"2026"))</f>
        <v>0</v>
      </c>
      <c r="K76">
        <f>IF($A76="","",_xlfn.SUMIFS(Socle!$X$1:$X$658,Socle!$C$1:$C$658,$A76,Socle!$D$1:$D$658,$C76,Socle!$E$1:$E$658,$D76,Socle!$F$1:$F$658,$E76,Socle!$G$1:$G$658,"2026"))</f>
        <v>0</v>
      </c>
      <c r="L76">
        <f>IF($A76="","",_xlfn.SUMIFS(Socle!$Y$1:$Y$658,Socle!$C$1:$C$658,$A76,Socle!$D$1:$D$658,$C76,Socle!$E$1:$E$658,$D76,Socle!$F$1:$F$658,$E76,Socle!$G$1:$G$658,"2026"))</f>
        <v>0</v>
      </c>
      <c r="M76">
        <f>IF($A76="","",_xlfn.SUMIFS(Socle!$V$1:$V$658,Socle!$C$1:$C$658,$A76,Socle!$D$1:$D$658,$C76,Socle!$E$1:$E$658,$D76,Socle!$F$1:$F$658,$E76,Socle!$G$1:$G$658,"2026"))</f>
        <v>0.983333333</v>
      </c>
      <c r="N76">
        <f t="shared" si="0"/>
        <v>0</v>
      </c>
      <c r="O76">
        <f>IF($A76="","",_xlfn.SUMIFS(Campagne!$D$1:$D$141,Campagne!$C$1:$C$141,$A76))</f>
        <v>728</v>
      </c>
      <c r="P76">
        <f>IF($A76="","",_xlfn.SUMIFS(Campagne!$E$1:$E$141,Campagne!$C$1:$C$141,$A76))</f>
        <v>788</v>
      </c>
      <c r="Q76">
        <f>IF($A76="","",_xlfn.SUMIFS(Campagne!$F$1:$F$141,Campagne!$C$1:$C$141,$A76))</f>
        <v>1516</v>
      </c>
      <c r="R76">
        <f>IF($A76="","",_xlfn.SUMIFS(Campagne!$K$1:$K$141,Campagne!$C$1:$C$141,$A76))</f>
        <v>0.524655642</v>
      </c>
      <c r="S76">
        <f>IF($A76="","",_xlfn.SUMIFS(Campagne!$M$1:$M$141,Campagne!$C$1:$C$141,$A76))</f>
        <v>0.343450594</v>
      </c>
      <c r="T76">
        <f>IF($A76="","",_xlfn.SUMIFS(Pilotage!$K$19:$K$32,Pilotage!$A$19:$A$32,$A76)*_xlfn.SUMIFS(Pilotage!$J$19:$J$32,Pilotage!$A$19:$A$32,$A76)*(SUM(Pilotage!$K$19:$K$32)/SUMPRODUCT(Pilotage!$K$19:$K$32,Pilotage!$J$19:$J$32)))</f>
        <v>31533</v>
      </c>
      <c r="U76">
        <f>IF($A76="","",_xlfn.SUMIFS(Pilotage!$K$19:$K$32,Pilotage!$A$19:$A$32,$A76))</f>
        <v>31533</v>
      </c>
      <c r="V76">
        <f>IF($A76="","",IF($B76="V01",Cadrage!$C$23,IF($B76="V02",Cadrage!$D$23,Cadrage!$E$23)))</f>
        <v>0.15</v>
      </c>
      <c r="W76">
        <f>IF($A76="","",IF($B76="V01",Cadrage!$C$24,IF($B76="V02",Cadrage!$D$24,Cadrage!$E$24)))</f>
        <v>0.15</v>
      </c>
      <c r="X76">
        <f>IF($A76="","",IF($B76="V01",Cadrage!$C$25,IF($B76="V02",Cadrage!$D$25,Cadrage!$E$25)))</f>
        <v>0.035</v>
      </c>
      <c r="Y76">
        <f>IF($A76="","",IF($B76="V01",Cadrage!$C$26,IF($B76="V02",Cadrage!$D$26,Cadrage!$E$26)))</f>
        <v>0.03</v>
      </c>
      <c r="Z76">
        <f>IF($A76="","",IF($B76="V01",Cadrage!$C$27,IF($B76="V02",Cadrage!$D$27,Cadrage!$E$27)))</f>
        <v>0.025</v>
      </c>
      <c r="AA76">
        <f>IF($A76="","",IF($B76="V01",Cadrage!$C$28,IF($B76="V02",Cadrage!$D$28,Cadrage!$E$28)))</f>
        <v>0.015</v>
      </c>
      <c r="AB76">
        <f>IF($A76="","",IF($B76="V01",Cadrage!$C$42,IF($B76="V02",Cadrage!$D$42,Cadrage!$E$42)))</f>
        <v>90</v>
      </c>
      <c r="AC76">
        <f>IF($A76="","",IF($F76="MBWAY",Cadrage!$K$34,IF($F76="ISCOM",Cadrage!$K$35,IF($F76="IPAC",Cadrage!$K$36,IF($F76="PIGIER",Cadrage!$K$37,Cadrage!$K$38)))))</f>
        <v>1.2</v>
      </c>
      <c r="AD76">
        <f t="shared" si="1"/>
        <v>0</v>
      </c>
      <c r="AE76">
        <f t="shared" si="2"/>
        <v>0</v>
      </c>
      <c r="AF76">
        <f t="shared" si="3"/>
        <v>59.89999998</v>
      </c>
      <c r="AG76">
        <f t="shared" si="4"/>
        <v>7815</v>
      </c>
      <c r="AH76">
        <f t="shared" si="5"/>
        <v>468118.4998437</v>
      </c>
    </row>
    <row r="77" ht="14.25" customHeight="1">
      <c r="A77" t="str">
        <f>IF(Moteur!D77="","",Moteur!D77)</f>
        <v>MBWAY_BOR</v>
      </c>
      <c r="B77" t="str">
        <f>IF(Moteur!B77="","",Moteur!B77)</f>
        <v>V02</v>
      </c>
      <c r="C77" t="str">
        <f>IF(Moteur!F77="","",Moteur!F77)</f>
        <v>BAC_MGT</v>
      </c>
      <c r="D77" t="str">
        <f>IF(Moteur!G77="","",Moteur!G77)</f>
        <v>B1</v>
      </c>
      <c r="E77" t="str">
        <f>IF(Moteur!H77="","",Moteur!H77)</f>
        <v>INIT</v>
      </c>
      <c r="F77" t="str">
        <f>IF(Moteur!E77="","",Moteur!E77)</f>
        <v>MBWAY</v>
      </c>
      <c r="G77">
        <f>IF($A77="","",_xlfn.SUMIFS(Socle!$H$1:$H$658,Socle!$C$1:$C$658,$A77,Socle!$D$1:$D$658,$C77,Socle!$E$1:$E$658,$D77,Socle!$F$1:$F$658,$E77,Socle!$G$1:$G$658,"2026"))</f>
        <v>421</v>
      </c>
      <c r="H77">
        <f>IF($A77="","",_xlfn.SUMIFS(Socle!$N$1:$N$658,Socle!$C$1:$C$658,$A77,Socle!$D$1:$D$658,$C77,Socle!$E$1:$E$658,$D77,Socle!$F$1:$F$658,$E77,Socle!$G$1:$G$658,"2026"))</f>
        <v>0</v>
      </c>
      <c r="I77">
        <f>IF($A77="","",_xlfn.SUMIFS(Socle!$P$1:$P$658,Socle!$C$1:$C$658,$A77,Socle!$D$1:$D$658,$C77,Socle!$E$1:$E$658,$D77,Socle!$F$1:$F$658,$E77,Socle!$G$1:$G$658,"2026"))</f>
        <v>7275</v>
      </c>
      <c r="J77">
        <f>IF($A77="","",_xlfn.SUMIFS(Socle!$W$1:$W$658,Socle!$C$1:$C$658,$A77,Socle!$D$1:$D$658,$C77,Socle!$E$1:$E$658,$D77,Socle!$F$1:$F$658,$E77,Socle!$G$1:$G$658,"2026"))</f>
        <v>0.280285036</v>
      </c>
      <c r="K77">
        <f>IF($A77="","",_xlfn.SUMIFS(Socle!$X$1:$X$658,Socle!$C$1:$C$658,$A77,Socle!$D$1:$D$658,$C77,Socle!$E$1:$E$658,$D77,Socle!$F$1:$F$658,$E77,Socle!$G$1:$G$658,"2026"))</f>
        <v>0.720338983</v>
      </c>
      <c r="L77">
        <f>IF($A77="","",_xlfn.SUMIFS(Socle!$Y$1:$Y$658,Socle!$C$1:$C$658,$A77,Socle!$D$1:$D$658,$C77,Socle!$E$1:$E$658,$D77,Socle!$F$1:$F$658,$E77,Socle!$G$1:$G$658,"2026"))</f>
        <v>0.6</v>
      </c>
      <c r="M77">
        <f>IF($A77="","",_xlfn.SUMIFS(Socle!$V$1:$V$658,Socle!$C$1:$C$658,$A77,Socle!$D$1:$D$658,$C77,Socle!$E$1:$E$658,$D77,Socle!$F$1:$F$658,$E77,Socle!$G$1:$G$658,"2026"))</f>
        <v>0</v>
      </c>
      <c r="N77">
        <f t="shared" si="0"/>
        <v>1</v>
      </c>
      <c r="O77">
        <f>IF($A77="","",_xlfn.SUMIFS(Campagne!$D$1:$D$141,Campagne!$C$1:$C$141,$A77))</f>
        <v>630</v>
      </c>
      <c r="P77">
        <f>IF($A77="","",_xlfn.SUMIFS(Campagne!$E$1:$E$141,Campagne!$C$1:$C$141,$A77))</f>
        <v>656</v>
      </c>
      <c r="Q77">
        <f>IF($A77="","",_xlfn.SUMIFS(Campagne!$F$1:$F$141,Campagne!$C$1:$C$141,$A77))</f>
        <v>1286</v>
      </c>
      <c r="R77">
        <f>IF($A77="","",_xlfn.SUMIFS(Campagne!$K$1:$K$141,Campagne!$C$1:$C$141,$A77))</f>
        <v>0.538455294</v>
      </c>
      <c r="S77">
        <f>IF($A77="","",_xlfn.SUMIFS(Campagne!$M$1:$M$141,Campagne!$C$1:$C$141,$A77))</f>
        <v>0.348249172</v>
      </c>
      <c r="T77">
        <f>IF($A77="","",_xlfn.SUMIFS(Pilotage!$K$19:$K$32,Pilotage!$A$19:$A$32,$A77)*_xlfn.SUMIFS(Pilotage!$J$19:$J$32,Pilotage!$A$19:$A$32,$A77)*(SUM(Pilotage!$K$19:$K$32)/SUMPRODUCT(Pilotage!$K$19:$K$32,Pilotage!$J$19:$J$32)))</f>
        <v>24923</v>
      </c>
      <c r="U77">
        <f>IF($A77="","",_xlfn.SUMIFS(Pilotage!$K$19:$K$32,Pilotage!$A$19:$A$32,$A77))</f>
        <v>24923</v>
      </c>
      <c r="V77">
        <f>IF($A77="","",IF($B77="V01",Cadrage!$C$23,IF($B77="V02",Cadrage!$D$23,Cadrage!$E$23)))</f>
        <v>0.15</v>
      </c>
      <c r="W77">
        <f>IF($A77="","",IF($B77="V01",Cadrage!$C$24,IF($B77="V02",Cadrage!$D$24,Cadrage!$E$24)))</f>
        <v>0.15</v>
      </c>
      <c r="X77">
        <f>IF($A77="","",IF($B77="V01",Cadrage!$C$25,IF($B77="V02",Cadrage!$D$25,Cadrage!$E$25)))</f>
        <v>0.035</v>
      </c>
      <c r="Y77">
        <f>IF($A77="","",IF($B77="V01",Cadrage!$C$26,IF($B77="V02",Cadrage!$D$26,Cadrage!$E$26)))</f>
        <v>0.03</v>
      </c>
      <c r="Z77">
        <f>IF($A77="","",IF($B77="V01",Cadrage!$C$27,IF($B77="V02",Cadrage!$D$27,Cadrage!$E$27)))</f>
        <v>0.025</v>
      </c>
      <c r="AA77">
        <f>IF($A77="","",IF($B77="V01",Cadrage!$C$28,IF($B77="V02",Cadrage!$D$28,Cadrage!$E$28)))</f>
        <v>0.015</v>
      </c>
      <c r="AB77">
        <f>IF($A77="","",IF($B77="V01",Cadrage!$C$42,IF($B77="V02",Cadrage!$D$42,Cadrage!$E$42)))</f>
        <v>90</v>
      </c>
      <c r="AC77">
        <f>IF($A77="","",IF($F77="MBWAY",Cadrage!$K$34,IF($F77="ISCOM",Cadrage!$K$35,IF($F77="IPAC",Cadrage!$K$36,IF($F77="PIGIER",Cadrage!$K$37,Cadrage!$K$38)))))</f>
        <v>1.2</v>
      </c>
      <c r="AD77">
        <f t="shared" si="1"/>
        <v>62.592951988456</v>
      </c>
      <c r="AE77">
        <f t="shared" si="2"/>
        <v>62.592951988456</v>
      </c>
      <c r="AF77">
        <f t="shared" si="3"/>
        <v>62.592951988456</v>
      </c>
      <c r="AG77">
        <f t="shared" si="4"/>
        <v>7580.55</v>
      </c>
      <c r="AH77">
        <f t="shared" si="5"/>
        <v>480122.367875051</v>
      </c>
    </row>
    <row r="78" ht="14.25" customHeight="1">
      <c r="A78" t="str">
        <f>IF(Moteur!D78="","",Moteur!D78)</f>
        <v>MBWAY_BOR</v>
      </c>
      <c r="B78" t="str">
        <f>IF(Moteur!B78="","",Moteur!B78)</f>
        <v>V02</v>
      </c>
      <c r="C78" t="str">
        <f>IF(Moteur!F78="","",Moteur!F78)</f>
        <v>BAC_MGT</v>
      </c>
      <c r="D78" t="str">
        <f>IF(Moteur!G78="","",Moteur!G78)</f>
        <v>B2</v>
      </c>
      <c r="E78" t="str">
        <f>IF(Moteur!H78="","",Moteur!H78)</f>
        <v>ALT</v>
      </c>
      <c r="F78" t="str">
        <f>IF(Moteur!E78="","",Moteur!E78)</f>
        <v>MBWAY</v>
      </c>
      <c r="G78">
        <f>IF($A78="","",_xlfn.SUMIFS(Socle!$H$1:$H$658,Socle!$C$1:$C$658,$A78,Socle!$D$1:$D$658,$C78,Socle!$E$1:$E$658,$D78,Socle!$F$1:$F$658,$E78,Socle!$G$1:$G$658,"2026"))</f>
        <v>0</v>
      </c>
      <c r="H78">
        <f>IF($A78="","",_xlfn.SUMIFS(Socle!$N$1:$N$658,Socle!$C$1:$C$658,$A78,Socle!$D$1:$D$658,$C78,Socle!$E$1:$E$658,$D78,Socle!$F$1:$F$658,$E78,Socle!$G$1:$G$658,"2026"))</f>
        <v>51</v>
      </c>
      <c r="I78">
        <f>IF($A78="","",_xlfn.SUMIFS(Socle!$P$1:$P$658,Socle!$C$1:$C$658,$A78,Socle!$D$1:$D$658,$C78,Socle!$E$1:$E$658,$D78,Socle!$F$1:$F$658,$E78,Socle!$G$1:$G$658,"2026"))</f>
        <v>6790</v>
      </c>
      <c r="J78">
        <f>IF($A78="","",_xlfn.SUMIFS(Socle!$W$1:$W$658,Socle!$C$1:$C$658,$A78,Socle!$D$1:$D$658,$C78,Socle!$E$1:$E$658,$D78,Socle!$F$1:$F$658,$E78,Socle!$G$1:$G$658,"2026"))</f>
        <v>0</v>
      </c>
      <c r="K78">
        <f>IF($A78="","",_xlfn.SUMIFS(Socle!$X$1:$X$658,Socle!$C$1:$C$658,$A78,Socle!$D$1:$D$658,$C78,Socle!$E$1:$E$658,$D78,Socle!$F$1:$F$658,$E78,Socle!$G$1:$G$658,"2026"))</f>
        <v>0</v>
      </c>
      <c r="L78">
        <f>IF($A78="","",_xlfn.SUMIFS(Socle!$Y$1:$Y$658,Socle!$C$1:$C$658,$A78,Socle!$D$1:$D$658,$C78,Socle!$E$1:$E$658,$D78,Socle!$F$1:$F$658,$E78,Socle!$G$1:$G$658,"2026"))</f>
        <v>0</v>
      </c>
      <c r="M78">
        <f>IF($A78="","",_xlfn.SUMIFS(Socle!$V$1:$V$658,Socle!$C$1:$C$658,$A78,Socle!$D$1:$D$658,$C78,Socle!$E$1:$E$658,$D78,Socle!$F$1:$F$658,$E78,Socle!$G$1:$G$658,"2026"))</f>
        <v>0.960784314</v>
      </c>
      <c r="N78">
        <f t="shared" si="0"/>
        <v>0</v>
      </c>
      <c r="O78">
        <f>IF($A78="","",_xlfn.SUMIFS(Campagne!$D$1:$D$141,Campagne!$C$1:$C$141,$A78))</f>
        <v>630</v>
      </c>
      <c r="P78">
        <f>IF($A78="","",_xlfn.SUMIFS(Campagne!$E$1:$E$141,Campagne!$C$1:$C$141,$A78))</f>
        <v>656</v>
      </c>
      <c r="Q78">
        <f>IF($A78="","",_xlfn.SUMIFS(Campagne!$F$1:$F$141,Campagne!$C$1:$C$141,$A78))</f>
        <v>1286</v>
      </c>
      <c r="R78">
        <f>IF($A78="","",_xlfn.SUMIFS(Campagne!$K$1:$K$141,Campagne!$C$1:$C$141,$A78))</f>
        <v>0.538455294</v>
      </c>
      <c r="S78">
        <f>IF($A78="","",_xlfn.SUMIFS(Campagne!$M$1:$M$141,Campagne!$C$1:$C$141,$A78))</f>
        <v>0.348249172</v>
      </c>
      <c r="T78">
        <f>IF($A78="","",_xlfn.SUMIFS(Pilotage!$K$19:$K$32,Pilotage!$A$19:$A$32,$A78)*_xlfn.SUMIFS(Pilotage!$J$19:$J$32,Pilotage!$A$19:$A$32,$A78)*(SUM(Pilotage!$K$19:$K$32)/SUMPRODUCT(Pilotage!$K$19:$K$32,Pilotage!$J$19:$J$32)))</f>
        <v>24923</v>
      </c>
      <c r="U78">
        <f>IF($A78="","",_xlfn.SUMIFS(Pilotage!$K$19:$K$32,Pilotage!$A$19:$A$32,$A78))</f>
        <v>24923</v>
      </c>
      <c r="V78">
        <f>IF($A78="","",IF($B78="V01",Cadrage!$C$23,IF($B78="V02",Cadrage!$D$23,Cadrage!$E$23)))</f>
        <v>0.15</v>
      </c>
      <c r="W78">
        <f>IF($A78="","",IF($B78="V01",Cadrage!$C$24,IF($B78="V02",Cadrage!$D$24,Cadrage!$E$24)))</f>
        <v>0.15</v>
      </c>
      <c r="X78">
        <f>IF($A78="","",IF($B78="V01",Cadrage!$C$25,IF($B78="V02",Cadrage!$D$25,Cadrage!$E$25)))</f>
        <v>0.035</v>
      </c>
      <c r="Y78">
        <f>IF($A78="","",IF($B78="V01",Cadrage!$C$26,IF($B78="V02",Cadrage!$D$26,Cadrage!$E$26)))</f>
        <v>0.03</v>
      </c>
      <c r="Z78">
        <f>IF($A78="","",IF($B78="V01",Cadrage!$C$27,IF($B78="V02",Cadrage!$D$27,Cadrage!$E$27)))</f>
        <v>0.025</v>
      </c>
      <c r="AA78">
        <f>IF($A78="","",IF($B78="V01",Cadrage!$C$28,IF($B78="V02",Cadrage!$D$28,Cadrage!$E$28)))</f>
        <v>0.015</v>
      </c>
      <c r="AB78">
        <f>IF($A78="","",IF($B78="V01",Cadrage!$C$42,IF($B78="V02",Cadrage!$D$42,Cadrage!$E$42)))</f>
        <v>90</v>
      </c>
      <c r="AC78">
        <f>IF($A78="","",IF($F78="MBWAY",Cadrage!$K$34,IF($F78="ISCOM",Cadrage!$K$35,IF($F78="IPAC",Cadrage!$K$36,IF($F78="PIGIER",Cadrage!$K$37,Cadrage!$K$38)))))</f>
        <v>1.2</v>
      </c>
      <c r="AD78">
        <f t="shared" si="1"/>
        <v>0</v>
      </c>
      <c r="AE78">
        <f t="shared" si="2"/>
        <v>0</v>
      </c>
      <c r="AF78">
        <f t="shared" si="3"/>
        <v>49.765000014</v>
      </c>
      <c r="AG78">
        <f t="shared" si="4"/>
        <v>7075.18</v>
      </c>
      <c r="AH78">
        <f t="shared" si="5"/>
        <v>352096.332799053</v>
      </c>
    </row>
    <row r="79" ht="14.25" customHeight="1">
      <c r="A79" t="str">
        <f>IF(Moteur!D79="","",Moteur!D79)</f>
        <v>MBWAY_BOR</v>
      </c>
      <c r="B79" t="str">
        <f>IF(Moteur!B79="","",Moteur!B79)</f>
        <v>V02</v>
      </c>
      <c r="C79" t="str">
        <f>IF(Moteur!F79="","",Moteur!F79)</f>
        <v>BAC_MGT</v>
      </c>
      <c r="D79" t="str">
        <f>IF(Moteur!G79="","",Moteur!G79)</f>
        <v>B3</v>
      </c>
      <c r="E79" t="str">
        <f>IF(Moteur!H79="","",Moteur!H79)</f>
        <v>ALT</v>
      </c>
      <c r="F79" t="str">
        <f>IF(Moteur!E79="","",Moteur!E79)</f>
        <v>MBWAY</v>
      </c>
      <c r="G79">
        <f>IF($A79="","",_xlfn.SUMIFS(Socle!$H$1:$H$658,Socle!$C$1:$C$658,$A79,Socle!$D$1:$D$658,$C79,Socle!$E$1:$E$658,$D79,Socle!$F$1:$F$658,$E79,Socle!$G$1:$G$658,"2026"))</f>
        <v>0</v>
      </c>
      <c r="H79">
        <f>IF($A79="","",_xlfn.SUMIFS(Socle!$N$1:$N$658,Socle!$C$1:$C$658,$A79,Socle!$D$1:$D$658,$C79,Socle!$E$1:$E$658,$D79,Socle!$F$1:$F$658,$E79,Socle!$G$1:$G$658,"2026"))</f>
        <v>49</v>
      </c>
      <c r="I79">
        <f>IF($A79="","",_xlfn.SUMIFS(Socle!$P$1:$P$658,Socle!$C$1:$C$658,$A79,Socle!$D$1:$D$658,$C79,Socle!$E$1:$E$658,$D79,Socle!$F$1:$F$658,$E79,Socle!$G$1:$G$658,"2026"))</f>
        <v>6790</v>
      </c>
      <c r="J79">
        <f>IF($A79="","",_xlfn.SUMIFS(Socle!$W$1:$W$658,Socle!$C$1:$C$658,$A79,Socle!$D$1:$D$658,$C79,Socle!$E$1:$E$658,$D79,Socle!$F$1:$F$658,$E79,Socle!$G$1:$G$658,"2026"))</f>
        <v>0</v>
      </c>
      <c r="K79">
        <f>IF($A79="","",_xlfn.SUMIFS(Socle!$X$1:$X$658,Socle!$C$1:$C$658,$A79,Socle!$D$1:$D$658,$C79,Socle!$E$1:$E$658,$D79,Socle!$F$1:$F$658,$E79,Socle!$G$1:$G$658,"2026"))</f>
        <v>0</v>
      </c>
      <c r="L79">
        <f>IF($A79="","",_xlfn.SUMIFS(Socle!$Y$1:$Y$658,Socle!$C$1:$C$658,$A79,Socle!$D$1:$D$658,$C79,Socle!$E$1:$E$658,$D79,Socle!$F$1:$F$658,$E79,Socle!$G$1:$G$658,"2026"))</f>
        <v>0</v>
      </c>
      <c r="M79">
        <f>IF($A79="","",_xlfn.SUMIFS(Socle!$V$1:$V$658,Socle!$C$1:$C$658,$A79,Socle!$D$1:$D$658,$C79,Socle!$E$1:$E$658,$D79,Socle!$F$1:$F$658,$E79,Socle!$G$1:$G$658,"2026"))</f>
        <v>0.979591837</v>
      </c>
      <c r="N79">
        <f t="shared" si="0"/>
        <v>0</v>
      </c>
      <c r="O79">
        <f>IF($A79="","",_xlfn.SUMIFS(Campagne!$D$1:$D$141,Campagne!$C$1:$C$141,$A79))</f>
        <v>630</v>
      </c>
      <c r="P79">
        <f>IF($A79="","",_xlfn.SUMIFS(Campagne!$E$1:$E$141,Campagne!$C$1:$C$141,$A79))</f>
        <v>656</v>
      </c>
      <c r="Q79">
        <f>IF($A79="","",_xlfn.SUMIFS(Campagne!$F$1:$F$141,Campagne!$C$1:$C$141,$A79))</f>
        <v>1286</v>
      </c>
      <c r="R79">
        <f>IF($A79="","",_xlfn.SUMIFS(Campagne!$K$1:$K$141,Campagne!$C$1:$C$141,$A79))</f>
        <v>0.538455294</v>
      </c>
      <c r="S79">
        <f>IF($A79="","",_xlfn.SUMIFS(Campagne!$M$1:$M$141,Campagne!$C$1:$C$141,$A79))</f>
        <v>0.348249172</v>
      </c>
      <c r="T79">
        <f>IF($A79="","",_xlfn.SUMIFS(Pilotage!$K$19:$K$32,Pilotage!$A$19:$A$32,$A79)*_xlfn.SUMIFS(Pilotage!$J$19:$J$32,Pilotage!$A$19:$A$32,$A79)*(SUM(Pilotage!$K$19:$K$32)/SUMPRODUCT(Pilotage!$K$19:$K$32,Pilotage!$J$19:$J$32)))</f>
        <v>24923</v>
      </c>
      <c r="U79">
        <f>IF($A79="","",_xlfn.SUMIFS(Pilotage!$K$19:$K$32,Pilotage!$A$19:$A$32,$A79))</f>
        <v>24923</v>
      </c>
      <c r="V79">
        <f>IF($A79="","",IF($B79="V01",Cadrage!$C$23,IF($B79="V02",Cadrage!$D$23,Cadrage!$E$23)))</f>
        <v>0.15</v>
      </c>
      <c r="W79">
        <f>IF($A79="","",IF($B79="V01",Cadrage!$C$24,IF($B79="V02",Cadrage!$D$24,Cadrage!$E$24)))</f>
        <v>0.15</v>
      </c>
      <c r="X79">
        <f>IF($A79="","",IF($B79="V01",Cadrage!$C$25,IF($B79="V02",Cadrage!$D$25,Cadrage!$E$25)))</f>
        <v>0.035</v>
      </c>
      <c r="Y79">
        <f>IF($A79="","",IF($B79="V01",Cadrage!$C$26,IF($B79="V02",Cadrage!$D$26,Cadrage!$E$26)))</f>
        <v>0.03</v>
      </c>
      <c r="Z79">
        <f>IF($A79="","",IF($B79="V01",Cadrage!$C$27,IF($B79="V02",Cadrage!$D$27,Cadrage!$E$27)))</f>
        <v>0.025</v>
      </c>
      <c r="AA79">
        <f>IF($A79="","",IF($B79="V01",Cadrage!$C$28,IF($B79="V02",Cadrage!$D$28,Cadrage!$E$28)))</f>
        <v>0.015</v>
      </c>
      <c r="AB79">
        <f>IF($A79="","",IF($B79="V01",Cadrage!$C$42,IF($B79="V02",Cadrage!$D$42,Cadrage!$E$42)))</f>
        <v>90</v>
      </c>
      <c r="AC79">
        <f>IF($A79="","",IF($F79="MBWAY",Cadrage!$K$34,IF($F79="ISCOM",Cadrage!$K$35,IF($F79="IPAC",Cadrage!$K$36,IF($F79="PIGIER",Cadrage!$K$37,Cadrage!$K$38)))))</f>
        <v>1.2</v>
      </c>
      <c r="AD79">
        <f t="shared" si="1"/>
        <v>0</v>
      </c>
      <c r="AE79">
        <f t="shared" si="2"/>
        <v>0</v>
      </c>
      <c r="AF79">
        <f t="shared" si="3"/>
        <v>48.735000013</v>
      </c>
      <c r="AG79">
        <f t="shared" si="4"/>
        <v>7075.18</v>
      </c>
      <c r="AH79">
        <f t="shared" si="5"/>
        <v>344808.897391977</v>
      </c>
    </row>
    <row r="80" ht="14.25" customHeight="1">
      <c r="A80" t="str">
        <f>IF(Moteur!D80="","",Moteur!D80)</f>
        <v>MBWAY_BOR</v>
      </c>
      <c r="B80" t="str">
        <f>IF(Moteur!B80="","",Moteur!B80)</f>
        <v>V02</v>
      </c>
      <c r="C80" t="str">
        <f>IF(Moteur!F80="","",Moteur!F80)</f>
        <v>MAS_MGT</v>
      </c>
      <c r="D80" t="str">
        <f>IF(Moteur!G80="","",Moteur!G80)</f>
        <v>M1</v>
      </c>
      <c r="E80" t="str">
        <f>IF(Moteur!H80="","",Moteur!H80)</f>
        <v>ALT</v>
      </c>
      <c r="F80" t="str">
        <f>IF(Moteur!E80="","",Moteur!E80)</f>
        <v>MBWAY</v>
      </c>
      <c r="G80">
        <f>IF($A80="","",_xlfn.SUMIFS(Socle!$H$1:$H$658,Socle!$C$1:$C$658,$A80,Socle!$D$1:$D$658,$C80,Socle!$E$1:$E$658,$D80,Socle!$F$1:$F$658,$E80,Socle!$G$1:$G$658,"2026"))</f>
        <v>865</v>
      </c>
      <c r="H80">
        <f>IF($A80="","",_xlfn.SUMIFS(Socle!$N$1:$N$658,Socle!$C$1:$C$658,$A80,Socle!$D$1:$D$658,$C80,Socle!$E$1:$E$658,$D80,Socle!$F$1:$F$658,$E80,Socle!$G$1:$G$658,"2026"))</f>
        <v>0</v>
      </c>
      <c r="I80">
        <f>IF($A80="","",_xlfn.SUMIFS(Socle!$P$1:$P$658,Socle!$C$1:$C$658,$A80,Socle!$D$1:$D$658,$C80,Socle!$E$1:$E$658,$D80,Socle!$F$1:$F$658,$E80,Socle!$G$1:$G$658,"2026"))</f>
        <v>7275</v>
      </c>
      <c r="J80">
        <f>IF($A80="","",_xlfn.SUMIFS(Socle!$W$1:$W$658,Socle!$C$1:$C$658,$A80,Socle!$D$1:$D$658,$C80,Socle!$E$1:$E$658,$D80,Socle!$F$1:$F$658,$E80,Socle!$G$1:$G$658,"2026"))</f>
        <v>0.2</v>
      </c>
      <c r="K80">
        <f>IF($A80="","",_xlfn.SUMIFS(Socle!$X$1:$X$658,Socle!$C$1:$C$658,$A80,Socle!$D$1:$D$658,$C80,Socle!$E$1:$E$658,$D80,Socle!$F$1:$F$658,$E80,Socle!$G$1:$G$658,"2026"))</f>
        <v>0.699421965</v>
      </c>
      <c r="L80">
        <f>IF($A80="","",_xlfn.SUMIFS(Socle!$Y$1:$Y$658,Socle!$C$1:$C$658,$A80,Socle!$D$1:$D$658,$C80,Socle!$E$1:$E$658,$D80,Socle!$F$1:$F$658,$E80,Socle!$G$1:$G$658,"2026"))</f>
        <v>0.421487603</v>
      </c>
      <c r="M80">
        <f>IF($A80="","",_xlfn.SUMIFS(Socle!$V$1:$V$658,Socle!$C$1:$C$658,$A80,Socle!$D$1:$D$658,$C80,Socle!$E$1:$E$658,$D80,Socle!$F$1:$F$658,$E80,Socle!$G$1:$G$658,"2026"))</f>
        <v>0</v>
      </c>
      <c r="N80">
        <f t="shared" si="0"/>
        <v>1</v>
      </c>
      <c r="O80">
        <f>IF($A80="","",_xlfn.SUMIFS(Campagne!$D$1:$D$141,Campagne!$C$1:$C$141,$A80))</f>
        <v>630</v>
      </c>
      <c r="P80">
        <f>IF($A80="","",_xlfn.SUMIFS(Campagne!$E$1:$E$141,Campagne!$C$1:$C$141,$A80))</f>
        <v>656</v>
      </c>
      <c r="Q80">
        <f>IF($A80="","",_xlfn.SUMIFS(Campagne!$F$1:$F$141,Campagne!$C$1:$C$141,$A80))</f>
        <v>1286</v>
      </c>
      <c r="R80">
        <f>IF($A80="","",_xlfn.SUMIFS(Campagne!$K$1:$K$141,Campagne!$C$1:$C$141,$A80))</f>
        <v>0.538455294</v>
      </c>
      <c r="S80">
        <f>IF($A80="","",_xlfn.SUMIFS(Campagne!$M$1:$M$141,Campagne!$C$1:$C$141,$A80))</f>
        <v>0.348249172</v>
      </c>
      <c r="T80">
        <f>IF($A80="","",_xlfn.SUMIFS(Pilotage!$K$19:$K$32,Pilotage!$A$19:$A$32,$A80)*_xlfn.SUMIFS(Pilotage!$J$19:$J$32,Pilotage!$A$19:$A$32,$A80)*(SUM(Pilotage!$K$19:$K$32)/SUMPRODUCT(Pilotage!$K$19:$K$32,Pilotage!$J$19:$J$32)))</f>
        <v>24923</v>
      </c>
      <c r="U80">
        <f>IF($A80="","",_xlfn.SUMIFS(Pilotage!$K$19:$K$32,Pilotage!$A$19:$A$32,$A80))</f>
        <v>24923</v>
      </c>
      <c r="V80">
        <f>IF($A80="","",IF($B80="V01",Cadrage!$C$23,IF($B80="V02",Cadrage!$D$23,Cadrage!$E$23)))</f>
        <v>0.15</v>
      </c>
      <c r="W80">
        <f>IF($A80="","",IF($B80="V01",Cadrage!$C$24,IF($B80="V02",Cadrage!$D$24,Cadrage!$E$24)))</f>
        <v>0.15</v>
      </c>
      <c r="X80">
        <f>IF($A80="","",IF($B80="V01",Cadrage!$C$25,IF($B80="V02",Cadrage!$D$25,Cadrage!$E$25)))</f>
        <v>0.035</v>
      </c>
      <c r="Y80">
        <f>IF($A80="","",IF($B80="V01",Cadrage!$C$26,IF($B80="V02",Cadrage!$D$26,Cadrage!$E$26)))</f>
        <v>0.03</v>
      </c>
      <c r="Z80">
        <f>IF($A80="","",IF($B80="V01",Cadrage!$C$27,IF($B80="V02",Cadrage!$D$27,Cadrage!$E$27)))</f>
        <v>0.025</v>
      </c>
      <c r="AA80">
        <f>IF($A80="","",IF($B80="V01",Cadrage!$C$28,IF($B80="V02",Cadrage!$D$28,Cadrage!$E$28)))</f>
        <v>0.015</v>
      </c>
      <c r="AB80">
        <f>IF($A80="","",IF($B80="V01",Cadrage!$C$42,IF($B80="V02",Cadrage!$D$42,Cadrage!$E$42)))</f>
        <v>90</v>
      </c>
      <c r="AC80">
        <f>IF($A80="","",IF($F80="MBWAY",Cadrage!$K$34,IF($F80="ISCOM",Cadrage!$K$35,IF($F80="IPAC",Cadrage!$K$36,IF($F80="PIGIER",Cadrage!$K$37,Cadrage!$K$38)))))</f>
        <v>1.2</v>
      </c>
      <c r="AD80">
        <f t="shared" si="1"/>
        <v>66.1238582805915</v>
      </c>
      <c r="AE80">
        <f t="shared" si="2"/>
        <v>66.1238582805915</v>
      </c>
      <c r="AF80">
        <f t="shared" si="3"/>
        <v>66.1238582805915</v>
      </c>
      <c r="AG80">
        <f t="shared" si="4"/>
        <v>7580.55</v>
      </c>
      <c r="AH80">
        <f t="shared" si="5"/>
        <v>507206.361134191</v>
      </c>
    </row>
    <row r="81" ht="14.25" customHeight="1">
      <c r="A81" t="str">
        <f>IF(Moteur!D81="","",Moteur!D81)</f>
        <v>MBWAY_BOR</v>
      </c>
      <c r="B81" t="str">
        <f>IF(Moteur!B81="","",Moteur!B81)</f>
        <v>V02</v>
      </c>
      <c r="C81" t="str">
        <f>IF(Moteur!F81="","",Moteur!F81)</f>
        <v>MAS_MGT</v>
      </c>
      <c r="D81" t="str">
        <f>IF(Moteur!G81="","",Moteur!G81)</f>
        <v>M2</v>
      </c>
      <c r="E81" t="str">
        <f>IF(Moteur!H81="","",Moteur!H81)</f>
        <v>ALT</v>
      </c>
      <c r="F81" t="str">
        <f>IF(Moteur!E81="","",Moteur!E81)</f>
        <v>MBWAY</v>
      </c>
      <c r="G81">
        <f>IF($A81="","",_xlfn.SUMIFS(Socle!$H$1:$H$658,Socle!$C$1:$C$658,$A81,Socle!$D$1:$D$658,$C81,Socle!$E$1:$E$658,$D81,Socle!$F$1:$F$658,$E81,Socle!$G$1:$G$658,"2026"))</f>
        <v>0</v>
      </c>
      <c r="H81">
        <f>IF($A81="","",_xlfn.SUMIFS(Socle!$N$1:$N$658,Socle!$C$1:$C$658,$A81,Socle!$D$1:$D$658,$C81,Socle!$E$1:$E$658,$D81,Socle!$F$1:$F$658,$E81,Socle!$G$1:$G$658,"2026"))</f>
        <v>51</v>
      </c>
      <c r="I81">
        <f>IF($A81="","",_xlfn.SUMIFS(Socle!$P$1:$P$658,Socle!$C$1:$C$658,$A81,Socle!$D$1:$D$658,$C81,Socle!$E$1:$E$658,$D81,Socle!$F$1:$F$658,$E81,Socle!$G$1:$G$658,"2026"))</f>
        <v>7275</v>
      </c>
      <c r="J81">
        <f>IF($A81="","",_xlfn.SUMIFS(Socle!$W$1:$W$658,Socle!$C$1:$C$658,$A81,Socle!$D$1:$D$658,$C81,Socle!$E$1:$E$658,$D81,Socle!$F$1:$F$658,$E81,Socle!$G$1:$G$658,"2026"))</f>
        <v>0</v>
      </c>
      <c r="K81">
        <f>IF($A81="","",_xlfn.SUMIFS(Socle!$X$1:$X$658,Socle!$C$1:$C$658,$A81,Socle!$D$1:$D$658,$C81,Socle!$E$1:$E$658,$D81,Socle!$F$1:$F$658,$E81,Socle!$G$1:$G$658,"2026"))</f>
        <v>0</v>
      </c>
      <c r="L81">
        <f>IF($A81="","",_xlfn.SUMIFS(Socle!$Y$1:$Y$658,Socle!$C$1:$C$658,$A81,Socle!$D$1:$D$658,$C81,Socle!$E$1:$E$658,$D81,Socle!$F$1:$F$658,$E81,Socle!$G$1:$G$658,"2026"))</f>
        <v>0</v>
      </c>
      <c r="M81">
        <f>IF($A81="","",_xlfn.SUMIFS(Socle!$V$1:$V$658,Socle!$C$1:$C$658,$A81,Socle!$D$1:$D$658,$C81,Socle!$E$1:$E$658,$D81,Socle!$F$1:$F$658,$E81,Socle!$G$1:$G$658,"2026"))</f>
        <v>0.980392157</v>
      </c>
      <c r="N81">
        <f t="shared" si="0"/>
        <v>0</v>
      </c>
      <c r="O81">
        <f>IF($A81="","",_xlfn.SUMIFS(Campagne!$D$1:$D$141,Campagne!$C$1:$C$141,$A81))</f>
        <v>630</v>
      </c>
      <c r="P81">
        <f>IF($A81="","",_xlfn.SUMIFS(Campagne!$E$1:$E$141,Campagne!$C$1:$C$141,$A81))</f>
        <v>656</v>
      </c>
      <c r="Q81">
        <f>IF($A81="","",_xlfn.SUMIFS(Campagne!$F$1:$F$141,Campagne!$C$1:$C$141,$A81))</f>
        <v>1286</v>
      </c>
      <c r="R81">
        <f>IF($A81="","",_xlfn.SUMIFS(Campagne!$K$1:$K$141,Campagne!$C$1:$C$141,$A81))</f>
        <v>0.538455294</v>
      </c>
      <c r="S81">
        <f>IF($A81="","",_xlfn.SUMIFS(Campagne!$M$1:$M$141,Campagne!$C$1:$C$141,$A81))</f>
        <v>0.348249172</v>
      </c>
      <c r="T81">
        <f>IF($A81="","",_xlfn.SUMIFS(Pilotage!$K$19:$K$32,Pilotage!$A$19:$A$32,$A81)*_xlfn.SUMIFS(Pilotage!$J$19:$J$32,Pilotage!$A$19:$A$32,$A81)*(SUM(Pilotage!$K$19:$K$32)/SUMPRODUCT(Pilotage!$K$19:$K$32,Pilotage!$J$19:$J$32)))</f>
        <v>24923</v>
      </c>
      <c r="U81">
        <f>IF($A81="","",_xlfn.SUMIFS(Pilotage!$K$19:$K$32,Pilotage!$A$19:$A$32,$A81))</f>
        <v>24923</v>
      </c>
      <c r="V81">
        <f>IF($A81="","",IF($B81="V01",Cadrage!$C$23,IF($B81="V02",Cadrage!$D$23,Cadrage!$E$23)))</f>
        <v>0.15</v>
      </c>
      <c r="W81">
        <f>IF($A81="","",IF($B81="V01",Cadrage!$C$24,IF($B81="V02",Cadrage!$D$24,Cadrage!$E$24)))</f>
        <v>0.15</v>
      </c>
      <c r="X81">
        <f>IF($A81="","",IF($B81="V01",Cadrage!$C$25,IF($B81="V02",Cadrage!$D$25,Cadrage!$E$25)))</f>
        <v>0.035</v>
      </c>
      <c r="Y81">
        <f>IF($A81="","",IF($B81="V01",Cadrage!$C$26,IF($B81="V02",Cadrage!$D$26,Cadrage!$E$26)))</f>
        <v>0.03</v>
      </c>
      <c r="Z81">
        <f>IF($A81="","",IF($B81="V01",Cadrage!$C$27,IF($B81="V02",Cadrage!$D$27,Cadrage!$E$27)))</f>
        <v>0.025</v>
      </c>
      <c r="AA81">
        <f>IF($A81="","",IF($B81="V01",Cadrage!$C$28,IF($B81="V02",Cadrage!$D$28,Cadrage!$E$28)))</f>
        <v>0.015</v>
      </c>
      <c r="AB81">
        <f>IF($A81="","",IF($B81="V01",Cadrage!$C$42,IF($B81="V02",Cadrage!$D$42,Cadrage!$E$42)))</f>
        <v>90</v>
      </c>
      <c r="AC81">
        <f>IF($A81="","",IF($F81="MBWAY",Cadrage!$K$34,IF($F81="ISCOM",Cadrage!$K$35,IF($F81="IPAC",Cadrage!$K$36,IF($F81="PIGIER",Cadrage!$K$37,Cadrage!$K$38)))))</f>
        <v>1.2</v>
      </c>
      <c r="AD81">
        <f t="shared" si="1"/>
        <v>0</v>
      </c>
      <c r="AE81">
        <f t="shared" si="2"/>
        <v>0</v>
      </c>
      <c r="AF81">
        <f t="shared" si="3"/>
        <v>50.765000007</v>
      </c>
      <c r="AG81">
        <f t="shared" si="4"/>
        <v>7580.55</v>
      </c>
      <c r="AH81">
        <f t="shared" si="5"/>
        <v>384826.620803064</v>
      </c>
    </row>
    <row r="82" ht="14.25" customHeight="1">
      <c r="A82" t="str">
        <f>IF(Moteur!D82="","",Moteur!D82)</f>
        <v>ISCOM_PAR</v>
      </c>
      <c r="B82" t="str">
        <f>IF(Moteur!B82="","",Moteur!B82)</f>
        <v>V02</v>
      </c>
      <c r="C82" t="str">
        <f>IF(Moteur!F82="","",Moteur!F82)</f>
        <v>BAC_COM</v>
      </c>
      <c r="D82" t="str">
        <f>IF(Moteur!G82="","",Moteur!G82)</f>
        <v>B1</v>
      </c>
      <c r="E82" t="str">
        <f>IF(Moteur!H82="","",Moteur!H82)</f>
        <v>INIT</v>
      </c>
      <c r="F82" t="str">
        <f>IF(Moteur!E82="","",Moteur!E82)</f>
        <v>ISCOM</v>
      </c>
      <c r="G82">
        <f>IF($A82="","",_xlfn.SUMIFS(Socle!$H$1:$H$658,Socle!$C$1:$C$658,$A82,Socle!$D$1:$D$658,$C82,Socle!$E$1:$E$658,$D82,Socle!$F$1:$F$658,$E82,Socle!$G$1:$G$658,"2026"))</f>
        <v>596</v>
      </c>
      <c r="H82">
        <f>IF($A82="","",_xlfn.SUMIFS(Socle!$N$1:$N$658,Socle!$C$1:$C$658,$A82,Socle!$D$1:$D$658,$C82,Socle!$E$1:$E$658,$D82,Socle!$F$1:$F$658,$E82,Socle!$G$1:$G$658,"2026"))</f>
        <v>0</v>
      </c>
      <c r="I82">
        <f>IF($A82="","",_xlfn.SUMIFS(Socle!$P$1:$P$658,Socle!$C$1:$C$658,$A82,Socle!$D$1:$D$658,$C82,Socle!$E$1:$E$658,$D82,Socle!$F$1:$F$658,$E82,Socle!$G$1:$G$658,"2026"))</f>
        <v>8400</v>
      </c>
      <c r="J82">
        <f>IF($A82="","",_xlfn.SUMIFS(Socle!$W$1:$W$658,Socle!$C$1:$C$658,$A82,Socle!$D$1:$D$658,$C82,Socle!$E$1:$E$658,$D82,Socle!$F$1:$F$658,$E82,Socle!$G$1:$G$658,"2026"))</f>
        <v>0.280201342</v>
      </c>
      <c r="K82">
        <f>IF($A82="","",_xlfn.SUMIFS(Socle!$X$1:$X$658,Socle!$C$1:$C$658,$A82,Socle!$D$1:$D$658,$C82,Socle!$E$1:$E$658,$D82,Socle!$F$1:$F$658,$E82,Socle!$G$1:$G$658,"2026"))</f>
        <v>0.718562874</v>
      </c>
      <c r="L82">
        <f>IF($A82="","",_xlfn.SUMIFS(Socle!$Y$1:$Y$658,Socle!$C$1:$C$658,$A82,Socle!$D$1:$D$658,$C82,Socle!$E$1:$E$658,$D82,Socle!$F$1:$F$658,$E82,Socle!$G$1:$G$658,"2026"))</f>
        <v>0.6</v>
      </c>
      <c r="M82">
        <f>IF($A82="","",_xlfn.SUMIFS(Socle!$V$1:$V$658,Socle!$C$1:$C$658,$A82,Socle!$D$1:$D$658,$C82,Socle!$E$1:$E$658,$D82,Socle!$F$1:$F$658,$E82,Socle!$G$1:$G$658,"2026"))</f>
        <v>0</v>
      </c>
      <c r="N82">
        <f t="shared" si="0"/>
        <v>1</v>
      </c>
      <c r="O82">
        <f>IF($A82="","",_xlfn.SUMIFS(Campagne!$D$1:$D$141,Campagne!$C$1:$C$141,$A82))</f>
        <v>690</v>
      </c>
      <c r="P82">
        <f>IF($A82="","",_xlfn.SUMIFS(Campagne!$E$1:$E$141,Campagne!$C$1:$C$141,$A82))</f>
        <v>1126</v>
      </c>
      <c r="Q82">
        <f>IF($A82="","",_xlfn.SUMIFS(Campagne!$F$1:$F$141,Campagne!$C$1:$C$141,$A82))</f>
        <v>1816</v>
      </c>
      <c r="R82">
        <f>IF($A82="","",_xlfn.SUMIFS(Campagne!$K$1:$K$141,Campagne!$C$1:$C$141,$A82))</f>
        <v>0.442086266</v>
      </c>
      <c r="S82">
        <f>IF($A82="","",_xlfn.SUMIFS(Campagne!$M$1:$M$141,Campagne!$C$1:$C$141,$A82))</f>
        <v>0.317193514</v>
      </c>
      <c r="T82">
        <f>IF($A82="","",_xlfn.SUMIFS(Pilotage!$K$19:$K$32,Pilotage!$A$19:$A$32,$A82)*_xlfn.SUMIFS(Pilotage!$J$19:$J$32,Pilotage!$A$19:$A$32,$A82)*(SUM(Pilotage!$K$19:$K$32)/SUMPRODUCT(Pilotage!$K$19:$K$32,Pilotage!$J$19:$J$32)))</f>
        <v>60800</v>
      </c>
      <c r="U82">
        <f>IF($A82="","",_xlfn.SUMIFS(Pilotage!$K$19:$K$32,Pilotage!$A$19:$A$32,$A82))</f>
        <v>60800</v>
      </c>
      <c r="V82">
        <f>IF($A82="","",IF($B82="V01",Cadrage!$C$23,IF($B82="V02",Cadrage!$D$23,Cadrage!$E$23)))</f>
        <v>0.15</v>
      </c>
      <c r="W82">
        <f>IF($A82="","",IF($B82="V01",Cadrage!$C$24,IF($B82="V02",Cadrage!$D$24,Cadrage!$E$24)))</f>
        <v>0.15</v>
      </c>
      <c r="X82">
        <f>IF($A82="","",IF($B82="V01",Cadrage!$C$25,IF($B82="V02",Cadrage!$D$25,Cadrage!$E$25)))</f>
        <v>0.035</v>
      </c>
      <c r="Y82">
        <f>IF($A82="","",IF($B82="V01",Cadrage!$C$26,IF($B82="V02",Cadrage!$D$26,Cadrage!$E$26)))</f>
        <v>0.03</v>
      </c>
      <c r="Z82">
        <f>IF($A82="","",IF($B82="V01",Cadrage!$C$27,IF($B82="V02",Cadrage!$D$27,Cadrage!$E$27)))</f>
        <v>0.025</v>
      </c>
      <c r="AA82">
        <f>IF($A82="","",IF($B82="V01",Cadrage!$C$28,IF($B82="V02",Cadrage!$D$28,Cadrage!$E$28)))</f>
        <v>0.015</v>
      </c>
      <c r="AB82">
        <f>IF($A82="","",IF($B82="V01",Cadrage!$C$42,IF($B82="V02",Cadrage!$D$42,Cadrage!$E$42)))</f>
        <v>90</v>
      </c>
      <c r="AC82">
        <f>IF($A82="","",IF($F82="MBWAY",Cadrage!$K$34,IF($F82="ISCOM",Cadrage!$K$35,IF($F82="IPAC",Cadrage!$K$36,IF($F82="PIGIER",Cadrage!$K$37,Cadrage!$K$38)))))</f>
        <v>1.15</v>
      </c>
      <c r="AD82">
        <f t="shared" si="1"/>
        <v>87.7412123802966</v>
      </c>
      <c r="AE82">
        <f t="shared" si="2"/>
        <v>87.7412123802966</v>
      </c>
      <c r="AF82">
        <f t="shared" si="3"/>
        <v>87.7412123802966</v>
      </c>
      <c r="AG82">
        <f t="shared" si="4"/>
        <v>8738.1</v>
      </c>
      <c r="AH82">
        <f t="shared" si="5"/>
        <v>774588.197014497</v>
      </c>
    </row>
    <row r="83" ht="14.25" customHeight="1">
      <c r="A83" t="str">
        <f>IF(Moteur!D83="","",Moteur!D83)</f>
        <v>ISCOM_PAR</v>
      </c>
      <c r="B83" t="str">
        <f>IF(Moteur!B83="","",Moteur!B83)</f>
        <v>V02</v>
      </c>
      <c r="C83" t="str">
        <f>IF(Moteur!F83="","",Moteur!F83)</f>
        <v>BAC_COM</v>
      </c>
      <c r="D83" t="str">
        <f>IF(Moteur!G83="","",Moteur!G83)</f>
        <v>B2</v>
      </c>
      <c r="E83" t="str">
        <f>IF(Moteur!H83="","",Moteur!H83)</f>
        <v>ALT</v>
      </c>
      <c r="F83" t="str">
        <f>IF(Moteur!E83="","",Moteur!E83)</f>
        <v>ISCOM</v>
      </c>
      <c r="G83">
        <f>IF($A83="","",_xlfn.SUMIFS(Socle!$H$1:$H$658,Socle!$C$1:$C$658,$A83,Socle!$D$1:$D$658,$C83,Socle!$E$1:$E$658,$D83,Socle!$F$1:$F$658,$E83,Socle!$G$1:$G$658,"2026"))</f>
        <v>0</v>
      </c>
      <c r="H83">
        <f>IF($A83="","",_xlfn.SUMIFS(Socle!$N$1:$N$658,Socle!$C$1:$C$658,$A83,Socle!$D$1:$D$658,$C83,Socle!$E$1:$E$658,$D83,Socle!$F$1:$F$658,$E83,Socle!$G$1:$G$658,"2026"))</f>
        <v>72</v>
      </c>
      <c r="I83">
        <f>IF($A83="","",_xlfn.SUMIFS(Socle!$P$1:$P$658,Socle!$C$1:$C$658,$A83,Socle!$D$1:$D$658,$C83,Socle!$E$1:$E$658,$D83,Socle!$F$1:$F$658,$E83,Socle!$G$1:$G$658,"2026"))</f>
        <v>7840</v>
      </c>
      <c r="J83">
        <f>IF($A83="","",_xlfn.SUMIFS(Socle!$W$1:$W$658,Socle!$C$1:$C$658,$A83,Socle!$D$1:$D$658,$C83,Socle!$E$1:$E$658,$D83,Socle!$F$1:$F$658,$E83,Socle!$G$1:$G$658,"2026"))</f>
        <v>0</v>
      </c>
      <c r="K83">
        <f>IF($A83="","",_xlfn.SUMIFS(Socle!$X$1:$X$658,Socle!$C$1:$C$658,$A83,Socle!$D$1:$D$658,$C83,Socle!$E$1:$E$658,$D83,Socle!$F$1:$F$658,$E83,Socle!$G$1:$G$658,"2026"))</f>
        <v>0</v>
      </c>
      <c r="L83">
        <f>IF($A83="","",_xlfn.SUMIFS(Socle!$Y$1:$Y$658,Socle!$C$1:$C$658,$A83,Socle!$D$1:$D$658,$C83,Socle!$E$1:$E$658,$D83,Socle!$F$1:$F$658,$E83,Socle!$G$1:$G$658,"2026"))</f>
        <v>0</v>
      </c>
      <c r="M83">
        <f>IF($A83="","",_xlfn.SUMIFS(Socle!$V$1:$V$658,Socle!$C$1:$C$658,$A83,Socle!$D$1:$D$658,$C83,Socle!$E$1:$E$658,$D83,Socle!$F$1:$F$658,$E83,Socle!$G$1:$G$658,"2026"))</f>
        <v>0.972222222</v>
      </c>
      <c r="N83">
        <f t="shared" si="0"/>
        <v>0</v>
      </c>
      <c r="O83">
        <f>IF($A83="","",_xlfn.SUMIFS(Campagne!$D$1:$D$141,Campagne!$C$1:$C$141,$A83))</f>
        <v>690</v>
      </c>
      <c r="P83">
        <f>IF($A83="","",_xlfn.SUMIFS(Campagne!$E$1:$E$141,Campagne!$C$1:$C$141,$A83))</f>
        <v>1126</v>
      </c>
      <c r="Q83">
        <f>IF($A83="","",_xlfn.SUMIFS(Campagne!$F$1:$F$141,Campagne!$C$1:$C$141,$A83))</f>
        <v>1816</v>
      </c>
      <c r="R83">
        <f>IF($A83="","",_xlfn.SUMIFS(Campagne!$K$1:$K$141,Campagne!$C$1:$C$141,$A83))</f>
        <v>0.442086266</v>
      </c>
      <c r="S83">
        <f>IF($A83="","",_xlfn.SUMIFS(Campagne!$M$1:$M$141,Campagne!$C$1:$C$141,$A83))</f>
        <v>0.317193514</v>
      </c>
      <c r="T83">
        <f>IF($A83="","",_xlfn.SUMIFS(Pilotage!$K$19:$K$32,Pilotage!$A$19:$A$32,$A83)*_xlfn.SUMIFS(Pilotage!$J$19:$J$32,Pilotage!$A$19:$A$32,$A83)*(SUM(Pilotage!$K$19:$K$32)/SUMPRODUCT(Pilotage!$K$19:$K$32,Pilotage!$J$19:$J$32)))</f>
        <v>60800</v>
      </c>
      <c r="U83">
        <f>IF($A83="","",_xlfn.SUMIFS(Pilotage!$K$19:$K$32,Pilotage!$A$19:$A$32,$A83))</f>
        <v>60800</v>
      </c>
      <c r="V83">
        <f>IF($A83="","",IF($B83="V01",Cadrage!$C$23,IF($B83="V02",Cadrage!$D$23,Cadrage!$E$23)))</f>
        <v>0.15</v>
      </c>
      <c r="W83">
        <f>IF($A83="","",IF($B83="V01",Cadrage!$C$24,IF($B83="V02",Cadrage!$D$24,Cadrage!$E$24)))</f>
        <v>0.15</v>
      </c>
      <c r="X83">
        <f>IF($A83="","",IF($B83="V01",Cadrage!$C$25,IF($B83="V02",Cadrage!$D$25,Cadrage!$E$25)))</f>
        <v>0.035</v>
      </c>
      <c r="Y83">
        <f>IF($A83="","",IF($B83="V01",Cadrage!$C$26,IF($B83="V02",Cadrage!$D$26,Cadrage!$E$26)))</f>
        <v>0.03</v>
      </c>
      <c r="Z83">
        <f>IF($A83="","",IF($B83="V01",Cadrage!$C$27,IF($B83="V02",Cadrage!$D$27,Cadrage!$E$27)))</f>
        <v>0.025</v>
      </c>
      <c r="AA83">
        <f>IF($A83="","",IF($B83="V01",Cadrage!$C$28,IF($B83="V02",Cadrage!$D$28,Cadrage!$E$28)))</f>
        <v>0.015</v>
      </c>
      <c r="AB83">
        <f>IF($A83="","",IF($B83="V01",Cadrage!$C$42,IF($B83="V02",Cadrage!$D$42,Cadrage!$E$42)))</f>
        <v>90</v>
      </c>
      <c r="AC83">
        <f>IF($A83="","",IF($F83="MBWAY",Cadrage!$K$34,IF($F83="ISCOM",Cadrage!$K$35,IF($F83="IPAC",Cadrage!$K$36,IF($F83="PIGIER",Cadrage!$K$37,Cadrage!$K$38)))))</f>
        <v>1.15</v>
      </c>
      <c r="AD83">
        <f t="shared" si="1"/>
        <v>0</v>
      </c>
      <c r="AE83">
        <f t="shared" si="2"/>
        <v>0</v>
      </c>
      <c r="AF83">
        <f t="shared" si="3"/>
        <v>71.079999984</v>
      </c>
      <c r="AG83">
        <f t="shared" si="4"/>
        <v>8155.56</v>
      </c>
      <c r="AH83">
        <f t="shared" si="5"/>
        <v>579697.204669511</v>
      </c>
    </row>
    <row r="84" ht="14.25" customHeight="1">
      <c r="A84" t="str">
        <f>IF(Moteur!D84="","",Moteur!D84)</f>
        <v>ISCOM_PAR</v>
      </c>
      <c r="B84" t="str">
        <f>IF(Moteur!B84="","",Moteur!B84)</f>
        <v>V02</v>
      </c>
      <c r="C84" t="str">
        <f>IF(Moteur!F84="","",Moteur!F84)</f>
        <v>BAC_COM</v>
      </c>
      <c r="D84" t="str">
        <f>IF(Moteur!G84="","",Moteur!G84)</f>
        <v>B3</v>
      </c>
      <c r="E84" t="str">
        <f>IF(Moteur!H84="","",Moteur!H84)</f>
        <v>ALT</v>
      </c>
      <c r="F84" t="str">
        <f>IF(Moteur!E84="","",Moteur!E84)</f>
        <v>ISCOM</v>
      </c>
      <c r="G84">
        <f>IF($A84="","",_xlfn.SUMIFS(Socle!$H$1:$H$658,Socle!$C$1:$C$658,$A84,Socle!$D$1:$D$658,$C84,Socle!$E$1:$E$658,$D84,Socle!$F$1:$F$658,$E84,Socle!$G$1:$G$658,"2026"))</f>
        <v>0</v>
      </c>
      <c r="H84">
        <f>IF($A84="","",_xlfn.SUMIFS(Socle!$N$1:$N$658,Socle!$C$1:$C$658,$A84,Socle!$D$1:$D$658,$C84,Socle!$E$1:$E$658,$D84,Socle!$F$1:$F$658,$E84,Socle!$G$1:$G$658,"2026"))</f>
        <v>70</v>
      </c>
      <c r="I84">
        <f>IF($A84="","",_xlfn.SUMIFS(Socle!$P$1:$P$658,Socle!$C$1:$C$658,$A84,Socle!$D$1:$D$658,$C84,Socle!$E$1:$E$658,$D84,Socle!$F$1:$F$658,$E84,Socle!$G$1:$G$658,"2026"))</f>
        <v>7840</v>
      </c>
      <c r="J84">
        <f>IF($A84="","",_xlfn.SUMIFS(Socle!$W$1:$W$658,Socle!$C$1:$C$658,$A84,Socle!$D$1:$D$658,$C84,Socle!$E$1:$E$658,$D84,Socle!$F$1:$F$658,$E84,Socle!$G$1:$G$658,"2026"))</f>
        <v>0</v>
      </c>
      <c r="K84">
        <f>IF($A84="","",_xlfn.SUMIFS(Socle!$X$1:$X$658,Socle!$C$1:$C$658,$A84,Socle!$D$1:$D$658,$C84,Socle!$E$1:$E$658,$D84,Socle!$F$1:$F$658,$E84,Socle!$G$1:$G$658,"2026"))</f>
        <v>0</v>
      </c>
      <c r="L84">
        <f>IF($A84="","",_xlfn.SUMIFS(Socle!$Y$1:$Y$658,Socle!$C$1:$C$658,$A84,Socle!$D$1:$D$658,$C84,Socle!$E$1:$E$658,$D84,Socle!$F$1:$F$658,$E84,Socle!$G$1:$G$658,"2026"))</f>
        <v>0</v>
      </c>
      <c r="M84">
        <f>IF($A84="","",_xlfn.SUMIFS(Socle!$V$1:$V$658,Socle!$C$1:$C$658,$A84,Socle!$D$1:$D$658,$C84,Socle!$E$1:$E$658,$D84,Socle!$F$1:$F$658,$E84,Socle!$G$1:$G$658,"2026"))</f>
        <v>0.985714286</v>
      </c>
      <c r="N84">
        <f t="shared" si="0"/>
        <v>0</v>
      </c>
      <c r="O84">
        <f>IF($A84="","",_xlfn.SUMIFS(Campagne!$D$1:$D$141,Campagne!$C$1:$C$141,$A84))</f>
        <v>690</v>
      </c>
      <c r="P84">
        <f>IF($A84="","",_xlfn.SUMIFS(Campagne!$E$1:$E$141,Campagne!$C$1:$C$141,$A84))</f>
        <v>1126</v>
      </c>
      <c r="Q84">
        <f>IF($A84="","",_xlfn.SUMIFS(Campagne!$F$1:$F$141,Campagne!$C$1:$C$141,$A84))</f>
        <v>1816</v>
      </c>
      <c r="R84">
        <f>IF($A84="","",_xlfn.SUMIFS(Campagne!$K$1:$K$141,Campagne!$C$1:$C$141,$A84))</f>
        <v>0.442086266</v>
      </c>
      <c r="S84">
        <f>IF($A84="","",_xlfn.SUMIFS(Campagne!$M$1:$M$141,Campagne!$C$1:$C$141,$A84))</f>
        <v>0.317193514</v>
      </c>
      <c r="T84">
        <f>IF($A84="","",_xlfn.SUMIFS(Pilotage!$K$19:$K$32,Pilotage!$A$19:$A$32,$A84)*_xlfn.SUMIFS(Pilotage!$J$19:$J$32,Pilotage!$A$19:$A$32,$A84)*(SUM(Pilotage!$K$19:$K$32)/SUMPRODUCT(Pilotage!$K$19:$K$32,Pilotage!$J$19:$J$32)))</f>
        <v>60800</v>
      </c>
      <c r="U84">
        <f>IF($A84="","",_xlfn.SUMIFS(Pilotage!$K$19:$K$32,Pilotage!$A$19:$A$32,$A84))</f>
        <v>60800</v>
      </c>
      <c r="V84">
        <f>IF($A84="","",IF($B84="V01",Cadrage!$C$23,IF($B84="V02",Cadrage!$D$23,Cadrage!$E$23)))</f>
        <v>0.15</v>
      </c>
      <c r="W84">
        <f>IF($A84="","",IF($B84="V01",Cadrage!$C$24,IF($B84="V02",Cadrage!$D$24,Cadrage!$E$24)))</f>
        <v>0.15</v>
      </c>
      <c r="X84">
        <f>IF($A84="","",IF($B84="V01",Cadrage!$C$25,IF($B84="V02",Cadrage!$D$25,Cadrage!$E$25)))</f>
        <v>0.035</v>
      </c>
      <c r="Y84">
        <f>IF($A84="","",IF($B84="V01",Cadrage!$C$26,IF($B84="V02",Cadrage!$D$26,Cadrage!$E$26)))</f>
        <v>0.03</v>
      </c>
      <c r="Z84">
        <f>IF($A84="","",IF($B84="V01",Cadrage!$C$27,IF($B84="V02",Cadrage!$D$27,Cadrage!$E$27)))</f>
        <v>0.025</v>
      </c>
      <c r="AA84">
        <f>IF($A84="","",IF($B84="V01",Cadrage!$C$28,IF($B84="V02",Cadrage!$D$28,Cadrage!$E$28)))</f>
        <v>0.015</v>
      </c>
      <c r="AB84">
        <f>IF($A84="","",IF($B84="V01",Cadrage!$C$42,IF($B84="V02",Cadrage!$D$42,Cadrage!$E$42)))</f>
        <v>90</v>
      </c>
      <c r="AC84">
        <f>IF($A84="","",IF($F84="MBWAY",Cadrage!$K$34,IF($F84="ISCOM",Cadrage!$K$35,IF($F84="IPAC",Cadrage!$K$36,IF($F84="PIGIER",Cadrage!$K$37,Cadrage!$K$38)))))</f>
        <v>1.15</v>
      </c>
      <c r="AD84">
        <f t="shared" si="1"/>
        <v>0</v>
      </c>
      <c r="AE84">
        <f t="shared" si="2"/>
        <v>0</v>
      </c>
      <c r="AF84">
        <f t="shared" si="3"/>
        <v>70.05000002</v>
      </c>
      <c r="AG84">
        <f t="shared" si="4"/>
        <v>8155.56</v>
      </c>
      <c r="AH84">
        <f t="shared" si="5"/>
        <v>571296.978163111</v>
      </c>
    </row>
    <row r="85" ht="14.25" customHeight="1">
      <c r="A85" t="str">
        <f>IF(Moteur!D85="","",Moteur!D85)</f>
        <v>ISCOM_PAR</v>
      </c>
      <c r="B85" t="str">
        <f>IF(Moteur!B85="","",Moteur!B85)</f>
        <v>V02</v>
      </c>
      <c r="C85" t="str">
        <f>IF(Moteur!F85="","",Moteur!F85)</f>
        <v>MAS_COM</v>
      </c>
      <c r="D85" t="str">
        <f>IF(Moteur!G85="","",Moteur!G85)</f>
        <v>M1</v>
      </c>
      <c r="E85" t="str">
        <f>IF(Moteur!H85="","",Moteur!H85)</f>
        <v>ALT</v>
      </c>
      <c r="F85" t="str">
        <f>IF(Moteur!E85="","",Moteur!E85)</f>
        <v>ISCOM</v>
      </c>
      <c r="G85">
        <f>IF($A85="","",_xlfn.SUMIFS(Socle!$H$1:$H$658,Socle!$C$1:$C$658,$A85,Socle!$D$1:$D$658,$C85,Socle!$E$1:$E$658,$D85,Socle!$F$1:$F$658,$E85,Socle!$G$1:$G$658,"2026"))</f>
        <v>1220</v>
      </c>
      <c r="H85">
        <f>IF($A85="","",_xlfn.SUMIFS(Socle!$N$1:$N$658,Socle!$C$1:$C$658,$A85,Socle!$D$1:$D$658,$C85,Socle!$E$1:$E$658,$D85,Socle!$F$1:$F$658,$E85,Socle!$G$1:$G$658,"2026"))</f>
        <v>0</v>
      </c>
      <c r="I85">
        <f>IF($A85="","",_xlfn.SUMIFS(Socle!$P$1:$P$658,Socle!$C$1:$C$658,$A85,Socle!$D$1:$D$658,$C85,Socle!$E$1:$E$658,$D85,Socle!$F$1:$F$658,$E85,Socle!$G$1:$G$658,"2026"))</f>
        <v>8400</v>
      </c>
      <c r="J85">
        <f>IF($A85="","",_xlfn.SUMIFS(Socle!$W$1:$W$658,Socle!$C$1:$C$658,$A85,Socle!$D$1:$D$658,$C85,Socle!$E$1:$E$658,$D85,Socle!$F$1:$F$658,$E85,Socle!$G$1:$G$658,"2026"))</f>
        <v>0.2</v>
      </c>
      <c r="K85">
        <f>IF($A85="","",_xlfn.SUMIFS(Socle!$X$1:$X$658,Socle!$C$1:$C$658,$A85,Socle!$D$1:$D$658,$C85,Socle!$E$1:$E$658,$D85,Socle!$F$1:$F$658,$E85,Socle!$G$1:$G$658,"2026"))</f>
        <v>0.700819672</v>
      </c>
      <c r="L85">
        <f>IF($A85="","",_xlfn.SUMIFS(Socle!$Y$1:$Y$658,Socle!$C$1:$C$658,$A85,Socle!$D$1:$D$658,$C85,Socle!$E$1:$E$658,$D85,Socle!$F$1:$F$658,$E85,Socle!$G$1:$G$658,"2026"))</f>
        <v>0.421052632</v>
      </c>
      <c r="M85">
        <f>IF($A85="","",_xlfn.SUMIFS(Socle!$V$1:$V$658,Socle!$C$1:$C$658,$A85,Socle!$D$1:$D$658,$C85,Socle!$E$1:$E$658,$D85,Socle!$F$1:$F$658,$E85,Socle!$G$1:$G$658,"2026"))</f>
        <v>0</v>
      </c>
      <c r="N85">
        <f t="shared" si="0"/>
        <v>1</v>
      </c>
      <c r="O85">
        <f>IF($A85="","",_xlfn.SUMIFS(Campagne!$D$1:$D$141,Campagne!$C$1:$C$141,$A85))</f>
        <v>690</v>
      </c>
      <c r="P85">
        <f>IF($A85="","",_xlfn.SUMIFS(Campagne!$E$1:$E$141,Campagne!$C$1:$C$141,$A85))</f>
        <v>1126</v>
      </c>
      <c r="Q85">
        <f>IF($A85="","",_xlfn.SUMIFS(Campagne!$F$1:$F$141,Campagne!$C$1:$C$141,$A85))</f>
        <v>1816</v>
      </c>
      <c r="R85">
        <f>IF($A85="","",_xlfn.SUMIFS(Campagne!$K$1:$K$141,Campagne!$C$1:$C$141,$A85))</f>
        <v>0.442086266</v>
      </c>
      <c r="S85">
        <f>IF($A85="","",_xlfn.SUMIFS(Campagne!$M$1:$M$141,Campagne!$C$1:$C$141,$A85))</f>
        <v>0.317193514</v>
      </c>
      <c r="T85">
        <f>IF($A85="","",_xlfn.SUMIFS(Pilotage!$K$19:$K$32,Pilotage!$A$19:$A$32,$A85)*_xlfn.SUMIFS(Pilotage!$J$19:$J$32,Pilotage!$A$19:$A$32,$A85)*(SUM(Pilotage!$K$19:$K$32)/SUMPRODUCT(Pilotage!$K$19:$K$32,Pilotage!$J$19:$J$32)))</f>
        <v>60800</v>
      </c>
      <c r="U85">
        <f>IF($A85="","",_xlfn.SUMIFS(Pilotage!$K$19:$K$32,Pilotage!$A$19:$A$32,$A85))</f>
        <v>60800</v>
      </c>
      <c r="V85">
        <f>IF($A85="","",IF($B85="V01",Cadrage!$C$23,IF($B85="V02",Cadrage!$D$23,Cadrage!$E$23)))</f>
        <v>0.15</v>
      </c>
      <c r="W85">
        <f>IF($A85="","",IF($B85="V01",Cadrage!$C$24,IF($B85="V02",Cadrage!$D$24,Cadrage!$E$24)))</f>
        <v>0.15</v>
      </c>
      <c r="X85">
        <f>IF($A85="","",IF($B85="V01",Cadrage!$C$25,IF($B85="V02",Cadrage!$D$25,Cadrage!$E$25)))</f>
        <v>0.035</v>
      </c>
      <c r="Y85">
        <f>IF($A85="","",IF($B85="V01",Cadrage!$C$26,IF($B85="V02",Cadrage!$D$26,Cadrage!$E$26)))</f>
        <v>0.03</v>
      </c>
      <c r="Z85">
        <f>IF($A85="","",IF($B85="V01",Cadrage!$C$27,IF($B85="V02",Cadrage!$D$27,Cadrage!$E$27)))</f>
        <v>0.025</v>
      </c>
      <c r="AA85">
        <f>IF($A85="","",IF($B85="V01",Cadrage!$C$28,IF($B85="V02",Cadrage!$D$28,Cadrage!$E$28)))</f>
        <v>0.015</v>
      </c>
      <c r="AB85">
        <f>IF($A85="","",IF($B85="V01",Cadrage!$C$42,IF($B85="V02",Cadrage!$D$42,Cadrage!$E$42)))</f>
        <v>90</v>
      </c>
      <c r="AC85">
        <f>IF($A85="","",IF($F85="MBWAY",Cadrage!$K$34,IF($F85="ISCOM",Cadrage!$K$35,IF($F85="IPAC",Cadrage!$K$36,IF($F85="PIGIER",Cadrage!$K$37,Cadrage!$K$38)))))</f>
        <v>1.15</v>
      </c>
      <c r="AD85">
        <f t="shared" si="1"/>
        <v>92.6934323313284</v>
      </c>
      <c r="AE85">
        <f t="shared" si="2"/>
        <v>92.6934323313284</v>
      </c>
      <c r="AF85">
        <f t="shared" si="3"/>
        <v>92.6934323313284</v>
      </c>
      <c r="AG85">
        <f t="shared" si="4"/>
        <v>8738.1</v>
      </c>
      <c r="AH85">
        <f t="shared" si="5"/>
        <v>818306.8899642</v>
      </c>
    </row>
    <row r="86" ht="14.25" customHeight="1">
      <c r="A86" t="str">
        <f>IF(Moteur!D86="","",Moteur!D86)</f>
        <v>ISCOM_PAR</v>
      </c>
      <c r="B86" t="str">
        <f>IF(Moteur!B86="","",Moteur!B86)</f>
        <v>V02</v>
      </c>
      <c r="C86" t="str">
        <f>IF(Moteur!F86="","",Moteur!F86)</f>
        <v>MAS_COM</v>
      </c>
      <c r="D86" t="str">
        <f>IF(Moteur!G86="","",Moteur!G86)</f>
        <v>M2</v>
      </c>
      <c r="E86" t="str">
        <f>IF(Moteur!H86="","",Moteur!H86)</f>
        <v>ALT</v>
      </c>
      <c r="F86" t="str">
        <f>IF(Moteur!E86="","",Moteur!E86)</f>
        <v>ISCOM</v>
      </c>
      <c r="G86">
        <f>IF($A86="","",_xlfn.SUMIFS(Socle!$H$1:$H$658,Socle!$C$1:$C$658,$A86,Socle!$D$1:$D$658,$C86,Socle!$E$1:$E$658,$D86,Socle!$F$1:$F$658,$E86,Socle!$G$1:$G$658,"2026"))</f>
        <v>0</v>
      </c>
      <c r="H86">
        <f>IF($A86="","",_xlfn.SUMIFS(Socle!$N$1:$N$658,Socle!$C$1:$C$658,$A86,Socle!$D$1:$D$658,$C86,Socle!$E$1:$E$658,$D86,Socle!$F$1:$F$658,$E86,Socle!$G$1:$G$658,"2026"))</f>
        <v>72</v>
      </c>
      <c r="I86">
        <f>IF($A86="","",_xlfn.SUMIFS(Socle!$P$1:$P$658,Socle!$C$1:$C$658,$A86,Socle!$D$1:$D$658,$C86,Socle!$E$1:$E$658,$D86,Socle!$F$1:$F$658,$E86,Socle!$G$1:$G$658,"2026"))</f>
        <v>8400</v>
      </c>
      <c r="J86">
        <f>IF($A86="","",_xlfn.SUMIFS(Socle!$W$1:$W$658,Socle!$C$1:$C$658,$A86,Socle!$D$1:$D$658,$C86,Socle!$E$1:$E$658,$D86,Socle!$F$1:$F$658,$E86,Socle!$G$1:$G$658,"2026"))</f>
        <v>0</v>
      </c>
      <c r="K86">
        <f>IF($A86="","",_xlfn.SUMIFS(Socle!$X$1:$X$658,Socle!$C$1:$C$658,$A86,Socle!$D$1:$D$658,$C86,Socle!$E$1:$E$658,$D86,Socle!$F$1:$F$658,$E86,Socle!$G$1:$G$658,"2026"))</f>
        <v>0</v>
      </c>
      <c r="L86">
        <f>IF($A86="","",_xlfn.SUMIFS(Socle!$Y$1:$Y$658,Socle!$C$1:$C$658,$A86,Socle!$D$1:$D$658,$C86,Socle!$E$1:$E$658,$D86,Socle!$F$1:$F$658,$E86,Socle!$G$1:$G$658,"2026"))</f>
        <v>0</v>
      </c>
      <c r="M86">
        <f>IF($A86="","",_xlfn.SUMIFS(Socle!$V$1:$V$658,Socle!$C$1:$C$658,$A86,Socle!$D$1:$D$658,$C86,Socle!$E$1:$E$658,$D86,Socle!$F$1:$F$658,$E86,Socle!$G$1:$G$658,"2026"))</f>
        <v>0.986111111</v>
      </c>
      <c r="N86">
        <f t="shared" si="0"/>
        <v>0</v>
      </c>
      <c r="O86">
        <f>IF($A86="","",_xlfn.SUMIFS(Campagne!$D$1:$D$141,Campagne!$C$1:$C$141,$A86))</f>
        <v>690</v>
      </c>
      <c r="P86">
        <f>IF($A86="","",_xlfn.SUMIFS(Campagne!$E$1:$E$141,Campagne!$C$1:$C$141,$A86))</f>
        <v>1126</v>
      </c>
      <c r="Q86">
        <f>IF($A86="","",_xlfn.SUMIFS(Campagne!$F$1:$F$141,Campagne!$C$1:$C$141,$A86))</f>
        <v>1816</v>
      </c>
      <c r="R86">
        <f>IF($A86="","",_xlfn.SUMIFS(Campagne!$K$1:$K$141,Campagne!$C$1:$C$141,$A86))</f>
        <v>0.442086266</v>
      </c>
      <c r="S86">
        <f>IF($A86="","",_xlfn.SUMIFS(Campagne!$M$1:$M$141,Campagne!$C$1:$C$141,$A86))</f>
        <v>0.317193514</v>
      </c>
      <c r="T86">
        <f>IF($A86="","",_xlfn.SUMIFS(Pilotage!$K$19:$K$32,Pilotage!$A$19:$A$32,$A86)*_xlfn.SUMIFS(Pilotage!$J$19:$J$32,Pilotage!$A$19:$A$32,$A86)*(SUM(Pilotage!$K$19:$K$32)/SUMPRODUCT(Pilotage!$K$19:$K$32,Pilotage!$J$19:$J$32)))</f>
        <v>60800</v>
      </c>
      <c r="U86">
        <f>IF($A86="","",_xlfn.SUMIFS(Pilotage!$K$19:$K$32,Pilotage!$A$19:$A$32,$A86))</f>
        <v>60800</v>
      </c>
      <c r="V86">
        <f>IF($A86="","",IF($B86="V01",Cadrage!$C$23,IF($B86="V02",Cadrage!$D$23,Cadrage!$E$23)))</f>
        <v>0.15</v>
      </c>
      <c r="W86">
        <f>IF($A86="","",IF($B86="V01",Cadrage!$C$24,IF($B86="V02",Cadrage!$D$24,Cadrage!$E$24)))</f>
        <v>0.15</v>
      </c>
      <c r="X86">
        <f>IF($A86="","",IF($B86="V01",Cadrage!$C$25,IF($B86="V02",Cadrage!$D$25,Cadrage!$E$25)))</f>
        <v>0.035</v>
      </c>
      <c r="Y86">
        <f>IF($A86="","",IF($B86="V01",Cadrage!$C$26,IF($B86="V02",Cadrage!$D$26,Cadrage!$E$26)))</f>
        <v>0.03</v>
      </c>
      <c r="Z86">
        <f>IF($A86="","",IF($B86="V01",Cadrage!$C$27,IF($B86="V02",Cadrage!$D$27,Cadrage!$E$27)))</f>
        <v>0.025</v>
      </c>
      <c r="AA86">
        <f>IF($A86="","",IF($B86="V01",Cadrage!$C$28,IF($B86="V02",Cadrage!$D$28,Cadrage!$E$28)))</f>
        <v>0.015</v>
      </c>
      <c r="AB86">
        <f>IF($A86="","",IF($B86="V01",Cadrage!$C$42,IF($B86="V02",Cadrage!$D$42,Cadrage!$E$42)))</f>
        <v>90</v>
      </c>
      <c r="AC86">
        <f>IF($A86="","",IF($F86="MBWAY",Cadrage!$K$34,IF($F86="ISCOM",Cadrage!$K$35,IF($F86="IPAC",Cadrage!$K$36,IF($F86="PIGIER",Cadrage!$K$37,Cadrage!$K$38)))))</f>
        <v>1.15</v>
      </c>
      <c r="AD86">
        <f t="shared" si="1"/>
        <v>0</v>
      </c>
      <c r="AE86">
        <f t="shared" si="2"/>
        <v>0</v>
      </c>
      <c r="AF86">
        <f t="shared" si="3"/>
        <v>72.079999992</v>
      </c>
      <c r="AG86">
        <f t="shared" si="4"/>
        <v>8738.1</v>
      </c>
      <c r="AH86">
        <f t="shared" si="5"/>
        <v>629842.247930095</v>
      </c>
    </row>
    <row r="87" ht="14.25" customHeight="1">
      <c r="A87" t="str">
        <f>IF(Moteur!D87="","",Moteur!D87)</f>
        <v>ISCOM_LIL</v>
      </c>
      <c r="B87" t="str">
        <f>IF(Moteur!B87="","",Moteur!B87)</f>
        <v>V02</v>
      </c>
      <c r="C87" t="str">
        <f>IF(Moteur!F87="","",Moteur!F87)</f>
        <v>BAC_COM</v>
      </c>
      <c r="D87" t="str">
        <f>IF(Moteur!G87="","",Moteur!G87)</f>
        <v>B1</v>
      </c>
      <c r="E87" t="str">
        <f>IF(Moteur!H87="","",Moteur!H87)</f>
        <v>INIT</v>
      </c>
      <c r="F87" t="str">
        <f>IF(Moteur!E87="","",Moteur!E87)</f>
        <v>ISCOM</v>
      </c>
      <c r="G87">
        <f>IF($A87="","",_xlfn.SUMIFS(Socle!$H$1:$H$658,Socle!$C$1:$C$658,$A87,Socle!$D$1:$D$658,$C87,Socle!$E$1:$E$658,$D87,Socle!$F$1:$F$658,$E87,Socle!$G$1:$G$658,"2026"))</f>
        <v>411</v>
      </c>
      <c r="H87">
        <f>IF($A87="","",_xlfn.SUMIFS(Socle!$N$1:$N$658,Socle!$C$1:$C$658,$A87,Socle!$D$1:$D$658,$C87,Socle!$E$1:$E$658,$D87,Socle!$F$1:$F$658,$E87,Socle!$G$1:$G$658,"2026"))</f>
        <v>0</v>
      </c>
      <c r="I87">
        <f>IF($A87="","",_xlfn.SUMIFS(Socle!$P$1:$P$658,Socle!$C$1:$C$658,$A87,Socle!$D$1:$D$658,$C87,Socle!$E$1:$E$658,$D87,Socle!$F$1:$F$658,$E87,Socle!$G$1:$G$658,"2026"))</f>
        <v>7350</v>
      </c>
      <c r="J87">
        <f>IF($A87="","",_xlfn.SUMIFS(Socle!$W$1:$W$658,Socle!$C$1:$C$658,$A87,Socle!$D$1:$D$658,$C87,Socle!$E$1:$E$658,$D87,Socle!$F$1:$F$658,$E87,Socle!$G$1:$G$658,"2026"))</f>
        <v>0.279805353</v>
      </c>
      <c r="K87">
        <f>IF($A87="","",_xlfn.SUMIFS(Socle!$X$1:$X$658,Socle!$C$1:$C$658,$A87,Socle!$D$1:$D$658,$C87,Socle!$E$1:$E$658,$D87,Socle!$F$1:$F$658,$E87,Socle!$G$1:$G$658,"2026"))</f>
        <v>0.72173913</v>
      </c>
      <c r="L87">
        <f>IF($A87="","",_xlfn.SUMIFS(Socle!$Y$1:$Y$658,Socle!$C$1:$C$658,$A87,Socle!$D$1:$D$658,$C87,Socle!$E$1:$E$658,$D87,Socle!$F$1:$F$658,$E87,Socle!$G$1:$G$658,"2026"))</f>
        <v>0.602409639</v>
      </c>
      <c r="M87">
        <f>IF($A87="","",_xlfn.SUMIFS(Socle!$V$1:$V$658,Socle!$C$1:$C$658,$A87,Socle!$D$1:$D$658,$C87,Socle!$E$1:$E$658,$D87,Socle!$F$1:$F$658,$E87,Socle!$G$1:$G$658,"2026"))</f>
        <v>0</v>
      </c>
      <c r="N87">
        <f t="shared" si="0"/>
        <v>1</v>
      </c>
      <c r="O87">
        <f>IF($A87="","",_xlfn.SUMIFS(Campagne!$D$1:$D$141,Campagne!$C$1:$C$141,$A87))</f>
        <v>630</v>
      </c>
      <c r="P87">
        <f>IF($A87="","",_xlfn.SUMIFS(Campagne!$E$1:$E$141,Campagne!$C$1:$C$141,$A87))</f>
        <v>630</v>
      </c>
      <c r="Q87">
        <f>IF($A87="","",_xlfn.SUMIFS(Campagne!$F$1:$F$141,Campagne!$C$1:$C$141,$A87))</f>
        <v>1260</v>
      </c>
      <c r="R87">
        <f>IF($A87="","",_xlfn.SUMIFS(Campagne!$K$1:$K$141,Campagne!$C$1:$C$141,$A87))</f>
        <v>0.515848308</v>
      </c>
      <c r="S87">
        <f>IF($A87="","",_xlfn.SUMIFS(Campagne!$M$1:$M$141,Campagne!$C$1:$C$141,$A87))</f>
        <v>0.348380583</v>
      </c>
      <c r="T87">
        <f>IF($A87="","",_xlfn.SUMIFS(Pilotage!$K$19:$K$32,Pilotage!$A$19:$A$32,$A87)*_xlfn.SUMIFS(Pilotage!$J$19:$J$32,Pilotage!$A$19:$A$32,$A87)*(SUM(Pilotage!$K$19:$K$32)/SUMPRODUCT(Pilotage!$K$19:$K$32,Pilotage!$J$19:$J$32)))</f>
        <v>25220</v>
      </c>
      <c r="U87">
        <f>IF($A87="","",_xlfn.SUMIFS(Pilotage!$K$19:$K$32,Pilotage!$A$19:$A$32,$A87))</f>
        <v>25220</v>
      </c>
      <c r="V87">
        <f>IF($A87="","",IF($B87="V01",Cadrage!$C$23,IF($B87="V02",Cadrage!$D$23,Cadrage!$E$23)))</f>
        <v>0.15</v>
      </c>
      <c r="W87">
        <f>IF($A87="","",IF($B87="V01",Cadrage!$C$24,IF($B87="V02",Cadrage!$D$24,Cadrage!$E$24)))</f>
        <v>0.15</v>
      </c>
      <c r="X87">
        <f>IF($A87="","",IF($B87="V01",Cadrage!$C$25,IF($B87="V02",Cadrage!$D$25,Cadrage!$E$25)))</f>
        <v>0.035</v>
      </c>
      <c r="Y87">
        <f>IF($A87="","",IF($B87="V01",Cadrage!$C$26,IF($B87="V02",Cadrage!$D$26,Cadrage!$E$26)))</f>
        <v>0.03</v>
      </c>
      <c r="Z87">
        <f>IF($A87="","",IF($B87="V01",Cadrage!$C$27,IF($B87="V02",Cadrage!$D$27,Cadrage!$E$27)))</f>
        <v>0.025</v>
      </c>
      <c r="AA87">
        <f>IF($A87="","",IF($B87="V01",Cadrage!$C$28,IF($B87="V02",Cadrage!$D$28,Cadrage!$E$28)))</f>
        <v>0.015</v>
      </c>
      <c r="AB87">
        <f>IF($A87="","",IF($B87="V01",Cadrage!$C$42,IF($B87="V02",Cadrage!$D$42,Cadrage!$E$42)))</f>
        <v>90</v>
      </c>
      <c r="AC87">
        <f>IF($A87="","",IF($F87="MBWAY",Cadrage!$K$34,IF($F87="ISCOM",Cadrage!$K$35,IF($F87="IPAC",Cadrage!$K$36,IF($F87="PIGIER",Cadrage!$K$37,Cadrage!$K$38)))))</f>
        <v>1.15</v>
      </c>
      <c r="AD87">
        <f t="shared" si="1"/>
        <v>61.2520079439867</v>
      </c>
      <c r="AE87">
        <f t="shared" si="2"/>
        <v>61.2520079439867</v>
      </c>
      <c r="AF87">
        <f t="shared" si="3"/>
        <v>61.2520079439867</v>
      </c>
      <c r="AG87">
        <f t="shared" si="4"/>
        <v>7645.8375</v>
      </c>
      <c r="AH87">
        <f t="shared" si="5"/>
        <v>473835.58000339</v>
      </c>
    </row>
    <row r="88" ht="14.25" customHeight="1">
      <c r="A88" t="str">
        <f>IF(Moteur!D88="","",Moteur!D88)</f>
        <v>ISCOM_LIL</v>
      </c>
      <c r="B88" t="str">
        <f>IF(Moteur!B88="","",Moteur!B88)</f>
        <v>V02</v>
      </c>
      <c r="C88" t="str">
        <f>IF(Moteur!F88="","",Moteur!F88)</f>
        <v>BAC_COM</v>
      </c>
      <c r="D88" t="str">
        <f>IF(Moteur!G88="","",Moteur!G88)</f>
        <v>B2</v>
      </c>
      <c r="E88" t="str">
        <f>IF(Moteur!H88="","",Moteur!H88)</f>
        <v>ALT</v>
      </c>
      <c r="F88" t="str">
        <f>IF(Moteur!E88="","",Moteur!E88)</f>
        <v>ISCOM</v>
      </c>
      <c r="G88">
        <f>IF($A88="","",_xlfn.SUMIFS(Socle!$H$1:$H$658,Socle!$C$1:$C$658,$A88,Socle!$D$1:$D$658,$C88,Socle!$E$1:$E$658,$D88,Socle!$F$1:$F$658,$E88,Socle!$G$1:$G$658,"2026"))</f>
        <v>0</v>
      </c>
      <c r="H88">
        <f>IF($A88="","",_xlfn.SUMIFS(Socle!$N$1:$N$658,Socle!$C$1:$C$658,$A88,Socle!$D$1:$D$658,$C88,Socle!$E$1:$E$658,$D88,Socle!$F$1:$F$658,$E88,Socle!$G$1:$G$658,"2026"))</f>
        <v>50</v>
      </c>
      <c r="I88">
        <f>IF($A88="","",_xlfn.SUMIFS(Socle!$P$1:$P$658,Socle!$C$1:$C$658,$A88,Socle!$D$1:$D$658,$C88,Socle!$E$1:$E$658,$D88,Socle!$F$1:$F$658,$E88,Socle!$G$1:$G$658,"2026"))</f>
        <v>6860</v>
      </c>
      <c r="J88">
        <f>IF($A88="","",_xlfn.SUMIFS(Socle!$W$1:$W$658,Socle!$C$1:$C$658,$A88,Socle!$D$1:$D$658,$C88,Socle!$E$1:$E$658,$D88,Socle!$F$1:$F$658,$E88,Socle!$G$1:$G$658,"2026"))</f>
        <v>0</v>
      </c>
      <c r="K88">
        <f>IF($A88="","",_xlfn.SUMIFS(Socle!$X$1:$X$658,Socle!$C$1:$C$658,$A88,Socle!$D$1:$D$658,$C88,Socle!$E$1:$E$658,$D88,Socle!$F$1:$F$658,$E88,Socle!$G$1:$G$658,"2026"))</f>
        <v>0</v>
      </c>
      <c r="L88">
        <f>IF($A88="","",_xlfn.SUMIFS(Socle!$Y$1:$Y$658,Socle!$C$1:$C$658,$A88,Socle!$D$1:$D$658,$C88,Socle!$E$1:$E$658,$D88,Socle!$F$1:$F$658,$E88,Socle!$G$1:$G$658,"2026"))</f>
        <v>0</v>
      </c>
      <c r="M88">
        <f>IF($A88="","",_xlfn.SUMIFS(Socle!$V$1:$V$658,Socle!$C$1:$C$658,$A88,Socle!$D$1:$D$658,$C88,Socle!$E$1:$E$658,$D88,Socle!$F$1:$F$658,$E88,Socle!$G$1:$G$658,"2026"))</f>
        <v>0.96</v>
      </c>
      <c r="N88">
        <f t="shared" si="0"/>
        <v>0</v>
      </c>
      <c r="O88">
        <f>IF($A88="","",_xlfn.SUMIFS(Campagne!$D$1:$D$141,Campagne!$C$1:$C$141,$A88))</f>
        <v>630</v>
      </c>
      <c r="P88">
        <f>IF($A88="","",_xlfn.SUMIFS(Campagne!$E$1:$E$141,Campagne!$C$1:$C$141,$A88))</f>
        <v>630</v>
      </c>
      <c r="Q88">
        <f>IF($A88="","",_xlfn.SUMIFS(Campagne!$F$1:$F$141,Campagne!$C$1:$C$141,$A88))</f>
        <v>1260</v>
      </c>
      <c r="R88">
        <f>IF($A88="","",_xlfn.SUMIFS(Campagne!$K$1:$K$141,Campagne!$C$1:$C$141,$A88))</f>
        <v>0.515848308</v>
      </c>
      <c r="S88">
        <f>IF($A88="","",_xlfn.SUMIFS(Campagne!$M$1:$M$141,Campagne!$C$1:$C$141,$A88))</f>
        <v>0.348380583</v>
      </c>
      <c r="T88">
        <f>IF($A88="","",_xlfn.SUMIFS(Pilotage!$K$19:$K$32,Pilotage!$A$19:$A$32,$A88)*_xlfn.SUMIFS(Pilotage!$J$19:$J$32,Pilotage!$A$19:$A$32,$A88)*(SUM(Pilotage!$K$19:$K$32)/SUMPRODUCT(Pilotage!$K$19:$K$32,Pilotage!$J$19:$J$32)))</f>
        <v>25220</v>
      </c>
      <c r="U88">
        <f>IF($A88="","",_xlfn.SUMIFS(Pilotage!$K$19:$K$32,Pilotage!$A$19:$A$32,$A88))</f>
        <v>25220</v>
      </c>
      <c r="V88">
        <f>IF($A88="","",IF($B88="V01",Cadrage!$C$23,IF($B88="V02",Cadrage!$D$23,Cadrage!$E$23)))</f>
        <v>0.15</v>
      </c>
      <c r="W88">
        <f>IF($A88="","",IF($B88="V01",Cadrage!$C$24,IF($B88="V02",Cadrage!$D$24,Cadrage!$E$24)))</f>
        <v>0.15</v>
      </c>
      <c r="X88">
        <f>IF($A88="","",IF($B88="V01",Cadrage!$C$25,IF($B88="V02",Cadrage!$D$25,Cadrage!$E$25)))</f>
        <v>0.035</v>
      </c>
      <c r="Y88">
        <f>IF($A88="","",IF($B88="V01",Cadrage!$C$26,IF($B88="V02",Cadrage!$D$26,Cadrage!$E$26)))</f>
        <v>0.03</v>
      </c>
      <c r="Z88">
        <f>IF($A88="","",IF($B88="V01",Cadrage!$C$27,IF($B88="V02",Cadrage!$D$27,Cadrage!$E$27)))</f>
        <v>0.025</v>
      </c>
      <c r="AA88">
        <f>IF($A88="","",IF($B88="V01",Cadrage!$C$28,IF($B88="V02",Cadrage!$D$28,Cadrage!$E$28)))</f>
        <v>0.015</v>
      </c>
      <c r="AB88">
        <f>IF($A88="","",IF($B88="V01",Cadrage!$C$42,IF($B88="V02",Cadrage!$D$42,Cadrage!$E$42)))</f>
        <v>90</v>
      </c>
      <c r="AC88">
        <f>IF($A88="","",IF($F88="MBWAY",Cadrage!$K$34,IF($F88="ISCOM",Cadrage!$K$35,IF($F88="IPAC",Cadrage!$K$36,IF($F88="PIGIER",Cadrage!$K$37,Cadrage!$K$38)))))</f>
        <v>1.15</v>
      </c>
      <c r="AD88">
        <f t="shared" si="1"/>
        <v>0</v>
      </c>
      <c r="AE88">
        <f t="shared" si="2"/>
        <v>0</v>
      </c>
      <c r="AF88">
        <f t="shared" si="3"/>
        <v>48.75</v>
      </c>
      <c r="AG88">
        <f t="shared" si="4"/>
        <v>7136.115</v>
      </c>
      <c r="AH88">
        <f t="shared" si="5"/>
        <v>347885.60625</v>
      </c>
    </row>
    <row r="89" ht="14.25" customHeight="1">
      <c r="A89" t="str">
        <f>IF(Moteur!D89="","",Moteur!D89)</f>
        <v>ISCOM_LIL</v>
      </c>
      <c r="B89" t="str">
        <f>IF(Moteur!B89="","",Moteur!B89)</f>
        <v>V02</v>
      </c>
      <c r="C89" t="str">
        <f>IF(Moteur!F89="","",Moteur!F89)</f>
        <v>BAC_COM</v>
      </c>
      <c r="D89" t="str">
        <f>IF(Moteur!G89="","",Moteur!G89)</f>
        <v>B3</v>
      </c>
      <c r="E89" t="str">
        <f>IF(Moteur!H89="","",Moteur!H89)</f>
        <v>ALT</v>
      </c>
      <c r="F89" t="str">
        <f>IF(Moteur!E89="","",Moteur!E89)</f>
        <v>ISCOM</v>
      </c>
      <c r="G89">
        <f>IF($A89="","",_xlfn.SUMIFS(Socle!$H$1:$H$658,Socle!$C$1:$C$658,$A89,Socle!$D$1:$D$658,$C89,Socle!$E$1:$E$658,$D89,Socle!$F$1:$F$658,$E89,Socle!$G$1:$G$658,"2026"))</f>
        <v>0</v>
      </c>
      <c r="H89">
        <f>IF($A89="","",_xlfn.SUMIFS(Socle!$N$1:$N$658,Socle!$C$1:$C$658,$A89,Socle!$D$1:$D$658,$C89,Socle!$E$1:$E$658,$D89,Socle!$F$1:$F$658,$E89,Socle!$G$1:$G$658,"2026"))</f>
        <v>48</v>
      </c>
      <c r="I89">
        <f>IF($A89="","",_xlfn.SUMIFS(Socle!$P$1:$P$658,Socle!$C$1:$C$658,$A89,Socle!$D$1:$D$658,$C89,Socle!$E$1:$E$658,$D89,Socle!$F$1:$F$658,$E89,Socle!$G$1:$G$658,"2026"))</f>
        <v>6860</v>
      </c>
      <c r="J89">
        <f>IF($A89="","",_xlfn.SUMIFS(Socle!$W$1:$W$658,Socle!$C$1:$C$658,$A89,Socle!$D$1:$D$658,$C89,Socle!$E$1:$E$658,$D89,Socle!$F$1:$F$658,$E89,Socle!$G$1:$G$658,"2026"))</f>
        <v>0</v>
      </c>
      <c r="K89">
        <f>IF($A89="","",_xlfn.SUMIFS(Socle!$X$1:$X$658,Socle!$C$1:$C$658,$A89,Socle!$D$1:$D$658,$C89,Socle!$E$1:$E$658,$D89,Socle!$F$1:$F$658,$E89,Socle!$G$1:$G$658,"2026"))</f>
        <v>0</v>
      </c>
      <c r="L89">
        <f>IF($A89="","",_xlfn.SUMIFS(Socle!$Y$1:$Y$658,Socle!$C$1:$C$658,$A89,Socle!$D$1:$D$658,$C89,Socle!$E$1:$E$658,$D89,Socle!$F$1:$F$658,$E89,Socle!$G$1:$G$658,"2026"))</f>
        <v>0</v>
      </c>
      <c r="M89">
        <f>IF($A89="","",_xlfn.SUMIFS(Socle!$V$1:$V$658,Socle!$C$1:$C$658,$A89,Socle!$D$1:$D$658,$C89,Socle!$E$1:$E$658,$D89,Socle!$F$1:$F$658,$E89,Socle!$G$1:$G$658,"2026"))</f>
        <v>0.979166667</v>
      </c>
      <c r="N89">
        <f t="shared" si="0"/>
        <v>0</v>
      </c>
      <c r="O89">
        <f>IF($A89="","",_xlfn.SUMIFS(Campagne!$D$1:$D$141,Campagne!$C$1:$C$141,$A89))</f>
        <v>630</v>
      </c>
      <c r="P89">
        <f>IF($A89="","",_xlfn.SUMIFS(Campagne!$E$1:$E$141,Campagne!$C$1:$C$141,$A89))</f>
        <v>630</v>
      </c>
      <c r="Q89">
        <f>IF($A89="","",_xlfn.SUMIFS(Campagne!$F$1:$F$141,Campagne!$C$1:$C$141,$A89))</f>
        <v>1260</v>
      </c>
      <c r="R89">
        <f>IF($A89="","",_xlfn.SUMIFS(Campagne!$K$1:$K$141,Campagne!$C$1:$C$141,$A89))</f>
        <v>0.515848308</v>
      </c>
      <c r="S89">
        <f>IF($A89="","",_xlfn.SUMIFS(Campagne!$M$1:$M$141,Campagne!$C$1:$C$141,$A89))</f>
        <v>0.348380583</v>
      </c>
      <c r="T89">
        <f>IF($A89="","",_xlfn.SUMIFS(Pilotage!$K$19:$K$32,Pilotage!$A$19:$A$32,$A89)*_xlfn.SUMIFS(Pilotage!$J$19:$J$32,Pilotage!$A$19:$A$32,$A89)*(SUM(Pilotage!$K$19:$K$32)/SUMPRODUCT(Pilotage!$K$19:$K$32,Pilotage!$J$19:$J$32)))</f>
        <v>25220</v>
      </c>
      <c r="U89">
        <f>IF($A89="","",_xlfn.SUMIFS(Pilotage!$K$19:$K$32,Pilotage!$A$19:$A$32,$A89))</f>
        <v>25220</v>
      </c>
      <c r="V89">
        <f>IF($A89="","",IF($B89="V01",Cadrage!$C$23,IF($B89="V02",Cadrage!$D$23,Cadrage!$E$23)))</f>
        <v>0.15</v>
      </c>
      <c r="W89">
        <f>IF($A89="","",IF($B89="V01",Cadrage!$C$24,IF($B89="V02",Cadrage!$D$24,Cadrage!$E$24)))</f>
        <v>0.15</v>
      </c>
      <c r="X89">
        <f>IF($A89="","",IF($B89="V01",Cadrage!$C$25,IF($B89="V02",Cadrage!$D$25,Cadrage!$E$25)))</f>
        <v>0.035</v>
      </c>
      <c r="Y89">
        <f>IF($A89="","",IF($B89="V01",Cadrage!$C$26,IF($B89="V02",Cadrage!$D$26,Cadrage!$E$26)))</f>
        <v>0.03</v>
      </c>
      <c r="Z89">
        <f>IF($A89="","",IF($B89="V01",Cadrage!$C$27,IF($B89="V02",Cadrage!$D$27,Cadrage!$E$27)))</f>
        <v>0.025</v>
      </c>
      <c r="AA89">
        <f>IF($A89="","",IF($B89="V01",Cadrage!$C$28,IF($B89="V02",Cadrage!$D$28,Cadrage!$E$28)))</f>
        <v>0.015</v>
      </c>
      <c r="AB89">
        <f>IF($A89="","",IF($B89="V01",Cadrage!$C$42,IF($B89="V02",Cadrage!$D$42,Cadrage!$E$42)))</f>
        <v>90</v>
      </c>
      <c r="AC89">
        <f>IF($A89="","",IF($F89="MBWAY",Cadrage!$K$34,IF($F89="ISCOM",Cadrage!$K$35,IF($F89="IPAC",Cadrage!$K$36,IF($F89="PIGIER",Cadrage!$K$37,Cadrage!$K$38)))))</f>
        <v>1.15</v>
      </c>
      <c r="AD89">
        <f t="shared" si="1"/>
        <v>0</v>
      </c>
      <c r="AE89">
        <f t="shared" si="2"/>
        <v>0</v>
      </c>
      <c r="AF89">
        <f t="shared" si="3"/>
        <v>47.720000016</v>
      </c>
      <c r="AG89">
        <f t="shared" si="4"/>
        <v>7136.115</v>
      </c>
      <c r="AH89">
        <f t="shared" si="5"/>
        <v>340535.407914178</v>
      </c>
    </row>
    <row r="90" ht="14.25" customHeight="1">
      <c r="A90" t="str">
        <f>IF(Moteur!D90="","",Moteur!D90)</f>
        <v>ISCOM_LIL</v>
      </c>
      <c r="B90" t="str">
        <f>IF(Moteur!B90="","",Moteur!B90)</f>
        <v>V02</v>
      </c>
      <c r="C90" t="str">
        <f>IF(Moteur!F90="","",Moteur!F90)</f>
        <v>MAS_COM</v>
      </c>
      <c r="D90" t="str">
        <f>IF(Moteur!G90="","",Moteur!G90)</f>
        <v>M1</v>
      </c>
      <c r="E90" t="str">
        <f>IF(Moteur!H90="","",Moteur!H90)</f>
        <v>ALT</v>
      </c>
      <c r="F90" t="str">
        <f>IF(Moteur!E90="","",Moteur!E90)</f>
        <v>ISCOM</v>
      </c>
      <c r="G90">
        <f>IF($A90="","",_xlfn.SUMIFS(Socle!$H$1:$H$658,Socle!$C$1:$C$658,$A90,Socle!$D$1:$D$658,$C90,Socle!$E$1:$E$658,$D90,Socle!$F$1:$F$658,$E90,Socle!$G$1:$G$658,"2026"))</f>
        <v>850</v>
      </c>
      <c r="H90">
        <f>IF($A90="","",_xlfn.SUMIFS(Socle!$N$1:$N$658,Socle!$C$1:$C$658,$A90,Socle!$D$1:$D$658,$C90,Socle!$E$1:$E$658,$D90,Socle!$F$1:$F$658,$E90,Socle!$G$1:$G$658,"2026"))</f>
        <v>0</v>
      </c>
      <c r="I90">
        <f>IF($A90="","",_xlfn.SUMIFS(Socle!$P$1:$P$658,Socle!$C$1:$C$658,$A90,Socle!$D$1:$D$658,$C90,Socle!$E$1:$E$658,$D90,Socle!$F$1:$F$658,$E90,Socle!$G$1:$G$658,"2026"))</f>
        <v>7350</v>
      </c>
      <c r="J90">
        <f>IF($A90="","",_xlfn.SUMIFS(Socle!$W$1:$W$658,Socle!$C$1:$C$658,$A90,Socle!$D$1:$D$658,$C90,Socle!$E$1:$E$658,$D90,Socle!$F$1:$F$658,$E90,Socle!$G$1:$G$658,"2026"))</f>
        <v>0.2</v>
      </c>
      <c r="K90">
        <f>IF($A90="","",_xlfn.SUMIFS(Socle!$X$1:$X$658,Socle!$C$1:$C$658,$A90,Socle!$D$1:$D$658,$C90,Socle!$E$1:$E$658,$D90,Socle!$F$1:$F$658,$E90,Socle!$G$1:$G$658,"2026"))</f>
        <v>0.7</v>
      </c>
      <c r="L90">
        <f>IF($A90="","",_xlfn.SUMIFS(Socle!$Y$1:$Y$658,Socle!$C$1:$C$658,$A90,Socle!$D$1:$D$658,$C90,Socle!$E$1:$E$658,$D90,Socle!$F$1:$F$658,$E90,Socle!$G$1:$G$658,"2026"))</f>
        <v>0.420168067</v>
      </c>
      <c r="M90">
        <f>IF($A90="","",_xlfn.SUMIFS(Socle!$V$1:$V$658,Socle!$C$1:$C$658,$A90,Socle!$D$1:$D$658,$C90,Socle!$E$1:$E$658,$D90,Socle!$F$1:$F$658,$E90,Socle!$G$1:$G$658,"2026"))</f>
        <v>0</v>
      </c>
      <c r="N90">
        <f t="shared" si="0"/>
        <v>1</v>
      </c>
      <c r="O90">
        <f>IF($A90="","",_xlfn.SUMIFS(Campagne!$D$1:$D$141,Campagne!$C$1:$C$141,$A90))</f>
        <v>630</v>
      </c>
      <c r="P90">
        <f>IF($A90="","",_xlfn.SUMIFS(Campagne!$E$1:$E$141,Campagne!$C$1:$C$141,$A90))</f>
        <v>630</v>
      </c>
      <c r="Q90">
        <f>IF($A90="","",_xlfn.SUMIFS(Campagne!$F$1:$F$141,Campagne!$C$1:$C$141,$A90))</f>
        <v>1260</v>
      </c>
      <c r="R90">
        <f>IF($A90="","",_xlfn.SUMIFS(Campagne!$K$1:$K$141,Campagne!$C$1:$C$141,$A90))</f>
        <v>0.515848308</v>
      </c>
      <c r="S90">
        <f>IF($A90="","",_xlfn.SUMIFS(Campagne!$M$1:$M$141,Campagne!$C$1:$C$141,$A90))</f>
        <v>0.348380583</v>
      </c>
      <c r="T90">
        <f>IF($A90="","",_xlfn.SUMIFS(Pilotage!$K$19:$K$32,Pilotage!$A$19:$A$32,$A90)*_xlfn.SUMIFS(Pilotage!$J$19:$J$32,Pilotage!$A$19:$A$32,$A90)*(SUM(Pilotage!$K$19:$K$32)/SUMPRODUCT(Pilotage!$K$19:$K$32,Pilotage!$J$19:$J$32)))</f>
        <v>25220</v>
      </c>
      <c r="U90">
        <f>IF($A90="","",_xlfn.SUMIFS(Pilotage!$K$19:$K$32,Pilotage!$A$19:$A$32,$A90))</f>
        <v>25220</v>
      </c>
      <c r="V90">
        <f>IF($A90="","",IF($B90="V01",Cadrage!$C$23,IF($B90="V02",Cadrage!$D$23,Cadrage!$E$23)))</f>
        <v>0.15</v>
      </c>
      <c r="W90">
        <f>IF($A90="","",IF($B90="V01",Cadrage!$C$24,IF($B90="V02",Cadrage!$D$24,Cadrage!$E$24)))</f>
        <v>0.15</v>
      </c>
      <c r="X90">
        <f>IF($A90="","",IF($B90="V01",Cadrage!$C$25,IF($B90="V02",Cadrage!$D$25,Cadrage!$E$25)))</f>
        <v>0.035</v>
      </c>
      <c r="Y90">
        <f>IF($A90="","",IF($B90="V01",Cadrage!$C$26,IF($B90="V02",Cadrage!$D$26,Cadrage!$E$26)))</f>
        <v>0.03</v>
      </c>
      <c r="Z90">
        <f>IF($A90="","",IF($B90="V01",Cadrage!$C$27,IF($B90="V02",Cadrage!$D$27,Cadrage!$E$27)))</f>
        <v>0.025</v>
      </c>
      <c r="AA90">
        <f>IF($A90="","",IF($B90="V01",Cadrage!$C$28,IF($B90="V02",Cadrage!$D$28,Cadrage!$E$28)))</f>
        <v>0.015</v>
      </c>
      <c r="AB90">
        <f>IF($A90="","",IF($B90="V01",Cadrage!$C$42,IF($B90="V02",Cadrage!$D$42,Cadrage!$E$42)))</f>
        <v>90</v>
      </c>
      <c r="AC90">
        <f>IF($A90="","",IF($F90="MBWAY",Cadrage!$K$34,IF($F90="ISCOM",Cadrage!$K$35,IF($F90="IPAC",Cadrage!$K$36,IF($F90="PIGIER",Cadrage!$K$37,Cadrage!$K$38)))))</f>
        <v>1.15</v>
      </c>
      <c r="AD90">
        <f t="shared" si="1"/>
        <v>64.7182787159838</v>
      </c>
      <c r="AE90">
        <f t="shared" si="2"/>
        <v>64.7182787159838</v>
      </c>
      <c r="AF90">
        <f t="shared" si="3"/>
        <v>64.7182787159838</v>
      </c>
      <c r="AG90">
        <f t="shared" si="4"/>
        <v>7645.8375</v>
      </c>
      <c r="AH90">
        <f t="shared" si="5"/>
        <v>500650.087426559</v>
      </c>
    </row>
    <row r="91" ht="14.25" customHeight="1">
      <c r="A91" t="str">
        <f>IF(Moteur!D91="","",Moteur!D91)</f>
        <v>ISCOM_LIL</v>
      </c>
      <c r="B91" t="str">
        <f>IF(Moteur!B91="","",Moteur!B91)</f>
        <v>V02</v>
      </c>
      <c r="C91" t="str">
        <f>IF(Moteur!F91="","",Moteur!F91)</f>
        <v>MAS_COM</v>
      </c>
      <c r="D91" t="str">
        <f>IF(Moteur!G91="","",Moteur!G91)</f>
        <v>M2</v>
      </c>
      <c r="E91" t="str">
        <f>IF(Moteur!H91="","",Moteur!H91)</f>
        <v>ALT</v>
      </c>
      <c r="F91" t="str">
        <f>IF(Moteur!E91="","",Moteur!E91)</f>
        <v>ISCOM</v>
      </c>
      <c r="G91">
        <f>IF($A91="","",_xlfn.SUMIFS(Socle!$H$1:$H$658,Socle!$C$1:$C$658,$A91,Socle!$D$1:$D$658,$C91,Socle!$E$1:$E$658,$D91,Socle!$F$1:$F$658,$E91,Socle!$G$1:$G$658,"2026"))</f>
        <v>0</v>
      </c>
      <c r="H91">
        <f>IF($A91="","",_xlfn.SUMIFS(Socle!$N$1:$N$658,Socle!$C$1:$C$658,$A91,Socle!$D$1:$D$658,$C91,Socle!$E$1:$E$658,$D91,Socle!$F$1:$F$658,$E91,Socle!$G$1:$G$658,"2026"))</f>
        <v>50</v>
      </c>
      <c r="I91">
        <f>IF($A91="","",_xlfn.SUMIFS(Socle!$P$1:$P$658,Socle!$C$1:$C$658,$A91,Socle!$D$1:$D$658,$C91,Socle!$E$1:$E$658,$D91,Socle!$F$1:$F$658,$E91,Socle!$G$1:$G$658,"2026"))</f>
        <v>7350</v>
      </c>
      <c r="J91">
        <f>IF($A91="","",_xlfn.SUMIFS(Socle!$W$1:$W$658,Socle!$C$1:$C$658,$A91,Socle!$D$1:$D$658,$C91,Socle!$E$1:$E$658,$D91,Socle!$F$1:$F$658,$E91,Socle!$G$1:$G$658,"2026"))</f>
        <v>0</v>
      </c>
      <c r="K91">
        <f>IF($A91="","",_xlfn.SUMIFS(Socle!$X$1:$X$658,Socle!$C$1:$C$658,$A91,Socle!$D$1:$D$658,$C91,Socle!$E$1:$E$658,$D91,Socle!$F$1:$F$658,$E91,Socle!$G$1:$G$658,"2026"))</f>
        <v>0</v>
      </c>
      <c r="L91">
        <f>IF($A91="","",_xlfn.SUMIFS(Socle!$Y$1:$Y$658,Socle!$C$1:$C$658,$A91,Socle!$D$1:$D$658,$C91,Socle!$E$1:$E$658,$D91,Socle!$F$1:$F$658,$E91,Socle!$G$1:$G$658,"2026"))</f>
        <v>0</v>
      </c>
      <c r="M91">
        <f>IF($A91="","",_xlfn.SUMIFS(Socle!$V$1:$V$658,Socle!$C$1:$C$658,$A91,Socle!$D$1:$D$658,$C91,Socle!$E$1:$E$658,$D91,Socle!$F$1:$F$658,$E91,Socle!$G$1:$G$658,"2026"))</f>
        <v>0.98</v>
      </c>
      <c r="N91">
        <f t="shared" si="0"/>
        <v>0</v>
      </c>
      <c r="O91">
        <f>IF($A91="","",_xlfn.SUMIFS(Campagne!$D$1:$D$141,Campagne!$C$1:$C$141,$A91))</f>
        <v>630</v>
      </c>
      <c r="P91">
        <f>IF($A91="","",_xlfn.SUMIFS(Campagne!$E$1:$E$141,Campagne!$C$1:$C$141,$A91))</f>
        <v>630</v>
      </c>
      <c r="Q91">
        <f>IF($A91="","",_xlfn.SUMIFS(Campagne!$F$1:$F$141,Campagne!$C$1:$C$141,$A91))</f>
        <v>1260</v>
      </c>
      <c r="R91">
        <f>IF($A91="","",_xlfn.SUMIFS(Campagne!$K$1:$K$141,Campagne!$C$1:$C$141,$A91))</f>
        <v>0.515848308</v>
      </c>
      <c r="S91">
        <f>IF($A91="","",_xlfn.SUMIFS(Campagne!$M$1:$M$141,Campagne!$C$1:$C$141,$A91))</f>
        <v>0.348380583</v>
      </c>
      <c r="T91">
        <f>IF($A91="","",_xlfn.SUMIFS(Pilotage!$K$19:$K$32,Pilotage!$A$19:$A$32,$A91)*_xlfn.SUMIFS(Pilotage!$J$19:$J$32,Pilotage!$A$19:$A$32,$A91)*(SUM(Pilotage!$K$19:$K$32)/SUMPRODUCT(Pilotage!$K$19:$K$32,Pilotage!$J$19:$J$32)))</f>
        <v>25220</v>
      </c>
      <c r="U91">
        <f>IF($A91="","",_xlfn.SUMIFS(Pilotage!$K$19:$K$32,Pilotage!$A$19:$A$32,$A91))</f>
        <v>25220</v>
      </c>
      <c r="V91">
        <f>IF($A91="","",IF($B91="V01",Cadrage!$C$23,IF($B91="V02",Cadrage!$D$23,Cadrage!$E$23)))</f>
        <v>0.15</v>
      </c>
      <c r="W91">
        <f>IF($A91="","",IF($B91="V01",Cadrage!$C$24,IF($B91="V02",Cadrage!$D$24,Cadrage!$E$24)))</f>
        <v>0.15</v>
      </c>
      <c r="X91">
        <f>IF($A91="","",IF($B91="V01",Cadrage!$C$25,IF($B91="V02",Cadrage!$D$25,Cadrage!$E$25)))</f>
        <v>0.035</v>
      </c>
      <c r="Y91">
        <f>IF($A91="","",IF($B91="V01",Cadrage!$C$26,IF($B91="V02",Cadrage!$D$26,Cadrage!$E$26)))</f>
        <v>0.03</v>
      </c>
      <c r="Z91">
        <f>IF($A91="","",IF($B91="V01",Cadrage!$C$27,IF($B91="V02",Cadrage!$D$27,Cadrage!$E$27)))</f>
        <v>0.025</v>
      </c>
      <c r="AA91">
        <f>IF($A91="","",IF($B91="V01",Cadrage!$C$28,IF($B91="V02",Cadrage!$D$28,Cadrage!$E$28)))</f>
        <v>0.015</v>
      </c>
      <c r="AB91">
        <f>IF($A91="","",IF($B91="V01",Cadrage!$C$42,IF($B91="V02",Cadrage!$D$42,Cadrage!$E$42)))</f>
        <v>90</v>
      </c>
      <c r="AC91">
        <f>IF($A91="","",IF($F91="MBWAY",Cadrage!$K$34,IF($F91="ISCOM",Cadrage!$K$35,IF($F91="IPAC",Cadrage!$K$36,IF($F91="PIGIER",Cadrage!$K$37,Cadrage!$K$38)))))</f>
        <v>1.15</v>
      </c>
      <c r="AD91">
        <f t="shared" si="1"/>
        <v>0</v>
      </c>
      <c r="AE91">
        <f t="shared" si="2"/>
        <v>0</v>
      </c>
      <c r="AF91">
        <f t="shared" si="3"/>
        <v>49.75</v>
      </c>
      <c r="AG91">
        <f t="shared" si="4"/>
        <v>7645.8375</v>
      </c>
      <c r="AH91">
        <f t="shared" si="5"/>
        <v>380380.415625</v>
      </c>
    </row>
    <row r="92" ht="14.25" customHeight="1">
      <c r="A92" t="str">
        <f>IF(Moteur!D92="","",Moteur!D92)</f>
        <v>ISCOM_TLS</v>
      </c>
      <c r="B92" t="str">
        <f>IF(Moteur!B92="","",Moteur!B92)</f>
        <v>V02</v>
      </c>
      <c r="C92" t="str">
        <f>IF(Moteur!F92="","",Moteur!F92)</f>
        <v>BAC_COM</v>
      </c>
      <c r="D92" t="str">
        <f>IF(Moteur!G92="","",Moteur!G92)</f>
        <v>B1</v>
      </c>
      <c r="E92" t="str">
        <f>IF(Moteur!H92="","",Moteur!H92)</f>
        <v>INIT</v>
      </c>
      <c r="F92" t="str">
        <f>IF(Moteur!E92="","",Moteur!E92)</f>
        <v>ISCOM</v>
      </c>
      <c r="G92">
        <f>IF($A92="","",_xlfn.SUMIFS(Socle!$H$1:$H$658,Socle!$C$1:$C$658,$A92,Socle!$D$1:$D$658,$C92,Socle!$E$1:$E$658,$D92,Socle!$F$1:$F$658,$E92,Socle!$G$1:$G$658,"2026"))</f>
        <v>386</v>
      </c>
      <c r="H92">
        <f>IF($A92="","",_xlfn.SUMIFS(Socle!$N$1:$N$658,Socle!$C$1:$C$658,$A92,Socle!$D$1:$D$658,$C92,Socle!$E$1:$E$658,$D92,Socle!$F$1:$F$658,$E92,Socle!$G$1:$G$658,"2026"))</f>
        <v>0</v>
      </c>
      <c r="I92">
        <f>IF($A92="","",_xlfn.SUMIFS(Socle!$P$1:$P$658,Socle!$C$1:$C$658,$A92,Socle!$D$1:$D$658,$C92,Socle!$E$1:$E$658,$D92,Socle!$F$1:$F$658,$E92,Socle!$G$1:$G$658,"2026"))</f>
        <v>7200</v>
      </c>
      <c r="J92">
        <f>IF($A92="","",_xlfn.SUMIFS(Socle!$W$1:$W$658,Socle!$C$1:$C$658,$A92,Socle!$D$1:$D$658,$C92,Socle!$E$1:$E$658,$D92,Socle!$F$1:$F$658,$E92,Socle!$G$1:$G$658,"2026"))</f>
        <v>0.279792746</v>
      </c>
      <c r="K92">
        <f>IF($A92="","",_xlfn.SUMIFS(Socle!$X$1:$X$658,Socle!$C$1:$C$658,$A92,Socle!$D$1:$D$658,$C92,Socle!$E$1:$E$658,$D92,Socle!$F$1:$F$658,$E92,Socle!$G$1:$G$658,"2026"))</f>
        <v>0.722222222</v>
      </c>
      <c r="L92">
        <f>IF($A92="","",_xlfn.SUMIFS(Socle!$Y$1:$Y$658,Socle!$C$1:$C$658,$A92,Socle!$D$1:$D$658,$C92,Socle!$E$1:$E$658,$D92,Socle!$F$1:$F$658,$E92,Socle!$G$1:$G$658,"2026"))</f>
        <v>0.602564103</v>
      </c>
      <c r="M92">
        <f>IF($A92="","",_xlfn.SUMIFS(Socle!$V$1:$V$658,Socle!$C$1:$C$658,$A92,Socle!$D$1:$D$658,$C92,Socle!$E$1:$E$658,$D92,Socle!$F$1:$F$658,$E92,Socle!$G$1:$G$658,"2026"))</f>
        <v>0</v>
      </c>
      <c r="N92">
        <f t="shared" si="0"/>
        <v>1</v>
      </c>
      <c r="O92">
        <f>IF($A92="","",_xlfn.SUMIFS(Campagne!$D$1:$D$141,Campagne!$C$1:$C$141,$A92))</f>
        <v>605</v>
      </c>
      <c r="P92">
        <f>IF($A92="","",_xlfn.SUMIFS(Campagne!$E$1:$E$141,Campagne!$C$1:$C$141,$A92))</f>
        <v>581</v>
      </c>
      <c r="Q92">
        <f>IF($A92="","",_xlfn.SUMIFS(Campagne!$F$1:$F$141,Campagne!$C$1:$C$141,$A92))</f>
        <v>1186</v>
      </c>
      <c r="R92">
        <f>IF($A92="","",_xlfn.SUMIFS(Campagne!$K$1:$K$141,Campagne!$C$1:$C$141,$A92))</f>
        <v>0.521803369</v>
      </c>
      <c r="S92">
        <f>IF($A92="","",_xlfn.SUMIFS(Campagne!$M$1:$M$141,Campagne!$C$1:$C$141,$A92))</f>
        <v>0.35585226</v>
      </c>
      <c r="T92">
        <f>IF($A92="","",_xlfn.SUMIFS(Pilotage!$K$19:$K$32,Pilotage!$A$19:$A$32,$A92)*_xlfn.SUMIFS(Pilotage!$J$19:$J$32,Pilotage!$A$19:$A$32,$A92)*(SUM(Pilotage!$K$19:$K$32)/SUMPRODUCT(Pilotage!$K$19:$K$32,Pilotage!$J$19:$J$32)))</f>
        <v>22083</v>
      </c>
      <c r="U92">
        <f>IF($A92="","",_xlfn.SUMIFS(Pilotage!$K$19:$K$32,Pilotage!$A$19:$A$32,$A92))</f>
        <v>22083</v>
      </c>
      <c r="V92">
        <f>IF($A92="","",IF($B92="V01",Cadrage!$C$23,IF($B92="V02",Cadrage!$D$23,Cadrage!$E$23)))</f>
        <v>0.15</v>
      </c>
      <c r="W92">
        <f>IF($A92="","",IF($B92="V01",Cadrage!$C$24,IF($B92="V02",Cadrage!$D$24,Cadrage!$E$24)))</f>
        <v>0.15</v>
      </c>
      <c r="X92">
        <f>IF($A92="","",IF($B92="V01",Cadrage!$C$25,IF($B92="V02",Cadrage!$D$25,Cadrage!$E$25)))</f>
        <v>0.035</v>
      </c>
      <c r="Y92">
        <f>IF($A92="","",IF($B92="V01",Cadrage!$C$26,IF($B92="V02",Cadrage!$D$26,Cadrage!$E$26)))</f>
        <v>0.03</v>
      </c>
      <c r="Z92">
        <f>IF($A92="","",IF($B92="V01",Cadrage!$C$27,IF($B92="V02",Cadrage!$D$27,Cadrage!$E$27)))</f>
        <v>0.025</v>
      </c>
      <c r="AA92">
        <f>IF($A92="","",IF($B92="V01",Cadrage!$C$28,IF($B92="V02",Cadrage!$D$28,Cadrage!$E$28)))</f>
        <v>0.015</v>
      </c>
      <c r="AB92">
        <f>IF($A92="","",IF($B92="V01",Cadrage!$C$42,IF($B92="V02",Cadrage!$D$42,Cadrage!$E$42)))</f>
        <v>90</v>
      </c>
      <c r="AC92">
        <f>IF($A92="","",IF($F92="MBWAY",Cadrage!$K$34,IF($F92="ISCOM",Cadrage!$K$35,IF($F92="IPAC",Cadrage!$K$36,IF($F92="PIGIER",Cadrage!$K$37,Cadrage!$K$38)))))</f>
        <v>1.15</v>
      </c>
      <c r="AD92">
        <f t="shared" si="1"/>
        <v>57.6170034734878</v>
      </c>
      <c r="AE92">
        <f t="shared" si="2"/>
        <v>57.6170034734878</v>
      </c>
      <c r="AF92">
        <f t="shared" si="3"/>
        <v>57.6170034734878</v>
      </c>
      <c r="AG92">
        <f t="shared" si="4"/>
        <v>7489.8</v>
      </c>
      <c r="AH92">
        <f t="shared" si="5"/>
        <v>436725.362928343</v>
      </c>
    </row>
    <row r="93" ht="14.25" customHeight="1">
      <c r="A93" t="str">
        <f>IF(Moteur!D93="","",Moteur!D93)</f>
        <v>ISCOM_TLS</v>
      </c>
      <c r="B93" t="str">
        <f>IF(Moteur!B93="","",Moteur!B93)</f>
        <v>V02</v>
      </c>
      <c r="C93" t="str">
        <f>IF(Moteur!F93="","",Moteur!F93)</f>
        <v>BAC_COM</v>
      </c>
      <c r="D93" t="str">
        <f>IF(Moteur!G93="","",Moteur!G93)</f>
        <v>B2</v>
      </c>
      <c r="E93" t="str">
        <f>IF(Moteur!H93="","",Moteur!H93)</f>
        <v>ALT</v>
      </c>
      <c r="F93" t="str">
        <f>IF(Moteur!E93="","",Moteur!E93)</f>
        <v>ISCOM</v>
      </c>
      <c r="G93">
        <f>IF($A93="","",_xlfn.SUMIFS(Socle!$H$1:$H$658,Socle!$C$1:$C$658,$A93,Socle!$D$1:$D$658,$C93,Socle!$E$1:$E$658,$D93,Socle!$F$1:$F$658,$E93,Socle!$G$1:$G$658,"2026"))</f>
        <v>0</v>
      </c>
      <c r="H93">
        <f>IF($A93="","",_xlfn.SUMIFS(Socle!$N$1:$N$658,Socle!$C$1:$C$658,$A93,Socle!$D$1:$D$658,$C93,Socle!$E$1:$E$658,$D93,Socle!$F$1:$F$658,$E93,Socle!$G$1:$G$658,"2026"))</f>
        <v>47</v>
      </c>
      <c r="I93">
        <f>IF($A93="","",_xlfn.SUMIFS(Socle!$P$1:$P$658,Socle!$C$1:$C$658,$A93,Socle!$D$1:$D$658,$C93,Socle!$E$1:$E$658,$D93,Socle!$F$1:$F$658,$E93,Socle!$G$1:$G$658,"2026"))</f>
        <v>6720</v>
      </c>
      <c r="J93">
        <f>IF($A93="","",_xlfn.SUMIFS(Socle!$W$1:$W$658,Socle!$C$1:$C$658,$A93,Socle!$D$1:$D$658,$C93,Socle!$E$1:$E$658,$D93,Socle!$F$1:$F$658,$E93,Socle!$G$1:$G$658,"2026"))</f>
        <v>0</v>
      </c>
      <c r="K93">
        <f>IF($A93="","",_xlfn.SUMIFS(Socle!$X$1:$X$658,Socle!$C$1:$C$658,$A93,Socle!$D$1:$D$658,$C93,Socle!$E$1:$E$658,$D93,Socle!$F$1:$F$658,$E93,Socle!$G$1:$G$658,"2026"))</f>
        <v>0</v>
      </c>
      <c r="L93">
        <f>IF($A93="","",_xlfn.SUMIFS(Socle!$Y$1:$Y$658,Socle!$C$1:$C$658,$A93,Socle!$D$1:$D$658,$C93,Socle!$E$1:$E$658,$D93,Socle!$F$1:$F$658,$E93,Socle!$G$1:$G$658,"2026"))</f>
        <v>0</v>
      </c>
      <c r="M93">
        <f>IF($A93="","",_xlfn.SUMIFS(Socle!$V$1:$V$658,Socle!$C$1:$C$658,$A93,Socle!$D$1:$D$658,$C93,Socle!$E$1:$E$658,$D93,Socle!$F$1:$F$658,$E93,Socle!$G$1:$G$658,"2026"))</f>
        <v>0.978723404</v>
      </c>
      <c r="N93">
        <f t="shared" si="0"/>
        <v>0</v>
      </c>
      <c r="O93">
        <f>IF($A93="","",_xlfn.SUMIFS(Campagne!$D$1:$D$141,Campagne!$C$1:$C$141,$A93))</f>
        <v>605</v>
      </c>
      <c r="P93">
        <f>IF($A93="","",_xlfn.SUMIFS(Campagne!$E$1:$E$141,Campagne!$C$1:$C$141,$A93))</f>
        <v>581</v>
      </c>
      <c r="Q93">
        <f>IF($A93="","",_xlfn.SUMIFS(Campagne!$F$1:$F$141,Campagne!$C$1:$C$141,$A93))</f>
        <v>1186</v>
      </c>
      <c r="R93">
        <f>IF($A93="","",_xlfn.SUMIFS(Campagne!$K$1:$K$141,Campagne!$C$1:$C$141,$A93))</f>
        <v>0.521803369</v>
      </c>
      <c r="S93">
        <f>IF($A93="","",_xlfn.SUMIFS(Campagne!$M$1:$M$141,Campagne!$C$1:$C$141,$A93))</f>
        <v>0.35585226</v>
      </c>
      <c r="T93">
        <f>IF($A93="","",_xlfn.SUMIFS(Pilotage!$K$19:$K$32,Pilotage!$A$19:$A$32,$A93)*_xlfn.SUMIFS(Pilotage!$J$19:$J$32,Pilotage!$A$19:$A$32,$A93)*(SUM(Pilotage!$K$19:$K$32)/SUMPRODUCT(Pilotage!$K$19:$K$32,Pilotage!$J$19:$J$32)))</f>
        <v>22083</v>
      </c>
      <c r="U93">
        <f>IF($A93="","",_xlfn.SUMIFS(Pilotage!$K$19:$K$32,Pilotage!$A$19:$A$32,$A93))</f>
        <v>22083</v>
      </c>
      <c r="V93">
        <f>IF($A93="","",IF($B93="V01",Cadrage!$C$23,IF($B93="V02",Cadrage!$D$23,Cadrage!$E$23)))</f>
        <v>0.15</v>
      </c>
      <c r="W93">
        <f>IF($A93="","",IF($B93="V01",Cadrage!$C$24,IF($B93="V02",Cadrage!$D$24,Cadrage!$E$24)))</f>
        <v>0.15</v>
      </c>
      <c r="X93">
        <f>IF($A93="","",IF($B93="V01",Cadrage!$C$25,IF($B93="V02",Cadrage!$D$25,Cadrage!$E$25)))</f>
        <v>0.035</v>
      </c>
      <c r="Y93">
        <f>IF($A93="","",IF($B93="V01",Cadrage!$C$26,IF($B93="V02",Cadrage!$D$26,Cadrage!$E$26)))</f>
        <v>0.03</v>
      </c>
      <c r="Z93">
        <f>IF($A93="","",IF($B93="V01",Cadrage!$C$27,IF($B93="V02",Cadrage!$D$27,Cadrage!$E$27)))</f>
        <v>0.025</v>
      </c>
      <c r="AA93">
        <f>IF($A93="","",IF($B93="V01",Cadrage!$C$28,IF($B93="V02",Cadrage!$D$28,Cadrage!$E$28)))</f>
        <v>0.015</v>
      </c>
      <c r="AB93">
        <f>IF($A93="","",IF($B93="V01",Cadrage!$C$42,IF($B93="V02",Cadrage!$D$42,Cadrage!$E$42)))</f>
        <v>90</v>
      </c>
      <c r="AC93">
        <f>IF($A93="","",IF($F93="MBWAY",Cadrage!$K$34,IF($F93="ISCOM",Cadrage!$K$35,IF($F93="IPAC",Cadrage!$K$36,IF($F93="PIGIER",Cadrage!$K$37,Cadrage!$K$38)))))</f>
        <v>1.15</v>
      </c>
      <c r="AD93">
        <f t="shared" si="1"/>
        <v>0</v>
      </c>
      <c r="AE93">
        <f t="shared" si="2"/>
        <v>0</v>
      </c>
      <c r="AF93">
        <f t="shared" si="3"/>
        <v>46.704999988</v>
      </c>
      <c r="AG93">
        <f t="shared" si="4"/>
        <v>6990.48</v>
      </c>
      <c r="AH93">
        <f t="shared" si="5"/>
        <v>326490.368316114</v>
      </c>
    </row>
    <row r="94" ht="14.25" customHeight="1">
      <c r="A94" t="str">
        <f>IF(Moteur!D94="","",Moteur!D94)</f>
        <v>ISCOM_TLS</v>
      </c>
      <c r="B94" t="str">
        <f>IF(Moteur!B94="","",Moteur!B94)</f>
        <v>V02</v>
      </c>
      <c r="C94" t="str">
        <f>IF(Moteur!F94="","",Moteur!F94)</f>
        <v>BAC_COM</v>
      </c>
      <c r="D94" t="str">
        <f>IF(Moteur!G94="","",Moteur!G94)</f>
        <v>B3</v>
      </c>
      <c r="E94" t="str">
        <f>IF(Moteur!H94="","",Moteur!H94)</f>
        <v>ALT</v>
      </c>
      <c r="F94" t="str">
        <f>IF(Moteur!E94="","",Moteur!E94)</f>
        <v>ISCOM</v>
      </c>
      <c r="G94">
        <f>IF($A94="","",_xlfn.SUMIFS(Socle!$H$1:$H$658,Socle!$C$1:$C$658,$A94,Socle!$D$1:$D$658,$C94,Socle!$E$1:$E$658,$D94,Socle!$F$1:$F$658,$E94,Socle!$G$1:$G$658,"2026"))</f>
        <v>0</v>
      </c>
      <c r="H94">
        <f>IF($A94="","",_xlfn.SUMIFS(Socle!$N$1:$N$658,Socle!$C$1:$C$658,$A94,Socle!$D$1:$D$658,$C94,Socle!$E$1:$E$658,$D94,Socle!$F$1:$F$658,$E94,Socle!$G$1:$G$658,"2026"))</f>
        <v>46</v>
      </c>
      <c r="I94">
        <f>IF($A94="","",_xlfn.SUMIFS(Socle!$P$1:$P$658,Socle!$C$1:$C$658,$A94,Socle!$D$1:$D$658,$C94,Socle!$E$1:$E$658,$D94,Socle!$F$1:$F$658,$E94,Socle!$G$1:$G$658,"2026"))</f>
        <v>6720</v>
      </c>
      <c r="J94">
        <f>IF($A94="","",_xlfn.SUMIFS(Socle!$W$1:$W$658,Socle!$C$1:$C$658,$A94,Socle!$D$1:$D$658,$C94,Socle!$E$1:$E$658,$D94,Socle!$F$1:$F$658,$E94,Socle!$G$1:$G$658,"2026"))</f>
        <v>0</v>
      </c>
      <c r="K94">
        <f>IF($A94="","",_xlfn.SUMIFS(Socle!$X$1:$X$658,Socle!$C$1:$C$658,$A94,Socle!$D$1:$D$658,$C94,Socle!$E$1:$E$658,$D94,Socle!$F$1:$F$658,$E94,Socle!$G$1:$G$658,"2026"))</f>
        <v>0</v>
      </c>
      <c r="L94">
        <f>IF($A94="","",_xlfn.SUMIFS(Socle!$Y$1:$Y$658,Socle!$C$1:$C$658,$A94,Socle!$D$1:$D$658,$C94,Socle!$E$1:$E$658,$D94,Socle!$F$1:$F$658,$E94,Socle!$G$1:$G$658,"2026"))</f>
        <v>0</v>
      </c>
      <c r="M94">
        <f>IF($A94="","",_xlfn.SUMIFS(Socle!$V$1:$V$658,Socle!$C$1:$C$658,$A94,Socle!$D$1:$D$658,$C94,Socle!$E$1:$E$658,$D94,Socle!$F$1:$F$658,$E94,Socle!$G$1:$G$658,"2026"))</f>
        <v>0.97826087</v>
      </c>
      <c r="N94">
        <f t="shared" si="0"/>
        <v>0</v>
      </c>
      <c r="O94">
        <f>IF($A94="","",_xlfn.SUMIFS(Campagne!$D$1:$D$141,Campagne!$C$1:$C$141,$A94))</f>
        <v>605</v>
      </c>
      <c r="P94">
        <f>IF($A94="","",_xlfn.SUMIFS(Campagne!$E$1:$E$141,Campagne!$C$1:$C$141,$A94))</f>
        <v>581</v>
      </c>
      <c r="Q94">
        <f>IF($A94="","",_xlfn.SUMIFS(Campagne!$F$1:$F$141,Campagne!$C$1:$C$141,$A94))</f>
        <v>1186</v>
      </c>
      <c r="R94">
        <f>IF($A94="","",_xlfn.SUMIFS(Campagne!$K$1:$K$141,Campagne!$C$1:$C$141,$A94))</f>
        <v>0.521803369</v>
      </c>
      <c r="S94">
        <f>IF($A94="","",_xlfn.SUMIFS(Campagne!$M$1:$M$141,Campagne!$C$1:$C$141,$A94))</f>
        <v>0.35585226</v>
      </c>
      <c r="T94">
        <f>IF($A94="","",_xlfn.SUMIFS(Pilotage!$K$19:$K$32,Pilotage!$A$19:$A$32,$A94)*_xlfn.SUMIFS(Pilotage!$J$19:$J$32,Pilotage!$A$19:$A$32,$A94)*(SUM(Pilotage!$K$19:$K$32)/SUMPRODUCT(Pilotage!$K$19:$K$32,Pilotage!$J$19:$J$32)))</f>
        <v>22083</v>
      </c>
      <c r="U94">
        <f>IF($A94="","",_xlfn.SUMIFS(Pilotage!$K$19:$K$32,Pilotage!$A$19:$A$32,$A94))</f>
        <v>22083</v>
      </c>
      <c r="V94">
        <f>IF($A94="","",IF($B94="V01",Cadrage!$C$23,IF($B94="V02",Cadrage!$D$23,Cadrage!$E$23)))</f>
        <v>0.15</v>
      </c>
      <c r="W94">
        <f>IF($A94="","",IF($B94="V01",Cadrage!$C$24,IF($B94="V02",Cadrage!$D$24,Cadrage!$E$24)))</f>
        <v>0.15</v>
      </c>
      <c r="X94">
        <f>IF($A94="","",IF($B94="V01",Cadrage!$C$25,IF($B94="V02",Cadrage!$D$25,Cadrage!$E$25)))</f>
        <v>0.035</v>
      </c>
      <c r="Y94">
        <f>IF($A94="","",IF($B94="V01",Cadrage!$C$26,IF($B94="V02",Cadrage!$D$26,Cadrage!$E$26)))</f>
        <v>0.03</v>
      </c>
      <c r="Z94">
        <f>IF($A94="","",IF($B94="V01",Cadrage!$C$27,IF($B94="V02",Cadrage!$D$27,Cadrage!$E$27)))</f>
        <v>0.025</v>
      </c>
      <c r="AA94">
        <f>IF($A94="","",IF($B94="V01",Cadrage!$C$28,IF($B94="V02",Cadrage!$D$28,Cadrage!$E$28)))</f>
        <v>0.015</v>
      </c>
      <c r="AB94">
        <f>IF($A94="","",IF($B94="V01",Cadrage!$C$42,IF($B94="V02",Cadrage!$D$42,Cadrage!$E$42)))</f>
        <v>90</v>
      </c>
      <c r="AC94">
        <f>IF($A94="","",IF($F94="MBWAY",Cadrage!$K$34,IF($F94="ISCOM",Cadrage!$K$35,IF($F94="IPAC",Cadrage!$K$36,IF($F94="PIGIER",Cadrage!$K$37,Cadrage!$K$38)))))</f>
        <v>1.15</v>
      </c>
      <c r="AD94">
        <f t="shared" si="1"/>
        <v>0</v>
      </c>
      <c r="AE94">
        <f t="shared" si="2"/>
        <v>0</v>
      </c>
      <c r="AF94">
        <f t="shared" si="3"/>
        <v>45.69000002</v>
      </c>
      <c r="AG94">
        <f t="shared" si="4"/>
        <v>6990.48</v>
      </c>
      <c r="AH94">
        <f t="shared" si="5"/>
        <v>319395.03133981</v>
      </c>
    </row>
    <row r="95" ht="14.25" customHeight="1">
      <c r="A95" t="str">
        <f>IF(Moteur!D95="","",Moteur!D95)</f>
        <v>ISCOM_TLS</v>
      </c>
      <c r="B95" t="str">
        <f>IF(Moteur!B95="","",Moteur!B95)</f>
        <v>V02</v>
      </c>
      <c r="C95" t="str">
        <f>IF(Moteur!F95="","",Moteur!F95)</f>
        <v>MAS_COM</v>
      </c>
      <c r="D95" t="str">
        <f>IF(Moteur!G95="","",Moteur!G95)</f>
        <v>M1</v>
      </c>
      <c r="E95" t="str">
        <f>IF(Moteur!H95="","",Moteur!H95)</f>
        <v>ALT</v>
      </c>
      <c r="F95" t="str">
        <f>IF(Moteur!E95="","",Moteur!E95)</f>
        <v>ISCOM</v>
      </c>
      <c r="G95">
        <f>IF($A95="","",_xlfn.SUMIFS(Socle!$H$1:$H$658,Socle!$C$1:$C$658,$A95,Socle!$D$1:$D$658,$C95,Socle!$E$1:$E$658,$D95,Socle!$F$1:$F$658,$E95,Socle!$G$1:$G$658,"2026"))</f>
        <v>800</v>
      </c>
      <c r="H95">
        <f>IF($A95="","",_xlfn.SUMIFS(Socle!$N$1:$N$658,Socle!$C$1:$C$658,$A95,Socle!$D$1:$D$658,$C95,Socle!$E$1:$E$658,$D95,Socle!$F$1:$F$658,$E95,Socle!$G$1:$G$658,"2026"))</f>
        <v>0</v>
      </c>
      <c r="I95">
        <f>IF($A95="","",_xlfn.SUMIFS(Socle!$P$1:$P$658,Socle!$C$1:$C$658,$A95,Socle!$D$1:$D$658,$C95,Socle!$E$1:$E$658,$D95,Socle!$F$1:$F$658,$E95,Socle!$G$1:$G$658,"2026"))</f>
        <v>7200</v>
      </c>
      <c r="J95">
        <f>IF($A95="","",_xlfn.SUMIFS(Socle!$W$1:$W$658,Socle!$C$1:$C$658,$A95,Socle!$D$1:$D$658,$C95,Socle!$E$1:$E$658,$D95,Socle!$F$1:$F$658,$E95,Socle!$G$1:$G$658,"2026"))</f>
        <v>0.2</v>
      </c>
      <c r="K95">
        <f>IF($A95="","",_xlfn.SUMIFS(Socle!$X$1:$X$658,Socle!$C$1:$C$658,$A95,Socle!$D$1:$D$658,$C95,Socle!$E$1:$E$658,$D95,Socle!$F$1:$F$658,$E95,Socle!$G$1:$G$658,"2026"))</f>
        <v>0.7</v>
      </c>
      <c r="L95">
        <f>IF($A95="","",_xlfn.SUMIFS(Socle!$Y$1:$Y$658,Socle!$C$1:$C$658,$A95,Socle!$D$1:$D$658,$C95,Socle!$E$1:$E$658,$D95,Socle!$F$1:$F$658,$E95,Socle!$G$1:$G$658,"2026"))</f>
        <v>0.419642857</v>
      </c>
      <c r="M95">
        <f>IF($A95="","",_xlfn.SUMIFS(Socle!$V$1:$V$658,Socle!$C$1:$C$658,$A95,Socle!$D$1:$D$658,$C95,Socle!$E$1:$E$658,$D95,Socle!$F$1:$F$658,$E95,Socle!$G$1:$G$658,"2026"))</f>
        <v>0</v>
      </c>
      <c r="N95">
        <f t="shared" si="0"/>
        <v>1</v>
      </c>
      <c r="O95">
        <f>IF($A95="","",_xlfn.SUMIFS(Campagne!$D$1:$D$141,Campagne!$C$1:$C$141,$A95))</f>
        <v>605</v>
      </c>
      <c r="P95">
        <f>IF($A95="","",_xlfn.SUMIFS(Campagne!$E$1:$E$141,Campagne!$C$1:$C$141,$A95))</f>
        <v>581</v>
      </c>
      <c r="Q95">
        <f>IF($A95="","",_xlfn.SUMIFS(Campagne!$F$1:$F$141,Campagne!$C$1:$C$141,$A95))</f>
        <v>1186</v>
      </c>
      <c r="R95">
        <f>IF($A95="","",_xlfn.SUMIFS(Campagne!$K$1:$K$141,Campagne!$C$1:$C$141,$A95))</f>
        <v>0.521803369</v>
      </c>
      <c r="S95">
        <f>IF($A95="","",_xlfn.SUMIFS(Campagne!$M$1:$M$141,Campagne!$C$1:$C$141,$A95))</f>
        <v>0.35585226</v>
      </c>
      <c r="T95">
        <f>IF($A95="","",_xlfn.SUMIFS(Pilotage!$K$19:$K$32,Pilotage!$A$19:$A$32,$A95)*_xlfn.SUMIFS(Pilotage!$J$19:$J$32,Pilotage!$A$19:$A$32,$A95)*(SUM(Pilotage!$K$19:$K$32)/SUMPRODUCT(Pilotage!$K$19:$K$32,Pilotage!$J$19:$J$32)))</f>
        <v>22083</v>
      </c>
      <c r="U95">
        <f>IF($A95="","",_xlfn.SUMIFS(Pilotage!$K$19:$K$32,Pilotage!$A$19:$A$32,$A95))</f>
        <v>22083</v>
      </c>
      <c r="V95">
        <f>IF($A95="","",IF($B95="V01",Cadrage!$C$23,IF($B95="V02",Cadrage!$D$23,Cadrage!$E$23)))</f>
        <v>0.15</v>
      </c>
      <c r="W95">
        <f>IF($A95="","",IF($B95="V01",Cadrage!$C$24,IF($B95="V02",Cadrage!$D$24,Cadrage!$E$24)))</f>
        <v>0.15</v>
      </c>
      <c r="X95">
        <f>IF($A95="","",IF($B95="V01",Cadrage!$C$25,IF($B95="V02",Cadrage!$D$25,Cadrage!$E$25)))</f>
        <v>0.035</v>
      </c>
      <c r="Y95">
        <f>IF($A95="","",IF($B95="V01",Cadrage!$C$26,IF($B95="V02",Cadrage!$D$26,Cadrage!$E$26)))</f>
        <v>0.03</v>
      </c>
      <c r="Z95">
        <f>IF($A95="","",IF($B95="V01",Cadrage!$C$27,IF($B95="V02",Cadrage!$D$27,Cadrage!$E$27)))</f>
        <v>0.025</v>
      </c>
      <c r="AA95">
        <f>IF($A95="","",IF($B95="V01",Cadrage!$C$28,IF($B95="V02",Cadrage!$D$28,Cadrage!$E$28)))</f>
        <v>0.015</v>
      </c>
      <c r="AB95">
        <f>IF($A95="","",IF($B95="V01",Cadrage!$C$42,IF($B95="V02",Cadrage!$D$42,Cadrage!$E$42)))</f>
        <v>90</v>
      </c>
      <c r="AC95">
        <f>IF($A95="","",IF($F95="MBWAY",Cadrage!$K$34,IF($F95="ISCOM",Cadrage!$K$35,IF($F95="IPAC",Cadrage!$K$36,IF($F95="PIGIER",Cadrage!$K$37,Cadrage!$K$38)))))</f>
        <v>1.15</v>
      </c>
      <c r="AD95">
        <f t="shared" si="1"/>
        <v>60.8822033198647</v>
      </c>
      <c r="AE95">
        <f t="shared" si="2"/>
        <v>60.8822033198647</v>
      </c>
      <c r="AF95">
        <f t="shared" si="3"/>
        <v>60.8822033198647</v>
      </c>
      <c r="AG95">
        <f t="shared" si="4"/>
        <v>7489.8</v>
      </c>
      <c r="AH95">
        <f t="shared" si="5"/>
        <v>461474.92472391</v>
      </c>
    </row>
    <row r="96" ht="14.25" customHeight="1">
      <c r="A96" t="str">
        <f>IF(Moteur!D96="","",Moteur!D96)</f>
        <v>ISCOM_TLS</v>
      </c>
      <c r="B96" t="str">
        <f>IF(Moteur!B96="","",Moteur!B96)</f>
        <v>V02</v>
      </c>
      <c r="C96" t="str">
        <f>IF(Moteur!F96="","",Moteur!F96)</f>
        <v>MAS_COM</v>
      </c>
      <c r="D96" t="str">
        <f>IF(Moteur!G96="","",Moteur!G96)</f>
        <v>M2</v>
      </c>
      <c r="E96" t="str">
        <f>IF(Moteur!H96="","",Moteur!H96)</f>
        <v>ALT</v>
      </c>
      <c r="F96" t="str">
        <f>IF(Moteur!E96="","",Moteur!E96)</f>
        <v>ISCOM</v>
      </c>
      <c r="G96">
        <f>IF($A96="","",_xlfn.SUMIFS(Socle!$H$1:$H$658,Socle!$C$1:$C$658,$A96,Socle!$D$1:$D$658,$C96,Socle!$E$1:$E$658,$D96,Socle!$F$1:$F$658,$E96,Socle!$G$1:$G$658,"2026"))</f>
        <v>0</v>
      </c>
      <c r="H96">
        <f>IF($A96="","",_xlfn.SUMIFS(Socle!$N$1:$N$658,Socle!$C$1:$C$658,$A96,Socle!$D$1:$D$658,$C96,Socle!$E$1:$E$658,$D96,Socle!$F$1:$F$658,$E96,Socle!$G$1:$G$658,"2026"))</f>
        <v>47</v>
      </c>
      <c r="I96">
        <f>IF($A96="","",_xlfn.SUMIFS(Socle!$P$1:$P$658,Socle!$C$1:$C$658,$A96,Socle!$D$1:$D$658,$C96,Socle!$E$1:$E$658,$D96,Socle!$F$1:$F$658,$E96,Socle!$G$1:$G$658,"2026"))</f>
        <v>7200</v>
      </c>
      <c r="J96">
        <f>IF($A96="","",_xlfn.SUMIFS(Socle!$W$1:$W$658,Socle!$C$1:$C$658,$A96,Socle!$D$1:$D$658,$C96,Socle!$E$1:$E$658,$D96,Socle!$F$1:$F$658,$E96,Socle!$G$1:$G$658,"2026"))</f>
        <v>0</v>
      </c>
      <c r="K96">
        <f>IF($A96="","",_xlfn.SUMIFS(Socle!$X$1:$X$658,Socle!$C$1:$C$658,$A96,Socle!$D$1:$D$658,$C96,Socle!$E$1:$E$658,$D96,Socle!$F$1:$F$658,$E96,Socle!$G$1:$G$658,"2026"))</f>
        <v>0</v>
      </c>
      <c r="L96">
        <f>IF($A96="","",_xlfn.SUMIFS(Socle!$Y$1:$Y$658,Socle!$C$1:$C$658,$A96,Socle!$D$1:$D$658,$C96,Socle!$E$1:$E$658,$D96,Socle!$F$1:$F$658,$E96,Socle!$G$1:$G$658,"2026"))</f>
        <v>0</v>
      </c>
      <c r="M96">
        <f>IF($A96="","",_xlfn.SUMIFS(Socle!$V$1:$V$658,Socle!$C$1:$C$658,$A96,Socle!$D$1:$D$658,$C96,Socle!$E$1:$E$658,$D96,Socle!$F$1:$F$658,$E96,Socle!$G$1:$G$658,"2026"))</f>
        <v>0.978723404</v>
      </c>
      <c r="N96">
        <f t="shared" si="0"/>
        <v>0</v>
      </c>
      <c r="O96">
        <f>IF($A96="","",_xlfn.SUMIFS(Campagne!$D$1:$D$141,Campagne!$C$1:$C$141,$A96))</f>
        <v>605</v>
      </c>
      <c r="P96">
        <f>IF($A96="","",_xlfn.SUMIFS(Campagne!$E$1:$E$141,Campagne!$C$1:$C$141,$A96))</f>
        <v>581</v>
      </c>
      <c r="Q96">
        <f>IF($A96="","",_xlfn.SUMIFS(Campagne!$F$1:$F$141,Campagne!$C$1:$C$141,$A96))</f>
        <v>1186</v>
      </c>
      <c r="R96">
        <f>IF($A96="","",_xlfn.SUMIFS(Campagne!$K$1:$K$141,Campagne!$C$1:$C$141,$A96))</f>
        <v>0.521803369</v>
      </c>
      <c r="S96">
        <f>IF($A96="","",_xlfn.SUMIFS(Campagne!$M$1:$M$141,Campagne!$C$1:$C$141,$A96))</f>
        <v>0.35585226</v>
      </c>
      <c r="T96">
        <f>IF($A96="","",_xlfn.SUMIFS(Pilotage!$K$19:$K$32,Pilotage!$A$19:$A$32,$A96)*_xlfn.SUMIFS(Pilotage!$J$19:$J$32,Pilotage!$A$19:$A$32,$A96)*(SUM(Pilotage!$K$19:$K$32)/SUMPRODUCT(Pilotage!$K$19:$K$32,Pilotage!$J$19:$J$32)))</f>
        <v>22083</v>
      </c>
      <c r="U96">
        <f>IF($A96="","",_xlfn.SUMIFS(Pilotage!$K$19:$K$32,Pilotage!$A$19:$A$32,$A96))</f>
        <v>22083</v>
      </c>
      <c r="V96">
        <f>IF($A96="","",IF($B96="V01",Cadrage!$C$23,IF($B96="V02",Cadrage!$D$23,Cadrage!$E$23)))</f>
        <v>0.15</v>
      </c>
      <c r="W96">
        <f>IF($A96="","",IF($B96="V01",Cadrage!$C$24,IF($B96="V02",Cadrage!$D$24,Cadrage!$E$24)))</f>
        <v>0.15</v>
      </c>
      <c r="X96">
        <f>IF($A96="","",IF($B96="V01",Cadrage!$C$25,IF($B96="V02",Cadrage!$D$25,Cadrage!$E$25)))</f>
        <v>0.035</v>
      </c>
      <c r="Y96">
        <f>IF($A96="","",IF($B96="V01",Cadrage!$C$26,IF($B96="V02",Cadrage!$D$26,Cadrage!$E$26)))</f>
        <v>0.03</v>
      </c>
      <c r="Z96">
        <f>IF($A96="","",IF($B96="V01",Cadrage!$C$27,IF($B96="V02",Cadrage!$D$27,Cadrage!$E$27)))</f>
        <v>0.025</v>
      </c>
      <c r="AA96">
        <f>IF($A96="","",IF($B96="V01",Cadrage!$C$28,IF($B96="V02",Cadrage!$D$28,Cadrage!$E$28)))</f>
        <v>0.015</v>
      </c>
      <c r="AB96">
        <f>IF($A96="","",IF($B96="V01",Cadrage!$C$42,IF($B96="V02",Cadrage!$D$42,Cadrage!$E$42)))</f>
        <v>90</v>
      </c>
      <c r="AC96">
        <f>IF($A96="","",IF($F96="MBWAY",Cadrage!$K$34,IF($F96="ISCOM",Cadrage!$K$35,IF($F96="IPAC",Cadrage!$K$36,IF($F96="PIGIER",Cadrage!$K$37,Cadrage!$K$38)))))</f>
        <v>1.15</v>
      </c>
      <c r="AD96">
        <f t="shared" si="1"/>
        <v>0</v>
      </c>
      <c r="AE96">
        <f t="shared" si="2"/>
        <v>0</v>
      </c>
      <c r="AF96">
        <f t="shared" si="3"/>
        <v>46.704999988</v>
      </c>
      <c r="AG96">
        <f t="shared" si="4"/>
        <v>7489.8</v>
      </c>
      <c r="AH96">
        <f t="shared" si="5"/>
        <v>349811.108910122</v>
      </c>
    </row>
    <row r="97" ht="14.25" customHeight="1">
      <c r="A97" t="str">
        <f>IF(Moteur!D97="","",Moteur!D97)</f>
        <v>IPAC_NAN</v>
      </c>
      <c r="B97" t="str">
        <f>IF(Moteur!B97="","",Moteur!B97)</f>
        <v>V02</v>
      </c>
      <c r="C97" t="str">
        <f>IF(Moteur!F97="","",Moteur!F97)</f>
        <v>BAC_CCE</v>
      </c>
      <c r="D97" t="str">
        <f>IF(Moteur!G97="","",Moteur!G97)</f>
        <v>B1</v>
      </c>
      <c r="E97" t="str">
        <f>IF(Moteur!H97="","",Moteur!H97)</f>
        <v>ALT</v>
      </c>
      <c r="F97" t="str">
        <f>IF(Moteur!E97="","",Moteur!E97)</f>
        <v>IPAC</v>
      </c>
      <c r="G97">
        <f>IF($A97="","",_xlfn.SUMIFS(Socle!$H$1:$H$658,Socle!$C$1:$C$658,$A97,Socle!$D$1:$D$658,$C97,Socle!$E$1:$E$658,$D97,Socle!$F$1:$F$658,$E97,Socle!$G$1:$G$658,"2026"))</f>
        <v>850</v>
      </c>
      <c r="H97">
        <f>IF($A97="","",_xlfn.SUMIFS(Socle!$N$1:$N$658,Socle!$C$1:$C$658,$A97,Socle!$D$1:$D$658,$C97,Socle!$E$1:$E$658,$D97,Socle!$F$1:$F$658,$E97,Socle!$G$1:$G$658,"2026"))</f>
        <v>0</v>
      </c>
      <c r="I97">
        <f>IF($A97="","",_xlfn.SUMIFS(Socle!$P$1:$P$658,Socle!$C$1:$C$658,$A97,Socle!$D$1:$D$658,$C97,Socle!$E$1:$E$658,$D97,Socle!$F$1:$F$658,$E97,Socle!$G$1:$G$658,"2026"))</f>
        <v>7000</v>
      </c>
      <c r="J97">
        <f>IF($A97="","",_xlfn.SUMIFS(Socle!$W$1:$W$658,Socle!$C$1:$C$658,$A97,Socle!$D$1:$D$658,$C97,Socle!$E$1:$E$658,$D97,Socle!$F$1:$F$658,$E97,Socle!$G$1:$G$658,"2026"))</f>
        <v>0.2</v>
      </c>
      <c r="K97">
        <f>IF($A97="","",_xlfn.SUMIFS(Socle!$X$1:$X$658,Socle!$C$1:$C$658,$A97,Socle!$D$1:$D$658,$C97,Socle!$E$1:$E$658,$D97,Socle!$F$1:$F$658,$E97,Socle!$G$1:$G$658,"2026"))</f>
        <v>0.7</v>
      </c>
      <c r="L97">
        <f>IF($A97="","",_xlfn.SUMIFS(Socle!$Y$1:$Y$658,Socle!$C$1:$C$658,$A97,Socle!$D$1:$D$658,$C97,Socle!$E$1:$E$658,$D97,Socle!$F$1:$F$658,$E97,Socle!$G$1:$G$658,"2026"))</f>
        <v>0.420168067</v>
      </c>
      <c r="M97">
        <f>IF($A97="","",_xlfn.SUMIFS(Socle!$V$1:$V$658,Socle!$C$1:$C$658,$A97,Socle!$D$1:$D$658,$C97,Socle!$E$1:$E$658,$D97,Socle!$F$1:$F$658,$E97,Socle!$G$1:$G$658,"2026"))</f>
        <v>0</v>
      </c>
      <c r="N97">
        <f t="shared" si="0"/>
        <v>1</v>
      </c>
      <c r="O97">
        <f>IF($A97="","",_xlfn.SUMIFS(Campagne!$D$1:$D$141,Campagne!$C$1:$C$141,$A97))</f>
        <v>306</v>
      </c>
      <c r="P97">
        <f>IF($A97="","",_xlfn.SUMIFS(Campagne!$E$1:$E$141,Campagne!$C$1:$C$141,$A97))</f>
        <v>544</v>
      </c>
      <c r="Q97">
        <f>IF($A97="","",_xlfn.SUMIFS(Campagne!$F$1:$F$141,Campagne!$C$1:$C$141,$A97))</f>
        <v>850</v>
      </c>
      <c r="R97">
        <f>IF($A97="","",_xlfn.SUMIFS(Campagne!$K$1:$K$141,Campagne!$C$1:$C$141,$A97))</f>
        <v>0.559080786</v>
      </c>
      <c r="S97">
        <f>IF($A97="","",_xlfn.SUMIFS(Campagne!$M$1:$M$141,Campagne!$C$1:$C$141,$A97))</f>
        <v>0.304912257</v>
      </c>
      <c r="T97">
        <f>IF($A97="","",_xlfn.SUMIFS(Pilotage!$K$19:$K$32,Pilotage!$A$19:$A$32,$A97)*_xlfn.SUMIFS(Pilotage!$J$19:$J$32,Pilotage!$A$19:$A$32,$A97)*(SUM(Pilotage!$K$19:$K$32)/SUMPRODUCT(Pilotage!$K$19:$K$32,Pilotage!$J$19:$J$32)))</f>
        <v>21760</v>
      </c>
      <c r="U97">
        <f>IF($A97="","",_xlfn.SUMIFS(Pilotage!$K$19:$K$32,Pilotage!$A$19:$A$32,$A97))</f>
        <v>21760</v>
      </c>
      <c r="V97">
        <f>IF($A97="","",IF($B97="V01",Cadrage!$C$23,IF($B97="V02",Cadrage!$D$23,Cadrage!$E$23)))</f>
        <v>0.15</v>
      </c>
      <c r="W97">
        <f>IF($A97="","",IF($B97="V01",Cadrage!$C$24,IF($B97="V02",Cadrage!$D$24,Cadrage!$E$24)))</f>
        <v>0.15</v>
      </c>
      <c r="X97">
        <f>IF($A97="","",IF($B97="V01",Cadrage!$C$25,IF($B97="V02",Cadrage!$D$25,Cadrage!$E$25)))</f>
        <v>0.035</v>
      </c>
      <c r="Y97">
        <f>IF($A97="","",IF($B97="V01",Cadrage!$C$26,IF($B97="V02",Cadrage!$D$26,Cadrage!$E$26)))</f>
        <v>0.03</v>
      </c>
      <c r="Z97">
        <f>IF($A97="","",IF($B97="V01",Cadrage!$C$27,IF($B97="V02",Cadrage!$D$27,Cadrage!$E$27)))</f>
        <v>0.025</v>
      </c>
      <c r="AA97">
        <f>IF($A97="","",IF($B97="V01",Cadrage!$C$28,IF($B97="V02",Cadrage!$D$28,Cadrage!$E$28)))</f>
        <v>0.015</v>
      </c>
      <c r="AB97">
        <f>IF($A97="","",IF($B97="V01",Cadrage!$C$42,IF($B97="V02",Cadrage!$D$42,Cadrage!$E$42)))</f>
        <v>90</v>
      </c>
      <c r="AC97">
        <f>IF($A97="","",IF($F97="MBWAY",Cadrage!$K$34,IF($F97="ISCOM",Cadrage!$K$35,IF($F97="IPAC",Cadrage!$K$36,IF($F97="PIGIER",Cadrage!$K$37,Cadrage!$K$38)))))</f>
        <v>0.95</v>
      </c>
      <c r="AD97">
        <f t="shared" si="1"/>
        <v>65.0448370668293</v>
      </c>
      <c r="AE97">
        <f t="shared" si="2"/>
        <v>65.0448370668293</v>
      </c>
      <c r="AF97">
        <f t="shared" si="3"/>
        <v>65.0448370668293</v>
      </c>
      <c r="AG97">
        <f t="shared" si="4"/>
        <v>7232.75</v>
      </c>
      <c r="AH97">
        <f t="shared" si="5"/>
        <v>476307.080631124</v>
      </c>
    </row>
    <row r="98" ht="14.25" customHeight="1">
      <c r="A98" t="str">
        <f>IF(Moteur!D98="","",Moteur!D98)</f>
        <v>IPAC_NAN</v>
      </c>
      <c r="B98" t="str">
        <f>IF(Moteur!B98="","",Moteur!B98)</f>
        <v>V02</v>
      </c>
      <c r="C98" t="str">
        <f>IF(Moteur!F98="","",Moteur!F98)</f>
        <v>BAC_CCE</v>
      </c>
      <c r="D98" t="str">
        <f>IF(Moteur!G98="","",Moteur!G98)</f>
        <v>B2</v>
      </c>
      <c r="E98" t="str">
        <f>IF(Moteur!H98="","",Moteur!H98)</f>
        <v>ALT</v>
      </c>
      <c r="F98" t="str">
        <f>IF(Moteur!E98="","",Moteur!E98)</f>
        <v>IPAC</v>
      </c>
      <c r="G98">
        <f>IF($A98="","",_xlfn.SUMIFS(Socle!$H$1:$H$658,Socle!$C$1:$C$658,$A98,Socle!$D$1:$D$658,$C98,Socle!$E$1:$E$658,$D98,Socle!$F$1:$F$658,$E98,Socle!$G$1:$G$658,"2026"))</f>
        <v>0</v>
      </c>
      <c r="H98">
        <f>IF($A98="","",_xlfn.SUMIFS(Socle!$N$1:$N$658,Socle!$C$1:$C$658,$A98,Socle!$D$1:$D$658,$C98,Socle!$E$1:$E$658,$D98,Socle!$F$1:$F$658,$E98,Socle!$G$1:$G$658,"2026"))</f>
        <v>50</v>
      </c>
      <c r="I98">
        <f>IF($A98="","",_xlfn.SUMIFS(Socle!$P$1:$P$658,Socle!$C$1:$C$658,$A98,Socle!$D$1:$D$658,$C98,Socle!$E$1:$E$658,$D98,Socle!$F$1:$F$658,$E98,Socle!$G$1:$G$658,"2026"))</f>
        <v>7000</v>
      </c>
      <c r="J98">
        <f>IF($A98="","",_xlfn.SUMIFS(Socle!$W$1:$W$658,Socle!$C$1:$C$658,$A98,Socle!$D$1:$D$658,$C98,Socle!$E$1:$E$658,$D98,Socle!$F$1:$F$658,$E98,Socle!$G$1:$G$658,"2026"))</f>
        <v>0</v>
      </c>
      <c r="K98">
        <f>IF($A98="","",_xlfn.SUMIFS(Socle!$X$1:$X$658,Socle!$C$1:$C$658,$A98,Socle!$D$1:$D$658,$C98,Socle!$E$1:$E$658,$D98,Socle!$F$1:$F$658,$E98,Socle!$G$1:$G$658,"2026"))</f>
        <v>0</v>
      </c>
      <c r="L98">
        <f>IF($A98="","",_xlfn.SUMIFS(Socle!$Y$1:$Y$658,Socle!$C$1:$C$658,$A98,Socle!$D$1:$D$658,$C98,Socle!$E$1:$E$658,$D98,Socle!$F$1:$F$658,$E98,Socle!$G$1:$G$658,"2026"))</f>
        <v>0</v>
      </c>
      <c r="M98">
        <f>IF($A98="","",_xlfn.SUMIFS(Socle!$V$1:$V$658,Socle!$C$1:$C$658,$A98,Socle!$D$1:$D$658,$C98,Socle!$E$1:$E$658,$D98,Socle!$F$1:$F$658,$E98,Socle!$G$1:$G$658,"2026"))</f>
        <v>0.96</v>
      </c>
      <c r="N98">
        <f t="shared" si="0"/>
        <v>0</v>
      </c>
      <c r="O98">
        <f>IF($A98="","",_xlfn.SUMIFS(Campagne!$D$1:$D$141,Campagne!$C$1:$C$141,$A98))</f>
        <v>306</v>
      </c>
      <c r="P98">
        <f>IF($A98="","",_xlfn.SUMIFS(Campagne!$E$1:$E$141,Campagne!$C$1:$C$141,$A98))</f>
        <v>544</v>
      </c>
      <c r="Q98">
        <f>IF($A98="","",_xlfn.SUMIFS(Campagne!$F$1:$F$141,Campagne!$C$1:$C$141,$A98))</f>
        <v>850</v>
      </c>
      <c r="R98">
        <f>IF($A98="","",_xlfn.SUMIFS(Campagne!$K$1:$K$141,Campagne!$C$1:$C$141,$A98))</f>
        <v>0.559080786</v>
      </c>
      <c r="S98">
        <f>IF($A98="","",_xlfn.SUMIFS(Campagne!$M$1:$M$141,Campagne!$C$1:$C$141,$A98))</f>
        <v>0.304912257</v>
      </c>
      <c r="T98">
        <f>IF($A98="","",_xlfn.SUMIFS(Pilotage!$K$19:$K$32,Pilotage!$A$19:$A$32,$A98)*_xlfn.SUMIFS(Pilotage!$J$19:$J$32,Pilotage!$A$19:$A$32,$A98)*(SUM(Pilotage!$K$19:$K$32)/SUMPRODUCT(Pilotage!$K$19:$K$32,Pilotage!$J$19:$J$32)))</f>
        <v>21760</v>
      </c>
      <c r="U98">
        <f>IF($A98="","",_xlfn.SUMIFS(Pilotage!$K$19:$K$32,Pilotage!$A$19:$A$32,$A98))</f>
        <v>21760</v>
      </c>
      <c r="V98">
        <f>IF($A98="","",IF($B98="V01",Cadrage!$C$23,IF($B98="V02",Cadrage!$D$23,Cadrage!$E$23)))</f>
        <v>0.15</v>
      </c>
      <c r="W98">
        <f>IF($A98="","",IF($B98="V01",Cadrage!$C$24,IF($B98="V02",Cadrage!$D$24,Cadrage!$E$24)))</f>
        <v>0.15</v>
      </c>
      <c r="X98">
        <f>IF($A98="","",IF($B98="V01",Cadrage!$C$25,IF($B98="V02",Cadrage!$D$25,Cadrage!$E$25)))</f>
        <v>0.035</v>
      </c>
      <c r="Y98">
        <f>IF($A98="","",IF($B98="V01",Cadrage!$C$26,IF($B98="V02",Cadrage!$D$26,Cadrage!$E$26)))</f>
        <v>0.03</v>
      </c>
      <c r="Z98">
        <f>IF($A98="","",IF($B98="V01",Cadrage!$C$27,IF($B98="V02",Cadrage!$D$27,Cadrage!$E$27)))</f>
        <v>0.025</v>
      </c>
      <c r="AA98">
        <f>IF($A98="","",IF($B98="V01",Cadrage!$C$28,IF($B98="V02",Cadrage!$D$28,Cadrage!$E$28)))</f>
        <v>0.015</v>
      </c>
      <c r="AB98">
        <f>IF($A98="","",IF($B98="V01",Cadrage!$C$42,IF($B98="V02",Cadrage!$D$42,Cadrage!$E$42)))</f>
        <v>90</v>
      </c>
      <c r="AC98">
        <f>IF($A98="","",IF($F98="MBWAY",Cadrage!$K$34,IF($F98="ISCOM",Cadrage!$K$35,IF($F98="IPAC",Cadrage!$K$36,IF($F98="PIGIER",Cadrage!$K$37,Cadrage!$K$38)))))</f>
        <v>0.95</v>
      </c>
      <c r="AD98">
        <f t="shared" si="1"/>
        <v>0</v>
      </c>
      <c r="AE98">
        <f t="shared" si="2"/>
        <v>0</v>
      </c>
      <c r="AF98">
        <f t="shared" si="3"/>
        <v>48.75</v>
      </c>
      <c r="AG98">
        <f t="shared" si="4"/>
        <v>7232.75</v>
      </c>
      <c r="AH98">
        <f t="shared" si="5"/>
        <v>352596.5625</v>
      </c>
    </row>
    <row r="99" ht="14.25" customHeight="1">
      <c r="A99" t="str">
        <f>IF(Moteur!D99="","",Moteur!D99)</f>
        <v>IPAC_NAN</v>
      </c>
      <c r="B99" t="str">
        <f>IF(Moteur!B99="","",Moteur!B99)</f>
        <v>V02</v>
      </c>
      <c r="C99" t="str">
        <f>IF(Moteur!F99="","",Moteur!F99)</f>
        <v>BAC_CCE</v>
      </c>
      <c r="D99" t="str">
        <f>IF(Moteur!G99="","",Moteur!G99)</f>
        <v>B3</v>
      </c>
      <c r="E99" t="str">
        <f>IF(Moteur!H99="","",Moteur!H99)</f>
        <v>ALT</v>
      </c>
      <c r="F99" t="str">
        <f>IF(Moteur!E99="","",Moteur!E99)</f>
        <v>IPAC</v>
      </c>
      <c r="G99">
        <f>IF($A99="","",_xlfn.SUMIFS(Socle!$H$1:$H$658,Socle!$C$1:$C$658,$A99,Socle!$D$1:$D$658,$C99,Socle!$E$1:$E$658,$D99,Socle!$F$1:$F$658,$E99,Socle!$G$1:$G$658,"2026"))</f>
        <v>0</v>
      </c>
      <c r="H99">
        <f>IF($A99="","",_xlfn.SUMIFS(Socle!$N$1:$N$658,Socle!$C$1:$C$658,$A99,Socle!$D$1:$D$658,$C99,Socle!$E$1:$E$658,$D99,Socle!$F$1:$F$658,$E99,Socle!$G$1:$G$658,"2026"))</f>
        <v>48</v>
      </c>
      <c r="I99">
        <f>IF($A99="","",_xlfn.SUMIFS(Socle!$P$1:$P$658,Socle!$C$1:$C$658,$A99,Socle!$D$1:$D$658,$C99,Socle!$E$1:$E$658,$D99,Socle!$F$1:$F$658,$E99,Socle!$G$1:$G$658,"2026"))</f>
        <v>7000</v>
      </c>
      <c r="J99">
        <f>IF($A99="","",_xlfn.SUMIFS(Socle!$W$1:$W$658,Socle!$C$1:$C$658,$A99,Socle!$D$1:$D$658,$C99,Socle!$E$1:$E$658,$D99,Socle!$F$1:$F$658,$E99,Socle!$G$1:$G$658,"2026"))</f>
        <v>0</v>
      </c>
      <c r="K99">
        <f>IF($A99="","",_xlfn.SUMIFS(Socle!$X$1:$X$658,Socle!$C$1:$C$658,$A99,Socle!$D$1:$D$658,$C99,Socle!$E$1:$E$658,$D99,Socle!$F$1:$F$658,$E99,Socle!$G$1:$G$658,"2026"))</f>
        <v>0</v>
      </c>
      <c r="L99">
        <f>IF($A99="","",_xlfn.SUMIFS(Socle!$Y$1:$Y$658,Socle!$C$1:$C$658,$A99,Socle!$D$1:$D$658,$C99,Socle!$E$1:$E$658,$D99,Socle!$F$1:$F$658,$E99,Socle!$G$1:$G$658,"2026"))</f>
        <v>0</v>
      </c>
      <c r="M99">
        <f>IF($A99="","",_xlfn.SUMIFS(Socle!$V$1:$V$658,Socle!$C$1:$C$658,$A99,Socle!$D$1:$D$658,$C99,Socle!$E$1:$E$658,$D99,Socle!$F$1:$F$658,$E99,Socle!$G$1:$G$658,"2026"))</f>
        <v>0.979166667</v>
      </c>
      <c r="N99">
        <f t="shared" si="0"/>
        <v>0</v>
      </c>
      <c r="O99">
        <f>IF($A99="","",_xlfn.SUMIFS(Campagne!$D$1:$D$141,Campagne!$C$1:$C$141,$A99))</f>
        <v>306</v>
      </c>
      <c r="P99">
        <f>IF($A99="","",_xlfn.SUMIFS(Campagne!$E$1:$E$141,Campagne!$C$1:$C$141,$A99))</f>
        <v>544</v>
      </c>
      <c r="Q99">
        <f>IF($A99="","",_xlfn.SUMIFS(Campagne!$F$1:$F$141,Campagne!$C$1:$C$141,$A99))</f>
        <v>850</v>
      </c>
      <c r="R99">
        <f>IF($A99="","",_xlfn.SUMIFS(Campagne!$K$1:$K$141,Campagne!$C$1:$C$141,$A99))</f>
        <v>0.559080786</v>
      </c>
      <c r="S99">
        <f>IF($A99="","",_xlfn.SUMIFS(Campagne!$M$1:$M$141,Campagne!$C$1:$C$141,$A99))</f>
        <v>0.304912257</v>
      </c>
      <c r="T99">
        <f>IF($A99="","",_xlfn.SUMIFS(Pilotage!$K$19:$K$32,Pilotage!$A$19:$A$32,$A99)*_xlfn.SUMIFS(Pilotage!$J$19:$J$32,Pilotage!$A$19:$A$32,$A99)*(SUM(Pilotage!$K$19:$K$32)/SUMPRODUCT(Pilotage!$K$19:$K$32,Pilotage!$J$19:$J$32)))</f>
        <v>21760</v>
      </c>
      <c r="U99">
        <f>IF($A99="","",_xlfn.SUMIFS(Pilotage!$K$19:$K$32,Pilotage!$A$19:$A$32,$A99))</f>
        <v>21760</v>
      </c>
      <c r="V99">
        <f>IF($A99="","",IF($B99="V01",Cadrage!$C$23,IF($B99="V02",Cadrage!$D$23,Cadrage!$E$23)))</f>
        <v>0.15</v>
      </c>
      <c r="W99">
        <f>IF($A99="","",IF($B99="V01",Cadrage!$C$24,IF($B99="V02",Cadrage!$D$24,Cadrage!$E$24)))</f>
        <v>0.15</v>
      </c>
      <c r="X99">
        <f>IF($A99="","",IF($B99="V01",Cadrage!$C$25,IF($B99="V02",Cadrage!$D$25,Cadrage!$E$25)))</f>
        <v>0.035</v>
      </c>
      <c r="Y99">
        <f>IF($A99="","",IF($B99="V01",Cadrage!$C$26,IF($B99="V02",Cadrage!$D$26,Cadrage!$E$26)))</f>
        <v>0.03</v>
      </c>
      <c r="Z99">
        <f>IF($A99="","",IF($B99="V01",Cadrage!$C$27,IF($B99="V02",Cadrage!$D$27,Cadrage!$E$27)))</f>
        <v>0.025</v>
      </c>
      <c r="AA99">
        <f>IF($A99="","",IF($B99="V01",Cadrage!$C$28,IF($B99="V02",Cadrage!$D$28,Cadrage!$E$28)))</f>
        <v>0.015</v>
      </c>
      <c r="AB99">
        <f>IF($A99="","",IF($B99="V01",Cadrage!$C$42,IF($B99="V02",Cadrage!$D$42,Cadrage!$E$42)))</f>
        <v>90</v>
      </c>
      <c r="AC99">
        <f>IF($A99="","",IF($F99="MBWAY",Cadrage!$K$34,IF($F99="ISCOM",Cadrage!$K$35,IF($F99="IPAC",Cadrage!$K$36,IF($F99="PIGIER",Cadrage!$K$37,Cadrage!$K$38)))))</f>
        <v>0.95</v>
      </c>
      <c r="AD99">
        <f t="shared" si="1"/>
        <v>0</v>
      </c>
      <c r="AE99">
        <f t="shared" si="2"/>
        <v>0</v>
      </c>
      <c r="AF99">
        <f t="shared" si="3"/>
        <v>47.720000016</v>
      </c>
      <c r="AG99">
        <f t="shared" si="4"/>
        <v>7232.75</v>
      </c>
      <c r="AH99">
        <f t="shared" si="5"/>
        <v>345146.830115724</v>
      </c>
    </row>
    <row r="100" ht="14.25" customHeight="1">
      <c r="A100" t="str">
        <f>IF(Moteur!D100="","",Moteur!D100)</f>
        <v>IPAC_REN</v>
      </c>
      <c r="B100" t="str">
        <f>IF(Moteur!B100="","",Moteur!B100)</f>
        <v>V02</v>
      </c>
      <c r="C100" t="str">
        <f>IF(Moteur!F100="","",Moteur!F100)</f>
        <v>BAC_CCE</v>
      </c>
      <c r="D100" t="str">
        <f>IF(Moteur!G100="","",Moteur!G100)</f>
        <v>B1</v>
      </c>
      <c r="E100" t="str">
        <f>IF(Moteur!H100="","",Moteur!H100)</f>
        <v>ALT</v>
      </c>
      <c r="F100" t="str">
        <f>IF(Moteur!E100="","",Moteur!E100)</f>
        <v>IPAC</v>
      </c>
      <c r="G100">
        <f>IF($A100="","",_xlfn.SUMIFS(Socle!$H$1:$H$658,Socle!$C$1:$C$658,$A100,Socle!$D$1:$D$658,$C100,Socle!$E$1:$E$658,$D100,Socle!$F$1:$F$658,$E100,Socle!$G$1:$G$658,"2026"))</f>
        <v>680</v>
      </c>
      <c r="H100">
        <f>IF($A100="","",_xlfn.SUMIFS(Socle!$N$1:$N$658,Socle!$C$1:$C$658,$A100,Socle!$D$1:$D$658,$C100,Socle!$E$1:$E$658,$D100,Socle!$F$1:$F$658,$E100,Socle!$G$1:$G$658,"2026"))</f>
        <v>0</v>
      </c>
      <c r="I100">
        <f>IF($A100="","",_xlfn.SUMIFS(Socle!$P$1:$P$658,Socle!$C$1:$C$658,$A100,Socle!$D$1:$D$658,$C100,Socle!$E$1:$E$658,$D100,Socle!$F$1:$F$658,$E100,Socle!$G$1:$G$658,"2026"))</f>
        <v>6650</v>
      </c>
      <c r="J100">
        <f>IF($A100="","",_xlfn.SUMIFS(Socle!$W$1:$W$658,Socle!$C$1:$C$658,$A100,Socle!$D$1:$D$658,$C100,Socle!$E$1:$E$658,$D100,Socle!$F$1:$F$658,$E100,Socle!$G$1:$G$658,"2026"))</f>
        <v>0.2</v>
      </c>
      <c r="K100">
        <f>IF($A100="","",_xlfn.SUMIFS(Socle!$X$1:$X$658,Socle!$C$1:$C$658,$A100,Socle!$D$1:$D$658,$C100,Socle!$E$1:$E$658,$D100,Socle!$F$1:$F$658,$E100,Socle!$G$1:$G$658,"2026"))</f>
        <v>0.698529412</v>
      </c>
      <c r="L100">
        <f>IF($A100="","",_xlfn.SUMIFS(Socle!$Y$1:$Y$658,Socle!$C$1:$C$658,$A100,Socle!$D$1:$D$658,$C100,Socle!$E$1:$E$658,$D100,Socle!$F$1:$F$658,$E100,Socle!$G$1:$G$658,"2026"))</f>
        <v>0.421052632</v>
      </c>
      <c r="M100">
        <f>IF($A100="","",_xlfn.SUMIFS(Socle!$V$1:$V$658,Socle!$C$1:$C$658,$A100,Socle!$D$1:$D$658,$C100,Socle!$E$1:$E$658,$D100,Socle!$F$1:$F$658,$E100,Socle!$G$1:$G$658,"2026"))</f>
        <v>0</v>
      </c>
      <c r="N100">
        <f t="shared" si="0"/>
        <v>1</v>
      </c>
      <c r="O100">
        <f>IF($A100="","",_xlfn.SUMIFS(Campagne!$D$1:$D$141,Campagne!$C$1:$C$141,$A100))</f>
        <v>265</v>
      </c>
      <c r="P100">
        <f>IF($A100="","",_xlfn.SUMIFS(Campagne!$E$1:$E$141,Campagne!$C$1:$C$141,$A100))</f>
        <v>415</v>
      </c>
      <c r="Q100">
        <f>IF($A100="","",_xlfn.SUMIFS(Campagne!$F$1:$F$141,Campagne!$C$1:$C$141,$A100))</f>
        <v>680</v>
      </c>
      <c r="R100">
        <f>IF($A100="","",_xlfn.SUMIFS(Campagne!$K$1:$K$141,Campagne!$C$1:$C$141,$A100))</f>
        <v>0.587876564</v>
      </c>
      <c r="S100">
        <f>IF($A100="","",_xlfn.SUMIFS(Campagne!$M$1:$M$141,Campagne!$C$1:$C$141,$A100))</f>
        <v>0.317354148</v>
      </c>
      <c r="T100">
        <f>IF($A100="","",_xlfn.SUMIFS(Pilotage!$K$19:$K$32,Pilotage!$A$19:$A$32,$A100)*_xlfn.SUMIFS(Pilotage!$J$19:$J$32,Pilotage!$A$19:$A$32,$A100)*(SUM(Pilotage!$K$19:$K$32)/SUMPRODUCT(Pilotage!$K$19:$K$32,Pilotage!$J$19:$J$32)))</f>
        <v>14933</v>
      </c>
      <c r="U100">
        <f>IF($A100="","",_xlfn.SUMIFS(Pilotage!$K$19:$K$32,Pilotage!$A$19:$A$32,$A100))</f>
        <v>14933</v>
      </c>
      <c r="V100">
        <f>IF($A100="","",IF($B100="V01",Cadrage!$C$23,IF($B100="V02",Cadrage!$D$23,Cadrage!$E$23)))</f>
        <v>0.15</v>
      </c>
      <c r="W100">
        <f>IF($A100="","",IF($B100="V01",Cadrage!$C$24,IF($B100="V02",Cadrage!$D$24,Cadrage!$E$24)))</f>
        <v>0.15</v>
      </c>
      <c r="X100">
        <f>IF($A100="","",IF($B100="V01",Cadrage!$C$25,IF($B100="V02",Cadrage!$D$25,Cadrage!$E$25)))</f>
        <v>0.035</v>
      </c>
      <c r="Y100">
        <f>IF($A100="","",IF($B100="V01",Cadrage!$C$26,IF($B100="V02",Cadrage!$D$26,Cadrage!$E$26)))</f>
        <v>0.03</v>
      </c>
      <c r="Z100">
        <f>IF($A100="","",IF($B100="V01",Cadrage!$C$27,IF($B100="V02",Cadrage!$D$27,Cadrage!$E$27)))</f>
        <v>0.025</v>
      </c>
      <c r="AA100">
        <f>IF($A100="","",IF($B100="V01",Cadrage!$C$28,IF($B100="V02",Cadrage!$D$28,Cadrage!$E$28)))</f>
        <v>0.015</v>
      </c>
      <c r="AB100">
        <f>IF($A100="","",IF($B100="V01",Cadrage!$C$42,IF($B100="V02",Cadrage!$D$42,Cadrage!$E$42)))</f>
        <v>90</v>
      </c>
      <c r="AC100">
        <f>IF($A100="","",IF($F100="MBWAY",Cadrage!$K$34,IF($F100="ISCOM",Cadrage!$K$35,IF($F100="IPAC",Cadrage!$K$36,IF($F100="PIGIER",Cadrage!$K$37,Cadrage!$K$38)))))</f>
        <v>0.95</v>
      </c>
      <c r="AD100">
        <f t="shared" si="1"/>
        <v>52.1392750093149</v>
      </c>
      <c r="AE100">
        <f t="shared" si="2"/>
        <v>52.1392750093149</v>
      </c>
      <c r="AF100">
        <f t="shared" si="3"/>
        <v>52.1392750093149</v>
      </c>
      <c r="AG100">
        <f t="shared" si="4"/>
        <v>6871.1125</v>
      </c>
      <c r="AH100">
        <f t="shared" si="5"/>
        <v>362947.35900828</v>
      </c>
    </row>
    <row r="101" ht="14.25" customHeight="1">
      <c r="A101" t="str">
        <f>IF(Moteur!D101="","",Moteur!D101)</f>
        <v>IPAC_REN</v>
      </c>
      <c r="B101" t="str">
        <f>IF(Moteur!B101="","",Moteur!B101)</f>
        <v>V02</v>
      </c>
      <c r="C101" t="str">
        <f>IF(Moteur!F101="","",Moteur!F101)</f>
        <v>BAC_CCE</v>
      </c>
      <c r="D101" t="str">
        <f>IF(Moteur!G101="","",Moteur!G101)</f>
        <v>B2</v>
      </c>
      <c r="E101" t="str">
        <f>IF(Moteur!H101="","",Moteur!H101)</f>
        <v>ALT</v>
      </c>
      <c r="F101" t="str">
        <f>IF(Moteur!E101="","",Moteur!E101)</f>
        <v>IPAC</v>
      </c>
      <c r="G101">
        <f>IF($A101="","",_xlfn.SUMIFS(Socle!$H$1:$H$658,Socle!$C$1:$C$658,$A101,Socle!$D$1:$D$658,$C101,Socle!$E$1:$E$658,$D101,Socle!$F$1:$F$658,$E101,Socle!$G$1:$G$658,"2026"))</f>
        <v>0</v>
      </c>
      <c r="H101">
        <f>IF($A101="","",_xlfn.SUMIFS(Socle!$N$1:$N$658,Socle!$C$1:$C$658,$A101,Socle!$D$1:$D$658,$C101,Socle!$E$1:$E$658,$D101,Socle!$F$1:$F$658,$E101,Socle!$G$1:$G$658,"2026"))</f>
        <v>40</v>
      </c>
      <c r="I101">
        <f>IF($A101="","",_xlfn.SUMIFS(Socle!$P$1:$P$658,Socle!$C$1:$C$658,$A101,Socle!$D$1:$D$658,$C101,Socle!$E$1:$E$658,$D101,Socle!$F$1:$F$658,$E101,Socle!$G$1:$G$658,"2026"))</f>
        <v>6650</v>
      </c>
      <c r="J101">
        <f>IF($A101="","",_xlfn.SUMIFS(Socle!$W$1:$W$658,Socle!$C$1:$C$658,$A101,Socle!$D$1:$D$658,$C101,Socle!$E$1:$E$658,$D101,Socle!$F$1:$F$658,$E101,Socle!$G$1:$G$658,"2026"))</f>
        <v>0</v>
      </c>
      <c r="K101">
        <f>IF($A101="","",_xlfn.SUMIFS(Socle!$X$1:$X$658,Socle!$C$1:$C$658,$A101,Socle!$D$1:$D$658,$C101,Socle!$E$1:$E$658,$D101,Socle!$F$1:$F$658,$E101,Socle!$G$1:$G$658,"2026"))</f>
        <v>0</v>
      </c>
      <c r="L101">
        <f>IF($A101="","",_xlfn.SUMIFS(Socle!$Y$1:$Y$658,Socle!$C$1:$C$658,$A101,Socle!$D$1:$D$658,$C101,Socle!$E$1:$E$658,$D101,Socle!$F$1:$F$658,$E101,Socle!$G$1:$G$658,"2026"))</f>
        <v>0</v>
      </c>
      <c r="M101">
        <f>IF($A101="","",_xlfn.SUMIFS(Socle!$V$1:$V$658,Socle!$C$1:$C$658,$A101,Socle!$D$1:$D$658,$C101,Socle!$E$1:$E$658,$D101,Socle!$F$1:$F$658,$E101,Socle!$G$1:$G$658,"2026"))</f>
        <v>0.975</v>
      </c>
      <c r="N101">
        <f t="shared" si="0"/>
        <v>0</v>
      </c>
      <c r="O101">
        <f>IF($A101="","",_xlfn.SUMIFS(Campagne!$D$1:$D$141,Campagne!$C$1:$C$141,$A101))</f>
        <v>265</v>
      </c>
      <c r="P101">
        <f>IF($A101="","",_xlfn.SUMIFS(Campagne!$E$1:$E$141,Campagne!$C$1:$C$141,$A101))</f>
        <v>415</v>
      </c>
      <c r="Q101">
        <f>IF($A101="","",_xlfn.SUMIFS(Campagne!$F$1:$F$141,Campagne!$C$1:$C$141,$A101))</f>
        <v>680</v>
      </c>
      <c r="R101">
        <f>IF($A101="","",_xlfn.SUMIFS(Campagne!$K$1:$K$141,Campagne!$C$1:$C$141,$A101))</f>
        <v>0.587876564</v>
      </c>
      <c r="S101">
        <f>IF($A101="","",_xlfn.SUMIFS(Campagne!$M$1:$M$141,Campagne!$C$1:$C$141,$A101))</f>
        <v>0.317354148</v>
      </c>
      <c r="T101">
        <f>IF($A101="","",_xlfn.SUMIFS(Pilotage!$K$19:$K$32,Pilotage!$A$19:$A$32,$A101)*_xlfn.SUMIFS(Pilotage!$J$19:$J$32,Pilotage!$A$19:$A$32,$A101)*(SUM(Pilotage!$K$19:$K$32)/SUMPRODUCT(Pilotage!$K$19:$K$32,Pilotage!$J$19:$J$32)))</f>
        <v>14933</v>
      </c>
      <c r="U101">
        <f>IF($A101="","",_xlfn.SUMIFS(Pilotage!$K$19:$K$32,Pilotage!$A$19:$A$32,$A101))</f>
        <v>14933</v>
      </c>
      <c r="V101">
        <f>IF($A101="","",IF($B101="V01",Cadrage!$C$23,IF($B101="V02",Cadrage!$D$23,Cadrage!$E$23)))</f>
        <v>0.15</v>
      </c>
      <c r="W101">
        <f>IF($A101="","",IF($B101="V01",Cadrage!$C$24,IF($B101="V02",Cadrage!$D$24,Cadrage!$E$24)))</f>
        <v>0.15</v>
      </c>
      <c r="X101">
        <f>IF($A101="","",IF($B101="V01",Cadrage!$C$25,IF($B101="V02",Cadrage!$D$25,Cadrage!$E$25)))</f>
        <v>0.035</v>
      </c>
      <c r="Y101">
        <f>IF($A101="","",IF($B101="V01",Cadrage!$C$26,IF($B101="V02",Cadrage!$D$26,Cadrage!$E$26)))</f>
        <v>0.03</v>
      </c>
      <c r="Z101">
        <f>IF($A101="","",IF($B101="V01",Cadrage!$C$27,IF($B101="V02",Cadrage!$D$27,Cadrage!$E$27)))</f>
        <v>0.025</v>
      </c>
      <c r="AA101">
        <f>IF($A101="","",IF($B101="V01",Cadrage!$C$28,IF($B101="V02",Cadrage!$D$28,Cadrage!$E$28)))</f>
        <v>0.015</v>
      </c>
      <c r="AB101">
        <f>IF($A101="","",IF($B101="V01",Cadrage!$C$42,IF($B101="V02",Cadrage!$D$42,Cadrage!$E$42)))</f>
        <v>90</v>
      </c>
      <c r="AC101">
        <f>IF($A101="","",IF($F101="MBWAY",Cadrage!$K$34,IF($F101="ISCOM",Cadrage!$K$35,IF($F101="IPAC",Cadrage!$K$36,IF($F101="PIGIER",Cadrage!$K$37,Cadrage!$K$38)))))</f>
        <v>0.95</v>
      </c>
      <c r="AD101">
        <f t="shared" si="1"/>
        <v>0</v>
      </c>
      <c r="AE101">
        <f t="shared" si="2"/>
        <v>0</v>
      </c>
      <c r="AF101">
        <f t="shared" si="3"/>
        <v>39.6</v>
      </c>
      <c r="AG101">
        <f t="shared" si="4"/>
        <v>6871.1125</v>
      </c>
      <c r="AH101">
        <f t="shared" si="5"/>
        <v>272096.055</v>
      </c>
    </row>
    <row r="102" ht="14.25" customHeight="1">
      <c r="A102" t="str">
        <f>IF(Moteur!D102="","",Moteur!D102)</f>
        <v>IPAC_REN</v>
      </c>
      <c r="B102" t="str">
        <f>IF(Moteur!B102="","",Moteur!B102)</f>
        <v>V02</v>
      </c>
      <c r="C102" t="str">
        <f>IF(Moteur!F102="","",Moteur!F102)</f>
        <v>BAC_CCE</v>
      </c>
      <c r="D102" t="str">
        <f>IF(Moteur!G102="","",Moteur!G102)</f>
        <v>B3</v>
      </c>
      <c r="E102" t="str">
        <f>IF(Moteur!H102="","",Moteur!H102)</f>
        <v>ALT</v>
      </c>
      <c r="F102" t="str">
        <f>IF(Moteur!E102="","",Moteur!E102)</f>
        <v>IPAC</v>
      </c>
      <c r="G102">
        <f>IF($A102="","",_xlfn.SUMIFS(Socle!$H$1:$H$658,Socle!$C$1:$C$658,$A102,Socle!$D$1:$D$658,$C102,Socle!$E$1:$E$658,$D102,Socle!$F$1:$F$658,$E102,Socle!$G$1:$G$658,"2026"))</f>
        <v>0</v>
      </c>
      <c r="H102">
        <f>IF($A102="","",_xlfn.SUMIFS(Socle!$N$1:$N$658,Socle!$C$1:$C$658,$A102,Socle!$D$1:$D$658,$C102,Socle!$E$1:$E$658,$D102,Socle!$F$1:$F$658,$E102,Socle!$G$1:$G$658,"2026"))</f>
        <v>39</v>
      </c>
      <c r="I102">
        <f>IF($A102="","",_xlfn.SUMIFS(Socle!$P$1:$P$658,Socle!$C$1:$C$658,$A102,Socle!$D$1:$D$658,$C102,Socle!$E$1:$E$658,$D102,Socle!$F$1:$F$658,$E102,Socle!$G$1:$G$658,"2026"))</f>
        <v>6650</v>
      </c>
      <c r="J102">
        <f>IF($A102="","",_xlfn.SUMIFS(Socle!$W$1:$W$658,Socle!$C$1:$C$658,$A102,Socle!$D$1:$D$658,$C102,Socle!$E$1:$E$658,$D102,Socle!$F$1:$F$658,$E102,Socle!$G$1:$G$658,"2026"))</f>
        <v>0</v>
      </c>
      <c r="K102">
        <f>IF($A102="","",_xlfn.SUMIFS(Socle!$X$1:$X$658,Socle!$C$1:$C$658,$A102,Socle!$D$1:$D$658,$C102,Socle!$E$1:$E$658,$D102,Socle!$F$1:$F$658,$E102,Socle!$G$1:$G$658,"2026"))</f>
        <v>0</v>
      </c>
      <c r="L102">
        <f>IF($A102="","",_xlfn.SUMIFS(Socle!$Y$1:$Y$658,Socle!$C$1:$C$658,$A102,Socle!$D$1:$D$658,$C102,Socle!$E$1:$E$658,$D102,Socle!$F$1:$F$658,$E102,Socle!$G$1:$G$658,"2026"))</f>
        <v>0</v>
      </c>
      <c r="M102">
        <f>IF($A102="","",_xlfn.SUMIFS(Socle!$V$1:$V$658,Socle!$C$1:$C$658,$A102,Socle!$D$1:$D$658,$C102,Socle!$E$1:$E$658,$D102,Socle!$F$1:$F$658,$E102,Socle!$G$1:$G$658,"2026"))</f>
        <v>0.974358974</v>
      </c>
      <c r="N102">
        <f t="shared" si="0"/>
        <v>0</v>
      </c>
      <c r="O102">
        <f>IF($A102="","",_xlfn.SUMIFS(Campagne!$D$1:$D$141,Campagne!$C$1:$C$141,$A102))</f>
        <v>265</v>
      </c>
      <c r="P102">
        <f>IF($A102="","",_xlfn.SUMIFS(Campagne!$E$1:$E$141,Campagne!$C$1:$C$141,$A102))</f>
        <v>415</v>
      </c>
      <c r="Q102">
        <f>IF($A102="","",_xlfn.SUMIFS(Campagne!$F$1:$F$141,Campagne!$C$1:$C$141,$A102))</f>
        <v>680</v>
      </c>
      <c r="R102">
        <f>IF($A102="","",_xlfn.SUMIFS(Campagne!$K$1:$K$141,Campagne!$C$1:$C$141,$A102))</f>
        <v>0.587876564</v>
      </c>
      <c r="S102">
        <f>IF($A102="","",_xlfn.SUMIFS(Campagne!$M$1:$M$141,Campagne!$C$1:$C$141,$A102))</f>
        <v>0.317354148</v>
      </c>
      <c r="T102">
        <f>IF($A102="","",_xlfn.SUMIFS(Pilotage!$K$19:$K$32,Pilotage!$A$19:$A$32,$A102)*_xlfn.SUMIFS(Pilotage!$J$19:$J$32,Pilotage!$A$19:$A$32,$A102)*(SUM(Pilotage!$K$19:$K$32)/SUMPRODUCT(Pilotage!$K$19:$K$32,Pilotage!$J$19:$J$32)))</f>
        <v>14933</v>
      </c>
      <c r="U102">
        <f>IF($A102="","",_xlfn.SUMIFS(Pilotage!$K$19:$K$32,Pilotage!$A$19:$A$32,$A102))</f>
        <v>14933</v>
      </c>
      <c r="V102">
        <f>IF($A102="","",IF($B102="V01",Cadrage!$C$23,IF($B102="V02",Cadrage!$D$23,Cadrage!$E$23)))</f>
        <v>0.15</v>
      </c>
      <c r="W102">
        <f>IF($A102="","",IF($B102="V01",Cadrage!$C$24,IF($B102="V02",Cadrage!$D$24,Cadrage!$E$24)))</f>
        <v>0.15</v>
      </c>
      <c r="X102">
        <f>IF($A102="","",IF($B102="V01",Cadrage!$C$25,IF($B102="V02",Cadrage!$D$25,Cadrage!$E$25)))</f>
        <v>0.035</v>
      </c>
      <c r="Y102">
        <f>IF($A102="","",IF($B102="V01",Cadrage!$C$26,IF($B102="V02",Cadrage!$D$26,Cadrage!$E$26)))</f>
        <v>0.03</v>
      </c>
      <c r="Z102">
        <f>IF($A102="","",IF($B102="V01",Cadrage!$C$27,IF($B102="V02",Cadrage!$D$27,Cadrage!$E$27)))</f>
        <v>0.025</v>
      </c>
      <c r="AA102">
        <f>IF($A102="","",IF($B102="V01",Cadrage!$C$28,IF($B102="V02",Cadrage!$D$28,Cadrage!$E$28)))</f>
        <v>0.015</v>
      </c>
      <c r="AB102">
        <f>IF($A102="","",IF($B102="V01",Cadrage!$C$42,IF($B102="V02",Cadrage!$D$42,Cadrage!$E$42)))</f>
        <v>90</v>
      </c>
      <c r="AC102">
        <f>IF($A102="","",IF($F102="MBWAY",Cadrage!$K$34,IF($F102="ISCOM",Cadrage!$K$35,IF($F102="IPAC",Cadrage!$K$36,IF($F102="PIGIER",Cadrage!$K$37,Cadrage!$K$38)))))</f>
        <v>0.95</v>
      </c>
      <c r="AD102">
        <f t="shared" si="1"/>
        <v>0</v>
      </c>
      <c r="AE102">
        <f t="shared" si="2"/>
        <v>0</v>
      </c>
      <c r="AF102">
        <f t="shared" si="3"/>
        <v>38.584999986</v>
      </c>
      <c r="AG102">
        <f t="shared" si="4"/>
        <v>6871.1125</v>
      </c>
      <c r="AH102">
        <f t="shared" si="5"/>
        <v>265121.875716304</v>
      </c>
    </row>
    <row r="103" ht="14.25" customHeight="1">
      <c r="A103" t="str">
        <f>IF(Moteur!D103="","",Moteur!D103)</f>
        <v>IPAC_MTP</v>
      </c>
      <c r="B103" t="str">
        <f>IF(Moteur!B103="","",Moteur!B103)</f>
        <v>V02</v>
      </c>
      <c r="C103" t="str">
        <f>IF(Moteur!F103="","",Moteur!F103)</f>
        <v>BAC_CCE</v>
      </c>
      <c r="D103" t="str">
        <f>IF(Moteur!G103="","",Moteur!G103)</f>
        <v>B1</v>
      </c>
      <c r="E103" t="str">
        <f>IF(Moteur!H103="","",Moteur!H103)</f>
        <v>ALT</v>
      </c>
      <c r="F103" t="str">
        <f>IF(Moteur!E103="","",Moteur!E103)</f>
        <v>IPAC</v>
      </c>
      <c r="G103">
        <f>IF($A103="","",_xlfn.SUMIFS(Socle!$H$1:$H$658,Socle!$C$1:$C$658,$A103,Socle!$D$1:$D$658,$C103,Socle!$E$1:$E$658,$D103,Socle!$F$1:$F$658,$E103,Socle!$G$1:$G$658,"2026"))</f>
        <v>680</v>
      </c>
      <c r="H103">
        <f>IF($A103="","",_xlfn.SUMIFS(Socle!$N$1:$N$658,Socle!$C$1:$C$658,$A103,Socle!$D$1:$D$658,$C103,Socle!$E$1:$E$658,$D103,Socle!$F$1:$F$658,$E103,Socle!$G$1:$G$658,"2026"))</f>
        <v>0</v>
      </c>
      <c r="I103">
        <f>IF($A103="","",_xlfn.SUMIFS(Socle!$P$1:$P$658,Socle!$C$1:$C$658,$A103,Socle!$D$1:$D$658,$C103,Socle!$E$1:$E$658,$D103,Socle!$F$1:$F$658,$E103,Socle!$G$1:$G$658,"2026"))</f>
        <v>6650</v>
      </c>
      <c r="J103">
        <f>IF($A103="","",_xlfn.SUMIFS(Socle!$W$1:$W$658,Socle!$C$1:$C$658,$A103,Socle!$D$1:$D$658,$C103,Socle!$E$1:$E$658,$D103,Socle!$F$1:$F$658,$E103,Socle!$G$1:$G$658,"2026"))</f>
        <v>0.2</v>
      </c>
      <c r="K103">
        <f>IF($A103="","",_xlfn.SUMIFS(Socle!$X$1:$X$658,Socle!$C$1:$C$658,$A103,Socle!$D$1:$D$658,$C103,Socle!$E$1:$E$658,$D103,Socle!$F$1:$F$658,$E103,Socle!$G$1:$G$658,"2026"))</f>
        <v>0.698529412</v>
      </c>
      <c r="L103">
        <f>IF($A103="","",_xlfn.SUMIFS(Socle!$Y$1:$Y$658,Socle!$C$1:$C$658,$A103,Socle!$D$1:$D$658,$C103,Socle!$E$1:$E$658,$D103,Socle!$F$1:$F$658,$E103,Socle!$G$1:$G$658,"2026"))</f>
        <v>0.421052632</v>
      </c>
      <c r="M103">
        <f>IF($A103="","",_xlfn.SUMIFS(Socle!$V$1:$V$658,Socle!$C$1:$C$658,$A103,Socle!$D$1:$D$658,$C103,Socle!$E$1:$E$658,$D103,Socle!$F$1:$F$658,$E103,Socle!$G$1:$G$658,"2026"))</f>
        <v>0</v>
      </c>
      <c r="N103">
        <f t="shared" si="0"/>
        <v>1</v>
      </c>
      <c r="O103">
        <f>IF($A103="","",_xlfn.SUMIFS(Campagne!$D$1:$D$141,Campagne!$C$1:$C$141,$A103))</f>
        <v>258</v>
      </c>
      <c r="P103">
        <f>IF($A103="","",_xlfn.SUMIFS(Campagne!$E$1:$E$141,Campagne!$C$1:$C$141,$A103))</f>
        <v>422</v>
      </c>
      <c r="Q103">
        <f>IF($A103="","",_xlfn.SUMIFS(Campagne!$F$1:$F$141,Campagne!$C$1:$C$141,$A103))</f>
        <v>680</v>
      </c>
      <c r="R103">
        <f>IF($A103="","",_xlfn.SUMIFS(Campagne!$K$1:$K$141,Campagne!$C$1:$C$141,$A103))</f>
        <v>0.591344893</v>
      </c>
      <c r="S103">
        <f>IF($A103="","",_xlfn.SUMIFS(Campagne!$M$1:$M$141,Campagne!$C$1:$C$141,$A103))</f>
        <v>0.315275187</v>
      </c>
      <c r="T103">
        <f>IF($A103="","",_xlfn.SUMIFS(Pilotage!$K$19:$K$32,Pilotage!$A$19:$A$32,$A103)*_xlfn.SUMIFS(Pilotage!$J$19:$J$32,Pilotage!$A$19:$A$32,$A103)*(SUM(Pilotage!$K$19:$K$32)/SUMPRODUCT(Pilotage!$K$19:$K$32,Pilotage!$J$19:$J$32)))</f>
        <v>15178</v>
      </c>
      <c r="U103">
        <f>IF($A103="","",_xlfn.SUMIFS(Pilotage!$K$19:$K$32,Pilotage!$A$19:$A$32,$A103))</f>
        <v>15178</v>
      </c>
      <c r="V103">
        <f>IF($A103="","",IF($B103="V01",Cadrage!$C$23,IF($B103="V02",Cadrage!$D$23,Cadrage!$E$23)))</f>
        <v>0.15</v>
      </c>
      <c r="W103">
        <f>IF($A103="","",IF($B103="V01",Cadrage!$C$24,IF($B103="V02",Cadrage!$D$24,Cadrage!$E$24)))</f>
        <v>0.15</v>
      </c>
      <c r="X103">
        <f>IF($A103="","",IF($B103="V01",Cadrage!$C$25,IF($B103="V02",Cadrage!$D$25,Cadrage!$E$25)))</f>
        <v>0.035</v>
      </c>
      <c r="Y103">
        <f>IF($A103="","",IF($B103="V01",Cadrage!$C$26,IF($B103="V02",Cadrage!$D$26,Cadrage!$E$26)))</f>
        <v>0.03</v>
      </c>
      <c r="Z103">
        <f>IF($A103="","",IF($B103="V01",Cadrage!$C$27,IF($B103="V02",Cadrage!$D$27,Cadrage!$E$27)))</f>
        <v>0.025</v>
      </c>
      <c r="AA103">
        <f>IF($A103="","",IF($B103="V01",Cadrage!$C$28,IF($B103="V02",Cadrage!$D$28,Cadrage!$E$28)))</f>
        <v>0.015</v>
      </c>
      <c r="AB103">
        <f>IF($A103="","",IF($B103="V01",Cadrage!$C$42,IF($B103="V02",Cadrage!$D$42,Cadrage!$E$42)))</f>
        <v>90</v>
      </c>
      <c r="AC103">
        <f>IF($A103="","",IF($F103="MBWAY",Cadrage!$K$34,IF($F103="ISCOM",Cadrage!$K$35,IF($F103="IPAC",Cadrage!$K$36,IF($F103="PIGIER",Cadrage!$K$37,Cadrage!$K$38)))))</f>
        <v>0.95</v>
      </c>
      <c r="AD103">
        <f t="shared" si="1"/>
        <v>52.1697850270982</v>
      </c>
      <c r="AE103">
        <f t="shared" si="2"/>
        <v>52.1697850270982</v>
      </c>
      <c r="AF103">
        <f t="shared" si="3"/>
        <v>52.1697850270982</v>
      </c>
      <c r="AG103">
        <f t="shared" si="4"/>
        <v>6871.1125</v>
      </c>
      <c r="AH103">
        <f t="shared" si="5"/>
        <v>363159.742674446</v>
      </c>
    </row>
    <row r="104" ht="14.25" customHeight="1">
      <c r="A104" t="str">
        <f>IF(Moteur!D104="","",Moteur!D104)</f>
        <v>IPAC_MTP</v>
      </c>
      <c r="B104" t="str">
        <f>IF(Moteur!B104="","",Moteur!B104)</f>
        <v>V02</v>
      </c>
      <c r="C104" t="str">
        <f>IF(Moteur!F104="","",Moteur!F104)</f>
        <v>BAC_CCE</v>
      </c>
      <c r="D104" t="str">
        <f>IF(Moteur!G104="","",Moteur!G104)</f>
        <v>B2</v>
      </c>
      <c r="E104" t="str">
        <f>IF(Moteur!H104="","",Moteur!H104)</f>
        <v>ALT</v>
      </c>
      <c r="F104" t="str">
        <f>IF(Moteur!E104="","",Moteur!E104)</f>
        <v>IPAC</v>
      </c>
      <c r="G104">
        <f>IF($A104="","",_xlfn.SUMIFS(Socle!$H$1:$H$658,Socle!$C$1:$C$658,$A104,Socle!$D$1:$D$658,$C104,Socle!$E$1:$E$658,$D104,Socle!$F$1:$F$658,$E104,Socle!$G$1:$G$658,"2026"))</f>
        <v>0</v>
      </c>
      <c r="H104">
        <f>IF($A104="","",_xlfn.SUMIFS(Socle!$N$1:$N$658,Socle!$C$1:$C$658,$A104,Socle!$D$1:$D$658,$C104,Socle!$E$1:$E$658,$D104,Socle!$F$1:$F$658,$E104,Socle!$G$1:$G$658,"2026"))</f>
        <v>40</v>
      </c>
      <c r="I104">
        <f>IF($A104="","",_xlfn.SUMIFS(Socle!$P$1:$P$658,Socle!$C$1:$C$658,$A104,Socle!$D$1:$D$658,$C104,Socle!$E$1:$E$658,$D104,Socle!$F$1:$F$658,$E104,Socle!$G$1:$G$658,"2026"))</f>
        <v>6650</v>
      </c>
      <c r="J104">
        <f>IF($A104="","",_xlfn.SUMIFS(Socle!$W$1:$W$658,Socle!$C$1:$C$658,$A104,Socle!$D$1:$D$658,$C104,Socle!$E$1:$E$658,$D104,Socle!$F$1:$F$658,$E104,Socle!$G$1:$G$658,"2026"))</f>
        <v>0</v>
      </c>
      <c r="K104">
        <f>IF($A104="","",_xlfn.SUMIFS(Socle!$X$1:$X$658,Socle!$C$1:$C$658,$A104,Socle!$D$1:$D$658,$C104,Socle!$E$1:$E$658,$D104,Socle!$F$1:$F$658,$E104,Socle!$G$1:$G$658,"2026"))</f>
        <v>0</v>
      </c>
      <c r="L104">
        <f>IF($A104="","",_xlfn.SUMIFS(Socle!$Y$1:$Y$658,Socle!$C$1:$C$658,$A104,Socle!$D$1:$D$658,$C104,Socle!$E$1:$E$658,$D104,Socle!$F$1:$F$658,$E104,Socle!$G$1:$G$658,"2026"))</f>
        <v>0</v>
      </c>
      <c r="M104">
        <f>IF($A104="","",_xlfn.SUMIFS(Socle!$V$1:$V$658,Socle!$C$1:$C$658,$A104,Socle!$D$1:$D$658,$C104,Socle!$E$1:$E$658,$D104,Socle!$F$1:$F$658,$E104,Socle!$G$1:$G$658,"2026"))</f>
        <v>0.975</v>
      </c>
      <c r="N104">
        <f t="shared" si="0"/>
        <v>0</v>
      </c>
      <c r="O104">
        <f>IF($A104="","",_xlfn.SUMIFS(Campagne!$D$1:$D$141,Campagne!$C$1:$C$141,$A104))</f>
        <v>258</v>
      </c>
      <c r="P104">
        <f>IF($A104="","",_xlfn.SUMIFS(Campagne!$E$1:$E$141,Campagne!$C$1:$C$141,$A104))</f>
        <v>422</v>
      </c>
      <c r="Q104">
        <f>IF($A104="","",_xlfn.SUMIFS(Campagne!$F$1:$F$141,Campagne!$C$1:$C$141,$A104))</f>
        <v>680</v>
      </c>
      <c r="R104">
        <f>IF($A104="","",_xlfn.SUMIFS(Campagne!$K$1:$K$141,Campagne!$C$1:$C$141,$A104))</f>
        <v>0.591344893</v>
      </c>
      <c r="S104">
        <f>IF($A104="","",_xlfn.SUMIFS(Campagne!$M$1:$M$141,Campagne!$C$1:$C$141,$A104))</f>
        <v>0.315275187</v>
      </c>
      <c r="T104">
        <f>IF($A104="","",_xlfn.SUMIFS(Pilotage!$K$19:$K$32,Pilotage!$A$19:$A$32,$A104)*_xlfn.SUMIFS(Pilotage!$J$19:$J$32,Pilotage!$A$19:$A$32,$A104)*(SUM(Pilotage!$K$19:$K$32)/SUMPRODUCT(Pilotage!$K$19:$K$32,Pilotage!$J$19:$J$32)))</f>
        <v>15178</v>
      </c>
      <c r="U104">
        <f>IF($A104="","",_xlfn.SUMIFS(Pilotage!$K$19:$K$32,Pilotage!$A$19:$A$32,$A104))</f>
        <v>15178</v>
      </c>
      <c r="V104">
        <f>IF($A104="","",IF($B104="V01",Cadrage!$C$23,IF($B104="V02",Cadrage!$D$23,Cadrage!$E$23)))</f>
        <v>0.15</v>
      </c>
      <c r="W104">
        <f>IF($A104="","",IF($B104="V01",Cadrage!$C$24,IF($B104="V02",Cadrage!$D$24,Cadrage!$E$24)))</f>
        <v>0.15</v>
      </c>
      <c r="X104">
        <f>IF($A104="","",IF($B104="V01",Cadrage!$C$25,IF($B104="V02",Cadrage!$D$25,Cadrage!$E$25)))</f>
        <v>0.035</v>
      </c>
      <c r="Y104">
        <f>IF($A104="","",IF($B104="V01",Cadrage!$C$26,IF($B104="V02",Cadrage!$D$26,Cadrage!$E$26)))</f>
        <v>0.03</v>
      </c>
      <c r="Z104">
        <f>IF($A104="","",IF($B104="V01",Cadrage!$C$27,IF($B104="V02",Cadrage!$D$27,Cadrage!$E$27)))</f>
        <v>0.025</v>
      </c>
      <c r="AA104">
        <f>IF($A104="","",IF($B104="V01",Cadrage!$C$28,IF($B104="V02",Cadrage!$D$28,Cadrage!$E$28)))</f>
        <v>0.015</v>
      </c>
      <c r="AB104">
        <f>IF($A104="","",IF($B104="V01",Cadrage!$C$42,IF($B104="V02",Cadrage!$D$42,Cadrage!$E$42)))</f>
        <v>90</v>
      </c>
      <c r="AC104">
        <f>IF($A104="","",IF($F104="MBWAY",Cadrage!$K$34,IF($F104="ISCOM",Cadrage!$K$35,IF($F104="IPAC",Cadrage!$K$36,IF($F104="PIGIER",Cadrage!$K$37,Cadrage!$K$38)))))</f>
        <v>0.95</v>
      </c>
      <c r="AD104">
        <f t="shared" si="1"/>
        <v>0</v>
      </c>
      <c r="AE104">
        <f t="shared" si="2"/>
        <v>0</v>
      </c>
      <c r="AF104">
        <f t="shared" si="3"/>
        <v>39.6</v>
      </c>
      <c r="AG104">
        <f t="shared" si="4"/>
        <v>6871.1125</v>
      </c>
      <c r="AH104">
        <f t="shared" si="5"/>
        <v>272096.055</v>
      </c>
    </row>
    <row r="105" ht="14.25" customHeight="1">
      <c r="A105" t="str">
        <f>IF(Moteur!D105="","",Moteur!D105)</f>
        <v>IPAC_MTP</v>
      </c>
      <c r="B105" t="str">
        <f>IF(Moteur!B105="","",Moteur!B105)</f>
        <v>V02</v>
      </c>
      <c r="C105" t="str">
        <f>IF(Moteur!F105="","",Moteur!F105)</f>
        <v>BAC_CCE</v>
      </c>
      <c r="D105" t="str">
        <f>IF(Moteur!G105="","",Moteur!G105)</f>
        <v>B3</v>
      </c>
      <c r="E105" t="str">
        <f>IF(Moteur!H105="","",Moteur!H105)</f>
        <v>ALT</v>
      </c>
      <c r="F105" t="str">
        <f>IF(Moteur!E105="","",Moteur!E105)</f>
        <v>IPAC</v>
      </c>
      <c r="G105">
        <f>IF($A105="","",_xlfn.SUMIFS(Socle!$H$1:$H$658,Socle!$C$1:$C$658,$A105,Socle!$D$1:$D$658,$C105,Socle!$E$1:$E$658,$D105,Socle!$F$1:$F$658,$E105,Socle!$G$1:$G$658,"2026"))</f>
        <v>0</v>
      </c>
      <c r="H105">
        <f>IF($A105="","",_xlfn.SUMIFS(Socle!$N$1:$N$658,Socle!$C$1:$C$658,$A105,Socle!$D$1:$D$658,$C105,Socle!$E$1:$E$658,$D105,Socle!$F$1:$F$658,$E105,Socle!$G$1:$G$658,"2026"))</f>
        <v>39</v>
      </c>
      <c r="I105">
        <f>IF($A105="","",_xlfn.SUMIFS(Socle!$P$1:$P$658,Socle!$C$1:$C$658,$A105,Socle!$D$1:$D$658,$C105,Socle!$E$1:$E$658,$D105,Socle!$F$1:$F$658,$E105,Socle!$G$1:$G$658,"2026"))</f>
        <v>6650</v>
      </c>
      <c r="J105">
        <f>IF($A105="","",_xlfn.SUMIFS(Socle!$W$1:$W$658,Socle!$C$1:$C$658,$A105,Socle!$D$1:$D$658,$C105,Socle!$E$1:$E$658,$D105,Socle!$F$1:$F$658,$E105,Socle!$G$1:$G$658,"2026"))</f>
        <v>0</v>
      </c>
      <c r="K105">
        <f>IF($A105="","",_xlfn.SUMIFS(Socle!$X$1:$X$658,Socle!$C$1:$C$658,$A105,Socle!$D$1:$D$658,$C105,Socle!$E$1:$E$658,$D105,Socle!$F$1:$F$658,$E105,Socle!$G$1:$G$658,"2026"))</f>
        <v>0</v>
      </c>
      <c r="L105">
        <f>IF($A105="","",_xlfn.SUMIFS(Socle!$Y$1:$Y$658,Socle!$C$1:$C$658,$A105,Socle!$D$1:$D$658,$C105,Socle!$E$1:$E$658,$D105,Socle!$F$1:$F$658,$E105,Socle!$G$1:$G$658,"2026"))</f>
        <v>0</v>
      </c>
      <c r="M105">
        <f>IF($A105="","",_xlfn.SUMIFS(Socle!$V$1:$V$658,Socle!$C$1:$C$658,$A105,Socle!$D$1:$D$658,$C105,Socle!$E$1:$E$658,$D105,Socle!$F$1:$F$658,$E105,Socle!$G$1:$G$658,"2026"))</f>
        <v>0.974358974</v>
      </c>
      <c r="N105">
        <f t="shared" si="0"/>
        <v>0</v>
      </c>
      <c r="O105">
        <f>IF($A105="","",_xlfn.SUMIFS(Campagne!$D$1:$D$141,Campagne!$C$1:$C$141,$A105))</f>
        <v>258</v>
      </c>
      <c r="P105">
        <f>IF($A105="","",_xlfn.SUMIFS(Campagne!$E$1:$E$141,Campagne!$C$1:$C$141,$A105))</f>
        <v>422</v>
      </c>
      <c r="Q105">
        <f>IF($A105="","",_xlfn.SUMIFS(Campagne!$F$1:$F$141,Campagne!$C$1:$C$141,$A105))</f>
        <v>680</v>
      </c>
      <c r="R105">
        <f>IF($A105="","",_xlfn.SUMIFS(Campagne!$K$1:$K$141,Campagne!$C$1:$C$141,$A105))</f>
        <v>0.591344893</v>
      </c>
      <c r="S105">
        <f>IF($A105="","",_xlfn.SUMIFS(Campagne!$M$1:$M$141,Campagne!$C$1:$C$141,$A105))</f>
        <v>0.315275187</v>
      </c>
      <c r="T105">
        <f>IF($A105="","",_xlfn.SUMIFS(Pilotage!$K$19:$K$32,Pilotage!$A$19:$A$32,$A105)*_xlfn.SUMIFS(Pilotage!$J$19:$J$32,Pilotage!$A$19:$A$32,$A105)*(SUM(Pilotage!$K$19:$K$32)/SUMPRODUCT(Pilotage!$K$19:$K$32,Pilotage!$J$19:$J$32)))</f>
        <v>15178</v>
      </c>
      <c r="U105">
        <f>IF($A105="","",_xlfn.SUMIFS(Pilotage!$K$19:$K$32,Pilotage!$A$19:$A$32,$A105))</f>
        <v>15178</v>
      </c>
      <c r="V105">
        <f>IF($A105="","",IF($B105="V01",Cadrage!$C$23,IF($B105="V02",Cadrage!$D$23,Cadrage!$E$23)))</f>
        <v>0.15</v>
      </c>
      <c r="W105">
        <f>IF($A105="","",IF($B105="V01",Cadrage!$C$24,IF($B105="V02",Cadrage!$D$24,Cadrage!$E$24)))</f>
        <v>0.15</v>
      </c>
      <c r="X105">
        <f>IF($A105="","",IF($B105="V01",Cadrage!$C$25,IF($B105="V02",Cadrage!$D$25,Cadrage!$E$25)))</f>
        <v>0.035</v>
      </c>
      <c r="Y105">
        <f>IF($A105="","",IF($B105="V01",Cadrage!$C$26,IF($B105="V02",Cadrage!$D$26,Cadrage!$E$26)))</f>
        <v>0.03</v>
      </c>
      <c r="Z105">
        <f>IF($A105="","",IF($B105="V01",Cadrage!$C$27,IF($B105="V02",Cadrage!$D$27,Cadrage!$E$27)))</f>
        <v>0.025</v>
      </c>
      <c r="AA105">
        <f>IF($A105="","",IF($B105="V01",Cadrage!$C$28,IF($B105="V02",Cadrage!$D$28,Cadrage!$E$28)))</f>
        <v>0.015</v>
      </c>
      <c r="AB105">
        <f>IF($A105="","",IF($B105="V01",Cadrage!$C$42,IF($B105="V02",Cadrage!$D$42,Cadrage!$E$42)))</f>
        <v>90</v>
      </c>
      <c r="AC105">
        <f>IF($A105="","",IF($F105="MBWAY",Cadrage!$K$34,IF($F105="ISCOM",Cadrage!$K$35,IF($F105="IPAC",Cadrage!$K$36,IF($F105="PIGIER",Cadrage!$K$37,Cadrage!$K$38)))))</f>
        <v>0.95</v>
      </c>
      <c r="AD105">
        <f t="shared" si="1"/>
        <v>0</v>
      </c>
      <c r="AE105">
        <f t="shared" si="2"/>
        <v>0</v>
      </c>
      <c r="AF105">
        <f t="shared" si="3"/>
        <v>38.584999986</v>
      </c>
      <c r="AG105">
        <f t="shared" si="4"/>
        <v>6871.1125</v>
      </c>
      <c r="AH105">
        <f t="shared" si="5"/>
        <v>265121.875716304</v>
      </c>
    </row>
    <row r="106" ht="14.25" customHeight="1">
      <c r="A106" t="str">
        <f>IF(Moteur!D106="","",Moteur!D106)</f>
        <v>PIGIER_LYO</v>
      </c>
      <c r="B106" t="str">
        <f>IF(Moteur!B106="","",Moteur!B106)</f>
        <v>V02</v>
      </c>
      <c r="C106" t="str">
        <f>IF(Moteur!F106="","",Moteur!F106)</f>
        <v>BTS_GES</v>
      </c>
      <c r="D106" t="str">
        <f>IF(Moteur!G106="","",Moteur!G106)</f>
        <v>BTS1</v>
      </c>
      <c r="E106" t="str">
        <f>IF(Moteur!H106="","",Moteur!H106)</f>
        <v>ALT</v>
      </c>
      <c r="F106" t="str">
        <f>IF(Moteur!E106="","",Moteur!E106)</f>
        <v>PIGIER</v>
      </c>
      <c r="G106">
        <f>IF($A106="","",_xlfn.SUMIFS(Socle!$H$1:$H$658,Socle!$C$1:$C$658,$A106,Socle!$D$1:$D$658,$C106,Socle!$E$1:$E$658,$D106,Socle!$F$1:$F$658,$E106,Socle!$G$1:$G$658,"2026"))</f>
        <v>785</v>
      </c>
      <c r="H106">
        <f>IF($A106="","",_xlfn.SUMIFS(Socle!$N$1:$N$658,Socle!$C$1:$C$658,$A106,Socle!$D$1:$D$658,$C106,Socle!$E$1:$E$658,$D106,Socle!$F$1:$F$658,$E106,Socle!$G$1:$G$658,"2026"))</f>
        <v>0</v>
      </c>
      <c r="I106">
        <f>IF($A106="","",_xlfn.SUMIFS(Socle!$P$1:$P$658,Socle!$C$1:$C$658,$A106,Socle!$D$1:$D$658,$C106,Socle!$E$1:$E$658,$D106,Socle!$F$1:$F$658,$E106,Socle!$G$1:$G$658,"2026"))</f>
        <v>6300</v>
      </c>
      <c r="J106">
        <f>IF($A106="","",_xlfn.SUMIFS(Socle!$W$1:$W$658,Socle!$C$1:$C$658,$A106,Socle!$D$1:$D$658,$C106,Socle!$E$1:$E$658,$D106,Socle!$F$1:$F$658,$E106,Socle!$G$1:$G$658,"2026"))</f>
        <v>0.2</v>
      </c>
      <c r="K106">
        <f>IF($A106="","",_xlfn.SUMIFS(Socle!$X$1:$X$658,Socle!$C$1:$C$658,$A106,Socle!$D$1:$D$658,$C106,Socle!$E$1:$E$658,$D106,Socle!$F$1:$F$658,$E106,Socle!$G$1:$G$658,"2026"))</f>
        <v>0.700636943</v>
      </c>
      <c r="L106">
        <f>IF($A106="","",_xlfn.SUMIFS(Socle!$Y$1:$Y$658,Socle!$C$1:$C$658,$A106,Socle!$D$1:$D$658,$C106,Socle!$E$1:$E$658,$D106,Socle!$F$1:$F$658,$E106,Socle!$G$1:$G$658,"2026"))</f>
        <v>0.418181818</v>
      </c>
      <c r="M106">
        <f>IF($A106="","",_xlfn.SUMIFS(Socle!$V$1:$V$658,Socle!$C$1:$C$658,$A106,Socle!$D$1:$D$658,$C106,Socle!$E$1:$E$658,$D106,Socle!$F$1:$F$658,$E106,Socle!$G$1:$G$658,"2026"))</f>
        <v>0</v>
      </c>
      <c r="N106">
        <f t="shared" si="0"/>
        <v>1</v>
      </c>
      <c r="O106">
        <f>IF($A106="","",_xlfn.SUMIFS(Campagne!$D$1:$D$141,Campagne!$C$1:$C$141,$A106))</f>
        <v>738</v>
      </c>
      <c r="P106">
        <f>IF($A106="","",_xlfn.SUMIFS(Campagne!$E$1:$E$141,Campagne!$C$1:$C$141,$A106))</f>
        <v>832</v>
      </c>
      <c r="Q106">
        <f>IF($A106="","",_xlfn.SUMIFS(Campagne!$F$1:$F$141,Campagne!$C$1:$C$141,$A106))</f>
        <v>1570</v>
      </c>
      <c r="R106">
        <f>IF($A106="","",_xlfn.SUMIFS(Campagne!$K$1:$K$141,Campagne!$C$1:$C$141,$A106))</f>
        <v>0.440450262</v>
      </c>
      <c r="S106">
        <f>IF($A106="","",_xlfn.SUMIFS(Campagne!$M$1:$M$141,Campagne!$C$1:$C$141,$A106))</f>
        <v>0.343045779</v>
      </c>
      <c r="T106">
        <f>IF($A106="","",_xlfn.SUMIFS(Pilotage!$K$19:$K$32,Pilotage!$A$19:$A$32,$A106)*_xlfn.SUMIFS(Pilotage!$J$19:$J$32,Pilotage!$A$19:$A$32,$A106)*(SUM(Pilotage!$K$19:$K$32)/SUMPRODUCT(Pilotage!$K$19:$K$32,Pilotage!$J$19:$J$32)))</f>
        <v>36612</v>
      </c>
      <c r="U106">
        <f>IF($A106="","",_xlfn.SUMIFS(Pilotage!$K$19:$K$32,Pilotage!$A$19:$A$32,$A106))</f>
        <v>36612</v>
      </c>
      <c r="V106">
        <f>IF($A106="","",IF($B106="V01",Cadrage!$C$23,IF($B106="V02",Cadrage!$D$23,Cadrage!$E$23)))</f>
        <v>0.15</v>
      </c>
      <c r="W106">
        <f>IF($A106="","",IF($B106="V01",Cadrage!$C$24,IF($B106="V02",Cadrage!$D$24,Cadrage!$E$24)))</f>
        <v>0.15</v>
      </c>
      <c r="X106">
        <f>IF($A106="","",IF($B106="V01",Cadrage!$C$25,IF($B106="V02",Cadrage!$D$25,Cadrage!$E$25)))</f>
        <v>0.035</v>
      </c>
      <c r="Y106">
        <f>IF($A106="","",IF($B106="V01",Cadrage!$C$26,IF($B106="V02",Cadrage!$D$26,Cadrage!$E$26)))</f>
        <v>0.03</v>
      </c>
      <c r="Z106">
        <f>IF($A106="","",IF($B106="V01",Cadrage!$C$27,IF($B106="V02",Cadrage!$D$27,Cadrage!$E$27)))</f>
        <v>0.025</v>
      </c>
      <c r="AA106">
        <f>IF($A106="","",IF($B106="V01",Cadrage!$C$28,IF($B106="V02",Cadrage!$D$28,Cadrage!$E$28)))</f>
        <v>0.015</v>
      </c>
      <c r="AB106">
        <f>IF($A106="","",IF($B106="V01",Cadrage!$C$42,IF($B106="V02",Cadrage!$D$42,Cadrage!$E$42)))</f>
        <v>90</v>
      </c>
      <c r="AC106">
        <f>IF($A106="","",IF($F106="MBWAY",Cadrage!$K$34,IF($F106="ISCOM",Cadrage!$K$35,IF($F106="IPAC",Cadrage!$K$36,IF($F106="PIGIER",Cadrage!$K$37,Cadrage!$K$38)))))</f>
        <v>0.9</v>
      </c>
      <c r="AD106">
        <f t="shared" si="1"/>
        <v>59.2430940118847</v>
      </c>
      <c r="AE106">
        <f t="shared" si="2"/>
        <v>59.2430940118847</v>
      </c>
      <c r="AF106">
        <f t="shared" si="3"/>
        <v>59.2430940118847</v>
      </c>
      <c r="AG106">
        <f t="shared" si="4"/>
        <v>6498.45</v>
      </c>
      <c r="AH106">
        <f t="shared" si="5"/>
        <v>390320.162742602</v>
      </c>
    </row>
    <row r="107" ht="14.25" customHeight="1">
      <c r="A107" t="str">
        <f>IF(Moteur!D107="","",Moteur!D107)</f>
        <v>PIGIER_LYO</v>
      </c>
      <c r="B107" t="str">
        <f>IF(Moteur!B107="","",Moteur!B107)</f>
        <v>V02</v>
      </c>
      <c r="C107" t="str">
        <f>IF(Moteur!F107="","",Moteur!F107)</f>
        <v>BTS_GES</v>
      </c>
      <c r="D107" t="str">
        <f>IF(Moteur!G107="","",Moteur!G107)</f>
        <v>BTS2</v>
      </c>
      <c r="E107" t="str">
        <f>IF(Moteur!H107="","",Moteur!H107)</f>
        <v>ALT</v>
      </c>
      <c r="F107" t="str">
        <f>IF(Moteur!E107="","",Moteur!E107)</f>
        <v>PIGIER</v>
      </c>
      <c r="G107">
        <f>IF($A107="","",_xlfn.SUMIFS(Socle!$H$1:$H$658,Socle!$C$1:$C$658,$A107,Socle!$D$1:$D$658,$C107,Socle!$E$1:$E$658,$D107,Socle!$F$1:$F$658,$E107,Socle!$G$1:$G$658,"2026"))</f>
        <v>0</v>
      </c>
      <c r="H107">
        <f>IF($A107="","",_xlfn.SUMIFS(Socle!$N$1:$N$658,Socle!$C$1:$C$658,$A107,Socle!$D$1:$D$658,$C107,Socle!$E$1:$E$658,$D107,Socle!$F$1:$F$658,$E107,Socle!$G$1:$G$658,"2026"))</f>
        <v>46</v>
      </c>
      <c r="I107">
        <f>IF($A107="","",_xlfn.SUMIFS(Socle!$P$1:$P$658,Socle!$C$1:$C$658,$A107,Socle!$D$1:$D$658,$C107,Socle!$E$1:$E$658,$D107,Socle!$F$1:$F$658,$E107,Socle!$G$1:$G$658,"2026"))</f>
        <v>6300</v>
      </c>
      <c r="J107">
        <f>IF($A107="","",_xlfn.SUMIFS(Socle!$W$1:$W$658,Socle!$C$1:$C$658,$A107,Socle!$D$1:$D$658,$C107,Socle!$E$1:$E$658,$D107,Socle!$F$1:$F$658,$E107,Socle!$G$1:$G$658,"2026"))</f>
        <v>0</v>
      </c>
      <c r="K107">
        <f>IF($A107="","",_xlfn.SUMIFS(Socle!$X$1:$X$658,Socle!$C$1:$C$658,$A107,Socle!$D$1:$D$658,$C107,Socle!$E$1:$E$658,$D107,Socle!$F$1:$F$658,$E107,Socle!$G$1:$G$658,"2026"))</f>
        <v>0</v>
      </c>
      <c r="L107">
        <f>IF($A107="","",_xlfn.SUMIFS(Socle!$Y$1:$Y$658,Socle!$C$1:$C$658,$A107,Socle!$D$1:$D$658,$C107,Socle!$E$1:$E$658,$D107,Socle!$F$1:$F$658,$E107,Socle!$G$1:$G$658,"2026"))</f>
        <v>0</v>
      </c>
      <c r="M107">
        <f>IF($A107="","",_xlfn.SUMIFS(Socle!$V$1:$V$658,Socle!$C$1:$C$658,$A107,Socle!$D$1:$D$658,$C107,Socle!$E$1:$E$658,$D107,Socle!$F$1:$F$658,$E107,Socle!$G$1:$G$658,"2026"))</f>
        <v>0.97826087</v>
      </c>
      <c r="N107">
        <f t="shared" si="0"/>
        <v>0</v>
      </c>
      <c r="O107">
        <f>IF($A107="","",_xlfn.SUMIFS(Campagne!$D$1:$D$141,Campagne!$C$1:$C$141,$A107))</f>
        <v>738</v>
      </c>
      <c r="P107">
        <f>IF($A107="","",_xlfn.SUMIFS(Campagne!$E$1:$E$141,Campagne!$C$1:$C$141,$A107))</f>
        <v>832</v>
      </c>
      <c r="Q107">
        <f>IF($A107="","",_xlfn.SUMIFS(Campagne!$F$1:$F$141,Campagne!$C$1:$C$141,$A107))</f>
        <v>1570</v>
      </c>
      <c r="R107">
        <f>IF($A107="","",_xlfn.SUMIFS(Campagne!$K$1:$K$141,Campagne!$C$1:$C$141,$A107))</f>
        <v>0.440450262</v>
      </c>
      <c r="S107">
        <f>IF($A107="","",_xlfn.SUMIFS(Campagne!$M$1:$M$141,Campagne!$C$1:$C$141,$A107))</f>
        <v>0.343045779</v>
      </c>
      <c r="T107">
        <f>IF($A107="","",_xlfn.SUMIFS(Pilotage!$K$19:$K$32,Pilotage!$A$19:$A$32,$A107)*_xlfn.SUMIFS(Pilotage!$J$19:$J$32,Pilotage!$A$19:$A$32,$A107)*(SUM(Pilotage!$K$19:$K$32)/SUMPRODUCT(Pilotage!$K$19:$K$32,Pilotage!$J$19:$J$32)))</f>
        <v>36612</v>
      </c>
      <c r="U107">
        <f>IF($A107="","",_xlfn.SUMIFS(Pilotage!$K$19:$K$32,Pilotage!$A$19:$A$32,$A107))</f>
        <v>36612</v>
      </c>
      <c r="V107">
        <f>IF($A107="","",IF($B107="V01",Cadrage!$C$23,IF($B107="V02",Cadrage!$D$23,Cadrage!$E$23)))</f>
        <v>0.15</v>
      </c>
      <c r="W107">
        <f>IF($A107="","",IF($B107="V01",Cadrage!$C$24,IF($B107="V02",Cadrage!$D$24,Cadrage!$E$24)))</f>
        <v>0.15</v>
      </c>
      <c r="X107">
        <f>IF($A107="","",IF($B107="V01",Cadrage!$C$25,IF($B107="V02",Cadrage!$D$25,Cadrage!$E$25)))</f>
        <v>0.035</v>
      </c>
      <c r="Y107">
        <f>IF($A107="","",IF($B107="V01",Cadrage!$C$26,IF($B107="V02",Cadrage!$D$26,Cadrage!$E$26)))</f>
        <v>0.03</v>
      </c>
      <c r="Z107">
        <f>IF($A107="","",IF($B107="V01",Cadrage!$C$27,IF($B107="V02",Cadrage!$D$27,Cadrage!$E$27)))</f>
        <v>0.025</v>
      </c>
      <c r="AA107">
        <f>IF($A107="","",IF($B107="V01",Cadrage!$C$28,IF($B107="V02",Cadrage!$D$28,Cadrage!$E$28)))</f>
        <v>0.015</v>
      </c>
      <c r="AB107">
        <f>IF($A107="","",IF($B107="V01",Cadrage!$C$42,IF($B107="V02",Cadrage!$D$42,Cadrage!$E$42)))</f>
        <v>90</v>
      </c>
      <c r="AC107">
        <f>IF($A107="","",IF($F107="MBWAY",Cadrage!$K$34,IF($F107="ISCOM",Cadrage!$K$35,IF($F107="IPAC",Cadrage!$K$36,IF($F107="PIGIER",Cadrage!$K$37,Cadrage!$K$38)))))</f>
        <v>0.9</v>
      </c>
      <c r="AD107">
        <f t="shared" si="1"/>
        <v>0</v>
      </c>
      <c r="AE107">
        <f t="shared" si="2"/>
        <v>0</v>
      </c>
      <c r="AF107">
        <f t="shared" si="3"/>
        <v>45.69000002</v>
      </c>
      <c r="AG107">
        <f t="shared" si="4"/>
        <v>6498.45</v>
      </c>
      <c r="AH107">
        <f t="shared" si="5"/>
        <v>296914.180629969</v>
      </c>
    </row>
    <row r="108" ht="14.25" customHeight="1">
      <c r="A108" t="str">
        <f>IF(Moteur!D108="","",Moteur!D108)</f>
        <v>PIGIER_LYO</v>
      </c>
      <c r="B108" t="str">
        <f>IF(Moteur!B108="","",Moteur!B108)</f>
        <v>V02</v>
      </c>
      <c r="C108" t="str">
        <f>IF(Moteur!F108="","",Moteur!F108)</f>
        <v>BAC_RH</v>
      </c>
      <c r="D108" t="str">
        <f>IF(Moteur!G108="","",Moteur!G108)</f>
        <v>B1</v>
      </c>
      <c r="E108" t="str">
        <f>IF(Moteur!H108="","",Moteur!H108)</f>
        <v>ALT</v>
      </c>
      <c r="F108" t="str">
        <f>IF(Moteur!E108="","",Moteur!E108)</f>
        <v>PIGIER</v>
      </c>
      <c r="G108">
        <f>IF($A108="","",_xlfn.SUMIFS(Socle!$H$1:$H$658,Socle!$C$1:$C$658,$A108,Socle!$D$1:$D$658,$C108,Socle!$E$1:$E$658,$D108,Socle!$F$1:$F$658,$E108,Socle!$G$1:$G$658,"2026"))</f>
        <v>785</v>
      </c>
      <c r="H108">
        <f>IF($A108="","",_xlfn.SUMIFS(Socle!$N$1:$N$658,Socle!$C$1:$C$658,$A108,Socle!$D$1:$D$658,$C108,Socle!$E$1:$E$658,$D108,Socle!$F$1:$F$658,$E108,Socle!$G$1:$G$658,"2026"))</f>
        <v>0</v>
      </c>
      <c r="I108">
        <f>IF($A108="","",_xlfn.SUMIFS(Socle!$P$1:$P$658,Socle!$C$1:$C$658,$A108,Socle!$D$1:$D$658,$C108,Socle!$E$1:$E$658,$D108,Socle!$F$1:$F$658,$E108,Socle!$G$1:$G$658,"2026"))</f>
        <v>7350</v>
      </c>
      <c r="J108">
        <f>IF($A108="","",_xlfn.SUMIFS(Socle!$W$1:$W$658,Socle!$C$1:$C$658,$A108,Socle!$D$1:$D$658,$C108,Socle!$E$1:$E$658,$D108,Socle!$F$1:$F$658,$E108,Socle!$G$1:$G$658,"2026"))</f>
        <v>0.2</v>
      </c>
      <c r="K108">
        <f>IF($A108="","",_xlfn.SUMIFS(Socle!$X$1:$X$658,Socle!$C$1:$C$658,$A108,Socle!$D$1:$D$658,$C108,Socle!$E$1:$E$658,$D108,Socle!$F$1:$F$658,$E108,Socle!$G$1:$G$658,"2026"))</f>
        <v>0.700636943</v>
      </c>
      <c r="L108">
        <f>IF($A108="","",_xlfn.SUMIFS(Socle!$Y$1:$Y$658,Socle!$C$1:$C$658,$A108,Socle!$D$1:$D$658,$C108,Socle!$E$1:$E$658,$D108,Socle!$F$1:$F$658,$E108,Socle!$G$1:$G$658,"2026"))</f>
        <v>0.418181818</v>
      </c>
      <c r="M108">
        <f>IF($A108="","",_xlfn.SUMIFS(Socle!$V$1:$V$658,Socle!$C$1:$C$658,$A108,Socle!$D$1:$D$658,$C108,Socle!$E$1:$E$658,$D108,Socle!$F$1:$F$658,$E108,Socle!$G$1:$G$658,"2026"))</f>
        <v>0</v>
      </c>
      <c r="N108">
        <f t="shared" si="0"/>
        <v>1</v>
      </c>
      <c r="O108">
        <f>IF($A108="","",_xlfn.SUMIFS(Campagne!$D$1:$D$141,Campagne!$C$1:$C$141,$A108))</f>
        <v>738</v>
      </c>
      <c r="P108">
        <f>IF($A108="","",_xlfn.SUMIFS(Campagne!$E$1:$E$141,Campagne!$C$1:$C$141,$A108))</f>
        <v>832</v>
      </c>
      <c r="Q108">
        <f>IF($A108="","",_xlfn.SUMIFS(Campagne!$F$1:$F$141,Campagne!$C$1:$C$141,$A108))</f>
        <v>1570</v>
      </c>
      <c r="R108">
        <f>IF($A108="","",_xlfn.SUMIFS(Campagne!$K$1:$K$141,Campagne!$C$1:$C$141,$A108))</f>
        <v>0.440450262</v>
      </c>
      <c r="S108">
        <f>IF($A108="","",_xlfn.SUMIFS(Campagne!$M$1:$M$141,Campagne!$C$1:$C$141,$A108))</f>
        <v>0.343045779</v>
      </c>
      <c r="T108">
        <f>IF($A108="","",_xlfn.SUMIFS(Pilotage!$K$19:$K$32,Pilotage!$A$19:$A$32,$A108)*_xlfn.SUMIFS(Pilotage!$J$19:$J$32,Pilotage!$A$19:$A$32,$A108)*(SUM(Pilotage!$K$19:$K$32)/SUMPRODUCT(Pilotage!$K$19:$K$32,Pilotage!$J$19:$J$32)))</f>
        <v>36612</v>
      </c>
      <c r="U108">
        <f>IF($A108="","",_xlfn.SUMIFS(Pilotage!$K$19:$K$32,Pilotage!$A$19:$A$32,$A108))</f>
        <v>36612</v>
      </c>
      <c r="V108">
        <f>IF($A108="","",IF($B108="V01",Cadrage!$C$23,IF($B108="V02",Cadrage!$D$23,Cadrage!$E$23)))</f>
        <v>0.15</v>
      </c>
      <c r="W108">
        <f>IF($A108="","",IF($B108="V01",Cadrage!$C$24,IF($B108="V02",Cadrage!$D$24,Cadrage!$E$24)))</f>
        <v>0.15</v>
      </c>
      <c r="X108">
        <f>IF($A108="","",IF($B108="V01",Cadrage!$C$25,IF($B108="V02",Cadrage!$D$25,Cadrage!$E$25)))</f>
        <v>0.035</v>
      </c>
      <c r="Y108">
        <f>IF($A108="","",IF($B108="V01",Cadrage!$C$26,IF($B108="V02",Cadrage!$D$26,Cadrage!$E$26)))</f>
        <v>0.03</v>
      </c>
      <c r="Z108">
        <f>IF($A108="","",IF($B108="V01",Cadrage!$C$27,IF($B108="V02",Cadrage!$D$27,Cadrage!$E$27)))</f>
        <v>0.025</v>
      </c>
      <c r="AA108">
        <f>IF($A108="","",IF($B108="V01",Cadrage!$C$28,IF($B108="V02",Cadrage!$D$28,Cadrage!$E$28)))</f>
        <v>0.015</v>
      </c>
      <c r="AB108">
        <f>IF($A108="","",IF($B108="V01",Cadrage!$C$42,IF($B108="V02",Cadrage!$D$42,Cadrage!$E$42)))</f>
        <v>90</v>
      </c>
      <c r="AC108">
        <f>IF($A108="","",IF($F108="MBWAY",Cadrage!$K$34,IF($F108="ISCOM",Cadrage!$K$35,IF($F108="IPAC",Cadrage!$K$36,IF($F108="PIGIER",Cadrage!$K$37,Cadrage!$K$38)))))</f>
        <v>0.9</v>
      </c>
      <c r="AD108">
        <f t="shared" si="1"/>
        <v>59.2430940118847</v>
      </c>
      <c r="AE108">
        <f t="shared" si="2"/>
        <v>59.2430940118847</v>
      </c>
      <c r="AF108">
        <f t="shared" si="3"/>
        <v>59.2430940118847</v>
      </c>
      <c r="AG108">
        <f t="shared" si="4"/>
        <v>7581.525</v>
      </c>
      <c r="AH108">
        <f t="shared" si="5"/>
        <v>454484.876789524</v>
      </c>
    </row>
    <row r="109" ht="14.25" customHeight="1">
      <c r="A109" t="str">
        <f>IF(Moteur!D109="","",Moteur!D109)</f>
        <v>PIGIER_BOR</v>
      </c>
      <c r="B109" t="str">
        <f>IF(Moteur!B109="","",Moteur!B109)</f>
        <v>V02</v>
      </c>
      <c r="C109" t="str">
        <f>IF(Moteur!F109="","",Moteur!F109)</f>
        <v>BTS_GES</v>
      </c>
      <c r="D109" t="str">
        <f>IF(Moteur!G109="","",Moteur!G109)</f>
        <v>BTS1</v>
      </c>
      <c r="E109" t="str">
        <f>IF(Moteur!H109="","",Moteur!H109)</f>
        <v>ALT</v>
      </c>
      <c r="F109" t="str">
        <f>IF(Moteur!E109="","",Moteur!E109)</f>
        <v>PIGIER</v>
      </c>
      <c r="G109">
        <f>IF($A109="","",_xlfn.SUMIFS(Socle!$H$1:$H$658,Socle!$C$1:$C$658,$A109,Socle!$D$1:$D$658,$C109,Socle!$E$1:$E$658,$D109,Socle!$F$1:$F$658,$E109,Socle!$G$1:$G$658,"2026"))</f>
        <v>615</v>
      </c>
      <c r="H109">
        <f>IF($A109="","",_xlfn.SUMIFS(Socle!$N$1:$N$658,Socle!$C$1:$C$658,$A109,Socle!$D$1:$D$658,$C109,Socle!$E$1:$E$658,$D109,Socle!$F$1:$F$658,$E109,Socle!$G$1:$G$658,"2026"))</f>
        <v>0</v>
      </c>
      <c r="I109">
        <f>IF($A109="","",_xlfn.SUMIFS(Socle!$P$1:$P$658,Socle!$C$1:$C$658,$A109,Socle!$D$1:$D$658,$C109,Socle!$E$1:$E$658,$D109,Socle!$F$1:$F$658,$E109,Socle!$G$1:$G$658,"2026"))</f>
        <v>5820</v>
      </c>
      <c r="J109">
        <f>IF($A109="","",_xlfn.SUMIFS(Socle!$W$1:$W$658,Socle!$C$1:$C$658,$A109,Socle!$D$1:$D$658,$C109,Socle!$E$1:$E$658,$D109,Socle!$F$1:$F$658,$E109,Socle!$G$1:$G$658,"2026"))</f>
        <v>0.2</v>
      </c>
      <c r="K109">
        <f>IF($A109="","",_xlfn.SUMIFS(Socle!$X$1:$X$658,Socle!$C$1:$C$658,$A109,Socle!$D$1:$D$658,$C109,Socle!$E$1:$E$658,$D109,Socle!$F$1:$F$658,$E109,Socle!$G$1:$G$658,"2026"))</f>
        <v>0.699186992</v>
      </c>
      <c r="L109">
        <f>IF($A109="","",_xlfn.SUMIFS(Socle!$Y$1:$Y$658,Socle!$C$1:$C$658,$A109,Socle!$D$1:$D$658,$C109,Socle!$E$1:$E$658,$D109,Socle!$F$1:$F$658,$E109,Socle!$G$1:$G$658,"2026"))</f>
        <v>0.418604651</v>
      </c>
      <c r="M109">
        <f>IF($A109="","",_xlfn.SUMIFS(Socle!$V$1:$V$658,Socle!$C$1:$C$658,$A109,Socle!$D$1:$D$658,$C109,Socle!$E$1:$E$658,$D109,Socle!$F$1:$F$658,$E109,Socle!$G$1:$G$658,"2026"))</f>
        <v>0</v>
      </c>
      <c r="N109">
        <f t="shared" si="0"/>
        <v>1</v>
      </c>
      <c r="O109">
        <f>IF($A109="","",_xlfn.SUMIFS(Campagne!$D$1:$D$141,Campagne!$C$1:$C$141,$A109))</f>
        <v>652</v>
      </c>
      <c r="P109">
        <f>IF($A109="","",_xlfn.SUMIFS(Campagne!$E$1:$E$141,Campagne!$C$1:$C$141,$A109))</f>
        <v>578</v>
      </c>
      <c r="Q109">
        <f>IF($A109="","",_xlfn.SUMIFS(Campagne!$F$1:$F$141,Campagne!$C$1:$C$141,$A109))</f>
        <v>1230</v>
      </c>
      <c r="R109">
        <f>IF($A109="","",_xlfn.SUMIFS(Campagne!$K$1:$K$141,Campagne!$C$1:$C$141,$A109))</f>
        <v>0.474596633</v>
      </c>
      <c r="S109">
        <f>IF($A109="","",_xlfn.SUMIFS(Campagne!$M$1:$M$141,Campagne!$C$1:$C$141,$A109))</f>
        <v>0.357573956</v>
      </c>
      <c r="T109">
        <f>IF($A109="","",_xlfn.SUMIFS(Pilotage!$K$19:$K$32,Pilotage!$A$19:$A$32,$A109)*_xlfn.SUMIFS(Pilotage!$J$19:$J$32,Pilotage!$A$19:$A$32,$A109)*(SUM(Pilotage!$K$19:$K$32)/SUMPRODUCT(Pilotage!$K$19:$K$32,Pilotage!$J$19:$J$32)))</f>
        <v>21968</v>
      </c>
      <c r="U109">
        <f>IF($A109="","",_xlfn.SUMIFS(Pilotage!$K$19:$K$32,Pilotage!$A$19:$A$32,$A109))</f>
        <v>21968</v>
      </c>
      <c r="V109">
        <f>IF($A109="","",IF($B109="V01",Cadrage!$C$23,IF($B109="V02",Cadrage!$D$23,Cadrage!$E$23)))</f>
        <v>0.15</v>
      </c>
      <c r="W109">
        <f>IF($A109="","",IF($B109="V01",Cadrage!$C$24,IF($B109="V02",Cadrage!$D$24,Cadrage!$E$24)))</f>
        <v>0.15</v>
      </c>
      <c r="X109">
        <f>IF($A109="","",IF($B109="V01",Cadrage!$C$25,IF($B109="V02",Cadrage!$D$25,Cadrage!$E$25)))</f>
        <v>0.035</v>
      </c>
      <c r="Y109">
        <f>IF($A109="","",IF($B109="V01",Cadrage!$C$26,IF($B109="V02",Cadrage!$D$26,Cadrage!$E$26)))</f>
        <v>0.03</v>
      </c>
      <c r="Z109">
        <f>IF($A109="","",IF($B109="V01",Cadrage!$C$27,IF($B109="V02",Cadrage!$D$27,Cadrage!$E$27)))</f>
        <v>0.025</v>
      </c>
      <c r="AA109">
        <f>IF($A109="","",IF($B109="V01",Cadrage!$C$28,IF($B109="V02",Cadrage!$D$28,Cadrage!$E$28)))</f>
        <v>0.015</v>
      </c>
      <c r="AB109">
        <f>IF($A109="","",IF($B109="V01",Cadrage!$C$42,IF($B109="V02",Cadrage!$D$42,Cadrage!$E$42)))</f>
        <v>90</v>
      </c>
      <c r="AC109">
        <f>IF($A109="","",IF($F109="MBWAY",Cadrage!$K$34,IF($F109="ISCOM",Cadrage!$K$35,IF($F109="IPAC",Cadrage!$K$36,IF($F109="PIGIER",Cadrage!$K$37,Cadrage!$K$38)))))</f>
        <v>0.9</v>
      </c>
      <c r="AD109">
        <f t="shared" si="1"/>
        <v>46.4781321790189</v>
      </c>
      <c r="AE109">
        <f t="shared" si="2"/>
        <v>46.4781321790189</v>
      </c>
      <c r="AF109">
        <f t="shared" si="3"/>
        <v>46.4781321790189</v>
      </c>
      <c r="AG109">
        <f t="shared" si="4"/>
        <v>6003.33</v>
      </c>
      <c r="AH109">
        <f t="shared" si="5"/>
        <v>283206.597150381</v>
      </c>
    </row>
    <row r="110" ht="14.25" customHeight="1">
      <c r="A110" t="str">
        <f>IF(Moteur!D110="","",Moteur!D110)</f>
        <v>PIGIER_BOR</v>
      </c>
      <c r="B110" t="str">
        <f>IF(Moteur!B110="","",Moteur!B110)</f>
        <v>V02</v>
      </c>
      <c r="C110" t="str">
        <f>IF(Moteur!F110="","",Moteur!F110)</f>
        <v>BTS_GES</v>
      </c>
      <c r="D110" t="str">
        <f>IF(Moteur!G110="","",Moteur!G110)</f>
        <v>BTS2</v>
      </c>
      <c r="E110" t="str">
        <f>IF(Moteur!H110="","",Moteur!H110)</f>
        <v>ALT</v>
      </c>
      <c r="F110" t="str">
        <f>IF(Moteur!E110="","",Moteur!E110)</f>
        <v>PIGIER</v>
      </c>
      <c r="G110">
        <f>IF($A110="","",_xlfn.SUMIFS(Socle!$H$1:$H$658,Socle!$C$1:$C$658,$A110,Socle!$D$1:$D$658,$C110,Socle!$E$1:$E$658,$D110,Socle!$F$1:$F$658,$E110,Socle!$G$1:$G$658,"2026"))</f>
        <v>0</v>
      </c>
      <c r="H110">
        <f>IF($A110="","",_xlfn.SUMIFS(Socle!$N$1:$N$658,Socle!$C$1:$C$658,$A110,Socle!$D$1:$D$658,$C110,Socle!$E$1:$E$658,$D110,Socle!$F$1:$F$658,$E110,Socle!$G$1:$G$658,"2026"))</f>
        <v>36</v>
      </c>
      <c r="I110">
        <f>IF($A110="","",_xlfn.SUMIFS(Socle!$P$1:$P$658,Socle!$C$1:$C$658,$A110,Socle!$D$1:$D$658,$C110,Socle!$E$1:$E$658,$D110,Socle!$F$1:$F$658,$E110,Socle!$G$1:$G$658,"2026"))</f>
        <v>5820</v>
      </c>
      <c r="J110">
        <f>IF($A110="","",_xlfn.SUMIFS(Socle!$W$1:$W$658,Socle!$C$1:$C$658,$A110,Socle!$D$1:$D$658,$C110,Socle!$E$1:$E$658,$D110,Socle!$F$1:$F$658,$E110,Socle!$G$1:$G$658,"2026"))</f>
        <v>0</v>
      </c>
      <c r="K110">
        <f>IF($A110="","",_xlfn.SUMIFS(Socle!$X$1:$X$658,Socle!$C$1:$C$658,$A110,Socle!$D$1:$D$658,$C110,Socle!$E$1:$E$658,$D110,Socle!$F$1:$F$658,$E110,Socle!$G$1:$G$658,"2026"))</f>
        <v>0</v>
      </c>
      <c r="L110">
        <f>IF($A110="","",_xlfn.SUMIFS(Socle!$Y$1:$Y$658,Socle!$C$1:$C$658,$A110,Socle!$D$1:$D$658,$C110,Socle!$E$1:$E$658,$D110,Socle!$F$1:$F$658,$E110,Socle!$G$1:$G$658,"2026"))</f>
        <v>0</v>
      </c>
      <c r="M110">
        <f>IF($A110="","",_xlfn.SUMIFS(Socle!$V$1:$V$658,Socle!$C$1:$C$658,$A110,Socle!$D$1:$D$658,$C110,Socle!$E$1:$E$658,$D110,Socle!$F$1:$F$658,$E110,Socle!$G$1:$G$658,"2026"))</f>
        <v>0.972222222</v>
      </c>
      <c r="N110">
        <f t="shared" si="0"/>
        <v>0</v>
      </c>
      <c r="O110">
        <f>IF($A110="","",_xlfn.SUMIFS(Campagne!$D$1:$D$141,Campagne!$C$1:$C$141,$A110))</f>
        <v>652</v>
      </c>
      <c r="P110">
        <f>IF($A110="","",_xlfn.SUMIFS(Campagne!$E$1:$E$141,Campagne!$C$1:$C$141,$A110))</f>
        <v>578</v>
      </c>
      <c r="Q110">
        <f>IF($A110="","",_xlfn.SUMIFS(Campagne!$F$1:$F$141,Campagne!$C$1:$C$141,$A110))</f>
        <v>1230</v>
      </c>
      <c r="R110">
        <f>IF($A110="","",_xlfn.SUMIFS(Campagne!$K$1:$K$141,Campagne!$C$1:$C$141,$A110))</f>
        <v>0.474596633</v>
      </c>
      <c r="S110">
        <f>IF($A110="","",_xlfn.SUMIFS(Campagne!$M$1:$M$141,Campagne!$C$1:$C$141,$A110))</f>
        <v>0.357573956</v>
      </c>
      <c r="T110">
        <f>IF($A110="","",_xlfn.SUMIFS(Pilotage!$K$19:$K$32,Pilotage!$A$19:$A$32,$A110)*_xlfn.SUMIFS(Pilotage!$J$19:$J$32,Pilotage!$A$19:$A$32,$A110)*(SUM(Pilotage!$K$19:$K$32)/SUMPRODUCT(Pilotage!$K$19:$K$32,Pilotage!$J$19:$J$32)))</f>
        <v>21968</v>
      </c>
      <c r="U110">
        <f>IF($A110="","",_xlfn.SUMIFS(Pilotage!$K$19:$K$32,Pilotage!$A$19:$A$32,$A110))</f>
        <v>21968</v>
      </c>
      <c r="V110">
        <f>IF($A110="","",IF($B110="V01",Cadrage!$C$23,IF($B110="V02",Cadrage!$D$23,Cadrage!$E$23)))</f>
        <v>0.15</v>
      </c>
      <c r="W110">
        <f>IF($A110="","",IF($B110="V01",Cadrage!$C$24,IF($B110="V02",Cadrage!$D$24,Cadrage!$E$24)))</f>
        <v>0.15</v>
      </c>
      <c r="X110">
        <f>IF($A110="","",IF($B110="V01",Cadrage!$C$25,IF($B110="V02",Cadrage!$D$25,Cadrage!$E$25)))</f>
        <v>0.035</v>
      </c>
      <c r="Y110">
        <f>IF($A110="","",IF($B110="V01",Cadrage!$C$26,IF($B110="V02",Cadrage!$D$26,Cadrage!$E$26)))</f>
        <v>0.03</v>
      </c>
      <c r="Z110">
        <f>IF($A110="","",IF($B110="V01",Cadrage!$C$27,IF($B110="V02",Cadrage!$D$27,Cadrage!$E$27)))</f>
        <v>0.025</v>
      </c>
      <c r="AA110">
        <f>IF($A110="","",IF($B110="V01",Cadrage!$C$28,IF($B110="V02",Cadrage!$D$28,Cadrage!$E$28)))</f>
        <v>0.015</v>
      </c>
      <c r="AB110">
        <f>IF($A110="","",IF($B110="V01",Cadrage!$C$42,IF($B110="V02",Cadrage!$D$42,Cadrage!$E$42)))</f>
        <v>90</v>
      </c>
      <c r="AC110">
        <f>IF($A110="","",IF($F110="MBWAY",Cadrage!$K$34,IF($F110="ISCOM",Cadrage!$K$35,IF($F110="IPAC",Cadrage!$K$36,IF($F110="PIGIER",Cadrage!$K$37,Cadrage!$K$38)))))</f>
        <v>0.9</v>
      </c>
      <c r="AD110">
        <f t="shared" si="1"/>
        <v>0</v>
      </c>
      <c r="AE110">
        <f t="shared" si="2"/>
        <v>0</v>
      </c>
      <c r="AF110">
        <f t="shared" si="3"/>
        <v>35.539999992</v>
      </c>
      <c r="AG110">
        <f t="shared" si="4"/>
        <v>6003.33</v>
      </c>
      <c r="AH110">
        <f t="shared" si="5"/>
        <v>213358.348151973</v>
      </c>
    </row>
    <row r="111" ht="14.25" customHeight="1">
      <c r="A111" t="str">
        <f>IF(Moteur!D111="","",Moteur!D111)</f>
        <v>PIGIER_BOR</v>
      </c>
      <c r="B111" t="str">
        <f>IF(Moteur!B111="","",Moteur!B111)</f>
        <v>V02</v>
      </c>
      <c r="C111" t="str">
        <f>IF(Moteur!F111="","",Moteur!F111)</f>
        <v>BAC_RH</v>
      </c>
      <c r="D111" t="str">
        <f>IF(Moteur!G111="","",Moteur!G111)</f>
        <v>B1</v>
      </c>
      <c r="E111" t="str">
        <f>IF(Moteur!H111="","",Moteur!H111)</f>
        <v>ALT</v>
      </c>
      <c r="F111" t="str">
        <f>IF(Moteur!E111="","",Moteur!E111)</f>
        <v>PIGIER</v>
      </c>
      <c r="G111">
        <f>IF($A111="","",_xlfn.SUMIFS(Socle!$H$1:$H$658,Socle!$C$1:$C$658,$A111,Socle!$D$1:$D$658,$C111,Socle!$E$1:$E$658,$D111,Socle!$F$1:$F$658,$E111,Socle!$G$1:$G$658,"2026"))</f>
        <v>615</v>
      </c>
      <c r="H111">
        <f>IF($A111="","",_xlfn.SUMIFS(Socle!$N$1:$N$658,Socle!$C$1:$C$658,$A111,Socle!$D$1:$D$658,$C111,Socle!$E$1:$E$658,$D111,Socle!$F$1:$F$658,$E111,Socle!$G$1:$G$658,"2026"))</f>
        <v>0</v>
      </c>
      <c r="I111">
        <f>IF($A111="","",_xlfn.SUMIFS(Socle!$P$1:$P$658,Socle!$C$1:$C$658,$A111,Socle!$D$1:$D$658,$C111,Socle!$E$1:$E$658,$D111,Socle!$F$1:$F$658,$E111,Socle!$G$1:$G$658,"2026"))</f>
        <v>6790</v>
      </c>
      <c r="J111">
        <f>IF($A111="","",_xlfn.SUMIFS(Socle!$W$1:$W$658,Socle!$C$1:$C$658,$A111,Socle!$D$1:$D$658,$C111,Socle!$E$1:$E$658,$D111,Socle!$F$1:$F$658,$E111,Socle!$G$1:$G$658,"2026"))</f>
        <v>0.2</v>
      </c>
      <c r="K111">
        <f>IF($A111="","",_xlfn.SUMIFS(Socle!$X$1:$X$658,Socle!$C$1:$C$658,$A111,Socle!$D$1:$D$658,$C111,Socle!$E$1:$E$658,$D111,Socle!$F$1:$F$658,$E111,Socle!$G$1:$G$658,"2026"))</f>
        <v>0.699186992</v>
      </c>
      <c r="L111">
        <f>IF($A111="","",_xlfn.SUMIFS(Socle!$Y$1:$Y$658,Socle!$C$1:$C$658,$A111,Socle!$D$1:$D$658,$C111,Socle!$E$1:$E$658,$D111,Socle!$F$1:$F$658,$E111,Socle!$G$1:$G$658,"2026"))</f>
        <v>0.418604651</v>
      </c>
      <c r="M111">
        <f>IF($A111="","",_xlfn.SUMIFS(Socle!$V$1:$V$658,Socle!$C$1:$C$658,$A111,Socle!$D$1:$D$658,$C111,Socle!$E$1:$E$658,$D111,Socle!$F$1:$F$658,$E111,Socle!$G$1:$G$658,"2026"))</f>
        <v>0</v>
      </c>
      <c r="N111">
        <f t="shared" si="0"/>
        <v>1</v>
      </c>
      <c r="O111">
        <f>IF($A111="","",_xlfn.SUMIFS(Campagne!$D$1:$D$141,Campagne!$C$1:$C$141,$A111))</f>
        <v>652</v>
      </c>
      <c r="P111">
        <f>IF($A111="","",_xlfn.SUMIFS(Campagne!$E$1:$E$141,Campagne!$C$1:$C$141,$A111))</f>
        <v>578</v>
      </c>
      <c r="Q111">
        <f>IF($A111="","",_xlfn.SUMIFS(Campagne!$F$1:$F$141,Campagne!$C$1:$C$141,$A111))</f>
        <v>1230</v>
      </c>
      <c r="R111">
        <f>IF($A111="","",_xlfn.SUMIFS(Campagne!$K$1:$K$141,Campagne!$C$1:$C$141,$A111))</f>
        <v>0.474596633</v>
      </c>
      <c r="S111">
        <f>IF($A111="","",_xlfn.SUMIFS(Campagne!$M$1:$M$141,Campagne!$C$1:$C$141,$A111))</f>
        <v>0.357573956</v>
      </c>
      <c r="T111">
        <f>IF($A111="","",_xlfn.SUMIFS(Pilotage!$K$19:$K$32,Pilotage!$A$19:$A$32,$A111)*_xlfn.SUMIFS(Pilotage!$J$19:$J$32,Pilotage!$A$19:$A$32,$A111)*(SUM(Pilotage!$K$19:$K$32)/SUMPRODUCT(Pilotage!$K$19:$K$32,Pilotage!$J$19:$J$32)))</f>
        <v>21968</v>
      </c>
      <c r="U111">
        <f>IF($A111="","",_xlfn.SUMIFS(Pilotage!$K$19:$K$32,Pilotage!$A$19:$A$32,$A111))</f>
        <v>21968</v>
      </c>
      <c r="V111">
        <f>IF($A111="","",IF($B111="V01",Cadrage!$C$23,IF($B111="V02",Cadrage!$D$23,Cadrage!$E$23)))</f>
        <v>0.15</v>
      </c>
      <c r="W111">
        <f>IF($A111="","",IF($B111="V01",Cadrage!$C$24,IF($B111="V02",Cadrage!$D$24,Cadrage!$E$24)))</f>
        <v>0.15</v>
      </c>
      <c r="X111">
        <f>IF($A111="","",IF($B111="V01",Cadrage!$C$25,IF($B111="V02",Cadrage!$D$25,Cadrage!$E$25)))</f>
        <v>0.035</v>
      </c>
      <c r="Y111">
        <f>IF($A111="","",IF($B111="V01",Cadrage!$C$26,IF($B111="V02",Cadrage!$D$26,Cadrage!$E$26)))</f>
        <v>0.03</v>
      </c>
      <c r="Z111">
        <f>IF($A111="","",IF($B111="V01",Cadrage!$C$27,IF($B111="V02",Cadrage!$D$27,Cadrage!$E$27)))</f>
        <v>0.025</v>
      </c>
      <c r="AA111">
        <f>IF($A111="","",IF($B111="V01",Cadrage!$C$28,IF($B111="V02",Cadrage!$D$28,Cadrage!$E$28)))</f>
        <v>0.015</v>
      </c>
      <c r="AB111">
        <f>IF($A111="","",IF($B111="V01",Cadrage!$C$42,IF($B111="V02",Cadrage!$D$42,Cadrage!$E$42)))</f>
        <v>90</v>
      </c>
      <c r="AC111">
        <f>IF($A111="","",IF($F111="MBWAY",Cadrage!$K$34,IF($F111="ISCOM",Cadrage!$K$35,IF($F111="IPAC",Cadrage!$K$36,IF($F111="PIGIER",Cadrage!$K$37,Cadrage!$K$38)))))</f>
        <v>0.9</v>
      </c>
      <c r="AD111">
        <f t="shared" si="1"/>
        <v>46.4781321790189</v>
      </c>
      <c r="AE111">
        <f t="shared" si="2"/>
        <v>46.4781321790189</v>
      </c>
      <c r="AF111">
        <f t="shared" si="3"/>
        <v>46.4781321790189</v>
      </c>
      <c r="AG111">
        <f t="shared" si="4"/>
        <v>7003.885</v>
      </c>
      <c r="AH111">
        <f t="shared" si="5"/>
        <v>329710.524692759</v>
      </c>
    </row>
    <row r="112" ht="14.25" customHeight="1">
      <c r="A112" t="str">
        <f>IF(Moteur!D112="","",Moteur!D112)</f>
        <v>TUNON_PAR</v>
      </c>
      <c r="B112" t="str">
        <f>IF(Moteur!B112="","",Moteur!B112)</f>
        <v>V02</v>
      </c>
      <c r="C112" t="str">
        <f>IF(Moteur!F112="","",Moteur!F112)</f>
        <v>BAC_TOU</v>
      </c>
      <c r="D112" t="str">
        <f>IF(Moteur!G112="","",Moteur!G112)</f>
        <v>B1</v>
      </c>
      <c r="E112" t="str">
        <f>IF(Moteur!H112="","",Moteur!H112)</f>
        <v>ALT</v>
      </c>
      <c r="F112" t="str">
        <f>IF(Moteur!E112="","",Moteur!E112)</f>
        <v>TUNON</v>
      </c>
      <c r="G112">
        <f>IF($A112="","",_xlfn.SUMIFS(Socle!$H$1:$H$658,Socle!$C$1:$C$658,$A112,Socle!$D$1:$D$658,$C112,Socle!$E$1:$E$658,$D112,Socle!$F$1:$F$658,$E112,Socle!$G$1:$G$658,"2026"))</f>
        <v>800</v>
      </c>
      <c r="H112">
        <f>IF($A112="","",_xlfn.SUMIFS(Socle!$N$1:$N$658,Socle!$C$1:$C$658,$A112,Socle!$D$1:$D$658,$C112,Socle!$E$1:$E$658,$D112,Socle!$F$1:$F$658,$E112,Socle!$G$1:$G$658,"2026"))</f>
        <v>0</v>
      </c>
      <c r="I112">
        <f>IF($A112="","",_xlfn.SUMIFS(Socle!$P$1:$P$658,Socle!$C$1:$C$658,$A112,Socle!$D$1:$D$658,$C112,Socle!$E$1:$E$658,$D112,Socle!$F$1:$F$658,$E112,Socle!$G$1:$G$658,"2026"))</f>
        <v>7840</v>
      </c>
      <c r="J112">
        <f>IF($A112="","",_xlfn.SUMIFS(Socle!$W$1:$W$658,Socle!$C$1:$C$658,$A112,Socle!$D$1:$D$658,$C112,Socle!$E$1:$E$658,$D112,Socle!$F$1:$F$658,$E112,Socle!$G$1:$G$658,"2026"))</f>
        <v>0.2</v>
      </c>
      <c r="K112">
        <f>IF($A112="","",_xlfn.SUMIFS(Socle!$X$1:$X$658,Socle!$C$1:$C$658,$A112,Socle!$D$1:$D$658,$C112,Socle!$E$1:$E$658,$D112,Socle!$F$1:$F$658,$E112,Socle!$G$1:$G$658,"2026"))</f>
        <v>0.7</v>
      </c>
      <c r="L112">
        <f>IF($A112="","",_xlfn.SUMIFS(Socle!$Y$1:$Y$658,Socle!$C$1:$C$658,$A112,Socle!$D$1:$D$658,$C112,Socle!$E$1:$E$658,$D112,Socle!$F$1:$F$658,$E112,Socle!$G$1:$G$658,"2026"))</f>
        <v>0.419642857</v>
      </c>
      <c r="M112">
        <f>IF($A112="","",_xlfn.SUMIFS(Socle!$V$1:$V$658,Socle!$C$1:$C$658,$A112,Socle!$D$1:$D$658,$C112,Socle!$E$1:$E$658,$D112,Socle!$F$1:$F$658,$E112,Socle!$G$1:$G$658,"2026"))</f>
        <v>0</v>
      </c>
      <c r="N112">
        <f t="shared" si="0"/>
        <v>1</v>
      </c>
      <c r="O112">
        <f>IF($A112="","",_xlfn.SUMIFS(Campagne!$D$1:$D$141,Campagne!$C$1:$C$141,$A112))</f>
        <v>240</v>
      </c>
      <c r="P112">
        <f>IF($A112="","",_xlfn.SUMIFS(Campagne!$E$1:$E$141,Campagne!$C$1:$C$141,$A112))</f>
        <v>560</v>
      </c>
      <c r="Q112">
        <f>IF($A112="","",_xlfn.SUMIFS(Campagne!$F$1:$F$141,Campagne!$C$1:$C$141,$A112))</f>
        <v>800</v>
      </c>
      <c r="R112">
        <f>IF($A112="","",_xlfn.SUMIFS(Campagne!$K$1:$K$141,Campagne!$C$1:$C$141,$A112))</f>
        <v>0.41914907</v>
      </c>
      <c r="S112">
        <f>IF($A112="","",_xlfn.SUMIFS(Campagne!$M$1:$M$141,Campagne!$C$1:$C$141,$A112))</f>
        <v>0.27988845</v>
      </c>
      <c r="T112">
        <f>IF($A112="","",_xlfn.SUMIFS(Pilotage!$K$19:$K$32,Pilotage!$A$19:$A$32,$A112)*_xlfn.SUMIFS(Pilotage!$J$19:$J$32,Pilotage!$A$19:$A$32,$A112)*(SUM(Pilotage!$K$19:$K$32)/SUMPRODUCT(Pilotage!$K$19:$K$32,Pilotage!$J$19:$J$32)))</f>
        <v>30240</v>
      </c>
      <c r="U112">
        <f>IF($A112="","",_xlfn.SUMIFS(Pilotage!$K$19:$K$32,Pilotage!$A$19:$A$32,$A112))</f>
        <v>30240</v>
      </c>
      <c r="V112">
        <f>IF($A112="","",IF($B112="V01",Cadrage!$C$23,IF($B112="V02",Cadrage!$D$23,Cadrage!$E$23)))</f>
        <v>0.15</v>
      </c>
      <c r="W112">
        <f>IF($A112="","",IF($B112="V01",Cadrage!$C$24,IF($B112="V02",Cadrage!$D$24,Cadrage!$E$24)))</f>
        <v>0.15</v>
      </c>
      <c r="X112">
        <f>IF($A112="","",IF($B112="V01",Cadrage!$C$25,IF($B112="V02",Cadrage!$D$25,Cadrage!$E$25)))</f>
        <v>0.035</v>
      </c>
      <c r="Y112">
        <f>IF($A112="","",IF($B112="V01",Cadrage!$C$26,IF($B112="V02",Cadrage!$D$26,Cadrage!$E$26)))</f>
        <v>0.03</v>
      </c>
      <c r="Z112">
        <f>IF($A112="","",IF($B112="V01",Cadrage!$C$27,IF($B112="V02",Cadrage!$D$27,Cadrage!$E$27)))</f>
        <v>0.025</v>
      </c>
      <c r="AA112">
        <f>IF($A112="","",IF($B112="V01",Cadrage!$C$28,IF($B112="V02",Cadrage!$D$28,Cadrage!$E$28)))</f>
        <v>0.015</v>
      </c>
      <c r="AB112">
        <f>IF($A112="","",IF($B112="V01",Cadrage!$C$42,IF($B112="V02",Cadrage!$D$42,Cadrage!$E$42)))</f>
        <v>90</v>
      </c>
      <c r="AC112">
        <f>IF($A112="","",IF($F112="MBWAY",Cadrage!$K$34,IF($F112="ISCOM",Cadrage!$K$35,IF($F112="IPAC",Cadrage!$K$36,IF($F112="PIGIER",Cadrage!$K$37,Cadrage!$K$38)))))</f>
        <v>1.05</v>
      </c>
      <c r="AD112">
        <f t="shared" si="1"/>
        <v>60.3740083219068</v>
      </c>
      <c r="AE112">
        <f t="shared" si="2"/>
        <v>60.3740083219068</v>
      </c>
      <c r="AF112">
        <f t="shared" si="3"/>
        <v>60.3740083219068</v>
      </c>
      <c r="AG112">
        <f t="shared" si="4"/>
        <v>8128.12</v>
      </c>
      <c r="AH112">
        <f t="shared" si="5"/>
        <v>496160.845270429</v>
      </c>
    </row>
    <row r="113" ht="14.25" customHeight="1">
      <c r="A113" t="str">
        <f>IF(Moteur!D113="","",Moteur!D113)</f>
        <v>TUNON_PAR</v>
      </c>
      <c r="B113" t="str">
        <f>IF(Moteur!B113="","",Moteur!B113)</f>
        <v>V02</v>
      </c>
      <c r="C113" t="str">
        <f>IF(Moteur!F113="","",Moteur!F113)</f>
        <v>BAC_TOU</v>
      </c>
      <c r="D113" t="str">
        <f>IF(Moteur!G113="","",Moteur!G113)</f>
        <v>B2</v>
      </c>
      <c r="E113" t="str">
        <f>IF(Moteur!H113="","",Moteur!H113)</f>
        <v>ALT</v>
      </c>
      <c r="F113" t="str">
        <f>IF(Moteur!E113="","",Moteur!E113)</f>
        <v>TUNON</v>
      </c>
      <c r="G113">
        <f>IF($A113="","",_xlfn.SUMIFS(Socle!$H$1:$H$658,Socle!$C$1:$C$658,$A113,Socle!$D$1:$D$658,$C113,Socle!$E$1:$E$658,$D113,Socle!$F$1:$F$658,$E113,Socle!$G$1:$G$658,"2026"))</f>
        <v>0</v>
      </c>
      <c r="H113">
        <f>IF($A113="","",_xlfn.SUMIFS(Socle!$N$1:$N$658,Socle!$C$1:$C$658,$A113,Socle!$D$1:$D$658,$C113,Socle!$E$1:$E$658,$D113,Socle!$F$1:$F$658,$E113,Socle!$G$1:$G$658,"2026"))</f>
        <v>47</v>
      </c>
      <c r="I113">
        <f>IF($A113="","",_xlfn.SUMIFS(Socle!$P$1:$P$658,Socle!$C$1:$C$658,$A113,Socle!$D$1:$D$658,$C113,Socle!$E$1:$E$658,$D113,Socle!$F$1:$F$658,$E113,Socle!$G$1:$G$658,"2026"))</f>
        <v>7840</v>
      </c>
      <c r="J113">
        <f>IF($A113="","",_xlfn.SUMIFS(Socle!$W$1:$W$658,Socle!$C$1:$C$658,$A113,Socle!$D$1:$D$658,$C113,Socle!$E$1:$E$658,$D113,Socle!$F$1:$F$658,$E113,Socle!$G$1:$G$658,"2026"))</f>
        <v>0</v>
      </c>
      <c r="K113">
        <f>IF($A113="","",_xlfn.SUMIFS(Socle!$X$1:$X$658,Socle!$C$1:$C$658,$A113,Socle!$D$1:$D$658,$C113,Socle!$E$1:$E$658,$D113,Socle!$F$1:$F$658,$E113,Socle!$G$1:$G$658,"2026"))</f>
        <v>0</v>
      </c>
      <c r="L113">
        <f>IF($A113="","",_xlfn.SUMIFS(Socle!$Y$1:$Y$658,Socle!$C$1:$C$658,$A113,Socle!$D$1:$D$658,$C113,Socle!$E$1:$E$658,$D113,Socle!$F$1:$F$658,$E113,Socle!$G$1:$G$658,"2026"))</f>
        <v>0</v>
      </c>
      <c r="M113">
        <f>IF($A113="","",_xlfn.SUMIFS(Socle!$V$1:$V$658,Socle!$C$1:$C$658,$A113,Socle!$D$1:$D$658,$C113,Socle!$E$1:$E$658,$D113,Socle!$F$1:$F$658,$E113,Socle!$G$1:$G$658,"2026"))</f>
        <v>0.978723404</v>
      </c>
      <c r="N113">
        <f t="shared" si="0"/>
        <v>0</v>
      </c>
      <c r="O113">
        <f>IF($A113="","",_xlfn.SUMIFS(Campagne!$D$1:$D$141,Campagne!$C$1:$C$141,$A113))</f>
        <v>240</v>
      </c>
      <c r="P113">
        <f>IF($A113="","",_xlfn.SUMIFS(Campagne!$E$1:$E$141,Campagne!$C$1:$C$141,$A113))</f>
        <v>560</v>
      </c>
      <c r="Q113">
        <f>IF($A113="","",_xlfn.SUMIFS(Campagne!$F$1:$F$141,Campagne!$C$1:$C$141,$A113))</f>
        <v>800</v>
      </c>
      <c r="R113">
        <f>IF($A113="","",_xlfn.SUMIFS(Campagne!$K$1:$K$141,Campagne!$C$1:$C$141,$A113))</f>
        <v>0.41914907</v>
      </c>
      <c r="S113">
        <f>IF($A113="","",_xlfn.SUMIFS(Campagne!$M$1:$M$141,Campagne!$C$1:$C$141,$A113))</f>
        <v>0.27988845</v>
      </c>
      <c r="T113">
        <f>IF($A113="","",_xlfn.SUMIFS(Pilotage!$K$19:$K$32,Pilotage!$A$19:$A$32,$A113)*_xlfn.SUMIFS(Pilotage!$J$19:$J$32,Pilotage!$A$19:$A$32,$A113)*(SUM(Pilotage!$K$19:$K$32)/SUMPRODUCT(Pilotage!$K$19:$K$32,Pilotage!$J$19:$J$32)))</f>
        <v>30240</v>
      </c>
      <c r="U113">
        <f>IF($A113="","",_xlfn.SUMIFS(Pilotage!$K$19:$K$32,Pilotage!$A$19:$A$32,$A113))</f>
        <v>30240</v>
      </c>
      <c r="V113">
        <f>IF($A113="","",IF($B113="V01",Cadrage!$C$23,IF($B113="V02",Cadrage!$D$23,Cadrage!$E$23)))</f>
        <v>0.15</v>
      </c>
      <c r="W113">
        <f>IF($A113="","",IF($B113="V01",Cadrage!$C$24,IF($B113="V02",Cadrage!$D$24,Cadrage!$E$24)))</f>
        <v>0.15</v>
      </c>
      <c r="X113">
        <f>IF($A113="","",IF($B113="V01",Cadrage!$C$25,IF($B113="V02",Cadrage!$D$25,Cadrage!$E$25)))</f>
        <v>0.035</v>
      </c>
      <c r="Y113">
        <f>IF($A113="","",IF($B113="V01",Cadrage!$C$26,IF($B113="V02",Cadrage!$D$26,Cadrage!$E$26)))</f>
        <v>0.03</v>
      </c>
      <c r="Z113">
        <f>IF($A113="","",IF($B113="V01",Cadrage!$C$27,IF($B113="V02",Cadrage!$D$27,Cadrage!$E$27)))</f>
        <v>0.025</v>
      </c>
      <c r="AA113">
        <f>IF($A113="","",IF($B113="V01",Cadrage!$C$28,IF($B113="V02",Cadrage!$D$28,Cadrage!$E$28)))</f>
        <v>0.015</v>
      </c>
      <c r="AB113">
        <f>IF($A113="","",IF($B113="V01",Cadrage!$C$42,IF($B113="V02",Cadrage!$D$42,Cadrage!$E$42)))</f>
        <v>90</v>
      </c>
      <c r="AC113">
        <f>IF($A113="","",IF($F113="MBWAY",Cadrage!$K$34,IF($F113="ISCOM",Cadrage!$K$35,IF($F113="IPAC",Cadrage!$K$36,IF($F113="PIGIER",Cadrage!$K$37,Cadrage!$K$38)))))</f>
        <v>1.05</v>
      </c>
      <c r="AD113">
        <f t="shared" si="1"/>
        <v>0</v>
      </c>
      <c r="AE113">
        <f t="shared" si="2"/>
        <v>0</v>
      </c>
      <c r="AF113">
        <f t="shared" si="3"/>
        <v>46.704999988</v>
      </c>
      <c r="AG113">
        <f t="shared" si="4"/>
        <v>8128.12</v>
      </c>
      <c r="AH113">
        <f t="shared" si="5"/>
        <v>379623.844502463</v>
      </c>
    </row>
    <row r="114" ht="14.25" customHeight="1">
      <c r="A114" t="str">
        <f>IF(Moteur!D114="","",Moteur!D114)</f>
        <v>TUNON_PAR</v>
      </c>
      <c r="B114" t="str">
        <f>IF(Moteur!B114="","",Moteur!B114)</f>
        <v>V02</v>
      </c>
      <c r="C114" t="str">
        <f>IF(Moteur!F114="","",Moteur!F114)</f>
        <v>BAC_TOU</v>
      </c>
      <c r="D114" t="str">
        <f>IF(Moteur!G114="","",Moteur!G114)</f>
        <v>B3</v>
      </c>
      <c r="E114" t="str">
        <f>IF(Moteur!H114="","",Moteur!H114)</f>
        <v>ALT</v>
      </c>
      <c r="F114" t="str">
        <f>IF(Moteur!E114="","",Moteur!E114)</f>
        <v>TUNON</v>
      </c>
      <c r="G114">
        <f>IF($A114="","",_xlfn.SUMIFS(Socle!$H$1:$H$658,Socle!$C$1:$C$658,$A114,Socle!$D$1:$D$658,$C114,Socle!$E$1:$E$658,$D114,Socle!$F$1:$F$658,$E114,Socle!$G$1:$G$658,"2026"))</f>
        <v>0</v>
      </c>
      <c r="H114">
        <f>IF($A114="","",_xlfn.SUMIFS(Socle!$N$1:$N$658,Socle!$C$1:$C$658,$A114,Socle!$D$1:$D$658,$C114,Socle!$E$1:$E$658,$D114,Socle!$F$1:$F$658,$E114,Socle!$G$1:$G$658,"2026"))</f>
        <v>46</v>
      </c>
      <c r="I114">
        <f>IF($A114="","",_xlfn.SUMIFS(Socle!$P$1:$P$658,Socle!$C$1:$C$658,$A114,Socle!$D$1:$D$658,$C114,Socle!$E$1:$E$658,$D114,Socle!$F$1:$F$658,$E114,Socle!$G$1:$G$658,"2026"))</f>
        <v>7840</v>
      </c>
      <c r="J114">
        <f>IF($A114="","",_xlfn.SUMIFS(Socle!$W$1:$W$658,Socle!$C$1:$C$658,$A114,Socle!$D$1:$D$658,$C114,Socle!$E$1:$E$658,$D114,Socle!$F$1:$F$658,$E114,Socle!$G$1:$G$658,"2026"))</f>
        <v>0</v>
      </c>
      <c r="K114">
        <f>IF($A114="","",_xlfn.SUMIFS(Socle!$X$1:$X$658,Socle!$C$1:$C$658,$A114,Socle!$D$1:$D$658,$C114,Socle!$E$1:$E$658,$D114,Socle!$F$1:$F$658,$E114,Socle!$G$1:$G$658,"2026"))</f>
        <v>0</v>
      </c>
      <c r="L114">
        <f>IF($A114="","",_xlfn.SUMIFS(Socle!$Y$1:$Y$658,Socle!$C$1:$C$658,$A114,Socle!$D$1:$D$658,$C114,Socle!$E$1:$E$658,$D114,Socle!$F$1:$F$658,$E114,Socle!$G$1:$G$658,"2026"))</f>
        <v>0</v>
      </c>
      <c r="M114">
        <f>IF($A114="","",_xlfn.SUMIFS(Socle!$V$1:$V$658,Socle!$C$1:$C$658,$A114,Socle!$D$1:$D$658,$C114,Socle!$E$1:$E$658,$D114,Socle!$F$1:$F$658,$E114,Socle!$G$1:$G$658,"2026"))</f>
        <v>0.97826087</v>
      </c>
      <c r="N114">
        <f t="shared" si="0"/>
        <v>0</v>
      </c>
      <c r="O114">
        <f>IF($A114="","",_xlfn.SUMIFS(Campagne!$D$1:$D$141,Campagne!$C$1:$C$141,$A114))</f>
        <v>240</v>
      </c>
      <c r="P114">
        <f>IF($A114="","",_xlfn.SUMIFS(Campagne!$E$1:$E$141,Campagne!$C$1:$C$141,$A114))</f>
        <v>560</v>
      </c>
      <c r="Q114">
        <f>IF($A114="","",_xlfn.SUMIFS(Campagne!$F$1:$F$141,Campagne!$C$1:$C$141,$A114))</f>
        <v>800</v>
      </c>
      <c r="R114">
        <f>IF($A114="","",_xlfn.SUMIFS(Campagne!$K$1:$K$141,Campagne!$C$1:$C$141,$A114))</f>
        <v>0.41914907</v>
      </c>
      <c r="S114">
        <f>IF($A114="","",_xlfn.SUMIFS(Campagne!$M$1:$M$141,Campagne!$C$1:$C$141,$A114))</f>
        <v>0.27988845</v>
      </c>
      <c r="T114">
        <f>IF($A114="","",_xlfn.SUMIFS(Pilotage!$K$19:$K$32,Pilotage!$A$19:$A$32,$A114)*_xlfn.SUMIFS(Pilotage!$J$19:$J$32,Pilotage!$A$19:$A$32,$A114)*(SUM(Pilotage!$K$19:$K$32)/SUMPRODUCT(Pilotage!$K$19:$K$32,Pilotage!$J$19:$J$32)))</f>
        <v>30240</v>
      </c>
      <c r="U114">
        <f>IF($A114="","",_xlfn.SUMIFS(Pilotage!$K$19:$K$32,Pilotage!$A$19:$A$32,$A114))</f>
        <v>30240</v>
      </c>
      <c r="V114">
        <f>IF($A114="","",IF($B114="V01",Cadrage!$C$23,IF($B114="V02",Cadrage!$D$23,Cadrage!$E$23)))</f>
        <v>0.15</v>
      </c>
      <c r="W114">
        <f>IF($A114="","",IF($B114="V01",Cadrage!$C$24,IF($B114="V02",Cadrage!$D$24,Cadrage!$E$24)))</f>
        <v>0.15</v>
      </c>
      <c r="X114">
        <f>IF($A114="","",IF($B114="V01",Cadrage!$C$25,IF($B114="V02",Cadrage!$D$25,Cadrage!$E$25)))</f>
        <v>0.035</v>
      </c>
      <c r="Y114">
        <f>IF($A114="","",IF($B114="V01",Cadrage!$C$26,IF($B114="V02",Cadrage!$D$26,Cadrage!$E$26)))</f>
        <v>0.03</v>
      </c>
      <c r="Z114">
        <f>IF($A114="","",IF($B114="V01",Cadrage!$C$27,IF($B114="V02",Cadrage!$D$27,Cadrage!$E$27)))</f>
        <v>0.025</v>
      </c>
      <c r="AA114">
        <f>IF($A114="","",IF($B114="V01",Cadrage!$C$28,IF($B114="V02",Cadrage!$D$28,Cadrage!$E$28)))</f>
        <v>0.015</v>
      </c>
      <c r="AB114">
        <f>IF($A114="","",IF($B114="V01",Cadrage!$C$42,IF($B114="V02",Cadrage!$D$42,Cadrage!$E$42)))</f>
        <v>90</v>
      </c>
      <c r="AC114">
        <f>IF($A114="","",IF($F114="MBWAY",Cadrage!$K$34,IF($F114="ISCOM",Cadrage!$K$35,IF($F114="IPAC",Cadrage!$K$36,IF($F114="PIGIER",Cadrage!$K$37,Cadrage!$K$38)))))</f>
        <v>1.05</v>
      </c>
      <c r="AD114">
        <f t="shared" si="1"/>
        <v>0</v>
      </c>
      <c r="AE114">
        <f t="shared" si="2"/>
        <v>0</v>
      </c>
      <c r="AF114">
        <f t="shared" si="3"/>
        <v>45.69000002</v>
      </c>
      <c r="AG114">
        <f t="shared" si="4"/>
        <v>8128.12</v>
      </c>
      <c r="AH114">
        <f t="shared" si="5"/>
        <v>371373.802962562</v>
      </c>
    </row>
    <row r="115" ht="14.25" customHeight="1">
      <c r="A115" t="str">
        <f>IF(Moteur!D115="","",Moteur!D115)</f>
        <v>TUNON_LYO</v>
      </c>
      <c r="B115" t="str">
        <f>IF(Moteur!B115="","",Moteur!B115)</f>
        <v>V02</v>
      </c>
      <c r="C115" t="str">
        <f>IF(Moteur!F115="","",Moteur!F115)</f>
        <v>BAC_TOU</v>
      </c>
      <c r="D115" t="str">
        <f>IF(Moteur!G115="","",Moteur!G115)</f>
        <v>B1</v>
      </c>
      <c r="E115" t="str">
        <f>IF(Moteur!H115="","",Moteur!H115)</f>
        <v>ALT</v>
      </c>
      <c r="F115" t="str">
        <f>IF(Moteur!E115="","",Moteur!E115)</f>
        <v>TUNON</v>
      </c>
      <c r="G115">
        <f>IF($A115="","",_xlfn.SUMIFS(Socle!$H$1:$H$658,Socle!$C$1:$C$658,$A115,Socle!$D$1:$D$658,$C115,Socle!$E$1:$E$658,$D115,Socle!$F$1:$F$658,$E115,Socle!$G$1:$G$658,"2026"))</f>
        <v>680</v>
      </c>
      <c r="H115">
        <f>IF($A115="","",_xlfn.SUMIFS(Socle!$N$1:$N$658,Socle!$C$1:$C$658,$A115,Socle!$D$1:$D$658,$C115,Socle!$E$1:$E$658,$D115,Socle!$F$1:$F$658,$E115,Socle!$G$1:$G$658,"2026"))</f>
        <v>0</v>
      </c>
      <c r="I115">
        <f>IF($A115="","",_xlfn.SUMIFS(Socle!$P$1:$P$658,Socle!$C$1:$C$658,$A115,Socle!$D$1:$D$658,$C115,Socle!$E$1:$E$658,$D115,Socle!$F$1:$F$658,$E115,Socle!$G$1:$G$658,"2026"))</f>
        <v>7350</v>
      </c>
      <c r="J115">
        <f>IF($A115="","",_xlfn.SUMIFS(Socle!$W$1:$W$658,Socle!$C$1:$C$658,$A115,Socle!$D$1:$D$658,$C115,Socle!$E$1:$E$658,$D115,Socle!$F$1:$F$658,$E115,Socle!$G$1:$G$658,"2026"))</f>
        <v>0.2</v>
      </c>
      <c r="K115">
        <f>IF($A115="","",_xlfn.SUMIFS(Socle!$X$1:$X$658,Socle!$C$1:$C$658,$A115,Socle!$D$1:$D$658,$C115,Socle!$E$1:$E$658,$D115,Socle!$F$1:$F$658,$E115,Socle!$G$1:$G$658,"2026"))</f>
        <v>0.698529412</v>
      </c>
      <c r="L115">
        <f>IF($A115="","",_xlfn.SUMIFS(Socle!$Y$1:$Y$658,Socle!$C$1:$C$658,$A115,Socle!$D$1:$D$658,$C115,Socle!$E$1:$E$658,$D115,Socle!$F$1:$F$658,$E115,Socle!$G$1:$G$658,"2026"))</f>
        <v>0.421052632</v>
      </c>
      <c r="M115">
        <f>IF($A115="","",_xlfn.SUMIFS(Socle!$V$1:$V$658,Socle!$C$1:$C$658,$A115,Socle!$D$1:$D$658,$C115,Socle!$E$1:$E$658,$D115,Socle!$F$1:$F$658,$E115,Socle!$G$1:$G$658,"2026"))</f>
        <v>0</v>
      </c>
      <c r="N115">
        <f t="shared" si="0"/>
        <v>1</v>
      </c>
      <c r="O115">
        <f>IF($A115="","",_xlfn.SUMIFS(Campagne!$D$1:$D$141,Campagne!$C$1:$C$141,$A115))</f>
        <v>252</v>
      </c>
      <c r="P115">
        <f>IF($A115="","",_xlfn.SUMIFS(Campagne!$E$1:$E$141,Campagne!$C$1:$C$141,$A115))</f>
        <v>428</v>
      </c>
      <c r="Q115">
        <f>IF($A115="","",_xlfn.SUMIFS(Campagne!$F$1:$F$141,Campagne!$C$1:$C$141,$A115))</f>
        <v>680</v>
      </c>
      <c r="R115">
        <f>IF($A115="","",_xlfn.SUMIFS(Campagne!$K$1:$K$141,Campagne!$C$1:$C$141,$A115))</f>
        <v>0.460843562</v>
      </c>
      <c r="S115">
        <f>IF($A115="","",_xlfn.SUMIFS(Campagne!$M$1:$M$141,Campagne!$C$1:$C$141,$A115))</f>
        <v>0.317986245</v>
      </c>
      <c r="T115">
        <f>IF($A115="","",_xlfn.SUMIFS(Pilotage!$K$19:$K$32,Pilotage!$A$19:$A$32,$A115)*_xlfn.SUMIFS(Pilotage!$J$19:$J$32,Pilotage!$A$19:$A$32,$A115)*(SUM(Pilotage!$K$19:$K$32)/SUMPRODUCT(Pilotage!$K$19:$K$32,Pilotage!$J$19:$J$32)))</f>
        <v>18850</v>
      </c>
      <c r="U115">
        <f>IF($A115="","",_xlfn.SUMIFS(Pilotage!$K$19:$K$32,Pilotage!$A$19:$A$32,$A115))</f>
        <v>18850</v>
      </c>
      <c r="V115">
        <f>IF($A115="","",IF($B115="V01",Cadrage!$C$23,IF($B115="V02",Cadrage!$D$23,Cadrage!$E$23)))</f>
        <v>0.15</v>
      </c>
      <c r="W115">
        <f>IF($A115="","",IF($B115="V01",Cadrage!$C$24,IF($B115="V02",Cadrage!$D$24,Cadrage!$E$24)))</f>
        <v>0.15</v>
      </c>
      <c r="X115">
        <f>IF($A115="","",IF($B115="V01",Cadrage!$C$25,IF($B115="V02",Cadrage!$D$25,Cadrage!$E$25)))</f>
        <v>0.035</v>
      </c>
      <c r="Y115">
        <f>IF($A115="","",IF($B115="V01",Cadrage!$C$26,IF($B115="V02",Cadrage!$D$26,Cadrage!$E$26)))</f>
        <v>0.03</v>
      </c>
      <c r="Z115">
        <f>IF($A115="","",IF($B115="V01",Cadrage!$C$27,IF($B115="V02",Cadrage!$D$27,Cadrage!$E$27)))</f>
        <v>0.025</v>
      </c>
      <c r="AA115">
        <f>IF($A115="","",IF($B115="V01",Cadrage!$C$28,IF($B115="V02",Cadrage!$D$28,Cadrage!$E$28)))</f>
        <v>0.015</v>
      </c>
      <c r="AB115">
        <f>IF($A115="","",IF($B115="V01",Cadrage!$C$42,IF($B115="V02",Cadrage!$D$42,Cadrage!$E$42)))</f>
        <v>90</v>
      </c>
      <c r="AC115">
        <f>IF($A115="","",IF($F115="MBWAY",Cadrage!$K$34,IF($F115="ISCOM",Cadrage!$K$35,IF($F115="IPAC",Cadrage!$K$36,IF($F115="PIGIER",Cadrage!$K$37,Cadrage!$K$38)))))</f>
        <v>1.05</v>
      </c>
      <c r="AD115">
        <f t="shared" si="1"/>
        <v>51.5924911451519</v>
      </c>
      <c r="AE115">
        <f t="shared" si="2"/>
        <v>51.5924911451519</v>
      </c>
      <c r="AF115">
        <f t="shared" si="3"/>
        <v>51.5924911451519</v>
      </c>
      <c r="AG115">
        <f t="shared" si="4"/>
        <v>7620.1125</v>
      </c>
      <c r="AH115">
        <f t="shared" si="5"/>
        <v>397783.910884375</v>
      </c>
    </row>
    <row r="116" ht="14.25" customHeight="1">
      <c r="A116" t="str">
        <f>IF(Moteur!D116="","",Moteur!D116)</f>
        <v>TUNON_LYO</v>
      </c>
      <c r="B116" t="str">
        <f>IF(Moteur!B116="","",Moteur!B116)</f>
        <v>V02</v>
      </c>
      <c r="C116" t="str">
        <f>IF(Moteur!F116="","",Moteur!F116)</f>
        <v>BAC_TOU</v>
      </c>
      <c r="D116" t="str">
        <f>IF(Moteur!G116="","",Moteur!G116)</f>
        <v>B2</v>
      </c>
      <c r="E116" t="str">
        <f>IF(Moteur!H116="","",Moteur!H116)</f>
        <v>ALT</v>
      </c>
      <c r="F116" t="str">
        <f>IF(Moteur!E116="","",Moteur!E116)</f>
        <v>TUNON</v>
      </c>
      <c r="G116">
        <f>IF($A116="","",_xlfn.SUMIFS(Socle!$H$1:$H$658,Socle!$C$1:$C$658,$A116,Socle!$D$1:$D$658,$C116,Socle!$E$1:$E$658,$D116,Socle!$F$1:$F$658,$E116,Socle!$G$1:$G$658,"2026"))</f>
        <v>0</v>
      </c>
      <c r="H116">
        <f>IF($A116="","",_xlfn.SUMIFS(Socle!$N$1:$N$658,Socle!$C$1:$C$658,$A116,Socle!$D$1:$D$658,$C116,Socle!$E$1:$E$658,$D116,Socle!$F$1:$F$658,$E116,Socle!$G$1:$G$658,"2026"))</f>
        <v>40</v>
      </c>
      <c r="I116">
        <f>IF($A116="","",_xlfn.SUMIFS(Socle!$P$1:$P$658,Socle!$C$1:$C$658,$A116,Socle!$D$1:$D$658,$C116,Socle!$E$1:$E$658,$D116,Socle!$F$1:$F$658,$E116,Socle!$G$1:$G$658,"2026"))</f>
        <v>7350</v>
      </c>
      <c r="J116">
        <f>IF($A116="","",_xlfn.SUMIFS(Socle!$W$1:$W$658,Socle!$C$1:$C$658,$A116,Socle!$D$1:$D$658,$C116,Socle!$E$1:$E$658,$D116,Socle!$F$1:$F$658,$E116,Socle!$G$1:$G$658,"2026"))</f>
        <v>0</v>
      </c>
      <c r="K116">
        <f>IF($A116="","",_xlfn.SUMIFS(Socle!$X$1:$X$658,Socle!$C$1:$C$658,$A116,Socle!$D$1:$D$658,$C116,Socle!$E$1:$E$658,$D116,Socle!$F$1:$F$658,$E116,Socle!$G$1:$G$658,"2026"))</f>
        <v>0</v>
      </c>
      <c r="L116">
        <f>IF($A116="","",_xlfn.SUMIFS(Socle!$Y$1:$Y$658,Socle!$C$1:$C$658,$A116,Socle!$D$1:$D$658,$C116,Socle!$E$1:$E$658,$D116,Socle!$F$1:$F$658,$E116,Socle!$G$1:$G$658,"2026"))</f>
        <v>0</v>
      </c>
      <c r="M116">
        <f>IF($A116="","",_xlfn.SUMIFS(Socle!$V$1:$V$658,Socle!$C$1:$C$658,$A116,Socle!$D$1:$D$658,$C116,Socle!$E$1:$E$658,$D116,Socle!$F$1:$F$658,$E116,Socle!$G$1:$G$658,"2026"))</f>
        <v>0.975</v>
      </c>
      <c r="N116">
        <f t="shared" si="0"/>
        <v>0</v>
      </c>
      <c r="O116">
        <f>IF($A116="","",_xlfn.SUMIFS(Campagne!$D$1:$D$141,Campagne!$C$1:$C$141,$A116))</f>
        <v>252</v>
      </c>
      <c r="P116">
        <f>IF($A116="","",_xlfn.SUMIFS(Campagne!$E$1:$E$141,Campagne!$C$1:$C$141,$A116))</f>
        <v>428</v>
      </c>
      <c r="Q116">
        <f>IF($A116="","",_xlfn.SUMIFS(Campagne!$F$1:$F$141,Campagne!$C$1:$C$141,$A116))</f>
        <v>680</v>
      </c>
      <c r="R116">
        <f>IF($A116="","",_xlfn.SUMIFS(Campagne!$K$1:$K$141,Campagne!$C$1:$C$141,$A116))</f>
        <v>0.460843562</v>
      </c>
      <c r="S116">
        <f>IF($A116="","",_xlfn.SUMIFS(Campagne!$M$1:$M$141,Campagne!$C$1:$C$141,$A116))</f>
        <v>0.317986245</v>
      </c>
      <c r="T116">
        <f>IF($A116="","",_xlfn.SUMIFS(Pilotage!$K$19:$K$32,Pilotage!$A$19:$A$32,$A116)*_xlfn.SUMIFS(Pilotage!$J$19:$J$32,Pilotage!$A$19:$A$32,$A116)*(SUM(Pilotage!$K$19:$K$32)/SUMPRODUCT(Pilotage!$K$19:$K$32,Pilotage!$J$19:$J$32)))</f>
        <v>18850</v>
      </c>
      <c r="U116">
        <f>IF($A116="","",_xlfn.SUMIFS(Pilotage!$K$19:$K$32,Pilotage!$A$19:$A$32,$A116))</f>
        <v>18850</v>
      </c>
      <c r="V116">
        <f>IF($A116="","",IF($B116="V01",Cadrage!$C$23,IF($B116="V02",Cadrage!$D$23,Cadrage!$E$23)))</f>
        <v>0.15</v>
      </c>
      <c r="W116">
        <f>IF($A116="","",IF($B116="V01",Cadrage!$C$24,IF($B116="V02",Cadrage!$D$24,Cadrage!$E$24)))</f>
        <v>0.15</v>
      </c>
      <c r="X116">
        <f>IF($A116="","",IF($B116="V01",Cadrage!$C$25,IF($B116="V02",Cadrage!$D$25,Cadrage!$E$25)))</f>
        <v>0.035</v>
      </c>
      <c r="Y116">
        <f>IF($A116="","",IF($B116="V01",Cadrage!$C$26,IF($B116="V02",Cadrage!$D$26,Cadrage!$E$26)))</f>
        <v>0.03</v>
      </c>
      <c r="Z116">
        <f>IF($A116="","",IF($B116="V01",Cadrage!$C$27,IF($B116="V02",Cadrage!$D$27,Cadrage!$E$27)))</f>
        <v>0.025</v>
      </c>
      <c r="AA116">
        <f>IF($A116="","",IF($B116="V01",Cadrage!$C$28,IF($B116="V02",Cadrage!$D$28,Cadrage!$E$28)))</f>
        <v>0.015</v>
      </c>
      <c r="AB116">
        <f>IF($A116="","",IF($B116="V01",Cadrage!$C$42,IF($B116="V02",Cadrage!$D$42,Cadrage!$E$42)))</f>
        <v>90</v>
      </c>
      <c r="AC116">
        <f>IF($A116="","",IF($F116="MBWAY",Cadrage!$K$34,IF($F116="ISCOM",Cadrage!$K$35,IF($F116="IPAC",Cadrage!$K$36,IF($F116="PIGIER",Cadrage!$K$37,Cadrage!$K$38)))))</f>
        <v>1.05</v>
      </c>
      <c r="AD116">
        <f t="shared" si="1"/>
        <v>0</v>
      </c>
      <c r="AE116">
        <f t="shared" si="2"/>
        <v>0</v>
      </c>
      <c r="AF116">
        <f t="shared" si="3"/>
        <v>39.6</v>
      </c>
      <c r="AG116">
        <f t="shared" si="4"/>
        <v>7620.1125</v>
      </c>
      <c r="AH116">
        <f t="shared" si="5"/>
        <v>301756.455</v>
      </c>
    </row>
    <row r="117" ht="14.25" customHeight="1">
      <c r="A117" t="str">
        <f>IF(Moteur!D117="","",Moteur!D117)</f>
        <v>TUNON_LYO</v>
      </c>
      <c r="B117" t="str">
        <f>IF(Moteur!B117="","",Moteur!B117)</f>
        <v>V02</v>
      </c>
      <c r="C117" t="str">
        <f>IF(Moteur!F117="","",Moteur!F117)</f>
        <v>BAC_TOU</v>
      </c>
      <c r="D117" t="str">
        <f>IF(Moteur!G117="","",Moteur!G117)</f>
        <v>B3</v>
      </c>
      <c r="E117" t="str">
        <f>IF(Moteur!H117="","",Moteur!H117)</f>
        <v>ALT</v>
      </c>
      <c r="F117" t="str">
        <f>IF(Moteur!E117="","",Moteur!E117)</f>
        <v>TUNON</v>
      </c>
      <c r="G117">
        <f>IF($A117="","",_xlfn.SUMIFS(Socle!$H$1:$H$658,Socle!$C$1:$C$658,$A117,Socle!$D$1:$D$658,$C117,Socle!$E$1:$E$658,$D117,Socle!$F$1:$F$658,$E117,Socle!$G$1:$G$658,"2026"))</f>
        <v>0</v>
      </c>
      <c r="H117">
        <f>IF($A117="","",_xlfn.SUMIFS(Socle!$N$1:$N$658,Socle!$C$1:$C$658,$A117,Socle!$D$1:$D$658,$C117,Socle!$E$1:$E$658,$D117,Socle!$F$1:$F$658,$E117,Socle!$G$1:$G$658,"2026"))</f>
        <v>39</v>
      </c>
      <c r="I117">
        <f>IF($A117="","",_xlfn.SUMIFS(Socle!$P$1:$P$658,Socle!$C$1:$C$658,$A117,Socle!$D$1:$D$658,$C117,Socle!$E$1:$E$658,$D117,Socle!$F$1:$F$658,$E117,Socle!$G$1:$G$658,"2026"))</f>
        <v>7350</v>
      </c>
      <c r="J117">
        <f>IF($A117="","",_xlfn.SUMIFS(Socle!$W$1:$W$658,Socle!$C$1:$C$658,$A117,Socle!$D$1:$D$658,$C117,Socle!$E$1:$E$658,$D117,Socle!$F$1:$F$658,$E117,Socle!$G$1:$G$658,"2026"))</f>
        <v>0</v>
      </c>
      <c r="K117">
        <f>IF($A117="","",_xlfn.SUMIFS(Socle!$X$1:$X$658,Socle!$C$1:$C$658,$A117,Socle!$D$1:$D$658,$C117,Socle!$E$1:$E$658,$D117,Socle!$F$1:$F$658,$E117,Socle!$G$1:$G$658,"2026"))</f>
        <v>0</v>
      </c>
      <c r="L117">
        <f>IF($A117="","",_xlfn.SUMIFS(Socle!$Y$1:$Y$658,Socle!$C$1:$C$658,$A117,Socle!$D$1:$D$658,$C117,Socle!$E$1:$E$658,$D117,Socle!$F$1:$F$658,$E117,Socle!$G$1:$G$658,"2026"))</f>
        <v>0</v>
      </c>
      <c r="M117">
        <f>IF($A117="","",_xlfn.SUMIFS(Socle!$V$1:$V$658,Socle!$C$1:$C$658,$A117,Socle!$D$1:$D$658,$C117,Socle!$E$1:$E$658,$D117,Socle!$F$1:$F$658,$E117,Socle!$G$1:$G$658,"2026"))</f>
        <v>0.974358974</v>
      </c>
      <c r="N117">
        <f t="shared" si="0"/>
        <v>0</v>
      </c>
      <c r="O117">
        <f>IF($A117="","",_xlfn.SUMIFS(Campagne!$D$1:$D$141,Campagne!$C$1:$C$141,$A117))</f>
        <v>252</v>
      </c>
      <c r="P117">
        <f>IF($A117="","",_xlfn.SUMIFS(Campagne!$E$1:$E$141,Campagne!$C$1:$C$141,$A117))</f>
        <v>428</v>
      </c>
      <c r="Q117">
        <f>IF($A117="","",_xlfn.SUMIFS(Campagne!$F$1:$F$141,Campagne!$C$1:$C$141,$A117))</f>
        <v>680</v>
      </c>
      <c r="R117">
        <f>IF($A117="","",_xlfn.SUMIFS(Campagne!$K$1:$K$141,Campagne!$C$1:$C$141,$A117))</f>
        <v>0.460843562</v>
      </c>
      <c r="S117">
        <f>IF($A117="","",_xlfn.SUMIFS(Campagne!$M$1:$M$141,Campagne!$C$1:$C$141,$A117))</f>
        <v>0.317986245</v>
      </c>
      <c r="T117">
        <f>IF($A117="","",_xlfn.SUMIFS(Pilotage!$K$19:$K$32,Pilotage!$A$19:$A$32,$A117)*_xlfn.SUMIFS(Pilotage!$J$19:$J$32,Pilotage!$A$19:$A$32,$A117)*(SUM(Pilotage!$K$19:$K$32)/SUMPRODUCT(Pilotage!$K$19:$K$32,Pilotage!$J$19:$J$32)))</f>
        <v>18850</v>
      </c>
      <c r="U117">
        <f>IF($A117="","",_xlfn.SUMIFS(Pilotage!$K$19:$K$32,Pilotage!$A$19:$A$32,$A117))</f>
        <v>18850</v>
      </c>
      <c r="V117">
        <f>IF($A117="","",IF($B117="V01",Cadrage!$C$23,IF($B117="V02",Cadrage!$D$23,Cadrage!$E$23)))</f>
        <v>0.15</v>
      </c>
      <c r="W117">
        <f>IF($A117="","",IF($B117="V01",Cadrage!$C$24,IF($B117="V02",Cadrage!$D$24,Cadrage!$E$24)))</f>
        <v>0.15</v>
      </c>
      <c r="X117">
        <f>IF($A117="","",IF($B117="V01",Cadrage!$C$25,IF($B117="V02",Cadrage!$D$25,Cadrage!$E$25)))</f>
        <v>0.035</v>
      </c>
      <c r="Y117">
        <f>IF($A117="","",IF($B117="V01",Cadrage!$C$26,IF($B117="V02",Cadrage!$D$26,Cadrage!$E$26)))</f>
        <v>0.03</v>
      </c>
      <c r="Z117">
        <f>IF($A117="","",IF($B117="V01",Cadrage!$C$27,IF($B117="V02",Cadrage!$D$27,Cadrage!$E$27)))</f>
        <v>0.025</v>
      </c>
      <c r="AA117">
        <f>IF($A117="","",IF($B117="V01",Cadrage!$C$28,IF($B117="V02",Cadrage!$D$28,Cadrage!$E$28)))</f>
        <v>0.015</v>
      </c>
      <c r="AB117">
        <f>IF($A117="","",IF($B117="V01",Cadrage!$C$42,IF($B117="V02",Cadrage!$D$42,Cadrage!$E$42)))</f>
        <v>90</v>
      </c>
      <c r="AC117">
        <f>IF($A117="","",IF($F117="MBWAY",Cadrage!$K$34,IF($F117="ISCOM",Cadrage!$K$35,IF($F117="IPAC",Cadrage!$K$36,IF($F117="PIGIER",Cadrage!$K$37,Cadrage!$K$38)))))</f>
        <v>1.05</v>
      </c>
      <c r="AD117">
        <f t="shared" si="1"/>
        <v>0</v>
      </c>
      <c r="AE117">
        <f t="shared" si="2"/>
        <v>0</v>
      </c>
      <c r="AF117">
        <f t="shared" si="3"/>
        <v>38.584999986</v>
      </c>
      <c r="AG117">
        <f t="shared" si="4"/>
        <v>7620.1125</v>
      </c>
      <c r="AH117">
        <f t="shared" si="5"/>
        <v>294022.040705818</v>
      </c>
    </row>
    <row r="118" ht="14.25" customHeight="1">
      <c r="A118" t="str">
        <f>IF(Moteur!D118="","",Moteur!D118)</f>
        <v>PIGIER_BOR</v>
      </c>
      <c r="B118" t="str">
        <f>IF(Moteur!B118="","",Moteur!B118)</f>
        <v>V02</v>
      </c>
      <c r="C118" t="str">
        <f>IF(Moteur!F118="","",Moteur!F118)</f>
        <v>BAC_RH</v>
      </c>
      <c r="D118" t="str">
        <f>IF(Moteur!G118="","",Moteur!G118)</f>
        <v>B2</v>
      </c>
      <c r="E118" t="str">
        <f>IF(Moteur!H118="","",Moteur!H118)</f>
        <v>ALT</v>
      </c>
      <c r="F118" t="str">
        <f>IF(Moteur!E118="","",Moteur!E118)</f>
        <v>PIGIER</v>
      </c>
      <c r="G118">
        <f>IF($A118="","",_xlfn.SUMIFS(Socle!$H$1:$H$658,Socle!$C$1:$C$658,$A118,Socle!$D$1:$D$658,$C118,Socle!$E$1:$E$658,$D118,Socle!$F$1:$F$658,$E118,Socle!$G$1:$G$658,"2026"))</f>
        <v>0</v>
      </c>
      <c r="H118">
        <f>IF($A118="","",_xlfn.SUMIFS(Socle!$N$1:$N$658,Socle!$C$1:$C$658,$A118,Socle!$D$1:$D$658,$C118,Socle!$E$1:$E$658,$D118,Socle!$F$1:$F$658,$E118,Socle!$G$1:$G$658,"2026"))</f>
        <v>36</v>
      </c>
      <c r="I118">
        <f>IF($A118="","",_xlfn.SUMIFS(Socle!$P$1:$P$658,Socle!$C$1:$C$658,$A118,Socle!$D$1:$D$658,$C118,Socle!$E$1:$E$658,$D118,Socle!$F$1:$F$658,$E118,Socle!$G$1:$G$658,"2026"))</f>
        <v>6790</v>
      </c>
      <c r="J118">
        <f>IF($A118="","",_xlfn.SUMIFS(Socle!$W$1:$W$658,Socle!$C$1:$C$658,$A118,Socle!$D$1:$D$658,$C118,Socle!$E$1:$E$658,$D118,Socle!$F$1:$F$658,$E118,Socle!$G$1:$G$658,"2026"))</f>
        <v>0</v>
      </c>
      <c r="K118">
        <f>IF($A118="","",_xlfn.SUMIFS(Socle!$X$1:$X$658,Socle!$C$1:$C$658,$A118,Socle!$D$1:$D$658,$C118,Socle!$E$1:$E$658,$D118,Socle!$F$1:$F$658,$E118,Socle!$G$1:$G$658,"2026"))</f>
        <v>0</v>
      </c>
      <c r="L118">
        <f>IF($A118="","",_xlfn.SUMIFS(Socle!$Y$1:$Y$658,Socle!$C$1:$C$658,$A118,Socle!$D$1:$D$658,$C118,Socle!$E$1:$E$658,$D118,Socle!$F$1:$F$658,$E118,Socle!$G$1:$G$658,"2026"))</f>
        <v>0</v>
      </c>
      <c r="M118">
        <f>IF($A118="","",_xlfn.SUMIFS(Socle!$V$1:$V$658,Socle!$C$1:$C$658,$A118,Socle!$D$1:$D$658,$C118,Socle!$E$1:$E$658,$D118,Socle!$F$1:$F$658,$E118,Socle!$G$1:$G$658,"2026"))</f>
        <v>0.972222222</v>
      </c>
      <c r="N118">
        <f t="shared" si="0"/>
        <v>0</v>
      </c>
      <c r="O118">
        <f>IF($A118="","",_xlfn.SUMIFS(Campagne!$D$1:$D$141,Campagne!$C$1:$C$141,$A118))</f>
        <v>652</v>
      </c>
      <c r="P118">
        <f>IF($A118="","",_xlfn.SUMIFS(Campagne!$E$1:$E$141,Campagne!$C$1:$C$141,$A118))</f>
        <v>578</v>
      </c>
      <c r="Q118">
        <f>IF($A118="","",_xlfn.SUMIFS(Campagne!$F$1:$F$141,Campagne!$C$1:$C$141,$A118))</f>
        <v>1230</v>
      </c>
      <c r="R118">
        <f>IF($A118="","",_xlfn.SUMIFS(Campagne!$K$1:$K$141,Campagne!$C$1:$C$141,$A118))</f>
        <v>0.474596633</v>
      </c>
      <c r="S118">
        <f>IF($A118="","",_xlfn.SUMIFS(Campagne!$M$1:$M$141,Campagne!$C$1:$C$141,$A118))</f>
        <v>0.357573956</v>
      </c>
      <c r="T118">
        <f>IF($A118="","",_xlfn.SUMIFS(Pilotage!$K$19:$K$32,Pilotage!$A$19:$A$32,$A118)*_xlfn.SUMIFS(Pilotage!$J$19:$J$32,Pilotage!$A$19:$A$32,$A118)*(SUM(Pilotage!$K$19:$K$32)/SUMPRODUCT(Pilotage!$K$19:$K$32,Pilotage!$J$19:$J$32)))</f>
        <v>21968</v>
      </c>
      <c r="U118">
        <f>IF($A118="","",_xlfn.SUMIFS(Pilotage!$K$19:$K$32,Pilotage!$A$19:$A$32,$A118))</f>
        <v>21968</v>
      </c>
      <c r="V118">
        <f>IF($A118="","",IF($B118="V01",Cadrage!$C$23,IF($B118="V02",Cadrage!$D$23,Cadrage!$E$23)))</f>
        <v>0.15</v>
      </c>
      <c r="W118">
        <f>IF($A118="","",IF($B118="V01",Cadrage!$C$24,IF($B118="V02",Cadrage!$D$24,Cadrage!$E$24)))</f>
        <v>0.15</v>
      </c>
      <c r="X118">
        <f>IF($A118="","",IF($B118="V01",Cadrage!$C$25,IF($B118="V02",Cadrage!$D$25,Cadrage!$E$25)))</f>
        <v>0.035</v>
      </c>
      <c r="Y118">
        <f>IF($A118="","",IF($B118="V01",Cadrage!$C$26,IF($B118="V02",Cadrage!$D$26,Cadrage!$E$26)))</f>
        <v>0.03</v>
      </c>
      <c r="Z118">
        <f>IF($A118="","",IF($B118="V01",Cadrage!$C$27,IF($B118="V02",Cadrage!$D$27,Cadrage!$E$27)))</f>
        <v>0.025</v>
      </c>
      <c r="AA118">
        <f>IF($A118="","",IF($B118="V01",Cadrage!$C$28,IF($B118="V02",Cadrage!$D$28,Cadrage!$E$28)))</f>
        <v>0.015</v>
      </c>
      <c r="AB118">
        <f>IF($A118="","",IF($B118="V01",Cadrage!$C$42,IF($B118="V02",Cadrage!$D$42,Cadrage!$E$42)))</f>
        <v>90</v>
      </c>
      <c r="AC118">
        <f>IF($A118="","",IF($F118="MBWAY",Cadrage!$K$34,IF($F118="ISCOM",Cadrage!$K$35,IF($F118="IPAC",Cadrage!$K$36,IF($F118="PIGIER",Cadrage!$K$37,Cadrage!$K$38)))))</f>
        <v>0.9</v>
      </c>
      <c r="AD118">
        <f t="shared" si="1"/>
        <v>0</v>
      </c>
      <c r="AE118">
        <f t="shared" si="2"/>
        <v>0</v>
      </c>
      <c r="AF118">
        <f t="shared" si="3"/>
        <v>35.539999992</v>
      </c>
      <c r="AG118">
        <f t="shared" si="4"/>
        <v>7003.885</v>
      </c>
      <c r="AH118">
        <f t="shared" si="5"/>
        <v>248918.072843969</v>
      </c>
    </row>
    <row r="119" ht="14.25" customHeight="1">
      <c r="A119" t="str">
        <f>IF(Moteur!D119="","",Moteur!D119)</f>
        <v>PIGIER_LYO</v>
      </c>
      <c r="B119" t="str">
        <f>IF(Moteur!B119="","",Moteur!B119)</f>
        <v>V02</v>
      </c>
      <c r="C119" t="str">
        <f>IF(Moteur!F119="","",Moteur!F119)</f>
        <v>BAC_RH</v>
      </c>
      <c r="D119" t="str">
        <f>IF(Moteur!G119="","",Moteur!G119)</f>
        <v>B2</v>
      </c>
      <c r="E119" t="str">
        <f>IF(Moteur!H119="","",Moteur!H119)</f>
        <v>ALT</v>
      </c>
      <c r="F119" t="str">
        <f>IF(Moteur!E119="","",Moteur!E119)</f>
        <v>PIGIER</v>
      </c>
      <c r="G119">
        <f>IF($A119="","",_xlfn.SUMIFS(Socle!$H$1:$H$658,Socle!$C$1:$C$658,$A119,Socle!$D$1:$D$658,$C119,Socle!$E$1:$E$658,$D119,Socle!$F$1:$F$658,$E119,Socle!$G$1:$G$658,"2026"))</f>
        <v>0</v>
      </c>
      <c r="H119">
        <f>IF($A119="","",_xlfn.SUMIFS(Socle!$N$1:$N$658,Socle!$C$1:$C$658,$A119,Socle!$D$1:$D$658,$C119,Socle!$E$1:$E$658,$D119,Socle!$F$1:$F$658,$E119,Socle!$G$1:$G$658,"2026"))</f>
        <v>46</v>
      </c>
      <c r="I119">
        <f>IF($A119="","",_xlfn.SUMIFS(Socle!$P$1:$P$658,Socle!$C$1:$C$658,$A119,Socle!$D$1:$D$658,$C119,Socle!$E$1:$E$658,$D119,Socle!$F$1:$F$658,$E119,Socle!$G$1:$G$658,"2026"))</f>
        <v>7350</v>
      </c>
      <c r="J119">
        <f>IF($A119="","",_xlfn.SUMIFS(Socle!$W$1:$W$658,Socle!$C$1:$C$658,$A119,Socle!$D$1:$D$658,$C119,Socle!$E$1:$E$658,$D119,Socle!$F$1:$F$658,$E119,Socle!$G$1:$G$658,"2026"))</f>
        <v>0</v>
      </c>
      <c r="K119">
        <f>IF($A119="","",_xlfn.SUMIFS(Socle!$X$1:$X$658,Socle!$C$1:$C$658,$A119,Socle!$D$1:$D$658,$C119,Socle!$E$1:$E$658,$D119,Socle!$F$1:$F$658,$E119,Socle!$G$1:$G$658,"2026"))</f>
        <v>0</v>
      </c>
      <c r="L119">
        <f>IF($A119="","",_xlfn.SUMIFS(Socle!$Y$1:$Y$658,Socle!$C$1:$C$658,$A119,Socle!$D$1:$D$658,$C119,Socle!$E$1:$E$658,$D119,Socle!$F$1:$F$658,$E119,Socle!$G$1:$G$658,"2026"))</f>
        <v>0</v>
      </c>
      <c r="M119">
        <f>IF($A119="","",_xlfn.SUMIFS(Socle!$V$1:$V$658,Socle!$C$1:$C$658,$A119,Socle!$D$1:$D$658,$C119,Socle!$E$1:$E$658,$D119,Socle!$F$1:$F$658,$E119,Socle!$G$1:$G$658,"2026"))</f>
        <v>0.97826087</v>
      </c>
      <c r="N119">
        <f t="shared" si="0"/>
        <v>0</v>
      </c>
      <c r="O119">
        <f>IF($A119="","",_xlfn.SUMIFS(Campagne!$D$1:$D$141,Campagne!$C$1:$C$141,$A119))</f>
        <v>738</v>
      </c>
      <c r="P119">
        <f>IF($A119="","",_xlfn.SUMIFS(Campagne!$E$1:$E$141,Campagne!$C$1:$C$141,$A119))</f>
        <v>832</v>
      </c>
      <c r="Q119">
        <f>IF($A119="","",_xlfn.SUMIFS(Campagne!$F$1:$F$141,Campagne!$C$1:$C$141,$A119))</f>
        <v>1570</v>
      </c>
      <c r="R119">
        <f>IF($A119="","",_xlfn.SUMIFS(Campagne!$K$1:$K$141,Campagne!$C$1:$C$141,$A119))</f>
        <v>0.440450262</v>
      </c>
      <c r="S119">
        <f>IF($A119="","",_xlfn.SUMIFS(Campagne!$M$1:$M$141,Campagne!$C$1:$C$141,$A119))</f>
        <v>0.343045779</v>
      </c>
      <c r="T119">
        <f>IF($A119="","",_xlfn.SUMIFS(Pilotage!$K$19:$K$32,Pilotage!$A$19:$A$32,$A119)*_xlfn.SUMIFS(Pilotage!$J$19:$J$32,Pilotage!$A$19:$A$32,$A119)*(SUM(Pilotage!$K$19:$K$32)/SUMPRODUCT(Pilotage!$K$19:$K$32,Pilotage!$J$19:$J$32)))</f>
        <v>36612</v>
      </c>
      <c r="U119">
        <f>IF($A119="","",_xlfn.SUMIFS(Pilotage!$K$19:$K$32,Pilotage!$A$19:$A$32,$A119))</f>
        <v>36612</v>
      </c>
      <c r="V119">
        <f>IF($A119="","",IF($B119="V01",Cadrage!$C$23,IF($B119="V02",Cadrage!$D$23,Cadrage!$E$23)))</f>
        <v>0.15</v>
      </c>
      <c r="W119">
        <f>IF($A119="","",IF($B119="V01",Cadrage!$C$24,IF($B119="V02",Cadrage!$D$24,Cadrage!$E$24)))</f>
        <v>0.15</v>
      </c>
      <c r="X119">
        <f>IF($A119="","",IF($B119="V01",Cadrage!$C$25,IF($B119="V02",Cadrage!$D$25,Cadrage!$E$25)))</f>
        <v>0.035</v>
      </c>
      <c r="Y119">
        <f>IF($A119="","",IF($B119="V01",Cadrage!$C$26,IF($B119="V02",Cadrage!$D$26,Cadrage!$E$26)))</f>
        <v>0.03</v>
      </c>
      <c r="Z119">
        <f>IF($A119="","",IF($B119="V01",Cadrage!$C$27,IF($B119="V02",Cadrage!$D$27,Cadrage!$E$27)))</f>
        <v>0.025</v>
      </c>
      <c r="AA119">
        <f>IF($A119="","",IF($B119="V01",Cadrage!$C$28,IF($B119="V02",Cadrage!$D$28,Cadrage!$E$28)))</f>
        <v>0.015</v>
      </c>
      <c r="AB119">
        <f>IF($A119="","",IF($B119="V01",Cadrage!$C$42,IF($B119="V02",Cadrage!$D$42,Cadrage!$E$42)))</f>
        <v>90</v>
      </c>
      <c r="AC119">
        <f>IF($A119="","",IF($F119="MBWAY",Cadrage!$K$34,IF($F119="ISCOM",Cadrage!$K$35,IF($F119="IPAC",Cadrage!$K$36,IF($F119="PIGIER",Cadrage!$K$37,Cadrage!$K$38)))))</f>
        <v>0.9</v>
      </c>
      <c r="AD119">
        <f t="shared" si="1"/>
        <v>0</v>
      </c>
      <c r="AE119">
        <f t="shared" si="2"/>
        <v>0</v>
      </c>
      <c r="AF119">
        <f t="shared" si="3"/>
        <v>45.69000002</v>
      </c>
      <c r="AG119">
        <f t="shared" si="4"/>
        <v>7581.525</v>
      </c>
      <c r="AH119">
        <f t="shared" si="5"/>
        <v>346399.87740163</v>
      </c>
    </row>
    <row r="120" ht="14.25" customHeight="1">
      <c r="A120" t="str">
        <f>IF(Moteur!D120="","",Moteur!D120)</f>
        <v>PIGIER_BOR</v>
      </c>
      <c r="B120" t="str">
        <f>IF(Moteur!B120="","",Moteur!B120)</f>
        <v>V02</v>
      </c>
      <c r="C120" t="str">
        <f>IF(Moteur!F120="","",Moteur!F120)</f>
        <v>BAC_RH</v>
      </c>
      <c r="D120" t="str">
        <f>IF(Moteur!G120="","",Moteur!G120)</f>
        <v>B3</v>
      </c>
      <c r="E120" t="str">
        <f>IF(Moteur!H120="","",Moteur!H120)</f>
        <v>ALT</v>
      </c>
      <c r="F120" t="str">
        <f>IF(Moteur!E120="","",Moteur!E120)</f>
        <v>PIGIER</v>
      </c>
      <c r="G120">
        <f>IF($A120="","",_xlfn.SUMIFS(Socle!$H$1:$H$658,Socle!$C$1:$C$658,$A120,Socle!$D$1:$D$658,$C120,Socle!$E$1:$E$658,$D120,Socle!$F$1:$F$658,$E120,Socle!$G$1:$G$658,"2026"))</f>
        <v>0</v>
      </c>
      <c r="H120">
        <f>IF($A120="","",_xlfn.SUMIFS(Socle!$N$1:$N$658,Socle!$C$1:$C$658,$A120,Socle!$D$1:$D$658,$C120,Socle!$E$1:$E$658,$D120,Socle!$F$1:$F$658,$E120,Socle!$G$1:$G$658,"2026"))</f>
        <v>35</v>
      </c>
      <c r="I120">
        <f>IF($A120="","",_xlfn.SUMIFS(Socle!$P$1:$P$658,Socle!$C$1:$C$658,$A120,Socle!$D$1:$D$658,$C120,Socle!$E$1:$E$658,$D120,Socle!$F$1:$F$658,$E120,Socle!$G$1:$G$658,"2026"))</f>
        <v>6790</v>
      </c>
      <c r="J120">
        <f>IF($A120="","",_xlfn.SUMIFS(Socle!$W$1:$W$658,Socle!$C$1:$C$658,$A120,Socle!$D$1:$D$658,$C120,Socle!$E$1:$E$658,$D120,Socle!$F$1:$F$658,$E120,Socle!$G$1:$G$658,"2026"))</f>
        <v>0</v>
      </c>
      <c r="K120">
        <f>IF($A120="","",_xlfn.SUMIFS(Socle!$X$1:$X$658,Socle!$C$1:$C$658,$A120,Socle!$D$1:$D$658,$C120,Socle!$E$1:$E$658,$D120,Socle!$F$1:$F$658,$E120,Socle!$G$1:$G$658,"2026"))</f>
        <v>0</v>
      </c>
      <c r="L120">
        <f>IF($A120="","",_xlfn.SUMIFS(Socle!$Y$1:$Y$658,Socle!$C$1:$C$658,$A120,Socle!$D$1:$D$658,$C120,Socle!$E$1:$E$658,$D120,Socle!$F$1:$F$658,$E120,Socle!$G$1:$G$658,"2026"))</f>
        <v>0</v>
      </c>
      <c r="M120">
        <f>IF($A120="","",_xlfn.SUMIFS(Socle!$V$1:$V$658,Socle!$C$1:$C$658,$A120,Socle!$D$1:$D$658,$C120,Socle!$E$1:$E$658,$D120,Socle!$F$1:$F$658,$E120,Socle!$G$1:$G$658,"2026"))</f>
        <v>0.971428571</v>
      </c>
      <c r="N120">
        <f t="shared" si="0"/>
        <v>0</v>
      </c>
      <c r="O120">
        <f>IF($A120="","",_xlfn.SUMIFS(Campagne!$D$1:$D$141,Campagne!$C$1:$C$141,$A120))</f>
        <v>652</v>
      </c>
      <c r="P120">
        <f>IF($A120="","",_xlfn.SUMIFS(Campagne!$E$1:$E$141,Campagne!$C$1:$C$141,$A120))</f>
        <v>578</v>
      </c>
      <c r="Q120">
        <f>IF($A120="","",_xlfn.SUMIFS(Campagne!$F$1:$F$141,Campagne!$C$1:$C$141,$A120))</f>
        <v>1230</v>
      </c>
      <c r="R120">
        <f>IF($A120="","",_xlfn.SUMIFS(Campagne!$K$1:$K$141,Campagne!$C$1:$C$141,$A120))</f>
        <v>0.474596633</v>
      </c>
      <c r="S120">
        <f>IF($A120="","",_xlfn.SUMIFS(Campagne!$M$1:$M$141,Campagne!$C$1:$C$141,$A120))</f>
        <v>0.357573956</v>
      </c>
      <c r="T120">
        <f>IF($A120="","",_xlfn.SUMIFS(Pilotage!$K$19:$K$32,Pilotage!$A$19:$A$32,$A120)*_xlfn.SUMIFS(Pilotage!$J$19:$J$32,Pilotage!$A$19:$A$32,$A120)*(SUM(Pilotage!$K$19:$K$32)/SUMPRODUCT(Pilotage!$K$19:$K$32,Pilotage!$J$19:$J$32)))</f>
        <v>21968</v>
      </c>
      <c r="U120">
        <f>IF($A120="","",_xlfn.SUMIFS(Pilotage!$K$19:$K$32,Pilotage!$A$19:$A$32,$A120))</f>
        <v>21968</v>
      </c>
      <c r="V120">
        <f>IF($A120="","",IF($B120="V01",Cadrage!$C$23,IF($B120="V02",Cadrage!$D$23,Cadrage!$E$23)))</f>
        <v>0.15</v>
      </c>
      <c r="W120">
        <f>IF($A120="","",IF($B120="V01",Cadrage!$C$24,IF($B120="V02",Cadrage!$D$24,Cadrage!$E$24)))</f>
        <v>0.15</v>
      </c>
      <c r="X120">
        <f>IF($A120="","",IF($B120="V01",Cadrage!$C$25,IF($B120="V02",Cadrage!$D$25,Cadrage!$E$25)))</f>
        <v>0.035</v>
      </c>
      <c r="Y120">
        <f>IF($A120="","",IF($B120="V01",Cadrage!$C$26,IF($B120="V02",Cadrage!$D$26,Cadrage!$E$26)))</f>
        <v>0.03</v>
      </c>
      <c r="Z120">
        <f>IF($A120="","",IF($B120="V01",Cadrage!$C$27,IF($B120="V02",Cadrage!$D$27,Cadrage!$E$27)))</f>
        <v>0.025</v>
      </c>
      <c r="AA120">
        <f>IF($A120="","",IF($B120="V01",Cadrage!$C$28,IF($B120="V02",Cadrage!$D$28,Cadrage!$E$28)))</f>
        <v>0.015</v>
      </c>
      <c r="AB120">
        <f>IF($A120="","",IF($B120="V01",Cadrage!$C$42,IF($B120="V02",Cadrage!$D$42,Cadrage!$E$42)))</f>
        <v>90</v>
      </c>
      <c r="AC120">
        <f>IF($A120="","",IF($F120="MBWAY",Cadrage!$K$34,IF($F120="ISCOM",Cadrage!$K$35,IF($F120="IPAC",Cadrage!$K$36,IF($F120="PIGIER",Cadrage!$K$37,Cadrage!$K$38)))))</f>
        <v>0.9</v>
      </c>
      <c r="AD120">
        <f t="shared" si="1"/>
        <v>0</v>
      </c>
      <c r="AE120">
        <f t="shared" si="2"/>
        <v>0</v>
      </c>
      <c r="AF120">
        <f t="shared" si="3"/>
        <v>34.524999985</v>
      </c>
      <c r="AG120">
        <f t="shared" si="4"/>
        <v>7003.885</v>
      </c>
      <c r="AH120">
        <f t="shared" si="5"/>
        <v>241809.129519942</v>
      </c>
    </row>
    <row r="121" ht="14.25" customHeight="1">
      <c r="A121" t="str">
        <f>IF(Moteur!D121="","",Moteur!D121)</f>
        <v>PIGIER_LYO</v>
      </c>
      <c r="B121" t="str">
        <f>IF(Moteur!B121="","",Moteur!B121)</f>
        <v>V02</v>
      </c>
      <c r="C121" t="str">
        <f>IF(Moteur!F121="","",Moteur!F121)</f>
        <v>BAC_RH</v>
      </c>
      <c r="D121" t="str">
        <f>IF(Moteur!G121="","",Moteur!G121)</f>
        <v>B3</v>
      </c>
      <c r="E121" t="str">
        <f>IF(Moteur!H121="","",Moteur!H121)</f>
        <v>ALT</v>
      </c>
      <c r="F121" t="str">
        <f>IF(Moteur!E121="","",Moteur!E121)</f>
        <v>PIGIER</v>
      </c>
      <c r="G121">
        <f>IF($A121="","",_xlfn.SUMIFS(Socle!$H$1:$H$658,Socle!$C$1:$C$658,$A121,Socle!$D$1:$D$658,$C121,Socle!$E$1:$E$658,$D121,Socle!$F$1:$F$658,$E121,Socle!$G$1:$G$658,"2026"))</f>
        <v>0</v>
      </c>
      <c r="H121">
        <f>IF($A121="","",_xlfn.SUMIFS(Socle!$N$1:$N$658,Socle!$C$1:$C$658,$A121,Socle!$D$1:$D$658,$C121,Socle!$E$1:$E$658,$D121,Socle!$F$1:$F$658,$E121,Socle!$G$1:$G$658,"2026"))</f>
        <v>45</v>
      </c>
      <c r="I121">
        <f>IF($A121="","",_xlfn.SUMIFS(Socle!$P$1:$P$658,Socle!$C$1:$C$658,$A121,Socle!$D$1:$D$658,$C121,Socle!$E$1:$E$658,$D121,Socle!$F$1:$F$658,$E121,Socle!$G$1:$G$658,"2026"))</f>
        <v>7350</v>
      </c>
      <c r="J121">
        <f>IF($A121="","",_xlfn.SUMIFS(Socle!$W$1:$W$658,Socle!$C$1:$C$658,$A121,Socle!$D$1:$D$658,$C121,Socle!$E$1:$E$658,$D121,Socle!$F$1:$F$658,$E121,Socle!$G$1:$G$658,"2026"))</f>
        <v>0</v>
      </c>
      <c r="K121">
        <f>IF($A121="","",_xlfn.SUMIFS(Socle!$X$1:$X$658,Socle!$C$1:$C$658,$A121,Socle!$D$1:$D$658,$C121,Socle!$E$1:$E$658,$D121,Socle!$F$1:$F$658,$E121,Socle!$G$1:$G$658,"2026"))</f>
        <v>0</v>
      </c>
      <c r="L121">
        <f>IF($A121="","",_xlfn.SUMIFS(Socle!$Y$1:$Y$658,Socle!$C$1:$C$658,$A121,Socle!$D$1:$D$658,$C121,Socle!$E$1:$E$658,$D121,Socle!$F$1:$F$658,$E121,Socle!$G$1:$G$658,"2026"))</f>
        <v>0</v>
      </c>
      <c r="M121">
        <f>IF($A121="","",_xlfn.SUMIFS(Socle!$V$1:$V$658,Socle!$C$1:$C$658,$A121,Socle!$D$1:$D$658,$C121,Socle!$E$1:$E$658,$D121,Socle!$F$1:$F$658,$E121,Socle!$G$1:$G$658,"2026"))</f>
        <v>0.977777778</v>
      </c>
      <c r="N121">
        <f t="shared" si="0"/>
        <v>0</v>
      </c>
      <c r="O121">
        <f>IF($A121="","",_xlfn.SUMIFS(Campagne!$D$1:$D$141,Campagne!$C$1:$C$141,$A121))</f>
        <v>738</v>
      </c>
      <c r="P121">
        <f>IF($A121="","",_xlfn.SUMIFS(Campagne!$E$1:$E$141,Campagne!$C$1:$C$141,$A121))</f>
        <v>832</v>
      </c>
      <c r="Q121">
        <f>IF($A121="","",_xlfn.SUMIFS(Campagne!$F$1:$F$141,Campagne!$C$1:$C$141,$A121))</f>
        <v>1570</v>
      </c>
      <c r="R121">
        <f>IF($A121="","",_xlfn.SUMIFS(Campagne!$K$1:$K$141,Campagne!$C$1:$C$141,$A121))</f>
        <v>0.440450262</v>
      </c>
      <c r="S121">
        <f>IF($A121="","",_xlfn.SUMIFS(Campagne!$M$1:$M$141,Campagne!$C$1:$C$141,$A121))</f>
        <v>0.343045779</v>
      </c>
      <c r="T121">
        <f>IF($A121="","",_xlfn.SUMIFS(Pilotage!$K$19:$K$32,Pilotage!$A$19:$A$32,$A121)*_xlfn.SUMIFS(Pilotage!$J$19:$J$32,Pilotage!$A$19:$A$32,$A121)*(SUM(Pilotage!$K$19:$K$32)/SUMPRODUCT(Pilotage!$K$19:$K$32,Pilotage!$J$19:$J$32)))</f>
        <v>36612</v>
      </c>
      <c r="U121">
        <f>IF($A121="","",_xlfn.SUMIFS(Pilotage!$K$19:$K$32,Pilotage!$A$19:$A$32,$A121))</f>
        <v>36612</v>
      </c>
      <c r="V121">
        <f>IF($A121="","",IF($B121="V01",Cadrage!$C$23,IF($B121="V02",Cadrage!$D$23,Cadrage!$E$23)))</f>
        <v>0.15</v>
      </c>
      <c r="W121">
        <f>IF($A121="","",IF($B121="V01",Cadrage!$C$24,IF($B121="V02",Cadrage!$D$24,Cadrage!$E$24)))</f>
        <v>0.15</v>
      </c>
      <c r="X121">
        <f>IF($A121="","",IF($B121="V01",Cadrage!$C$25,IF($B121="V02",Cadrage!$D$25,Cadrage!$E$25)))</f>
        <v>0.035</v>
      </c>
      <c r="Y121">
        <f>IF($A121="","",IF($B121="V01",Cadrage!$C$26,IF($B121="V02",Cadrage!$D$26,Cadrage!$E$26)))</f>
        <v>0.03</v>
      </c>
      <c r="Z121">
        <f>IF($A121="","",IF($B121="V01",Cadrage!$C$27,IF($B121="V02",Cadrage!$D$27,Cadrage!$E$27)))</f>
        <v>0.025</v>
      </c>
      <c r="AA121">
        <f>IF($A121="","",IF($B121="V01",Cadrage!$C$28,IF($B121="V02",Cadrage!$D$28,Cadrage!$E$28)))</f>
        <v>0.015</v>
      </c>
      <c r="AB121">
        <f>IF($A121="","",IF($B121="V01",Cadrage!$C$42,IF($B121="V02",Cadrage!$D$42,Cadrage!$E$42)))</f>
        <v>90</v>
      </c>
      <c r="AC121">
        <f>IF($A121="","",IF($F121="MBWAY",Cadrage!$K$34,IF($F121="ISCOM",Cadrage!$K$35,IF($F121="IPAC",Cadrage!$K$36,IF($F121="PIGIER",Cadrage!$K$37,Cadrage!$K$38)))))</f>
        <v>0.9</v>
      </c>
      <c r="AD121">
        <f t="shared" si="1"/>
        <v>0</v>
      </c>
      <c r="AE121">
        <f t="shared" si="2"/>
        <v>0</v>
      </c>
      <c r="AF121">
        <f t="shared" si="3"/>
        <v>44.67500001</v>
      </c>
      <c r="AG121">
        <f t="shared" si="4"/>
        <v>7581.525</v>
      </c>
      <c r="AH121">
        <f t="shared" si="5"/>
        <v>338704.629450815</v>
      </c>
    </row>
    <row r="122" ht="14.25" customHeight="1">
      <c r="A122" t="str">
        <f>IF(Moteur!D122="","",Moteur!D122)</f>
        <v>MBWAY_PAR</v>
      </c>
      <c r="B122" t="str">
        <f>IF(Moteur!B122="","",Moteur!B122)</f>
        <v>V03</v>
      </c>
      <c r="C122" t="str">
        <f>IF(Moteur!F122="","",Moteur!F122)</f>
        <v>BAC_MGT</v>
      </c>
      <c r="D122" t="str">
        <f>IF(Moteur!G122="","",Moteur!G122)</f>
        <v>B1</v>
      </c>
      <c r="E122" t="str">
        <f>IF(Moteur!H122="","",Moteur!H122)</f>
        <v>INIT</v>
      </c>
      <c r="F122" t="str">
        <f>IF(Moteur!E122="","",Moteur!E122)</f>
        <v>MBWAY</v>
      </c>
      <c r="G122">
        <f>IF($A122="","",_xlfn.SUMIFS(Socle!$H$1:$H$658,Socle!$C$1:$C$658,$A122,Socle!$D$1:$D$658,$C122,Socle!$E$1:$E$658,$D122,Socle!$F$1:$F$658,$E122,Socle!$G$1:$G$658,"2026"))</f>
        <v>646</v>
      </c>
      <c r="H122">
        <f>IF($A122="","",_xlfn.SUMIFS(Socle!$N$1:$N$658,Socle!$C$1:$C$658,$A122,Socle!$D$1:$D$658,$C122,Socle!$E$1:$E$658,$D122,Socle!$F$1:$F$658,$E122,Socle!$G$1:$G$658,"2026"))</f>
        <v>0</v>
      </c>
      <c r="I122">
        <f>IF($A122="","",_xlfn.SUMIFS(Socle!$P$1:$P$658,Socle!$C$1:$C$658,$A122,Socle!$D$1:$D$658,$C122,Socle!$E$1:$E$658,$D122,Socle!$F$1:$F$658,$E122,Socle!$G$1:$G$658,"2026"))</f>
        <v>8400</v>
      </c>
      <c r="J122">
        <f>IF($A122="","",_xlfn.SUMIFS(Socle!$W$1:$W$658,Socle!$C$1:$C$658,$A122,Socle!$D$1:$D$658,$C122,Socle!$E$1:$E$658,$D122,Socle!$F$1:$F$658,$E122,Socle!$G$1:$G$658,"2026"))</f>
        <v>0.280185759</v>
      </c>
      <c r="K122">
        <f>IF($A122="","",_xlfn.SUMIFS(Socle!$X$1:$X$658,Socle!$C$1:$C$658,$A122,Socle!$D$1:$D$658,$C122,Socle!$E$1:$E$658,$D122,Socle!$F$1:$F$658,$E122,Socle!$G$1:$G$658,"2026"))</f>
        <v>0.718232044</v>
      </c>
      <c r="L122">
        <f>IF($A122="","",_xlfn.SUMIFS(Socle!$Y$1:$Y$658,Socle!$C$1:$C$658,$A122,Socle!$D$1:$D$658,$C122,Socle!$E$1:$E$658,$D122,Socle!$F$1:$F$658,$E122,Socle!$G$1:$G$658,"2026"))</f>
        <v>0.6</v>
      </c>
      <c r="M122">
        <f>IF($A122="","",_xlfn.SUMIFS(Socle!$V$1:$V$658,Socle!$C$1:$C$658,$A122,Socle!$D$1:$D$658,$C122,Socle!$E$1:$E$658,$D122,Socle!$F$1:$F$658,$E122,Socle!$G$1:$G$658,"2026"))</f>
        <v>0</v>
      </c>
      <c r="N122">
        <f t="shared" si="0"/>
        <v>1</v>
      </c>
      <c r="O122">
        <f>IF($A122="","",_xlfn.SUMIFS(Campagne!$D$1:$D$141,Campagne!$C$1:$C$141,$A122))</f>
        <v>711</v>
      </c>
      <c r="P122">
        <f>IF($A122="","",_xlfn.SUMIFS(Campagne!$E$1:$E$141,Campagne!$C$1:$C$141,$A122))</f>
        <v>1265</v>
      </c>
      <c r="Q122">
        <f>IF($A122="","",_xlfn.SUMIFS(Campagne!$F$1:$F$141,Campagne!$C$1:$C$141,$A122))</f>
        <v>1976</v>
      </c>
      <c r="R122">
        <f>IF($A122="","",_xlfn.SUMIFS(Campagne!$K$1:$K$141,Campagne!$C$1:$C$141,$A122))</f>
        <v>0.463595949</v>
      </c>
      <c r="S122">
        <f>IF($A122="","",_xlfn.SUMIFS(Campagne!$M$1:$M$141,Campagne!$C$1:$C$141,$A122))</f>
        <v>0.308054121</v>
      </c>
      <c r="T122">
        <f>IF($A122="","",_xlfn.SUMIFS(Pilotage!$K$19:$K$32,Pilotage!$A$19:$A$32,$A122)*_xlfn.SUMIFS(Pilotage!$J$19:$J$32,Pilotage!$A$19:$A$32,$A122)*(SUM(Pilotage!$K$19:$K$32)/SUMPRODUCT(Pilotage!$K$19:$K$32,Pilotage!$J$19:$J$32)))</f>
        <v>68291</v>
      </c>
      <c r="U122">
        <f>IF($A122="","",_xlfn.SUMIFS(Pilotage!$K$19:$K$32,Pilotage!$A$19:$A$32,$A122))</f>
        <v>68291</v>
      </c>
      <c r="V122">
        <f>IF($A122="","",IF($B122="V01",Cadrage!$C$23,IF($B122="V02",Cadrage!$D$23,Cadrage!$E$23)))</f>
        <v>-0.05</v>
      </c>
      <c r="W122">
        <f>IF($A122="","",IF($B122="V01",Cadrage!$C$24,IF($B122="V02",Cadrage!$D$24,Cadrage!$E$24)))</f>
        <v>-0.05</v>
      </c>
      <c r="X122">
        <f>IF($A122="","",IF($B122="V01",Cadrage!$C$25,IF($B122="V02",Cadrage!$D$25,Cadrage!$E$25)))</f>
        <v>0.02</v>
      </c>
      <c r="Y122">
        <f>IF($A122="","",IF($B122="V01",Cadrage!$C$26,IF($B122="V02",Cadrage!$D$26,Cadrage!$E$26)))</f>
        <v>-0.01</v>
      </c>
      <c r="Z122">
        <f>IF($A122="","",IF($B122="V01",Cadrage!$C$27,IF($B122="V02",Cadrage!$D$27,Cadrage!$E$27)))</f>
        <v>-0.01</v>
      </c>
      <c r="AA122">
        <f>IF($A122="","",IF($B122="V01",Cadrage!$C$28,IF($B122="V02",Cadrage!$D$28,Cadrage!$E$28)))</f>
        <v>-0.01</v>
      </c>
      <c r="AB122">
        <f>IF($A122="","",IF($B122="V01",Cadrage!$C$42,IF($B122="V02",Cadrage!$D$42,Cadrage!$E$42)))</f>
        <v>90</v>
      </c>
      <c r="AC122">
        <f>IF($A122="","",IF($F122="MBWAY",Cadrage!$K$34,IF($F122="ISCOM",Cadrage!$K$35,IF($F122="IPAC",Cadrage!$K$36,IF($F122="PIGIER",Cadrage!$K$37,Cadrage!$K$38)))))</f>
        <v>1.2</v>
      </c>
      <c r="AD122">
        <f t="shared" si="1"/>
        <v>72.4326606009087</v>
      </c>
      <c r="AE122">
        <f t="shared" si="2"/>
        <v>72.4326606009087</v>
      </c>
      <c r="AF122">
        <f t="shared" si="3"/>
        <v>72.4326606009087</v>
      </c>
      <c r="AG122">
        <f t="shared" si="4"/>
        <v>8601.6</v>
      </c>
      <c r="AH122">
        <f t="shared" si="5"/>
        <v>629555.712878858</v>
      </c>
    </row>
    <row r="123" ht="14.25" customHeight="1">
      <c r="A123" t="str">
        <f>IF(Moteur!D123="","",Moteur!D123)</f>
        <v>MBWAY_PAR</v>
      </c>
      <c r="B123" t="str">
        <f>IF(Moteur!B123="","",Moteur!B123)</f>
        <v>V03</v>
      </c>
      <c r="C123" t="str">
        <f>IF(Moteur!F123="","",Moteur!F123)</f>
        <v>BAC_MGT</v>
      </c>
      <c r="D123" t="str">
        <f>IF(Moteur!G123="","",Moteur!G123)</f>
        <v>B2</v>
      </c>
      <c r="E123" t="str">
        <f>IF(Moteur!H123="","",Moteur!H123)</f>
        <v>ALT</v>
      </c>
      <c r="F123" t="str">
        <f>IF(Moteur!E123="","",Moteur!E123)</f>
        <v>MBWAY</v>
      </c>
      <c r="G123">
        <f>IF($A123="","",_xlfn.SUMIFS(Socle!$H$1:$H$658,Socle!$C$1:$C$658,$A123,Socle!$D$1:$D$658,$C123,Socle!$E$1:$E$658,$D123,Socle!$F$1:$F$658,$E123,Socle!$G$1:$G$658,"2026"))</f>
        <v>0</v>
      </c>
      <c r="H123">
        <f>IF($A123="","",_xlfn.SUMIFS(Socle!$N$1:$N$658,Socle!$C$1:$C$658,$A123,Socle!$D$1:$D$658,$C123,Socle!$E$1:$E$658,$D123,Socle!$F$1:$F$658,$E123,Socle!$G$1:$G$658,"2026"))</f>
        <v>78</v>
      </c>
      <c r="I123">
        <f>IF($A123="","",_xlfn.SUMIFS(Socle!$P$1:$P$658,Socle!$C$1:$C$658,$A123,Socle!$D$1:$D$658,$C123,Socle!$E$1:$E$658,$D123,Socle!$F$1:$F$658,$E123,Socle!$G$1:$G$658,"2026"))</f>
        <v>7840</v>
      </c>
      <c r="J123">
        <f>IF($A123="","",_xlfn.SUMIFS(Socle!$W$1:$W$658,Socle!$C$1:$C$658,$A123,Socle!$D$1:$D$658,$C123,Socle!$E$1:$E$658,$D123,Socle!$F$1:$F$658,$E123,Socle!$G$1:$G$658,"2026"))</f>
        <v>0</v>
      </c>
      <c r="K123">
        <f>IF($A123="","",_xlfn.SUMIFS(Socle!$X$1:$X$658,Socle!$C$1:$C$658,$A123,Socle!$D$1:$D$658,$C123,Socle!$E$1:$E$658,$D123,Socle!$F$1:$F$658,$E123,Socle!$G$1:$G$658,"2026"))</f>
        <v>0</v>
      </c>
      <c r="L123">
        <f>IF($A123="","",_xlfn.SUMIFS(Socle!$Y$1:$Y$658,Socle!$C$1:$C$658,$A123,Socle!$D$1:$D$658,$C123,Socle!$E$1:$E$658,$D123,Socle!$F$1:$F$658,$E123,Socle!$G$1:$G$658,"2026"))</f>
        <v>0</v>
      </c>
      <c r="M123">
        <f>IF($A123="","",_xlfn.SUMIFS(Socle!$V$1:$V$658,Socle!$C$1:$C$658,$A123,Socle!$D$1:$D$658,$C123,Socle!$E$1:$E$658,$D123,Socle!$F$1:$F$658,$E123,Socle!$G$1:$G$658,"2026"))</f>
        <v>0.974358974</v>
      </c>
      <c r="N123">
        <f t="shared" si="0"/>
        <v>0</v>
      </c>
      <c r="O123">
        <f>IF($A123="","",_xlfn.SUMIFS(Campagne!$D$1:$D$141,Campagne!$C$1:$C$141,$A123))</f>
        <v>711</v>
      </c>
      <c r="P123">
        <f>IF($A123="","",_xlfn.SUMIFS(Campagne!$E$1:$E$141,Campagne!$C$1:$C$141,$A123))</f>
        <v>1265</v>
      </c>
      <c r="Q123">
        <f>IF($A123="","",_xlfn.SUMIFS(Campagne!$F$1:$F$141,Campagne!$C$1:$C$141,$A123))</f>
        <v>1976</v>
      </c>
      <c r="R123">
        <f>IF($A123="","",_xlfn.SUMIFS(Campagne!$K$1:$K$141,Campagne!$C$1:$C$141,$A123))</f>
        <v>0.463595949</v>
      </c>
      <c r="S123">
        <f>IF($A123="","",_xlfn.SUMIFS(Campagne!$M$1:$M$141,Campagne!$C$1:$C$141,$A123))</f>
        <v>0.308054121</v>
      </c>
      <c r="T123">
        <f>IF($A123="","",_xlfn.SUMIFS(Pilotage!$K$19:$K$32,Pilotage!$A$19:$A$32,$A123)*_xlfn.SUMIFS(Pilotage!$J$19:$J$32,Pilotage!$A$19:$A$32,$A123)*(SUM(Pilotage!$K$19:$K$32)/SUMPRODUCT(Pilotage!$K$19:$K$32,Pilotage!$J$19:$J$32)))</f>
        <v>68291</v>
      </c>
      <c r="U123">
        <f>IF($A123="","",_xlfn.SUMIFS(Pilotage!$K$19:$K$32,Pilotage!$A$19:$A$32,$A123))</f>
        <v>68291</v>
      </c>
      <c r="V123">
        <f>IF($A123="","",IF($B123="V01",Cadrage!$C$23,IF($B123="V02",Cadrage!$D$23,Cadrage!$E$23)))</f>
        <v>-0.05</v>
      </c>
      <c r="W123">
        <f>IF($A123="","",IF($B123="V01",Cadrage!$C$24,IF($B123="V02",Cadrage!$D$24,Cadrage!$E$24)))</f>
        <v>-0.05</v>
      </c>
      <c r="X123">
        <f>IF($A123="","",IF($B123="V01",Cadrage!$C$25,IF($B123="V02",Cadrage!$D$25,Cadrage!$E$25)))</f>
        <v>0.02</v>
      </c>
      <c r="Y123">
        <f>IF($A123="","",IF($B123="V01",Cadrage!$C$26,IF($B123="V02",Cadrage!$D$26,Cadrage!$E$26)))</f>
        <v>-0.01</v>
      </c>
      <c r="Z123">
        <f>IF($A123="","",IF($B123="V01",Cadrage!$C$27,IF($B123="V02",Cadrage!$D$27,Cadrage!$E$27)))</f>
        <v>-0.01</v>
      </c>
      <c r="AA123">
        <f>IF($A123="","",IF($B123="V01",Cadrage!$C$28,IF($B123="V02",Cadrage!$D$28,Cadrage!$E$28)))</f>
        <v>-0.01</v>
      </c>
      <c r="AB123">
        <f>IF($A123="","",IF($B123="V01",Cadrage!$C$42,IF($B123="V02",Cadrage!$D$42,Cadrage!$E$42)))</f>
        <v>90</v>
      </c>
      <c r="AC123">
        <f>IF($A123="","",IF($F123="MBWAY",Cadrage!$K$34,IF($F123="ISCOM",Cadrage!$K$35,IF($F123="IPAC",Cadrage!$K$36,IF($F123="PIGIER",Cadrage!$K$37,Cadrage!$K$38)))))</f>
        <v>1.2</v>
      </c>
      <c r="AD123">
        <f t="shared" si="1"/>
        <v>0</v>
      </c>
      <c r="AE123">
        <f t="shared" si="2"/>
        <v>0</v>
      </c>
      <c r="AF123">
        <f t="shared" si="3"/>
        <v>75.219999972</v>
      </c>
      <c r="AG123">
        <f t="shared" si="4"/>
        <v>8028.16</v>
      </c>
      <c r="AH123">
        <f t="shared" si="5"/>
        <v>603878.194975212</v>
      </c>
    </row>
    <row r="124" ht="14.25" customHeight="1">
      <c r="A124" t="str">
        <f>IF(Moteur!D124="","",Moteur!D124)</f>
        <v>MBWAY_PAR</v>
      </c>
      <c r="B124" t="str">
        <f>IF(Moteur!B124="","",Moteur!B124)</f>
        <v>V03</v>
      </c>
      <c r="C124" t="str">
        <f>IF(Moteur!F124="","",Moteur!F124)</f>
        <v>BAC_MGT</v>
      </c>
      <c r="D124" t="str">
        <f>IF(Moteur!G124="","",Moteur!G124)</f>
        <v>B3</v>
      </c>
      <c r="E124" t="str">
        <f>IF(Moteur!H124="","",Moteur!H124)</f>
        <v>ALT</v>
      </c>
      <c r="F124" t="str">
        <f>IF(Moteur!E124="","",Moteur!E124)</f>
        <v>MBWAY</v>
      </c>
      <c r="G124">
        <f>IF($A124="","",_xlfn.SUMIFS(Socle!$H$1:$H$658,Socle!$C$1:$C$658,$A124,Socle!$D$1:$D$658,$C124,Socle!$E$1:$E$658,$D124,Socle!$F$1:$F$658,$E124,Socle!$G$1:$G$658,"2026"))</f>
        <v>0</v>
      </c>
      <c r="H124">
        <f>IF($A124="","",_xlfn.SUMIFS(Socle!$N$1:$N$658,Socle!$C$1:$C$658,$A124,Socle!$D$1:$D$658,$C124,Socle!$E$1:$E$658,$D124,Socle!$F$1:$F$658,$E124,Socle!$G$1:$G$658,"2026"))</f>
        <v>76</v>
      </c>
      <c r="I124">
        <f>IF($A124="","",_xlfn.SUMIFS(Socle!$P$1:$P$658,Socle!$C$1:$C$658,$A124,Socle!$D$1:$D$658,$C124,Socle!$E$1:$E$658,$D124,Socle!$F$1:$F$658,$E124,Socle!$G$1:$G$658,"2026"))</f>
        <v>7840</v>
      </c>
      <c r="J124">
        <f>IF($A124="","",_xlfn.SUMIFS(Socle!$W$1:$W$658,Socle!$C$1:$C$658,$A124,Socle!$D$1:$D$658,$C124,Socle!$E$1:$E$658,$D124,Socle!$F$1:$F$658,$E124,Socle!$G$1:$G$658,"2026"))</f>
        <v>0</v>
      </c>
      <c r="K124">
        <f>IF($A124="","",_xlfn.SUMIFS(Socle!$X$1:$X$658,Socle!$C$1:$C$658,$A124,Socle!$D$1:$D$658,$C124,Socle!$E$1:$E$658,$D124,Socle!$F$1:$F$658,$E124,Socle!$G$1:$G$658,"2026"))</f>
        <v>0</v>
      </c>
      <c r="L124">
        <f>IF($A124="","",_xlfn.SUMIFS(Socle!$Y$1:$Y$658,Socle!$C$1:$C$658,$A124,Socle!$D$1:$D$658,$C124,Socle!$E$1:$E$658,$D124,Socle!$F$1:$F$658,$E124,Socle!$G$1:$G$658,"2026"))</f>
        <v>0</v>
      </c>
      <c r="M124">
        <f>IF($A124="","",_xlfn.SUMIFS(Socle!$V$1:$V$658,Socle!$C$1:$C$658,$A124,Socle!$D$1:$D$658,$C124,Socle!$E$1:$E$658,$D124,Socle!$F$1:$F$658,$E124,Socle!$G$1:$G$658,"2026"))</f>
        <v>0.973684211</v>
      </c>
      <c r="N124">
        <f t="shared" si="0"/>
        <v>0</v>
      </c>
      <c r="O124">
        <f>IF($A124="","",_xlfn.SUMIFS(Campagne!$D$1:$D$141,Campagne!$C$1:$C$141,$A124))</f>
        <v>711</v>
      </c>
      <c r="P124">
        <f>IF($A124="","",_xlfn.SUMIFS(Campagne!$E$1:$E$141,Campagne!$C$1:$C$141,$A124))</f>
        <v>1265</v>
      </c>
      <c r="Q124">
        <f>IF($A124="","",_xlfn.SUMIFS(Campagne!$F$1:$F$141,Campagne!$C$1:$C$141,$A124))</f>
        <v>1976</v>
      </c>
      <c r="R124">
        <f>IF($A124="","",_xlfn.SUMIFS(Campagne!$K$1:$K$141,Campagne!$C$1:$C$141,$A124))</f>
        <v>0.463595949</v>
      </c>
      <c r="S124">
        <f>IF($A124="","",_xlfn.SUMIFS(Campagne!$M$1:$M$141,Campagne!$C$1:$C$141,$A124))</f>
        <v>0.308054121</v>
      </c>
      <c r="T124">
        <f>IF($A124="","",_xlfn.SUMIFS(Pilotage!$K$19:$K$32,Pilotage!$A$19:$A$32,$A124)*_xlfn.SUMIFS(Pilotage!$J$19:$J$32,Pilotage!$A$19:$A$32,$A124)*(SUM(Pilotage!$K$19:$K$32)/SUMPRODUCT(Pilotage!$K$19:$K$32,Pilotage!$J$19:$J$32)))</f>
        <v>68291</v>
      </c>
      <c r="U124">
        <f>IF($A124="","",_xlfn.SUMIFS(Pilotage!$K$19:$K$32,Pilotage!$A$19:$A$32,$A124))</f>
        <v>68291</v>
      </c>
      <c r="V124">
        <f>IF($A124="","",IF($B124="V01",Cadrage!$C$23,IF($B124="V02",Cadrage!$D$23,Cadrage!$E$23)))</f>
        <v>-0.05</v>
      </c>
      <c r="W124">
        <f>IF($A124="","",IF($B124="V01",Cadrage!$C$24,IF($B124="V02",Cadrage!$D$24,Cadrage!$E$24)))</f>
        <v>-0.05</v>
      </c>
      <c r="X124">
        <f>IF($A124="","",IF($B124="V01",Cadrage!$C$25,IF($B124="V02",Cadrage!$D$25,Cadrage!$E$25)))</f>
        <v>0.02</v>
      </c>
      <c r="Y124">
        <f>IF($A124="","",IF($B124="V01",Cadrage!$C$26,IF($B124="V02",Cadrage!$D$26,Cadrage!$E$26)))</f>
        <v>-0.01</v>
      </c>
      <c r="Z124">
        <f>IF($A124="","",IF($B124="V01",Cadrage!$C$27,IF($B124="V02",Cadrage!$D$27,Cadrage!$E$27)))</f>
        <v>-0.01</v>
      </c>
      <c r="AA124">
        <f>IF($A124="","",IF($B124="V01",Cadrage!$C$28,IF($B124="V02",Cadrage!$D$28,Cadrage!$E$28)))</f>
        <v>-0.01</v>
      </c>
      <c r="AB124">
        <f>IF($A124="","",IF($B124="V01",Cadrage!$C$42,IF($B124="V02",Cadrage!$D$42,Cadrage!$E$42)))</f>
        <v>90</v>
      </c>
      <c r="AC124">
        <f>IF($A124="","",IF($F124="MBWAY",Cadrage!$K$34,IF($F124="ISCOM",Cadrage!$K$35,IF($F124="IPAC",Cadrage!$K$36,IF($F124="PIGIER",Cadrage!$K$37,Cadrage!$K$38)))))</f>
        <v>1.2</v>
      </c>
      <c r="AD124">
        <f t="shared" si="1"/>
        <v>0</v>
      </c>
      <c r="AE124">
        <f t="shared" si="2"/>
        <v>0</v>
      </c>
      <c r="AF124">
        <f t="shared" si="3"/>
        <v>73.240000036</v>
      </c>
      <c r="AG124">
        <f t="shared" si="4"/>
        <v>8028.16</v>
      </c>
      <c r="AH124">
        <f t="shared" si="5"/>
        <v>587982.438689014</v>
      </c>
    </row>
    <row r="125" ht="14.25" customHeight="1">
      <c r="A125" t="str">
        <f>IF(Moteur!D125="","",Moteur!D125)</f>
        <v>MBWAY_PAR</v>
      </c>
      <c r="B125" t="str">
        <f>IF(Moteur!B125="","",Moteur!B125)</f>
        <v>V03</v>
      </c>
      <c r="C125" t="str">
        <f>IF(Moteur!F125="","",Moteur!F125)</f>
        <v>MAS_MGT</v>
      </c>
      <c r="D125" t="str">
        <f>IF(Moteur!G125="","",Moteur!G125)</f>
        <v>M1</v>
      </c>
      <c r="E125" t="str">
        <f>IF(Moteur!H125="","",Moteur!H125)</f>
        <v>ALT</v>
      </c>
      <c r="F125" t="str">
        <f>IF(Moteur!E125="","",Moteur!E125)</f>
        <v>MBWAY</v>
      </c>
      <c r="G125">
        <f>IF($A125="","",_xlfn.SUMIFS(Socle!$H$1:$H$658,Socle!$C$1:$C$658,$A125,Socle!$D$1:$D$658,$C125,Socle!$E$1:$E$658,$D125,Socle!$F$1:$F$658,$E125,Socle!$G$1:$G$658,"2026"))</f>
        <v>1330</v>
      </c>
      <c r="H125">
        <f>IF($A125="","",_xlfn.SUMIFS(Socle!$N$1:$N$658,Socle!$C$1:$C$658,$A125,Socle!$D$1:$D$658,$C125,Socle!$E$1:$E$658,$D125,Socle!$F$1:$F$658,$E125,Socle!$G$1:$G$658,"2026"))</f>
        <v>0</v>
      </c>
      <c r="I125">
        <f>IF($A125="","",_xlfn.SUMIFS(Socle!$P$1:$P$658,Socle!$C$1:$C$658,$A125,Socle!$D$1:$D$658,$C125,Socle!$E$1:$E$658,$D125,Socle!$F$1:$F$658,$E125,Socle!$G$1:$G$658,"2026"))</f>
        <v>8400</v>
      </c>
      <c r="J125">
        <f>IF($A125="","",_xlfn.SUMIFS(Socle!$W$1:$W$658,Socle!$C$1:$C$658,$A125,Socle!$D$1:$D$658,$C125,Socle!$E$1:$E$658,$D125,Socle!$F$1:$F$658,$E125,Socle!$G$1:$G$658,"2026"))</f>
        <v>0.2</v>
      </c>
      <c r="K125">
        <f>IF($A125="","",_xlfn.SUMIFS(Socle!$X$1:$X$658,Socle!$C$1:$C$658,$A125,Socle!$D$1:$D$658,$C125,Socle!$E$1:$E$658,$D125,Socle!$F$1:$F$658,$E125,Socle!$G$1:$G$658,"2026"))</f>
        <v>0.69924812</v>
      </c>
      <c r="L125">
        <f>IF($A125="","",_xlfn.SUMIFS(Socle!$Y$1:$Y$658,Socle!$C$1:$C$658,$A125,Socle!$D$1:$D$658,$C125,Socle!$E$1:$E$658,$D125,Socle!$F$1:$F$658,$E125,Socle!$G$1:$G$658,"2026"))</f>
        <v>0.419354839</v>
      </c>
      <c r="M125">
        <f>IF($A125="","",_xlfn.SUMIFS(Socle!$V$1:$V$658,Socle!$C$1:$C$658,$A125,Socle!$D$1:$D$658,$C125,Socle!$E$1:$E$658,$D125,Socle!$F$1:$F$658,$E125,Socle!$G$1:$G$658,"2026"))</f>
        <v>0</v>
      </c>
      <c r="N125">
        <f t="shared" si="0"/>
        <v>1</v>
      </c>
      <c r="O125">
        <f>IF($A125="","",_xlfn.SUMIFS(Campagne!$D$1:$D$141,Campagne!$C$1:$C$141,$A125))</f>
        <v>711</v>
      </c>
      <c r="P125">
        <f>IF($A125="","",_xlfn.SUMIFS(Campagne!$E$1:$E$141,Campagne!$C$1:$C$141,$A125))</f>
        <v>1265</v>
      </c>
      <c r="Q125">
        <f>IF($A125="","",_xlfn.SUMIFS(Campagne!$F$1:$F$141,Campagne!$C$1:$C$141,$A125))</f>
        <v>1976</v>
      </c>
      <c r="R125">
        <f>IF($A125="","",_xlfn.SUMIFS(Campagne!$K$1:$K$141,Campagne!$C$1:$C$141,$A125))</f>
        <v>0.463595949</v>
      </c>
      <c r="S125">
        <f>IF($A125="","",_xlfn.SUMIFS(Campagne!$M$1:$M$141,Campagne!$C$1:$C$141,$A125))</f>
        <v>0.308054121</v>
      </c>
      <c r="T125">
        <f>IF($A125="","",_xlfn.SUMIFS(Pilotage!$K$19:$K$32,Pilotage!$A$19:$A$32,$A125)*_xlfn.SUMIFS(Pilotage!$J$19:$J$32,Pilotage!$A$19:$A$32,$A125)*(SUM(Pilotage!$K$19:$K$32)/SUMPRODUCT(Pilotage!$K$19:$K$32,Pilotage!$J$19:$J$32)))</f>
        <v>68291</v>
      </c>
      <c r="U125">
        <f>IF($A125="","",_xlfn.SUMIFS(Pilotage!$K$19:$K$32,Pilotage!$A$19:$A$32,$A125))</f>
        <v>68291</v>
      </c>
      <c r="V125">
        <f>IF($A125="","",IF($B125="V01",Cadrage!$C$23,IF($B125="V02",Cadrage!$D$23,Cadrage!$E$23)))</f>
        <v>-0.05</v>
      </c>
      <c r="W125">
        <f>IF($A125="","",IF($B125="V01",Cadrage!$C$24,IF($B125="V02",Cadrage!$D$24,Cadrage!$E$24)))</f>
        <v>-0.05</v>
      </c>
      <c r="X125">
        <f>IF($A125="","",IF($B125="V01",Cadrage!$C$25,IF($B125="V02",Cadrage!$D$25,Cadrage!$E$25)))</f>
        <v>0.02</v>
      </c>
      <c r="Y125">
        <f>IF($A125="","",IF($B125="V01",Cadrage!$C$26,IF($B125="V02",Cadrage!$D$26,Cadrage!$E$26)))</f>
        <v>-0.01</v>
      </c>
      <c r="Z125">
        <f>IF($A125="","",IF($B125="V01",Cadrage!$C$27,IF($B125="V02",Cadrage!$D$27,Cadrage!$E$27)))</f>
        <v>-0.01</v>
      </c>
      <c r="AA125">
        <f>IF($A125="","",IF($B125="V01",Cadrage!$C$28,IF($B125="V02",Cadrage!$D$28,Cadrage!$E$28)))</f>
        <v>-0.01</v>
      </c>
      <c r="AB125">
        <f>IF($A125="","",IF($B125="V01",Cadrage!$C$42,IF($B125="V02",Cadrage!$D$42,Cadrage!$E$42)))</f>
        <v>90</v>
      </c>
      <c r="AC125">
        <f>IF($A125="","",IF($F125="MBWAY",Cadrage!$K$34,IF($F125="ISCOM",Cadrage!$K$35,IF($F125="IPAC",Cadrage!$K$36,IF($F125="PIGIER",Cadrage!$K$37,Cadrage!$K$38)))))</f>
        <v>1.2</v>
      </c>
      <c r="AD125">
        <f t="shared" si="1"/>
        <v>70.8368359673171</v>
      </c>
      <c r="AE125">
        <f t="shared" si="2"/>
        <v>70.8368359673171</v>
      </c>
      <c r="AF125">
        <f t="shared" si="3"/>
        <v>70.8368359673171</v>
      </c>
      <c r="AG125">
        <f t="shared" si="4"/>
        <v>8601.6</v>
      </c>
      <c r="AH125">
        <f t="shared" si="5"/>
        <v>615685.443493533</v>
      </c>
    </row>
    <row r="126" ht="14.25" customHeight="1">
      <c r="A126" t="str">
        <f>IF(Moteur!D126="","",Moteur!D126)</f>
        <v>MBWAY_PAR</v>
      </c>
      <c r="B126" t="str">
        <f>IF(Moteur!B126="","",Moteur!B126)</f>
        <v>V03</v>
      </c>
      <c r="C126" t="str">
        <f>IF(Moteur!F126="","",Moteur!F126)</f>
        <v>MAS_MGT</v>
      </c>
      <c r="D126" t="str">
        <f>IF(Moteur!G126="","",Moteur!G126)</f>
        <v>M2</v>
      </c>
      <c r="E126" t="str">
        <f>IF(Moteur!H126="","",Moteur!H126)</f>
        <v>ALT</v>
      </c>
      <c r="F126" t="str">
        <f>IF(Moteur!E126="","",Moteur!E126)</f>
        <v>MBWAY</v>
      </c>
      <c r="G126">
        <f>IF($A126="","",_xlfn.SUMIFS(Socle!$H$1:$H$658,Socle!$C$1:$C$658,$A126,Socle!$D$1:$D$658,$C126,Socle!$E$1:$E$658,$D126,Socle!$F$1:$F$658,$E126,Socle!$G$1:$G$658,"2026"))</f>
        <v>0</v>
      </c>
      <c r="H126">
        <f>IF($A126="","",_xlfn.SUMIFS(Socle!$N$1:$N$658,Socle!$C$1:$C$658,$A126,Socle!$D$1:$D$658,$C126,Socle!$E$1:$E$658,$D126,Socle!$F$1:$F$658,$E126,Socle!$G$1:$G$658,"2026"))</f>
        <v>78</v>
      </c>
      <c r="I126">
        <f>IF($A126="","",_xlfn.SUMIFS(Socle!$P$1:$P$658,Socle!$C$1:$C$658,$A126,Socle!$D$1:$D$658,$C126,Socle!$E$1:$E$658,$D126,Socle!$F$1:$F$658,$E126,Socle!$G$1:$G$658,"2026"))</f>
        <v>8400</v>
      </c>
      <c r="J126">
        <f>IF($A126="","",_xlfn.SUMIFS(Socle!$W$1:$W$658,Socle!$C$1:$C$658,$A126,Socle!$D$1:$D$658,$C126,Socle!$E$1:$E$658,$D126,Socle!$F$1:$F$658,$E126,Socle!$G$1:$G$658,"2026"))</f>
        <v>0</v>
      </c>
      <c r="K126">
        <f>IF($A126="","",_xlfn.SUMIFS(Socle!$X$1:$X$658,Socle!$C$1:$C$658,$A126,Socle!$D$1:$D$658,$C126,Socle!$E$1:$E$658,$D126,Socle!$F$1:$F$658,$E126,Socle!$G$1:$G$658,"2026"))</f>
        <v>0</v>
      </c>
      <c r="L126">
        <f>IF($A126="","",_xlfn.SUMIFS(Socle!$Y$1:$Y$658,Socle!$C$1:$C$658,$A126,Socle!$D$1:$D$658,$C126,Socle!$E$1:$E$658,$D126,Socle!$F$1:$F$658,$E126,Socle!$G$1:$G$658,"2026"))</f>
        <v>0</v>
      </c>
      <c r="M126">
        <f>IF($A126="","",_xlfn.SUMIFS(Socle!$V$1:$V$658,Socle!$C$1:$C$658,$A126,Socle!$D$1:$D$658,$C126,Socle!$E$1:$E$658,$D126,Socle!$F$1:$F$658,$E126,Socle!$G$1:$G$658,"2026"))</f>
        <v>0.974358974</v>
      </c>
      <c r="N126">
        <f t="shared" si="0"/>
        <v>0</v>
      </c>
      <c r="O126">
        <f>IF($A126="","",_xlfn.SUMIFS(Campagne!$D$1:$D$141,Campagne!$C$1:$C$141,$A126))</f>
        <v>711</v>
      </c>
      <c r="P126">
        <f>IF($A126="","",_xlfn.SUMIFS(Campagne!$E$1:$E$141,Campagne!$C$1:$C$141,$A126))</f>
        <v>1265</v>
      </c>
      <c r="Q126">
        <f>IF($A126="","",_xlfn.SUMIFS(Campagne!$F$1:$F$141,Campagne!$C$1:$C$141,$A126))</f>
        <v>1976</v>
      </c>
      <c r="R126">
        <f>IF($A126="","",_xlfn.SUMIFS(Campagne!$K$1:$K$141,Campagne!$C$1:$C$141,$A126))</f>
        <v>0.463595949</v>
      </c>
      <c r="S126">
        <f>IF($A126="","",_xlfn.SUMIFS(Campagne!$M$1:$M$141,Campagne!$C$1:$C$141,$A126))</f>
        <v>0.308054121</v>
      </c>
      <c r="T126">
        <f>IF($A126="","",_xlfn.SUMIFS(Pilotage!$K$19:$K$32,Pilotage!$A$19:$A$32,$A126)*_xlfn.SUMIFS(Pilotage!$J$19:$J$32,Pilotage!$A$19:$A$32,$A126)*(SUM(Pilotage!$K$19:$K$32)/SUMPRODUCT(Pilotage!$K$19:$K$32,Pilotage!$J$19:$J$32)))</f>
        <v>68291</v>
      </c>
      <c r="U126">
        <f>IF($A126="","",_xlfn.SUMIFS(Pilotage!$K$19:$K$32,Pilotage!$A$19:$A$32,$A126))</f>
        <v>68291</v>
      </c>
      <c r="V126">
        <f>IF($A126="","",IF($B126="V01",Cadrage!$C$23,IF($B126="V02",Cadrage!$D$23,Cadrage!$E$23)))</f>
        <v>-0.05</v>
      </c>
      <c r="W126">
        <f>IF($A126="","",IF($B126="V01",Cadrage!$C$24,IF($B126="V02",Cadrage!$D$24,Cadrage!$E$24)))</f>
        <v>-0.05</v>
      </c>
      <c r="X126">
        <f>IF($A126="","",IF($B126="V01",Cadrage!$C$25,IF($B126="V02",Cadrage!$D$25,Cadrage!$E$25)))</f>
        <v>0.02</v>
      </c>
      <c r="Y126">
        <f>IF($A126="","",IF($B126="V01",Cadrage!$C$26,IF($B126="V02",Cadrage!$D$26,Cadrage!$E$26)))</f>
        <v>-0.01</v>
      </c>
      <c r="Z126">
        <f>IF($A126="","",IF($B126="V01",Cadrage!$C$27,IF($B126="V02",Cadrage!$D$27,Cadrage!$E$27)))</f>
        <v>-0.01</v>
      </c>
      <c r="AA126">
        <f>IF($A126="","",IF($B126="V01",Cadrage!$C$28,IF($B126="V02",Cadrage!$D$28,Cadrage!$E$28)))</f>
        <v>-0.01</v>
      </c>
      <c r="AB126">
        <f>IF($A126="","",IF($B126="V01",Cadrage!$C$42,IF($B126="V02",Cadrage!$D$42,Cadrage!$E$42)))</f>
        <v>90</v>
      </c>
      <c r="AC126">
        <f>IF($A126="","",IF($F126="MBWAY",Cadrage!$K$34,IF($F126="ISCOM",Cadrage!$K$35,IF($F126="IPAC",Cadrage!$K$36,IF($F126="PIGIER",Cadrage!$K$37,Cadrage!$K$38)))))</f>
        <v>1.2</v>
      </c>
      <c r="AD126">
        <f t="shared" si="1"/>
        <v>0</v>
      </c>
      <c r="AE126">
        <f t="shared" si="2"/>
        <v>0</v>
      </c>
      <c r="AF126">
        <f t="shared" si="3"/>
        <v>75.219999972</v>
      </c>
      <c r="AG126">
        <f t="shared" si="4"/>
        <v>8601.6</v>
      </c>
      <c r="AH126">
        <f t="shared" si="5"/>
        <v>647012.351759155</v>
      </c>
    </row>
    <row r="127" ht="14.25" customHeight="1">
      <c r="A127" t="str">
        <f>IF(Moteur!D127="","",Moteur!D127)</f>
        <v>MBWAY_LYO</v>
      </c>
      <c r="B127" t="str">
        <f>IF(Moteur!B127="","",Moteur!B127)</f>
        <v>V03</v>
      </c>
      <c r="C127" t="str">
        <f>IF(Moteur!F127="","",Moteur!F127)</f>
        <v>BAC_MGT</v>
      </c>
      <c r="D127" t="str">
        <f>IF(Moteur!G127="","",Moteur!G127)</f>
        <v>B1</v>
      </c>
      <c r="E127" t="str">
        <f>IF(Moteur!H127="","",Moteur!H127)</f>
        <v>INIT</v>
      </c>
      <c r="F127" t="str">
        <f>IF(Moteur!E127="","",Moteur!E127)</f>
        <v>MBWAY</v>
      </c>
      <c r="G127">
        <f>IF($A127="","",_xlfn.SUMIFS(Socle!$H$1:$H$658,Socle!$C$1:$C$658,$A127,Socle!$D$1:$D$658,$C127,Socle!$E$1:$E$658,$D127,Socle!$F$1:$F$658,$E127,Socle!$G$1:$G$658,"2026"))</f>
        <v>546</v>
      </c>
      <c r="H127">
        <f>IF($A127="","",_xlfn.SUMIFS(Socle!$N$1:$N$658,Socle!$C$1:$C$658,$A127,Socle!$D$1:$D$658,$C127,Socle!$E$1:$E$658,$D127,Socle!$F$1:$F$658,$E127,Socle!$G$1:$G$658,"2026"))</f>
        <v>0</v>
      </c>
      <c r="I127">
        <f>IF($A127="","",_xlfn.SUMIFS(Socle!$P$1:$P$658,Socle!$C$1:$C$658,$A127,Socle!$D$1:$D$658,$C127,Socle!$E$1:$E$658,$D127,Socle!$F$1:$F$658,$E127,Socle!$G$1:$G$658,"2026"))</f>
        <v>7875</v>
      </c>
      <c r="J127">
        <f>IF($A127="","",_xlfn.SUMIFS(Socle!$W$1:$W$658,Socle!$C$1:$C$658,$A127,Socle!$D$1:$D$658,$C127,Socle!$E$1:$E$658,$D127,Socle!$F$1:$F$658,$E127,Socle!$G$1:$G$658,"2026"))</f>
        <v>0.28021978</v>
      </c>
      <c r="K127">
        <f>IF($A127="","",_xlfn.SUMIFS(Socle!$X$1:$X$658,Socle!$C$1:$C$658,$A127,Socle!$D$1:$D$658,$C127,Socle!$E$1:$E$658,$D127,Socle!$F$1:$F$658,$E127,Socle!$G$1:$G$658,"2026"))</f>
        <v>0.718954248</v>
      </c>
      <c r="L127">
        <f>IF($A127="","",_xlfn.SUMIFS(Socle!$Y$1:$Y$658,Socle!$C$1:$C$658,$A127,Socle!$D$1:$D$658,$C127,Socle!$E$1:$E$658,$D127,Socle!$F$1:$F$658,$E127,Socle!$G$1:$G$658,"2026"))</f>
        <v>0.6</v>
      </c>
      <c r="M127">
        <f>IF($A127="","",_xlfn.SUMIFS(Socle!$V$1:$V$658,Socle!$C$1:$C$658,$A127,Socle!$D$1:$D$658,$C127,Socle!$E$1:$E$658,$D127,Socle!$F$1:$F$658,$E127,Socle!$G$1:$G$658,"2026"))</f>
        <v>0</v>
      </c>
      <c r="N127">
        <f t="shared" si="0"/>
        <v>1</v>
      </c>
      <c r="O127">
        <f>IF($A127="","",_xlfn.SUMIFS(Campagne!$D$1:$D$141,Campagne!$C$1:$C$141,$A127))</f>
        <v>716</v>
      </c>
      <c r="P127">
        <f>IF($A127="","",_xlfn.SUMIFS(Campagne!$E$1:$E$141,Campagne!$C$1:$C$141,$A127))</f>
        <v>950</v>
      </c>
      <c r="Q127">
        <f>IF($A127="","",_xlfn.SUMIFS(Campagne!$F$1:$F$141,Campagne!$C$1:$C$141,$A127))</f>
        <v>1666</v>
      </c>
      <c r="R127">
        <f>IF($A127="","",_xlfn.SUMIFS(Campagne!$K$1:$K$141,Campagne!$C$1:$C$141,$A127))</f>
        <v>0.503912411</v>
      </c>
      <c r="S127">
        <f>IF($A127="","",_xlfn.SUMIFS(Campagne!$M$1:$M$141,Campagne!$C$1:$C$141,$A127))</f>
        <v>0.326593761</v>
      </c>
      <c r="T127">
        <f>IF($A127="","",_xlfn.SUMIFS(Pilotage!$K$19:$K$32,Pilotage!$A$19:$A$32,$A127)*_xlfn.SUMIFS(Pilotage!$J$19:$J$32,Pilotage!$A$19:$A$32,$A127)*(SUM(Pilotage!$K$19:$K$32)/SUMPRODUCT(Pilotage!$K$19:$K$32,Pilotage!$J$19:$J$32)))</f>
        <v>41783</v>
      </c>
      <c r="U127">
        <f>IF($A127="","",_xlfn.SUMIFS(Pilotage!$K$19:$K$32,Pilotage!$A$19:$A$32,$A127))</f>
        <v>41783</v>
      </c>
      <c r="V127">
        <f>IF($A127="","",IF($B127="V01",Cadrage!$C$23,IF($B127="V02",Cadrage!$D$23,Cadrage!$E$23)))</f>
        <v>-0.05</v>
      </c>
      <c r="W127">
        <f>IF($A127="","",IF($B127="V01",Cadrage!$C$24,IF($B127="V02",Cadrage!$D$24,Cadrage!$E$24)))</f>
        <v>-0.05</v>
      </c>
      <c r="X127">
        <f>IF($A127="","",IF($B127="V01",Cadrage!$C$25,IF($B127="V02",Cadrage!$D$25,Cadrage!$E$25)))</f>
        <v>0.02</v>
      </c>
      <c r="Y127">
        <f>IF($A127="","",IF($B127="V01",Cadrage!$C$26,IF($B127="V02",Cadrage!$D$26,Cadrage!$E$26)))</f>
        <v>-0.01</v>
      </c>
      <c r="Z127">
        <f>IF($A127="","",IF($B127="V01",Cadrage!$C$27,IF($B127="V02",Cadrage!$D$27,Cadrage!$E$27)))</f>
        <v>-0.01</v>
      </c>
      <c r="AA127">
        <f>IF($A127="","",IF($B127="V01",Cadrage!$C$28,IF($B127="V02",Cadrage!$D$28,Cadrage!$E$28)))</f>
        <v>-0.01</v>
      </c>
      <c r="AB127">
        <f>IF($A127="","",IF($B127="V01",Cadrage!$C$42,IF($B127="V02",Cadrage!$D$42,Cadrage!$E$42)))</f>
        <v>90</v>
      </c>
      <c r="AC127">
        <f>IF($A127="","",IF($F127="MBWAY",Cadrage!$K$34,IF($F127="ISCOM",Cadrage!$K$35,IF($F127="IPAC",Cadrage!$K$36,IF($F127="PIGIER",Cadrage!$K$37,Cadrage!$K$38)))))</f>
        <v>1.2</v>
      </c>
      <c r="AD127">
        <f t="shared" si="1"/>
        <v>61.2265381744153</v>
      </c>
      <c r="AE127">
        <f t="shared" si="2"/>
        <v>61.2265381744153</v>
      </c>
      <c r="AF127">
        <f t="shared" si="3"/>
        <v>61.2265381744153</v>
      </c>
      <c r="AG127">
        <f t="shared" si="4"/>
        <v>8064</v>
      </c>
      <c r="AH127">
        <f t="shared" si="5"/>
        <v>499241.192274182</v>
      </c>
    </row>
    <row r="128" ht="14.25" customHeight="1">
      <c r="A128" t="str">
        <f>IF(Moteur!D128="","",Moteur!D128)</f>
        <v>MBWAY_LYO</v>
      </c>
      <c r="B128" t="str">
        <f>IF(Moteur!B128="","",Moteur!B128)</f>
        <v>V03</v>
      </c>
      <c r="C128" t="str">
        <f>IF(Moteur!F128="","",Moteur!F128)</f>
        <v>BAC_MGT</v>
      </c>
      <c r="D128" t="str">
        <f>IF(Moteur!G128="","",Moteur!G128)</f>
        <v>B2</v>
      </c>
      <c r="E128" t="str">
        <f>IF(Moteur!H128="","",Moteur!H128)</f>
        <v>ALT</v>
      </c>
      <c r="F128" t="str">
        <f>IF(Moteur!E128="","",Moteur!E128)</f>
        <v>MBWAY</v>
      </c>
      <c r="G128">
        <f>IF($A128="","",_xlfn.SUMIFS(Socle!$H$1:$H$658,Socle!$C$1:$C$658,$A128,Socle!$D$1:$D$658,$C128,Socle!$E$1:$E$658,$D128,Socle!$F$1:$F$658,$E128,Socle!$G$1:$G$658,"2026"))</f>
        <v>0</v>
      </c>
      <c r="H128">
        <f>IF($A128="","",_xlfn.SUMIFS(Socle!$N$1:$N$658,Socle!$C$1:$C$658,$A128,Socle!$D$1:$D$658,$C128,Socle!$E$1:$E$658,$D128,Socle!$F$1:$F$658,$E128,Socle!$G$1:$G$658,"2026"))</f>
        <v>66</v>
      </c>
      <c r="I128">
        <f>IF($A128="","",_xlfn.SUMIFS(Socle!$P$1:$P$658,Socle!$C$1:$C$658,$A128,Socle!$D$1:$D$658,$C128,Socle!$E$1:$E$658,$D128,Socle!$F$1:$F$658,$E128,Socle!$G$1:$G$658,"2026"))</f>
        <v>7350</v>
      </c>
      <c r="J128">
        <f>IF($A128="","",_xlfn.SUMIFS(Socle!$W$1:$W$658,Socle!$C$1:$C$658,$A128,Socle!$D$1:$D$658,$C128,Socle!$E$1:$E$658,$D128,Socle!$F$1:$F$658,$E128,Socle!$G$1:$G$658,"2026"))</f>
        <v>0</v>
      </c>
      <c r="K128">
        <f>IF($A128="","",_xlfn.SUMIFS(Socle!$X$1:$X$658,Socle!$C$1:$C$658,$A128,Socle!$D$1:$D$658,$C128,Socle!$E$1:$E$658,$D128,Socle!$F$1:$F$658,$E128,Socle!$G$1:$G$658,"2026"))</f>
        <v>0</v>
      </c>
      <c r="L128">
        <f>IF($A128="","",_xlfn.SUMIFS(Socle!$Y$1:$Y$658,Socle!$C$1:$C$658,$A128,Socle!$D$1:$D$658,$C128,Socle!$E$1:$E$658,$D128,Socle!$F$1:$F$658,$E128,Socle!$G$1:$G$658,"2026"))</f>
        <v>0</v>
      </c>
      <c r="M128">
        <f>IF($A128="","",_xlfn.SUMIFS(Socle!$V$1:$V$658,Socle!$C$1:$C$658,$A128,Socle!$D$1:$D$658,$C128,Socle!$E$1:$E$658,$D128,Socle!$F$1:$F$658,$E128,Socle!$G$1:$G$658,"2026"))</f>
        <v>0.96969697</v>
      </c>
      <c r="N128">
        <f t="shared" si="0"/>
        <v>0</v>
      </c>
      <c r="O128">
        <f>IF($A128="","",_xlfn.SUMIFS(Campagne!$D$1:$D$141,Campagne!$C$1:$C$141,$A128))</f>
        <v>716</v>
      </c>
      <c r="P128">
        <f>IF($A128="","",_xlfn.SUMIFS(Campagne!$E$1:$E$141,Campagne!$C$1:$C$141,$A128))</f>
        <v>950</v>
      </c>
      <c r="Q128">
        <f>IF($A128="","",_xlfn.SUMIFS(Campagne!$F$1:$F$141,Campagne!$C$1:$C$141,$A128))</f>
        <v>1666</v>
      </c>
      <c r="R128">
        <f>IF($A128="","",_xlfn.SUMIFS(Campagne!$K$1:$K$141,Campagne!$C$1:$C$141,$A128))</f>
        <v>0.503912411</v>
      </c>
      <c r="S128">
        <f>IF($A128="","",_xlfn.SUMIFS(Campagne!$M$1:$M$141,Campagne!$C$1:$C$141,$A128))</f>
        <v>0.326593761</v>
      </c>
      <c r="T128">
        <f>IF($A128="","",_xlfn.SUMIFS(Pilotage!$K$19:$K$32,Pilotage!$A$19:$A$32,$A128)*_xlfn.SUMIFS(Pilotage!$J$19:$J$32,Pilotage!$A$19:$A$32,$A128)*(SUM(Pilotage!$K$19:$K$32)/SUMPRODUCT(Pilotage!$K$19:$K$32,Pilotage!$J$19:$J$32)))</f>
        <v>41783</v>
      </c>
      <c r="U128">
        <f>IF($A128="","",_xlfn.SUMIFS(Pilotage!$K$19:$K$32,Pilotage!$A$19:$A$32,$A128))</f>
        <v>41783</v>
      </c>
      <c r="V128">
        <f>IF($A128="","",IF($B128="V01",Cadrage!$C$23,IF($B128="V02",Cadrage!$D$23,Cadrage!$E$23)))</f>
        <v>-0.05</v>
      </c>
      <c r="W128">
        <f>IF($A128="","",IF($B128="V01",Cadrage!$C$24,IF($B128="V02",Cadrage!$D$24,Cadrage!$E$24)))</f>
        <v>-0.05</v>
      </c>
      <c r="X128">
        <f>IF($A128="","",IF($B128="V01",Cadrage!$C$25,IF($B128="V02",Cadrage!$D$25,Cadrage!$E$25)))</f>
        <v>0.02</v>
      </c>
      <c r="Y128">
        <f>IF($A128="","",IF($B128="V01",Cadrage!$C$26,IF($B128="V02",Cadrage!$D$26,Cadrage!$E$26)))</f>
        <v>-0.01</v>
      </c>
      <c r="Z128">
        <f>IF($A128="","",IF($B128="V01",Cadrage!$C$27,IF($B128="V02",Cadrage!$D$27,Cadrage!$E$27)))</f>
        <v>-0.01</v>
      </c>
      <c r="AA128">
        <f>IF($A128="","",IF($B128="V01",Cadrage!$C$28,IF($B128="V02",Cadrage!$D$28,Cadrage!$E$28)))</f>
        <v>-0.01</v>
      </c>
      <c r="AB128">
        <f>IF($A128="","",IF($B128="V01",Cadrage!$C$42,IF($B128="V02",Cadrage!$D$42,Cadrage!$E$42)))</f>
        <v>90</v>
      </c>
      <c r="AC128">
        <f>IF($A128="","",IF($F128="MBWAY",Cadrage!$K$34,IF($F128="ISCOM",Cadrage!$K$35,IF($F128="IPAC",Cadrage!$K$36,IF($F128="PIGIER",Cadrage!$K$37,Cadrage!$K$38)))))</f>
        <v>1.2</v>
      </c>
      <c r="AD128">
        <f t="shared" si="1"/>
        <v>0</v>
      </c>
      <c r="AE128">
        <f t="shared" si="2"/>
        <v>0</v>
      </c>
      <c r="AF128">
        <f t="shared" si="3"/>
        <v>63.34000002</v>
      </c>
      <c r="AG128">
        <f t="shared" si="4"/>
        <v>7526.4</v>
      </c>
      <c r="AH128">
        <f t="shared" si="5"/>
        <v>476722.176150528</v>
      </c>
    </row>
    <row r="129" ht="14.25" customHeight="1">
      <c r="A129" t="str">
        <f>IF(Moteur!D129="","",Moteur!D129)</f>
        <v>MBWAY_LYO</v>
      </c>
      <c r="B129" t="str">
        <f>IF(Moteur!B129="","",Moteur!B129)</f>
        <v>V03</v>
      </c>
      <c r="C129" t="str">
        <f>IF(Moteur!F129="","",Moteur!F129)</f>
        <v>BAC_MGT</v>
      </c>
      <c r="D129" t="str">
        <f>IF(Moteur!G129="","",Moteur!G129)</f>
        <v>B3</v>
      </c>
      <c r="E129" t="str">
        <f>IF(Moteur!H129="","",Moteur!H129)</f>
        <v>ALT</v>
      </c>
      <c r="F129" t="str">
        <f>IF(Moteur!E129="","",Moteur!E129)</f>
        <v>MBWAY</v>
      </c>
      <c r="G129">
        <f>IF($A129="","",_xlfn.SUMIFS(Socle!$H$1:$H$658,Socle!$C$1:$C$658,$A129,Socle!$D$1:$D$658,$C129,Socle!$E$1:$E$658,$D129,Socle!$F$1:$F$658,$E129,Socle!$G$1:$G$658,"2026"))</f>
        <v>0</v>
      </c>
      <c r="H129">
        <f>IF($A129="","",_xlfn.SUMIFS(Socle!$N$1:$N$658,Socle!$C$1:$C$658,$A129,Socle!$D$1:$D$658,$C129,Socle!$E$1:$E$658,$D129,Socle!$F$1:$F$658,$E129,Socle!$G$1:$G$658,"2026"))</f>
        <v>64</v>
      </c>
      <c r="I129">
        <f>IF($A129="","",_xlfn.SUMIFS(Socle!$P$1:$P$658,Socle!$C$1:$C$658,$A129,Socle!$D$1:$D$658,$C129,Socle!$E$1:$E$658,$D129,Socle!$F$1:$F$658,$E129,Socle!$G$1:$G$658,"2026"))</f>
        <v>7350</v>
      </c>
      <c r="J129">
        <f>IF($A129="","",_xlfn.SUMIFS(Socle!$W$1:$W$658,Socle!$C$1:$C$658,$A129,Socle!$D$1:$D$658,$C129,Socle!$E$1:$E$658,$D129,Socle!$F$1:$F$658,$E129,Socle!$G$1:$G$658,"2026"))</f>
        <v>0</v>
      </c>
      <c r="K129">
        <f>IF($A129="","",_xlfn.SUMIFS(Socle!$X$1:$X$658,Socle!$C$1:$C$658,$A129,Socle!$D$1:$D$658,$C129,Socle!$E$1:$E$658,$D129,Socle!$F$1:$F$658,$E129,Socle!$G$1:$G$658,"2026"))</f>
        <v>0</v>
      </c>
      <c r="L129">
        <f>IF($A129="","",_xlfn.SUMIFS(Socle!$Y$1:$Y$658,Socle!$C$1:$C$658,$A129,Socle!$D$1:$D$658,$C129,Socle!$E$1:$E$658,$D129,Socle!$F$1:$F$658,$E129,Socle!$G$1:$G$658,"2026"))</f>
        <v>0</v>
      </c>
      <c r="M129">
        <f>IF($A129="","",_xlfn.SUMIFS(Socle!$V$1:$V$658,Socle!$C$1:$C$658,$A129,Socle!$D$1:$D$658,$C129,Socle!$E$1:$E$658,$D129,Socle!$F$1:$F$658,$E129,Socle!$G$1:$G$658,"2026"))</f>
        <v>0.984375</v>
      </c>
      <c r="N129">
        <f t="shared" si="0"/>
        <v>0</v>
      </c>
      <c r="O129">
        <f>IF($A129="","",_xlfn.SUMIFS(Campagne!$D$1:$D$141,Campagne!$C$1:$C$141,$A129))</f>
        <v>716</v>
      </c>
      <c r="P129">
        <f>IF($A129="","",_xlfn.SUMIFS(Campagne!$E$1:$E$141,Campagne!$C$1:$C$141,$A129))</f>
        <v>950</v>
      </c>
      <c r="Q129">
        <f>IF($A129="","",_xlfn.SUMIFS(Campagne!$F$1:$F$141,Campagne!$C$1:$C$141,$A129))</f>
        <v>1666</v>
      </c>
      <c r="R129">
        <f>IF($A129="","",_xlfn.SUMIFS(Campagne!$K$1:$K$141,Campagne!$C$1:$C$141,$A129))</f>
        <v>0.503912411</v>
      </c>
      <c r="S129">
        <f>IF($A129="","",_xlfn.SUMIFS(Campagne!$M$1:$M$141,Campagne!$C$1:$C$141,$A129))</f>
        <v>0.326593761</v>
      </c>
      <c r="T129">
        <f>IF($A129="","",_xlfn.SUMIFS(Pilotage!$K$19:$K$32,Pilotage!$A$19:$A$32,$A129)*_xlfn.SUMIFS(Pilotage!$J$19:$J$32,Pilotage!$A$19:$A$32,$A129)*(SUM(Pilotage!$K$19:$K$32)/SUMPRODUCT(Pilotage!$K$19:$K$32,Pilotage!$J$19:$J$32)))</f>
        <v>41783</v>
      </c>
      <c r="U129">
        <f>IF($A129="","",_xlfn.SUMIFS(Pilotage!$K$19:$K$32,Pilotage!$A$19:$A$32,$A129))</f>
        <v>41783</v>
      </c>
      <c r="V129">
        <f>IF($A129="","",IF($B129="V01",Cadrage!$C$23,IF($B129="V02",Cadrage!$D$23,Cadrage!$E$23)))</f>
        <v>-0.05</v>
      </c>
      <c r="W129">
        <f>IF($A129="","",IF($B129="V01",Cadrage!$C$24,IF($B129="V02",Cadrage!$D$24,Cadrage!$E$24)))</f>
        <v>-0.05</v>
      </c>
      <c r="X129">
        <f>IF($A129="","",IF($B129="V01",Cadrage!$C$25,IF($B129="V02",Cadrage!$D$25,Cadrage!$E$25)))</f>
        <v>0.02</v>
      </c>
      <c r="Y129">
        <f>IF($A129="","",IF($B129="V01",Cadrage!$C$26,IF($B129="V02",Cadrage!$D$26,Cadrage!$E$26)))</f>
        <v>-0.01</v>
      </c>
      <c r="Z129">
        <f>IF($A129="","",IF($B129="V01",Cadrage!$C$27,IF($B129="V02",Cadrage!$D$27,Cadrage!$E$27)))</f>
        <v>-0.01</v>
      </c>
      <c r="AA129">
        <f>IF($A129="","",IF($B129="V01",Cadrage!$C$28,IF($B129="V02",Cadrage!$D$28,Cadrage!$E$28)))</f>
        <v>-0.01</v>
      </c>
      <c r="AB129">
        <f>IF($A129="","",IF($B129="V01",Cadrage!$C$42,IF($B129="V02",Cadrage!$D$42,Cadrage!$E$42)))</f>
        <v>90</v>
      </c>
      <c r="AC129">
        <f>IF($A129="","",IF($F129="MBWAY",Cadrage!$K$34,IF($F129="ISCOM",Cadrage!$K$35,IF($F129="IPAC",Cadrage!$K$36,IF($F129="PIGIER",Cadrage!$K$37,Cadrage!$K$38)))))</f>
        <v>1.2</v>
      </c>
      <c r="AD129">
        <f t="shared" si="1"/>
        <v>0</v>
      </c>
      <c r="AE129">
        <f t="shared" si="2"/>
        <v>0</v>
      </c>
      <c r="AF129">
        <f t="shared" si="3"/>
        <v>62.36</v>
      </c>
      <c r="AG129">
        <f t="shared" si="4"/>
        <v>7526.4</v>
      </c>
      <c r="AH129">
        <f t="shared" si="5"/>
        <v>469346.304</v>
      </c>
    </row>
    <row r="130" ht="14.25" customHeight="1">
      <c r="A130" t="str">
        <f>IF(Moteur!D130="","",Moteur!D130)</f>
        <v>MBWAY_LYO</v>
      </c>
      <c r="B130" t="str">
        <f>IF(Moteur!B130="","",Moteur!B130)</f>
        <v>V03</v>
      </c>
      <c r="C130" t="str">
        <f>IF(Moteur!F130="","",Moteur!F130)</f>
        <v>MAS_MGT</v>
      </c>
      <c r="D130" t="str">
        <f>IF(Moteur!G130="","",Moteur!G130)</f>
        <v>M1</v>
      </c>
      <c r="E130" t="str">
        <f>IF(Moteur!H130="","",Moteur!H130)</f>
        <v>ALT</v>
      </c>
      <c r="F130" t="str">
        <f>IF(Moteur!E130="","",Moteur!E130)</f>
        <v>MBWAY</v>
      </c>
      <c r="G130">
        <f>IF($A130="","",_xlfn.SUMIFS(Socle!$H$1:$H$658,Socle!$C$1:$C$658,$A130,Socle!$D$1:$D$658,$C130,Socle!$E$1:$E$658,$D130,Socle!$F$1:$F$658,$E130,Socle!$G$1:$G$658,"2026"))</f>
        <v>1120</v>
      </c>
      <c r="H130">
        <f>IF($A130="","",_xlfn.SUMIFS(Socle!$N$1:$N$658,Socle!$C$1:$C$658,$A130,Socle!$D$1:$D$658,$C130,Socle!$E$1:$E$658,$D130,Socle!$F$1:$F$658,$E130,Socle!$G$1:$G$658,"2026"))</f>
        <v>0</v>
      </c>
      <c r="I130">
        <f>IF($A130="","",_xlfn.SUMIFS(Socle!$P$1:$P$658,Socle!$C$1:$C$658,$A130,Socle!$D$1:$D$658,$C130,Socle!$E$1:$E$658,$D130,Socle!$F$1:$F$658,$E130,Socle!$G$1:$G$658,"2026"))</f>
        <v>7875</v>
      </c>
      <c r="J130">
        <f>IF($A130="","",_xlfn.SUMIFS(Socle!$W$1:$W$658,Socle!$C$1:$C$658,$A130,Socle!$D$1:$D$658,$C130,Socle!$E$1:$E$658,$D130,Socle!$F$1:$F$658,$E130,Socle!$G$1:$G$658,"2026"))</f>
        <v>0.2</v>
      </c>
      <c r="K130">
        <f>IF($A130="","",_xlfn.SUMIFS(Socle!$X$1:$X$658,Socle!$C$1:$C$658,$A130,Socle!$D$1:$D$658,$C130,Socle!$E$1:$E$658,$D130,Socle!$F$1:$F$658,$E130,Socle!$G$1:$G$658,"2026"))</f>
        <v>0.700892857</v>
      </c>
      <c r="L130">
        <f>IF($A130="","",_xlfn.SUMIFS(Socle!$Y$1:$Y$658,Socle!$C$1:$C$658,$A130,Socle!$D$1:$D$658,$C130,Socle!$E$1:$E$658,$D130,Socle!$F$1:$F$658,$E130,Socle!$G$1:$G$658,"2026"))</f>
        <v>0.420382166</v>
      </c>
      <c r="M130">
        <f>IF($A130="","",_xlfn.SUMIFS(Socle!$V$1:$V$658,Socle!$C$1:$C$658,$A130,Socle!$D$1:$D$658,$C130,Socle!$E$1:$E$658,$D130,Socle!$F$1:$F$658,$E130,Socle!$G$1:$G$658,"2026"))</f>
        <v>0</v>
      </c>
      <c r="N130">
        <f t="shared" si="0"/>
        <v>1</v>
      </c>
      <c r="O130">
        <f>IF($A130="","",_xlfn.SUMIFS(Campagne!$D$1:$D$141,Campagne!$C$1:$C$141,$A130))</f>
        <v>716</v>
      </c>
      <c r="P130">
        <f>IF($A130="","",_xlfn.SUMIFS(Campagne!$E$1:$E$141,Campagne!$C$1:$C$141,$A130))</f>
        <v>950</v>
      </c>
      <c r="Q130">
        <f>IF($A130="","",_xlfn.SUMIFS(Campagne!$F$1:$F$141,Campagne!$C$1:$C$141,$A130))</f>
        <v>1666</v>
      </c>
      <c r="R130">
        <f>IF($A130="","",_xlfn.SUMIFS(Campagne!$K$1:$K$141,Campagne!$C$1:$C$141,$A130))</f>
        <v>0.503912411</v>
      </c>
      <c r="S130">
        <f>IF($A130="","",_xlfn.SUMIFS(Campagne!$M$1:$M$141,Campagne!$C$1:$C$141,$A130))</f>
        <v>0.326593761</v>
      </c>
      <c r="T130">
        <f>IF($A130="","",_xlfn.SUMIFS(Pilotage!$K$19:$K$32,Pilotage!$A$19:$A$32,$A130)*_xlfn.SUMIFS(Pilotage!$J$19:$J$32,Pilotage!$A$19:$A$32,$A130)*(SUM(Pilotage!$K$19:$K$32)/SUMPRODUCT(Pilotage!$K$19:$K$32,Pilotage!$J$19:$J$32)))</f>
        <v>41783</v>
      </c>
      <c r="U130">
        <f>IF($A130="","",_xlfn.SUMIFS(Pilotage!$K$19:$K$32,Pilotage!$A$19:$A$32,$A130))</f>
        <v>41783</v>
      </c>
      <c r="V130">
        <f>IF($A130="","",IF($B130="V01",Cadrage!$C$23,IF($B130="V02",Cadrage!$D$23,Cadrage!$E$23)))</f>
        <v>-0.05</v>
      </c>
      <c r="W130">
        <f>IF($A130="","",IF($B130="V01",Cadrage!$C$24,IF($B130="V02",Cadrage!$D$24,Cadrage!$E$24)))</f>
        <v>-0.05</v>
      </c>
      <c r="X130">
        <f>IF($A130="","",IF($B130="V01",Cadrage!$C$25,IF($B130="V02",Cadrage!$D$25,Cadrage!$E$25)))</f>
        <v>0.02</v>
      </c>
      <c r="Y130">
        <f>IF($A130="","",IF($B130="V01",Cadrage!$C$26,IF($B130="V02",Cadrage!$D$26,Cadrage!$E$26)))</f>
        <v>-0.01</v>
      </c>
      <c r="Z130">
        <f>IF($A130="","",IF($B130="V01",Cadrage!$C$27,IF($B130="V02",Cadrage!$D$27,Cadrage!$E$27)))</f>
        <v>-0.01</v>
      </c>
      <c r="AA130">
        <f>IF($A130="","",IF($B130="V01",Cadrage!$C$28,IF($B130="V02",Cadrage!$D$28,Cadrage!$E$28)))</f>
        <v>-0.01</v>
      </c>
      <c r="AB130">
        <f>IF($A130="","",IF($B130="V01",Cadrage!$C$42,IF($B130="V02",Cadrage!$D$42,Cadrage!$E$42)))</f>
        <v>90</v>
      </c>
      <c r="AC130">
        <f>IF($A130="","",IF($F130="MBWAY",Cadrage!$K$34,IF($F130="ISCOM",Cadrage!$K$35,IF($F130="IPAC",Cadrage!$K$36,IF($F130="PIGIER",Cadrage!$K$37,Cadrage!$K$38)))))</f>
        <v>1.2</v>
      </c>
      <c r="AD130">
        <f t="shared" si="1"/>
        <v>59.8809107426504</v>
      </c>
      <c r="AE130">
        <f t="shared" si="2"/>
        <v>59.8809107426504</v>
      </c>
      <c r="AF130">
        <f t="shared" si="3"/>
        <v>59.8809107426504</v>
      </c>
      <c r="AG130">
        <f t="shared" si="4"/>
        <v>8064</v>
      </c>
      <c r="AH130">
        <f t="shared" si="5"/>
        <v>488268.946195571</v>
      </c>
    </row>
    <row r="131" ht="14.25" customHeight="1">
      <c r="A131" t="str">
        <f>IF(Moteur!D131="","",Moteur!D131)</f>
        <v>MBWAY_LYO</v>
      </c>
      <c r="B131" t="str">
        <f>IF(Moteur!B131="","",Moteur!B131)</f>
        <v>V03</v>
      </c>
      <c r="C131" t="str">
        <f>IF(Moteur!F131="","",Moteur!F131)</f>
        <v>MAS_MGT</v>
      </c>
      <c r="D131" t="str">
        <f>IF(Moteur!G131="","",Moteur!G131)</f>
        <v>M2</v>
      </c>
      <c r="E131" t="str">
        <f>IF(Moteur!H131="","",Moteur!H131)</f>
        <v>ALT</v>
      </c>
      <c r="F131" t="str">
        <f>IF(Moteur!E131="","",Moteur!E131)</f>
        <v>MBWAY</v>
      </c>
      <c r="G131">
        <f>IF($A131="","",_xlfn.SUMIFS(Socle!$H$1:$H$658,Socle!$C$1:$C$658,$A131,Socle!$D$1:$D$658,$C131,Socle!$E$1:$E$658,$D131,Socle!$F$1:$F$658,$E131,Socle!$G$1:$G$658,"2026"))</f>
        <v>0</v>
      </c>
      <c r="H131">
        <f>IF($A131="","",_xlfn.SUMIFS(Socle!$N$1:$N$658,Socle!$C$1:$C$658,$A131,Socle!$D$1:$D$658,$C131,Socle!$E$1:$E$658,$D131,Socle!$F$1:$F$658,$E131,Socle!$G$1:$G$658,"2026"))</f>
        <v>66</v>
      </c>
      <c r="I131">
        <f>IF($A131="","",_xlfn.SUMIFS(Socle!$P$1:$P$658,Socle!$C$1:$C$658,$A131,Socle!$D$1:$D$658,$C131,Socle!$E$1:$E$658,$D131,Socle!$F$1:$F$658,$E131,Socle!$G$1:$G$658,"2026"))</f>
        <v>7875</v>
      </c>
      <c r="J131">
        <f>IF($A131="","",_xlfn.SUMIFS(Socle!$W$1:$W$658,Socle!$C$1:$C$658,$A131,Socle!$D$1:$D$658,$C131,Socle!$E$1:$E$658,$D131,Socle!$F$1:$F$658,$E131,Socle!$G$1:$G$658,"2026"))</f>
        <v>0</v>
      </c>
      <c r="K131">
        <f>IF($A131="","",_xlfn.SUMIFS(Socle!$X$1:$X$658,Socle!$C$1:$C$658,$A131,Socle!$D$1:$D$658,$C131,Socle!$E$1:$E$658,$D131,Socle!$F$1:$F$658,$E131,Socle!$G$1:$G$658,"2026"))</f>
        <v>0</v>
      </c>
      <c r="L131">
        <f>IF($A131="","",_xlfn.SUMIFS(Socle!$Y$1:$Y$658,Socle!$C$1:$C$658,$A131,Socle!$D$1:$D$658,$C131,Socle!$E$1:$E$658,$D131,Socle!$F$1:$F$658,$E131,Socle!$G$1:$G$658,"2026"))</f>
        <v>0</v>
      </c>
      <c r="M131">
        <f>IF($A131="","",_xlfn.SUMIFS(Socle!$V$1:$V$658,Socle!$C$1:$C$658,$A131,Socle!$D$1:$D$658,$C131,Socle!$E$1:$E$658,$D131,Socle!$F$1:$F$658,$E131,Socle!$G$1:$G$658,"2026"))</f>
        <v>0.984848485</v>
      </c>
      <c r="N131">
        <f t="shared" si="0"/>
        <v>0</v>
      </c>
      <c r="O131">
        <f>IF($A131="","",_xlfn.SUMIFS(Campagne!$D$1:$D$141,Campagne!$C$1:$C$141,$A131))</f>
        <v>716</v>
      </c>
      <c r="P131">
        <f>IF($A131="","",_xlfn.SUMIFS(Campagne!$E$1:$E$141,Campagne!$C$1:$C$141,$A131))</f>
        <v>950</v>
      </c>
      <c r="Q131">
        <f>IF($A131="","",_xlfn.SUMIFS(Campagne!$F$1:$F$141,Campagne!$C$1:$C$141,$A131))</f>
        <v>1666</v>
      </c>
      <c r="R131">
        <f>IF($A131="","",_xlfn.SUMIFS(Campagne!$K$1:$K$141,Campagne!$C$1:$C$141,$A131))</f>
        <v>0.503912411</v>
      </c>
      <c r="S131">
        <f>IF($A131="","",_xlfn.SUMIFS(Campagne!$M$1:$M$141,Campagne!$C$1:$C$141,$A131))</f>
        <v>0.326593761</v>
      </c>
      <c r="T131">
        <f>IF($A131="","",_xlfn.SUMIFS(Pilotage!$K$19:$K$32,Pilotage!$A$19:$A$32,$A131)*_xlfn.SUMIFS(Pilotage!$J$19:$J$32,Pilotage!$A$19:$A$32,$A131)*(SUM(Pilotage!$K$19:$K$32)/SUMPRODUCT(Pilotage!$K$19:$K$32,Pilotage!$J$19:$J$32)))</f>
        <v>41783</v>
      </c>
      <c r="U131">
        <f>IF($A131="","",_xlfn.SUMIFS(Pilotage!$K$19:$K$32,Pilotage!$A$19:$A$32,$A131))</f>
        <v>41783</v>
      </c>
      <c r="V131">
        <f>IF($A131="","",IF($B131="V01",Cadrage!$C$23,IF($B131="V02",Cadrage!$D$23,Cadrage!$E$23)))</f>
        <v>-0.05</v>
      </c>
      <c r="W131">
        <f>IF($A131="","",IF($B131="V01",Cadrage!$C$24,IF($B131="V02",Cadrage!$D$24,Cadrage!$E$24)))</f>
        <v>-0.05</v>
      </c>
      <c r="X131">
        <f>IF($A131="","",IF($B131="V01",Cadrage!$C$25,IF($B131="V02",Cadrage!$D$25,Cadrage!$E$25)))</f>
        <v>0.02</v>
      </c>
      <c r="Y131">
        <f>IF($A131="","",IF($B131="V01",Cadrage!$C$26,IF($B131="V02",Cadrage!$D$26,Cadrage!$E$26)))</f>
        <v>-0.01</v>
      </c>
      <c r="Z131">
        <f>IF($A131="","",IF($B131="V01",Cadrage!$C$27,IF($B131="V02",Cadrage!$D$27,Cadrage!$E$27)))</f>
        <v>-0.01</v>
      </c>
      <c r="AA131">
        <f>IF($A131="","",IF($B131="V01",Cadrage!$C$28,IF($B131="V02",Cadrage!$D$28,Cadrage!$E$28)))</f>
        <v>-0.01</v>
      </c>
      <c r="AB131">
        <f>IF($A131="","",IF($B131="V01",Cadrage!$C$42,IF($B131="V02",Cadrage!$D$42,Cadrage!$E$42)))</f>
        <v>90</v>
      </c>
      <c r="AC131">
        <f>IF($A131="","",IF($F131="MBWAY",Cadrage!$K$34,IF($F131="ISCOM",Cadrage!$K$35,IF($F131="IPAC",Cadrage!$K$36,IF($F131="PIGIER",Cadrage!$K$37,Cadrage!$K$38)))))</f>
        <v>1.2</v>
      </c>
      <c r="AD131">
        <f t="shared" si="1"/>
        <v>0</v>
      </c>
      <c r="AE131">
        <f t="shared" si="2"/>
        <v>0</v>
      </c>
      <c r="AF131">
        <f t="shared" si="3"/>
        <v>64.34000001</v>
      </c>
      <c r="AG131">
        <f t="shared" si="4"/>
        <v>8064</v>
      </c>
      <c r="AH131">
        <f t="shared" si="5"/>
        <v>518837.76008064</v>
      </c>
    </row>
    <row r="132" ht="14.25" customHeight="1">
      <c r="A132" t="str">
        <f>IF(Moteur!D132="","",Moteur!D132)</f>
        <v>MBWAY_NAN</v>
      </c>
      <c r="B132" t="str">
        <f>IF(Moteur!B132="","",Moteur!B132)</f>
        <v>V03</v>
      </c>
      <c r="C132" t="str">
        <f>IF(Moteur!F132="","",Moteur!F132)</f>
        <v>BAC_MGT</v>
      </c>
      <c r="D132" t="str">
        <f>IF(Moteur!G132="","",Moteur!G132)</f>
        <v>B1</v>
      </c>
      <c r="E132" t="str">
        <f>IF(Moteur!H132="","",Moteur!H132)</f>
        <v>INIT</v>
      </c>
      <c r="F132" t="str">
        <f>IF(Moteur!E132="","",Moteur!E132)</f>
        <v>MBWAY</v>
      </c>
      <c r="G132">
        <f>IF($A132="","",_xlfn.SUMIFS(Socle!$H$1:$H$658,Socle!$C$1:$C$658,$A132,Socle!$D$1:$D$658,$C132,Socle!$E$1:$E$658,$D132,Socle!$F$1:$F$658,$E132,Socle!$G$1:$G$658,"2026"))</f>
        <v>496</v>
      </c>
      <c r="H132">
        <f>IF($A132="","",_xlfn.SUMIFS(Socle!$N$1:$N$658,Socle!$C$1:$C$658,$A132,Socle!$D$1:$D$658,$C132,Socle!$E$1:$E$658,$D132,Socle!$F$1:$F$658,$E132,Socle!$G$1:$G$658,"2026"))</f>
        <v>0</v>
      </c>
      <c r="I132">
        <f>IF($A132="","",_xlfn.SUMIFS(Socle!$P$1:$P$658,Socle!$C$1:$C$658,$A132,Socle!$D$1:$D$658,$C132,Socle!$E$1:$E$658,$D132,Socle!$F$1:$F$658,$E132,Socle!$G$1:$G$658,"2026"))</f>
        <v>7500</v>
      </c>
      <c r="J132">
        <f>IF($A132="","",_xlfn.SUMIFS(Socle!$W$1:$W$658,Socle!$C$1:$C$658,$A132,Socle!$D$1:$D$658,$C132,Socle!$E$1:$E$658,$D132,Socle!$F$1:$F$658,$E132,Socle!$G$1:$G$658,"2026"))</f>
        <v>0.280241935</v>
      </c>
      <c r="K132">
        <f>IF($A132="","",_xlfn.SUMIFS(Socle!$X$1:$X$658,Socle!$C$1:$C$658,$A132,Socle!$D$1:$D$658,$C132,Socle!$E$1:$E$658,$D132,Socle!$F$1:$F$658,$E132,Socle!$G$1:$G$658,"2026"))</f>
        <v>0.71942446</v>
      </c>
      <c r="L132">
        <f>IF($A132="","",_xlfn.SUMIFS(Socle!$Y$1:$Y$658,Socle!$C$1:$C$658,$A132,Socle!$D$1:$D$658,$C132,Socle!$E$1:$E$658,$D132,Socle!$F$1:$F$658,$E132,Socle!$G$1:$G$658,"2026"))</f>
        <v>0.6</v>
      </c>
      <c r="M132">
        <f>IF($A132="","",_xlfn.SUMIFS(Socle!$V$1:$V$658,Socle!$C$1:$C$658,$A132,Socle!$D$1:$D$658,$C132,Socle!$E$1:$E$658,$D132,Socle!$F$1:$F$658,$E132,Socle!$G$1:$G$658,"2026"))</f>
        <v>0</v>
      </c>
      <c r="N132">
        <f t="shared" si="0"/>
        <v>1</v>
      </c>
      <c r="O132">
        <f>IF($A132="","",_xlfn.SUMIFS(Campagne!$D$1:$D$141,Campagne!$C$1:$C$141,$A132))</f>
        <v>728</v>
      </c>
      <c r="P132">
        <f>IF($A132="","",_xlfn.SUMIFS(Campagne!$E$1:$E$141,Campagne!$C$1:$C$141,$A132))</f>
        <v>788</v>
      </c>
      <c r="Q132">
        <f>IF($A132="","",_xlfn.SUMIFS(Campagne!$F$1:$F$141,Campagne!$C$1:$C$141,$A132))</f>
        <v>1516</v>
      </c>
      <c r="R132">
        <f>IF($A132="","",_xlfn.SUMIFS(Campagne!$K$1:$K$141,Campagne!$C$1:$C$141,$A132))</f>
        <v>0.524655642</v>
      </c>
      <c r="S132">
        <f>IF($A132="","",_xlfn.SUMIFS(Campagne!$M$1:$M$141,Campagne!$C$1:$C$141,$A132))</f>
        <v>0.343450594</v>
      </c>
      <c r="T132">
        <f>IF($A132="","",_xlfn.SUMIFS(Pilotage!$K$19:$K$32,Pilotage!$A$19:$A$32,$A132)*_xlfn.SUMIFS(Pilotage!$J$19:$J$32,Pilotage!$A$19:$A$32,$A132)*(SUM(Pilotage!$K$19:$K$32)/SUMPRODUCT(Pilotage!$K$19:$K$32,Pilotage!$J$19:$J$32)))</f>
        <v>31533</v>
      </c>
      <c r="U132">
        <f>IF($A132="","",_xlfn.SUMIFS(Pilotage!$K$19:$K$32,Pilotage!$A$19:$A$32,$A132))</f>
        <v>31533</v>
      </c>
      <c r="V132">
        <f>IF($A132="","",IF($B132="V01",Cadrage!$C$23,IF($B132="V02",Cadrage!$D$23,Cadrage!$E$23)))</f>
        <v>-0.05</v>
      </c>
      <c r="W132">
        <f>IF($A132="","",IF($B132="V01",Cadrage!$C$24,IF($B132="V02",Cadrage!$D$24,Cadrage!$E$24)))</f>
        <v>-0.05</v>
      </c>
      <c r="X132">
        <f>IF($A132="","",IF($B132="V01",Cadrage!$C$25,IF($B132="V02",Cadrage!$D$25,Cadrage!$E$25)))</f>
        <v>0.02</v>
      </c>
      <c r="Y132">
        <f>IF($A132="","",IF($B132="V01",Cadrage!$C$26,IF($B132="V02",Cadrage!$D$26,Cadrage!$E$26)))</f>
        <v>-0.01</v>
      </c>
      <c r="Z132">
        <f>IF($A132="","",IF($B132="V01",Cadrage!$C$27,IF($B132="V02",Cadrage!$D$27,Cadrage!$E$27)))</f>
        <v>-0.01</v>
      </c>
      <c r="AA132">
        <f>IF($A132="","",IF($B132="V01",Cadrage!$C$28,IF($B132="V02",Cadrage!$D$28,Cadrage!$E$28)))</f>
        <v>-0.01</v>
      </c>
      <c r="AB132">
        <f>IF($A132="","",IF($B132="V01",Cadrage!$C$42,IF($B132="V02",Cadrage!$D$42,Cadrage!$E$42)))</f>
        <v>90</v>
      </c>
      <c r="AC132">
        <f>IF($A132="","",IF($F132="MBWAY",Cadrage!$K$34,IF($F132="ISCOM",Cadrage!$K$35,IF($F132="IPAC",Cadrage!$K$36,IF($F132="PIGIER",Cadrage!$K$37,Cadrage!$K$38)))))</f>
        <v>1.2</v>
      </c>
      <c r="AD132">
        <f t="shared" si="1"/>
        <v>55.6323357149238</v>
      </c>
      <c r="AE132">
        <f t="shared" si="2"/>
        <v>55.6323357149238</v>
      </c>
      <c r="AF132">
        <f t="shared" si="3"/>
        <v>55.6323357149238</v>
      </c>
      <c r="AG132">
        <f t="shared" si="4"/>
        <v>7680</v>
      </c>
      <c r="AH132">
        <f t="shared" si="5"/>
        <v>432263.248504958</v>
      </c>
    </row>
    <row r="133" ht="14.25" customHeight="1">
      <c r="A133" t="str">
        <f>IF(Moteur!D133="","",Moteur!D133)</f>
        <v>MBWAY_NAN</v>
      </c>
      <c r="B133" t="str">
        <f>IF(Moteur!B133="","",Moteur!B133)</f>
        <v>V03</v>
      </c>
      <c r="C133" t="str">
        <f>IF(Moteur!F133="","",Moteur!F133)</f>
        <v>BAC_MGT</v>
      </c>
      <c r="D133" t="str">
        <f>IF(Moteur!G133="","",Moteur!G133)</f>
        <v>B2</v>
      </c>
      <c r="E133" t="str">
        <f>IF(Moteur!H133="","",Moteur!H133)</f>
        <v>ALT</v>
      </c>
      <c r="F133" t="str">
        <f>IF(Moteur!E133="","",Moteur!E133)</f>
        <v>MBWAY</v>
      </c>
      <c r="G133">
        <f>IF($A133="","",_xlfn.SUMIFS(Socle!$H$1:$H$658,Socle!$C$1:$C$658,$A133,Socle!$D$1:$D$658,$C133,Socle!$E$1:$E$658,$D133,Socle!$F$1:$F$658,$E133,Socle!$G$1:$G$658,"2026"))</f>
        <v>0</v>
      </c>
      <c r="H133">
        <f>IF($A133="","",_xlfn.SUMIFS(Socle!$N$1:$N$658,Socle!$C$1:$C$658,$A133,Socle!$D$1:$D$658,$C133,Socle!$E$1:$E$658,$D133,Socle!$F$1:$F$658,$E133,Socle!$G$1:$G$658,"2026"))</f>
        <v>60</v>
      </c>
      <c r="I133">
        <f>IF($A133="","",_xlfn.SUMIFS(Socle!$P$1:$P$658,Socle!$C$1:$C$658,$A133,Socle!$D$1:$D$658,$C133,Socle!$E$1:$E$658,$D133,Socle!$F$1:$F$658,$E133,Socle!$G$1:$G$658,"2026"))</f>
        <v>7000</v>
      </c>
      <c r="J133">
        <f>IF($A133="","",_xlfn.SUMIFS(Socle!$W$1:$W$658,Socle!$C$1:$C$658,$A133,Socle!$D$1:$D$658,$C133,Socle!$E$1:$E$658,$D133,Socle!$F$1:$F$658,$E133,Socle!$G$1:$G$658,"2026"))</f>
        <v>0</v>
      </c>
      <c r="K133">
        <f>IF($A133="","",_xlfn.SUMIFS(Socle!$X$1:$X$658,Socle!$C$1:$C$658,$A133,Socle!$D$1:$D$658,$C133,Socle!$E$1:$E$658,$D133,Socle!$F$1:$F$658,$E133,Socle!$G$1:$G$658,"2026"))</f>
        <v>0</v>
      </c>
      <c r="L133">
        <f>IF($A133="","",_xlfn.SUMIFS(Socle!$Y$1:$Y$658,Socle!$C$1:$C$658,$A133,Socle!$D$1:$D$658,$C133,Socle!$E$1:$E$658,$D133,Socle!$F$1:$F$658,$E133,Socle!$G$1:$G$658,"2026"))</f>
        <v>0</v>
      </c>
      <c r="M133">
        <f>IF($A133="","",_xlfn.SUMIFS(Socle!$V$1:$V$658,Socle!$C$1:$C$658,$A133,Socle!$D$1:$D$658,$C133,Socle!$E$1:$E$658,$D133,Socle!$F$1:$F$658,$E133,Socle!$G$1:$G$658,"2026"))</f>
        <v>0.966666667</v>
      </c>
      <c r="N133">
        <f t="shared" si="0"/>
        <v>0</v>
      </c>
      <c r="O133">
        <f>IF($A133="","",_xlfn.SUMIFS(Campagne!$D$1:$D$141,Campagne!$C$1:$C$141,$A133))</f>
        <v>728</v>
      </c>
      <c r="P133">
        <f>IF($A133="","",_xlfn.SUMIFS(Campagne!$E$1:$E$141,Campagne!$C$1:$C$141,$A133))</f>
        <v>788</v>
      </c>
      <c r="Q133">
        <f>IF($A133="","",_xlfn.SUMIFS(Campagne!$F$1:$F$141,Campagne!$C$1:$C$141,$A133))</f>
        <v>1516</v>
      </c>
      <c r="R133">
        <f>IF($A133="","",_xlfn.SUMIFS(Campagne!$K$1:$K$141,Campagne!$C$1:$C$141,$A133))</f>
        <v>0.524655642</v>
      </c>
      <c r="S133">
        <f>IF($A133="","",_xlfn.SUMIFS(Campagne!$M$1:$M$141,Campagne!$C$1:$C$141,$A133))</f>
        <v>0.343450594</v>
      </c>
      <c r="T133">
        <f>IF($A133="","",_xlfn.SUMIFS(Pilotage!$K$19:$K$32,Pilotage!$A$19:$A$32,$A133)*_xlfn.SUMIFS(Pilotage!$J$19:$J$32,Pilotage!$A$19:$A$32,$A133)*(SUM(Pilotage!$K$19:$K$32)/SUMPRODUCT(Pilotage!$K$19:$K$32,Pilotage!$J$19:$J$32)))</f>
        <v>31533</v>
      </c>
      <c r="U133">
        <f>IF($A133="","",_xlfn.SUMIFS(Pilotage!$K$19:$K$32,Pilotage!$A$19:$A$32,$A133))</f>
        <v>31533</v>
      </c>
      <c r="V133">
        <f>IF($A133="","",IF($B133="V01",Cadrage!$C$23,IF($B133="V02",Cadrage!$D$23,Cadrage!$E$23)))</f>
        <v>-0.05</v>
      </c>
      <c r="W133">
        <f>IF($A133="","",IF($B133="V01",Cadrage!$C$24,IF($B133="V02",Cadrage!$D$24,Cadrage!$E$24)))</f>
        <v>-0.05</v>
      </c>
      <c r="X133">
        <f>IF($A133="","",IF($B133="V01",Cadrage!$C$25,IF($B133="V02",Cadrage!$D$25,Cadrage!$E$25)))</f>
        <v>0.02</v>
      </c>
      <c r="Y133">
        <f>IF($A133="","",IF($B133="V01",Cadrage!$C$26,IF($B133="V02",Cadrage!$D$26,Cadrage!$E$26)))</f>
        <v>-0.01</v>
      </c>
      <c r="Z133">
        <f>IF($A133="","",IF($B133="V01",Cadrage!$C$27,IF($B133="V02",Cadrage!$D$27,Cadrage!$E$27)))</f>
        <v>-0.01</v>
      </c>
      <c r="AA133">
        <f>IF($A133="","",IF($B133="V01",Cadrage!$C$28,IF($B133="V02",Cadrage!$D$28,Cadrage!$E$28)))</f>
        <v>-0.01</v>
      </c>
      <c r="AB133">
        <f>IF($A133="","",IF($B133="V01",Cadrage!$C$42,IF($B133="V02",Cadrage!$D$42,Cadrage!$E$42)))</f>
        <v>90</v>
      </c>
      <c r="AC133">
        <f>IF($A133="","",IF($F133="MBWAY",Cadrage!$K$34,IF($F133="ISCOM",Cadrage!$K$35,IF($F133="IPAC",Cadrage!$K$36,IF($F133="PIGIER",Cadrage!$K$37,Cadrage!$K$38)))))</f>
        <v>1.2</v>
      </c>
      <c r="AD133">
        <f t="shared" si="1"/>
        <v>0</v>
      </c>
      <c r="AE133">
        <f t="shared" si="2"/>
        <v>0</v>
      </c>
      <c r="AF133">
        <f t="shared" si="3"/>
        <v>57.40000002</v>
      </c>
      <c r="AG133">
        <f t="shared" si="4"/>
        <v>7168</v>
      </c>
      <c r="AH133">
        <f t="shared" si="5"/>
        <v>411443.20014336</v>
      </c>
    </row>
    <row r="134" ht="14.25" customHeight="1">
      <c r="A134" t="str">
        <f>IF(Moteur!D134="","",Moteur!D134)</f>
        <v>MBWAY_NAN</v>
      </c>
      <c r="B134" t="str">
        <f>IF(Moteur!B134="","",Moteur!B134)</f>
        <v>V03</v>
      </c>
      <c r="C134" t="str">
        <f>IF(Moteur!F134="","",Moteur!F134)</f>
        <v>BAC_MGT</v>
      </c>
      <c r="D134" t="str">
        <f>IF(Moteur!G134="","",Moteur!G134)</f>
        <v>B3</v>
      </c>
      <c r="E134" t="str">
        <f>IF(Moteur!H134="","",Moteur!H134)</f>
        <v>ALT</v>
      </c>
      <c r="F134" t="str">
        <f>IF(Moteur!E134="","",Moteur!E134)</f>
        <v>MBWAY</v>
      </c>
      <c r="G134">
        <f>IF($A134="","",_xlfn.SUMIFS(Socle!$H$1:$H$658,Socle!$C$1:$C$658,$A134,Socle!$D$1:$D$658,$C134,Socle!$E$1:$E$658,$D134,Socle!$F$1:$F$658,$E134,Socle!$G$1:$G$658,"2026"))</f>
        <v>0</v>
      </c>
      <c r="H134">
        <f>IF($A134="","",_xlfn.SUMIFS(Socle!$N$1:$N$658,Socle!$C$1:$C$658,$A134,Socle!$D$1:$D$658,$C134,Socle!$E$1:$E$658,$D134,Socle!$F$1:$F$658,$E134,Socle!$G$1:$G$658,"2026"))</f>
        <v>58</v>
      </c>
      <c r="I134">
        <f>IF($A134="","",_xlfn.SUMIFS(Socle!$P$1:$P$658,Socle!$C$1:$C$658,$A134,Socle!$D$1:$D$658,$C134,Socle!$E$1:$E$658,$D134,Socle!$F$1:$F$658,$E134,Socle!$G$1:$G$658,"2026"))</f>
        <v>7000</v>
      </c>
      <c r="J134">
        <f>IF($A134="","",_xlfn.SUMIFS(Socle!$W$1:$W$658,Socle!$C$1:$C$658,$A134,Socle!$D$1:$D$658,$C134,Socle!$E$1:$E$658,$D134,Socle!$F$1:$F$658,$E134,Socle!$G$1:$G$658,"2026"))</f>
        <v>0</v>
      </c>
      <c r="K134">
        <f>IF($A134="","",_xlfn.SUMIFS(Socle!$X$1:$X$658,Socle!$C$1:$C$658,$A134,Socle!$D$1:$D$658,$C134,Socle!$E$1:$E$658,$D134,Socle!$F$1:$F$658,$E134,Socle!$G$1:$G$658,"2026"))</f>
        <v>0</v>
      </c>
      <c r="L134">
        <f>IF($A134="","",_xlfn.SUMIFS(Socle!$Y$1:$Y$658,Socle!$C$1:$C$658,$A134,Socle!$D$1:$D$658,$C134,Socle!$E$1:$E$658,$D134,Socle!$F$1:$F$658,$E134,Socle!$G$1:$G$658,"2026"))</f>
        <v>0</v>
      </c>
      <c r="M134">
        <f>IF($A134="","",_xlfn.SUMIFS(Socle!$V$1:$V$658,Socle!$C$1:$C$658,$A134,Socle!$D$1:$D$658,$C134,Socle!$E$1:$E$658,$D134,Socle!$F$1:$F$658,$E134,Socle!$G$1:$G$658,"2026"))</f>
        <v>0.982758621</v>
      </c>
      <c r="N134">
        <f t="shared" si="0"/>
        <v>0</v>
      </c>
      <c r="O134">
        <f>IF($A134="","",_xlfn.SUMIFS(Campagne!$D$1:$D$141,Campagne!$C$1:$C$141,$A134))</f>
        <v>728</v>
      </c>
      <c r="P134">
        <f>IF($A134="","",_xlfn.SUMIFS(Campagne!$E$1:$E$141,Campagne!$C$1:$C$141,$A134))</f>
        <v>788</v>
      </c>
      <c r="Q134">
        <f>IF($A134="","",_xlfn.SUMIFS(Campagne!$F$1:$F$141,Campagne!$C$1:$C$141,$A134))</f>
        <v>1516</v>
      </c>
      <c r="R134">
        <f>IF($A134="","",_xlfn.SUMIFS(Campagne!$K$1:$K$141,Campagne!$C$1:$C$141,$A134))</f>
        <v>0.524655642</v>
      </c>
      <c r="S134">
        <f>IF($A134="","",_xlfn.SUMIFS(Campagne!$M$1:$M$141,Campagne!$C$1:$C$141,$A134))</f>
        <v>0.343450594</v>
      </c>
      <c r="T134">
        <f>IF($A134="","",_xlfn.SUMIFS(Pilotage!$K$19:$K$32,Pilotage!$A$19:$A$32,$A134)*_xlfn.SUMIFS(Pilotage!$J$19:$J$32,Pilotage!$A$19:$A$32,$A134)*(SUM(Pilotage!$K$19:$K$32)/SUMPRODUCT(Pilotage!$K$19:$K$32,Pilotage!$J$19:$J$32)))</f>
        <v>31533</v>
      </c>
      <c r="U134">
        <f>IF($A134="","",_xlfn.SUMIFS(Pilotage!$K$19:$K$32,Pilotage!$A$19:$A$32,$A134))</f>
        <v>31533</v>
      </c>
      <c r="V134">
        <f>IF($A134="","",IF($B134="V01",Cadrage!$C$23,IF($B134="V02",Cadrage!$D$23,Cadrage!$E$23)))</f>
        <v>-0.05</v>
      </c>
      <c r="W134">
        <f>IF($A134="","",IF($B134="V01",Cadrage!$C$24,IF($B134="V02",Cadrage!$D$24,Cadrage!$E$24)))</f>
        <v>-0.05</v>
      </c>
      <c r="X134">
        <f>IF($A134="","",IF($B134="V01",Cadrage!$C$25,IF($B134="V02",Cadrage!$D$25,Cadrage!$E$25)))</f>
        <v>0.02</v>
      </c>
      <c r="Y134">
        <f>IF($A134="","",IF($B134="V01",Cadrage!$C$26,IF($B134="V02",Cadrage!$D$26,Cadrage!$E$26)))</f>
        <v>-0.01</v>
      </c>
      <c r="Z134">
        <f>IF($A134="","",IF($B134="V01",Cadrage!$C$27,IF($B134="V02",Cadrage!$D$27,Cadrage!$E$27)))</f>
        <v>-0.01</v>
      </c>
      <c r="AA134">
        <f>IF($A134="","",IF($B134="V01",Cadrage!$C$28,IF($B134="V02",Cadrage!$D$28,Cadrage!$E$28)))</f>
        <v>-0.01</v>
      </c>
      <c r="AB134">
        <f>IF($A134="","",IF($B134="V01",Cadrage!$C$42,IF($B134="V02",Cadrage!$D$42,Cadrage!$E$42)))</f>
        <v>90</v>
      </c>
      <c r="AC134">
        <f>IF($A134="","",IF($F134="MBWAY",Cadrage!$K$34,IF($F134="ISCOM",Cadrage!$K$35,IF($F134="IPAC",Cadrage!$K$36,IF($F134="PIGIER",Cadrage!$K$37,Cadrage!$K$38)))))</f>
        <v>1.2</v>
      </c>
      <c r="AD134">
        <f t="shared" si="1"/>
        <v>0</v>
      </c>
      <c r="AE134">
        <f t="shared" si="2"/>
        <v>0</v>
      </c>
      <c r="AF134">
        <f t="shared" si="3"/>
        <v>56.420000018</v>
      </c>
      <c r="AG134">
        <f t="shared" si="4"/>
        <v>7168</v>
      </c>
      <c r="AH134">
        <f t="shared" si="5"/>
        <v>404418.560129024</v>
      </c>
    </row>
    <row r="135" ht="14.25" customHeight="1">
      <c r="A135" t="str">
        <f>IF(Moteur!D135="","",Moteur!D135)</f>
        <v>MBWAY_NAN</v>
      </c>
      <c r="B135" t="str">
        <f>IF(Moteur!B135="","",Moteur!B135)</f>
        <v>V03</v>
      </c>
      <c r="C135" t="str">
        <f>IF(Moteur!F135="","",Moteur!F135)</f>
        <v>MAS_MGT</v>
      </c>
      <c r="D135" t="str">
        <f>IF(Moteur!G135="","",Moteur!G135)</f>
        <v>M1</v>
      </c>
      <c r="E135" t="str">
        <f>IF(Moteur!H135="","",Moteur!H135)</f>
        <v>ALT</v>
      </c>
      <c r="F135" t="str">
        <f>IF(Moteur!E135="","",Moteur!E135)</f>
        <v>MBWAY</v>
      </c>
      <c r="G135">
        <f>IF($A135="","",_xlfn.SUMIFS(Socle!$H$1:$H$658,Socle!$C$1:$C$658,$A135,Socle!$D$1:$D$658,$C135,Socle!$E$1:$E$658,$D135,Socle!$F$1:$F$658,$E135,Socle!$G$1:$G$658,"2026"))</f>
        <v>1020</v>
      </c>
      <c r="H135">
        <f>IF($A135="","",_xlfn.SUMIFS(Socle!$N$1:$N$658,Socle!$C$1:$C$658,$A135,Socle!$D$1:$D$658,$C135,Socle!$E$1:$E$658,$D135,Socle!$F$1:$F$658,$E135,Socle!$G$1:$G$658,"2026"))</f>
        <v>0</v>
      </c>
      <c r="I135">
        <f>IF($A135="","",_xlfn.SUMIFS(Socle!$P$1:$P$658,Socle!$C$1:$C$658,$A135,Socle!$D$1:$D$658,$C135,Socle!$E$1:$E$658,$D135,Socle!$F$1:$F$658,$E135,Socle!$G$1:$G$658,"2026"))</f>
        <v>7500</v>
      </c>
      <c r="J135">
        <f>IF($A135="","",_xlfn.SUMIFS(Socle!$W$1:$W$658,Socle!$C$1:$C$658,$A135,Socle!$D$1:$D$658,$C135,Socle!$E$1:$E$658,$D135,Socle!$F$1:$F$658,$E135,Socle!$G$1:$G$658,"2026"))</f>
        <v>0.2</v>
      </c>
      <c r="K135">
        <f>IF($A135="","",_xlfn.SUMIFS(Socle!$X$1:$X$658,Socle!$C$1:$C$658,$A135,Socle!$D$1:$D$658,$C135,Socle!$E$1:$E$658,$D135,Socle!$F$1:$F$658,$E135,Socle!$G$1:$G$658,"2026"))</f>
        <v>0.700980392</v>
      </c>
      <c r="L135">
        <f>IF($A135="","",_xlfn.SUMIFS(Socle!$Y$1:$Y$658,Socle!$C$1:$C$658,$A135,Socle!$D$1:$D$658,$C135,Socle!$E$1:$E$658,$D135,Socle!$F$1:$F$658,$E135,Socle!$G$1:$G$658,"2026"))</f>
        <v>0.41958042</v>
      </c>
      <c r="M135">
        <f>IF($A135="","",_xlfn.SUMIFS(Socle!$V$1:$V$658,Socle!$C$1:$C$658,$A135,Socle!$D$1:$D$658,$C135,Socle!$E$1:$E$658,$D135,Socle!$F$1:$F$658,$E135,Socle!$G$1:$G$658,"2026"))</f>
        <v>0</v>
      </c>
      <c r="N135">
        <f t="shared" si="0"/>
        <v>1</v>
      </c>
      <c r="O135">
        <f>IF($A135="","",_xlfn.SUMIFS(Campagne!$D$1:$D$141,Campagne!$C$1:$C$141,$A135))</f>
        <v>728</v>
      </c>
      <c r="P135">
        <f>IF($A135="","",_xlfn.SUMIFS(Campagne!$E$1:$E$141,Campagne!$C$1:$C$141,$A135))</f>
        <v>788</v>
      </c>
      <c r="Q135">
        <f>IF($A135="","",_xlfn.SUMIFS(Campagne!$F$1:$F$141,Campagne!$C$1:$C$141,$A135))</f>
        <v>1516</v>
      </c>
      <c r="R135">
        <f>IF($A135="","",_xlfn.SUMIFS(Campagne!$K$1:$K$141,Campagne!$C$1:$C$141,$A135))</f>
        <v>0.524655642</v>
      </c>
      <c r="S135">
        <f>IF($A135="","",_xlfn.SUMIFS(Campagne!$M$1:$M$141,Campagne!$C$1:$C$141,$A135))</f>
        <v>0.343450594</v>
      </c>
      <c r="T135">
        <f>IF($A135="","",_xlfn.SUMIFS(Pilotage!$K$19:$K$32,Pilotage!$A$19:$A$32,$A135)*_xlfn.SUMIFS(Pilotage!$J$19:$J$32,Pilotage!$A$19:$A$32,$A135)*(SUM(Pilotage!$K$19:$K$32)/SUMPRODUCT(Pilotage!$K$19:$K$32,Pilotage!$J$19:$J$32)))</f>
        <v>31533</v>
      </c>
      <c r="U135">
        <f>IF($A135="","",_xlfn.SUMIFS(Pilotage!$K$19:$K$32,Pilotage!$A$19:$A$32,$A135))</f>
        <v>31533</v>
      </c>
      <c r="V135">
        <f>IF($A135="","",IF($B135="V01",Cadrage!$C$23,IF($B135="V02",Cadrage!$D$23,Cadrage!$E$23)))</f>
        <v>-0.05</v>
      </c>
      <c r="W135">
        <f>IF($A135="","",IF($B135="V01",Cadrage!$C$24,IF($B135="V02",Cadrage!$D$24,Cadrage!$E$24)))</f>
        <v>-0.05</v>
      </c>
      <c r="X135">
        <f>IF($A135="","",IF($B135="V01",Cadrage!$C$25,IF($B135="V02",Cadrage!$D$25,Cadrage!$E$25)))</f>
        <v>0.02</v>
      </c>
      <c r="Y135">
        <f>IF($A135="","",IF($B135="V01",Cadrage!$C$26,IF($B135="V02",Cadrage!$D$26,Cadrage!$E$26)))</f>
        <v>-0.01</v>
      </c>
      <c r="Z135">
        <f>IF($A135="","",IF($B135="V01",Cadrage!$C$27,IF($B135="V02",Cadrage!$D$27,Cadrage!$E$27)))</f>
        <v>-0.01</v>
      </c>
      <c r="AA135">
        <f>IF($A135="","",IF($B135="V01",Cadrage!$C$28,IF($B135="V02",Cadrage!$D$28,Cadrage!$E$28)))</f>
        <v>-0.01</v>
      </c>
      <c r="AB135">
        <f>IF($A135="","",IF($B135="V01",Cadrage!$C$42,IF($B135="V02",Cadrage!$D$42,Cadrage!$E$42)))</f>
        <v>90</v>
      </c>
      <c r="AC135">
        <f>IF($A135="","",IF($F135="MBWAY",Cadrage!$K$34,IF($F135="ISCOM",Cadrage!$K$35,IF($F135="IPAC",Cadrage!$K$36,IF($F135="PIGIER",Cadrage!$K$37,Cadrage!$K$38)))))</f>
        <v>1.2</v>
      </c>
      <c r="AD135">
        <f t="shared" si="1"/>
        <v>54.406964255654</v>
      </c>
      <c r="AE135">
        <f t="shared" si="2"/>
        <v>54.406964255654</v>
      </c>
      <c r="AF135">
        <f t="shared" si="3"/>
        <v>54.406964255654</v>
      </c>
      <c r="AG135">
        <f t="shared" si="4"/>
        <v>7680</v>
      </c>
      <c r="AH135">
        <f t="shared" si="5"/>
        <v>422742.112266432</v>
      </c>
    </row>
    <row r="136" ht="14.25" customHeight="1">
      <c r="A136" t="str">
        <f>IF(Moteur!D136="","",Moteur!D136)</f>
        <v>MBWAY_NAN</v>
      </c>
      <c r="B136" t="str">
        <f>IF(Moteur!B136="","",Moteur!B136)</f>
        <v>V03</v>
      </c>
      <c r="C136" t="str">
        <f>IF(Moteur!F136="","",Moteur!F136)</f>
        <v>MAS_MGT</v>
      </c>
      <c r="D136" t="str">
        <f>IF(Moteur!G136="","",Moteur!G136)</f>
        <v>M2</v>
      </c>
      <c r="E136" t="str">
        <f>IF(Moteur!H136="","",Moteur!H136)</f>
        <v>ALT</v>
      </c>
      <c r="F136" t="str">
        <f>IF(Moteur!E136="","",Moteur!E136)</f>
        <v>MBWAY</v>
      </c>
      <c r="G136">
        <f>IF($A136="","",_xlfn.SUMIFS(Socle!$H$1:$H$658,Socle!$C$1:$C$658,$A136,Socle!$D$1:$D$658,$C136,Socle!$E$1:$E$658,$D136,Socle!$F$1:$F$658,$E136,Socle!$G$1:$G$658,"2026"))</f>
        <v>0</v>
      </c>
      <c r="H136">
        <f>IF($A136="","",_xlfn.SUMIFS(Socle!$N$1:$N$658,Socle!$C$1:$C$658,$A136,Socle!$D$1:$D$658,$C136,Socle!$E$1:$E$658,$D136,Socle!$F$1:$F$658,$E136,Socle!$G$1:$G$658,"2026"))</f>
        <v>60</v>
      </c>
      <c r="I136">
        <f>IF($A136="","",_xlfn.SUMIFS(Socle!$P$1:$P$658,Socle!$C$1:$C$658,$A136,Socle!$D$1:$D$658,$C136,Socle!$E$1:$E$658,$D136,Socle!$F$1:$F$658,$E136,Socle!$G$1:$G$658,"2026"))</f>
        <v>7500</v>
      </c>
      <c r="J136">
        <f>IF($A136="","",_xlfn.SUMIFS(Socle!$W$1:$W$658,Socle!$C$1:$C$658,$A136,Socle!$D$1:$D$658,$C136,Socle!$E$1:$E$658,$D136,Socle!$F$1:$F$658,$E136,Socle!$G$1:$G$658,"2026"))</f>
        <v>0</v>
      </c>
      <c r="K136">
        <f>IF($A136="","",_xlfn.SUMIFS(Socle!$X$1:$X$658,Socle!$C$1:$C$658,$A136,Socle!$D$1:$D$658,$C136,Socle!$E$1:$E$658,$D136,Socle!$F$1:$F$658,$E136,Socle!$G$1:$G$658,"2026"))</f>
        <v>0</v>
      </c>
      <c r="L136">
        <f>IF($A136="","",_xlfn.SUMIFS(Socle!$Y$1:$Y$658,Socle!$C$1:$C$658,$A136,Socle!$D$1:$D$658,$C136,Socle!$E$1:$E$658,$D136,Socle!$F$1:$F$658,$E136,Socle!$G$1:$G$658,"2026"))</f>
        <v>0</v>
      </c>
      <c r="M136">
        <f>IF($A136="","",_xlfn.SUMIFS(Socle!$V$1:$V$658,Socle!$C$1:$C$658,$A136,Socle!$D$1:$D$658,$C136,Socle!$E$1:$E$658,$D136,Socle!$F$1:$F$658,$E136,Socle!$G$1:$G$658,"2026"))</f>
        <v>0.983333333</v>
      </c>
      <c r="N136">
        <f t="shared" si="0"/>
        <v>0</v>
      </c>
      <c r="O136">
        <f>IF($A136="","",_xlfn.SUMIFS(Campagne!$D$1:$D$141,Campagne!$C$1:$C$141,$A136))</f>
        <v>728</v>
      </c>
      <c r="P136">
        <f>IF($A136="","",_xlfn.SUMIFS(Campagne!$E$1:$E$141,Campagne!$C$1:$C$141,$A136))</f>
        <v>788</v>
      </c>
      <c r="Q136">
        <f>IF($A136="","",_xlfn.SUMIFS(Campagne!$F$1:$F$141,Campagne!$C$1:$C$141,$A136))</f>
        <v>1516</v>
      </c>
      <c r="R136">
        <f>IF($A136="","",_xlfn.SUMIFS(Campagne!$K$1:$K$141,Campagne!$C$1:$C$141,$A136))</f>
        <v>0.524655642</v>
      </c>
      <c r="S136">
        <f>IF($A136="","",_xlfn.SUMIFS(Campagne!$M$1:$M$141,Campagne!$C$1:$C$141,$A136))</f>
        <v>0.343450594</v>
      </c>
      <c r="T136">
        <f>IF($A136="","",_xlfn.SUMIFS(Pilotage!$K$19:$K$32,Pilotage!$A$19:$A$32,$A136)*_xlfn.SUMIFS(Pilotage!$J$19:$J$32,Pilotage!$A$19:$A$32,$A136)*(SUM(Pilotage!$K$19:$K$32)/SUMPRODUCT(Pilotage!$K$19:$K$32,Pilotage!$J$19:$J$32)))</f>
        <v>31533</v>
      </c>
      <c r="U136">
        <f>IF($A136="","",_xlfn.SUMIFS(Pilotage!$K$19:$K$32,Pilotage!$A$19:$A$32,$A136))</f>
        <v>31533</v>
      </c>
      <c r="V136">
        <f>IF($A136="","",IF($B136="V01",Cadrage!$C$23,IF($B136="V02",Cadrage!$D$23,Cadrage!$E$23)))</f>
        <v>-0.05</v>
      </c>
      <c r="W136">
        <f>IF($A136="","",IF($B136="V01",Cadrage!$C$24,IF($B136="V02",Cadrage!$D$24,Cadrage!$E$24)))</f>
        <v>-0.05</v>
      </c>
      <c r="X136">
        <f>IF($A136="","",IF($B136="V01",Cadrage!$C$25,IF($B136="V02",Cadrage!$D$25,Cadrage!$E$25)))</f>
        <v>0.02</v>
      </c>
      <c r="Y136">
        <f>IF($A136="","",IF($B136="V01",Cadrage!$C$26,IF($B136="V02",Cadrage!$D$26,Cadrage!$E$26)))</f>
        <v>-0.01</v>
      </c>
      <c r="Z136">
        <f>IF($A136="","",IF($B136="V01",Cadrage!$C$27,IF($B136="V02",Cadrage!$D$27,Cadrage!$E$27)))</f>
        <v>-0.01</v>
      </c>
      <c r="AA136">
        <f>IF($A136="","",IF($B136="V01",Cadrage!$C$28,IF($B136="V02",Cadrage!$D$28,Cadrage!$E$28)))</f>
        <v>-0.01</v>
      </c>
      <c r="AB136">
        <f>IF($A136="","",IF($B136="V01",Cadrage!$C$42,IF($B136="V02",Cadrage!$D$42,Cadrage!$E$42)))</f>
        <v>90</v>
      </c>
      <c r="AC136">
        <f>IF($A136="","",IF($F136="MBWAY",Cadrage!$K$34,IF($F136="ISCOM",Cadrage!$K$35,IF($F136="IPAC",Cadrage!$K$36,IF($F136="PIGIER",Cadrage!$K$37,Cadrage!$K$38)))))</f>
        <v>1.2</v>
      </c>
      <c r="AD136">
        <f t="shared" si="1"/>
        <v>0</v>
      </c>
      <c r="AE136">
        <f t="shared" si="2"/>
        <v>0</v>
      </c>
      <c r="AF136">
        <f t="shared" si="3"/>
        <v>58.39999998</v>
      </c>
      <c r="AG136">
        <f t="shared" si="4"/>
        <v>7680</v>
      </c>
      <c r="AH136">
        <f t="shared" si="5"/>
        <v>448511.9998464</v>
      </c>
    </row>
    <row r="137" ht="14.25" customHeight="1">
      <c r="A137" t="str">
        <f>IF(Moteur!D137="","",Moteur!D137)</f>
        <v>MBWAY_BOR</v>
      </c>
      <c r="B137" t="str">
        <f>IF(Moteur!B137="","",Moteur!B137)</f>
        <v>V03</v>
      </c>
      <c r="C137" t="str">
        <f>IF(Moteur!F137="","",Moteur!F137)</f>
        <v>BAC_MGT</v>
      </c>
      <c r="D137" t="str">
        <f>IF(Moteur!G137="","",Moteur!G137)</f>
        <v>B1</v>
      </c>
      <c r="E137" t="str">
        <f>IF(Moteur!H137="","",Moteur!H137)</f>
        <v>INIT</v>
      </c>
      <c r="F137" t="str">
        <f>IF(Moteur!E137="","",Moteur!E137)</f>
        <v>MBWAY</v>
      </c>
      <c r="G137">
        <f>IF($A137="","",_xlfn.SUMIFS(Socle!$H$1:$H$658,Socle!$C$1:$C$658,$A137,Socle!$D$1:$D$658,$C137,Socle!$E$1:$E$658,$D137,Socle!$F$1:$F$658,$E137,Socle!$G$1:$G$658,"2026"))</f>
        <v>421</v>
      </c>
      <c r="H137">
        <f>IF($A137="","",_xlfn.SUMIFS(Socle!$N$1:$N$658,Socle!$C$1:$C$658,$A137,Socle!$D$1:$D$658,$C137,Socle!$E$1:$E$658,$D137,Socle!$F$1:$F$658,$E137,Socle!$G$1:$G$658,"2026"))</f>
        <v>0</v>
      </c>
      <c r="I137">
        <f>IF($A137="","",_xlfn.SUMIFS(Socle!$P$1:$P$658,Socle!$C$1:$C$658,$A137,Socle!$D$1:$D$658,$C137,Socle!$E$1:$E$658,$D137,Socle!$F$1:$F$658,$E137,Socle!$G$1:$G$658,"2026"))</f>
        <v>7275</v>
      </c>
      <c r="J137">
        <f>IF($A137="","",_xlfn.SUMIFS(Socle!$W$1:$W$658,Socle!$C$1:$C$658,$A137,Socle!$D$1:$D$658,$C137,Socle!$E$1:$E$658,$D137,Socle!$F$1:$F$658,$E137,Socle!$G$1:$G$658,"2026"))</f>
        <v>0.280285036</v>
      </c>
      <c r="K137">
        <f>IF($A137="","",_xlfn.SUMIFS(Socle!$X$1:$X$658,Socle!$C$1:$C$658,$A137,Socle!$D$1:$D$658,$C137,Socle!$E$1:$E$658,$D137,Socle!$F$1:$F$658,$E137,Socle!$G$1:$G$658,"2026"))</f>
        <v>0.720338983</v>
      </c>
      <c r="L137">
        <f>IF($A137="","",_xlfn.SUMIFS(Socle!$Y$1:$Y$658,Socle!$C$1:$C$658,$A137,Socle!$D$1:$D$658,$C137,Socle!$E$1:$E$658,$D137,Socle!$F$1:$F$658,$E137,Socle!$G$1:$G$658,"2026"))</f>
        <v>0.6</v>
      </c>
      <c r="M137">
        <f>IF($A137="","",_xlfn.SUMIFS(Socle!$V$1:$V$658,Socle!$C$1:$C$658,$A137,Socle!$D$1:$D$658,$C137,Socle!$E$1:$E$658,$D137,Socle!$F$1:$F$658,$E137,Socle!$G$1:$G$658,"2026"))</f>
        <v>0</v>
      </c>
      <c r="N137">
        <f t="shared" si="0"/>
        <v>1</v>
      </c>
      <c r="O137">
        <f>IF($A137="","",_xlfn.SUMIFS(Campagne!$D$1:$D$141,Campagne!$C$1:$C$141,$A137))</f>
        <v>630</v>
      </c>
      <c r="P137">
        <f>IF($A137="","",_xlfn.SUMIFS(Campagne!$E$1:$E$141,Campagne!$C$1:$C$141,$A137))</f>
        <v>656</v>
      </c>
      <c r="Q137">
        <f>IF($A137="","",_xlfn.SUMIFS(Campagne!$F$1:$F$141,Campagne!$C$1:$C$141,$A137))</f>
        <v>1286</v>
      </c>
      <c r="R137">
        <f>IF($A137="","",_xlfn.SUMIFS(Campagne!$K$1:$K$141,Campagne!$C$1:$C$141,$A137))</f>
        <v>0.538455294</v>
      </c>
      <c r="S137">
        <f>IF($A137="","",_xlfn.SUMIFS(Campagne!$M$1:$M$141,Campagne!$C$1:$C$141,$A137))</f>
        <v>0.348249172</v>
      </c>
      <c r="T137">
        <f>IF($A137="","",_xlfn.SUMIFS(Pilotage!$K$19:$K$32,Pilotage!$A$19:$A$32,$A137)*_xlfn.SUMIFS(Pilotage!$J$19:$J$32,Pilotage!$A$19:$A$32,$A137)*(SUM(Pilotage!$K$19:$K$32)/SUMPRODUCT(Pilotage!$K$19:$K$32,Pilotage!$J$19:$J$32)))</f>
        <v>24923</v>
      </c>
      <c r="U137">
        <f>IF($A137="","",_xlfn.SUMIFS(Pilotage!$K$19:$K$32,Pilotage!$A$19:$A$32,$A137))</f>
        <v>24923</v>
      </c>
      <c r="V137">
        <f>IF($A137="","",IF($B137="V01",Cadrage!$C$23,IF($B137="V02",Cadrage!$D$23,Cadrage!$E$23)))</f>
        <v>-0.05</v>
      </c>
      <c r="W137">
        <f>IF($A137="","",IF($B137="V01",Cadrage!$C$24,IF($B137="V02",Cadrage!$D$24,Cadrage!$E$24)))</f>
        <v>-0.05</v>
      </c>
      <c r="X137">
        <f>IF($A137="","",IF($B137="V01",Cadrage!$C$25,IF($B137="V02",Cadrage!$D$25,Cadrage!$E$25)))</f>
        <v>0.02</v>
      </c>
      <c r="Y137">
        <f>IF($A137="","",IF($B137="V01",Cadrage!$C$26,IF($B137="V02",Cadrage!$D$26,Cadrage!$E$26)))</f>
        <v>-0.01</v>
      </c>
      <c r="Z137">
        <f>IF($A137="","",IF($B137="V01",Cadrage!$C$27,IF($B137="V02",Cadrage!$D$27,Cadrage!$E$27)))</f>
        <v>-0.01</v>
      </c>
      <c r="AA137">
        <f>IF($A137="","",IF($B137="V01",Cadrage!$C$28,IF($B137="V02",Cadrage!$D$28,Cadrage!$E$28)))</f>
        <v>-0.01</v>
      </c>
      <c r="AB137">
        <f>IF($A137="","",IF($B137="V01",Cadrage!$C$42,IF($B137="V02",Cadrage!$D$42,Cadrage!$E$42)))</f>
        <v>90</v>
      </c>
      <c r="AC137">
        <f>IF($A137="","",IF($F137="MBWAY",Cadrage!$K$34,IF($F137="ISCOM",Cadrage!$K$35,IF($F137="IPAC",Cadrage!$K$36,IF($F137="PIGIER",Cadrage!$K$37,Cadrage!$K$38)))))</f>
        <v>1.2</v>
      </c>
      <c r="AD137">
        <f t="shared" si="1"/>
        <v>47.2692892130146</v>
      </c>
      <c r="AE137">
        <f t="shared" si="2"/>
        <v>47.2692892130146</v>
      </c>
      <c r="AF137">
        <f t="shared" si="3"/>
        <v>47.2692892130146</v>
      </c>
      <c r="AG137">
        <f t="shared" si="4"/>
        <v>7449.6</v>
      </c>
      <c r="AH137">
        <f t="shared" si="5"/>
        <v>356391.532950445</v>
      </c>
    </row>
    <row r="138" ht="14.25" customHeight="1">
      <c r="A138" t="str">
        <f>IF(Moteur!D138="","",Moteur!D138)</f>
        <v>MBWAY_BOR</v>
      </c>
      <c r="B138" t="str">
        <f>IF(Moteur!B138="","",Moteur!B138)</f>
        <v>V03</v>
      </c>
      <c r="C138" t="str">
        <f>IF(Moteur!F138="","",Moteur!F138)</f>
        <v>BAC_MGT</v>
      </c>
      <c r="D138" t="str">
        <f>IF(Moteur!G138="","",Moteur!G138)</f>
        <v>B2</v>
      </c>
      <c r="E138" t="str">
        <f>IF(Moteur!H138="","",Moteur!H138)</f>
        <v>ALT</v>
      </c>
      <c r="F138" t="str">
        <f>IF(Moteur!E138="","",Moteur!E138)</f>
        <v>MBWAY</v>
      </c>
      <c r="G138">
        <f>IF($A138="","",_xlfn.SUMIFS(Socle!$H$1:$H$658,Socle!$C$1:$C$658,$A138,Socle!$D$1:$D$658,$C138,Socle!$E$1:$E$658,$D138,Socle!$F$1:$F$658,$E138,Socle!$G$1:$G$658,"2026"))</f>
        <v>0</v>
      </c>
      <c r="H138">
        <f>IF($A138="","",_xlfn.SUMIFS(Socle!$N$1:$N$658,Socle!$C$1:$C$658,$A138,Socle!$D$1:$D$658,$C138,Socle!$E$1:$E$658,$D138,Socle!$F$1:$F$658,$E138,Socle!$G$1:$G$658,"2026"))</f>
        <v>51</v>
      </c>
      <c r="I138">
        <f>IF($A138="","",_xlfn.SUMIFS(Socle!$P$1:$P$658,Socle!$C$1:$C$658,$A138,Socle!$D$1:$D$658,$C138,Socle!$E$1:$E$658,$D138,Socle!$F$1:$F$658,$E138,Socle!$G$1:$G$658,"2026"))</f>
        <v>6790</v>
      </c>
      <c r="J138">
        <f>IF($A138="","",_xlfn.SUMIFS(Socle!$W$1:$W$658,Socle!$C$1:$C$658,$A138,Socle!$D$1:$D$658,$C138,Socle!$E$1:$E$658,$D138,Socle!$F$1:$F$658,$E138,Socle!$G$1:$G$658,"2026"))</f>
        <v>0</v>
      </c>
      <c r="K138">
        <f>IF($A138="","",_xlfn.SUMIFS(Socle!$X$1:$X$658,Socle!$C$1:$C$658,$A138,Socle!$D$1:$D$658,$C138,Socle!$E$1:$E$658,$D138,Socle!$F$1:$F$658,$E138,Socle!$G$1:$G$658,"2026"))</f>
        <v>0</v>
      </c>
      <c r="L138">
        <f>IF($A138="","",_xlfn.SUMIFS(Socle!$Y$1:$Y$658,Socle!$C$1:$C$658,$A138,Socle!$D$1:$D$658,$C138,Socle!$E$1:$E$658,$D138,Socle!$F$1:$F$658,$E138,Socle!$G$1:$G$658,"2026"))</f>
        <v>0</v>
      </c>
      <c r="M138">
        <f>IF($A138="","",_xlfn.SUMIFS(Socle!$V$1:$V$658,Socle!$C$1:$C$658,$A138,Socle!$D$1:$D$658,$C138,Socle!$E$1:$E$658,$D138,Socle!$F$1:$F$658,$E138,Socle!$G$1:$G$658,"2026"))</f>
        <v>0.960784314</v>
      </c>
      <c r="N138">
        <f t="shared" si="0"/>
        <v>0</v>
      </c>
      <c r="O138">
        <f>IF($A138="","",_xlfn.SUMIFS(Campagne!$D$1:$D$141,Campagne!$C$1:$C$141,$A138))</f>
        <v>630</v>
      </c>
      <c r="P138">
        <f>IF($A138="","",_xlfn.SUMIFS(Campagne!$E$1:$E$141,Campagne!$C$1:$C$141,$A138))</f>
        <v>656</v>
      </c>
      <c r="Q138">
        <f>IF($A138="","",_xlfn.SUMIFS(Campagne!$F$1:$F$141,Campagne!$C$1:$C$141,$A138))</f>
        <v>1286</v>
      </c>
      <c r="R138">
        <f>IF($A138="","",_xlfn.SUMIFS(Campagne!$K$1:$K$141,Campagne!$C$1:$C$141,$A138))</f>
        <v>0.538455294</v>
      </c>
      <c r="S138">
        <f>IF($A138="","",_xlfn.SUMIFS(Campagne!$M$1:$M$141,Campagne!$C$1:$C$141,$A138))</f>
        <v>0.348249172</v>
      </c>
      <c r="T138">
        <f>IF($A138="","",_xlfn.SUMIFS(Pilotage!$K$19:$K$32,Pilotage!$A$19:$A$32,$A138)*_xlfn.SUMIFS(Pilotage!$J$19:$J$32,Pilotage!$A$19:$A$32,$A138)*(SUM(Pilotage!$K$19:$K$32)/SUMPRODUCT(Pilotage!$K$19:$K$32,Pilotage!$J$19:$J$32)))</f>
        <v>24923</v>
      </c>
      <c r="U138">
        <f>IF($A138="","",_xlfn.SUMIFS(Pilotage!$K$19:$K$32,Pilotage!$A$19:$A$32,$A138))</f>
        <v>24923</v>
      </c>
      <c r="V138">
        <f>IF($A138="","",IF($B138="V01",Cadrage!$C$23,IF($B138="V02",Cadrage!$D$23,Cadrage!$E$23)))</f>
        <v>-0.05</v>
      </c>
      <c r="W138">
        <f>IF($A138="","",IF($B138="V01",Cadrage!$C$24,IF($B138="V02",Cadrage!$D$24,Cadrage!$E$24)))</f>
        <v>-0.05</v>
      </c>
      <c r="X138">
        <f>IF($A138="","",IF($B138="V01",Cadrage!$C$25,IF($B138="V02",Cadrage!$D$25,Cadrage!$E$25)))</f>
        <v>0.02</v>
      </c>
      <c r="Y138">
        <f>IF($A138="","",IF($B138="V01",Cadrage!$C$26,IF($B138="V02",Cadrage!$D$26,Cadrage!$E$26)))</f>
        <v>-0.01</v>
      </c>
      <c r="Z138">
        <f>IF($A138="","",IF($B138="V01",Cadrage!$C$27,IF($B138="V02",Cadrage!$D$27,Cadrage!$E$27)))</f>
        <v>-0.01</v>
      </c>
      <c r="AA138">
        <f>IF($A138="","",IF($B138="V01",Cadrage!$C$28,IF($B138="V02",Cadrage!$D$28,Cadrage!$E$28)))</f>
        <v>-0.01</v>
      </c>
      <c r="AB138">
        <f>IF($A138="","",IF($B138="V01",Cadrage!$C$42,IF($B138="V02",Cadrage!$D$42,Cadrage!$E$42)))</f>
        <v>90</v>
      </c>
      <c r="AC138">
        <f>IF($A138="","",IF($F138="MBWAY",Cadrage!$K$34,IF($F138="ISCOM",Cadrage!$K$35,IF($F138="IPAC",Cadrage!$K$36,IF($F138="PIGIER",Cadrage!$K$37,Cadrage!$K$38)))))</f>
        <v>1.2</v>
      </c>
      <c r="AD138">
        <f t="shared" si="1"/>
        <v>0</v>
      </c>
      <c r="AE138">
        <f t="shared" si="2"/>
        <v>0</v>
      </c>
      <c r="AF138">
        <f t="shared" si="3"/>
        <v>48.490000014</v>
      </c>
      <c r="AG138">
        <f t="shared" si="4"/>
        <v>6952.96</v>
      </c>
      <c r="AH138">
        <f t="shared" si="5"/>
        <v>337149.030497341</v>
      </c>
    </row>
    <row r="139" ht="14.25" customHeight="1">
      <c r="A139" t="str">
        <f>IF(Moteur!D139="","",Moteur!D139)</f>
        <v>MBWAY_BOR</v>
      </c>
      <c r="B139" t="str">
        <f>IF(Moteur!B139="","",Moteur!B139)</f>
        <v>V03</v>
      </c>
      <c r="C139" t="str">
        <f>IF(Moteur!F139="","",Moteur!F139)</f>
        <v>BAC_MGT</v>
      </c>
      <c r="D139" t="str">
        <f>IF(Moteur!G139="","",Moteur!G139)</f>
        <v>B3</v>
      </c>
      <c r="E139" t="str">
        <f>IF(Moteur!H139="","",Moteur!H139)</f>
        <v>ALT</v>
      </c>
      <c r="F139" t="str">
        <f>IF(Moteur!E139="","",Moteur!E139)</f>
        <v>MBWAY</v>
      </c>
      <c r="G139">
        <f>IF($A139="","",_xlfn.SUMIFS(Socle!$H$1:$H$658,Socle!$C$1:$C$658,$A139,Socle!$D$1:$D$658,$C139,Socle!$E$1:$E$658,$D139,Socle!$F$1:$F$658,$E139,Socle!$G$1:$G$658,"2026"))</f>
        <v>0</v>
      </c>
      <c r="H139">
        <f>IF($A139="","",_xlfn.SUMIFS(Socle!$N$1:$N$658,Socle!$C$1:$C$658,$A139,Socle!$D$1:$D$658,$C139,Socle!$E$1:$E$658,$D139,Socle!$F$1:$F$658,$E139,Socle!$G$1:$G$658,"2026"))</f>
        <v>49</v>
      </c>
      <c r="I139">
        <f>IF($A139="","",_xlfn.SUMIFS(Socle!$P$1:$P$658,Socle!$C$1:$C$658,$A139,Socle!$D$1:$D$658,$C139,Socle!$E$1:$E$658,$D139,Socle!$F$1:$F$658,$E139,Socle!$G$1:$G$658,"2026"))</f>
        <v>6790</v>
      </c>
      <c r="J139">
        <f>IF($A139="","",_xlfn.SUMIFS(Socle!$W$1:$W$658,Socle!$C$1:$C$658,$A139,Socle!$D$1:$D$658,$C139,Socle!$E$1:$E$658,$D139,Socle!$F$1:$F$658,$E139,Socle!$G$1:$G$658,"2026"))</f>
        <v>0</v>
      </c>
      <c r="K139">
        <f>IF($A139="","",_xlfn.SUMIFS(Socle!$X$1:$X$658,Socle!$C$1:$C$658,$A139,Socle!$D$1:$D$658,$C139,Socle!$E$1:$E$658,$D139,Socle!$F$1:$F$658,$E139,Socle!$G$1:$G$658,"2026"))</f>
        <v>0</v>
      </c>
      <c r="L139">
        <f>IF($A139="","",_xlfn.SUMIFS(Socle!$Y$1:$Y$658,Socle!$C$1:$C$658,$A139,Socle!$D$1:$D$658,$C139,Socle!$E$1:$E$658,$D139,Socle!$F$1:$F$658,$E139,Socle!$G$1:$G$658,"2026"))</f>
        <v>0</v>
      </c>
      <c r="M139">
        <f>IF($A139="","",_xlfn.SUMIFS(Socle!$V$1:$V$658,Socle!$C$1:$C$658,$A139,Socle!$D$1:$D$658,$C139,Socle!$E$1:$E$658,$D139,Socle!$F$1:$F$658,$E139,Socle!$G$1:$G$658,"2026"))</f>
        <v>0.979591837</v>
      </c>
      <c r="N139">
        <f t="shared" si="0"/>
        <v>0</v>
      </c>
      <c r="O139">
        <f>IF($A139="","",_xlfn.SUMIFS(Campagne!$D$1:$D$141,Campagne!$C$1:$C$141,$A139))</f>
        <v>630</v>
      </c>
      <c r="P139">
        <f>IF($A139="","",_xlfn.SUMIFS(Campagne!$E$1:$E$141,Campagne!$C$1:$C$141,$A139))</f>
        <v>656</v>
      </c>
      <c r="Q139">
        <f>IF($A139="","",_xlfn.SUMIFS(Campagne!$F$1:$F$141,Campagne!$C$1:$C$141,$A139))</f>
        <v>1286</v>
      </c>
      <c r="R139">
        <f>IF($A139="","",_xlfn.SUMIFS(Campagne!$K$1:$K$141,Campagne!$C$1:$C$141,$A139))</f>
        <v>0.538455294</v>
      </c>
      <c r="S139">
        <f>IF($A139="","",_xlfn.SUMIFS(Campagne!$M$1:$M$141,Campagne!$C$1:$C$141,$A139))</f>
        <v>0.348249172</v>
      </c>
      <c r="T139">
        <f>IF($A139="","",_xlfn.SUMIFS(Pilotage!$K$19:$K$32,Pilotage!$A$19:$A$32,$A139)*_xlfn.SUMIFS(Pilotage!$J$19:$J$32,Pilotage!$A$19:$A$32,$A139)*(SUM(Pilotage!$K$19:$K$32)/SUMPRODUCT(Pilotage!$K$19:$K$32,Pilotage!$J$19:$J$32)))</f>
        <v>24923</v>
      </c>
      <c r="U139">
        <f>IF($A139="","",_xlfn.SUMIFS(Pilotage!$K$19:$K$32,Pilotage!$A$19:$A$32,$A139))</f>
        <v>24923</v>
      </c>
      <c r="V139">
        <f>IF($A139="","",IF($B139="V01",Cadrage!$C$23,IF($B139="V02",Cadrage!$D$23,Cadrage!$E$23)))</f>
        <v>-0.05</v>
      </c>
      <c r="W139">
        <f>IF($A139="","",IF($B139="V01",Cadrage!$C$24,IF($B139="V02",Cadrage!$D$24,Cadrage!$E$24)))</f>
        <v>-0.05</v>
      </c>
      <c r="X139">
        <f>IF($A139="","",IF($B139="V01",Cadrage!$C$25,IF($B139="V02",Cadrage!$D$25,Cadrage!$E$25)))</f>
        <v>0.02</v>
      </c>
      <c r="Y139">
        <f>IF($A139="","",IF($B139="V01",Cadrage!$C$26,IF($B139="V02",Cadrage!$D$26,Cadrage!$E$26)))</f>
        <v>-0.01</v>
      </c>
      <c r="Z139">
        <f>IF($A139="","",IF($B139="V01",Cadrage!$C$27,IF($B139="V02",Cadrage!$D$27,Cadrage!$E$27)))</f>
        <v>-0.01</v>
      </c>
      <c r="AA139">
        <f>IF($A139="","",IF($B139="V01",Cadrage!$C$28,IF($B139="V02",Cadrage!$D$28,Cadrage!$E$28)))</f>
        <v>-0.01</v>
      </c>
      <c r="AB139">
        <f>IF($A139="","",IF($B139="V01",Cadrage!$C$42,IF($B139="V02",Cadrage!$D$42,Cadrage!$E$42)))</f>
        <v>90</v>
      </c>
      <c r="AC139">
        <f>IF($A139="","",IF($F139="MBWAY",Cadrage!$K$34,IF($F139="ISCOM",Cadrage!$K$35,IF($F139="IPAC",Cadrage!$K$36,IF($F139="PIGIER",Cadrage!$K$37,Cadrage!$K$38)))))</f>
        <v>1.2</v>
      </c>
      <c r="AD139">
        <f t="shared" si="1"/>
        <v>0</v>
      </c>
      <c r="AE139">
        <f t="shared" si="2"/>
        <v>0</v>
      </c>
      <c r="AF139">
        <f t="shared" si="3"/>
        <v>47.510000013</v>
      </c>
      <c r="AG139">
        <f t="shared" si="4"/>
        <v>6952.96</v>
      </c>
      <c r="AH139">
        <f t="shared" si="5"/>
        <v>330335.129690389</v>
      </c>
    </row>
    <row r="140" ht="14.25" customHeight="1">
      <c r="A140" t="str">
        <f>IF(Moteur!D140="","",Moteur!D140)</f>
        <v>MBWAY_BOR</v>
      </c>
      <c r="B140" t="str">
        <f>IF(Moteur!B140="","",Moteur!B140)</f>
        <v>V03</v>
      </c>
      <c r="C140" t="str">
        <f>IF(Moteur!F140="","",Moteur!F140)</f>
        <v>MAS_MGT</v>
      </c>
      <c r="D140" t="str">
        <f>IF(Moteur!G140="","",Moteur!G140)</f>
        <v>M1</v>
      </c>
      <c r="E140" t="str">
        <f>IF(Moteur!H140="","",Moteur!H140)</f>
        <v>ALT</v>
      </c>
      <c r="F140" t="str">
        <f>IF(Moteur!E140="","",Moteur!E140)</f>
        <v>MBWAY</v>
      </c>
      <c r="G140">
        <f>IF($A140="","",_xlfn.SUMIFS(Socle!$H$1:$H$658,Socle!$C$1:$C$658,$A140,Socle!$D$1:$D$658,$C140,Socle!$E$1:$E$658,$D140,Socle!$F$1:$F$658,$E140,Socle!$G$1:$G$658,"2026"))</f>
        <v>865</v>
      </c>
      <c r="H140">
        <f>IF($A140="","",_xlfn.SUMIFS(Socle!$N$1:$N$658,Socle!$C$1:$C$658,$A140,Socle!$D$1:$D$658,$C140,Socle!$E$1:$E$658,$D140,Socle!$F$1:$F$658,$E140,Socle!$G$1:$G$658,"2026"))</f>
        <v>0</v>
      </c>
      <c r="I140">
        <f>IF($A140="","",_xlfn.SUMIFS(Socle!$P$1:$P$658,Socle!$C$1:$C$658,$A140,Socle!$D$1:$D$658,$C140,Socle!$E$1:$E$658,$D140,Socle!$F$1:$F$658,$E140,Socle!$G$1:$G$658,"2026"))</f>
        <v>7275</v>
      </c>
      <c r="J140">
        <f>IF($A140="","",_xlfn.SUMIFS(Socle!$W$1:$W$658,Socle!$C$1:$C$658,$A140,Socle!$D$1:$D$658,$C140,Socle!$E$1:$E$658,$D140,Socle!$F$1:$F$658,$E140,Socle!$G$1:$G$658,"2026"))</f>
        <v>0.2</v>
      </c>
      <c r="K140">
        <f>IF($A140="","",_xlfn.SUMIFS(Socle!$X$1:$X$658,Socle!$C$1:$C$658,$A140,Socle!$D$1:$D$658,$C140,Socle!$E$1:$E$658,$D140,Socle!$F$1:$F$658,$E140,Socle!$G$1:$G$658,"2026"))</f>
        <v>0.699421965</v>
      </c>
      <c r="L140">
        <f>IF($A140="","",_xlfn.SUMIFS(Socle!$Y$1:$Y$658,Socle!$C$1:$C$658,$A140,Socle!$D$1:$D$658,$C140,Socle!$E$1:$E$658,$D140,Socle!$F$1:$F$658,$E140,Socle!$G$1:$G$658,"2026"))</f>
        <v>0.421487603</v>
      </c>
      <c r="M140">
        <f>IF($A140="","",_xlfn.SUMIFS(Socle!$V$1:$V$658,Socle!$C$1:$C$658,$A140,Socle!$D$1:$D$658,$C140,Socle!$E$1:$E$658,$D140,Socle!$F$1:$F$658,$E140,Socle!$G$1:$G$658,"2026"))</f>
        <v>0</v>
      </c>
      <c r="N140">
        <f t="shared" si="0"/>
        <v>1</v>
      </c>
      <c r="O140">
        <f>IF($A140="","",_xlfn.SUMIFS(Campagne!$D$1:$D$141,Campagne!$C$1:$C$141,$A140))</f>
        <v>630</v>
      </c>
      <c r="P140">
        <f>IF($A140="","",_xlfn.SUMIFS(Campagne!$E$1:$E$141,Campagne!$C$1:$C$141,$A140))</f>
        <v>656</v>
      </c>
      <c r="Q140">
        <f>IF($A140="","",_xlfn.SUMIFS(Campagne!$F$1:$F$141,Campagne!$C$1:$C$141,$A140))</f>
        <v>1286</v>
      </c>
      <c r="R140">
        <f>IF($A140="","",_xlfn.SUMIFS(Campagne!$K$1:$K$141,Campagne!$C$1:$C$141,$A140))</f>
        <v>0.538455294</v>
      </c>
      <c r="S140">
        <f>IF($A140="","",_xlfn.SUMIFS(Campagne!$M$1:$M$141,Campagne!$C$1:$C$141,$A140))</f>
        <v>0.348249172</v>
      </c>
      <c r="T140">
        <f>IF($A140="","",_xlfn.SUMIFS(Pilotage!$K$19:$K$32,Pilotage!$A$19:$A$32,$A140)*_xlfn.SUMIFS(Pilotage!$J$19:$J$32,Pilotage!$A$19:$A$32,$A140)*(SUM(Pilotage!$K$19:$K$32)/SUMPRODUCT(Pilotage!$K$19:$K$32,Pilotage!$J$19:$J$32)))</f>
        <v>24923</v>
      </c>
      <c r="U140">
        <f>IF($A140="","",_xlfn.SUMIFS(Pilotage!$K$19:$K$32,Pilotage!$A$19:$A$32,$A140))</f>
        <v>24923</v>
      </c>
      <c r="V140">
        <f>IF($A140="","",IF($B140="V01",Cadrage!$C$23,IF($B140="V02",Cadrage!$D$23,Cadrage!$E$23)))</f>
        <v>-0.05</v>
      </c>
      <c r="W140">
        <f>IF($A140="","",IF($B140="V01",Cadrage!$C$24,IF($B140="V02",Cadrage!$D$24,Cadrage!$E$24)))</f>
        <v>-0.05</v>
      </c>
      <c r="X140">
        <f>IF($A140="","",IF($B140="V01",Cadrage!$C$25,IF($B140="V02",Cadrage!$D$25,Cadrage!$E$25)))</f>
        <v>0.02</v>
      </c>
      <c r="Y140">
        <f>IF($A140="","",IF($B140="V01",Cadrage!$C$26,IF($B140="V02",Cadrage!$D$26,Cadrage!$E$26)))</f>
        <v>-0.01</v>
      </c>
      <c r="Z140">
        <f>IF($A140="","",IF($B140="V01",Cadrage!$C$27,IF($B140="V02",Cadrage!$D$27,Cadrage!$E$27)))</f>
        <v>-0.01</v>
      </c>
      <c r="AA140">
        <f>IF($A140="","",IF($B140="V01",Cadrage!$C$28,IF($B140="V02",Cadrage!$D$28,Cadrage!$E$28)))</f>
        <v>-0.01</v>
      </c>
      <c r="AB140">
        <f>IF($A140="","",IF($B140="V01",Cadrage!$C$42,IF($B140="V02",Cadrage!$D$42,Cadrage!$E$42)))</f>
        <v>90</v>
      </c>
      <c r="AC140">
        <f>IF($A140="","",IF($F140="MBWAY",Cadrage!$K$34,IF($F140="ISCOM",Cadrage!$K$35,IF($F140="IPAC",Cadrage!$K$36,IF($F140="PIGIER",Cadrage!$K$37,Cadrage!$K$38)))))</f>
        <v>1.2</v>
      </c>
      <c r="AD140">
        <f t="shared" si="1"/>
        <v>46.2329680336836</v>
      </c>
      <c r="AE140">
        <f t="shared" si="2"/>
        <v>46.2329680336836</v>
      </c>
      <c r="AF140">
        <f t="shared" si="3"/>
        <v>46.2329680336836</v>
      </c>
      <c r="AG140">
        <f t="shared" si="4"/>
        <v>7449.6</v>
      </c>
      <c r="AH140">
        <f t="shared" si="5"/>
        <v>348578.085786761</v>
      </c>
    </row>
    <row r="141" ht="14.25" customHeight="1">
      <c r="A141" t="str">
        <f>IF(Moteur!D141="","",Moteur!D141)</f>
        <v>MBWAY_BOR</v>
      </c>
      <c r="B141" t="str">
        <f>IF(Moteur!B141="","",Moteur!B141)</f>
        <v>V03</v>
      </c>
      <c r="C141" t="str">
        <f>IF(Moteur!F141="","",Moteur!F141)</f>
        <v>MAS_MGT</v>
      </c>
      <c r="D141" t="str">
        <f>IF(Moteur!G141="","",Moteur!G141)</f>
        <v>M2</v>
      </c>
      <c r="E141" t="str">
        <f>IF(Moteur!H141="","",Moteur!H141)</f>
        <v>ALT</v>
      </c>
      <c r="F141" t="str">
        <f>IF(Moteur!E141="","",Moteur!E141)</f>
        <v>MBWAY</v>
      </c>
      <c r="G141">
        <f>IF($A141="","",_xlfn.SUMIFS(Socle!$H$1:$H$658,Socle!$C$1:$C$658,$A141,Socle!$D$1:$D$658,$C141,Socle!$E$1:$E$658,$D141,Socle!$F$1:$F$658,$E141,Socle!$G$1:$G$658,"2026"))</f>
        <v>0</v>
      </c>
      <c r="H141">
        <f>IF($A141="","",_xlfn.SUMIFS(Socle!$N$1:$N$658,Socle!$C$1:$C$658,$A141,Socle!$D$1:$D$658,$C141,Socle!$E$1:$E$658,$D141,Socle!$F$1:$F$658,$E141,Socle!$G$1:$G$658,"2026"))</f>
        <v>51</v>
      </c>
      <c r="I141">
        <f>IF($A141="","",_xlfn.SUMIFS(Socle!$P$1:$P$658,Socle!$C$1:$C$658,$A141,Socle!$D$1:$D$658,$C141,Socle!$E$1:$E$658,$D141,Socle!$F$1:$F$658,$E141,Socle!$G$1:$G$658,"2026"))</f>
        <v>7275</v>
      </c>
      <c r="J141">
        <f>IF($A141="","",_xlfn.SUMIFS(Socle!$W$1:$W$658,Socle!$C$1:$C$658,$A141,Socle!$D$1:$D$658,$C141,Socle!$E$1:$E$658,$D141,Socle!$F$1:$F$658,$E141,Socle!$G$1:$G$658,"2026"))</f>
        <v>0</v>
      </c>
      <c r="K141">
        <f>IF($A141="","",_xlfn.SUMIFS(Socle!$X$1:$X$658,Socle!$C$1:$C$658,$A141,Socle!$D$1:$D$658,$C141,Socle!$E$1:$E$658,$D141,Socle!$F$1:$F$658,$E141,Socle!$G$1:$G$658,"2026"))</f>
        <v>0</v>
      </c>
      <c r="L141">
        <f>IF($A141="","",_xlfn.SUMIFS(Socle!$Y$1:$Y$658,Socle!$C$1:$C$658,$A141,Socle!$D$1:$D$658,$C141,Socle!$E$1:$E$658,$D141,Socle!$F$1:$F$658,$E141,Socle!$G$1:$G$658,"2026"))</f>
        <v>0</v>
      </c>
      <c r="M141">
        <f>IF($A141="","",_xlfn.SUMIFS(Socle!$V$1:$V$658,Socle!$C$1:$C$658,$A141,Socle!$D$1:$D$658,$C141,Socle!$E$1:$E$658,$D141,Socle!$F$1:$F$658,$E141,Socle!$G$1:$G$658,"2026"))</f>
        <v>0.980392157</v>
      </c>
      <c r="N141">
        <f t="shared" si="0"/>
        <v>0</v>
      </c>
      <c r="O141">
        <f>IF($A141="","",_xlfn.SUMIFS(Campagne!$D$1:$D$141,Campagne!$C$1:$C$141,$A141))</f>
        <v>630</v>
      </c>
      <c r="P141">
        <f>IF($A141="","",_xlfn.SUMIFS(Campagne!$E$1:$E$141,Campagne!$C$1:$C$141,$A141))</f>
        <v>656</v>
      </c>
      <c r="Q141">
        <f>IF($A141="","",_xlfn.SUMIFS(Campagne!$F$1:$F$141,Campagne!$C$1:$C$141,$A141))</f>
        <v>1286</v>
      </c>
      <c r="R141">
        <f>IF($A141="","",_xlfn.SUMIFS(Campagne!$K$1:$K$141,Campagne!$C$1:$C$141,$A141))</f>
        <v>0.538455294</v>
      </c>
      <c r="S141">
        <f>IF($A141="","",_xlfn.SUMIFS(Campagne!$M$1:$M$141,Campagne!$C$1:$C$141,$A141))</f>
        <v>0.348249172</v>
      </c>
      <c r="T141">
        <f>IF($A141="","",_xlfn.SUMIFS(Pilotage!$K$19:$K$32,Pilotage!$A$19:$A$32,$A141)*_xlfn.SUMIFS(Pilotage!$J$19:$J$32,Pilotage!$A$19:$A$32,$A141)*(SUM(Pilotage!$K$19:$K$32)/SUMPRODUCT(Pilotage!$K$19:$K$32,Pilotage!$J$19:$J$32)))</f>
        <v>24923</v>
      </c>
      <c r="U141">
        <f>IF($A141="","",_xlfn.SUMIFS(Pilotage!$K$19:$K$32,Pilotage!$A$19:$A$32,$A141))</f>
        <v>24923</v>
      </c>
      <c r="V141">
        <f>IF($A141="","",IF($B141="V01",Cadrage!$C$23,IF($B141="V02",Cadrage!$D$23,Cadrage!$E$23)))</f>
        <v>-0.05</v>
      </c>
      <c r="W141">
        <f>IF($A141="","",IF($B141="V01",Cadrage!$C$24,IF($B141="V02",Cadrage!$D$24,Cadrage!$E$24)))</f>
        <v>-0.05</v>
      </c>
      <c r="X141">
        <f>IF($A141="","",IF($B141="V01",Cadrage!$C$25,IF($B141="V02",Cadrage!$D$25,Cadrage!$E$25)))</f>
        <v>0.02</v>
      </c>
      <c r="Y141">
        <f>IF($A141="","",IF($B141="V01",Cadrage!$C$26,IF($B141="V02",Cadrage!$D$26,Cadrage!$E$26)))</f>
        <v>-0.01</v>
      </c>
      <c r="Z141">
        <f>IF($A141="","",IF($B141="V01",Cadrage!$C$27,IF($B141="V02",Cadrage!$D$27,Cadrage!$E$27)))</f>
        <v>-0.01</v>
      </c>
      <c r="AA141">
        <f>IF($A141="","",IF($B141="V01",Cadrage!$C$28,IF($B141="V02",Cadrage!$D$28,Cadrage!$E$28)))</f>
        <v>-0.01</v>
      </c>
      <c r="AB141">
        <f>IF($A141="","",IF($B141="V01",Cadrage!$C$42,IF($B141="V02",Cadrage!$D$42,Cadrage!$E$42)))</f>
        <v>90</v>
      </c>
      <c r="AC141">
        <f>IF($A141="","",IF($F141="MBWAY",Cadrage!$K$34,IF($F141="ISCOM",Cadrage!$K$35,IF($F141="IPAC",Cadrage!$K$36,IF($F141="PIGIER",Cadrage!$K$37,Cadrage!$K$38)))))</f>
        <v>1.2</v>
      </c>
      <c r="AD141">
        <f t="shared" si="1"/>
        <v>0</v>
      </c>
      <c r="AE141">
        <f t="shared" si="2"/>
        <v>0</v>
      </c>
      <c r="AF141">
        <f t="shared" si="3"/>
        <v>49.490000007</v>
      </c>
      <c r="AG141">
        <f t="shared" si="4"/>
        <v>7449.6</v>
      </c>
      <c r="AH141">
        <f t="shared" si="5"/>
        <v>368680.704052147</v>
      </c>
    </row>
    <row r="142" ht="14.25" customHeight="1">
      <c r="A142" t="str">
        <f>IF(Moteur!D142="","",Moteur!D142)</f>
        <v>ISCOM_PAR</v>
      </c>
      <c r="B142" t="str">
        <f>IF(Moteur!B142="","",Moteur!B142)</f>
        <v>V03</v>
      </c>
      <c r="C142" t="str">
        <f>IF(Moteur!F142="","",Moteur!F142)</f>
        <v>BAC_COM</v>
      </c>
      <c r="D142" t="str">
        <f>IF(Moteur!G142="","",Moteur!G142)</f>
        <v>B1</v>
      </c>
      <c r="E142" t="str">
        <f>IF(Moteur!H142="","",Moteur!H142)</f>
        <v>INIT</v>
      </c>
      <c r="F142" t="str">
        <f>IF(Moteur!E142="","",Moteur!E142)</f>
        <v>ISCOM</v>
      </c>
      <c r="G142">
        <f>IF($A142="","",_xlfn.SUMIFS(Socle!$H$1:$H$658,Socle!$C$1:$C$658,$A142,Socle!$D$1:$D$658,$C142,Socle!$E$1:$E$658,$D142,Socle!$F$1:$F$658,$E142,Socle!$G$1:$G$658,"2026"))</f>
        <v>596</v>
      </c>
      <c r="H142">
        <f>IF($A142="","",_xlfn.SUMIFS(Socle!$N$1:$N$658,Socle!$C$1:$C$658,$A142,Socle!$D$1:$D$658,$C142,Socle!$E$1:$E$658,$D142,Socle!$F$1:$F$658,$E142,Socle!$G$1:$G$658,"2026"))</f>
        <v>0</v>
      </c>
      <c r="I142">
        <f>IF($A142="","",_xlfn.SUMIFS(Socle!$P$1:$P$658,Socle!$C$1:$C$658,$A142,Socle!$D$1:$D$658,$C142,Socle!$E$1:$E$658,$D142,Socle!$F$1:$F$658,$E142,Socle!$G$1:$G$658,"2026"))</f>
        <v>8400</v>
      </c>
      <c r="J142">
        <f>IF($A142="","",_xlfn.SUMIFS(Socle!$W$1:$W$658,Socle!$C$1:$C$658,$A142,Socle!$D$1:$D$658,$C142,Socle!$E$1:$E$658,$D142,Socle!$F$1:$F$658,$E142,Socle!$G$1:$G$658,"2026"))</f>
        <v>0.280201342</v>
      </c>
      <c r="K142">
        <f>IF($A142="","",_xlfn.SUMIFS(Socle!$X$1:$X$658,Socle!$C$1:$C$658,$A142,Socle!$D$1:$D$658,$C142,Socle!$E$1:$E$658,$D142,Socle!$F$1:$F$658,$E142,Socle!$G$1:$G$658,"2026"))</f>
        <v>0.718562874</v>
      </c>
      <c r="L142">
        <f>IF($A142="","",_xlfn.SUMIFS(Socle!$Y$1:$Y$658,Socle!$C$1:$C$658,$A142,Socle!$D$1:$D$658,$C142,Socle!$E$1:$E$658,$D142,Socle!$F$1:$F$658,$E142,Socle!$G$1:$G$658,"2026"))</f>
        <v>0.6</v>
      </c>
      <c r="M142">
        <f>IF($A142="","",_xlfn.SUMIFS(Socle!$V$1:$V$658,Socle!$C$1:$C$658,$A142,Socle!$D$1:$D$658,$C142,Socle!$E$1:$E$658,$D142,Socle!$F$1:$F$658,$E142,Socle!$G$1:$G$658,"2026"))</f>
        <v>0</v>
      </c>
      <c r="N142">
        <f t="shared" si="0"/>
        <v>1</v>
      </c>
      <c r="O142">
        <f>IF($A142="","",_xlfn.SUMIFS(Campagne!$D$1:$D$141,Campagne!$C$1:$C$141,$A142))</f>
        <v>690</v>
      </c>
      <c r="P142">
        <f>IF($A142="","",_xlfn.SUMIFS(Campagne!$E$1:$E$141,Campagne!$C$1:$C$141,$A142))</f>
        <v>1126</v>
      </c>
      <c r="Q142">
        <f>IF($A142="","",_xlfn.SUMIFS(Campagne!$F$1:$F$141,Campagne!$C$1:$C$141,$A142))</f>
        <v>1816</v>
      </c>
      <c r="R142">
        <f>IF($A142="","",_xlfn.SUMIFS(Campagne!$K$1:$K$141,Campagne!$C$1:$C$141,$A142))</f>
        <v>0.442086266</v>
      </c>
      <c r="S142">
        <f>IF($A142="","",_xlfn.SUMIFS(Campagne!$M$1:$M$141,Campagne!$C$1:$C$141,$A142))</f>
        <v>0.317193514</v>
      </c>
      <c r="T142">
        <f>IF($A142="","",_xlfn.SUMIFS(Pilotage!$K$19:$K$32,Pilotage!$A$19:$A$32,$A142)*_xlfn.SUMIFS(Pilotage!$J$19:$J$32,Pilotage!$A$19:$A$32,$A142)*(SUM(Pilotage!$K$19:$K$32)/SUMPRODUCT(Pilotage!$K$19:$K$32,Pilotage!$J$19:$J$32)))</f>
        <v>60800</v>
      </c>
      <c r="U142">
        <f>IF($A142="","",_xlfn.SUMIFS(Pilotage!$K$19:$K$32,Pilotage!$A$19:$A$32,$A142))</f>
        <v>60800</v>
      </c>
      <c r="V142">
        <f>IF($A142="","",IF($B142="V01",Cadrage!$C$23,IF($B142="V02",Cadrage!$D$23,Cadrage!$E$23)))</f>
        <v>-0.05</v>
      </c>
      <c r="W142">
        <f>IF($A142="","",IF($B142="V01",Cadrage!$C$24,IF($B142="V02",Cadrage!$D$24,Cadrage!$E$24)))</f>
        <v>-0.05</v>
      </c>
      <c r="X142">
        <f>IF($A142="","",IF($B142="V01",Cadrage!$C$25,IF($B142="V02",Cadrage!$D$25,Cadrage!$E$25)))</f>
        <v>0.02</v>
      </c>
      <c r="Y142">
        <f>IF($A142="","",IF($B142="V01",Cadrage!$C$26,IF($B142="V02",Cadrage!$D$26,Cadrage!$E$26)))</f>
        <v>-0.01</v>
      </c>
      <c r="Z142">
        <f>IF($A142="","",IF($B142="V01",Cadrage!$C$27,IF($B142="V02",Cadrage!$D$27,Cadrage!$E$27)))</f>
        <v>-0.01</v>
      </c>
      <c r="AA142">
        <f>IF($A142="","",IF($B142="V01",Cadrage!$C$28,IF($B142="V02",Cadrage!$D$28,Cadrage!$E$28)))</f>
        <v>-0.01</v>
      </c>
      <c r="AB142">
        <f>IF($A142="","",IF($B142="V01",Cadrage!$C$42,IF($B142="V02",Cadrage!$D$42,Cadrage!$E$42)))</f>
        <v>90</v>
      </c>
      <c r="AC142">
        <f>IF($A142="","",IF($F142="MBWAY",Cadrage!$K$34,IF($F142="ISCOM",Cadrage!$K$35,IF($F142="IPAC",Cadrage!$K$36,IF($F142="PIGIER",Cadrage!$K$37,Cadrage!$K$38)))))</f>
        <v>1.15</v>
      </c>
      <c r="AD142">
        <f t="shared" si="1"/>
        <v>66.9054750250772</v>
      </c>
      <c r="AE142">
        <f t="shared" si="2"/>
        <v>66.9054750250772</v>
      </c>
      <c r="AF142">
        <f t="shared" si="3"/>
        <v>66.9054750250772</v>
      </c>
      <c r="AG142">
        <f t="shared" si="4"/>
        <v>8593.2</v>
      </c>
      <c r="AH142">
        <f t="shared" si="5"/>
        <v>580953.62073775</v>
      </c>
    </row>
    <row r="143" ht="14.25" customHeight="1">
      <c r="A143" t="str">
        <f>IF(Moteur!D143="","",Moteur!D143)</f>
        <v>ISCOM_PAR</v>
      </c>
      <c r="B143" t="str">
        <f>IF(Moteur!B143="","",Moteur!B143)</f>
        <v>V03</v>
      </c>
      <c r="C143" t="str">
        <f>IF(Moteur!F143="","",Moteur!F143)</f>
        <v>BAC_COM</v>
      </c>
      <c r="D143" t="str">
        <f>IF(Moteur!G143="","",Moteur!G143)</f>
        <v>B2</v>
      </c>
      <c r="E143" t="str">
        <f>IF(Moteur!H143="","",Moteur!H143)</f>
        <v>ALT</v>
      </c>
      <c r="F143" t="str">
        <f>IF(Moteur!E143="","",Moteur!E143)</f>
        <v>ISCOM</v>
      </c>
      <c r="G143">
        <f>IF($A143="","",_xlfn.SUMIFS(Socle!$H$1:$H$658,Socle!$C$1:$C$658,$A143,Socle!$D$1:$D$658,$C143,Socle!$E$1:$E$658,$D143,Socle!$F$1:$F$658,$E143,Socle!$G$1:$G$658,"2026"))</f>
        <v>0</v>
      </c>
      <c r="H143">
        <f>IF($A143="","",_xlfn.SUMIFS(Socle!$N$1:$N$658,Socle!$C$1:$C$658,$A143,Socle!$D$1:$D$658,$C143,Socle!$E$1:$E$658,$D143,Socle!$F$1:$F$658,$E143,Socle!$G$1:$G$658,"2026"))</f>
        <v>72</v>
      </c>
      <c r="I143">
        <f>IF($A143="","",_xlfn.SUMIFS(Socle!$P$1:$P$658,Socle!$C$1:$C$658,$A143,Socle!$D$1:$D$658,$C143,Socle!$E$1:$E$658,$D143,Socle!$F$1:$F$658,$E143,Socle!$G$1:$G$658,"2026"))</f>
        <v>7840</v>
      </c>
      <c r="J143">
        <f>IF($A143="","",_xlfn.SUMIFS(Socle!$W$1:$W$658,Socle!$C$1:$C$658,$A143,Socle!$D$1:$D$658,$C143,Socle!$E$1:$E$658,$D143,Socle!$F$1:$F$658,$E143,Socle!$G$1:$G$658,"2026"))</f>
        <v>0</v>
      </c>
      <c r="K143">
        <f>IF($A143="","",_xlfn.SUMIFS(Socle!$X$1:$X$658,Socle!$C$1:$C$658,$A143,Socle!$D$1:$D$658,$C143,Socle!$E$1:$E$658,$D143,Socle!$F$1:$F$658,$E143,Socle!$G$1:$G$658,"2026"))</f>
        <v>0</v>
      </c>
      <c r="L143">
        <f>IF($A143="","",_xlfn.SUMIFS(Socle!$Y$1:$Y$658,Socle!$C$1:$C$658,$A143,Socle!$D$1:$D$658,$C143,Socle!$E$1:$E$658,$D143,Socle!$F$1:$F$658,$E143,Socle!$G$1:$G$658,"2026"))</f>
        <v>0</v>
      </c>
      <c r="M143">
        <f>IF($A143="","",_xlfn.SUMIFS(Socle!$V$1:$V$658,Socle!$C$1:$C$658,$A143,Socle!$D$1:$D$658,$C143,Socle!$E$1:$E$658,$D143,Socle!$F$1:$F$658,$E143,Socle!$G$1:$G$658,"2026"))</f>
        <v>0.972222222</v>
      </c>
      <c r="N143">
        <f t="shared" si="0"/>
        <v>0</v>
      </c>
      <c r="O143">
        <f>IF($A143="","",_xlfn.SUMIFS(Campagne!$D$1:$D$141,Campagne!$C$1:$C$141,$A143))</f>
        <v>690</v>
      </c>
      <c r="P143">
        <f>IF($A143="","",_xlfn.SUMIFS(Campagne!$E$1:$E$141,Campagne!$C$1:$C$141,$A143))</f>
        <v>1126</v>
      </c>
      <c r="Q143">
        <f>IF($A143="","",_xlfn.SUMIFS(Campagne!$F$1:$F$141,Campagne!$C$1:$C$141,$A143))</f>
        <v>1816</v>
      </c>
      <c r="R143">
        <f>IF($A143="","",_xlfn.SUMIFS(Campagne!$K$1:$K$141,Campagne!$C$1:$C$141,$A143))</f>
        <v>0.442086266</v>
      </c>
      <c r="S143">
        <f>IF($A143="","",_xlfn.SUMIFS(Campagne!$M$1:$M$141,Campagne!$C$1:$C$141,$A143))</f>
        <v>0.317193514</v>
      </c>
      <c r="T143">
        <f>IF($A143="","",_xlfn.SUMIFS(Pilotage!$K$19:$K$32,Pilotage!$A$19:$A$32,$A143)*_xlfn.SUMIFS(Pilotage!$J$19:$J$32,Pilotage!$A$19:$A$32,$A143)*(SUM(Pilotage!$K$19:$K$32)/SUMPRODUCT(Pilotage!$K$19:$K$32,Pilotage!$J$19:$J$32)))</f>
        <v>60800</v>
      </c>
      <c r="U143">
        <f>IF($A143="","",_xlfn.SUMIFS(Pilotage!$K$19:$K$32,Pilotage!$A$19:$A$32,$A143))</f>
        <v>60800</v>
      </c>
      <c r="V143">
        <f>IF($A143="","",IF($B143="V01",Cadrage!$C$23,IF($B143="V02",Cadrage!$D$23,Cadrage!$E$23)))</f>
        <v>-0.05</v>
      </c>
      <c r="W143">
        <f>IF($A143="","",IF($B143="V01",Cadrage!$C$24,IF($B143="V02",Cadrage!$D$24,Cadrage!$E$24)))</f>
        <v>-0.05</v>
      </c>
      <c r="X143">
        <f>IF($A143="","",IF($B143="V01",Cadrage!$C$25,IF($B143="V02",Cadrage!$D$25,Cadrage!$E$25)))</f>
        <v>0.02</v>
      </c>
      <c r="Y143">
        <f>IF($A143="","",IF($B143="V01",Cadrage!$C$26,IF($B143="V02",Cadrage!$D$26,Cadrage!$E$26)))</f>
        <v>-0.01</v>
      </c>
      <c r="Z143">
        <f>IF($A143="","",IF($B143="V01",Cadrage!$C$27,IF($B143="V02",Cadrage!$D$27,Cadrage!$E$27)))</f>
        <v>-0.01</v>
      </c>
      <c r="AA143">
        <f>IF($A143="","",IF($B143="V01",Cadrage!$C$28,IF($B143="V02",Cadrage!$D$28,Cadrage!$E$28)))</f>
        <v>-0.01</v>
      </c>
      <c r="AB143">
        <f>IF($A143="","",IF($B143="V01",Cadrage!$C$42,IF($B143="V02",Cadrage!$D$42,Cadrage!$E$42)))</f>
        <v>90</v>
      </c>
      <c r="AC143">
        <f>IF($A143="","",IF($F143="MBWAY",Cadrage!$K$34,IF($F143="ISCOM",Cadrage!$K$35,IF($F143="IPAC",Cadrage!$K$36,IF($F143="PIGIER",Cadrage!$K$37,Cadrage!$K$38)))))</f>
        <v>1.15</v>
      </c>
      <c r="AD143">
        <f t="shared" si="1"/>
        <v>0</v>
      </c>
      <c r="AE143">
        <f t="shared" si="2"/>
        <v>0</v>
      </c>
      <c r="AF143">
        <f t="shared" si="3"/>
        <v>69.279999984</v>
      </c>
      <c r="AG143">
        <f t="shared" si="4"/>
        <v>8020.32</v>
      </c>
      <c r="AH143">
        <f t="shared" si="5"/>
        <v>555647.769471675</v>
      </c>
    </row>
    <row r="144" ht="14.25" customHeight="1">
      <c r="A144" t="str">
        <f>IF(Moteur!D144="","",Moteur!D144)</f>
        <v>ISCOM_PAR</v>
      </c>
      <c r="B144" t="str">
        <f>IF(Moteur!B144="","",Moteur!B144)</f>
        <v>V03</v>
      </c>
      <c r="C144" t="str">
        <f>IF(Moteur!F144="","",Moteur!F144)</f>
        <v>BAC_COM</v>
      </c>
      <c r="D144" t="str">
        <f>IF(Moteur!G144="","",Moteur!G144)</f>
        <v>B3</v>
      </c>
      <c r="E144" t="str">
        <f>IF(Moteur!H144="","",Moteur!H144)</f>
        <v>ALT</v>
      </c>
      <c r="F144" t="str">
        <f>IF(Moteur!E144="","",Moteur!E144)</f>
        <v>ISCOM</v>
      </c>
      <c r="G144">
        <f>IF($A144="","",_xlfn.SUMIFS(Socle!$H$1:$H$658,Socle!$C$1:$C$658,$A144,Socle!$D$1:$D$658,$C144,Socle!$E$1:$E$658,$D144,Socle!$F$1:$F$658,$E144,Socle!$G$1:$G$658,"2026"))</f>
        <v>0</v>
      </c>
      <c r="H144">
        <f>IF($A144="","",_xlfn.SUMIFS(Socle!$N$1:$N$658,Socle!$C$1:$C$658,$A144,Socle!$D$1:$D$658,$C144,Socle!$E$1:$E$658,$D144,Socle!$F$1:$F$658,$E144,Socle!$G$1:$G$658,"2026"))</f>
        <v>70</v>
      </c>
      <c r="I144">
        <f>IF($A144="","",_xlfn.SUMIFS(Socle!$P$1:$P$658,Socle!$C$1:$C$658,$A144,Socle!$D$1:$D$658,$C144,Socle!$E$1:$E$658,$D144,Socle!$F$1:$F$658,$E144,Socle!$G$1:$G$658,"2026"))</f>
        <v>7840</v>
      </c>
      <c r="J144">
        <f>IF($A144="","",_xlfn.SUMIFS(Socle!$W$1:$W$658,Socle!$C$1:$C$658,$A144,Socle!$D$1:$D$658,$C144,Socle!$E$1:$E$658,$D144,Socle!$F$1:$F$658,$E144,Socle!$G$1:$G$658,"2026"))</f>
        <v>0</v>
      </c>
      <c r="K144">
        <f>IF($A144="","",_xlfn.SUMIFS(Socle!$X$1:$X$658,Socle!$C$1:$C$658,$A144,Socle!$D$1:$D$658,$C144,Socle!$E$1:$E$658,$D144,Socle!$F$1:$F$658,$E144,Socle!$G$1:$G$658,"2026"))</f>
        <v>0</v>
      </c>
      <c r="L144">
        <f>IF($A144="","",_xlfn.SUMIFS(Socle!$Y$1:$Y$658,Socle!$C$1:$C$658,$A144,Socle!$D$1:$D$658,$C144,Socle!$E$1:$E$658,$D144,Socle!$F$1:$F$658,$E144,Socle!$G$1:$G$658,"2026"))</f>
        <v>0</v>
      </c>
      <c r="M144">
        <f>IF($A144="","",_xlfn.SUMIFS(Socle!$V$1:$V$658,Socle!$C$1:$C$658,$A144,Socle!$D$1:$D$658,$C144,Socle!$E$1:$E$658,$D144,Socle!$F$1:$F$658,$E144,Socle!$G$1:$G$658,"2026"))</f>
        <v>0.985714286</v>
      </c>
      <c r="N144">
        <f t="shared" si="0"/>
        <v>0</v>
      </c>
      <c r="O144">
        <f>IF($A144="","",_xlfn.SUMIFS(Campagne!$D$1:$D$141,Campagne!$C$1:$C$141,$A144))</f>
        <v>690</v>
      </c>
      <c r="P144">
        <f>IF($A144="","",_xlfn.SUMIFS(Campagne!$E$1:$E$141,Campagne!$C$1:$C$141,$A144))</f>
        <v>1126</v>
      </c>
      <c r="Q144">
        <f>IF($A144="","",_xlfn.SUMIFS(Campagne!$F$1:$F$141,Campagne!$C$1:$C$141,$A144))</f>
        <v>1816</v>
      </c>
      <c r="R144">
        <f>IF($A144="","",_xlfn.SUMIFS(Campagne!$K$1:$K$141,Campagne!$C$1:$C$141,$A144))</f>
        <v>0.442086266</v>
      </c>
      <c r="S144">
        <f>IF($A144="","",_xlfn.SUMIFS(Campagne!$M$1:$M$141,Campagne!$C$1:$C$141,$A144))</f>
        <v>0.317193514</v>
      </c>
      <c r="T144">
        <f>IF($A144="","",_xlfn.SUMIFS(Pilotage!$K$19:$K$32,Pilotage!$A$19:$A$32,$A144)*_xlfn.SUMIFS(Pilotage!$J$19:$J$32,Pilotage!$A$19:$A$32,$A144)*(SUM(Pilotage!$K$19:$K$32)/SUMPRODUCT(Pilotage!$K$19:$K$32,Pilotage!$J$19:$J$32)))</f>
        <v>60800</v>
      </c>
      <c r="U144">
        <f>IF($A144="","",_xlfn.SUMIFS(Pilotage!$K$19:$K$32,Pilotage!$A$19:$A$32,$A144))</f>
        <v>60800</v>
      </c>
      <c r="V144">
        <f>IF($A144="","",IF($B144="V01",Cadrage!$C$23,IF($B144="V02",Cadrage!$D$23,Cadrage!$E$23)))</f>
        <v>-0.05</v>
      </c>
      <c r="W144">
        <f>IF($A144="","",IF($B144="V01",Cadrage!$C$24,IF($B144="V02",Cadrage!$D$24,Cadrage!$E$24)))</f>
        <v>-0.05</v>
      </c>
      <c r="X144">
        <f>IF($A144="","",IF($B144="V01",Cadrage!$C$25,IF($B144="V02",Cadrage!$D$25,Cadrage!$E$25)))</f>
        <v>0.02</v>
      </c>
      <c r="Y144">
        <f>IF($A144="","",IF($B144="V01",Cadrage!$C$26,IF($B144="V02",Cadrage!$D$26,Cadrage!$E$26)))</f>
        <v>-0.01</v>
      </c>
      <c r="Z144">
        <f>IF($A144="","",IF($B144="V01",Cadrage!$C$27,IF($B144="V02",Cadrage!$D$27,Cadrage!$E$27)))</f>
        <v>-0.01</v>
      </c>
      <c r="AA144">
        <f>IF($A144="","",IF($B144="V01",Cadrage!$C$28,IF($B144="V02",Cadrage!$D$28,Cadrage!$E$28)))</f>
        <v>-0.01</v>
      </c>
      <c r="AB144">
        <f>IF($A144="","",IF($B144="V01",Cadrage!$C$42,IF($B144="V02",Cadrage!$D$42,Cadrage!$E$42)))</f>
        <v>90</v>
      </c>
      <c r="AC144">
        <f>IF($A144="","",IF($F144="MBWAY",Cadrage!$K$34,IF($F144="ISCOM",Cadrage!$K$35,IF($F144="IPAC",Cadrage!$K$36,IF($F144="PIGIER",Cadrage!$K$37,Cadrage!$K$38)))))</f>
        <v>1.15</v>
      </c>
      <c r="AD144">
        <f t="shared" si="1"/>
        <v>0</v>
      </c>
      <c r="AE144">
        <f t="shared" si="2"/>
        <v>0</v>
      </c>
      <c r="AF144">
        <f t="shared" si="3"/>
        <v>68.30000002</v>
      </c>
      <c r="AG144">
        <f t="shared" si="4"/>
        <v>8020.32</v>
      </c>
      <c r="AH144">
        <f t="shared" si="5"/>
        <v>547787.856160406</v>
      </c>
    </row>
    <row r="145" ht="14.25" customHeight="1">
      <c r="A145" t="str">
        <f>IF(Moteur!D145="","",Moteur!D145)</f>
        <v>ISCOM_PAR</v>
      </c>
      <c r="B145" t="str">
        <f>IF(Moteur!B145="","",Moteur!B145)</f>
        <v>V03</v>
      </c>
      <c r="C145" t="str">
        <f>IF(Moteur!F145="","",Moteur!F145)</f>
        <v>MAS_COM</v>
      </c>
      <c r="D145" t="str">
        <f>IF(Moteur!G145="","",Moteur!G145)</f>
        <v>M1</v>
      </c>
      <c r="E145" t="str">
        <f>IF(Moteur!H145="","",Moteur!H145)</f>
        <v>ALT</v>
      </c>
      <c r="F145" t="str">
        <f>IF(Moteur!E145="","",Moteur!E145)</f>
        <v>ISCOM</v>
      </c>
      <c r="G145">
        <f>IF($A145="","",_xlfn.SUMIFS(Socle!$H$1:$H$658,Socle!$C$1:$C$658,$A145,Socle!$D$1:$D$658,$C145,Socle!$E$1:$E$658,$D145,Socle!$F$1:$F$658,$E145,Socle!$G$1:$G$658,"2026"))</f>
        <v>1220</v>
      </c>
      <c r="H145">
        <f>IF($A145="","",_xlfn.SUMIFS(Socle!$N$1:$N$658,Socle!$C$1:$C$658,$A145,Socle!$D$1:$D$658,$C145,Socle!$E$1:$E$658,$D145,Socle!$F$1:$F$658,$E145,Socle!$G$1:$G$658,"2026"))</f>
        <v>0</v>
      </c>
      <c r="I145">
        <f>IF($A145="","",_xlfn.SUMIFS(Socle!$P$1:$P$658,Socle!$C$1:$C$658,$A145,Socle!$D$1:$D$658,$C145,Socle!$E$1:$E$658,$D145,Socle!$F$1:$F$658,$E145,Socle!$G$1:$G$658,"2026"))</f>
        <v>8400</v>
      </c>
      <c r="J145">
        <f>IF($A145="","",_xlfn.SUMIFS(Socle!$W$1:$W$658,Socle!$C$1:$C$658,$A145,Socle!$D$1:$D$658,$C145,Socle!$E$1:$E$658,$D145,Socle!$F$1:$F$658,$E145,Socle!$G$1:$G$658,"2026"))</f>
        <v>0.2</v>
      </c>
      <c r="K145">
        <f>IF($A145="","",_xlfn.SUMIFS(Socle!$X$1:$X$658,Socle!$C$1:$C$658,$A145,Socle!$D$1:$D$658,$C145,Socle!$E$1:$E$658,$D145,Socle!$F$1:$F$658,$E145,Socle!$G$1:$G$658,"2026"))</f>
        <v>0.700819672</v>
      </c>
      <c r="L145">
        <f>IF($A145="","",_xlfn.SUMIFS(Socle!$Y$1:$Y$658,Socle!$C$1:$C$658,$A145,Socle!$D$1:$D$658,$C145,Socle!$E$1:$E$658,$D145,Socle!$F$1:$F$658,$E145,Socle!$G$1:$G$658,"2026"))</f>
        <v>0.421052632</v>
      </c>
      <c r="M145">
        <f>IF($A145="","",_xlfn.SUMIFS(Socle!$V$1:$V$658,Socle!$C$1:$C$658,$A145,Socle!$D$1:$D$658,$C145,Socle!$E$1:$E$658,$D145,Socle!$F$1:$F$658,$E145,Socle!$G$1:$G$658,"2026"))</f>
        <v>0</v>
      </c>
      <c r="N145">
        <f t="shared" si="0"/>
        <v>1</v>
      </c>
      <c r="O145">
        <f>IF($A145="","",_xlfn.SUMIFS(Campagne!$D$1:$D$141,Campagne!$C$1:$C$141,$A145))</f>
        <v>690</v>
      </c>
      <c r="P145">
        <f>IF($A145="","",_xlfn.SUMIFS(Campagne!$E$1:$E$141,Campagne!$C$1:$C$141,$A145))</f>
        <v>1126</v>
      </c>
      <c r="Q145">
        <f>IF($A145="","",_xlfn.SUMIFS(Campagne!$F$1:$F$141,Campagne!$C$1:$C$141,$A145))</f>
        <v>1816</v>
      </c>
      <c r="R145">
        <f>IF($A145="","",_xlfn.SUMIFS(Campagne!$K$1:$K$141,Campagne!$C$1:$C$141,$A145))</f>
        <v>0.442086266</v>
      </c>
      <c r="S145">
        <f>IF($A145="","",_xlfn.SUMIFS(Campagne!$M$1:$M$141,Campagne!$C$1:$C$141,$A145))</f>
        <v>0.317193514</v>
      </c>
      <c r="T145">
        <f>IF($A145="","",_xlfn.SUMIFS(Pilotage!$K$19:$K$32,Pilotage!$A$19:$A$32,$A145)*_xlfn.SUMIFS(Pilotage!$J$19:$J$32,Pilotage!$A$19:$A$32,$A145)*(SUM(Pilotage!$K$19:$K$32)/SUMPRODUCT(Pilotage!$K$19:$K$32,Pilotage!$J$19:$J$32)))</f>
        <v>60800</v>
      </c>
      <c r="U145">
        <f>IF($A145="","",_xlfn.SUMIFS(Pilotage!$K$19:$K$32,Pilotage!$A$19:$A$32,$A145))</f>
        <v>60800</v>
      </c>
      <c r="V145">
        <f>IF($A145="","",IF($B145="V01",Cadrage!$C$23,IF($B145="V02",Cadrage!$D$23,Cadrage!$E$23)))</f>
        <v>-0.05</v>
      </c>
      <c r="W145">
        <f>IF($A145="","",IF($B145="V01",Cadrage!$C$24,IF($B145="V02",Cadrage!$D$24,Cadrage!$E$24)))</f>
        <v>-0.05</v>
      </c>
      <c r="X145">
        <f>IF($A145="","",IF($B145="V01",Cadrage!$C$25,IF($B145="V02",Cadrage!$D$25,Cadrage!$E$25)))</f>
        <v>0.02</v>
      </c>
      <c r="Y145">
        <f>IF($A145="","",IF($B145="V01",Cadrage!$C$26,IF($B145="V02",Cadrage!$D$26,Cadrage!$E$26)))</f>
        <v>-0.01</v>
      </c>
      <c r="Z145">
        <f>IF($A145="","",IF($B145="V01",Cadrage!$C$27,IF($B145="V02",Cadrage!$D$27,Cadrage!$E$27)))</f>
        <v>-0.01</v>
      </c>
      <c r="AA145">
        <f>IF($A145="","",IF($B145="V01",Cadrage!$C$28,IF($B145="V02",Cadrage!$D$28,Cadrage!$E$28)))</f>
        <v>-0.01</v>
      </c>
      <c r="AB145">
        <f>IF($A145="","",IF($B145="V01",Cadrage!$C$42,IF($B145="V02",Cadrage!$D$42,Cadrage!$E$42)))</f>
        <v>90</v>
      </c>
      <c r="AC145">
        <f>IF($A145="","",IF($F145="MBWAY",Cadrage!$K$34,IF($F145="ISCOM",Cadrage!$K$35,IF($F145="IPAC",Cadrage!$K$36,IF($F145="PIGIER",Cadrage!$K$37,Cadrage!$K$38)))))</f>
        <v>1.15</v>
      </c>
      <c r="AD145">
        <f t="shared" si="1"/>
        <v>65.4377351507916</v>
      </c>
      <c r="AE145">
        <f t="shared" si="2"/>
        <v>65.4377351507916</v>
      </c>
      <c r="AF145">
        <f t="shared" si="3"/>
        <v>65.4377351507916</v>
      </c>
      <c r="AG145">
        <f t="shared" si="4"/>
        <v>8593.2</v>
      </c>
      <c r="AH145">
        <f t="shared" si="5"/>
        <v>568208.941861354</v>
      </c>
    </row>
    <row r="146" ht="14.25" customHeight="1">
      <c r="A146" t="str">
        <f>IF(Moteur!D146="","",Moteur!D146)</f>
        <v>ISCOM_PAR</v>
      </c>
      <c r="B146" t="str">
        <f>IF(Moteur!B146="","",Moteur!B146)</f>
        <v>V03</v>
      </c>
      <c r="C146" t="str">
        <f>IF(Moteur!F146="","",Moteur!F146)</f>
        <v>MAS_COM</v>
      </c>
      <c r="D146" t="str">
        <f>IF(Moteur!G146="","",Moteur!G146)</f>
        <v>M2</v>
      </c>
      <c r="E146" t="str">
        <f>IF(Moteur!H146="","",Moteur!H146)</f>
        <v>ALT</v>
      </c>
      <c r="F146" t="str">
        <f>IF(Moteur!E146="","",Moteur!E146)</f>
        <v>ISCOM</v>
      </c>
      <c r="G146">
        <f>IF($A146="","",_xlfn.SUMIFS(Socle!$H$1:$H$658,Socle!$C$1:$C$658,$A146,Socle!$D$1:$D$658,$C146,Socle!$E$1:$E$658,$D146,Socle!$F$1:$F$658,$E146,Socle!$G$1:$G$658,"2026"))</f>
        <v>0</v>
      </c>
      <c r="H146">
        <f>IF($A146="","",_xlfn.SUMIFS(Socle!$N$1:$N$658,Socle!$C$1:$C$658,$A146,Socle!$D$1:$D$658,$C146,Socle!$E$1:$E$658,$D146,Socle!$F$1:$F$658,$E146,Socle!$G$1:$G$658,"2026"))</f>
        <v>72</v>
      </c>
      <c r="I146">
        <f>IF($A146="","",_xlfn.SUMIFS(Socle!$P$1:$P$658,Socle!$C$1:$C$658,$A146,Socle!$D$1:$D$658,$C146,Socle!$E$1:$E$658,$D146,Socle!$F$1:$F$658,$E146,Socle!$G$1:$G$658,"2026"))</f>
        <v>8400</v>
      </c>
      <c r="J146">
        <f>IF($A146="","",_xlfn.SUMIFS(Socle!$W$1:$W$658,Socle!$C$1:$C$658,$A146,Socle!$D$1:$D$658,$C146,Socle!$E$1:$E$658,$D146,Socle!$F$1:$F$658,$E146,Socle!$G$1:$G$658,"2026"))</f>
        <v>0</v>
      </c>
      <c r="K146">
        <f>IF($A146="","",_xlfn.SUMIFS(Socle!$X$1:$X$658,Socle!$C$1:$C$658,$A146,Socle!$D$1:$D$658,$C146,Socle!$E$1:$E$658,$D146,Socle!$F$1:$F$658,$E146,Socle!$G$1:$G$658,"2026"))</f>
        <v>0</v>
      </c>
      <c r="L146">
        <f>IF($A146="","",_xlfn.SUMIFS(Socle!$Y$1:$Y$658,Socle!$C$1:$C$658,$A146,Socle!$D$1:$D$658,$C146,Socle!$E$1:$E$658,$D146,Socle!$F$1:$F$658,$E146,Socle!$G$1:$G$658,"2026"))</f>
        <v>0</v>
      </c>
      <c r="M146">
        <f>IF($A146="","",_xlfn.SUMIFS(Socle!$V$1:$V$658,Socle!$C$1:$C$658,$A146,Socle!$D$1:$D$658,$C146,Socle!$E$1:$E$658,$D146,Socle!$F$1:$F$658,$E146,Socle!$G$1:$G$658,"2026"))</f>
        <v>0.986111111</v>
      </c>
      <c r="N146">
        <f t="shared" si="0"/>
        <v>0</v>
      </c>
      <c r="O146">
        <f>IF($A146="","",_xlfn.SUMIFS(Campagne!$D$1:$D$141,Campagne!$C$1:$C$141,$A146))</f>
        <v>690</v>
      </c>
      <c r="P146">
        <f>IF($A146="","",_xlfn.SUMIFS(Campagne!$E$1:$E$141,Campagne!$C$1:$C$141,$A146))</f>
        <v>1126</v>
      </c>
      <c r="Q146">
        <f>IF($A146="","",_xlfn.SUMIFS(Campagne!$F$1:$F$141,Campagne!$C$1:$C$141,$A146))</f>
        <v>1816</v>
      </c>
      <c r="R146">
        <f>IF($A146="","",_xlfn.SUMIFS(Campagne!$K$1:$K$141,Campagne!$C$1:$C$141,$A146))</f>
        <v>0.442086266</v>
      </c>
      <c r="S146">
        <f>IF($A146="","",_xlfn.SUMIFS(Campagne!$M$1:$M$141,Campagne!$C$1:$C$141,$A146))</f>
        <v>0.317193514</v>
      </c>
      <c r="T146">
        <f>IF($A146="","",_xlfn.SUMIFS(Pilotage!$K$19:$K$32,Pilotage!$A$19:$A$32,$A146)*_xlfn.SUMIFS(Pilotage!$J$19:$J$32,Pilotage!$A$19:$A$32,$A146)*(SUM(Pilotage!$K$19:$K$32)/SUMPRODUCT(Pilotage!$K$19:$K$32,Pilotage!$J$19:$J$32)))</f>
        <v>60800</v>
      </c>
      <c r="U146">
        <f>IF($A146="","",_xlfn.SUMIFS(Pilotage!$K$19:$K$32,Pilotage!$A$19:$A$32,$A146))</f>
        <v>60800</v>
      </c>
      <c r="V146">
        <f>IF($A146="","",IF($B146="V01",Cadrage!$C$23,IF($B146="V02",Cadrage!$D$23,Cadrage!$E$23)))</f>
        <v>-0.05</v>
      </c>
      <c r="W146">
        <f>IF($A146="","",IF($B146="V01",Cadrage!$C$24,IF($B146="V02",Cadrage!$D$24,Cadrage!$E$24)))</f>
        <v>-0.05</v>
      </c>
      <c r="X146">
        <f>IF($A146="","",IF($B146="V01",Cadrage!$C$25,IF($B146="V02",Cadrage!$D$25,Cadrage!$E$25)))</f>
        <v>0.02</v>
      </c>
      <c r="Y146">
        <f>IF($A146="","",IF($B146="V01",Cadrage!$C$26,IF($B146="V02",Cadrage!$D$26,Cadrage!$E$26)))</f>
        <v>-0.01</v>
      </c>
      <c r="Z146">
        <f>IF($A146="","",IF($B146="V01",Cadrage!$C$27,IF($B146="V02",Cadrage!$D$27,Cadrage!$E$27)))</f>
        <v>-0.01</v>
      </c>
      <c r="AA146">
        <f>IF($A146="","",IF($B146="V01",Cadrage!$C$28,IF($B146="V02",Cadrage!$D$28,Cadrage!$E$28)))</f>
        <v>-0.01</v>
      </c>
      <c r="AB146">
        <f>IF($A146="","",IF($B146="V01",Cadrage!$C$42,IF($B146="V02",Cadrage!$D$42,Cadrage!$E$42)))</f>
        <v>90</v>
      </c>
      <c r="AC146">
        <f>IF($A146="","",IF($F146="MBWAY",Cadrage!$K$34,IF($F146="ISCOM",Cadrage!$K$35,IF($F146="IPAC",Cadrage!$K$36,IF($F146="PIGIER",Cadrage!$K$37,Cadrage!$K$38)))))</f>
        <v>1.15</v>
      </c>
      <c r="AD146">
        <f t="shared" si="1"/>
        <v>0</v>
      </c>
      <c r="AE146">
        <f t="shared" si="2"/>
        <v>0</v>
      </c>
      <c r="AF146">
        <f t="shared" si="3"/>
        <v>70.279999992</v>
      </c>
      <c r="AG146">
        <f t="shared" si="4"/>
        <v>8593.2</v>
      </c>
      <c r="AH146">
        <f t="shared" si="5"/>
        <v>603930.095931254</v>
      </c>
    </row>
    <row r="147" ht="14.25" customHeight="1">
      <c r="A147" t="str">
        <f>IF(Moteur!D147="","",Moteur!D147)</f>
        <v>ISCOM_LIL</v>
      </c>
      <c r="B147" t="str">
        <f>IF(Moteur!B147="","",Moteur!B147)</f>
        <v>V03</v>
      </c>
      <c r="C147" t="str">
        <f>IF(Moteur!F147="","",Moteur!F147)</f>
        <v>BAC_COM</v>
      </c>
      <c r="D147" t="str">
        <f>IF(Moteur!G147="","",Moteur!G147)</f>
        <v>B1</v>
      </c>
      <c r="E147" t="str">
        <f>IF(Moteur!H147="","",Moteur!H147)</f>
        <v>INIT</v>
      </c>
      <c r="F147" t="str">
        <f>IF(Moteur!E147="","",Moteur!E147)</f>
        <v>ISCOM</v>
      </c>
      <c r="G147">
        <f>IF($A147="","",_xlfn.SUMIFS(Socle!$H$1:$H$658,Socle!$C$1:$C$658,$A147,Socle!$D$1:$D$658,$C147,Socle!$E$1:$E$658,$D147,Socle!$F$1:$F$658,$E147,Socle!$G$1:$G$658,"2026"))</f>
        <v>411</v>
      </c>
      <c r="H147">
        <f>IF($A147="","",_xlfn.SUMIFS(Socle!$N$1:$N$658,Socle!$C$1:$C$658,$A147,Socle!$D$1:$D$658,$C147,Socle!$E$1:$E$658,$D147,Socle!$F$1:$F$658,$E147,Socle!$G$1:$G$658,"2026"))</f>
        <v>0</v>
      </c>
      <c r="I147">
        <f>IF($A147="","",_xlfn.SUMIFS(Socle!$P$1:$P$658,Socle!$C$1:$C$658,$A147,Socle!$D$1:$D$658,$C147,Socle!$E$1:$E$658,$D147,Socle!$F$1:$F$658,$E147,Socle!$G$1:$G$658,"2026"))</f>
        <v>7350</v>
      </c>
      <c r="J147">
        <f>IF($A147="","",_xlfn.SUMIFS(Socle!$W$1:$W$658,Socle!$C$1:$C$658,$A147,Socle!$D$1:$D$658,$C147,Socle!$E$1:$E$658,$D147,Socle!$F$1:$F$658,$E147,Socle!$G$1:$G$658,"2026"))</f>
        <v>0.279805353</v>
      </c>
      <c r="K147">
        <f>IF($A147="","",_xlfn.SUMIFS(Socle!$X$1:$X$658,Socle!$C$1:$C$658,$A147,Socle!$D$1:$D$658,$C147,Socle!$E$1:$E$658,$D147,Socle!$F$1:$F$658,$E147,Socle!$G$1:$G$658,"2026"))</f>
        <v>0.72173913</v>
      </c>
      <c r="L147">
        <f>IF($A147="","",_xlfn.SUMIFS(Socle!$Y$1:$Y$658,Socle!$C$1:$C$658,$A147,Socle!$D$1:$D$658,$C147,Socle!$E$1:$E$658,$D147,Socle!$F$1:$F$658,$E147,Socle!$G$1:$G$658,"2026"))</f>
        <v>0.602409639</v>
      </c>
      <c r="M147">
        <f>IF($A147="","",_xlfn.SUMIFS(Socle!$V$1:$V$658,Socle!$C$1:$C$658,$A147,Socle!$D$1:$D$658,$C147,Socle!$E$1:$E$658,$D147,Socle!$F$1:$F$658,$E147,Socle!$G$1:$G$658,"2026"))</f>
        <v>0</v>
      </c>
      <c r="N147">
        <f t="shared" si="0"/>
        <v>1</v>
      </c>
      <c r="O147">
        <f>IF($A147="","",_xlfn.SUMIFS(Campagne!$D$1:$D$141,Campagne!$C$1:$C$141,$A147))</f>
        <v>630</v>
      </c>
      <c r="P147">
        <f>IF($A147="","",_xlfn.SUMIFS(Campagne!$E$1:$E$141,Campagne!$C$1:$C$141,$A147))</f>
        <v>630</v>
      </c>
      <c r="Q147">
        <f>IF($A147="","",_xlfn.SUMIFS(Campagne!$F$1:$F$141,Campagne!$C$1:$C$141,$A147))</f>
        <v>1260</v>
      </c>
      <c r="R147">
        <f>IF($A147="","",_xlfn.SUMIFS(Campagne!$K$1:$K$141,Campagne!$C$1:$C$141,$A147))</f>
        <v>0.515848308</v>
      </c>
      <c r="S147">
        <f>IF($A147="","",_xlfn.SUMIFS(Campagne!$M$1:$M$141,Campagne!$C$1:$C$141,$A147))</f>
        <v>0.348380583</v>
      </c>
      <c r="T147">
        <f>IF($A147="","",_xlfn.SUMIFS(Pilotage!$K$19:$K$32,Pilotage!$A$19:$A$32,$A147)*_xlfn.SUMIFS(Pilotage!$J$19:$J$32,Pilotage!$A$19:$A$32,$A147)*(SUM(Pilotage!$K$19:$K$32)/SUMPRODUCT(Pilotage!$K$19:$K$32,Pilotage!$J$19:$J$32)))</f>
        <v>25220</v>
      </c>
      <c r="U147">
        <f>IF($A147="","",_xlfn.SUMIFS(Pilotage!$K$19:$K$32,Pilotage!$A$19:$A$32,$A147))</f>
        <v>25220</v>
      </c>
      <c r="V147">
        <f>IF($A147="","",IF($B147="V01",Cadrage!$C$23,IF($B147="V02",Cadrage!$D$23,Cadrage!$E$23)))</f>
        <v>-0.05</v>
      </c>
      <c r="W147">
        <f>IF($A147="","",IF($B147="V01",Cadrage!$C$24,IF($B147="V02",Cadrage!$D$24,Cadrage!$E$24)))</f>
        <v>-0.05</v>
      </c>
      <c r="X147">
        <f>IF($A147="","",IF($B147="V01",Cadrage!$C$25,IF($B147="V02",Cadrage!$D$25,Cadrage!$E$25)))</f>
        <v>0.02</v>
      </c>
      <c r="Y147">
        <f>IF($A147="","",IF($B147="V01",Cadrage!$C$26,IF($B147="V02",Cadrage!$D$26,Cadrage!$E$26)))</f>
        <v>-0.01</v>
      </c>
      <c r="Z147">
        <f>IF($A147="","",IF($B147="V01",Cadrage!$C$27,IF($B147="V02",Cadrage!$D$27,Cadrage!$E$27)))</f>
        <v>-0.01</v>
      </c>
      <c r="AA147">
        <f>IF($A147="","",IF($B147="V01",Cadrage!$C$28,IF($B147="V02",Cadrage!$D$28,Cadrage!$E$28)))</f>
        <v>-0.01</v>
      </c>
      <c r="AB147">
        <f>IF($A147="","",IF($B147="V01",Cadrage!$C$42,IF($B147="V02",Cadrage!$D$42,Cadrage!$E$42)))</f>
        <v>90</v>
      </c>
      <c r="AC147">
        <f>IF($A147="","",IF($F147="MBWAY",Cadrage!$K$34,IF($F147="ISCOM",Cadrage!$K$35,IF($F147="IPAC",Cadrage!$K$36,IF($F147="PIGIER",Cadrage!$K$37,Cadrage!$K$38)))))</f>
        <v>1.15</v>
      </c>
      <c r="AD147">
        <f t="shared" si="1"/>
        <v>46.3738129059542</v>
      </c>
      <c r="AE147">
        <f t="shared" si="2"/>
        <v>46.3738129059542</v>
      </c>
      <c r="AF147">
        <f t="shared" si="3"/>
        <v>46.3738129059542</v>
      </c>
      <c r="AG147">
        <f t="shared" si="4"/>
        <v>7519.05</v>
      </c>
      <c r="AH147">
        <f t="shared" si="5"/>
        <v>352860.661092051</v>
      </c>
    </row>
    <row r="148" ht="14.25" customHeight="1">
      <c r="A148" t="str">
        <f>IF(Moteur!D148="","",Moteur!D148)</f>
        <v>ISCOM_LIL</v>
      </c>
      <c r="B148" t="str">
        <f>IF(Moteur!B148="","",Moteur!B148)</f>
        <v>V03</v>
      </c>
      <c r="C148" t="str">
        <f>IF(Moteur!F148="","",Moteur!F148)</f>
        <v>BAC_COM</v>
      </c>
      <c r="D148" t="str">
        <f>IF(Moteur!G148="","",Moteur!G148)</f>
        <v>B2</v>
      </c>
      <c r="E148" t="str">
        <f>IF(Moteur!H148="","",Moteur!H148)</f>
        <v>ALT</v>
      </c>
      <c r="F148" t="str">
        <f>IF(Moteur!E148="","",Moteur!E148)</f>
        <v>ISCOM</v>
      </c>
      <c r="G148">
        <f>IF($A148="","",_xlfn.SUMIFS(Socle!$H$1:$H$658,Socle!$C$1:$C$658,$A148,Socle!$D$1:$D$658,$C148,Socle!$E$1:$E$658,$D148,Socle!$F$1:$F$658,$E148,Socle!$G$1:$G$658,"2026"))</f>
        <v>0</v>
      </c>
      <c r="H148">
        <f>IF($A148="","",_xlfn.SUMIFS(Socle!$N$1:$N$658,Socle!$C$1:$C$658,$A148,Socle!$D$1:$D$658,$C148,Socle!$E$1:$E$658,$D148,Socle!$F$1:$F$658,$E148,Socle!$G$1:$G$658,"2026"))</f>
        <v>50</v>
      </c>
      <c r="I148">
        <f>IF($A148="","",_xlfn.SUMIFS(Socle!$P$1:$P$658,Socle!$C$1:$C$658,$A148,Socle!$D$1:$D$658,$C148,Socle!$E$1:$E$658,$D148,Socle!$F$1:$F$658,$E148,Socle!$G$1:$G$658,"2026"))</f>
        <v>6860</v>
      </c>
      <c r="J148">
        <f>IF($A148="","",_xlfn.SUMIFS(Socle!$W$1:$W$658,Socle!$C$1:$C$658,$A148,Socle!$D$1:$D$658,$C148,Socle!$E$1:$E$658,$D148,Socle!$F$1:$F$658,$E148,Socle!$G$1:$G$658,"2026"))</f>
        <v>0</v>
      </c>
      <c r="K148">
        <f>IF($A148="","",_xlfn.SUMIFS(Socle!$X$1:$X$658,Socle!$C$1:$C$658,$A148,Socle!$D$1:$D$658,$C148,Socle!$E$1:$E$658,$D148,Socle!$F$1:$F$658,$E148,Socle!$G$1:$G$658,"2026"))</f>
        <v>0</v>
      </c>
      <c r="L148">
        <f>IF($A148="","",_xlfn.SUMIFS(Socle!$Y$1:$Y$658,Socle!$C$1:$C$658,$A148,Socle!$D$1:$D$658,$C148,Socle!$E$1:$E$658,$D148,Socle!$F$1:$F$658,$E148,Socle!$G$1:$G$658,"2026"))</f>
        <v>0</v>
      </c>
      <c r="M148">
        <f>IF($A148="","",_xlfn.SUMIFS(Socle!$V$1:$V$658,Socle!$C$1:$C$658,$A148,Socle!$D$1:$D$658,$C148,Socle!$E$1:$E$658,$D148,Socle!$F$1:$F$658,$E148,Socle!$G$1:$G$658,"2026"))</f>
        <v>0.96</v>
      </c>
      <c r="N148">
        <f t="shared" si="0"/>
        <v>0</v>
      </c>
      <c r="O148">
        <f>IF($A148="","",_xlfn.SUMIFS(Campagne!$D$1:$D$141,Campagne!$C$1:$C$141,$A148))</f>
        <v>630</v>
      </c>
      <c r="P148">
        <f>IF($A148="","",_xlfn.SUMIFS(Campagne!$E$1:$E$141,Campagne!$C$1:$C$141,$A148))</f>
        <v>630</v>
      </c>
      <c r="Q148">
        <f>IF($A148="","",_xlfn.SUMIFS(Campagne!$F$1:$F$141,Campagne!$C$1:$C$141,$A148))</f>
        <v>1260</v>
      </c>
      <c r="R148">
        <f>IF($A148="","",_xlfn.SUMIFS(Campagne!$K$1:$K$141,Campagne!$C$1:$C$141,$A148))</f>
        <v>0.515848308</v>
      </c>
      <c r="S148">
        <f>IF($A148="","",_xlfn.SUMIFS(Campagne!$M$1:$M$141,Campagne!$C$1:$C$141,$A148))</f>
        <v>0.348380583</v>
      </c>
      <c r="T148">
        <f>IF($A148="","",_xlfn.SUMIFS(Pilotage!$K$19:$K$32,Pilotage!$A$19:$A$32,$A148)*_xlfn.SUMIFS(Pilotage!$J$19:$J$32,Pilotage!$A$19:$A$32,$A148)*(SUM(Pilotage!$K$19:$K$32)/SUMPRODUCT(Pilotage!$K$19:$K$32,Pilotage!$J$19:$J$32)))</f>
        <v>25220</v>
      </c>
      <c r="U148">
        <f>IF($A148="","",_xlfn.SUMIFS(Pilotage!$K$19:$K$32,Pilotage!$A$19:$A$32,$A148))</f>
        <v>25220</v>
      </c>
      <c r="V148">
        <f>IF($A148="","",IF($B148="V01",Cadrage!$C$23,IF($B148="V02",Cadrage!$D$23,Cadrage!$E$23)))</f>
        <v>-0.05</v>
      </c>
      <c r="W148">
        <f>IF($A148="","",IF($B148="V01",Cadrage!$C$24,IF($B148="V02",Cadrage!$D$24,Cadrage!$E$24)))</f>
        <v>-0.05</v>
      </c>
      <c r="X148">
        <f>IF($A148="","",IF($B148="V01",Cadrage!$C$25,IF($B148="V02",Cadrage!$D$25,Cadrage!$E$25)))</f>
        <v>0.02</v>
      </c>
      <c r="Y148">
        <f>IF($A148="","",IF($B148="V01",Cadrage!$C$26,IF($B148="V02",Cadrage!$D$26,Cadrage!$E$26)))</f>
        <v>-0.01</v>
      </c>
      <c r="Z148">
        <f>IF($A148="","",IF($B148="V01",Cadrage!$C$27,IF($B148="V02",Cadrage!$D$27,Cadrage!$E$27)))</f>
        <v>-0.01</v>
      </c>
      <c r="AA148">
        <f>IF($A148="","",IF($B148="V01",Cadrage!$C$28,IF($B148="V02",Cadrage!$D$28,Cadrage!$E$28)))</f>
        <v>-0.01</v>
      </c>
      <c r="AB148">
        <f>IF($A148="","",IF($B148="V01",Cadrage!$C$42,IF($B148="V02",Cadrage!$D$42,Cadrage!$E$42)))</f>
        <v>90</v>
      </c>
      <c r="AC148">
        <f>IF($A148="","",IF($F148="MBWAY",Cadrage!$K$34,IF($F148="ISCOM",Cadrage!$K$35,IF($F148="IPAC",Cadrage!$K$36,IF($F148="PIGIER",Cadrage!$K$37,Cadrage!$K$38)))))</f>
        <v>1.15</v>
      </c>
      <c r="AD148">
        <f t="shared" si="1"/>
        <v>0</v>
      </c>
      <c r="AE148">
        <f t="shared" si="2"/>
        <v>0</v>
      </c>
      <c r="AF148">
        <f t="shared" si="3"/>
        <v>47.5</v>
      </c>
      <c r="AG148">
        <f t="shared" si="4"/>
        <v>7017.78</v>
      </c>
      <c r="AH148">
        <f t="shared" si="5"/>
        <v>333344.55</v>
      </c>
    </row>
    <row r="149" ht="14.25" customHeight="1">
      <c r="A149" t="str">
        <f>IF(Moteur!D149="","",Moteur!D149)</f>
        <v>ISCOM_LIL</v>
      </c>
      <c r="B149" t="str">
        <f>IF(Moteur!B149="","",Moteur!B149)</f>
        <v>V03</v>
      </c>
      <c r="C149" t="str">
        <f>IF(Moteur!F149="","",Moteur!F149)</f>
        <v>BAC_COM</v>
      </c>
      <c r="D149" t="str">
        <f>IF(Moteur!G149="","",Moteur!G149)</f>
        <v>B3</v>
      </c>
      <c r="E149" t="str">
        <f>IF(Moteur!H149="","",Moteur!H149)</f>
        <v>ALT</v>
      </c>
      <c r="F149" t="str">
        <f>IF(Moteur!E149="","",Moteur!E149)</f>
        <v>ISCOM</v>
      </c>
      <c r="G149">
        <f>IF($A149="","",_xlfn.SUMIFS(Socle!$H$1:$H$658,Socle!$C$1:$C$658,$A149,Socle!$D$1:$D$658,$C149,Socle!$E$1:$E$658,$D149,Socle!$F$1:$F$658,$E149,Socle!$G$1:$G$658,"2026"))</f>
        <v>0</v>
      </c>
      <c r="H149">
        <f>IF($A149="","",_xlfn.SUMIFS(Socle!$N$1:$N$658,Socle!$C$1:$C$658,$A149,Socle!$D$1:$D$658,$C149,Socle!$E$1:$E$658,$D149,Socle!$F$1:$F$658,$E149,Socle!$G$1:$G$658,"2026"))</f>
        <v>48</v>
      </c>
      <c r="I149">
        <f>IF($A149="","",_xlfn.SUMIFS(Socle!$P$1:$P$658,Socle!$C$1:$C$658,$A149,Socle!$D$1:$D$658,$C149,Socle!$E$1:$E$658,$D149,Socle!$F$1:$F$658,$E149,Socle!$G$1:$G$658,"2026"))</f>
        <v>6860</v>
      </c>
      <c r="J149">
        <f>IF($A149="","",_xlfn.SUMIFS(Socle!$W$1:$W$658,Socle!$C$1:$C$658,$A149,Socle!$D$1:$D$658,$C149,Socle!$E$1:$E$658,$D149,Socle!$F$1:$F$658,$E149,Socle!$G$1:$G$658,"2026"))</f>
        <v>0</v>
      </c>
      <c r="K149">
        <f>IF($A149="","",_xlfn.SUMIFS(Socle!$X$1:$X$658,Socle!$C$1:$C$658,$A149,Socle!$D$1:$D$658,$C149,Socle!$E$1:$E$658,$D149,Socle!$F$1:$F$658,$E149,Socle!$G$1:$G$658,"2026"))</f>
        <v>0</v>
      </c>
      <c r="L149">
        <f>IF($A149="","",_xlfn.SUMIFS(Socle!$Y$1:$Y$658,Socle!$C$1:$C$658,$A149,Socle!$D$1:$D$658,$C149,Socle!$E$1:$E$658,$D149,Socle!$F$1:$F$658,$E149,Socle!$G$1:$G$658,"2026"))</f>
        <v>0</v>
      </c>
      <c r="M149">
        <f>IF($A149="","",_xlfn.SUMIFS(Socle!$V$1:$V$658,Socle!$C$1:$C$658,$A149,Socle!$D$1:$D$658,$C149,Socle!$E$1:$E$658,$D149,Socle!$F$1:$F$658,$E149,Socle!$G$1:$G$658,"2026"))</f>
        <v>0.979166667</v>
      </c>
      <c r="N149">
        <f t="shared" si="0"/>
        <v>0</v>
      </c>
      <c r="O149">
        <f>IF($A149="","",_xlfn.SUMIFS(Campagne!$D$1:$D$141,Campagne!$C$1:$C$141,$A149))</f>
        <v>630</v>
      </c>
      <c r="P149">
        <f>IF($A149="","",_xlfn.SUMIFS(Campagne!$E$1:$E$141,Campagne!$C$1:$C$141,$A149))</f>
        <v>630</v>
      </c>
      <c r="Q149">
        <f>IF($A149="","",_xlfn.SUMIFS(Campagne!$F$1:$F$141,Campagne!$C$1:$C$141,$A149))</f>
        <v>1260</v>
      </c>
      <c r="R149">
        <f>IF($A149="","",_xlfn.SUMIFS(Campagne!$K$1:$K$141,Campagne!$C$1:$C$141,$A149))</f>
        <v>0.515848308</v>
      </c>
      <c r="S149">
        <f>IF($A149="","",_xlfn.SUMIFS(Campagne!$M$1:$M$141,Campagne!$C$1:$C$141,$A149))</f>
        <v>0.348380583</v>
      </c>
      <c r="T149">
        <f>IF($A149="","",_xlfn.SUMIFS(Pilotage!$K$19:$K$32,Pilotage!$A$19:$A$32,$A149)*_xlfn.SUMIFS(Pilotage!$J$19:$J$32,Pilotage!$A$19:$A$32,$A149)*(SUM(Pilotage!$K$19:$K$32)/SUMPRODUCT(Pilotage!$K$19:$K$32,Pilotage!$J$19:$J$32)))</f>
        <v>25220</v>
      </c>
      <c r="U149">
        <f>IF($A149="","",_xlfn.SUMIFS(Pilotage!$K$19:$K$32,Pilotage!$A$19:$A$32,$A149))</f>
        <v>25220</v>
      </c>
      <c r="V149">
        <f>IF($A149="","",IF($B149="V01",Cadrage!$C$23,IF($B149="V02",Cadrage!$D$23,Cadrage!$E$23)))</f>
        <v>-0.05</v>
      </c>
      <c r="W149">
        <f>IF($A149="","",IF($B149="V01",Cadrage!$C$24,IF($B149="V02",Cadrage!$D$24,Cadrage!$E$24)))</f>
        <v>-0.05</v>
      </c>
      <c r="X149">
        <f>IF($A149="","",IF($B149="V01",Cadrage!$C$25,IF($B149="V02",Cadrage!$D$25,Cadrage!$E$25)))</f>
        <v>0.02</v>
      </c>
      <c r="Y149">
        <f>IF($A149="","",IF($B149="V01",Cadrage!$C$26,IF($B149="V02",Cadrage!$D$26,Cadrage!$E$26)))</f>
        <v>-0.01</v>
      </c>
      <c r="Z149">
        <f>IF($A149="","",IF($B149="V01",Cadrage!$C$27,IF($B149="V02",Cadrage!$D$27,Cadrage!$E$27)))</f>
        <v>-0.01</v>
      </c>
      <c r="AA149">
        <f>IF($A149="","",IF($B149="V01",Cadrage!$C$28,IF($B149="V02",Cadrage!$D$28,Cadrage!$E$28)))</f>
        <v>-0.01</v>
      </c>
      <c r="AB149">
        <f>IF($A149="","",IF($B149="V01",Cadrage!$C$42,IF($B149="V02",Cadrage!$D$42,Cadrage!$E$42)))</f>
        <v>90</v>
      </c>
      <c r="AC149">
        <f>IF($A149="","",IF($F149="MBWAY",Cadrage!$K$34,IF($F149="ISCOM",Cadrage!$K$35,IF($F149="IPAC",Cadrage!$K$36,IF($F149="PIGIER",Cadrage!$K$37,Cadrage!$K$38)))))</f>
        <v>1.15</v>
      </c>
      <c r="AD149">
        <f t="shared" si="1"/>
        <v>0</v>
      </c>
      <c r="AE149">
        <f t="shared" si="2"/>
        <v>0</v>
      </c>
      <c r="AF149">
        <f t="shared" si="3"/>
        <v>46.520000016</v>
      </c>
      <c r="AG149">
        <f t="shared" si="4"/>
        <v>7017.78</v>
      </c>
      <c r="AH149">
        <f t="shared" si="5"/>
        <v>326467.125712284</v>
      </c>
    </row>
    <row r="150" ht="14.25" customHeight="1">
      <c r="A150" t="str">
        <f>IF(Moteur!D150="","",Moteur!D150)</f>
        <v>ISCOM_LIL</v>
      </c>
      <c r="B150" t="str">
        <f>IF(Moteur!B150="","",Moteur!B150)</f>
        <v>V03</v>
      </c>
      <c r="C150" t="str">
        <f>IF(Moteur!F150="","",Moteur!F150)</f>
        <v>MAS_COM</v>
      </c>
      <c r="D150" t="str">
        <f>IF(Moteur!G150="","",Moteur!G150)</f>
        <v>M1</v>
      </c>
      <c r="E150" t="str">
        <f>IF(Moteur!H150="","",Moteur!H150)</f>
        <v>ALT</v>
      </c>
      <c r="F150" t="str">
        <f>IF(Moteur!E150="","",Moteur!E150)</f>
        <v>ISCOM</v>
      </c>
      <c r="G150">
        <f>IF($A150="","",_xlfn.SUMIFS(Socle!$H$1:$H$658,Socle!$C$1:$C$658,$A150,Socle!$D$1:$D$658,$C150,Socle!$E$1:$E$658,$D150,Socle!$F$1:$F$658,$E150,Socle!$G$1:$G$658,"2026"))</f>
        <v>850</v>
      </c>
      <c r="H150">
        <f>IF($A150="","",_xlfn.SUMIFS(Socle!$N$1:$N$658,Socle!$C$1:$C$658,$A150,Socle!$D$1:$D$658,$C150,Socle!$E$1:$E$658,$D150,Socle!$F$1:$F$658,$E150,Socle!$G$1:$G$658,"2026"))</f>
        <v>0</v>
      </c>
      <c r="I150">
        <f>IF($A150="","",_xlfn.SUMIFS(Socle!$P$1:$P$658,Socle!$C$1:$C$658,$A150,Socle!$D$1:$D$658,$C150,Socle!$E$1:$E$658,$D150,Socle!$F$1:$F$658,$E150,Socle!$G$1:$G$658,"2026"))</f>
        <v>7350</v>
      </c>
      <c r="J150">
        <f>IF($A150="","",_xlfn.SUMIFS(Socle!$W$1:$W$658,Socle!$C$1:$C$658,$A150,Socle!$D$1:$D$658,$C150,Socle!$E$1:$E$658,$D150,Socle!$F$1:$F$658,$E150,Socle!$G$1:$G$658,"2026"))</f>
        <v>0.2</v>
      </c>
      <c r="K150">
        <f>IF($A150="","",_xlfn.SUMIFS(Socle!$X$1:$X$658,Socle!$C$1:$C$658,$A150,Socle!$D$1:$D$658,$C150,Socle!$E$1:$E$658,$D150,Socle!$F$1:$F$658,$E150,Socle!$G$1:$G$658,"2026"))</f>
        <v>0.7</v>
      </c>
      <c r="L150">
        <f>IF($A150="","",_xlfn.SUMIFS(Socle!$Y$1:$Y$658,Socle!$C$1:$C$658,$A150,Socle!$D$1:$D$658,$C150,Socle!$E$1:$E$658,$D150,Socle!$F$1:$F$658,$E150,Socle!$G$1:$G$658,"2026"))</f>
        <v>0.420168067</v>
      </c>
      <c r="M150">
        <f>IF($A150="","",_xlfn.SUMIFS(Socle!$V$1:$V$658,Socle!$C$1:$C$658,$A150,Socle!$D$1:$D$658,$C150,Socle!$E$1:$E$658,$D150,Socle!$F$1:$F$658,$E150,Socle!$G$1:$G$658,"2026"))</f>
        <v>0</v>
      </c>
      <c r="N150">
        <f t="shared" si="0"/>
        <v>1</v>
      </c>
      <c r="O150">
        <f>IF($A150="","",_xlfn.SUMIFS(Campagne!$D$1:$D$141,Campagne!$C$1:$C$141,$A150))</f>
        <v>630</v>
      </c>
      <c r="P150">
        <f>IF($A150="","",_xlfn.SUMIFS(Campagne!$E$1:$E$141,Campagne!$C$1:$C$141,$A150))</f>
        <v>630</v>
      </c>
      <c r="Q150">
        <f>IF($A150="","",_xlfn.SUMIFS(Campagne!$F$1:$F$141,Campagne!$C$1:$C$141,$A150))</f>
        <v>1260</v>
      </c>
      <c r="R150">
        <f>IF($A150="","",_xlfn.SUMIFS(Campagne!$K$1:$K$141,Campagne!$C$1:$C$141,$A150))</f>
        <v>0.515848308</v>
      </c>
      <c r="S150">
        <f>IF($A150="","",_xlfn.SUMIFS(Campagne!$M$1:$M$141,Campagne!$C$1:$C$141,$A150))</f>
        <v>0.348380583</v>
      </c>
      <c r="T150">
        <f>IF($A150="","",_xlfn.SUMIFS(Pilotage!$K$19:$K$32,Pilotage!$A$19:$A$32,$A150)*_xlfn.SUMIFS(Pilotage!$J$19:$J$32,Pilotage!$A$19:$A$32,$A150)*(SUM(Pilotage!$K$19:$K$32)/SUMPRODUCT(Pilotage!$K$19:$K$32,Pilotage!$J$19:$J$32)))</f>
        <v>25220</v>
      </c>
      <c r="U150">
        <f>IF($A150="","",_xlfn.SUMIFS(Pilotage!$K$19:$K$32,Pilotage!$A$19:$A$32,$A150))</f>
        <v>25220</v>
      </c>
      <c r="V150">
        <f>IF($A150="","",IF($B150="V01",Cadrage!$C$23,IF($B150="V02",Cadrage!$D$23,Cadrage!$E$23)))</f>
        <v>-0.05</v>
      </c>
      <c r="W150">
        <f>IF($A150="","",IF($B150="V01",Cadrage!$C$24,IF($B150="V02",Cadrage!$D$24,Cadrage!$E$24)))</f>
        <v>-0.05</v>
      </c>
      <c r="X150">
        <f>IF($A150="","",IF($B150="V01",Cadrage!$C$25,IF($B150="V02",Cadrage!$D$25,Cadrage!$E$25)))</f>
        <v>0.02</v>
      </c>
      <c r="Y150">
        <f>IF($A150="","",IF($B150="V01",Cadrage!$C$26,IF($B150="V02",Cadrage!$D$26,Cadrage!$E$26)))</f>
        <v>-0.01</v>
      </c>
      <c r="Z150">
        <f>IF($A150="","",IF($B150="V01",Cadrage!$C$27,IF($B150="V02",Cadrage!$D$27,Cadrage!$E$27)))</f>
        <v>-0.01</v>
      </c>
      <c r="AA150">
        <f>IF($A150="","",IF($B150="V01",Cadrage!$C$28,IF($B150="V02",Cadrage!$D$28,Cadrage!$E$28)))</f>
        <v>-0.01</v>
      </c>
      <c r="AB150">
        <f>IF($A150="","",IF($B150="V01",Cadrage!$C$42,IF($B150="V02",Cadrage!$D$42,Cadrage!$E$42)))</f>
        <v>90</v>
      </c>
      <c r="AC150">
        <f>IF($A150="","",IF($F150="MBWAY",Cadrage!$K$34,IF($F150="ISCOM",Cadrage!$K$35,IF($F150="IPAC",Cadrage!$K$36,IF($F150="PIGIER",Cadrage!$K$37,Cadrage!$K$38)))))</f>
        <v>1.15</v>
      </c>
      <c r="AD150">
        <f t="shared" si="1"/>
        <v>45.3534643443333</v>
      </c>
      <c r="AE150">
        <f t="shared" si="2"/>
        <v>45.3534643443333</v>
      </c>
      <c r="AF150">
        <f t="shared" si="3"/>
        <v>45.3534643443333</v>
      </c>
      <c r="AG150">
        <f t="shared" si="4"/>
        <v>7519.05</v>
      </c>
      <c r="AH150">
        <f t="shared" si="5"/>
        <v>345096.777869249</v>
      </c>
    </row>
    <row r="151" ht="14.25" customHeight="1">
      <c r="A151" t="str">
        <f>IF(Moteur!D151="","",Moteur!D151)</f>
        <v>ISCOM_LIL</v>
      </c>
      <c r="B151" t="str">
        <f>IF(Moteur!B151="","",Moteur!B151)</f>
        <v>V03</v>
      </c>
      <c r="C151" t="str">
        <f>IF(Moteur!F151="","",Moteur!F151)</f>
        <v>MAS_COM</v>
      </c>
      <c r="D151" t="str">
        <f>IF(Moteur!G151="","",Moteur!G151)</f>
        <v>M2</v>
      </c>
      <c r="E151" t="str">
        <f>IF(Moteur!H151="","",Moteur!H151)</f>
        <v>ALT</v>
      </c>
      <c r="F151" t="str">
        <f>IF(Moteur!E151="","",Moteur!E151)</f>
        <v>ISCOM</v>
      </c>
      <c r="G151">
        <f>IF($A151="","",_xlfn.SUMIFS(Socle!$H$1:$H$658,Socle!$C$1:$C$658,$A151,Socle!$D$1:$D$658,$C151,Socle!$E$1:$E$658,$D151,Socle!$F$1:$F$658,$E151,Socle!$G$1:$G$658,"2026"))</f>
        <v>0</v>
      </c>
      <c r="H151">
        <f>IF($A151="","",_xlfn.SUMIFS(Socle!$N$1:$N$658,Socle!$C$1:$C$658,$A151,Socle!$D$1:$D$658,$C151,Socle!$E$1:$E$658,$D151,Socle!$F$1:$F$658,$E151,Socle!$G$1:$G$658,"2026"))</f>
        <v>50</v>
      </c>
      <c r="I151">
        <f>IF($A151="","",_xlfn.SUMIFS(Socle!$P$1:$P$658,Socle!$C$1:$C$658,$A151,Socle!$D$1:$D$658,$C151,Socle!$E$1:$E$658,$D151,Socle!$F$1:$F$658,$E151,Socle!$G$1:$G$658,"2026"))</f>
        <v>7350</v>
      </c>
      <c r="J151">
        <f>IF($A151="","",_xlfn.SUMIFS(Socle!$W$1:$W$658,Socle!$C$1:$C$658,$A151,Socle!$D$1:$D$658,$C151,Socle!$E$1:$E$658,$D151,Socle!$F$1:$F$658,$E151,Socle!$G$1:$G$658,"2026"))</f>
        <v>0</v>
      </c>
      <c r="K151">
        <f>IF($A151="","",_xlfn.SUMIFS(Socle!$X$1:$X$658,Socle!$C$1:$C$658,$A151,Socle!$D$1:$D$658,$C151,Socle!$E$1:$E$658,$D151,Socle!$F$1:$F$658,$E151,Socle!$G$1:$G$658,"2026"))</f>
        <v>0</v>
      </c>
      <c r="L151">
        <f>IF($A151="","",_xlfn.SUMIFS(Socle!$Y$1:$Y$658,Socle!$C$1:$C$658,$A151,Socle!$D$1:$D$658,$C151,Socle!$E$1:$E$658,$D151,Socle!$F$1:$F$658,$E151,Socle!$G$1:$G$658,"2026"))</f>
        <v>0</v>
      </c>
      <c r="M151">
        <f>IF($A151="","",_xlfn.SUMIFS(Socle!$V$1:$V$658,Socle!$C$1:$C$658,$A151,Socle!$D$1:$D$658,$C151,Socle!$E$1:$E$658,$D151,Socle!$F$1:$F$658,$E151,Socle!$G$1:$G$658,"2026"))</f>
        <v>0.98</v>
      </c>
      <c r="N151">
        <f t="shared" si="0"/>
        <v>0</v>
      </c>
      <c r="O151">
        <f>IF($A151="","",_xlfn.SUMIFS(Campagne!$D$1:$D$141,Campagne!$C$1:$C$141,$A151))</f>
        <v>630</v>
      </c>
      <c r="P151">
        <f>IF($A151="","",_xlfn.SUMIFS(Campagne!$E$1:$E$141,Campagne!$C$1:$C$141,$A151))</f>
        <v>630</v>
      </c>
      <c r="Q151">
        <f>IF($A151="","",_xlfn.SUMIFS(Campagne!$F$1:$F$141,Campagne!$C$1:$C$141,$A151))</f>
        <v>1260</v>
      </c>
      <c r="R151">
        <f>IF($A151="","",_xlfn.SUMIFS(Campagne!$K$1:$K$141,Campagne!$C$1:$C$141,$A151))</f>
        <v>0.515848308</v>
      </c>
      <c r="S151">
        <f>IF($A151="","",_xlfn.SUMIFS(Campagne!$M$1:$M$141,Campagne!$C$1:$C$141,$A151))</f>
        <v>0.348380583</v>
      </c>
      <c r="T151">
        <f>IF($A151="","",_xlfn.SUMIFS(Pilotage!$K$19:$K$32,Pilotage!$A$19:$A$32,$A151)*_xlfn.SUMIFS(Pilotage!$J$19:$J$32,Pilotage!$A$19:$A$32,$A151)*(SUM(Pilotage!$K$19:$K$32)/SUMPRODUCT(Pilotage!$K$19:$K$32,Pilotage!$J$19:$J$32)))</f>
        <v>25220</v>
      </c>
      <c r="U151">
        <f>IF($A151="","",_xlfn.SUMIFS(Pilotage!$K$19:$K$32,Pilotage!$A$19:$A$32,$A151))</f>
        <v>25220</v>
      </c>
      <c r="V151">
        <f>IF($A151="","",IF($B151="V01",Cadrage!$C$23,IF($B151="V02",Cadrage!$D$23,Cadrage!$E$23)))</f>
        <v>-0.05</v>
      </c>
      <c r="W151">
        <f>IF($A151="","",IF($B151="V01",Cadrage!$C$24,IF($B151="V02",Cadrage!$D$24,Cadrage!$E$24)))</f>
        <v>-0.05</v>
      </c>
      <c r="X151">
        <f>IF($A151="","",IF($B151="V01",Cadrage!$C$25,IF($B151="V02",Cadrage!$D$25,Cadrage!$E$25)))</f>
        <v>0.02</v>
      </c>
      <c r="Y151">
        <f>IF($A151="","",IF($B151="V01",Cadrage!$C$26,IF($B151="V02",Cadrage!$D$26,Cadrage!$E$26)))</f>
        <v>-0.01</v>
      </c>
      <c r="Z151">
        <f>IF($A151="","",IF($B151="V01",Cadrage!$C$27,IF($B151="V02",Cadrage!$D$27,Cadrage!$E$27)))</f>
        <v>-0.01</v>
      </c>
      <c r="AA151">
        <f>IF($A151="","",IF($B151="V01",Cadrage!$C$28,IF($B151="V02",Cadrage!$D$28,Cadrage!$E$28)))</f>
        <v>-0.01</v>
      </c>
      <c r="AB151">
        <f>IF($A151="","",IF($B151="V01",Cadrage!$C$42,IF($B151="V02",Cadrage!$D$42,Cadrage!$E$42)))</f>
        <v>90</v>
      </c>
      <c r="AC151">
        <f>IF($A151="","",IF($F151="MBWAY",Cadrage!$K$34,IF($F151="ISCOM",Cadrage!$K$35,IF($F151="IPAC",Cadrage!$K$36,IF($F151="PIGIER",Cadrage!$K$37,Cadrage!$K$38)))))</f>
        <v>1.15</v>
      </c>
      <c r="AD151">
        <f t="shared" si="1"/>
        <v>0</v>
      </c>
      <c r="AE151">
        <f t="shared" si="2"/>
        <v>0</v>
      </c>
      <c r="AF151">
        <f t="shared" si="3"/>
        <v>48.5</v>
      </c>
      <c r="AG151">
        <f t="shared" si="4"/>
        <v>7519.05</v>
      </c>
      <c r="AH151">
        <f t="shared" si="5"/>
        <v>364673.925</v>
      </c>
    </row>
    <row r="152" ht="14.25" customHeight="1">
      <c r="A152" t="str">
        <f>IF(Moteur!D152="","",Moteur!D152)</f>
        <v>ISCOM_TLS</v>
      </c>
      <c r="B152" t="str">
        <f>IF(Moteur!B152="","",Moteur!B152)</f>
        <v>V03</v>
      </c>
      <c r="C152" t="str">
        <f>IF(Moteur!F152="","",Moteur!F152)</f>
        <v>BAC_COM</v>
      </c>
      <c r="D152" t="str">
        <f>IF(Moteur!G152="","",Moteur!G152)</f>
        <v>B1</v>
      </c>
      <c r="E152" t="str">
        <f>IF(Moteur!H152="","",Moteur!H152)</f>
        <v>INIT</v>
      </c>
      <c r="F152" t="str">
        <f>IF(Moteur!E152="","",Moteur!E152)</f>
        <v>ISCOM</v>
      </c>
      <c r="G152">
        <f>IF($A152="","",_xlfn.SUMIFS(Socle!$H$1:$H$658,Socle!$C$1:$C$658,$A152,Socle!$D$1:$D$658,$C152,Socle!$E$1:$E$658,$D152,Socle!$F$1:$F$658,$E152,Socle!$G$1:$G$658,"2026"))</f>
        <v>386</v>
      </c>
      <c r="H152">
        <f>IF($A152="","",_xlfn.SUMIFS(Socle!$N$1:$N$658,Socle!$C$1:$C$658,$A152,Socle!$D$1:$D$658,$C152,Socle!$E$1:$E$658,$D152,Socle!$F$1:$F$658,$E152,Socle!$G$1:$G$658,"2026"))</f>
        <v>0</v>
      </c>
      <c r="I152">
        <f>IF($A152="","",_xlfn.SUMIFS(Socle!$P$1:$P$658,Socle!$C$1:$C$658,$A152,Socle!$D$1:$D$658,$C152,Socle!$E$1:$E$658,$D152,Socle!$F$1:$F$658,$E152,Socle!$G$1:$G$658,"2026"))</f>
        <v>7200</v>
      </c>
      <c r="J152">
        <f>IF($A152="","",_xlfn.SUMIFS(Socle!$W$1:$W$658,Socle!$C$1:$C$658,$A152,Socle!$D$1:$D$658,$C152,Socle!$E$1:$E$658,$D152,Socle!$F$1:$F$658,$E152,Socle!$G$1:$G$658,"2026"))</f>
        <v>0.279792746</v>
      </c>
      <c r="K152">
        <f>IF($A152="","",_xlfn.SUMIFS(Socle!$X$1:$X$658,Socle!$C$1:$C$658,$A152,Socle!$D$1:$D$658,$C152,Socle!$E$1:$E$658,$D152,Socle!$F$1:$F$658,$E152,Socle!$G$1:$G$658,"2026"))</f>
        <v>0.722222222</v>
      </c>
      <c r="L152">
        <f>IF($A152="","",_xlfn.SUMIFS(Socle!$Y$1:$Y$658,Socle!$C$1:$C$658,$A152,Socle!$D$1:$D$658,$C152,Socle!$E$1:$E$658,$D152,Socle!$F$1:$F$658,$E152,Socle!$G$1:$G$658,"2026"))</f>
        <v>0.602564103</v>
      </c>
      <c r="M152">
        <f>IF($A152="","",_xlfn.SUMIFS(Socle!$V$1:$V$658,Socle!$C$1:$C$658,$A152,Socle!$D$1:$D$658,$C152,Socle!$E$1:$E$658,$D152,Socle!$F$1:$F$658,$E152,Socle!$G$1:$G$658,"2026"))</f>
        <v>0</v>
      </c>
      <c r="N152">
        <f t="shared" si="0"/>
        <v>1</v>
      </c>
      <c r="O152">
        <f>IF($A152="","",_xlfn.SUMIFS(Campagne!$D$1:$D$141,Campagne!$C$1:$C$141,$A152))</f>
        <v>605</v>
      </c>
      <c r="P152">
        <f>IF($A152="","",_xlfn.SUMIFS(Campagne!$E$1:$E$141,Campagne!$C$1:$C$141,$A152))</f>
        <v>581</v>
      </c>
      <c r="Q152">
        <f>IF($A152="","",_xlfn.SUMIFS(Campagne!$F$1:$F$141,Campagne!$C$1:$C$141,$A152))</f>
        <v>1186</v>
      </c>
      <c r="R152">
        <f>IF($A152="","",_xlfn.SUMIFS(Campagne!$K$1:$K$141,Campagne!$C$1:$C$141,$A152))</f>
        <v>0.521803369</v>
      </c>
      <c r="S152">
        <f>IF($A152="","",_xlfn.SUMIFS(Campagne!$M$1:$M$141,Campagne!$C$1:$C$141,$A152))</f>
        <v>0.35585226</v>
      </c>
      <c r="T152">
        <f>IF($A152="","",_xlfn.SUMIFS(Pilotage!$K$19:$K$32,Pilotage!$A$19:$A$32,$A152)*_xlfn.SUMIFS(Pilotage!$J$19:$J$32,Pilotage!$A$19:$A$32,$A152)*(SUM(Pilotage!$K$19:$K$32)/SUMPRODUCT(Pilotage!$K$19:$K$32,Pilotage!$J$19:$J$32)))</f>
        <v>22083</v>
      </c>
      <c r="U152">
        <f>IF($A152="","",_xlfn.SUMIFS(Pilotage!$K$19:$K$32,Pilotage!$A$19:$A$32,$A152))</f>
        <v>22083</v>
      </c>
      <c r="V152">
        <f>IF($A152="","",IF($B152="V01",Cadrage!$C$23,IF($B152="V02",Cadrage!$D$23,Cadrage!$E$23)))</f>
        <v>-0.05</v>
      </c>
      <c r="W152">
        <f>IF($A152="","",IF($B152="V01",Cadrage!$C$24,IF($B152="V02",Cadrage!$D$24,Cadrage!$E$24)))</f>
        <v>-0.05</v>
      </c>
      <c r="X152">
        <f>IF($A152="","",IF($B152="V01",Cadrage!$C$25,IF($B152="V02",Cadrage!$D$25,Cadrage!$E$25)))</f>
        <v>0.02</v>
      </c>
      <c r="Y152">
        <f>IF($A152="","",IF($B152="V01",Cadrage!$C$26,IF($B152="V02",Cadrage!$D$26,Cadrage!$E$26)))</f>
        <v>-0.01</v>
      </c>
      <c r="Z152">
        <f>IF($A152="","",IF($B152="V01",Cadrage!$C$27,IF($B152="V02",Cadrage!$D$27,Cadrage!$E$27)))</f>
        <v>-0.01</v>
      </c>
      <c r="AA152">
        <f>IF($A152="","",IF($B152="V01",Cadrage!$C$28,IF($B152="V02",Cadrage!$D$28,Cadrage!$E$28)))</f>
        <v>-0.01</v>
      </c>
      <c r="AB152">
        <f>IF($A152="","",IF($B152="V01",Cadrage!$C$42,IF($B152="V02",Cadrage!$D$42,Cadrage!$E$42)))</f>
        <v>90</v>
      </c>
      <c r="AC152">
        <f>IF($A152="","",IF($F152="MBWAY",Cadrage!$K$34,IF($F152="ISCOM",Cadrage!$K$35,IF($F152="IPAC",Cadrage!$K$36,IF($F152="PIGIER",Cadrage!$K$37,Cadrage!$K$38)))))</f>
        <v>1.15</v>
      </c>
      <c r="AD152">
        <f t="shared" si="1"/>
        <v>43.5802375624366</v>
      </c>
      <c r="AE152">
        <f t="shared" si="2"/>
        <v>43.5802375624366</v>
      </c>
      <c r="AF152">
        <f t="shared" si="3"/>
        <v>43.5802375624366</v>
      </c>
      <c r="AG152">
        <f t="shared" si="4"/>
        <v>7365.6</v>
      </c>
      <c r="AH152">
        <f t="shared" si="5"/>
        <v>324916.819170502</v>
      </c>
    </row>
    <row r="153" ht="14.25" customHeight="1">
      <c r="A153" t="str">
        <f>IF(Moteur!D153="","",Moteur!D153)</f>
        <v>ISCOM_TLS</v>
      </c>
      <c r="B153" t="str">
        <f>IF(Moteur!B153="","",Moteur!B153)</f>
        <v>V03</v>
      </c>
      <c r="C153" t="str">
        <f>IF(Moteur!F153="","",Moteur!F153)</f>
        <v>BAC_COM</v>
      </c>
      <c r="D153" t="str">
        <f>IF(Moteur!G153="","",Moteur!G153)</f>
        <v>B2</v>
      </c>
      <c r="E153" t="str">
        <f>IF(Moteur!H153="","",Moteur!H153)</f>
        <v>ALT</v>
      </c>
      <c r="F153" t="str">
        <f>IF(Moteur!E153="","",Moteur!E153)</f>
        <v>ISCOM</v>
      </c>
      <c r="G153">
        <f>IF($A153="","",_xlfn.SUMIFS(Socle!$H$1:$H$658,Socle!$C$1:$C$658,$A153,Socle!$D$1:$D$658,$C153,Socle!$E$1:$E$658,$D153,Socle!$F$1:$F$658,$E153,Socle!$G$1:$G$658,"2026"))</f>
        <v>0</v>
      </c>
      <c r="H153">
        <f>IF($A153="","",_xlfn.SUMIFS(Socle!$N$1:$N$658,Socle!$C$1:$C$658,$A153,Socle!$D$1:$D$658,$C153,Socle!$E$1:$E$658,$D153,Socle!$F$1:$F$658,$E153,Socle!$G$1:$G$658,"2026"))</f>
        <v>47</v>
      </c>
      <c r="I153">
        <f>IF($A153="","",_xlfn.SUMIFS(Socle!$P$1:$P$658,Socle!$C$1:$C$658,$A153,Socle!$D$1:$D$658,$C153,Socle!$E$1:$E$658,$D153,Socle!$F$1:$F$658,$E153,Socle!$G$1:$G$658,"2026"))</f>
        <v>6720</v>
      </c>
      <c r="J153">
        <f>IF($A153="","",_xlfn.SUMIFS(Socle!$W$1:$W$658,Socle!$C$1:$C$658,$A153,Socle!$D$1:$D$658,$C153,Socle!$E$1:$E$658,$D153,Socle!$F$1:$F$658,$E153,Socle!$G$1:$G$658,"2026"))</f>
        <v>0</v>
      </c>
      <c r="K153">
        <f>IF($A153="","",_xlfn.SUMIFS(Socle!$X$1:$X$658,Socle!$C$1:$C$658,$A153,Socle!$D$1:$D$658,$C153,Socle!$E$1:$E$658,$D153,Socle!$F$1:$F$658,$E153,Socle!$G$1:$G$658,"2026"))</f>
        <v>0</v>
      </c>
      <c r="L153">
        <f>IF($A153="","",_xlfn.SUMIFS(Socle!$Y$1:$Y$658,Socle!$C$1:$C$658,$A153,Socle!$D$1:$D$658,$C153,Socle!$E$1:$E$658,$D153,Socle!$F$1:$F$658,$E153,Socle!$G$1:$G$658,"2026"))</f>
        <v>0</v>
      </c>
      <c r="M153">
        <f>IF($A153="","",_xlfn.SUMIFS(Socle!$V$1:$V$658,Socle!$C$1:$C$658,$A153,Socle!$D$1:$D$658,$C153,Socle!$E$1:$E$658,$D153,Socle!$F$1:$F$658,$E153,Socle!$G$1:$G$658,"2026"))</f>
        <v>0.978723404</v>
      </c>
      <c r="N153">
        <f t="shared" si="0"/>
        <v>0</v>
      </c>
      <c r="O153">
        <f>IF($A153="","",_xlfn.SUMIFS(Campagne!$D$1:$D$141,Campagne!$C$1:$C$141,$A153))</f>
        <v>605</v>
      </c>
      <c r="P153">
        <f>IF($A153="","",_xlfn.SUMIFS(Campagne!$E$1:$E$141,Campagne!$C$1:$C$141,$A153))</f>
        <v>581</v>
      </c>
      <c r="Q153">
        <f>IF($A153="","",_xlfn.SUMIFS(Campagne!$F$1:$F$141,Campagne!$C$1:$C$141,$A153))</f>
        <v>1186</v>
      </c>
      <c r="R153">
        <f>IF($A153="","",_xlfn.SUMIFS(Campagne!$K$1:$K$141,Campagne!$C$1:$C$141,$A153))</f>
        <v>0.521803369</v>
      </c>
      <c r="S153">
        <f>IF($A153="","",_xlfn.SUMIFS(Campagne!$M$1:$M$141,Campagne!$C$1:$C$141,$A153))</f>
        <v>0.35585226</v>
      </c>
      <c r="T153">
        <f>IF($A153="","",_xlfn.SUMIFS(Pilotage!$K$19:$K$32,Pilotage!$A$19:$A$32,$A153)*_xlfn.SUMIFS(Pilotage!$J$19:$J$32,Pilotage!$A$19:$A$32,$A153)*(SUM(Pilotage!$K$19:$K$32)/SUMPRODUCT(Pilotage!$K$19:$K$32,Pilotage!$J$19:$J$32)))</f>
        <v>22083</v>
      </c>
      <c r="U153">
        <f>IF($A153="","",_xlfn.SUMIFS(Pilotage!$K$19:$K$32,Pilotage!$A$19:$A$32,$A153))</f>
        <v>22083</v>
      </c>
      <c r="V153">
        <f>IF($A153="","",IF($B153="V01",Cadrage!$C$23,IF($B153="V02",Cadrage!$D$23,Cadrage!$E$23)))</f>
        <v>-0.05</v>
      </c>
      <c r="W153">
        <f>IF($A153="","",IF($B153="V01",Cadrage!$C$24,IF($B153="V02",Cadrage!$D$24,Cadrage!$E$24)))</f>
        <v>-0.05</v>
      </c>
      <c r="X153">
        <f>IF($A153="","",IF($B153="V01",Cadrage!$C$25,IF($B153="V02",Cadrage!$D$25,Cadrage!$E$25)))</f>
        <v>0.02</v>
      </c>
      <c r="Y153">
        <f>IF($A153="","",IF($B153="V01",Cadrage!$C$26,IF($B153="V02",Cadrage!$D$26,Cadrage!$E$26)))</f>
        <v>-0.01</v>
      </c>
      <c r="Z153">
        <f>IF($A153="","",IF($B153="V01",Cadrage!$C$27,IF($B153="V02",Cadrage!$D$27,Cadrage!$E$27)))</f>
        <v>-0.01</v>
      </c>
      <c r="AA153">
        <f>IF($A153="","",IF($B153="V01",Cadrage!$C$28,IF($B153="V02",Cadrage!$D$28,Cadrage!$E$28)))</f>
        <v>-0.01</v>
      </c>
      <c r="AB153">
        <f>IF($A153="","",IF($B153="V01",Cadrage!$C$42,IF($B153="V02",Cadrage!$D$42,Cadrage!$E$42)))</f>
        <v>90</v>
      </c>
      <c r="AC153">
        <f>IF($A153="","",IF($F153="MBWAY",Cadrage!$K$34,IF($F153="ISCOM",Cadrage!$K$35,IF($F153="IPAC",Cadrage!$K$36,IF($F153="PIGIER",Cadrage!$K$37,Cadrage!$K$38)))))</f>
        <v>1.15</v>
      </c>
      <c r="AD153">
        <f t="shared" si="1"/>
        <v>0</v>
      </c>
      <c r="AE153">
        <f t="shared" si="2"/>
        <v>0</v>
      </c>
      <c r="AF153">
        <f t="shared" si="3"/>
        <v>45.529999988</v>
      </c>
      <c r="AG153">
        <f t="shared" si="4"/>
        <v>6874.56</v>
      </c>
      <c r="AH153">
        <f t="shared" si="5"/>
        <v>312998.716717505</v>
      </c>
    </row>
    <row r="154" ht="14.25" customHeight="1">
      <c r="A154" t="str">
        <f>IF(Moteur!D154="","",Moteur!D154)</f>
        <v>ISCOM_TLS</v>
      </c>
      <c r="B154" t="str">
        <f>IF(Moteur!B154="","",Moteur!B154)</f>
        <v>V03</v>
      </c>
      <c r="C154" t="str">
        <f>IF(Moteur!F154="","",Moteur!F154)</f>
        <v>BAC_COM</v>
      </c>
      <c r="D154" t="str">
        <f>IF(Moteur!G154="","",Moteur!G154)</f>
        <v>B3</v>
      </c>
      <c r="E154" t="str">
        <f>IF(Moteur!H154="","",Moteur!H154)</f>
        <v>ALT</v>
      </c>
      <c r="F154" t="str">
        <f>IF(Moteur!E154="","",Moteur!E154)</f>
        <v>ISCOM</v>
      </c>
      <c r="G154">
        <f>IF($A154="","",_xlfn.SUMIFS(Socle!$H$1:$H$658,Socle!$C$1:$C$658,$A154,Socle!$D$1:$D$658,$C154,Socle!$E$1:$E$658,$D154,Socle!$F$1:$F$658,$E154,Socle!$G$1:$G$658,"2026"))</f>
        <v>0</v>
      </c>
      <c r="H154">
        <f>IF($A154="","",_xlfn.SUMIFS(Socle!$N$1:$N$658,Socle!$C$1:$C$658,$A154,Socle!$D$1:$D$658,$C154,Socle!$E$1:$E$658,$D154,Socle!$F$1:$F$658,$E154,Socle!$G$1:$G$658,"2026"))</f>
        <v>46</v>
      </c>
      <c r="I154">
        <f>IF($A154="","",_xlfn.SUMIFS(Socle!$P$1:$P$658,Socle!$C$1:$C$658,$A154,Socle!$D$1:$D$658,$C154,Socle!$E$1:$E$658,$D154,Socle!$F$1:$F$658,$E154,Socle!$G$1:$G$658,"2026"))</f>
        <v>6720</v>
      </c>
      <c r="J154">
        <f>IF($A154="","",_xlfn.SUMIFS(Socle!$W$1:$W$658,Socle!$C$1:$C$658,$A154,Socle!$D$1:$D$658,$C154,Socle!$E$1:$E$658,$D154,Socle!$F$1:$F$658,$E154,Socle!$G$1:$G$658,"2026"))</f>
        <v>0</v>
      </c>
      <c r="K154">
        <f>IF($A154="","",_xlfn.SUMIFS(Socle!$X$1:$X$658,Socle!$C$1:$C$658,$A154,Socle!$D$1:$D$658,$C154,Socle!$E$1:$E$658,$D154,Socle!$F$1:$F$658,$E154,Socle!$G$1:$G$658,"2026"))</f>
        <v>0</v>
      </c>
      <c r="L154">
        <f>IF($A154="","",_xlfn.SUMIFS(Socle!$Y$1:$Y$658,Socle!$C$1:$C$658,$A154,Socle!$D$1:$D$658,$C154,Socle!$E$1:$E$658,$D154,Socle!$F$1:$F$658,$E154,Socle!$G$1:$G$658,"2026"))</f>
        <v>0</v>
      </c>
      <c r="M154">
        <f>IF($A154="","",_xlfn.SUMIFS(Socle!$V$1:$V$658,Socle!$C$1:$C$658,$A154,Socle!$D$1:$D$658,$C154,Socle!$E$1:$E$658,$D154,Socle!$F$1:$F$658,$E154,Socle!$G$1:$G$658,"2026"))</f>
        <v>0.97826087</v>
      </c>
      <c r="N154">
        <f t="shared" si="0"/>
        <v>0</v>
      </c>
      <c r="O154">
        <f>IF($A154="","",_xlfn.SUMIFS(Campagne!$D$1:$D$141,Campagne!$C$1:$C$141,$A154))</f>
        <v>605</v>
      </c>
      <c r="P154">
        <f>IF($A154="","",_xlfn.SUMIFS(Campagne!$E$1:$E$141,Campagne!$C$1:$C$141,$A154))</f>
        <v>581</v>
      </c>
      <c r="Q154">
        <f>IF($A154="","",_xlfn.SUMIFS(Campagne!$F$1:$F$141,Campagne!$C$1:$C$141,$A154))</f>
        <v>1186</v>
      </c>
      <c r="R154">
        <f>IF($A154="","",_xlfn.SUMIFS(Campagne!$K$1:$K$141,Campagne!$C$1:$C$141,$A154))</f>
        <v>0.521803369</v>
      </c>
      <c r="S154">
        <f>IF($A154="","",_xlfn.SUMIFS(Campagne!$M$1:$M$141,Campagne!$C$1:$C$141,$A154))</f>
        <v>0.35585226</v>
      </c>
      <c r="T154">
        <f>IF($A154="","",_xlfn.SUMIFS(Pilotage!$K$19:$K$32,Pilotage!$A$19:$A$32,$A154)*_xlfn.SUMIFS(Pilotage!$J$19:$J$32,Pilotage!$A$19:$A$32,$A154)*(SUM(Pilotage!$K$19:$K$32)/SUMPRODUCT(Pilotage!$K$19:$K$32,Pilotage!$J$19:$J$32)))</f>
        <v>22083</v>
      </c>
      <c r="U154">
        <f>IF($A154="","",_xlfn.SUMIFS(Pilotage!$K$19:$K$32,Pilotage!$A$19:$A$32,$A154))</f>
        <v>22083</v>
      </c>
      <c r="V154">
        <f>IF($A154="","",IF($B154="V01",Cadrage!$C$23,IF($B154="V02",Cadrage!$D$23,Cadrage!$E$23)))</f>
        <v>-0.05</v>
      </c>
      <c r="W154">
        <f>IF($A154="","",IF($B154="V01",Cadrage!$C$24,IF($B154="V02",Cadrage!$D$24,Cadrage!$E$24)))</f>
        <v>-0.05</v>
      </c>
      <c r="X154">
        <f>IF($A154="","",IF($B154="V01",Cadrage!$C$25,IF($B154="V02",Cadrage!$D$25,Cadrage!$E$25)))</f>
        <v>0.02</v>
      </c>
      <c r="Y154">
        <f>IF($A154="","",IF($B154="V01",Cadrage!$C$26,IF($B154="V02",Cadrage!$D$26,Cadrage!$E$26)))</f>
        <v>-0.01</v>
      </c>
      <c r="Z154">
        <f>IF($A154="","",IF($B154="V01",Cadrage!$C$27,IF($B154="V02",Cadrage!$D$27,Cadrage!$E$27)))</f>
        <v>-0.01</v>
      </c>
      <c r="AA154">
        <f>IF($A154="","",IF($B154="V01",Cadrage!$C$28,IF($B154="V02",Cadrage!$D$28,Cadrage!$E$28)))</f>
        <v>-0.01</v>
      </c>
      <c r="AB154">
        <f>IF($A154="","",IF($B154="V01",Cadrage!$C$42,IF($B154="V02",Cadrage!$D$42,Cadrage!$E$42)))</f>
        <v>90</v>
      </c>
      <c r="AC154">
        <f>IF($A154="","",IF($F154="MBWAY",Cadrage!$K$34,IF($F154="ISCOM",Cadrage!$K$35,IF($F154="IPAC",Cadrage!$K$36,IF($F154="PIGIER",Cadrage!$K$37,Cadrage!$K$38)))))</f>
        <v>1.15</v>
      </c>
      <c r="AD154">
        <f t="shared" si="1"/>
        <v>0</v>
      </c>
      <c r="AE154">
        <f t="shared" si="2"/>
        <v>0</v>
      </c>
      <c r="AF154">
        <f t="shared" si="3"/>
        <v>44.54000002</v>
      </c>
      <c r="AG154">
        <f t="shared" si="4"/>
        <v>6874.56</v>
      </c>
      <c r="AH154">
        <f t="shared" si="5"/>
        <v>306192.902537491</v>
      </c>
    </row>
    <row r="155" ht="14.25" customHeight="1">
      <c r="A155" t="str">
        <f>IF(Moteur!D155="","",Moteur!D155)</f>
        <v>ISCOM_TLS</v>
      </c>
      <c r="B155" t="str">
        <f>IF(Moteur!B155="","",Moteur!B155)</f>
        <v>V03</v>
      </c>
      <c r="C155" t="str">
        <f>IF(Moteur!F155="","",Moteur!F155)</f>
        <v>MAS_COM</v>
      </c>
      <c r="D155" t="str">
        <f>IF(Moteur!G155="","",Moteur!G155)</f>
        <v>M1</v>
      </c>
      <c r="E155" t="str">
        <f>IF(Moteur!H155="","",Moteur!H155)</f>
        <v>ALT</v>
      </c>
      <c r="F155" t="str">
        <f>IF(Moteur!E155="","",Moteur!E155)</f>
        <v>ISCOM</v>
      </c>
      <c r="G155">
        <f>IF($A155="","",_xlfn.SUMIFS(Socle!$H$1:$H$658,Socle!$C$1:$C$658,$A155,Socle!$D$1:$D$658,$C155,Socle!$E$1:$E$658,$D155,Socle!$F$1:$F$658,$E155,Socle!$G$1:$G$658,"2026"))</f>
        <v>800</v>
      </c>
      <c r="H155">
        <f>IF($A155="","",_xlfn.SUMIFS(Socle!$N$1:$N$658,Socle!$C$1:$C$658,$A155,Socle!$D$1:$D$658,$C155,Socle!$E$1:$E$658,$D155,Socle!$F$1:$F$658,$E155,Socle!$G$1:$G$658,"2026"))</f>
        <v>0</v>
      </c>
      <c r="I155">
        <f>IF($A155="","",_xlfn.SUMIFS(Socle!$P$1:$P$658,Socle!$C$1:$C$658,$A155,Socle!$D$1:$D$658,$C155,Socle!$E$1:$E$658,$D155,Socle!$F$1:$F$658,$E155,Socle!$G$1:$G$658,"2026"))</f>
        <v>7200</v>
      </c>
      <c r="J155">
        <f>IF($A155="","",_xlfn.SUMIFS(Socle!$W$1:$W$658,Socle!$C$1:$C$658,$A155,Socle!$D$1:$D$658,$C155,Socle!$E$1:$E$658,$D155,Socle!$F$1:$F$658,$E155,Socle!$G$1:$G$658,"2026"))</f>
        <v>0.2</v>
      </c>
      <c r="K155">
        <f>IF($A155="","",_xlfn.SUMIFS(Socle!$X$1:$X$658,Socle!$C$1:$C$658,$A155,Socle!$D$1:$D$658,$C155,Socle!$E$1:$E$658,$D155,Socle!$F$1:$F$658,$E155,Socle!$G$1:$G$658,"2026"))</f>
        <v>0.7</v>
      </c>
      <c r="L155">
        <f>IF($A155="","",_xlfn.SUMIFS(Socle!$Y$1:$Y$658,Socle!$C$1:$C$658,$A155,Socle!$D$1:$D$658,$C155,Socle!$E$1:$E$658,$D155,Socle!$F$1:$F$658,$E155,Socle!$G$1:$G$658,"2026"))</f>
        <v>0.419642857</v>
      </c>
      <c r="M155">
        <f>IF($A155="","",_xlfn.SUMIFS(Socle!$V$1:$V$658,Socle!$C$1:$C$658,$A155,Socle!$D$1:$D$658,$C155,Socle!$E$1:$E$658,$D155,Socle!$F$1:$F$658,$E155,Socle!$G$1:$G$658,"2026"))</f>
        <v>0</v>
      </c>
      <c r="N155">
        <f t="shared" si="0"/>
        <v>1</v>
      </c>
      <c r="O155">
        <f>IF($A155="","",_xlfn.SUMIFS(Campagne!$D$1:$D$141,Campagne!$C$1:$C$141,$A155))</f>
        <v>605</v>
      </c>
      <c r="P155">
        <f>IF($A155="","",_xlfn.SUMIFS(Campagne!$E$1:$E$141,Campagne!$C$1:$C$141,$A155))</f>
        <v>581</v>
      </c>
      <c r="Q155">
        <f>IF($A155="","",_xlfn.SUMIFS(Campagne!$F$1:$F$141,Campagne!$C$1:$C$141,$A155))</f>
        <v>1186</v>
      </c>
      <c r="R155">
        <f>IF($A155="","",_xlfn.SUMIFS(Campagne!$K$1:$K$141,Campagne!$C$1:$C$141,$A155))</f>
        <v>0.521803369</v>
      </c>
      <c r="S155">
        <f>IF($A155="","",_xlfn.SUMIFS(Campagne!$M$1:$M$141,Campagne!$C$1:$C$141,$A155))</f>
        <v>0.35585226</v>
      </c>
      <c r="T155">
        <f>IF($A155="","",_xlfn.SUMIFS(Pilotage!$K$19:$K$32,Pilotage!$A$19:$A$32,$A155)*_xlfn.SUMIFS(Pilotage!$J$19:$J$32,Pilotage!$A$19:$A$32,$A155)*(SUM(Pilotage!$K$19:$K$32)/SUMPRODUCT(Pilotage!$K$19:$K$32,Pilotage!$J$19:$J$32)))</f>
        <v>22083</v>
      </c>
      <c r="U155">
        <f>IF($A155="","",_xlfn.SUMIFS(Pilotage!$K$19:$K$32,Pilotage!$A$19:$A$32,$A155))</f>
        <v>22083</v>
      </c>
      <c r="V155">
        <f>IF($A155="","",IF($B155="V01",Cadrage!$C$23,IF($B155="V02",Cadrage!$D$23,Cadrage!$E$23)))</f>
        <v>-0.05</v>
      </c>
      <c r="W155">
        <f>IF($A155="","",IF($B155="V01",Cadrage!$C$24,IF($B155="V02",Cadrage!$D$24,Cadrage!$E$24)))</f>
        <v>-0.05</v>
      </c>
      <c r="X155">
        <f>IF($A155="","",IF($B155="V01",Cadrage!$C$25,IF($B155="V02",Cadrage!$D$25,Cadrage!$E$25)))</f>
        <v>0.02</v>
      </c>
      <c r="Y155">
        <f>IF($A155="","",IF($B155="V01",Cadrage!$C$26,IF($B155="V02",Cadrage!$D$26,Cadrage!$E$26)))</f>
        <v>-0.01</v>
      </c>
      <c r="Z155">
        <f>IF($A155="","",IF($B155="V01",Cadrage!$C$27,IF($B155="V02",Cadrage!$D$27,Cadrage!$E$27)))</f>
        <v>-0.01</v>
      </c>
      <c r="AA155">
        <f>IF($A155="","",IF($B155="V01",Cadrage!$C$28,IF($B155="V02",Cadrage!$D$28,Cadrage!$E$28)))</f>
        <v>-0.01</v>
      </c>
      <c r="AB155">
        <f>IF($A155="","",IF($B155="V01",Cadrage!$C$42,IF($B155="V02",Cadrage!$D$42,Cadrage!$E$42)))</f>
        <v>90</v>
      </c>
      <c r="AC155">
        <f>IF($A155="","",IF($F155="MBWAY",Cadrage!$K$34,IF($F155="ISCOM",Cadrage!$K$35,IF($F155="IPAC",Cadrage!$K$36,IF($F155="PIGIER",Cadrage!$K$37,Cadrage!$K$38)))))</f>
        <v>1.15</v>
      </c>
      <c r="AD155">
        <f t="shared" si="1"/>
        <v>42.6199414433196</v>
      </c>
      <c r="AE155">
        <f t="shared" si="2"/>
        <v>42.6199414433196</v>
      </c>
      <c r="AF155">
        <f t="shared" si="3"/>
        <v>42.6199414433196</v>
      </c>
      <c r="AG155">
        <f t="shared" si="4"/>
        <v>7365.6</v>
      </c>
      <c r="AH155">
        <f t="shared" si="5"/>
        <v>317757.235424814</v>
      </c>
    </row>
    <row r="156" ht="14.25" customHeight="1">
      <c r="A156" t="str">
        <f>IF(Moteur!D156="","",Moteur!D156)</f>
        <v>ISCOM_TLS</v>
      </c>
      <c r="B156" t="str">
        <f>IF(Moteur!B156="","",Moteur!B156)</f>
        <v>V03</v>
      </c>
      <c r="C156" t="str">
        <f>IF(Moteur!F156="","",Moteur!F156)</f>
        <v>MAS_COM</v>
      </c>
      <c r="D156" t="str">
        <f>IF(Moteur!G156="","",Moteur!G156)</f>
        <v>M2</v>
      </c>
      <c r="E156" t="str">
        <f>IF(Moteur!H156="","",Moteur!H156)</f>
        <v>ALT</v>
      </c>
      <c r="F156" t="str">
        <f>IF(Moteur!E156="","",Moteur!E156)</f>
        <v>ISCOM</v>
      </c>
      <c r="G156">
        <f>IF($A156="","",_xlfn.SUMIFS(Socle!$H$1:$H$658,Socle!$C$1:$C$658,$A156,Socle!$D$1:$D$658,$C156,Socle!$E$1:$E$658,$D156,Socle!$F$1:$F$658,$E156,Socle!$G$1:$G$658,"2026"))</f>
        <v>0</v>
      </c>
      <c r="H156">
        <f>IF($A156="","",_xlfn.SUMIFS(Socle!$N$1:$N$658,Socle!$C$1:$C$658,$A156,Socle!$D$1:$D$658,$C156,Socle!$E$1:$E$658,$D156,Socle!$F$1:$F$658,$E156,Socle!$G$1:$G$658,"2026"))</f>
        <v>47</v>
      </c>
      <c r="I156">
        <f>IF($A156="","",_xlfn.SUMIFS(Socle!$P$1:$P$658,Socle!$C$1:$C$658,$A156,Socle!$D$1:$D$658,$C156,Socle!$E$1:$E$658,$D156,Socle!$F$1:$F$658,$E156,Socle!$G$1:$G$658,"2026"))</f>
        <v>7200</v>
      </c>
      <c r="J156">
        <f>IF($A156="","",_xlfn.SUMIFS(Socle!$W$1:$W$658,Socle!$C$1:$C$658,$A156,Socle!$D$1:$D$658,$C156,Socle!$E$1:$E$658,$D156,Socle!$F$1:$F$658,$E156,Socle!$G$1:$G$658,"2026"))</f>
        <v>0</v>
      </c>
      <c r="K156">
        <f>IF($A156="","",_xlfn.SUMIFS(Socle!$X$1:$X$658,Socle!$C$1:$C$658,$A156,Socle!$D$1:$D$658,$C156,Socle!$E$1:$E$658,$D156,Socle!$F$1:$F$658,$E156,Socle!$G$1:$G$658,"2026"))</f>
        <v>0</v>
      </c>
      <c r="L156">
        <f>IF($A156="","",_xlfn.SUMIFS(Socle!$Y$1:$Y$658,Socle!$C$1:$C$658,$A156,Socle!$D$1:$D$658,$C156,Socle!$E$1:$E$658,$D156,Socle!$F$1:$F$658,$E156,Socle!$G$1:$G$658,"2026"))</f>
        <v>0</v>
      </c>
      <c r="M156">
        <f>IF($A156="","",_xlfn.SUMIFS(Socle!$V$1:$V$658,Socle!$C$1:$C$658,$A156,Socle!$D$1:$D$658,$C156,Socle!$E$1:$E$658,$D156,Socle!$F$1:$F$658,$E156,Socle!$G$1:$G$658,"2026"))</f>
        <v>0.978723404</v>
      </c>
      <c r="N156">
        <f t="shared" si="0"/>
        <v>0</v>
      </c>
      <c r="O156">
        <f>IF($A156="","",_xlfn.SUMIFS(Campagne!$D$1:$D$141,Campagne!$C$1:$C$141,$A156))</f>
        <v>605</v>
      </c>
      <c r="P156">
        <f>IF($A156="","",_xlfn.SUMIFS(Campagne!$E$1:$E$141,Campagne!$C$1:$C$141,$A156))</f>
        <v>581</v>
      </c>
      <c r="Q156">
        <f>IF($A156="","",_xlfn.SUMIFS(Campagne!$F$1:$F$141,Campagne!$C$1:$C$141,$A156))</f>
        <v>1186</v>
      </c>
      <c r="R156">
        <f>IF($A156="","",_xlfn.SUMIFS(Campagne!$K$1:$K$141,Campagne!$C$1:$C$141,$A156))</f>
        <v>0.521803369</v>
      </c>
      <c r="S156">
        <f>IF($A156="","",_xlfn.SUMIFS(Campagne!$M$1:$M$141,Campagne!$C$1:$C$141,$A156))</f>
        <v>0.35585226</v>
      </c>
      <c r="T156">
        <f>IF($A156="","",_xlfn.SUMIFS(Pilotage!$K$19:$K$32,Pilotage!$A$19:$A$32,$A156)*_xlfn.SUMIFS(Pilotage!$J$19:$J$32,Pilotage!$A$19:$A$32,$A156)*(SUM(Pilotage!$K$19:$K$32)/SUMPRODUCT(Pilotage!$K$19:$K$32,Pilotage!$J$19:$J$32)))</f>
        <v>22083</v>
      </c>
      <c r="U156">
        <f>IF($A156="","",_xlfn.SUMIFS(Pilotage!$K$19:$K$32,Pilotage!$A$19:$A$32,$A156))</f>
        <v>22083</v>
      </c>
      <c r="V156">
        <f>IF($A156="","",IF($B156="V01",Cadrage!$C$23,IF($B156="V02",Cadrage!$D$23,Cadrage!$E$23)))</f>
        <v>-0.05</v>
      </c>
      <c r="W156">
        <f>IF($A156="","",IF($B156="V01",Cadrage!$C$24,IF($B156="V02",Cadrage!$D$24,Cadrage!$E$24)))</f>
        <v>-0.05</v>
      </c>
      <c r="X156">
        <f>IF($A156="","",IF($B156="V01",Cadrage!$C$25,IF($B156="V02",Cadrage!$D$25,Cadrage!$E$25)))</f>
        <v>0.02</v>
      </c>
      <c r="Y156">
        <f>IF($A156="","",IF($B156="V01",Cadrage!$C$26,IF($B156="V02",Cadrage!$D$26,Cadrage!$E$26)))</f>
        <v>-0.01</v>
      </c>
      <c r="Z156">
        <f>IF($A156="","",IF($B156="V01",Cadrage!$C$27,IF($B156="V02",Cadrage!$D$27,Cadrage!$E$27)))</f>
        <v>-0.01</v>
      </c>
      <c r="AA156">
        <f>IF($A156="","",IF($B156="V01",Cadrage!$C$28,IF($B156="V02",Cadrage!$D$28,Cadrage!$E$28)))</f>
        <v>-0.01</v>
      </c>
      <c r="AB156">
        <f>IF($A156="","",IF($B156="V01",Cadrage!$C$42,IF($B156="V02",Cadrage!$D$42,Cadrage!$E$42)))</f>
        <v>90</v>
      </c>
      <c r="AC156">
        <f>IF($A156="","",IF($F156="MBWAY",Cadrage!$K$34,IF($F156="ISCOM",Cadrage!$K$35,IF($F156="IPAC",Cadrage!$K$36,IF($F156="PIGIER",Cadrage!$K$37,Cadrage!$K$38)))))</f>
        <v>1.15</v>
      </c>
      <c r="AD156">
        <f t="shared" si="1"/>
        <v>0</v>
      </c>
      <c r="AE156">
        <f t="shared" si="2"/>
        <v>0</v>
      </c>
      <c r="AF156">
        <f t="shared" si="3"/>
        <v>45.529999988</v>
      </c>
      <c r="AG156">
        <f t="shared" si="4"/>
        <v>7365.6</v>
      </c>
      <c r="AH156">
        <f t="shared" si="5"/>
        <v>335355.767911613</v>
      </c>
    </row>
    <row r="157" ht="14.25" customHeight="1">
      <c r="A157" t="str">
        <f>IF(Moteur!D157="","",Moteur!D157)</f>
        <v>IPAC_NAN</v>
      </c>
      <c r="B157" t="str">
        <f>IF(Moteur!B157="","",Moteur!B157)</f>
        <v>V03</v>
      </c>
      <c r="C157" t="str">
        <f>IF(Moteur!F157="","",Moteur!F157)</f>
        <v>BAC_CCE</v>
      </c>
      <c r="D157" t="str">
        <f>IF(Moteur!G157="","",Moteur!G157)</f>
        <v>B1</v>
      </c>
      <c r="E157" t="str">
        <f>IF(Moteur!H157="","",Moteur!H157)</f>
        <v>ALT</v>
      </c>
      <c r="F157" t="str">
        <f>IF(Moteur!E157="","",Moteur!E157)</f>
        <v>IPAC</v>
      </c>
      <c r="G157">
        <f>IF($A157="","",_xlfn.SUMIFS(Socle!$H$1:$H$658,Socle!$C$1:$C$658,$A157,Socle!$D$1:$D$658,$C157,Socle!$E$1:$E$658,$D157,Socle!$F$1:$F$658,$E157,Socle!$G$1:$G$658,"2026"))</f>
        <v>850</v>
      </c>
      <c r="H157">
        <f>IF($A157="","",_xlfn.SUMIFS(Socle!$N$1:$N$658,Socle!$C$1:$C$658,$A157,Socle!$D$1:$D$658,$C157,Socle!$E$1:$E$658,$D157,Socle!$F$1:$F$658,$E157,Socle!$G$1:$G$658,"2026"))</f>
        <v>0</v>
      </c>
      <c r="I157">
        <f>IF($A157="","",_xlfn.SUMIFS(Socle!$P$1:$P$658,Socle!$C$1:$C$658,$A157,Socle!$D$1:$D$658,$C157,Socle!$E$1:$E$658,$D157,Socle!$F$1:$F$658,$E157,Socle!$G$1:$G$658,"2026"))</f>
        <v>7000</v>
      </c>
      <c r="J157">
        <f>IF($A157="","",_xlfn.SUMIFS(Socle!$W$1:$W$658,Socle!$C$1:$C$658,$A157,Socle!$D$1:$D$658,$C157,Socle!$E$1:$E$658,$D157,Socle!$F$1:$F$658,$E157,Socle!$G$1:$G$658,"2026"))</f>
        <v>0.2</v>
      </c>
      <c r="K157">
        <f>IF($A157="","",_xlfn.SUMIFS(Socle!$X$1:$X$658,Socle!$C$1:$C$658,$A157,Socle!$D$1:$D$658,$C157,Socle!$E$1:$E$658,$D157,Socle!$F$1:$F$658,$E157,Socle!$G$1:$G$658,"2026"))</f>
        <v>0.7</v>
      </c>
      <c r="L157">
        <f>IF($A157="","",_xlfn.SUMIFS(Socle!$Y$1:$Y$658,Socle!$C$1:$C$658,$A157,Socle!$D$1:$D$658,$C157,Socle!$E$1:$E$658,$D157,Socle!$F$1:$F$658,$E157,Socle!$G$1:$G$658,"2026"))</f>
        <v>0.420168067</v>
      </c>
      <c r="M157">
        <f>IF($A157="","",_xlfn.SUMIFS(Socle!$V$1:$V$658,Socle!$C$1:$C$658,$A157,Socle!$D$1:$D$658,$C157,Socle!$E$1:$E$658,$D157,Socle!$F$1:$F$658,$E157,Socle!$G$1:$G$658,"2026"))</f>
        <v>0</v>
      </c>
      <c r="N157">
        <f t="shared" si="0"/>
        <v>1</v>
      </c>
      <c r="O157">
        <f>IF($A157="","",_xlfn.SUMIFS(Campagne!$D$1:$D$141,Campagne!$C$1:$C$141,$A157))</f>
        <v>306</v>
      </c>
      <c r="P157">
        <f>IF($A157="","",_xlfn.SUMIFS(Campagne!$E$1:$E$141,Campagne!$C$1:$C$141,$A157))</f>
        <v>544</v>
      </c>
      <c r="Q157">
        <f>IF($A157="","",_xlfn.SUMIFS(Campagne!$F$1:$F$141,Campagne!$C$1:$C$141,$A157))</f>
        <v>850</v>
      </c>
      <c r="R157">
        <f>IF($A157="","",_xlfn.SUMIFS(Campagne!$K$1:$K$141,Campagne!$C$1:$C$141,$A157))</f>
        <v>0.559080786</v>
      </c>
      <c r="S157">
        <f>IF($A157="","",_xlfn.SUMIFS(Campagne!$M$1:$M$141,Campagne!$C$1:$C$141,$A157))</f>
        <v>0.304912257</v>
      </c>
      <c r="T157">
        <f>IF($A157="","",_xlfn.SUMIFS(Pilotage!$K$19:$K$32,Pilotage!$A$19:$A$32,$A157)*_xlfn.SUMIFS(Pilotage!$J$19:$J$32,Pilotage!$A$19:$A$32,$A157)*(SUM(Pilotage!$K$19:$K$32)/SUMPRODUCT(Pilotage!$K$19:$K$32,Pilotage!$J$19:$J$32)))</f>
        <v>21760</v>
      </c>
      <c r="U157">
        <f>IF($A157="","",_xlfn.SUMIFS(Pilotage!$K$19:$K$32,Pilotage!$A$19:$A$32,$A157))</f>
        <v>21760</v>
      </c>
      <c r="V157">
        <f>IF($A157="","",IF($B157="V01",Cadrage!$C$23,IF($B157="V02",Cadrage!$D$23,Cadrage!$E$23)))</f>
        <v>-0.05</v>
      </c>
      <c r="W157">
        <f>IF($A157="","",IF($B157="V01",Cadrage!$C$24,IF($B157="V02",Cadrage!$D$24,Cadrage!$E$24)))</f>
        <v>-0.05</v>
      </c>
      <c r="X157">
        <f>IF($A157="","",IF($B157="V01",Cadrage!$C$25,IF($B157="V02",Cadrage!$D$25,Cadrage!$E$25)))</f>
        <v>0.02</v>
      </c>
      <c r="Y157">
        <f>IF($A157="","",IF($B157="V01",Cadrage!$C$26,IF($B157="V02",Cadrage!$D$26,Cadrage!$E$26)))</f>
        <v>-0.01</v>
      </c>
      <c r="Z157">
        <f>IF($A157="","",IF($B157="V01",Cadrage!$C$27,IF($B157="V02",Cadrage!$D$27,Cadrage!$E$27)))</f>
        <v>-0.01</v>
      </c>
      <c r="AA157">
        <f>IF($A157="","",IF($B157="V01",Cadrage!$C$28,IF($B157="V02",Cadrage!$D$28,Cadrage!$E$28)))</f>
        <v>-0.01</v>
      </c>
      <c r="AB157">
        <f>IF($A157="","",IF($B157="V01",Cadrage!$C$42,IF($B157="V02",Cadrage!$D$42,Cadrage!$E$42)))</f>
        <v>90</v>
      </c>
      <c r="AC157">
        <f>IF($A157="","",IF($F157="MBWAY",Cadrage!$K$34,IF($F157="ISCOM",Cadrage!$K$35,IF($F157="IPAC",Cadrage!$K$36,IF($F157="PIGIER",Cadrage!$K$37,Cadrage!$K$38)))))</f>
        <v>0.95</v>
      </c>
      <c r="AD157">
        <f t="shared" si="1"/>
        <v>45.2715044791178</v>
      </c>
      <c r="AE157">
        <f t="shared" si="2"/>
        <v>45.2715044791178</v>
      </c>
      <c r="AF157">
        <f t="shared" si="3"/>
        <v>45.2715044791178</v>
      </c>
      <c r="AG157">
        <f t="shared" si="4"/>
        <v>7133</v>
      </c>
      <c r="AH157">
        <f t="shared" si="5"/>
        <v>326996.076852668</v>
      </c>
    </row>
    <row r="158" ht="14.25" customHeight="1">
      <c r="A158" t="str">
        <f>IF(Moteur!D158="","",Moteur!D158)</f>
        <v>IPAC_NAN</v>
      </c>
      <c r="B158" t="str">
        <f>IF(Moteur!B158="","",Moteur!B158)</f>
        <v>V03</v>
      </c>
      <c r="C158" t="str">
        <f>IF(Moteur!F158="","",Moteur!F158)</f>
        <v>BAC_CCE</v>
      </c>
      <c r="D158" t="str">
        <f>IF(Moteur!G158="","",Moteur!G158)</f>
        <v>B2</v>
      </c>
      <c r="E158" t="str">
        <f>IF(Moteur!H158="","",Moteur!H158)</f>
        <v>ALT</v>
      </c>
      <c r="F158" t="str">
        <f>IF(Moteur!E158="","",Moteur!E158)</f>
        <v>IPAC</v>
      </c>
      <c r="G158">
        <f>IF($A158="","",_xlfn.SUMIFS(Socle!$H$1:$H$658,Socle!$C$1:$C$658,$A158,Socle!$D$1:$D$658,$C158,Socle!$E$1:$E$658,$D158,Socle!$F$1:$F$658,$E158,Socle!$G$1:$G$658,"2026"))</f>
        <v>0</v>
      </c>
      <c r="H158">
        <f>IF($A158="","",_xlfn.SUMIFS(Socle!$N$1:$N$658,Socle!$C$1:$C$658,$A158,Socle!$D$1:$D$658,$C158,Socle!$E$1:$E$658,$D158,Socle!$F$1:$F$658,$E158,Socle!$G$1:$G$658,"2026"))</f>
        <v>50</v>
      </c>
      <c r="I158">
        <f>IF($A158="","",_xlfn.SUMIFS(Socle!$P$1:$P$658,Socle!$C$1:$C$658,$A158,Socle!$D$1:$D$658,$C158,Socle!$E$1:$E$658,$D158,Socle!$F$1:$F$658,$E158,Socle!$G$1:$G$658,"2026"))</f>
        <v>7000</v>
      </c>
      <c r="J158">
        <f>IF($A158="","",_xlfn.SUMIFS(Socle!$W$1:$W$658,Socle!$C$1:$C$658,$A158,Socle!$D$1:$D$658,$C158,Socle!$E$1:$E$658,$D158,Socle!$F$1:$F$658,$E158,Socle!$G$1:$G$658,"2026"))</f>
        <v>0</v>
      </c>
      <c r="K158">
        <f>IF($A158="","",_xlfn.SUMIFS(Socle!$X$1:$X$658,Socle!$C$1:$C$658,$A158,Socle!$D$1:$D$658,$C158,Socle!$E$1:$E$658,$D158,Socle!$F$1:$F$658,$E158,Socle!$G$1:$G$658,"2026"))</f>
        <v>0</v>
      </c>
      <c r="L158">
        <f>IF($A158="","",_xlfn.SUMIFS(Socle!$Y$1:$Y$658,Socle!$C$1:$C$658,$A158,Socle!$D$1:$D$658,$C158,Socle!$E$1:$E$658,$D158,Socle!$F$1:$F$658,$E158,Socle!$G$1:$G$658,"2026"))</f>
        <v>0</v>
      </c>
      <c r="M158">
        <f>IF($A158="","",_xlfn.SUMIFS(Socle!$V$1:$V$658,Socle!$C$1:$C$658,$A158,Socle!$D$1:$D$658,$C158,Socle!$E$1:$E$658,$D158,Socle!$F$1:$F$658,$E158,Socle!$G$1:$G$658,"2026"))</f>
        <v>0.96</v>
      </c>
      <c r="N158">
        <f t="shared" si="0"/>
        <v>0</v>
      </c>
      <c r="O158">
        <f>IF($A158="","",_xlfn.SUMIFS(Campagne!$D$1:$D$141,Campagne!$C$1:$C$141,$A158))</f>
        <v>306</v>
      </c>
      <c r="P158">
        <f>IF($A158="","",_xlfn.SUMIFS(Campagne!$E$1:$E$141,Campagne!$C$1:$C$141,$A158))</f>
        <v>544</v>
      </c>
      <c r="Q158">
        <f>IF($A158="","",_xlfn.SUMIFS(Campagne!$F$1:$F$141,Campagne!$C$1:$C$141,$A158))</f>
        <v>850</v>
      </c>
      <c r="R158">
        <f>IF($A158="","",_xlfn.SUMIFS(Campagne!$K$1:$K$141,Campagne!$C$1:$C$141,$A158))</f>
        <v>0.559080786</v>
      </c>
      <c r="S158">
        <f>IF($A158="","",_xlfn.SUMIFS(Campagne!$M$1:$M$141,Campagne!$C$1:$C$141,$A158))</f>
        <v>0.304912257</v>
      </c>
      <c r="T158">
        <f>IF($A158="","",_xlfn.SUMIFS(Pilotage!$K$19:$K$32,Pilotage!$A$19:$A$32,$A158)*_xlfn.SUMIFS(Pilotage!$J$19:$J$32,Pilotage!$A$19:$A$32,$A158)*(SUM(Pilotage!$K$19:$K$32)/SUMPRODUCT(Pilotage!$K$19:$K$32,Pilotage!$J$19:$J$32)))</f>
        <v>21760</v>
      </c>
      <c r="U158">
        <f>IF($A158="","",_xlfn.SUMIFS(Pilotage!$K$19:$K$32,Pilotage!$A$19:$A$32,$A158))</f>
        <v>21760</v>
      </c>
      <c r="V158">
        <f>IF($A158="","",IF($B158="V01",Cadrage!$C$23,IF($B158="V02",Cadrage!$D$23,Cadrage!$E$23)))</f>
        <v>-0.05</v>
      </c>
      <c r="W158">
        <f>IF($A158="","",IF($B158="V01",Cadrage!$C$24,IF($B158="V02",Cadrage!$D$24,Cadrage!$E$24)))</f>
        <v>-0.05</v>
      </c>
      <c r="X158">
        <f>IF($A158="","",IF($B158="V01",Cadrage!$C$25,IF($B158="V02",Cadrage!$D$25,Cadrage!$E$25)))</f>
        <v>0.02</v>
      </c>
      <c r="Y158">
        <f>IF($A158="","",IF($B158="V01",Cadrage!$C$26,IF($B158="V02",Cadrage!$D$26,Cadrage!$E$26)))</f>
        <v>-0.01</v>
      </c>
      <c r="Z158">
        <f>IF($A158="","",IF($B158="V01",Cadrage!$C$27,IF($B158="V02",Cadrage!$D$27,Cadrage!$E$27)))</f>
        <v>-0.01</v>
      </c>
      <c r="AA158">
        <f>IF($A158="","",IF($B158="V01",Cadrage!$C$28,IF($B158="V02",Cadrage!$D$28,Cadrage!$E$28)))</f>
        <v>-0.01</v>
      </c>
      <c r="AB158">
        <f>IF($A158="","",IF($B158="V01",Cadrage!$C$42,IF($B158="V02",Cadrage!$D$42,Cadrage!$E$42)))</f>
        <v>90</v>
      </c>
      <c r="AC158">
        <f>IF($A158="","",IF($F158="MBWAY",Cadrage!$K$34,IF($F158="ISCOM",Cadrage!$K$35,IF($F158="IPAC",Cadrage!$K$36,IF($F158="PIGIER",Cadrage!$K$37,Cadrage!$K$38)))))</f>
        <v>0.95</v>
      </c>
      <c r="AD158">
        <f t="shared" si="1"/>
        <v>0</v>
      </c>
      <c r="AE158">
        <f t="shared" si="2"/>
        <v>0</v>
      </c>
      <c r="AF158">
        <f t="shared" si="3"/>
        <v>47.5</v>
      </c>
      <c r="AG158">
        <f t="shared" si="4"/>
        <v>7133</v>
      </c>
      <c r="AH158">
        <f t="shared" si="5"/>
        <v>338817.5</v>
      </c>
    </row>
    <row r="159" ht="14.25" customHeight="1">
      <c r="A159" t="str">
        <f>IF(Moteur!D159="","",Moteur!D159)</f>
        <v>IPAC_NAN</v>
      </c>
      <c r="B159" t="str">
        <f>IF(Moteur!B159="","",Moteur!B159)</f>
        <v>V03</v>
      </c>
      <c r="C159" t="str">
        <f>IF(Moteur!F159="","",Moteur!F159)</f>
        <v>BAC_CCE</v>
      </c>
      <c r="D159" t="str">
        <f>IF(Moteur!G159="","",Moteur!G159)</f>
        <v>B3</v>
      </c>
      <c r="E159" t="str">
        <f>IF(Moteur!H159="","",Moteur!H159)</f>
        <v>ALT</v>
      </c>
      <c r="F159" t="str">
        <f>IF(Moteur!E159="","",Moteur!E159)</f>
        <v>IPAC</v>
      </c>
      <c r="G159">
        <f>IF($A159="","",_xlfn.SUMIFS(Socle!$H$1:$H$658,Socle!$C$1:$C$658,$A159,Socle!$D$1:$D$658,$C159,Socle!$E$1:$E$658,$D159,Socle!$F$1:$F$658,$E159,Socle!$G$1:$G$658,"2026"))</f>
        <v>0</v>
      </c>
      <c r="H159">
        <f>IF($A159="","",_xlfn.SUMIFS(Socle!$N$1:$N$658,Socle!$C$1:$C$658,$A159,Socle!$D$1:$D$658,$C159,Socle!$E$1:$E$658,$D159,Socle!$F$1:$F$658,$E159,Socle!$G$1:$G$658,"2026"))</f>
        <v>48</v>
      </c>
      <c r="I159">
        <f>IF($A159="","",_xlfn.SUMIFS(Socle!$P$1:$P$658,Socle!$C$1:$C$658,$A159,Socle!$D$1:$D$658,$C159,Socle!$E$1:$E$658,$D159,Socle!$F$1:$F$658,$E159,Socle!$G$1:$G$658,"2026"))</f>
        <v>7000</v>
      </c>
      <c r="J159">
        <f>IF($A159="","",_xlfn.SUMIFS(Socle!$W$1:$W$658,Socle!$C$1:$C$658,$A159,Socle!$D$1:$D$658,$C159,Socle!$E$1:$E$658,$D159,Socle!$F$1:$F$658,$E159,Socle!$G$1:$G$658,"2026"))</f>
        <v>0</v>
      </c>
      <c r="K159">
        <f>IF($A159="","",_xlfn.SUMIFS(Socle!$X$1:$X$658,Socle!$C$1:$C$658,$A159,Socle!$D$1:$D$658,$C159,Socle!$E$1:$E$658,$D159,Socle!$F$1:$F$658,$E159,Socle!$G$1:$G$658,"2026"))</f>
        <v>0</v>
      </c>
      <c r="L159">
        <f>IF($A159="","",_xlfn.SUMIFS(Socle!$Y$1:$Y$658,Socle!$C$1:$C$658,$A159,Socle!$D$1:$D$658,$C159,Socle!$E$1:$E$658,$D159,Socle!$F$1:$F$658,$E159,Socle!$G$1:$G$658,"2026"))</f>
        <v>0</v>
      </c>
      <c r="M159">
        <f>IF($A159="","",_xlfn.SUMIFS(Socle!$V$1:$V$658,Socle!$C$1:$C$658,$A159,Socle!$D$1:$D$658,$C159,Socle!$E$1:$E$658,$D159,Socle!$F$1:$F$658,$E159,Socle!$G$1:$G$658,"2026"))</f>
        <v>0.979166667</v>
      </c>
      <c r="N159">
        <f t="shared" si="0"/>
        <v>0</v>
      </c>
      <c r="O159">
        <f>IF($A159="","",_xlfn.SUMIFS(Campagne!$D$1:$D$141,Campagne!$C$1:$C$141,$A159))</f>
        <v>306</v>
      </c>
      <c r="P159">
        <f>IF($A159="","",_xlfn.SUMIFS(Campagne!$E$1:$E$141,Campagne!$C$1:$C$141,$A159))</f>
        <v>544</v>
      </c>
      <c r="Q159">
        <f>IF($A159="","",_xlfn.SUMIFS(Campagne!$F$1:$F$141,Campagne!$C$1:$C$141,$A159))</f>
        <v>850</v>
      </c>
      <c r="R159">
        <f>IF($A159="","",_xlfn.SUMIFS(Campagne!$K$1:$K$141,Campagne!$C$1:$C$141,$A159))</f>
        <v>0.559080786</v>
      </c>
      <c r="S159">
        <f>IF($A159="","",_xlfn.SUMIFS(Campagne!$M$1:$M$141,Campagne!$C$1:$C$141,$A159))</f>
        <v>0.304912257</v>
      </c>
      <c r="T159">
        <f>IF($A159="","",_xlfn.SUMIFS(Pilotage!$K$19:$K$32,Pilotage!$A$19:$A$32,$A159)*_xlfn.SUMIFS(Pilotage!$J$19:$J$32,Pilotage!$A$19:$A$32,$A159)*(SUM(Pilotage!$K$19:$K$32)/SUMPRODUCT(Pilotage!$K$19:$K$32,Pilotage!$J$19:$J$32)))</f>
        <v>21760</v>
      </c>
      <c r="U159">
        <f>IF($A159="","",_xlfn.SUMIFS(Pilotage!$K$19:$K$32,Pilotage!$A$19:$A$32,$A159))</f>
        <v>21760</v>
      </c>
      <c r="V159">
        <f>IF($A159="","",IF($B159="V01",Cadrage!$C$23,IF($B159="V02",Cadrage!$D$23,Cadrage!$E$23)))</f>
        <v>-0.05</v>
      </c>
      <c r="W159">
        <f>IF($A159="","",IF($B159="V01",Cadrage!$C$24,IF($B159="V02",Cadrage!$D$24,Cadrage!$E$24)))</f>
        <v>-0.05</v>
      </c>
      <c r="X159">
        <f>IF($A159="","",IF($B159="V01",Cadrage!$C$25,IF($B159="V02",Cadrage!$D$25,Cadrage!$E$25)))</f>
        <v>0.02</v>
      </c>
      <c r="Y159">
        <f>IF($A159="","",IF($B159="V01",Cadrage!$C$26,IF($B159="V02",Cadrage!$D$26,Cadrage!$E$26)))</f>
        <v>-0.01</v>
      </c>
      <c r="Z159">
        <f>IF($A159="","",IF($B159="V01",Cadrage!$C$27,IF($B159="V02",Cadrage!$D$27,Cadrage!$E$27)))</f>
        <v>-0.01</v>
      </c>
      <c r="AA159">
        <f>IF($A159="","",IF($B159="V01",Cadrage!$C$28,IF($B159="V02",Cadrage!$D$28,Cadrage!$E$28)))</f>
        <v>-0.01</v>
      </c>
      <c r="AB159">
        <f>IF($A159="","",IF($B159="V01",Cadrage!$C$42,IF($B159="V02",Cadrage!$D$42,Cadrage!$E$42)))</f>
        <v>90</v>
      </c>
      <c r="AC159">
        <f>IF($A159="","",IF($F159="MBWAY",Cadrage!$K$34,IF($F159="ISCOM",Cadrage!$K$35,IF($F159="IPAC",Cadrage!$K$36,IF($F159="PIGIER",Cadrage!$K$37,Cadrage!$K$38)))))</f>
        <v>0.95</v>
      </c>
      <c r="AD159">
        <f t="shared" si="1"/>
        <v>0</v>
      </c>
      <c r="AE159">
        <f t="shared" si="2"/>
        <v>0</v>
      </c>
      <c r="AF159">
        <f t="shared" si="3"/>
        <v>46.520000016</v>
      </c>
      <c r="AG159">
        <f t="shared" si="4"/>
        <v>7133</v>
      </c>
      <c r="AH159">
        <f t="shared" si="5"/>
        <v>331827.160114128</v>
      </c>
    </row>
    <row r="160" ht="14.25" customHeight="1">
      <c r="A160" t="str">
        <f>IF(Moteur!D160="","",Moteur!D160)</f>
        <v>IPAC_REN</v>
      </c>
      <c r="B160" t="str">
        <f>IF(Moteur!B160="","",Moteur!B160)</f>
        <v>V03</v>
      </c>
      <c r="C160" t="str">
        <f>IF(Moteur!F160="","",Moteur!F160)</f>
        <v>BAC_CCE</v>
      </c>
      <c r="D160" t="str">
        <f>IF(Moteur!G160="","",Moteur!G160)</f>
        <v>B1</v>
      </c>
      <c r="E160" t="str">
        <f>IF(Moteur!H160="","",Moteur!H160)</f>
        <v>ALT</v>
      </c>
      <c r="F160" t="str">
        <f>IF(Moteur!E160="","",Moteur!E160)</f>
        <v>IPAC</v>
      </c>
      <c r="G160">
        <f>IF($A160="","",_xlfn.SUMIFS(Socle!$H$1:$H$658,Socle!$C$1:$C$658,$A160,Socle!$D$1:$D$658,$C160,Socle!$E$1:$E$658,$D160,Socle!$F$1:$F$658,$E160,Socle!$G$1:$G$658,"2026"))</f>
        <v>680</v>
      </c>
      <c r="H160">
        <f>IF($A160="","",_xlfn.SUMIFS(Socle!$N$1:$N$658,Socle!$C$1:$C$658,$A160,Socle!$D$1:$D$658,$C160,Socle!$E$1:$E$658,$D160,Socle!$F$1:$F$658,$E160,Socle!$G$1:$G$658,"2026"))</f>
        <v>0</v>
      </c>
      <c r="I160">
        <f>IF($A160="","",_xlfn.SUMIFS(Socle!$P$1:$P$658,Socle!$C$1:$C$658,$A160,Socle!$D$1:$D$658,$C160,Socle!$E$1:$E$658,$D160,Socle!$F$1:$F$658,$E160,Socle!$G$1:$G$658,"2026"))</f>
        <v>6650</v>
      </c>
      <c r="J160">
        <f>IF($A160="","",_xlfn.SUMIFS(Socle!$W$1:$W$658,Socle!$C$1:$C$658,$A160,Socle!$D$1:$D$658,$C160,Socle!$E$1:$E$658,$D160,Socle!$F$1:$F$658,$E160,Socle!$G$1:$G$658,"2026"))</f>
        <v>0.2</v>
      </c>
      <c r="K160">
        <f>IF($A160="","",_xlfn.SUMIFS(Socle!$X$1:$X$658,Socle!$C$1:$C$658,$A160,Socle!$D$1:$D$658,$C160,Socle!$E$1:$E$658,$D160,Socle!$F$1:$F$658,$E160,Socle!$G$1:$G$658,"2026"))</f>
        <v>0.698529412</v>
      </c>
      <c r="L160">
        <f>IF($A160="","",_xlfn.SUMIFS(Socle!$Y$1:$Y$658,Socle!$C$1:$C$658,$A160,Socle!$D$1:$D$658,$C160,Socle!$E$1:$E$658,$D160,Socle!$F$1:$F$658,$E160,Socle!$G$1:$G$658,"2026"))</f>
        <v>0.421052632</v>
      </c>
      <c r="M160">
        <f>IF($A160="","",_xlfn.SUMIFS(Socle!$V$1:$V$658,Socle!$C$1:$C$658,$A160,Socle!$D$1:$D$658,$C160,Socle!$E$1:$E$658,$D160,Socle!$F$1:$F$658,$E160,Socle!$G$1:$G$658,"2026"))</f>
        <v>0</v>
      </c>
      <c r="N160">
        <f t="shared" si="0"/>
        <v>1</v>
      </c>
      <c r="O160">
        <f>IF($A160="","",_xlfn.SUMIFS(Campagne!$D$1:$D$141,Campagne!$C$1:$C$141,$A160))</f>
        <v>265</v>
      </c>
      <c r="P160">
        <f>IF($A160="","",_xlfn.SUMIFS(Campagne!$E$1:$E$141,Campagne!$C$1:$C$141,$A160))</f>
        <v>415</v>
      </c>
      <c r="Q160">
        <f>IF($A160="","",_xlfn.SUMIFS(Campagne!$F$1:$F$141,Campagne!$C$1:$C$141,$A160))</f>
        <v>680</v>
      </c>
      <c r="R160">
        <f>IF($A160="","",_xlfn.SUMIFS(Campagne!$K$1:$K$141,Campagne!$C$1:$C$141,$A160))</f>
        <v>0.587876564</v>
      </c>
      <c r="S160">
        <f>IF($A160="","",_xlfn.SUMIFS(Campagne!$M$1:$M$141,Campagne!$C$1:$C$141,$A160))</f>
        <v>0.317354148</v>
      </c>
      <c r="T160">
        <f>IF($A160="","",_xlfn.SUMIFS(Pilotage!$K$19:$K$32,Pilotage!$A$19:$A$32,$A160)*_xlfn.SUMIFS(Pilotage!$J$19:$J$32,Pilotage!$A$19:$A$32,$A160)*(SUM(Pilotage!$K$19:$K$32)/SUMPRODUCT(Pilotage!$K$19:$K$32,Pilotage!$J$19:$J$32)))</f>
        <v>14933</v>
      </c>
      <c r="U160">
        <f>IF($A160="","",_xlfn.SUMIFS(Pilotage!$K$19:$K$32,Pilotage!$A$19:$A$32,$A160))</f>
        <v>14933</v>
      </c>
      <c r="V160">
        <f>IF($A160="","",IF($B160="V01",Cadrage!$C$23,IF($B160="V02",Cadrage!$D$23,Cadrage!$E$23)))</f>
        <v>-0.05</v>
      </c>
      <c r="W160">
        <f>IF($A160="","",IF($B160="V01",Cadrage!$C$24,IF($B160="V02",Cadrage!$D$24,Cadrage!$E$24)))</f>
        <v>-0.05</v>
      </c>
      <c r="X160">
        <f>IF($A160="","",IF($B160="V01",Cadrage!$C$25,IF($B160="V02",Cadrage!$D$25,Cadrage!$E$25)))</f>
        <v>0.02</v>
      </c>
      <c r="Y160">
        <f>IF($A160="","",IF($B160="V01",Cadrage!$C$26,IF($B160="V02",Cadrage!$D$26,Cadrage!$E$26)))</f>
        <v>-0.01</v>
      </c>
      <c r="Z160">
        <f>IF($A160="","",IF($B160="V01",Cadrage!$C$27,IF($B160="V02",Cadrage!$D$27,Cadrage!$E$27)))</f>
        <v>-0.01</v>
      </c>
      <c r="AA160">
        <f>IF($A160="","",IF($B160="V01",Cadrage!$C$28,IF($B160="V02",Cadrage!$D$28,Cadrage!$E$28)))</f>
        <v>-0.01</v>
      </c>
      <c r="AB160">
        <f>IF($A160="","",IF($B160="V01",Cadrage!$C$42,IF($B160="V02",Cadrage!$D$42,Cadrage!$E$42)))</f>
        <v>90</v>
      </c>
      <c r="AC160">
        <f>IF($A160="","",IF($F160="MBWAY",Cadrage!$K$34,IF($F160="ISCOM",Cadrage!$K$35,IF($F160="IPAC",Cadrage!$K$36,IF($F160="PIGIER",Cadrage!$K$37,Cadrage!$K$38)))))</f>
        <v>0.95</v>
      </c>
      <c r="AD160">
        <f t="shared" si="1"/>
        <v>36.1915595806658</v>
      </c>
      <c r="AE160">
        <f t="shared" si="2"/>
        <v>36.1915595806658</v>
      </c>
      <c r="AF160">
        <f t="shared" si="3"/>
        <v>36.1915595806658</v>
      </c>
      <c r="AG160">
        <f t="shared" si="4"/>
        <v>6776.35</v>
      </c>
      <c r="AH160">
        <f t="shared" si="5"/>
        <v>248503.915126705</v>
      </c>
    </row>
    <row r="161" ht="14.25" customHeight="1">
      <c r="A161" t="str">
        <f>IF(Moteur!D161="","",Moteur!D161)</f>
        <v>IPAC_REN</v>
      </c>
      <c r="B161" t="str">
        <f>IF(Moteur!B161="","",Moteur!B161)</f>
        <v>V03</v>
      </c>
      <c r="C161" t="str">
        <f>IF(Moteur!F161="","",Moteur!F161)</f>
        <v>BAC_CCE</v>
      </c>
      <c r="D161" t="str">
        <f>IF(Moteur!G161="","",Moteur!G161)</f>
        <v>B2</v>
      </c>
      <c r="E161" t="str">
        <f>IF(Moteur!H161="","",Moteur!H161)</f>
        <v>ALT</v>
      </c>
      <c r="F161" t="str">
        <f>IF(Moteur!E161="","",Moteur!E161)</f>
        <v>IPAC</v>
      </c>
      <c r="G161">
        <f>IF($A161="","",_xlfn.SUMIFS(Socle!$H$1:$H$658,Socle!$C$1:$C$658,$A161,Socle!$D$1:$D$658,$C161,Socle!$E$1:$E$658,$D161,Socle!$F$1:$F$658,$E161,Socle!$G$1:$G$658,"2026"))</f>
        <v>0</v>
      </c>
      <c r="H161">
        <f>IF($A161="","",_xlfn.SUMIFS(Socle!$N$1:$N$658,Socle!$C$1:$C$658,$A161,Socle!$D$1:$D$658,$C161,Socle!$E$1:$E$658,$D161,Socle!$F$1:$F$658,$E161,Socle!$G$1:$G$658,"2026"))</f>
        <v>40</v>
      </c>
      <c r="I161">
        <f>IF($A161="","",_xlfn.SUMIFS(Socle!$P$1:$P$658,Socle!$C$1:$C$658,$A161,Socle!$D$1:$D$658,$C161,Socle!$E$1:$E$658,$D161,Socle!$F$1:$F$658,$E161,Socle!$G$1:$G$658,"2026"))</f>
        <v>6650</v>
      </c>
      <c r="J161">
        <f>IF($A161="","",_xlfn.SUMIFS(Socle!$W$1:$W$658,Socle!$C$1:$C$658,$A161,Socle!$D$1:$D$658,$C161,Socle!$E$1:$E$658,$D161,Socle!$F$1:$F$658,$E161,Socle!$G$1:$G$658,"2026"))</f>
        <v>0</v>
      </c>
      <c r="K161">
        <f>IF($A161="","",_xlfn.SUMIFS(Socle!$X$1:$X$658,Socle!$C$1:$C$658,$A161,Socle!$D$1:$D$658,$C161,Socle!$E$1:$E$658,$D161,Socle!$F$1:$F$658,$E161,Socle!$G$1:$G$658,"2026"))</f>
        <v>0</v>
      </c>
      <c r="L161">
        <f>IF($A161="","",_xlfn.SUMIFS(Socle!$Y$1:$Y$658,Socle!$C$1:$C$658,$A161,Socle!$D$1:$D$658,$C161,Socle!$E$1:$E$658,$D161,Socle!$F$1:$F$658,$E161,Socle!$G$1:$G$658,"2026"))</f>
        <v>0</v>
      </c>
      <c r="M161">
        <f>IF($A161="","",_xlfn.SUMIFS(Socle!$V$1:$V$658,Socle!$C$1:$C$658,$A161,Socle!$D$1:$D$658,$C161,Socle!$E$1:$E$658,$D161,Socle!$F$1:$F$658,$E161,Socle!$G$1:$G$658,"2026"))</f>
        <v>0.975</v>
      </c>
      <c r="N161">
        <f t="shared" si="0"/>
        <v>0</v>
      </c>
      <c r="O161">
        <f>IF($A161="","",_xlfn.SUMIFS(Campagne!$D$1:$D$141,Campagne!$C$1:$C$141,$A161))</f>
        <v>265</v>
      </c>
      <c r="P161">
        <f>IF($A161="","",_xlfn.SUMIFS(Campagne!$E$1:$E$141,Campagne!$C$1:$C$141,$A161))</f>
        <v>415</v>
      </c>
      <c r="Q161">
        <f>IF($A161="","",_xlfn.SUMIFS(Campagne!$F$1:$F$141,Campagne!$C$1:$C$141,$A161))</f>
        <v>680</v>
      </c>
      <c r="R161">
        <f>IF($A161="","",_xlfn.SUMIFS(Campagne!$K$1:$K$141,Campagne!$C$1:$C$141,$A161))</f>
        <v>0.587876564</v>
      </c>
      <c r="S161">
        <f>IF($A161="","",_xlfn.SUMIFS(Campagne!$M$1:$M$141,Campagne!$C$1:$C$141,$A161))</f>
        <v>0.317354148</v>
      </c>
      <c r="T161">
        <f>IF($A161="","",_xlfn.SUMIFS(Pilotage!$K$19:$K$32,Pilotage!$A$19:$A$32,$A161)*_xlfn.SUMIFS(Pilotage!$J$19:$J$32,Pilotage!$A$19:$A$32,$A161)*(SUM(Pilotage!$K$19:$K$32)/SUMPRODUCT(Pilotage!$K$19:$K$32,Pilotage!$J$19:$J$32)))</f>
        <v>14933</v>
      </c>
      <c r="U161">
        <f>IF($A161="","",_xlfn.SUMIFS(Pilotage!$K$19:$K$32,Pilotage!$A$19:$A$32,$A161))</f>
        <v>14933</v>
      </c>
      <c r="V161">
        <f>IF($A161="","",IF($B161="V01",Cadrage!$C$23,IF($B161="V02",Cadrage!$D$23,Cadrage!$E$23)))</f>
        <v>-0.05</v>
      </c>
      <c r="W161">
        <f>IF($A161="","",IF($B161="V01",Cadrage!$C$24,IF($B161="V02",Cadrage!$D$24,Cadrage!$E$24)))</f>
        <v>-0.05</v>
      </c>
      <c r="X161">
        <f>IF($A161="","",IF($B161="V01",Cadrage!$C$25,IF($B161="V02",Cadrage!$D$25,Cadrage!$E$25)))</f>
        <v>0.02</v>
      </c>
      <c r="Y161">
        <f>IF($A161="","",IF($B161="V01",Cadrage!$C$26,IF($B161="V02",Cadrage!$D$26,Cadrage!$E$26)))</f>
        <v>-0.01</v>
      </c>
      <c r="Z161">
        <f>IF($A161="","",IF($B161="V01",Cadrage!$C$27,IF($B161="V02",Cadrage!$D$27,Cadrage!$E$27)))</f>
        <v>-0.01</v>
      </c>
      <c r="AA161">
        <f>IF($A161="","",IF($B161="V01",Cadrage!$C$28,IF($B161="V02",Cadrage!$D$28,Cadrage!$E$28)))</f>
        <v>-0.01</v>
      </c>
      <c r="AB161">
        <f>IF($A161="","",IF($B161="V01",Cadrage!$C$42,IF($B161="V02",Cadrage!$D$42,Cadrage!$E$42)))</f>
        <v>90</v>
      </c>
      <c r="AC161">
        <f>IF($A161="","",IF($F161="MBWAY",Cadrage!$K$34,IF($F161="ISCOM",Cadrage!$K$35,IF($F161="IPAC",Cadrage!$K$36,IF($F161="PIGIER",Cadrage!$K$37,Cadrage!$K$38)))))</f>
        <v>0.95</v>
      </c>
      <c r="AD161">
        <f t="shared" si="1"/>
        <v>0</v>
      </c>
      <c r="AE161">
        <f t="shared" si="2"/>
        <v>0</v>
      </c>
      <c r="AF161">
        <f t="shared" si="3"/>
        <v>38.6</v>
      </c>
      <c r="AG161">
        <f t="shared" si="4"/>
        <v>6776.35</v>
      </c>
      <c r="AH161">
        <f t="shared" si="5"/>
        <v>261567.11</v>
      </c>
    </row>
    <row r="162" ht="14.25" customHeight="1">
      <c r="A162" t="str">
        <f>IF(Moteur!D162="","",Moteur!D162)</f>
        <v>IPAC_REN</v>
      </c>
      <c r="B162" t="str">
        <f>IF(Moteur!B162="","",Moteur!B162)</f>
        <v>V03</v>
      </c>
      <c r="C162" t="str">
        <f>IF(Moteur!F162="","",Moteur!F162)</f>
        <v>BAC_CCE</v>
      </c>
      <c r="D162" t="str">
        <f>IF(Moteur!G162="","",Moteur!G162)</f>
        <v>B3</v>
      </c>
      <c r="E162" t="str">
        <f>IF(Moteur!H162="","",Moteur!H162)</f>
        <v>ALT</v>
      </c>
      <c r="F162" t="str">
        <f>IF(Moteur!E162="","",Moteur!E162)</f>
        <v>IPAC</v>
      </c>
      <c r="G162">
        <f>IF($A162="","",_xlfn.SUMIFS(Socle!$H$1:$H$658,Socle!$C$1:$C$658,$A162,Socle!$D$1:$D$658,$C162,Socle!$E$1:$E$658,$D162,Socle!$F$1:$F$658,$E162,Socle!$G$1:$G$658,"2026"))</f>
        <v>0</v>
      </c>
      <c r="H162">
        <f>IF($A162="","",_xlfn.SUMIFS(Socle!$N$1:$N$658,Socle!$C$1:$C$658,$A162,Socle!$D$1:$D$658,$C162,Socle!$E$1:$E$658,$D162,Socle!$F$1:$F$658,$E162,Socle!$G$1:$G$658,"2026"))</f>
        <v>39</v>
      </c>
      <c r="I162">
        <f>IF($A162="","",_xlfn.SUMIFS(Socle!$P$1:$P$658,Socle!$C$1:$C$658,$A162,Socle!$D$1:$D$658,$C162,Socle!$E$1:$E$658,$D162,Socle!$F$1:$F$658,$E162,Socle!$G$1:$G$658,"2026"))</f>
        <v>6650</v>
      </c>
      <c r="J162">
        <f>IF($A162="","",_xlfn.SUMIFS(Socle!$W$1:$W$658,Socle!$C$1:$C$658,$A162,Socle!$D$1:$D$658,$C162,Socle!$E$1:$E$658,$D162,Socle!$F$1:$F$658,$E162,Socle!$G$1:$G$658,"2026"))</f>
        <v>0</v>
      </c>
      <c r="K162">
        <f>IF($A162="","",_xlfn.SUMIFS(Socle!$X$1:$X$658,Socle!$C$1:$C$658,$A162,Socle!$D$1:$D$658,$C162,Socle!$E$1:$E$658,$D162,Socle!$F$1:$F$658,$E162,Socle!$G$1:$G$658,"2026"))</f>
        <v>0</v>
      </c>
      <c r="L162">
        <f>IF($A162="","",_xlfn.SUMIFS(Socle!$Y$1:$Y$658,Socle!$C$1:$C$658,$A162,Socle!$D$1:$D$658,$C162,Socle!$E$1:$E$658,$D162,Socle!$F$1:$F$658,$E162,Socle!$G$1:$G$658,"2026"))</f>
        <v>0</v>
      </c>
      <c r="M162">
        <f>IF($A162="","",_xlfn.SUMIFS(Socle!$V$1:$V$658,Socle!$C$1:$C$658,$A162,Socle!$D$1:$D$658,$C162,Socle!$E$1:$E$658,$D162,Socle!$F$1:$F$658,$E162,Socle!$G$1:$G$658,"2026"))</f>
        <v>0.974358974</v>
      </c>
      <c r="N162">
        <f t="shared" si="0"/>
        <v>0</v>
      </c>
      <c r="O162">
        <f>IF($A162="","",_xlfn.SUMIFS(Campagne!$D$1:$D$141,Campagne!$C$1:$C$141,$A162))</f>
        <v>265</v>
      </c>
      <c r="P162">
        <f>IF($A162="","",_xlfn.SUMIFS(Campagne!$E$1:$E$141,Campagne!$C$1:$C$141,$A162))</f>
        <v>415</v>
      </c>
      <c r="Q162">
        <f>IF($A162="","",_xlfn.SUMIFS(Campagne!$F$1:$F$141,Campagne!$C$1:$C$141,$A162))</f>
        <v>680</v>
      </c>
      <c r="R162">
        <f>IF($A162="","",_xlfn.SUMIFS(Campagne!$K$1:$K$141,Campagne!$C$1:$C$141,$A162))</f>
        <v>0.587876564</v>
      </c>
      <c r="S162">
        <f>IF($A162="","",_xlfn.SUMIFS(Campagne!$M$1:$M$141,Campagne!$C$1:$C$141,$A162))</f>
        <v>0.317354148</v>
      </c>
      <c r="T162">
        <f>IF($A162="","",_xlfn.SUMIFS(Pilotage!$K$19:$K$32,Pilotage!$A$19:$A$32,$A162)*_xlfn.SUMIFS(Pilotage!$J$19:$J$32,Pilotage!$A$19:$A$32,$A162)*(SUM(Pilotage!$K$19:$K$32)/SUMPRODUCT(Pilotage!$K$19:$K$32,Pilotage!$J$19:$J$32)))</f>
        <v>14933</v>
      </c>
      <c r="U162">
        <f>IF($A162="","",_xlfn.SUMIFS(Pilotage!$K$19:$K$32,Pilotage!$A$19:$A$32,$A162))</f>
        <v>14933</v>
      </c>
      <c r="V162">
        <f>IF($A162="","",IF($B162="V01",Cadrage!$C$23,IF($B162="V02",Cadrage!$D$23,Cadrage!$E$23)))</f>
        <v>-0.05</v>
      </c>
      <c r="W162">
        <f>IF($A162="","",IF($B162="V01",Cadrage!$C$24,IF($B162="V02",Cadrage!$D$24,Cadrage!$E$24)))</f>
        <v>-0.05</v>
      </c>
      <c r="X162">
        <f>IF($A162="","",IF($B162="V01",Cadrage!$C$25,IF($B162="V02",Cadrage!$D$25,Cadrage!$E$25)))</f>
        <v>0.02</v>
      </c>
      <c r="Y162">
        <f>IF($A162="","",IF($B162="V01",Cadrage!$C$26,IF($B162="V02",Cadrage!$D$26,Cadrage!$E$26)))</f>
        <v>-0.01</v>
      </c>
      <c r="Z162">
        <f>IF($A162="","",IF($B162="V01",Cadrage!$C$27,IF($B162="V02",Cadrage!$D$27,Cadrage!$E$27)))</f>
        <v>-0.01</v>
      </c>
      <c r="AA162">
        <f>IF($A162="","",IF($B162="V01",Cadrage!$C$28,IF($B162="V02",Cadrage!$D$28,Cadrage!$E$28)))</f>
        <v>-0.01</v>
      </c>
      <c r="AB162">
        <f>IF($A162="","",IF($B162="V01",Cadrage!$C$42,IF($B162="V02",Cadrage!$D$42,Cadrage!$E$42)))</f>
        <v>90</v>
      </c>
      <c r="AC162">
        <f>IF($A162="","",IF($F162="MBWAY",Cadrage!$K$34,IF($F162="ISCOM",Cadrage!$K$35,IF($F162="IPAC",Cadrage!$K$36,IF($F162="PIGIER",Cadrage!$K$37,Cadrage!$K$38)))))</f>
        <v>0.95</v>
      </c>
      <c r="AD162">
        <f t="shared" si="1"/>
        <v>0</v>
      </c>
      <c r="AE162">
        <f t="shared" si="2"/>
        <v>0</v>
      </c>
      <c r="AF162">
        <f t="shared" si="3"/>
        <v>37.609999986</v>
      </c>
      <c r="AG162">
        <f t="shared" si="4"/>
        <v>6776.35</v>
      </c>
      <c r="AH162">
        <f t="shared" si="5"/>
        <v>254858.523405131</v>
      </c>
    </row>
    <row r="163" ht="14.25" customHeight="1">
      <c r="A163" t="str">
        <f>IF(Moteur!D163="","",Moteur!D163)</f>
        <v>IPAC_MTP</v>
      </c>
      <c r="B163" t="str">
        <f>IF(Moteur!B163="","",Moteur!B163)</f>
        <v>V03</v>
      </c>
      <c r="C163" t="str">
        <f>IF(Moteur!F163="","",Moteur!F163)</f>
        <v>BAC_CCE</v>
      </c>
      <c r="D163" t="str">
        <f>IF(Moteur!G163="","",Moteur!G163)</f>
        <v>B1</v>
      </c>
      <c r="E163" t="str">
        <f>IF(Moteur!H163="","",Moteur!H163)</f>
        <v>ALT</v>
      </c>
      <c r="F163" t="str">
        <f>IF(Moteur!E163="","",Moteur!E163)</f>
        <v>IPAC</v>
      </c>
      <c r="G163">
        <f>IF($A163="","",_xlfn.SUMIFS(Socle!$H$1:$H$658,Socle!$C$1:$C$658,$A163,Socle!$D$1:$D$658,$C163,Socle!$E$1:$E$658,$D163,Socle!$F$1:$F$658,$E163,Socle!$G$1:$G$658,"2026"))</f>
        <v>680</v>
      </c>
      <c r="H163">
        <f>IF($A163="","",_xlfn.SUMIFS(Socle!$N$1:$N$658,Socle!$C$1:$C$658,$A163,Socle!$D$1:$D$658,$C163,Socle!$E$1:$E$658,$D163,Socle!$F$1:$F$658,$E163,Socle!$G$1:$G$658,"2026"))</f>
        <v>0</v>
      </c>
      <c r="I163">
        <f>IF($A163="","",_xlfn.SUMIFS(Socle!$P$1:$P$658,Socle!$C$1:$C$658,$A163,Socle!$D$1:$D$658,$C163,Socle!$E$1:$E$658,$D163,Socle!$F$1:$F$658,$E163,Socle!$G$1:$G$658,"2026"))</f>
        <v>6650</v>
      </c>
      <c r="J163">
        <f>IF($A163="","",_xlfn.SUMIFS(Socle!$W$1:$W$658,Socle!$C$1:$C$658,$A163,Socle!$D$1:$D$658,$C163,Socle!$E$1:$E$658,$D163,Socle!$F$1:$F$658,$E163,Socle!$G$1:$G$658,"2026"))</f>
        <v>0.2</v>
      </c>
      <c r="K163">
        <f>IF($A163="","",_xlfn.SUMIFS(Socle!$X$1:$X$658,Socle!$C$1:$C$658,$A163,Socle!$D$1:$D$658,$C163,Socle!$E$1:$E$658,$D163,Socle!$F$1:$F$658,$E163,Socle!$G$1:$G$658,"2026"))</f>
        <v>0.698529412</v>
      </c>
      <c r="L163">
        <f>IF($A163="","",_xlfn.SUMIFS(Socle!$Y$1:$Y$658,Socle!$C$1:$C$658,$A163,Socle!$D$1:$D$658,$C163,Socle!$E$1:$E$658,$D163,Socle!$F$1:$F$658,$E163,Socle!$G$1:$G$658,"2026"))</f>
        <v>0.421052632</v>
      </c>
      <c r="M163">
        <f>IF($A163="","",_xlfn.SUMIFS(Socle!$V$1:$V$658,Socle!$C$1:$C$658,$A163,Socle!$D$1:$D$658,$C163,Socle!$E$1:$E$658,$D163,Socle!$F$1:$F$658,$E163,Socle!$G$1:$G$658,"2026"))</f>
        <v>0</v>
      </c>
      <c r="N163">
        <f t="shared" si="0"/>
        <v>1</v>
      </c>
      <c r="O163">
        <f>IF($A163="","",_xlfn.SUMIFS(Campagne!$D$1:$D$141,Campagne!$C$1:$C$141,$A163))</f>
        <v>258</v>
      </c>
      <c r="P163">
        <f>IF($A163="","",_xlfn.SUMIFS(Campagne!$E$1:$E$141,Campagne!$C$1:$C$141,$A163))</f>
        <v>422</v>
      </c>
      <c r="Q163">
        <f>IF($A163="","",_xlfn.SUMIFS(Campagne!$F$1:$F$141,Campagne!$C$1:$C$141,$A163))</f>
        <v>680</v>
      </c>
      <c r="R163">
        <f>IF($A163="","",_xlfn.SUMIFS(Campagne!$K$1:$K$141,Campagne!$C$1:$C$141,$A163))</f>
        <v>0.591344893</v>
      </c>
      <c r="S163">
        <f>IF($A163="","",_xlfn.SUMIFS(Campagne!$M$1:$M$141,Campagne!$C$1:$C$141,$A163))</f>
        <v>0.315275187</v>
      </c>
      <c r="T163">
        <f>IF($A163="","",_xlfn.SUMIFS(Pilotage!$K$19:$K$32,Pilotage!$A$19:$A$32,$A163)*_xlfn.SUMIFS(Pilotage!$J$19:$J$32,Pilotage!$A$19:$A$32,$A163)*(SUM(Pilotage!$K$19:$K$32)/SUMPRODUCT(Pilotage!$K$19:$K$32,Pilotage!$J$19:$J$32)))</f>
        <v>15178</v>
      </c>
      <c r="U163">
        <f>IF($A163="","",_xlfn.SUMIFS(Pilotage!$K$19:$K$32,Pilotage!$A$19:$A$32,$A163))</f>
        <v>15178</v>
      </c>
      <c r="V163">
        <f>IF($A163="","",IF($B163="V01",Cadrage!$C$23,IF($B163="V02",Cadrage!$D$23,Cadrage!$E$23)))</f>
        <v>-0.05</v>
      </c>
      <c r="W163">
        <f>IF($A163="","",IF($B163="V01",Cadrage!$C$24,IF($B163="V02",Cadrage!$D$24,Cadrage!$E$24)))</f>
        <v>-0.05</v>
      </c>
      <c r="X163">
        <f>IF($A163="","",IF($B163="V01",Cadrage!$C$25,IF($B163="V02",Cadrage!$D$25,Cadrage!$E$25)))</f>
        <v>0.02</v>
      </c>
      <c r="Y163">
        <f>IF($A163="","",IF($B163="V01",Cadrage!$C$26,IF($B163="V02",Cadrage!$D$26,Cadrage!$E$26)))</f>
        <v>-0.01</v>
      </c>
      <c r="Z163">
        <f>IF($A163="","",IF($B163="V01",Cadrage!$C$27,IF($B163="V02",Cadrage!$D$27,Cadrage!$E$27)))</f>
        <v>-0.01</v>
      </c>
      <c r="AA163">
        <f>IF($A163="","",IF($B163="V01",Cadrage!$C$28,IF($B163="V02",Cadrage!$D$28,Cadrage!$E$28)))</f>
        <v>-0.01</v>
      </c>
      <c r="AB163">
        <f>IF($A163="","",IF($B163="V01",Cadrage!$C$42,IF($B163="V02",Cadrage!$D$42,Cadrage!$E$42)))</f>
        <v>90</v>
      </c>
      <c r="AC163">
        <f>IF($A163="","",IF($F163="MBWAY",Cadrage!$K$34,IF($F163="ISCOM",Cadrage!$K$35,IF($F163="IPAC",Cadrage!$K$36,IF($F163="PIGIER",Cadrage!$K$37,Cadrage!$K$38)))))</f>
        <v>0.95</v>
      </c>
      <c r="AD163">
        <f t="shared" si="1"/>
        <v>36.1838851847555</v>
      </c>
      <c r="AE163">
        <f t="shared" si="2"/>
        <v>36.1838851847555</v>
      </c>
      <c r="AF163">
        <f t="shared" si="3"/>
        <v>36.1838851847555</v>
      </c>
      <c r="AG163">
        <f t="shared" si="4"/>
        <v>6776.35</v>
      </c>
      <c r="AH163">
        <f t="shared" si="5"/>
        <v>248451.220038346</v>
      </c>
    </row>
    <row r="164" ht="14.25" customHeight="1">
      <c r="A164" t="str">
        <f>IF(Moteur!D164="","",Moteur!D164)</f>
        <v>IPAC_MTP</v>
      </c>
      <c r="B164" t="str">
        <f>IF(Moteur!B164="","",Moteur!B164)</f>
        <v>V03</v>
      </c>
      <c r="C164" t="str">
        <f>IF(Moteur!F164="","",Moteur!F164)</f>
        <v>BAC_CCE</v>
      </c>
      <c r="D164" t="str">
        <f>IF(Moteur!G164="","",Moteur!G164)</f>
        <v>B2</v>
      </c>
      <c r="E164" t="str">
        <f>IF(Moteur!H164="","",Moteur!H164)</f>
        <v>ALT</v>
      </c>
      <c r="F164" t="str">
        <f>IF(Moteur!E164="","",Moteur!E164)</f>
        <v>IPAC</v>
      </c>
      <c r="G164">
        <f>IF($A164="","",_xlfn.SUMIFS(Socle!$H$1:$H$658,Socle!$C$1:$C$658,$A164,Socle!$D$1:$D$658,$C164,Socle!$E$1:$E$658,$D164,Socle!$F$1:$F$658,$E164,Socle!$G$1:$G$658,"2026"))</f>
        <v>0</v>
      </c>
      <c r="H164">
        <f>IF($A164="","",_xlfn.SUMIFS(Socle!$N$1:$N$658,Socle!$C$1:$C$658,$A164,Socle!$D$1:$D$658,$C164,Socle!$E$1:$E$658,$D164,Socle!$F$1:$F$658,$E164,Socle!$G$1:$G$658,"2026"))</f>
        <v>40</v>
      </c>
      <c r="I164">
        <f>IF($A164="","",_xlfn.SUMIFS(Socle!$P$1:$P$658,Socle!$C$1:$C$658,$A164,Socle!$D$1:$D$658,$C164,Socle!$E$1:$E$658,$D164,Socle!$F$1:$F$658,$E164,Socle!$G$1:$G$658,"2026"))</f>
        <v>6650</v>
      </c>
      <c r="J164">
        <f>IF($A164="","",_xlfn.SUMIFS(Socle!$W$1:$W$658,Socle!$C$1:$C$658,$A164,Socle!$D$1:$D$658,$C164,Socle!$E$1:$E$658,$D164,Socle!$F$1:$F$658,$E164,Socle!$G$1:$G$658,"2026"))</f>
        <v>0</v>
      </c>
      <c r="K164">
        <f>IF($A164="","",_xlfn.SUMIFS(Socle!$X$1:$X$658,Socle!$C$1:$C$658,$A164,Socle!$D$1:$D$658,$C164,Socle!$E$1:$E$658,$D164,Socle!$F$1:$F$658,$E164,Socle!$G$1:$G$658,"2026"))</f>
        <v>0</v>
      </c>
      <c r="L164">
        <f>IF($A164="","",_xlfn.SUMIFS(Socle!$Y$1:$Y$658,Socle!$C$1:$C$658,$A164,Socle!$D$1:$D$658,$C164,Socle!$E$1:$E$658,$D164,Socle!$F$1:$F$658,$E164,Socle!$G$1:$G$658,"2026"))</f>
        <v>0</v>
      </c>
      <c r="M164">
        <f>IF($A164="","",_xlfn.SUMIFS(Socle!$V$1:$V$658,Socle!$C$1:$C$658,$A164,Socle!$D$1:$D$658,$C164,Socle!$E$1:$E$658,$D164,Socle!$F$1:$F$658,$E164,Socle!$G$1:$G$658,"2026"))</f>
        <v>0.975</v>
      </c>
      <c r="N164">
        <f t="shared" si="0"/>
        <v>0</v>
      </c>
      <c r="O164">
        <f>IF($A164="","",_xlfn.SUMIFS(Campagne!$D$1:$D$141,Campagne!$C$1:$C$141,$A164))</f>
        <v>258</v>
      </c>
      <c r="P164">
        <f>IF($A164="","",_xlfn.SUMIFS(Campagne!$E$1:$E$141,Campagne!$C$1:$C$141,$A164))</f>
        <v>422</v>
      </c>
      <c r="Q164">
        <f>IF($A164="","",_xlfn.SUMIFS(Campagne!$F$1:$F$141,Campagne!$C$1:$C$141,$A164))</f>
        <v>680</v>
      </c>
      <c r="R164">
        <f>IF($A164="","",_xlfn.SUMIFS(Campagne!$K$1:$K$141,Campagne!$C$1:$C$141,$A164))</f>
        <v>0.591344893</v>
      </c>
      <c r="S164">
        <f>IF($A164="","",_xlfn.SUMIFS(Campagne!$M$1:$M$141,Campagne!$C$1:$C$141,$A164))</f>
        <v>0.315275187</v>
      </c>
      <c r="T164">
        <f>IF($A164="","",_xlfn.SUMIFS(Pilotage!$K$19:$K$32,Pilotage!$A$19:$A$32,$A164)*_xlfn.SUMIFS(Pilotage!$J$19:$J$32,Pilotage!$A$19:$A$32,$A164)*(SUM(Pilotage!$K$19:$K$32)/SUMPRODUCT(Pilotage!$K$19:$K$32,Pilotage!$J$19:$J$32)))</f>
        <v>15178</v>
      </c>
      <c r="U164">
        <f>IF($A164="","",_xlfn.SUMIFS(Pilotage!$K$19:$K$32,Pilotage!$A$19:$A$32,$A164))</f>
        <v>15178</v>
      </c>
      <c r="V164">
        <f>IF($A164="","",IF($B164="V01",Cadrage!$C$23,IF($B164="V02",Cadrage!$D$23,Cadrage!$E$23)))</f>
        <v>-0.05</v>
      </c>
      <c r="W164">
        <f>IF($A164="","",IF($B164="V01",Cadrage!$C$24,IF($B164="V02",Cadrage!$D$24,Cadrage!$E$24)))</f>
        <v>-0.05</v>
      </c>
      <c r="X164">
        <f>IF($A164="","",IF($B164="V01",Cadrage!$C$25,IF($B164="V02",Cadrage!$D$25,Cadrage!$E$25)))</f>
        <v>0.02</v>
      </c>
      <c r="Y164">
        <f>IF($A164="","",IF($B164="V01",Cadrage!$C$26,IF($B164="V02",Cadrage!$D$26,Cadrage!$E$26)))</f>
        <v>-0.01</v>
      </c>
      <c r="Z164">
        <f>IF($A164="","",IF($B164="V01",Cadrage!$C$27,IF($B164="V02",Cadrage!$D$27,Cadrage!$E$27)))</f>
        <v>-0.01</v>
      </c>
      <c r="AA164">
        <f>IF($A164="","",IF($B164="V01",Cadrage!$C$28,IF($B164="V02",Cadrage!$D$28,Cadrage!$E$28)))</f>
        <v>-0.01</v>
      </c>
      <c r="AB164">
        <f>IF($A164="","",IF($B164="V01",Cadrage!$C$42,IF($B164="V02",Cadrage!$D$42,Cadrage!$E$42)))</f>
        <v>90</v>
      </c>
      <c r="AC164">
        <f>IF($A164="","",IF($F164="MBWAY",Cadrage!$K$34,IF($F164="ISCOM",Cadrage!$K$35,IF($F164="IPAC",Cadrage!$K$36,IF($F164="PIGIER",Cadrage!$K$37,Cadrage!$K$38)))))</f>
        <v>0.95</v>
      </c>
      <c r="AD164">
        <f t="shared" si="1"/>
        <v>0</v>
      </c>
      <c r="AE164">
        <f t="shared" si="2"/>
        <v>0</v>
      </c>
      <c r="AF164">
        <f t="shared" si="3"/>
        <v>38.6</v>
      </c>
      <c r="AG164">
        <f t="shared" si="4"/>
        <v>6776.35</v>
      </c>
      <c r="AH164">
        <f t="shared" si="5"/>
        <v>261567.11</v>
      </c>
    </row>
    <row r="165" ht="14.25" customHeight="1">
      <c r="A165" t="str">
        <f>IF(Moteur!D165="","",Moteur!D165)</f>
        <v>IPAC_MTP</v>
      </c>
      <c r="B165" t="str">
        <f>IF(Moteur!B165="","",Moteur!B165)</f>
        <v>V03</v>
      </c>
      <c r="C165" t="str">
        <f>IF(Moteur!F165="","",Moteur!F165)</f>
        <v>BAC_CCE</v>
      </c>
      <c r="D165" t="str">
        <f>IF(Moteur!G165="","",Moteur!G165)</f>
        <v>B3</v>
      </c>
      <c r="E165" t="str">
        <f>IF(Moteur!H165="","",Moteur!H165)</f>
        <v>ALT</v>
      </c>
      <c r="F165" t="str">
        <f>IF(Moteur!E165="","",Moteur!E165)</f>
        <v>IPAC</v>
      </c>
      <c r="G165">
        <f>IF($A165="","",_xlfn.SUMIFS(Socle!$H$1:$H$658,Socle!$C$1:$C$658,$A165,Socle!$D$1:$D$658,$C165,Socle!$E$1:$E$658,$D165,Socle!$F$1:$F$658,$E165,Socle!$G$1:$G$658,"2026"))</f>
        <v>0</v>
      </c>
      <c r="H165">
        <f>IF($A165="","",_xlfn.SUMIFS(Socle!$N$1:$N$658,Socle!$C$1:$C$658,$A165,Socle!$D$1:$D$658,$C165,Socle!$E$1:$E$658,$D165,Socle!$F$1:$F$658,$E165,Socle!$G$1:$G$658,"2026"))</f>
        <v>39</v>
      </c>
      <c r="I165">
        <f>IF($A165="","",_xlfn.SUMIFS(Socle!$P$1:$P$658,Socle!$C$1:$C$658,$A165,Socle!$D$1:$D$658,$C165,Socle!$E$1:$E$658,$D165,Socle!$F$1:$F$658,$E165,Socle!$G$1:$G$658,"2026"))</f>
        <v>6650</v>
      </c>
      <c r="J165">
        <f>IF($A165="","",_xlfn.SUMIFS(Socle!$W$1:$W$658,Socle!$C$1:$C$658,$A165,Socle!$D$1:$D$658,$C165,Socle!$E$1:$E$658,$D165,Socle!$F$1:$F$658,$E165,Socle!$G$1:$G$658,"2026"))</f>
        <v>0</v>
      </c>
      <c r="K165">
        <f>IF($A165="","",_xlfn.SUMIFS(Socle!$X$1:$X$658,Socle!$C$1:$C$658,$A165,Socle!$D$1:$D$658,$C165,Socle!$E$1:$E$658,$D165,Socle!$F$1:$F$658,$E165,Socle!$G$1:$G$658,"2026"))</f>
        <v>0</v>
      </c>
      <c r="L165">
        <f>IF($A165="","",_xlfn.SUMIFS(Socle!$Y$1:$Y$658,Socle!$C$1:$C$658,$A165,Socle!$D$1:$D$658,$C165,Socle!$E$1:$E$658,$D165,Socle!$F$1:$F$658,$E165,Socle!$G$1:$G$658,"2026"))</f>
        <v>0</v>
      </c>
      <c r="M165">
        <f>IF($A165="","",_xlfn.SUMIFS(Socle!$V$1:$V$658,Socle!$C$1:$C$658,$A165,Socle!$D$1:$D$658,$C165,Socle!$E$1:$E$658,$D165,Socle!$F$1:$F$658,$E165,Socle!$G$1:$G$658,"2026"))</f>
        <v>0.974358974</v>
      </c>
      <c r="N165">
        <f t="shared" si="0"/>
        <v>0</v>
      </c>
      <c r="O165">
        <f>IF($A165="","",_xlfn.SUMIFS(Campagne!$D$1:$D$141,Campagne!$C$1:$C$141,$A165))</f>
        <v>258</v>
      </c>
      <c r="P165">
        <f>IF($A165="","",_xlfn.SUMIFS(Campagne!$E$1:$E$141,Campagne!$C$1:$C$141,$A165))</f>
        <v>422</v>
      </c>
      <c r="Q165">
        <f>IF($A165="","",_xlfn.SUMIFS(Campagne!$F$1:$F$141,Campagne!$C$1:$C$141,$A165))</f>
        <v>680</v>
      </c>
      <c r="R165">
        <f>IF($A165="","",_xlfn.SUMIFS(Campagne!$K$1:$K$141,Campagne!$C$1:$C$141,$A165))</f>
        <v>0.591344893</v>
      </c>
      <c r="S165">
        <f>IF($A165="","",_xlfn.SUMIFS(Campagne!$M$1:$M$141,Campagne!$C$1:$C$141,$A165))</f>
        <v>0.315275187</v>
      </c>
      <c r="T165">
        <f>IF($A165="","",_xlfn.SUMIFS(Pilotage!$K$19:$K$32,Pilotage!$A$19:$A$32,$A165)*_xlfn.SUMIFS(Pilotage!$J$19:$J$32,Pilotage!$A$19:$A$32,$A165)*(SUM(Pilotage!$K$19:$K$32)/SUMPRODUCT(Pilotage!$K$19:$K$32,Pilotage!$J$19:$J$32)))</f>
        <v>15178</v>
      </c>
      <c r="U165">
        <f>IF($A165="","",_xlfn.SUMIFS(Pilotage!$K$19:$K$32,Pilotage!$A$19:$A$32,$A165))</f>
        <v>15178</v>
      </c>
      <c r="V165">
        <f>IF($A165="","",IF($B165="V01",Cadrage!$C$23,IF($B165="V02",Cadrage!$D$23,Cadrage!$E$23)))</f>
        <v>-0.05</v>
      </c>
      <c r="W165">
        <f>IF($A165="","",IF($B165="V01",Cadrage!$C$24,IF($B165="V02",Cadrage!$D$24,Cadrage!$E$24)))</f>
        <v>-0.05</v>
      </c>
      <c r="X165">
        <f>IF($A165="","",IF($B165="V01",Cadrage!$C$25,IF($B165="V02",Cadrage!$D$25,Cadrage!$E$25)))</f>
        <v>0.02</v>
      </c>
      <c r="Y165">
        <f>IF($A165="","",IF($B165="V01",Cadrage!$C$26,IF($B165="V02",Cadrage!$D$26,Cadrage!$E$26)))</f>
        <v>-0.01</v>
      </c>
      <c r="Z165">
        <f>IF($A165="","",IF($B165="V01",Cadrage!$C$27,IF($B165="V02",Cadrage!$D$27,Cadrage!$E$27)))</f>
        <v>-0.01</v>
      </c>
      <c r="AA165">
        <f>IF($A165="","",IF($B165="V01",Cadrage!$C$28,IF($B165="V02",Cadrage!$D$28,Cadrage!$E$28)))</f>
        <v>-0.01</v>
      </c>
      <c r="AB165">
        <f>IF($A165="","",IF($B165="V01",Cadrage!$C$42,IF($B165="V02",Cadrage!$D$42,Cadrage!$E$42)))</f>
        <v>90</v>
      </c>
      <c r="AC165">
        <f>IF($A165="","",IF($F165="MBWAY",Cadrage!$K$34,IF($F165="ISCOM",Cadrage!$K$35,IF($F165="IPAC",Cadrage!$K$36,IF($F165="PIGIER",Cadrage!$K$37,Cadrage!$K$38)))))</f>
        <v>0.95</v>
      </c>
      <c r="AD165">
        <f t="shared" si="1"/>
        <v>0</v>
      </c>
      <c r="AE165">
        <f t="shared" si="2"/>
        <v>0</v>
      </c>
      <c r="AF165">
        <f t="shared" si="3"/>
        <v>37.609999986</v>
      </c>
      <c r="AG165">
        <f t="shared" si="4"/>
        <v>6776.35</v>
      </c>
      <c r="AH165">
        <f t="shared" si="5"/>
        <v>254858.523405131</v>
      </c>
    </row>
    <row r="166" ht="14.25" customHeight="1">
      <c r="A166" t="str">
        <f>IF(Moteur!D166="","",Moteur!D166)</f>
        <v>PIGIER_LYO</v>
      </c>
      <c r="B166" t="str">
        <f>IF(Moteur!B166="","",Moteur!B166)</f>
        <v>V03</v>
      </c>
      <c r="C166" t="str">
        <f>IF(Moteur!F166="","",Moteur!F166)</f>
        <v>BTS_GES</v>
      </c>
      <c r="D166" t="str">
        <f>IF(Moteur!G166="","",Moteur!G166)</f>
        <v>BTS1</v>
      </c>
      <c r="E166" t="str">
        <f>IF(Moteur!H166="","",Moteur!H166)</f>
        <v>ALT</v>
      </c>
      <c r="F166" t="str">
        <f>IF(Moteur!E166="","",Moteur!E166)</f>
        <v>PIGIER</v>
      </c>
      <c r="G166">
        <f>IF($A166="","",_xlfn.SUMIFS(Socle!$H$1:$H$658,Socle!$C$1:$C$658,$A166,Socle!$D$1:$D$658,$C166,Socle!$E$1:$E$658,$D166,Socle!$F$1:$F$658,$E166,Socle!$G$1:$G$658,"2026"))</f>
        <v>785</v>
      </c>
      <c r="H166">
        <f>IF($A166="","",_xlfn.SUMIFS(Socle!$N$1:$N$658,Socle!$C$1:$C$658,$A166,Socle!$D$1:$D$658,$C166,Socle!$E$1:$E$658,$D166,Socle!$F$1:$F$658,$E166,Socle!$G$1:$G$658,"2026"))</f>
        <v>0</v>
      </c>
      <c r="I166">
        <f>IF($A166="","",_xlfn.SUMIFS(Socle!$P$1:$P$658,Socle!$C$1:$C$658,$A166,Socle!$D$1:$D$658,$C166,Socle!$E$1:$E$658,$D166,Socle!$F$1:$F$658,$E166,Socle!$G$1:$G$658,"2026"))</f>
        <v>6300</v>
      </c>
      <c r="J166">
        <f>IF($A166="","",_xlfn.SUMIFS(Socle!$W$1:$W$658,Socle!$C$1:$C$658,$A166,Socle!$D$1:$D$658,$C166,Socle!$E$1:$E$658,$D166,Socle!$F$1:$F$658,$E166,Socle!$G$1:$G$658,"2026"))</f>
        <v>0.2</v>
      </c>
      <c r="K166">
        <f>IF($A166="","",_xlfn.SUMIFS(Socle!$X$1:$X$658,Socle!$C$1:$C$658,$A166,Socle!$D$1:$D$658,$C166,Socle!$E$1:$E$658,$D166,Socle!$F$1:$F$658,$E166,Socle!$G$1:$G$658,"2026"))</f>
        <v>0.700636943</v>
      </c>
      <c r="L166">
        <f>IF($A166="","",_xlfn.SUMIFS(Socle!$Y$1:$Y$658,Socle!$C$1:$C$658,$A166,Socle!$D$1:$D$658,$C166,Socle!$E$1:$E$658,$D166,Socle!$F$1:$F$658,$E166,Socle!$G$1:$G$658,"2026"))</f>
        <v>0.418181818</v>
      </c>
      <c r="M166">
        <f>IF($A166="","",_xlfn.SUMIFS(Socle!$V$1:$V$658,Socle!$C$1:$C$658,$A166,Socle!$D$1:$D$658,$C166,Socle!$E$1:$E$658,$D166,Socle!$F$1:$F$658,$E166,Socle!$G$1:$G$658,"2026"))</f>
        <v>0</v>
      </c>
      <c r="N166">
        <f t="shared" si="0"/>
        <v>1</v>
      </c>
      <c r="O166">
        <f>IF($A166="","",_xlfn.SUMIFS(Campagne!$D$1:$D$141,Campagne!$C$1:$C$141,$A166))</f>
        <v>738</v>
      </c>
      <c r="P166">
        <f>IF($A166="","",_xlfn.SUMIFS(Campagne!$E$1:$E$141,Campagne!$C$1:$C$141,$A166))</f>
        <v>832</v>
      </c>
      <c r="Q166">
        <f>IF($A166="","",_xlfn.SUMIFS(Campagne!$F$1:$F$141,Campagne!$C$1:$C$141,$A166))</f>
        <v>1570</v>
      </c>
      <c r="R166">
        <f>IF($A166="","",_xlfn.SUMIFS(Campagne!$K$1:$K$141,Campagne!$C$1:$C$141,$A166))</f>
        <v>0.440450262</v>
      </c>
      <c r="S166">
        <f>IF($A166="","",_xlfn.SUMIFS(Campagne!$M$1:$M$141,Campagne!$C$1:$C$141,$A166))</f>
        <v>0.343045779</v>
      </c>
      <c r="T166">
        <f>IF($A166="","",_xlfn.SUMIFS(Pilotage!$K$19:$K$32,Pilotage!$A$19:$A$32,$A166)*_xlfn.SUMIFS(Pilotage!$J$19:$J$32,Pilotage!$A$19:$A$32,$A166)*(SUM(Pilotage!$K$19:$K$32)/SUMPRODUCT(Pilotage!$K$19:$K$32,Pilotage!$J$19:$J$32)))</f>
        <v>36612</v>
      </c>
      <c r="U166">
        <f>IF($A166="","",_xlfn.SUMIFS(Pilotage!$K$19:$K$32,Pilotage!$A$19:$A$32,$A166))</f>
        <v>36612</v>
      </c>
      <c r="V166">
        <f>IF($A166="","",IF($B166="V01",Cadrage!$C$23,IF($B166="V02",Cadrage!$D$23,Cadrage!$E$23)))</f>
        <v>-0.05</v>
      </c>
      <c r="W166">
        <f>IF($A166="","",IF($B166="V01",Cadrage!$C$24,IF($B166="V02",Cadrage!$D$24,Cadrage!$E$24)))</f>
        <v>-0.05</v>
      </c>
      <c r="X166">
        <f>IF($A166="","",IF($B166="V01",Cadrage!$C$25,IF($B166="V02",Cadrage!$D$25,Cadrage!$E$25)))</f>
        <v>0.02</v>
      </c>
      <c r="Y166">
        <f>IF($A166="","",IF($B166="V01",Cadrage!$C$26,IF($B166="V02",Cadrage!$D$26,Cadrage!$E$26)))</f>
        <v>-0.01</v>
      </c>
      <c r="Z166">
        <f>IF($A166="","",IF($B166="V01",Cadrage!$C$27,IF($B166="V02",Cadrage!$D$27,Cadrage!$E$27)))</f>
        <v>-0.01</v>
      </c>
      <c r="AA166">
        <f>IF($A166="","",IF($B166="V01",Cadrage!$C$28,IF($B166="V02",Cadrage!$D$28,Cadrage!$E$28)))</f>
        <v>-0.01</v>
      </c>
      <c r="AB166">
        <f>IF($A166="","",IF($B166="V01",Cadrage!$C$42,IF($B166="V02",Cadrage!$D$42,Cadrage!$E$42)))</f>
        <v>90</v>
      </c>
      <c r="AC166">
        <f>IF($A166="","",IF($F166="MBWAY",Cadrage!$K$34,IF($F166="ISCOM",Cadrage!$K$35,IF($F166="IPAC",Cadrage!$K$36,IF($F166="PIGIER",Cadrage!$K$37,Cadrage!$K$38)))))</f>
        <v>0.9</v>
      </c>
      <c r="AD166">
        <f t="shared" si="1"/>
        <v>41.800320022057</v>
      </c>
      <c r="AE166">
        <f t="shared" si="2"/>
        <v>41.800320022057</v>
      </c>
      <c r="AF166">
        <f t="shared" si="3"/>
        <v>41.800320022057</v>
      </c>
      <c r="AG166">
        <f t="shared" si="4"/>
        <v>6413.4</v>
      </c>
      <c r="AH166">
        <f t="shared" si="5"/>
        <v>271844.201231445</v>
      </c>
    </row>
    <row r="167" ht="14.25" customHeight="1">
      <c r="A167" t="str">
        <f>IF(Moteur!D167="","",Moteur!D167)</f>
        <v>PIGIER_LYO</v>
      </c>
      <c r="B167" t="str">
        <f>IF(Moteur!B167="","",Moteur!B167)</f>
        <v>V03</v>
      </c>
      <c r="C167" t="str">
        <f>IF(Moteur!F167="","",Moteur!F167)</f>
        <v>BTS_GES</v>
      </c>
      <c r="D167" t="str">
        <f>IF(Moteur!G167="","",Moteur!G167)</f>
        <v>BTS2</v>
      </c>
      <c r="E167" t="str">
        <f>IF(Moteur!H167="","",Moteur!H167)</f>
        <v>ALT</v>
      </c>
      <c r="F167" t="str">
        <f>IF(Moteur!E167="","",Moteur!E167)</f>
        <v>PIGIER</v>
      </c>
      <c r="G167">
        <f>IF($A167="","",_xlfn.SUMIFS(Socle!$H$1:$H$658,Socle!$C$1:$C$658,$A167,Socle!$D$1:$D$658,$C167,Socle!$E$1:$E$658,$D167,Socle!$F$1:$F$658,$E167,Socle!$G$1:$G$658,"2026"))</f>
        <v>0</v>
      </c>
      <c r="H167">
        <f>IF($A167="","",_xlfn.SUMIFS(Socle!$N$1:$N$658,Socle!$C$1:$C$658,$A167,Socle!$D$1:$D$658,$C167,Socle!$E$1:$E$658,$D167,Socle!$F$1:$F$658,$E167,Socle!$G$1:$G$658,"2026"))</f>
        <v>46</v>
      </c>
      <c r="I167">
        <f>IF($A167="","",_xlfn.SUMIFS(Socle!$P$1:$P$658,Socle!$C$1:$C$658,$A167,Socle!$D$1:$D$658,$C167,Socle!$E$1:$E$658,$D167,Socle!$F$1:$F$658,$E167,Socle!$G$1:$G$658,"2026"))</f>
        <v>6300</v>
      </c>
      <c r="J167">
        <f>IF($A167="","",_xlfn.SUMIFS(Socle!$W$1:$W$658,Socle!$C$1:$C$658,$A167,Socle!$D$1:$D$658,$C167,Socle!$E$1:$E$658,$D167,Socle!$F$1:$F$658,$E167,Socle!$G$1:$G$658,"2026"))</f>
        <v>0</v>
      </c>
      <c r="K167">
        <f>IF($A167="","",_xlfn.SUMIFS(Socle!$X$1:$X$658,Socle!$C$1:$C$658,$A167,Socle!$D$1:$D$658,$C167,Socle!$E$1:$E$658,$D167,Socle!$F$1:$F$658,$E167,Socle!$G$1:$G$658,"2026"))</f>
        <v>0</v>
      </c>
      <c r="L167">
        <f>IF($A167="","",_xlfn.SUMIFS(Socle!$Y$1:$Y$658,Socle!$C$1:$C$658,$A167,Socle!$D$1:$D$658,$C167,Socle!$E$1:$E$658,$D167,Socle!$F$1:$F$658,$E167,Socle!$G$1:$G$658,"2026"))</f>
        <v>0</v>
      </c>
      <c r="M167">
        <f>IF($A167="","",_xlfn.SUMIFS(Socle!$V$1:$V$658,Socle!$C$1:$C$658,$A167,Socle!$D$1:$D$658,$C167,Socle!$E$1:$E$658,$D167,Socle!$F$1:$F$658,$E167,Socle!$G$1:$G$658,"2026"))</f>
        <v>0.97826087</v>
      </c>
      <c r="N167">
        <f t="shared" si="0"/>
        <v>0</v>
      </c>
      <c r="O167">
        <f>IF($A167="","",_xlfn.SUMIFS(Campagne!$D$1:$D$141,Campagne!$C$1:$C$141,$A167))</f>
        <v>738</v>
      </c>
      <c r="P167">
        <f>IF($A167="","",_xlfn.SUMIFS(Campagne!$E$1:$E$141,Campagne!$C$1:$C$141,$A167))</f>
        <v>832</v>
      </c>
      <c r="Q167">
        <f>IF($A167="","",_xlfn.SUMIFS(Campagne!$F$1:$F$141,Campagne!$C$1:$C$141,$A167))</f>
        <v>1570</v>
      </c>
      <c r="R167">
        <f>IF($A167="","",_xlfn.SUMIFS(Campagne!$K$1:$K$141,Campagne!$C$1:$C$141,$A167))</f>
        <v>0.440450262</v>
      </c>
      <c r="S167">
        <f>IF($A167="","",_xlfn.SUMIFS(Campagne!$M$1:$M$141,Campagne!$C$1:$C$141,$A167))</f>
        <v>0.343045779</v>
      </c>
      <c r="T167">
        <f>IF($A167="","",_xlfn.SUMIFS(Pilotage!$K$19:$K$32,Pilotage!$A$19:$A$32,$A167)*_xlfn.SUMIFS(Pilotage!$J$19:$J$32,Pilotage!$A$19:$A$32,$A167)*(SUM(Pilotage!$K$19:$K$32)/SUMPRODUCT(Pilotage!$K$19:$K$32,Pilotage!$J$19:$J$32)))</f>
        <v>36612</v>
      </c>
      <c r="U167">
        <f>IF($A167="","",_xlfn.SUMIFS(Pilotage!$K$19:$K$32,Pilotage!$A$19:$A$32,$A167))</f>
        <v>36612</v>
      </c>
      <c r="V167">
        <f>IF($A167="","",IF($B167="V01",Cadrage!$C$23,IF($B167="V02",Cadrage!$D$23,Cadrage!$E$23)))</f>
        <v>-0.05</v>
      </c>
      <c r="W167">
        <f>IF($A167="","",IF($B167="V01",Cadrage!$C$24,IF($B167="V02",Cadrage!$D$24,Cadrage!$E$24)))</f>
        <v>-0.05</v>
      </c>
      <c r="X167">
        <f>IF($A167="","",IF($B167="V01",Cadrage!$C$25,IF($B167="V02",Cadrage!$D$25,Cadrage!$E$25)))</f>
        <v>0.02</v>
      </c>
      <c r="Y167">
        <f>IF($A167="","",IF($B167="V01",Cadrage!$C$26,IF($B167="V02",Cadrage!$D$26,Cadrage!$E$26)))</f>
        <v>-0.01</v>
      </c>
      <c r="Z167">
        <f>IF($A167="","",IF($B167="V01",Cadrage!$C$27,IF($B167="V02",Cadrage!$D$27,Cadrage!$E$27)))</f>
        <v>-0.01</v>
      </c>
      <c r="AA167">
        <f>IF($A167="","",IF($B167="V01",Cadrage!$C$28,IF($B167="V02",Cadrage!$D$28,Cadrage!$E$28)))</f>
        <v>-0.01</v>
      </c>
      <c r="AB167">
        <f>IF($A167="","",IF($B167="V01",Cadrage!$C$42,IF($B167="V02",Cadrage!$D$42,Cadrage!$E$42)))</f>
        <v>90</v>
      </c>
      <c r="AC167">
        <f>IF($A167="","",IF($F167="MBWAY",Cadrage!$K$34,IF($F167="ISCOM",Cadrage!$K$35,IF($F167="IPAC",Cadrage!$K$36,IF($F167="PIGIER",Cadrage!$K$37,Cadrage!$K$38)))))</f>
        <v>0.9</v>
      </c>
      <c r="AD167">
        <f t="shared" si="1"/>
        <v>0</v>
      </c>
      <c r="AE167">
        <f t="shared" si="2"/>
        <v>0</v>
      </c>
      <c r="AF167">
        <f t="shared" si="3"/>
        <v>44.54000002</v>
      </c>
      <c r="AG167">
        <f t="shared" si="4"/>
        <v>6413.4</v>
      </c>
      <c r="AH167">
        <f t="shared" si="5"/>
        <v>285652.836128268</v>
      </c>
    </row>
    <row r="168" ht="14.25" customHeight="1">
      <c r="A168" t="str">
        <f>IF(Moteur!D168="","",Moteur!D168)</f>
        <v>PIGIER_LYO</v>
      </c>
      <c r="B168" t="str">
        <f>IF(Moteur!B168="","",Moteur!B168)</f>
        <v>V03</v>
      </c>
      <c r="C168" t="str">
        <f>IF(Moteur!F168="","",Moteur!F168)</f>
        <v>BAC_RH</v>
      </c>
      <c r="D168" t="str">
        <f>IF(Moteur!G168="","",Moteur!G168)</f>
        <v>B1</v>
      </c>
      <c r="E168" t="str">
        <f>IF(Moteur!H168="","",Moteur!H168)</f>
        <v>ALT</v>
      </c>
      <c r="F168" t="str">
        <f>IF(Moteur!E168="","",Moteur!E168)</f>
        <v>PIGIER</v>
      </c>
      <c r="G168">
        <f>IF($A168="","",_xlfn.SUMIFS(Socle!$H$1:$H$658,Socle!$C$1:$C$658,$A168,Socle!$D$1:$D$658,$C168,Socle!$E$1:$E$658,$D168,Socle!$F$1:$F$658,$E168,Socle!$G$1:$G$658,"2026"))</f>
        <v>785</v>
      </c>
      <c r="H168">
        <f>IF($A168="","",_xlfn.SUMIFS(Socle!$N$1:$N$658,Socle!$C$1:$C$658,$A168,Socle!$D$1:$D$658,$C168,Socle!$E$1:$E$658,$D168,Socle!$F$1:$F$658,$E168,Socle!$G$1:$G$658,"2026"))</f>
        <v>0</v>
      </c>
      <c r="I168">
        <f>IF($A168="","",_xlfn.SUMIFS(Socle!$P$1:$P$658,Socle!$C$1:$C$658,$A168,Socle!$D$1:$D$658,$C168,Socle!$E$1:$E$658,$D168,Socle!$F$1:$F$658,$E168,Socle!$G$1:$G$658,"2026"))</f>
        <v>7350</v>
      </c>
      <c r="J168">
        <f>IF($A168="","",_xlfn.SUMIFS(Socle!$W$1:$W$658,Socle!$C$1:$C$658,$A168,Socle!$D$1:$D$658,$C168,Socle!$E$1:$E$658,$D168,Socle!$F$1:$F$658,$E168,Socle!$G$1:$G$658,"2026"))</f>
        <v>0.2</v>
      </c>
      <c r="K168">
        <f>IF($A168="","",_xlfn.SUMIFS(Socle!$X$1:$X$658,Socle!$C$1:$C$658,$A168,Socle!$D$1:$D$658,$C168,Socle!$E$1:$E$658,$D168,Socle!$F$1:$F$658,$E168,Socle!$G$1:$G$658,"2026"))</f>
        <v>0.700636943</v>
      </c>
      <c r="L168">
        <f>IF($A168="","",_xlfn.SUMIFS(Socle!$Y$1:$Y$658,Socle!$C$1:$C$658,$A168,Socle!$D$1:$D$658,$C168,Socle!$E$1:$E$658,$D168,Socle!$F$1:$F$658,$E168,Socle!$G$1:$G$658,"2026"))</f>
        <v>0.418181818</v>
      </c>
      <c r="M168">
        <f>IF($A168="","",_xlfn.SUMIFS(Socle!$V$1:$V$658,Socle!$C$1:$C$658,$A168,Socle!$D$1:$D$658,$C168,Socle!$E$1:$E$658,$D168,Socle!$F$1:$F$658,$E168,Socle!$G$1:$G$658,"2026"))</f>
        <v>0</v>
      </c>
      <c r="N168">
        <f t="shared" si="0"/>
        <v>1</v>
      </c>
      <c r="O168">
        <f>IF($A168="","",_xlfn.SUMIFS(Campagne!$D$1:$D$141,Campagne!$C$1:$C$141,$A168))</f>
        <v>738</v>
      </c>
      <c r="P168">
        <f>IF($A168="","",_xlfn.SUMIFS(Campagne!$E$1:$E$141,Campagne!$C$1:$C$141,$A168))</f>
        <v>832</v>
      </c>
      <c r="Q168">
        <f>IF($A168="","",_xlfn.SUMIFS(Campagne!$F$1:$F$141,Campagne!$C$1:$C$141,$A168))</f>
        <v>1570</v>
      </c>
      <c r="R168">
        <f>IF($A168="","",_xlfn.SUMIFS(Campagne!$K$1:$K$141,Campagne!$C$1:$C$141,$A168))</f>
        <v>0.440450262</v>
      </c>
      <c r="S168">
        <f>IF($A168="","",_xlfn.SUMIFS(Campagne!$M$1:$M$141,Campagne!$C$1:$C$141,$A168))</f>
        <v>0.343045779</v>
      </c>
      <c r="T168">
        <f>IF($A168="","",_xlfn.SUMIFS(Pilotage!$K$19:$K$32,Pilotage!$A$19:$A$32,$A168)*_xlfn.SUMIFS(Pilotage!$J$19:$J$32,Pilotage!$A$19:$A$32,$A168)*(SUM(Pilotage!$K$19:$K$32)/SUMPRODUCT(Pilotage!$K$19:$K$32,Pilotage!$J$19:$J$32)))</f>
        <v>36612</v>
      </c>
      <c r="U168">
        <f>IF($A168="","",_xlfn.SUMIFS(Pilotage!$K$19:$K$32,Pilotage!$A$19:$A$32,$A168))</f>
        <v>36612</v>
      </c>
      <c r="V168">
        <f>IF($A168="","",IF($B168="V01",Cadrage!$C$23,IF($B168="V02",Cadrage!$D$23,Cadrage!$E$23)))</f>
        <v>-0.05</v>
      </c>
      <c r="W168">
        <f>IF($A168="","",IF($B168="V01",Cadrage!$C$24,IF($B168="V02",Cadrage!$D$24,Cadrage!$E$24)))</f>
        <v>-0.05</v>
      </c>
      <c r="X168">
        <f>IF($A168="","",IF($B168="V01",Cadrage!$C$25,IF($B168="V02",Cadrage!$D$25,Cadrage!$E$25)))</f>
        <v>0.02</v>
      </c>
      <c r="Y168">
        <f>IF($A168="","",IF($B168="V01",Cadrage!$C$26,IF($B168="V02",Cadrage!$D$26,Cadrage!$E$26)))</f>
        <v>-0.01</v>
      </c>
      <c r="Z168">
        <f>IF($A168="","",IF($B168="V01",Cadrage!$C$27,IF($B168="V02",Cadrage!$D$27,Cadrage!$E$27)))</f>
        <v>-0.01</v>
      </c>
      <c r="AA168">
        <f>IF($A168="","",IF($B168="V01",Cadrage!$C$28,IF($B168="V02",Cadrage!$D$28,Cadrage!$E$28)))</f>
        <v>-0.01</v>
      </c>
      <c r="AB168">
        <f>IF($A168="","",IF($B168="V01",Cadrage!$C$42,IF($B168="V02",Cadrage!$D$42,Cadrage!$E$42)))</f>
        <v>90</v>
      </c>
      <c r="AC168">
        <f>IF($A168="","",IF($F168="MBWAY",Cadrage!$K$34,IF($F168="ISCOM",Cadrage!$K$35,IF($F168="IPAC",Cadrage!$K$36,IF($F168="PIGIER",Cadrage!$K$37,Cadrage!$K$38)))))</f>
        <v>0.9</v>
      </c>
      <c r="AD168">
        <f t="shared" si="1"/>
        <v>41.800320022057</v>
      </c>
      <c r="AE168">
        <f t="shared" si="2"/>
        <v>41.800320022057</v>
      </c>
      <c r="AF168">
        <f t="shared" si="3"/>
        <v>41.800320022057</v>
      </c>
      <c r="AG168">
        <f t="shared" si="4"/>
        <v>7482.3</v>
      </c>
      <c r="AH168">
        <f t="shared" si="5"/>
        <v>316524.563303022</v>
      </c>
    </row>
    <row r="169" ht="14.25" customHeight="1">
      <c r="A169" t="str">
        <f>IF(Moteur!D169="","",Moteur!D169)</f>
        <v>PIGIER_BOR</v>
      </c>
      <c r="B169" t="str">
        <f>IF(Moteur!B169="","",Moteur!B169)</f>
        <v>V03</v>
      </c>
      <c r="C169" t="str">
        <f>IF(Moteur!F169="","",Moteur!F169)</f>
        <v>BTS_GES</v>
      </c>
      <c r="D169" t="str">
        <f>IF(Moteur!G169="","",Moteur!G169)</f>
        <v>BTS1</v>
      </c>
      <c r="E169" t="str">
        <f>IF(Moteur!H169="","",Moteur!H169)</f>
        <v>ALT</v>
      </c>
      <c r="F169" t="str">
        <f>IF(Moteur!E169="","",Moteur!E169)</f>
        <v>PIGIER</v>
      </c>
      <c r="G169">
        <f>IF($A169="","",_xlfn.SUMIFS(Socle!$H$1:$H$658,Socle!$C$1:$C$658,$A169,Socle!$D$1:$D$658,$C169,Socle!$E$1:$E$658,$D169,Socle!$F$1:$F$658,$E169,Socle!$G$1:$G$658,"2026"))</f>
        <v>615</v>
      </c>
      <c r="H169">
        <f>IF($A169="","",_xlfn.SUMIFS(Socle!$N$1:$N$658,Socle!$C$1:$C$658,$A169,Socle!$D$1:$D$658,$C169,Socle!$E$1:$E$658,$D169,Socle!$F$1:$F$658,$E169,Socle!$G$1:$G$658,"2026"))</f>
        <v>0</v>
      </c>
      <c r="I169">
        <f>IF($A169="","",_xlfn.SUMIFS(Socle!$P$1:$P$658,Socle!$C$1:$C$658,$A169,Socle!$D$1:$D$658,$C169,Socle!$E$1:$E$658,$D169,Socle!$F$1:$F$658,$E169,Socle!$G$1:$G$658,"2026"))</f>
        <v>5820</v>
      </c>
      <c r="J169">
        <f>IF($A169="","",_xlfn.SUMIFS(Socle!$W$1:$W$658,Socle!$C$1:$C$658,$A169,Socle!$D$1:$D$658,$C169,Socle!$E$1:$E$658,$D169,Socle!$F$1:$F$658,$E169,Socle!$G$1:$G$658,"2026"))</f>
        <v>0.2</v>
      </c>
      <c r="K169">
        <f>IF($A169="","",_xlfn.SUMIFS(Socle!$X$1:$X$658,Socle!$C$1:$C$658,$A169,Socle!$D$1:$D$658,$C169,Socle!$E$1:$E$658,$D169,Socle!$F$1:$F$658,$E169,Socle!$G$1:$G$658,"2026"))</f>
        <v>0.699186992</v>
      </c>
      <c r="L169">
        <f>IF($A169="","",_xlfn.SUMIFS(Socle!$Y$1:$Y$658,Socle!$C$1:$C$658,$A169,Socle!$D$1:$D$658,$C169,Socle!$E$1:$E$658,$D169,Socle!$F$1:$F$658,$E169,Socle!$G$1:$G$658,"2026"))</f>
        <v>0.418604651</v>
      </c>
      <c r="M169">
        <f>IF($A169="","",_xlfn.SUMIFS(Socle!$V$1:$V$658,Socle!$C$1:$C$658,$A169,Socle!$D$1:$D$658,$C169,Socle!$E$1:$E$658,$D169,Socle!$F$1:$F$658,$E169,Socle!$G$1:$G$658,"2026"))</f>
        <v>0</v>
      </c>
      <c r="N169">
        <f t="shared" si="0"/>
        <v>1</v>
      </c>
      <c r="O169">
        <f>IF($A169="","",_xlfn.SUMIFS(Campagne!$D$1:$D$141,Campagne!$C$1:$C$141,$A169))</f>
        <v>652</v>
      </c>
      <c r="P169">
        <f>IF($A169="","",_xlfn.SUMIFS(Campagne!$E$1:$E$141,Campagne!$C$1:$C$141,$A169))</f>
        <v>578</v>
      </c>
      <c r="Q169">
        <f>IF($A169="","",_xlfn.SUMIFS(Campagne!$F$1:$F$141,Campagne!$C$1:$C$141,$A169))</f>
        <v>1230</v>
      </c>
      <c r="R169">
        <f>IF($A169="","",_xlfn.SUMIFS(Campagne!$K$1:$K$141,Campagne!$C$1:$C$141,$A169))</f>
        <v>0.474596633</v>
      </c>
      <c r="S169">
        <f>IF($A169="","",_xlfn.SUMIFS(Campagne!$M$1:$M$141,Campagne!$C$1:$C$141,$A169))</f>
        <v>0.357573956</v>
      </c>
      <c r="T169">
        <f>IF($A169="","",_xlfn.SUMIFS(Pilotage!$K$19:$K$32,Pilotage!$A$19:$A$32,$A169)*_xlfn.SUMIFS(Pilotage!$J$19:$J$32,Pilotage!$A$19:$A$32,$A169)*(SUM(Pilotage!$K$19:$K$32)/SUMPRODUCT(Pilotage!$K$19:$K$32,Pilotage!$J$19:$J$32)))</f>
        <v>21968</v>
      </c>
      <c r="U169">
        <f>IF($A169="","",_xlfn.SUMIFS(Pilotage!$K$19:$K$32,Pilotage!$A$19:$A$32,$A169))</f>
        <v>21968</v>
      </c>
      <c r="V169">
        <f>IF($A169="","",IF($B169="V01",Cadrage!$C$23,IF($B169="V02",Cadrage!$D$23,Cadrage!$E$23)))</f>
        <v>-0.05</v>
      </c>
      <c r="W169">
        <f>IF($A169="","",IF($B169="V01",Cadrage!$C$24,IF($B169="V02",Cadrage!$D$24,Cadrage!$E$24)))</f>
        <v>-0.05</v>
      </c>
      <c r="X169">
        <f>IF($A169="","",IF($B169="V01",Cadrage!$C$25,IF($B169="V02",Cadrage!$D$25,Cadrage!$E$25)))</f>
        <v>0.02</v>
      </c>
      <c r="Y169">
        <f>IF($A169="","",IF($B169="V01",Cadrage!$C$26,IF($B169="V02",Cadrage!$D$26,Cadrage!$E$26)))</f>
        <v>-0.01</v>
      </c>
      <c r="Z169">
        <f>IF($A169="","",IF($B169="V01",Cadrage!$C$27,IF($B169="V02",Cadrage!$D$27,Cadrage!$E$27)))</f>
        <v>-0.01</v>
      </c>
      <c r="AA169">
        <f>IF($A169="","",IF($B169="V01",Cadrage!$C$28,IF($B169="V02",Cadrage!$D$28,Cadrage!$E$28)))</f>
        <v>-0.01</v>
      </c>
      <c r="AB169">
        <f>IF($A169="","",IF($B169="V01",Cadrage!$C$42,IF($B169="V02",Cadrage!$D$42,Cadrage!$E$42)))</f>
        <v>90</v>
      </c>
      <c r="AC169">
        <f>IF($A169="","",IF($F169="MBWAY",Cadrage!$K$34,IF($F169="ISCOM",Cadrage!$K$35,IF($F169="IPAC",Cadrage!$K$36,IF($F169="PIGIER",Cadrage!$K$37,Cadrage!$K$38)))))</f>
        <v>0.9</v>
      </c>
      <c r="AD169">
        <f t="shared" si="1"/>
        <v>32.6841238847198</v>
      </c>
      <c r="AE169">
        <f t="shared" si="2"/>
        <v>32.6841238847198</v>
      </c>
      <c r="AF169">
        <f t="shared" si="3"/>
        <v>32.6841238847198</v>
      </c>
      <c r="AG169">
        <f t="shared" si="4"/>
        <v>5924.76</v>
      </c>
      <c r="AH169">
        <f t="shared" si="5"/>
        <v>196587.160976857</v>
      </c>
    </row>
    <row r="170" ht="14.25" customHeight="1">
      <c r="A170" t="str">
        <f>IF(Moteur!D170="","",Moteur!D170)</f>
        <v>PIGIER_BOR</v>
      </c>
      <c r="B170" t="str">
        <f>IF(Moteur!B170="","",Moteur!B170)</f>
        <v>V03</v>
      </c>
      <c r="C170" t="str">
        <f>IF(Moteur!F170="","",Moteur!F170)</f>
        <v>BTS_GES</v>
      </c>
      <c r="D170" t="str">
        <f>IF(Moteur!G170="","",Moteur!G170)</f>
        <v>BTS2</v>
      </c>
      <c r="E170" t="str">
        <f>IF(Moteur!H170="","",Moteur!H170)</f>
        <v>ALT</v>
      </c>
      <c r="F170" t="str">
        <f>IF(Moteur!E170="","",Moteur!E170)</f>
        <v>PIGIER</v>
      </c>
      <c r="G170">
        <f>IF($A170="","",_xlfn.SUMIFS(Socle!$H$1:$H$658,Socle!$C$1:$C$658,$A170,Socle!$D$1:$D$658,$C170,Socle!$E$1:$E$658,$D170,Socle!$F$1:$F$658,$E170,Socle!$G$1:$G$658,"2026"))</f>
        <v>0</v>
      </c>
      <c r="H170">
        <f>IF($A170="","",_xlfn.SUMIFS(Socle!$N$1:$N$658,Socle!$C$1:$C$658,$A170,Socle!$D$1:$D$658,$C170,Socle!$E$1:$E$658,$D170,Socle!$F$1:$F$658,$E170,Socle!$G$1:$G$658,"2026"))</f>
        <v>36</v>
      </c>
      <c r="I170">
        <f>IF($A170="","",_xlfn.SUMIFS(Socle!$P$1:$P$658,Socle!$C$1:$C$658,$A170,Socle!$D$1:$D$658,$C170,Socle!$E$1:$E$658,$D170,Socle!$F$1:$F$658,$E170,Socle!$G$1:$G$658,"2026"))</f>
        <v>5820</v>
      </c>
      <c r="J170">
        <f>IF($A170="","",_xlfn.SUMIFS(Socle!$W$1:$W$658,Socle!$C$1:$C$658,$A170,Socle!$D$1:$D$658,$C170,Socle!$E$1:$E$658,$D170,Socle!$F$1:$F$658,$E170,Socle!$G$1:$G$658,"2026"))</f>
        <v>0</v>
      </c>
      <c r="K170">
        <f>IF($A170="","",_xlfn.SUMIFS(Socle!$X$1:$X$658,Socle!$C$1:$C$658,$A170,Socle!$D$1:$D$658,$C170,Socle!$E$1:$E$658,$D170,Socle!$F$1:$F$658,$E170,Socle!$G$1:$G$658,"2026"))</f>
        <v>0</v>
      </c>
      <c r="L170">
        <f>IF($A170="","",_xlfn.SUMIFS(Socle!$Y$1:$Y$658,Socle!$C$1:$C$658,$A170,Socle!$D$1:$D$658,$C170,Socle!$E$1:$E$658,$D170,Socle!$F$1:$F$658,$E170,Socle!$G$1:$G$658,"2026"))</f>
        <v>0</v>
      </c>
      <c r="M170">
        <f>IF($A170="","",_xlfn.SUMIFS(Socle!$V$1:$V$658,Socle!$C$1:$C$658,$A170,Socle!$D$1:$D$658,$C170,Socle!$E$1:$E$658,$D170,Socle!$F$1:$F$658,$E170,Socle!$G$1:$G$658,"2026"))</f>
        <v>0.972222222</v>
      </c>
      <c r="N170">
        <f t="shared" si="0"/>
        <v>0</v>
      </c>
      <c r="O170">
        <f>IF($A170="","",_xlfn.SUMIFS(Campagne!$D$1:$D$141,Campagne!$C$1:$C$141,$A170))</f>
        <v>652</v>
      </c>
      <c r="P170">
        <f>IF($A170="","",_xlfn.SUMIFS(Campagne!$E$1:$E$141,Campagne!$C$1:$C$141,$A170))</f>
        <v>578</v>
      </c>
      <c r="Q170">
        <f>IF($A170="","",_xlfn.SUMIFS(Campagne!$F$1:$F$141,Campagne!$C$1:$C$141,$A170))</f>
        <v>1230</v>
      </c>
      <c r="R170">
        <f>IF($A170="","",_xlfn.SUMIFS(Campagne!$K$1:$K$141,Campagne!$C$1:$C$141,$A170))</f>
        <v>0.474596633</v>
      </c>
      <c r="S170">
        <f>IF($A170="","",_xlfn.SUMIFS(Campagne!$M$1:$M$141,Campagne!$C$1:$C$141,$A170))</f>
        <v>0.357573956</v>
      </c>
      <c r="T170">
        <f>IF($A170="","",_xlfn.SUMIFS(Pilotage!$K$19:$K$32,Pilotage!$A$19:$A$32,$A170)*_xlfn.SUMIFS(Pilotage!$J$19:$J$32,Pilotage!$A$19:$A$32,$A170)*(SUM(Pilotage!$K$19:$K$32)/SUMPRODUCT(Pilotage!$K$19:$K$32,Pilotage!$J$19:$J$32)))</f>
        <v>21968</v>
      </c>
      <c r="U170">
        <f>IF($A170="","",_xlfn.SUMIFS(Pilotage!$K$19:$K$32,Pilotage!$A$19:$A$32,$A170))</f>
        <v>21968</v>
      </c>
      <c r="V170">
        <f>IF($A170="","",IF($B170="V01",Cadrage!$C$23,IF($B170="V02",Cadrage!$D$23,Cadrage!$E$23)))</f>
        <v>-0.05</v>
      </c>
      <c r="W170">
        <f>IF($A170="","",IF($B170="V01",Cadrage!$C$24,IF($B170="V02",Cadrage!$D$24,Cadrage!$E$24)))</f>
        <v>-0.05</v>
      </c>
      <c r="X170">
        <f>IF($A170="","",IF($B170="V01",Cadrage!$C$25,IF($B170="V02",Cadrage!$D$25,Cadrage!$E$25)))</f>
        <v>0.02</v>
      </c>
      <c r="Y170">
        <f>IF($A170="","",IF($B170="V01",Cadrage!$C$26,IF($B170="V02",Cadrage!$D$26,Cadrage!$E$26)))</f>
        <v>-0.01</v>
      </c>
      <c r="Z170">
        <f>IF($A170="","",IF($B170="V01",Cadrage!$C$27,IF($B170="V02",Cadrage!$D$27,Cadrage!$E$27)))</f>
        <v>-0.01</v>
      </c>
      <c r="AA170">
        <f>IF($A170="","",IF($B170="V01",Cadrage!$C$28,IF($B170="V02",Cadrage!$D$28,Cadrage!$E$28)))</f>
        <v>-0.01</v>
      </c>
      <c r="AB170">
        <f>IF($A170="","",IF($B170="V01",Cadrage!$C$42,IF($B170="V02",Cadrage!$D$42,Cadrage!$E$42)))</f>
        <v>90</v>
      </c>
      <c r="AC170">
        <f>IF($A170="","",IF($F170="MBWAY",Cadrage!$K$34,IF($F170="ISCOM",Cadrage!$K$35,IF($F170="IPAC",Cadrage!$K$36,IF($F170="PIGIER",Cadrage!$K$37,Cadrage!$K$38)))))</f>
        <v>0.9</v>
      </c>
      <c r="AD170">
        <f t="shared" si="1"/>
        <v>0</v>
      </c>
      <c r="AE170">
        <f t="shared" si="2"/>
        <v>0</v>
      </c>
      <c r="AF170">
        <f t="shared" si="3"/>
        <v>34.639999992</v>
      </c>
      <c r="AG170">
        <f t="shared" si="4"/>
        <v>5924.76</v>
      </c>
      <c r="AH170">
        <f t="shared" si="5"/>
        <v>205233.686352602</v>
      </c>
    </row>
    <row r="171" ht="14.25" customHeight="1">
      <c r="A171" t="str">
        <f>IF(Moteur!D171="","",Moteur!D171)</f>
        <v>PIGIER_BOR</v>
      </c>
      <c r="B171" t="str">
        <f>IF(Moteur!B171="","",Moteur!B171)</f>
        <v>V03</v>
      </c>
      <c r="C171" t="str">
        <f>IF(Moteur!F171="","",Moteur!F171)</f>
        <v>BAC_RH</v>
      </c>
      <c r="D171" t="str">
        <f>IF(Moteur!G171="","",Moteur!G171)</f>
        <v>B1</v>
      </c>
      <c r="E171" t="str">
        <f>IF(Moteur!H171="","",Moteur!H171)</f>
        <v>ALT</v>
      </c>
      <c r="F171" t="str">
        <f>IF(Moteur!E171="","",Moteur!E171)</f>
        <v>PIGIER</v>
      </c>
      <c r="G171">
        <f>IF($A171="","",_xlfn.SUMIFS(Socle!$H$1:$H$658,Socle!$C$1:$C$658,$A171,Socle!$D$1:$D$658,$C171,Socle!$E$1:$E$658,$D171,Socle!$F$1:$F$658,$E171,Socle!$G$1:$G$658,"2026"))</f>
        <v>615</v>
      </c>
      <c r="H171">
        <f>IF($A171="","",_xlfn.SUMIFS(Socle!$N$1:$N$658,Socle!$C$1:$C$658,$A171,Socle!$D$1:$D$658,$C171,Socle!$E$1:$E$658,$D171,Socle!$F$1:$F$658,$E171,Socle!$G$1:$G$658,"2026"))</f>
        <v>0</v>
      </c>
      <c r="I171">
        <f>IF($A171="","",_xlfn.SUMIFS(Socle!$P$1:$P$658,Socle!$C$1:$C$658,$A171,Socle!$D$1:$D$658,$C171,Socle!$E$1:$E$658,$D171,Socle!$F$1:$F$658,$E171,Socle!$G$1:$G$658,"2026"))</f>
        <v>6790</v>
      </c>
      <c r="J171">
        <f>IF($A171="","",_xlfn.SUMIFS(Socle!$W$1:$W$658,Socle!$C$1:$C$658,$A171,Socle!$D$1:$D$658,$C171,Socle!$E$1:$E$658,$D171,Socle!$F$1:$F$658,$E171,Socle!$G$1:$G$658,"2026"))</f>
        <v>0.2</v>
      </c>
      <c r="K171">
        <f>IF($A171="","",_xlfn.SUMIFS(Socle!$X$1:$X$658,Socle!$C$1:$C$658,$A171,Socle!$D$1:$D$658,$C171,Socle!$E$1:$E$658,$D171,Socle!$F$1:$F$658,$E171,Socle!$G$1:$G$658,"2026"))</f>
        <v>0.699186992</v>
      </c>
      <c r="L171">
        <f>IF($A171="","",_xlfn.SUMIFS(Socle!$Y$1:$Y$658,Socle!$C$1:$C$658,$A171,Socle!$D$1:$D$658,$C171,Socle!$E$1:$E$658,$D171,Socle!$F$1:$F$658,$E171,Socle!$G$1:$G$658,"2026"))</f>
        <v>0.418604651</v>
      </c>
      <c r="M171">
        <f>IF($A171="","",_xlfn.SUMIFS(Socle!$V$1:$V$658,Socle!$C$1:$C$658,$A171,Socle!$D$1:$D$658,$C171,Socle!$E$1:$E$658,$D171,Socle!$F$1:$F$658,$E171,Socle!$G$1:$G$658,"2026"))</f>
        <v>0</v>
      </c>
      <c r="N171">
        <f t="shared" si="0"/>
        <v>1</v>
      </c>
      <c r="O171">
        <f>IF($A171="","",_xlfn.SUMIFS(Campagne!$D$1:$D$141,Campagne!$C$1:$C$141,$A171))</f>
        <v>652</v>
      </c>
      <c r="P171">
        <f>IF($A171="","",_xlfn.SUMIFS(Campagne!$E$1:$E$141,Campagne!$C$1:$C$141,$A171))</f>
        <v>578</v>
      </c>
      <c r="Q171">
        <f>IF($A171="","",_xlfn.SUMIFS(Campagne!$F$1:$F$141,Campagne!$C$1:$C$141,$A171))</f>
        <v>1230</v>
      </c>
      <c r="R171">
        <f>IF($A171="","",_xlfn.SUMIFS(Campagne!$K$1:$K$141,Campagne!$C$1:$C$141,$A171))</f>
        <v>0.474596633</v>
      </c>
      <c r="S171">
        <f>IF($A171="","",_xlfn.SUMIFS(Campagne!$M$1:$M$141,Campagne!$C$1:$C$141,$A171))</f>
        <v>0.357573956</v>
      </c>
      <c r="T171">
        <f>IF($A171="","",_xlfn.SUMIFS(Pilotage!$K$19:$K$32,Pilotage!$A$19:$A$32,$A171)*_xlfn.SUMIFS(Pilotage!$J$19:$J$32,Pilotage!$A$19:$A$32,$A171)*(SUM(Pilotage!$K$19:$K$32)/SUMPRODUCT(Pilotage!$K$19:$K$32,Pilotage!$J$19:$J$32)))</f>
        <v>21968</v>
      </c>
      <c r="U171">
        <f>IF($A171="","",_xlfn.SUMIFS(Pilotage!$K$19:$K$32,Pilotage!$A$19:$A$32,$A171))</f>
        <v>21968</v>
      </c>
      <c r="V171">
        <f>IF($A171="","",IF($B171="V01",Cadrage!$C$23,IF($B171="V02",Cadrage!$D$23,Cadrage!$E$23)))</f>
        <v>-0.05</v>
      </c>
      <c r="W171">
        <f>IF($A171="","",IF($B171="V01",Cadrage!$C$24,IF($B171="V02",Cadrage!$D$24,Cadrage!$E$24)))</f>
        <v>-0.05</v>
      </c>
      <c r="X171">
        <f>IF($A171="","",IF($B171="V01",Cadrage!$C$25,IF($B171="V02",Cadrage!$D$25,Cadrage!$E$25)))</f>
        <v>0.02</v>
      </c>
      <c r="Y171">
        <f>IF($A171="","",IF($B171="V01",Cadrage!$C$26,IF($B171="V02",Cadrage!$D$26,Cadrage!$E$26)))</f>
        <v>-0.01</v>
      </c>
      <c r="Z171">
        <f>IF($A171="","",IF($B171="V01",Cadrage!$C$27,IF($B171="V02",Cadrage!$D$27,Cadrage!$E$27)))</f>
        <v>-0.01</v>
      </c>
      <c r="AA171">
        <f>IF($A171="","",IF($B171="V01",Cadrage!$C$28,IF($B171="V02",Cadrage!$D$28,Cadrage!$E$28)))</f>
        <v>-0.01</v>
      </c>
      <c r="AB171">
        <f>IF($A171="","",IF($B171="V01",Cadrage!$C$42,IF($B171="V02",Cadrage!$D$42,Cadrage!$E$42)))</f>
        <v>90</v>
      </c>
      <c r="AC171">
        <f>IF($A171="","",IF($F171="MBWAY",Cadrage!$K$34,IF($F171="ISCOM",Cadrage!$K$35,IF($F171="IPAC",Cadrage!$K$36,IF($F171="PIGIER",Cadrage!$K$37,Cadrage!$K$38)))))</f>
        <v>0.9</v>
      </c>
      <c r="AD171">
        <f t="shared" si="1"/>
        <v>32.6841238847198</v>
      </c>
      <c r="AE171">
        <f t="shared" si="2"/>
        <v>32.6841238847198</v>
      </c>
      <c r="AF171">
        <f t="shared" si="3"/>
        <v>32.6841238847198</v>
      </c>
      <c r="AG171">
        <f t="shared" si="4"/>
        <v>6912.22</v>
      </c>
      <c r="AH171">
        <f t="shared" si="5"/>
        <v>228861.425948063</v>
      </c>
    </row>
    <row r="172" ht="14.25" customHeight="1">
      <c r="A172" t="str">
        <f>IF(Moteur!D172="","",Moteur!D172)</f>
        <v>TUNON_PAR</v>
      </c>
      <c r="B172" t="str">
        <f>IF(Moteur!B172="","",Moteur!B172)</f>
        <v>V03</v>
      </c>
      <c r="C172" t="str">
        <f>IF(Moteur!F172="","",Moteur!F172)</f>
        <v>BAC_TOU</v>
      </c>
      <c r="D172" t="str">
        <f>IF(Moteur!G172="","",Moteur!G172)</f>
        <v>B1</v>
      </c>
      <c r="E172" t="str">
        <f>IF(Moteur!H172="","",Moteur!H172)</f>
        <v>ALT</v>
      </c>
      <c r="F172" t="str">
        <f>IF(Moteur!E172="","",Moteur!E172)</f>
        <v>TUNON</v>
      </c>
      <c r="G172">
        <f>IF($A172="","",_xlfn.SUMIFS(Socle!$H$1:$H$658,Socle!$C$1:$C$658,$A172,Socle!$D$1:$D$658,$C172,Socle!$E$1:$E$658,$D172,Socle!$F$1:$F$658,$E172,Socle!$G$1:$G$658,"2026"))</f>
        <v>800</v>
      </c>
      <c r="H172">
        <f>IF($A172="","",_xlfn.SUMIFS(Socle!$N$1:$N$658,Socle!$C$1:$C$658,$A172,Socle!$D$1:$D$658,$C172,Socle!$E$1:$E$658,$D172,Socle!$F$1:$F$658,$E172,Socle!$G$1:$G$658,"2026"))</f>
        <v>0</v>
      </c>
      <c r="I172">
        <f>IF($A172="","",_xlfn.SUMIFS(Socle!$P$1:$P$658,Socle!$C$1:$C$658,$A172,Socle!$D$1:$D$658,$C172,Socle!$E$1:$E$658,$D172,Socle!$F$1:$F$658,$E172,Socle!$G$1:$G$658,"2026"))</f>
        <v>7840</v>
      </c>
      <c r="J172">
        <f>IF($A172="","",_xlfn.SUMIFS(Socle!$W$1:$W$658,Socle!$C$1:$C$658,$A172,Socle!$D$1:$D$658,$C172,Socle!$E$1:$E$658,$D172,Socle!$F$1:$F$658,$E172,Socle!$G$1:$G$658,"2026"))</f>
        <v>0.2</v>
      </c>
      <c r="K172">
        <f>IF($A172="","",_xlfn.SUMIFS(Socle!$X$1:$X$658,Socle!$C$1:$C$658,$A172,Socle!$D$1:$D$658,$C172,Socle!$E$1:$E$658,$D172,Socle!$F$1:$F$658,$E172,Socle!$G$1:$G$658,"2026"))</f>
        <v>0.7</v>
      </c>
      <c r="L172">
        <f>IF($A172="","",_xlfn.SUMIFS(Socle!$Y$1:$Y$658,Socle!$C$1:$C$658,$A172,Socle!$D$1:$D$658,$C172,Socle!$E$1:$E$658,$D172,Socle!$F$1:$F$658,$E172,Socle!$G$1:$G$658,"2026"))</f>
        <v>0.419642857</v>
      </c>
      <c r="M172">
        <f>IF($A172="","",_xlfn.SUMIFS(Socle!$V$1:$V$658,Socle!$C$1:$C$658,$A172,Socle!$D$1:$D$658,$C172,Socle!$E$1:$E$658,$D172,Socle!$F$1:$F$658,$E172,Socle!$G$1:$G$658,"2026"))</f>
        <v>0</v>
      </c>
      <c r="N172">
        <f t="shared" si="0"/>
        <v>1</v>
      </c>
      <c r="O172">
        <f>IF($A172="","",_xlfn.SUMIFS(Campagne!$D$1:$D$141,Campagne!$C$1:$C$141,$A172))</f>
        <v>240</v>
      </c>
      <c r="P172">
        <f>IF($A172="","",_xlfn.SUMIFS(Campagne!$E$1:$E$141,Campagne!$C$1:$C$141,$A172))</f>
        <v>560</v>
      </c>
      <c r="Q172">
        <f>IF($A172="","",_xlfn.SUMIFS(Campagne!$F$1:$F$141,Campagne!$C$1:$C$141,$A172))</f>
        <v>800</v>
      </c>
      <c r="R172">
        <f>IF($A172="","",_xlfn.SUMIFS(Campagne!$K$1:$K$141,Campagne!$C$1:$C$141,$A172))</f>
        <v>0.41914907</v>
      </c>
      <c r="S172">
        <f>IF($A172="","",_xlfn.SUMIFS(Campagne!$M$1:$M$141,Campagne!$C$1:$C$141,$A172))</f>
        <v>0.27988845</v>
      </c>
      <c r="T172">
        <f>IF($A172="","",_xlfn.SUMIFS(Pilotage!$K$19:$K$32,Pilotage!$A$19:$A$32,$A172)*_xlfn.SUMIFS(Pilotage!$J$19:$J$32,Pilotage!$A$19:$A$32,$A172)*(SUM(Pilotage!$K$19:$K$32)/SUMPRODUCT(Pilotage!$K$19:$K$32,Pilotage!$J$19:$J$32)))</f>
        <v>30240</v>
      </c>
      <c r="U172">
        <f>IF($A172="","",_xlfn.SUMIFS(Pilotage!$K$19:$K$32,Pilotage!$A$19:$A$32,$A172))</f>
        <v>30240</v>
      </c>
      <c r="V172">
        <f>IF($A172="","",IF($B172="V01",Cadrage!$C$23,IF($B172="V02",Cadrage!$D$23,Cadrage!$E$23)))</f>
        <v>-0.05</v>
      </c>
      <c r="W172">
        <f>IF($A172="","",IF($B172="V01",Cadrage!$C$24,IF($B172="V02",Cadrage!$D$24,Cadrage!$E$24)))</f>
        <v>-0.05</v>
      </c>
      <c r="X172">
        <f>IF($A172="","",IF($B172="V01",Cadrage!$C$25,IF($B172="V02",Cadrage!$D$25,Cadrage!$E$25)))</f>
        <v>0.02</v>
      </c>
      <c r="Y172">
        <f>IF($A172="","",IF($B172="V01",Cadrage!$C$26,IF($B172="V02",Cadrage!$D$26,Cadrage!$E$26)))</f>
        <v>-0.01</v>
      </c>
      <c r="Z172">
        <f>IF($A172="","",IF($B172="V01",Cadrage!$C$27,IF($B172="V02",Cadrage!$D$27,Cadrage!$E$27)))</f>
        <v>-0.01</v>
      </c>
      <c r="AA172">
        <f>IF($A172="","",IF($B172="V01",Cadrage!$C$28,IF($B172="V02",Cadrage!$D$28,Cadrage!$E$28)))</f>
        <v>-0.01</v>
      </c>
      <c r="AB172">
        <f>IF($A172="","",IF($B172="V01",Cadrage!$C$42,IF($B172="V02",Cadrage!$D$42,Cadrage!$E$42)))</f>
        <v>90</v>
      </c>
      <c r="AC172">
        <f>IF($A172="","",IF($F172="MBWAY",Cadrage!$K$34,IF($F172="ISCOM",Cadrage!$K$35,IF($F172="IPAC",Cadrage!$K$36,IF($F172="PIGIER",Cadrage!$K$37,Cadrage!$K$38)))))</f>
        <v>1.05</v>
      </c>
      <c r="AD172">
        <f t="shared" si="1"/>
        <v>42.7506655779487</v>
      </c>
      <c r="AE172">
        <f t="shared" si="2"/>
        <v>42.7506655779487</v>
      </c>
      <c r="AF172">
        <f t="shared" si="3"/>
        <v>42.7506655779487</v>
      </c>
      <c r="AG172">
        <f t="shared" si="4"/>
        <v>8004.64</v>
      </c>
      <c r="AH172">
        <f t="shared" si="5"/>
        <v>346051.247613887</v>
      </c>
    </row>
    <row r="173" ht="14.25" customHeight="1">
      <c r="A173" t="str">
        <f>IF(Moteur!D173="","",Moteur!D173)</f>
        <v>TUNON_PAR</v>
      </c>
      <c r="B173" t="str">
        <f>IF(Moteur!B173="","",Moteur!B173)</f>
        <v>V03</v>
      </c>
      <c r="C173" t="str">
        <f>IF(Moteur!F173="","",Moteur!F173)</f>
        <v>BAC_TOU</v>
      </c>
      <c r="D173" t="str">
        <f>IF(Moteur!G173="","",Moteur!G173)</f>
        <v>B2</v>
      </c>
      <c r="E173" t="str">
        <f>IF(Moteur!H173="","",Moteur!H173)</f>
        <v>ALT</v>
      </c>
      <c r="F173" t="str">
        <f>IF(Moteur!E173="","",Moteur!E173)</f>
        <v>TUNON</v>
      </c>
      <c r="G173">
        <f>IF($A173="","",_xlfn.SUMIFS(Socle!$H$1:$H$658,Socle!$C$1:$C$658,$A173,Socle!$D$1:$D$658,$C173,Socle!$E$1:$E$658,$D173,Socle!$F$1:$F$658,$E173,Socle!$G$1:$G$658,"2026"))</f>
        <v>0</v>
      </c>
      <c r="H173">
        <f>IF($A173="","",_xlfn.SUMIFS(Socle!$N$1:$N$658,Socle!$C$1:$C$658,$A173,Socle!$D$1:$D$658,$C173,Socle!$E$1:$E$658,$D173,Socle!$F$1:$F$658,$E173,Socle!$G$1:$G$658,"2026"))</f>
        <v>47</v>
      </c>
      <c r="I173">
        <f>IF($A173="","",_xlfn.SUMIFS(Socle!$P$1:$P$658,Socle!$C$1:$C$658,$A173,Socle!$D$1:$D$658,$C173,Socle!$E$1:$E$658,$D173,Socle!$F$1:$F$658,$E173,Socle!$G$1:$G$658,"2026"))</f>
        <v>7840</v>
      </c>
      <c r="J173">
        <f>IF($A173="","",_xlfn.SUMIFS(Socle!$W$1:$W$658,Socle!$C$1:$C$658,$A173,Socle!$D$1:$D$658,$C173,Socle!$E$1:$E$658,$D173,Socle!$F$1:$F$658,$E173,Socle!$G$1:$G$658,"2026"))</f>
        <v>0</v>
      </c>
      <c r="K173">
        <f>IF($A173="","",_xlfn.SUMIFS(Socle!$X$1:$X$658,Socle!$C$1:$C$658,$A173,Socle!$D$1:$D$658,$C173,Socle!$E$1:$E$658,$D173,Socle!$F$1:$F$658,$E173,Socle!$G$1:$G$658,"2026"))</f>
        <v>0</v>
      </c>
      <c r="L173">
        <f>IF($A173="","",_xlfn.SUMIFS(Socle!$Y$1:$Y$658,Socle!$C$1:$C$658,$A173,Socle!$D$1:$D$658,$C173,Socle!$E$1:$E$658,$D173,Socle!$F$1:$F$658,$E173,Socle!$G$1:$G$658,"2026"))</f>
        <v>0</v>
      </c>
      <c r="M173">
        <f>IF($A173="","",_xlfn.SUMIFS(Socle!$V$1:$V$658,Socle!$C$1:$C$658,$A173,Socle!$D$1:$D$658,$C173,Socle!$E$1:$E$658,$D173,Socle!$F$1:$F$658,$E173,Socle!$G$1:$G$658,"2026"))</f>
        <v>0.978723404</v>
      </c>
      <c r="N173">
        <f t="shared" si="0"/>
        <v>0</v>
      </c>
      <c r="O173">
        <f>IF($A173="","",_xlfn.SUMIFS(Campagne!$D$1:$D$141,Campagne!$C$1:$C$141,$A173))</f>
        <v>240</v>
      </c>
      <c r="P173">
        <f>IF($A173="","",_xlfn.SUMIFS(Campagne!$E$1:$E$141,Campagne!$C$1:$C$141,$A173))</f>
        <v>560</v>
      </c>
      <c r="Q173">
        <f>IF($A173="","",_xlfn.SUMIFS(Campagne!$F$1:$F$141,Campagne!$C$1:$C$141,$A173))</f>
        <v>800</v>
      </c>
      <c r="R173">
        <f>IF($A173="","",_xlfn.SUMIFS(Campagne!$K$1:$K$141,Campagne!$C$1:$C$141,$A173))</f>
        <v>0.41914907</v>
      </c>
      <c r="S173">
        <f>IF($A173="","",_xlfn.SUMIFS(Campagne!$M$1:$M$141,Campagne!$C$1:$C$141,$A173))</f>
        <v>0.27988845</v>
      </c>
      <c r="T173">
        <f>IF($A173="","",_xlfn.SUMIFS(Pilotage!$K$19:$K$32,Pilotage!$A$19:$A$32,$A173)*_xlfn.SUMIFS(Pilotage!$J$19:$J$32,Pilotage!$A$19:$A$32,$A173)*(SUM(Pilotage!$K$19:$K$32)/SUMPRODUCT(Pilotage!$K$19:$K$32,Pilotage!$J$19:$J$32)))</f>
        <v>30240</v>
      </c>
      <c r="U173">
        <f>IF($A173="","",_xlfn.SUMIFS(Pilotage!$K$19:$K$32,Pilotage!$A$19:$A$32,$A173))</f>
        <v>30240</v>
      </c>
      <c r="V173">
        <f>IF($A173="","",IF($B173="V01",Cadrage!$C$23,IF($B173="V02",Cadrage!$D$23,Cadrage!$E$23)))</f>
        <v>-0.05</v>
      </c>
      <c r="W173">
        <f>IF($A173="","",IF($B173="V01",Cadrage!$C$24,IF($B173="V02",Cadrage!$D$24,Cadrage!$E$24)))</f>
        <v>-0.05</v>
      </c>
      <c r="X173">
        <f>IF($A173="","",IF($B173="V01",Cadrage!$C$25,IF($B173="V02",Cadrage!$D$25,Cadrage!$E$25)))</f>
        <v>0.02</v>
      </c>
      <c r="Y173">
        <f>IF($A173="","",IF($B173="V01",Cadrage!$C$26,IF($B173="V02",Cadrage!$D$26,Cadrage!$E$26)))</f>
        <v>-0.01</v>
      </c>
      <c r="Z173">
        <f>IF($A173="","",IF($B173="V01",Cadrage!$C$27,IF($B173="V02",Cadrage!$D$27,Cadrage!$E$27)))</f>
        <v>-0.01</v>
      </c>
      <c r="AA173">
        <f>IF($A173="","",IF($B173="V01",Cadrage!$C$28,IF($B173="V02",Cadrage!$D$28,Cadrage!$E$28)))</f>
        <v>-0.01</v>
      </c>
      <c r="AB173">
        <f>IF($A173="","",IF($B173="V01",Cadrage!$C$42,IF($B173="V02",Cadrage!$D$42,Cadrage!$E$42)))</f>
        <v>90</v>
      </c>
      <c r="AC173">
        <f>IF($A173="","",IF($F173="MBWAY",Cadrage!$K$34,IF($F173="ISCOM",Cadrage!$K$35,IF($F173="IPAC",Cadrage!$K$36,IF($F173="PIGIER",Cadrage!$K$37,Cadrage!$K$38)))))</f>
        <v>1.05</v>
      </c>
      <c r="AD173">
        <f t="shared" si="1"/>
        <v>0</v>
      </c>
      <c r="AE173">
        <f t="shared" si="2"/>
        <v>0</v>
      </c>
      <c r="AF173">
        <f t="shared" si="3"/>
        <v>45.529999988</v>
      </c>
      <c r="AG173">
        <f t="shared" si="4"/>
        <v>8004.64</v>
      </c>
      <c r="AH173">
        <f t="shared" si="5"/>
        <v>364451.259103944</v>
      </c>
    </row>
    <row r="174" ht="14.25" customHeight="1">
      <c r="A174" t="str">
        <f>IF(Moteur!D174="","",Moteur!D174)</f>
        <v>TUNON_PAR</v>
      </c>
      <c r="B174" t="str">
        <f>IF(Moteur!B174="","",Moteur!B174)</f>
        <v>V03</v>
      </c>
      <c r="C174" t="str">
        <f>IF(Moteur!F174="","",Moteur!F174)</f>
        <v>BAC_TOU</v>
      </c>
      <c r="D174" t="str">
        <f>IF(Moteur!G174="","",Moteur!G174)</f>
        <v>B3</v>
      </c>
      <c r="E174" t="str">
        <f>IF(Moteur!H174="","",Moteur!H174)</f>
        <v>ALT</v>
      </c>
      <c r="F174" t="str">
        <f>IF(Moteur!E174="","",Moteur!E174)</f>
        <v>TUNON</v>
      </c>
      <c r="G174">
        <f>IF($A174="","",_xlfn.SUMIFS(Socle!$H$1:$H$658,Socle!$C$1:$C$658,$A174,Socle!$D$1:$D$658,$C174,Socle!$E$1:$E$658,$D174,Socle!$F$1:$F$658,$E174,Socle!$G$1:$G$658,"2026"))</f>
        <v>0</v>
      </c>
      <c r="H174">
        <f>IF($A174="","",_xlfn.SUMIFS(Socle!$N$1:$N$658,Socle!$C$1:$C$658,$A174,Socle!$D$1:$D$658,$C174,Socle!$E$1:$E$658,$D174,Socle!$F$1:$F$658,$E174,Socle!$G$1:$G$658,"2026"))</f>
        <v>46</v>
      </c>
      <c r="I174">
        <f>IF($A174="","",_xlfn.SUMIFS(Socle!$P$1:$P$658,Socle!$C$1:$C$658,$A174,Socle!$D$1:$D$658,$C174,Socle!$E$1:$E$658,$D174,Socle!$F$1:$F$658,$E174,Socle!$G$1:$G$658,"2026"))</f>
        <v>7840</v>
      </c>
      <c r="J174">
        <f>IF($A174="","",_xlfn.SUMIFS(Socle!$W$1:$W$658,Socle!$C$1:$C$658,$A174,Socle!$D$1:$D$658,$C174,Socle!$E$1:$E$658,$D174,Socle!$F$1:$F$658,$E174,Socle!$G$1:$G$658,"2026"))</f>
        <v>0</v>
      </c>
      <c r="K174">
        <f>IF($A174="","",_xlfn.SUMIFS(Socle!$X$1:$X$658,Socle!$C$1:$C$658,$A174,Socle!$D$1:$D$658,$C174,Socle!$E$1:$E$658,$D174,Socle!$F$1:$F$658,$E174,Socle!$G$1:$G$658,"2026"))</f>
        <v>0</v>
      </c>
      <c r="L174">
        <f>IF($A174="","",_xlfn.SUMIFS(Socle!$Y$1:$Y$658,Socle!$C$1:$C$658,$A174,Socle!$D$1:$D$658,$C174,Socle!$E$1:$E$658,$D174,Socle!$F$1:$F$658,$E174,Socle!$G$1:$G$658,"2026"))</f>
        <v>0</v>
      </c>
      <c r="M174">
        <f>IF($A174="","",_xlfn.SUMIFS(Socle!$V$1:$V$658,Socle!$C$1:$C$658,$A174,Socle!$D$1:$D$658,$C174,Socle!$E$1:$E$658,$D174,Socle!$F$1:$F$658,$E174,Socle!$G$1:$G$658,"2026"))</f>
        <v>0.97826087</v>
      </c>
      <c r="N174">
        <f t="shared" si="0"/>
        <v>0</v>
      </c>
      <c r="O174">
        <f>IF($A174="","",_xlfn.SUMIFS(Campagne!$D$1:$D$141,Campagne!$C$1:$C$141,$A174))</f>
        <v>240</v>
      </c>
      <c r="P174">
        <f>IF($A174="","",_xlfn.SUMIFS(Campagne!$E$1:$E$141,Campagne!$C$1:$C$141,$A174))</f>
        <v>560</v>
      </c>
      <c r="Q174">
        <f>IF($A174="","",_xlfn.SUMIFS(Campagne!$F$1:$F$141,Campagne!$C$1:$C$141,$A174))</f>
        <v>800</v>
      </c>
      <c r="R174">
        <f>IF($A174="","",_xlfn.SUMIFS(Campagne!$K$1:$K$141,Campagne!$C$1:$C$141,$A174))</f>
        <v>0.41914907</v>
      </c>
      <c r="S174">
        <f>IF($A174="","",_xlfn.SUMIFS(Campagne!$M$1:$M$141,Campagne!$C$1:$C$141,$A174))</f>
        <v>0.27988845</v>
      </c>
      <c r="T174">
        <f>IF($A174="","",_xlfn.SUMIFS(Pilotage!$K$19:$K$32,Pilotage!$A$19:$A$32,$A174)*_xlfn.SUMIFS(Pilotage!$J$19:$J$32,Pilotage!$A$19:$A$32,$A174)*(SUM(Pilotage!$K$19:$K$32)/SUMPRODUCT(Pilotage!$K$19:$K$32,Pilotage!$J$19:$J$32)))</f>
        <v>30240</v>
      </c>
      <c r="U174">
        <f>IF($A174="","",_xlfn.SUMIFS(Pilotage!$K$19:$K$32,Pilotage!$A$19:$A$32,$A174))</f>
        <v>30240</v>
      </c>
      <c r="V174">
        <f>IF($A174="","",IF($B174="V01",Cadrage!$C$23,IF($B174="V02",Cadrage!$D$23,Cadrage!$E$23)))</f>
        <v>-0.05</v>
      </c>
      <c r="W174">
        <f>IF($A174="","",IF($B174="V01",Cadrage!$C$24,IF($B174="V02",Cadrage!$D$24,Cadrage!$E$24)))</f>
        <v>-0.05</v>
      </c>
      <c r="X174">
        <f>IF($A174="","",IF($B174="V01",Cadrage!$C$25,IF($B174="V02",Cadrage!$D$25,Cadrage!$E$25)))</f>
        <v>0.02</v>
      </c>
      <c r="Y174">
        <f>IF($A174="","",IF($B174="V01",Cadrage!$C$26,IF($B174="V02",Cadrage!$D$26,Cadrage!$E$26)))</f>
        <v>-0.01</v>
      </c>
      <c r="Z174">
        <f>IF($A174="","",IF($B174="V01",Cadrage!$C$27,IF($B174="V02",Cadrage!$D$27,Cadrage!$E$27)))</f>
        <v>-0.01</v>
      </c>
      <c r="AA174">
        <f>IF($A174="","",IF($B174="V01",Cadrage!$C$28,IF($B174="V02",Cadrage!$D$28,Cadrage!$E$28)))</f>
        <v>-0.01</v>
      </c>
      <c r="AB174">
        <f>IF($A174="","",IF($B174="V01",Cadrage!$C$42,IF($B174="V02",Cadrage!$D$42,Cadrage!$E$42)))</f>
        <v>90</v>
      </c>
      <c r="AC174">
        <f>IF($A174="","",IF($F174="MBWAY",Cadrage!$K$34,IF($F174="ISCOM",Cadrage!$K$35,IF($F174="IPAC",Cadrage!$K$36,IF($F174="PIGIER",Cadrage!$K$37,Cadrage!$K$38)))))</f>
        <v>1.05</v>
      </c>
      <c r="AD174">
        <f t="shared" si="1"/>
        <v>0</v>
      </c>
      <c r="AE174">
        <f t="shared" si="2"/>
        <v>0</v>
      </c>
      <c r="AF174">
        <f t="shared" si="3"/>
        <v>44.54000002</v>
      </c>
      <c r="AG174">
        <f t="shared" si="4"/>
        <v>8004.64</v>
      </c>
      <c r="AH174">
        <f t="shared" si="5"/>
        <v>356526.665760093</v>
      </c>
    </row>
    <row r="175" ht="14.25" customHeight="1">
      <c r="A175" t="str">
        <f>IF(Moteur!D175="","",Moteur!D175)</f>
        <v>TUNON_LYO</v>
      </c>
      <c r="B175" t="str">
        <f>IF(Moteur!B175="","",Moteur!B175)</f>
        <v>V03</v>
      </c>
      <c r="C175" t="str">
        <f>IF(Moteur!F175="","",Moteur!F175)</f>
        <v>BAC_TOU</v>
      </c>
      <c r="D175" t="str">
        <f>IF(Moteur!G175="","",Moteur!G175)</f>
        <v>B1</v>
      </c>
      <c r="E175" t="str">
        <f>IF(Moteur!H175="","",Moteur!H175)</f>
        <v>ALT</v>
      </c>
      <c r="F175" t="str">
        <f>IF(Moteur!E175="","",Moteur!E175)</f>
        <v>TUNON</v>
      </c>
      <c r="G175">
        <f>IF($A175="","",_xlfn.SUMIFS(Socle!$H$1:$H$658,Socle!$C$1:$C$658,$A175,Socle!$D$1:$D$658,$C175,Socle!$E$1:$E$658,$D175,Socle!$F$1:$F$658,$E175,Socle!$G$1:$G$658,"2026"))</f>
        <v>680</v>
      </c>
      <c r="H175">
        <f>IF($A175="","",_xlfn.SUMIFS(Socle!$N$1:$N$658,Socle!$C$1:$C$658,$A175,Socle!$D$1:$D$658,$C175,Socle!$E$1:$E$658,$D175,Socle!$F$1:$F$658,$E175,Socle!$G$1:$G$658,"2026"))</f>
        <v>0</v>
      </c>
      <c r="I175">
        <f>IF($A175="","",_xlfn.SUMIFS(Socle!$P$1:$P$658,Socle!$C$1:$C$658,$A175,Socle!$D$1:$D$658,$C175,Socle!$E$1:$E$658,$D175,Socle!$F$1:$F$658,$E175,Socle!$G$1:$G$658,"2026"))</f>
        <v>7350</v>
      </c>
      <c r="J175">
        <f>IF($A175="","",_xlfn.SUMIFS(Socle!$W$1:$W$658,Socle!$C$1:$C$658,$A175,Socle!$D$1:$D$658,$C175,Socle!$E$1:$E$658,$D175,Socle!$F$1:$F$658,$E175,Socle!$G$1:$G$658,"2026"))</f>
        <v>0.2</v>
      </c>
      <c r="K175">
        <f>IF($A175="","",_xlfn.SUMIFS(Socle!$X$1:$X$658,Socle!$C$1:$C$658,$A175,Socle!$D$1:$D$658,$C175,Socle!$E$1:$E$658,$D175,Socle!$F$1:$F$658,$E175,Socle!$G$1:$G$658,"2026"))</f>
        <v>0.698529412</v>
      </c>
      <c r="L175">
        <f>IF($A175="","",_xlfn.SUMIFS(Socle!$Y$1:$Y$658,Socle!$C$1:$C$658,$A175,Socle!$D$1:$D$658,$C175,Socle!$E$1:$E$658,$D175,Socle!$F$1:$F$658,$E175,Socle!$G$1:$G$658,"2026"))</f>
        <v>0.421052632</v>
      </c>
      <c r="M175">
        <f>IF($A175="","",_xlfn.SUMIFS(Socle!$V$1:$V$658,Socle!$C$1:$C$658,$A175,Socle!$D$1:$D$658,$C175,Socle!$E$1:$E$658,$D175,Socle!$F$1:$F$658,$E175,Socle!$G$1:$G$658,"2026"))</f>
        <v>0</v>
      </c>
      <c r="N175">
        <f t="shared" si="0"/>
        <v>1</v>
      </c>
      <c r="O175">
        <f>IF($A175="","",_xlfn.SUMIFS(Campagne!$D$1:$D$141,Campagne!$C$1:$C$141,$A175))</f>
        <v>252</v>
      </c>
      <c r="P175">
        <f>IF($A175="","",_xlfn.SUMIFS(Campagne!$E$1:$E$141,Campagne!$C$1:$C$141,$A175))</f>
        <v>428</v>
      </c>
      <c r="Q175">
        <f>IF($A175="","",_xlfn.SUMIFS(Campagne!$F$1:$F$141,Campagne!$C$1:$C$141,$A175))</f>
        <v>680</v>
      </c>
      <c r="R175">
        <f>IF($A175="","",_xlfn.SUMIFS(Campagne!$K$1:$K$141,Campagne!$C$1:$C$141,$A175))</f>
        <v>0.460843562</v>
      </c>
      <c r="S175">
        <f>IF($A175="","",_xlfn.SUMIFS(Campagne!$M$1:$M$141,Campagne!$C$1:$C$141,$A175))</f>
        <v>0.317986245</v>
      </c>
      <c r="T175">
        <f>IF($A175="","",_xlfn.SUMIFS(Pilotage!$K$19:$K$32,Pilotage!$A$19:$A$32,$A175)*_xlfn.SUMIFS(Pilotage!$J$19:$J$32,Pilotage!$A$19:$A$32,$A175)*(SUM(Pilotage!$K$19:$K$32)/SUMPRODUCT(Pilotage!$K$19:$K$32,Pilotage!$J$19:$J$32)))</f>
        <v>18850</v>
      </c>
      <c r="U175">
        <f>IF($A175="","",_xlfn.SUMIFS(Pilotage!$K$19:$K$32,Pilotage!$A$19:$A$32,$A175))</f>
        <v>18850</v>
      </c>
      <c r="V175">
        <f>IF($A175="","",IF($B175="V01",Cadrage!$C$23,IF($B175="V02",Cadrage!$D$23,Cadrage!$E$23)))</f>
        <v>-0.05</v>
      </c>
      <c r="W175">
        <f>IF($A175="","",IF($B175="V01",Cadrage!$C$24,IF($B175="V02",Cadrage!$D$24,Cadrage!$E$24)))</f>
        <v>-0.05</v>
      </c>
      <c r="X175">
        <f>IF($A175="","",IF($B175="V01",Cadrage!$C$25,IF($B175="V02",Cadrage!$D$25,Cadrage!$E$25)))</f>
        <v>0.02</v>
      </c>
      <c r="Y175">
        <f>IF($A175="","",IF($B175="V01",Cadrage!$C$26,IF($B175="V02",Cadrage!$D$26,Cadrage!$E$26)))</f>
        <v>-0.01</v>
      </c>
      <c r="Z175">
        <f>IF($A175="","",IF($B175="V01",Cadrage!$C$27,IF($B175="V02",Cadrage!$D$27,Cadrage!$E$27)))</f>
        <v>-0.01</v>
      </c>
      <c r="AA175">
        <f>IF($A175="","",IF($B175="V01",Cadrage!$C$28,IF($B175="V02",Cadrage!$D$28,Cadrage!$E$28)))</f>
        <v>-0.01</v>
      </c>
      <c r="AB175">
        <f>IF($A175="","",IF($B175="V01",Cadrage!$C$42,IF($B175="V02",Cadrage!$D$42,Cadrage!$E$42)))</f>
        <v>90</v>
      </c>
      <c r="AC175">
        <f>IF($A175="","",IF($F175="MBWAY",Cadrage!$K$34,IF($F175="ISCOM",Cadrage!$K$35,IF($F175="IPAC",Cadrage!$K$36,IF($F175="PIGIER",Cadrage!$K$37,Cadrage!$K$38)))))</f>
        <v>1.05</v>
      </c>
      <c r="AD175">
        <f t="shared" si="1"/>
        <v>36.3296130614031</v>
      </c>
      <c r="AE175">
        <f t="shared" si="2"/>
        <v>36.3296130614031</v>
      </c>
      <c r="AF175">
        <f t="shared" si="3"/>
        <v>36.3296130614031</v>
      </c>
      <c r="AG175">
        <f t="shared" si="4"/>
        <v>7504.35</v>
      </c>
      <c r="AH175">
        <f t="shared" si="5"/>
        <v>275899.796952867</v>
      </c>
    </row>
    <row r="176" ht="14.25" customHeight="1">
      <c r="A176" t="str">
        <f>IF(Moteur!D176="","",Moteur!D176)</f>
        <v>TUNON_LYO</v>
      </c>
      <c r="B176" t="str">
        <f>IF(Moteur!B176="","",Moteur!B176)</f>
        <v>V03</v>
      </c>
      <c r="C176" t="str">
        <f>IF(Moteur!F176="","",Moteur!F176)</f>
        <v>BAC_TOU</v>
      </c>
      <c r="D176" t="str">
        <f>IF(Moteur!G176="","",Moteur!G176)</f>
        <v>B2</v>
      </c>
      <c r="E176" t="str">
        <f>IF(Moteur!H176="","",Moteur!H176)</f>
        <v>ALT</v>
      </c>
      <c r="F176" t="str">
        <f>IF(Moteur!E176="","",Moteur!E176)</f>
        <v>TUNON</v>
      </c>
      <c r="G176">
        <f>IF($A176="","",_xlfn.SUMIFS(Socle!$H$1:$H$658,Socle!$C$1:$C$658,$A176,Socle!$D$1:$D$658,$C176,Socle!$E$1:$E$658,$D176,Socle!$F$1:$F$658,$E176,Socle!$G$1:$G$658,"2026"))</f>
        <v>0</v>
      </c>
      <c r="H176">
        <f>IF($A176="","",_xlfn.SUMIFS(Socle!$N$1:$N$658,Socle!$C$1:$C$658,$A176,Socle!$D$1:$D$658,$C176,Socle!$E$1:$E$658,$D176,Socle!$F$1:$F$658,$E176,Socle!$G$1:$G$658,"2026"))</f>
        <v>40</v>
      </c>
      <c r="I176">
        <f>IF($A176="","",_xlfn.SUMIFS(Socle!$P$1:$P$658,Socle!$C$1:$C$658,$A176,Socle!$D$1:$D$658,$C176,Socle!$E$1:$E$658,$D176,Socle!$F$1:$F$658,$E176,Socle!$G$1:$G$658,"2026"))</f>
        <v>7350</v>
      </c>
      <c r="J176">
        <f>IF($A176="","",_xlfn.SUMIFS(Socle!$W$1:$W$658,Socle!$C$1:$C$658,$A176,Socle!$D$1:$D$658,$C176,Socle!$E$1:$E$658,$D176,Socle!$F$1:$F$658,$E176,Socle!$G$1:$G$658,"2026"))</f>
        <v>0</v>
      </c>
      <c r="K176">
        <f>IF($A176="","",_xlfn.SUMIFS(Socle!$X$1:$X$658,Socle!$C$1:$C$658,$A176,Socle!$D$1:$D$658,$C176,Socle!$E$1:$E$658,$D176,Socle!$F$1:$F$658,$E176,Socle!$G$1:$G$658,"2026"))</f>
        <v>0</v>
      </c>
      <c r="L176">
        <f>IF($A176="","",_xlfn.SUMIFS(Socle!$Y$1:$Y$658,Socle!$C$1:$C$658,$A176,Socle!$D$1:$D$658,$C176,Socle!$E$1:$E$658,$D176,Socle!$F$1:$F$658,$E176,Socle!$G$1:$G$658,"2026"))</f>
        <v>0</v>
      </c>
      <c r="M176">
        <f>IF($A176="","",_xlfn.SUMIFS(Socle!$V$1:$V$658,Socle!$C$1:$C$658,$A176,Socle!$D$1:$D$658,$C176,Socle!$E$1:$E$658,$D176,Socle!$F$1:$F$658,$E176,Socle!$G$1:$G$658,"2026"))</f>
        <v>0.975</v>
      </c>
      <c r="N176">
        <f t="shared" si="0"/>
        <v>0</v>
      </c>
      <c r="O176">
        <f>IF($A176="","",_xlfn.SUMIFS(Campagne!$D$1:$D$141,Campagne!$C$1:$C$141,$A176))</f>
        <v>252</v>
      </c>
      <c r="P176">
        <f>IF($A176="","",_xlfn.SUMIFS(Campagne!$E$1:$E$141,Campagne!$C$1:$C$141,$A176))</f>
        <v>428</v>
      </c>
      <c r="Q176">
        <f>IF($A176="","",_xlfn.SUMIFS(Campagne!$F$1:$F$141,Campagne!$C$1:$C$141,$A176))</f>
        <v>680</v>
      </c>
      <c r="R176">
        <f>IF($A176="","",_xlfn.SUMIFS(Campagne!$K$1:$K$141,Campagne!$C$1:$C$141,$A176))</f>
        <v>0.460843562</v>
      </c>
      <c r="S176">
        <f>IF($A176="","",_xlfn.SUMIFS(Campagne!$M$1:$M$141,Campagne!$C$1:$C$141,$A176))</f>
        <v>0.317986245</v>
      </c>
      <c r="T176">
        <f>IF($A176="","",_xlfn.SUMIFS(Pilotage!$K$19:$K$32,Pilotage!$A$19:$A$32,$A176)*_xlfn.SUMIFS(Pilotage!$J$19:$J$32,Pilotage!$A$19:$A$32,$A176)*(SUM(Pilotage!$K$19:$K$32)/SUMPRODUCT(Pilotage!$K$19:$K$32,Pilotage!$J$19:$J$32)))</f>
        <v>18850</v>
      </c>
      <c r="U176">
        <f>IF($A176="","",_xlfn.SUMIFS(Pilotage!$K$19:$K$32,Pilotage!$A$19:$A$32,$A176))</f>
        <v>18850</v>
      </c>
      <c r="V176">
        <f>IF($A176="","",IF($B176="V01",Cadrage!$C$23,IF($B176="V02",Cadrage!$D$23,Cadrage!$E$23)))</f>
        <v>-0.05</v>
      </c>
      <c r="W176">
        <f>IF($A176="","",IF($B176="V01",Cadrage!$C$24,IF($B176="V02",Cadrage!$D$24,Cadrage!$E$24)))</f>
        <v>-0.05</v>
      </c>
      <c r="X176">
        <f>IF($A176="","",IF($B176="V01",Cadrage!$C$25,IF($B176="V02",Cadrage!$D$25,Cadrage!$E$25)))</f>
        <v>0.02</v>
      </c>
      <c r="Y176">
        <f>IF($A176="","",IF($B176="V01",Cadrage!$C$26,IF($B176="V02",Cadrage!$D$26,Cadrage!$E$26)))</f>
        <v>-0.01</v>
      </c>
      <c r="Z176">
        <f>IF($A176="","",IF($B176="V01",Cadrage!$C$27,IF($B176="V02",Cadrage!$D$27,Cadrage!$E$27)))</f>
        <v>-0.01</v>
      </c>
      <c r="AA176">
        <f>IF($A176="","",IF($B176="V01",Cadrage!$C$28,IF($B176="V02",Cadrage!$D$28,Cadrage!$E$28)))</f>
        <v>-0.01</v>
      </c>
      <c r="AB176">
        <f>IF($A176="","",IF($B176="V01",Cadrage!$C$42,IF($B176="V02",Cadrage!$D$42,Cadrage!$E$42)))</f>
        <v>90</v>
      </c>
      <c r="AC176">
        <f>IF($A176="","",IF($F176="MBWAY",Cadrage!$K$34,IF($F176="ISCOM",Cadrage!$K$35,IF($F176="IPAC",Cadrage!$K$36,IF($F176="PIGIER",Cadrage!$K$37,Cadrage!$K$38)))))</f>
        <v>1.05</v>
      </c>
      <c r="AD176">
        <f t="shared" si="1"/>
        <v>0</v>
      </c>
      <c r="AE176">
        <f t="shared" si="2"/>
        <v>0</v>
      </c>
      <c r="AF176">
        <f t="shared" si="3"/>
        <v>38.6</v>
      </c>
      <c r="AG176">
        <f t="shared" si="4"/>
        <v>7504.35</v>
      </c>
      <c r="AH176">
        <f t="shared" si="5"/>
        <v>289667.91</v>
      </c>
    </row>
    <row r="177" ht="14.25" customHeight="1">
      <c r="A177" t="str">
        <f>IF(Moteur!D177="","",Moteur!D177)</f>
        <v>TUNON_LYO</v>
      </c>
      <c r="B177" t="str">
        <f>IF(Moteur!B177="","",Moteur!B177)</f>
        <v>V03</v>
      </c>
      <c r="C177" t="str">
        <f>IF(Moteur!F177="","",Moteur!F177)</f>
        <v>BAC_TOU</v>
      </c>
      <c r="D177" t="str">
        <f>IF(Moteur!G177="","",Moteur!G177)</f>
        <v>B3</v>
      </c>
      <c r="E177" t="str">
        <f>IF(Moteur!H177="","",Moteur!H177)</f>
        <v>ALT</v>
      </c>
      <c r="F177" t="str">
        <f>IF(Moteur!E177="","",Moteur!E177)</f>
        <v>TUNON</v>
      </c>
      <c r="G177">
        <f>IF($A177="","",_xlfn.SUMIFS(Socle!$H$1:$H$658,Socle!$C$1:$C$658,$A177,Socle!$D$1:$D$658,$C177,Socle!$E$1:$E$658,$D177,Socle!$F$1:$F$658,$E177,Socle!$G$1:$G$658,"2026"))</f>
        <v>0</v>
      </c>
      <c r="H177">
        <f>IF($A177="","",_xlfn.SUMIFS(Socle!$N$1:$N$658,Socle!$C$1:$C$658,$A177,Socle!$D$1:$D$658,$C177,Socle!$E$1:$E$658,$D177,Socle!$F$1:$F$658,$E177,Socle!$G$1:$G$658,"2026"))</f>
        <v>39</v>
      </c>
      <c r="I177">
        <f>IF($A177="","",_xlfn.SUMIFS(Socle!$P$1:$P$658,Socle!$C$1:$C$658,$A177,Socle!$D$1:$D$658,$C177,Socle!$E$1:$E$658,$D177,Socle!$F$1:$F$658,$E177,Socle!$G$1:$G$658,"2026"))</f>
        <v>7350</v>
      </c>
      <c r="J177">
        <f>IF($A177="","",_xlfn.SUMIFS(Socle!$W$1:$W$658,Socle!$C$1:$C$658,$A177,Socle!$D$1:$D$658,$C177,Socle!$E$1:$E$658,$D177,Socle!$F$1:$F$658,$E177,Socle!$G$1:$G$658,"2026"))</f>
        <v>0</v>
      </c>
      <c r="K177">
        <f>IF($A177="","",_xlfn.SUMIFS(Socle!$X$1:$X$658,Socle!$C$1:$C$658,$A177,Socle!$D$1:$D$658,$C177,Socle!$E$1:$E$658,$D177,Socle!$F$1:$F$658,$E177,Socle!$G$1:$G$658,"2026"))</f>
        <v>0</v>
      </c>
      <c r="L177">
        <f>IF($A177="","",_xlfn.SUMIFS(Socle!$Y$1:$Y$658,Socle!$C$1:$C$658,$A177,Socle!$D$1:$D$658,$C177,Socle!$E$1:$E$658,$D177,Socle!$F$1:$F$658,$E177,Socle!$G$1:$G$658,"2026"))</f>
        <v>0</v>
      </c>
      <c r="M177">
        <f>IF($A177="","",_xlfn.SUMIFS(Socle!$V$1:$V$658,Socle!$C$1:$C$658,$A177,Socle!$D$1:$D$658,$C177,Socle!$E$1:$E$658,$D177,Socle!$F$1:$F$658,$E177,Socle!$G$1:$G$658,"2026"))</f>
        <v>0.974358974</v>
      </c>
      <c r="N177">
        <f t="shared" si="0"/>
        <v>0</v>
      </c>
      <c r="O177">
        <f>IF($A177="","",_xlfn.SUMIFS(Campagne!$D$1:$D$141,Campagne!$C$1:$C$141,$A177))</f>
        <v>252</v>
      </c>
      <c r="P177">
        <f>IF($A177="","",_xlfn.SUMIFS(Campagne!$E$1:$E$141,Campagne!$C$1:$C$141,$A177))</f>
        <v>428</v>
      </c>
      <c r="Q177">
        <f>IF($A177="","",_xlfn.SUMIFS(Campagne!$F$1:$F$141,Campagne!$C$1:$C$141,$A177))</f>
        <v>680</v>
      </c>
      <c r="R177">
        <f>IF($A177="","",_xlfn.SUMIFS(Campagne!$K$1:$K$141,Campagne!$C$1:$C$141,$A177))</f>
        <v>0.460843562</v>
      </c>
      <c r="S177">
        <f>IF($A177="","",_xlfn.SUMIFS(Campagne!$M$1:$M$141,Campagne!$C$1:$C$141,$A177))</f>
        <v>0.317986245</v>
      </c>
      <c r="T177">
        <f>IF($A177="","",_xlfn.SUMIFS(Pilotage!$K$19:$K$32,Pilotage!$A$19:$A$32,$A177)*_xlfn.SUMIFS(Pilotage!$J$19:$J$32,Pilotage!$A$19:$A$32,$A177)*(SUM(Pilotage!$K$19:$K$32)/SUMPRODUCT(Pilotage!$K$19:$K$32,Pilotage!$J$19:$J$32)))</f>
        <v>18850</v>
      </c>
      <c r="U177">
        <f>IF($A177="","",_xlfn.SUMIFS(Pilotage!$K$19:$K$32,Pilotage!$A$19:$A$32,$A177))</f>
        <v>18850</v>
      </c>
      <c r="V177">
        <f>IF($A177="","",IF($B177="V01",Cadrage!$C$23,IF($B177="V02",Cadrage!$D$23,Cadrage!$E$23)))</f>
        <v>-0.05</v>
      </c>
      <c r="W177">
        <f>IF($A177="","",IF($B177="V01",Cadrage!$C$24,IF($B177="V02",Cadrage!$D$24,Cadrage!$E$24)))</f>
        <v>-0.05</v>
      </c>
      <c r="X177">
        <f>IF($A177="","",IF($B177="V01",Cadrage!$C$25,IF($B177="V02",Cadrage!$D$25,Cadrage!$E$25)))</f>
        <v>0.02</v>
      </c>
      <c r="Y177">
        <f>IF($A177="","",IF($B177="V01",Cadrage!$C$26,IF($B177="V02",Cadrage!$D$26,Cadrage!$E$26)))</f>
        <v>-0.01</v>
      </c>
      <c r="Z177">
        <f>IF($A177="","",IF($B177="V01",Cadrage!$C$27,IF($B177="V02",Cadrage!$D$27,Cadrage!$E$27)))</f>
        <v>-0.01</v>
      </c>
      <c r="AA177">
        <f>IF($A177="","",IF($B177="V01",Cadrage!$C$28,IF($B177="V02",Cadrage!$D$28,Cadrage!$E$28)))</f>
        <v>-0.01</v>
      </c>
      <c r="AB177">
        <f>IF($A177="","",IF($B177="V01",Cadrage!$C$42,IF($B177="V02",Cadrage!$D$42,Cadrage!$E$42)))</f>
        <v>90</v>
      </c>
      <c r="AC177">
        <f>IF($A177="","",IF($F177="MBWAY",Cadrage!$K$34,IF($F177="ISCOM",Cadrage!$K$35,IF($F177="IPAC",Cadrage!$K$36,IF($F177="PIGIER",Cadrage!$K$37,Cadrage!$K$38)))))</f>
        <v>1.05</v>
      </c>
      <c r="AD177">
        <f t="shared" si="1"/>
        <v>0</v>
      </c>
      <c r="AE177">
        <f t="shared" si="2"/>
        <v>0</v>
      </c>
      <c r="AF177">
        <f t="shared" si="3"/>
        <v>37.609999986</v>
      </c>
      <c r="AG177">
        <f t="shared" si="4"/>
        <v>7504.35</v>
      </c>
      <c r="AH177">
        <f t="shared" si="5"/>
        <v>282238.603394939</v>
      </c>
    </row>
    <row r="178" ht="14.25" customHeight="1">
      <c r="A178" t="str">
        <f>IF(Moteur!D178="","",Moteur!D178)</f>
        <v>PIGIER_BOR</v>
      </c>
      <c r="B178" t="str">
        <f>IF(Moteur!B178="","",Moteur!B178)</f>
        <v>V03</v>
      </c>
      <c r="C178" t="str">
        <f>IF(Moteur!F178="","",Moteur!F178)</f>
        <v>BAC_RH</v>
      </c>
      <c r="D178" t="str">
        <f>IF(Moteur!G178="","",Moteur!G178)</f>
        <v>B2</v>
      </c>
      <c r="E178" t="str">
        <f>IF(Moteur!H178="","",Moteur!H178)</f>
        <v>ALT</v>
      </c>
      <c r="F178" t="str">
        <f>IF(Moteur!E178="","",Moteur!E178)</f>
        <v>PIGIER</v>
      </c>
      <c r="G178">
        <f>IF($A178="","",_xlfn.SUMIFS(Socle!$H$1:$H$658,Socle!$C$1:$C$658,$A178,Socle!$D$1:$D$658,$C178,Socle!$E$1:$E$658,$D178,Socle!$F$1:$F$658,$E178,Socle!$G$1:$G$658,"2026"))</f>
        <v>0</v>
      </c>
      <c r="H178">
        <f>IF($A178="","",_xlfn.SUMIFS(Socle!$N$1:$N$658,Socle!$C$1:$C$658,$A178,Socle!$D$1:$D$658,$C178,Socle!$E$1:$E$658,$D178,Socle!$F$1:$F$658,$E178,Socle!$G$1:$G$658,"2026"))</f>
        <v>36</v>
      </c>
      <c r="I178">
        <f>IF($A178="","",_xlfn.SUMIFS(Socle!$P$1:$P$658,Socle!$C$1:$C$658,$A178,Socle!$D$1:$D$658,$C178,Socle!$E$1:$E$658,$D178,Socle!$F$1:$F$658,$E178,Socle!$G$1:$G$658,"2026"))</f>
        <v>6790</v>
      </c>
      <c r="J178">
        <f>IF($A178="","",_xlfn.SUMIFS(Socle!$W$1:$W$658,Socle!$C$1:$C$658,$A178,Socle!$D$1:$D$658,$C178,Socle!$E$1:$E$658,$D178,Socle!$F$1:$F$658,$E178,Socle!$G$1:$G$658,"2026"))</f>
        <v>0</v>
      </c>
      <c r="K178">
        <f>IF($A178="","",_xlfn.SUMIFS(Socle!$X$1:$X$658,Socle!$C$1:$C$658,$A178,Socle!$D$1:$D$658,$C178,Socle!$E$1:$E$658,$D178,Socle!$F$1:$F$658,$E178,Socle!$G$1:$G$658,"2026"))</f>
        <v>0</v>
      </c>
      <c r="L178">
        <f>IF($A178="","",_xlfn.SUMIFS(Socle!$Y$1:$Y$658,Socle!$C$1:$C$658,$A178,Socle!$D$1:$D$658,$C178,Socle!$E$1:$E$658,$D178,Socle!$F$1:$F$658,$E178,Socle!$G$1:$G$658,"2026"))</f>
        <v>0</v>
      </c>
      <c r="M178">
        <f>IF($A178="","",_xlfn.SUMIFS(Socle!$V$1:$V$658,Socle!$C$1:$C$658,$A178,Socle!$D$1:$D$658,$C178,Socle!$E$1:$E$658,$D178,Socle!$F$1:$F$658,$E178,Socle!$G$1:$G$658,"2026"))</f>
        <v>0.972222222</v>
      </c>
      <c r="N178">
        <f t="shared" si="0"/>
        <v>0</v>
      </c>
      <c r="O178">
        <f>IF($A178="","",_xlfn.SUMIFS(Campagne!$D$1:$D$141,Campagne!$C$1:$C$141,$A178))</f>
        <v>652</v>
      </c>
      <c r="P178">
        <f>IF($A178="","",_xlfn.SUMIFS(Campagne!$E$1:$E$141,Campagne!$C$1:$C$141,$A178))</f>
        <v>578</v>
      </c>
      <c r="Q178">
        <f>IF($A178="","",_xlfn.SUMIFS(Campagne!$F$1:$F$141,Campagne!$C$1:$C$141,$A178))</f>
        <v>1230</v>
      </c>
      <c r="R178">
        <f>IF($A178="","",_xlfn.SUMIFS(Campagne!$K$1:$K$141,Campagne!$C$1:$C$141,$A178))</f>
        <v>0.474596633</v>
      </c>
      <c r="S178">
        <f>IF($A178="","",_xlfn.SUMIFS(Campagne!$M$1:$M$141,Campagne!$C$1:$C$141,$A178))</f>
        <v>0.357573956</v>
      </c>
      <c r="T178">
        <f>IF($A178="","",_xlfn.SUMIFS(Pilotage!$K$19:$K$32,Pilotage!$A$19:$A$32,$A178)*_xlfn.SUMIFS(Pilotage!$J$19:$J$32,Pilotage!$A$19:$A$32,$A178)*(SUM(Pilotage!$K$19:$K$32)/SUMPRODUCT(Pilotage!$K$19:$K$32,Pilotage!$J$19:$J$32)))</f>
        <v>21968</v>
      </c>
      <c r="U178">
        <f>IF($A178="","",_xlfn.SUMIFS(Pilotage!$K$19:$K$32,Pilotage!$A$19:$A$32,$A178))</f>
        <v>21968</v>
      </c>
      <c r="V178">
        <f>IF($A178="","",IF($B178="V01",Cadrage!$C$23,IF($B178="V02",Cadrage!$D$23,Cadrage!$E$23)))</f>
        <v>-0.05</v>
      </c>
      <c r="W178">
        <f>IF($A178="","",IF($B178="V01",Cadrage!$C$24,IF($B178="V02",Cadrage!$D$24,Cadrage!$E$24)))</f>
        <v>-0.05</v>
      </c>
      <c r="X178">
        <f>IF($A178="","",IF($B178="V01",Cadrage!$C$25,IF($B178="V02",Cadrage!$D$25,Cadrage!$E$25)))</f>
        <v>0.02</v>
      </c>
      <c r="Y178">
        <f>IF($A178="","",IF($B178="V01",Cadrage!$C$26,IF($B178="V02",Cadrage!$D$26,Cadrage!$E$26)))</f>
        <v>-0.01</v>
      </c>
      <c r="Z178">
        <f>IF($A178="","",IF($B178="V01",Cadrage!$C$27,IF($B178="V02",Cadrage!$D$27,Cadrage!$E$27)))</f>
        <v>-0.01</v>
      </c>
      <c r="AA178">
        <f>IF($A178="","",IF($B178="V01",Cadrage!$C$28,IF($B178="V02",Cadrage!$D$28,Cadrage!$E$28)))</f>
        <v>-0.01</v>
      </c>
      <c r="AB178">
        <f>IF($A178="","",IF($B178="V01",Cadrage!$C$42,IF($B178="V02",Cadrage!$D$42,Cadrage!$E$42)))</f>
        <v>90</v>
      </c>
      <c r="AC178">
        <f>IF($A178="","",IF($F178="MBWAY",Cadrage!$K$34,IF($F178="ISCOM",Cadrage!$K$35,IF($F178="IPAC",Cadrage!$K$36,IF($F178="PIGIER",Cadrage!$K$37,Cadrage!$K$38)))))</f>
        <v>0.9</v>
      </c>
      <c r="AD178">
        <f t="shared" si="1"/>
        <v>0</v>
      </c>
      <c r="AE178">
        <f t="shared" si="2"/>
        <v>0</v>
      </c>
      <c r="AF178">
        <f t="shared" si="3"/>
        <v>34.639999992</v>
      </c>
      <c r="AG178">
        <f t="shared" si="4"/>
        <v>6912.22</v>
      </c>
      <c r="AH178">
        <f t="shared" si="5"/>
        <v>239439.300744702</v>
      </c>
    </row>
    <row r="179" ht="14.25" customHeight="1">
      <c r="A179" t="str">
        <f>IF(Moteur!D179="","",Moteur!D179)</f>
        <v>PIGIER_LYO</v>
      </c>
      <c r="B179" t="str">
        <f>IF(Moteur!B179="","",Moteur!B179)</f>
        <v>V03</v>
      </c>
      <c r="C179" t="str">
        <f>IF(Moteur!F179="","",Moteur!F179)</f>
        <v>BAC_RH</v>
      </c>
      <c r="D179" t="str">
        <f>IF(Moteur!G179="","",Moteur!G179)</f>
        <v>B2</v>
      </c>
      <c r="E179" t="str">
        <f>IF(Moteur!H179="","",Moteur!H179)</f>
        <v>ALT</v>
      </c>
      <c r="F179" t="str">
        <f>IF(Moteur!E179="","",Moteur!E179)</f>
        <v>PIGIER</v>
      </c>
      <c r="G179">
        <f>IF($A179="","",_xlfn.SUMIFS(Socle!$H$1:$H$658,Socle!$C$1:$C$658,$A179,Socle!$D$1:$D$658,$C179,Socle!$E$1:$E$658,$D179,Socle!$F$1:$F$658,$E179,Socle!$G$1:$G$658,"2026"))</f>
        <v>0</v>
      </c>
      <c r="H179">
        <f>IF($A179="","",_xlfn.SUMIFS(Socle!$N$1:$N$658,Socle!$C$1:$C$658,$A179,Socle!$D$1:$D$658,$C179,Socle!$E$1:$E$658,$D179,Socle!$F$1:$F$658,$E179,Socle!$G$1:$G$658,"2026"))</f>
        <v>46</v>
      </c>
      <c r="I179">
        <f>IF($A179="","",_xlfn.SUMIFS(Socle!$P$1:$P$658,Socle!$C$1:$C$658,$A179,Socle!$D$1:$D$658,$C179,Socle!$E$1:$E$658,$D179,Socle!$F$1:$F$658,$E179,Socle!$G$1:$G$658,"2026"))</f>
        <v>7350</v>
      </c>
      <c r="J179">
        <f>IF($A179="","",_xlfn.SUMIFS(Socle!$W$1:$W$658,Socle!$C$1:$C$658,$A179,Socle!$D$1:$D$658,$C179,Socle!$E$1:$E$658,$D179,Socle!$F$1:$F$658,$E179,Socle!$G$1:$G$658,"2026"))</f>
        <v>0</v>
      </c>
      <c r="K179">
        <f>IF($A179="","",_xlfn.SUMIFS(Socle!$X$1:$X$658,Socle!$C$1:$C$658,$A179,Socle!$D$1:$D$658,$C179,Socle!$E$1:$E$658,$D179,Socle!$F$1:$F$658,$E179,Socle!$G$1:$G$658,"2026"))</f>
        <v>0</v>
      </c>
      <c r="L179">
        <f>IF($A179="","",_xlfn.SUMIFS(Socle!$Y$1:$Y$658,Socle!$C$1:$C$658,$A179,Socle!$D$1:$D$658,$C179,Socle!$E$1:$E$658,$D179,Socle!$F$1:$F$658,$E179,Socle!$G$1:$G$658,"2026"))</f>
        <v>0</v>
      </c>
      <c r="M179">
        <f>IF($A179="","",_xlfn.SUMIFS(Socle!$V$1:$V$658,Socle!$C$1:$C$658,$A179,Socle!$D$1:$D$658,$C179,Socle!$E$1:$E$658,$D179,Socle!$F$1:$F$658,$E179,Socle!$G$1:$G$658,"2026"))</f>
        <v>0.97826087</v>
      </c>
      <c r="N179">
        <f t="shared" si="0"/>
        <v>0</v>
      </c>
      <c r="O179">
        <f>IF($A179="","",_xlfn.SUMIFS(Campagne!$D$1:$D$141,Campagne!$C$1:$C$141,$A179))</f>
        <v>738</v>
      </c>
      <c r="P179">
        <f>IF($A179="","",_xlfn.SUMIFS(Campagne!$E$1:$E$141,Campagne!$C$1:$C$141,$A179))</f>
        <v>832</v>
      </c>
      <c r="Q179">
        <f>IF($A179="","",_xlfn.SUMIFS(Campagne!$F$1:$F$141,Campagne!$C$1:$C$141,$A179))</f>
        <v>1570</v>
      </c>
      <c r="R179">
        <f>IF($A179="","",_xlfn.SUMIFS(Campagne!$K$1:$K$141,Campagne!$C$1:$C$141,$A179))</f>
        <v>0.440450262</v>
      </c>
      <c r="S179">
        <f>IF($A179="","",_xlfn.SUMIFS(Campagne!$M$1:$M$141,Campagne!$C$1:$C$141,$A179))</f>
        <v>0.343045779</v>
      </c>
      <c r="T179">
        <f>IF($A179="","",_xlfn.SUMIFS(Pilotage!$K$19:$K$32,Pilotage!$A$19:$A$32,$A179)*_xlfn.SUMIFS(Pilotage!$J$19:$J$32,Pilotage!$A$19:$A$32,$A179)*(SUM(Pilotage!$K$19:$K$32)/SUMPRODUCT(Pilotage!$K$19:$K$32,Pilotage!$J$19:$J$32)))</f>
        <v>36612</v>
      </c>
      <c r="U179">
        <f>IF($A179="","",_xlfn.SUMIFS(Pilotage!$K$19:$K$32,Pilotage!$A$19:$A$32,$A179))</f>
        <v>36612</v>
      </c>
      <c r="V179">
        <f>IF($A179="","",IF($B179="V01",Cadrage!$C$23,IF($B179="V02",Cadrage!$D$23,Cadrage!$E$23)))</f>
        <v>-0.05</v>
      </c>
      <c r="W179">
        <f>IF($A179="","",IF($B179="V01",Cadrage!$C$24,IF($B179="V02",Cadrage!$D$24,Cadrage!$E$24)))</f>
        <v>-0.05</v>
      </c>
      <c r="X179">
        <f>IF($A179="","",IF($B179="V01",Cadrage!$C$25,IF($B179="V02",Cadrage!$D$25,Cadrage!$E$25)))</f>
        <v>0.02</v>
      </c>
      <c r="Y179">
        <f>IF($A179="","",IF($B179="V01",Cadrage!$C$26,IF($B179="V02",Cadrage!$D$26,Cadrage!$E$26)))</f>
        <v>-0.01</v>
      </c>
      <c r="Z179">
        <f>IF($A179="","",IF($B179="V01",Cadrage!$C$27,IF($B179="V02",Cadrage!$D$27,Cadrage!$E$27)))</f>
        <v>-0.01</v>
      </c>
      <c r="AA179">
        <f>IF($A179="","",IF($B179="V01",Cadrage!$C$28,IF($B179="V02",Cadrage!$D$28,Cadrage!$E$28)))</f>
        <v>-0.01</v>
      </c>
      <c r="AB179">
        <f>IF($A179="","",IF($B179="V01",Cadrage!$C$42,IF($B179="V02",Cadrage!$D$42,Cadrage!$E$42)))</f>
        <v>90</v>
      </c>
      <c r="AC179">
        <f>IF($A179="","",IF($F179="MBWAY",Cadrage!$K$34,IF($F179="ISCOM",Cadrage!$K$35,IF($F179="IPAC",Cadrage!$K$36,IF($F179="PIGIER",Cadrage!$K$37,Cadrage!$K$38)))))</f>
        <v>0.9</v>
      </c>
      <c r="AD179">
        <f t="shared" si="1"/>
        <v>0</v>
      </c>
      <c r="AE179">
        <f t="shared" si="2"/>
        <v>0</v>
      </c>
      <c r="AF179">
        <f t="shared" si="3"/>
        <v>44.54000002</v>
      </c>
      <c r="AG179">
        <f t="shared" si="4"/>
        <v>7482.3</v>
      </c>
      <c r="AH179">
        <f t="shared" si="5"/>
        <v>333261.642149646</v>
      </c>
    </row>
    <row r="180" ht="14.25" customHeight="1">
      <c r="A180" t="str">
        <f>IF(Moteur!D180="","",Moteur!D180)</f>
        <v>PIGIER_BOR</v>
      </c>
      <c r="B180" t="str">
        <f>IF(Moteur!B180="","",Moteur!B180)</f>
        <v>V03</v>
      </c>
      <c r="C180" t="str">
        <f>IF(Moteur!F180="","",Moteur!F180)</f>
        <v>BAC_RH</v>
      </c>
      <c r="D180" t="str">
        <f>IF(Moteur!G180="","",Moteur!G180)</f>
        <v>B3</v>
      </c>
      <c r="E180" t="str">
        <f>IF(Moteur!H180="","",Moteur!H180)</f>
        <v>ALT</v>
      </c>
      <c r="F180" t="str">
        <f>IF(Moteur!E180="","",Moteur!E180)</f>
        <v>PIGIER</v>
      </c>
      <c r="G180">
        <f>IF($A180="","",_xlfn.SUMIFS(Socle!$H$1:$H$658,Socle!$C$1:$C$658,$A180,Socle!$D$1:$D$658,$C180,Socle!$E$1:$E$658,$D180,Socle!$F$1:$F$658,$E180,Socle!$G$1:$G$658,"2026"))</f>
        <v>0</v>
      </c>
      <c r="H180">
        <f>IF($A180="","",_xlfn.SUMIFS(Socle!$N$1:$N$658,Socle!$C$1:$C$658,$A180,Socle!$D$1:$D$658,$C180,Socle!$E$1:$E$658,$D180,Socle!$F$1:$F$658,$E180,Socle!$G$1:$G$658,"2026"))</f>
        <v>35</v>
      </c>
      <c r="I180">
        <f>IF($A180="","",_xlfn.SUMIFS(Socle!$P$1:$P$658,Socle!$C$1:$C$658,$A180,Socle!$D$1:$D$658,$C180,Socle!$E$1:$E$658,$D180,Socle!$F$1:$F$658,$E180,Socle!$G$1:$G$658,"2026"))</f>
        <v>6790</v>
      </c>
      <c r="J180">
        <f>IF($A180="","",_xlfn.SUMIFS(Socle!$W$1:$W$658,Socle!$C$1:$C$658,$A180,Socle!$D$1:$D$658,$C180,Socle!$E$1:$E$658,$D180,Socle!$F$1:$F$658,$E180,Socle!$G$1:$G$658,"2026"))</f>
        <v>0</v>
      </c>
      <c r="K180">
        <f>IF($A180="","",_xlfn.SUMIFS(Socle!$X$1:$X$658,Socle!$C$1:$C$658,$A180,Socle!$D$1:$D$658,$C180,Socle!$E$1:$E$658,$D180,Socle!$F$1:$F$658,$E180,Socle!$G$1:$G$658,"2026"))</f>
        <v>0</v>
      </c>
      <c r="L180">
        <f>IF($A180="","",_xlfn.SUMIFS(Socle!$Y$1:$Y$658,Socle!$C$1:$C$658,$A180,Socle!$D$1:$D$658,$C180,Socle!$E$1:$E$658,$D180,Socle!$F$1:$F$658,$E180,Socle!$G$1:$G$658,"2026"))</f>
        <v>0</v>
      </c>
      <c r="M180">
        <f>IF($A180="","",_xlfn.SUMIFS(Socle!$V$1:$V$658,Socle!$C$1:$C$658,$A180,Socle!$D$1:$D$658,$C180,Socle!$E$1:$E$658,$D180,Socle!$F$1:$F$658,$E180,Socle!$G$1:$G$658,"2026"))</f>
        <v>0.971428571</v>
      </c>
      <c r="N180">
        <f t="shared" si="0"/>
        <v>0</v>
      </c>
      <c r="O180">
        <f>IF($A180="","",_xlfn.SUMIFS(Campagne!$D$1:$D$141,Campagne!$C$1:$C$141,$A180))</f>
        <v>652</v>
      </c>
      <c r="P180">
        <f>IF($A180="","",_xlfn.SUMIFS(Campagne!$E$1:$E$141,Campagne!$C$1:$C$141,$A180))</f>
        <v>578</v>
      </c>
      <c r="Q180">
        <f>IF($A180="","",_xlfn.SUMIFS(Campagne!$F$1:$F$141,Campagne!$C$1:$C$141,$A180))</f>
        <v>1230</v>
      </c>
      <c r="R180">
        <f>IF($A180="","",_xlfn.SUMIFS(Campagne!$K$1:$K$141,Campagne!$C$1:$C$141,$A180))</f>
        <v>0.474596633</v>
      </c>
      <c r="S180">
        <f>IF($A180="","",_xlfn.SUMIFS(Campagne!$M$1:$M$141,Campagne!$C$1:$C$141,$A180))</f>
        <v>0.357573956</v>
      </c>
      <c r="T180">
        <f>IF($A180="","",_xlfn.SUMIFS(Pilotage!$K$19:$K$32,Pilotage!$A$19:$A$32,$A180)*_xlfn.SUMIFS(Pilotage!$J$19:$J$32,Pilotage!$A$19:$A$32,$A180)*(SUM(Pilotage!$K$19:$K$32)/SUMPRODUCT(Pilotage!$K$19:$K$32,Pilotage!$J$19:$J$32)))</f>
        <v>21968</v>
      </c>
      <c r="U180">
        <f>IF($A180="","",_xlfn.SUMIFS(Pilotage!$K$19:$K$32,Pilotage!$A$19:$A$32,$A180))</f>
        <v>21968</v>
      </c>
      <c r="V180">
        <f>IF($A180="","",IF($B180="V01",Cadrage!$C$23,IF($B180="V02",Cadrage!$D$23,Cadrage!$E$23)))</f>
        <v>-0.05</v>
      </c>
      <c r="W180">
        <f>IF($A180="","",IF($B180="V01",Cadrage!$C$24,IF($B180="V02",Cadrage!$D$24,Cadrage!$E$24)))</f>
        <v>-0.05</v>
      </c>
      <c r="X180">
        <f>IF($A180="","",IF($B180="V01",Cadrage!$C$25,IF($B180="V02",Cadrage!$D$25,Cadrage!$E$25)))</f>
        <v>0.02</v>
      </c>
      <c r="Y180">
        <f>IF($A180="","",IF($B180="V01",Cadrage!$C$26,IF($B180="V02",Cadrage!$D$26,Cadrage!$E$26)))</f>
        <v>-0.01</v>
      </c>
      <c r="Z180">
        <f>IF($A180="","",IF($B180="V01",Cadrage!$C$27,IF($B180="V02",Cadrage!$D$27,Cadrage!$E$27)))</f>
        <v>-0.01</v>
      </c>
      <c r="AA180">
        <f>IF($A180="","",IF($B180="V01",Cadrage!$C$28,IF($B180="V02",Cadrage!$D$28,Cadrage!$E$28)))</f>
        <v>-0.01</v>
      </c>
      <c r="AB180">
        <f>IF($A180="","",IF($B180="V01",Cadrage!$C$42,IF($B180="V02",Cadrage!$D$42,Cadrage!$E$42)))</f>
        <v>90</v>
      </c>
      <c r="AC180">
        <f>IF($A180="","",IF($F180="MBWAY",Cadrage!$K$34,IF($F180="ISCOM",Cadrage!$K$35,IF($F180="IPAC",Cadrage!$K$36,IF($F180="PIGIER",Cadrage!$K$37,Cadrage!$K$38)))))</f>
        <v>0.9</v>
      </c>
      <c r="AD180">
        <f t="shared" si="1"/>
        <v>0</v>
      </c>
      <c r="AE180">
        <f t="shared" si="2"/>
        <v>0</v>
      </c>
      <c r="AF180">
        <f t="shared" si="3"/>
        <v>33.649999985</v>
      </c>
      <c r="AG180">
        <f t="shared" si="4"/>
        <v>6912.22</v>
      </c>
      <c r="AH180">
        <f t="shared" si="5"/>
        <v>232596.202896317</v>
      </c>
    </row>
    <row r="181" ht="14.25" customHeight="1">
      <c r="A181" t="str">
        <f>IF(Moteur!D181="","",Moteur!D181)</f>
        <v>PIGIER_LYO</v>
      </c>
      <c r="B181" t="str">
        <f>IF(Moteur!B181="","",Moteur!B181)</f>
        <v>V03</v>
      </c>
      <c r="C181" t="str">
        <f>IF(Moteur!F181="","",Moteur!F181)</f>
        <v>BAC_RH</v>
      </c>
      <c r="D181" t="str">
        <f>IF(Moteur!G181="","",Moteur!G181)</f>
        <v>B3</v>
      </c>
      <c r="E181" t="str">
        <f>IF(Moteur!H181="","",Moteur!H181)</f>
        <v>ALT</v>
      </c>
      <c r="F181" t="str">
        <f>IF(Moteur!E181="","",Moteur!E181)</f>
        <v>PIGIER</v>
      </c>
      <c r="G181">
        <f>IF($A181="","",_xlfn.SUMIFS(Socle!$H$1:$H$658,Socle!$C$1:$C$658,$A181,Socle!$D$1:$D$658,$C181,Socle!$E$1:$E$658,$D181,Socle!$F$1:$F$658,$E181,Socle!$G$1:$G$658,"2026"))</f>
        <v>0</v>
      </c>
      <c r="H181">
        <f>IF($A181="","",_xlfn.SUMIFS(Socle!$N$1:$N$658,Socle!$C$1:$C$658,$A181,Socle!$D$1:$D$658,$C181,Socle!$E$1:$E$658,$D181,Socle!$F$1:$F$658,$E181,Socle!$G$1:$G$658,"2026"))</f>
        <v>45</v>
      </c>
      <c r="I181">
        <f>IF($A181="","",_xlfn.SUMIFS(Socle!$P$1:$P$658,Socle!$C$1:$C$658,$A181,Socle!$D$1:$D$658,$C181,Socle!$E$1:$E$658,$D181,Socle!$F$1:$F$658,$E181,Socle!$G$1:$G$658,"2026"))</f>
        <v>7350</v>
      </c>
      <c r="J181">
        <f>IF($A181="","",_xlfn.SUMIFS(Socle!$W$1:$W$658,Socle!$C$1:$C$658,$A181,Socle!$D$1:$D$658,$C181,Socle!$E$1:$E$658,$D181,Socle!$F$1:$F$658,$E181,Socle!$G$1:$G$658,"2026"))</f>
        <v>0</v>
      </c>
      <c r="K181">
        <f>IF($A181="","",_xlfn.SUMIFS(Socle!$X$1:$X$658,Socle!$C$1:$C$658,$A181,Socle!$D$1:$D$658,$C181,Socle!$E$1:$E$658,$D181,Socle!$F$1:$F$658,$E181,Socle!$G$1:$G$658,"2026"))</f>
        <v>0</v>
      </c>
      <c r="L181">
        <f>IF($A181="","",_xlfn.SUMIFS(Socle!$Y$1:$Y$658,Socle!$C$1:$C$658,$A181,Socle!$D$1:$D$658,$C181,Socle!$E$1:$E$658,$D181,Socle!$F$1:$F$658,$E181,Socle!$G$1:$G$658,"2026"))</f>
        <v>0</v>
      </c>
      <c r="M181">
        <f>IF($A181="","",_xlfn.SUMIFS(Socle!$V$1:$V$658,Socle!$C$1:$C$658,$A181,Socle!$D$1:$D$658,$C181,Socle!$E$1:$E$658,$D181,Socle!$F$1:$F$658,$E181,Socle!$G$1:$G$658,"2026"))</f>
        <v>0.977777778</v>
      </c>
      <c r="N181">
        <f t="shared" si="0"/>
        <v>0</v>
      </c>
      <c r="O181">
        <f>IF($A181="","",_xlfn.SUMIFS(Campagne!$D$1:$D$141,Campagne!$C$1:$C$141,$A181))</f>
        <v>738</v>
      </c>
      <c r="P181">
        <f>IF($A181="","",_xlfn.SUMIFS(Campagne!$E$1:$E$141,Campagne!$C$1:$C$141,$A181))</f>
        <v>832</v>
      </c>
      <c r="Q181">
        <f>IF($A181="","",_xlfn.SUMIFS(Campagne!$F$1:$F$141,Campagne!$C$1:$C$141,$A181))</f>
        <v>1570</v>
      </c>
      <c r="R181">
        <f>IF($A181="","",_xlfn.SUMIFS(Campagne!$K$1:$K$141,Campagne!$C$1:$C$141,$A181))</f>
        <v>0.440450262</v>
      </c>
      <c r="S181">
        <f>IF($A181="","",_xlfn.SUMIFS(Campagne!$M$1:$M$141,Campagne!$C$1:$C$141,$A181))</f>
        <v>0.343045779</v>
      </c>
      <c r="T181">
        <f>IF($A181="","",_xlfn.SUMIFS(Pilotage!$K$19:$K$32,Pilotage!$A$19:$A$32,$A181)*_xlfn.SUMIFS(Pilotage!$J$19:$J$32,Pilotage!$A$19:$A$32,$A181)*(SUM(Pilotage!$K$19:$K$32)/SUMPRODUCT(Pilotage!$K$19:$K$32,Pilotage!$J$19:$J$32)))</f>
        <v>36612</v>
      </c>
      <c r="U181">
        <f>IF($A181="","",_xlfn.SUMIFS(Pilotage!$K$19:$K$32,Pilotage!$A$19:$A$32,$A181))</f>
        <v>36612</v>
      </c>
      <c r="V181">
        <f>IF($A181="","",IF($B181="V01",Cadrage!$C$23,IF($B181="V02",Cadrage!$D$23,Cadrage!$E$23)))</f>
        <v>-0.05</v>
      </c>
      <c r="W181">
        <f>IF($A181="","",IF($B181="V01",Cadrage!$C$24,IF($B181="V02",Cadrage!$D$24,Cadrage!$E$24)))</f>
        <v>-0.05</v>
      </c>
      <c r="X181">
        <f>IF($A181="","",IF($B181="V01",Cadrage!$C$25,IF($B181="V02",Cadrage!$D$25,Cadrage!$E$25)))</f>
        <v>0.02</v>
      </c>
      <c r="Y181">
        <f>IF($A181="","",IF($B181="V01",Cadrage!$C$26,IF($B181="V02",Cadrage!$D$26,Cadrage!$E$26)))</f>
        <v>-0.01</v>
      </c>
      <c r="Z181">
        <f>IF($A181="","",IF($B181="V01",Cadrage!$C$27,IF($B181="V02",Cadrage!$D$27,Cadrage!$E$27)))</f>
        <v>-0.01</v>
      </c>
      <c r="AA181">
        <f>IF($A181="","",IF($B181="V01",Cadrage!$C$28,IF($B181="V02",Cadrage!$D$28,Cadrage!$E$28)))</f>
        <v>-0.01</v>
      </c>
      <c r="AB181">
        <f>IF($A181="","",IF($B181="V01",Cadrage!$C$42,IF($B181="V02",Cadrage!$D$42,Cadrage!$E$42)))</f>
        <v>90</v>
      </c>
      <c r="AC181">
        <f>IF($A181="","",IF($F181="MBWAY",Cadrage!$K$34,IF($F181="ISCOM",Cadrage!$K$35,IF($F181="IPAC",Cadrage!$K$36,IF($F181="PIGIER",Cadrage!$K$37,Cadrage!$K$38)))))</f>
        <v>0.9</v>
      </c>
      <c r="AD181">
        <f t="shared" si="1"/>
        <v>0</v>
      </c>
      <c r="AE181">
        <f t="shared" si="2"/>
        <v>0</v>
      </c>
      <c r="AF181">
        <f t="shared" si="3"/>
        <v>43.55000001</v>
      </c>
      <c r="AG181">
        <f t="shared" si="4"/>
        <v>7482.3</v>
      </c>
      <c r="AH181">
        <f t="shared" si="5"/>
        <v>325854.165074823</v>
      </c>
    </row>
    <row r="182" ht="14.25" customHeight="1">
      <c r="A182" t="str">
        <f>IF(Moteur!D182="","",Moteur!D182)</f>
        <v/>
      </c>
      <c r="B182" t="str">
        <f>IF(Moteur!B182="","",Moteur!B182)</f>
        <v/>
      </c>
      <c r="C182" t="str">
        <f>IF(Moteur!F182="","",Moteur!F182)</f>
        <v/>
      </c>
      <c r="D182" t="str">
        <f>IF(Moteur!G182="","",Moteur!G182)</f>
        <v/>
      </c>
      <c r="E182" t="str">
        <f>IF(Moteur!H182="","",Moteur!H182)</f>
        <v/>
      </c>
      <c r="F182" t="str">
        <f>IF(Moteur!E182="","",Moteur!E182)</f>
        <v/>
      </c>
      <c r="G182" t="str">
        <f>IF($A182="","",_xlfn.SUMIFS(Socle!$H$1:$H$658,Socle!$C$1:$C$658,$A182,Socle!$D$1:$D$658,$C182,Socle!$E$1:$E$658,$D182,Socle!$F$1:$F$658,$E182,Socle!$G$1:$G$658,"2026"))</f>
        <v/>
      </c>
      <c r="H182" t="str">
        <f>IF($A182="","",_xlfn.SUMIFS(Socle!$N$1:$N$658,Socle!$C$1:$C$658,$A182,Socle!$D$1:$D$658,$C182,Socle!$E$1:$E$658,$D182,Socle!$F$1:$F$658,$E182,Socle!$G$1:$G$658,"2026"))</f>
        <v/>
      </c>
      <c r="I182" t="str">
        <f>IF($A182="","",_xlfn.SUMIFS(Socle!$P$1:$P$658,Socle!$C$1:$C$658,$A182,Socle!$D$1:$D$658,$C182,Socle!$E$1:$E$658,$D182,Socle!$F$1:$F$658,$E182,Socle!$G$1:$G$658,"2026"))</f>
        <v/>
      </c>
      <c r="J182" t="str">
        <f>IF($A182="","",_xlfn.SUMIFS(Socle!$W$1:$W$658,Socle!$C$1:$C$658,$A182,Socle!$D$1:$D$658,$C182,Socle!$E$1:$E$658,$D182,Socle!$F$1:$F$658,$E182,Socle!$G$1:$G$658,"2026"))</f>
        <v/>
      </c>
      <c r="K182" t="str">
        <f>IF($A182="","",_xlfn.SUMIFS(Socle!$X$1:$X$658,Socle!$C$1:$C$658,$A182,Socle!$D$1:$D$658,$C182,Socle!$E$1:$E$658,$D182,Socle!$F$1:$F$658,$E182,Socle!$G$1:$G$658,"2026"))</f>
        <v/>
      </c>
      <c r="L182" t="str">
        <f>IF($A182="","",_xlfn.SUMIFS(Socle!$Y$1:$Y$658,Socle!$C$1:$C$658,$A182,Socle!$D$1:$D$658,$C182,Socle!$E$1:$E$658,$D182,Socle!$F$1:$F$658,$E182,Socle!$G$1:$G$658,"2026"))</f>
        <v/>
      </c>
      <c r="M182" t="str">
        <f>IF($A182="","",_xlfn.SUMIFS(Socle!$V$1:$V$658,Socle!$C$1:$C$658,$A182,Socle!$D$1:$D$658,$C182,Socle!$E$1:$E$658,$D182,Socle!$F$1:$F$658,$E182,Socle!$G$1:$G$658,"2026"))</f>
        <v/>
      </c>
      <c r="N182" t="str">
        <f t="shared" si="0"/>
        <v/>
      </c>
      <c r="O182" t="str">
        <f>IF($A182="","",_xlfn.SUMIFS(Campagne!$D$1:$D$141,Campagne!$C$1:$C$141,$A182))</f>
        <v/>
      </c>
      <c r="P182" t="str">
        <f>IF($A182="","",_xlfn.SUMIFS(Campagne!$E$1:$E$141,Campagne!$C$1:$C$141,$A182))</f>
        <v/>
      </c>
      <c r="Q182" t="str">
        <f>IF($A182="","",_xlfn.SUMIFS(Campagne!$F$1:$F$141,Campagne!$C$1:$C$141,$A182))</f>
        <v/>
      </c>
      <c r="R182" t="str">
        <f>IF($A182="","",_xlfn.SUMIFS(Campagne!$K$1:$K$141,Campagne!$C$1:$C$141,$A182))</f>
        <v/>
      </c>
      <c r="S182" t="str">
        <f>IF($A182="","",_xlfn.SUMIFS(Campagne!$M$1:$M$141,Campagne!$C$1:$C$141,$A182))</f>
        <v/>
      </c>
      <c r="T182" t="str">
        <f>IF($A182="","",_xlfn.SUMIFS(Pilotage!$K$19:$K$32,Pilotage!$A$19:$A$32,$A182)*_xlfn.SUMIFS(Pilotage!$J$19:$J$32,Pilotage!$A$19:$A$32,$A182)*(SUM(Pilotage!$K$19:$K$32)/SUMPRODUCT(Pilotage!$K$19:$K$32,Pilotage!$J$19:$J$32)))</f>
        <v/>
      </c>
      <c r="U182" t="str">
        <f>IF($A182="","",_xlfn.SUMIFS(Pilotage!$K$19:$K$32,Pilotage!$A$19:$A$32,$A182))</f>
        <v/>
      </c>
      <c r="V182" t="str">
        <f>IF($A182="","",IF($B182="V01",Cadrage!$C$23,IF($B182="V02",Cadrage!$D$23,Cadrage!$E$23)))</f>
        <v/>
      </c>
      <c r="W182" t="str">
        <f>IF($A182="","",IF($B182="V01",Cadrage!$C$24,IF($B182="V02",Cadrage!$D$24,Cadrage!$E$24)))</f>
        <v/>
      </c>
      <c r="X182" t="str">
        <f>IF($A182="","",IF($B182="V01",Cadrage!$C$25,IF($B182="V02",Cadrage!$D$25,Cadrage!$E$25)))</f>
        <v/>
      </c>
      <c r="Y182" t="str">
        <f>IF($A182="","",IF($B182="V01",Cadrage!$C$26,IF($B182="V02",Cadrage!$D$26,Cadrage!$E$26)))</f>
        <v/>
      </c>
      <c r="Z182" t="str">
        <f>IF($A182="","",IF($B182="V01",Cadrage!$C$27,IF($B182="V02",Cadrage!$D$27,Cadrage!$E$27)))</f>
        <v/>
      </c>
      <c r="AA182" t="str">
        <f>IF($A182="","",IF($B182="V01",Cadrage!$C$28,IF($B182="V02",Cadrage!$D$28,Cadrage!$E$28)))</f>
        <v/>
      </c>
      <c r="AB182" t="str">
        <f>IF($A182="","",IF($B182="V01",Cadrage!$C$42,IF($B182="V02",Cadrage!$D$42,Cadrage!$E$42)))</f>
        <v/>
      </c>
      <c r="AC182" t="str">
        <f>IF($A182="","",IF($F182="MBWAY",Cadrage!$K$34,IF($F182="ISCOM",Cadrage!$K$35,IF($F182="IPAC",Cadrage!$K$36,IF($F182="PIGIER",Cadrage!$K$37,Cadrage!$K$38)))))</f>
        <v/>
      </c>
      <c r="AD182" t="str">
        <f t="shared" si="1"/>
        <v/>
      </c>
      <c r="AE182" t="str">
        <f t="shared" si="2"/>
        <v/>
      </c>
      <c r="AF182" t="str">
        <f t="shared" si="3"/>
        <v/>
      </c>
      <c r="AG182" t="str">
        <f t="shared" si="4"/>
        <v/>
      </c>
      <c r="AH182" t="str">
        <f t="shared" si="5"/>
        <v/>
      </c>
    </row>
    <row r="183" ht="14.25" customHeight="1">
      <c r="A183" t="str">
        <f>IF(Moteur!D183="","",Moteur!D183)</f>
        <v/>
      </c>
      <c r="B183" t="str">
        <f>IF(Moteur!B183="","",Moteur!B183)</f>
        <v/>
      </c>
      <c r="C183" t="str">
        <f>IF(Moteur!F183="","",Moteur!F183)</f>
        <v/>
      </c>
      <c r="D183" t="str">
        <f>IF(Moteur!G183="","",Moteur!G183)</f>
        <v/>
      </c>
      <c r="E183" t="str">
        <f>IF(Moteur!H183="","",Moteur!H183)</f>
        <v/>
      </c>
      <c r="F183" t="str">
        <f>IF(Moteur!E183="","",Moteur!E183)</f>
        <v/>
      </c>
      <c r="G183" t="str">
        <f>IF($A183="","",_xlfn.SUMIFS(Socle!$H$1:$H$658,Socle!$C$1:$C$658,$A183,Socle!$D$1:$D$658,$C183,Socle!$E$1:$E$658,$D183,Socle!$F$1:$F$658,$E183,Socle!$G$1:$G$658,"2026"))</f>
        <v/>
      </c>
      <c r="H183" t="str">
        <f>IF($A183="","",_xlfn.SUMIFS(Socle!$N$1:$N$658,Socle!$C$1:$C$658,$A183,Socle!$D$1:$D$658,$C183,Socle!$E$1:$E$658,$D183,Socle!$F$1:$F$658,$E183,Socle!$G$1:$G$658,"2026"))</f>
        <v/>
      </c>
      <c r="I183" t="str">
        <f>IF($A183="","",_xlfn.SUMIFS(Socle!$P$1:$P$658,Socle!$C$1:$C$658,$A183,Socle!$D$1:$D$658,$C183,Socle!$E$1:$E$658,$D183,Socle!$F$1:$F$658,$E183,Socle!$G$1:$G$658,"2026"))</f>
        <v/>
      </c>
      <c r="J183" t="str">
        <f>IF($A183="","",_xlfn.SUMIFS(Socle!$W$1:$W$658,Socle!$C$1:$C$658,$A183,Socle!$D$1:$D$658,$C183,Socle!$E$1:$E$658,$D183,Socle!$F$1:$F$658,$E183,Socle!$G$1:$G$658,"2026"))</f>
        <v/>
      </c>
      <c r="K183" t="str">
        <f>IF($A183="","",_xlfn.SUMIFS(Socle!$X$1:$X$658,Socle!$C$1:$C$658,$A183,Socle!$D$1:$D$658,$C183,Socle!$E$1:$E$658,$D183,Socle!$F$1:$F$658,$E183,Socle!$G$1:$G$658,"2026"))</f>
        <v/>
      </c>
      <c r="L183" t="str">
        <f>IF($A183="","",_xlfn.SUMIFS(Socle!$Y$1:$Y$658,Socle!$C$1:$C$658,$A183,Socle!$D$1:$D$658,$C183,Socle!$E$1:$E$658,$D183,Socle!$F$1:$F$658,$E183,Socle!$G$1:$G$658,"2026"))</f>
        <v/>
      </c>
      <c r="M183" t="str">
        <f>IF($A183="","",_xlfn.SUMIFS(Socle!$V$1:$V$658,Socle!$C$1:$C$658,$A183,Socle!$D$1:$D$658,$C183,Socle!$E$1:$E$658,$D183,Socle!$F$1:$F$658,$E183,Socle!$G$1:$G$658,"2026"))</f>
        <v/>
      </c>
      <c r="N183" t="str">
        <f t="shared" si="0"/>
        <v/>
      </c>
      <c r="O183" t="str">
        <f>IF($A183="","",_xlfn.SUMIFS(Campagne!$D$1:$D$141,Campagne!$C$1:$C$141,$A183))</f>
        <v/>
      </c>
      <c r="P183" t="str">
        <f>IF($A183="","",_xlfn.SUMIFS(Campagne!$E$1:$E$141,Campagne!$C$1:$C$141,$A183))</f>
        <v/>
      </c>
      <c r="Q183" t="str">
        <f>IF($A183="","",_xlfn.SUMIFS(Campagne!$F$1:$F$141,Campagne!$C$1:$C$141,$A183))</f>
        <v/>
      </c>
      <c r="R183" t="str">
        <f>IF($A183="","",_xlfn.SUMIFS(Campagne!$K$1:$K$141,Campagne!$C$1:$C$141,$A183))</f>
        <v/>
      </c>
      <c r="S183" t="str">
        <f>IF($A183="","",_xlfn.SUMIFS(Campagne!$M$1:$M$141,Campagne!$C$1:$C$141,$A183))</f>
        <v/>
      </c>
      <c r="T183" t="str">
        <f>IF($A183="","",_xlfn.SUMIFS(Pilotage!$K$19:$K$32,Pilotage!$A$19:$A$32,$A183)*_xlfn.SUMIFS(Pilotage!$J$19:$J$32,Pilotage!$A$19:$A$32,$A183)*(SUM(Pilotage!$K$19:$K$32)/SUMPRODUCT(Pilotage!$K$19:$K$32,Pilotage!$J$19:$J$32)))</f>
        <v/>
      </c>
      <c r="U183" t="str">
        <f>IF($A183="","",_xlfn.SUMIFS(Pilotage!$K$19:$K$32,Pilotage!$A$19:$A$32,$A183))</f>
        <v/>
      </c>
      <c r="V183" t="str">
        <f>IF($A183="","",IF($B183="V01",Cadrage!$C$23,IF($B183="V02",Cadrage!$D$23,Cadrage!$E$23)))</f>
        <v/>
      </c>
      <c r="W183" t="str">
        <f>IF($A183="","",IF($B183="V01",Cadrage!$C$24,IF($B183="V02",Cadrage!$D$24,Cadrage!$E$24)))</f>
        <v/>
      </c>
      <c r="X183" t="str">
        <f>IF($A183="","",IF($B183="V01",Cadrage!$C$25,IF($B183="V02",Cadrage!$D$25,Cadrage!$E$25)))</f>
        <v/>
      </c>
      <c r="Y183" t="str">
        <f>IF($A183="","",IF($B183="V01",Cadrage!$C$26,IF($B183="V02",Cadrage!$D$26,Cadrage!$E$26)))</f>
        <v/>
      </c>
      <c r="Z183" t="str">
        <f>IF($A183="","",IF($B183="V01",Cadrage!$C$27,IF($B183="V02",Cadrage!$D$27,Cadrage!$E$27)))</f>
        <v/>
      </c>
      <c r="AA183" t="str">
        <f>IF($A183="","",IF($B183="V01",Cadrage!$C$28,IF($B183="V02",Cadrage!$D$28,Cadrage!$E$28)))</f>
        <v/>
      </c>
      <c r="AB183" t="str">
        <f>IF($A183="","",IF($B183="V01",Cadrage!$C$42,IF($B183="V02",Cadrage!$D$42,Cadrage!$E$42)))</f>
        <v/>
      </c>
      <c r="AC183" t="str">
        <f>IF($A183="","",IF($F183="MBWAY",Cadrage!$K$34,IF($F183="ISCOM",Cadrage!$K$35,IF($F183="IPAC",Cadrage!$K$36,IF($F183="PIGIER",Cadrage!$K$37,Cadrage!$K$38)))))</f>
        <v/>
      </c>
      <c r="AD183" t="str">
        <f t="shared" si="1"/>
        <v/>
      </c>
      <c r="AE183" t="str">
        <f t="shared" si="2"/>
        <v/>
      </c>
      <c r="AF183" t="str">
        <f t="shared" si="3"/>
        <v/>
      </c>
      <c r="AG183" t="str">
        <f t="shared" si="4"/>
        <v/>
      </c>
      <c r="AH183" t="str">
        <f t="shared" si="5"/>
        <v/>
      </c>
    </row>
    <row r="184" ht="14.25" customHeight="1">
      <c r="A184" t="str">
        <f>IF(Moteur!D184="","",Moteur!D184)</f>
        <v/>
      </c>
      <c r="B184" t="str">
        <f>IF(Moteur!B184="","",Moteur!B184)</f>
        <v/>
      </c>
      <c r="C184" t="str">
        <f>IF(Moteur!F184="","",Moteur!F184)</f>
        <v/>
      </c>
      <c r="D184" t="str">
        <f>IF(Moteur!G184="","",Moteur!G184)</f>
        <v/>
      </c>
      <c r="E184" t="str">
        <f>IF(Moteur!H184="","",Moteur!H184)</f>
        <v/>
      </c>
      <c r="F184" t="str">
        <f>IF(Moteur!E184="","",Moteur!E184)</f>
        <v/>
      </c>
      <c r="G184" t="str">
        <f>IF($A184="","",_xlfn.SUMIFS(Socle!$H$1:$H$658,Socle!$C$1:$C$658,$A184,Socle!$D$1:$D$658,$C184,Socle!$E$1:$E$658,$D184,Socle!$F$1:$F$658,$E184,Socle!$G$1:$G$658,"2026"))</f>
        <v/>
      </c>
      <c r="H184" t="str">
        <f>IF($A184="","",_xlfn.SUMIFS(Socle!$N$1:$N$658,Socle!$C$1:$C$658,$A184,Socle!$D$1:$D$658,$C184,Socle!$E$1:$E$658,$D184,Socle!$F$1:$F$658,$E184,Socle!$G$1:$G$658,"2026"))</f>
        <v/>
      </c>
      <c r="I184" t="str">
        <f>IF($A184="","",_xlfn.SUMIFS(Socle!$P$1:$P$658,Socle!$C$1:$C$658,$A184,Socle!$D$1:$D$658,$C184,Socle!$E$1:$E$658,$D184,Socle!$F$1:$F$658,$E184,Socle!$G$1:$G$658,"2026"))</f>
        <v/>
      </c>
      <c r="J184" t="str">
        <f>IF($A184="","",_xlfn.SUMIFS(Socle!$W$1:$W$658,Socle!$C$1:$C$658,$A184,Socle!$D$1:$D$658,$C184,Socle!$E$1:$E$658,$D184,Socle!$F$1:$F$658,$E184,Socle!$G$1:$G$658,"2026"))</f>
        <v/>
      </c>
      <c r="K184" t="str">
        <f>IF($A184="","",_xlfn.SUMIFS(Socle!$X$1:$X$658,Socle!$C$1:$C$658,$A184,Socle!$D$1:$D$658,$C184,Socle!$E$1:$E$658,$D184,Socle!$F$1:$F$658,$E184,Socle!$G$1:$G$658,"2026"))</f>
        <v/>
      </c>
      <c r="L184" t="str">
        <f>IF($A184="","",_xlfn.SUMIFS(Socle!$Y$1:$Y$658,Socle!$C$1:$C$658,$A184,Socle!$D$1:$D$658,$C184,Socle!$E$1:$E$658,$D184,Socle!$F$1:$F$658,$E184,Socle!$G$1:$G$658,"2026"))</f>
        <v/>
      </c>
      <c r="M184" t="str">
        <f>IF($A184="","",_xlfn.SUMIFS(Socle!$V$1:$V$658,Socle!$C$1:$C$658,$A184,Socle!$D$1:$D$658,$C184,Socle!$E$1:$E$658,$D184,Socle!$F$1:$F$658,$E184,Socle!$G$1:$G$658,"2026"))</f>
        <v/>
      </c>
      <c r="N184" t="str">
        <f t="shared" si="0"/>
        <v/>
      </c>
      <c r="O184" t="str">
        <f>IF($A184="","",_xlfn.SUMIFS(Campagne!$D$1:$D$141,Campagne!$C$1:$C$141,$A184))</f>
        <v/>
      </c>
      <c r="P184" t="str">
        <f>IF($A184="","",_xlfn.SUMIFS(Campagne!$E$1:$E$141,Campagne!$C$1:$C$141,$A184))</f>
        <v/>
      </c>
      <c r="Q184" t="str">
        <f>IF($A184="","",_xlfn.SUMIFS(Campagne!$F$1:$F$141,Campagne!$C$1:$C$141,$A184))</f>
        <v/>
      </c>
      <c r="R184" t="str">
        <f>IF($A184="","",_xlfn.SUMIFS(Campagne!$K$1:$K$141,Campagne!$C$1:$C$141,$A184))</f>
        <v/>
      </c>
      <c r="S184" t="str">
        <f>IF($A184="","",_xlfn.SUMIFS(Campagne!$M$1:$M$141,Campagne!$C$1:$C$141,$A184))</f>
        <v/>
      </c>
      <c r="T184" t="str">
        <f>IF($A184="","",_xlfn.SUMIFS(Pilotage!$K$19:$K$32,Pilotage!$A$19:$A$32,$A184)*_xlfn.SUMIFS(Pilotage!$J$19:$J$32,Pilotage!$A$19:$A$32,$A184)*(SUM(Pilotage!$K$19:$K$32)/SUMPRODUCT(Pilotage!$K$19:$K$32,Pilotage!$J$19:$J$32)))</f>
        <v/>
      </c>
      <c r="U184" t="str">
        <f>IF($A184="","",_xlfn.SUMIFS(Pilotage!$K$19:$K$32,Pilotage!$A$19:$A$32,$A184))</f>
        <v/>
      </c>
      <c r="V184" t="str">
        <f>IF($A184="","",IF($B184="V01",Cadrage!$C$23,IF($B184="V02",Cadrage!$D$23,Cadrage!$E$23)))</f>
        <v/>
      </c>
      <c r="W184" t="str">
        <f>IF($A184="","",IF($B184="V01",Cadrage!$C$24,IF($B184="V02",Cadrage!$D$24,Cadrage!$E$24)))</f>
        <v/>
      </c>
      <c r="X184" t="str">
        <f>IF($A184="","",IF($B184="V01",Cadrage!$C$25,IF($B184="V02",Cadrage!$D$25,Cadrage!$E$25)))</f>
        <v/>
      </c>
      <c r="Y184" t="str">
        <f>IF($A184="","",IF($B184="V01",Cadrage!$C$26,IF($B184="V02",Cadrage!$D$26,Cadrage!$E$26)))</f>
        <v/>
      </c>
      <c r="Z184" t="str">
        <f>IF($A184="","",IF($B184="V01",Cadrage!$C$27,IF($B184="V02",Cadrage!$D$27,Cadrage!$E$27)))</f>
        <v/>
      </c>
      <c r="AA184" t="str">
        <f>IF($A184="","",IF($B184="V01",Cadrage!$C$28,IF($B184="V02",Cadrage!$D$28,Cadrage!$E$28)))</f>
        <v/>
      </c>
      <c r="AB184" t="str">
        <f>IF($A184="","",IF($B184="V01",Cadrage!$C$42,IF($B184="V02",Cadrage!$D$42,Cadrage!$E$42)))</f>
        <v/>
      </c>
      <c r="AC184" t="str">
        <f>IF($A184="","",IF($F184="MBWAY",Cadrage!$K$34,IF($F184="ISCOM",Cadrage!$K$35,IF($F184="IPAC",Cadrage!$K$36,IF($F184="PIGIER",Cadrage!$K$37,Cadrage!$K$38)))))</f>
        <v/>
      </c>
      <c r="AD184" t="str">
        <f t="shared" si="1"/>
        <v/>
      </c>
      <c r="AE184" t="str">
        <f t="shared" si="2"/>
        <v/>
      </c>
      <c r="AF184" t="str">
        <f t="shared" si="3"/>
        <v/>
      </c>
      <c r="AG184" t="str">
        <f t="shared" si="4"/>
        <v/>
      </c>
      <c r="AH184" t="str">
        <f t="shared" si="5"/>
        <v/>
      </c>
    </row>
    <row r="185" ht="14.25" customHeight="1">
      <c r="A185" t="str">
        <f>IF(Moteur!D185="","",Moteur!D185)</f>
        <v/>
      </c>
      <c r="B185" t="str">
        <f>IF(Moteur!B185="","",Moteur!B185)</f>
        <v/>
      </c>
      <c r="C185" t="str">
        <f>IF(Moteur!F185="","",Moteur!F185)</f>
        <v/>
      </c>
      <c r="D185" t="str">
        <f>IF(Moteur!G185="","",Moteur!G185)</f>
        <v/>
      </c>
      <c r="E185" t="str">
        <f>IF(Moteur!H185="","",Moteur!H185)</f>
        <v/>
      </c>
      <c r="F185" t="str">
        <f>IF(Moteur!E185="","",Moteur!E185)</f>
        <v/>
      </c>
      <c r="G185" t="str">
        <f>IF($A185="","",_xlfn.SUMIFS(Socle!$H$1:$H$658,Socle!$C$1:$C$658,$A185,Socle!$D$1:$D$658,$C185,Socle!$E$1:$E$658,$D185,Socle!$F$1:$F$658,$E185,Socle!$G$1:$G$658,"2026"))</f>
        <v/>
      </c>
      <c r="H185" t="str">
        <f>IF($A185="","",_xlfn.SUMIFS(Socle!$N$1:$N$658,Socle!$C$1:$C$658,$A185,Socle!$D$1:$D$658,$C185,Socle!$E$1:$E$658,$D185,Socle!$F$1:$F$658,$E185,Socle!$G$1:$G$658,"2026"))</f>
        <v/>
      </c>
      <c r="I185" t="str">
        <f>IF($A185="","",_xlfn.SUMIFS(Socle!$P$1:$P$658,Socle!$C$1:$C$658,$A185,Socle!$D$1:$D$658,$C185,Socle!$E$1:$E$658,$D185,Socle!$F$1:$F$658,$E185,Socle!$G$1:$G$658,"2026"))</f>
        <v/>
      </c>
      <c r="J185" t="str">
        <f>IF($A185="","",_xlfn.SUMIFS(Socle!$W$1:$W$658,Socle!$C$1:$C$658,$A185,Socle!$D$1:$D$658,$C185,Socle!$E$1:$E$658,$D185,Socle!$F$1:$F$658,$E185,Socle!$G$1:$G$658,"2026"))</f>
        <v/>
      </c>
      <c r="K185" t="str">
        <f>IF($A185="","",_xlfn.SUMIFS(Socle!$X$1:$X$658,Socle!$C$1:$C$658,$A185,Socle!$D$1:$D$658,$C185,Socle!$E$1:$E$658,$D185,Socle!$F$1:$F$658,$E185,Socle!$G$1:$G$658,"2026"))</f>
        <v/>
      </c>
      <c r="L185" t="str">
        <f>IF($A185="","",_xlfn.SUMIFS(Socle!$Y$1:$Y$658,Socle!$C$1:$C$658,$A185,Socle!$D$1:$D$658,$C185,Socle!$E$1:$E$658,$D185,Socle!$F$1:$F$658,$E185,Socle!$G$1:$G$658,"2026"))</f>
        <v/>
      </c>
      <c r="M185" t="str">
        <f>IF($A185="","",_xlfn.SUMIFS(Socle!$V$1:$V$658,Socle!$C$1:$C$658,$A185,Socle!$D$1:$D$658,$C185,Socle!$E$1:$E$658,$D185,Socle!$F$1:$F$658,$E185,Socle!$G$1:$G$658,"2026"))</f>
        <v/>
      </c>
      <c r="N185" t="str">
        <f t="shared" si="0"/>
        <v/>
      </c>
      <c r="O185" t="str">
        <f>IF($A185="","",_xlfn.SUMIFS(Campagne!$D$1:$D$141,Campagne!$C$1:$C$141,$A185))</f>
        <v/>
      </c>
      <c r="P185" t="str">
        <f>IF($A185="","",_xlfn.SUMIFS(Campagne!$E$1:$E$141,Campagne!$C$1:$C$141,$A185))</f>
        <v/>
      </c>
      <c r="Q185" t="str">
        <f>IF($A185="","",_xlfn.SUMIFS(Campagne!$F$1:$F$141,Campagne!$C$1:$C$141,$A185))</f>
        <v/>
      </c>
      <c r="R185" t="str">
        <f>IF($A185="","",_xlfn.SUMIFS(Campagne!$K$1:$K$141,Campagne!$C$1:$C$141,$A185))</f>
        <v/>
      </c>
      <c r="S185" t="str">
        <f>IF($A185="","",_xlfn.SUMIFS(Campagne!$M$1:$M$141,Campagne!$C$1:$C$141,$A185))</f>
        <v/>
      </c>
      <c r="T185" t="str">
        <f>IF($A185="","",_xlfn.SUMIFS(Pilotage!$K$19:$K$32,Pilotage!$A$19:$A$32,$A185)*_xlfn.SUMIFS(Pilotage!$J$19:$J$32,Pilotage!$A$19:$A$32,$A185)*(SUM(Pilotage!$K$19:$K$32)/SUMPRODUCT(Pilotage!$K$19:$K$32,Pilotage!$J$19:$J$32)))</f>
        <v/>
      </c>
      <c r="U185" t="str">
        <f>IF($A185="","",_xlfn.SUMIFS(Pilotage!$K$19:$K$32,Pilotage!$A$19:$A$32,$A185))</f>
        <v/>
      </c>
      <c r="V185" t="str">
        <f>IF($A185="","",IF($B185="V01",Cadrage!$C$23,IF($B185="V02",Cadrage!$D$23,Cadrage!$E$23)))</f>
        <v/>
      </c>
      <c r="W185" t="str">
        <f>IF($A185="","",IF($B185="V01",Cadrage!$C$24,IF($B185="V02",Cadrage!$D$24,Cadrage!$E$24)))</f>
        <v/>
      </c>
      <c r="X185" t="str">
        <f>IF($A185="","",IF($B185="V01",Cadrage!$C$25,IF($B185="V02",Cadrage!$D$25,Cadrage!$E$25)))</f>
        <v/>
      </c>
      <c r="Y185" t="str">
        <f>IF($A185="","",IF($B185="V01",Cadrage!$C$26,IF($B185="V02",Cadrage!$D$26,Cadrage!$E$26)))</f>
        <v/>
      </c>
      <c r="Z185" t="str">
        <f>IF($A185="","",IF($B185="V01",Cadrage!$C$27,IF($B185="V02",Cadrage!$D$27,Cadrage!$E$27)))</f>
        <v/>
      </c>
      <c r="AA185" t="str">
        <f>IF($A185="","",IF($B185="V01",Cadrage!$C$28,IF($B185="V02",Cadrage!$D$28,Cadrage!$E$28)))</f>
        <v/>
      </c>
      <c r="AB185" t="str">
        <f>IF($A185="","",IF($B185="V01",Cadrage!$C$42,IF($B185="V02",Cadrage!$D$42,Cadrage!$E$42)))</f>
        <v/>
      </c>
      <c r="AC185" t="str">
        <f>IF($A185="","",IF($F185="MBWAY",Cadrage!$K$34,IF($F185="ISCOM",Cadrage!$K$35,IF($F185="IPAC",Cadrage!$K$36,IF($F185="PIGIER",Cadrage!$K$37,Cadrage!$K$38)))))</f>
        <v/>
      </c>
      <c r="AD185" t="str">
        <f t="shared" si="1"/>
        <v/>
      </c>
      <c r="AE185" t="str">
        <f t="shared" si="2"/>
        <v/>
      </c>
      <c r="AF185" t="str">
        <f t="shared" si="3"/>
        <v/>
      </c>
      <c r="AG185" t="str">
        <f t="shared" si="4"/>
        <v/>
      </c>
      <c r="AH185" t="str">
        <f t="shared" si="5"/>
        <v/>
      </c>
    </row>
    <row r="186" ht="14.25" customHeight="1">
      <c r="A186" t="str">
        <f>IF(Moteur!D186="","",Moteur!D186)</f>
        <v/>
      </c>
      <c r="B186" t="str">
        <f>IF(Moteur!B186="","",Moteur!B186)</f>
        <v/>
      </c>
      <c r="C186" t="str">
        <f>IF(Moteur!F186="","",Moteur!F186)</f>
        <v/>
      </c>
      <c r="D186" t="str">
        <f>IF(Moteur!G186="","",Moteur!G186)</f>
        <v/>
      </c>
      <c r="E186" t="str">
        <f>IF(Moteur!H186="","",Moteur!H186)</f>
        <v/>
      </c>
      <c r="F186" t="str">
        <f>IF(Moteur!E186="","",Moteur!E186)</f>
        <v/>
      </c>
      <c r="G186" t="str">
        <f>IF($A186="","",_xlfn.SUMIFS(Socle!$H$1:$H$658,Socle!$C$1:$C$658,$A186,Socle!$D$1:$D$658,$C186,Socle!$E$1:$E$658,$D186,Socle!$F$1:$F$658,$E186,Socle!$G$1:$G$658,"2026"))</f>
        <v/>
      </c>
      <c r="H186" t="str">
        <f>IF($A186="","",_xlfn.SUMIFS(Socle!$N$1:$N$658,Socle!$C$1:$C$658,$A186,Socle!$D$1:$D$658,$C186,Socle!$E$1:$E$658,$D186,Socle!$F$1:$F$658,$E186,Socle!$G$1:$G$658,"2026"))</f>
        <v/>
      </c>
      <c r="I186" t="str">
        <f>IF($A186="","",_xlfn.SUMIFS(Socle!$P$1:$P$658,Socle!$C$1:$C$658,$A186,Socle!$D$1:$D$658,$C186,Socle!$E$1:$E$658,$D186,Socle!$F$1:$F$658,$E186,Socle!$G$1:$G$658,"2026"))</f>
        <v/>
      </c>
      <c r="J186" t="str">
        <f>IF($A186="","",_xlfn.SUMIFS(Socle!$W$1:$W$658,Socle!$C$1:$C$658,$A186,Socle!$D$1:$D$658,$C186,Socle!$E$1:$E$658,$D186,Socle!$F$1:$F$658,$E186,Socle!$G$1:$G$658,"2026"))</f>
        <v/>
      </c>
      <c r="K186" t="str">
        <f>IF($A186="","",_xlfn.SUMIFS(Socle!$X$1:$X$658,Socle!$C$1:$C$658,$A186,Socle!$D$1:$D$658,$C186,Socle!$E$1:$E$658,$D186,Socle!$F$1:$F$658,$E186,Socle!$G$1:$G$658,"2026"))</f>
        <v/>
      </c>
      <c r="L186" t="str">
        <f>IF($A186="","",_xlfn.SUMIFS(Socle!$Y$1:$Y$658,Socle!$C$1:$C$658,$A186,Socle!$D$1:$D$658,$C186,Socle!$E$1:$E$658,$D186,Socle!$F$1:$F$658,$E186,Socle!$G$1:$G$658,"2026"))</f>
        <v/>
      </c>
      <c r="M186" t="str">
        <f>IF($A186="","",_xlfn.SUMIFS(Socle!$V$1:$V$658,Socle!$C$1:$C$658,$A186,Socle!$D$1:$D$658,$C186,Socle!$E$1:$E$658,$D186,Socle!$F$1:$F$658,$E186,Socle!$G$1:$G$658,"2026"))</f>
        <v/>
      </c>
      <c r="N186" t="str">
        <f t="shared" si="0"/>
        <v/>
      </c>
      <c r="O186" t="str">
        <f>IF($A186="","",_xlfn.SUMIFS(Campagne!$D$1:$D$141,Campagne!$C$1:$C$141,$A186))</f>
        <v/>
      </c>
      <c r="P186" t="str">
        <f>IF($A186="","",_xlfn.SUMIFS(Campagne!$E$1:$E$141,Campagne!$C$1:$C$141,$A186))</f>
        <v/>
      </c>
      <c r="Q186" t="str">
        <f>IF($A186="","",_xlfn.SUMIFS(Campagne!$F$1:$F$141,Campagne!$C$1:$C$141,$A186))</f>
        <v/>
      </c>
      <c r="R186" t="str">
        <f>IF($A186="","",_xlfn.SUMIFS(Campagne!$K$1:$K$141,Campagne!$C$1:$C$141,$A186))</f>
        <v/>
      </c>
      <c r="S186" t="str">
        <f>IF($A186="","",_xlfn.SUMIFS(Campagne!$M$1:$M$141,Campagne!$C$1:$C$141,$A186))</f>
        <v/>
      </c>
      <c r="T186" t="str">
        <f>IF($A186="","",_xlfn.SUMIFS(Pilotage!$K$19:$K$32,Pilotage!$A$19:$A$32,$A186)*_xlfn.SUMIFS(Pilotage!$J$19:$J$32,Pilotage!$A$19:$A$32,$A186)*(SUM(Pilotage!$K$19:$K$32)/SUMPRODUCT(Pilotage!$K$19:$K$32,Pilotage!$J$19:$J$32)))</f>
        <v/>
      </c>
      <c r="U186" t="str">
        <f>IF($A186="","",_xlfn.SUMIFS(Pilotage!$K$19:$K$32,Pilotage!$A$19:$A$32,$A186))</f>
        <v/>
      </c>
      <c r="V186" t="str">
        <f>IF($A186="","",IF($B186="V01",Cadrage!$C$23,IF($B186="V02",Cadrage!$D$23,Cadrage!$E$23)))</f>
        <v/>
      </c>
      <c r="W186" t="str">
        <f>IF($A186="","",IF($B186="V01",Cadrage!$C$24,IF($B186="V02",Cadrage!$D$24,Cadrage!$E$24)))</f>
        <v/>
      </c>
      <c r="X186" t="str">
        <f>IF($A186="","",IF($B186="V01",Cadrage!$C$25,IF($B186="V02",Cadrage!$D$25,Cadrage!$E$25)))</f>
        <v/>
      </c>
      <c r="Y186" t="str">
        <f>IF($A186="","",IF($B186="V01",Cadrage!$C$26,IF($B186="V02",Cadrage!$D$26,Cadrage!$E$26)))</f>
        <v/>
      </c>
      <c r="Z186" t="str">
        <f>IF($A186="","",IF($B186="V01",Cadrage!$C$27,IF($B186="V02",Cadrage!$D$27,Cadrage!$E$27)))</f>
        <v/>
      </c>
      <c r="AA186" t="str">
        <f>IF($A186="","",IF($B186="V01",Cadrage!$C$28,IF($B186="V02",Cadrage!$D$28,Cadrage!$E$28)))</f>
        <v/>
      </c>
      <c r="AB186" t="str">
        <f>IF($A186="","",IF($B186="V01",Cadrage!$C$42,IF($B186="V02",Cadrage!$D$42,Cadrage!$E$42)))</f>
        <v/>
      </c>
      <c r="AC186" t="str">
        <f>IF($A186="","",IF($F186="MBWAY",Cadrage!$K$34,IF($F186="ISCOM",Cadrage!$K$35,IF($F186="IPAC",Cadrage!$K$36,IF($F186="PIGIER",Cadrage!$K$37,Cadrage!$K$38)))))</f>
        <v/>
      </c>
      <c r="AD186" t="str">
        <f t="shared" si="1"/>
        <v/>
      </c>
      <c r="AE186" t="str">
        <f t="shared" si="2"/>
        <v/>
      </c>
      <c r="AF186" t="str">
        <f t="shared" si="3"/>
        <v/>
      </c>
      <c r="AG186" t="str">
        <f t="shared" si="4"/>
        <v/>
      </c>
      <c r="AH186" t="str">
        <f t="shared" si="5"/>
        <v/>
      </c>
    </row>
    <row r="187" ht="14.25" customHeight="1">
      <c r="A187" t="str">
        <f>IF(Moteur!D187="","",Moteur!D187)</f>
        <v/>
      </c>
      <c r="B187" t="str">
        <f>IF(Moteur!B187="","",Moteur!B187)</f>
        <v/>
      </c>
      <c r="C187" t="str">
        <f>IF(Moteur!F187="","",Moteur!F187)</f>
        <v/>
      </c>
      <c r="D187" t="str">
        <f>IF(Moteur!G187="","",Moteur!G187)</f>
        <v/>
      </c>
      <c r="E187" t="str">
        <f>IF(Moteur!H187="","",Moteur!H187)</f>
        <v/>
      </c>
      <c r="F187" t="str">
        <f>IF(Moteur!E187="","",Moteur!E187)</f>
        <v/>
      </c>
      <c r="G187" t="str">
        <f>IF($A187="","",_xlfn.SUMIFS(Socle!$H$1:$H$658,Socle!$C$1:$C$658,$A187,Socle!$D$1:$D$658,$C187,Socle!$E$1:$E$658,$D187,Socle!$F$1:$F$658,$E187,Socle!$G$1:$G$658,"2026"))</f>
        <v/>
      </c>
      <c r="H187" t="str">
        <f>IF($A187="","",_xlfn.SUMIFS(Socle!$N$1:$N$658,Socle!$C$1:$C$658,$A187,Socle!$D$1:$D$658,$C187,Socle!$E$1:$E$658,$D187,Socle!$F$1:$F$658,$E187,Socle!$G$1:$G$658,"2026"))</f>
        <v/>
      </c>
      <c r="I187" t="str">
        <f>IF($A187="","",_xlfn.SUMIFS(Socle!$P$1:$P$658,Socle!$C$1:$C$658,$A187,Socle!$D$1:$D$658,$C187,Socle!$E$1:$E$658,$D187,Socle!$F$1:$F$658,$E187,Socle!$G$1:$G$658,"2026"))</f>
        <v/>
      </c>
      <c r="J187" t="str">
        <f>IF($A187="","",_xlfn.SUMIFS(Socle!$W$1:$W$658,Socle!$C$1:$C$658,$A187,Socle!$D$1:$D$658,$C187,Socle!$E$1:$E$658,$D187,Socle!$F$1:$F$658,$E187,Socle!$G$1:$G$658,"2026"))</f>
        <v/>
      </c>
      <c r="K187" t="str">
        <f>IF($A187="","",_xlfn.SUMIFS(Socle!$X$1:$X$658,Socle!$C$1:$C$658,$A187,Socle!$D$1:$D$658,$C187,Socle!$E$1:$E$658,$D187,Socle!$F$1:$F$658,$E187,Socle!$G$1:$G$658,"2026"))</f>
        <v/>
      </c>
      <c r="L187" t="str">
        <f>IF($A187="","",_xlfn.SUMIFS(Socle!$Y$1:$Y$658,Socle!$C$1:$C$658,$A187,Socle!$D$1:$D$658,$C187,Socle!$E$1:$E$658,$D187,Socle!$F$1:$F$658,$E187,Socle!$G$1:$G$658,"2026"))</f>
        <v/>
      </c>
      <c r="M187" t="str">
        <f>IF($A187="","",_xlfn.SUMIFS(Socle!$V$1:$V$658,Socle!$C$1:$C$658,$A187,Socle!$D$1:$D$658,$C187,Socle!$E$1:$E$658,$D187,Socle!$F$1:$F$658,$E187,Socle!$G$1:$G$658,"2026"))</f>
        <v/>
      </c>
      <c r="N187" t="str">
        <f t="shared" si="0"/>
        <v/>
      </c>
      <c r="O187" t="str">
        <f>IF($A187="","",_xlfn.SUMIFS(Campagne!$D$1:$D$141,Campagne!$C$1:$C$141,$A187))</f>
        <v/>
      </c>
      <c r="P187" t="str">
        <f>IF($A187="","",_xlfn.SUMIFS(Campagne!$E$1:$E$141,Campagne!$C$1:$C$141,$A187))</f>
        <v/>
      </c>
      <c r="Q187" t="str">
        <f>IF($A187="","",_xlfn.SUMIFS(Campagne!$F$1:$F$141,Campagne!$C$1:$C$141,$A187))</f>
        <v/>
      </c>
      <c r="R187" t="str">
        <f>IF($A187="","",_xlfn.SUMIFS(Campagne!$K$1:$K$141,Campagne!$C$1:$C$141,$A187))</f>
        <v/>
      </c>
      <c r="S187" t="str">
        <f>IF($A187="","",_xlfn.SUMIFS(Campagne!$M$1:$M$141,Campagne!$C$1:$C$141,$A187))</f>
        <v/>
      </c>
      <c r="T187" t="str">
        <f>IF($A187="","",_xlfn.SUMIFS(Pilotage!$K$19:$K$32,Pilotage!$A$19:$A$32,$A187)*_xlfn.SUMIFS(Pilotage!$J$19:$J$32,Pilotage!$A$19:$A$32,$A187)*(SUM(Pilotage!$K$19:$K$32)/SUMPRODUCT(Pilotage!$K$19:$K$32,Pilotage!$J$19:$J$32)))</f>
        <v/>
      </c>
      <c r="U187" t="str">
        <f>IF($A187="","",_xlfn.SUMIFS(Pilotage!$K$19:$K$32,Pilotage!$A$19:$A$32,$A187))</f>
        <v/>
      </c>
      <c r="V187" t="str">
        <f>IF($A187="","",IF($B187="V01",Cadrage!$C$23,IF($B187="V02",Cadrage!$D$23,Cadrage!$E$23)))</f>
        <v/>
      </c>
      <c r="W187" t="str">
        <f>IF($A187="","",IF($B187="V01",Cadrage!$C$24,IF($B187="V02",Cadrage!$D$24,Cadrage!$E$24)))</f>
        <v/>
      </c>
      <c r="X187" t="str">
        <f>IF($A187="","",IF($B187="V01",Cadrage!$C$25,IF($B187="V02",Cadrage!$D$25,Cadrage!$E$25)))</f>
        <v/>
      </c>
      <c r="Y187" t="str">
        <f>IF($A187="","",IF($B187="V01",Cadrage!$C$26,IF($B187="V02",Cadrage!$D$26,Cadrage!$E$26)))</f>
        <v/>
      </c>
      <c r="Z187" t="str">
        <f>IF($A187="","",IF($B187="V01",Cadrage!$C$27,IF($B187="V02",Cadrage!$D$27,Cadrage!$E$27)))</f>
        <v/>
      </c>
      <c r="AA187" t="str">
        <f>IF($A187="","",IF($B187="V01",Cadrage!$C$28,IF($B187="V02",Cadrage!$D$28,Cadrage!$E$28)))</f>
        <v/>
      </c>
      <c r="AB187" t="str">
        <f>IF($A187="","",IF($B187="V01",Cadrage!$C$42,IF($B187="V02",Cadrage!$D$42,Cadrage!$E$42)))</f>
        <v/>
      </c>
      <c r="AC187" t="str">
        <f>IF($A187="","",IF($F187="MBWAY",Cadrage!$K$34,IF($F187="ISCOM",Cadrage!$K$35,IF($F187="IPAC",Cadrage!$K$36,IF($F187="PIGIER",Cadrage!$K$37,Cadrage!$K$38)))))</f>
        <v/>
      </c>
      <c r="AD187" t="str">
        <f t="shared" si="1"/>
        <v/>
      </c>
      <c r="AE187" t="str">
        <f t="shared" si="2"/>
        <v/>
      </c>
      <c r="AF187" t="str">
        <f t="shared" si="3"/>
        <v/>
      </c>
      <c r="AG187" t="str">
        <f t="shared" si="4"/>
        <v/>
      </c>
      <c r="AH187" t="str">
        <f t="shared" si="5"/>
        <v/>
      </c>
    </row>
    <row r="188" ht="14.25" customHeight="1">
      <c r="A188" t="str">
        <f>IF(Moteur!D188="","",Moteur!D188)</f>
        <v/>
      </c>
      <c r="B188" t="str">
        <f>IF(Moteur!B188="","",Moteur!B188)</f>
        <v/>
      </c>
      <c r="C188" t="str">
        <f>IF(Moteur!F188="","",Moteur!F188)</f>
        <v/>
      </c>
      <c r="D188" t="str">
        <f>IF(Moteur!G188="","",Moteur!G188)</f>
        <v/>
      </c>
      <c r="E188" t="str">
        <f>IF(Moteur!H188="","",Moteur!H188)</f>
        <v/>
      </c>
      <c r="F188" t="str">
        <f>IF(Moteur!E188="","",Moteur!E188)</f>
        <v/>
      </c>
      <c r="G188" t="str">
        <f>IF($A188="","",_xlfn.SUMIFS(Socle!$H$1:$H$658,Socle!$C$1:$C$658,$A188,Socle!$D$1:$D$658,$C188,Socle!$E$1:$E$658,$D188,Socle!$F$1:$F$658,$E188,Socle!$G$1:$G$658,"2026"))</f>
        <v/>
      </c>
      <c r="H188" t="str">
        <f>IF($A188="","",_xlfn.SUMIFS(Socle!$N$1:$N$658,Socle!$C$1:$C$658,$A188,Socle!$D$1:$D$658,$C188,Socle!$E$1:$E$658,$D188,Socle!$F$1:$F$658,$E188,Socle!$G$1:$G$658,"2026"))</f>
        <v/>
      </c>
      <c r="I188" t="str">
        <f>IF($A188="","",_xlfn.SUMIFS(Socle!$P$1:$P$658,Socle!$C$1:$C$658,$A188,Socle!$D$1:$D$658,$C188,Socle!$E$1:$E$658,$D188,Socle!$F$1:$F$658,$E188,Socle!$G$1:$G$658,"2026"))</f>
        <v/>
      </c>
      <c r="J188" t="str">
        <f>IF($A188="","",_xlfn.SUMIFS(Socle!$W$1:$W$658,Socle!$C$1:$C$658,$A188,Socle!$D$1:$D$658,$C188,Socle!$E$1:$E$658,$D188,Socle!$F$1:$F$658,$E188,Socle!$G$1:$G$658,"2026"))</f>
        <v/>
      </c>
      <c r="K188" t="str">
        <f>IF($A188="","",_xlfn.SUMIFS(Socle!$X$1:$X$658,Socle!$C$1:$C$658,$A188,Socle!$D$1:$D$658,$C188,Socle!$E$1:$E$658,$D188,Socle!$F$1:$F$658,$E188,Socle!$G$1:$G$658,"2026"))</f>
        <v/>
      </c>
      <c r="L188" t="str">
        <f>IF($A188="","",_xlfn.SUMIFS(Socle!$Y$1:$Y$658,Socle!$C$1:$C$658,$A188,Socle!$D$1:$D$658,$C188,Socle!$E$1:$E$658,$D188,Socle!$F$1:$F$658,$E188,Socle!$G$1:$G$658,"2026"))</f>
        <v/>
      </c>
      <c r="M188" t="str">
        <f>IF($A188="","",_xlfn.SUMIFS(Socle!$V$1:$V$658,Socle!$C$1:$C$658,$A188,Socle!$D$1:$D$658,$C188,Socle!$E$1:$E$658,$D188,Socle!$F$1:$F$658,$E188,Socle!$G$1:$G$658,"2026"))</f>
        <v/>
      </c>
      <c r="N188" t="str">
        <f t="shared" si="0"/>
        <v/>
      </c>
      <c r="O188" t="str">
        <f>IF($A188="","",_xlfn.SUMIFS(Campagne!$D$1:$D$141,Campagne!$C$1:$C$141,$A188))</f>
        <v/>
      </c>
      <c r="P188" t="str">
        <f>IF($A188="","",_xlfn.SUMIFS(Campagne!$E$1:$E$141,Campagne!$C$1:$C$141,$A188))</f>
        <v/>
      </c>
      <c r="Q188" t="str">
        <f>IF($A188="","",_xlfn.SUMIFS(Campagne!$F$1:$F$141,Campagne!$C$1:$C$141,$A188))</f>
        <v/>
      </c>
      <c r="R188" t="str">
        <f>IF($A188="","",_xlfn.SUMIFS(Campagne!$K$1:$K$141,Campagne!$C$1:$C$141,$A188))</f>
        <v/>
      </c>
      <c r="S188" t="str">
        <f>IF($A188="","",_xlfn.SUMIFS(Campagne!$M$1:$M$141,Campagne!$C$1:$C$141,$A188))</f>
        <v/>
      </c>
      <c r="T188" t="str">
        <f>IF($A188="","",_xlfn.SUMIFS(Pilotage!$K$19:$K$32,Pilotage!$A$19:$A$32,$A188)*_xlfn.SUMIFS(Pilotage!$J$19:$J$32,Pilotage!$A$19:$A$32,$A188)*(SUM(Pilotage!$K$19:$K$32)/SUMPRODUCT(Pilotage!$K$19:$K$32,Pilotage!$J$19:$J$32)))</f>
        <v/>
      </c>
      <c r="U188" t="str">
        <f>IF($A188="","",_xlfn.SUMIFS(Pilotage!$K$19:$K$32,Pilotage!$A$19:$A$32,$A188))</f>
        <v/>
      </c>
      <c r="V188" t="str">
        <f>IF($A188="","",IF($B188="V01",Cadrage!$C$23,IF($B188="V02",Cadrage!$D$23,Cadrage!$E$23)))</f>
        <v/>
      </c>
      <c r="W188" t="str">
        <f>IF($A188="","",IF($B188="V01",Cadrage!$C$24,IF($B188="V02",Cadrage!$D$24,Cadrage!$E$24)))</f>
        <v/>
      </c>
      <c r="X188" t="str">
        <f>IF($A188="","",IF($B188="V01",Cadrage!$C$25,IF($B188="V02",Cadrage!$D$25,Cadrage!$E$25)))</f>
        <v/>
      </c>
      <c r="Y188" t="str">
        <f>IF($A188="","",IF($B188="V01",Cadrage!$C$26,IF($B188="V02",Cadrage!$D$26,Cadrage!$E$26)))</f>
        <v/>
      </c>
      <c r="Z188" t="str">
        <f>IF($A188="","",IF($B188="V01",Cadrage!$C$27,IF($B188="V02",Cadrage!$D$27,Cadrage!$E$27)))</f>
        <v/>
      </c>
      <c r="AA188" t="str">
        <f>IF($A188="","",IF($B188="V01",Cadrage!$C$28,IF($B188="V02",Cadrage!$D$28,Cadrage!$E$28)))</f>
        <v/>
      </c>
      <c r="AB188" t="str">
        <f>IF($A188="","",IF($B188="V01",Cadrage!$C$42,IF($B188="V02",Cadrage!$D$42,Cadrage!$E$42)))</f>
        <v/>
      </c>
      <c r="AC188" t="str">
        <f>IF($A188="","",IF($F188="MBWAY",Cadrage!$K$34,IF($F188="ISCOM",Cadrage!$K$35,IF($F188="IPAC",Cadrage!$K$36,IF($F188="PIGIER",Cadrage!$K$37,Cadrage!$K$38)))))</f>
        <v/>
      </c>
      <c r="AD188" t="str">
        <f t="shared" si="1"/>
        <v/>
      </c>
      <c r="AE188" t="str">
        <f t="shared" si="2"/>
        <v/>
      </c>
      <c r="AF188" t="str">
        <f t="shared" si="3"/>
        <v/>
      </c>
      <c r="AG188" t="str">
        <f t="shared" si="4"/>
        <v/>
      </c>
      <c r="AH188" t="str">
        <f t="shared" si="5"/>
        <v/>
      </c>
    </row>
    <row r="189" ht="14.25" customHeight="1">
      <c r="A189" t="str">
        <f>IF(Moteur!D189="","",Moteur!D189)</f>
        <v/>
      </c>
      <c r="B189" t="str">
        <f>IF(Moteur!B189="","",Moteur!B189)</f>
        <v/>
      </c>
      <c r="C189" t="str">
        <f>IF(Moteur!F189="","",Moteur!F189)</f>
        <v/>
      </c>
      <c r="D189" t="str">
        <f>IF(Moteur!G189="","",Moteur!G189)</f>
        <v/>
      </c>
      <c r="E189" t="str">
        <f>IF(Moteur!H189="","",Moteur!H189)</f>
        <v/>
      </c>
      <c r="F189" t="str">
        <f>IF(Moteur!E189="","",Moteur!E189)</f>
        <v/>
      </c>
      <c r="G189" t="str">
        <f>IF($A189="","",_xlfn.SUMIFS(Socle!$H$1:$H$658,Socle!$C$1:$C$658,$A189,Socle!$D$1:$D$658,$C189,Socle!$E$1:$E$658,$D189,Socle!$F$1:$F$658,$E189,Socle!$G$1:$G$658,"2026"))</f>
        <v/>
      </c>
      <c r="H189" t="str">
        <f>IF($A189="","",_xlfn.SUMIFS(Socle!$N$1:$N$658,Socle!$C$1:$C$658,$A189,Socle!$D$1:$D$658,$C189,Socle!$E$1:$E$658,$D189,Socle!$F$1:$F$658,$E189,Socle!$G$1:$G$658,"2026"))</f>
        <v/>
      </c>
      <c r="I189" t="str">
        <f>IF($A189="","",_xlfn.SUMIFS(Socle!$P$1:$P$658,Socle!$C$1:$C$658,$A189,Socle!$D$1:$D$658,$C189,Socle!$E$1:$E$658,$D189,Socle!$F$1:$F$658,$E189,Socle!$G$1:$G$658,"2026"))</f>
        <v/>
      </c>
      <c r="J189" t="str">
        <f>IF($A189="","",_xlfn.SUMIFS(Socle!$W$1:$W$658,Socle!$C$1:$C$658,$A189,Socle!$D$1:$D$658,$C189,Socle!$E$1:$E$658,$D189,Socle!$F$1:$F$658,$E189,Socle!$G$1:$G$658,"2026"))</f>
        <v/>
      </c>
      <c r="K189" t="str">
        <f>IF($A189="","",_xlfn.SUMIFS(Socle!$X$1:$X$658,Socle!$C$1:$C$658,$A189,Socle!$D$1:$D$658,$C189,Socle!$E$1:$E$658,$D189,Socle!$F$1:$F$658,$E189,Socle!$G$1:$G$658,"2026"))</f>
        <v/>
      </c>
      <c r="L189" t="str">
        <f>IF($A189="","",_xlfn.SUMIFS(Socle!$Y$1:$Y$658,Socle!$C$1:$C$658,$A189,Socle!$D$1:$D$658,$C189,Socle!$E$1:$E$658,$D189,Socle!$F$1:$F$658,$E189,Socle!$G$1:$G$658,"2026"))</f>
        <v/>
      </c>
      <c r="M189" t="str">
        <f>IF($A189="","",_xlfn.SUMIFS(Socle!$V$1:$V$658,Socle!$C$1:$C$658,$A189,Socle!$D$1:$D$658,$C189,Socle!$E$1:$E$658,$D189,Socle!$F$1:$F$658,$E189,Socle!$G$1:$G$658,"2026"))</f>
        <v/>
      </c>
      <c r="N189" t="str">
        <f t="shared" si="0"/>
        <v/>
      </c>
      <c r="O189" t="str">
        <f>IF($A189="","",_xlfn.SUMIFS(Campagne!$D$1:$D$141,Campagne!$C$1:$C$141,$A189))</f>
        <v/>
      </c>
      <c r="P189" t="str">
        <f>IF($A189="","",_xlfn.SUMIFS(Campagne!$E$1:$E$141,Campagne!$C$1:$C$141,$A189))</f>
        <v/>
      </c>
      <c r="Q189" t="str">
        <f>IF($A189="","",_xlfn.SUMIFS(Campagne!$F$1:$F$141,Campagne!$C$1:$C$141,$A189))</f>
        <v/>
      </c>
      <c r="R189" t="str">
        <f>IF($A189="","",_xlfn.SUMIFS(Campagne!$K$1:$K$141,Campagne!$C$1:$C$141,$A189))</f>
        <v/>
      </c>
      <c r="S189" t="str">
        <f>IF($A189="","",_xlfn.SUMIFS(Campagne!$M$1:$M$141,Campagne!$C$1:$C$141,$A189))</f>
        <v/>
      </c>
      <c r="T189" t="str">
        <f>IF($A189="","",_xlfn.SUMIFS(Pilotage!$K$19:$K$32,Pilotage!$A$19:$A$32,$A189)*_xlfn.SUMIFS(Pilotage!$J$19:$J$32,Pilotage!$A$19:$A$32,$A189)*(SUM(Pilotage!$K$19:$K$32)/SUMPRODUCT(Pilotage!$K$19:$K$32,Pilotage!$J$19:$J$32)))</f>
        <v/>
      </c>
      <c r="U189" t="str">
        <f>IF($A189="","",_xlfn.SUMIFS(Pilotage!$K$19:$K$32,Pilotage!$A$19:$A$32,$A189))</f>
        <v/>
      </c>
      <c r="V189" t="str">
        <f>IF($A189="","",IF($B189="V01",Cadrage!$C$23,IF($B189="V02",Cadrage!$D$23,Cadrage!$E$23)))</f>
        <v/>
      </c>
      <c r="W189" t="str">
        <f>IF($A189="","",IF($B189="V01",Cadrage!$C$24,IF($B189="V02",Cadrage!$D$24,Cadrage!$E$24)))</f>
        <v/>
      </c>
      <c r="X189" t="str">
        <f>IF($A189="","",IF($B189="V01",Cadrage!$C$25,IF($B189="V02",Cadrage!$D$25,Cadrage!$E$25)))</f>
        <v/>
      </c>
      <c r="Y189" t="str">
        <f>IF($A189="","",IF($B189="V01",Cadrage!$C$26,IF($B189="V02",Cadrage!$D$26,Cadrage!$E$26)))</f>
        <v/>
      </c>
      <c r="Z189" t="str">
        <f>IF($A189="","",IF($B189="V01",Cadrage!$C$27,IF($B189="V02",Cadrage!$D$27,Cadrage!$E$27)))</f>
        <v/>
      </c>
      <c r="AA189" t="str">
        <f>IF($A189="","",IF($B189="V01",Cadrage!$C$28,IF($B189="V02",Cadrage!$D$28,Cadrage!$E$28)))</f>
        <v/>
      </c>
      <c r="AB189" t="str">
        <f>IF($A189="","",IF($B189="V01",Cadrage!$C$42,IF($B189="V02",Cadrage!$D$42,Cadrage!$E$42)))</f>
        <v/>
      </c>
      <c r="AC189" t="str">
        <f>IF($A189="","",IF($F189="MBWAY",Cadrage!$K$34,IF($F189="ISCOM",Cadrage!$K$35,IF($F189="IPAC",Cadrage!$K$36,IF($F189="PIGIER",Cadrage!$K$37,Cadrage!$K$38)))))</f>
        <v/>
      </c>
      <c r="AD189" t="str">
        <f t="shared" si="1"/>
        <v/>
      </c>
      <c r="AE189" t="str">
        <f t="shared" si="2"/>
        <v/>
      </c>
      <c r="AF189" t="str">
        <f t="shared" si="3"/>
        <v/>
      </c>
      <c r="AG189" t="str">
        <f t="shared" si="4"/>
        <v/>
      </c>
      <c r="AH189" t="str">
        <f t="shared" si="5"/>
        <v/>
      </c>
    </row>
    <row r="190" ht="14.25" customHeight="1">
      <c r="A190" t="str">
        <f>IF(Moteur!D190="","",Moteur!D190)</f>
        <v/>
      </c>
      <c r="B190" t="str">
        <f>IF(Moteur!B190="","",Moteur!B190)</f>
        <v/>
      </c>
      <c r="C190" t="str">
        <f>IF(Moteur!F190="","",Moteur!F190)</f>
        <v/>
      </c>
      <c r="D190" t="str">
        <f>IF(Moteur!G190="","",Moteur!G190)</f>
        <v/>
      </c>
      <c r="E190" t="str">
        <f>IF(Moteur!H190="","",Moteur!H190)</f>
        <v/>
      </c>
      <c r="F190" t="str">
        <f>IF(Moteur!E190="","",Moteur!E190)</f>
        <v/>
      </c>
      <c r="G190" t="str">
        <f>IF($A190="","",_xlfn.SUMIFS(Socle!$H$1:$H$658,Socle!$C$1:$C$658,$A190,Socle!$D$1:$D$658,$C190,Socle!$E$1:$E$658,$D190,Socle!$F$1:$F$658,$E190,Socle!$G$1:$G$658,"2026"))</f>
        <v/>
      </c>
      <c r="H190" t="str">
        <f>IF($A190="","",_xlfn.SUMIFS(Socle!$N$1:$N$658,Socle!$C$1:$C$658,$A190,Socle!$D$1:$D$658,$C190,Socle!$E$1:$E$658,$D190,Socle!$F$1:$F$658,$E190,Socle!$G$1:$G$658,"2026"))</f>
        <v/>
      </c>
      <c r="I190" t="str">
        <f>IF($A190="","",_xlfn.SUMIFS(Socle!$P$1:$P$658,Socle!$C$1:$C$658,$A190,Socle!$D$1:$D$658,$C190,Socle!$E$1:$E$658,$D190,Socle!$F$1:$F$658,$E190,Socle!$G$1:$G$658,"2026"))</f>
        <v/>
      </c>
      <c r="J190" t="str">
        <f>IF($A190="","",_xlfn.SUMIFS(Socle!$W$1:$W$658,Socle!$C$1:$C$658,$A190,Socle!$D$1:$D$658,$C190,Socle!$E$1:$E$658,$D190,Socle!$F$1:$F$658,$E190,Socle!$G$1:$G$658,"2026"))</f>
        <v/>
      </c>
      <c r="K190" t="str">
        <f>IF($A190="","",_xlfn.SUMIFS(Socle!$X$1:$X$658,Socle!$C$1:$C$658,$A190,Socle!$D$1:$D$658,$C190,Socle!$E$1:$E$658,$D190,Socle!$F$1:$F$658,$E190,Socle!$G$1:$G$658,"2026"))</f>
        <v/>
      </c>
      <c r="L190" t="str">
        <f>IF($A190="","",_xlfn.SUMIFS(Socle!$Y$1:$Y$658,Socle!$C$1:$C$658,$A190,Socle!$D$1:$D$658,$C190,Socle!$E$1:$E$658,$D190,Socle!$F$1:$F$658,$E190,Socle!$G$1:$G$658,"2026"))</f>
        <v/>
      </c>
      <c r="M190" t="str">
        <f>IF($A190="","",_xlfn.SUMIFS(Socle!$V$1:$V$658,Socle!$C$1:$C$658,$A190,Socle!$D$1:$D$658,$C190,Socle!$E$1:$E$658,$D190,Socle!$F$1:$F$658,$E190,Socle!$G$1:$G$658,"2026"))</f>
        <v/>
      </c>
      <c r="N190" t="str">
        <f t="shared" si="0"/>
        <v/>
      </c>
      <c r="O190" t="str">
        <f>IF($A190="","",_xlfn.SUMIFS(Campagne!$D$1:$D$141,Campagne!$C$1:$C$141,$A190))</f>
        <v/>
      </c>
      <c r="P190" t="str">
        <f>IF($A190="","",_xlfn.SUMIFS(Campagne!$E$1:$E$141,Campagne!$C$1:$C$141,$A190))</f>
        <v/>
      </c>
      <c r="Q190" t="str">
        <f>IF($A190="","",_xlfn.SUMIFS(Campagne!$F$1:$F$141,Campagne!$C$1:$C$141,$A190))</f>
        <v/>
      </c>
      <c r="R190" t="str">
        <f>IF($A190="","",_xlfn.SUMIFS(Campagne!$K$1:$K$141,Campagne!$C$1:$C$141,$A190))</f>
        <v/>
      </c>
      <c r="S190" t="str">
        <f>IF($A190="","",_xlfn.SUMIFS(Campagne!$M$1:$M$141,Campagne!$C$1:$C$141,$A190))</f>
        <v/>
      </c>
      <c r="T190" t="str">
        <f>IF($A190="","",_xlfn.SUMIFS(Pilotage!$K$19:$K$32,Pilotage!$A$19:$A$32,$A190)*_xlfn.SUMIFS(Pilotage!$J$19:$J$32,Pilotage!$A$19:$A$32,$A190)*(SUM(Pilotage!$K$19:$K$32)/SUMPRODUCT(Pilotage!$K$19:$K$32,Pilotage!$J$19:$J$32)))</f>
        <v/>
      </c>
      <c r="U190" t="str">
        <f>IF($A190="","",_xlfn.SUMIFS(Pilotage!$K$19:$K$32,Pilotage!$A$19:$A$32,$A190))</f>
        <v/>
      </c>
      <c r="V190" t="str">
        <f>IF($A190="","",IF($B190="V01",Cadrage!$C$23,IF($B190="V02",Cadrage!$D$23,Cadrage!$E$23)))</f>
        <v/>
      </c>
      <c r="W190" t="str">
        <f>IF($A190="","",IF($B190="V01",Cadrage!$C$24,IF($B190="V02",Cadrage!$D$24,Cadrage!$E$24)))</f>
        <v/>
      </c>
      <c r="X190" t="str">
        <f>IF($A190="","",IF($B190="V01",Cadrage!$C$25,IF($B190="V02",Cadrage!$D$25,Cadrage!$E$25)))</f>
        <v/>
      </c>
      <c r="Y190" t="str">
        <f>IF($A190="","",IF($B190="V01",Cadrage!$C$26,IF($B190="V02",Cadrage!$D$26,Cadrage!$E$26)))</f>
        <v/>
      </c>
      <c r="Z190" t="str">
        <f>IF($A190="","",IF($B190="V01",Cadrage!$C$27,IF($B190="V02",Cadrage!$D$27,Cadrage!$E$27)))</f>
        <v/>
      </c>
      <c r="AA190" t="str">
        <f>IF($A190="","",IF($B190="V01",Cadrage!$C$28,IF($B190="V02",Cadrage!$D$28,Cadrage!$E$28)))</f>
        <v/>
      </c>
      <c r="AB190" t="str">
        <f>IF($A190="","",IF($B190="V01",Cadrage!$C$42,IF($B190="V02",Cadrage!$D$42,Cadrage!$E$42)))</f>
        <v/>
      </c>
      <c r="AC190" t="str">
        <f>IF($A190="","",IF($F190="MBWAY",Cadrage!$K$34,IF($F190="ISCOM",Cadrage!$K$35,IF($F190="IPAC",Cadrage!$K$36,IF($F190="PIGIER",Cadrage!$K$37,Cadrage!$K$38)))))</f>
        <v/>
      </c>
      <c r="AD190" t="str">
        <f t="shared" si="1"/>
        <v/>
      </c>
      <c r="AE190" t="str">
        <f t="shared" si="2"/>
        <v/>
      </c>
      <c r="AF190" t="str">
        <f t="shared" si="3"/>
        <v/>
      </c>
      <c r="AG190" t="str">
        <f t="shared" si="4"/>
        <v/>
      </c>
      <c r="AH190" t="str">
        <f t="shared" si="5"/>
        <v/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EC0068-B5F8-DCA1-811D-01E14C16FA5F}" mc:Ignorable="x14ac xr xr2 xr3">
  <dimension ref="A1:AC1435"/>
  <sheetViews>
    <sheetView topLeftCell="A1" workbookViewId="0">
      <selection activeCell="A1" sqref="A1:AC2"/>
    </sheetView>
  </sheetViews>
  <sheetFormatPr defaultRowHeight="14.25" defaultColWidth="9.00390625" customHeight="1"/>
  <sheetData>
    <row r="1" ht="14.25" customHeight="1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243</v>
      </c>
      <c r="H1" t="s">
        <v>244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R1">
        <f>_xlfn.SUMIFS(Comptabilité!$F$1:$F$1446,Comptabilité!$B$1:$B$1446,"7062",Comptabilité!$C$1:$C$1446,"2026")+_xlfn.SUMIFS(Comptabilité!$F$1:$F$1446,Comptabilité!$B$1:$B$1446,"706",Comptabilité!$C$1:$C$1446,"2026")+_xlfn.SUMIFS(Comptabilité!$F$1:$F$1446,Comptabilité!$B$1:$B$1446,"708",Comptabilité!$C$1:$C$1446,"2026")</f>
        <v>23098985</v>
      </c>
      <c r="T1" t="s">
        <v>267</v>
      </c>
      <c r="V1" t="s">
        <v>252</v>
      </c>
    </row>
    <row r="2" ht="14.25" customHeight="1">
      <c r="A2" t="str">
        <f>IF(PNL!A2="","",PNL!A2)</f>
        <v>MBWAY_PAR</v>
      </c>
      <c r="B2" t="str">
        <f>IF(PNL!B2="","",PNL!B2)</f>
        <v>7062</v>
      </c>
      <c r="C2" t="str">
        <f>IF(PNL!C2="","",PNL!C2)</f>
        <v>2024</v>
      </c>
      <c r="D2" t="str">
        <f>IF(PNL!D2="","",PNL!D2)</f>
        <v>ACT</v>
      </c>
      <c r="E2">
        <f t="shared" si="0" ref="E2:E1435">IF($A2="","",IF(AND($C2="2027",OR($D2="V01",$D2="V02",$D2="V03")),1,0))</f>
        <v>0</v>
      </c>
      <c r="F2">
        <f>IF($A2="","",IF($E2=1,_xlfn.SUMIFS(Comptabilité!$F$1:$F$1446,Comptabilité!$A$1:$A$1446,$A2,Comptabilité!$B$1:$B$1446,$B2,Comptabilité!$C$1:$C$1446,"2026"),0))</f>
        <v>0</v>
      </c>
      <c r="G2">
        <f>IF($A2="","",IF($D2="V01",Cadrage!$C$23,IF($D2="V02",Cadrage!$D$23,Cadrage!$E$23)))</f>
        <v>-0.05</v>
      </c>
      <c r="H2">
        <f>IF($A2="","",IF($D2="V01",Cadrage!$C$24,IF($D2="V02",Cadrage!$D$24,Cadrage!$E$24)))</f>
        <v>-0.05</v>
      </c>
      <c r="I2">
        <f>IF($A2="","",IF($D2="V01",Cadrage!$C$34,IF($D2="V02",Cadrage!$D$34,Cadrage!$E$34)))</f>
        <v>0.03</v>
      </c>
      <c r="J2">
        <f>IF($A2="","",IF($D2="V01",Cadrage!$C$35,IF($D2="V02",Cadrage!$D$35,Cadrage!$E$35)))</f>
        <v>0.03</v>
      </c>
      <c r="K2">
        <f>IF($A2="","",IF($D2="V01",Cadrage!$C$36,IF($D2="V02",Cadrage!$D$36,Cadrage!$E$36)))</f>
        <v>0.05</v>
      </c>
      <c r="L2">
        <f>IF($A2="","",IF($D2="V01",Cadrage!$C$37,IF($D2="V02",Cadrage!$D$37,Cadrage!$E$37)))</f>
        <v>0</v>
      </c>
      <c r="M2">
        <f>IF($A2="","",IF($D2="V01",Cadrage!$C$38,IF($D2="V02",Cadrage!$D$38,Cadrage!$E$38)))</f>
        <v>0.04</v>
      </c>
      <c r="N2">
        <f t="shared" si="1" ref="N2:N1435">IF($A2="","",IF($D2="V01",$R$2,IF($D2="V02",$R$3,$R$4)))</f>
        <v>0.980622079131853</v>
      </c>
      <c r="O2">
        <f t="shared" si="2" ref="O2:O1435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0.980622079131853</v>
      </c>
      <c r="P2">
        <f>IF($A2="","",IF($E2=1,$F2*$O2,PNL!G2))</f>
        <v>2201360</v>
      </c>
      <c r="R2">
        <f>_xlfn.SUMIFS(Moteur!$R$1:$R$200,Moteur!$B$1:$B$200,"V01")/$R$1</f>
        <v>1.04903758953208</v>
      </c>
      <c r="T2">
        <f t="shared" si="3" ref="T2:T1347">IF($A2="","",IF($E2=1,IF(OR($B2="7062",$B2="706",$B2="708"),$P2,IF(AND(LEFT($B2,1)="6",$B2&lt;&gt;"6811"),-$P2,0)),0))</f>
        <v>0</v>
      </c>
    </row>
    <row r="3" ht="14.25" customHeight="1">
      <c r="A3" t="str">
        <f>IF(PNL!A3="","",PNL!A3)</f>
        <v>MBWAY_LYO</v>
      </c>
      <c r="B3" t="str">
        <f>IF(PNL!B3="","",PNL!B3)</f>
        <v>7062</v>
      </c>
      <c r="C3" t="str">
        <f>IF(PNL!C3="","",PNL!C3)</f>
        <v>2024</v>
      </c>
      <c r="D3" t="str">
        <f>IF(PNL!D3="","",PNL!D3)</f>
        <v>ACT</v>
      </c>
      <c r="E3">
        <f t="shared" si="0"/>
        <v>0</v>
      </c>
      <c r="F3">
        <f>IF($A3="","",IF($E3=1,_xlfn.SUMIFS(Comptabilité!$F$1:$F$1446,Comptabilité!$A$1:$A$1446,$A3,Comptabilité!$B$1:$B$1446,$B3,Comptabilité!$C$1:$C$1446,"2026"),0))</f>
        <v>0</v>
      </c>
      <c r="G3">
        <f>IF($A3="","",IF($D3="V01",Cadrage!$C$23,IF($D3="V02",Cadrage!$D$23,Cadrage!$E$23)))</f>
        <v>-0.05</v>
      </c>
      <c r="H3">
        <f>IF($A3="","",IF($D3="V01",Cadrage!$C$24,IF($D3="V02",Cadrage!$D$24,Cadrage!$E$24)))</f>
        <v>-0.05</v>
      </c>
      <c r="I3">
        <f>IF($A3="","",IF($D3="V01",Cadrage!$C$34,IF($D3="V02",Cadrage!$D$34,Cadrage!$E$34)))</f>
        <v>0.03</v>
      </c>
      <c r="J3">
        <f>IF($A3="","",IF($D3="V01",Cadrage!$C$35,IF($D3="V02",Cadrage!$D$35,Cadrage!$E$35)))</f>
        <v>0.03</v>
      </c>
      <c r="K3">
        <f>IF($A3="","",IF($D3="V01",Cadrage!$C$36,IF($D3="V02",Cadrage!$D$36,Cadrage!$E$36)))</f>
        <v>0.05</v>
      </c>
      <c r="L3">
        <f>IF($A3="","",IF($D3="V01",Cadrage!$C$37,IF($D3="V02",Cadrage!$D$37,Cadrage!$E$37)))</f>
        <v>0</v>
      </c>
      <c r="M3">
        <f>IF($A3="","",IF($D3="V01",Cadrage!$C$38,IF($D3="V02",Cadrage!$D$38,Cadrage!$E$38)))</f>
        <v>0.04</v>
      </c>
      <c r="N3">
        <f t="shared" si="1"/>
        <v>0.980622079131853</v>
      </c>
      <c r="O3">
        <f t="shared" si="2"/>
        <v>0.980622079131853</v>
      </c>
      <c r="P3">
        <f>IF($A3="","",IF($E3=1,$F3*$O3,PNL!G3))</f>
        <v>1751925</v>
      </c>
      <c r="R3">
        <f>_xlfn.SUMIFS(Moteur!$R$1:$R$200,Moteur!$B$1:$B$200,"V02")/$R$1</f>
        <v>1.16083752922642</v>
      </c>
      <c r="T3">
        <f t="shared" si="3"/>
        <v>0</v>
      </c>
    </row>
    <row r="4" ht="14.25" customHeight="1">
      <c r="A4" t="str">
        <f>IF(PNL!A4="","",PNL!A4)</f>
        <v>MBWAY_NAN</v>
      </c>
      <c r="B4" t="str">
        <f>IF(PNL!B4="","",PNL!B4)</f>
        <v>7062</v>
      </c>
      <c r="C4" t="str">
        <f>IF(PNL!C4="","",PNL!C4)</f>
        <v>2024</v>
      </c>
      <c r="D4" t="str">
        <f>IF(PNL!D4="","",PNL!D4)</f>
        <v>ACT</v>
      </c>
      <c r="E4">
        <f t="shared" si="0"/>
        <v>0</v>
      </c>
      <c r="F4">
        <f>IF($A4="","",IF($E4=1,_xlfn.SUMIFS(Comptabilité!$F$1:$F$1446,Comptabilité!$A$1:$A$1446,$A4,Comptabilité!$B$1:$B$1446,$B4,Comptabilité!$C$1:$C$1446,"2026"),0))</f>
        <v>0</v>
      </c>
      <c r="G4">
        <f>IF($A4="","",IF($D4="V01",Cadrage!$C$23,IF($D4="V02",Cadrage!$D$23,Cadrage!$E$23)))</f>
        <v>-0.05</v>
      </c>
      <c r="H4">
        <f>IF($A4="","",IF($D4="V01",Cadrage!$C$24,IF($D4="V02",Cadrage!$D$24,Cadrage!$E$24)))</f>
        <v>-0.05</v>
      </c>
      <c r="I4">
        <f>IF($A4="","",IF($D4="V01",Cadrage!$C$34,IF($D4="V02",Cadrage!$D$34,Cadrage!$E$34)))</f>
        <v>0.03</v>
      </c>
      <c r="J4">
        <f>IF($A4="","",IF($D4="V01",Cadrage!$C$35,IF($D4="V02",Cadrage!$D$35,Cadrage!$E$35)))</f>
        <v>0.03</v>
      </c>
      <c r="K4">
        <f>IF($A4="","",IF($D4="V01",Cadrage!$C$36,IF($D4="V02",Cadrage!$D$36,Cadrage!$E$36)))</f>
        <v>0.05</v>
      </c>
      <c r="L4">
        <f>IF($A4="","",IF($D4="V01",Cadrage!$C$37,IF($D4="V02",Cadrage!$D$37,Cadrage!$E$37)))</f>
        <v>0</v>
      </c>
      <c r="M4">
        <f>IF($A4="","",IF($D4="V01",Cadrage!$C$38,IF($D4="V02",Cadrage!$D$38,Cadrage!$E$38)))</f>
        <v>0.04</v>
      </c>
      <c r="N4">
        <f t="shared" si="1"/>
        <v>0.980622079131853</v>
      </c>
      <c r="O4">
        <f t="shared" si="2"/>
        <v>0.980622079131853</v>
      </c>
      <c r="P4">
        <f>IF($A4="","",IF($E4=1,$F4*$O4,PNL!G4))</f>
        <v>1516000</v>
      </c>
      <c r="R4">
        <f>_xlfn.SUMIFS(Moteur!$R$1:$R$200,Moteur!$B$1:$B$200,"V03")/$R$1</f>
        <v>0.980622079131853</v>
      </c>
      <c r="T4">
        <f t="shared" si="3"/>
        <v>0</v>
      </c>
    </row>
    <row r="5" ht="14.25" customHeight="1">
      <c r="A5" t="str">
        <f>IF(PNL!A5="","",PNL!A5)</f>
        <v>MBWAY_BOR</v>
      </c>
      <c r="B5" t="str">
        <f>IF(PNL!B5="","",PNL!B5)</f>
        <v>7062</v>
      </c>
      <c r="C5" t="str">
        <f>IF(PNL!C5="","",PNL!C5)</f>
        <v>2024</v>
      </c>
      <c r="D5" t="str">
        <f>IF(PNL!D5="","",PNL!D5)</f>
        <v>ACT</v>
      </c>
      <c r="E5">
        <f t="shared" si="0"/>
        <v>0</v>
      </c>
      <c r="F5">
        <f>IF($A5="","",IF($E5=1,_xlfn.SUMIFS(Comptabilité!$F$1:$F$1446,Comptabilité!$A$1:$A$1446,$A5,Comptabilité!$B$1:$B$1446,$B5,Comptabilité!$C$1:$C$1446,"2026"),0))</f>
        <v>0</v>
      </c>
      <c r="G5">
        <f>IF($A5="","",IF($D5="V01",Cadrage!$C$23,IF($D5="V02",Cadrage!$D$23,Cadrage!$E$23)))</f>
        <v>-0.05</v>
      </c>
      <c r="H5">
        <f>IF($A5="","",IF($D5="V01",Cadrage!$C$24,IF($D5="V02",Cadrage!$D$24,Cadrage!$E$24)))</f>
        <v>-0.05</v>
      </c>
      <c r="I5">
        <f>IF($A5="","",IF($D5="V01",Cadrage!$C$34,IF($D5="V02",Cadrage!$D$34,Cadrage!$E$34)))</f>
        <v>0.03</v>
      </c>
      <c r="J5">
        <f>IF($A5="","",IF($D5="V01",Cadrage!$C$35,IF($D5="V02",Cadrage!$D$35,Cadrage!$E$35)))</f>
        <v>0.03</v>
      </c>
      <c r="K5">
        <f>IF($A5="","",IF($D5="V01",Cadrage!$C$36,IF($D5="V02",Cadrage!$D$36,Cadrage!$E$36)))</f>
        <v>0.05</v>
      </c>
      <c r="L5">
        <f>IF($A5="","",IF($D5="V01",Cadrage!$C$37,IF($D5="V02",Cadrage!$D$37,Cadrage!$E$37)))</f>
        <v>0</v>
      </c>
      <c r="M5">
        <f>IF($A5="","",IF($D5="V01",Cadrage!$C$38,IF($D5="V02",Cadrage!$D$38,Cadrage!$E$38)))</f>
        <v>0.04</v>
      </c>
      <c r="N5">
        <f t="shared" si="1"/>
        <v>0.980622079131853</v>
      </c>
      <c r="O5">
        <f t="shared" si="2"/>
        <v>0.980622079131853</v>
      </c>
      <c r="P5">
        <f>IF($A5="","",IF($E5=1,$F5*$O5,PNL!G5))</f>
        <v>1238205</v>
      </c>
      <c r="T5">
        <f t="shared" si="3"/>
        <v>0</v>
      </c>
    </row>
    <row r="6" ht="14.25" customHeight="1">
      <c r="A6" t="str">
        <f>IF(PNL!A6="","",PNL!A6)</f>
        <v>ISCOM_PAR</v>
      </c>
      <c r="B6" t="str">
        <f>IF(PNL!B6="","",PNL!B6)</f>
        <v>7062</v>
      </c>
      <c r="C6" t="str">
        <f>IF(PNL!C6="","",PNL!C6)</f>
        <v>2024</v>
      </c>
      <c r="D6" t="str">
        <f>IF(PNL!D6="","",PNL!D6)</f>
        <v>ACT</v>
      </c>
      <c r="E6">
        <f t="shared" si="0"/>
        <v>0</v>
      </c>
      <c r="F6">
        <f>IF($A6="","",IF($E6=1,_xlfn.SUMIFS(Comptabilité!$F$1:$F$1446,Comptabilité!$A$1:$A$1446,$A6,Comptabilité!$B$1:$B$1446,$B6,Comptabilité!$C$1:$C$1446,"2026"),0))</f>
        <v>0</v>
      </c>
      <c r="G6">
        <f>IF($A6="","",IF($D6="V01",Cadrage!$C$23,IF($D6="V02",Cadrage!$D$23,Cadrage!$E$23)))</f>
        <v>-0.05</v>
      </c>
      <c r="H6">
        <f>IF($A6="","",IF($D6="V01",Cadrage!$C$24,IF($D6="V02",Cadrage!$D$24,Cadrage!$E$24)))</f>
        <v>-0.05</v>
      </c>
      <c r="I6">
        <f>IF($A6="","",IF($D6="V01",Cadrage!$C$34,IF($D6="V02",Cadrage!$D$34,Cadrage!$E$34)))</f>
        <v>0.03</v>
      </c>
      <c r="J6">
        <f>IF($A6="","",IF($D6="V01",Cadrage!$C$35,IF($D6="V02",Cadrage!$D$35,Cadrage!$E$35)))</f>
        <v>0.03</v>
      </c>
      <c r="K6">
        <f>IF($A6="","",IF($D6="V01",Cadrage!$C$36,IF($D6="V02",Cadrage!$D$36,Cadrage!$E$36)))</f>
        <v>0.05</v>
      </c>
      <c r="L6">
        <f>IF($A6="","",IF($D6="V01",Cadrage!$C$37,IF($D6="V02",Cadrage!$D$37,Cadrage!$E$37)))</f>
        <v>0</v>
      </c>
      <c r="M6">
        <f>IF($A6="","",IF($D6="V01",Cadrage!$C$38,IF($D6="V02",Cadrage!$D$38,Cadrage!$E$38)))</f>
        <v>0.04</v>
      </c>
      <c r="N6">
        <f t="shared" si="1"/>
        <v>0.980622079131853</v>
      </c>
      <c r="O6">
        <f t="shared" si="2"/>
        <v>0.980622079131853</v>
      </c>
      <c r="P6">
        <f>IF($A6="","",IF($E6=1,$F6*$O6,PNL!G6))</f>
        <v>2031120</v>
      </c>
      <c r="T6">
        <f t="shared" si="3"/>
        <v>0</v>
      </c>
    </row>
    <row r="7" ht="14.25" customHeight="1">
      <c r="A7" t="str">
        <f>IF(PNL!A7="","",PNL!A7)</f>
        <v>ISCOM_LIL</v>
      </c>
      <c r="B7" t="str">
        <f>IF(PNL!B7="","",PNL!B7)</f>
        <v>7062</v>
      </c>
      <c r="C7" t="str">
        <f>IF(PNL!C7="","",PNL!C7)</f>
        <v>2024</v>
      </c>
      <c r="D7" t="str">
        <f>IF(PNL!D7="","",PNL!D7)</f>
        <v>ACT</v>
      </c>
      <c r="E7">
        <f t="shared" si="0"/>
        <v>0</v>
      </c>
      <c r="F7">
        <f>IF($A7="","",IF($E7=1,_xlfn.SUMIFS(Comptabilité!$F$1:$F$1446,Comptabilité!$A$1:$A$1446,$A7,Comptabilité!$B$1:$B$1446,$B7,Comptabilité!$C$1:$C$1446,"2026"),0))</f>
        <v>0</v>
      </c>
      <c r="G7">
        <f>IF($A7="","",IF($D7="V01",Cadrage!$C$23,IF($D7="V02",Cadrage!$D$23,Cadrage!$E$23)))</f>
        <v>-0.05</v>
      </c>
      <c r="H7">
        <f>IF($A7="","",IF($D7="V01",Cadrage!$C$24,IF($D7="V02",Cadrage!$D$24,Cadrage!$E$24)))</f>
        <v>-0.05</v>
      </c>
      <c r="I7">
        <f>IF($A7="","",IF($D7="V01",Cadrage!$C$34,IF($D7="V02",Cadrage!$D$34,Cadrage!$E$34)))</f>
        <v>0.03</v>
      </c>
      <c r="J7">
        <f>IF($A7="","",IF($D7="V01",Cadrage!$C$35,IF($D7="V02",Cadrage!$D$35,Cadrage!$E$35)))</f>
        <v>0.03</v>
      </c>
      <c r="K7">
        <f>IF($A7="","",IF($D7="V01",Cadrage!$C$36,IF($D7="V02",Cadrage!$D$36,Cadrage!$E$36)))</f>
        <v>0.05</v>
      </c>
      <c r="L7">
        <f>IF($A7="","",IF($D7="V01",Cadrage!$C$37,IF($D7="V02",Cadrage!$D$37,Cadrage!$E$37)))</f>
        <v>0</v>
      </c>
      <c r="M7">
        <f>IF($A7="","",IF($D7="V01",Cadrage!$C$38,IF($D7="V02",Cadrage!$D$38,Cadrage!$E$38)))</f>
        <v>0.04</v>
      </c>
      <c r="N7">
        <f t="shared" si="1"/>
        <v>0.980622079131853</v>
      </c>
      <c r="O7">
        <f t="shared" si="2"/>
        <v>0.980622079131853</v>
      </c>
      <c r="P7">
        <f>IF($A7="","",IF($E7=1,$F7*$O7,PNL!G7))</f>
        <v>1229900</v>
      </c>
      <c r="T7">
        <f t="shared" si="3"/>
        <v>0</v>
      </c>
    </row>
    <row r="8" ht="14.25" customHeight="1">
      <c r="A8" t="str">
        <f>IF(PNL!A8="","",PNL!A8)</f>
        <v>ISCOM_TLS</v>
      </c>
      <c r="B8" t="str">
        <f>IF(PNL!B8="","",PNL!B8)</f>
        <v>7062</v>
      </c>
      <c r="C8" t="str">
        <f>IF(PNL!C8="","",PNL!C8)</f>
        <v>2024</v>
      </c>
      <c r="D8" t="str">
        <f>IF(PNL!D8="","",PNL!D8)</f>
        <v>ACT</v>
      </c>
      <c r="E8">
        <f t="shared" si="0"/>
        <v>0</v>
      </c>
      <c r="F8">
        <f>IF($A8="","",IF($E8=1,_xlfn.SUMIFS(Comptabilité!$F$1:$F$1446,Comptabilité!$A$1:$A$1446,$A8,Comptabilité!$B$1:$B$1446,$B8,Comptabilité!$C$1:$C$1446,"2026"),0))</f>
        <v>0</v>
      </c>
      <c r="G8">
        <f>IF($A8="","",IF($D8="V01",Cadrage!$C$23,IF($D8="V02",Cadrage!$D$23,Cadrage!$E$23)))</f>
        <v>-0.05</v>
      </c>
      <c r="H8">
        <f>IF($A8="","",IF($D8="V01",Cadrage!$C$24,IF($D8="V02",Cadrage!$D$24,Cadrage!$E$24)))</f>
        <v>-0.05</v>
      </c>
      <c r="I8">
        <f>IF($A8="","",IF($D8="V01",Cadrage!$C$34,IF($D8="V02",Cadrage!$D$34,Cadrage!$E$34)))</f>
        <v>0.03</v>
      </c>
      <c r="J8">
        <f>IF($A8="","",IF($D8="V01",Cadrage!$C$35,IF($D8="V02",Cadrage!$D$35,Cadrage!$E$35)))</f>
        <v>0.03</v>
      </c>
      <c r="K8">
        <f>IF($A8="","",IF($D8="V01",Cadrage!$C$36,IF($D8="V02",Cadrage!$D$36,Cadrage!$E$36)))</f>
        <v>0.05</v>
      </c>
      <c r="L8">
        <f>IF($A8="","",IF($D8="V01",Cadrage!$C$37,IF($D8="V02",Cadrage!$D$37,Cadrage!$E$37)))</f>
        <v>0</v>
      </c>
      <c r="M8">
        <f>IF($A8="","",IF($D8="V01",Cadrage!$C$38,IF($D8="V02",Cadrage!$D$38,Cadrage!$E$38)))</f>
        <v>0.04</v>
      </c>
      <c r="N8">
        <f t="shared" si="1"/>
        <v>0.980622079131853</v>
      </c>
      <c r="O8">
        <f t="shared" si="2"/>
        <v>0.980622079131853</v>
      </c>
      <c r="P8">
        <f>IF($A8="","",IF($E8=1,$F8*$O8,PNL!G8))</f>
        <v>1141920</v>
      </c>
      <c r="T8">
        <f t="shared" si="3"/>
        <v>0</v>
      </c>
    </row>
    <row r="9" ht="14.25" customHeight="1">
      <c r="A9" t="str">
        <f>IF(PNL!A9="","",PNL!A9)</f>
        <v>IPAC_NAN</v>
      </c>
      <c r="B9" t="str">
        <f>IF(PNL!B9="","",PNL!B9)</f>
        <v>7062</v>
      </c>
      <c r="C9" t="str">
        <f>IF(PNL!C9="","",PNL!C9)</f>
        <v>2024</v>
      </c>
      <c r="D9" t="str">
        <f>IF(PNL!D9="","",PNL!D9)</f>
        <v>ACT</v>
      </c>
      <c r="E9">
        <f t="shared" si="0"/>
        <v>0</v>
      </c>
      <c r="F9">
        <f>IF($A9="","",IF($E9=1,_xlfn.SUMIFS(Comptabilité!$F$1:$F$1446,Comptabilité!$A$1:$A$1446,$A9,Comptabilité!$B$1:$B$1446,$B9,Comptabilité!$C$1:$C$1446,"2026"),0))</f>
        <v>0</v>
      </c>
      <c r="G9">
        <f>IF($A9="","",IF($D9="V01",Cadrage!$C$23,IF($D9="V02",Cadrage!$D$23,Cadrage!$E$23)))</f>
        <v>-0.05</v>
      </c>
      <c r="H9">
        <f>IF($A9="","",IF($D9="V01",Cadrage!$C$24,IF($D9="V02",Cadrage!$D$24,Cadrage!$E$24)))</f>
        <v>-0.05</v>
      </c>
      <c r="I9">
        <f>IF($A9="","",IF($D9="V01",Cadrage!$C$34,IF($D9="V02",Cadrage!$D$34,Cadrage!$E$34)))</f>
        <v>0.03</v>
      </c>
      <c r="J9">
        <f>IF($A9="","",IF($D9="V01",Cadrage!$C$35,IF($D9="V02",Cadrage!$D$35,Cadrage!$E$35)))</f>
        <v>0.03</v>
      </c>
      <c r="K9">
        <f>IF($A9="","",IF($D9="V01",Cadrage!$C$36,IF($D9="V02",Cadrage!$D$36,Cadrage!$E$36)))</f>
        <v>0.05</v>
      </c>
      <c r="L9">
        <f>IF($A9="","",IF($D9="V01",Cadrage!$C$37,IF($D9="V02",Cadrage!$D$37,Cadrage!$E$37)))</f>
        <v>0</v>
      </c>
      <c r="M9">
        <f>IF($A9="","",IF($D9="V01",Cadrage!$C$38,IF($D9="V02",Cadrage!$D$38,Cadrage!$E$38)))</f>
        <v>0.04</v>
      </c>
      <c r="N9">
        <f t="shared" si="1"/>
        <v>0.980622079131853</v>
      </c>
      <c r="O9">
        <f t="shared" si="2"/>
        <v>0.980622079131853</v>
      </c>
      <c r="P9">
        <f>IF($A9="","",IF($E9=1,$F9*$O9,PNL!G9))</f>
        <v>903000</v>
      </c>
      <c r="T9">
        <f t="shared" si="3"/>
        <v>0</v>
      </c>
    </row>
    <row r="10" ht="14.25" customHeight="1">
      <c r="A10" t="str">
        <f>IF(PNL!A10="","",PNL!A10)</f>
        <v>IPAC_REN</v>
      </c>
      <c r="B10" t="str">
        <f>IF(PNL!B10="","",PNL!B10)</f>
        <v>7062</v>
      </c>
      <c r="C10" t="str">
        <f>IF(PNL!C10="","",PNL!C10)</f>
        <v>2024</v>
      </c>
      <c r="D10" t="str">
        <f>IF(PNL!D10="","",PNL!D10)</f>
        <v>ACT</v>
      </c>
      <c r="E10">
        <f t="shared" si="0"/>
        <v>0</v>
      </c>
      <c r="F10">
        <f>IF($A10="","",IF($E10=1,_xlfn.SUMIFS(Comptabilité!$F$1:$F$1446,Comptabilité!$A$1:$A$1446,$A10,Comptabilité!$B$1:$B$1446,$B10,Comptabilité!$C$1:$C$1446,"2026"),0))</f>
        <v>0</v>
      </c>
      <c r="G10">
        <f>IF($A10="","",IF($D10="V01",Cadrage!$C$23,IF($D10="V02",Cadrage!$D$23,Cadrage!$E$23)))</f>
        <v>-0.05</v>
      </c>
      <c r="H10">
        <f>IF($A10="","",IF($D10="V01",Cadrage!$C$24,IF($D10="V02",Cadrage!$D$24,Cadrage!$E$24)))</f>
        <v>-0.05</v>
      </c>
      <c r="I10">
        <f>IF($A10="","",IF($D10="V01",Cadrage!$C$34,IF($D10="V02",Cadrage!$D$34,Cadrage!$E$34)))</f>
        <v>0.03</v>
      </c>
      <c r="J10">
        <f>IF($A10="","",IF($D10="V01",Cadrage!$C$35,IF($D10="V02",Cadrage!$D$35,Cadrage!$E$35)))</f>
        <v>0.03</v>
      </c>
      <c r="K10">
        <f>IF($A10="","",IF($D10="V01",Cadrage!$C$36,IF($D10="V02",Cadrage!$D$36,Cadrage!$E$36)))</f>
        <v>0.05</v>
      </c>
      <c r="L10">
        <f>IF($A10="","",IF($D10="V01",Cadrage!$C$37,IF($D10="V02",Cadrage!$D$37,Cadrage!$E$37)))</f>
        <v>0</v>
      </c>
      <c r="M10">
        <f>IF($A10="","",IF($D10="V01",Cadrage!$C$38,IF($D10="V02",Cadrage!$D$38,Cadrage!$E$38)))</f>
        <v>0.04</v>
      </c>
      <c r="N10">
        <f t="shared" si="1"/>
        <v>0.980622079131853</v>
      </c>
      <c r="O10">
        <f t="shared" si="2"/>
        <v>0.980622079131853</v>
      </c>
      <c r="P10">
        <f>IF($A10="","",IF($E10=1,$F10*$O10,PNL!G10))</f>
        <v>698250</v>
      </c>
      <c r="T10">
        <f t="shared" si="3"/>
        <v>0</v>
      </c>
    </row>
    <row r="11" ht="14.25" customHeight="1">
      <c r="A11" t="str">
        <f>IF(PNL!A11="","",PNL!A11)</f>
        <v>IPAC_MTP</v>
      </c>
      <c r="B11" t="str">
        <f>IF(PNL!B11="","",PNL!B11)</f>
        <v>7062</v>
      </c>
      <c r="C11" t="str">
        <f>IF(PNL!C11="","",PNL!C11)</f>
        <v>2024</v>
      </c>
      <c r="D11" t="str">
        <f>IF(PNL!D11="","",PNL!D11)</f>
        <v>ACT</v>
      </c>
      <c r="E11">
        <f t="shared" si="0"/>
        <v>0</v>
      </c>
      <c r="F11">
        <f>IF($A11="","",IF($E11=1,_xlfn.SUMIFS(Comptabilité!$F$1:$F$1446,Comptabilité!$A$1:$A$1446,$A11,Comptabilité!$B$1:$B$1446,$B11,Comptabilité!$C$1:$C$1446,"2026"),0))</f>
        <v>0</v>
      </c>
      <c r="G11">
        <f>IF($A11="","",IF($D11="V01",Cadrage!$C$23,IF($D11="V02",Cadrage!$D$23,Cadrage!$E$23)))</f>
        <v>-0.05</v>
      </c>
      <c r="H11">
        <f>IF($A11="","",IF($D11="V01",Cadrage!$C$24,IF($D11="V02",Cadrage!$D$24,Cadrage!$E$24)))</f>
        <v>-0.05</v>
      </c>
      <c r="I11">
        <f>IF($A11="","",IF($D11="V01",Cadrage!$C$34,IF($D11="V02",Cadrage!$D$34,Cadrage!$E$34)))</f>
        <v>0.03</v>
      </c>
      <c r="J11">
        <f>IF($A11="","",IF($D11="V01",Cadrage!$C$35,IF($D11="V02",Cadrage!$D$35,Cadrage!$E$35)))</f>
        <v>0.03</v>
      </c>
      <c r="K11">
        <f>IF($A11="","",IF($D11="V01",Cadrage!$C$36,IF($D11="V02",Cadrage!$D$36,Cadrage!$E$36)))</f>
        <v>0.05</v>
      </c>
      <c r="L11">
        <f>IF($A11="","",IF($D11="V01",Cadrage!$C$37,IF($D11="V02",Cadrage!$D$37,Cadrage!$E$37)))</f>
        <v>0</v>
      </c>
      <c r="M11">
        <f>IF($A11="","",IF($D11="V01",Cadrage!$C$38,IF($D11="V02",Cadrage!$D$38,Cadrage!$E$38)))</f>
        <v>0.04</v>
      </c>
      <c r="N11">
        <f t="shared" si="1"/>
        <v>0.980622079131853</v>
      </c>
      <c r="O11">
        <f t="shared" si="2"/>
        <v>0.980622079131853</v>
      </c>
      <c r="P11">
        <f>IF($A11="","",IF($E11=1,$F11*$O11,PNL!G11))</f>
        <v>698250</v>
      </c>
      <c r="T11">
        <f t="shared" si="3"/>
        <v>0</v>
      </c>
    </row>
    <row r="12" ht="14.25" customHeight="1">
      <c r="A12" t="str">
        <f>IF(PNL!A12="","",PNL!A12)</f>
        <v>TUNON_PAR</v>
      </c>
      <c r="B12" t="str">
        <f>IF(PNL!B12="","",PNL!B12)</f>
        <v>7062</v>
      </c>
      <c r="C12" t="str">
        <f>IF(PNL!C12="","",PNL!C12)</f>
        <v>2024</v>
      </c>
      <c r="D12" t="str">
        <f>IF(PNL!D12="","",PNL!D12)</f>
        <v>ACT</v>
      </c>
      <c r="E12">
        <f t="shared" si="0"/>
        <v>0</v>
      </c>
      <c r="F12">
        <f>IF($A12="","",IF($E12=1,_xlfn.SUMIFS(Comptabilité!$F$1:$F$1446,Comptabilité!$A$1:$A$1446,$A12,Comptabilité!$B$1:$B$1446,$B12,Comptabilité!$C$1:$C$1446,"2026"),0))</f>
        <v>0</v>
      </c>
      <c r="G12">
        <f>IF($A12="","",IF($D12="V01",Cadrage!$C$23,IF($D12="V02",Cadrage!$D$23,Cadrage!$E$23)))</f>
        <v>-0.05</v>
      </c>
      <c r="H12">
        <f>IF($A12="","",IF($D12="V01",Cadrage!$C$24,IF($D12="V02",Cadrage!$D$24,Cadrage!$E$24)))</f>
        <v>-0.05</v>
      </c>
      <c r="I12">
        <f>IF($A12="","",IF($D12="V01",Cadrage!$C$34,IF($D12="V02",Cadrage!$D$34,Cadrage!$E$34)))</f>
        <v>0.03</v>
      </c>
      <c r="J12">
        <f>IF($A12="","",IF($D12="V01",Cadrage!$C$35,IF($D12="V02",Cadrage!$D$35,Cadrage!$E$35)))</f>
        <v>0.03</v>
      </c>
      <c r="K12">
        <f>IF($A12="","",IF($D12="V01",Cadrage!$C$36,IF($D12="V02",Cadrage!$D$36,Cadrage!$E$36)))</f>
        <v>0.05</v>
      </c>
      <c r="L12">
        <f>IF($A12="","",IF($D12="V01",Cadrage!$C$37,IF($D12="V02",Cadrage!$D$37,Cadrage!$E$37)))</f>
        <v>0</v>
      </c>
      <c r="M12">
        <f>IF($A12="","",IF($D12="V01",Cadrage!$C$38,IF($D12="V02",Cadrage!$D$38,Cadrage!$E$38)))</f>
        <v>0.04</v>
      </c>
      <c r="N12">
        <f t="shared" si="1"/>
        <v>0.980622079131853</v>
      </c>
      <c r="O12">
        <f t="shared" si="2"/>
        <v>0.980622079131853</v>
      </c>
      <c r="P12">
        <f>IF($A12="","",IF($E12=1,$F12*$O12,PNL!G12))</f>
        <v>964320</v>
      </c>
      <c r="T12">
        <f t="shared" si="3"/>
        <v>0</v>
      </c>
    </row>
    <row r="13" ht="14.25" customHeight="1">
      <c r="A13" t="str">
        <f>IF(PNL!A13="","",PNL!A13)</f>
        <v>TUNON_LYO</v>
      </c>
      <c r="B13" t="str">
        <f>IF(PNL!B13="","",PNL!B13)</f>
        <v>7062</v>
      </c>
      <c r="C13" t="str">
        <f>IF(PNL!C13="","",PNL!C13)</f>
        <v>2024</v>
      </c>
      <c r="D13" t="str">
        <f>IF(PNL!D13="","",PNL!D13)</f>
        <v>ACT</v>
      </c>
      <c r="E13">
        <f t="shared" si="0"/>
        <v>0</v>
      </c>
      <c r="F13">
        <f>IF($A13="","",IF($E13=1,_xlfn.SUMIFS(Comptabilité!$F$1:$F$1446,Comptabilité!$A$1:$A$1446,$A13,Comptabilité!$B$1:$B$1446,$B13,Comptabilité!$C$1:$C$1446,"2026"),0))</f>
        <v>0</v>
      </c>
      <c r="G13">
        <f>IF($A13="","",IF($D13="V01",Cadrage!$C$23,IF($D13="V02",Cadrage!$D$23,Cadrage!$E$23)))</f>
        <v>-0.05</v>
      </c>
      <c r="H13">
        <f>IF($A13="","",IF($D13="V01",Cadrage!$C$24,IF($D13="V02",Cadrage!$D$24,Cadrage!$E$24)))</f>
        <v>-0.05</v>
      </c>
      <c r="I13">
        <f>IF($A13="","",IF($D13="V01",Cadrage!$C$34,IF($D13="V02",Cadrage!$D$34,Cadrage!$E$34)))</f>
        <v>0.03</v>
      </c>
      <c r="J13">
        <f>IF($A13="","",IF($D13="V01",Cadrage!$C$35,IF($D13="V02",Cadrage!$D$35,Cadrage!$E$35)))</f>
        <v>0.03</v>
      </c>
      <c r="K13">
        <f>IF($A13="","",IF($D13="V01",Cadrage!$C$36,IF($D13="V02",Cadrage!$D$36,Cadrage!$E$36)))</f>
        <v>0.05</v>
      </c>
      <c r="L13">
        <f>IF($A13="","",IF($D13="V01",Cadrage!$C$37,IF($D13="V02",Cadrage!$D$37,Cadrage!$E$37)))</f>
        <v>0</v>
      </c>
      <c r="M13">
        <f>IF($A13="","",IF($D13="V01",Cadrage!$C$38,IF($D13="V02",Cadrage!$D$38,Cadrage!$E$38)))</f>
        <v>0.04</v>
      </c>
      <c r="N13">
        <f t="shared" si="1"/>
        <v>0.980622079131853</v>
      </c>
      <c r="O13">
        <f t="shared" si="2"/>
        <v>0.980622079131853</v>
      </c>
      <c r="P13">
        <f>IF($A13="","",IF($E13=1,$F13*$O13,PNL!G13))</f>
        <v>771750</v>
      </c>
      <c r="T13">
        <f t="shared" si="3"/>
        <v>0</v>
      </c>
    </row>
    <row r="14" ht="14.25" customHeight="1">
      <c r="A14" t="str">
        <f>IF(PNL!A14="","",PNL!A14)</f>
        <v>MBWAY_PAR</v>
      </c>
      <c r="B14" t="str">
        <f>IF(PNL!B14="","",PNL!B14)</f>
        <v>7062</v>
      </c>
      <c r="C14" t="str">
        <f>IF(PNL!C14="","",PNL!C14)</f>
        <v>2025</v>
      </c>
      <c r="D14" t="str">
        <f>IF(PNL!D14="","",PNL!D14)</f>
        <v>ACT</v>
      </c>
      <c r="E14">
        <f t="shared" si="0"/>
        <v>0</v>
      </c>
      <c r="F14">
        <f>IF($A14="","",IF($E14=1,_xlfn.SUMIFS(Comptabilité!$F$1:$F$1446,Comptabilité!$A$1:$A$1446,$A14,Comptabilité!$B$1:$B$1446,$B14,Comptabilité!$C$1:$C$1446,"2026"),0))</f>
        <v>0</v>
      </c>
      <c r="G14">
        <f>IF($A14="","",IF($D14="V01",Cadrage!$C$23,IF($D14="V02",Cadrage!$D$23,Cadrage!$E$23)))</f>
        <v>-0.05</v>
      </c>
      <c r="H14">
        <f>IF($A14="","",IF($D14="V01",Cadrage!$C$24,IF($D14="V02",Cadrage!$D$24,Cadrage!$E$24)))</f>
        <v>-0.05</v>
      </c>
      <c r="I14">
        <f>IF($A14="","",IF($D14="V01",Cadrage!$C$34,IF($D14="V02",Cadrage!$D$34,Cadrage!$E$34)))</f>
        <v>0.03</v>
      </c>
      <c r="J14">
        <f>IF($A14="","",IF($D14="V01",Cadrage!$C$35,IF($D14="V02",Cadrage!$D$35,Cadrage!$E$35)))</f>
        <v>0.03</v>
      </c>
      <c r="K14">
        <f>IF($A14="","",IF($D14="V01",Cadrage!$C$36,IF($D14="V02",Cadrage!$D$36,Cadrage!$E$36)))</f>
        <v>0.05</v>
      </c>
      <c r="L14">
        <f>IF($A14="","",IF($D14="V01",Cadrage!$C$37,IF($D14="V02",Cadrage!$D$37,Cadrage!$E$37)))</f>
        <v>0</v>
      </c>
      <c r="M14">
        <f>IF($A14="","",IF($D14="V01",Cadrage!$C$38,IF($D14="V02",Cadrage!$D$38,Cadrage!$E$38)))</f>
        <v>0.04</v>
      </c>
      <c r="N14">
        <f t="shared" si="1"/>
        <v>0.980622079131853</v>
      </c>
      <c r="O14">
        <f t="shared" si="2"/>
        <v>0.980622079131853</v>
      </c>
      <c r="P14">
        <f>IF($A14="","",IF($E14=1,$F14*$O14,PNL!G14))</f>
        <v>2339680</v>
      </c>
      <c r="T14">
        <f t="shared" si="3"/>
        <v>0</v>
      </c>
    </row>
    <row r="15" ht="14.25" customHeight="1">
      <c r="A15" t="str">
        <f>IF(PNL!A15="","",PNL!A15)</f>
        <v>MBWAY_LYO</v>
      </c>
      <c r="B15" t="str">
        <f>IF(PNL!B15="","",PNL!B15)</f>
        <v>7062</v>
      </c>
      <c r="C15" t="str">
        <f>IF(PNL!C15="","",PNL!C15)</f>
        <v>2025</v>
      </c>
      <c r="D15" t="str">
        <f>IF(PNL!D15="","",PNL!D15)</f>
        <v>ACT</v>
      </c>
      <c r="E15">
        <f t="shared" si="0"/>
        <v>0</v>
      </c>
      <c r="F15">
        <f>IF($A15="","",IF($E15=1,_xlfn.SUMIFS(Comptabilité!$F$1:$F$1446,Comptabilité!$A$1:$A$1446,$A15,Comptabilité!$B$1:$B$1446,$B15,Comptabilité!$C$1:$C$1446,"2026"),0))</f>
        <v>0</v>
      </c>
      <c r="G15">
        <f>IF($A15="","",IF($D15="V01",Cadrage!$C$23,IF($D15="V02",Cadrage!$D$23,Cadrage!$E$23)))</f>
        <v>-0.05</v>
      </c>
      <c r="H15">
        <f>IF($A15="","",IF($D15="V01",Cadrage!$C$24,IF($D15="V02",Cadrage!$D$24,Cadrage!$E$24)))</f>
        <v>-0.05</v>
      </c>
      <c r="I15">
        <f>IF($A15="","",IF($D15="V01",Cadrage!$C$34,IF($D15="V02",Cadrage!$D$34,Cadrage!$E$34)))</f>
        <v>0.03</v>
      </c>
      <c r="J15">
        <f>IF($A15="","",IF($D15="V01",Cadrage!$C$35,IF($D15="V02",Cadrage!$D$35,Cadrage!$E$35)))</f>
        <v>0.03</v>
      </c>
      <c r="K15">
        <f>IF($A15="","",IF($D15="V01",Cadrage!$C$36,IF($D15="V02",Cadrage!$D$36,Cadrage!$E$36)))</f>
        <v>0.05</v>
      </c>
      <c r="L15">
        <f>IF($A15="","",IF($D15="V01",Cadrage!$C$37,IF($D15="V02",Cadrage!$D$37,Cadrage!$E$37)))</f>
        <v>0</v>
      </c>
      <c r="M15">
        <f>IF($A15="","",IF($D15="V01",Cadrage!$C$38,IF($D15="V02",Cadrage!$D$38,Cadrage!$E$38)))</f>
        <v>0.04</v>
      </c>
      <c r="N15">
        <f t="shared" si="1"/>
        <v>0.980622079131853</v>
      </c>
      <c r="O15">
        <f t="shared" si="2"/>
        <v>0.980622079131853</v>
      </c>
      <c r="P15">
        <f>IF($A15="","",IF($E15=1,$F15*$O15,PNL!G15))</f>
        <v>1843275</v>
      </c>
      <c r="T15">
        <f t="shared" si="3"/>
        <v>0</v>
      </c>
    </row>
    <row r="16" ht="14.25" customHeight="1">
      <c r="A16" t="str">
        <f>IF(PNL!A16="","",PNL!A16)</f>
        <v>MBWAY_NAN</v>
      </c>
      <c r="B16" t="str">
        <f>IF(PNL!B16="","",PNL!B16)</f>
        <v>7062</v>
      </c>
      <c r="C16" t="str">
        <f>IF(PNL!C16="","",PNL!C16)</f>
        <v>2025</v>
      </c>
      <c r="D16" t="str">
        <f>IF(PNL!D16="","",PNL!D16)</f>
        <v>ACT</v>
      </c>
      <c r="E16">
        <f t="shared" si="0"/>
        <v>0</v>
      </c>
      <c r="F16">
        <f>IF($A16="","",IF($E16=1,_xlfn.SUMIFS(Comptabilité!$F$1:$F$1446,Comptabilité!$A$1:$A$1446,$A16,Comptabilité!$B$1:$B$1446,$B16,Comptabilité!$C$1:$C$1446,"2026"),0))</f>
        <v>0</v>
      </c>
      <c r="G16">
        <f>IF($A16="","",IF($D16="V01",Cadrage!$C$23,IF($D16="V02",Cadrage!$D$23,Cadrage!$E$23)))</f>
        <v>-0.05</v>
      </c>
      <c r="H16">
        <f>IF($A16="","",IF($D16="V01",Cadrage!$C$24,IF($D16="V02",Cadrage!$D$24,Cadrage!$E$24)))</f>
        <v>-0.05</v>
      </c>
      <c r="I16">
        <f>IF($A16="","",IF($D16="V01",Cadrage!$C$34,IF($D16="V02",Cadrage!$D$34,Cadrage!$E$34)))</f>
        <v>0.03</v>
      </c>
      <c r="J16">
        <f>IF($A16="","",IF($D16="V01",Cadrage!$C$35,IF($D16="V02",Cadrage!$D$35,Cadrage!$E$35)))</f>
        <v>0.03</v>
      </c>
      <c r="K16">
        <f>IF($A16="","",IF($D16="V01",Cadrage!$C$36,IF($D16="V02",Cadrage!$D$36,Cadrage!$E$36)))</f>
        <v>0.05</v>
      </c>
      <c r="L16">
        <f>IF($A16="","",IF($D16="V01",Cadrage!$C$37,IF($D16="V02",Cadrage!$D$37,Cadrage!$E$37)))</f>
        <v>0</v>
      </c>
      <c r="M16">
        <f>IF($A16="","",IF($D16="V01",Cadrage!$C$38,IF($D16="V02",Cadrage!$D$38,Cadrage!$E$38)))</f>
        <v>0.04</v>
      </c>
      <c r="N16">
        <f t="shared" si="1"/>
        <v>0.980622079131853</v>
      </c>
      <c r="O16">
        <f t="shared" si="2"/>
        <v>0.980622079131853</v>
      </c>
      <c r="P16">
        <f>IF($A16="","",IF($E16=1,$F16*$O16,PNL!G16))</f>
        <v>1610500</v>
      </c>
      <c r="T16">
        <f t="shared" si="3"/>
        <v>0</v>
      </c>
    </row>
    <row r="17" ht="14.25" customHeight="1">
      <c r="A17" t="str">
        <f>IF(PNL!A17="","",PNL!A17)</f>
        <v>MBWAY_BOR</v>
      </c>
      <c r="B17" t="str">
        <f>IF(PNL!B17="","",PNL!B17)</f>
        <v>7062</v>
      </c>
      <c r="C17" t="str">
        <f>IF(PNL!C17="","",PNL!C17)</f>
        <v>2025</v>
      </c>
      <c r="D17" t="str">
        <f>IF(PNL!D17="","",PNL!D17)</f>
        <v>ACT</v>
      </c>
      <c r="E17">
        <f t="shared" si="0"/>
        <v>0</v>
      </c>
      <c r="F17">
        <f>IF($A17="","",IF($E17=1,_xlfn.SUMIFS(Comptabilité!$F$1:$F$1446,Comptabilité!$A$1:$A$1446,$A17,Comptabilité!$B$1:$B$1446,$B17,Comptabilité!$C$1:$C$1446,"2026"),0))</f>
        <v>0</v>
      </c>
      <c r="G17">
        <f>IF($A17="","",IF($D17="V01",Cadrage!$C$23,IF($D17="V02",Cadrage!$D$23,Cadrage!$E$23)))</f>
        <v>-0.05</v>
      </c>
      <c r="H17">
        <f>IF($A17="","",IF($D17="V01",Cadrage!$C$24,IF($D17="V02",Cadrage!$D$24,Cadrage!$E$24)))</f>
        <v>-0.05</v>
      </c>
      <c r="I17">
        <f>IF($A17="","",IF($D17="V01",Cadrage!$C$34,IF($D17="V02",Cadrage!$D$34,Cadrage!$E$34)))</f>
        <v>0.03</v>
      </c>
      <c r="J17">
        <f>IF($A17="","",IF($D17="V01",Cadrage!$C$35,IF($D17="V02",Cadrage!$D$35,Cadrage!$E$35)))</f>
        <v>0.03</v>
      </c>
      <c r="K17">
        <f>IF($A17="","",IF($D17="V01",Cadrage!$C$36,IF($D17="V02",Cadrage!$D$36,Cadrage!$E$36)))</f>
        <v>0.05</v>
      </c>
      <c r="L17">
        <f>IF($A17="","",IF($D17="V01",Cadrage!$C$37,IF($D17="V02",Cadrage!$D$37,Cadrage!$E$37)))</f>
        <v>0</v>
      </c>
      <c r="M17">
        <f>IF($A17="","",IF($D17="V01",Cadrage!$C$38,IF($D17="V02",Cadrage!$D$38,Cadrage!$E$38)))</f>
        <v>0.04</v>
      </c>
      <c r="N17">
        <f t="shared" si="1"/>
        <v>0.980622079131853</v>
      </c>
      <c r="O17">
        <f t="shared" si="2"/>
        <v>0.980622079131853</v>
      </c>
      <c r="P17">
        <f>IF($A17="","",IF($E17=1,$F17*$O17,PNL!G17))</f>
        <v>1309015</v>
      </c>
      <c r="T17">
        <f t="shared" si="3"/>
        <v>0</v>
      </c>
    </row>
    <row r="18" ht="14.25" customHeight="1">
      <c r="A18" t="str">
        <f>IF(PNL!A18="","",PNL!A18)</f>
        <v>ISCOM_PAR</v>
      </c>
      <c r="B18" t="str">
        <f>IF(PNL!B18="","",PNL!B18)</f>
        <v>7062</v>
      </c>
      <c r="C18" t="str">
        <f>IF(PNL!C18="","",PNL!C18)</f>
        <v>2025</v>
      </c>
      <c r="D18" t="str">
        <f>IF(PNL!D18="","",PNL!D18)</f>
        <v>ACT</v>
      </c>
      <c r="E18">
        <f t="shared" si="0"/>
        <v>0</v>
      </c>
      <c r="F18">
        <f>IF($A18="","",IF($E18=1,_xlfn.SUMIFS(Comptabilité!$F$1:$F$1446,Comptabilité!$A$1:$A$1446,$A18,Comptabilité!$B$1:$B$1446,$B18,Comptabilité!$C$1:$C$1446,"2026"),0))</f>
        <v>0</v>
      </c>
      <c r="G18">
        <f>IF($A18="","",IF($D18="V01",Cadrage!$C$23,IF($D18="V02",Cadrage!$D$23,Cadrage!$E$23)))</f>
        <v>-0.05</v>
      </c>
      <c r="H18">
        <f>IF($A18="","",IF($D18="V01",Cadrage!$C$24,IF($D18="V02",Cadrage!$D$24,Cadrage!$E$24)))</f>
        <v>-0.05</v>
      </c>
      <c r="I18">
        <f>IF($A18="","",IF($D18="V01",Cadrage!$C$34,IF($D18="V02",Cadrage!$D$34,Cadrage!$E$34)))</f>
        <v>0.03</v>
      </c>
      <c r="J18">
        <f>IF($A18="","",IF($D18="V01",Cadrage!$C$35,IF($D18="V02",Cadrage!$D$35,Cadrage!$E$35)))</f>
        <v>0.03</v>
      </c>
      <c r="K18">
        <f>IF($A18="","",IF($D18="V01",Cadrage!$C$36,IF($D18="V02",Cadrage!$D$36,Cadrage!$E$36)))</f>
        <v>0.05</v>
      </c>
      <c r="L18">
        <f>IF($A18="","",IF($D18="V01",Cadrage!$C$37,IF($D18="V02",Cadrage!$D$37,Cadrage!$E$37)))</f>
        <v>0</v>
      </c>
      <c r="M18">
        <f>IF($A18="","",IF($D18="V01",Cadrage!$C$38,IF($D18="V02",Cadrage!$D$38,Cadrage!$E$38)))</f>
        <v>0.04</v>
      </c>
      <c r="N18">
        <f t="shared" si="1"/>
        <v>0.980622079131853</v>
      </c>
      <c r="O18">
        <f t="shared" si="2"/>
        <v>0.980622079131853</v>
      </c>
      <c r="P18">
        <f>IF($A18="","",IF($E18=1,$F18*$O18,PNL!G18))</f>
        <v>2161040</v>
      </c>
      <c r="T18">
        <f t="shared" si="3"/>
        <v>0</v>
      </c>
    </row>
    <row r="19" ht="14.25" customHeight="1">
      <c r="A19" t="str">
        <f>IF(PNL!A19="","",PNL!A19)</f>
        <v>ISCOM_LIL</v>
      </c>
      <c r="B19" t="str">
        <f>IF(PNL!B19="","",PNL!B19)</f>
        <v>7062</v>
      </c>
      <c r="C19" t="str">
        <f>IF(PNL!C19="","",PNL!C19)</f>
        <v>2025</v>
      </c>
      <c r="D19" t="str">
        <f>IF(PNL!D19="","",PNL!D19)</f>
        <v>ACT</v>
      </c>
      <c r="E19">
        <f t="shared" si="0"/>
        <v>0</v>
      </c>
      <c r="F19">
        <f>IF($A19="","",IF($E19=1,_xlfn.SUMIFS(Comptabilité!$F$1:$F$1446,Comptabilité!$A$1:$A$1446,$A19,Comptabilité!$B$1:$B$1446,$B19,Comptabilité!$C$1:$C$1446,"2026"),0))</f>
        <v>0</v>
      </c>
      <c r="G19">
        <f>IF($A19="","",IF($D19="V01",Cadrage!$C$23,IF($D19="V02",Cadrage!$D$23,Cadrage!$E$23)))</f>
        <v>-0.05</v>
      </c>
      <c r="H19">
        <f>IF($A19="","",IF($D19="V01",Cadrage!$C$24,IF($D19="V02",Cadrage!$D$24,Cadrage!$E$24)))</f>
        <v>-0.05</v>
      </c>
      <c r="I19">
        <f>IF($A19="","",IF($D19="V01",Cadrage!$C$34,IF($D19="V02",Cadrage!$D$34,Cadrage!$E$34)))</f>
        <v>0.03</v>
      </c>
      <c r="J19">
        <f>IF($A19="","",IF($D19="V01",Cadrage!$C$35,IF($D19="V02",Cadrage!$D$35,Cadrage!$E$35)))</f>
        <v>0.03</v>
      </c>
      <c r="K19">
        <f>IF($A19="","",IF($D19="V01",Cadrage!$C$36,IF($D19="V02",Cadrage!$D$36,Cadrage!$E$36)))</f>
        <v>0.05</v>
      </c>
      <c r="L19">
        <f>IF($A19="","",IF($D19="V01",Cadrage!$C$37,IF($D19="V02",Cadrage!$D$37,Cadrage!$E$37)))</f>
        <v>0</v>
      </c>
      <c r="M19">
        <f>IF($A19="","",IF($D19="V01",Cadrage!$C$38,IF($D19="V02",Cadrage!$D$38,Cadrage!$E$38)))</f>
        <v>0.04</v>
      </c>
      <c r="N19">
        <f t="shared" si="1"/>
        <v>0.980622079131853</v>
      </c>
      <c r="O19">
        <f t="shared" si="2"/>
        <v>0.980622079131853</v>
      </c>
      <c r="P19">
        <f>IF($A19="","",IF($E19=1,$F19*$O19,PNL!G19))</f>
        <v>1294090</v>
      </c>
      <c r="T19">
        <f t="shared" si="3"/>
        <v>0</v>
      </c>
    </row>
    <row r="20" ht="14.25" customHeight="1">
      <c r="A20" t="str">
        <f>IF(PNL!A20="","",PNL!A20)</f>
        <v>ISCOM_TLS</v>
      </c>
      <c r="B20" t="str">
        <f>IF(PNL!B20="","",PNL!B20)</f>
        <v>7062</v>
      </c>
      <c r="C20" t="str">
        <f>IF(PNL!C20="","",PNL!C20)</f>
        <v>2025</v>
      </c>
      <c r="D20" t="str">
        <f>IF(PNL!D20="","",PNL!D20)</f>
        <v>ACT</v>
      </c>
      <c r="E20">
        <f t="shared" si="0"/>
        <v>0</v>
      </c>
      <c r="F20">
        <f>IF($A20="","",IF($E20=1,_xlfn.SUMIFS(Comptabilité!$F$1:$F$1446,Comptabilité!$A$1:$A$1446,$A20,Comptabilité!$B$1:$B$1446,$B20,Comptabilité!$C$1:$C$1446,"2026"),0))</f>
        <v>0</v>
      </c>
      <c r="G20">
        <f>IF($A20="","",IF($D20="V01",Cadrage!$C$23,IF($D20="V02",Cadrage!$D$23,Cadrage!$E$23)))</f>
        <v>-0.05</v>
      </c>
      <c r="H20">
        <f>IF($A20="","",IF($D20="V01",Cadrage!$C$24,IF($D20="V02",Cadrage!$D$24,Cadrage!$E$24)))</f>
        <v>-0.05</v>
      </c>
      <c r="I20">
        <f>IF($A20="","",IF($D20="V01",Cadrage!$C$34,IF($D20="V02",Cadrage!$D$34,Cadrage!$E$34)))</f>
        <v>0.03</v>
      </c>
      <c r="J20">
        <f>IF($A20="","",IF($D20="V01",Cadrage!$C$35,IF($D20="V02",Cadrage!$D$35,Cadrage!$E$35)))</f>
        <v>0.03</v>
      </c>
      <c r="K20">
        <f>IF($A20="","",IF($D20="V01",Cadrage!$C$36,IF($D20="V02",Cadrage!$D$36,Cadrage!$E$36)))</f>
        <v>0.05</v>
      </c>
      <c r="L20">
        <f>IF($A20="","",IF($D20="V01",Cadrage!$C$37,IF($D20="V02",Cadrage!$D$37,Cadrage!$E$37)))</f>
        <v>0</v>
      </c>
      <c r="M20">
        <f>IF($A20="","",IF($D20="V01",Cadrage!$C$38,IF($D20="V02",Cadrage!$D$38,Cadrage!$E$38)))</f>
        <v>0.04</v>
      </c>
      <c r="N20">
        <f t="shared" si="1"/>
        <v>0.980622079131853</v>
      </c>
      <c r="O20">
        <f t="shared" si="2"/>
        <v>0.980622079131853</v>
      </c>
      <c r="P20">
        <f>IF($A20="","",IF($E20=1,$F20*$O20,PNL!G20))</f>
        <v>1197600</v>
      </c>
      <c r="T20">
        <f t="shared" si="3"/>
        <v>0</v>
      </c>
    </row>
    <row r="21" ht="14.25" customHeight="1">
      <c r="A21" t="str">
        <f>IF(PNL!A21="","",PNL!A21)</f>
        <v>IPAC_NAN</v>
      </c>
      <c r="B21" t="str">
        <f>IF(PNL!B21="","",PNL!B21)</f>
        <v>7062</v>
      </c>
      <c r="C21" t="str">
        <f>IF(PNL!C21="","",PNL!C21)</f>
        <v>2025</v>
      </c>
      <c r="D21" t="str">
        <f>IF(PNL!D21="","",PNL!D21)</f>
        <v>ACT</v>
      </c>
      <c r="E21">
        <f t="shared" si="0"/>
        <v>0</v>
      </c>
      <c r="F21">
        <f>IF($A21="","",IF($E21=1,_xlfn.SUMIFS(Comptabilité!$F$1:$F$1446,Comptabilité!$A$1:$A$1446,$A21,Comptabilité!$B$1:$B$1446,$B21,Comptabilité!$C$1:$C$1446,"2026"),0))</f>
        <v>0</v>
      </c>
      <c r="G21">
        <f>IF($A21="","",IF($D21="V01",Cadrage!$C$23,IF($D21="V02",Cadrage!$D$23,Cadrage!$E$23)))</f>
        <v>-0.05</v>
      </c>
      <c r="H21">
        <f>IF($A21="","",IF($D21="V01",Cadrage!$C$24,IF($D21="V02",Cadrage!$D$24,Cadrage!$E$24)))</f>
        <v>-0.05</v>
      </c>
      <c r="I21">
        <f>IF($A21="","",IF($D21="V01",Cadrage!$C$34,IF($D21="V02",Cadrage!$D$34,Cadrage!$E$34)))</f>
        <v>0.03</v>
      </c>
      <c r="J21">
        <f>IF($A21="","",IF($D21="V01",Cadrage!$C$35,IF($D21="V02",Cadrage!$D$35,Cadrage!$E$35)))</f>
        <v>0.03</v>
      </c>
      <c r="K21">
        <f>IF($A21="","",IF($D21="V01",Cadrage!$C$36,IF($D21="V02",Cadrage!$D$36,Cadrage!$E$36)))</f>
        <v>0.05</v>
      </c>
      <c r="L21">
        <f>IF($A21="","",IF($D21="V01",Cadrage!$C$37,IF($D21="V02",Cadrage!$D$37,Cadrage!$E$37)))</f>
        <v>0</v>
      </c>
      <c r="M21">
        <f>IF($A21="","",IF($D21="V01",Cadrage!$C$38,IF($D21="V02",Cadrage!$D$38,Cadrage!$E$38)))</f>
        <v>0.04</v>
      </c>
      <c r="N21">
        <f t="shared" si="1"/>
        <v>0.980622079131853</v>
      </c>
      <c r="O21">
        <f t="shared" si="2"/>
        <v>0.980622079131853</v>
      </c>
      <c r="P21">
        <f>IF($A21="","",IF($E21=1,$F21*$O21,PNL!G21))</f>
        <v>952000</v>
      </c>
      <c r="T21">
        <f t="shared" si="3"/>
        <v>0</v>
      </c>
    </row>
    <row r="22" ht="14.25" customHeight="1">
      <c r="A22" t="str">
        <f>IF(PNL!A22="","",PNL!A22)</f>
        <v>IPAC_REN</v>
      </c>
      <c r="B22" t="str">
        <f>IF(PNL!B22="","",PNL!B22)</f>
        <v>7062</v>
      </c>
      <c r="C22" t="str">
        <f>IF(PNL!C22="","",PNL!C22)</f>
        <v>2025</v>
      </c>
      <c r="D22" t="str">
        <f>IF(PNL!D22="","",PNL!D22)</f>
        <v>ACT</v>
      </c>
      <c r="E22">
        <f t="shared" si="0"/>
        <v>0</v>
      </c>
      <c r="F22">
        <f>IF($A22="","",IF($E22=1,_xlfn.SUMIFS(Comptabilité!$F$1:$F$1446,Comptabilité!$A$1:$A$1446,$A22,Comptabilité!$B$1:$B$1446,$B22,Comptabilité!$C$1:$C$1446,"2026"),0))</f>
        <v>0</v>
      </c>
      <c r="G22">
        <f>IF($A22="","",IF($D22="V01",Cadrage!$C$23,IF($D22="V02",Cadrage!$D$23,Cadrage!$E$23)))</f>
        <v>-0.05</v>
      </c>
      <c r="H22">
        <f>IF($A22="","",IF($D22="V01",Cadrage!$C$24,IF($D22="V02",Cadrage!$D$24,Cadrage!$E$24)))</f>
        <v>-0.05</v>
      </c>
      <c r="I22">
        <f>IF($A22="","",IF($D22="V01",Cadrage!$C$34,IF($D22="V02",Cadrage!$D$34,Cadrage!$E$34)))</f>
        <v>0.03</v>
      </c>
      <c r="J22">
        <f>IF($A22="","",IF($D22="V01",Cadrage!$C$35,IF($D22="V02",Cadrage!$D$35,Cadrage!$E$35)))</f>
        <v>0.03</v>
      </c>
      <c r="K22">
        <f>IF($A22="","",IF($D22="V01",Cadrage!$C$36,IF($D22="V02",Cadrage!$D$36,Cadrage!$E$36)))</f>
        <v>0.05</v>
      </c>
      <c r="L22">
        <f>IF($A22="","",IF($D22="V01",Cadrage!$C$37,IF($D22="V02",Cadrage!$D$37,Cadrage!$E$37)))</f>
        <v>0</v>
      </c>
      <c r="M22">
        <f>IF($A22="","",IF($D22="V01",Cadrage!$C$38,IF($D22="V02",Cadrage!$D$38,Cadrage!$E$38)))</f>
        <v>0.04</v>
      </c>
      <c r="N22">
        <f t="shared" si="1"/>
        <v>0.980622079131853</v>
      </c>
      <c r="O22">
        <f t="shared" si="2"/>
        <v>0.980622079131853</v>
      </c>
      <c r="P22">
        <f>IF($A22="","",IF($E22=1,$F22*$O22,PNL!G22))</f>
        <v>738150</v>
      </c>
      <c r="T22">
        <f t="shared" si="3"/>
        <v>0</v>
      </c>
    </row>
    <row r="23" ht="14.25" customHeight="1">
      <c r="A23" t="str">
        <f>IF(PNL!A23="","",PNL!A23)</f>
        <v>IPAC_MTP</v>
      </c>
      <c r="B23" t="str">
        <f>IF(PNL!B23="","",PNL!B23)</f>
        <v>7062</v>
      </c>
      <c r="C23" t="str">
        <f>IF(PNL!C23="","",PNL!C23)</f>
        <v>2025</v>
      </c>
      <c r="D23" t="str">
        <f>IF(PNL!D23="","",PNL!D23)</f>
        <v>ACT</v>
      </c>
      <c r="E23">
        <f t="shared" si="0"/>
        <v>0</v>
      </c>
      <c r="F23">
        <f>IF($A23="","",IF($E23=1,_xlfn.SUMIFS(Comptabilité!$F$1:$F$1446,Comptabilité!$A$1:$A$1446,$A23,Comptabilité!$B$1:$B$1446,$B23,Comptabilité!$C$1:$C$1446,"2026"),0))</f>
        <v>0</v>
      </c>
      <c r="G23">
        <f>IF($A23="","",IF($D23="V01",Cadrage!$C$23,IF($D23="V02",Cadrage!$D$23,Cadrage!$E$23)))</f>
        <v>-0.05</v>
      </c>
      <c r="H23">
        <f>IF($A23="","",IF($D23="V01",Cadrage!$C$24,IF($D23="V02",Cadrage!$D$24,Cadrage!$E$24)))</f>
        <v>-0.05</v>
      </c>
      <c r="I23">
        <f>IF($A23="","",IF($D23="V01",Cadrage!$C$34,IF($D23="V02",Cadrage!$D$34,Cadrage!$E$34)))</f>
        <v>0.03</v>
      </c>
      <c r="J23">
        <f>IF($A23="","",IF($D23="V01",Cadrage!$C$35,IF($D23="V02",Cadrage!$D$35,Cadrage!$E$35)))</f>
        <v>0.03</v>
      </c>
      <c r="K23">
        <f>IF($A23="","",IF($D23="V01",Cadrage!$C$36,IF($D23="V02",Cadrage!$D$36,Cadrage!$E$36)))</f>
        <v>0.05</v>
      </c>
      <c r="L23">
        <f>IF($A23="","",IF($D23="V01",Cadrage!$C$37,IF($D23="V02",Cadrage!$D$37,Cadrage!$E$37)))</f>
        <v>0</v>
      </c>
      <c r="M23">
        <f>IF($A23="","",IF($D23="V01",Cadrage!$C$38,IF($D23="V02",Cadrage!$D$38,Cadrage!$E$38)))</f>
        <v>0.04</v>
      </c>
      <c r="N23">
        <f t="shared" si="1"/>
        <v>0.980622079131853</v>
      </c>
      <c r="O23">
        <f t="shared" si="2"/>
        <v>0.980622079131853</v>
      </c>
      <c r="P23">
        <f>IF($A23="","",IF($E23=1,$F23*$O23,PNL!G23))</f>
        <v>738150</v>
      </c>
      <c r="T23">
        <f t="shared" si="3"/>
        <v>0</v>
      </c>
    </row>
    <row r="24" ht="14.25" customHeight="1">
      <c r="A24" t="str">
        <f>IF(PNL!A24="","",PNL!A24)</f>
        <v>TUNON_PAR</v>
      </c>
      <c r="B24" t="str">
        <f>IF(PNL!B24="","",PNL!B24)</f>
        <v>7062</v>
      </c>
      <c r="C24" t="str">
        <f>IF(PNL!C24="","",PNL!C24)</f>
        <v>2025</v>
      </c>
      <c r="D24" t="str">
        <f>IF(PNL!D24="","",PNL!D24)</f>
        <v>ACT</v>
      </c>
      <c r="E24">
        <f t="shared" si="0"/>
        <v>0</v>
      </c>
      <c r="F24">
        <f>IF($A24="","",IF($E24=1,_xlfn.SUMIFS(Comptabilité!$F$1:$F$1446,Comptabilité!$A$1:$A$1446,$A24,Comptabilité!$B$1:$B$1446,$B24,Comptabilité!$C$1:$C$1446,"2026"),0))</f>
        <v>0</v>
      </c>
      <c r="G24">
        <f>IF($A24="","",IF($D24="V01",Cadrage!$C$23,IF($D24="V02",Cadrage!$D$23,Cadrage!$E$23)))</f>
        <v>-0.05</v>
      </c>
      <c r="H24">
        <f>IF($A24="","",IF($D24="V01",Cadrage!$C$24,IF($D24="V02",Cadrage!$D$24,Cadrage!$E$24)))</f>
        <v>-0.05</v>
      </c>
      <c r="I24">
        <f>IF($A24="","",IF($D24="V01",Cadrage!$C$34,IF($D24="V02",Cadrage!$D$34,Cadrage!$E$34)))</f>
        <v>0.03</v>
      </c>
      <c r="J24">
        <f>IF($A24="","",IF($D24="V01",Cadrage!$C$35,IF($D24="V02",Cadrage!$D$35,Cadrage!$E$35)))</f>
        <v>0.03</v>
      </c>
      <c r="K24">
        <f>IF($A24="","",IF($D24="V01",Cadrage!$C$36,IF($D24="V02",Cadrage!$D$36,Cadrage!$E$36)))</f>
        <v>0.05</v>
      </c>
      <c r="L24">
        <f>IF($A24="","",IF($D24="V01",Cadrage!$C$37,IF($D24="V02",Cadrage!$D$37,Cadrage!$E$37)))</f>
        <v>0</v>
      </c>
      <c r="M24">
        <f>IF($A24="","",IF($D24="V01",Cadrage!$C$38,IF($D24="V02",Cadrage!$D$38,Cadrage!$E$38)))</f>
        <v>0.04</v>
      </c>
      <c r="N24">
        <f t="shared" si="1"/>
        <v>0.980622079131853</v>
      </c>
      <c r="O24">
        <f t="shared" si="2"/>
        <v>0.980622079131853</v>
      </c>
      <c r="P24">
        <f>IF($A24="","",IF($E24=1,$F24*$O24,PNL!G24))</f>
        <v>1011360</v>
      </c>
      <c r="T24">
        <f t="shared" si="3"/>
        <v>0</v>
      </c>
    </row>
    <row r="25" ht="14.25" customHeight="1">
      <c r="A25" t="str">
        <f>IF(PNL!A25="","",PNL!A25)</f>
        <v>TUNON_LYO</v>
      </c>
      <c r="B25" t="str">
        <f>IF(PNL!B25="","",PNL!B25)</f>
        <v>7062</v>
      </c>
      <c r="C25" t="str">
        <f>IF(PNL!C25="","",PNL!C25)</f>
        <v>2025</v>
      </c>
      <c r="D25" t="str">
        <f>IF(PNL!D25="","",PNL!D25)</f>
        <v>ACT</v>
      </c>
      <c r="E25">
        <f t="shared" si="0"/>
        <v>0</v>
      </c>
      <c r="F25">
        <f>IF($A25="","",IF($E25=1,_xlfn.SUMIFS(Comptabilité!$F$1:$F$1446,Comptabilité!$A$1:$A$1446,$A25,Comptabilité!$B$1:$B$1446,$B25,Comptabilité!$C$1:$C$1446,"2026"),0))</f>
        <v>0</v>
      </c>
      <c r="G25">
        <f>IF($A25="","",IF($D25="V01",Cadrage!$C$23,IF($D25="V02",Cadrage!$D$23,Cadrage!$E$23)))</f>
        <v>-0.05</v>
      </c>
      <c r="H25">
        <f>IF($A25="","",IF($D25="V01",Cadrage!$C$24,IF($D25="V02",Cadrage!$D$24,Cadrage!$E$24)))</f>
        <v>-0.05</v>
      </c>
      <c r="I25">
        <f>IF($A25="","",IF($D25="V01",Cadrage!$C$34,IF($D25="V02",Cadrage!$D$34,Cadrage!$E$34)))</f>
        <v>0.03</v>
      </c>
      <c r="J25">
        <f>IF($A25="","",IF($D25="V01",Cadrage!$C$35,IF($D25="V02",Cadrage!$D$35,Cadrage!$E$35)))</f>
        <v>0.03</v>
      </c>
      <c r="K25">
        <f>IF($A25="","",IF($D25="V01",Cadrage!$C$36,IF($D25="V02",Cadrage!$D$36,Cadrage!$E$36)))</f>
        <v>0.05</v>
      </c>
      <c r="L25">
        <f>IF($A25="","",IF($D25="V01",Cadrage!$C$37,IF($D25="V02",Cadrage!$D$37,Cadrage!$E$37)))</f>
        <v>0</v>
      </c>
      <c r="M25">
        <f>IF($A25="","",IF($D25="V01",Cadrage!$C$38,IF($D25="V02",Cadrage!$D$38,Cadrage!$E$38)))</f>
        <v>0.04</v>
      </c>
      <c r="N25">
        <f t="shared" si="1"/>
        <v>0.980622079131853</v>
      </c>
      <c r="O25">
        <f t="shared" si="2"/>
        <v>0.980622079131853</v>
      </c>
      <c r="P25">
        <f>IF($A25="","",IF($E25=1,$F25*$O25,PNL!G25))</f>
        <v>815850</v>
      </c>
      <c r="T25">
        <f t="shared" si="3"/>
        <v>0</v>
      </c>
    </row>
    <row r="26" ht="14.25" customHeight="1">
      <c r="A26" t="str">
        <f>IF(PNL!A26="","",PNL!A26)</f>
        <v>MBWAY_PAR</v>
      </c>
      <c r="B26" t="str">
        <f>IF(PNL!B26="","",PNL!B26)</f>
        <v>7062</v>
      </c>
      <c r="C26" t="str">
        <f>IF(PNL!C26="","",PNL!C26)</f>
        <v>2026</v>
      </c>
      <c r="D26" t="str">
        <f>IF(PNL!D26="","",PNL!D26)</f>
        <v>ACT</v>
      </c>
      <c r="E26">
        <f t="shared" si="0"/>
        <v>0</v>
      </c>
      <c r="F26">
        <f>IF($A26="","",IF($E26=1,_xlfn.SUMIFS(Comptabilité!$F$1:$F$1446,Comptabilité!$A$1:$A$1446,$A26,Comptabilité!$B$1:$B$1446,$B26,Comptabilité!$C$1:$C$1446,"2026"),0))</f>
        <v>0</v>
      </c>
      <c r="G26">
        <f>IF($A26="","",IF($D26="V01",Cadrage!$C$23,IF($D26="V02",Cadrage!$D$23,Cadrage!$E$23)))</f>
        <v>-0.05</v>
      </c>
      <c r="H26">
        <f>IF($A26="","",IF($D26="V01",Cadrage!$C$24,IF($D26="V02",Cadrage!$D$24,Cadrage!$E$24)))</f>
        <v>-0.05</v>
      </c>
      <c r="I26">
        <f>IF($A26="","",IF($D26="V01",Cadrage!$C$34,IF($D26="V02",Cadrage!$D$34,Cadrage!$E$34)))</f>
        <v>0.03</v>
      </c>
      <c r="J26">
        <f>IF($A26="","",IF($D26="V01",Cadrage!$C$35,IF($D26="V02",Cadrage!$D$35,Cadrage!$E$35)))</f>
        <v>0.03</v>
      </c>
      <c r="K26">
        <f>IF($A26="","",IF($D26="V01",Cadrage!$C$36,IF($D26="V02",Cadrage!$D$36,Cadrage!$E$36)))</f>
        <v>0.05</v>
      </c>
      <c r="L26">
        <f>IF($A26="","",IF($D26="V01",Cadrage!$C$37,IF($D26="V02",Cadrage!$D$37,Cadrage!$E$37)))</f>
        <v>0</v>
      </c>
      <c r="M26">
        <f>IF($A26="","",IF($D26="V01",Cadrage!$C$38,IF($D26="V02",Cadrage!$D$38,Cadrage!$E$38)))</f>
        <v>0.04</v>
      </c>
      <c r="N26">
        <f t="shared" si="1"/>
        <v>0.980622079131853</v>
      </c>
      <c r="O26">
        <f t="shared" si="2"/>
        <v>0.980622079131853</v>
      </c>
      <c r="P26">
        <f>IF($A26="","",IF($E26=1,$F26*$O26,PNL!G26))</f>
        <v>2469600</v>
      </c>
      <c r="T26">
        <f t="shared" si="3"/>
        <v>0</v>
      </c>
    </row>
    <row r="27" ht="14.25" customHeight="1">
      <c r="A27" t="str">
        <f>IF(PNL!A27="","",PNL!A27)</f>
        <v>MBWAY_LYO</v>
      </c>
      <c r="B27" t="str">
        <f>IF(PNL!B27="","",PNL!B27)</f>
        <v>7062</v>
      </c>
      <c r="C27" t="str">
        <f>IF(PNL!C27="","",PNL!C27)</f>
        <v>2026</v>
      </c>
      <c r="D27" t="str">
        <f>IF(PNL!D27="","",PNL!D27)</f>
        <v>ACT</v>
      </c>
      <c r="E27">
        <f t="shared" si="0"/>
        <v>0</v>
      </c>
      <c r="F27">
        <f>IF($A27="","",IF($E27=1,_xlfn.SUMIFS(Comptabilité!$F$1:$F$1446,Comptabilité!$A$1:$A$1446,$A27,Comptabilité!$B$1:$B$1446,$B27,Comptabilité!$C$1:$C$1446,"2026"),0))</f>
        <v>0</v>
      </c>
      <c r="G27">
        <f>IF($A27="","",IF($D27="V01",Cadrage!$C$23,IF($D27="V02",Cadrage!$D$23,Cadrage!$E$23)))</f>
        <v>-0.05</v>
      </c>
      <c r="H27">
        <f>IF($A27="","",IF($D27="V01",Cadrage!$C$24,IF($D27="V02",Cadrage!$D$24,Cadrage!$E$24)))</f>
        <v>-0.05</v>
      </c>
      <c r="I27">
        <f>IF($A27="","",IF($D27="V01",Cadrage!$C$34,IF($D27="V02",Cadrage!$D$34,Cadrage!$E$34)))</f>
        <v>0.03</v>
      </c>
      <c r="J27">
        <f>IF($A27="","",IF($D27="V01",Cadrage!$C$35,IF($D27="V02",Cadrage!$D$35,Cadrage!$E$35)))</f>
        <v>0.03</v>
      </c>
      <c r="K27">
        <f>IF($A27="","",IF($D27="V01",Cadrage!$C$36,IF($D27="V02",Cadrage!$D$36,Cadrage!$E$36)))</f>
        <v>0.05</v>
      </c>
      <c r="L27">
        <f>IF($A27="","",IF($D27="V01",Cadrage!$C$37,IF($D27="V02",Cadrage!$D$37,Cadrage!$E$37)))</f>
        <v>0</v>
      </c>
      <c r="M27">
        <f>IF($A27="","",IF($D27="V01",Cadrage!$C$38,IF($D27="V02",Cadrage!$D$38,Cadrage!$E$38)))</f>
        <v>0.04</v>
      </c>
      <c r="N27">
        <f t="shared" si="1"/>
        <v>0.980622079131853</v>
      </c>
      <c r="O27">
        <f t="shared" si="2"/>
        <v>0.980622079131853</v>
      </c>
      <c r="P27">
        <f>IF($A27="","",IF($E27=1,$F27*$O27,PNL!G27))</f>
        <v>1965075</v>
      </c>
      <c r="T27">
        <f t="shared" si="3"/>
        <v>0</v>
      </c>
    </row>
    <row r="28" ht="14.25" customHeight="1">
      <c r="A28" t="str">
        <f>IF(PNL!A28="","",PNL!A28)</f>
        <v>MBWAY_NAN</v>
      </c>
      <c r="B28" t="str">
        <f>IF(PNL!B28="","",PNL!B28)</f>
        <v>7062</v>
      </c>
      <c r="C28" t="str">
        <f>IF(PNL!C28="","",PNL!C28)</f>
        <v>2026</v>
      </c>
      <c r="D28" t="str">
        <f>IF(PNL!D28="","",PNL!D28)</f>
        <v>ACT</v>
      </c>
      <c r="E28">
        <f t="shared" si="0"/>
        <v>0</v>
      </c>
      <c r="F28">
        <f>IF($A28="","",IF($E28=1,_xlfn.SUMIFS(Comptabilité!$F$1:$F$1446,Comptabilité!$A$1:$A$1446,$A28,Comptabilité!$B$1:$B$1446,$B28,Comptabilité!$C$1:$C$1446,"2026"),0))</f>
        <v>0</v>
      </c>
      <c r="G28">
        <f>IF($A28="","",IF($D28="V01",Cadrage!$C$23,IF($D28="V02",Cadrage!$D$23,Cadrage!$E$23)))</f>
        <v>-0.05</v>
      </c>
      <c r="H28">
        <f>IF($A28="","",IF($D28="V01",Cadrage!$C$24,IF($D28="V02",Cadrage!$D$24,Cadrage!$E$24)))</f>
        <v>-0.05</v>
      </c>
      <c r="I28">
        <f>IF($A28="","",IF($D28="V01",Cadrage!$C$34,IF($D28="V02",Cadrage!$D$34,Cadrage!$E$34)))</f>
        <v>0.03</v>
      </c>
      <c r="J28">
        <f>IF($A28="","",IF($D28="V01",Cadrage!$C$35,IF($D28="V02",Cadrage!$D$35,Cadrage!$E$35)))</f>
        <v>0.03</v>
      </c>
      <c r="K28">
        <f>IF($A28="","",IF($D28="V01",Cadrage!$C$36,IF($D28="V02",Cadrage!$D$36,Cadrage!$E$36)))</f>
        <v>0.05</v>
      </c>
      <c r="L28">
        <f>IF($A28="","",IF($D28="V01",Cadrage!$C$37,IF($D28="V02",Cadrage!$D$37,Cadrage!$E$37)))</f>
        <v>0</v>
      </c>
      <c r="M28">
        <f>IF($A28="","",IF($D28="V01",Cadrage!$C$38,IF($D28="V02",Cadrage!$D$38,Cadrage!$E$38)))</f>
        <v>0.04</v>
      </c>
      <c r="N28">
        <f t="shared" si="1"/>
        <v>0.980622079131853</v>
      </c>
      <c r="O28">
        <f t="shared" si="2"/>
        <v>0.980622079131853</v>
      </c>
      <c r="P28">
        <f>IF($A28="","",IF($E28=1,$F28*$O28,PNL!G28))</f>
        <v>1697500</v>
      </c>
      <c r="T28">
        <f t="shared" si="3"/>
        <v>0</v>
      </c>
    </row>
    <row r="29" ht="14.25" customHeight="1">
      <c r="A29" t="str">
        <f>IF(PNL!A29="","",PNL!A29)</f>
        <v>MBWAY_BOR</v>
      </c>
      <c r="B29" t="str">
        <f>IF(PNL!B29="","",PNL!B29)</f>
        <v>7062</v>
      </c>
      <c r="C29" t="str">
        <f>IF(PNL!C29="","",PNL!C29)</f>
        <v>2026</v>
      </c>
      <c r="D29" t="str">
        <f>IF(PNL!D29="","",PNL!D29)</f>
        <v>ACT</v>
      </c>
      <c r="E29">
        <f t="shared" si="0"/>
        <v>0</v>
      </c>
      <c r="F29">
        <f>IF($A29="","",IF($E29=1,_xlfn.SUMIFS(Comptabilité!$F$1:$F$1446,Comptabilité!$A$1:$A$1446,$A29,Comptabilité!$B$1:$B$1446,$B29,Comptabilité!$C$1:$C$1446,"2026"),0))</f>
        <v>0</v>
      </c>
      <c r="G29">
        <f>IF($A29="","",IF($D29="V01",Cadrage!$C$23,IF($D29="V02",Cadrage!$D$23,Cadrage!$E$23)))</f>
        <v>-0.05</v>
      </c>
      <c r="H29">
        <f>IF($A29="","",IF($D29="V01",Cadrage!$C$24,IF($D29="V02",Cadrage!$D$24,Cadrage!$E$24)))</f>
        <v>-0.05</v>
      </c>
      <c r="I29">
        <f>IF($A29="","",IF($D29="V01",Cadrage!$C$34,IF($D29="V02",Cadrage!$D$34,Cadrage!$E$34)))</f>
        <v>0.03</v>
      </c>
      <c r="J29">
        <f>IF($A29="","",IF($D29="V01",Cadrage!$C$35,IF($D29="V02",Cadrage!$D$35,Cadrage!$E$35)))</f>
        <v>0.03</v>
      </c>
      <c r="K29">
        <f>IF($A29="","",IF($D29="V01",Cadrage!$C$36,IF($D29="V02",Cadrage!$D$36,Cadrage!$E$36)))</f>
        <v>0.05</v>
      </c>
      <c r="L29">
        <f>IF($A29="","",IF($D29="V01",Cadrage!$C$37,IF($D29="V02",Cadrage!$D$37,Cadrage!$E$37)))</f>
        <v>0</v>
      </c>
      <c r="M29">
        <f>IF($A29="","",IF($D29="V01",Cadrage!$C$38,IF($D29="V02",Cadrage!$D$38,Cadrage!$E$38)))</f>
        <v>0.04</v>
      </c>
      <c r="N29">
        <f t="shared" si="1"/>
        <v>0.980622079131853</v>
      </c>
      <c r="O29">
        <f t="shared" si="2"/>
        <v>0.980622079131853</v>
      </c>
      <c r="P29">
        <f>IF($A29="","",IF($E29=1,$F29*$O29,PNL!G29))</f>
        <v>1393405</v>
      </c>
      <c r="T29">
        <f t="shared" si="3"/>
        <v>0</v>
      </c>
    </row>
    <row r="30" ht="14.25" customHeight="1">
      <c r="A30" t="str">
        <f>IF(PNL!A30="","",PNL!A30)</f>
        <v>ISCOM_PAR</v>
      </c>
      <c r="B30" t="str">
        <f>IF(PNL!B30="","",PNL!B30)</f>
        <v>7062</v>
      </c>
      <c r="C30" t="str">
        <f>IF(PNL!C30="","",PNL!C30)</f>
        <v>2026</v>
      </c>
      <c r="D30" t="str">
        <f>IF(PNL!D30="","",PNL!D30)</f>
        <v>ACT</v>
      </c>
      <c r="E30">
        <f t="shared" si="0"/>
        <v>0</v>
      </c>
      <c r="F30">
        <f>IF($A30="","",IF($E30=1,_xlfn.SUMIFS(Comptabilité!$F$1:$F$1446,Comptabilité!$A$1:$A$1446,$A30,Comptabilité!$B$1:$B$1446,$B30,Comptabilité!$C$1:$C$1446,"2026"),0))</f>
        <v>0</v>
      </c>
      <c r="G30">
        <f>IF($A30="","",IF($D30="V01",Cadrage!$C$23,IF($D30="V02",Cadrage!$D$23,Cadrage!$E$23)))</f>
        <v>-0.05</v>
      </c>
      <c r="H30">
        <f>IF($A30="","",IF($D30="V01",Cadrage!$C$24,IF($D30="V02",Cadrage!$D$24,Cadrage!$E$24)))</f>
        <v>-0.05</v>
      </c>
      <c r="I30">
        <f>IF($A30="","",IF($D30="V01",Cadrage!$C$34,IF($D30="V02",Cadrage!$D$34,Cadrage!$E$34)))</f>
        <v>0.03</v>
      </c>
      <c r="J30">
        <f>IF($A30="","",IF($D30="V01",Cadrage!$C$35,IF($D30="V02",Cadrage!$D$35,Cadrage!$E$35)))</f>
        <v>0.03</v>
      </c>
      <c r="K30">
        <f>IF($A30="","",IF($D30="V01",Cadrage!$C$36,IF($D30="V02",Cadrage!$D$36,Cadrage!$E$36)))</f>
        <v>0.05</v>
      </c>
      <c r="L30">
        <f>IF($A30="","",IF($D30="V01",Cadrage!$C$37,IF($D30="V02",Cadrage!$D$37,Cadrage!$E$37)))</f>
        <v>0</v>
      </c>
      <c r="M30">
        <f>IF($A30="","",IF($D30="V01",Cadrage!$C$38,IF($D30="V02",Cadrage!$D$38,Cadrage!$E$38)))</f>
        <v>0.04</v>
      </c>
      <c r="N30">
        <f t="shared" si="1"/>
        <v>0.980622079131853</v>
      </c>
      <c r="O30">
        <f t="shared" si="2"/>
        <v>0.980622079131853</v>
      </c>
      <c r="P30">
        <f>IF($A30="","",IF($E30=1,$F30*$O30,PNL!G30))</f>
        <v>2290960</v>
      </c>
      <c r="T30">
        <f t="shared" si="3"/>
        <v>0</v>
      </c>
    </row>
    <row r="31" ht="14.25" customHeight="1">
      <c r="A31" t="str">
        <f>IF(PNL!A31="","",PNL!A31)</f>
        <v>ISCOM_LIL</v>
      </c>
      <c r="B31" t="str">
        <f>IF(PNL!B31="","",PNL!B31)</f>
        <v>7062</v>
      </c>
      <c r="C31" t="str">
        <f>IF(PNL!C31="","",PNL!C31)</f>
        <v>2026</v>
      </c>
      <c r="D31" t="str">
        <f>IF(PNL!D31="","",PNL!D31)</f>
        <v>ACT</v>
      </c>
      <c r="E31">
        <f t="shared" si="0"/>
        <v>0</v>
      </c>
      <c r="F31">
        <f>IF($A31="","",IF($E31=1,_xlfn.SUMIFS(Comptabilité!$F$1:$F$1446,Comptabilité!$A$1:$A$1446,$A31,Comptabilité!$B$1:$B$1446,$B31,Comptabilité!$C$1:$C$1446,"2026"),0))</f>
        <v>0</v>
      </c>
      <c r="G31">
        <f>IF($A31="","",IF($D31="V01",Cadrage!$C$23,IF($D31="V02",Cadrage!$D$23,Cadrage!$E$23)))</f>
        <v>-0.05</v>
      </c>
      <c r="H31">
        <f>IF($A31="","",IF($D31="V01",Cadrage!$C$24,IF($D31="V02",Cadrage!$D$24,Cadrage!$E$24)))</f>
        <v>-0.05</v>
      </c>
      <c r="I31">
        <f>IF($A31="","",IF($D31="V01",Cadrage!$C$34,IF($D31="V02",Cadrage!$D$34,Cadrage!$E$34)))</f>
        <v>0.03</v>
      </c>
      <c r="J31">
        <f>IF($A31="","",IF($D31="V01",Cadrage!$C$35,IF($D31="V02",Cadrage!$D$35,Cadrage!$E$35)))</f>
        <v>0.03</v>
      </c>
      <c r="K31">
        <f>IF($A31="","",IF($D31="V01",Cadrage!$C$36,IF($D31="V02",Cadrage!$D$36,Cadrage!$E$36)))</f>
        <v>0.05</v>
      </c>
      <c r="L31">
        <f>IF($A31="","",IF($D31="V01",Cadrage!$C$37,IF($D31="V02",Cadrage!$D$37,Cadrage!$E$37)))</f>
        <v>0</v>
      </c>
      <c r="M31">
        <f>IF($A31="","",IF($D31="V01",Cadrage!$C$38,IF($D31="V02",Cadrage!$D$38,Cadrage!$E$38)))</f>
        <v>0.04</v>
      </c>
      <c r="N31">
        <f t="shared" si="1"/>
        <v>0.980622079131853</v>
      </c>
      <c r="O31">
        <f t="shared" si="2"/>
        <v>0.980622079131853</v>
      </c>
      <c r="P31">
        <f>IF($A31="","",IF($E31=1,$F31*$O31,PNL!G31))</f>
        <v>1379350</v>
      </c>
      <c r="T31">
        <f t="shared" si="3"/>
        <v>0</v>
      </c>
    </row>
    <row r="32" ht="14.25" customHeight="1">
      <c r="A32" t="str">
        <f>IF(PNL!A32="","",PNL!A32)</f>
        <v>ISCOM_TLS</v>
      </c>
      <c r="B32" t="str">
        <f>IF(PNL!B32="","",PNL!B32)</f>
        <v>7062</v>
      </c>
      <c r="C32" t="str">
        <f>IF(PNL!C32="","",PNL!C32)</f>
        <v>2026</v>
      </c>
      <c r="D32" t="str">
        <f>IF(PNL!D32="","",PNL!D32)</f>
        <v>ACT</v>
      </c>
      <c r="E32">
        <f t="shared" si="0"/>
        <v>0</v>
      </c>
      <c r="F32">
        <f>IF($A32="","",IF($E32=1,_xlfn.SUMIFS(Comptabilité!$F$1:$F$1446,Comptabilité!$A$1:$A$1446,$A32,Comptabilité!$B$1:$B$1446,$B32,Comptabilité!$C$1:$C$1446,"2026"),0))</f>
        <v>0</v>
      </c>
      <c r="G32">
        <f>IF($A32="","",IF($D32="V01",Cadrage!$C$23,IF($D32="V02",Cadrage!$D$23,Cadrage!$E$23)))</f>
        <v>-0.05</v>
      </c>
      <c r="H32">
        <f>IF($A32="","",IF($D32="V01",Cadrage!$C$24,IF($D32="V02",Cadrage!$D$24,Cadrage!$E$24)))</f>
        <v>-0.05</v>
      </c>
      <c r="I32">
        <f>IF($A32="","",IF($D32="V01",Cadrage!$C$34,IF($D32="V02",Cadrage!$D$34,Cadrage!$E$34)))</f>
        <v>0.03</v>
      </c>
      <c r="J32">
        <f>IF($A32="","",IF($D32="V01",Cadrage!$C$35,IF($D32="V02",Cadrage!$D$35,Cadrage!$E$35)))</f>
        <v>0.03</v>
      </c>
      <c r="K32">
        <f>IF($A32="","",IF($D32="V01",Cadrage!$C$36,IF($D32="V02",Cadrage!$D$36,Cadrage!$E$36)))</f>
        <v>0.05</v>
      </c>
      <c r="L32">
        <f>IF($A32="","",IF($D32="V01",Cadrage!$C$37,IF($D32="V02",Cadrage!$D$37,Cadrage!$E$37)))</f>
        <v>0</v>
      </c>
      <c r="M32">
        <f>IF($A32="","",IF($D32="V01",Cadrage!$C$38,IF($D32="V02",Cadrage!$D$38,Cadrage!$E$38)))</f>
        <v>0.04</v>
      </c>
      <c r="N32">
        <f t="shared" si="1"/>
        <v>0.980622079131853</v>
      </c>
      <c r="O32">
        <f t="shared" si="2"/>
        <v>0.980622079131853</v>
      </c>
      <c r="P32">
        <f>IF($A32="","",IF($E32=1,$F32*$O32,PNL!G32))</f>
        <v>1281120</v>
      </c>
      <c r="T32">
        <f t="shared" si="3"/>
        <v>0</v>
      </c>
    </row>
    <row r="33" ht="14.25" customHeight="1">
      <c r="A33" t="str">
        <f>IF(PNL!A33="","",PNL!A33)</f>
        <v>IPAC_NAN</v>
      </c>
      <c r="B33" t="str">
        <f>IF(PNL!B33="","",PNL!B33)</f>
        <v>7062</v>
      </c>
      <c r="C33" t="str">
        <f>IF(PNL!C33="","",PNL!C33)</f>
        <v>2026</v>
      </c>
      <c r="D33" t="str">
        <f>IF(PNL!D33="","",PNL!D33)</f>
        <v>ACT</v>
      </c>
      <c r="E33">
        <f t="shared" si="0"/>
        <v>0</v>
      </c>
      <c r="F33">
        <f>IF($A33="","",IF($E33=1,_xlfn.SUMIFS(Comptabilité!$F$1:$F$1446,Comptabilité!$A$1:$A$1446,$A33,Comptabilité!$B$1:$B$1446,$B33,Comptabilité!$C$1:$C$1446,"2026"),0))</f>
        <v>0</v>
      </c>
      <c r="G33">
        <f>IF($A33="","",IF($D33="V01",Cadrage!$C$23,IF($D33="V02",Cadrage!$D$23,Cadrage!$E$23)))</f>
        <v>-0.05</v>
      </c>
      <c r="H33">
        <f>IF($A33="","",IF($D33="V01",Cadrage!$C$24,IF($D33="V02",Cadrage!$D$24,Cadrage!$E$24)))</f>
        <v>-0.05</v>
      </c>
      <c r="I33">
        <f>IF($A33="","",IF($D33="V01",Cadrage!$C$34,IF($D33="V02",Cadrage!$D$34,Cadrage!$E$34)))</f>
        <v>0.03</v>
      </c>
      <c r="J33">
        <f>IF($A33="","",IF($D33="V01",Cadrage!$C$35,IF($D33="V02",Cadrage!$D$35,Cadrage!$E$35)))</f>
        <v>0.03</v>
      </c>
      <c r="K33">
        <f>IF($A33="","",IF($D33="V01",Cadrage!$C$36,IF($D33="V02",Cadrage!$D$36,Cadrage!$E$36)))</f>
        <v>0.05</v>
      </c>
      <c r="L33">
        <f>IF($A33="","",IF($D33="V01",Cadrage!$C$37,IF($D33="V02",Cadrage!$D$37,Cadrage!$E$37)))</f>
        <v>0</v>
      </c>
      <c r="M33">
        <f>IF($A33="","",IF($D33="V01",Cadrage!$C$38,IF($D33="V02",Cadrage!$D$38,Cadrage!$E$38)))</f>
        <v>0.04</v>
      </c>
      <c r="N33">
        <f t="shared" si="1"/>
        <v>0.980622079131853</v>
      </c>
      <c r="O33">
        <f t="shared" si="2"/>
        <v>0.980622079131853</v>
      </c>
      <c r="P33">
        <f>IF($A33="","",IF($E33=1,$F33*$O33,PNL!G33))</f>
        <v>1015000</v>
      </c>
      <c r="T33">
        <f t="shared" si="3"/>
        <v>0</v>
      </c>
    </row>
    <row r="34" ht="14.25" customHeight="1">
      <c r="A34" t="str">
        <f>IF(PNL!A34="","",PNL!A34)</f>
        <v>IPAC_REN</v>
      </c>
      <c r="B34" t="str">
        <f>IF(PNL!B34="","",PNL!B34)</f>
        <v>7062</v>
      </c>
      <c r="C34" t="str">
        <f>IF(PNL!C34="","",PNL!C34)</f>
        <v>2026</v>
      </c>
      <c r="D34" t="str">
        <f>IF(PNL!D34="","",PNL!D34)</f>
        <v>ACT</v>
      </c>
      <c r="E34">
        <f t="shared" si="0"/>
        <v>0</v>
      </c>
      <c r="F34">
        <f>IF($A34="","",IF($E34=1,_xlfn.SUMIFS(Comptabilité!$F$1:$F$1446,Comptabilité!$A$1:$A$1446,$A34,Comptabilité!$B$1:$B$1446,$B34,Comptabilité!$C$1:$C$1446,"2026"),0))</f>
        <v>0</v>
      </c>
      <c r="G34">
        <f>IF($A34="","",IF($D34="V01",Cadrage!$C$23,IF($D34="V02",Cadrage!$D$23,Cadrage!$E$23)))</f>
        <v>-0.05</v>
      </c>
      <c r="H34">
        <f>IF($A34="","",IF($D34="V01",Cadrage!$C$24,IF($D34="V02",Cadrage!$D$24,Cadrage!$E$24)))</f>
        <v>-0.05</v>
      </c>
      <c r="I34">
        <f>IF($A34="","",IF($D34="V01",Cadrage!$C$34,IF($D34="V02",Cadrage!$D$34,Cadrage!$E$34)))</f>
        <v>0.03</v>
      </c>
      <c r="J34">
        <f>IF($A34="","",IF($D34="V01",Cadrage!$C$35,IF($D34="V02",Cadrage!$D$35,Cadrage!$E$35)))</f>
        <v>0.03</v>
      </c>
      <c r="K34">
        <f>IF($A34="","",IF($D34="V01",Cadrage!$C$36,IF($D34="V02",Cadrage!$D$36,Cadrage!$E$36)))</f>
        <v>0.05</v>
      </c>
      <c r="L34">
        <f>IF($A34="","",IF($D34="V01",Cadrage!$C$37,IF($D34="V02",Cadrage!$D$37,Cadrage!$E$37)))</f>
        <v>0</v>
      </c>
      <c r="M34">
        <f>IF($A34="","",IF($D34="V01",Cadrage!$C$38,IF($D34="V02",Cadrage!$D$38,Cadrage!$E$38)))</f>
        <v>0.04</v>
      </c>
      <c r="N34">
        <f t="shared" si="1"/>
        <v>0.980622079131853</v>
      </c>
      <c r="O34">
        <f t="shared" si="2"/>
        <v>0.980622079131853</v>
      </c>
      <c r="P34">
        <f>IF($A34="","",IF($E34=1,$F34*$O34,PNL!G34))</f>
        <v>778050</v>
      </c>
      <c r="T34">
        <f t="shared" si="3"/>
        <v>0</v>
      </c>
    </row>
    <row r="35" ht="14.25" customHeight="1">
      <c r="A35" t="str">
        <f>IF(PNL!A35="","",PNL!A35)</f>
        <v>IPAC_MTP</v>
      </c>
      <c r="B35" t="str">
        <f>IF(PNL!B35="","",PNL!B35)</f>
        <v>7062</v>
      </c>
      <c r="C35" t="str">
        <f>IF(PNL!C35="","",PNL!C35)</f>
        <v>2026</v>
      </c>
      <c r="D35" t="str">
        <f>IF(PNL!D35="","",PNL!D35)</f>
        <v>ACT</v>
      </c>
      <c r="E35">
        <f t="shared" si="0"/>
        <v>0</v>
      </c>
      <c r="F35">
        <f>IF($A35="","",IF($E35=1,_xlfn.SUMIFS(Comptabilité!$F$1:$F$1446,Comptabilité!$A$1:$A$1446,$A35,Comptabilité!$B$1:$B$1446,$B35,Comptabilité!$C$1:$C$1446,"2026"),0))</f>
        <v>0</v>
      </c>
      <c r="G35">
        <f>IF($A35="","",IF($D35="V01",Cadrage!$C$23,IF($D35="V02",Cadrage!$D$23,Cadrage!$E$23)))</f>
        <v>-0.05</v>
      </c>
      <c r="H35">
        <f>IF($A35="","",IF($D35="V01",Cadrage!$C$24,IF($D35="V02",Cadrage!$D$24,Cadrage!$E$24)))</f>
        <v>-0.05</v>
      </c>
      <c r="I35">
        <f>IF($A35="","",IF($D35="V01",Cadrage!$C$34,IF($D35="V02",Cadrage!$D$34,Cadrage!$E$34)))</f>
        <v>0.03</v>
      </c>
      <c r="J35">
        <f>IF($A35="","",IF($D35="V01",Cadrage!$C$35,IF($D35="V02",Cadrage!$D$35,Cadrage!$E$35)))</f>
        <v>0.03</v>
      </c>
      <c r="K35">
        <f>IF($A35="","",IF($D35="V01",Cadrage!$C$36,IF($D35="V02",Cadrage!$D$36,Cadrage!$E$36)))</f>
        <v>0.05</v>
      </c>
      <c r="L35">
        <f>IF($A35="","",IF($D35="V01",Cadrage!$C$37,IF($D35="V02",Cadrage!$D$37,Cadrage!$E$37)))</f>
        <v>0</v>
      </c>
      <c r="M35">
        <f>IF($A35="","",IF($D35="V01",Cadrage!$C$38,IF($D35="V02",Cadrage!$D$38,Cadrage!$E$38)))</f>
        <v>0.04</v>
      </c>
      <c r="N35">
        <f t="shared" si="1"/>
        <v>0.980622079131853</v>
      </c>
      <c r="O35">
        <f t="shared" si="2"/>
        <v>0.980622079131853</v>
      </c>
      <c r="P35">
        <f>IF($A35="","",IF($E35=1,$F35*$O35,PNL!G35))</f>
        <v>778050</v>
      </c>
      <c r="T35">
        <f t="shared" si="3"/>
        <v>0</v>
      </c>
    </row>
    <row r="36" ht="14.25" customHeight="1">
      <c r="A36" t="str">
        <f>IF(PNL!A36="","",PNL!A36)</f>
        <v>TUNON_PAR</v>
      </c>
      <c r="B36" t="str">
        <f>IF(PNL!B36="","",PNL!B36)</f>
        <v>7062</v>
      </c>
      <c r="C36" t="str">
        <f>IF(PNL!C36="","",PNL!C36)</f>
        <v>2026</v>
      </c>
      <c r="D36" t="str">
        <f>IF(PNL!D36="","",PNL!D36)</f>
        <v>ACT</v>
      </c>
      <c r="E36">
        <f t="shared" si="0"/>
        <v>0</v>
      </c>
      <c r="F36">
        <f>IF($A36="","",IF($E36=1,_xlfn.SUMIFS(Comptabilité!$F$1:$F$1446,Comptabilité!$A$1:$A$1446,$A36,Comptabilité!$B$1:$B$1446,$B36,Comptabilité!$C$1:$C$1446,"2026"),0))</f>
        <v>0</v>
      </c>
      <c r="G36">
        <f>IF($A36="","",IF($D36="V01",Cadrage!$C$23,IF($D36="V02",Cadrage!$D$23,Cadrage!$E$23)))</f>
        <v>-0.05</v>
      </c>
      <c r="H36">
        <f>IF($A36="","",IF($D36="V01",Cadrage!$C$24,IF($D36="V02",Cadrage!$D$24,Cadrage!$E$24)))</f>
        <v>-0.05</v>
      </c>
      <c r="I36">
        <f>IF($A36="","",IF($D36="V01",Cadrage!$C$34,IF($D36="V02",Cadrage!$D$34,Cadrage!$E$34)))</f>
        <v>0.03</v>
      </c>
      <c r="J36">
        <f>IF($A36="","",IF($D36="V01",Cadrage!$C$35,IF($D36="V02",Cadrage!$D$35,Cadrage!$E$35)))</f>
        <v>0.03</v>
      </c>
      <c r="K36">
        <f>IF($A36="","",IF($D36="V01",Cadrage!$C$36,IF($D36="V02",Cadrage!$D$36,Cadrage!$E$36)))</f>
        <v>0.05</v>
      </c>
      <c r="L36">
        <f>IF($A36="","",IF($D36="V01",Cadrage!$C$37,IF($D36="V02",Cadrage!$D$37,Cadrage!$E$37)))</f>
        <v>0</v>
      </c>
      <c r="M36">
        <f>IF($A36="","",IF($D36="V01",Cadrage!$C$38,IF($D36="V02",Cadrage!$D$38,Cadrage!$E$38)))</f>
        <v>0.04</v>
      </c>
      <c r="N36">
        <f t="shared" si="1"/>
        <v>0.980622079131853</v>
      </c>
      <c r="O36">
        <f t="shared" si="2"/>
        <v>0.980622079131853</v>
      </c>
      <c r="P36">
        <f>IF($A36="","",IF($E36=1,$F36*$O36,PNL!G36))</f>
        <v>1081920</v>
      </c>
      <c r="T36">
        <f t="shared" si="3"/>
        <v>0</v>
      </c>
    </row>
    <row r="37" ht="14.25" customHeight="1">
      <c r="A37" t="str">
        <f>IF(PNL!A37="","",PNL!A37)</f>
        <v>TUNON_LYO</v>
      </c>
      <c r="B37" t="str">
        <f>IF(PNL!B37="","",PNL!B37)</f>
        <v>7062</v>
      </c>
      <c r="C37" t="str">
        <f>IF(PNL!C37="","",PNL!C37)</f>
        <v>2026</v>
      </c>
      <c r="D37" t="str">
        <f>IF(PNL!D37="","",PNL!D37)</f>
        <v>ACT</v>
      </c>
      <c r="E37">
        <f t="shared" si="0"/>
        <v>0</v>
      </c>
      <c r="F37">
        <f>IF($A37="","",IF($E37=1,_xlfn.SUMIFS(Comptabilité!$F$1:$F$1446,Comptabilité!$A$1:$A$1446,$A37,Comptabilité!$B$1:$B$1446,$B37,Comptabilité!$C$1:$C$1446,"2026"),0))</f>
        <v>0</v>
      </c>
      <c r="G37">
        <f>IF($A37="","",IF($D37="V01",Cadrage!$C$23,IF($D37="V02",Cadrage!$D$23,Cadrage!$E$23)))</f>
        <v>-0.05</v>
      </c>
      <c r="H37">
        <f>IF($A37="","",IF($D37="V01",Cadrage!$C$24,IF($D37="V02",Cadrage!$D$24,Cadrage!$E$24)))</f>
        <v>-0.05</v>
      </c>
      <c r="I37">
        <f>IF($A37="","",IF($D37="V01",Cadrage!$C$34,IF($D37="V02",Cadrage!$D$34,Cadrage!$E$34)))</f>
        <v>0.03</v>
      </c>
      <c r="J37">
        <f>IF($A37="","",IF($D37="V01",Cadrage!$C$35,IF($D37="V02",Cadrage!$D$35,Cadrage!$E$35)))</f>
        <v>0.03</v>
      </c>
      <c r="K37">
        <f>IF($A37="","",IF($D37="V01",Cadrage!$C$36,IF($D37="V02",Cadrage!$D$36,Cadrage!$E$36)))</f>
        <v>0.05</v>
      </c>
      <c r="L37">
        <f>IF($A37="","",IF($D37="V01",Cadrage!$C$37,IF($D37="V02",Cadrage!$D$37,Cadrage!$E$37)))</f>
        <v>0</v>
      </c>
      <c r="M37">
        <f>IF($A37="","",IF($D37="V01",Cadrage!$C$38,IF($D37="V02",Cadrage!$D$38,Cadrage!$E$38)))</f>
        <v>0.04</v>
      </c>
      <c r="N37">
        <f t="shared" si="1"/>
        <v>0.980622079131853</v>
      </c>
      <c r="O37">
        <f t="shared" si="2"/>
        <v>0.980622079131853</v>
      </c>
      <c r="P37">
        <f>IF($A37="","",IF($E37=1,$F37*$O37,PNL!G37))</f>
        <v>859950</v>
      </c>
      <c r="T37">
        <f t="shared" si="3"/>
        <v>0</v>
      </c>
    </row>
    <row r="38" ht="14.25" customHeight="1">
      <c r="A38" t="str">
        <f>IF(PNL!A38="","",PNL!A38)</f>
        <v>MBWAY_PAR</v>
      </c>
      <c r="B38" t="str">
        <f>IF(PNL!B38="","",PNL!B38)</f>
        <v>706</v>
      </c>
      <c r="C38" t="str">
        <f>IF(PNL!C38="","",PNL!C38)</f>
        <v>2024</v>
      </c>
      <c r="D38" t="str">
        <f>IF(PNL!D38="","",PNL!D38)</f>
        <v>ACT</v>
      </c>
      <c r="E38">
        <f t="shared" si="0"/>
        <v>0</v>
      </c>
      <c r="F38">
        <f>IF($A38="","",IF($E38=1,_xlfn.SUMIFS(Comptabilité!$F$1:$F$1446,Comptabilité!$A$1:$A$1446,$A38,Comptabilité!$B$1:$B$1446,$B38,Comptabilité!$C$1:$C$1446,"2026"),0))</f>
        <v>0</v>
      </c>
      <c r="G38">
        <f>IF($A38="","",IF($D38="V01",Cadrage!$C$23,IF($D38="V02",Cadrage!$D$23,Cadrage!$E$23)))</f>
        <v>-0.05</v>
      </c>
      <c r="H38">
        <f>IF($A38="","",IF($D38="V01",Cadrage!$C$24,IF($D38="V02",Cadrage!$D$24,Cadrage!$E$24)))</f>
        <v>-0.05</v>
      </c>
      <c r="I38">
        <f>IF($A38="","",IF($D38="V01",Cadrage!$C$34,IF($D38="V02",Cadrage!$D$34,Cadrage!$E$34)))</f>
        <v>0.03</v>
      </c>
      <c r="J38">
        <f>IF($A38="","",IF($D38="V01",Cadrage!$C$35,IF($D38="V02",Cadrage!$D$35,Cadrage!$E$35)))</f>
        <v>0.03</v>
      </c>
      <c r="K38">
        <f>IF($A38="","",IF($D38="V01",Cadrage!$C$36,IF($D38="V02",Cadrage!$D$36,Cadrage!$E$36)))</f>
        <v>0.05</v>
      </c>
      <c r="L38">
        <f>IF($A38="","",IF($D38="V01",Cadrage!$C$37,IF($D38="V02",Cadrage!$D$37,Cadrage!$E$37)))</f>
        <v>0</v>
      </c>
      <c r="M38">
        <f>IF($A38="","",IF($D38="V01",Cadrage!$C$38,IF($D38="V02",Cadrage!$D$38,Cadrage!$E$38)))</f>
        <v>0.04</v>
      </c>
      <c r="N38">
        <f t="shared" si="1"/>
        <v>0.980622079131853</v>
      </c>
      <c r="O38">
        <f t="shared" si="2"/>
        <v>0.980622079131853</v>
      </c>
      <c r="P38">
        <f>IF($A38="","",IF($E38=1,$F38*$O38,PNL!G38))</f>
        <v>579600</v>
      </c>
      <c r="T38">
        <f t="shared" si="3"/>
        <v>0</v>
      </c>
    </row>
    <row r="39" ht="14.25" customHeight="1">
      <c r="A39" t="str">
        <f>IF(PNL!A39="","",PNL!A39)</f>
        <v>MBWAY_LYO</v>
      </c>
      <c r="B39" t="str">
        <f>IF(PNL!B39="","",PNL!B39)</f>
        <v>706</v>
      </c>
      <c r="C39" t="str">
        <f>IF(PNL!C39="","",PNL!C39)</f>
        <v>2024</v>
      </c>
      <c r="D39" t="str">
        <f>IF(PNL!D39="","",PNL!D39)</f>
        <v>ACT</v>
      </c>
      <c r="E39">
        <f t="shared" si="0"/>
        <v>0</v>
      </c>
      <c r="F39">
        <f>IF($A39="","",IF($E39=1,_xlfn.SUMIFS(Comptabilité!$F$1:$F$1446,Comptabilité!$A$1:$A$1446,$A39,Comptabilité!$B$1:$B$1446,$B39,Comptabilité!$C$1:$C$1446,"2026"),0))</f>
        <v>0</v>
      </c>
      <c r="G39">
        <f>IF($A39="","",IF($D39="V01",Cadrage!$C$23,IF($D39="V02",Cadrage!$D$23,Cadrage!$E$23)))</f>
        <v>-0.05</v>
      </c>
      <c r="H39">
        <f>IF($A39="","",IF($D39="V01",Cadrage!$C$24,IF($D39="V02",Cadrage!$D$24,Cadrage!$E$24)))</f>
        <v>-0.05</v>
      </c>
      <c r="I39">
        <f>IF($A39="","",IF($D39="V01",Cadrage!$C$34,IF($D39="V02",Cadrage!$D$34,Cadrage!$E$34)))</f>
        <v>0.03</v>
      </c>
      <c r="J39">
        <f>IF($A39="","",IF($D39="V01",Cadrage!$C$35,IF($D39="V02",Cadrage!$D$35,Cadrage!$E$35)))</f>
        <v>0.03</v>
      </c>
      <c r="K39">
        <f>IF($A39="","",IF($D39="V01",Cadrage!$C$36,IF($D39="V02",Cadrage!$D$36,Cadrage!$E$36)))</f>
        <v>0.05</v>
      </c>
      <c r="L39">
        <f>IF($A39="","",IF($D39="V01",Cadrage!$C$37,IF($D39="V02",Cadrage!$D$37,Cadrage!$E$37)))</f>
        <v>0</v>
      </c>
      <c r="M39">
        <f>IF($A39="","",IF($D39="V01",Cadrage!$C$38,IF($D39="V02",Cadrage!$D$38,Cadrage!$E$38)))</f>
        <v>0.04</v>
      </c>
      <c r="N39">
        <f t="shared" si="1"/>
        <v>0.980622079131853</v>
      </c>
      <c r="O39">
        <f t="shared" si="2"/>
        <v>0.980622079131853</v>
      </c>
      <c r="P39">
        <f>IF($A39="","",IF($E39=1,$F39*$O39,PNL!G39))</f>
        <v>464625</v>
      </c>
      <c r="T39">
        <f t="shared" si="3"/>
        <v>0</v>
      </c>
    </row>
    <row r="40" ht="14.25" customHeight="1">
      <c r="A40" t="str">
        <f>IF(PNL!A40="","",PNL!A40)</f>
        <v>MBWAY_NAN</v>
      </c>
      <c r="B40" t="str">
        <f>IF(PNL!B40="","",PNL!B40)</f>
        <v>706</v>
      </c>
      <c r="C40" t="str">
        <f>IF(PNL!C40="","",PNL!C40)</f>
        <v>2024</v>
      </c>
      <c r="D40" t="str">
        <f>IF(PNL!D40="","",PNL!D40)</f>
        <v>ACT</v>
      </c>
      <c r="E40">
        <f t="shared" si="0"/>
        <v>0</v>
      </c>
      <c r="F40">
        <f>IF($A40="","",IF($E40=1,_xlfn.SUMIFS(Comptabilité!$F$1:$F$1446,Comptabilité!$A$1:$A$1446,$A40,Comptabilité!$B$1:$B$1446,$B40,Comptabilité!$C$1:$C$1446,"2026"),0))</f>
        <v>0</v>
      </c>
      <c r="G40">
        <f>IF($A40="","",IF($D40="V01",Cadrage!$C$23,IF($D40="V02",Cadrage!$D$23,Cadrage!$E$23)))</f>
        <v>-0.05</v>
      </c>
      <c r="H40">
        <f>IF($A40="","",IF($D40="V01",Cadrage!$C$24,IF($D40="V02",Cadrage!$D$24,Cadrage!$E$24)))</f>
        <v>-0.05</v>
      </c>
      <c r="I40">
        <f>IF($A40="","",IF($D40="V01",Cadrage!$C$34,IF($D40="V02",Cadrage!$D$34,Cadrage!$E$34)))</f>
        <v>0.03</v>
      </c>
      <c r="J40">
        <f>IF($A40="","",IF($D40="V01",Cadrage!$C$35,IF($D40="V02",Cadrage!$D$35,Cadrage!$E$35)))</f>
        <v>0.03</v>
      </c>
      <c r="K40">
        <f>IF($A40="","",IF($D40="V01",Cadrage!$C$36,IF($D40="V02",Cadrage!$D$36,Cadrage!$E$36)))</f>
        <v>0.05</v>
      </c>
      <c r="L40">
        <f>IF($A40="","",IF($D40="V01",Cadrage!$C$37,IF($D40="V02",Cadrage!$D$37,Cadrage!$E$37)))</f>
        <v>0</v>
      </c>
      <c r="M40">
        <f>IF($A40="","",IF($D40="V01",Cadrage!$C$38,IF($D40="V02",Cadrage!$D$38,Cadrage!$E$38)))</f>
        <v>0.04</v>
      </c>
      <c r="N40">
        <f t="shared" si="1"/>
        <v>0.980622079131853</v>
      </c>
      <c r="O40">
        <f t="shared" si="2"/>
        <v>0.980622079131853</v>
      </c>
      <c r="P40">
        <f>IF($A40="","",IF($E40=1,$F40*$O40,PNL!G40))</f>
        <v>397500</v>
      </c>
      <c r="T40">
        <f t="shared" si="3"/>
        <v>0</v>
      </c>
    </row>
    <row r="41" ht="14.25" customHeight="1">
      <c r="A41" t="str">
        <f>IF(PNL!A41="","",PNL!A41)</f>
        <v>MBWAY_BOR</v>
      </c>
      <c r="B41" t="str">
        <f>IF(PNL!B41="","",PNL!B41)</f>
        <v>706</v>
      </c>
      <c r="C41" t="str">
        <f>IF(PNL!C41="","",PNL!C41)</f>
        <v>2024</v>
      </c>
      <c r="D41" t="str">
        <f>IF(PNL!D41="","",PNL!D41)</f>
        <v>ACT</v>
      </c>
      <c r="E41">
        <f t="shared" si="0"/>
        <v>0</v>
      </c>
      <c r="F41">
        <f>IF($A41="","",IF($E41=1,_xlfn.SUMIFS(Comptabilité!$F$1:$F$1446,Comptabilité!$A$1:$A$1446,$A41,Comptabilité!$B$1:$B$1446,$B41,Comptabilité!$C$1:$C$1446,"2026"),0))</f>
        <v>0</v>
      </c>
      <c r="G41">
        <f>IF($A41="","",IF($D41="V01",Cadrage!$C$23,IF($D41="V02",Cadrage!$D$23,Cadrage!$E$23)))</f>
        <v>-0.05</v>
      </c>
      <c r="H41">
        <f>IF($A41="","",IF($D41="V01",Cadrage!$C$24,IF($D41="V02",Cadrage!$D$24,Cadrage!$E$24)))</f>
        <v>-0.05</v>
      </c>
      <c r="I41">
        <f>IF($A41="","",IF($D41="V01",Cadrage!$C$34,IF($D41="V02",Cadrage!$D$34,Cadrage!$E$34)))</f>
        <v>0.03</v>
      </c>
      <c r="J41">
        <f>IF($A41="","",IF($D41="V01",Cadrage!$C$35,IF($D41="V02",Cadrage!$D$35,Cadrage!$E$35)))</f>
        <v>0.03</v>
      </c>
      <c r="K41">
        <f>IF($A41="","",IF($D41="V01",Cadrage!$C$36,IF($D41="V02",Cadrage!$D$36,Cadrage!$E$36)))</f>
        <v>0.05</v>
      </c>
      <c r="L41">
        <f>IF($A41="","",IF($D41="V01",Cadrage!$C$37,IF($D41="V02",Cadrage!$D$37,Cadrage!$E$37)))</f>
        <v>0</v>
      </c>
      <c r="M41">
        <f>IF($A41="","",IF($D41="V01",Cadrage!$C$38,IF($D41="V02",Cadrage!$D$38,Cadrage!$E$38)))</f>
        <v>0.04</v>
      </c>
      <c r="N41">
        <f t="shared" si="1"/>
        <v>0.980622079131853</v>
      </c>
      <c r="O41">
        <f t="shared" si="2"/>
        <v>0.980622079131853</v>
      </c>
      <c r="P41">
        <f>IF($A41="","",IF($E41=1,$F41*$O41,PNL!G41))</f>
        <v>327375</v>
      </c>
      <c r="T41">
        <f t="shared" si="3"/>
        <v>0</v>
      </c>
    </row>
    <row r="42" ht="14.25" customHeight="1">
      <c r="A42" t="str">
        <f>IF(PNL!A42="","",PNL!A42)</f>
        <v>ISCOM_PAR</v>
      </c>
      <c r="B42" t="str">
        <f>IF(PNL!B42="","",PNL!B42)</f>
        <v>706</v>
      </c>
      <c r="C42" t="str">
        <f>IF(PNL!C42="","",PNL!C42)</f>
        <v>2024</v>
      </c>
      <c r="D42" t="str">
        <f>IF(PNL!D42="","",PNL!D42)</f>
        <v>ACT</v>
      </c>
      <c r="E42">
        <f t="shared" si="0"/>
        <v>0</v>
      </c>
      <c r="F42">
        <f>IF($A42="","",IF($E42=1,_xlfn.SUMIFS(Comptabilité!$F$1:$F$1446,Comptabilité!$A$1:$A$1446,$A42,Comptabilité!$B$1:$B$1446,$B42,Comptabilité!$C$1:$C$1446,"2026"),0))</f>
        <v>0</v>
      </c>
      <c r="G42">
        <f>IF($A42="","",IF($D42="V01",Cadrage!$C$23,IF($D42="V02",Cadrage!$D$23,Cadrage!$E$23)))</f>
        <v>-0.05</v>
      </c>
      <c r="H42">
        <f>IF($A42="","",IF($D42="V01",Cadrage!$C$24,IF($D42="V02",Cadrage!$D$24,Cadrage!$E$24)))</f>
        <v>-0.05</v>
      </c>
      <c r="I42">
        <f>IF($A42="","",IF($D42="V01",Cadrage!$C$34,IF($D42="V02",Cadrage!$D$34,Cadrage!$E$34)))</f>
        <v>0.03</v>
      </c>
      <c r="J42">
        <f>IF($A42="","",IF($D42="V01",Cadrage!$C$35,IF($D42="V02",Cadrage!$D$35,Cadrage!$E$35)))</f>
        <v>0.03</v>
      </c>
      <c r="K42">
        <f>IF($A42="","",IF($D42="V01",Cadrage!$C$36,IF($D42="V02",Cadrage!$D$36,Cadrage!$E$36)))</f>
        <v>0.05</v>
      </c>
      <c r="L42">
        <f>IF($A42="","",IF($D42="V01",Cadrage!$C$37,IF($D42="V02",Cadrage!$D$37,Cadrage!$E$37)))</f>
        <v>0</v>
      </c>
      <c r="M42">
        <f>IF($A42="","",IF($D42="V01",Cadrage!$C$38,IF($D42="V02",Cadrage!$D$38,Cadrage!$E$38)))</f>
        <v>0.04</v>
      </c>
      <c r="N42">
        <f t="shared" si="1"/>
        <v>0.980622079131853</v>
      </c>
      <c r="O42">
        <f t="shared" si="2"/>
        <v>0.980622079131853</v>
      </c>
      <c r="P42">
        <f>IF($A42="","",IF($E42=1,$F42*$O42,PNL!G42))</f>
        <v>537600</v>
      </c>
      <c r="T42">
        <f t="shared" si="3"/>
        <v>0</v>
      </c>
    </row>
    <row r="43" ht="14.25" customHeight="1">
      <c r="A43" t="str">
        <f>IF(PNL!A43="","",PNL!A43)</f>
        <v>ISCOM_LIL</v>
      </c>
      <c r="B43" t="str">
        <f>IF(PNL!B43="","",PNL!B43)</f>
        <v>706</v>
      </c>
      <c r="C43" t="str">
        <f>IF(PNL!C43="","",PNL!C43)</f>
        <v>2024</v>
      </c>
      <c r="D43" t="str">
        <f>IF(PNL!D43="","",PNL!D43)</f>
        <v>ACT</v>
      </c>
      <c r="E43">
        <f t="shared" si="0"/>
        <v>0</v>
      </c>
      <c r="F43">
        <f>IF($A43="","",IF($E43=1,_xlfn.SUMIFS(Comptabilité!$F$1:$F$1446,Comptabilité!$A$1:$A$1446,$A43,Comptabilité!$B$1:$B$1446,$B43,Comptabilité!$C$1:$C$1446,"2026"),0))</f>
        <v>0</v>
      </c>
      <c r="G43">
        <f>IF($A43="","",IF($D43="V01",Cadrage!$C$23,IF($D43="V02",Cadrage!$D$23,Cadrage!$E$23)))</f>
        <v>-0.05</v>
      </c>
      <c r="H43">
        <f>IF($A43="","",IF($D43="V01",Cadrage!$C$24,IF($D43="V02",Cadrage!$D$24,Cadrage!$E$24)))</f>
        <v>-0.05</v>
      </c>
      <c r="I43">
        <f>IF($A43="","",IF($D43="V01",Cadrage!$C$34,IF($D43="V02",Cadrage!$D$34,Cadrage!$E$34)))</f>
        <v>0.03</v>
      </c>
      <c r="J43">
        <f>IF($A43="","",IF($D43="V01",Cadrage!$C$35,IF($D43="V02",Cadrage!$D$35,Cadrage!$E$35)))</f>
        <v>0.03</v>
      </c>
      <c r="K43">
        <f>IF($A43="","",IF($D43="V01",Cadrage!$C$36,IF($D43="V02",Cadrage!$D$36,Cadrage!$E$36)))</f>
        <v>0.05</v>
      </c>
      <c r="L43">
        <f>IF($A43="","",IF($D43="V01",Cadrage!$C$37,IF($D43="V02",Cadrage!$D$37,Cadrage!$E$37)))</f>
        <v>0</v>
      </c>
      <c r="M43">
        <f>IF($A43="","",IF($D43="V01",Cadrage!$C$38,IF($D43="V02",Cadrage!$D$38,Cadrage!$E$38)))</f>
        <v>0.04</v>
      </c>
      <c r="N43">
        <f t="shared" si="1"/>
        <v>0.980622079131853</v>
      </c>
      <c r="O43">
        <f t="shared" si="2"/>
        <v>0.980622079131853</v>
      </c>
      <c r="P43">
        <f>IF($A43="","",IF($E43=1,$F43*$O43,PNL!G43))</f>
        <v>323400</v>
      </c>
      <c r="T43">
        <f t="shared" si="3"/>
        <v>0</v>
      </c>
    </row>
    <row r="44" ht="14.25" customHeight="1">
      <c r="A44" t="str">
        <f>IF(PNL!A44="","",PNL!A44)</f>
        <v>ISCOM_TLS</v>
      </c>
      <c r="B44" t="str">
        <f>IF(PNL!B44="","",PNL!B44)</f>
        <v>706</v>
      </c>
      <c r="C44" t="str">
        <f>IF(PNL!C44="","",PNL!C44)</f>
        <v>2024</v>
      </c>
      <c r="D44" t="str">
        <f>IF(PNL!D44="","",PNL!D44)</f>
        <v>ACT</v>
      </c>
      <c r="E44">
        <f t="shared" si="0"/>
        <v>0</v>
      </c>
      <c r="F44">
        <f>IF($A44="","",IF($E44=1,_xlfn.SUMIFS(Comptabilité!$F$1:$F$1446,Comptabilité!$A$1:$A$1446,$A44,Comptabilité!$B$1:$B$1446,$B44,Comptabilité!$C$1:$C$1446,"2026"),0))</f>
        <v>0</v>
      </c>
      <c r="G44">
        <f>IF($A44="","",IF($D44="V01",Cadrage!$C$23,IF($D44="V02",Cadrage!$D$23,Cadrage!$E$23)))</f>
        <v>-0.05</v>
      </c>
      <c r="H44">
        <f>IF($A44="","",IF($D44="V01",Cadrage!$C$24,IF($D44="V02",Cadrage!$D$24,Cadrage!$E$24)))</f>
        <v>-0.05</v>
      </c>
      <c r="I44">
        <f>IF($A44="","",IF($D44="V01",Cadrage!$C$34,IF($D44="V02",Cadrage!$D$34,Cadrage!$E$34)))</f>
        <v>0.03</v>
      </c>
      <c r="J44">
        <f>IF($A44="","",IF($D44="V01",Cadrage!$C$35,IF($D44="V02",Cadrage!$D$35,Cadrage!$E$35)))</f>
        <v>0.03</v>
      </c>
      <c r="K44">
        <f>IF($A44="","",IF($D44="V01",Cadrage!$C$36,IF($D44="V02",Cadrage!$D$36,Cadrage!$E$36)))</f>
        <v>0.05</v>
      </c>
      <c r="L44">
        <f>IF($A44="","",IF($D44="V01",Cadrage!$C$37,IF($D44="V02",Cadrage!$D$37,Cadrage!$E$37)))</f>
        <v>0</v>
      </c>
      <c r="M44">
        <f>IF($A44="","",IF($D44="V01",Cadrage!$C$38,IF($D44="V02",Cadrage!$D$38,Cadrage!$E$38)))</f>
        <v>0.04</v>
      </c>
      <c r="N44">
        <f t="shared" si="1"/>
        <v>0.980622079131853</v>
      </c>
      <c r="O44">
        <f t="shared" si="2"/>
        <v>0.980622079131853</v>
      </c>
      <c r="P44">
        <f>IF($A44="","",IF($E44=1,$F44*$O44,PNL!G44))</f>
        <v>302400</v>
      </c>
      <c r="T44">
        <f t="shared" si="3"/>
        <v>0</v>
      </c>
    </row>
    <row r="45" ht="14.25" customHeight="1">
      <c r="A45" t="str">
        <f>IF(PNL!A45="","",PNL!A45)</f>
        <v>MBWAY_PAR</v>
      </c>
      <c r="B45" t="str">
        <f>IF(PNL!B45="","",PNL!B45)</f>
        <v>706</v>
      </c>
      <c r="C45" t="str">
        <f>IF(PNL!C45="","",PNL!C45)</f>
        <v>2025</v>
      </c>
      <c r="D45" t="str">
        <f>IF(PNL!D45="","",PNL!D45)</f>
        <v>ACT</v>
      </c>
      <c r="E45">
        <f t="shared" si="0"/>
        <v>0</v>
      </c>
      <c r="F45">
        <f>IF($A45="","",IF($E45=1,_xlfn.SUMIFS(Comptabilité!$F$1:$F$1446,Comptabilité!$A$1:$A$1446,$A45,Comptabilité!$B$1:$B$1446,$B45,Comptabilité!$C$1:$C$1446,"2026"),0))</f>
        <v>0</v>
      </c>
      <c r="G45">
        <f>IF($A45="","",IF($D45="V01",Cadrage!$C$23,IF($D45="V02",Cadrage!$D$23,Cadrage!$E$23)))</f>
        <v>-0.05</v>
      </c>
      <c r="H45">
        <f>IF($A45="","",IF($D45="V01",Cadrage!$C$24,IF($D45="V02",Cadrage!$D$24,Cadrage!$E$24)))</f>
        <v>-0.05</v>
      </c>
      <c r="I45">
        <f>IF($A45="","",IF($D45="V01",Cadrage!$C$34,IF($D45="V02",Cadrage!$D$34,Cadrage!$E$34)))</f>
        <v>0.03</v>
      </c>
      <c r="J45">
        <f>IF($A45="","",IF($D45="V01",Cadrage!$C$35,IF($D45="V02",Cadrage!$D$35,Cadrage!$E$35)))</f>
        <v>0.03</v>
      </c>
      <c r="K45">
        <f>IF($A45="","",IF($D45="V01",Cadrage!$C$36,IF($D45="V02",Cadrage!$D$36,Cadrage!$E$36)))</f>
        <v>0.05</v>
      </c>
      <c r="L45">
        <f>IF($A45="","",IF($D45="V01",Cadrage!$C$37,IF($D45="V02",Cadrage!$D$37,Cadrage!$E$37)))</f>
        <v>0</v>
      </c>
      <c r="M45">
        <f>IF($A45="","",IF($D45="V01",Cadrage!$C$38,IF($D45="V02",Cadrage!$D$38,Cadrage!$E$38)))</f>
        <v>0.04</v>
      </c>
      <c r="N45">
        <f t="shared" si="1"/>
        <v>0.980622079131853</v>
      </c>
      <c r="O45">
        <f t="shared" si="2"/>
        <v>0.980622079131853</v>
      </c>
      <c r="P45">
        <f>IF($A45="","",IF($E45=1,$F45*$O45,PNL!G45))</f>
        <v>621600</v>
      </c>
      <c r="T45">
        <f t="shared" si="3"/>
        <v>0</v>
      </c>
    </row>
    <row r="46" ht="14.25" customHeight="1">
      <c r="A46" t="str">
        <f>IF(PNL!A46="","",PNL!A46)</f>
        <v>MBWAY_LYO</v>
      </c>
      <c r="B46" t="str">
        <f>IF(PNL!B46="","",PNL!B46)</f>
        <v>706</v>
      </c>
      <c r="C46" t="str">
        <f>IF(PNL!C46="","",PNL!C46)</f>
        <v>2025</v>
      </c>
      <c r="D46" t="str">
        <f>IF(PNL!D46="","",PNL!D46)</f>
        <v>ACT</v>
      </c>
      <c r="E46">
        <f t="shared" si="0"/>
        <v>0</v>
      </c>
      <c r="F46">
        <f>IF($A46="","",IF($E46=1,_xlfn.SUMIFS(Comptabilité!$F$1:$F$1446,Comptabilité!$A$1:$A$1446,$A46,Comptabilité!$B$1:$B$1446,$B46,Comptabilité!$C$1:$C$1446,"2026"),0))</f>
        <v>0</v>
      </c>
      <c r="G46">
        <f>IF($A46="","",IF($D46="V01",Cadrage!$C$23,IF($D46="V02",Cadrage!$D$23,Cadrage!$E$23)))</f>
        <v>-0.05</v>
      </c>
      <c r="H46">
        <f>IF($A46="","",IF($D46="V01",Cadrage!$C$24,IF($D46="V02",Cadrage!$D$24,Cadrage!$E$24)))</f>
        <v>-0.05</v>
      </c>
      <c r="I46">
        <f>IF($A46="","",IF($D46="V01",Cadrage!$C$34,IF($D46="V02",Cadrage!$D$34,Cadrage!$E$34)))</f>
        <v>0.03</v>
      </c>
      <c r="J46">
        <f>IF($A46="","",IF($D46="V01",Cadrage!$C$35,IF($D46="V02",Cadrage!$D$35,Cadrage!$E$35)))</f>
        <v>0.03</v>
      </c>
      <c r="K46">
        <f>IF($A46="","",IF($D46="V01",Cadrage!$C$36,IF($D46="V02",Cadrage!$D$36,Cadrage!$E$36)))</f>
        <v>0.05</v>
      </c>
      <c r="L46">
        <f>IF($A46="","",IF($D46="V01",Cadrage!$C$37,IF($D46="V02",Cadrage!$D$37,Cadrage!$E$37)))</f>
        <v>0</v>
      </c>
      <c r="M46">
        <f>IF($A46="","",IF($D46="V01",Cadrage!$C$38,IF($D46="V02",Cadrage!$D$38,Cadrage!$E$38)))</f>
        <v>0.04</v>
      </c>
      <c r="N46">
        <f t="shared" si="1"/>
        <v>0.980622079131853</v>
      </c>
      <c r="O46">
        <f t="shared" si="2"/>
        <v>0.980622079131853</v>
      </c>
      <c r="P46">
        <f>IF($A46="","",IF($E46=1,$F46*$O46,PNL!G46))</f>
        <v>488250</v>
      </c>
      <c r="T46">
        <f t="shared" si="3"/>
        <v>0</v>
      </c>
    </row>
    <row r="47" ht="14.25" customHeight="1">
      <c r="A47" t="str">
        <f>IF(PNL!A47="","",PNL!A47)</f>
        <v>MBWAY_NAN</v>
      </c>
      <c r="B47" t="str">
        <f>IF(PNL!B47="","",PNL!B47)</f>
        <v>706</v>
      </c>
      <c r="C47" t="str">
        <f>IF(PNL!C47="","",PNL!C47)</f>
        <v>2025</v>
      </c>
      <c r="D47" t="str">
        <f>IF(PNL!D47="","",PNL!D47)</f>
        <v>ACT</v>
      </c>
      <c r="E47">
        <f t="shared" si="0"/>
        <v>0</v>
      </c>
      <c r="F47">
        <f>IF($A47="","",IF($E47=1,_xlfn.SUMIFS(Comptabilité!$F$1:$F$1446,Comptabilité!$A$1:$A$1446,$A47,Comptabilité!$B$1:$B$1446,$B47,Comptabilité!$C$1:$C$1446,"2026"),0))</f>
        <v>0</v>
      </c>
      <c r="G47">
        <f>IF($A47="","",IF($D47="V01",Cadrage!$C$23,IF($D47="V02",Cadrage!$D$23,Cadrage!$E$23)))</f>
        <v>-0.05</v>
      </c>
      <c r="H47">
        <f>IF($A47="","",IF($D47="V01",Cadrage!$C$24,IF($D47="V02",Cadrage!$D$24,Cadrage!$E$24)))</f>
        <v>-0.05</v>
      </c>
      <c r="I47">
        <f>IF($A47="","",IF($D47="V01",Cadrage!$C$34,IF($D47="V02",Cadrage!$D$34,Cadrage!$E$34)))</f>
        <v>0.03</v>
      </c>
      <c r="J47">
        <f>IF($A47="","",IF($D47="V01",Cadrage!$C$35,IF($D47="V02",Cadrage!$D$35,Cadrage!$E$35)))</f>
        <v>0.03</v>
      </c>
      <c r="K47">
        <f>IF($A47="","",IF($D47="V01",Cadrage!$C$36,IF($D47="V02",Cadrage!$D$36,Cadrage!$E$36)))</f>
        <v>0.05</v>
      </c>
      <c r="L47">
        <f>IF($A47="","",IF($D47="V01",Cadrage!$C$37,IF($D47="V02",Cadrage!$D$37,Cadrage!$E$37)))</f>
        <v>0</v>
      </c>
      <c r="M47">
        <f>IF($A47="","",IF($D47="V01",Cadrage!$C$38,IF($D47="V02",Cadrage!$D$38,Cadrage!$E$38)))</f>
        <v>0.04</v>
      </c>
      <c r="N47">
        <f t="shared" si="1"/>
        <v>0.980622079131853</v>
      </c>
      <c r="O47">
        <f t="shared" si="2"/>
        <v>0.980622079131853</v>
      </c>
      <c r="P47">
        <f>IF($A47="","",IF($E47=1,$F47*$O47,PNL!G47))</f>
        <v>427500</v>
      </c>
      <c r="T47">
        <f t="shared" si="3"/>
        <v>0</v>
      </c>
    </row>
    <row r="48" ht="14.25" customHeight="1">
      <c r="A48" t="str">
        <f>IF(PNL!A48="","",PNL!A48)</f>
        <v>MBWAY_BOR</v>
      </c>
      <c r="B48" t="str">
        <f>IF(PNL!B48="","",PNL!B48)</f>
        <v>706</v>
      </c>
      <c r="C48" t="str">
        <f>IF(PNL!C48="","",PNL!C48)</f>
        <v>2025</v>
      </c>
      <c r="D48" t="str">
        <f>IF(PNL!D48="","",PNL!D48)</f>
        <v>ACT</v>
      </c>
      <c r="E48">
        <f t="shared" si="0"/>
        <v>0</v>
      </c>
      <c r="F48">
        <f>IF($A48="","",IF($E48=1,_xlfn.SUMIFS(Comptabilité!$F$1:$F$1446,Comptabilité!$A$1:$A$1446,$A48,Comptabilité!$B$1:$B$1446,$B48,Comptabilité!$C$1:$C$1446,"2026"),0))</f>
        <v>0</v>
      </c>
      <c r="G48">
        <f>IF($A48="","",IF($D48="V01",Cadrage!$C$23,IF($D48="V02",Cadrage!$D$23,Cadrage!$E$23)))</f>
        <v>-0.05</v>
      </c>
      <c r="H48">
        <f>IF($A48="","",IF($D48="V01",Cadrage!$C$24,IF($D48="V02",Cadrage!$D$24,Cadrage!$E$24)))</f>
        <v>-0.05</v>
      </c>
      <c r="I48">
        <f>IF($A48="","",IF($D48="V01",Cadrage!$C$34,IF($D48="V02",Cadrage!$D$34,Cadrage!$E$34)))</f>
        <v>0.03</v>
      </c>
      <c r="J48">
        <f>IF($A48="","",IF($D48="V01",Cadrage!$C$35,IF($D48="V02",Cadrage!$D$35,Cadrage!$E$35)))</f>
        <v>0.03</v>
      </c>
      <c r="K48">
        <f>IF($A48="","",IF($D48="V01",Cadrage!$C$36,IF($D48="V02",Cadrage!$D$36,Cadrage!$E$36)))</f>
        <v>0.05</v>
      </c>
      <c r="L48">
        <f>IF($A48="","",IF($D48="V01",Cadrage!$C$37,IF($D48="V02",Cadrage!$D$37,Cadrage!$E$37)))</f>
        <v>0</v>
      </c>
      <c r="M48">
        <f>IF($A48="","",IF($D48="V01",Cadrage!$C$38,IF($D48="V02",Cadrage!$D$38,Cadrage!$E$38)))</f>
        <v>0.04</v>
      </c>
      <c r="N48">
        <f t="shared" si="1"/>
        <v>0.980622079131853</v>
      </c>
      <c r="O48">
        <f t="shared" si="2"/>
        <v>0.980622079131853</v>
      </c>
      <c r="P48">
        <f>IF($A48="","",IF($E48=1,$F48*$O48,PNL!G48))</f>
        <v>349200</v>
      </c>
      <c r="T48">
        <f t="shared" si="3"/>
        <v>0</v>
      </c>
    </row>
    <row r="49" ht="14.25" customHeight="1">
      <c r="A49" t="str">
        <f>IF(PNL!A49="","",PNL!A49)</f>
        <v>ISCOM_PAR</v>
      </c>
      <c r="B49" t="str">
        <f>IF(PNL!B49="","",PNL!B49)</f>
        <v>706</v>
      </c>
      <c r="C49" t="str">
        <f>IF(PNL!C49="","",PNL!C49)</f>
        <v>2025</v>
      </c>
      <c r="D49" t="str">
        <f>IF(PNL!D49="","",PNL!D49)</f>
        <v>ACT</v>
      </c>
      <c r="E49">
        <f t="shared" si="0"/>
        <v>0</v>
      </c>
      <c r="F49">
        <f>IF($A49="","",IF($E49=1,_xlfn.SUMIFS(Comptabilité!$F$1:$F$1446,Comptabilité!$A$1:$A$1446,$A49,Comptabilité!$B$1:$B$1446,$B49,Comptabilité!$C$1:$C$1446,"2026"),0))</f>
        <v>0</v>
      </c>
      <c r="G49">
        <f>IF($A49="","",IF($D49="V01",Cadrage!$C$23,IF($D49="V02",Cadrage!$D$23,Cadrage!$E$23)))</f>
        <v>-0.05</v>
      </c>
      <c r="H49">
        <f>IF($A49="","",IF($D49="V01",Cadrage!$C$24,IF($D49="V02",Cadrage!$D$24,Cadrage!$E$24)))</f>
        <v>-0.05</v>
      </c>
      <c r="I49">
        <f>IF($A49="","",IF($D49="V01",Cadrage!$C$34,IF($D49="V02",Cadrage!$D$34,Cadrage!$E$34)))</f>
        <v>0.03</v>
      </c>
      <c r="J49">
        <f>IF($A49="","",IF($D49="V01",Cadrage!$C$35,IF($D49="V02",Cadrage!$D$35,Cadrage!$E$35)))</f>
        <v>0.03</v>
      </c>
      <c r="K49">
        <f>IF($A49="","",IF($D49="V01",Cadrage!$C$36,IF($D49="V02",Cadrage!$D$36,Cadrage!$E$36)))</f>
        <v>0.05</v>
      </c>
      <c r="L49">
        <f>IF($A49="","",IF($D49="V01",Cadrage!$C$37,IF($D49="V02",Cadrage!$D$37,Cadrage!$E$37)))</f>
        <v>0</v>
      </c>
      <c r="M49">
        <f>IF($A49="","",IF($D49="V01",Cadrage!$C$38,IF($D49="V02",Cadrage!$D$38,Cadrage!$E$38)))</f>
        <v>0.04</v>
      </c>
      <c r="N49">
        <f t="shared" si="1"/>
        <v>0.980622079131853</v>
      </c>
      <c r="O49">
        <f t="shared" si="2"/>
        <v>0.980622079131853</v>
      </c>
      <c r="P49">
        <f>IF($A49="","",IF($E49=1,$F49*$O49,PNL!G49))</f>
        <v>571200</v>
      </c>
      <c r="T49">
        <f t="shared" si="3"/>
        <v>0</v>
      </c>
    </row>
    <row r="50" ht="14.25" customHeight="1">
      <c r="A50" t="str">
        <f>IF(PNL!A50="","",PNL!A50)</f>
        <v>ISCOM_LIL</v>
      </c>
      <c r="B50" t="str">
        <f>IF(PNL!B50="","",PNL!B50)</f>
        <v>706</v>
      </c>
      <c r="C50" t="str">
        <f>IF(PNL!C50="","",PNL!C50)</f>
        <v>2025</v>
      </c>
      <c r="D50" t="str">
        <f>IF(PNL!D50="","",PNL!D50)</f>
        <v>ACT</v>
      </c>
      <c r="E50">
        <f t="shared" si="0"/>
        <v>0</v>
      </c>
      <c r="F50">
        <f>IF($A50="","",IF($E50=1,_xlfn.SUMIFS(Comptabilité!$F$1:$F$1446,Comptabilité!$A$1:$A$1446,$A50,Comptabilité!$B$1:$B$1446,$B50,Comptabilité!$C$1:$C$1446,"2026"),0))</f>
        <v>0</v>
      </c>
      <c r="G50">
        <f>IF($A50="","",IF($D50="V01",Cadrage!$C$23,IF($D50="V02",Cadrage!$D$23,Cadrage!$E$23)))</f>
        <v>-0.05</v>
      </c>
      <c r="H50">
        <f>IF($A50="","",IF($D50="V01",Cadrage!$C$24,IF($D50="V02",Cadrage!$D$24,Cadrage!$E$24)))</f>
        <v>-0.05</v>
      </c>
      <c r="I50">
        <f>IF($A50="","",IF($D50="V01",Cadrage!$C$34,IF($D50="V02",Cadrage!$D$34,Cadrage!$E$34)))</f>
        <v>0.03</v>
      </c>
      <c r="J50">
        <f>IF($A50="","",IF($D50="V01",Cadrage!$C$35,IF($D50="V02",Cadrage!$D$35,Cadrage!$E$35)))</f>
        <v>0.03</v>
      </c>
      <c r="K50">
        <f>IF($A50="","",IF($D50="V01",Cadrage!$C$36,IF($D50="V02",Cadrage!$D$36,Cadrage!$E$36)))</f>
        <v>0.05</v>
      </c>
      <c r="L50">
        <f>IF($A50="","",IF($D50="V01",Cadrage!$C$37,IF($D50="V02",Cadrage!$D$37,Cadrage!$E$37)))</f>
        <v>0</v>
      </c>
      <c r="M50">
        <f>IF($A50="","",IF($D50="V01",Cadrage!$C$38,IF($D50="V02",Cadrage!$D$38,Cadrage!$E$38)))</f>
        <v>0.04</v>
      </c>
      <c r="N50">
        <f t="shared" si="1"/>
        <v>0.980622079131853</v>
      </c>
      <c r="O50">
        <f t="shared" si="2"/>
        <v>0.980622079131853</v>
      </c>
      <c r="P50">
        <f>IF($A50="","",IF($E50=1,$F50*$O50,PNL!G50))</f>
        <v>345450</v>
      </c>
      <c r="T50">
        <f t="shared" si="3"/>
        <v>0</v>
      </c>
    </row>
    <row r="51" ht="14.25" customHeight="1">
      <c r="A51" t="str">
        <f>IF(PNL!A51="","",PNL!A51)</f>
        <v>ISCOM_TLS</v>
      </c>
      <c r="B51" t="str">
        <f>IF(PNL!B51="","",PNL!B51)</f>
        <v>706</v>
      </c>
      <c r="C51" t="str">
        <f>IF(PNL!C51="","",PNL!C51)</f>
        <v>2025</v>
      </c>
      <c r="D51" t="str">
        <f>IF(PNL!D51="","",PNL!D51)</f>
        <v>ACT</v>
      </c>
      <c r="E51">
        <f t="shared" si="0"/>
        <v>0</v>
      </c>
      <c r="F51">
        <f>IF($A51="","",IF($E51=1,_xlfn.SUMIFS(Comptabilité!$F$1:$F$1446,Comptabilité!$A$1:$A$1446,$A51,Comptabilité!$B$1:$B$1446,$B51,Comptabilité!$C$1:$C$1446,"2026"),0))</f>
        <v>0</v>
      </c>
      <c r="G51">
        <f>IF($A51="","",IF($D51="V01",Cadrage!$C$23,IF($D51="V02",Cadrage!$D$23,Cadrage!$E$23)))</f>
        <v>-0.05</v>
      </c>
      <c r="H51">
        <f>IF($A51="","",IF($D51="V01",Cadrage!$C$24,IF($D51="V02",Cadrage!$D$24,Cadrage!$E$24)))</f>
        <v>-0.05</v>
      </c>
      <c r="I51">
        <f>IF($A51="","",IF($D51="V01",Cadrage!$C$34,IF($D51="V02",Cadrage!$D$34,Cadrage!$E$34)))</f>
        <v>0.03</v>
      </c>
      <c r="J51">
        <f>IF($A51="","",IF($D51="V01",Cadrage!$C$35,IF($D51="V02",Cadrage!$D$35,Cadrage!$E$35)))</f>
        <v>0.03</v>
      </c>
      <c r="K51">
        <f>IF($A51="","",IF($D51="V01",Cadrage!$C$36,IF($D51="V02",Cadrage!$D$36,Cadrage!$E$36)))</f>
        <v>0.05</v>
      </c>
      <c r="L51">
        <f>IF($A51="","",IF($D51="V01",Cadrage!$C$37,IF($D51="V02",Cadrage!$D$37,Cadrage!$E$37)))</f>
        <v>0</v>
      </c>
      <c r="M51">
        <f>IF($A51="","",IF($D51="V01",Cadrage!$C$38,IF($D51="V02",Cadrage!$D$38,Cadrage!$E$38)))</f>
        <v>0.04</v>
      </c>
      <c r="N51">
        <f t="shared" si="1"/>
        <v>0.980622079131853</v>
      </c>
      <c r="O51">
        <f t="shared" si="2"/>
        <v>0.980622079131853</v>
      </c>
      <c r="P51">
        <f>IF($A51="","",IF($E51=1,$F51*$O51,PNL!G51))</f>
        <v>316800</v>
      </c>
      <c r="T51">
        <f t="shared" si="3"/>
        <v>0</v>
      </c>
    </row>
    <row r="52" ht="14.25" customHeight="1">
      <c r="A52" t="str">
        <f>IF(PNL!A52="","",PNL!A52)</f>
        <v>MBWAY_PAR</v>
      </c>
      <c r="B52" t="str">
        <f>IF(PNL!B52="","",PNL!B52)</f>
        <v>706</v>
      </c>
      <c r="C52" t="str">
        <f>IF(PNL!C52="","",PNL!C52)</f>
        <v>2026</v>
      </c>
      <c r="D52" t="str">
        <f>IF(PNL!D52="","",PNL!D52)</f>
        <v>ACT</v>
      </c>
      <c r="E52">
        <f t="shared" si="0"/>
        <v>0</v>
      </c>
      <c r="F52">
        <f>IF($A52="","",IF($E52=1,_xlfn.SUMIFS(Comptabilité!$F$1:$F$1446,Comptabilité!$A$1:$A$1446,$A52,Comptabilité!$B$1:$B$1446,$B52,Comptabilité!$C$1:$C$1446,"2026"),0))</f>
        <v>0</v>
      </c>
      <c r="G52">
        <f>IF($A52="","",IF($D52="V01",Cadrage!$C$23,IF($D52="V02",Cadrage!$D$23,Cadrage!$E$23)))</f>
        <v>-0.05</v>
      </c>
      <c r="H52">
        <f>IF($A52="","",IF($D52="V01",Cadrage!$C$24,IF($D52="V02",Cadrage!$D$24,Cadrage!$E$24)))</f>
        <v>-0.05</v>
      </c>
      <c r="I52">
        <f>IF($A52="","",IF($D52="V01",Cadrage!$C$34,IF($D52="V02",Cadrage!$D$34,Cadrage!$E$34)))</f>
        <v>0.03</v>
      </c>
      <c r="J52">
        <f>IF($A52="","",IF($D52="V01",Cadrage!$C$35,IF($D52="V02",Cadrage!$D$35,Cadrage!$E$35)))</f>
        <v>0.03</v>
      </c>
      <c r="K52">
        <f>IF($A52="","",IF($D52="V01",Cadrage!$C$36,IF($D52="V02",Cadrage!$D$36,Cadrage!$E$36)))</f>
        <v>0.05</v>
      </c>
      <c r="L52">
        <f>IF($A52="","",IF($D52="V01",Cadrage!$C$37,IF($D52="V02",Cadrage!$D$37,Cadrage!$E$37)))</f>
        <v>0</v>
      </c>
      <c r="M52">
        <f>IF($A52="","",IF($D52="V01",Cadrage!$C$38,IF($D52="V02",Cadrage!$D$38,Cadrage!$E$38)))</f>
        <v>0.04</v>
      </c>
      <c r="N52">
        <f t="shared" si="1"/>
        <v>0.980622079131853</v>
      </c>
      <c r="O52">
        <f t="shared" si="2"/>
        <v>0.980622079131853</v>
      </c>
      <c r="P52">
        <f>IF($A52="","",IF($E52=1,$F52*$O52,PNL!G52))</f>
        <v>655200</v>
      </c>
      <c r="T52">
        <f t="shared" si="3"/>
        <v>0</v>
      </c>
    </row>
    <row r="53" ht="14.25" customHeight="1">
      <c r="A53" t="str">
        <f>IF(PNL!A53="","",PNL!A53)</f>
        <v>MBWAY_LYO</v>
      </c>
      <c r="B53" t="str">
        <f>IF(PNL!B53="","",PNL!B53)</f>
        <v>706</v>
      </c>
      <c r="C53" t="str">
        <f>IF(PNL!C53="","",PNL!C53)</f>
        <v>2026</v>
      </c>
      <c r="D53" t="str">
        <f>IF(PNL!D53="","",PNL!D53)</f>
        <v>ACT</v>
      </c>
      <c r="E53">
        <f t="shared" si="0"/>
        <v>0</v>
      </c>
      <c r="F53">
        <f>IF($A53="","",IF($E53=1,_xlfn.SUMIFS(Comptabilité!$F$1:$F$1446,Comptabilité!$A$1:$A$1446,$A53,Comptabilité!$B$1:$B$1446,$B53,Comptabilité!$C$1:$C$1446,"2026"),0))</f>
        <v>0</v>
      </c>
      <c r="G53">
        <f>IF($A53="","",IF($D53="V01",Cadrage!$C$23,IF($D53="V02",Cadrage!$D$23,Cadrage!$E$23)))</f>
        <v>-0.05</v>
      </c>
      <c r="H53">
        <f>IF($A53="","",IF($D53="V01",Cadrage!$C$24,IF($D53="V02",Cadrage!$D$24,Cadrage!$E$24)))</f>
        <v>-0.05</v>
      </c>
      <c r="I53">
        <f>IF($A53="","",IF($D53="V01",Cadrage!$C$34,IF($D53="V02",Cadrage!$D$34,Cadrage!$E$34)))</f>
        <v>0.03</v>
      </c>
      <c r="J53">
        <f>IF($A53="","",IF($D53="V01",Cadrage!$C$35,IF($D53="V02",Cadrage!$D$35,Cadrage!$E$35)))</f>
        <v>0.03</v>
      </c>
      <c r="K53">
        <f>IF($A53="","",IF($D53="V01",Cadrage!$C$36,IF($D53="V02",Cadrage!$D$36,Cadrage!$E$36)))</f>
        <v>0.05</v>
      </c>
      <c r="L53">
        <f>IF($A53="","",IF($D53="V01",Cadrage!$C$37,IF($D53="V02",Cadrage!$D$37,Cadrage!$E$37)))</f>
        <v>0</v>
      </c>
      <c r="M53">
        <f>IF($A53="","",IF($D53="V01",Cadrage!$C$38,IF($D53="V02",Cadrage!$D$38,Cadrage!$E$38)))</f>
        <v>0.04</v>
      </c>
      <c r="N53">
        <f t="shared" si="1"/>
        <v>0.980622079131853</v>
      </c>
      <c r="O53">
        <f t="shared" si="2"/>
        <v>0.980622079131853</v>
      </c>
      <c r="P53">
        <f>IF($A53="","",IF($E53=1,$F53*$O53,PNL!G53))</f>
        <v>519750</v>
      </c>
      <c r="T53">
        <f t="shared" si="3"/>
        <v>0</v>
      </c>
    </row>
    <row r="54" ht="14.25" customHeight="1">
      <c r="A54" t="str">
        <f>IF(PNL!A54="","",PNL!A54)</f>
        <v>MBWAY_NAN</v>
      </c>
      <c r="B54" t="str">
        <f>IF(PNL!B54="","",PNL!B54)</f>
        <v>706</v>
      </c>
      <c r="C54" t="str">
        <f>IF(PNL!C54="","",PNL!C54)</f>
        <v>2026</v>
      </c>
      <c r="D54" t="str">
        <f>IF(PNL!D54="","",PNL!D54)</f>
        <v>ACT</v>
      </c>
      <c r="E54">
        <f t="shared" si="0"/>
        <v>0</v>
      </c>
      <c r="F54">
        <f>IF($A54="","",IF($E54=1,_xlfn.SUMIFS(Comptabilité!$F$1:$F$1446,Comptabilité!$A$1:$A$1446,$A54,Comptabilité!$B$1:$B$1446,$B54,Comptabilité!$C$1:$C$1446,"2026"),0))</f>
        <v>0</v>
      </c>
      <c r="G54">
        <f>IF($A54="","",IF($D54="V01",Cadrage!$C$23,IF($D54="V02",Cadrage!$D$23,Cadrage!$E$23)))</f>
        <v>-0.05</v>
      </c>
      <c r="H54">
        <f>IF($A54="","",IF($D54="V01",Cadrage!$C$24,IF($D54="V02",Cadrage!$D$24,Cadrage!$E$24)))</f>
        <v>-0.05</v>
      </c>
      <c r="I54">
        <f>IF($A54="","",IF($D54="V01",Cadrage!$C$34,IF($D54="V02",Cadrage!$D$34,Cadrage!$E$34)))</f>
        <v>0.03</v>
      </c>
      <c r="J54">
        <f>IF($A54="","",IF($D54="V01",Cadrage!$C$35,IF($D54="V02",Cadrage!$D$35,Cadrage!$E$35)))</f>
        <v>0.03</v>
      </c>
      <c r="K54">
        <f>IF($A54="","",IF($D54="V01",Cadrage!$C$36,IF($D54="V02",Cadrage!$D$36,Cadrage!$E$36)))</f>
        <v>0.05</v>
      </c>
      <c r="L54">
        <f>IF($A54="","",IF($D54="V01",Cadrage!$C$37,IF($D54="V02",Cadrage!$D$37,Cadrage!$E$37)))</f>
        <v>0</v>
      </c>
      <c r="M54">
        <f>IF($A54="","",IF($D54="V01",Cadrage!$C$38,IF($D54="V02",Cadrage!$D$38,Cadrage!$E$38)))</f>
        <v>0.04</v>
      </c>
      <c r="N54">
        <f t="shared" si="1"/>
        <v>0.980622079131853</v>
      </c>
      <c r="O54">
        <f t="shared" si="2"/>
        <v>0.980622079131853</v>
      </c>
      <c r="P54">
        <f>IF($A54="","",IF($E54=1,$F54*$O54,PNL!G54))</f>
        <v>450000</v>
      </c>
      <c r="T54">
        <f t="shared" si="3"/>
        <v>0</v>
      </c>
    </row>
    <row r="55" ht="14.25" customHeight="1">
      <c r="A55" t="str">
        <f>IF(PNL!A55="","",PNL!A55)</f>
        <v>MBWAY_BOR</v>
      </c>
      <c r="B55" t="str">
        <f>IF(PNL!B55="","",PNL!B55)</f>
        <v>706</v>
      </c>
      <c r="C55" t="str">
        <f>IF(PNL!C55="","",PNL!C55)</f>
        <v>2026</v>
      </c>
      <c r="D55" t="str">
        <f>IF(PNL!D55="","",PNL!D55)</f>
        <v>ACT</v>
      </c>
      <c r="E55">
        <f t="shared" si="0"/>
        <v>0</v>
      </c>
      <c r="F55">
        <f>IF($A55="","",IF($E55=1,_xlfn.SUMIFS(Comptabilité!$F$1:$F$1446,Comptabilité!$A$1:$A$1446,$A55,Comptabilité!$B$1:$B$1446,$B55,Comptabilité!$C$1:$C$1446,"2026"),0))</f>
        <v>0</v>
      </c>
      <c r="G55">
        <f>IF($A55="","",IF($D55="V01",Cadrage!$C$23,IF($D55="V02",Cadrage!$D$23,Cadrage!$E$23)))</f>
        <v>-0.05</v>
      </c>
      <c r="H55">
        <f>IF($A55="","",IF($D55="V01",Cadrage!$C$24,IF($D55="V02",Cadrage!$D$24,Cadrage!$E$24)))</f>
        <v>-0.05</v>
      </c>
      <c r="I55">
        <f>IF($A55="","",IF($D55="V01",Cadrage!$C$34,IF($D55="V02",Cadrage!$D$34,Cadrage!$E$34)))</f>
        <v>0.03</v>
      </c>
      <c r="J55">
        <f>IF($A55="","",IF($D55="V01",Cadrage!$C$35,IF($D55="V02",Cadrage!$D$35,Cadrage!$E$35)))</f>
        <v>0.03</v>
      </c>
      <c r="K55">
        <f>IF($A55="","",IF($D55="V01",Cadrage!$C$36,IF($D55="V02",Cadrage!$D$36,Cadrage!$E$36)))</f>
        <v>0.05</v>
      </c>
      <c r="L55">
        <f>IF($A55="","",IF($D55="V01",Cadrage!$C$37,IF($D55="V02",Cadrage!$D$37,Cadrage!$E$37)))</f>
        <v>0</v>
      </c>
      <c r="M55">
        <f>IF($A55="","",IF($D55="V01",Cadrage!$C$38,IF($D55="V02",Cadrage!$D$38,Cadrage!$E$38)))</f>
        <v>0.04</v>
      </c>
      <c r="N55">
        <f t="shared" si="1"/>
        <v>0.980622079131853</v>
      </c>
      <c r="O55">
        <f t="shared" si="2"/>
        <v>0.980622079131853</v>
      </c>
      <c r="P55">
        <f>IF($A55="","",IF($E55=1,$F55*$O55,PNL!G55))</f>
        <v>371025</v>
      </c>
      <c r="T55">
        <f t="shared" si="3"/>
        <v>0</v>
      </c>
    </row>
    <row r="56" ht="14.25" customHeight="1">
      <c r="A56" t="str">
        <f>IF(PNL!A56="","",PNL!A56)</f>
        <v>ISCOM_PAR</v>
      </c>
      <c r="B56" t="str">
        <f>IF(PNL!B56="","",PNL!B56)</f>
        <v>706</v>
      </c>
      <c r="C56" t="str">
        <f>IF(PNL!C56="","",PNL!C56)</f>
        <v>2026</v>
      </c>
      <c r="D56" t="str">
        <f>IF(PNL!D56="","",PNL!D56)</f>
        <v>ACT</v>
      </c>
      <c r="E56">
        <f t="shared" si="0"/>
        <v>0</v>
      </c>
      <c r="F56">
        <f>IF($A56="","",IF($E56=1,_xlfn.SUMIFS(Comptabilité!$F$1:$F$1446,Comptabilité!$A$1:$A$1446,$A56,Comptabilité!$B$1:$B$1446,$B56,Comptabilité!$C$1:$C$1446,"2026"),0))</f>
        <v>0</v>
      </c>
      <c r="G56">
        <f>IF($A56="","",IF($D56="V01",Cadrage!$C$23,IF($D56="V02",Cadrage!$D$23,Cadrage!$E$23)))</f>
        <v>-0.05</v>
      </c>
      <c r="H56">
        <f>IF($A56="","",IF($D56="V01",Cadrage!$C$24,IF($D56="V02",Cadrage!$D$24,Cadrage!$E$24)))</f>
        <v>-0.05</v>
      </c>
      <c r="I56">
        <f>IF($A56="","",IF($D56="V01",Cadrage!$C$34,IF($D56="V02",Cadrage!$D$34,Cadrage!$E$34)))</f>
        <v>0.03</v>
      </c>
      <c r="J56">
        <f>IF($A56="","",IF($D56="V01",Cadrage!$C$35,IF($D56="V02",Cadrage!$D$35,Cadrage!$E$35)))</f>
        <v>0.03</v>
      </c>
      <c r="K56">
        <f>IF($A56="","",IF($D56="V01",Cadrage!$C$36,IF($D56="V02",Cadrage!$D$36,Cadrage!$E$36)))</f>
        <v>0.05</v>
      </c>
      <c r="L56">
        <f>IF($A56="","",IF($D56="V01",Cadrage!$C$37,IF($D56="V02",Cadrage!$D$37,Cadrage!$E$37)))</f>
        <v>0</v>
      </c>
      <c r="M56">
        <f>IF($A56="","",IF($D56="V01",Cadrage!$C$38,IF($D56="V02",Cadrage!$D$38,Cadrage!$E$38)))</f>
        <v>0.04</v>
      </c>
      <c r="N56">
        <f t="shared" si="1"/>
        <v>0.980622079131853</v>
      </c>
      <c r="O56">
        <f t="shared" si="2"/>
        <v>0.980622079131853</v>
      </c>
      <c r="P56">
        <f>IF($A56="","",IF($E56=1,$F56*$O56,PNL!G56))</f>
        <v>604800</v>
      </c>
      <c r="T56">
        <f t="shared" si="3"/>
        <v>0</v>
      </c>
    </row>
    <row r="57" ht="14.25" customHeight="1">
      <c r="A57" t="str">
        <f>IF(PNL!A57="","",PNL!A57)</f>
        <v>ISCOM_LIL</v>
      </c>
      <c r="B57" t="str">
        <f>IF(PNL!B57="","",PNL!B57)</f>
        <v>706</v>
      </c>
      <c r="C57" t="str">
        <f>IF(PNL!C57="","",PNL!C57)</f>
        <v>2026</v>
      </c>
      <c r="D57" t="str">
        <f>IF(PNL!D57="","",PNL!D57)</f>
        <v>ACT</v>
      </c>
      <c r="E57">
        <f t="shared" si="0"/>
        <v>0</v>
      </c>
      <c r="F57">
        <f>IF($A57="","",IF($E57=1,_xlfn.SUMIFS(Comptabilité!$F$1:$F$1446,Comptabilité!$A$1:$A$1446,$A57,Comptabilité!$B$1:$B$1446,$B57,Comptabilité!$C$1:$C$1446,"2026"),0))</f>
        <v>0</v>
      </c>
      <c r="G57">
        <f>IF($A57="","",IF($D57="V01",Cadrage!$C$23,IF($D57="V02",Cadrage!$D$23,Cadrage!$E$23)))</f>
        <v>-0.05</v>
      </c>
      <c r="H57">
        <f>IF($A57="","",IF($D57="V01",Cadrage!$C$24,IF($D57="V02",Cadrage!$D$24,Cadrage!$E$24)))</f>
        <v>-0.05</v>
      </c>
      <c r="I57">
        <f>IF($A57="","",IF($D57="V01",Cadrage!$C$34,IF($D57="V02",Cadrage!$D$34,Cadrage!$E$34)))</f>
        <v>0.03</v>
      </c>
      <c r="J57">
        <f>IF($A57="","",IF($D57="V01",Cadrage!$C$35,IF($D57="V02",Cadrage!$D$35,Cadrage!$E$35)))</f>
        <v>0.03</v>
      </c>
      <c r="K57">
        <f>IF($A57="","",IF($D57="V01",Cadrage!$C$36,IF($D57="V02",Cadrage!$D$36,Cadrage!$E$36)))</f>
        <v>0.05</v>
      </c>
      <c r="L57">
        <f>IF($A57="","",IF($D57="V01",Cadrage!$C$37,IF($D57="V02",Cadrage!$D$37,Cadrage!$E$37)))</f>
        <v>0</v>
      </c>
      <c r="M57">
        <f>IF($A57="","",IF($D57="V01",Cadrage!$C$38,IF($D57="V02",Cadrage!$D$38,Cadrage!$E$38)))</f>
        <v>0.04</v>
      </c>
      <c r="N57">
        <f t="shared" si="1"/>
        <v>0.980622079131853</v>
      </c>
      <c r="O57">
        <f t="shared" si="2"/>
        <v>0.980622079131853</v>
      </c>
      <c r="P57">
        <f>IF($A57="","",IF($E57=1,$F57*$O57,PNL!G57))</f>
        <v>367500</v>
      </c>
      <c r="T57">
        <f t="shared" si="3"/>
        <v>0</v>
      </c>
    </row>
    <row r="58" ht="14.25" customHeight="1">
      <c r="A58" t="str">
        <f>IF(PNL!A58="","",PNL!A58)</f>
        <v>ISCOM_TLS</v>
      </c>
      <c r="B58" t="str">
        <f>IF(PNL!B58="","",PNL!B58)</f>
        <v>706</v>
      </c>
      <c r="C58" t="str">
        <f>IF(PNL!C58="","",PNL!C58)</f>
        <v>2026</v>
      </c>
      <c r="D58" t="str">
        <f>IF(PNL!D58="","",PNL!D58)</f>
        <v>ACT</v>
      </c>
      <c r="E58">
        <f t="shared" si="0"/>
        <v>0</v>
      </c>
      <c r="F58">
        <f>IF($A58="","",IF($E58=1,_xlfn.SUMIFS(Comptabilité!$F$1:$F$1446,Comptabilité!$A$1:$A$1446,$A58,Comptabilité!$B$1:$B$1446,$B58,Comptabilité!$C$1:$C$1446,"2026"),0))</f>
        <v>0</v>
      </c>
      <c r="G58">
        <f>IF($A58="","",IF($D58="V01",Cadrage!$C$23,IF($D58="V02",Cadrage!$D$23,Cadrage!$E$23)))</f>
        <v>-0.05</v>
      </c>
      <c r="H58">
        <f>IF($A58="","",IF($D58="V01",Cadrage!$C$24,IF($D58="V02",Cadrage!$D$24,Cadrage!$E$24)))</f>
        <v>-0.05</v>
      </c>
      <c r="I58">
        <f>IF($A58="","",IF($D58="V01",Cadrage!$C$34,IF($D58="V02",Cadrage!$D$34,Cadrage!$E$34)))</f>
        <v>0.03</v>
      </c>
      <c r="J58">
        <f>IF($A58="","",IF($D58="V01",Cadrage!$C$35,IF($D58="V02",Cadrage!$D$35,Cadrage!$E$35)))</f>
        <v>0.03</v>
      </c>
      <c r="K58">
        <f>IF($A58="","",IF($D58="V01",Cadrage!$C$36,IF($D58="V02",Cadrage!$D$36,Cadrage!$E$36)))</f>
        <v>0.05</v>
      </c>
      <c r="L58">
        <f>IF($A58="","",IF($D58="V01",Cadrage!$C$37,IF($D58="V02",Cadrage!$D$37,Cadrage!$E$37)))</f>
        <v>0</v>
      </c>
      <c r="M58">
        <f>IF($A58="","",IF($D58="V01",Cadrage!$C$38,IF($D58="V02",Cadrage!$D$38,Cadrage!$E$38)))</f>
        <v>0.04</v>
      </c>
      <c r="N58">
        <f t="shared" si="1"/>
        <v>0.980622079131853</v>
      </c>
      <c r="O58">
        <f t="shared" si="2"/>
        <v>0.980622079131853</v>
      </c>
      <c r="P58">
        <f>IF($A58="","",IF($E58=1,$F58*$O58,PNL!G58))</f>
        <v>338400</v>
      </c>
      <c r="T58">
        <f t="shared" si="3"/>
        <v>0</v>
      </c>
    </row>
    <row r="59" ht="14.25" customHeight="1">
      <c r="A59" t="str">
        <f>IF(PNL!A59="","",PNL!A59)</f>
        <v>MBWAY_PAR</v>
      </c>
      <c r="B59" t="str">
        <f>IF(PNL!B59="","",PNL!B59)</f>
        <v>708</v>
      </c>
      <c r="C59" t="str">
        <f>IF(PNL!C59="","",PNL!C59)</f>
        <v>2024</v>
      </c>
      <c r="D59" t="str">
        <f>IF(PNL!D59="","",PNL!D59)</f>
        <v>ACT</v>
      </c>
      <c r="E59">
        <f t="shared" si="0"/>
        <v>0</v>
      </c>
      <c r="F59">
        <f>IF($A59="","",IF($E59=1,_xlfn.SUMIFS(Comptabilité!$F$1:$F$1446,Comptabilité!$A$1:$A$1446,$A59,Comptabilité!$B$1:$B$1446,$B59,Comptabilité!$C$1:$C$1446,"2026"),0))</f>
        <v>0</v>
      </c>
      <c r="G59">
        <f>IF($A59="","",IF($D59="V01",Cadrage!$C$23,IF($D59="V02",Cadrage!$D$23,Cadrage!$E$23)))</f>
        <v>-0.05</v>
      </c>
      <c r="H59">
        <f>IF($A59="","",IF($D59="V01",Cadrage!$C$24,IF($D59="V02",Cadrage!$D$24,Cadrage!$E$24)))</f>
        <v>-0.05</v>
      </c>
      <c r="I59">
        <f>IF($A59="","",IF($D59="V01",Cadrage!$C$34,IF($D59="V02",Cadrage!$D$34,Cadrage!$E$34)))</f>
        <v>0.03</v>
      </c>
      <c r="J59">
        <f>IF($A59="","",IF($D59="V01",Cadrage!$C$35,IF($D59="V02",Cadrage!$D$35,Cadrage!$E$35)))</f>
        <v>0.03</v>
      </c>
      <c r="K59">
        <f>IF($A59="","",IF($D59="V01",Cadrage!$C$36,IF($D59="V02",Cadrage!$D$36,Cadrage!$E$36)))</f>
        <v>0.05</v>
      </c>
      <c r="L59">
        <f>IF($A59="","",IF($D59="V01",Cadrage!$C$37,IF($D59="V02",Cadrage!$D$37,Cadrage!$E$37)))</f>
        <v>0</v>
      </c>
      <c r="M59">
        <f>IF($A59="","",IF($D59="V01",Cadrage!$C$38,IF($D59="V02",Cadrage!$D$38,Cadrage!$E$38)))</f>
        <v>0.04</v>
      </c>
      <c r="N59">
        <f t="shared" si="1"/>
        <v>0.980622079131853</v>
      </c>
      <c r="O59">
        <f t="shared" si="2"/>
        <v>0.980622079131853</v>
      </c>
      <c r="P59">
        <f>IF($A59="","",IF($E59=1,$F59*$O59,PNL!G59))</f>
        <v>12420</v>
      </c>
      <c r="T59">
        <f t="shared" si="3"/>
        <v>0</v>
      </c>
    </row>
    <row r="60" ht="14.25" customHeight="1">
      <c r="A60" t="str">
        <f>IF(PNL!A60="","",PNL!A60)</f>
        <v>MBWAY_LYO</v>
      </c>
      <c r="B60" t="str">
        <f>IF(PNL!B60="","",PNL!B60)</f>
        <v>708</v>
      </c>
      <c r="C60" t="str">
        <f>IF(PNL!C60="","",PNL!C60)</f>
        <v>2024</v>
      </c>
      <c r="D60" t="str">
        <f>IF(PNL!D60="","",PNL!D60)</f>
        <v>ACT</v>
      </c>
      <c r="E60">
        <f t="shared" si="0"/>
        <v>0</v>
      </c>
      <c r="F60">
        <f>IF($A60="","",IF($E60=1,_xlfn.SUMIFS(Comptabilité!$F$1:$F$1446,Comptabilité!$A$1:$A$1446,$A60,Comptabilité!$B$1:$B$1446,$B60,Comptabilité!$C$1:$C$1446,"2026"),0))</f>
        <v>0</v>
      </c>
      <c r="G60">
        <f>IF($A60="","",IF($D60="V01",Cadrage!$C$23,IF($D60="V02",Cadrage!$D$23,Cadrage!$E$23)))</f>
        <v>-0.05</v>
      </c>
      <c r="H60">
        <f>IF($A60="","",IF($D60="V01",Cadrage!$C$24,IF($D60="V02",Cadrage!$D$24,Cadrage!$E$24)))</f>
        <v>-0.05</v>
      </c>
      <c r="I60">
        <f>IF($A60="","",IF($D60="V01",Cadrage!$C$34,IF($D60="V02",Cadrage!$D$34,Cadrage!$E$34)))</f>
        <v>0.03</v>
      </c>
      <c r="J60">
        <f>IF($A60="","",IF($D60="V01",Cadrage!$C$35,IF($D60="V02",Cadrage!$D$35,Cadrage!$E$35)))</f>
        <v>0.03</v>
      </c>
      <c r="K60">
        <f>IF($A60="","",IF($D60="V01",Cadrage!$C$36,IF($D60="V02",Cadrage!$D$36,Cadrage!$E$36)))</f>
        <v>0.05</v>
      </c>
      <c r="L60">
        <f>IF($A60="","",IF($D60="V01",Cadrage!$C$37,IF($D60="V02",Cadrage!$D$37,Cadrage!$E$37)))</f>
        <v>0</v>
      </c>
      <c r="M60">
        <f>IF($A60="","",IF($D60="V01",Cadrage!$C$38,IF($D60="V02",Cadrage!$D$38,Cadrage!$E$38)))</f>
        <v>0.04</v>
      </c>
      <c r="N60">
        <f t="shared" si="1"/>
        <v>0.980622079131853</v>
      </c>
      <c r="O60">
        <f t="shared" si="2"/>
        <v>0.980622079131853</v>
      </c>
      <c r="P60">
        <f>IF($A60="","",IF($E60=1,$F60*$O60,PNL!G60))</f>
        <v>10620</v>
      </c>
      <c r="T60">
        <f t="shared" si="3"/>
        <v>0</v>
      </c>
    </row>
    <row r="61" ht="14.25" customHeight="1">
      <c r="A61" t="str">
        <f>IF(PNL!A61="","",PNL!A61)</f>
        <v>MBWAY_NAN</v>
      </c>
      <c r="B61" t="str">
        <f>IF(PNL!B61="","",PNL!B61)</f>
        <v>708</v>
      </c>
      <c r="C61" t="str">
        <f>IF(PNL!C61="","",PNL!C61)</f>
        <v>2024</v>
      </c>
      <c r="D61" t="str">
        <f>IF(PNL!D61="","",PNL!D61)</f>
        <v>ACT</v>
      </c>
      <c r="E61">
        <f t="shared" si="0"/>
        <v>0</v>
      </c>
      <c r="F61">
        <f>IF($A61="","",IF($E61=1,_xlfn.SUMIFS(Comptabilité!$F$1:$F$1446,Comptabilité!$A$1:$A$1446,$A61,Comptabilité!$B$1:$B$1446,$B61,Comptabilité!$C$1:$C$1446,"2026"),0))</f>
        <v>0</v>
      </c>
      <c r="G61">
        <f>IF($A61="","",IF($D61="V01",Cadrage!$C$23,IF($D61="V02",Cadrage!$D$23,Cadrage!$E$23)))</f>
        <v>-0.05</v>
      </c>
      <c r="H61">
        <f>IF($A61="","",IF($D61="V01",Cadrage!$C$24,IF($D61="V02",Cadrage!$D$24,Cadrage!$E$24)))</f>
        <v>-0.05</v>
      </c>
      <c r="I61">
        <f>IF($A61="","",IF($D61="V01",Cadrage!$C$34,IF($D61="V02",Cadrage!$D$34,Cadrage!$E$34)))</f>
        <v>0.03</v>
      </c>
      <c r="J61">
        <f>IF($A61="","",IF($D61="V01",Cadrage!$C$35,IF($D61="V02",Cadrage!$D$35,Cadrage!$E$35)))</f>
        <v>0.03</v>
      </c>
      <c r="K61">
        <f>IF($A61="","",IF($D61="V01",Cadrage!$C$36,IF($D61="V02",Cadrage!$D$36,Cadrage!$E$36)))</f>
        <v>0.05</v>
      </c>
      <c r="L61">
        <f>IF($A61="","",IF($D61="V01",Cadrage!$C$37,IF($D61="V02",Cadrage!$D$37,Cadrage!$E$37)))</f>
        <v>0</v>
      </c>
      <c r="M61">
        <f>IF($A61="","",IF($D61="V01",Cadrage!$C$38,IF($D61="V02",Cadrage!$D$38,Cadrage!$E$38)))</f>
        <v>0.04</v>
      </c>
      <c r="N61">
        <f t="shared" si="1"/>
        <v>0.980622079131853</v>
      </c>
      <c r="O61">
        <f t="shared" si="2"/>
        <v>0.980622079131853</v>
      </c>
      <c r="P61">
        <f>IF($A61="","",IF($E61=1,$F61*$O61,PNL!G61))</f>
        <v>9540</v>
      </c>
      <c r="T61">
        <f t="shared" si="3"/>
        <v>0</v>
      </c>
    </row>
    <row r="62" ht="14.25" customHeight="1">
      <c r="A62" t="str">
        <f>IF(PNL!A62="","",PNL!A62)</f>
        <v>MBWAY_BOR</v>
      </c>
      <c r="B62" t="str">
        <f>IF(PNL!B62="","",PNL!B62)</f>
        <v>708</v>
      </c>
      <c r="C62" t="str">
        <f>IF(PNL!C62="","",PNL!C62)</f>
        <v>2024</v>
      </c>
      <c r="D62" t="str">
        <f>IF(PNL!D62="","",PNL!D62)</f>
        <v>ACT</v>
      </c>
      <c r="E62">
        <f t="shared" si="0"/>
        <v>0</v>
      </c>
      <c r="F62">
        <f>IF($A62="","",IF($E62=1,_xlfn.SUMIFS(Comptabilité!$F$1:$F$1446,Comptabilité!$A$1:$A$1446,$A62,Comptabilité!$B$1:$B$1446,$B62,Comptabilité!$C$1:$C$1446,"2026"),0))</f>
        <v>0</v>
      </c>
      <c r="G62">
        <f>IF($A62="","",IF($D62="V01",Cadrage!$C$23,IF($D62="V02",Cadrage!$D$23,Cadrage!$E$23)))</f>
        <v>-0.05</v>
      </c>
      <c r="H62">
        <f>IF($A62="","",IF($D62="V01",Cadrage!$C$24,IF($D62="V02",Cadrage!$D$24,Cadrage!$E$24)))</f>
        <v>-0.05</v>
      </c>
      <c r="I62">
        <f>IF($A62="","",IF($D62="V01",Cadrage!$C$34,IF($D62="V02",Cadrage!$D$34,Cadrage!$E$34)))</f>
        <v>0.03</v>
      </c>
      <c r="J62">
        <f>IF($A62="","",IF($D62="V01",Cadrage!$C$35,IF($D62="V02",Cadrage!$D$35,Cadrage!$E$35)))</f>
        <v>0.03</v>
      </c>
      <c r="K62">
        <f>IF($A62="","",IF($D62="V01",Cadrage!$C$36,IF($D62="V02",Cadrage!$D$36,Cadrage!$E$36)))</f>
        <v>0.05</v>
      </c>
      <c r="L62">
        <f>IF($A62="","",IF($D62="V01",Cadrage!$C$37,IF($D62="V02",Cadrage!$D$37,Cadrage!$E$37)))</f>
        <v>0</v>
      </c>
      <c r="M62">
        <f>IF($A62="","",IF($D62="V01",Cadrage!$C$38,IF($D62="V02",Cadrage!$D$38,Cadrage!$E$38)))</f>
        <v>0.04</v>
      </c>
      <c r="N62">
        <f t="shared" si="1"/>
        <v>0.980622079131853</v>
      </c>
      <c r="O62">
        <f t="shared" si="2"/>
        <v>0.980622079131853</v>
      </c>
      <c r="P62">
        <f>IF($A62="","",IF($E62=1,$F62*$O62,PNL!G62))</f>
        <v>8100</v>
      </c>
      <c r="T62">
        <f t="shared" si="3"/>
        <v>0</v>
      </c>
    </row>
    <row r="63" ht="14.25" customHeight="1">
      <c r="A63" t="str">
        <f>IF(PNL!A63="","",PNL!A63)</f>
        <v>ISCOM_PAR</v>
      </c>
      <c r="B63" t="str">
        <f>IF(PNL!B63="","",PNL!B63)</f>
        <v>708</v>
      </c>
      <c r="C63" t="str">
        <f>IF(PNL!C63="","",PNL!C63)</f>
        <v>2024</v>
      </c>
      <c r="D63" t="str">
        <f>IF(PNL!D63="","",PNL!D63)</f>
        <v>ACT</v>
      </c>
      <c r="E63">
        <f t="shared" si="0"/>
        <v>0</v>
      </c>
      <c r="F63">
        <f>IF($A63="","",IF($E63=1,_xlfn.SUMIFS(Comptabilité!$F$1:$F$1446,Comptabilité!$A$1:$A$1446,$A63,Comptabilité!$B$1:$B$1446,$B63,Comptabilité!$C$1:$C$1446,"2026"),0))</f>
        <v>0</v>
      </c>
      <c r="G63">
        <f>IF($A63="","",IF($D63="V01",Cadrage!$C$23,IF($D63="V02",Cadrage!$D$23,Cadrage!$E$23)))</f>
        <v>-0.05</v>
      </c>
      <c r="H63">
        <f>IF($A63="","",IF($D63="V01",Cadrage!$C$24,IF($D63="V02",Cadrage!$D$24,Cadrage!$E$24)))</f>
        <v>-0.05</v>
      </c>
      <c r="I63">
        <f>IF($A63="","",IF($D63="V01",Cadrage!$C$34,IF($D63="V02",Cadrage!$D$34,Cadrage!$E$34)))</f>
        <v>0.03</v>
      </c>
      <c r="J63">
        <f>IF($A63="","",IF($D63="V01",Cadrage!$C$35,IF($D63="V02",Cadrage!$D$35,Cadrage!$E$35)))</f>
        <v>0.03</v>
      </c>
      <c r="K63">
        <f>IF($A63="","",IF($D63="V01",Cadrage!$C$36,IF($D63="V02",Cadrage!$D$36,Cadrage!$E$36)))</f>
        <v>0.05</v>
      </c>
      <c r="L63">
        <f>IF($A63="","",IF($D63="V01",Cadrage!$C$37,IF($D63="V02",Cadrage!$D$37,Cadrage!$E$37)))</f>
        <v>0</v>
      </c>
      <c r="M63">
        <f>IF($A63="","",IF($D63="V01",Cadrage!$C$38,IF($D63="V02",Cadrage!$D$38,Cadrage!$E$38)))</f>
        <v>0.04</v>
      </c>
      <c r="N63">
        <f t="shared" si="1"/>
        <v>0.980622079131853</v>
      </c>
      <c r="O63">
        <f t="shared" si="2"/>
        <v>0.980622079131853</v>
      </c>
      <c r="P63">
        <f>IF($A63="","",IF($E63=1,$F63*$O63,PNL!G63))</f>
        <v>11520</v>
      </c>
      <c r="T63">
        <f t="shared" si="3"/>
        <v>0</v>
      </c>
    </row>
    <row r="64" ht="14.25" customHeight="1">
      <c r="A64" t="str">
        <f>IF(PNL!A64="","",PNL!A64)</f>
        <v>ISCOM_LIL</v>
      </c>
      <c r="B64" t="str">
        <f>IF(PNL!B64="","",PNL!B64)</f>
        <v>708</v>
      </c>
      <c r="C64" t="str">
        <f>IF(PNL!C64="","",PNL!C64)</f>
        <v>2024</v>
      </c>
      <c r="D64" t="str">
        <f>IF(PNL!D64="","",PNL!D64)</f>
        <v>ACT</v>
      </c>
      <c r="E64">
        <f t="shared" si="0"/>
        <v>0</v>
      </c>
      <c r="F64">
        <f>IF($A64="","",IF($E64=1,_xlfn.SUMIFS(Comptabilité!$F$1:$F$1446,Comptabilité!$A$1:$A$1446,$A64,Comptabilité!$B$1:$B$1446,$B64,Comptabilité!$C$1:$C$1446,"2026"),0))</f>
        <v>0</v>
      </c>
      <c r="G64">
        <f>IF($A64="","",IF($D64="V01",Cadrage!$C$23,IF($D64="V02",Cadrage!$D$23,Cadrage!$E$23)))</f>
        <v>-0.05</v>
      </c>
      <c r="H64">
        <f>IF($A64="","",IF($D64="V01",Cadrage!$C$24,IF($D64="V02",Cadrage!$D$24,Cadrage!$E$24)))</f>
        <v>-0.05</v>
      </c>
      <c r="I64">
        <f>IF($A64="","",IF($D64="V01",Cadrage!$C$34,IF($D64="V02",Cadrage!$D$34,Cadrage!$E$34)))</f>
        <v>0.03</v>
      </c>
      <c r="J64">
        <f>IF($A64="","",IF($D64="V01",Cadrage!$C$35,IF($D64="V02",Cadrage!$D$35,Cadrage!$E$35)))</f>
        <v>0.03</v>
      </c>
      <c r="K64">
        <f>IF($A64="","",IF($D64="V01",Cadrage!$C$36,IF($D64="V02",Cadrage!$D$36,Cadrage!$E$36)))</f>
        <v>0.05</v>
      </c>
      <c r="L64">
        <f>IF($A64="","",IF($D64="V01",Cadrage!$C$37,IF($D64="V02",Cadrage!$D$37,Cadrage!$E$37)))</f>
        <v>0</v>
      </c>
      <c r="M64">
        <f>IF($A64="","",IF($D64="V01",Cadrage!$C$38,IF($D64="V02",Cadrage!$D$38,Cadrage!$E$38)))</f>
        <v>0.04</v>
      </c>
      <c r="N64">
        <f t="shared" si="1"/>
        <v>0.980622079131853</v>
      </c>
      <c r="O64">
        <f t="shared" si="2"/>
        <v>0.980622079131853</v>
      </c>
      <c r="P64">
        <f>IF($A64="","",IF($E64=1,$F64*$O64,PNL!G64))</f>
        <v>7920</v>
      </c>
      <c r="T64">
        <f t="shared" si="3"/>
        <v>0</v>
      </c>
    </row>
    <row r="65" ht="14.25" customHeight="1">
      <c r="A65" t="str">
        <f>IF(PNL!A65="","",PNL!A65)</f>
        <v>ISCOM_TLS</v>
      </c>
      <c r="B65" t="str">
        <f>IF(PNL!B65="","",PNL!B65)</f>
        <v>708</v>
      </c>
      <c r="C65" t="str">
        <f>IF(PNL!C65="","",PNL!C65)</f>
        <v>2024</v>
      </c>
      <c r="D65" t="str">
        <f>IF(PNL!D65="","",PNL!D65)</f>
        <v>ACT</v>
      </c>
      <c r="E65">
        <f t="shared" si="0"/>
        <v>0</v>
      </c>
      <c r="F65">
        <f>IF($A65="","",IF($E65=1,_xlfn.SUMIFS(Comptabilité!$F$1:$F$1446,Comptabilité!$A$1:$A$1446,$A65,Comptabilité!$B$1:$B$1446,$B65,Comptabilité!$C$1:$C$1446,"2026"),0))</f>
        <v>0</v>
      </c>
      <c r="G65">
        <f>IF($A65="","",IF($D65="V01",Cadrage!$C$23,IF($D65="V02",Cadrage!$D$23,Cadrage!$E$23)))</f>
        <v>-0.05</v>
      </c>
      <c r="H65">
        <f>IF($A65="","",IF($D65="V01",Cadrage!$C$24,IF($D65="V02",Cadrage!$D$24,Cadrage!$E$24)))</f>
        <v>-0.05</v>
      </c>
      <c r="I65">
        <f>IF($A65="","",IF($D65="V01",Cadrage!$C$34,IF($D65="V02",Cadrage!$D$34,Cadrage!$E$34)))</f>
        <v>0.03</v>
      </c>
      <c r="J65">
        <f>IF($A65="","",IF($D65="V01",Cadrage!$C$35,IF($D65="V02",Cadrage!$D$35,Cadrage!$E$35)))</f>
        <v>0.03</v>
      </c>
      <c r="K65">
        <f>IF($A65="","",IF($D65="V01",Cadrage!$C$36,IF($D65="V02",Cadrage!$D$36,Cadrage!$E$36)))</f>
        <v>0.05</v>
      </c>
      <c r="L65">
        <f>IF($A65="","",IF($D65="V01",Cadrage!$C$37,IF($D65="V02",Cadrage!$D$37,Cadrage!$E$37)))</f>
        <v>0</v>
      </c>
      <c r="M65">
        <f>IF($A65="","",IF($D65="V01",Cadrage!$C$38,IF($D65="V02",Cadrage!$D$38,Cadrage!$E$38)))</f>
        <v>0.04</v>
      </c>
      <c r="N65">
        <f t="shared" si="1"/>
        <v>0.980622079131853</v>
      </c>
      <c r="O65">
        <f t="shared" si="2"/>
        <v>0.980622079131853</v>
      </c>
      <c r="P65">
        <f>IF($A65="","",IF($E65=1,$F65*$O65,PNL!G65))</f>
        <v>7560</v>
      </c>
      <c r="T65">
        <f t="shared" si="3"/>
        <v>0</v>
      </c>
    </row>
    <row r="66" ht="14.25" customHeight="1">
      <c r="A66" t="str">
        <f>IF(PNL!A66="","",PNL!A66)</f>
        <v>IPAC_NAN</v>
      </c>
      <c r="B66" t="str">
        <f>IF(PNL!B66="","",PNL!B66)</f>
        <v>708</v>
      </c>
      <c r="C66" t="str">
        <f>IF(PNL!C66="","",PNL!C66)</f>
        <v>2024</v>
      </c>
      <c r="D66" t="str">
        <f>IF(PNL!D66="","",PNL!D66)</f>
        <v>ACT</v>
      </c>
      <c r="E66">
        <f t="shared" si="0"/>
        <v>0</v>
      </c>
      <c r="F66">
        <f>IF($A66="","",IF($E66=1,_xlfn.SUMIFS(Comptabilité!$F$1:$F$1446,Comptabilité!$A$1:$A$1446,$A66,Comptabilité!$B$1:$B$1446,$B66,Comptabilité!$C$1:$C$1446,"2026"),0))</f>
        <v>0</v>
      </c>
      <c r="G66">
        <f>IF($A66="","",IF($D66="V01",Cadrage!$C$23,IF($D66="V02",Cadrage!$D$23,Cadrage!$E$23)))</f>
        <v>-0.05</v>
      </c>
      <c r="H66">
        <f>IF($A66="","",IF($D66="V01",Cadrage!$C$24,IF($D66="V02",Cadrage!$D$24,Cadrage!$E$24)))</f>
        <v>-0.05</v>
      </c>
      <c r="I66">
        <f>IF($A66="","",IF($D66="V01",Cadrage!$C$34,IF($D66="V02",Cadrage!$D$34,Cadrage!$E$34)))</f>
        <v>0.03</v>
      </c>
      <c r="J66">
        <f>IF($A66="","",IF($D66="V01",Cadrage!$C$35,IF($D66="V02",Cadrage!$D$35,Cadrage!$E$35)))</f>
        <v>0.03</v>
      </c>
      <c r="K66">
        <f>IF($A66="","",IF($D66="V01",Cadrage!$C$36,IF($D66="V02",Cadrage!$D$36,Cadrage!$E$36)))</f>
        <v>0.05</v>
      </c>
      <c r="L66">
        <f>IF($A66="","",IF($D66="V01",Cadrage!$C$37,IF($D66="V02",Cadrage!$D$37,Cadrage!$E$37)))</f>
        <v>0</v>
      </c>
      <c r="M66">
        <f>IF($A66="","",IF($D66="V01",Cadrage!$C$38,IF($D66="V02",Cadrage!$D$38,Cadrage!$E$38)))</f>
        <v>0.04</v>
      </c>
      <c r="N66">
        <f t="shared" si="1"/>
        <v>0.980622079131853</v>
      </c>
      <c r="O66">
        <f t="shared" si="2"/>
        <v>0.980622079131853</v>
      </c>
      <c r="P66">
        <f>IF($A66="","",IF($E66=1,$F66*$O66,PNL!G66))</f>
        <v>3960</v>
      </c>
      <c r="T66">
        <f t="shared" si="3"/>
        <v>0</v>
      </c>
    </row>
    <row r="67" ht="14.25" customHeight="1">
      <c r="A67" t="str">
        <f>IF(PNL!A67="","",PNL!A67)</f>
        <v>IPAC_REN</v>
      </c>
      <c r="B67" t="str">
        <f>IF(PNL!B67="","",PNL!B67)</f>
        <v>708</v>
      </c>
      <c r="C67" t="str">
        <f>IF(PNL!C67="","",PNL!C67)</f>
        <v>2024</v>
      </c>
      <c r="D67" t="str">
        <f>IF(PNL!D67="","",PNL!D67)</f>
        <v>ACT</v>
      </c>
      <c r="E67">
        <f t="shared" si="0"/>
        <v>0</v>
      </c>
      <c r="F67">
        <f>IF($A67="","",IF($E67=1,_xlfn.SUMIFS(Comptabilité!$F$1:$F$1446,Comptabilité!$A$1:$A$1446,$A67,Comptabilité!$B$1:$B$1446,$B67,Comptabilité!$C$1:$C$1446,"2026"),0))</f>
        <v>0</v>
      </c>
      <c r="G67">
        <f>IF($A67="","",IF($D67="V01",Cadrage!$C$23,IF($D67="V02",Cadrage!$D$23,Cadrage!$E$23)))</f>
        <v>-0.05</v>
      </c>
      <c r="H67">
        <f>IF($A67="","",IF($D67="V01",Cadrage!$C$24,IF($D67="V02",Cadrage!$D$24,Cadrage!$E$24)))</f>
        <v>-0.05</v>
      </c>
      <c r="I67">
        <f>IF($A67="","",IF($D67="V01",Cadrage!$C$34,IF($D67="V02",Cadrage!$D$34,Cadrage!$E$34)))</f>
        <v>0.03</v>
      </c>
      <c r="J67">
        <f>IF($A67="","",IF($D67="V01",Cadrage!$C$35,IF($D67="V02",Cadrage!$D$35,Cadrage!$E$35)))</f>
        <v>0.03</v>
      </c>
      <c r="K67">
        <f>IF($A67="","",IF($D67="V01",Cadrage!$C$36,IF($D67="V02",Cadrage!$D$36,Cadrage!$E$36)))</f>
        <v>0.05</v>
      </c>
      <c r="L67">
        <f>IF($A67="","",IF($D67="V01",Cadrage!$C$37,IF($D67="V02",Cadrage!$D$37,Cadrage!$E$37)))</f>
        <v>0</v>
      </c>
      <c r="M67">
        <f>IF($A67="","",IF($D67="V01",Cadrage!$C$38,IF($D67="V02",Cadrage!$D$38,Cadrage!$E$38)))</f>
        <v>0.04</v>
      </c>
      <c r="N67">
        <f t="shared" si="1"/>
        <v>0.980622079131853</v>
      </c>
      <c r="O67">
        <f t="shared" si="2"/>
        <v>0.980622079131853</v>
      </c>
      <c r="P67">
        <f>IF($A67="","",IF($E67=1,$F67*$O67,PNL!G67))</f>
        <v>3240</v>
      </c>
      <c r="T67">
        <f t="shared" si="3"/>
        <v>0</v>
      </c>
    </row>
    <row r="68" ht="14.25" customHeight="1">
      <c r="A68" t="str">
        <f>IF(PNL!A68="","",PNL!A68)</f>
        <v>IPAC_MTP</v>
      </c>
      <c r="B68" t="str">
        <f>IF(PNL!B68="","",PNL!B68)</f>
        <v>708</v>
      </c>
      <c r="C68" t="str">
        <f>IF(PNL!C68="","",PNL!C68)</f>
        <v>2024</v>
      </c>
      <c r="D68" t="str">
        <f>IF(PNL!D68="","",PNL!D68)</f>
        <v>ACT</v>
      </c>
      <c r="E68">
        <f t="shared" si="0"/>
        <v>0</v>
      </c>
      <c r="F68">
        <f>IF($A68="","",IF($E68=1,_xlfn.SUMIFS(Comptabilité!$F$1:$F$1446,Comptabilité!$A$1:$A$1446,$A68,Comptabilité!$B$1:$B$1446,$B68,Comptabilité!$C$1:$C$1446,"2026"),0))</f>
        <v>0</v>
      </c>
      <c r="G68">
        <f>IF($A68="","",IF($D68="V01",Cadrage!$C$23,IF($D68="V02",Cadrage!$D$23,Cadrage!$E$23)))</f>
        <v>-0.05</v>
      </c>
      <c r="H68">
        <f>IF($A68="","",IF($D68="V01",Cadrage!$C$24,IF($D68="V02",Cadrage!$D$24,Cadrage!$E$24)))</f>
        <v>-0.05</v>
      </c>
      <c r="I68">
        <f>IF($A68="","",IF($D68="V01",Cadrage!$C$34,IF($D68="V02",Cadrage!$D$34,Cadrage!$E$34)))</f>
        <v>0.03</v>
      </c>
      <c r="J68">
        <f>IF($A68="","",IF($D68="V01",Cadrage!$C$35,IF($D68="V02",Cadrage!$D$35,Cadrage!$E$35)))</f>
        <v>0.03</v>
      </c>
      <c r="K68">
        <f>IF($A68="","",IF($D68="V01",Cadrage!$C$36,IF($D68="V02",Cadrage!$D$36,Cadrage!$E$36)))</f>
        <v>0.05</v>
      </c>
      <c r="L68">
        <f>IF($A68="","",IF($D68="V01",Cadrage!$C$37,IF($D68="V02",Cadrage!$D$37,Cadrage!$E$37)))</f>
        <v>0</v>
      </c>
      <c r="M68">
        <f>IF($A68="","",IF($D68="V01",Cadrage!$C$38,IF($D68="V02",Cadrage!$D$38,Cadrage!$E$38)))</f>
        <v>0.04</v>
      </c>
      <c r="N68">
        <f t="shared" si="1"/>
        <v>0.980622079131853</v>
      </c>
      <c r="O68">
        <f t="shared" si="2"/>
        <v>0.980622079131853</v>
      </c>
      <c r="P68">
        <f>IF($A68="","",IF($E68=1,$F68*$O68,PNL!G68))</f>
        <v>3240</v>
      </c>
      <c r="T68">
        <f t="shared" si="3"/>
        <v>0</v>
      </c>
    </row>
    <row r="69" ht="14.25" customHeight="1">
      <c r="A69" t="str">
        <f>IF(PNL!A69="","",PNL!A69)</f>
        <v>PIGIER_LYO</v>
      </c>
      <c r="B69" t="str">
        <f>IF(PNL!B69="","",PNL!B69)</f>
        <v>708</v>
      </c>
      <c r="C69" t="str">
        <f>IF(PNL!C69="","",PNL!C69)</f>
        <v>2024</v>
      </c>
      <c r="D69" t="str">
        <f>IF(PNL!D69="","",PNL!D69)</f>
        <v>ACT</v>
      </c>
      <c r="E69">
        <f t="shared" si="0"/>
        <v>0</v>
      </c>
      <c r="F69">
        <f>IF($A69="","",IF($E69=1,_xlfn.SUMIFS(Comptabilité!$F$1:$F$1446,Comptabilité!$A$1:$A$1446,$A69,Comptabilité!$B$1:$B$1446,$B69,Comptabilité!$C$1:$C$1446,"2026"),0))</f>
        <v>0</v>
      </c>
      <c r="G69">
        <f>IF($A69="","",IF($D69="V01",Cadrage!$C$23,IF($D69="V02",Cadrage!$D$23,Cadrage!$E$23)))</f>
        <v>-0.05</v>
      </c>
      <c r="H69">
        <f>IF($A69="","",IF($D69="V01",Cadrage!$C$24,IF($D69="V02",Cadrage!$D$24,Cadrage!$E$24)))</f>
        <v>-0.05</v>
      </c>
      <c r="I69">
        <f>IF($A69="","",IF($D69="V01",Cadrage!$C$34,IF($D69="V02",Cadrage!$D$34,Cadrage!$E$34)))</f>
        <v>0.03</v>
      </c>
      <c r="J69">
        <f>IF($A69="","",IF($D69="V01",Cadrage!$C$35,IF($D69="V02",Cadrage!$D$35,Cadrage!$E$35)))</f>
        <v>0.03</v>
      </c>
      <c r="K69">
        <f>IF($A69="","",IF($D69="V01",Cadrage!$C$36,IF($D69="V02",Cadrage!$D$36,Cadrage!$E$36)))</f>
        <v>0.05</v>
      </c>
      <c r="L69">
        <f>IF($A69="","",IF($D69="V01",Cadrage!$C$37,IF($D69="V02",Cadrage!$D$37,Cadrage!$E$37)))</f>
        <v>0</v>
      </c>
      <c r="M69">
        <f>IF($A69="","",IF($D69="V01",Cadrage!$C$38,IF($D69="V02",Cadrage!$D$38,Cadrage!$E$38)))</f>
        <v>0.04</v>
      </c>
      <c r="N69">
        <f t="shared" si="1"/>
        <v>0.980622079131853</v>
      </c>
      <c r="O69">
        <f t="shared" si="2"/>
        <v>0.980622079131853</v>
      </c>
      <c r="P69">
        <f>IF($A69="","",IF($E69=1,$F69*$O69,PNL!G69))</f>
        <v>7380</v>
      </c>
      <c r="T69">
        <f t="shared" si="3"/>
        <v>0</v>
      </c>
    </row>
    <row r="70" ht="14.25" customHeight="1">
      <c r="A70" t="str">
        <f>IF(PNL!A70="","",PNL!A70)</f>
        <v>PIGIER_BOR</v>
      </c>
      <c r="B70" t="str">
        <f>IF(PNL!B70="","",PNL!B70)</f>
        <v>708</v>
      </c>
      <c r="C70" t="str">
        <f>IF(PNL!C70="","",PNL!C70)</f>
        <v>2024</v>
      </c>
      <c r="D70" t="str">
        <f>IF(PNL!D70="","",PNL!D70)</f>
        <v>ACT</v>
      </c>
      <c r="E70">
        <f t="shared" si="0"/>
        <v>0</v>
      </c>
      <c r="F70">
        <f>IF($A70="","",IF($E70=1,_xlfn.SUMIFS(Comptabilité!$F$1:$F$1446,Comptabilité!$A$1:$A$1446,$A70,Comptabilité!$B$1:$B$1446,$B70,Comptabilité!$C$1:$C$1446,"2026"),0))</f>
        <v>0</v>
      </c>
      <c r="G70">
        <f>IF($A70="","",IF($D70="V01",Cadrage!$C$23,IF($D70="V02",Cadrage!$D$23,Cadrage!$E$23)))</f>
        <v>-0.05</v>
      </c>
      <c r="H70">
        <f>IF($A70="","",IF($D70="V01",Cadrage!$C$24,IF($D70="V02",Cadrage!$D$24,Cadrage!$E$24)))</f>
        <v>-0.05</v>
      </c>
      <c r="I70">
        <f>IF($A70="","",IF($D70="V01",Cadrage!$C$34,IF($D70="V02",Cadrage!$D$34,Cadrage!$E$34)))</f>
        <v>0.03</v>
      </c>
      <c r="J70">
        <f>IF($A70="","",IF($D70="V01",Cadrage!$C$35,IF($D70="V02",Cadrage!$D$35,Cadrage!$E$35)))</f>
        <v>0.03</v>
      </c>
      <c r="K70">
        <f>IF($A70="","",IF($D70="V01",Cadrage!$C$36,IF($D70="V02",Cadrage!$D$36,Cadrage!$E$36)))</f>
        <v>0.05</v>
      </c>
      <c r="L70">
        <f>IF($A70="","",IF($D70="V01",Cadrage!$C$37,IF($D70="V02",Cadrage!$D$37,Cadrage!$E$37)))</f>
        <v>0</v>
      </c>
      <c r="M70">
        <f>IF($A70="","",IF($D70="V01",Cadrage!$C$38,IF($D70="V02",Cadrage!$D$38,Cadrage!$E$38)))</f>
        <v>0.04</v>
      </c>
      <c r="N70">
        <f t="shared" si="1"/>
        <v>0.980622079131853</v>
      </c>
      <c r="O70">
        <f t="shared" si="2"/>
        <v>0.980622079131853</v>
      </c>
      <c r="P70">
        <f>IF($A70="","",IF($E70=1,$F70*$O70,PNL!G70))</f>
        <v>5760</v>
      </c>
      <c r="T70">
        <f t="shared" si="3"/>
        <v>0</v>
      </c>
    </row>
    <row r="71" ht="14.25" customHeight="1">
      <c r="A71" t="str">
        <f>IF(PNL!A71="","",PNL!A71)</f>
        <v>TUNON_PAR</v>
      </c>
      <c r="B71" t="str">
        <f>IF(PNL!B71="","",PNL!B71)</f>
        <v>708</v>
      </c>
      <c r="C71" t="str">
        <f>IF(PNL!C71="","",PNL!C71)</f>
        <v>2024</v>
      </c>
      <c r="D71" t="str">
        <f>IF(PNL!D71="","",PNL!D71)</f>
        <v>ACT</v>
      </c>
      <c r="E71">
        <f t="shared" si="0"/>
        <v>0</v>
      </c>
      <c r="F71">
        <f>IF($A71="","",IF($E71=1,_xlfn.SUMIFS(Comptabilité!$F$1:$F$1446,Comptabilité!$A$1:$A$1446,$A71,Comptabilité!$B$1:$B$1446,$B71,Comptabilité!$C$1:$C$1446,"2026"),0))</f>
        <v>0</v>
      </c>
      <c r="G71">
        <f>IF($A71="","",IF($D71="V01",Cadrage!$C$23,IF($D71="V02",Cadrage!$D$23,Cadrage!$E$23)))</f>
        <v>-0.05</v>
      </c>
      <c r="H71">
        <f>IF($A71="","",IF($D71="V01",Cadrage!$C$24,IF($D71="V02",Cadrage!$D$24,Cadrage!$E$24)))</f>
        <v>-0.05</v>
      </c>
      <c r="I71">
        <f>IF($A71="","",IF($D71="V01",Cadrage!$C$34,IF($D71="V02",Cadrage!$D$34,Cadrage!$E$34)))</f>
        <v>0.03</v>
      </c>
      <c r="J71">
        <f>IF($A71="","",IF($D71="V01",Cadrage!$C$35,IF($D71="V02",Cadrage!$D$35,Cadrage!$E$35)))</f>
        <v>0.03</v>
      </c>
      <c r="K71">
        <f>IF($A71="","",IF($D71="V01",Cadrage!$C$36,IF($D71="V02",Cadrage!$D$36,Cadrage!$E$36)))</f>
        <v>0.05</v>
      </c>
      <c r="L71">
        <f>IF($A71="","",IF($D71="V01",Cadrage!$C$37,IF($D71="V02",Cadrage!$D$37,Cadrage!$E$37)))</f>
        <v>0</v>
      </c>
      <c r="M71">
        <f>IF($A71="","",IF($D71="V01",Cadrage!$C$38,IF($D71="V02",Cadrage!$D$38,Cadrage!$E$38)))</f>
        <v>0.04</v>
      </c>
      <c r="N71">
        <f t="shared" si="1"/>
        <v>0.980622079131853</v>
      </c>
      <c r="O71">
        <f t="shared" si="2"/>
        <v>0.980622079131853</v>
      </c>
      <c r="P71">
        <f>IF($A71="","",IF($E71=1,$F71*$O71,PNL!G71))</f>
        <v>3780</v>
      </c>
      <c r="T71">
        <f t="shared" si="3"/>
        <v>0</v>
      </c>
    </row>
    <row r="72" ht="14.25" customHeight="1">
      <c r="A72" t="str">
        <f>IF(PNL!A72="","",PNL!A72)</f>
        <v>TUNON_LYO</v>
      </c>
      <c r="B72" t="str">
        <f>IF(PNL!B72="","",PNL!B72)</f>
        <v>708</v>
      </c>
      <c r="C72" t="str">
        <f>IF(PNL!C72="","",PNL!C72)</f>
        <v>2024</v>
      </c>
      <c r="D72" t="str">
        <f>IF(PNL!D72="","",PNL!D72)</f>
        <v>ACT</v>
      </c>
      <c r="E72">
        <f t="shared" si="0"/>
        <v>0</v>
      </c>
      <c r="F72">
        <f>IF($A72="","",IF($E72=1,_xlfn.SUMIFS(Comptabilité!$F$1:$F$1446,Comptabilité!$A$1:$A$1446,$A72,Comptabilité!$B$1:$B$1446,$B72,Comptabilité!$C$1:$C$1446,"2026"),0))</f>
        <v>0</v>
      </c>
      <c r="G72">
        <f>IF($A72="","",IF($D72="V01",Cadrage!$C$23,IF($D72="V02",Cadrage!$D$23,Cadrage!$E$23)))</f>
        <v>-0.05</v>
      </c>
      <c r="H72">
        <f>IF($A72="","",IF($D72="V01",Cadrage!$C$24,IF($D72="V02",Cadrage!$D$24,Cadrage!$E$24)))</f>
        <v>-0.05</v>
      </c>
      <c r="I72">
        <f>IF($A72="","",IF($D72="V01",Cadrage!$C$34,IF($D72="V02",Cadrage!$D$34,Cadrage!$E$34)))</f>
        <v>0.03</v>
      </c>
      <c r="J72">
        <f>IF($A72="","",IF($D72="V01",Cadrage!$C$35,IF($D72="V02",Cadrage!$D$35,Cadrage!$E$35)))</f>
        <v>0.03</v>
      </c>
      <c r="K72">
        <f>IF($A72="","",IF($D72="V01",Cadrage!$C$36,IF($D72="V02",Cadrage!$D$36,Cadrage!$E$36)))</f>
        <v>0.05</v>
      </c>
      <c r="L72">
        <f>IF($A72="","",IF($D72="V01",Cadrage!$C$37,IF($D72="V02",Cadrage!$D$37,Cadrage!$E$37)))</f>
        <v>0</v>
      </c>
      <c r="M72">
        <f>IF($A72="","",IF($D72="V01",Cadrage!$C$38,IF($D72="V02",Cadrage!$D$38,Cadrage!$E$38)))</f>
        <v>0.04</v>
      </c>
      <c r="N72">
        <f t="shared" si="1"/>
        <v>0.980622079131853</v>
      </c>
      <c r="O72">
        <f t="shared" si="2"/>
        <v>0.980622079131853</v>
      </c>
      <c r="P72">
        <f>IF($A72="","",IF($E72=1,$F72*$O72,PNL!G72))</f>
        <v>3240</v>
      </c>
      <c r="T72">
        <f t="shared" si="3"/>
        <v>0</v>
      </c>
    </row>
    <row r="73" ht="14.25" customHeight="1">
      <c r="A73" t="str">
        <f>IF(PNL!A73="","",PNL!A73)</f>
        <v>MBWAY_PAR</v>
      </c>
      <c r="B73" t="str">
        <f>IF(PNL!B73="","",PNL!B73)</f>
        <v>708</v>
      </c>
      <c r="C73" t="str">
        <f>IF(PNL!C73="","",PNL!C73)</f>
        <v>2025</v>
      </c>
      <c r="D73" t="str">
        <f>IF(PNL!D73="","",PNL!D73)</f>
        <v>ACT</v>
      </c>
      <c r="E73">
        <f t="shared" si="0"/>
        <v>0</v>
      </c>
      <c r="F73">
        <f>IF($A73="","",IF($E73=1,_xlfn.SUMIFS(Comptabilité!$F$1:$F$1446,Comptabilité!$A$1:$A$1446,$A73,Comptabilité!$B$1:$B$1446,$B73,Comptabilité!$C$1:$C$1446,"2026"),0))</f>
        <v>0</v>
      </c>
      <c r="G73">
        <f>IF($A73="","",IF($D73="V01",Cadrage!$C$23,IF($D73="V02",Cadrage!$D$23,Cadrage!$E$23)))</f>
        <v>-0.05</v>
      </c>
      <c r="H73">
        <f>IF($A73="","",IF($D73="V01",Cadrage!$C$24,IF($D73="V02",Cadrage!$D$24,Cadrage!$E$24)))</f>
        <v>-0.05</v>
      </c>
      <c r="I73">
        <f>IF($A73="","",IF($D73="V01",Cadrage!$C$34,IF($D73="V02",Cadrage!$D$34,Cadrage!$E$34)))</f>
        <v>0.03</v>
      </c>
      <c r="J73">
        <f>IF($A73="","",IF($D73="V01",Cadrage!$C$35,IF($D73="V02",Cadrage!$D$35,Cadrage!$E$35)))</f>
        <v>0.03</v>
      </c>
      <c r="K73">
        <f>IF($A73="","",IF($D73="V01",Cadrage!$C$36,IF($D73="V02",Cadrage!$D$36,Cadrage!$E$36)))</f>
        <v>0.05</v>
      </c>
      <c r="L73">
        <f>IF($A73="","",IF($D73="V01",Cadrage!$C$37,IF($D73="V02",Cadrage!$D$37,Cadrage!$E$37)))</f>
        <v>0</v>
      </c>
      <c r="M73">
        <f>IF($A73="","",IF($D73="V01",Cadrage!$C$38,IF($D73="V02",Cadrage!$D$38,Cadrage!$E$38)))</f>
        <v>0.04</v>
      </c>
      <c r="N73">
        <f t="shared" si="1"/>
        <v>0.980622079131853</v>
      </c>
      <c r="O73">
        <f t="shared" si="2"/>
        <v>0.980622079131853</v>
      </c>
      <c r="P73">
        <f>IF($A73="","",IF($E73=1,$F73*$O73,PNL!G73))</f>
        <v>13320</v>
      </c>
      <c r="T73">
        <f t="shared" si="3"/>
        <v>0</v>
      </c>
    </row>
    <row r="74" ht="14.25" customHeight="1">
      <c r="A74" t="str">
        <f>IF(PNL!A74="","",PNL!A74)</f>
        <v>MBWAY_LYO</v>
      </c>
      <c r="B74" t="str">
        <f>IF(PNL!B74="","",PNL!B74)</f>
        <v>708</v>
      </c>
      <c r="C74" t="str">
        <f>IF(PNL!C74="","",PNL!C74)</f>
        <v>2025</v>
      </c>
      <c r="D74" t="str">
        <f>IF(PNL!D74="","",PNL!D74)</f>
        <v>ACT</v>
      </c>
      <c r="E74">
        <f t="shared" si="0"/>
        <v>0</v>
      </c>
      <c r="F74">
        <f>IF($A74="","",IF($E74=1,_xlfn.SUMIFS(Comptabilité!$F$1:$F$1446,Comptabilité!$A$1:$A$1446,$A74,Comptabilité!$B$1:$B$1446,$B74,Comptabilité!$C$1:$C$1446,"2026"),0))</f>
        <v>0</v>
      </c>
      <c r="G74">
        <f>IF($A74="","",IF($D74="V01",Cadrage!$C$23,IF($D74="V02",Cadrage!$D$23,Cadrage!$E$23)))</f>
        <v>-0.05</v>
      </c>
      <c r="H74">
        <f>IF($A74="","",IF($D74="V01",Cadrage!$C$24,IF($D74="V02",Cadrage!$D$24,Cadrage!$E$24)))</f>
        <v>-0.05</v>
      </c>
      <c r="I74">
        <f>IF($A74="","",IF($D74="V01",Cadrage!$C$34,IF($D74="V02",Cadrage!$D$34,Cadrage!$E$34)))</f>
        <v>0.03</v>
      </c>
      <c r="J74">
        <f>IF($A74="","",IF($D74="V01",Cadrage!$C$35,IF($D74="V02",Cadrage!$D$35,Cadrage!$E$35)))</f>
        <v>0.03</v>
      </c>
      <c r="K74">
        <f>IF($A74="","",IF($D74="V01",Cadrage!$C$36,IF($D74="V02",Cadrage!$D$36,Cadrage!$E$36)))</f>
        <v>0.05</v>
      </c>
      <c r="L74">
        <f>IF($A74="","",IF($D74="V01",Cadrage!$C$37,IF($D74="V02",Cadrage!$D$37,Cadrage!$E$37)))</f>
        <v>0</v>
      </c>
      <c r="M74">
        <f>IF($A74="","",IF($D74="V01",Cadrage!$C$38,IF($D74="V02",Cadrage!$D$38,Cadrage!$E$38)))</f>
        <v>0.04</v>
      </c>
      <c r="N74">
        <f t="shared" si="1"/>
        <v>0.980622079131853</v>
      </c>
      <c r="O74">
        <f t="shared" si="2"/>
        <v>0.980622079131853</v>
      </c>
      <c r="P74">
        <f>IF($A74="","",IF($E74=1,$F74*$O74,PNL!G74))</f>
        <v>11160</v>
      </c>
      <c r="T74">
        <f t="shared" si="3"/>
        <v>0</v>
      </c>
    </row>
    <row r="75" ht="14.25" customHeight="1">
      <c r="A75" t="str">
        <f>IF(PNL!A75="","",PNL!A75)</f>
        <v>MBWAY_NAN</v>
      </c>
      <c r="B75" t="str">
        <f>IF(PNL!B75="","",PNL!B75)</f>
        <v>708</v>
      </c>
      <c r="C75" t="str">
        <f>IF(PNL!C75="","",PNL!C75)</f>
        <v>2025</v>
      </c>
      <c r="D75" t="str">
        <f>IF(PNL!D75="","",PNL!D75)</f>
        <v>ACT</v>
      </c>
      <c r="E75">
        <f t="shared" si="0"/>
        <v>0</v>
      </c>
      <c r="F75">
        <f>IF($A75="","",IF($E75=1,_xlfn.SUMIFS(Comptabilité!$F$1:$F$1446,Comptabilité!$A$1:$A$1446,$A75,Comptabilité!$B$1:$B$1446,$B75,Comptabilité!$C$1:$C$1446,"2026"),0))</f>
        <v>0</v>
      </c>
      <c r="G75">
        <f>IF($A75="","",IF($D75="V01",Cadrage!$C$23,IF($D75="V02",Cadrage!$D$23,Cadrage!$E$23)))</f>
        <v>-0.05</v>
      </c>
      <c r="H75">
        <f>IF($A75="","",IF($D75="V01",Cadrage!$C$24,IF($D75="V02",Cadrage!$D$24,Cadrage!$E$24)))</f>
        <v>-0.05</v>
      </c>
      <c r="I75">
        <f>IF($A75="","",IF($D75="V01",Cadrage!$C$34,IF($D75="V02",Cadrage!$D$34,Cadrage!$E$34)))</f>
        <v>0.03</v>
      </c>
      <c r="J75">
        <f>IF($A75="","",IF($D75="V01",Cadrage!$C$35,IF($D75="V02",Cadrage!$D$35,Cadrage!$E$35)))</f>
        <v>0.03</v>
      </c>
      <c r="K75">
        <f>IF($A75="","",IF($D75="V01",Cadrage!$C$36,IF($D75="V02",Cadrage!$D$36,Cadrage!$E$36)))</f>
        <v>0.05</v>
      </c>
      <c r="L75">
        <f>IF($A75="","",IF($D75="V01",Cadrage!$C$37,IF($D75="V02",Cadrage!$D$37,Cadrage!$E$37)))</f>
        <v>0</v>
      </c>
      <c r="M75">
        <f>IF($A75="","",IF($D75="V01",Cadrage!$C$38,IF($D75="V02",Cadrage!$D$38,Cadrage!$E$38)))</f>
        <v>0.04</v>
      </c>
      <c r="N75">
        <f t="shared" si="1"/>
        <v>0.980622079131853</v>
      </c>
      <c r="O75">
        <f t="shared" si="2"/>
        <v>0.980622079131853</v>
      </c>
      <c r="P75">
        <f>IF($A75="","",IF($E75=1,$F75*$O75,PNL!G75))</f>
        <v>10260</v>
      </c>
      <c r="T75">
        <f t="shared" si="3"/>
        <v>0</v>
      </c>
    </row>
    <row r="76" ht="14.25" customHeight="1">
      <c r="A76" t="str">
        <f>IF(PNL!A76="","",PNL!A76)</f>
        <v>MBWAY_BOR</v>
      </c>
      <c r="B76" t="str">
        <f>IF(PNL!B76="","",PNL!B76)</f>
        <v>708</v>
      </c>
      <c r="C76" t="str">
        <f>IF(PNL!C76="","",PNL!C76)</f>
        <v>2025</v>
      </c>
      <c r="D76" t="str">
        <f>IF(PNL!D76="","",PNL!D76)</f>
        <v>ACT</v>
      </c>
      <c r="E76">
        <f t="shared" si="0"/>
        <v>0</v>
      </c>
      <c r="F76">
        <f>IF($A76="","",IF($E76=1,_xlfn.SUMIFS(Comptabilité!$F$1:$F$1446,Comptabilité!$A$1:$A$1446,$A76,Comptabilité!$B$1:$B$1446,$B76,Comptabilité!$C$1:$C$1446,"2026"),0))</f>
        <v>0</v>
      </c>
      <c r="G76">
        <f>IF($A76="","",IF($D76="V01",Cadrage!$C$23,IF($D76="V02",Cadrage!$D$23,Cadrage!$E$23)))</f>
        <v>-0.05</v>
      </c>
      <c r="H76">
        <f>IF($A76="","",IF($D76="V01",Cadrage!$C$24,IF($D76="V02",Cadrage!$D$24,Cadrage!$E$24)))</f>
        <v>-0.05</v>
      </c>
      <c r="I76">
        <f>IF($A76="","",IF($D76="V01",Cadrage!$C$34,IF($D76="V02",Cadrage!$D$34,Cadrage!$E$34)))</f>
        <v>0.03</v>
      </c>
      <c r="J76">
        <f>IF($A76="","",IF($D76="V01",Cadrage!$C$35,IF($D76="V02",Cadrage!$D$35,Cadrage!$E$35)))</f>
        <v>0.03</v>
      </c>
      <c r="K76">
        <f>IF($A76="","",IF($D76="V01",Cadrage!$C$36,IF($D76="V02",Cadrage!$D$36,Cadrage!$E$36)))</f>
        <v>0.05</v>
      </c>
      <c r="L76">
        <f>IF($A76="","",IF($D76="V01",Cadrage!$C$37,IF($D76="V02",Cadrage!$D$37,Cadrage!$E$37)))</f>
        <v>0</v>
      </c>
      <c r="M76">
        <f>IF($A76="","",IF($D76="V01",Cadrage!$C$38,IF($D76="V02",Cadrage!$D$38,Cadrage!$E$38)))</f>
        <v>0.04</v>
      </c>
      <c r="N76">
        <f t="shared" si="1"/>
        <v>0.980622079131853</v>
      </c>
      <c r="O76">
        <f t="shared" si="2"/>
        <v>0.980622079131853</v>
      </c>
      <c r="P76">
        <f>IF($A76="","",IF($E76=1,$F76*$O76,PNL!G76))</f>
        <v>8640</v>
      </c>
      <c r="T76">
        <f t="shared" si="3"/>
        <v>0</v>
      </c>
    </row>
    <row r="77" ht="14.25" customHeight="1">
      <c r="A77" t="str">
        <f>IF(PNL!A77="","",PNL!A77)</f>
        <v>ISCOM_PAR</v>
      </c>
      <c r="B77" t="str">
        <f>IF(PNL!B77="","",PNL!B77)</f>
        <v>708</v>
      </c>
      <c r="C77" t="str">
        <f>IF(PNL!C77="","",PNL!C77)</f>
        <v>2025</v>
      </c>
      <c r="D77" t="str">
        <f>IF(PNL!D77="","",PNL!D77)</f>
        <v>ACT</v>
      </c>
      <c r="E77">
        <f t="shared" si="0"/>
        <v>0</v>
      </c>
      <c r="F77">
        <f>IF($A77="","",IF($E77=1,_xlfn.SUMIFS(Comptabilité!$F$1:$F$1446,Comptabilité!$A$1:$A$1446,$A77,Comptabilité!$B$1:$B$1446,$B77,Comptabilité!$C$1:$C$1446,"2026"),0))</f>
        <v>0</v>
      </c>
      <c r="G77">
        <f>IF($A77="","",IF($D77="V01",Cadrage!$C$23,IF($D77="V02",Cadrage!$D$23,Cadrage!$E$23)))</f>
        <v>-0.05</v>
      </c>
      <c r="H77">
        <f>IF($A77="","",IF($D77="V01",Cadrage!$C$24,IF($D77="V02",Cadrage!$D$24,Cadrage!$E$24)))</f>
        <v>-0.05</v>
      </c>
      <c r="I77">
        <f>IF($A77="","",IF($D77="V01",Cadrage!$C$34,IF($D77="V02",Cadrage!$D$34,Cadrage!$E$34)))</f>
        <v>0.03</v>
      </c>
      <c r="J77">
        <f>IF($A77="","",IF($D77="V01",Cadrage!$C$35,IF($D77="V02",Cadrage!$D$35,Cadrage!$E$35)))</f>
        <v>0.03</v>
      </c>
      <c r="K77">
        <f>IF($A77="","",IF($D77="V01",Cadrage!$C$36,IF($D77="V02",Cadrage!$D$36,Cadrage!$E$36)))</f>
        <v>0.05</v>
      </c>
      <c r="L77">
        <f>IF($A77="","",IF($D77="V01",Cadrage!$C$37,IF($D77="V02",Cadrage!$D$37,Cadrage!$E$37)))</f>
        <v>0</v>
      </c>
      <c r="M77">
        <f>IF($A77="","",IF($D77="V01",Cadrage!$C$38,IF($D77="V02",Cadrage!$D$38,Cadrage!$E$38)))</f>
        <v>0.04</v>
      </c>
      <c r="N77">
        <f t="shared" si="1"/>
        <v>0.980622079131853</v>
      </c>
      <c r="O77">
        <f t="shared" si="2"/>
        <v>0.980622079131853</v>
      </c>
      <c r="P77">
        <f>IF($A77="","",IF($E77=1,$F77*$O77,PNL!G77))</f>
        <v>12240</v>
      </c>
      <c r="T77">
        <f t="shared" si="3"/>
        <v>0</v>
      </c>
    </row>
    <row r="78" ht="14.25" customHeight="1">
      <c r="A78" t="str">
        <f>IF(PNL!A78="","",PNL!A78)</f>
        <v>ISCOM_LIL</v>
      </c>
      <c r="B78" t="str">
        <f>IF(PNL!B78="","",PNL!B78)</f>
        <v>708</v>
      </c>
      <c r="C78" t="str">
        <f>IF(PNL!C78="","",PNL!C78)</f>
        <v>2025</v>
      </c>
      <c r="D78" t="str">
        <f>IF(PNL!D78="","",PNL!D78)</f>
        <v>ACT</v>
      </c>
      <c r="E78">
        <f t="shared" si="0"/>
        <v>0</v>
      </c>
      <c r="F78">
        <f>IF($A78="","",IF($E78=1,_xlfn.SUMIFS(Comptabilité!$F$1:$F$1446,Comptabilité!$A$1:$A$1446,$A78,Comptabilité!$B$1:$B$1446,$B78,Comptabilité!$C$1:$C$1446,"2026"),0))</f>
        <v>0</v>
      </c>
      <c r="G78">
        <f>IF($A78="","",IF($D78="V01",Cadrage!$C$23,IF($D78="V02",Cadrage!$D$23,Cadrage!$E$23)))</f>
        <v>-0.05</v>
      </c>
      <c r="H78">
        <f>IF($A78="","",IF($D78="V01",Cadrage!$C$24,IF($D78="V02",Cadrage!$D$24,Cadrage!$E$24)))</f>
        <v>-0.05</v>
      </c>
      <c r="I78">
        <f>IF($A78="","",IF($D78="V01",Cadrage!$C$34,IF($D78="V02",Cadrage!$D$34,Cadrage!$E$34)))</f>
        <v>0.03</v>
      </c>
      <c r="J78">
        <f>IF($A78="","",IF($D78="V01",Cadrage!$C$35,IF($D78="V02",Cadrage!$D$35,Cadrage!$E$35)))</f>
        <v>0.03</v>
      </c>
      <c r="K78">
        <f>IF($A78="","",IF($D78="V01",Cadrage!$C$36,IF($D78="V02",Cadrage!$D$36,Cadrage!$E$36)))</f>
        <v>0.05</v>
      </c>
      <c r="L78">
        <f>IF($A78="","",IF($D78="V01",Cadrage!$C$37,IF($D78="V02",Cadrage!$D$37,Cadrage!$E$37)))</f>
        <v>0</v>
      </c>
      <c r="M78">
        <f>IF($A78="","",IF($D78="V01",Cadrage!$C$38,IF($D78="V02",Cadrage!$D$38,Cadrage!$E$38)))</f>
        <v>0.04</v>
      </c>
      <c r="N78">
        <f t="shared" si="1"/>
        <v>0.980622079131853</v>
      </c>
      <c r="O78">
        <f t="shared" si="2"/>
        <v>0.980622079131853</v>
      </c>
      <c r="P78">
        <f>IF($A78="","",IF($E78=1,$F78*$O78,PNL!G78))</f>
        <v>8460</v>
      </c>
      <c r="T78">
        <f t="shared" si="3"/>
        <v>0</v>
      </c>
    </row>
    <row r="79" ht="14.25" customHeight="1">
      <c r="A79" t="str">
        <f>IF(PNL!A79="","",PNL!A79)</f>
        <v>ISCOM_TLS</v>
      </c>
      <c r="B79" t="str">
        <f>IF(PNL!B79="","",PNL!B79)</f>
        <v>708</v>
      </c>
      <c r="C79" t="str">
        <f>IF(PNL!C79="","",PNL!C79)</f>
        <v>2025</v>
      </c>
      <c r="D79" t="str">
        <f>IF(PNL!D79="","",PNL!D79)</f>
        <v>ACT</v>
      </c>
      <c r="E79">
        <f t="shared" si="0"/>
        <v>0</v>
      </c>
      <c r="F79">
        <f>IF($A79="","",IF($E79=1,_xlfn.SUMIFS(Comptabilité!$F$1:$F$1446,Comptabilité!$A$1:$A$1446,$A79,Comptabilité!$B$1:$B$1446,$B79,Comptabilité!$C$1:$C$1446,"2026"),0))</f>
        <v>0</v>
      </c>
      <c r="G79">
        <f>IF($A79="","",IF($D79="V01",Cadrage!$C$23,IF($D79="V02",Cadrage!$D$23,Cadrage!$E$23)))</f>
        <v>-0.05</v>
      </c>
      <c r="H79">
        <f>IF($A79="","",IF($D79="V01",Cadrage!$C$24,IF($D79="V02",Cadrage!$D$24,Cadrage!$E$24)))</f>
        <v>-0.05</v>
      </c>
      <c r="I79">
        <f>IF($A79="","",IF($D79="V01",Cadrage!$C$34,IF($D79="V02",Cadrage!$D$34,Cadrage!$E$34)))</f>
        <v>0.03</v>
      </c>
      <c r="J79">
        <f>IF($A79="","",IF($D79="V01",Cadrage!$C$35,IF($D79="V02",Cadrage!$D$35,Cadrage!$E$35)))</f>
        <v>0.03</v>
      </c>
      <c r="K79">
        <f>IF($A79="","",IF($D79="V01",Cadrage!$C$36,IF($D79="V02",Cadrage!$D$36,Cadrage!$E$36)))</f>
        <v>0.05</v>
      </c>
      <c r="L79">
        <f>IF($A79="","",IF($D79="V01",Cadrage!$C$37,IF($D79="V02",Cadrage!$D$37,Cadrage!$E$37)))</f>
        <v>0</v>
      </c>
      <c r="M79">
        <f>IF($A79="","",IF($D79="V01",Cadrage!$C$38,IF($D79="V02",Cadrage!$D$38,Cadrage!$E$38)))</f>
        <v>0.04</v>
      </c>
      <c r="N79">
        <f t="shared" si="1"/>
        <v>0.980622079131853</v>
      </c>
      <c r="O79">
        <f t="shared" si="2"/>
        <v>0.980622079131853</v>
      </c>
      <c r="P79">
        <f>IF($A79="","",IF($E79=1,$F79*$O79,PNL!G79))</f>
        <v>7920</v>
      </c>
      <c r="T79">
        <f t="shared" si="3"/>
        <v>0</v>
      </c>
    </row>
    <row r="80" ht="14.25" customHeight="1">
      <c r="A80" t="str">
        <f>IF(PNL!A80="","",PNL!A80)</f>
        <v>IPAC_NAN</v>
      </c>
      <c r="B80" t="str">
        <f>IF(PNL!B80="","",PNL!B80)</f>
        <v>708</v>
      </c>
      <c r="C80" t="str">
        <f>IF(PNL!C80="","",PNL!C80)</f>
        <v>2025</v>
      </c>
      <c r="D80" t="str">
        <f>IF(PNL!D80="","",PNL!D80)</f>
        <v>ACT</v>
      </c>
      <c r="E80">
        <f t="shared" si="0"/>
        <v>0</v>
      </c>
      <c r="F80">
        <f>IF($A80="","",IF($E80=1,_xlfn.SUMIFS(Comptabilité!$F$1:$F$1446,Comptabilité!$A$1:$A$1446,$A80,Comptabilité!$B$1:$B$1446,$B80,Comptabilité!$C$1:$C$1446,"2026"),0))</f>
        <v>0</v>
      </c>
      <c r="G80">
        <f>IF($A80="","",IF($D80="V01",Cadrage!$C$23,IF($D80="V02",Cadrage!$D$23,Cadrage!$E$23)))</f>
        <v>-0.05</v>
      </c>
      <c r="H80">
        <f>IF($A80="","",IF($D80="V01",Cadrage!$C$24,IF($D80="V02",Cadrage!$D$24,Cadrage!$E$24)))</f>
        <v>-0.05</v>
      </c>
      <c r="I80">
        <f>IF($A80="","",IF($D80="V01",Cadrage!$C$34,IF($D80="V02",Cadrage!$D$34,Cadrage!$E$34)))</f>
        <v>0.03</v>
      </c>
      <c r="J80">
        <f>IF($A80="","",IF($D80="V01",Cadrage!$C$35,IF($D80="V02",Cadrage!$D$35,Cadrage!$E$35)))</f>
        <v>0.03</v>
      </c>
      <c r="K80">
        <f>IF($A80="","",IF($D80="V01",Cadrage!$C$36,IF($D80="V02",Cadrage!$D$36,Cadrage!$E$36)))</f>
        <v>0.05</v>
      </c>
      <c r="L80">
        <f>IF($A80="","",IF($D80="V01",Cadrage!$C$37,IF($D80="V02",Cadrage!$D$37,Cadrage!$E$37)))</f>
        <v>0</v>
      </c>
      <c r="M80">
        <f>IF($A80="","",IF($D80="V01",Cadrage!$C$38,IF($D80="V02",Cadrage!$D$38,Cadrage!$E$38)))</f>
        <v>0.04</v>
      </c>
      <c r="N80">
        <f t="shared" si="1"/>
        <v>0.980622079131853</v>
      </c>
      <c r="O80">
        <f t="shared" si="2"/>
        <v>0.980622079131853</v>
      </c>
      <c r="P80">
        <f>IF($A80="","",IF($E80=1,$F80*$O80,PNL!G80))</f>
        <v>4230</v>
      </c>
      <c r="T80">
        <f t="shared" si="3"/>
        <v>0</v>
      </c>
    </row>
    <row r="81" ht="14.25" customHeight="1">
      <c r="A81" t="str">
        <f>IF(PNL!A81="","",PNL!A81)</f>
        <v>IPAC_REN</v>
      </c>
      <c r="B81" t="str">
        <f>IF(PNL!B81="","",PNL!B81)</f>
        <v>708</v>
      </c>
      <c r="C81" t="str">
        <f>IF(PNL!C81="","",PNL!C81)</f>
        <v>2025</v>
      </c>
      <c r="D81" t="str">
        <f>IF(PNL!D81="","",PNL!D81)</f>
        <v>ACT</v>
      </c>
      <c r="E81">
        <f t="shared" si="0"/>
        <v>0</v>
      </c>
      <c r="F81">
        <f>IF($A81="","",IF($E81=1,_xlfn.SUMIFS(Comptabilité!$F$1:$F$1446,Comptabilité!$A$1:$A$1446,$A81,Comptabilité!$B$1:$B$1446,$B81,Comptabilité!$C$1:$C$1446,"2026"),0))</f>
        <v>0</v>
      </c>
      <c r="G81">
        <f>IF($A81="","",IF($D81="V01",Cadrage!$C$23,IF($D81="V02",Cadrage!$D$23,Cadrage!$E$23)))</f>
        <v>-0.05</v>
      </c>
      <c r="H81">
        <f>IF($A81="","",IF($D81="V01",Cadrage!$C$24,IF($D81="V02",Cadrage!$D$24,Cadrage!$E$24)))</f>
        <v>-0.05</v>
      </c>
      <c r="I81">
        <f>IF($A81="","",IF($D81="V01",Cadrage!$C$34,IF($D81="V02",Cadrage!$D$34,Cadrage!$E$34)))</f>
        <v>0.03</v>
      </c>
      <c r="J81">
        <f>IF($A81="","",IF($D81="V01",Cadrage!$C$35,IF($D81="V02",Cadrage!$D$35,Cadrage!$E$35)))</f>
        <v>0.03</v>
      </c>
      <c r="K81">
        <f>IF($A81="","",IF($D81="V01",Cadrage!$C$36,IF($D81="V02",Cadrage!$D$36,Cadrage!$E$36)))</f>
        <v>0.05</v>
      </c>
      <c r="L81">
        <f>IF($A81="","",IF($D81="V01",Cadrage!$C$37,IF($D81="V02",Cadrage!$D$37,Cadrage!$E$37)))</f>
        <v>0</v>
      </c>
      <c r="M81">
        <f>IF($A81="","",IF($D81="V01",Cadrage!$C$38,IF($D81="V02",Cadrage!$D$38,Cadrage!$E$38)))</f>
        <v>0.04</v>
      </c>
      <c r="N81">
        <f t="shared" si="1"/>
        <v>0.980622079131853</v>
      </c>
      <c r="O81">
        <f t="shared" si="2"/>
        <v>0.980622079131853</v>
      </c>
      <c r="P81">
        <f>IF($A81="","",IF($E81=1,$F81*$O81,PNL!G81))</f>
        <v>3420</v>
      </c>
      <c r="T81">
        <f t="shared" si="3"/>
        <v>0</v>
      </c>
    </row>
    <row r="82" ht="14.25" customHeight="1">
      <c r="A82" t="str">
        <f>IF(PNL!A82="","",PNL!A82)</f>
        <v>IPAC_MTP</v>
      </c>
      <c r="B82" t="str">
        <f>IF(PNL!B82="","",PNL!B82)</f>
        <v>708</v>
      </c>
      <c r="C82" t="str">
        <f>IF(PNL!C82="","",PNL!C82)</f>
        <v>2025</v>
      </c>
      <c r="D82" t="str">
        <f>IF(PNL!D82="","",PNL!D82)</f>
        <v>ACT</v>
      </c>
      <c r="E82">
        <f t="shared" si="0"/>
        <v>0</v>
      </c>
      <c r="F82">
        <f>IF($A82="","",IF($E82=1,_xlfn.SUMIFS(Comptabilité!$F$1:$F$1446,Comptabilité!$A$1:$A$1446,$A82,Comptabilité!$B$1:$B$1446,$B82,Comptabilité!$C$1:$C$1446,"2026"),0))</f>
        <v>0</v>
      </c>
      <c r="G82">
        <f>IF($A82="","",IF($D82="V01",Cadrage!$C$23,IF($D82="V02",Cadrage!$D$23,Cadrage!$E$23)))</f>
        <v>-0.05</v>
      </c>
      <c r="H82">
        <f>IF($A82="","",IF($D82="V01",Cadrage!$C$24,IF($D82="V02",Cadrage!$D$24,Cadrage!$E$24)))</f>
        <v>-0.05</v>
      </c>
      <c r="I82">
        <f>IF($A82="","",IF($D82="V01",Cadrage!$C$34,IF($D82="V02",Cadrage!$D$34,Cadrage!$E$34)))</f>
        <v>0.03</v>
      </c>
      <c r="J82">
        <f>IF($A82="","",IF($D82="V01",Cadrage!$C$35,IF($D82="V02",Cadrage!$D$35,Cadrage!$E$35)))</f>
        <v>0.03</v>
      </c>
      <c r="K82">
        <f>IF($A82="","",IF($D82="V01",Cadrage!$C$36,IF($D82="V02",Cadrage!$D$36,Cadrage!$E$36)))</f>
        <v>0.05</v>
      </c>
      <c r="L82">
        <f>IF($A82="","",IF($D82="V01",Cadrage!$C$37,IF($D82="V02",Cadrage!$D$37,Cadrage!$E$37)))</f>
        <v>0</v>
      </c>
      <c r="M82">
        <f>IF($A82="","",IF($D82="V01",Cadrage!$C$38,IF($D82="V02",Cadrage!$D$38,Cadrage!$E$38)))</f>
        <v>0.04</v>
      </c>
      <c r="N82">
        <f t="shared" si="1"/>
        <v>0.980622079131853</v>
      </c>
      <c r="O82">
        <f t="shared" si="2"/>
        <v>0.980622079131853</v>
      </c>
      <c r="P82">
        <f>IF($A82="","",IF($E82=1,$F82*$O82,PNL!G82))</f>
        <v>3420</v>
      </c>
      <c r="T82">
        <f t="shared" si="3"/>
        <v>0</v>
      </c>
    </row>
    <row r="83" ht="14.25" customHeight="1">
      <c r="A83" t="str">
        <f>IF(PNL!A83="","",PNL!A83)</f>
        <v>PIGIER_LYO</v>
      </c>
      <c r="B83" t="str">
        <f>IF(PNL!B83="","",PNL!B83)</f>
        <v>708</v>
      </c>
      <c r="C83" t="str">
        <f>IF(PNL!C83="","",PNL!C83)</f>
        <v>2025</v>
      </c>
      <c r="D83" t="str">
        <f>IF(PNL!D83="","",PNL!D83)</f>
        <v>ACT</v>
      </c>
      <c r="E83">
        <f t="shared" si="0"/>
        <v>0</v>
      </c>
      <c r="F83">
        <f>IF($A83="","",IF($E83=1,_xlfn.SUMIFS(Comptabilité!$F$1:$F$1446,Comptabilité!$A$1:$A$1446,$A83,Comptabilité!$B$1:$B$1446,$B83,Comptabilité!$C$1:$C$1446,"2026"),0))</f>
        <v>0</v>
      </c>
      <c r="G83">
        <f>IF($A83="","",IF($D83="V01",Cadrage!$C$23,IF($D83="V02",Cadrage!$D$23,Cadrage!$E$23)))</f>
        <v>-0.05</v>
      </c>
      <c r="H83">
        <f>IF($A83="","",IF($D83="V01",Cadrage!$C$24,IF($D83="V02",Cadrage!$D$24,Cadrage!$E$24)))</f>
        <v>-0.05</v>
      </c>
      <c r="I83">
        <f>IF($A83="","",IF($D83="V01",Cadrage!$C$34,IF($D83="V02",Cadrage!$D$34,Cadrage!$E$34)))</f>
        <v>0.03</v>
      </c>
      <c r="J83">
        <f>IF($A83="","",IF($D83="V01",Cadrage!$C$35,IF($D83="V02",Cadrage!$D$35,Cadrage!$E$35)))</f>
        <v>0.03</v>
      </c>
      <c r="K83">
        <f>IF($A83="","",IF($D83="V01",Cadrage!$C$36,IF($D83="V02",Cadrage!$D$36,Cadrage!$E$36)))</f>
        <v>0.05</v>
      </c>
      <c r="L83">
        <f>IF($A83="","",IF($D83="V01",Cadrage!$C$37,IF($D83="V02",Cadrage!$D$37,Cadrage!$E$37)))</f>
        <v>0</v>
      </c>
      <c r="M83">
        <f>IF($A83="","",IF($D83="V01",Cadrage!$C$38,IF($D83="V02",Cadrage!$D$38,Cadrage!$E$38)))</f>
        <v>0.04</v>
      </c>
      <c r="N83">
        <f t="shared" si="1"/>
        <v>0.980622079131853</v>
      </c>
      <c r="O83">
        <f t="shared" si="2"/>
        <v>0.980622079131853</v>
      </c>
      <c r="P83">
        <f>IF($A83="","",IF($E83=1,$F83*$O83,PNL!G83))</f>
        <v>7740</v>
      </c>
      <c r="T83">
        <f t="shared" si="3"/>
        <v>0</v>
      </c>
    </row>
    <row r="84" ht="14.25" customHeight="1">
      <c r="A84" t="str">
        <f>IF(PNL!A84="","",PNL!A84)</f>
        <v>PIGIER_BOR</v>
      </c>
      <c r="B84" t="str">
        <f>IF(PNL!B84="","",PNL!B84)</f>
        <v>708</v>
      </c>
      <c r="C84" t="str">
        <f>IF(PNL!C84="","",PNL!C84)</f>
        <v>2025</v>
      </c>
      <c r="D84" t="str">
        <f>IF(PNL!D84="","",PNL!D84)</f>
        <v>ACT</v>
      </c>
      <c r="E84">
        <f t="shared" si="0"/>
        <v>0</v>
      </c>
      <c r="F84">
        <f>IF($A84="","",IF($E84=1,_xlfn.SUMIFS(Comptabilité!$F$1:$F$1446,Comptabilité!$A$1:$A$1446,$A84,Comptabilité!$B$1:$B$1446,$B84,Comptabilité!$C$1:$C$1446,"2026"),0))</f>
        <v>0</v>
      </c>
      <c r="G84">
        <f>IF($A84="","",IF($D84="V01",Cadrage!$C$23,IF($D84="V02",Cadrage!$D$23,Cadrage!$E$23)))</f>
        <v>-0.05</v>
      </c>
      <c r="H84">
        <f>IF($A84="","",IF($D84="V01",Cadrage!$C$24,IF($D84="V02",Cadrage!$D$24,Cadrage!$E$24)))</f>
        <v>-0.05</v>
      </c>
      <c r="I84">
        <f>IF($A84="","",IF($D84="V01",Cadrage!$C$34,IF($D84="V02",Cadrage!$D$34,Cadrage!$E$34)))</f>
        <v>0.03</v>
      </c>
      <c r="J84">
        <f>IF($A84="","",IF($D84="V01",Cadrage!$C$35,IF($D84="V02",Cadrage!$D$35,Cadrage!$E$35)))</f>
        <v>0.03</v>
      </c>
      <c r="K84">
        <f>IF($A84="","",IF($D84="V01",Cadrage!$C$36,IF($D84="V02",Cadrage!$D$36,Cadrage!$E$36)))</f>
        <v>0.05</v>
      </c>
      <c r="L84">
        <f>IF($A84="","",IF($D84="V01",Cadrage!$C$37,IF($D84="V02",Cadrage!$D$37,Cadrage!$E$37)))</f>
        <v>0</v>
      </c>
      <c r="M84">
        <f>IF($A84="","",IF($D84="V01",Cadrage!$C$38,IF($D84="V02",Cadrage!$D$38,Cadrage!$E$38)))</f>
        <v>0.04</v>
      </c>
      <c r="N84">
        <f t="shared" si="1"/>
        <v>0.980622079131853</v>
      </c>
      <c r="O84">
        <f t="shared" si="2"/>
        <v>0.980622079131853</v>
      </c>
      <c r="P84">
        <f>IF($A84="","",IF($E84=1,$F84*$O84,PNL!G84))</f>
        <v>6120</v>
      </c>
      <c r="T84">
        <f t="shared" si="3"/>
        <v>0</v>
      </c>
    </row>
    <row r="85" ht="14.25" customHeight="1">
      <c r="A85" t="str">
        <f>IF(PNL!A85="","",PNL!A85)</f>
        <v>TUNON_PAR</v>
      </c>
      <c r="B85" t="str">
        <f>IF(PNL!B85="","",PNL!B85)</f>
        <v>708</v>
      </c>
      <c r="C85" t="str">
        <f>IF(PNL!C85="","",PNL!C85)</f>
        <v>2025</v>
      </c>
      <c r="D85" t="str">
        <f>IF(PNL!D85="","",PNL!D85)</f>
        <v>ACT</v>
      </c>
      <c r="E85">
        <f t="shared" si="0"/>
        <v>0</v>
      </c>
      <c r="F85">
        <f>IF($A85="","",IF($E85=1,_xlfn.SUMIFS(Comptabilité!$F$1:$F$1446,Comptabilité!$A$1:$A$1446,$A85,Comptabilité!$B$1:$B$1446,$B85,Comptabilité!$C$1:$C$1446,"2026"),0))</f>
        <v>0</v>
      </c>
      <c r="G85">
        <f>IF($A85="","",IF($D85="V01",Cadrage!$C$23,IF($D85="V02",Cadrage!$D$23,Cadrage!$E$23)))</f>
        <v>-0.05</v>
      </c>
      <c r="H85">
        <f>IF($A85="","",IF($D85="V01",Cadrage!$C$24,IF($D85="V02",Cadrage!$D$24,Cadrage!$E$24)))</f>
        <v>-0.05</v>
      </c>
      <c r="I85">
        <f>IF($A85="","",IF($D85="V01",Cadrage!$C$34,IF($D85="V02",Cadrage!$D$34,Cadrage!$E$34)))</f>
        <v>0.03</v>
      </c>
      <c r="J85">
        <f>IF($A85="","",IF($D85="V01",Cadrage!$C$35,IF($D85="V02",Cadrage!$D$35,Cadrage!$E$35)))</f>
        <v>0.03</v>
      </c>
      <c r="K85">
        <f>IF($A85="","",IF($D85="V01",Cadrage!$C$36,IF($D85="V02",Cadrage!$D$36,Cadrage!$E$36)))</f>
        <v>0.05</v>
      </c>
      <c r="L85">
        <f>IF($A85="","",IF($D85="V01",Cadrage!$C$37,IF($D85="V02",Cadrage!$D$37,Cadrage!$E$37)))</f>
        <v>0</v>
      </c>
      <c r="M85">
        <f>IF($A85="","",IF($D85="V01",Cadrage!$C$38,IF($D85="V02",Cadrage!$D$38,Cadrage!$E$38)))</f>
        <v>0.04</v>
      </c>
      <c r="N85">
        <f t="shared" si="1"/>
        <v>0.980622079131853</v>
      </c>
      <c r="O85">
        <f t="shared" si="2"/>
        <v>0.980622079131853</v>
      </c>
      <c r="P85">
        <f>IF($A85="","",IF($E85=1,$F85*$O85,PNL!G85))</f>
        <v>3960</v>
      </c>
      <c r="T85">
        <f t="shared" si="3"/>
        <v>0</v>
      </c>
    </row>
    <row r="86" ht="14.25" customHeight="1">
      <c r="A86" t="str">
        <f>IF(PNL!A86="","",PNL!A86)</f>
        <v>TUNON_LYO</v>
      </c>
      <c r="B86" t="str">
        <f>IF(PNL!B86="","",PNL!B86)</f>
        <v>708</v>
      </c>
      <c r="C86" t="str">
        <f>IF(PNL!C86="","",PNL!C86)</f>
        <v>2025</v>
      </c>
      <c r="D86" t="str">
        <f>IF(PNL!D86="","",PNL!D86)</f>
        <v>ACT</v>
      </c>
      <c r="E86">
        <f t="shared" si="0"/>
        <v>0</v>
      </c>
      <c r="F86">
        <f>IF($A86="","",IF($E86=1,_xlfn.SUMIFS(Comptabilité!$F$1:$F$1446,Comptabilité!$A$1:$A$1446,$A86,Comptabilité!$B$1:$B$1446,$B86,Comptabilité!$C$1:$C$1446,"2026"),0))</f>
        <v>0</v>
      </c>
      <c r="G86">
        <f>IF($A86="","",IF($D86="V01",Cadrage!$C$23,IF($D86="V02",Cadrage!$D$23,Cadrage!$E$23)))</f>
        <v>-0.05</v>
      </c>
      <c r="H86">
        <f>IF($A86="","",IF($D86="V01",Cadrage!$C$24,IF($D86="V02",Cadrage!$D$24,Cadrage!$E$24)))</f>
        <v>-0.05</v>
      </c>
      <c r="I86">
        <f>IF($A86="","",IF($D86="V01",Cadrage!$C$34,IF($D86="V02",Cadrage!$D$34,Cadrage!$E$34)))</f>
        <v>0.03</v>
      </c>
      <c r="J86">
        <f>IF($A86="","",IF($D86="V01",Cadrage!$C$35,IF($D86="V02",Cadrage!$D$35,Cadrage!$E$35)))</f>
        <v>0.03</v>
      </c>
      <c r="K86">
        <f>IF($A86="","",IF($D86="V01",Cadrage!$C$36,IF($D86="V02",Cadrage!$D$36,Cadrage!$E$36)))</f>
        <v>0.05</v>
      </c>
      <c r="L86">
        <f>IF($A86="","",IF($D86="V01",Cadrage!$C$37,IF($D86="V02",Cadrage!$D$37,Cadrage!$E$37)))</f>
        <v>0</v>
      </c>
      <c r="M86">
        <f>IF($A86="","",IF($D86="V01",Cadrage!$C$38,IF($D86="V02",Cadrage!$D$38,Cadrage!$E$38)))</f>
        <v>0.04</v>
      </c>
      <c r="N86">
        <f t="shared" si="1"/>
        <v>0.980622079131853</v>
      </c>
      <c r="O86">
        <f t="shared" si="2"/>
        <v>0.980622079131853</v>
      </c>
      <c r="P86">
        <f>IF($A86="","",IF($E86=1,$F86*$O86,PNL!G86))</f>
        <v>3420</v>
      </c>
      <c r="T86">
        <f t="shared" si="3"/>
        <v>0</v>
      </c>
    </row>
    <row r="87" ht="14.25" customHeight="1">
      <c r="A87" t="str">
        <f>IF(PNL!A87="","",PNL!A87)</f>
        <v>MBWAY_PAR</v>
      </c>
      <c r="B87" t="str">
        <f>IF(PNL!B87="","",PNL!B87)</f>
        <v>708</v>
      </c>
      <c r="C87" t="str">
        <f>IF(PNL!C87="","",PNL!C87)</f>
        <v>2026</v>
      </c>
      <c r="D87" t="str">
        <f>IF(PNL!D87="","",PNL!D87)</f>
        <v>ACT</v>
      </c>
      <c r="E87">
        <f t="shared" si="0"/>
        <v>0</v>
      </c>
      <c r="F87">
        <f>IF($A87="","",IF($E87=1,_xlfn.SUMIFS(Comptabilité!$F$1:$F$1446,Comptabilité!$A$1:$A$1446,$A87,Comptabilité!$B$1:$B$1446,$B87,Comptabilité!$C$1:$C$1446,"2026"),0))</f>
        <v>0</v>
      </c>
      <c r="G87">
        <f>IF($A87="","",IF($D87="V01",Cadrage!$C$23,IF($D87="V02",Cadrage!$D$23,Cadrage!$E$23)))</f>
        <v>-0.05</v>
      </c>
      <c r="H87">
        <f>IF($A87="","",IF($D87="V01",Cadrage!$C$24,IF($D87="V02",Cadrage!$D$24,Cadrage!$E$24)))</f>
        <v>-0.05</v>
      </c>
      <c r="I87">
        <f>IF($A87="","",IF($D87="V01",Cadrage!$C$34,IF($D87="V02",Cadrage!$D$34,Cadrage!$E$34)))</f>
        <v>0.03</v>
      </c>
      <c r="J87">
        <f>IF($A87="","",IF($D87="V01",Cadrage!$C$35,IF($D87="V02",Cadrage!$D$35,Cadrage!$E$35)))</f>
        <v>0.03</v>
      </c>
      <c r="K87">
        <f>IF($A87="","",IF($D87="V01",Cadrage!$C$36,IF($D87="V02",Cadrage!$D$36,Cadrage!$E$36)))</f>
        <v>0.05</v>
      </c>
      <c r="L87">
        <f>IF($A87="","",IF($D87="V01",Cadrage!$C$37,IF($D87="V02",Cadrage!$D$37,Cadrage!$E$37)))</f>
        <v>0</v>
      </c>
      <c r="M87">
        <f>IF($A87="","",IF($D87="V01",Cadrage!$C$38,IF($D87="V02",Cadrage!$D$38,Cadrage!$E$38)))</f>
        <v>0.04</v>
      </c>
      <c r="N87">
        <f t="shared" si="1"/>
        <v>0.980622079131853</v>
      </c>
      <c r="O87">
        <f t="shared" si="2"/>
        <v>0.980622079131853</v>
      </c>
      <c r="P87">
        <f>IF($A87="","",IF($E87=1,$F87*$O87,PNL!G87))</f>
        <v>14040</v>
      </c>
      <c r="T87">
        <f t="shared" si="3"/>
        <v>0</v>
      </c>
    </row>
    <row r="88" ht="14.25" customHeight="1">
      <c r="A88" t="str">
        <f>IF(PNL!A88="","",PNL!A88)</f>
        <v>MBWAY_LYO</v>
      </c>
      <c r="B88" t="str">
        <f>IF(PNL!B88="","",PNL!B88)</f>
        <v>708</v>
      </c>
      <c r="C88" t="str">
        <f>IF(PNL!C88="","",PNL!C88)</f>
        <v>2026</v>
      </c>
      <c r="D88" t="str">
        <f>IF(PNL!D88="","",PNL!D88)</f>
        <v>ACT</v>
      </c>
      <c r="E88">
        <f t="shared" si="0"/>
        <v>0</v>
      </c>
      <c r="F88">
        <f>IF($A88="","",IF($E88=1,_xlfn.SUMIFS(Comptabilité!$F$1:$F$1446,Comptabilité!$A$1:$A$1446,$A88,Comptabilité!$B$1:$B$1446,$B88,Comptabilité!$C$1:$C$1446,"2026"),0))</f>
        <v>0</v>
      </c>
      <c r="G88">
        <f>IF($A88="","",IF($D88="V01",Cadrage!$C$23,IF($D88="V02",Cadrage!$D$23,Cadrage!$E$23)))</f>
        <v>-0.05</v>
      </c>
      <c r="H88">
        <f>IF($A88="","",IF($D88="V01",Cadrage!$C$24,IF($D88="V02",Cadrage!$D$24,Cadrage!$E$24)))</f>
        <v>-0.05</v>
      </c>
      <c r="I88">
        <f>IF($A88="","",IF($D88="V01",Cadrage!$C$34,IF($D88="V02",Cadrage!$D$34,Cadrage!$E$34)))</f>
        <v>0.03</v>
      </c>
      <c r="J88">
        <f>IF($A88="","",IF($D88="V01",Cadrage!$C$35,IF($D88="V02",Cadrage!$D$35,Cadrage!$E$35)))</f>
        <v>0.03</v>
      </c>
      <c r="K88">
        <f>IF($A88="","",IF($D88="V01",Cadrage!$C$36,IF($D88="V02",Cadrage!$D$36,Cadrage!$E$36)))</f>
        <v>0.05</v>
      </c>
      <c r="L88">
        <f>IF($A88="","",IF($D88="V01",Cadrage!$C$37,IF($D88="V02",Cadrage!$D$37,Cadrage!$E$37)))</f>
        <v>0</v>
      </c>
      <c r="M88">
        <f>IF($A88="","",IF($D88="V01",Cadrage!$C$38,IF($D88="V02",Cadrage!$D$38,Cadrage!$E$38)))</f>
        <v>0.04</v>
      </c>
      <c r="N88">
        <f t="shared" si="1"/>
        <v>0.980622079131853</v>
      </c>
      <c r="O88">
        <f t="shared" si="2"/>
        <v>0.980622079131853</v>
      </c>
      <c r="P88">
        <f>IF($A88="","",IF($E88=1,$F88*$O88,PNL!G88))</f>
        <v>11880</v>
      </c>
      <c r="T88">
        <f t="shared" si="3"/>
        <v>0</v>
      </c>
    </row>
    <row r="89" ht="14.25" customHeight="1">
      <c r="A89" t="str">
        <f>IF(PNL!A89="","",PNL!A89)</f>
        <v>MBWAY_NAN</v>
      </c>
      <c r="B89" t="str">
        <f>IF(PNL!B89="","",PNL!B89)</f>
        <v>708</v>
      </c>
      <c r="C89" t="str">
        <f>IF(PNL!C89="","",PNL!C89)</f>
        <v>2026</v>
      </c>
      <c r="D89" t="str">
        <f>IF(PNL!D89="","",PNL!D89)</f>
        <v>ACT</v>
      </c>
      <c r="E89">
        <f t="shared" si="0"/>
        <v>0</v>
      </c>
      <c r="F89">
        <f>IF($A89="","",IF($E89=1,_xlfn.SUMIFS(Comptabilité!$F$1:$F$1446,Comptabilité!$A$1:$A$1446,$A89,Comptabilité!$B$1:$B$1446,$B89,Comptabilité!$C$1:$C$1446,"2026"),0))</f>
        <v>0</v>
      </c>
      <c r="G89">
        <f>IF($A89="","",IF($D89="V01",Cadrage!$C$23,IF($D89="V02",Cadrage!$D$23,Cadrage!$E$23)))</f>
        <v>-0.05</v>
      </c>
      <c r="H89">
        <f>IF($A89="","",IF($D89="V01",Cadrage!$C$24,IF($D89="V02",Cadrage!$D$24,Cadrage!$E$24)))</f>
        <v>-0.05</v>
      </c>
      <c r="I89">
        <f>IF($A89="","",IF($D89="V01",Cadrage!$C$34,IF($D89="V02",Cadrage!$D$34,Cadrage!$E$34)))</f>
        <v>0.03</v>
      </c>
      <c r="J89">
        <f>IF($A89="","",IF($D89="V01",Cadrage!$C$35,IF($D89="V02",Cadrage!$D$35,Cadrage!$E$35)))</f>
        <v>0.03</v>
      </c>
      <c r="K89">
        <f>IF($A89="","",IF($D89="V01",Cadrage!$C$36,IF($D89="V02",Cadrage!$D$36,Cadrage!$E$36)))</f>
        <v>0.05</v>
      </c>
      <c r="L89">
        <f>IF($A89="","",IF($D89="V01",Cadrage!$C$37,IF($D89="V02",Cadrage!$D$37,Cadrage!$E$37)))</f>
        <v>0</v>
      </c>
      <c r="M89">
        <f>IF($A89="","",IF($D89="V01",Cadrage!$C$38,IF($D89="V02",Cadrage!$D$38,Cadrage!$E$38)))</f>
        <v>0.04</v>
      </c>
      <c r="N89">
        <f t="shared" si="1"/>
        <v>0.980622079131853</v>
      </c>
      <c r="O89">
        <f t="shared" si="2"/>
        <v>0.980622079131853</v>
      </c>
      <c r="P89">
        <f>IF($A89="","",IF($E89=1,$F89*$O89,PNL!G89))</f>
        <v>10800</v>
      </c>
      <c r="T89">
        <f t="shared" si="3"/>
        <v>0</v>
      </c>
    </row>
    <row r="90" ht="14.25" customHeight="1">
      <c r="A90" t="str">
        <f>IF(PNL!A90="","",PNL!A90)</f>
        <v>MBWAY_BOR</v>
      </c>
      <c r="B90" t="str">
        <f>IF(PNL!B90="","",PNL!B90)</f>
        <v>708</v>
      </c>
      <c r="C90" t="str">
        <f>IF(PNL!C90="","",PNL!C90)</f>
        <v>2026</v>
      </c>
      <c r="D90" t="str">
        <f>IF(PNL!D90="","",PNL!D90)</f>
        <v>ACT</v>
      </c>
      <c r="E90">
        <f t="shared" si="0"/>
        <v>0</v>
      </c>
      <c r="F90">
        <f>IF($A90="","",IF($E90=1,_xlfn.SUMIFS(Comptabilité!$F$1:$F$1446,Comptabilité!$A$1:$A$1446,$A90,Comptabilité!$B$1:$B$1446,$B90,Comptabilité!$C$1:$C$1446,"2026"),0))</f>
        <v>0</v>
      </c>
      <c r="G90">
        <f>IF($A90="","",IF($D90="V01",Cadrage!$C$23,IF($D90="V02",Cadrage!$D$23,Cadrage!$E$23)))</f>
        <v>-0.05</v>
      </c>
      <c r="H90">
        <f>IF($A90="","",IF($D90="V01",Cadrage!$C$24,IF($D90="V02",Cadrage!$D$24,Cadrage!$E$24)))</f>
        <v>-0.05</v>
      </c>
      <c r="I90">
        <f>IF($A90="","",IF($D90="V01",Cadrage!$C$34,IF($D90="V02",Cadrage!$D$34,Cadrage!$E$34)))</f>
        <v>0.03</v>
      </c>
      <c r="J90">
        <f>IF($A90="","",IF($D90="V01",Cadrage!$C$35,IF($D90="V02",Cadrage!$D$35,Cadrage!$E$35)))</f>
        <v>0.03</v>
      </c>
      <c r="K90">
        <f>IF($A90="","",IF($D90="V01",Cadrage!$C$36,IF($D90="V02",Cadrage!$D$36,Cadrage!$E$36)))</f>
        <v>0.05</v>
      </c>
      <c r="L90">
        <f>IF($A90="","",IF($D90="V01",Cadrage!$C$37,IF($D90="V02",Cadrage!$D$37,Cadrage!$E$37)))</f>
        <v>0</v>
      </c>
      <c r="M90">
        <f>IF($A90="","",IF($D90="V01",Cadrage!$C$38,IF($D90="V02",Cadrage!$D$38,Cadrage!$E$38)))</f>
        <v>0.04</v>
      </c>
      <c r="N90">
        <f t="shared" si="1"/>
        <v>0.980622079131853</v>
      </c>
      <c r="O90">
        <f t="shared" si="2"/>
        <v>0.980622079131853</v>
      </c>
      <c r="P90">
        <f>IF($A90="","",IF($E90=1,$F90*$O90,PNL!G90))</f>
        <v>9180</v>
      </c>
      <c r="T90">
        <f t="shared" si="3"/>
        <v>0</v>
      </c>
    </row>
    <row r="91" ht="14.25" customHeight="1">
      <c r="A91" t="str">
        <f>IF(PNL!A91="","",PNL!A91)</f>
        <v>ISCOM_PAR</v>
      </c>
      <c r="B91" t="str">
        <f>IF(PNL!B91="","",PNL!B91)</f>
        <v>708</v>
      </c>
      <c r="C91" t="str">
        <f>IF(PNL!C91="","",PNL!C91)</f>
        <v>2026</v>
      </c>
      <c r="D91" t="str">
        <f>IF(PNL!D91="","",PNL!D91)</f>
        <v>ACT</v>
      </c>
      <c r="E91">
        <f t="shared" si="0"/>
        <v>0</v>
      </c>
      <c r="F91">
        <f>IF($A91="","",IF($E91=1,_xlfn.SUMIFS(Comptabilité!$F$1:$F$1446,Comptabilité!$A$1:$A$1446,$A91,Comptabilité!$B$1:$B$1446,$B91,Comptabilité!$C$1:$C$1446,"2026"),0))</f>
        <v>0</v>
      </c>
      <c r="G91">
        <f>IF($A91="","",IF($D91="V01",Cadrage!$C$23,IF($D91="V02",Cadrage!$D$23,Cadrage!$E$23)))</f>
        <v>-0.05</v>
      </c>
      <c r="H91">
        <f>IF($A91="","",IF($D91="V01",Cadrage!$C$24,IF($D91="V02",Cadrage!$D$24,Cadrage!$E$24)))</f>
        <v>-0.05</v>
      </c>
      <c r="I91">
        <f>IF($A91="","",IF($D91="V01",Cadrage!$C$34,IF($D91="V02",Cadrage!$D$34,Cadrage!$E$34)))</f>
        <v>0.03</v>
      </c>
      <c r="J91">
        <f>IF($A91="","",IF($D91="V01",Cadrage!$C$35,IF($D91="V02",Cadrage!$D$35,Cadrage!$E$35)))</f>
        <v>0.03</v>
      </c>
      <c r="K91">
        <f>IF($A91="","",IF($D91="V01",Cadrage!$C$36,IF($D91="V02",Cadrage!$D$36,Cadrage!$E$36)))</f>
        <v>0.05</v>
      </c>
      <c r="L91">
        <f>IF($A91="","",IF($D91="V01",Cadrage!$C$37,IF($D91="V02",Cadrage!$D$37,Cadrage!$E$37)))</f>
        <v>0</v>
      </c>
      <c r="M91">
        <f>IF($A91="","",IF($D91="V01",Cadrage!$C$38,IF($D91="V02",Cadrage!$D$38,Cadrage!$E$38)))</f>
        <v>0.04</v>
      </c>
      <c r="N91">
        <f t="shared" si="1"/>
        <v>0.980622079131853</v>
      </c>
      <c r="O91">
        <f t="shared" si="2"/>
        <v>0.980622079131853</v>
      </c>
      <c r="P91">
        <f>IF($A91="","",IF($E91=1,$F91*$O91,PNL!G91))</f>
        <v>12960</v>
      </c>
      <c r="T91">
        <f t="shared" si="3"/>
        <v>0</v>
      </c>
    </row>
    <row r="92" ht="14.25" customHeight="1">
      <c r="A92" t="str">
        <f>IF(PNL!A92="","",PNL!A92)</f>
        <v>ISCOM_LIL</v>
      </c>
      <c r="B92" t="str">
        <f>IF(PNL!B92="","",PNL!B92)</f>
        <v>708</v>
      </c>
      <c r="C92" t="str">
        <f>IF(PNL!C92="","",PNL!C92)</f>
        <v>2026</v>
      </c>
      <c r="D92" t="str">
        <f>IF(PNL!D92="","",PNL!D92)</f>
        <v>ACT</v>
      </c>
      <c r="E92">
        <f t="shared" si="0"/>
        <v>0</v>
      </c>
      <c r="F92">
        <f>IF($A92="","",IF($E92=1,_xlfn.SUMIFS(Comptabilité!$F$1:$F$1446,Comptabilité!$A$1:$A$1446,$A92,Comptabilité!$B$1:$B$1446,$B92,Comptabilité!$C$1:$C$1446,"2026"),0))</f>
        <v>0</v>
      </c>
      <c r="G92">
        <f>IF($A92="","",IF($D92="V01",Cadrage!$C$23,IF($D92="V02",Cadrage!$D$23,Cadrage!$E$23)))</f>
        <v>-0.05</v>
      </c>
      <c r="H92">
        <f>IF($A92="","",IF($D92="V01",Cadrage!$C$24,IF($D92="V02",Cadrage!$D$24,Cadrage!$E$24)))</f>
        <v>-0.05</v>
      </c>
      <c r="I92">
        <f>IF($A92="","",IF($D92="V01",Cadrage!$C$34,IF($D92="V02",Cadrage!$D$34,Cadrage!$E$34)))</f>
        <v>0.03</v>
      </c>
      <c r="J92">
        <f>IF($A92="","",IF($D92="V01",Cadrage!$C$35,IF($D92="V02",Cadrage!$D$35,Cadrage!$E$35)))</f>
        <v>0.03</v>
      </c>
      <c r="K92">
        <f>IF($A92="","",IF($D92="V01",Cadrage!$C$36,IF($D92="V02",Cadrage!$D$36,Cadrage!$E$36)))</f>
        <v>0.05</v>
      </c>
      <c r="L92">
        <f>IF($A92="","",IF($D92="V01",Cadrage!$C$37,IF($D92="V02",Cadrage!$D$37,Cadrage!$E$37)))</f>
        <v>0</v>
      </c>
      <c r="M92">
        <f>IF($A92="","",IF($D92="V01",Cadrage!$C$38,IF($D92="V02",Cadrage!$D$38,Cadrage!$E$38)))</f>
        <v>0.04</v>
      </c>
      <c r="N92">
        <f t="shared" si="1"/>
        <v>0.980622079131853</v>
      </c>
      <c r="O92">
        <f t="shared" si="2"/>
        <v>0.980622079131853</v>
      </c>
      <c r="P92">
        <f>IF($A92="","",IF($E92=1,$F92*$O92,PNL!G92))</f>
        <v>9000</v>
      </c>
      <c r="T92">
        <f t="shared" si="3"/>
        <v>0</v>
      </c>
    </row>
    <row r="93" ht="14.25" customHeight="1">
      <c r="A93" t="str">
        <f>IF(PNL!A93="","",PNL!A93)</f>
        <v>ISCOM_TLS</v>
      </c>
      <c r="B93" t="str">
        <f>IF(PNL!B93="","",PNL!B93)</f>
        <v>708</v>
      </c>
      <c r="C93" t="str">
        <f>IF(PNL!C93="","",PNL!C93)</f>
        <v>2026</v>
      </c>
      <c r="D93" t="str">
        <f>IF(PNL!D93="","",PNL!D93)</f>
        <v>ACT</v>
      </c>
      <c r="E93">
        <f t="shared" si="0"/>
        <v>0</v>
      </c>
      <c r="F93">
        <f>IF($A93="","",IF($E93=1,_xlfn.SUMIFS(Comptabilité!$F$1:$F$1446,Comptabilité!$A$1:$A$1446,$A93,Comptabilité!$B$1:$B$1446,$B93,Comptabilité!$C$1:$C$1446,"2026"),0))</f>
        <v>0</v>
      </c>
      <c r="G93">
        <f>IF($A93="","",IF($D93="V01",Cadrage!$C$23,IF($D93="V02",Cadrage!$D$23,Cadrage!$E$23)))</f>
        <v>-0.05</v>
      </c>
      <c r="H93">
        <f>IF($A93="","",IF($D93="V01",Cadrage!$C$24,IF($D93="V02",Cadrage!$D$24,Cadrage!$E$24)))</f>
        <v>-0.05</v>
      </c>
      <c r="I93">
        <f>IF($A93="","",IF($D93="V01",Cadrage!$C$34,IF($D93="V02",Cadrage!$D$34,Cadrage!$E$34)))</f>
        <v>0.03</v>
      </c>
      <c r="J93">
        <f>IF($A93="","",IF($D93="V01",Cadrage!$C$35,IF($D93="V02",Cadrage!$D$35,Cadrage!$E$35)))</f>
        <v>0.03</v>
      </c>
      <c r="K93">
        <f>IF($A93="","",IF($D93="V01",Cadrage!$C$36,IF($D93="V02",Cadrage!$D$36,Cadrage!$E$36)))</f>
        <v>0.05</v>
      </c>
      <c r="L93">
        <f>IF($A93="","",IF($D93="V01",Cadrage!$C$37,IF($D93="V02",Cadrage!$D$37,Cadrage!$E$37)))</f>
        <v>0</v>
      </c>
      <c r="M93">
        <f>IF($A93="","",IF($D93="V01",Cadrage!$C$38,IF($D93="V02",Cadrage!$D$38,Cadrage!$E$38)))</f>
        <v>0.04</v>
      </c>
      <c r="N93">
        <f t="shared" si="1"/>
        <v>0.980622079131853</v>
      </c>
      <c r="O93">
        <f t="shared" si="2"/>
        <v>0.980622079131853</v>
      </c>
      <c r="P93">
        <f>IF($A93="","",IF($E93=1,$F93*$O93,PNL!G93))</f>
        <v>8460</v>
      </c>
      <c r="T93">
        <f t="shared" si="3"/>
        <v>0</v>
      </c>
    </row>
    <row r="94" ht="14.25" customHeight="1">
      <c r="A94" t="str">
        <f>IF(PNL!A94="","",PNL!A94)</f>
        <v>IPAC_NAN</v>
      </c>
      <c r="B94" t="str">
        <f>IF(PNL!B94="","",PNL!B94)</f>
        <v>708</v>
      </c>
      <c r="C94" t="str">
        <f>IF(PNL!C94="","",PNL!C94)</f>
        <v>2026</v>
      </c>
      <c r="D94" t="str">
        <f>IF(PNL!D94="","",PNL!D94)</f>
        <v>ACT</v>
      </c>
      <c r="E94">
        <f t="shared" si="0"/>
        <v>0</v>
      </c>
      <c r="F94">
        <f>IF($A94="","",IF($E94=1,_xlfn.SUMIFS(Comptabilité!$F$1:$F$1446,Comptabilité!$A$1:$A$1446,$A94,Comptabilité!$B$1:$B$1446,$B94,Comptabilité!$C$1:$C$1446,"2026"),0))</f>
        <v>0</v>
      </c>
      <c r="G94">
        <f>IF($A94="","",IF($D94="V01",Cadrage!$C$23,IF($D94="V02",Cadrage!$D$23,Cadrage!$E$23)))</f>
        <v>-0.05</v>
      </c>
      <c r="H94">
        <f>IF($A94="","",IF($D94="V01",Cadrage!$C$24,IF($D94="V02",Cadrage!$D$24,Cadrage!$E$24)))</f>
        <v>-0.05</v>
      </c>
      <c r="I94">
        <f>IF($A94="","",IF($D94="V01",Cadrage!$C$34,IF($D94="V02",Cadrage!$D$34,Cadrage!$E$34)))</f>
        <v>0.03</v>
      </c>
      <c r="J94">
        <f>IF($A94="","",IF($D94="V01",Cadrage!$C$35,IF($D94="V02",Cadrage!$D$35,Cadrage!$E$35)))</f>
        <v>0.03</v>
      </c>
      <c r="K94">
        <f>IF($A94="","",IF($D94="V01",Cadrage!$C$36,IF($D94="V02",Cadrage!$D$36,Cadrage!$E$36)))</f>
        <v>0.05</v>
      </c>
      <c r="L94">
        <f>IF($A94="","",IF($D94="V01",Cadrage!$C$37,IF($D94="V02",Cadrage!$D$37,Cadrage!$E$37)))</f>
        <v>0</v>
      </c>
      <c r="M94">
        <f>IF($A94="","",IF($D94="V01",Cadrage!$C$38,IF($D94="V02",Cadrage!$D$38,Cadrage!$E$38)))</f>
        <v>0.04</v>
      </c>
      <c r="N94">
        <f t="shared" si="1"/>
        <v>0.980622079131853</v>
      </c>
      <c r="O94">
        <f t="shared" si="2"/>
        <v>0.980622079131853</v>
      </c>
      <c r="P94">
        <f>IF($A94="","",IF($E94=1,$F94*$O94,PNL!G94))</f>
        <v>4500</v>
      </c>
      <c r="T94">
        <f t="shared" si="3"/>
        <v>0</v>
      </c>
    </row>
    <row r="95" ht="14.25" customHeight="1">
      <c r="A95" t="str">
        <f>IF(PNL!A95="","",PNL!A95)</f>
        <v>IPAC_REN</v>
      </c>
      <c r="B95" t="str">
        <f>IF(PNL!B95="","",PNL!B95)</f>
        <v>708</v>
      </c>
      <c r="C95" t="str">
        <f>IF(PNL!C95="","",PNL!C95)</f>
        <v>2026</v>
      </c>
      <c r="D95" t="str">
        <f>IF(PNL!D95="","",PNL!D95)</f>
        <v>ACT</v>
      </c>
      <c r="E95">
        <f t="shared" si="0"/>
        <v>0</v>
      </c>
      <c r="F95">
        <f>IF($A95="","",IF($E95=1,_xlfn.SUMIFS(Comptabilité!$F$1:$F$1446,Comptabilité!$A$1:$A$1446,$A95,Comptabilité!$B$1:$B$1446,$B95,Comptabilité!$C$1:$C$1446,"2026"),0))</f>
        <v>0</v>
      </c>
      <c r="G95">
        <f>IF($A95="","",IF($D95="V01",Cadrage!$C$23,IF($D95="V02",Cadrage!$D$23,Cadrage!$E$23)))</f>
        <v>-0.05</v>
      </c>
      <c r="H95">
        <f>IF($A95="","",IF($D95="V01",Cadrage!$C$24,IF($D95="V02",Cadrage!$D$24,Cadrage!$E$24)))</f>
        <v>-0.05</v>
      </c>
      <c r="I95">
        <f>IF($A95="","",IF($D95="V01",Cadrage!$C$34,IF($D95="V02",Cadrage!$D$34,Cadrage!$E$34)))</f>
        <v>0.03</v>
      </c>
      <c r="J95">
        <f>IF($A95="","",IF($D95="V01",Cadrage!$C$35,IF($D95="V02",Cadrage!$D$35,Cadrage!$E$35)))</f>
        <v>0.03</v>
      </c>
      <c r="K95">
        <f>IF($A95="","",IF($D95="V01",Cadrage!$C$36,IF($D95="V02",Cadrage!$D$36,Cadrage!$E$36)))</f>
        <v>0.05</v>
      </c>
      <c r="L95">
        <f>IF($A95="","",IF($D95="V01",Cadrage!$C$37,IF($D95="V02",Cadrage!$D$37,Cadrage!$E$37)))</f>
        <v>0</v>
      </c>
      <c r="M95">
        <f>IF($A95="","",IF($D95="V01",Cadrage!$C$38,IF($D95="V02",Cadrage!$D$38,Cadrage!$E$38)))</f>
        <v>0.04</v>
      </c>
      <c r="N95">
        <f t="shared" si="1"/>
        <v>0.980622079131853</v>
      </c>
      <c r="O95">
        <f t="shared" si="2"/>
        <v>0.980622079131853</v>
      </c>
      <c r="P95">
        <f>IF($A95="","",IF($E95=1,$F95*$O95,PNL!G95))</f>
        <v>3600</v>
      </c>
      <c r="T95">
        <f t="shared" si="3"/>
        <v>0</v>
      </c>
    </row>
    <row r="96" ht="14.25" customHeight="1">
      <c r="A96" t="str">
        <f>IF(PNL!A96="","",PNL!A96)</f>
        <v>IPAC_MTP</v>
      </c>
      <c r="B96" t="str">
        <f>IF(PNL!B96="","",PNL!B96)</f>
        <v>708</v>
      </c>
      <c r="C96" t="str">
        <f>IF(PNL!C96="","",PNL!C96)</f>
        <v>2026</v>
      </c>
      <c r="D96" t="str">
        <f>IF(PNL!D96="","",PNL!D96)</f>
        <v>ACT</v>
      </c>
      <c r="E96">
        <f t="shared" si="0"/>
        <v>0</v>
      </c>
      <c r="F96">
        <f>IF($A96="","",IF($E96=1,_xlfn.SUMIFS(Comptabilité!$F$1:$F$1446,Comptabilité!$A$1:$A$1446,$A96,Comptabilité!$B$1:$B$1446,$B96,Comptabilité!$C$1:$C$1446,"2026"),0))</f>
        <v>0</v>
      </c>
      <c r="G96">
        <f>IF($A96="","",IF($D96="V01",Cadrage!$C$23,IF($D96="V02",Cadrage!$D$23,Cadrage!$E$23)))</f>
        <v>-0.05</v>
      </c>
      <c r="H96">
        <f>IF($A96="","",IF($D96="V01",Cadrage!$C$24,IF($D96="V02",Cadrage!$D$24,Cadrage!$E$24)))</f>
        <v>-0.05</v>
      </c>
      <c r="I96">
        <f>IF($A96="","",IF($D96="V01",Cadrage!$C$34,IF($D96="V02",Cadrage!$D$34,Cadrage!$E$34)))</f>
        <v>0.03</v>
      </c>
      <c r="J96">
        <f>IF($A96="","",IF($D96="V01",Cadrage!$C$35,IF($D96="V02",Cadrage!$D$35,Cadrage!$E$35)))</f>
        <v>0.03</v>
      </c>
      <c r="K96">
        <f>IF($A96="","",IF($D96="V01",Cadrage!$C$36,IF($D96="V02",Cadrage!$D$36,Cadrage!$E$36)))</f>
        <v>0.05</v>
      </c>
      <c r="L96">
        <f>IF($A96="","",IF($D96="V01",Cadrage!$C$37,IF($D96="V02",Cadrage!$D$37,Cadrage!$E$37)))</f>
        <v>0</v>
      </c>
      <c r="M96">
        <f>IF($A96="","",IF($D96="V01",Cadrage!$C$38,IF($D96="V02",Cadrage!$D$38,Cadrage!$E$38)))</f>
        <v>0.04</v>
      </c>
      <c r="N96">
        <f t="shared" si="1"/>
        <v>0.980622079131853</v>
      </c>
      <c r="O96">
        <f t="shared" si="2"/>
        <v>0.980622079131853</v>
      </c>
      <c r="P96">
        <f>IF($A96="","",IF($E96=1,$F96*$O96,PNL!G96))</f>
        <v>3600</v>
      </c>
      <c r="T96">
        <f t="shared" si="3"/>
        <v>0</v>
      </c>
    </row>
    <row r="97" ht="14.25" customHeight="1">
      <c r="A97" t="str">
        <f>IF(PNL!A97="","",PNL!A97)</f>
        <v>PIGIER_LYO</v>
      </c>
      <c r="B97" t="str">
        <f>IF(PNL!B97="","",PNL!B97)</f>
        <v>708</v>
      </c>
      <c r="C97" t="str">
        <f>IF(PNL!C97="","",PNL!C97)</f>
        <v>2026</v>
      </c>
      <c r="D97" t="str">
        <f>IF(PNL!D97="","",PNL!D97)</f>
        <v>ACT</v>
      </c>
      <c r="E97">
        <f t="shared" si="0"/>
        <v>0</v>
      </c>
      <c r="F97">
        <f>IF($A97="","",IF($E97=1,_xlfn.SUMIFS(Comptabilité!$F$1:$F$1446,Comptabilité!$A$1:$A$1446,$A97,Comptabilité!$B$1:$B$1446,$B97,Comptabilité!$C$1:$C$1446,"2026"),0))</f>
        <v>0</v>
      </c>
      <c r="G97">
        <f>IF($A97="","",IF($D97="V01",Cadrage!$C$23,IF($D97="V02",Cadrage!$D$23,Cadrage!$E$23)))</f>
        <v>-0.05</v>
      </c>
      <c r="H97">
        <f>IF($A97="","",IF($D97="V01",Cadrage!$C$24,IF($D97="V02",Cadrage!$D$24,Cadrage!$E$24)))</f>
        <v>-0.05</v>
      </c>
      <c r="I97">
        <f>IF($A97="","",IF($D97="V01",Cadrage!$C$34,IF($D97="V02",Cadrage!$D$34,Cadrage!$E$34)))</f>
        <v>0.03</v>
      </c>
      <c r="J97">
        <f>IF($A97="","",IF($D97="V01",Cadrage!$C$35,IF($D97="V02",Cadrage!$D$35,Cadrage!$E$35)))</f>
        <v>0.03</v>
      </c>
      <c r="K97">
        <f>IF($A97="","",IF($D97="V01",Cadrage!$C$36,IF($D97="V02",Cadrage!$D$36,Cadrage!$E$36)))</f>
        <v>0.05</v>
      </c>
      <c r="L97">
        <f>IF($A97="","",IF($D97="V01",Cadrage!$C$37,IF($D97="V02",Cadrage!$D$37,Cadrage!$E$37)))</f>
        <v>0</v>
      </c>
      <c r="M97">
        <f>IF($A97="","",IF($D97="V01",Cadrage!$C$38,IF($D97="V02",Cadrage!$D$38,Cadrage!$E$38)))</f>
        <v>0.04</v>
      </c>
      <c r="N97">
        <f t="shared" si="1"/>
        <v>0.980622079131853</v>
      </c>
      <c r="O97">
        <f t="shared" si="2"/>
        <v>0.980622079131853</v>
      </c>
      <c r="P97">
        <f>IF($A97="","",IF($E97=1,$F97*$O97,PNL!G97))</f>
        <v>8280</v>
      </c>
      <c r="T97">
        <f t="shared" si="3"/>
        <v>0</v>
      </c>
    </row>
    <row r="98" ht="14.25" customHeight="1">
      <c r="A98" t="str">
        <f>IF(PNL!A98="","",PNL!A98)</f>
        <v>PIGIER_BOR</v>
      </c>
      <c r="B98" t="str">
        <f>IF(PNL!B98="","",PNL!B98)</f>
        <v>708</v>
      </c>
      <c r="C98" t="str">
        <f>IF(PNL!C98="","",PNL!C98)</f>
        <v>2026</v>
      </c>
      <c r="D98" t="str">
        <f>IF(PNL!D98="","",PNL!D98)</f>
        <v>ACT</v>
      </c>
      <c r="E98">
        <f t="shared" si="0"/>
        <v>0</v>
      </c>
      <c r="F98">
        <f>IF($A98="","",IF($E98=1,_xlfn.SUMIFS(Comptabilité!$F$1:$F$1446,Comptabilité!$A$1:$A$1446,$A98,Comptabilité!$B$1:$B$1446,$B98,Comptabilité!$C$1:$C$1446,"2026"),0))</f>
        <v>0</v>
      </c>
      <c r="G98">
        <f>IF($A98="","",IF($D98="V01",Cadrage!$C$23,IF($D98="V02",Cadrage!$D$23,Cadrage!$E$23)))</f>
        <v>-0.05</v>
      </c>
      <c r="H98">
        <f>IF($A98="","",IF($D98="V01",Cadrage!$C$24,IF($D98="V02",Cadrage!$D$24,Cadrage!$E$24)))</f>
        <v>-0.05</v>
      </c>
      <c r="I98">
        <f>IF($A98="","",IF($D98="V01",Cadrage!$C$34,IF($D98="V02",Cadrage!$D$34,Cadrage!$E$34)))</f>
        <v>0.03</v>
      </c>
      <c r="J98">
        <f>IF($A98="","",IF($D98="V01",Cadrage!$C$35,IF($D98="V02",Cadrage!$D$35,Cadrage!$E$35)))</f>
        <v>0.03</v>
      </c>
      <c r="K98">
        <f>IF($A98="","",IF($D98="V01",Cadrage!$C$36,IF($D98="V02",Cadrage!$D$36,Cadrage!$E$36)))</f>
        <v>0.05</v>
      </c>
      <c r="L98">
        <f>IF($A98="","",IF($D98="V01",Cadrage!$C$37,IF($D98="V02",Cadrage!$D$37,Cadrage!$E$37)))</f>
        <v>0</v>
      </c>
      <c r="M98">
        <f>IF($A98="","",IF($D98="V01",Cadrage!$C$38,IF($D98="V02",Cadrage!$D$38,Cadrage!$E$38)))</f>
        <v>0.04</v>
      </c>
      <c r="N98">
        <f t="shared" si="1"/>
        <v>0.980622079131853</v>
      </c>
      <c r="O98">
        <f t="shared" si="2"/>
        <v>0.980622079131853</v>
      </c>
      <c r="P98">
        <f>IF($A98="","",IF($E98=1,$F98*$O98,PNL!G98))</f>
        <v>6480</v>
      </c>
      <c r="T98">
        <f t="shared" si="3"/>
        <v>0</v>
      </c>
    </row>
    <row r="99" ht="14.25" customHeight="1">
      <c r="A99" t="str">
        <f>IF(PNL!A99="","",PNL!A99)</f>
        <v>TUNON_PAR</v>
      </c>
      <c r="B99" t="str">
        <f>IF(PNL!B99="","",PNL!B99)</f>
        <v>708</v>
      </c>
      <c r="C99" t="str">
        <f>IF(PNL!C99="","",PNL!C99)</f>
        <v>2026</v>
      </c>
      <c r="D99" t="str">
        <f>IF(PNL!D99="","",PNL!D99)</f>
        <v>ACT</v>
      </c>
      <c r="E99">
        <f t="shared" si="0"/>
        <v>0</v>
      </c>
      <c r="F99">
        <f>IF($A99="","",IF($E99=1,_xlfn.SUMIFS(Comptabilité!$F$1:$F$1446,Comptabilité!$A$1:$A$1446,$A99,Comptabilité!$B$1:$B$1446,$B99,Comptabilité!$C$1:$C$1446,"2026"),0))</f>
        <v>0</v>
      </c>
      <c r="G99">
        <f>IF($A99="","",IF($D99="V01",Cadrage!$C$23,IF($D99="V02",Cadrage!$D$23,Cadrage!$E$23)))</f>
        <v>-0.05</v>
      </c>
      <c r="H99">
        <f>IF($A99="","",IF($D99="V01",Cadrage!$C$24,IF($D99="V02",Cadrage!$D$24,Cadrage!$E$24)))</f>
        <v>-0.05</v>
      </c>
      <c r="I99">
        <f>IF($A99="","",IF($D99="V01",Cadrage!$C$34,IF($D99="V02",Cadrage!$D$34,Cadrage!$E$34)))</f>
        <v>0.03</v>
      </c>
      <c r="J99">
        <f>IF($A99="","",IF($D99="V01",Cadrage!$C$35,IF($D99="V02",Cadrage!$D$35,Cadrage!$E$35)))</f>
        <v>0.03</v>
      </c>
      <c r="K99">
        <f>IF($A99="","",IF($D99="V01",Cadrage!$C$36,IF($D99="V02",Cadrage!$D$36,Cadrage!$E$36)))</f>
        <v>0.05</v>
      </c>
      <c r="L99">
        <f>IF($A99="","",IF($D99="V01",Cadrage!$C$37,IF($D99="V02",Cadrage!$D$37,Cadrage!$E$37)))</f>
        <v>0</v>
      </c>
      <c r="M99">
        <f>IF($A99="","",IF($D99="V01",Cadrage!$C$38,IF($D99="V02",Cadrage!$D$38,Cadrage!$E$38)))</f>
        <v>0.04</v>
      </c>
      <c r="N99">
        <f t="shared" si="1"/>
        <v>0.980622079131853</v>
      </c>
      <c r="O99">
        <f t="shared" si="2"/>
        <v>0.980622079131853</v>
      </c>
      <c r="P99">
        <f>IF($A99="","",IF($E99=1,$F99*$O99,PNL!G99))</f>
        <v>4230</v>
      </c>
      <c r="T99">
        <f t="shared" si="3"/>
        <v>0</v>
      </c>
    </row>
    <row r="100" ht="14.25" customHeight="1">
      <c r="A100" t="str">
        <f>IF(PNL!A100="","",PNL!A100)</f>
        <v>TUNON_LYO</v>
      </c>
      <c r="B100" t="str">
        <f>IF(PNL!B100="","",PNL!B100)</f>
        <v>708</v>
      </c>
      <c r="C100" t="str">
        <f>IF(PNL!C100="","",PNL!C100)</f>
        <v>2026</v>
      </c>
      <c r="D100" t="str">
        <f>IF(PNL!D100="","",PNL!D100)</f>
        <v>ACT</v>
      </c>
      <c r="E100">
        <f t="shared" si="0"/>
        <v>0</v>
      </c>
      <c r="F100">
        <f>IF($A100="","",IF($E100=1,_xlfn.SUMIFS(Comptabilité!$F$1:$F$1446,Comptabilité!$A$1:$A$1446,$A100,Comptabilité!$B$1:$B$1446,$B100,Comptabilité!$C$1:$C$1446,"2026"),0))</f>
        <v>0</v>
      </c>
      <c r="G100">
        <f>IF($A100="","",IF($D100="V01",Cadrage!$C$23,IF($D100="V02",Cadrage!$D$23,Cadrage!$E$23)))</f>
        <v>-0.05</v>
      </c>
      <c r="H100">
        <f>IF($A100="","",IF($D100="V01",Cadrage!$C$24,IF($D100="V02",Cadrage!$D$24,Cadrage!$E$24)))</f>
        <v>-0.05</v>
      </c>
      <c r="I100">
        <f>IF($A100="","",IF($D100="V01",Cadrage!$C$34,IF($D100="V02",Cadrage!$D$34,Cadrage!$E$34)))</f>
        <v>0.03</v>
      </c>
      <c r="J100">
        <f>IF($A100="","",IF($D100="V01",Cadrage!$C$35,IF($D100="V02",Cadrage!$D$35,Cadrage!$E$35)))</f>
        <v>0.03</v>
      </c>
      <c r="K100">
        <f>IF($A100="","",IF($D100="V01",Cadrage!$C$36,IF($D100="V02",Cadrage!$D$36,Cadrage!$E$36)))</f>
        <v>0.05</v>
      </c>
      <c r="L100">
        <f>IF($A100="","",IF($D100="V01",Cadrage!$C$37,IF($D100="V02",Cadrage!$D$37,Cadrage!$E$37)))</f>
        <v>0</v>
      </c>
      <c r="M100">
        <f>IF($A100="","",IF($D100="V01",Cadrage!$C$38,IF($D100="V02",Cadrage!$D$38,Cadrage!$E$38)))</f>
        <v>0.04</v>
      </c>
      <c r="N100">
        <f t="shared" si="1"/>
        <v>0.980622079131853</v>
      </c>
      <c r="O100">
        <f t="shared" si="2"/>
        <v>0.980622079131853</v>
      </c>
      <c r="P100">
        <f>IF($A100="","",IF($E100=1,$F100*$O100,PNL!G100))</f>
        <v>3600</v>
      </c>
      <c r="T100">
        <f t="shared" si="3"/>
        <v>0</v>
      </c>
    </row>
    <row r="101" ht="14.25" customHeight="1">
      <c r="A101" t="str">
        <f>IF(PNL!A101="","",PNL!A101)</f>
        <v>MBWAY_PAR</v>
      </c>
      <c r="B101" t="str">
        <f>IF(PNL!B101="","",PNL!B101)</f>
        <v>621</v>
      </c>
      <c r="C101" t="str">
        <f>IF(PNL!C101="","",PNL!C101)</f>
        <v>2024</v>
      </c>
      <c r="D101" t="str">
        <f>IF(PNL!D101="","",PNL!D101)</f>
        <v>ACT</v>
      </c>
      <c r="E101">
        <f t="shared" si="0"/>
        <v>0</v>
      </c>
      <c r="F101">
        <f>IF($A101="","",IF($E101=1,_xlfn.SUMIFS(Comptabilité!$F$1:$F$1446,Comptabilité!$A$1:$A$1446,$A101,Comptabilité!$B$1:$B$1446,$B101,Comptabilité!$C$1:$C$1446,"2026"),0))</f>
        <v>0</v>
      </c>
      <c r="G101">
        <f>IF($A101="","",IF($D101="V01",Cadrage!$C$23,IF($D101="V02",Cadrage!$D$23,Cadrage!$E$23)))</f>
        <v>-0.05</v>
      </c>
      <c r="H101">
        <f>IF($A101="","",IF($D101="V01",Cadrage!$C$24,IF($D101="V02",Cadrage!$D$24,Cadrage!$E$24)))</f>
        <v>-0.05</v>
      </c>
      <c r="I101">
        <f>IF($A101="","",IF($D101="V01",Cadrage!$C$34,IF($D101="V02",Cadrage!$D$34,Cadrage!$E$34)))</f>
        <v>0.03</v>
      </c>
      <c r="J101">
        <f>IF($A101="","",IF($D101="V01",Cadrage!$C$35,IF($D101="V02",Cadrage!$D$35,Cadrage!$E$35)))</f>
        <v>0.03</v>
      </c>
      <c r="K101">
        <f>IF($A101="","",IF($D101="V01",Cadrage!$C$36,IF($D101="V02",Cadrage!$D$36,Cadrage!$E$36)))</f>
        <v>0.05</v>
      </c>
      <c r="L101">
        <f>IF($A101="","",IF($D101="V01",Cadrage!$C$37,IF($D101="V02",Cadrage!$D$37,Cadrage!$E$37)))</f>
        <v>0</v>
      </c>
      <c r="M101">
        <f>IF($A101="","",IF($D101="V01",Cadrage!$C$38,IF($D101="V02",Cadrage!$D$38,Cadrage!$E$38)))</f>
        <v>0.04</v>
      </c>
      <c r="N101">
        <f t="shared" si="1"/>
        <v>0.980622079131853</v>
      </c>
      <c r="O101">
        <f t="shared" si="2"/>
        <v>0.980622079131853</v>
      </c>
      <c r="P101">
        <f>IF($A101="","",IF($E101=1,$F101*$O101,PNL!G101))</f>
        <v>165271</v>
      </c>
      <c r="T101">
        <f t="shared" si="3"/>
        <v>0</v>
      </c>
    </row>
    <row r="102" ht="14.25" customHeight="1">
      <c r="A102" t="str">
        <f>IF(PNL!A102="","",PNL!A102)</f>
        <v>MBWAY_LYO</v>
      </c>
      <c r="B102" t="str">
        <f>IF(PNL!B102="","",PNL!B102)</f>
        <v>621</v>
      </c>
      <c r="C102" t="str">
        <f>IF(PNL!C102="","",PNL!C102)</f>
        <v>2024</v>
      </c>
      <c r="D102" t="str">
        <f>IF(PNL!D102="","",PNL!D102)</f>
        <v>ACT</v>
      </c>
      <c r="E102">
        <f t="shared" si="0"/>
        <v>0</v>
      </c>
      <c r="F102">
        <f>IF($A102="","",IF($E102=1,_xlfn.SUMIFS(Comptabilité!$F$1:$F$1446,Comptabilité!$A$1:$A$1446,$A102,Comptabilité!$B$1:$B$1446,$B102,Comptabilité!$C$1:$C$1446,"2026"),0))</f>
        <v>0</v>
      </c>
      <c r="G102">
        <f>IF($A102="","",IF($D102="V01",Cadrage!$C$23,IF($D102="V02",Cadrage!$D$23,Cadrage!$E$23)))</f>
        <v>-0.05</v>
      </c>
      <c r="H102">
        <f>IF($A102="","",IF($D102="V01",Cadrage!$C$24,IF($D102="V02",Cadrage!$D$24,Cadrage!$E$24)))</f>
        <v>-0.05</v>
      </c>
      <c r="I102">
        <f>IF($A102="","",IF($D102="V01",Cadrage!$C$34,IF($D102="V02",Cadrage!$D$34,Cadrage!$E$34)))</f>
        <v>0.03</v>
      </c>
      <c r="J102">
        <f>IF($A102="","",IF($D102="V01",Cadrage!$C$35,IF($D102="V02",Cadrage!$D$35,Cadrage!$E$35)))</f>
        <v>0.03</v>
      </c>
      <c r="K102">
        <f>IF($A102="","",IF($D102="V01",Cadrage!$C$36,IF($D102="V02",Cadrage!$D$36,Cadrage!$E$36)))</f>
        <v>0.05</v>
      </c>
      <c r="L102">
        <f>IF($A102="","",IF($D102="V01",Cadrage!$C$37,IF($D102="V02",Cadrage!$D$37,Cadrage!$E$37)))</f>
        <v>0</v>
      </c>
      <c r="M102">
        <f>IF($A102="","",IF($D102="V01",Cadrage!$C$38,IF($D102="V02",Cadrage!$D$38,Cadrage!$E$38)))</f>
        <v>0.04</v>
      </c>
      <c r="N102">
        <f t="shared" si="1"/>
        <v>0.980622079131853</v>
      </c>
      <c r="O102">
        <f t="shared" si="2"/>
        <v>0.980622079131853</v>
      </c>
      <c r="P102">
        <f>IF($A102="","",IF($E102=1,$F102*$O102,PNL!G102))</f>
        <v>143235</v>
      </c>
      <c r="T102">
        <f t="shared" si="3"/>
        <v>0</v>
      </c>
    </row>
    <row r="103" ht="14.25" customHeight="1">
      <c r="A103" t="str">
        <f>IF(PNL!A103="","",PNL!A103)</f>
        <v>MBWAY_NAN</v>
      </c>
      <c r="B103" t="str">
        <f>IF(PNL!B103="","",PNL!B103)</f>
        <v>621</v>
      </c>
      <c r="C103" t="str">
        <f>IF(PNL!C103="","",PNL!C103)</f>
        <v>2024</v>
      </c>
      <c r="D103" t="str">
        <f>IF(PNL!D103="","",PNL!D103)</f>
        <v>ACT</v>
      </c>
      <c r="E103">
        <f t="shared" si="0"/>
        <v>0</v>
      </c>
      <c r="F103">
        <f>IF($A103="","",IF($E103=1,_xlfn.SUMIFS(Comptabilité!$F$1:$F$1446,Comptabilité!$A$1:$A$1446,$A103,Comptabilité!$B$1:$B$1446,$B103,Comptabilité!$C$1:$C$1446,"2026"),0))</f>
        <v>0</v>
      </c>
      <c r="G103">
        <f>IF($A103="","",IF($D103="V01",Cadrage!$C$23,IF($D103="V02",Cadrage!$D$23,Cadrage!$E$23)))</f>
        <v>-0.05</v>
      </c>
      <c r="H103">
        <f>IF($A103="","",IF($D103="V01",Cadrage!$C$24,IF($D103="V02",Cadrage!$D$24,Cadrage!$E$24)))</f>
        <v>-0.05</v>
      </c>
      <c r="I103">
        <f>IF($A103="","",IF($D103="V01",Cadrage!$C$34,IF($D103="V02",Cadrage!$D$34,Cadrage!$E$34)))</f>
        <v>0.03</v>
      </c>
      <c r="J103">
        <f>IF($A103="","",IF($D103="V01",Cadrage!$C$35,IF($D103="V02",Cadrage!$D$35,Cadrage!$E$35)))</f>
        <v>0.03</v>
      </c>
      <c r="K103">
        <f>IF($A103="","",IF($D103="V01",Cadrage!$C$36,IF($D103="V02",Cadrage!$D$36,Cadrage!$E$36)))</f>
        <v>0.05</v>
      </c>
      <c r="L103">
        <f>IF($A103="","",IF($D103="V01",Cadrage!$C$37,IF($D103="V02",Cadrage!$D$37,Cadrage!$E$37)))</f>
        <v>0</v>
      </c>
      <c r="M103">
        <f>IF($A103="","",IF($D103="V01",Cadrage!$C$38,IF($D103="V02",Cadrage!$D$38,Cadrage!$E$38)))</f>
        <v>0.04</v>
      </c>
      <c r="N103">
        <f t="shared" si="1"/>
        <v>0.980622079131853</v>
      </c>
      <c r="O103">
        <f t="shared" si="2"/>
        <v>0.980622079131853</v>
      </c>
      <c r="P103">
        <f>IF($A103="","",IF($E103=1,$F103*$O103,PNL!G103))</f>
        <v>132216</v>
      </c>
      <c r="T103">
        <f t="shared" si="3"/>
        <v>0</v>
      </c>
    </row>
    <row r="104" ht="14.25" customHeight="1">
      <c r="A104" t="str">
        <f>IF(PNL!A104="","",PNL!A104)</f>
        <v>MBWAY_BOR</v>
      </c>
      <c r="B104" t="str">
        <f>IF(PNL!B104="","",PNL!B104)</f>
        <v>621</v>
      </c>
      <c r="C104" t="str">
        <f>IF(PNL!C104="","",PNL!C104)</f>
        <v>2024</v>
      </c>
      <c r="D104" t="str">
        <f>IF(PNL!D104="","",PNL!D104)</f>
        <v>ACT</v>
      </c>
      <c r="E104">
        <f t="shared" si="0"/>
        <v>0</v>
      </c>
      <c r="F104">
        <f>IF($A104="","",IF($E104=1,_xlfn.SUMIFS(Comptabilité!$F$1:$F$1446,Comptabilité!$A$1:$A$1446,$A104,Comptabilité!$B$1:$B$1446,$B104,Comptabilité!$C$1:$C$1446,"2026"),0))</f>
        <v>0</v>
      </c>
      <c r="G104">
        <f>IF($A104="","",IF($D104="V01",Cadrage!$C$23,IF($D104="V02",Cadrage!$D$23,Cadrage!$E$23)))</f>
        <v>-0.05</v>
      </c>
      <c r="H104">
        <f>IF($A104="","",IF($D104="V01",Cadrage!$C$24,IF($D104="V02",Cadrage!$D$24,Cadrage!$E$24)))</f>
        <v>-0.05</v>
      </c>
      <c r="I104">
        <f>IF($A104="","",IF($D104="V01",Cadrage!$C$34,IF($D104="V02",Cadrage!$D$34,Cadrage!$E$34)))</f>
        <v>0.03</v>
      </c>
      <c r="J104">
        <f>IF($A104="","",IF($D104="V01",Cadrage!$C$35,IF($D104="V02",Cadrage!$D$35,Cadrage!$E$35)))</f>
        <v>0.03</v>
      </c>
      <c r="K104">
        <f>IF($A104="","",IF($D104="V01",Cadrage!$C$36,IF($D104="V02",Cadrage!$D$36,Cadrage!$E$36)))</f>
        <v>0.05</v>
      </c>
      <c r="L104">
        <f>IF($A104="","",IF($D104="V01",Cadrage!$C$37,IF($D104="V02",Cadrage!$D$37,Cadrage!$E$37)))</f>
        <v>0</v>
      </c>
      <c r="M104">
        <f>IF($A104="","",IF($D104="V01",Cadrage!$C$38,IF($D104="V02",Cadrage!$D$38,Cadrage!$E$38)))</f>
        <v>0.04</v>
      </c>
      <c r="N104">
        <f t="shared" si="1"/>
        <v>0.980622079131853</v>
      </c>
      <c r="O104">
        <f t="shared" si="2"/>
        <v>0.980622079131853</v>
      </c>
      <c r="P104">
        <f>IF($A104="","",IF($E104=1,$F104*$O104,PNL!G104))</f>
        <v>110180</v>
      </c>
      <c r="T104">
        <f t="shared" si="3"/>
        <v>0</v>
      </c>
    </row>
    <row r="105" ht="14.25" customHeight="1">
      <c r="A105" t="str">
        <f>IF(PNL!A105="","",PNL!A105)</f>
        <v>ISCOM_PAR</v>
      </c>
      <c r="B105" t="str">
        <f>IF(PNL!B105="","",PNL!B105)</f>
        <v>621</v>
      </c>
      <c r="C105" t="str">
        <f>IF(PNL!C105="","",PNL!C105)</f>
        <v>2024</v>
      </c>
      <c r="D105" t="str">
        <f>IF(PNL!D105="","",PNL!D105)</f>
        <v>ACT</v>
      </c>
      <c r="E105">
        <f t="shared" si="0"/>
        <v>0</v>
      </c>
      <c r="F105">
        <f>IF($A105="","",IF($E105=1,_xlfn.SUMIFS(Comptabilité!$F$1:$F$1446,Comptabilité!$A$1:$A$1446,$A105,Comptabilité!$B$1:$B$1446,$B105,Comptabilité!$C$1:$C$1446,"2026"),0))</f>
        <v>0</v>
      </c>
      <c r="G105">
        <f>IF($A105="","",IF($D105="V01",Cadrage!$C$23,IF($D105="V02",Cadrage!$D$23,Cadrage!$E$23)))</f>
        <v>-0.05</v>
      </c>
      <c r="H105">
        <f>IF($A105="","",IF($D105="V01",Cadrage!$C$24,IF($D105="V02",Cadrage!$D$24,Cadrage!$E$24)))</f>
        <v>-0.05</v>
      </c>
      <c r="I105">
        <f>IF($A105="","",IF($D105="V01",Cadrage!$C$34,IF($D105="V02",Cadrage!$D$34,Cadrage!$E$34)))</f>
        <v>0.03</v>
      </c>
      <c r="J105">
        <f>IF($A105="","",IF($D105="V01",Cadrage!$C$35,IF($D105="V02",Cadrage!$D$35,Cadrage!$E$35)))</f>
        <v>0.03</v>
      </c>
      <c r="K105">
        <f>IF($A105="","",IF($D105="V01",Cadrage!$C$36,IF($D105="V02",Cadrage!$D$36,Cadrage!$E$36)))</f>
        <v>0.05</v>
      </c>
      <c r="L105">
        <f>IF($A105="","",IF($D105="V01",Cadrage!$C$37,IF($D105="V02",Cadrage!$D$37,Cadrage!$E$37)))</f>
        <v>0</v>
      </c>
      <c r="M105">
        <f>IF($A105="","",IF($D105="V01",Cadrage!$C$38,IF($D105="V02",Cadrage!$D$38,Cadrage!$E$38)))</f>
        <v>0.04</v>
      </c>
      <c r="N105">
        <f t="shared" si="1"/>
        <v>0.980622079131853</v>
      </c>
      <c r="O105">
        <f t="shared" si="2"/>
        <v>0.980622079131853</v>
      </c>
      <c r="P105">
        <f>IF($A105="","",IF($E105=1,$F105*$O105,PNL!G105))</f>
        <v>165271</v>
      </c>
      <c r="T105">
        <f t="shared" si="3"/>
        <v>0</v>
      </c>
    </row>
    <row r="106" ht="14.25" customHeight="1">
      <c r="A106" t="str">
        <f>IF(PNL!A106="","",PNL!A106)</f>
        <v>ISCOM_LIL</v>
      </c>
      <c r="B106" t="str">
        <f>IF(PNL!B106="","",PNL!B106)</f>
        <v>621</v>
      </c>
      <c r="C106" t="str">
        <f>IF(PNL!C106="","",PNL!C106)</f>
        <v>2024</v>
      </c>
      <c r="D106" t="str">
        <f>IF(PNL!D106="","",PNL!D106)</f>
        <v>ACT</v>
      </c>
      <c r="E106">
        <f t="shared" si="0"/>
        <v>0</v>
      </c>
      <c r="F106">
        <f>IF($A106="","",IF($E106=1,_xlfn.SUMIFS(Comptabilité!$F$1:$F$1446,Comptabilité!$A$1:$A$1446,$A106,Comptabilité!$B$1:$B$1446,$B106,Comptabilité!$C$1:$C$1446,"2026"),0))</f>
        <v>0</v>
      </c>
      <c r="G106">
        <f>IF($A106="","",IF($D106="V01",Cadrage!$C$23,IF($D106="V02",Cadrage!$D$23,Cadrage!$E$23)))</f>
        <v>-0.05</v>
      </c>
      <c r="H106">
        <f>IF($A106="","",IF($D106="V01",Cadrage!$C$24,IF($D106="V02",Cadrage!$D$24,Cadrage!$E$24)))</f>
        <v>-0.05</v>
      </c>
      <c r="I106">
        <f>IF($A106="","",IF($D106="V01",Cadrage!$C$34,IF($D106="V02",Cadrage!$D$34,Cadrage!$E$34)))</f>
        <v>0.03</v>
      </c>
      <c r="J106">
        <f>IF($A106="","",IF($D106="V01",Cadrage!$C$35,IF($D106="V02",Cadrage!$D$35,Cadrage!$E$35)))</f>
        <v>0.03</v>
      </c>
      <c r="K106">
        <f>IF($A106="","",IF($D106="V01",Cadrage!$C$36,IF($D106="V02",Cadrage!$D$36,Cadrage!$E$36)))</f>
        <v>0.05</v>
      </c>
      <c r="L106">
        <f>IF($A106="","",IF($D106="V01",Cadrage!$C$37,IF($D106="V02",Cadrage!$D$37,Cadrage!$E$37)))</f>
        <v>0</v>
      </c>
      <c r="M106">
        <f>IF($A106="","",IF($D106="V01",Cadrage!$C$38,IF($D106="V02",Cadrage!$D$38,Cadrage!$E$38)))</f>
        <v>0.04</v>
      </c>
      <c r="N106">
        <f t="shared" si="1"/>
        <v>0.980622079131853</v>
      </c>
      <c r="O106">
        <f t="shared" si="2"/>
        <v>0.980622079131853</v>
      </c>
      <c r="P106">
        <f>IF($A106="","",IF($E106=1,$F106*$O106,PNL!G106))</f>
        <v>110180</v>
      </c>
      <c r="T106">
        <f t="shared" si="3"/>
        <v>0</v>
      </c>
    </row>
    <row r="107" ht="14.25" customHeight="1">
      <c r="A107" t="str">
        <f>IF(PNL!A107="","",PNL!A107)</f>
        <v>ISCOM_TLS</v>
      </c>
      <c r="B107" t="str">
        <f>IF(PNL!B107="","",PNL!B107)</f>
        <v>621</v>
      </c>
      <c r="C107" t="str">
        <f>IF(PNL!C107="","",PNL!C107)</f>
        <v>2024</v>
      </c>
      <c r="D107" t="str">
        <f>IF(PNL!D107="","",PNL!D107)</f>
        <v>ACT</v>
      </c>
      <c r="E107">
        <f t="shared" si="0"/>
        <v>0</v>
      </c>
      <c r="F107">
        <f>IF($A107="","",IF($E107=1,_xlfn.SUMIFS(Comptabilité!$F$1:$F$1446,Comptabilité!$A$1:$A$1446,$A107,Comptabilité!$B$1:$B$1446,$B107,Comptabilité!$C$1:$C$1446,"2026"),0))</f>
        <v>0</v>
      </c>
      <c r="G107">
        <f>IF($A107="","",IF($D107="V01",Cadrage!$C$23,IF($D107="V02",Cadrage!$D$23,Cadrage!$E$23)))</f>
        <v>-0.05</v>
      </c>
      <c r="H107">
        <f>IF($A107="","",IF($D107="V01",Cadrage!$C$24,IF($D107="V02",Cadrage!$D$24,Cadrage!$E$24)))</f>
        <v>-0.05</v>
      </c>
      <c r="I107">
        <f>IF($A107="","",IF($D107="V01",Cadrage!$C$34,IF($D107="V02",Cadrage!$D$34,Cadrage!$E$34)))</f>
        <v>0.03</v>
      </c>
      <c r="J107">
        <f>IF($A107="","",IF($D107="V01",Cadrage!$C$35,IF($D107="V02",Cadrage!$D$35,Cadrage!$E$35)))</f>
        <v>0.03</v>
      </c>
      <c r="K107">
        <f>IF($A107="","",IF($D107="V01",Cadrage!$C$36,IF($D107="V02",Cadrage!$D$36,Cadrage!$E$36)))</f>
        <v>0.05</v>
      </c>
      <c r="L107">
        <f>IF($A107="","",IF($D107="V01",Cadrage!$C$37,IF($D107="V02",Cadrage!$D$37,Cadrage!$E$37)))</f>
        <v>0</v>
      </c>
      <c r="M107">
        <f>IF($A107="","",IF($D107="V01",Cadrage!$C$38,IF($D107="V02",Cadrage!$D$38,Cadrage!$E$38)))</f>
        <v>0.04</v>
      </c>
      <c r="N107">
        <f t="shared" si="1"/>
        <v>0.980622079131853</v>
      </c>
      <c r="O107">
        <f t="shared" si="2"/>
        <v>0.980622079131853</v>
      </c>
      <c r="P107">
        <f>IF($A107="","",IF($E107=1,$F107*$O107,PNL!G107))</f>
        <v>110180</v>
      </c>
      <c r="T107">
        <f t="shared" si="3"/>
        <v>0</v>
      </c>
    </row>
    <row r="108" ht="14.25" customHeight="1">
      <c r="A108" t="str">
        <f>IF(PNL!A108="","",PNL!A108)</f>
        <v>IPAC_NAN</v>
      </c>
      <c r="B108" t="str">
        <f>IF(PNL!B108="","",PNL!B108)</f>
        <v>621</v>
      </c>
      <c r="C108" t="str">
        <f>IF(PNL!C108="","",PNL!C108)</f>
        <v>2024</v>
      </c>
      <c r="D108" t="str">
        <f>IF(PNL!D108="","",PNL!D108)</f>
        <v>ACT</v>
      </c>
      <c r="E108">
        <f t="shared" si="0"/>
        <v>0</v>
      </c>
      <c r="F108">
        <f>IF($A108="","",IF($E108=1,_xlfn.SUMIFS(Comptabilité!$F$1:$F$1446,Comptabilité!$A$1:$A$1446,$A108,Comptabilité!$B$1:$B$1446,$B108,Comptabilité!$C$1:$C$1446,"2026"),0))</f>
        <v>0</v>
      </c>
      <c r="G108">
        <f>IF($A108="","",IF($D108="V01",Cadrage!$C$23,IF($D108="V02",Cadrage!$D$23,Cadrage!$E$23)))</f>
        <v>-0.05</v>
      </c>
      <c r="H108">
        <f>IF($A108="","",IF($D108="V01",Cadrage!$C$24,IF($D108="V02",Cadrage!$D$24,Cadrage!$E$24)))</f>
        <v>-0.05</v>
      </c>
      <c r="I108">
        <f>IF($A108="","",IF($D108="V01",Cadrage!$C$34,IF($D108="V02",Cadrage!$D$34,Cadrage!$E$34)))</f>
        <v>0.03</v>
      </c>
      <c r="J108">
        <f>IF($A108="","",IF($D108="V01",Cadrage!$C$35,IF($D108="V02",Cadrage!$D$35,Cadrage!$E$35)))</f>
        <v>0.03</v>
      </c>
      <c r="K108">
        <f>IF($A108="","",IF($D108="V01",Cadrage!$C$36,IF($D108="V02",Cadrage!$D$36,Cadrage!$E$36)))</f>
        <v>0.05</v>
      </c>
      <c r="L108">
        <f>IF($A108="","",IF($D108="V01",Cadrage!$C$37,IF($D108="V02",Cadrage!$D$37,Cadrage!$E$37)))</f>
        <v>0</v>
      </c>
      <c r="M108">
        <f>IF($A108="","",IF($D108="V01",Cadrage!$C$38,IF($D108="V02",Cadrage!$D$38,Cadrage!$E$38)))</f>
        <v>0.04</v>
      </c>
      <c r="N108">
        <f t="shared" si="1"/>
        <v>0.980622079131853</v>
      </c>
      <c r="O108">
        <f t="shared" si="2"/>
        <v>0.980622079131853</v>
      </c>
      <c r="P108">
        <f>IF($A108="","",IF($E108=1,$F108*$O108,PNL!G108))</f>
        <v>66108</v>
      </c>
      <c r="T108">
        <f t="shared" si="3"/>
        <v>0</v>
      </c>
    </row>
    <row r="109" ht="14.25" customHeight="1">
      <c r="A109" t="str">
        <f>IF(PNL!A109="","",PNL!A109)</f>
        <v>IPAC_REN</v>
      </c>
      <c r="B109" t="str">
        <f>IF(PNL!B109="","",PNL!B109)</f>
        <v>621</v>
      </c>
      <c r="C109" t="str">
        <f>IF(PNL!C109="","",PNL!C109)</f>
        <v>2024</v>
      </c>
      <c r="D109" t="str">
        <f>IF(PNL!D109="","",PNL!D109)</f>
        <v>ACT</v>
      </c>
      <c r="E109">
        <f t="shared" si="0"/>
        <v>0</v>
      </c>
      <c r="F109">
        <f>IF($A109="","",IF($E109=1,_xlfn.SUMIFS(Comptabilité!$F$1:$F$1446,Comptabilité!$A$1:$A$1446,$A109,Comptabilité!$B$1:$B$1446,$B109,Comptabilité!$C$1:$C$1446,"2026"),0))</f>
        <v>0</v>
      </c>
      <c r="G109">
        <f>IF($A109="","",IF($D109="V01",Cadrage!$C$23,IF($D109="V02",Cadrage!$D$23,Cadrage!$E$23)))</f>
        <v>-0.05</v>
      </c>
      <c r="H109">
        <f>IF($A109="","",IF($D109="V01",Cadrage!$C$24,IF($D109="V02",Cadrage!$D$24,Cadrage!$E$24)))</f>
        <v>-0.05</v>
      </c>
      <c r="I109">
        <f>IF($A109="","",IF($D109="V01",Cadrage!$C$34,IF($D109="V02",Cadrage!$D$34,Cadrage!$E$34)))</f>
        <v>0.03</v>
      </c>
      <c r="J109">
        <f>IF($A109="","",IF($D109="V01",Cadrage!$C$35,IF($D109="V02",Cadrage!$D$35,Cadrage!$E$35)))</f>
        <v>0.03</v>
      </c>
      <c r="K109">
        <f>IF($A109="","",IF($D109="V01",Cadrage!$C$36,IF($D109="V02",Cadrage!$D$36,Cadrage!$E$36)))</f>
        <v>0.05</v>
      </c>
      <c r="L109">
        <f>IF($A109="","",IF($D109="V01",Cadrage!$C$37,IF($D109="V02",Cadrage!$D$37,Cadrage!$E$37)))</f>
        <v>0</v>
      </c>
      <c r="M109">
        <f>IF($A109="","",IF($D109="V01",Cadrage!$C$38,IF($D109="V02",Cadrage!$D$38,Cadrage!$E$38)))</f>
        <v>0.04</v>
      </c>
      <c r="N109">
        <f t="shared" si="1"/>
        <v>0.980622079131853</v>
      </c>
      <c r="O109">
        <f t="shared" si="2"/>
        <v>0.980622079131853</v>
      </c>
      <c r="P109">
        <f>IF($A109="","",IF($E109=1,$F109*$O109,PNL!G109))</f>
        <v>66108</v>
      </c>
      <c r="T109">
        <f t="shared" si="3"/>
        <v>0</v>
      </c>
    </row>
    <row r="110" ht="14.25" customHeight="1">
      <c r="A110" t="str">
        <f>IF(PNL!A110="","",PNL!A110)</f>
        <v>IPAC_MTP</v>
      </c>
      <c r="B110" t="str">
        <f>IF(PNL!B110="","",PNL!B110)</f>
        <v>621</v>
      </c>
      <c r="C110" t="str">
        <f>IF(PNL!C110="","",PNL!C110)</f>
        <v>2024</v>
      </c>
      <c r="D110" t="str">
        <f>IF(PNL!D110="","",PNL!D110)</f>
        <v>ACT</v>
      </c>
      <c r="E110">
        <f t="shared" si="0"/>
        <v>0</v>
      </c>
      <c r="F110">
        <f>IF($A110="","",IF($E110=1,_xlfn.SUMIFS(Comptabilité!$F$1:$F$1446,Comptabilité!$A$1:$A$1446,$A110,Comptabilité!$B$1:$B$1446,$B110,Comptabilité!$C$1:$C$1446,"2026"),0))</f>
        <v>0</v>
      </c>
      <c r="G110">
        <f>IF($A110="","",IF($D110="V01",Cadrage!$C$23,IF($D110="V02",Cadrage!$D$23,Cadrage!$E$23)))</f>
        <v>-0.05</v>
      </c>
      <c r="H110">
        <f>IF($A110="","",IF($D110="V01",Cadrage!$C$24,IF($D110="V02",Cadrage!$D$24,Cadrage!$E$24)))</f>
        <v>-0.05</v>
      </c>
      <c r="I110">
        <f>IF($A110="","",IF($D110="V01",Cadrage!$C$34,IF($D110="V02",Cadrage!$D$34,Cadrage!$E$34)))</f>
        <v>0.03</v>
      </c>
      <c r="J110">
        <f>IF($A110="","",IF($D110="V01",Cadrage!$C$35,IF($D110="V02",Cadrage!$D$35,Cadrage!$E$35)))</f>
        <v>0.03</v>
      </c>
      <c r="K110">
        <f>IF($A110="","",IF($D110="V01",Cadrage!$C$36,IF($D110="V02",Cadrage!$D$36,Cadrage!$E$36)))</f>
        <v>0.05</v>
      </c>
      <c r="L110">
        <f>IF($A110="","",IF($D110="V01",Cadrage!$C$37,IF($D110="V02",Cadrage!$D$37,Cadrage!$E$37)))</f>
        <v>0</v>
      </c>
      <c r="M110">
        <f>IF($A110="","",IF($D110="V01",Cadrage!$C$38,IF($D110="V02",Cadrage!$D$38,Cadrage!$E$38)))</f>
        <v>0.04</v>
      </c>
      <c r="N110">
        <f t="shared" si="1"/>
        <v>0.980622079131853</v>
      </c>
      <c r="O110">
        <f t="shared" si="2"/>
        <v>0.980622079131853</v>
      </c>
      <c r="P110">
        <f>IF($A110="","",IF($E110=1,$F110*$O110,PNL!G110))</f>
        <v>66108</v>
      </c>
      <c r="T110">
        <f t="shared" si="3"/>
        <v>0</v>
      </c>
    </row>
    <row r="111" ht="14.25" customHeight="1">
      <c r="A111" t="str">
        <f>IF(PNL!A111="","",PNL!A111)</f>
        <v>PIGIER_LYO</v>
      </c>
      <c r="B111" t="str">
        <f>IF(PNL!B111="","",PNL!B111)</f>
        <v>621</v>
      </c>
      <c r="C111" t="str">
        <f>IF(PNL!C111="","",PNL!C111)</f>
        <v>2024</v>
      </c>
      <c r="D111" t="str">
        <f>IF(PNL!D111="","",PNL!D111)</f>
        <v>ACT</v>
      </c>
      <c r="E111">
        <f t="shared" si="0"/>
        <v>0</v>
      </c>
      <c r="F111">
        <f>IF($A111="","",IF($E111=1,_xlfn.SUMIFS(Comptabilité!$F$1:$F$1446,Comptabilité!$A$1:$A$1446,$A111,Comptabilité!$B$1:$B$1446,$B111,Comptabilité!$C$1:$C$1446,"2026"),0))</f>
        <v>0</v>
      </c>
      <c r="G111">
        <f>IF($A111="","",IF($D111="V01",Cadrage!$C$23,IF($D111="V02",Cadrage!$D$23,Cadrage!$E$23)))</f>
        <v>-0.05</v>
      </c>
      <c r="H111">
        <f>IF($A111="","",IF($D111="V01",Cadrage!$C$24,IF($D111="V02",Cadrage!$D$24,Cadrage!$E$24)))</f>
        <v>-0.05</v>
      </c>
      <c r="I111">
        <f>IF($A111="","",IF($D111="V01",Cadrage!$C$34,IF($D111="V02",Cadrage!$D$34,Cadrage!$E$34)))</f>
        <v>0.03</v>
      </c>
      <c r="J111">
        <f>IF($A111="","",IF($D111="V01",Cadrage!$C$35,IF($D111="V02",Cadrage!$D$35,Cadrage!$E$35)))</f>
        <v>0.03</v>
      </c>
      <c r="K111">
        <f>IF($A111="","",IF($D111="V01",Cadrage!$C$36,IF($D111="V02",Cadrage!$D$36,Cadrage!$E$36)))</f>
        <v>0.05</v>
      </c>
      <c r="L111">
        <f>IF($A111="","",IF($D111="V01",Cadrage!$C$37,IF($D111="V02",Cadrage!$D$37,Cadrage!$E$37)))</f>
        <v>0</v>
      </c>
      <c r="M111">
        <f>IF($A111="","",IF($D111="V01",Cadrage!$C$38,IF($D111="V02",Cadrage!$D$38,Cadrage!$E$38)))</f>
        <v>0.04</v>
      </c>
      <c r="N111">
        <f t="shared" si="1"/>
        <v>0.980622079131853</v>
      </c>
      <c r="O111">
        <f t="shared" si="2"/>
        <v>0.980622079131853</v>
      </c>
      <c r="P111">
        <f>IF($A111="","",IF($E111=1,$F111*$O111,PNL!G111))</f>
        <v>88144</v>
      </c>
      <c r="T111">
        <f t="shared" si="3"/>
        <v>0</v>
      </c>
    </row>
    <row r="112" ht="14.25" customHeight="1">
      <c r="A112" t="str">
        <f>IF(PNL!A112="","",PNL!A112)</f>
        <v>PIGIER_BOR</v>
      </c>
      <c r="B112" t="str">
        <f>IF(PNL!B112="","",PNL!B112)</f>
        <v>621</v>
      </c>
      <c r="C112" t="str">
        <f>IF(PNL!C112="","",PNL!C112)</f>
        <v>2024</v>
      </c>
      <c r="D112" t="str">
        <f>IF(PNL!D112="","",PNL!D112)</f>
        <v>ACT</v>
      </c>
      <c r="E112">
        <f t="shared" si="0"/>
        <v>0</v>
      </c>
      <c r="F112">
        <f>IF($A112="","",IF($E112=1,_xlfn.SUMIFS(Comptabilité!$F$1:$F$1446,Comptabilité!$A$1:$A$1446,$A112,Comptabilité!$B$1:$B$1446,$B112,Comptabilité!$C$1:$C$1446,"2026"),0))</f>
        <v>0</v>
      </c>
      <c r="G112">
        <f>IF($A112="","",IF($D112="V01",Cadrage!$C$23,IF($D112="V02",Cadrage!$D$23,Cadrage!$E$23)))</f>
        <v>-0.05</v>
      </c>
      <c r="H112">
        <f>IF($A112="","",IF($D112="V01",Cadrage!$C$24,IF($D112="V02",Cadrage!$D$24,Cadrage!$E$24)))</f>
        <v>-0.05</v>
      </c>
      <c r="I112">
        <f>IF($A112="","",IF($D112="V01",Cadrage!$C$34,IF($D112="V02",Cadrage!$D$34,Cadrage!$E$34)))</f>
        <v>0.03</v>
      </c>
      <c r="J112">
        <f>IF($A112="","",IF($D112="V01",Cadrage!$C$35,IF($D112="V02",Cadrage!$D$35,Cadrage!$E$35)))</f>
        <v>0.03</v>
      </c>
      <c r="K112">
        <f>IF($A112="","",IF($D112="V01",Cadrage!$C$36,IF($D112="V02",Cadrage!$D$36,Cadrage!$E$36)))</f>
        <v>0.05</v>
      </c>
      <c r="L112">
        <f>IF($A112="","",IF($D112="V01",Cadrage!$C$37,IF($D112="V02",Cadrage!$D$37,Cadrage!$E$37)))</f>
        <v>0</v>
      </c>
      <c r="M112">
        <f>IF($A112="","",IF($D112="V01",Cadrage!$C$38,IF($D112="V02",Cadrage!$D$38,Cadrage!$E$38)))</f>
        <v>0.04</v>
      </c>
      <c r="N112">
        <f t="shared" si="1"/>
        <v>0.980622079131853</v>
      </c>
      <c r="O112">
        <f t="shared" si="2"/>
        <v>0.980622079131853</v>
      </c>
      <c r="P112">
        <f>IF($A112="","",IF($E112=1,$F112*$O112,PNL!G112))</f>
        <v>88144</v>
      </c>
      <c r="T112">
        <f t="shared" si="3"/>
        <v>0</v>
      </c>
    </row>
    <row r="113" ht="14.25" customHeight="1">
      <c r="A113" t="str">
        <f>IF(PNL!A113="","",PNL!A113)</f>
        <v>TUNON_PAR</v>
      </c>
      <c r="B113" t="str">
        <f>IF(PNL!B113="","",PNL!B113)</f>
        <v>621</v>
      </c>
      <c r="C113" t="str">
        <f>IF(PNL!C113="","",PNL!C113)</f>
        <v>2024</v>
      </c>
      <c r="D113" t="str">
        <f>IF(PNL!D113="","",PNL!D113)</f>
        <v>ACT</v>
      </c>
      <c r="E113">
        <f t="shared" si="0"/>
        <v>0</v>
      </c>
      <c r="F113">
        <f>IF($A113="","",IF($E113=1,_xlfn.SUMIFS(Comptabilité!$F$1:$F$1446,Comptabilité!$A$1:$A$1446,$A113,Comptabilité!$B$1:$B$1446,$B113,Comptabilité!$C$1:$C$1446,"2026"),0))</f>
        <v>0</v>
      </c>
      <c r="G113">
        <f>IF($A113="","",IF($D113="V01",Cadrage!$C$23,IF($D113="V02",Cadrage!$D$23,Cadrage!$E$23)))</f>
        <v>-0.05</v>
      </c>
      <c r="H113">
        <f>IF($A113="","",IF($D113="V01",Cadrage!$C$24,IF($D113="V02",Cadrage!$D$24,Cadrage!$E$24)))</f>
        <v>-0.05</v>
      </c>
      <c r="I113">
        <f>IF($A113="","",IF($D113="V01",Cadrage!$C$34,IF($D113="V02",Cadrage!$D$34,Cadrage!$E$34)))</f>
        <v>0.03</v>
      </c>
      <c r="J113">
        <f>IF($A113="","",IF($D113="V01",Cadrage!$C$35,IF($D113="V02",Cadrage!$D$35,Cadrage!$E$35)))</f>
        <v>0.03</v>
      </c>
      <c r="K113">
        <f>IF($A113="","",IF($D113="V01",Cadrage!$C$36,IF($D113="V02",Cadrage!$D$36,Cadrage!$E$36)))</f>
        <v>0.05</v>
      </c>
      <c r="L113">
        <f>IF($A113="","",IF($D113="V01",Cadrage!$C$37,IF($D113="V02",Cadrage!$D$37,Cadrage!$E$37)))</f>
        <v>0</v>
      </c>
      <c r="M113">
        <f>IF($A113="","",IF($D113="V01",Cadrage!$C$38,IF($D113="V02",Cadrage!$D$38,Cadrage!$E$38)))</f>
        <v>0.04</v>
      </c>
      <c r="N113">
        <f t="shared" si="1"/>
        <v>0.980622079131853</v>
      </c>
      <c r="O113">
        <f t="shared" si="2"/>
        <v>0.980622079131853</v>
      </c>
      <c r="P113">
        <f>IF($A113="","",IF($E113=1,$F113*$O113,PNL!G113))</f>
        <v>66108</v>
      </c>
      <c r="T113">
        <f t="shared" si="3"/>
        <v>0</v>
      </c>
    </row>
    <row r="114" ht="14.25" customHeight="1">
      <c r="A114" t="str">
        <f>IF(PNL!A114="","",PNL!A114)</f>
        <v>TUNON_LYO</v>
      </c>
      <c r="B114" t="str">
        <f>IF(PNL!B114="","",PNL!B114)</f>
        <v>621</v>
      </c>
      <c r="C114" t="str">
        <f>IF(PNL!C114="","",PNL!C114)</f>
        <v>2024</v>
      </c>
      <c r="D114" t="str">
        <f>IF(PNL!D114="","",PNL!D114)</f>
        <v>ACT</v>
      </c>
      <c r="E114">
        <f t="shared" si="0"/>
        <v>0</v>
      </c>
      <c r="F114">
        <f>IF($A114="","",IF($E114=1,_xlfn.SUMIFS(Comptabilité!$F$1:$F$1446,Comptabilité!$A$1:$A$1446,$A114,Comptabilité!$B$1:$B$1446,$B114,Comptabilité!$C$1:$C$1446,"2026"),0))</f>
        <v>0</v>
      </c>
      <c r="G114">
        <f>IF($A114="","",IF($D114="V01",Cadrage!$C$23,IF($D114="V02",Cadrage!$D$23,Cadrage!$E$23)))</f>
        <v>-0.05</v>
      </c>
      <c r="H114">
        <f>IF($A114="","",IF($D114="V01",Cadrage!$C$24,IF($D114="V02",Cadrage!$D$24,Cadrage!$E$24)))</f>
        <v>-0.05</v>
      </c>
      <c r="I114">
        <f>IF($A114="","",IF($D114="V01",Cadrage!$C$34,IF($D114="V02",Cadrage!$D$34,Cadrage!$E$34)))</f>
        <v>0.03</v>
      </c>
      <c r="J114">
        <f>IF($A114="","",IF($D114="V01",Cadrage!$C$35,IF($D114="V02",Cadrage!$D$35,Cadrage!$E$35)))</f>
        <v>0.03</v>
      </c>
      <c r="K114">
        <f>IF($A114="","",IF($D114="V01",Cadrage!$C$36,IF($D114="V02",Cadrage!$D$36,Cadrage!$E$36)))</f>
        <v>0.05</v>
      </c>
      <c r="L114">
        <f>IF($A114="","",IF($D114="V01",Cadrage!$C$37,IF($D114="V02",Cadrage!$D$37,Cadrage!$E$37)))</f>
        <v>0</v>
      </c>
      <c r="M114">
        <f>IF($A114="","",IF($D114="V01",Cadrage!$C$38,IF($D114="V02",Cadrage!$D$38,Cadrage!$E$38)))</f>
        <v>0.04</v>
      </c>
      <c r="N114">
        <f t="shared" si="1"/>
        <v>0.980622079131853</v>
      </c>
      <c r="O114">
        <f t="shared" si="2"/>
        <v>0.980622079131853</v>
      </c>
      <c r="P114">
        <f>IF($A114="","",IF($E114=1,$F114*$O114,PNL!G114))</f>
        <v>66108</v>
      </c>
      <c r="T114">
        <f t="shared" si="3"/>
        <v>0</v>
      </c>
    </row>
    <row r="115" ht="14.25" customHeight="1">
      <c r="A115" t="str">
        <f>IF(PNL!A115="","",PNL!A115)</f>
        <v>MBWAY_PAR</v>
      </c>
      <c r="B115" t="str">
        <f>IF(PNL!B115="","",PNL!B115)</f>
        <v>621</v>
      </c>
      <c r="C115" t="str">
        <f>IF(PNL!C115="","",PNL!C115)</f>
        <v>2025</v>
      </c>
      <c r="D115" t="str">
        <f>IF(PNL!D115="","",PNL!D115)</f>
        <v>ACT</v>
      </c>
      <c r="E115">
        <f t="shared" si="0"/>
        <v>0</v>
      </c>
      <c r="F115">
        <f>IF($A115="","",IF($E115=1,_xlfn.SUMIFS(Comptabilité!$F$1:$F$1446,Comptabilité!$A$1:$A$1446,$A115,Comptabilité!$B$1:$B$1446,$B115,Comptabilité!$C$1:$C$1446,"2026"),0))</f>
        <v>0</v>
      </c>
      <c r="G115">
        <f>IF($A115="","",IF($D115="V01",Cadrage!$C$23,IF($D115="V02",Cadrage!$D$23,Cadrage!$E$23)))</f>
        <v>-0.05</v>
      </c>
      <c r="H115">
        <f>IF($A115="","",IF($D115="V01",Cadrage!$C$24,IF($D115="V02",Cadrage!$D$24,Cadrage!$E$24)))</f>
        <v>-0.05</v>
      </c>
      <c r="I115">
        <f>IF($A115="","",IF($D115="V01",Cadrage!$C$34,IF($D115="V02",Cadrage!$D$34,Cadrage!$E$34)))</f>
        <v>0.03</v>
      </c>
      <c r="J115">
        <f>IF($A115="","",IF($D115="V01",Cadrage!$C$35,IF($D115="V02",Cadrage!$D$35,Cadrage!$E$35)))</f>
        <v>0.03</v>
      </c>
      <c r="K115">
        <f>IF($A115="","",IF($D115="V01",Cadrage!$C$36,IF($D115="V02",Cadrage!$D$36,Cadrage!$E$36)))</f>
        <v>0.05</v>
      </c>
      <c r="L115">
        <f>IF($A115="","",IF($D115="V01",Cadrage!$C$37,IF($D115="V02",Cadrage!$D$37,Cadrage!$E$37)))</f>
        <v>0</v>
      </c>
      <c r="M115">
        <f>IF($A115="","",IF($D115="V01",Cadrage!$C$38,IF($D115="V02",Cadrage!$D$38,Cadrage!$E$38)))</f>
        <v>0.04</v>
      </c>
      <c r="N115">
        <f t="shared" si="1"/>
        <v>0.980622079131853</v>
      </c>
      <c r="O115">
        <f t="shared" si="2"/>
        <v>0.980622079131853</v>
      </c>
      <c r="P115">
        <f>IF($A115="","",IF($E115=1,$F115*$O115,PNL!G115))</f>
        <v>172844</v>
      </c>
      <c r="T115">
        <f t="shared" si="3"/>
        <v>0</v>
      </c>
    </row>
    <row r="116" ht="14.25" customHeight="1">
      <c r="A116" t="str">
        <f>IF(PNL!A116="","",PNL!A116)</f>
        <v>MBWAY_LYO</v>
      </c>
      <c r="B116" t="str">
        <f>IF(PNL!B116="","",PNL!B116)</f>
        <v>621</v>
      </c>
      <c r="C116" t="str">
        <f>IF(PNL!C116="","",PNL!C116)</f>
        <v>2025</v>
      </c>
      <c r="D116" t="str">
        <f>IF(PNL!D116="","",PNL!D116)</f>
        <v>ACT</v>
      </c>
      <c r="E116">
        <f t="shared" si="0"/>
        <v>0</v>
      </c>
      <c r="F116">
        <f>IF($A116="","",IF($E116=1,_xlfn.SUMIFS(Comptabilité!$F$1:$F$1446,Comptabilité!$A$1:$A$1446,$A116,Comptabilité!$B$1:$B$1446,$B116,Comptabilité!$C$1:$C$1446,"2026"),0))</f>
        <v>0</v>
      </c>
      <c r="G116">
        <f>IF($A116="","",IF($D116="V01",Cadrage!$C$23,IF($D116="V02",Cadrage!$D$23,Cadrage!$E$23)))</f>
        <v>-0.05</v>
      </c>
      <c r="H116">
        <f>IF($A116="","",IF($D116="V01",Cadrage!$C$24,IF($D116="V02",Cadrage!$D$24,Cadrage!$E$24)))</f>
        <v>-0.05</v>
      </c>
      <c r="I116">
        <f>IF($A116="","",IF($D116="V01",Cadrage!$C$34,IF($D116="V02",Cadrage!$D$34,Cadrage!$E$34)))</f>
        <v>0.03</v>
      </c>
      <c r="J116">
        <f>IF($A116="","",IF($D116="V01",Cadrage!$C$35,IF($D116="V02",Cadrage!$D$35,Cadrage!$E$35)))</f>
        <v>0.03</v>
      </c>
      <c r="K116">
        <f>IF($A116="","",IF($D116="V01",Cadrage!$C$36,IF($D116="V02",Cadrage!$D$36,Cadrage!$E$36)))</f>
        <v>0.05</v>
      </c>
      <c r="L116">
        <f>IF($A116="","",IF($D116="V01",Cadrage!$C$37,IF($D116="V02",Cadrage!$D$37,Cadrage!$E$37)))</f>
        <v>0</v>
      </c>
      <c r="M116">
        <f>IF($A116="","",IF($D116="V01",Cadrage!$C$38,IF($D116="V02",Cadrage!$D$38,Cadrage!$E$38)))</f>
        <v>0.04</v>
      </c>
      <c r="N116">
        <f t="shared" si="1"/>
        <v>0.980622079131853</v>
      </c>
      <c r="O116">
        <f t="shared" si="2"/>
        <v>0.980622079131853</v>
      </c>
      <c r="P116">
        <f>IF($A116="","",IF($E116=1,$F116*$O116,PNL!G116))</f>
        <v>149798</v>
      </c>
      <c r="T116">
        <f t="shared" si="3"/>
        <v>0</v>
      </c>
    </row>
    <row r="117" ht="14.25" customHeight="1">
      <c r="A117" t="str">
        <f>IF(PNL!A117="","",PNL!A117)</f>
        <v>MBWAY_NAN</v>
      </c>
      <c r="B117" t="str">
        <f>IF(PNL!B117="","",PNL!B117)</f>
        <v>621</v>
      </c>
      <c r="C117" t="str">
        <f>IF(PNL!C117="","",PNL!C117)</f>
        <v>2025</v>
      </c>
      <c r="D117" t="str">
        <f>IF(PNL!D117="","",PNL!D117)</f>
        <v>ACT</v>
      </c>
      <c r="E117">
        <f t="shared" si="0"/>
        <v>0</v>
      </c>
      <c r="F117">
        <f>IF($A117="","",IF($E117=1,_xlfn.SUMIFS(Comptabilité!$F$1:$F$1446,Comptabilité!$A$1:$A$1446,$A117,Comptabilité!$B$1:$B$1446,$B117,Comptabilité!$C$1:$C$1446,"2026"),0))</f>
        <v>0</v>
      </c>
      <c r="G117">
        <f>IF($A117="","",IF($D117="V01",Cadrage!$C$23,IF($D117="V02",Cadrage!$D$23,Cadrage!$E$23)))</f>
        <v>-0.05</v>
      </c>
      <c r="H117">
        <f>IF($A117="","",IF($D117="V01",Cadrage!$C$24,IF($D117="V02",Cadrage!$D$24,Cadrage!$E$24)))</f>
        <v>-0.05</v>
      </c>
      <c r="I117">
        <f>IF($A117="","",IF($D117="V01",Cadrage!$C$34,IF($D117="V02",Cadrage!$D$34,Cadrage!$E$34)))</f>
        <v>0.03</v>
      </c>
      <c r="J117">
        <f>IF($A117="","",IF($D117="V01",Cadrage!$C$35,IF($D117="V02",Cadrage!$D$35,Cadrage!$E$35)))</f>
        <v>0.03</v>
      </c>
      <c r="K117">
        <f>IF($A117="","",IF($D117="V01",Cadrage!$C$36,IF($D117="V02",Cadrage!$D$36,Cadrage!$E$36)))</f>
        <v>0.05</v>
      </c>
      <c r="L117">
        <f>IF($A117="","",IF($D117="V01",Cadrage!$C$37,IF($D117="V02",Cadrage!$D$37,Cadrage!$E$37)))</f>
        <v>0</v>
      </c>
      <c r="M117">
        <f>IF($A117="","",IF($D117="V01",Cadrage!$C$38,IF($D117="V02",Cadrage!$D$38,Cadrage!$E$38)))</f>
        <v>0.04</v>
      </c>
      <c r="N117">
        <f t="shared" si="1"/>
        <v>0.980622079131853</v>
      </c>
      <c r="O117">
        <f t="shared" si="2"/>
        <v>0.980622079131853</v>
      </c>
      <c r="P117">
        <f>IF($A117="","",IF($E117=1,$F117*$O117,PNL!G117))</f>
        <v>138275</v>
      </c>
      <c r="T117">
        <f t="shared" si="3"/>
        <v>0</v>
      </c>
    </row>
    <row r="118" ht="14.25" customHeight="1">
      <c r="A118" t="str">
        <f>IF(PNL!A118="","",PNL!A118)</f>
        <v>MBWAY_BOR</v>
      </c>
      <c r="B118" t="str">
        <f>IF(PNL!B118="","",PNL!B118)</f>
        <v>621</v>
      </c>
      <c r="C118" t="str">
        <f>IF(PNL!C118="","",PNL!C118)</f>
        <v>2025</v>
      </c>
      <c r="D118" t="str">
        <f>IF(PNL!D118="","",PNL!D118)</f>
        <v>ACT</v>
      </c>
      <c r="E118">
        <f t="shared" si="0"/>
        <v>0</v>
      </c>
      <c r="F118">
        <f>IF($A118="","",IF($E118=1,_xlfn.SUMIFS(Comptabilité!$F$1:$F$1446,Comptabilité!$A$1:$A$1446,$A118,Comptabilité!$B$1:$B$1446,$B118,Comptabilité!$C$1:$C$1446,"2026"),0))</f>
        <v>0</v>
      </c>
      <c r="G118">
        <f>IF($A118="","",IF($D118="V01",Cadrage!$C$23,IF($D118="V02",Cadrage!$D$23,Cadrage!$E$23)))</f>
        <v>-0.05</v>
      </c>
      <c r="H118">
        <f>IF($A118="","",IF($D118="V01",Cadrage!$C$24,IF($D118="V02",Cadrage!$D$24,Cadrage!$E$24)))</f>
        <v>-0.05</v>
      </c>
      <c r="I118">
        <f>IF($A118="","",IF($D118="V01",Cadrage!$C$34,IF($D118="V02",Cadrage!$D$34,Cadrage!$E$34)))</f>
        <v>0.03</v>
      </c>
      <c r="J118">
        <f>IF($A118="","",IF($D118="V01",Cadrage!$C$35,IF($D118="V02",Cadrage!$D$35,Cadrage!$E$35)))</f>
        <v>0.03</v>
      </c>
      <c r="K118">
        <f>IF($A118="","",IF($D118="V01",Cadrage!$C$36,IF($D118="V02",Cadrage!$D$36,Cadrage!$E$36)))</f>
        <v>0.05</v>
      </c>
      <c r="L118">
        <f>IF($A118="","",IF($D118="V01",Cadrage!$C$37,IF($D118="V02",Cadrage!$D$37,Cadrage!$E$37)))</f>
        <v>0</v>
      </c>
      <c r="M118">
        <f>IF($A118="","",IF($D118="V01",Cadrage!$C$38,IF($D118="V02",Cadrage!$D$38,Cadrage!$E$38)))</f>
        <v>0.04</v>
      </c>
      <c r="N118">
        <f t="shared" si="1"/>
        <v>0.980622079131853</v>
      </c>
      <c r="O118">
        <f t="shared" si="2"/>
        <v>0.980622079131853</v>
      </c>
      <c r="P118">
        <f>IF($A118="","",IF($E118=1,$F118*$O118,PNL!G118))</f>
        <v>115229</v>
      </c>
      <c r="T118">
        <f t="shared" si="3"/>
        <v>0</v>
      </c>
    </row>
    <row r="119" ht="14.25" customHeight="1">
      <c r="A119" t="str">
        <f>IF(PNL!A119="","",PNL!A119)</f>
        <v>ISCOM_PAR</v>
      </c>
      <c r="B119" t="str">
        <f>IF(PNL!B119="","",PNL!B119)</f>
        <v>621</v>
      </c>
      <c r="C119" t="str">
        <f>IF(PNL!C119="","",PNL!C119)</f>
        <v>2025</v>
      </c>
      <c r="D119" t="str">
        <f>IF(PNL!D119="","",PNL!D119)</f>
        <v>ACT</v>
      </c>
      <c r="E119">
        <f t="shared" si="0"/>
        <v>0</v>
      </c>
      <c r="F119">
        <f>IF($A119="","",IF($E119=1,_xlfn.SUMIFS(Comptabilité!$F$1:$F$1446,Comptabilité!$A$1:$A$1446,$A119,Comptabilité!$B$1:$B$1446,$B119,Comptabilité!$C$1:$C$1446,"2026"),0))</f>
        <v>0</v>
      </c>
      <c r="G119">
        <f>IF($A119="","",IF($D119="V01",Cadrage!$C$23,IF($D119="V02",Cadrage!$D$23,Cadrage!$E$23)))</f>
        <v>-0.05</v>
      </c>
      <c r="H119">
        <f>IF($A119="","",IF($D119="V01",Cadrage!$C$24,IF($D119="V02",Cadrage!$D$24,Cadrage!$E$24)))</f>
        <v>-0.05</v>
      </c>
      <c r="I119">
        <f>IF($A119="","",IF($D119="V01",Cadrage!$C$34,IF($D119="V02",Cadrage!$D$34,Cadrage!$E$34)))</f>
        <v>0.03</v>
      </c>
      <c r="J119">
        <f>IF($A119="","",IF($D119="V01",Cadrage!$C$35,IF($D119="V02",Cadrage!$D$35,Cadrage!$E$35)))</f>
        <v>0.03</v>
      </c>
      <c r="K119">
        <f>IF($A119="","",IF($D119="V01",Cadrage!$C$36,IF($D119="V02",Cadrage!$D$36,Cadrage!$E$36)))</f>
        <v>0.05</v>
      </c>
      <c r="L119">
        <f>IF($A119="","",IF($D119="V01",Cadrage!$C$37,IF($D119="V02",Cadrage!$D$37,Cadrage!$E$37)))</f>
        <v>0</v>
      </c>
      <c r="M119">
        <f>IF($A119="","",IF($D119="V01",Cadrage!$C$38,IF($D119="V02",Cadrage!$D$38,Cadrage!$E$38)))</f>
        <v>0.04</v>
      </c>
      <c r="N119">
        <f t="shared" si="1"/>
        <v>0.980622079131853</v>
      </c>
      <c r="O119">
        <f t="shared" si="2"/>
        <v>0.980622079131853</v>
      </c>
      <c r="P119">
        <f>IF($A119="","",IF($E119=1,$F119*$O119,PNL!G119))</f>
        <v>172844</v>
      </c>
      <c r="T119">
        <f t="shared" si="3"/>
        <v>0</v>
      </c>
    </row>
    <row r="120" ht="14.25" customHeight="1">
      <c r="A120" t="str">
        <f>IF(PNL!A120="","",PNL!A120)</f>
        <v>ISCOM_LIL</v>
      </c>
      <c r="B120" t="str">
        <f>IF(PNL!B120="","",PNL!B120)</f>
        <v>621</v>
      </c>
      <c r="C120" t="str">
        <f>IF(PNL!C120="","",PNL!C120)</f>
        <v>2025</v>
      </c>
      <c r="D120" t="str">
        <f>IF(PNL!D120="","",PNL!D120)</f>
        <v>ACT</v>
      </c>
      <c r="E120">
        <f t="shared" si="0"/>
        <v>0</v>
      </c>
      <c r="F120">
        <f>IF($A120="","",IF($E120=1,_xlfn.SUMIFS(Comptabilité!$F$1:$F$1446,Comptabilité!$A$1:$A$1446,$A120,Comptabilité!$B$1:$B$1446,$B120,Comptabilité!$C$1:$C$1446,"2026"),0))</f>
        <v>0</v>
      </c>
      <c r="G120">
        <f>IF($A120="","",IF($D120="V01",Cadrage!$C$23,IF($D120="V02",Cadrage!$D$23,Cadrage!$E$23)))</f>
        <v>-0.05</v>
      </c>
      <c r="H120">
        <f>IF($A120="","",IF($D120="V01",Cadrage!$C$24,IF($D120="V02",Cadrage!$D$24,Cadrage!$E$24)))</f>
        <v>-0.05</v>
      </c>
      <c r="I120">
        <f>IF($A120="","",IF($D120="V01",Cadrage!$C$34,IF($D120="V02",Cadrage!$D$34,Cadrage!$E$34)))</f>
        <v>0.03</v>
      </c>
      <c r="J120">
        <f>IF($A120="","",IF($D120="V01",Cadrage!$C$35,IF($D120="V02",Cadrage!$D$35,Cadrage!$E$35)))</f>
        <v>0.03</v>
      </c>
      <c r="K120">
        <f>IF($A120="","",IF($D120="V01",Cadrage!$C$36,IF($D120="V02",Cadrage!$D$36,Cadrage!$E$36)))</f>
        <v>0.05</v>
      </c>
      <c r="L120">
        <f>IF($A120="","",IF($D120="V01",Cadrage!$C$37,IF($D120="V02",Cadrage!$D$37,Cadrage!$E$37)))</f>
        <v>0</v>
      </c>
      <c r="M120">
        <f>IF($A120="","",IF($D120="V01",Cadrage!$C$38,IF($D120="V02",Cadrage!$D$38,Cadrage!$E$38)))</f>
        <v>0.04</v>
      </c>
      <c r="N120">
        <f t="shared" si="1"/>
        <v>0.980622079131853</v>
      </c>
      <c r="O120">
        <f t="shared" si="2"/>
        <v>0.980622079131853</v>
      </c>
      <c r="P120">
        <f>IF($A120="","",IF($E120=1,$F120*$O120,PNL!G120))</f>
        <v>115229</v>
      </c>
      <c r="T120">
        <f t="shared" si="3"/>
        <v>0</v>
      </c>
    </row>
    <row r="121" ht="14.25" customHeight="1">
      <c r="A121" t="str">
        <f>IF(PNL!A121="","",PNL!A121)</f>
        <v>ISCOM_TLS</v>
      </c>
      <c r="B121" t="str">
        <f>IF(PNL!B121="","",PNL!B121)</f>
        <v>621</v>
      </c>
      <c r="C121" t="str">
        <f>IF(PNL!C121="","",PNL!C121)</f>
        <v>2025</v>
      </c>
      <c r="D121" t="str">
        <f>IF(PNL!D121="","",PNL!D121)</f>
        <v>ACT</v>
      </c>
      <c r="E121">
        <f t="shared" si="0"/>
        <v>0</v>
      </c>
      <c r="F121">
        <f>IF($A121="","",IF($E121=1,_xlfn.SUMIFS(Comptabilité!$F$1:$F$1446,Comptabilité!$A$1:$A$1446,$A121,Comptabilité!$B$1:$B$1446,$B121,Comptabilité!$C$1:$C$1446,"2026"),0))</f>
        <v>0</v>
      </c>
      <c r="G121">
        <f>IF($A121="","",IF($D121="V01",Cadrage!$C$23,IF($D121="V02",Cadrage!$D$23,Cadrage!$E$23)))</f>
        <v>-0.05</v>
      </c>
      <c r="H121">
        <f>IF($A121="","",IF($D121="V01",Cadrage!$C$24,IF($D121="V02",Cadrage!$D$24,Cadrage!$E$24)))</f>
        <v>-0.05</v>
      </c>
      <c r="I121">
        <f>IF($A121="","",IF($D121="V01",Cadrage!$C$34,IF($D121="V02",Cadrage!$D$34,Cadrage!$E$34)))</f>
        <v>0.03</v>
      </c>
      <c r="J121">
        <f>IF($A121="","",IF($D121="V01",Cadrage!$C$35,IF($D121="V02",Cadrage!$D$35,Cadrage!$E$35)))</f>
        <v>0.03</v>
      </c>
      <c r="K121">
        <f>IF($A121="","",IF($D121="V01",Cadrage!$C$36,IF($D121="V02",Cadrage!$D$36,Cadrage!$E$36)))</f>
        <v>0.05</v>
      </c>
      <c r="L121">
        <f>IF($A121="","",IF($D121="V01",Cadrage!$C$37,IF($D121="V02",Cadrage!$D$37,Cadrage!$E$37)))</f>
        <v>0</v>
      </c>
      <c r="M121">
        <f>IF($A121="","",IF($D121="V01",Cadrage!$C$38,IF($D121="V02",Cadrage!$D$38,Cadrage!$E$38)))</f>
        <v>0.04</v>
      </c>
      <c r="N121">
        <f t="shared" si="1"/>
        <v>0.980622079131853</v>
      </c>
      <c r="O121">
        <f t="shared" si="2"/>
        <v>0.980622079131853</v>
      </c>
      <c r="P121">
        <f>IF($A121="","",IF($E121=1,$F121*$O121,PNL!G121))</f>
        <v>115229</v>
      </c>
      <c r="T121">
        <f t="shared" si="3"/>
        <v>0</v>
      </c>
    </row>
    <row r="122" ht="14.25" customHeight="1">
      <c r="A122" t="str">
        <f>IF(PNL!A122="","",PNL!A122)</f>
        <v>IPAC_NAN</v>
      </c>
      <c r="B122" t="str">
        <f>IF(PNL!B122="","",PNL!B122)</f>
        <v>621</v>
      </c>
      <c r="C122" t="str">
        <f>IF(PNL!C122="","",PNL!C122)</f>
        <v>2025</v>
      </c>
      <c r="D122" t="str">
        <f>IF(PNL!D122="","",PNL!D122)</f>
        <v>ACT</v>
      </c>
      <c r="E122">
        <f t="shared" si="0"/>
        <v>0</v>
      </c>
      <c r="F122">
        <f>IF($A122="","",IF($E122=1,_xlfn.SUMIFS(Comptabilité!$F$1:$F$1446,Comptabilité!$A$1:$A$1446,$A122,Comptabilité!$B$1:$B$1446,$B122,Comptabilité!$C$1:$C$1446,"2026"),0))</f>
        <v>0</v>
      </c>
      <c r="G122">
        <f>IF($A122="","",IF($D122="V01",Cadrage!$C$23,IF($D122="V02",Cadrage!$D$23,Cadrage!$E$23)))</f>
        <v>-0.05</v>
      </c>
      <c r="H122">
        <f>IF($A122="","",IF($D122="V01",Cadrage!$C$24,IF($D122="V02",Cadrage!$D$24,Cadrage!$E$24)))</f>
        <v>-0.05</v>
      </c>
      <c r="I122">
        <f>IF($A122="","",IF($D122="V01",Cadrage!$C$34,IF($D122="V02",Cadrage!$D$34,Cadrage!$E$34)))</f>
        <v>0.03</v>
      </c>
      <c r="J122">
        <f>IF($A122="","",IF($D122="V01",Cadrage!$C$35,IF($D122="V02",Cadrage!$D$35,Cadrage!$E$35)))</f>
        <v>0.03</v>
      </c>
      <c r="K122">
        <f>IF($A122="","",IF($D122="V01",Cadrage!$C$36,IF($D122="V02",Cadrage!$D$36,Cadrage!$E$36)))</f>
        <v>0.05</v>
      </c>
      <c r="L122">
        <f>IF($A122="","",IF($D122="V01",Cadrage!$C$37,IF($D122="V02",Cadrage!$D$37,Cadrage!$E$37)))</f>
        <v>0</v>
      </c>
      <c r="M122">
        <f>IF($A122="","",IF($D122="V01",Cadrage!$C$38,IF($D122="V02",Cadrage!$D$38,Cadrage!$E$38)))</f>
        <v>0.04</v>
      </c>
      <c r="N122">
        <f t="shared" si="1"/>
        <v>0.980622079131853</v>
      </c>
      <c r="O122">
        <f t="shared" si="2"/>
        <v>0.980622079131853</v>
      </c>
      <c r="P122">
        <f>IF($A122="","",IF($E122=1,$F122*$O122,PNL!G122))</f>
        <v>69137</v>
      </c>
      <c r="T122">
        <f t="shared" si="3"/>
        <v>0</v>
      </c>
    </row>
    <row r="123" ht="14.25" customHeight="1">
      <c r="A123" t="str">
        <f>IF(PNL!A123="","",PNL!A123)</f>
        <v>IPAC_REN</v>
      </c>
      <c r="B123" t="str">
        <f>IF(PNL!B123="","",PNL!B123)</f>
        <v>621</v>
      </c>
      <c r="C123" t="str">
        <f>IF(PNL!C123="","",PNL!C123)</f>
        <v>2025</v>
      </c>
      <c r="D123" t="str">
        <f>IF(PNL!D123="","",PNL!D123)</f>
        <v>ACT</v>
      </c>
      <c r="E123">
        <f t="shared" si="0"/>
        <v>0</v>
      </c>
      <c r="F123">
        <f>IF($A123="","",IF($E123=1,_xlfn.SUMIFS(Comptabilité!$F$1:$F$1446,Comptabilité!$A$1:$A$1446,$A123,Comptabilité!$B$1:$B$1446,$B123,Comptabilité!$C$1:$C$1446,"2026"),0))</f>
        <v>0</v>
      </c>
      <c r="G123">
        <f>IF($A123="","",IF($D123="V01",Cadrage!$C$23,IF($D123="V02",Cadrage!$D$23,Cadrage!$E$23)))</f>
        <v>-0.05</v>
      </c>
      <c r="H123">
        <f>IF($A123="","",IF($D123="V01",Cadrage!$C$24,IF($D123="V02",Cadrage!$D$24,Cadrage!$E$24)))</f>
        <v>-0.05</v>
      </c>
      <c r="I123">
        <f>IF($A123="","",IF($D123="V01",Cadrage!$C$34,IF($D123="V02",Cadrage!$D$34,Cadrage!$E$34)))</f>
        <v>0.03</v>
      </c>
      <c r="J123">
        <f>IF($A123="","",IF($D123="V01",Cadrage!$C$35,IF($D123="V02",Cadrage!$D$35,Cadrage!$E$35)))</f>
        <v>0.03</v>
      </c>
      <c r="K123">
        <f>IF($A123="","",IF($D123="V01",Cadrage!$C$36,IF($D123="V02",Cadrage!$D$36,Cadrage!$E$36)))</f>
        <v>0.05</v>
      </c>
      <c r="L123">
        <f>IF($A123="","",IF($D123="V01",Cadrage!$C$37,IF($D123="V02",Cadrage!$D$37,Cadrage!$E$37)))</f>
        <v>0</v>
      </c>
      <c r="M123">
        <f>IF($A123="","",IF($D123="V01",Cadrage!$C$38,IF($D123="V02",Cadrage!$D$38,Cadrage!$E$38)))</f>
        <v>0.04</v>
      </c>
      <c r="N123">
        <f t="shared" si="1"/>
        <v>0.980622079131853</v>
      </c>
      <c r="O123">
        <f t="shared" si="2"/>
        <v>0.980622079131853</v>
      </c>
      <c r="P123">
        <f>IF($A123="","",IF($E123=1,$F123*$O123,PNL!G123))</f>
        <v>69137</v>
      </c>
      <c r="T123">
        <f t="shared" si="3"/>
        <v>0</v>
      </c>
    </row>
    <row r="124" ht="14.25" customHeight="1">
      <c r="A124" t="str">
        <f>IF(PNL!A124="","",PNL!A124)</f>
        <v>IPAC_MTP</v>
      </c>
      <c r="B124" t="str">
        <f>IF(PNL!B124="","",PNL!B124)</f>
        <v>621</v>
      </c>
      <c r="C124" t="str">
        <f>IF(PNL!C124="","",PNL!C124)</f>
        <v>2025</v>
      </c>
      <c r="D124" t="str">
        <f>IF(PNL!D124="","",PNL!D124)</f>
        <v>ACT</v>
      </c>
      <c r="E124">
        <f t="shared" si="0"/>
        <v>0</v>
      </c>
      <c r="F124">
        <f>IF($A124="","",IF($E124=1,_xlfn.SUMIFS(Comptabilité!$F$1:$F$1446,Comptabilité!$A$1:$A$1446,$A124,Comptabilité!$B$1:$B$1446,$B124,Comptabilité!$C$1:$C$1446,"2026"),0))</f>
        <v>0</v>
      </c>
      <c r="G124">
        <f>IF($A124="","",IF($D124="V01",Cadrage!$C$23,IF($D124="V02",Cadrage!$D$23,Cadrage!$E$23)))</f>
        <v>-0.05</v>
      </c>
      <c r="H124">
        <f>IF($A124="","",IF($D124="V01",Cadrage!$C$24,IF($D124="V02",Cadrage!$D$24,Cadrage!$E$24)))</f>
        <v>-0.05</v>
      </c>
      <c r="I124">
        <f>IF($A124="","",IF($D124="V01",Cadrage!$C$34,IF($D124="V02",Cadrage!$D$34,Cadrage!$E$34)))</f>
        <v>0.03</v>
      </c>
      <c r="J124">
        <f>IF($A124="","",IF($D124="V01",Cadrage!$C$35,IF($D124="V02",Cadrage!$D$35,Cadrage!$E$35)))</f>
        <v>0.03</v>
      </c>
      <c r="K124">
        <f>IF($A124="","",IF($D124="V01",Cadrage!$C$36,IF($D124="V02",Cadrage!$D$36,Cadrage!$E$36)))</f>
        <v>0.05</v>
      </c>
      <c r="L124">
        <f>IF($A124="","",IF($D124="V01",Cadrage!$C$37,IF($D124="V02",Cadrage!$D$37,Cadrage!$E$37)))</f>
        <v>0</v>
      </c>
      <c r="M124">
        <f>IF($A124="","",IF($D124="V01",Cadrage!$C$38,IF($D124="V02",Cadrage!$D$38,Cadrage!$E$38)))</f>
        <v>0.04</v>
      </c>
      <c r="N124">
        <f t="shared" si="1"/>
        <v>0.980622079131853</v>
      </c>
      <c r="O124">
        <f t="shared" si="2"/>
        <v>0.980622079131853</v>
      </c>
      <c r="P124">
        <f>IF($A124="","",IF($E124=1,$F124*$O124,PNL!G124))</f>
        <v>69137</v>
      </c>
      <c r="T124">
        <f t="shared" si="3"/>
        <v>0</v>
      </c>
    </row>
    <row r="125" ht="14.25" customHeight="1">
      <c r="A125" t="str">
        <f>IF(PNL!A125="","",PNL!A125)</f>
        <v>PIGIER_LYO</v>
      </c>
      <c r="B125" t="str">
        <f>IF(PNL!B125="","",PNL!B125)</f>
        <v>621</v>
      </c>
      <c r="C125" t="str">
        <f>IF(PNL!C125="","",PNL!C125)</f>
        <v>2025</v>
      </c>
      <c r="D125" t="str">
        <f>IF(PNL!D125="","",PNL!D125)</f>
        <v>ACT</v>
      </c>
      <c r="E125">
        <f t="shared" si="0"/>
        <v>0</v>
      </c>
      <c r="F125">
        <f>IF($A125="","",IF($E125=1,_xlfn.SUMIFS(Comptabilité!$F$1:$F$1446,Comptabilité!$A$1:$A$1446,$A125,Comptabilité!$B$1:$B$1446,$B125,Comptabilité!$C$1:$C$1446,"2026"),0))</f>
        <v>0</v>
      </c>
      <c r="G125">
        <f>IF($A125="","",IF($D125="V01",Cadrage!$C$23,IF($D125="V02",Cadrage!$D$23,Cadrage!$E$23)))</f>
        <v>-0.05</v>
      </c>
      <c r="H125">
        <f>IF($A125="","",IF($D125="V01",Cadrage!$C$24,IF($D125="V02",Cadrage!$D$24,Cadrage!$E$24)))</f>
        <v>-0.05</v>
      </c>
      <c r="I125">
        <f>IF($A125="","",IF($D125="V01",Cadrage!$C$34,IF($D125="V02",Cadrage!$D$34,Cadrage!$E$34)))</f>
        <v>0.03</v>
      </c>
      <c r="J125">
        <f>IF($A125="","",IF($D125="V01",Cadrage!$C$35,IF($D125="V02",Cadrage!$D$35,Cadrage!$E$35)))</f>
        <v>0.03</v>
      </c>
      <c r="K125">
        <f>IF($A125="","",IF($D125="V01",Cadrage!$C$36,IF($D125="V02",Cadrage!$D$36,Cadrage!$E$36)))</f>
        <v>0.05</v>
      </c>
      <c r="L125">
        <f>IF($A125="","",IF($D125="V01",Cadrage!$C$37,IF($D125="V02",Cadrage!$D$37,Cadrage!$E$37)))</f>
        <v>0</v>
      </c>
      <c r="M125">
        <f>IF($A125="","",IF($D125="V01",Cadrage!$C$38,IF($D125="V02",Cadrage!$D$38,Cadrage!$E$38)))</f>
        <v>0.04</v>
      </c>
      <c r="N125">
        <f t="shared" si="1"/>
        <v>0.980622079131853</v>
      </c>
      <c r="O125">
        <f t="shared" si="2"/>
        <v>0.980622079131853</v>
      </c>
      <c r="P125">
        <f>IF($A125="","",IF($E125=1,$F125*$O125,PNL!G125))</f>
        <v>92183</v>
      </c>
      <c r="T125">
        <f t="shared" si="3"/>
        <v>0</v>
      </c>
    </row>
    <row r="126" ht="14.25" customHeight="1">
      <c r="A126" t="str">
        <f>IF(PNL!A126="","",PNL!A126)</f>
        <v>PIGIER_BOR</v>
      </c>
      <c r="B126" t="str">
        <f>IF(PNL!B126="","",PNL!B126)</f>
        <v>621</v>
      </c>
      <c r="C126" t="str">
        <f>IF(PNL!C126="","",PNL!C126)</f>
        <v>2025</v>
      </c>
      <c r="D126" t="str">
        <f>IF(PNL!D126="","",PNL!D126)</f>
        <v>ACT</v>
      </c>
      <c r="E126">
        <f t="shared" si="0"/>
        <v>0</v>
      </c>
      <c r="F126">
        <f>IF($A126="","",IF($E126=1,_xlfn.SUMIFS(Comptabilité!$F$1:$F$1446,Comptabilité!$A$1:$A$1446,$A126,Comptabilité!$B$1:$B$1446,$B126,Comptabilité!$C$1:$C$1446,"2026"),0))</f>
        <v>0</v>
      </c>
      <c r="G126">
        <f>IF($A126="","",IF($D126="V01",Cadrage!$C$23,IF($D126="V02",Cadrage!$D$23,Cadrage!$E$23)))</f>
        <v>-0.05</v>
      </c>
      <c r="H126">
        <f>IF($A126="","",IF($D126="V01",Cadrage!$C$24,IF($D126="V02",Cadrage!$D$24,Cadrage!$E$24)))</f>
        <v>-0.05</v>
      </c>
      <c r="I126">
        <f>IF($A126="","",IF($D126="V01",Cadrage!$C$34,IF($D126="V02",Cadrage!$D$34,Cadrage!$E$34)))</f>
        <v>0.03</v>
      </c>
      <c r="J126">
        <f>IF($A126="","",IF($D126="V01",Cadrage!$C$35,IF($D126="V02",Cadrage!$D$35,Cadrage!$E$35)))</f>
        <v>0.03</v>
      </c>
      <c r="K126">
        <f>IF($A126="","",IF($D126="V01",Cadrage!$C$36,IF($D126="V02",Cadrage!$D$36,Cadrage!$E$36)))</f>
        <v>0.05</v>
      </c>
      <c r="L126">
        <f>IF($A126="","",IF($D126="V01",Cadrage!$C$37,IF($D126="V02",Cadrage!$D$37,Cadrage!$E$37)))</f>
        <v>0</v>
      </c>
      <c r="M126">
        <f>IF($A126="","",IF($D126="V01",Cadrage!$C$38,IF($D126="V02",Cadrage!$D$38,Cadrage!$E$38)))</f>
        <v>0.04</v>
      </c>
      <c r="N126">
        <f t="shared" si="1"/>
        <v>0.980622079131853</v>
      </c>
      <c r="O126">
        <f t="shared" si="2"/>
        <v>0.980622079131853</v>
      </c>
      <c r="P126">
        <f>IF($A126="","",IF($E126=1,$F126*$O126,PNL!G126))</f>
        <v>92183</v>
      </c>
      <c r="T126">
        <f t="shared" si="3"/>
        <v>0</v>
      </c>
    </row>
    <row r="127" ht="14.25" customHeight="1">
      <c r="A127" t="str">
        <f>IF(PNL!A127="","",PNL!A127)</f>
        <v>TUNON_PAR</v>
      </c>
      <c r="B127" t="str">
        <f>IF(PNL!B127="","",PNL!B127)</f>
        <v>621</v>
      </c>
      <c r="C127" t="str">
        <f>IF(PNL!C127="","",PNL!C127)</f>
        <v>2025</v>
      </c>
      <c r="D127" t="str">
        <f>IF(PNL!D127="","",PNL!D127)</f>
        <v>ACT</v>
      </c>
      <c r="E127">
        <f t="shared" si="0"/>
        <v>0</v>
      </c>
      <c r="F127">
        <f>IF($A127="","",IF($E127=1,_xlfn.SUMIFS(Comptabilité!$F$1:$F$1446,Comptabilité!$A$1:$A$1446,$A127,Comptabilité!$B$1:$B$1446,$B127,Comptabilité!$C$1:$C$1446,"2026"),0))</f>
        <v>0</v>
      </c>
      <c r="G127">
        <f>IF($A127="","",IF($D127="V01",Cadrage!$C$23,IF($D127="V02",Cadrage!$D$23,Cadrage!$E$23)))</f>
        <v>-0.05</v>
      </c>
      <c r="H127">
        <f>IF($A127="","",IF($D127="V01",Cadrage!$C$24,IF($D127="V02",Cadrage!$D$24,Cadrage!$E$24)))</f>
        <v>-0.05</v>
      </c>
      <c r="I127">
        <f>IF($A127="","",IF($D127="V01",Cadrage!$C$34,IF($D127="V02",Cadrage!$D$34,Cadrage!$E$34)))</f>
        <v>0.03</v>
      </c>
      <c r="J127">
        <f>IF($A127="","",IF($D127="V01",Cadrage!$C$35,IF($D127="V02",Cadrage!$D$35,Cadrage!$E$35)))</f>
        <v>0.03</v>
      </c>
      <c r="K127">
        <f>IF($A127="","",IF($D127="V01",Cadrage!$C$36,IF($D127="V02",Cadrage!$D$36,Cadrage!$E$36)))</f>
        <v>0.05</v>
      </c>
      <c r="L127">
        <f>IF($A127="","",IF($D127="V01",Cadrage!$C$37,IF($D127="V02",Cadrage!$D$37,Cadrage!$E$37)))</f>
        <v>0</v>
      </c>
      <c r="M127">
        <f>IF($A127="","",IF($D127="V01",Cadrage!$C$38,IF($D127="V02",Cadrage!$D$38,Cadrage!$E$38)))</f>
        <v>0.04</v>
      </c>
      <c r="N127">
        <f t="shared" si="1"/>
        <v>0.980622079131853</v>
      </c>
      <c r="O127">
        <f t="shared" si="2"/>
        <v>0.980622079131853</v>
      </c>
      <c r="P127">
        <f>IF($A127="","",IF($E127=1,$F127*$O127,PNL!G127))</f>
        <v>69137</v>
      </c>
      <c r="T127">
        <f t="shared" si="3"/>
        <v>0</v>
      </c>
    </row>
    <row r="128" ht="14.25" customHeight="1">
      <c r="A128" t="str">
        <f>IF(PNL!A128="","",PNL!A128)</f>
        <v>TUNON_LYO</v>
      </c>
      <c r="B128" t="str">
        <f>IF(PNL!B128="","",PNL!B128)</f>
        <v>621</v>
      </c>
      <c r="C128" t="str">
        <f>IF(PNL!C128="","",PNL!C128)</f>
        <v>2025</v>
      </c>
      <c r="D128" t="str">
        <f>IF(PNL!D128="","",PNL!D128)</f>
        <v>ACT</v>
      </c>
      <c r="E128">
        <f t="shared" si="0"/>
        <v>0</v>
      </c>
      <c r="F128">
        <f>IF($A128="","",IF($E128=1,_xlfn.SUMIFS(Comptabilité!$F$1:$F$1446,Comptabilité!$A$1:$A$1446,$A128,Comptabilité!$B$1:$B$1446,$B128,Comptabilité!$C$1:$C$1446,"2026"),0))</f>
        <v>0</v>
      </c>
      <c r="G128">
        <f>IF($A128="","",IF($D128="V01",Cadrage!$C$23,IF($D128="V02",Cadrage!$D$23,Cadrage!$E$23)))</f>
        <v>-0.05</v>
      </c>
      <c r="H128">
        <f>IF($A128="","",IF($D128="V01",Cadrage!$C$24,IF($D128="V02",Cadrage!$D$24,Cadrage!$E$24)))</f>
        <v>-0.05</v>
      </c>
      <c r="I128">
        <f>IF($A128="","",IF($D128="V01",Cadrage!$C$34,IF($D128="V02",Cadrage!$D$34,Cadrage!$E$34)))</f>
        <v>0.03</v>
      </c>
      <c r="J128">
        <f>IF($A128="","",IF($D128="V01",Cadrage!$C$35,IF($D128="V02",Cadrage!$D$35,Cadrage!$E$35)))</f>
        <v>0.03</v>
      </c>
      <c r="K128">
        <f>IF($A128="","",IF($D128="V01",Cadrage!$C$36,IF($D128="V02",Cadrage!$D$36,Cadrage!$E$36)))</f>
        <v>0.05</v>
      </c>
      <c r="L128">
        <f>IF($A128="","",IF($D128="V01",Cadrage!$C$37,IF($D128="V02",Cadrage!$D$37,Cadrage!$E$37)))</f>
        <v>0</v>
      </c>
      <c r="M128">
        <f>IF($A128="","",IF($D128="V01",Cadrage!$C$38,IF($D128="V02",Cadrage!$D$38,Cadrage!$E$38)))</f>
        <v>0.04</v>
      </c>
      <c r="N128">
        <f t="shared" si="1"/>
        <v>0.980622079131853</v>
      </c>
      <c r="O128">
        <f t="shared" si="2"/>
        <v>0.980622079131853</v>
      </c>
      <c r="P128">
        <f>IF($A128="","",IF($E128=1,$F128*$O128,PNL!G128))</f>
        <v>69137</v>
      </c>
      <c r="T128">
        <f t="shared" si="3"/>
        <v>0</v>
      </c>
    </row>
    <row r="129" ht="14.25" customHeight="1">
      <c r="A129" t="str">
        <f>IF(PNL!A129="","",PNL!A129)</f>
        <v>MBWAY_PAR</v>
      </c>
      <c r="B129" t="str">
        <f>IF(PNL!B129="","",PNL!B129)</f>
        <v>621</v>
      </c>
      <c r="C129" t="str">
        <f>IF(PNL!C129="","",PNL!C129)</f>
        <v>2026</v>
      </c>
      <c r="D129" t="str">
        <f>IF(PNL!D129="","",PNL!D129)</f>
        <v>ACT</v>
      </c>
      <c r="E129">
        <f t="shared" si="0"/>
        <v>0</v>
      </c>
      <c r="F129">
        <f>IF($A129="","",IF($E129=1,_xlfn.SUMIFS(Comptabilité!$F$1:$F$1446,Comptabilité!$A$1:$A$1446,$A129,Comptabilité!$B$1:$B$1446,$B129,Comptabilité!$C$1:$C$1446,"2026"),0))</f>
        <v>0</v>
      </c>
      <c r="G129">
        <f>IF($A129="","",IF($D129="V01",Cadrage!$C$23,IF($D129="V02",Cadrage!$D$23,Cadrage!$E$23)))</f>
        <v>-0.05</v>
      </c>
      <c r="H129">
        <f>IF($A129="","",IF($D129="V01",Cadrage!$C$24,IF($D129="V02",Cadrage!$D$24,Cadrage!$E$24)))</f>
        <v>-0.05</v>
      </c>
      <c r="I129">
        <f>IF($A129="","",IF($D129="V01",Cadrage!$C$34,IF($D129="V02",Cadrage!$D$34,Cadrage!$E$34)))</f>
        <v>0.03</v>
      </c>
      <c r="J129">
        <f>IF($A129="","",IF($D129="V01",Cadrage!$C$35,IF($D129="V02",Cadrage!$D$35,Cadrage!$E$35)))</f>
        <v>0.03</v>
      </c>
      <c r="K129">
        <f>IF($A129="","",IF($D129="V01",Cadrage!$C$36,IF($D129="V02",Cadrage!$D$36,Cadrage!$E$36)))</f>
        <v>0.05</v>
      </c>
      <c r="L129">
        <f>IF($A129="","",IF($D129="V01",Cadrage!$C$37,IF($D129="V02",Cadrage!$D$37,Cadrage!$E$37)))</f>
        <v>0</v>
      </c>
      <c r="M129">
        <f>IF($A129="","",IF($D129="V01",Cadrage!$C$38,IF($D129="V02",Cadrage!$D$38,Cadrage!$E$38)))</f>
        <v>0.04</v>
      </c>
      <c r="N129">
        <f t="shared" si="1"/>
        <v>0.980622079131853</v>
      </c>
      <c r="O129">
        <f t="shared" si="2"/>
        <v>0.980622079131853</v>
      </c>
      <c r="P129">
        <f>IF($A129="","",IF($E129=1,$F129*$O129,PNL!G129))</f>
        <v>181094</v>
      </c>
      <c r="T129">
        <f t="shared" si="3"/>
        <v>0</v>
      </c>
    </row>
    <row r="130" ht="14.25" customHeight="1">
      <c r="A130" t="str">
        <f>IF(PNL!A130="","",PNL!A130)</f>
        <v>MBWAY_LYO</v>
      </c>
      <c r="B130" t="str">
        <f>IF(PNL!B130="","",PNL!B130)</f>
        <v>621</v>
      </c>
      <c r="C130" t="str">
        <f>IF(PNL!C130="","",PNL!C130)</f>
        <v>2026</v>
      </c>
      <c r="D130" t="str">
        <f>IF(PNL!D130="","",PNL!D130)</f>
        <v>ACT</v>
      </c>
      <c r="E130">
        <f t="shared" si="0"/>
        <v>0</v>
      </c>
      <c r="F130">
        <f>IF($A130="","",IF($E130=1,_xlfn.SUMIFS(Comptabilité!$F$1:$F$1446,Comptabilité!$A$1:$A$1446,$A130,Comptabilité!$B$1:$B$1446,$B130,Comptabilité!$C$1:$C$1446,"2026"),0))</f>
        <v>0</v>
      </c>
      <c r="G130">
        <f>IF($A130="","",IF($D130="V01",Cadrage!$C$23,IF($D130="V02",Cadrage!$D$23,Cadrage!$E$23)))</f>
        <v>-0.05</v>
      </c>
      <c r="H130">
        <f>IF($A130="","",IF($D130="V01",Cadrage!$C$24,IF($D130="V02",Cadrage!$D$24,Cadrage!$E$24)))</f>
        <v>-0.05</v>
      </c>
      <c r="I130">
        <f>IF($A130="","",IF($D130="V01",Cadrage!$C$34,IF($D130="V02",Cadrage!$D$34,Cadrage!$E$34)))</f>
        <v>0.03</v>
      </c>
      <c r="J130">
        <f>IF($A130="","",IF($D130="V01",Cadrage!$C$35,IF($D130="V02",Cadrage!$D$35,Cadrage!$E$35)))</f>
        <v>0.03</v>
      </c>
      <c r="K130">
        <f>IF($A130="","",IF($D130="V01",Cadrage!$C$36,IF($D130="V02",Cadrage!$D$36,Cadrage!$E$36)))</f>
        <v>0.05</v>
      </c>
      <c r="L130">
        <f>IF($A130="","",IF($D130="V01",Cadrage!$C$37,IF($D130="V02",Cadrage!$D$37,Cadrage!$E$37)))</f>
        <v>0</v>
      </c>
      <c r="M130">
        <f>IF($A130="","",IF($D130="V01",Cadrage!$C$38,IF($D130="V02",Cadrage!$D$38,Cadrage!$E$38)))</f>
        <v>0.04</v>
      </c>
      <c r="N130">
        <f t="shared" si="1"/>
        <v>0.980622079131853</v>
      </c>
      <c r="O130">
        <f t="shared" si="2"/>
        <v>0.980622079131853</v>
      </c>
      <c r="P130">
        <f>IF($A130="","",IF($E130=1,$F130*$O130,PNL!G130))</f>
        <v>156948</v>
      </c>
      <c r="T130">
        <f t="shared" si="3"/>
        <v>0</v>
      </c>
    </row>
    <row r="131" ht="14.25" customHeight="1">
      <c r="A131" t="str">
        <f>IF(PNL!A131="","",PNL!A131)</f>
        <v>MBWAY_NAN</v>
      </c>
      <c r="B131" t="str">
        <f>IF(PNL!B131="","",PNL!B131)</f>
        <v>621</v>
      </c>
      <c r="C131" t="str">
        <f>IF(PNL!C131="","",PNL!C131)</f>
        <v>2026</v>
      </c>
      <c r="D131" t="str">
        <f>IF(PNL!D131="","",PNL!D131)</f>
        <v>ACT</v>
      </c>
      <c r="E131">
        <f t="shared" si="0"/>
        <v>0</v>
      </c>
      <c r="F131">
        <f>IF($A131="","",IF($E131=1,_xlfn.SUMIFS(Comptabilité!$F$1:$F$1446,Comptabilité!$A$1:$A$1446,$A131,Comptabilité!$B$1:$B$1446,$B131,Comptabilité!$C$1:$C$1446,"2026"),0))</f>
        <v>0</v>
      </c>
      <c r="G131">
        <f>IF($A131="","",IF($D131="V01",Cadrage!$C$23,IF($D131="V02",Cadrage!$D$23,Cadrage!$E$23)))</f>
        <v>-0.05</v>
      </c>
      <c r="H131">
        <f>IF($A131="","",IF($D131="V01",Cadrage!$C$24,IF($D131="V02",Cadrage!$D$24,Cadrage!$E$24)))</f>
        <v>-0.05</v>
      </c>
      <c r="I131">
        <f>IF($A131="","",IF($D131="V01",Cadrage!$C$34,IF($D131="V02",Cadrage!$D$34,Cadrage!$E$34)))</f>
        <v>0.03</v>
      </c>
      <c r="J131">
        <f>IF($A131="","",IF($D131="V01",Cadrage!$C$35,IF($D131="V02",Cadrage!$D$35,Cadrage!$E$35)))</f>
        <v>0.03</v>
      </c>
      <c r="K131">
        <f>IF($A131="","",IF($D131="V01",Cadrage!$C$36,IF($D131="V02",Cadrage!$D$36,Cadrage!$E$36)))</f>
        <v>0.05</v>
      </c>
      <c r="L131">
        <f>IF($A131="","",IF($D131="V01",Cadrage!$C$37,IF($D131="V02",Cadrage!$D$37,Cadrage!$E$37)))</f>
        <v>0</v>
      </c>
      <c r="M131">
        <f>IF($A131="","",IF($D131="V01",Cadrage!$C$38,IF($D131="V02",Cadrage!$D$38,Cadrage!$E$38)))</f>
        <v>0.04</v>
      </c>
      <c r="N131">
        <f t="shared" si="1"/>
        <v>0.980622079131853</v>
      </c>
      <c r="O131">
        <f t="shared" si="2"/>
        <v>0.980622079131853</v>
      </c>
      <c r="P131">
        <f>IF($A131="","",IF($E131=1,$F131*$O131,PNL!G131))</f>
        <v>144875</v>
      </c>
      <c r="T131">
        <f t="shared" si="3"/>
        <v>0</v>
      </c>
    </row>
    <row r="132" ht="14.25" customHeight="1">
      <c r="A132" t="str">
        <f>IF(PNL!A132="","",PNL!A132)</f>
        <v>MBWAY_BOR</v>
      </c>
      <c r="B132" t="str">
        <f>IF(PNL!B132="","",PNL!B132)</f>
        <v>621</v>
      </c>
      <c r="C132" t="str">
        <f>IF(PNL!C132="","",PNL!C132)</f>
        <v>2026</v>
      </c>
      <c r="D132" t="str">
        <f>IF(PNL!D132="","",PNL!D132)</f>
        <v>ACT</v>
      </c>
      <c r="E132">
        <f t="shared" si="0"/>
        <v>0</v>
      </c>
      <c r="F132">
        <f>IF($A132="","",IF($E132=1,_xlfn.SUMIFS(Comptabilité!$F$1:$F$1446,Comptabilité!$A$1:$A$1446,$A132,Comptabilité!$B$1:$B$1446,$B132,Comptabilité!$C$1:$C$1446,"2026"),0))</f>
        <v>0</v>
      </c>
      <c r="G132">
        <f>IF($A132="","",IF($D132="V01",Cadrage!$C$23,IF($D132="V02",Cadrage!$D$23,Cadrage!$E$23)))</f>
        <v>-0.05</v>
      </c>
      <c r="H132">
        <f>IF($A132="","",IF($D132="V01",Cadrage!$C$24,IF($D132="V02",Cadrage!$D$24,Cadrage!$E$24)))</f>
        <v>-0.05</v>
      </c>
      <c r="I132">
        <f>IF($A132="","",IF($D132="V01",Cadrage!$C$34,IF($D132="V02",Cadrage!$D$34,Cadrage!$E$34)))</f>
        <v>0.03</v>
      </c>
      <c r="J132">
        <f>IF($A132="","",IF($D132="V01",Cadrage!$C$35,IF($D132="V02",Cadrage!$D$35,Cadrage!$E$35)))</f>
        <v>0.03</v>
      </c>
      <c r="K132">
        <f>IF($A132="","",IF($D132="V01",Cadrage!$C$36,IF($D132="V02",Cadrage!$D$36,Cadrage!$E$36)))</f>
        <v>0.05</v>
      </c>
      <c r="L132">
        <f>IF($A132="","",IF($D132="V01",Cadrage!$C$37,IF($D132="V02",Cadrage!$D$37,Cadrage!$E$37)))</f>
        <v>0</v>
      </c>
      <c r="M132">
        <f>IF($A132="","",IF($D132="V01",Cadrage!$C$38,IF($D132="V02",Cadrage!$D$38,Cadrage!$E$38)))</f>
        <v>0.04</v>
      </c>
      <c r="N132">
        <f t="shared" si="1"/>
        <v>0.980622079131853</v>
      </c>
      <c r="O132">
        <f t="shared" si="2"/>
        <v>0.980622079131853</v>
      </c>
      <c r="P132">
        <f>IF($A132="","",IF($E132=1,$F132*$O132,PNL!G132))</f>
        <v>120729</v>
      </c>
      <c r="T132">
        <f t="shared" si="3"/>
        <v>0</v>
      </c>
    </row>
    <row r="133" ht="14.25" customHeight="1">
      <c r="A133" t="str">
        <f>IF(PNL!A133="","",PNL!A133)</f>
        <v>ISCOM_PAR</v>
      </c>
      <c r="B133" t="str">
        <f>IF(PNL!B133="","",PNL!B133)</f>
        <v>621</v>
      </c>
      <c r="C133" t="str">
        <f>IF(PNL!C133="","",PNL!C133)</f>
        <v>2026</v>
      </c>
      <c r="D133" t="str">
        <f>IF(PNL!D133="","",PNL!D133)</f>
        <v>ACT</v>
      </c>
      <c r="E133">
        <f t="shared" si="0"/>
        <v>0</v>
      </c>
      <c r="F133">
        <f>IF($A133="","",IF($E133=1,_xlfn.SUMIFS(Comptabilité!$F$1:$F$1446,Comptabilité!$A$1:$A$1446,$A133,Comptabilité!$B$1:$B$1446,$B133,Comptabilité!$C$1:$C$1446,"2026"),0))</f>
        <v>0</v>
      </c>
      <c r="G133">
        <f>IF($A133="","",IF($D133="V01",Cadrage!$C$23,IF($D133="V02",Cadrage!$D$23,Cadrage!$E$23)))</f>
        <v>-0.05</v>
      </c>
      <c r="H133">
        <f>IF($A133="","",IF($D133="V01",Cadrage!$C$24,IF($D133="V02",Cadrage!$D$24,Cadrage!$E$24)))</f>
        <v>-0.05</v>
      </c>
      <c r="I133">
        <f>IF($A133="","",IF($D133="V01",Cadrage!$C$34,IF($D133="V02",Cadrage!$D$34,Cadrage!$E$34)))</f>
        <v>0.03</v>
      </c>
      <c r="J133">
        <f>IF($A133="","",IF($D133="V01",Cadrage!$C$35,IF($D133="V02",Cadrage!$D$35,Cadrage!$E$35)))</f>
        <v>0.03</v>
      </c>
      <c r="K133">
        <f>IF($A133="","",IF($D133="V01",Cadrage!$C$36,IF($D133="V02",Cadrage!$D$36,Cadrage!$E$36)))</f>
        <v>0.05</v>
      </c>
      <c r="L133">
        <f>IF($A133="","",IF($D133="V01",Cadrage!$C$37,IF($D133="V02",Cadrage!$D$37,Cadrage!$E$37)))</f>
        <v>0</v>
      </c>
      <c r="M133">
        <f>IF($A133="","",IF($D133="V01",Cadrage!$C$38,IF($D133="V02",Cadrage!$D$38,Cadrage!$E$38)))</f>
        <v>0.04</v>
      </c>
      <c r="N133">
        <f t="shared" si="1"/>
        <v>0.980622079131853</v>
      </c>
      <c r="O133">
        <f t="shared" si="2"/>
        <v>0.980622079131853</v>
      </c>
      <c r="P133">
        <f>IF($A133="","",IF($E133=1,$F133*$O133,PNL!G133))</f>
        <v>181094</v>
      </c>
      <c r="T133">
        <f t="shared" si="3"/>
        <v>0</v>
      </c>
    </row>
    <row r="134" ht="14.25" customHeight="1">
      <c r="A134" t="str">
        <f>IF(PNL!A134="","",PNL!A134)</f>
        <v>ISCOM_LIL</v>
      </c>
      <c r="B134" t="str">
        <f>IF(PNL!B134="","",PNL!B134)</f>
        <v>621</v>
      </c>
      <c r="C134" t="str">
        <f>IF(PNL!C134="","",PNL!C134)</f>
        <v>2026</v>
      </c>
      <c r="D134" t="str">
        <f>IF(PNL!D134="","",PNL!D134)</f>
        <v>ACT</v>
      </c>
      <c r="E134">
        <f t="shared" si="0"/>
        <v>0</v>
      </c>
      <c r="F134">
        <f>IF($A134="","",IF($E134=1,_xlfn.SUMIFS(Comptabilité!$F$1:$F$1446,Comptabilité!$A$1:$A$1446,$A134,Comptabilité!$B$1:$B$1446,$B134,Comptabilité!$C$1:$C$1446,"2026"),0))</f>
        <v>0</v>
      </c>
      <c r="G134">
        <f>IF($A134="","",IF($D134="V01",Cadrage!$C$23,IF($D134="V02",Cadrage!$D$23,Cadrage!$E$23)))</f>
        <v>-0.05</v>
      </c>
      <c r="H134">
        <f>IF($A134="","",IF($D134="V01",Cadrage!$C$24,IF($D134="V02",Cadrage!$D$24,Cadrage!$E$24)))</f>
        <v>-0.05</v>
      </c>
      <c r="I134">
        <f>IF($A134="","",IF($D134="V01",Cadrage!$C$34,IF($D134="V02",Cadrage!$D$34,Cadrage!$E$34)))</f>
        <v>0.03</v>
      </c>
      <c r="J134">
        <f>IF($A134="","",IF($D134="V01",Cadrage!$C$35,IF($D134="V02",Cadrage!$D$35,Cadrage!$E$35)))</f>
        <v>0.03</v>
      </c>
      <c r="K134">
        <f>IF($A134="","",IF($D134="V01",Cadrage!$C$36,IF($D134="V02",Cadrage!$D$36,Cadrage!$E$36)))</f>
        <v>0.05</v>
      </c>
      <c r="L134">
        <f>IF($A134="","",IF($D134="V01",Cadrage!$C$37,IF($D134="V02",Cadrage!$D$37,Cadrage!$E$37)))</f>
        <v>0</v>
      </c>
      <c r="M134">
        <f>IF($A134="","",IF($D134="V01",Cadrage!$C$38,IF($D134="V02",Cadrage!$D$38,Cadrage!$E$38)))</f>
        <v>0.04</v>
      </c>
      <c r="N134">
        <f t="shared" si="1"/>
        <v>0.980622079131853</v>
      </c>
      <c r="O134">
        <f t="shared" si="2"/>
        <v>0.980622079131853</v>
      </c>
      <c r="P134">
        <f>IF($A134="","",IF($E134=1,$F134*$O134,PNL!G134))</f>
        <v>120729</v>
      </c>
      <c r="T134">
        <f t="shared" si="3"/>
        <v>0</v>
      </c>
    </row>
    <row r="135" ht="14.25" customHeight="1">
      <c r="A135" t="str">
        <f>IF(PNL!A135="","",PNL!A135)</f>
        <v>ISCOM_TLS</v>
      </c>
      <c r="B135" t="str">
        <f>IF(PNL!B135="","",PNL!B135)</f>
        <v>621</v>
      </c>
      <c r="C135" t="str">
        <f>IF(PNL!C135="","",PNL!C135)</f>
        <v>2026</v>
      </c>
      <c r="D135" t="str">
        <f>IF(PNL!D135="","",PNL!D135)</f>
        <v>ACT</v>
      </c>
      <c r="E135">
        <f t="shared" si="0"/>
        <v>0</v>
      </c>
      <c r="F135">
        <f>IF($A135="","",IF($E135=1,_xlfn.SUMIFS(Comptabilité!$F$1:$F$1446,Comptabilité!$A$1:$A$1446,$A135,Comptabilité!$B$1:$B$1446,$B135,Comptabilité!$C$1:$C$1446,"2026"),0))</f>
        <v>0</v>
      </c>
      <c r="G135">
        <f>IF($A135="","",IF($D135="V01",Cadrage!$C$23,IF($D135="V02",Cadrage!$D$23,Cadrage!$E$23)))</f>
        <v>-0.05</v>
      </c>
      <c r="H135">
        <f>IF($A135="","",IF($D135="V01",Cadrage!$C$24,IF($D135="V02",Cadrage!$D$24,Cadrage!$E$24)))</f>
        <v>-0.05</v>
      </c>
      <c r="I135">
        <f>IF($A135="","",IF($D135="V01",Cadrage!$C$34,IF($D135="V02",Cadrage!$D$34,Cadrage!$E$34)))</f>
        <v>0.03</v>
      </c>
      <c r="J135">
        <f>IF($A135="","",IF($D135="V01",Cadrage!$C$35,IF($D135="V02",Cadrage!$D$35,Cadrage!$E$35)))</f>
        <v>0.03</v>
      </c>
      <c r="K135">
        <f>IF($A135="","",IF($D135="V01",Cadrage!$C$36,IF($D135="V02",Cadrage!$D$36,Cadrage!$E$36)))</f>
        <v>0.05</v>
      </c>
      <c r="L135">
        <f>IF($A135="","",IF($D135="V01",Cadrage!$C$37,IF($D135="V02",Cadrage!$D$37,Cadrage!$E$37)))</f>
        <v>0</v>
      </c>
      <c r="M135">
        <f>IF($A135="","",IF($D135="V01",Cadrage!$C$38,IF($D135="V02",Cadrage!$D$38,Cadrage!$E$38)))</f>
        <v>0.04</v>
      </c>
      <c r="N135">
        <f t="shared" si="1"/>
        <v>0.980622079131853</v>
      </c>
      <c r="O135">
        <f t="shared" si="2"/>
        <v>0.980622079131853</v>
      </c>
      <c r="P135">
        <f>IF($A135="","",IF($E135=1,$F135*$O135,PNL!G135))</f>
        <v>120729</v>
      </c>
      <c r="T135">
        <f t="shared" si="3"/>
        <v>0</v>
      </c>
    </row>
    <row r="136" ht="14.25" customHeight="1">
      <c r="A136" t="str">
        <f>IF(PNL!A136="","",PNL!A136)</f>
        <v>IPAC_NAN</v>
      </c>
      <c r="B136" t="str">
        <f>IF(PNL!B136="","",PNL!B136)</f>
        <v>621</v>
      </c>
      <c r="C136" t="str">
        <f>IF(PNL!C136="","",PNL!C136)</f>
        <v>2026</v>
      </c>
      <c r="D136" t="str">
        <f>IF(PNL!D136="","",PNL!D136)</f>
        <v>ACT</v>
      </c>
      <c r="E136">
        <f t="shared" si="0"/>
        <v>0</v>
      </c>
      <c r="F136">
        <f>IF($A136="","",IF($E136=1,_xlfn.SUMIFS(Comptabilité!$F$1:$F$1446,Comptabilité!$A$1:$A$1446,$A136,Comptabilité!$B$1:$B$1446,$B136,Comptabilité!$C$1:$C$1446,"2026"),0))</f>
        <v>0</v>
      </c>
      <c r="G136">
        <f>IF($A136="","",IF($D136="V01",Cadrage!$C$23,IF($D136="V02",Cadrage!$D$23,Cadrage!$E$23)))</f>
        <v>-0.05</v>
      </c>
      <c r="H136">
        <f>IF($A136="","",IF($D136="V01",Cadrage!$C$24,IF($D136="V02",Cadrage!$D$24,Cadrage!$E$24)))</f>
        <v>-0.05</v>
      </c>
      <c r="I136">
        <f>IF($A136="","",IF($D136="V01",Cadrage!$C$34,IF($D136="V02",Cadrage!$D$34,Cadrage!$E$34)))</f>
        <v>0.03</v>
      </c>
      <c r="J136">
        <f>IF($A136="","",IF($D136="V01",Cadrage!$C$35,IF($D136="V02",Cadrage!$D$35,Cadrage!$E$35)))</f>
        <v>0.03</v>
      </c>
      <c r="K136">
        <f>IF($A136="","",IF($D136="V01",Cadrage!$C$36,IF($D136="V02",Cadrage!$D$36,Cadrage!$E$36)))</f>
        <v>0.05</v>
      </c>
      <c r="L136">
        <f>IF($A136="","",IF($D136="V01",Cadrage!$C$37,IF($D136="V02",Cadrage!$D$37,Cadrage!$E$37)))</f>
        <v>0</v>
      </c>
      <c r="M136">
        <f>IF($A136="","",IF($D136="V01",Cadrage!$C$38,IF($D136="V02",Cadrage!$D$38,Cadrage!$E$38)))</f>
        <v>0.04</v>
      </c>
      <c r="N136">
        <f t="shared" si="1"/>
        <v>0.980622079131853</v>
      </c>
      <c r="O136">
        <f t="shared" si="2"/>
        <v>0.980622079131853</v>
      </c>
      <c r="P136">
        <f>IF($A136="","",IF($E136=1,$F136*$O136,PNL!G136))</f>
        <v>72438</v>
      </c>
      <c r="T136">
        <f t="shared" si="3"/>
        <v>0</v>
      </c>
    </row>
    <row r="137" ht="14.25" customHeight="1">
      <c r="A137" t="str">
        <f>IF(PNL!A137="","",PNL!A137)</f>
        <v>IPAC_REN</v>
      </c>
      <c r="B137" t="str">
        <f>IF(PNL!B137="","",PNL!B137)</f>
        <v>621</v>
      </c>
      <c r="C137" t="str">
        <f>IF(PNL!C137="","",PNL!C137)</f>
        <v>2026</v>
      </c>
      <c r="D137" t="str">
        <f>IF(PNL!D137="","",PNL!D137)</f>
        <v>ACT</v>
      </c>
      <c r="E137">
        <f t="shared" si="0"/>
        <v>0</v>
      </c>
      <c r="F137">
        <f>IF($A137="","",IF($E137=1,_xlfn.SUMIFS(Comptabilité!$F$1:$F$1446,Comptabilité!$A$1:$A$1446,$A137,Comptabilité!$B$1:$B$1446,$B137,Comptabilité!$C$1:$C$1446,"2026"),0))</f>
        <v>0</v>
      </c>
      <c r="G137">
        <f>IF($A137="","",IF($D137="V01",Cadrage!$C$23,IF($D137="V02",Cadrage!$D$23,Cadrage!$E$23)))</f>
        <v>-0.05</v>
      </c>
      <c r="H137">
        <f>IF($A137="","",IF($D137="V01",Cadrage!$C$24,IF($D137="V02",Cadrage!$D$24,Cadrage!$E$24)))</f>
        <v>-0.05</v>
      </c>
      <c r="I137">
        <f>IF($A137="","",IF($D137="V01",Cadrage!$C$34,IF($D137="V02",Cadrage!$D$34,Cadrage!$E$34)))</f>
        <v>0.03</v>
      </c>
      <c r="J137">
        <f>IF($A137="","",IF($D137="V01",Cadrage!$C$35,IF($D137="V02",Cadrage!$D$35,Cadrage!$E$35)))</f>
        <v>0.03</v>
      </c>
      <c r="K137">
        <f>IF($A137="","",IF($D137="V01",Cadrage!$C$36,IF($D137="V02",Cadrage!$D$36,Cadrage!$E$36)))</f>
        <v>0.05</v>
      </c>
      <c r="L137">
        <f>IF($A137="","",IF($D137="V01",Cadrage!$C$37,IF($D137="V02",Cadrage!$D$37,Cadrage!$E$37)))</f>
        <v>0</v>
      </c>
      <c r="M137">
        <f>IF($A137="","",IF($D137="V01",Cadrage!$C$38,IF($D137="V02",Cadrage!$D$38,Cadrage!$E$38)))</f>
        <v>0.04</v>
      </c>
      <c r="N137">
        <f t="shared" si="1"/>
        <v>0.980622079131853</v>
      </c>
      <c r="O137">
        <f t="shared" si="2"/>
        <v>0.980622079131853</v>
      </c>
      <c r="P137">
        <f>IF($A137="","",IF($E137=1,$F137*$O137,PNL!G137))</f>
        <v>72438</v>
      </c>
      <c r="T137">
        <f t="shared" si="3"/>
        <v>0</v>
      </c>
    </row>
    <row r="138" ht="14.25" customHeight="1">
      <c r="A138" t="str">
        <f>IF(PNL!A138="","",PNL!A138)</f>
        <v>IPAC_MTP</v>
      </c>
      <c r="B138" t="str">
        <f>IF(PNL!B138="","",PNL!B138)</f>
        <v>621</v>
      </c>
      <c r="C138" t="str">
        <f>IF(PNL!C138="","",PNL!C138)</f>
        <v>2026</v>
      </c>
      <c r="D138" t="str">
        <f>IF(PNL!D138="","",PNL!D138)</f>
        <v>ACT</v>
      </c>
      <c r="E138">
        <f t="shared" si="0"/>
        <v>0</v>
      </c>
      <c r="F138">
        <f>IF($A138="","",IF($E138=1,_xlfn.SUMIFS(Comptabilité!$F$1:$F$1446,Comptabilité!$A$1:$A$1446,$A138,Comptabilité!$B$1:$B$1446,$B138,Comptabilité!$C$1:$C$1446,"2026"),0))</f>
        <v>0</v>
      </c>
      <c r="G138">
        <f>IF($A138="","",IF($D138="V01",Cadrage!$C$23,IF($D138="V02",Cadrage!$D$23,Cadrage!$E$23)))</f>
        <v>-0.05</v>
      </c>
      <c r="H138">
        <f>IF($A138="","",IF($D138="V01",Cadrage!$C$24,IF($D138="V02",Cadrage!$D$24,Cadrage!$E$24)))</f>
        <v>-0.05</v>
      </c>
      <c r="I138">
        <f>IF($A138="","",IF($D138="V01",Cadrage!$C$34,IF($D138="V02",Cadrage!$D$34,Cadrage!$E$34)))</f>
        <v>0.03</v>
      </c>
      <c r="J138">
        <f>IF($A138="","",IF($D138="V01",Cadrage!$C$35,IF($D138="V02",Cadrage!$D$35,Cadrage!$E$35)))</f>
        <v>0.03</v>
      </c>
      <c r="K138">
        <f>IF($A138="","",IF($D138="V01",Cadrage!$C$36,IF($D138="V02",Cadrage!$D$36,Cadrage!$E$36)))</f>
        <v>0.05</v>
      </c>
      <c r="L138">
        <f>IF($A138="","",IF($D138="V01",Cadrage!$C$37,IF($D138="V02",Cadrage!$D$37,Cadrage!$E$37)))</f>
        <v>0</v>
      </c>
      <c r="M138">
        <f>IF($A138="","",IF($D138="V01",Cadrage!$C$38,IF($D138="V02",Cadrage!$D$38,Cadrage!$E$38)))</f>
        <v>0.04</v>
      </c>
      <c r="N138">
        <f t="shared" si="1"/>
        <v>0.980622079131853</v>
      </c>
      <c r="O138">
        <f t="shared" si="2"/>
        <v>0.980622079131853</v>
      </c>
      <c r="P138">
        <f>IF($A138="","",IF($E138=1,$F138*$O138,PNL!G138))</f>
        <v>72438</v>
      </c>
      <c r="T138">
        <f t="shared" si="3"/>
        <v>0</v>
      </c>
    </row>
    <row r="139" ht="14.25" customHeight="1">
      <c r="A139" t="str">
        <f>IF(PNL!A139="","",PNL!A139)</f>
        <v>PIGIER_LYO</v>
      </c>
      <c r="B139" t="str">
        <f>IF(PNL!B139="","",PNL!B139)</f>
        <v>621</v>
      </c>
      <c r="C139" t="str">
        <f>IF(PNL!C139="","",PNL!C139)</f>
        <v>2026</v>
      </c>
      <c r="D139" t="str">
        <f>IF(PNL!D139="","",PNL!D139)</f>
        <v>ACT</v>
      </c>
      <c r="E139">
        <f t="shared" si="0"/>
        <v>0</v>
      </c>
      <c r="F139">
        <f>IF($A139="","",IF($E139=1,_xlfn.SUMIFS(Comptabilité!$F$1:$F$1446,Comptabilité!$A$1:$A$1446,$A139,Comptabilité!$B$1:$B$1446,$B139,Comptabilité!$C$1:$C$1446,"2026"),0))</f>
        <v>0</v>
      </c>
      <c r="G139">
        <f>IF($A139="","",IF($D139="V01",Cadrage!$C$23,IF($D139="V02",Cadrage!$D$23,Cadrage!$E$23)))</f>
        <v>-0.05</v>
      </c>
      <c r="H139">
        <f>IF($A139="","",IF($D139="V01",Cadrage!$C$24,IF($D139="V02",Cadrage!$D$24,Cadrage!$E$24)))</f>
        <v>-0.05</v>
      </c>
      <c r="I139">
        <f>IF($A139="","",IF($D139="V01",Cadrage!$C$34,IF($D139="V02",Cadrage!$D$34,Cadrage!$E$34)))</f>
        <v>0.03</v>
      </c>
      <c r="J139">
        <f>IF($A139="","",IF($D139="V01",Cadrage!$C$35,IF($D139="V02",Cadrage!$D$35,Cadrage!$E$35)))</f>
        <v>0.03</v>
      </c>
      <c r="K139">
        <f>IF($A139="","",IF($D139="V01",Cadrage!$C$36,IF($D139="V02",Cadrage!$D$36,Cadrage!$E$36)))</f>
        <v>0.05</v>
      </c>
      <c r="L139">
        <f>IF($A139="","",IF($D139="V01",Cadrage!$C$37,IF($D139="V02",Cadrage!$D$37,Cadrage!$E$37)))</f>
        <v>0</v>
      </c>
      <c r="M139">
        <f>IF($A139="","",IF($D139="V01",Cadrage!$C$38,IF($D139="V02",Cadrage!$D$38,Cadrage!$E$38)))</f>
        <v>0.04</v>
      </c>
      <c r="N139">
        <f t="shared" si="1"/>
        <v>0.980622079131853</v>
      </c>
      <c r="O139">
        <f t="shared" si="2"/>
        <v>0.980622079131853</v>
      </c>
      <c r="P139">
        <f>IF($A139="","",IF($E139=1,$F139*$O139,PNL!G139))</f>
        <v>96583</v>
      </c>
      <c r="T139">
        <f t="shared" si="3"/>
        <v>0</v>
      </c>
    </row>
    <row r="140" ht="14.25" customHeight="1">
      <c r="A140" t="str">
        <f>IF(PNL!A140="","",PNL!A140)</f>
        <v>PIGIER_BOR</v>
      </c>
      <c r="B140" t="str">
        <f>IF(PNL!B140="","",PNL!B140)</f>
        <v>621</v>
      </c>
      <c r="C140" t="str">
        <f>IF(PNL!C140="","",PNL!C140)</f>
        <v>2026</v>
      </c>
      <c r="D140" t="str">
        <f>IF(PNL!D140="","",PNL!D140)</f>
        <v>ACT</v>
      </c>
      <c r="E140">
        <f t="shared" si="0"/>
        <v>0</v>
      </c>
      <c r="F140">
        <f>IF($A140="","",IF($E140=1,_xlfn.SUMIFS(Comptabilité!$F$1:$F$1446,Comptabilité!$A$1:$A$1446,$A140,Comptabilité!$B$1:$B$1446,$B140,Comptabilité!$C$1:$C$1446,"2026"),0))</f>
        <v>0</v>
      </c>
      <c r="G140">
        <f>IF($A140="","",IF($D140="V01",Cadrage!$C$23,IF($D140="V02",Cadrage!$D$23,Cadrage!$E$23)))</f>
        <v>-0.05</v>
      </c>
      <c r="H140">
        <f>IF($A140="","",IF($D140="V01",Cadrage!$C$24,IF($D140="V02",Cadrage!$D$24,Cadrage!$E$24)))</f>
        <v>-0.05</v>
      </c>
      <c r="I140">
        <f>IF($A140="","",IF($D140="V01",Cadrage!$C$34,IF($D140="V02",Cadrage!$D$34,Cadrage!$E$34)))</f>
        <v>0.03</v>
      </c>
      <c r="J140">
        <f>IF($A140="","",IF($D140="V01",Cadrage!$C$35,IF($D140="V02",Cadrage!$D$35,Cadrage!$E$35)))</f>
        <v>0.03</v>
      </c>
      <c r="K140">
        <f>IF($A140="","",IF($D140="V01",Cadrage!$C$36,IF($D140="V02",Cadrage!$D$36,Cadrage!$E$36)))</f>
        <v>0.05</v>
      </c>
      <c r="L140">
        <f>IF($A140="","",IF($D140="V01",Cadrage!$C$37,IF($D140="V02",Cadrage!$D$37,Cadrage!$E$37)))</f>
        <v>0</v>
      </c>
      <c r="M140">
        <f>IF($A140="","",IF($D140="V01",Cadrage!$C$38,IF($D140="V02",Cadrage!$D$38,Cadrage!$E$38)))</f>
        <v>0.04</v>
      </c>
      <c r="N140">
        <f t="shared" si="1"/>
        <v>0.980622079131853</v>
      </c>
      <c r="O140">
        <f t="shared" si="2"/>
        <v>0.980622079131853</v>
      </c>
      <c r="P140">
        <f>IF($A140="","",IF($E140=1,$F140*$O140,PNL!G140))</f>
        <v>96583</v>
      </c>
      <c r="T140">
        <f t="shared" si="3"/>
        <v>0</v>
      </c>
    </row>
    <row r="141" ht="14.25" customHeight="1">
      <c r="A141" t="str">
        <f>IF(PNL!A141="","",PNL!A141)</f>
        <v>TUNON_PAR</v>
      </c>
      <c r="B141" t="str">
        <f>IF(PNL!B141="","",PNL!B141)</f>
        <v>621</v>
      </c>
      <c r="C141" t="str">
        <f>IF(PNL!C141="","",PNL!C141)</f>
        <v>2026</v>
      </c>
      <c r="D141" t="str">
        <f>IF(PNL!D141="","",PNL!D141)</f>
        <v>ACT</v>
      </c>
      <c r="E141">
        <f t="shared" si="0"/>
        <v>0</v>
      </c>
      <c r="F141">
        <f>IF($A141="","",IF($E141=1,_xlfn.SUMIFS(Comptabilité!$F$1:$F$1446,Comptabilité!$A$1:$A$1446,$A141,Comptabilité!$B$1:$B$1446,$B141,Comptabilité!$C$1:$C$1446,"2026"),0))</f>
        <v>0</v>
      </c>
      <c r="G141">
        <f>IF($A141="","",IF($D141="V01",Cadrage!$C$23,IF($D141="V02",Cadrage!$D$23,Cadrage!$E$23)))</f>
        <v>-0.05</v>
      </c>
      <c r="H141">
        <f>IF($A141="","",IF($D141="V01",Cadrage!$C$24,IF($D141="V02",Cadrage!$D$24,Cadrage!$E$24)))</f>
        <v>-0.05</v>
      </c>
      <c r="I141">
        <f>IF($A141="","",IF($D141="V01",Cadrage!$C$34,IF($D141="V02",Cadrage!$D$34,Cadrage!$E$34)))</f>
        <v>0.03</v>
      </c>
      <c r="J141">
        <f>IF($A141="","",IF($D141="V01",Cadrage!$C$35,IF($D141="V02",Cadrage!$D$35,Cadrage!$E$35)))</f>
        <v>0.03</v>
      </c>
      <c r="K141">
        <f>IF($A141="","",IF($D141="V01",Cadrage!$C$36,IF($D141="V02",Cadrage!$D$36,Cadrage!$E$36)))</f>
        <v>0.05</v>
      </c>
      <c r="L141">
        <f>IF($A141="","",IF($D141="V01",Cadrage!$C$37,IF($D141="V02",Cadrage!$D$37,Cadrage!$E$37)))</f>
        <v>0</v>
      </c>
      <c r="M141">
        <f>IF($A141="","",IF($D141="V01",Cadrage!$C$38,IF($D141="V02",Cadrage!$D$38,Cadrage!$E$38)))</f>
        <v>0.04</v>
      </c>
      <c r="N141">
        <f t="shared" si="1"/>
        <v>0.980622079131853</v>
      </c>
      <c r="O141">
        <f t="shared" si="2"/>
        <v>0.980622079131853</v>
      </c>
      <c r="P141">
        <f>IF($A141="","",IF($E141=1,$F141*$O141,PNL!G141))</f>
        <v>72438</v>
      </c>
      <c r="T141">
        <f t="shared" si="3"/>
        <v>0</v>
      </c>
    </row>
    <row r="142" ht="14.25" customHeight="1">
      <c r="A142" t="str">
        <f>IF(PNL!A142="","",PNL!A142)</f>
        <v>TUNON_LYO</v>
      </c>
      <c r="B142" t="str">
        <f>IF(PNL!B142="","",PNL!B142)</f>
        <v>621</v>
      </c>
      <c r="C142" t="str">
        <f>IF(PNL!C142="","",PNL!C142)</f>
        <v>2026</v>
      </c>
      <c r="D142" t="str">
        <f>IF(PNL!D142="","",PNL!D142)</f>
        <v>ACT</v>
      </c>
      <c r="E142">
        <f t="shared" si="0"/>
        <v>0</v>
      </c>
      <c r="F142">
        <f>IF($A142="","",IF($E142=1,_xlfn.SUMIFS(Comptabilité!$F$1:$F$1446,Comptabilité!$A$1:$A$1446,$A142,Comptabilité!$B$1:$B$1446,$B142,Comptabilité!$C$1:$C$1446,"2026"),0))</f>
        <v>0</v>
      </c>
      <c r="G142">
        <f>IF($A142="","",IF($D142="V01",Cadrage!$C$23,IF($D142="V02",Cadrage!$D$23,Cadrage!$E$23)))</f>
        <v>-0.05</v>
      </c>
      <c r="H142">
        <f>IF($A142="","",IF($D142="V01",Cadrage!$C$24,IF($D142="V02",Cadrage!$D$24,Cadrage!$E$24)))</f>
        <v>-0.05</v>
      </c>
      <c r="I142">
        <f>IF($A142="","",IF($D142="V01",Cadrage!$C$34,IF($D142="V02",Cadrage!$D$34,Cadrage!$E$34)))</f>
        <v>0.03</v>
      </c>
      <c r="J142">
        <f>IF($A142="","",IF($D142="V01",Cadrage!$C$35,IF($D142="V02",Cadrage!$D$35,Cadrage!$E$35)))</f>
        <v>0.03</v>
      </c>
      <c r="K142">
        <f>IF($A142="","",IF($D142="V01",Cadrage!$C$36,IF($D142="V02",Cadrage!$D$36,Cadrage!$E$36)))</f>
        <v>0.05</v>
      </c>
      <c r="L142">
        <f>IF($A142="","",IF($D142="V01",Cadrage!$C$37,IF($D142="V02",Cadrage!$D$37,Cadrage!$E$37)))</f>
        <v>0</v>
      </c>
      <c r="M142">
        <f>IF($A142="","",IF($D142="V01",Cadrage!$C$38,IF($D142="V02",Cadrage!$D$38,Cadrage!$E$38)))</f>
        <v>0.04</v>
      </c>
      <c r="N142">
        <f t="shared" si="1"/>
        <v>0.980622079131853</v>
      </c>
      <c r="O142">
        <f t="shared" si="2"/>
        <v>0.980622079131853</v>
      </c>
      <c r="P142">
        <f>IF($A142="","",IF($E142=1,$F142*$O142,PNL!G142))</f>
        <v>72438</v>
      </c>
      <c r="T142">
        <f t="shared" si="3"/>
        <v>0</v>
      </c>
    </row>
    <row r="143" ht="14.25" customHeight="1">
      <c r="A143" t="str">
        <f>IF(PNL!A143="","",PNL!A143)</f>
        <v>MBWAY_PAR</v>
      </c>
      <c r="B143" t="str">
        <f>IF(PNL!B143="","",PNL!B143)</f>
        <v>604</v>
      </c>
      <c r="C143" t="str">
        <f>IF(PNL!C143="","",PNL!C143)</f>
        <v>2024</v>
      </c>
      <c r="D143" t="str">
        <f>IF(PNL!D143="","",PNL!D143)</f>
        <v>ACT</v>
      </c>
      <c r="E143">
        <f t="shared" si="0"/>
        <v>0</v>
      </c>
      <c r="F143">
        <f>IF($A143="","",IF($E143=1,_xlfn.SUMIFS(Comptabilité!$F$1:$F$1446,Comptabilité!$A$1:$A$1446,$A143,Comptabilité!$B$1:$B$1446,$B143,Comptabilité!$C$1:$C$1446,"2026"),0))</f>
        <v>0</v>
      </c>
      <c r="G143">
        <f>IF($A143="","",IF($D143="V01",Cadrage!$C$23,IF($D143="V02",Cadrage!$D$23,Cadrage!$E$23)))</f>
        <v>-0.05</v>
      </c>
      <c r="H143">
        <f>IF($A143="","",IF($D143="V01",Cadrage!$C$24,IF($D143="V02",Cadrage!$D$24,Cadrage!$E$24)))</f>
        <v>-0.05</v>
      </c>
      <c r="I143">
        <f>IF($A143="","",IF($D143="V01",Cadrage!$C$34,IF($D143="V02",Cadrage!$D$34,Cadrage!$E$34)))</f>
        <v>0.03</v>
      </c>
      <c r="J143">
        <f>IF($A143="","",IF($D143="V01",Cadrage!$C$35,IF($D143="V02",Cadrage!$D$35,Cadrage!$E$35)))</f>
        <v>0.03</v>
      </c>
      <c r="K143">
        <f>IF($A143="","",IF($D143="V01",Cadrage!$C$36,IF($D143="V02",Cadrage!$D$36,Cadrage!$E$36)))</f>
        <v>0.05</v>
      </c>
      <c r="L143">
        <f>IF($A143="","",IF($D143="V01",Cadrage!$C$37,IF($D143="V02",Cadrage!$D$37,Cadrage!$E$37)))</f>
        <v>0</v>
      </c>
      <c r="M143">
        <f>IF($A143="","",IF($D143="V01",Cadrage!$C$38,IF($D143="V02",Cadrage!$D$38,Cadrage!$E$38)))</f>
        <v>0.04</v>
      </c>
      <c r="N143">
        <f t="shared" si="1"/>
        <v>0.980622079131853</v>
      </c>
      <c r="O143">
        <f t="shared" si="2"/>
        <v>0.980622079131853</v>
      </c>
      <c r="P143">
        <f>IF($A143="","",IF($E143=1,$F143*$O143,PNL!G143))</f>
        <v>77832</v>
      </c>
      <c r="T143">
        <f t="shared" si="3"/>
        <v>0</v>
      </c>
    </row>
    <row r="144" ht="14.25" customHeight="1">
      <c r="A144" t="str">
        <f>IF(PNL!A144="","",PNL!A144)</f>
        <v>MBWAY_LYO</v>
      </c>
      <c r="B144" t="str">
        <f>IF(PNL!B144="","",PNL!B144)</f>
        <v>604</v>
      </c>
      <c r="C144" t="str">
        <f>IF(PNL!C144="","",PNL!C144)</f>
        <v>2024</v>
      </c>
      <c r="D144" t="str">
        <f>IF(PNL!D144="","",PNL!D144)</f>
        <v>ACT</v>
      </c>
      <c r="E144">
        <f t="shared" si="0"/>
        <v>0</v>
      </c>
      <c r="F144">
        <f>IF($A144="","",IF($E144=1,_xlfn.SUMIFS(Comptabilité!$F$1:$F$1446,Comptabilité!$A$1:$A$1446,$A144,Comptabilité!$B$1:$B$1446,$B144,Comptabilité!$C$1:$C$1446,"2026"),0))</f>
        <v>0</v>
      </c>
      <c r="G144">
        <f>IF($A144="","",IF($D144="V01",Cadrage!$C$23,IF($D144="V02",Cadrage!$D$23,Cadrage!$E$23)))</f>
        <v>-0.05</v>
      </c>
      <c r="H144">
        <f>IF($A144="","",IF($D144="V01",Cadrage!$C$24,IF($D144="V02",Cadrage!$D$24,Cadrage!$E$24)))</f>
        <v>-0.05</v>
      </c>
      <c r="I144">
        <f>IF($A144="","",IF($D144="V01",Cadrage!$C$34,IF($D144="V02",Cadrage!$D$34,Cadrage!$E$34)))</f>
        <v>0.03</v>
      </c>
      <c r="J144">
        <f>IF($A144="","",IF($D144="V01",Cadrage!$C$35,IF($D144="V02",Cadrage!$D$35,Cadrage!$E$35)))</f>
        <v>0.03</v>
      </c>
      <c r="K144">
        <f>IF($A144="","",IF($D144="V01",Cadrage!$C$36,IF($D144="V02",Cadrage!$D$36,Cadrage!$E$36)))</f>
        <v>0.05</v>
      </c>
      <c r="L144">
        <f>IF($A144="","",IF($D144="V01",Cadrage!$C$37,IF($D144="V02",Cadrage!$D$37,Cadrage!$E$37)))</f>
        <v>0</v>
      </c>
      <c r="M144">
        <f>IF($A144="","",IF($D144="V01",Cadrage!$C$38,IF($D144="V02",Cadrage!$D$38,Cadrage!$E$38)))</f>
        <v>0.04</v>
      </c>
      <c r="N144">
        <f t="shared" si="1"/>
        <v>0.980622079131853</v>
      </c>
      <c r="O144">
        <f t="shared" si="2"/>
        <v>0.980622079131853</v>
      </c>
      <c r="P144">
        <f>IF($A144="","",IF($E144=1,$F144*$O144,PNL!G144))</f>
        <v>66015</v>
      </c>
      <c r="T144">
        <f t="shared" si="3"/>
        <v>0</v>
      </c>
    </row>
    <row r="145" ht="14.25" customHeight="1">
      <c r="A145" t="str">
        <f>IF(PNL!A145="","",PNL!A145)</f>
        <v>MBWAY_NAN</v>
      </c>
      <c r="B145" t="str">
        <f>IF(PNL!B145="","",PNL!B145)</f>
        <v>604</v>
      </c>
      <c r="C145" t="str">
        <f>IF(PNL!C145="","",PNL!C145)</f>
        <v>2024</v>
      </c>
      <c r="D145" t="str">
        <f>IF(PNL!D145="","",PNL!D145)</f>
        <v>ACT</v>
      </c>
      <c r="E145">
        <f t="shared" si="0"/>
        <v>0</v>
      </c>
      <c r="F145">
        <f>IF($A145="","",IF($E145=1,_xlfn.SUMIFS(Comptabilité!$F$1:$F$1446,Comptabilité!$A$1:$A$1446,$A145,Comptabilité!$B$1:$B$1446,$B145,Comptabilité!$C$1:$C$1446,"2026"),0))</f>
        <v>0</v>
      </c>
      <c r="G145">
        <f>IF($A145="","",IF($D145="V01",Cadrage!$C$23,IF($D145="V02",Cadrage!$D$23,Cadrage!$E$23)))</f>
        <v>-0.05</v>
      </c>
      <c r="H145">
        <f>IF($A145="","",IF($D145="V01",Cadrage!$C$24,IF($D145="V02",Cadrage!$D$24,Cadrage!$E$24)))</f>
        <v>-0.05</v>
      </c>
      <c r="I145">
        <f>IF($A145="","",IF($D145="V01",Cadrage!$C$34,IF($D145="V02",Cadrage!$D$34,Cadrage!$E$34)))</f>
        <v>0.03</v>
      </c>
      <c r="J145">
        <f>IF($A145="","",IF($D145="V01",Cadrage!$C$35,IF($D145="V02",Cadrage!$D$35,Cadrage!$E$35)))</f>
        <v>0.03</v>
      </c>
      <c r="K145">
        <f>IF($A145="","",IF($D145="V01",Cadrage!$C$36,IF($D145="V02",Cadrage!$D$36,Cadrage!$E$36)))</f>
        <v>0.05</v>
      </c>
      <c r="L145">
        <f>IF($A145="","",IF($D145="V01",Cadrage!$C$37,IF($D145="V02",Cadrage!$D$37,Cadrage!$E$37)))</f>
        <v>0</v>
      </c>
      <c r="M145">
        <f>IF($A145="","",IF($D145="V01",Cadrage!$C$38,IF($D145="V02",Cadrage!$D$38,Cadrage!$E$38)))</f>
        <v>0.04</v>
      </c>
      <c r="N145">
        <f t="shared" si="1"/>
        <v>0.980622079131853</v>
      </c>
      <c r="O145">
        <f t="shared" si="2"/>
        <v>0.980622079131853</v>
      </c>
      <c r="P145">
        <f>IF($A145="","",IF($E145=1,$F145*$O145,PNL!G145))</f>
        <v>59902</v>
      </c>
      <c r="T145">
        <f t="shared" si="3"/>
        <v>0</v>
      </c>
    </row>
    <row r="146" ht="14.25" customHeight="1">
      <c r="A146" t="str">
        <f>IF(PNL!A146="","",PNL!A146)</f>
        <v>MBWAY_BOR</v>
      </c>
      <c r="B146" t="str">
        <f>IF(PNL!B146="","",PNL!B146)</f>
        <v>604</v>
      </c>
      <c r="C146" t="str">
        <f>IF(PNL!C146="","",PNL!C146)</f>
        <v>2024</v>
      </c>
      <c r="D146" t="str">
        <f>IF(PNL!D146="","",PNL!D146)</f>
        <v>ACT</v>
      </c>
      <c r="E146">
        <f t="shared" si="0"/>
        <v>0</v>
      </c>
      <c r="F146">
        <f>IF($A146="","",IF($E146=1,_xlfn.SUMIFS(Comptabilité!$F$1:$F$1446,Comptabilité!$A$1:$A$1446,$A146,Comptabilité!$B$1:$B$1446,$B146,Comptabilité!$C$1:$C$1446,"2026"),0))</f>
        <v>0</v>
      </c>
      <c r="G146">
        <f>IF($A146="","",IF($D146="V01",Cadrage!$C$23,IF($D146="V02",Cadrage!$D$23,Cadrage!$E$23)))</f>
        <v>-0.05</v>
      </c>
      <c r="H146">
        <f>IF($A146="","",IF($D146="V01",Cadrage!$C$24,IF($D146="V02",Cadrage!$D$24,Cadrage!$E$24)))</f>
        <v>-0.05</v>
      </c>
      <c r="I146">
        <f>IF($A146="","",IF($D146="V01",Cadrage!$C$34,IF($D146="V02",Cadrage!$D$34,Cadrage!$E$34)))</f>
        <v>0.03</v>
      </c>
      <c r="J146">
        <f>IF($A146="","",IF($D146="V01",Cadrage!$C$35,IF($D146="V02",Cadrage!$D$35,Cadrage!$E$35)))</f>
        <v>0.03</v>
      </c>
      <c r="K146">
        <f>IF($A146="","",IF($D146="V01",Cadrage!$C$36,IF($D146="V02",Cadrage!$D$36,Cadrage!$E$36)))</f>
        <v>0.05</v>
      </c>
      <c r="L146">
        <f>IF($A146="","",IF($D146="V01",Cadrage!$C$37,IF($D146="V02",Cadrage!$D$37,Cadrage!$E$37)))</f>
        <v>0</v>
      </c>
      <c r="M146">
        <f>IF($A146="","",IF($D146="V01",Cadrage!$C$38,IF($D146="V02",Cadrage!$D$38,Cadrage!$E$38)))</f>
        <v>0.04</v>
      </c>
      <c r="N146">
        <f t="shared" si="1"/>
        <v>0.980622079131853</v>
      </c>
      <c r="O146">
        <f t="shared" si="2"/>
        <v>0.980622079131853</v>
      </c>
      <c r="P146">
        <f>IF($A146="","",IF($E146=1,$F146*$O146,PNL!G146))</f>
        <v>50734</v>
      </c>
      <c r="T146">
        <f t="shared" si="3"/>
        <v>0</v>
      </c>
    </row>
    <row r="147" ht="14.25" customHeight="1">
      <c r="A147" t="str">
        <f>IF(PNL!A147="","",PNL!A147)</f>
        <v>ISCOM_PAR</v>
      </c>
      <c r="B147" t="str">
        <f>IF(PNL!B147="","",PNL!B147)</f>
        <v>604</v>
      </c>
      <c r="C147" t="str">
        <f>IF(PNL!C147="","",PNL!C147)</f>
        <v>2024</v>
      </c>
      <c r="D147" t="str">
        <f>IF(PNL!D147="","",PNL!D147)</f>
        <v>ACT</v>
      </c>
      <c r="E147">
        <f t="shared" si="0"/>
        <v>0</v>
      </c>
      <c r="F147">
        <f>IF($A147="","",IF($E147=1,_xlfn.SUMIFS(Comptabilité!$F$1:$F$1446,Comptabilité!$A$1:$A$1446,$A147,Comptabilité!$B$1:$B$1446,$B147,Comptabilité!$C$1:$C$1446,"2026"),0))</f>
        <v>0</v>
      </c>
      <c r="G147">
        <f>IF($A147="","",IF($D147="V01",Cadrage!$C$23,IF($D147="V02",Cadrage!$D$23,Cadrage!$E$23)))</f>
        <v>-0.05</v>
      </c>
      <c r="H147">
        <f>IF($A147="","",IF($D147="V01",Cadrage!$C$24,IF($D147="V02",Cadrage!$D$24,Cadrage!$E$24)))</f>
        <v>-0.05</v>
      </c>
      <c r="I147">
        <f>IF($A147="","",IF($D147="V01",Cadrage!$C$34,IF($D147="V02",Cadrage!$D$34,Cadrage!$E$34)))</f>
        <v>0.03</v>
      </c>
      <c r="J147">
        <f>IF($A147="","",IF($D147="V01",Cadrage!$C$35,IF($D147="V02",Cadrage!$D$35,Cadrage!$E$35)))</f>
        <v>0.03</v>
      </c>
      <c r="K147">
        <f>IF($A147="","",IF($D147="V01",Cadrage!$C$36,IF($D147="V02",Cadrage!$D$36,Cadrage!$E$36)))</f>
        <v>0.05</v>
      </c>
      <c r="L147">
        <f>IF($A147="","",IF($D147="V01",Cadrage!$C$37,IF($D147="V02",Cadrage!$D$37,Cadrage!$E$37)))</f>
        <v>0</v>
      </c>
      <c r="M147">
        <f>IF($A147="","",IF($D147="V01",Cadrage!$C$38,IF($D147="V02",Cadrage!$D$38,Cadrage!$E$38)))</f>
        <v>0.04</v>
      </c>
      <c r="N147">
        <f t="shared" si="1"/>
        <v>0.980622079131853</v>
      </c>
      <c r="O147">
        <f t="shared" si="2"/>
        <v>0.980622079131853</v>
      </c>
      <c r="P147">
        <f>IF($A147="","",IF($E147=1,$F147*$O147,PNL!G147))</f>
        <v>72127</v>
      </c>
      <c r="T147">
        <f t="shared" si="3"/>
        <v>0</v>
      </c>
    </row>
    <row r="148" ht="14.25" customHeight="1">
      <c r="A148" t="str">
        <f>IF(PNL!A148="","",PNL!A148)</f>
        <v>ISCOM_LIL</v>
      </c>
      <c r="B148" t="str">
        <f>IF(PNL!B148="","",PNL!B148)</f>
        <v>604</v>
      </c>
      <c r="C148" t="str">
        <f>IF(PNL!C148="","",PNL!C148)</f>
        <v>2024</v>
      </c>
      <c r="D148" t="str">
        <f>IF(PNL!D148="","",PNL!D148)</f>
        <v>ACT</v>
      </c>
      <c r="E148">
        <f t="shared" si="0"/>
        <v>0</v>
      </c>
      <c r="F148">
        <f>IF($A148="","",IF($E148=1,_xlfn.SUMIFS(Comptabilité!$F$1:$F$1446,Comptabilité!$A$1:$A$1446,$A148,Comptabilité!$B$1:$B$1446,$B148,Comptabilité!$C$1:$C$1446,"2026"),0))</f>
        <v>0</v>
      </c>
      <c r="G148">
        <f>IF($A148="","",IF($D148="V01",Cadrage!$C$23,IF($D148="V02",Cadrage!$D$23,Cadrage!$E$23)))</f>
        <v>-0.05</v>
      </c>
      <c r="H148">
        <f>IF($A148="","",IF($D148="V01",Cadrage!$C$24,IF($D148="V02",Cadrage!$D$24,Cadrage!$E$24)))</f>
        <v>-0.05</v>
      </c>
      <c r="I148">
        <f>IF($A148="","",IF($D148="V01",Cadrage!$C$34,IF($D148="V02",Cadrage!$D$34,Cadrage!$E$34)))</f>
        <v>0.03</v>
      </c>
      <c r="J148">
        <f>IF($A148="","",IF($D148="V01",Cadrage!$C$35,IF($D148="V02",Cadrage!$D$35,Cadrage!$E$35)))</f>
        <v>0.03</v>
      </c>
      <c r="K148">
        <f>IF($A148="","",IF($D148="V01",Cadrage!$C$36,IF($D148="V02",Cadrage!$D$36,Cadrage!$E$36)))</f>
        <v>0.05</v>
      </c>
      <c r="L148">
        <f>IF($A148="","",IF($D148="V01",Cadrage!$C$37,IF($D148="V02",Cadrage!$D$37,Cadrage!$E$37)))</f>
        <v>0</v>
      </c>
      <c r="M148">
        <f>IF($A148="","",IF($D148="V01",Cadrage!$C$38,IF($D148="V02",Cadrage!$D$38,Cadrage!$E$38)))</f>
        <v>0.04</v>
      </c>
      <c r="N148">
        <f t="shared" si="1"/>
        <v>0.980622079131853</v>
      </c>
      <c r="O148">
        <f t="shared" si="2"/>
        <v>0.980622079131853</v>
      </c>
      <c r="P148">
        <f>IF($A148="","",IF($E148=1,$F148*$O148,PNL!G148))</f>
        <v>49715</v>
      </c>
      <c r="T148">
        <f t="shared" si="3"/>
        <v>0</v>
      </c>
    </row>
    <row r="149" ht="14.25" customHeight="1">
      <c r="A149" t="str">
        <f>IF(PNL!A149="","",PNL!A149)</f>
        <v>ISCOM_TLS</v>
      </c>
      <c r="B149" t="str">
        <f>IF(PNL!B149="","",PNL!B149)</f>
        <v>604</v>
      </c>
      <c r="C149" t="str">
        <f>IF(PNL!C149="","",PNL!C149)</f>
        <v>2024</v>
      </c>
      <c r="D149" t="str">
        <f>IF(PNL!D149="","",PNL!D149)</f>
        <v>ACT</v>
      </c>
      <c r="E149">
        <f t="shared" si="0"/>
        <v>0</v>
      </c>
      <c r="F149">
        <f>IF($A149="","",IF($E149=1,_xlfn.SUMIFS(Comptabilité!$F$1:$F$1446,Comptabilité!$A$1:$A$1446,$A149,Comptabilité!$B$1:$B$1446,$B149,Comptabilité!$C$1:$C$1446,"2026"),0))</f>
        <v>0</v>
      </c>
      <c r="G149">
        <f>IF($A149="","",IF($D149="V01",Cadrage!$C$23,IF($D149="V02",Cadrage!$D$23,Cadrage!$E$23)))</f>
        <v>-0.05</v>
      </c>
      <c r="H149">
        <f>IF($A149="","",IF($D149="V01",Cadrage!$C$24,IF($D149="V02",Cadrage!$D$24,Cadrage!$E$24)))</f>
        <v>-0.05</v>
      </c>
      <c r="I149">
        <f>IF($A149="","",IF($D149="V01",Cadrage!$C$34,IF($D149="V02",Cadrage!$D$34,Cadrage!$E$34)))</f>
        <v>0.03</v>
      </c>
      <c r="J149">
        <f>IF($A149="","",IF($D149="V01",Cadrage!$C$35,IF($D149="V02",Cadrage!$D$35,Cadrage!$E$35)))</f>
        <v>0.03</v>
      </c>
      <c r="K149">
        <f>IF($A149="","",IF($D149="V01",Cadrage!$C$36,IF($D149="V02",Cadrage!$D$36,Cadrage!$E$36)))</f>
        <v>0.05</v>
      </c>
      <c r="L149">
        <f>IF($A149="","",IF($D149="V01",Cadrage!$C$37,IF($D149="V02",Cadrage!$D$37,Cadrage!$E$37)))</f>
        <v>0</v>
      </c>
      <c r="M149">
        <f>IF($A149="","",IF($D149="V01",Cadrage!$C$38,IF($D149="V02",Cadrage!$D$38,Cadrage!$E$38)))</f>
        <v>0.04</v>
      </c>
      <c r="N149">
        <f t="shared" si="1"/>
        <v>0.980622079131853</v>
      </c>
      <c r="O149">
        <f t="shared" si="2"/>
        <v>0.980622079131853</v>
      </c>
      <c r="P149">
        <f>IF($A149="","",IF($E149=1,$F149*$O149,PNL!G149))</f>
        <v>47066</v>
      </c>
      <c r="T149">
        <f t="shared" si="3"/>
        <v>0</v>
      </c>
    </row>
    <row r="150" ht="14.25" customHeight="1">
      <c r="A150" t="str">
        <f>IF(PNL!A150="","",PNL!A150)</f>
        <v>IPAC_NAN</v>
      </c>
      <c r="B150" t="str">
        <f>IF(PNL!B150="","",PNL!B150)</f>
        <v>604</v>
      </c>
      <c r="C150" t="str">
        <f>IF(PNL!C150="","",PNL!C150)</f>
        <v>2024</v>
      </c>
      <c r="D150" t="str">
        <f>IF(PNL!D150="","",PNL!D150)</f>
        <v>ACT</v>
      </c>
      <c r="E150">
        <f t="shared" si="0"/>
        <v>0</v>
      </c>
      <c r="F150">
        <f>IF($A150="","",IF($E150=1,_xlfn.SUMIFS(Comptabilité!$F$1:$F$1446,Comptabilité!$A$1:$A$1446,$A150,Comptabilité!$B$1:$B$1446,$B150,Comptabilité!$C$1:$C$1446,"2026"),0))</f>
        <v>0</v>
      </c>
      <c r="G150">
        <f>IF($A150="","",IF($D150="V01",Cadrage!$C$23,IF($D150="V02",Cadrage!$D$23,Cadrage!$E$23)))</f>
        <v>-0.05</v>
      </c>
      <c r="H150">
        <f>IF($A150="","",IF($D150="V01",Cadrage!$C$24,IF($D150="V02",Cadrage!$D$24,Cadrage!$E$24)))</f>
        <v>-0.05</v>
      </c>
      <c r="I150">
        <f>IF($A150="","",IF($D150="V01",Cadrage!$C$34,IF($D150="V02",Cadrage!$D$34,Cadrage!$E$34)))</f>
        <v>0.03</v>
      </c>
      <c r="J150">
        <f>IF($A150="","",IF($D150="V01",Cadrage!$C$35,IF($D150="V02",Cadrage!$D$35,Cadrage!$E$35)))</f>
        <v>0.03</v>
      </c>
      <c r="K150">
        <f>IF($A150="","",IF($D150="V01",Cadrage!$C$36,IF($D150="V02",Cadrage!$D$36,Cadrage!$E$36)))</f>
        <v>0.05</v>
      </c>
      <c r="L150">
        <f>IF($A150="","",IF($D150="V01",Cadrage!$C$37,IF($D150="V02",Cadrage!$D$37,Cadrage!$E$37)))</f>
        <v>0</v>
      </c>
      <c r="M150">
        <f>IF($A150="","",IF($D150="V01",Cadrage!$C$38,IF($D150="V02",Cadrage!$D$38,Cadrage!$E$38)))</f>
        <v>0.04</v>
      </c>
      <c r="N150">
        <f t="shared" si="1"/>
        <v>0.980622079131853</v>
      </c>
      <c r="O150">
        <f t="shared" si="2"/>
        <v>0.980622079131853</v>
      </c>
      <c r="P150">
        <f>IF($A150="","",IF($E150=1,$F150*$O150,PNL!G150))</f>
        <v>29544</v>
      </c>
      <c r="T150">
        <f t="shared" si="3"/>
        <v>0</v>
      </c>
    </row>
    <row r="151" ht="14.25" customHeight="1">
      <c r="A151" t="str">
        <f>IF(PNL!A151="","",PNL!A151)</f>
        <v>IPAC_REN</v>
      </c>
      <c r="B151" t="str">
        <f>IF(PNL!B151="","",PNL!B151)</f>
        <v>604</v>
      </c>
      <c r="C151" t="str">
        <f>IF(PNL!C151="","",PNL!C151)</f>
        <v>2024</v>
      </c>
      <c r="D151" t="str">
        <f>IF(PNL!D151="","",PNL!D151)</f>
        <v>ACT</v>
      </c>
      <c r="E151">
        <f t="shared" si="0"/>
        <v>0</v>
      </c>
      <c r="F151">
        <f>IF($A151="","",IF($E151=1,_xlfn.SUMIFS(Comptabilité!$F$1:$F$1446,Comptabilité!$A$1:$A$1446,$A151,Comptabilité!$B$1:$B$1446,$B151,Comptabilité!$C$1:$C$1446,"2026"),0))</f>
        <v>0</v>
      </c>
      <c r="G151">
        <f>IF($A151="","",IF($D151="V01",Cadrage!$C$23,IF($D151="V02",Cadrage!$D$23,Cadrage!$E$23)))</f>
        <v>-0.05</v>
      </c>
      <c r="H151">
        <f>IF($A151="","",IF($D151="V01",Cadrage!$C$24,IF($D151="V02",Cadrage!$D$24,Cadrage!$E$24)))</f>
        <v>-0.05</v>
      </c>
      <c r="I151">
        <f>IF($A151="","",IF($D151="V01",Cadrage!$C$34,IF($D151="V02",Cadrage!$D$34,Cadrage!$E$34)))</f>
        <v>0.03</v>
      </c>
      <c r="J151">
        <f>IF($A151="","",IF($D151="V01",Cadrage!$C$35,IF($D151="V02",Cadrage!$D$35,Cadrage!$E$35)))</f>
        <v>0.03</v>
      </c>
      <c r="K151">
        <f>IF($A151="","",IF($D151="V01",Cadrage!$C$36,IF($D151="V02",Cadrage!$D$36,Cadrage!$E$36)))</f>
        <v>0.05</v>
      </c>
      <c r="L151">
        <f>IF($A151="","",IF($D151="V01",Cadrage!$C$37,IF($D151="V02",Cadrage!$D$37,Cadrage!$E$37)))</f>
        <v>0</v>
      </c>
      <c r="M151">
        <f>IF($A151="","",IF($D151="V01",Cadrage!$C$38,IF($D151="V02",Cadrage!$D$38,Cadrage!$E$38)))</f>
        <v>0.04</v>
      </c>
      <c r="N151">
        <f t="shared" si="1"/>
        <v>0.980622079131853</v>
      </c>
      <c r="O151">
        <f t="shared" si="2"/>
        <v>0.980622079131853</v>
      </c>
      <c r="P151">
        <f>IF($A151="","",IF($E151=1,$F151*$O151,PNL!G151))</f>
        <v>23839</v>
      </c>
      <c r="T151">
        <f t="shared" si="3"/>
        <v>0</v>
      </c>
    </row>
    <row r="152" ht="14.25" customHeight="1">
      <c r="A152" t="str">
        <f>IF(PNL!A152="","",PNL!A152)</f>
        <v>IPAC_MTP</v>
      </c>
      <c r="B152" t="str">
        <f>IF(PNL!B152="","",PNL!B152)</f>
        <v>604</v>
      </c>
      <c r="C152" t="str">
        <f>IF(PNL!C152="","",PNL!C152)</f>
        <v>2024</v>
      </c>
      <c r="D152" t="str">
        <f>IF(PNL!D152="","",PNL!D152)</f>
        <v>ACT</v>
      </c>
      <c r="E152">
        <f t="shared" si="0"/>
        <v>0</v>
      </c>
      <c r="F152">
        <f>IF($A152="","",IF($E152=1,_xlfn.SUMIFS(Comptabilité!$F$1:$F$1446,Comptabilité!$A$1:$A$1446,$A152,Comptabilité!$B$1:$B$1446,$B152,Comptabilité!$C$1:$C$1446,"2026"),0))</f>
        <v>0</v>
      </c>
      <c r="G152">
        <f>IF($A152="","",IF($D152="V01",Cadrage!$C$23,IF($D152="V02",Cadrage!$D$23,Cadrage!$E$23)))</f>
        <v>-0.05</v>
      </c>
      <c r="H152">
        <f>IF($A152="","",IF($D152="V01",Cadrage!$C$24,IF($D152="V02",Cadrage!$D$24,Cadrage!$E$24)))</f>
        <v>-0.05</v>
      </c>
      <c r="I152">
        <f>IF($A152="","",IF($D152="V01",Cadrage!$C$34,IF($D152="V02",Cadrage!$D$34,Cadrage!$E$34)))</f>
        <v>0.03</v>
      </c>
      <c r="J152">
        <f>IF($A152="","",IF($D152="V01",Cadrage!$C$35,IF($D152="V02",Cadrage!$D$35,Cadrage!$E$35)))</f>
        <v>0.03</v>
      </c>
      <c r="K152">
        <f>IF($A152="","",IF($D152="V01",Cadrage!$C$36,IF($D152="V02",Cadrage!$D$36,Cadrage!$E$36)))</f>
        <v>0.05</v>
      </c>
      <c r="L152">
        <f>IF($A152="","",IF($D152="V01",Cadrage!$C$37,IF($D152="V02",Cadrage!$D$37,Cadrage!$E$37)))</f>
        <v>0</v>
      </c>
      <c r="M152">
        <f>IF($A152="","",IF($D152="V01",Cadrage!$C$38,IF($D152="V02",Cadrage!$D$38,Cadrage!$E$38)))</f>
        <v>0.04</v>
      </c>
      <c r="N152">
        <f t="shared" si="1"/>
        <v>0.980622079131853</v>
      </c>
      <c r="O152">
        <f t="shared" si="2"/>
        <v>0.980622079131853</v>
      </c>
      <c r="P152">
        <f>IF($A152="","",IF($E152=1,$F152*$O152,PNL!G152))</f>
        <v>23839</v>
      </c>
      <c r="T152">
        <f t="shared" si="3"/>
        <v>0</v>
      </c>
    </row>
    <row r="153" ht="14.25" customHeight="1">
      <c r="A153" t="str">
        <f>IF(PNL!A153="","",PNL!A153)</f>
        <v>PIGIER_LYO</v>
      </c>
      <c r="B153" t="str">
        <f>IF(PNL!B153="","",PNL!B153)</f>
        <v>604</v>
      </c>
      <c r="C153" t="str">
        <f>IF(PNL!C153="","",PNL!C153)</f>
        <v>2024</v>
      </c>
      <c r="D153" t="str">
        <f>IF(PNL!D153="","",PNL!D153)</f>
        <v>ACT</v>
      </c>
      <c r="E153">
        <f t="shared" si="0"/>
        <v>0</v>
      </c>
      <c r="F153">
        <f>IF($A153="","",IF($E153=1,_xlfn.SUMIFS(Comptabilité!$F$1:$F$1446,Comptabilité!$A$1:$A$1446,$A153,Comptabilité!$B$1:$B$1446,$B153,Comptabilité!$C$1:$C$1446,"2026"),0))</f>
        <v>0</v>
      </c>
      <c r="G153">
        <f>IF($A153="","",IF($D153="V01",Cadrage!$C$23,IF($D153="V02",Cadrage!$D$23,Cadrage!$E$23)))</f>
        <v>-0.05</v>
      </c>
      <c r="H153">
        <f>IF($A153="","",IF($D153="V01",Cadrage!$C$24,IF($D153="V02",Cadrage!$D$24,Cadrage!$E$24)))</f>
        <v>-0.05</v>
      </c>
      <c r="I153">
        <f>IF($A153="","",IF($D153="V01",Cadrage!$C$34,IF($D153="V02",Cadrage!$D$34,Cadrage!$E$34)))</f>
        <v>0.03</v>
      </c>
      <c r="J153">
        <f>IF($A153="","",IF($D153="V01",Cadrage!$C$35,IF($D153="V02",Cadrage!$D$35,Cadrage!$E$35)))</f>
        <v>0.03</v>
      </c>
      <c r="K153">
        <f>IF($A153="","",IF($D153="V01",Cadrage!$C$36,IF($D153="V02",Cadrage!$D$36,Cadrage!$E$36)))</f>
        <v>0.05</v>
      </c>
      <c r="L153">
        <f>IF($A153="","",IF($D153="V01",Cadrage!$C$37,IF($D153="V02",Cadrage!$D$37,Cadrage!$E$37)))</f>
        <v>0</v>
      </c>
      <c r="M153">
        <f>IF($A153="","",IF($D153="V01",Cadrage!$C$38,IF($D153="V02",Cadrage!$D$38,Cadrage!$E$38)))</f>
        <v>0.04</v>
      </c>
      <c r="N153">
        <f t="shared" si="1"/>
        <v>0.980622079131853</v>
      </c>
      <c r="O153">
        <f t="shared" si="2"/>
        <v>0.980622079131853</v>
      </c>
      <c r="P153">
        <f>IF($A153="","",IF($E153=1,$F153*$O153,PNL!G153))</f>
        <v>37082</v>
      </c>
      <c r="T153">
        <f t="shared" si="3"/>
        <v>0</v>
      </c>
    </row>
    <row r="154" ht="14.25" customHeight="1">
      <c r="A154" t="str">
        <f>IF(PNL!A154="","",PNL!A154)</f>
        <v>PIGIER_BOR</v>
      </c>
      <c r="B154" t="str">
        <f>IF(PNL!B154="","",PNL!B154)</f>
        <v>604</v>
      </c>
      <c r="C154" t="str">
        <f>IF(PNL!C154="","",PNL!C154)</f>
        <v>2024</v>
      </c>
      <c r="D154" t="str">
        <f>IF(PNL!D154="","",PNL!D154)</f>
        <v>ACT</v>
      </c>
      <c r="E154">
        <f t="shared" si="0"/>
        <v>0</v>
      </c>
      <c r="F154">
        <f>IF($A154="","",IF($E154=1,_xlfn.SUMIFS(Comptabilité!$F$1:$F$1446,Comptabilité!$A$1:$A$1446,$A154,Comptabilité!$B$1:$B$1446,$B154,Comptabilité!$C$1:$C$1446,"2026"),0))</f>
        <v>0</v>
      </c>
      <c r="G154">
        <f>IF($A154="","",IF($D154="V01",Cadrage!$C$23,IF($D154="V02",Cadrage!$D$23,Cadrage!$E$23)))</f>
        <v>-0.05</v>
      </c>
      <c r="H154">
        <f>IF($A154="","",IF($D154="V01",Cadrage!$C$24,IF($D154="V02",Cadrage!$D$24,Cadrage!$E$24)))</f>
        <v>-0.05</v>
      </c>
      <c r="I154">
        <f>IF($A154="","",IF($D154="V01",Cadrage!$C$34,IF($D154="V02",Cadrage!$D$34,Cadrage!$E$34)))</f>
        <v>0.03</v>
      </c>
      <c r="J154">
        <f>IF($A154="","",IF($D154="V01",Cadrage!$C$35,IF($D154="V02",Cadrage!$D$35,Cadrage!$E$35)))</f>
        <v>0.03</v>
      </c>
      <c r="K154">
        <f>IF($A154="","",IF($D154="V01",Cadrage!$C$36,IF($D154="V02",Cadrage!$D$36,Cadrage!$E$36)))</f>
        <v>0.05</v>
      </c>
      <c r="L154">
        <f>IF($A154="","",IF($D154="V01",Cadrage!$C$37,IF($D154="V02",Cadrage!$D$37,Cadrage!$E$37)))</f>
        <v>0</v>
      </c>
      <c r="M154">
        <f>IF($A154="","",IF($D154="V01",Cadrage!$C$38,IF($D154="V02",Cadrage!$D$38,Cadrage!$E$38)))</f>
        <v>0.04</v>
      </c>
      <c r="N154">
        <f t="shared" si="1"/>
        <v>0.980622079131853</v>
      </c>
      <c r="O154">
        <f t="shared" si="2"/>
        <v>0.980622079131853</v>
      </c>
      <c r="P154">
        <f>IF($A154="","",IF($E154=1,$F154*$O154,PNL!G154))</f>
        <v>28932</v>
      </c>
      <c r="T154">
        <f t="shared" si="3"/>
        <v>0</v>
      </c>
    </row>
    <row r="155" ht="14.25" customHeight="1">
      <c r="A155" t="str">
        <f>IF(PNL!A155="","",PNL!A155)</f>
        <v>TUNON_PAR</v>
      </c>
      <c r="B155" t="str">
        <f>IF(PNL!B155="","",PNL!B155)</f>
        <v>604</v>
      </c>
      <c r="C155" t="str">
        <f>IF(PNL!C155="","",PNL!C155)</f>
        <v>2024</v>
      </c>
      <c r="D155" t="str">
        <f>IF(PNL!D155="","",PNL!D155)</f>
        <v>ACT</v>
      </c>
      <c r="E155">
        <f t="shared" si="0"/>
        <v>0</v>
      </c>
      <c r="F155">
        <f>IF($A155="","",IF($E155=1,_xlfn.SUMIFS(Comptabilité!$F$1:$F$1446,Comptabilité!$A$1:$A$1446,$A155,Comptabilité!$B$1:$B$1446,$B155,Comptabilité!$C$1:$C$1446,"2026"),0))</f>
        <v>0</v>
      </c>
      <c r="G155">
        <f>IF($A155="","",IF($D155="V01",Cadrage!$C$23,IF($D155="V02",Cadrage!$D$23,Cadrage!$E$23)))</f>
        <v>-0.05</v>
      </c>
      <c r="H155">
        <f>IF($A155="","",IF($D155="V01",Cadrage!$C$24,IF($D155="V02",Cadrage!$D$24,Cadrage!$E$24)))</f>
        <v>-0.05</v>
      </c>
      <c r="I155">
        <f>IF($A155="","",IF($D155="V01",Cadrage!$C$34,IF($D155="V02",Cadrage!$D$34,Cadrage!$E$34)))</f>
        <v>0.03</v>
      </c>
      <c r="J155">
        <f>IF($A155="","",IF($D155="V01",Cadrage!$C$35,IF($D155="V02",Cadrage!$D$35,Cadrage!$E$35)))</f>
        <v>0.03</v>
      </c>
      <c r="K155">
        <f>IF($A155="","",IF($D155="V01",Cadrage!$C$36,IF($D155="V02",Cadrage!$D$36,Cadrage!$E$36)))</f>
        <v>0.05</v>
      </c>
      <c r="L155">
        <f>IF($A155="","",IF($D155="V01",Cadrage!$C$37,IF($D155="V02",Cadrage!$D$37,Cadrage!$E$37)))</f>
        <v>0</v>
      </c>
      <c r="M155">
        <f>IF($A155="","",IF($D155="V01",Cadrage!$C$38,IF($D155="V02",Cadrage!$D$38,Cadrage!$E$38)))</f>
        <v>0.04</v>
      </c>
      <c r="N155">
        <f t="shared" si="1"/>
        <v>0.980622079131853</v>
      </c>
      <c r="O155">
        <f t="shared" si="2"/>
        <v>0.980622079131853</v>
      </c>
      <c r="P155">
        <f>IF($A155="","",IF($E155=1,$F155*$O155,PNL!G155))</f>
        <v>28117</v>
      </c>
      <c r="T155">
        <f t="shared" si="3"/>
        <v>0</v>
      </c>
    </row>
    <row r="156" ht="14.25" customHeight="1">
      <c r="A156" t="str">
        <f>IF(PNL!A156="","",PNL!A156)</f>
        <v>TUNON_LYO</v>
      </c>
      <c r="B156" t="str">
        <f>IF(PNL!B156="","",PNL!B156)</f>
        <v>604</v>
      </c>
      <c r="C156" t="str">
        <f>IF(PNL!C156="","",PNL!C156)</f>
        <v>2024</v>
      </c>
      <c r="D156" t="str">
        <f>IF(PNL!D156="","",PNL!D156)</f>
        <v>ACT</v>
      </c>
      <c r="E156">
        <f t="shared" si="0"/>
        <v>0</v>
      </c>
      <c r="F156">
        <f>IF($A156="","",IF($E156=1,_xlfn.SUMIFS(Comptabilité!$F$1:$F$1446,Comptabilité!$A$1:$A$1446,$A156,Comptabilité!$B$1:$B$1446,$B156,Comptabilité!$C$1:$C$1446,"2026"),0))</f>
        <v>0</v>
      </c>
      <c r="G156">
        <f>IF($A156="","",IF($D156="V01",Cadrage!$C$23,IF($D156="V02",Cadrage!$D$23,Cadrage!$E$23)))</f>
        <v>-0.05</v>
      </c>
      <c r="H156">
        <f>IF($A156="","",IF($D156="V01",Cadrage!$C$24,IF($D156="V02",Cadrage!$D$24,Cadrage!$E$24)))</f>
        <v>-0.05</v>
      </c>
      <c r="I156">
        <f>IF($A156="","",IF($D156="V01",Cadrage!$C$34,IF($D156="V02",Cadrage!$D$34,Cadrage!$E$34)))</f>
        <v>0.03</v>
      </c>
      <c r="J156">
        <f>IF($A156="","",IF($D156="V01",Cadrage!$C$35,IF($D156="V02",Cadrage!$D$35,Cadrage!$E$35)))</f>
        <v>0.03</v>
      </c>
      <c r="K156">
        <f>IF($A156="","",IF($D156="V01",Cadrage!$C$36,IF($D156="V02",Cadrage!$D$36,Cadrage!$E$36)))</f>
        <v>0.05</v>
      </c>
      <c r="L156">
        <f>IF($A156="","",IF($D156="V01",Cadrage!$C$37,IF($D156="V02",Cadrage!$D$37,Cadrage!$E$37)))</f>
        <v>0</v>
      </c>
      <c r="M156">
        <f>IF($A156="","",IF($D156="V01",Cadrage!$C$38,IF($D156="V02",Cadrage!$D$38,Cadrage!$E$38)))</f>
        <v>0.04</v>
      </c>
      <c r="N156">
        <f t="shared" si="1"/>
        <v>0.980622079131853</v>
      </c>
      <c r="O156">
        <f t="shared" si="2"/>
        <v>0.980622079131853</v>
      </c>
      <c r="P156">
        <f>IF($A156="","",IF($E156=1,$F156*$O156,PNL!G156))</f>
        <v>23839</v>
      </c>
      <c r="T156">
        <f t="shared" si="3"/>
        <v>0</v>
      </c>
    </row>
    <row r="157" ht="14.25" customHeight="1">
      <c r="A157" t="str">
        <f>IF(PNL!A157="","",PNL!A157)</f>
        <v>MBWAY_PAR</v>
      </c>
      <c r="B157" t="str">
        <f>IF(PNL!B157="","",PNL!B157)</f>
        <v>604</v>
      </c>
      <c r="C157" t="str">
        <f>IF(PNL!C157="","",PNL!C157)</f>
        <v>2025</v>
      </c>
      <c r="D157" t="str">
        <f>IF(PNL!D157="","",PNL!D157)</f>
        <v>ACT</v>
      </c>
      <c r="E157">
        <f t="shared" si="0"/>
        <v>0</v>
      </c>
      <c r="F157">
        <f>IF($A157="","",IF($E157=1,_xlfn.SUMIFS(Comptabilité!$F$1:$F$1446,Comptabilité!$A$1:$A$1446,$A157,Comptabilité!$B$1:$B$1446,$B157,Comptabilité!$C$1:$C$1446,"2026"),0))</f>
        <v>0</v>
      </c>
      <c r="G157">
        <f>IF($A157="","",IF($D157="V01",Cadrage!$C$23,IF($D157="V02",Cadrage!$D$23,Cadrage!$E$23)))</f>
        <v>-0.05</v>
      </c>
      <c r="H157">
        <f>IF($A157="","",IF($D157="V01",Cadrage!$C$24,IF($D157="V02",Cadrage!$D$24,Cadrage!$E$24)))</f>
        <v>-0.05</v>
      </c>
      <c r="I157">
        <f>IF($A157="","",IF($D157="V01",Cadrage!$C$34,IF($D157="V02",Cadrage!$D$34,Cadrage!$E$34)))</f>
        <v>0.03</v>
      </c>
      <c r="J157">
        <f>IF($A157="","",IF($D157="V01",Cadrage!$C$35,IF($D157="V02",Cadrage!$D$35,Cadrage!$E$35)))</f>
        <v>0.03</v>
      </c>
      <c r="K157">
        <f>IF($A157="","",IF($D157="V01",Cadrage!$C$36,IF($D157="V02",Cadrage!$D$36,Cadrage!$E$36)))</f>
        <v>0.05</v>
      </c>
      <c r="L157">
        <f>IF($A157="","",IF($D157="V01",Cadrage!$C$37,IF($D157="V02",Cadrage!$D$37,Cadrage!$E$37)))</f>
        <v>0</v>
      </c>
      <c r="M157">
        <f>IF($A157="","",IF($D157="V01",Cadrage!$C$38,IF($D157="V02",Cadrage!$D$38,Cadrage!$E$38)))</f>
        <v>0.04</v>
      </c>
      <c r="N157">
        <f t="shared" si="1"/>
        <v>0.980622079131853</v>
      </c>
      <c r="O157">
        <f t="shared" si="2"/>
        <v>0.980622079131853</v>
      </c>
      <c r="P157">
        <f>IF($A157="","",IF($E157=1,$F157*$O157,PNL!G157))</f>
        <v>81399</v>
      </c>
      <c r="T157">
        <f t="shared" si="3"/>
        <v>0</v>
      </c>
    </row>
    <row r="158" ht="14.25" customHeight="1">
      <c r="A158" t="str">
        <f>IF(PNL!A158="","",PNL!A158)</f>
        <v>MBWAY_LYO</v>
      </c>
      <c r="B158" t="str">
        <f>IF(PNL!B158="","",PNL!B158)</f>
        <v>604</v>
      </c>
      <c r="C158" t="str">
        <f>IF(PNL!C158="","",PNL!C158)</f>
        <v>2025</v>
      </c>
      <c r="D158" t="str">
        <f>IF(PNL!D158="","",PNL!D158)</f>
        <v>ACT</v>
      </c>
      <c r="E158">
        <f t="shared" si="0"/>
        <v>0</v>
      </c>
      <c r="F158">
        <f>IF($A158="","",IF($E158=1,_xlfn.SUMIFS(Comptabilité!$F$1:$F$1446,Comptabilité!$A$1:$A$1446,$A158,Comptabilité!$B$1:$B$1446,$B158,Comptabilité!$C$1:$C$1446,"2026"),0))</f>
        <v>0</v>
      </c>
      <c r="G158">
        <f>IF($A158="","",IF($D158="V01",Cadrage!$C$23,IF($D158="V02",Cadrage!$D$23,Cadrage!$E$23)))</f>
        <v>-0.05</v>
      </c>
      <c r="H158">
        <f>IF($A158="","",IF($D158="V01",Cadrage!$C$24,IF($D158="V02",Cadrage!$D$24,Cadrage!$E$24)))</f>
        <v>-0.05</v>
      </c>
      <c r="I158">
        <f>IF($A158="","",IF($D158="V01",Cadrage!$C$34,IF($D158="V02",Cadrage!$D$34,Cadrage!$E$34)))</f>
        <v>0.03</v>
      </c>
      <c r="J158">
        <f>IF($A158="","",IF($D158="V01",Cadrage!$C$35,IF($D158="V02",Cadrage!$D$35,Cadrage!$E$35)))</f>
        <v>0.03</v>
      </c>
      <c r="K158">
        <f>IF($A158="","",IF($D158="V01",Cadrage!$C$36,IF($D158="V02",Cadrage!$D$36,Cadrage!$E$36)))</f>
        <v>0.05</v>
      </c>
      <c r="L158">
        <f>IF($A158="","",IF($D158="V01",Cadrage!$C$37,IF($D158="V02",Cadrage!$D$37,Cadrage!$E$37)))</f>
        <v>0</v>
      </c>
      <c r="M158">
        <f>IF($A158="","",IF($D158="V01",Cadrage!$C$38,IF($D158="V02",Cadrage!$D$38,Cadrage!$E$38)))</f>
        <v>0.04</v>
      </c>
      <c r="N158">
        <f t="shared" si="1"/>
        <v>0.980622079131853</v>
      </c>
      <c r="O158">
        <f t="shared" si="2"/>
        <v>0.980622079131853</v>
      </c>
      <c r="P158">
        <f>IF($A158="","",IF($E158=1,$F158*$O158,PNL!G158))</f>
        <v>69040</v>
      </c>
      <c r="T158">
        <f t="shared" si="3"/>
        <v>0</v>
      </c>
    </row>
    <row r="159" ht="14.25" customHeight="1">
      <c r="A159" t="str">
        <f>IF(PNL!A159="","",PNL!A159)</f>
        <v>MBWAY_NAN</v>
      </c>
      <c r="B159" t="str">
        <f>IF(PNL!B159="","",PNL!B159)</f>
        <v>604</v>
      </c>
      <c r="C159" t="str">
        <f>IF(PNL!C159="","",PNL!C159)</f>
        <v>2025</v>
      </c>
      <c r="D159" t="str">
        <f>IF(PNL!D159="","",PNL!D159)</f>
        <v>ACT</v>
      </c>
      <c r="E159">
        <f t="shared" si="0"/>
        <v>0</v>
      </c>
      <c r="F159">
        <f>IF($A159="","",IF($E159=1,_xlfn.SUMIFS(Comptabilité!$F$1:$F$1446,Comptabilité!$A$1:$A$1446,$A159,Comptabilité!$B$1:$B$1446,$B159,Comptabilité!$C$1:$C$1446,"2026"),0))</f>
        <v>0</v>
      </c>
      <c r="G159">
        <f>IF($A159="","",IF($D159="V01",Cadrage!$C$23,IF($D159="V02",Cadrage!$D$23,Cadrage!$E$23)))</f>
        <v>-0.05</v>
      </c>
      <c r="H159">
        <f>IF($A159="","",IF($D159="V01",Cadrage!$C$24,IF($D159="V02",Cadrage!$D$24,Cadrage!$E$24)))</f>
        <v>-0.05</v>
      </c>
      <c r="I159">
        <f>IF($A159="","",IF($D159="V01",Cadrage!$C$34,IF($D159="V02",Cadrage!$D$34,Cadrage!$E$34)))</f>
        <v>0.03</v>
      </c>
      <c r="J159">
        <f>IF($A159="","",IF($D159="V01",Cadrage!$C$35,IF($D159="V02",Cadrage!$D$35,Cadrage!$E$35)))</f>
        <v>0.03</v>
      </c>
      <c r="K159">
        <f>IF($A159="","",IF($D159="V01",Cadrage!$C$36,IF($D159="V02",Cadrage!$D$36,Cadrage!$E$36)))</f>
        <v>0.05</v>
      </c>
      <c r="L159">
        <f>IF($A159="","",IF($D159="V01",Cadrage!$C$37,IF($D159="V02",Cadrage!$D$37,Cadrage!$E$37)))</f>
        <v>0</v>
      </c>
      <c r="M159">
        <f>IF($A159="","",IF($D159="V01",Cadrage!$C$38,IF($D159="V02",Cadrage!$D$38,Cadrage!$E$38)))</f>
        <v>0.04</v>
      </c>
      <c r="N159">
        <f t="shared" si="1"/>
        <v>0.980622079131853</v>
      </c>
      <c r="O159">
        <f t="shared" si="2"/>
        <v>0.980622079131853</v>
      </c>
      <c r="P159">
        <f>IF($A159="","",IF($E159=1,$F159*$O159,PNL!G159))</f>
        <v>62647</v>
      </c>
      <c r="T159">
        <f t="shared" si="3"/>
        <v>0</v>
      </c>
    </row>
    <row r="160" ht="14.25" customHeight="1">
      <c r="A160" t="str">
        <f>IF(PNL!A160="","",PNL!A160)</f>
        <v>MBWAY_BOR</v>
      </c>
      <c r="B160" t="str">
        <f>IF(PNL!B160="","",PNL!B160)</f>
        <v>604</v>
      </c>
      <c r="C160" t="str">
        <f>IF(PNL!C160="","",PNL!C160)</f>
        <v>2025</v>
      </c>
      <c r="D160" t="str">
        <f>IF(PNL!D160="","",PNL!D160)</f>
        <v>ACT</v>
      </c>
      <c r="E160">
        <f t="shared" si="0"/>
        <v>0</v>
      </c>
      <c r="F160">
        <f>IF($A160="","",IF($E160=1,_xlfn.SUMIFS(Comptabilité!$F$1:$F$1446,Comptabilité!$A$1:$A$1446,$A160,Comptabilité!$B$1:$B$1446,$B160,Comptabilité!$C$1:$C$1446,"2026"),0))</f>
        <v>0</v>
      </c>
      <c r="G160">
        <f>IF($A160="","",IF($D160="V01",Cadrage!$C$23,IF($D160="V02",Cadrage!$D$23,Cadrage!$E$23)))</f>
        <v>-0.05</v>
      </c>
      <c r="H160">
        <f>IF($A160="","",IF($D160="V01",Cadrage!$C$24,IF($D160="V02",Cadrage!$D$24,Cadrage!$E$24)))</f>
        <v>-0.05</v>
      </c>
      <c r="I160">
        <f>IF($A160="","",IF($D160="V01",Cadrage!$C$34,IF($D160="V02",Cadrage!$D$34,Cadrage!$E$34)))</f>
        <v>0.03</v>
      </c>
      <c r="J160">
        <f>IF($A160="","",IF($D160="V01",Cadrage!$C$35,IF($D160="V02",Cadrage!$D$35,Cadrage!$E$35)))</f>
        <v>0.03</v>
      </c>
      <c r="K160">
        <f>IF($A160="","",IF($D160="V01",Cadrage!$C$36,IF($D160="V02",Cadrage!$D$36,Cadrage!$E$36)))</f>
        <v>0.05</v>
      </c>
      <c r="L160">
        <f>IF($A160="","",IF($D160="V01",Cadrage!$C$37,IF($D160="V02",Cadrage!$D$37,Cadrage!$E$37)))</f>
        <v>0</v>
      </c>
      <c r="M160">
        <f>IF($A160="","",IF($D160="V01",Cadrage!$C$38,IF($D160="V02",Cadrage!$D$38,Cadrage!$E$38)))</f>
        <v>0.04</v>
      </c>
      <c r="N160">
        <f t="shared" si="1"/>
        <v>0.980622079131853</v>
      </c>
      <c r="O160">
        <f t="shared" si="2"/>
        <v>0.980622079131853</v>
      </c>
      <c r="P160">
        <f>IF($A160="","",IF($E160=1,$F160*$O160,PNL!G160))</f>
        <v>53058</v>
      </c>
      <c r="T160">
        <f t="shared" si="3"/>
        <v>0</v>
      </c>
    </row>
    <row r="161" ht="14.25" customHeight="1">
      <c r="A161" t="str">
        <f>IF(PNL!A161="","",PNL!A161)</f>
        <v>ISCOM_PAR</v>
      </c>
      <c r="B161" t="str">
        <f>IF(PNL!B161="","",PNL!B161)</f>
        <v>604</v>
      </c>
      <c r="C161" t="str">
        <f>IF(PNL!C161="","",PNL!C161)</f>
        <v>2025</v>
      </c>
      <c r="D161" t="str">
        <f>IF(PNL!D161="","",PNL!D161)</f>
        <v>ACT</v>
      </c>
      <c r="E161">
        <f t="shared" si="0"/>
        <v>0</v>
      </c>
      <c r="F161">
        <f>IF($A161="","",IF($E161=1,_xlfn.SUMIFS(Comptabilité!$F$1:$F$1446,Comptabilité!$A$1:$A$1446,$A161,Comptabilité!$B$1:$B$1446,$B161,Comptabilité!$C$1:$C$1446,"2026"),0))</f>
        <v>0</v>
      </c>
      <c r="G161">
        <f>IF($A161="","",IF($D161="V01",Cadrage!$C$23,IF($D161="V02",Cadrage!$D$23,Cadrage!$E$23)))</f>
        <v>-0.05</v>
      </c>
      <c r="H161">
        <f>IF($A161="","",IF($D161="V01",Cadrage!$C$24,IF($D161="V02",Cadrage!$D$24,Cadrage!$E$24)))</f>
        <v>-0.05</v>
      </c>
      <c r="I161">
        <f>IF($A161="","",IF($D161="V01",Cadrage!$C$34,IF($D161="V02",Cadrage!$D$34,Cadrage!$E$34)))</f>
        <v>0.03</v>
      </c>
      <c r="J161">
        <f>IF($A161="","",IF($D161="V01",Cadrage!$C$35,IF($D161="V02",Cadrage!$D$35,Cadrage!$E$35)))</f>
        <v>0.03</v>
      </c>
      <c r="K161">
        <f>IF($A161="","",IF($D161="V01",Cadrage!$C$36,IF($D161="V02",Cadrage!$D$36,Cadrage!$E$36)))</f>
        <v>0.05</v>
      </c>
      <c r="L161">
        <f>IF($A161="","",IF($D161="V01",Cadrage!$C$37,IF($D161="V02",Cadrage!$D$37,Cadrage!$E$37)))</f>
        <v>0</v>
      </c>
      <c r="M161">
        <f>IF($A161="","",IF($D161="V01",Cadrage!$C$38,IF($D161="V02",Cadrage!$D$38,Cadrage!$E$38)))</f>
        <v>0.04</v>
      </c>
      <c r="N161">
        <f t="shared" si="1"/>
        <v>0.980622079131853</v>
      </c>
      <c r="O161">
        <f t="shared" si="2"/>
        <v>0.980622079131853</v>
      </c>
      <c r="P161">
        <f>IF($A161="","",IF($E161=1,$F161*$O161,PNL!G161))</f>
        <v>75432</v>
      </c>
      <c r="T161">
        <f t="shared" si="3"/>
        <v>0</v>
      </c>
    </row>
    <row r="162" ht="14.25" customHeight="1">
      <c r="A162" t="str">
        <f>IF(PNL!A162="","",PNL!A162)</f>
        <v>ISCOM_LIL</v>
      </c>
      <c r="B162" t="str">
        <f>IF(PNL!B162="","",PNL!B162)</f>
        <v>604</v>
      </c>
      <c r="C162" t="str">
        <f>IF(PNL!C162="","",PNL!C162)</f>
        <v>2025</v>
      </c>
      <c r="D162" t="str">
        <f>IF(PNL!D162="","",PNL!D162)</f>
        <v>ACT</v>
      </c>
      <c r="E162">
        <f t="shared" si="0"/>
        <v>0</v>
      </c>
      <c r="F162">
        <f>IF($A162="","",IF($E162=1,_xlfn.SUMIFS(Comptabilité!$F$1:$F$1446,Comptabilité!$A$1:$A$1446,$A162,Comptabilité!$B$1:$B$1446,$B162,Comptabilité!$C$1:$C$1446,"2026"),0))</f>
        <v>0</v>
      </c>
      <c r="G162">
        <f>IF($A162="","",IF($D162="V01",Cadrage!$C$23,IF($D162="V02",Cadrage!$D$23,Cadrage!$E$23)))</f>
        <v>-0.05</v>
      </c>
      <c r="H162">
        <f>IF($A162="","",IF($D162="V01",Cadrage!$C$24,IF($D162="V02",Cadrage!$D$24,Cadrage!$E$24)))</f>
        <v>-0.05</v>
      </c>
      <c r="I162">
        <f>IF($A162="","",IF($D162="V01",Cadrage!$C$34,IF($D162="V02",Cadrage!$D$34,Cadrage!$E$34)))</f>
        <v>0.03</v>
      </c>
      <c r="J162">
        <f>IF($A162="","",IF($D162="V01",Cadrage!$C$35,IF($D162="V02",Cadrage!$D$35,Cadrage!$E$35)))</f>
        <v>0.03</v>
      </c>
      <c r="K162">
        <f>IF($A162="","",IF($D162="V01",Cadrage!$C$36,IF($D162="V02",Cadrage!$D$36,Cadrage!$E$36)))</f>
        <v>0.05</v>
      </c>
      <c r="L162">
        <f>IF($A162="","",IF($D162="V01",Cadrage!$C$37,IF($D162="V02",Cadrage!$D$37,Cadrage!$E$37)))</f>
        <v>0</v>
      </c>
      <c r="M162">
        <f>IF($A162="","",IF($D162="V01",Cadrage!$C$38,IF($D162="V02",Cadrage!$D$38,Cadrage!$E$38)))</f>
        <v>0.04</v>
      </c>
      <c r="N162">
        <f t="shared" si="1"/>
        <v>0.980622079131853</v>
      </c>
      <c r="O162">
        <f t="shared" si="2"/>
        <v>0.980622079131853</v>
      </c>
      <c r="P162">
        <f>IF($A162="","",IF($E162=1,$F162*$O162,PNL!G162))</f>
        <v>51993</v>
      </c>
      <c r="T162">
        <f t="shared" si="3"/>
        <v>0</v>
      </c>
    </row>
    <row r="163" ht="14.25" customHeight="1">
      <c r="A163" t="str">
        <f>IF(PNL!A163="","",PNL!A163)</f>
        <v>ISCOM_TLS</v>
      </c>
      <c r="B163" t="str">
        <f>IF(PNL!B163="","",PNL!B163)</f>
        <v>604</v>
      </c>
      <c r="C163" t="str">
        <f>IF(PNL!C163="","",PNL!C163)</f>
        <v>2025</v>
      </c>
      <c r="D163" t="str">
        <f>IF(PNL!D163="","",PNL!D163)</f>
        <v>ACT</v>
      </c>
      <c r="E163">
        <f t="shared" si="0"/>
        <v>0</v>
      </c>
      <c r="F163">
        <f>IF($A163="","",IF($E163=1,_xlfn.SUMIFS(Comptabilité!$F$1:$F$1446,Comptabilité!$A$1:$A$1446,$A163,Comptabilité!$B$1:$B$1446,$B163,Comptabilité!$C$1:$C$1446,"2026"),0))</f>
        <v>0</v>
      </c>
      <c r="G163">
        <f>IF($A163="","",IF($D163="V01",Cadrage!$C$23,IF($D163="V02",Cadrage!$D$23,Cadrage!$E$23)))</f>
        <v>-0.05</v>
      </c>
      <c r="H163">
        <f>IF($A163="","",IF($D163="V01",Cadrage!$C$24,IF($D163="V02",Cadrage!$D$24,Cadrage!$E$24)))</f>
        <v>-0.05</v>
      </c>
      <c r="I163">
        <f>IF($A163="","",IF($D163="V01",Cadrage!$C$34,IF($D163="V02",Cadrage!$D$34,Cadrage!$E$34)))</f>
        <v>0.03</v>
      </c>
      <c r="J163">
        <f>IF($A163="","",IF($D163="V01",Cadrage!$C$35,IF($D163="V02",Cadrage!$D$35,Cadrage!$E$35)))</f>
        <v>0.03</v>
      </c>
      <c r="K163">
        <f>IF($A163="","",IF($D163="V01",Cadrage!$C$36,IF($D163="V02",Cadrage!$D$36,Cadrage!$E$36)))</f>
        <v>0.05</v>
      </c>
      <c r="L163">
        <f>IF($A163="","",IF($D163="V01",Cadrage!$C$37,IF($D163="V02",Cadrage!$D$37,Cadrage!$E$37)))</f>
        <v>0</v>
      </c>
      <c r="M163">
        <f>IF($A163="","",IF($D163="V01",Cadrage!$C$38,IF($D163="V02",Cadrage!$D$38,Cadrage!$E$38)))</f>
        <v>0.04</v>
      </c>
      <c r="N163">
        <f t="shared" si="1"/>
        <v>0.980622079131853</v>
      </c>
      <c r="O163">
        <f t="shared" si="2"/>
        <v>0.980622079131853</v>
      </c>
      <c r="P163">
        <f>IF($A163="","",IF($E163=1,$F163*$O163,PNL!G163))</f>
        <v>49223</v>
      </c>
      <c r="T163">
        <f t="shared" si="3"/>
        <v>0</v>
      </c>
    </row>
    <row r="164" ht="14.25" customHeight="1">
      <c r="A164" t="str">
        <f>IF(PNL!A164="","",PNL!A164)</f>
        <v>IPAC_NAN</v>
      </c>
      <c r="B164" t="str">
        <f>IF(PNL!B164="","",PNL!B164)</f>
        <v>604</v>
      </c>
      <c r="C164" t="str">
        <f>IF(PNL!C164="","",PNL!C164)</f>
        <v>2025</v>
      </c>
      <c r="D164" t="str">
        <f>IF(PNL!D164="","",PNL!D164)</f>
        <v>ACT</v>
      </c>
      <c r="E164">
        <f t="shared" si="0"/>
        <v>0</v>
      </c>
      <c r="F164">
        <f>IF($A164="","",IF($E164=1,_xlfn.SUMIFS(Comptabilité!$F$1:$F$1446,Comptabilité!$A$1:$A$1446,$A164,Comptabilité!$B$1:$B$1446,$B164,Comptabilité!$C$1:$C$1446,"2026"),0))</f>
        <v>0</v>
      </c>
      <c r="G164">
        <f>IF($A164="","",IF($D164="V01",Cadrage!$C$23,IF($D164="V02",Cadrage!$D$23,Cadrage!$E$23)))</f>
        <v>-0.05</v>
      </c>
      <c r="H164">
        <f>IF($A164="","",IF($D164="V01",Cadrage!$C$24,IF($D164="V02",Cadrage!$D$24,Cadrage!$E$24)))</f>
        <v>-0.05</v>
      </c>
      <c r="I164">
        <f>IF($A164="","",IF($D164="V01",Cadrage!$C$34,IF($D164="V02",Cadrage!$D$34,Cadrage!$E$34)))</f>
        <v>0.03</v>
      </c>
      <c r="J164">
        <f>IF($A164="","",IF($D164="V01",Cadrage!$C$35,IF($D164="V02",Cadrage!$D$35,Cadrage!$E$35)))</f>
        <v>0.03</v>
      </c>
      <c r="K164">
        <f>IF($A164="","",IF($D164="V01",Cadrage!$C$36,IF($D164="V02",Cadrage!$D$36,Cadrage!$E$36)))</f>
        <v>0.05</v>
      </c>
      <c r="L164">
        <f>IF($A164="","",IF($D164="V01",Cadrage!$C$37,IF($D164="V02",Cadrage!$D$37,Cadrage!$E$37)))</f>
        <v>0</v>
      </c>
      <c r="M164">
        <f>IF($A164="","",IF($D164="V01",Cadrage!$C$38,IF($D164="V02",Cadrage!$D$38,Cadrage!$E$38)))</f>
        <v>0.04</v>
      </c>
      <c r="N164">
        <f t="shared" si="1"/>
        <v>0.980622079131853</v>
      </c>
      <c r="O164">
        <f t="shared" si="2"/>
        <v>0.980622079131853</v>
      </c>
      <c r="P164">
        <f>IF($A164="","",IF($E164=1,$F164*$O164,PNL!G164))</f>
        <v>30897</v>
      </c>
      <c r="T164">
        <f t="shared" si="3"/>
        <v>0</v>
      </c>
    </row>
    <row r="165" ht="14.25" customHeight="1">
      <c r="A165" t="str">
        <f>IF(PNL!A165="","",PNL!A165)</f>
        <v>IPAC_REN</v>
      </c>
      <c r="B165" t="str">
        <f>IF(PNL!B165="","",PNL!B165)</f>
        <v>604</v>
      </c>
      <c r="C165" t="str">
        <f>IF(PNL!C165="","",PNL!C165)</f>
        <v>2025</v>
      </c>
      <c r="D165" t="str">
        <f>IF(PNL!D165="","",PNL!D165)</f>
        <v>ACT</v>
      </c>
      <c r="E165">
        <f t="shared" si="0"/>
        <v>0</v>
      </c>
      <c r="F165">
        <f>IF($A165="","",IF($E165=1,_xlfn.SUMIFS(Comptabilité!$F$1:$F$1446,Comptabilité!$A$1:$A$1446,$A165,Comptabilité!$B$1:$B$1446,$B165,Comptabilité!$C$1:$C$1446,"2026"),0))</f>
        <v>0</v>
      </c>
      <c r="G165">
        <f>IF($A165="","",IF($D165="V01",Cadrage!$C$23,IF($D165="V02",Cadrage!$D$23,Cadrage!$E$23)))</f>
        <v>-0.05</v>
      </c>
      <c r="H165">
        <f>IF($A165="","",IF($D165="V01",Cadrage!$C$24,IF($D165="V02",Cadrage!$D$24,Cadrage!$E$24)))</f>
        <v>-0.05</v>
      </c>
      <c r="I165">
        <f>IF($A165="","",IF($D165="V01",Cadrage!$C$34,IF($D165="V02",Cadrage!$D$34,Cadrage!$E$34)))</f>
        <v>0.03</v>
      </c>
      <c r="J165">
        <f>IF($A165="","",IF($D165="V01",Cadrage!$C$35,IF($D165="V02",Cadrage!$D$35,Cadrage!$E$35)))</f>
        <v>0.03</v>
      </c>
      <c r="K165">
        <f>IF($A165="","",IF($D165="V01",Cadrage!$C$36,IF($D165="V02",Cadrage!$D$36,Cadrage!$E$36)))</f>
        <v>0.05</v>
      </c>
      <c r="L165">
        <f>IF($A165="","",IF($D165="V01",Cadrage!$C$37,IF($D165="V02",Cadrage!$D$37,Cadrage!$E$37)))</f>
        <v>0</v>
      </c>
      <c r="M165">
        <f>IF($A165="","",IF($D165="V01",Cadrage!$C$38,IF($D165="V02",Cadrage!$D$38,Cadrage!$E$38)))</f>
        <v>0.04</v>
      </c>
      <c r="N165">
        <f t="shared" si="1"/>
        <v>0.980622079131853</v>
      </c>
      <c r="O165">
        <f t="shared" si="2"/>
        <v>0.980622079131853</v>
      </c>
      <c r="P165">
        <f>IF($A165="","",IF($E165=1,$F165*$O165,PNL!G165))</f>
        <v>24931</v>
      </c>
      <c r="T165">
        <f t="shared" si="3"/>
        <v>0</v>
      </c>
    </row>
    <row r="166" ht="14.25" customHeight="1">
      <c r="A166" t="str">
        <f>IF(PNL!A166="","",PNL!A166)</f>
        <v>IPAC_MTP</v>
      </c>
      <c r="B166" t="str">
        <f>IF(PNL!B166="","",PNL!B166)</f>
        <v>604</v>
      </c>
      <c r="C166" t="str">
        <f>IF(PNL!C166="","",PNL!C166)</f>
        <v>2025</v>
      </c>
      <c r="D166" t="str">
        <f>IF(PNL!D166="","",PNL!D166)</f>
        <v>ACT</v>
      </c>
      <c r="E166">
        <f t="shared" si="0"/>
        <v>0</v>
      </c>
      <c r="F166">
        <f>IF($A166="","",IF($E166=1,_xlfn.SUMIFS(Comptabilité!$F$1:$F$1446,Comptabilité!$A$1:$A$1446,$A166,Comptabilité!$B$1:$B$1446,$B166,Comptabilité!$C$1:$C$1446,"2026"),0))</f>
        <v>0</v>
      </c>
      <c r="G166">
        <f>IF($A166="","",IF($D166="V01",Cadrage!$C$23,IF($D166="V02",Cadrage!$D$23,Cadrage!$E$23)))</f>
        <v>-0.05</v>
      </c>
      <c r="H166">
        <f>IF($A166="","",IF($D166="V01",Cadrage!$C$24,IF($D166="V02",Cadrage!$D$24,Cadrage!$E$24)))</f>
        <v>-0.05</v>
      </c>
      <c r="I166">
        <f>IF($A166="","",IF($D166="V01",Cadrage!$C$34,IF($D166="V02",Cadrage!$D$34,Cadrage!$E$34)))</f>
        <v>0.03</v>
      </c>
      <c r="J166">
        <f>IF($A166="","",IF($D166="V01",Cadrage!$C$35,IF($D166="V02",Cadrage!$D$35,Cadrage!$E$35)))</f>
        <v>0.03</v>
      </c>
      <c r="K166">
        <f>IF($A166="","",IF($D166="V01",Cadrage!$C$36,IF($D166="V02",Cadrage!$D$36,Cadrage!$E$36)))</f>
        <v>0.05</v>
      </c>
      <c r="L166">
        <f>IF($A166="","",IF($D166="V01",Cadrage!$C$37,IF($D166="V02",Cadrage!$D$37,Cadrage!$E$37)))</f>
        <v>0</v>
      </c>
      <c r="M166">
        <f>IF($A166="","",IF($D166="V01",Cadrage!$C$38,IF($D166="V02",Cadrage!$D$38,Cadrage!$E$38)))</f>
        <v>0.04</v>
      </c>
      <c r="N166">
        <f t="shared" si="1"/>
        <v>0.980622079131853</v>
      </c>
      <c r="O166">
        <f t="shared" si="2"/>
        <v>0.980622079131853</v>
      </c>
      <c r="P166">
        <f>IF($A166="","",IF($E166=1,$F166*$O166,PNL!G166))</f>
        <v>24931</v>
      </c>
      <c r="T166">
        <f t="shared" si="3"/>
        <v>0</v>
      </c>
    </row>
    <row r="167" ht="14.25" customHeight="1">
      <c r="A167" t="str">
        <f>IF(PNL!A167="","",PNL!A167)</f>
        <v>PIGIER_LYO</v>
      </c>
      <c r="B167" t="str">
        <f>IF(PNL!B167="","",PNL!B167)</f>
        <v>604</v>
      </c>
      <c r="C167" t="str">
        <f>IF(PNL!C167="","",PNL!C167)</f>
        <v>2025</v>
      </c>
      <c r="D167" t="str">
        <f>IF(PNL!D167="","",PNL!D167)</f>
        <v>ACT</v>
      </c>
      <c r="E167">
        <f t="shared" si="0"/>
        <v>0</v>
      </c>
      <c r="F167">
        <f>IF($A167="","",IF($E167=1,_xlfn.SUMIFS(Comptabilité!$F$1:$F$1446,Comptabilité!$A$1:$A$1446,$A167,Comptabilité!$B$1:$B$1446,$B167,Comptabilité!$C$1:$C$1446,"2026"),0))</f>
        <v>0</v>
      </c>
      <c r="G167">
        <f>IF($A167="","",IF($D167="V01",Cadrage!$C$23,IF($D167="V02",Cadrage!$D$23,Cadrage!$E$23)))</f>
        <v>-0.05</v>
      </c>
      <c r="H167">
        <f>IF($A167="","",IF($D167="V01",Cadrage!$C$24,IF($D167="V02",Cadrage!$D$24,Cadrage!$E$24)))</f>
        <v>-0.05</v>
      </c>
      <c r="I167">
        <f>IF($A167="","",IF($D167="V01",Cadrage!$C$34,IF($D167="V02",Cadrage!$D$34,Cadrage!$E$34)))</f>
        <v>0.03</v>
      </c>
      <c r="J167">
        <f>IF($A167="","",IF($D167="V01",Cadrage!$C$35,IF($D167="V02",Cadrage!$D$35,Cadrage!$E$35)))</f>
        <v>0.03</v>
      </c>
      <c r="K167">
        <f>IF($A167="","",IF($D167="V01",Cadrage!$C$36,IF($D167="V02",Cadrage!$D$36,Cadrage!$E$36)))</f>
        <v>0.05</v>
      </c>
      <c r="L167">
        <f>IF($A167="","",IF($D167="V01",Cadrage!$C$37,IF($D167="V02",Cadrage!$D$37,Cadrage!$E$37)))</f>
        <v>0</v>
      </c>
      <c r="M167">
        <f>IF($A167="","",IF($D167="V01",Cadrage!$C$38,IF($D167="V02",Cadrage!$D$38,Cadrage!$E$38)))</f>
        <v>0.04</v>
      </c>
      <c r="N167">
        <f t="shared" si="1"/>
        <v>0.980622079131853</v>
      </c>
      <c r="O167">
        <f t="shared" si="2"/>
        <v>0.980622079131853</v>
      </c>
      <c r="P167">
        <f>IF($A167="","",IF($E167=1,$F167*$O167,PNL!G167))</f>
        <v>38782</v>
      </c>
      <c r="T167">
        <f t="shared" si="3"/>
        <v>0</v>
      </c>
    </row>
    <row r="168" ht="14.25" customHeight="1">
      <c r="A168" t="str">
        <f>IF(PNL!A168="","",PNL!A168)</f>
        <v>PIGIER_BOR</v>
      </c>
      <c r="B168" t="str">
        <f>IF(PNL!B168="","",PNL!B168)</f>
        <v>604</v>
      </c>
      <c r="C168" t="str">
        <f>IF(PNL!C168="","",PNL!C168)</f>
        <v>2025</v>
      </c>
      <c r="D168" t="str">
        <f>IF(PNL!D168="","",PNL!D168)</f>
        <v>ACT</v>
      </c>
      <c r="E168">
        <f t="shared" si="0"/>
        <v>0</v>
      </c>
      <c r="F168">
        <f>IF($A168="","",IF($E168=1,_xlfn.SUMIFS(Comptabilité!$F$1:$F$1446,Comptabilité!$A$1:$A$1446,$A168,Comptabilité!$B$1:$B$1446,$B168,Comptabilité!$C$1:$C$1446,"2026"),0))</f>
        <v>0</v>
      </c>
      <c r="G168">
        <f>IF($A168="","",IF($D168="V01",Cadrage!$C$23,IF($D168="V02",Cadrage!$D$23,Cadrage!$E$23)))</f>
        <v>-0.05</v>
      </c>
      <c r="H168">
        <f>IF($A168="","",IF($D168="V01",Cadrage!$C$24,IF($D168="V02",Cadrage!$D$24,Cadrage!$E$24)))</f>
        <v>-0.05</v>
      </c>
      <c r="I168">
        <f>IF($A168="","",IF($D168="V01",Cadrage!$C$34,IF($D168="V02",Cadrage!$D$34,Cadrage!$E$34)))</f>
        <v>0.03</v>
      </c>
      <c r="J168">
        <f>IF($A168="","",IF($D168="V01",Cadrage!$C$35,IF($D168="V02",Cadrage!$D$35,Cadrage!$E$35)))</f>
        <v>0.03</v>
      </c>
      <c r="K168">
        <f>IF($A168="","",IF($D168="V01",Cadrage!$C$36,IF($D168="V02",Cadrage!$D$36,Cadrage!$E$36)))</f>
        <v>0.05</v>
      </c>
      <c r="L168">
        <f>IF($A168="","",IF($D168="V01",Cadrage!$C$37,IF($D168="V02",Cadrage!$D$37,Cadrage!$E$37)))</f>
        <v>0</v>
      </c>
      <c r="M168">
        <f>IF($A168="","",IF($D168="V01",Cadrage!$C$38,IF($D168="V02",Cadrage!$D$38,Cadrage!$E$38)))</f>
        <v>0.04</v>
      </c>
      <c r="N168">
        <f t="shared" si="1"/>
        <v>0.980622079131853</v>
      </c>
      <c r="O168">
        <f t="shared" si="2"/>
        <v>0.980622079131853</v>
      </c>
      <c r="P168">
        <f>IF($A168="","",IF($E168=1,$F168*$O168,PNL!G168))</f>
        <v>30258</v>
      </c>
      <c r="T168">
        <f t="shared" si="3"/>
        <v>0</v>
      </c>
    </row>
    <row r="169" ht="14.25" customHeight="1">
      <c r="A169" t="str">
        <f>IF(PNL!A169="","",PNL!A169)</f>
        <v>TUNON_PAR</v>
      </c>
      <c r="B169" t="str">
        <f>IF(PNL!B169="","",PNL!B169)</f>
        <v>604</v>
      </c>
      <c r="C169" t="str">
        <f>IF(PNL!C169="","",PNL!C169)</f>
        <v>2025</v>
      </c>
      <c r="D169" t="str">
        <f>IF(PNL!D169="","",PNL!D169)</f>
        <v>ACT</v>
      </c>
      <c r="E169">
        <f t="shared" si="0"/>
        <v>0</v>
      </c>
      <c r="F169">
        <f>IF($A169="","",IF($E169=1,_xlfn.SUMIFS(Comptabilité!$F$1:$F$1446,Comptabilité!$A$1:$A$1446,$A169,Comptabilité!$B$1:$B$1446,$B169,Comptabilité!$C$1:$C$1446,"2026"),0))</f>
        <v>0</v>
      </c>
      <c r="G169">
        <f>IF($A169="","",IF($D169="V01",Cadrage!$C$23,IF($D169="V02",Cadrage!$D$23,Cadrage!$E$23)))</f>
        <v>-0.05</v>
      </c>
      <c r="H169">
        <f>IF($A169="","",IF($D169="V01",Cadrage!$C$24,IF($D169="V02",Cadrage!$D$24,Cadrage!$E$24)))</f>
        <v>-0.05</v>
      </c>
      <c r="I169">
        <f>IF($A169="","",IF($D169="V01",Cadrage!$C$34,IF($D169="V02",Cadrage!$D$34,Cadrage!$E$34)))</f>
        <v>0.03</v>
      </c>
      <c r="J169">
        <f>IF($A169="","",IF($D169="V01",Cadrage!$C$35,IF($D169="V02",Cadrage!$D$35,Cadrage!$E$35)))</f>
        <v>0.03</v>
      </c>
      <c r="K169">
        <f>IF($A169="","",IF($D169="V01",Cadrage!$C$36,IF($D169="V02",Cadrage!$D$36,Cadrage!$E$36)))</f>
        <v>0.05</v>
      </c>
      <c r="L169">
        <f>IF($A169="","",IF($D169="V01",Cadrage!$C$37,IF($D169="V02",Cadrage!$D$37,Cadrage!$E$37)))</f>
        <v>0</v>
      </c>
      <c r="M169">
        <f>IF($A169="","",IF($D169="V01",Cadrage!$C$38,IF($D169="V02",Cadrage!$D$38,Cadrage!$E$38)))</f>
        <v>0.04</v>
      </c>
      <c r="N169">
        <f t="shared" si="1"/>
        <v>0.980622079131853</v>
      </c>
      <c r="O169">
        <f t="shared" si="2"/>
        <v>0.980622079131853</v>
      </c>
      <c r="P169">
        <f>IF($A169="","",IF($E169=1,$F169*$O169,PNL!G169))</f>
        <v>29406</v>
      </c>
      <c r="T169">
        <f t="shared" si="3"/>
        <v>0</v>
      </c>
    </row>
    <row r="170" ht="14.25" customHeight="1">
      <c r="A170" t="str">
        <f>IF(PNL!A170="","",PNL!A170)</f>
        <v>TUNON_LYO</v>
      </c>
      <c r="B170" t="str">
        <f>IF(PNL!B170="","",PNL!B170)</f>
        <v>604</v>
      </c>
      <c r="C170" t="str">
        <f>IF(PNL!C170="","",PNL!C170)</f>
        <v>2025</v>
      </c>
      <c r="D170" t="str">
        <f>IF(PNL!D170="","",PNL!D170)</f>
        <v>ACT</v>
      </c>
      <c r="E170">
        <f t="shared" si="0"/>
        <v>0</v>
      </c>
      <c r="F170">
        <f>IF($A170="","",IF($E170=1,_xlfn.SUMIFS(Comptabilité!$F$1:$F$1446,Comptabilité!$A$1:$A$1446,$A170,Comptabilité!$B$1:$B$1446,$B170,Comptabilité!$C$1:$C$1446,"2026"),0))</f>
        <v>0</v>
      </c>
      <c r="G170">
        <f>IF($A170="","",IF($D170="V01",Cadrage!$C$23,IF($D170="V02",Cadrage!$D$23,Cadrage!$E$23)))</f>
        <v>-0.05</v>
      </c>
      <c r="H170">
        <f>IF($A170="","",IF($D170="V01",Cadrage!$C$24,IF($D170="V02",Cadrage!$D$24,Cadrage!$E$24)))</f>
        <v>-0.05</v>
      </c>
      <c r="I170">
        <f>IF($A170="","",IF($D170="V01",Cadrage!$C$34,IF($D170="V02",Cadrage!$D$34,Cadrage!$E$34)))</f>
        <v>0.03</v>
      </c>
      <c r="J170">
        <f>IF($A170="","",IF($D170="V01",Cadrage!$C$35,IF($D170="V02",Cadrage!$D$35,Cadrage!$E$35)))</f>
        <v>0.03</v>
      </c>
      <c r="K170">
        <f>IF($A170="","",IF($D170="V01",Cadrage!$C$36,IF($D170="V02",Cadrage!$D$36,Cadrage!$E$36)))</f>
        <v>0.05</v>
      </c>
      <c r="L170">
        <f>IF($A170="","",IF($D170="V01",Cadrage!$C$37,IF($D170="V02",Cadrage!$D$37,Cadrage!$E$37)))</f>
        <v>0</v>
      </c>
      <c r="M170">
        <f>IF($A170="","",IF($D170="V01",Cadrage!$C$38,IF($D170="V02",Cadrage!$D$38,Cadrage!$E$38)))</f>
        <v>0.04</v>
      </c>
      <c r="N170">
        <f t="shared" si="1"/>
        <v>0.980622079131853</v>
      </c>
      <c r="O170">
        <f t="shared" si="2"/>
        <v>0.980622079131853</v>
      </c>
      <c r="P170">
        <f>IF($A170="","",IF($E170=1,$F170*$O170,PNL!G170))</f>
        <v>24931</v>
      </c>
      <c r="T170">
        <f t="shared" si="3"/>
        <v>0</v>
      </c>
    </row>
    <row r="171" ht="14.25" customHeight="1">
      <c r="A171" t="str">
        <f>IF(PNL!A171="","",PNL!A171)</f>
        <v>MBWAY_PAR</v>
      </c>
      <c r="B171" t="str">
        <f>IF(PNL!B171="","",PNL!B171)</f>
        <v>604</v>
      </c>
      <c r="C171" t="str">
        <f>IF(PNL!C171="","",PNL!C171)</f>
        <v>2026</v>
      </c>
      <c r="D171" t="str">
        <f>IF(PNL!D171="","",PNL!D171)</f>
        <v>ACT</v>
      </c>
      <c r="E171">
        <f t="shared" si="0"/>
        <v>0</v>
      </c>
      <c r="F171">
        <f>IF($A171="","",IF($E171=1,_xlfn.SUMIFS(Comptabilité!$F$1:$F$1446,Comptabilité!$A$1:$A$1446,$A171,Comptabilité!$B$1:$B$1446,$B171,Comptabilité!$C$1:$C$1446,"2026"),0))</f>
        <v>0</v>
      </c>
      <c r="G171">
        <f>IF($A171="","",IF($D171="V01",Cadrage!$C$23,IF($D171="V02",Cadrage!$D$23,Cadrage!$E$23)))</f>
        <v>-0.05</v>
      </c>
      <c r="H171">
        <f>IF($A171="","",IF($D171="V01",Cadrage!$C$24,IF($D171="V02",Cadrage!$D$24,Cadrage!$E$24)))</f>
        <v>-0.05</v>
      </c>
      <c r="I171">
        <f>IF($A171="","",IF($D171="V01",Cadrage!$C$34,IF($D171="V02",Cadrage!$D$34,Cadrage!$E$34)))</f>
        <v>0.03</v>
      </c>
      <c r="J171">
        <f>IF($A171="","",IF($D171="V01",Cadrage!$C$35,IF($D171="V02",Cadrage!$D$35,Cadrage!$E$35)))</f>
        <v>0.03</v>
      </c>
      <c r="K171">
        <f>IF($A171="","",IF($D171="V01",Cadrage!$C$36,IF($D171="V02",Cadrage!$D$36,Cadrage!$E$36)))</f>
        <v>0.05</v>
      </c>
      <c r="L171">
        <f>IF($A171="","",IF($D171="V01",Cadrage!$C$37,IF($D171="V02",Cadrage!$D$37,Cadrage!$E$37)))</f>
        <v>0</v>
      </c>
      <c r="M171">
        <f>IF($A171="","",IF($D171="V01",Cadrage!$C$38,IF($D171="V02",Cadrage!$D$38,Cadrage!$E$38)))</f>
        <v>0.04</v>
      </c>
      <c r="N171">
        <f t="shared" si="1"/>
        <v>0.980622079131853</v>
      </c>
      <c r="O171">
        <f t="shared" si="2"/>
        <v>0.980622079131853</v>
      </c>
      <c r="P171">
        <f>IF($A171="","",IF($E171=1,$F171*$O171,PNL!G171))</f>
        <v>85284</v>
      </c>
      <c r="T171">
        <f t="shared" si="3"/>
        <v>0</v>
      </c>
    </row>
    <row r="172" ht="14.25" customHeight="1">
      <c r="A172" t="str">
        <f>IF(PNL!A172="","",PNL!A172)</f>
        <v>MBWAY_LYO</v>
      </c>
      <c r="B172" t="str">
        <f>IF(PNL!B172="","",PNL!B172)</f>
        <v>604</v>
      </c>
      <c r="C172" t="str">
        <f>IF(PNL!C172="","",PNL!C172)</f>
        <v>2026</v>
      </c>
      <c r="D172" t="str">
        <f>IF(PNL!D172="","",PNL!D172)</f>
        <v>ACT</v>
      </c>
      <c r="E172">
        <f t="shared" si="0"/>
        <v>0</v>
      </c>
      <c r="F172">
        <f>IF($A172="","",IF($E172=1,_xlfn.SUMIFS(Comptabilité!$F$1:$F$1446,Comptabilité!$A$1:$A$1446,$A172,Comptabilité!$B$1:$B$1446,$B172,Comptabilité!$C$1:$C$1446,"2026"),0))</f>
        <v>0</v>
      </c>
      <c r="G172">
        <f>IF($A172="","",IF($D172="V01",Cadrage!$C$23,IF($D172="V02",Cadrage!$D$23,Cadrage!$E$23)))</f>
        <v>-0.05</v>
      </c>
      <c r="H172">
        <f>IF($A172="","",IF($D172="V01",Cadrage!$C$24,IF($D172="V02",Cadrage!$D$24,Cadrage!$E$24)))</f>
        <v>-0.05</v>
      </c>
      <c r="I172">
        <f>IF($A172="","",IF($D172="V01",Cadrage!$C$34,IF($D172="V02",Cadrage!$D$34,Cadrage!$E$34)))</f>
        <v>0.03</v>
      </c>
      <c r="J172">
        <f>IF($A172="","",IF($D172="V01",Cadrage!$C$35,IF($D172="V02",Cadrage!$D$35,Cadrage!$E$35)))</f>
        <v>0.03</v>
      </c>
      <c r="K172">
        <f>IF($A172="","",IF($D172="V01",Cadrage!$C$36,IF($D172="V02",Cadrage!$D$36,Cadrage!$E$36)))</f>
        <v>0.05</v>
      </c>
      <c r="L172">
        <f>IF($A172="","",IF($D172="V01",Cadrage!$C$37,IF($D172="V02",Cadrage!$D$37,Cadrage!$E$37)))</f>
        <v>0</v>
      </c>
      <c r="M172">
        <f>IF($A172="","",IF($D172="V01",Cadrage!$C$38,IF($D172="V02",Cadrage!$D$38,Cadrage!$E$38)))</f>
        <v>0.04</v>
      </c>
      <c r="N172">
        <f t="shared" si="1"/>
        <v>0.980622079131853</v>
      </c>
      <c r="O172">
        <f t="shared" si="2"/>
        <v>0.980622079131853</v>
      </c>
      <c r="P172">
        <f>IF($A172="","",IF($E172=1,$F172*$O172,PNL!G172))</f>
        <v>72335</v>
      </c>
      <c r="T172">
        <f t="shared" si="3"/>
        <v>0</v>
      </c>
    </row>
    <row r="173" ht="14.25" customHeight="1">
      <c r="A173" t="str">
        <f>IF(PNL!A173="","",PNL!A173)</f>
        <v>MBWAY_NAN</v>
      </c>
      <c r="B173" t="str">
        <f>IF(PNL!B173="","",PNL!B173)</f>
        <v>604</v>
      </c>
      <c r="C173" t="str">
        <f>IF(PNL!C173="","",PNL!C173)</f>
        <v>2026</v>
      </c>
      <c r="D173" t="str">
        <f>IF(PNL!D173="","",PNL!D173)</f>
        <v>ACT</v>
      </c>
      <c r="E173">
        <f t="shared" si="0"/>
        <v>0</v>
      </c>
      <c r="F173">
        <f>IF($A173="","",IF($E173=1,_xlfn.SUMIFS(Comptabilité!$F$1:$F$1446,Comptabilité!$A$1:$A$1446,$A173,Comptabilité!$B$1:$B$1446,$B173,Comptabilité!$C$1:$C$1446,"2026"),0))</f>
        <v>0</v>
      </c>
      <c r="G173">
        <f>IF($A173="","",IF($D173="V01",Cadrage!$C$23,IF($D173="V02",Cadrage!$D$23,Cadrage!$E$23)))</f>
        <v>-0.05</v>
      </c>
      <c r="H173">
        <f>IF($A173="","",IF($D173="V01",Cadrage!$C$24,IF($D173="V02",Cadrage!$D$24,Cadrage!$E$24)))</f>
        <v>-0.05</v>
      </c>
      <c r="I173">
        <f>IF($A173="","",IF($D173="V01",Cadrage!$C$34,IF($D173="V02",Cadrage!$D$34,Cadrage!$E$34)))</f>
        <v>0.03</v>
      </c>
      <c r="J173">
        <f>IF($A173="","",IF($D173="V01",Cadrage!$C$35,IF($D173="V02",Cadrage!$D$35,Cadrage!$E$35)))</f>
        <v>0.03</v>
      </c>
      <c r="K173">
        <f>IF($A173="","",IF($D173="V01",Cadrage!$C$36,IF($D173="V02",Cadrage!$D$36,Cadrage!$E$36)))</f>
        <v>0.05</v>
      </c>
      <c r="L173">
        <f>IF($A173="","",IF($D173="V01",Cadrage!$C$37,IF($D173="V02",Cadrage!$D$37,Cadrage!$E$37)))</f>
        <v>0</v>
      </c>
      <c r="M173">
        <f>IF($A173="","",IF($D173="V01",Cadrage!$C$38,IF($D173="V02",Cadrage!$D$38,Cadrage!$E$38)))</f>
        <v>0.04</v>
      </c>
      <c r="N173">
        <f t="shared" si="1"/>
        <v>0.980622079131853</v>
      </c>
      <c r="O173">
        <f t="shared" si="2"/>
        <v>0.980622079131853</v>
      </c>
      <c r="P173">
        <f>IF($A173="","",IF($E173=1,$F173*$O173,PNL!G173))</f>
        <v>65638</v>
      </c>
      <c r="T173">
        <f t="shared" si="3"/>
        <v>0</v>
      </c>
    </row>
    <row r="174" ht="14.25" customHeight="1">
      <c r="A174" t="str">
        <f>IF(PNL!A174="","",PNL!A174)</f>
        <v>MBWAY_BOR</v>
      </c>
      <c r="B174" t="str">
        <f>IF(PNL!B174="","",PNL!B174)</f>
        <v>604</v>
      </c>
      <c r="C174" t="str">
        <f>IF(PNL!C174="","",PNL!C174)</f>
        <v>2026</v>
      </c>
      <c r="D174" t="str">
        <f>IF(PNL!D174="","",PNL!D174)</f>
        <v>ACT</v>
      </c>
      <c r="E174">
        <f t="shared" si="0"/>
        <v>0</v>
      </c>
      <c r="F174">
        <f>IF($A174="","",IF($E174=1,_xlfn.SUMIFS(Comptabilité!$F$1:$F$1446,Comptabilité!$A$1:$A$1446,$A174,Comptabilité!$B$1:$B$1446,$B174,Comptabilité!$C$1:$C$1446,"2026"),0))</f>
        <v>0</v>
      </c>
      <c r="G174">
        <f>IF($A174="","",IF($D174="V01",Cadrage!$C$23,IF($D174="V02",Cadrage!$D$23,Cadrage!$E$23)))</f>
        <v>-0.05</v>
      </c>
      <c r="H174">
        <f>IF($A174="","",IF($D174="V01",Cadrage!$C$24,IF($D174="V02",Cadrage!$D$24,Cadrage!$E$24)))</f>
        <v>-0.05</v>
      </c>
      <c r="I174">
        <f>IF($A174="","",IF($D174="V01",Cadrage!$C$34,IF($D174="V02",Cadrage!$D$34,Cadrage!$E$34)))</f>
        <v>0.03</v>
      </c>
      <c r="J174">
        <f>IF($A174="","",IF($D174="V01",Cadrage!$C$35,IF($D174="V02",Cadrage!$D$35,Cadrage!$E$35)))</f>
        <v>0.03</v>
      </c>
      <c r="K174">
        <f>IF($A174="","",IF($D174="V01",Cadrage!$C$36,IF($D174="V02",Cadrage!$D$36,Cadrage!$E$36)))</f>
        <v>0.05</v>
      </c>
      <c r="L174">
        <f>IF($A174="","",IF($D174="V01",Cadrage!$C$37,IF($D174="V02",Cadrage!$D$37,Cadrage!$E$37)))</f>
        <v>0</v>
      </c>
      <c r="M174">
        <f>IF($A174="","",IF($D174="V01",Cadrage!$C$38,IF($D174="V02",Cadrage!$D$38,Cadrage!$E$38)))</f>
        <v>0.04</v>
      </c>
      <c r="N174">
        <f t="shared" si="1"/>
        <v>0.980622079131853</v>
      </c>
      <c r="O174">
        <f t="shared" si="2"/>
        <v>0.980622079131853</v>
      </c>
      <c r="P174">
        <f>IF($A174="","",IF($E174=1,$F174*$O174,PNL!G174))</f>
        <v>55591</v>
      </c>
      <c r="T174">
        <f t="shared" si="3"/>
        <v>0</v>
      </c>
    </row>
    <row r="175" ht="14.25" customHeight="1">
      <c r="A175" t="str">
        <f>IF(PNL!A175="","",PNL!A175)</f>
        <v>ISCOM_PAR</v>
      </c>
      <c r="B175" t="str">
        <f>IF(PNL!B175="","",PNL!B175)</f>
        <v>604</v>
      </c>
      <c r="C175" t="str">
        <f>IF(PNL!C175="","",PNL!C175)</f>
        <v>2026</v>
      </c>
      <c r="D175" t="str">
        <f>IF(PNL!D175="","",PNL!D175)</f>
        <v>ACT</v>
      </c>
      <c r="E175">
        <f t="shared" si="0"/>
        <v>0</v>
      </c>
      <c r="F175">
        <f>IF($A175="","",IF($E175=1,_xlfn.SUMIFS(Comptabilité!$F$1:$F$1446,Comptabilité!$A$1:$A$1446,$A175,Comptabilité!$B$1:$B$1446,$B175,Comptabilité!$C$1:$C$1446,"2026"),0))</f>
        <v>0</v>
      </c>
      <c r="G175">
        <f>IF($A175="","",IF($D175="V01",Cadrage!$C$23,IF($D175="V02",Cadrage!$D$23,Cadrage!$E$23)))</f>
        <v>-0.05</v>
      </c>
      <c r="H175">
        <f>IF($A175="","",IF($D175="V01",Cadrage!$C$24,IF($D175="V02",Cadrage!$D$24,Cadrage!$E$24)))</f>
        <v>-0.05</v>
      </c>
      <c r="I175">
        <f>IF($A175="","",IF($D175="V01",Cadrage!$C$34,IF($D175="V02",Cadrage!$D$34,Cadrage!$E$34)))</f>
        <v>0.03</v>
      </c>
      <c r="J175">
        <f>IF($A175="","",IF($D175="V01",Cadrage!$C$35,IF($D175="V02",Cadrage!$D$35,Cadrage!$E$35)))</f>
        <v>0.03</v>
      </c>
      <c r="K175">
        <f>IF($A175="","",IF($D175="V01",Cadrage!$C$36,IF($D175="V02",Cadrage!$D$36,Cadrage!$E$36)))</f>
        <v>0.05</v>
      </c>
      <c r="L175">
        <f>IF($A175="","",IF($D175="V01",Cadrage!$C$37,IF($D175="V02",Cadrage!$D$37,Cadrage!$E$37)))</f>
        <v>0</v>
      </c>
      <c r="M175">
        <f>IF($A175="","",IF($D175="V01",Cadrage!$C$38,IF($D175="V02",Cadrage!$D$38,Cadrage!$E$38)))</f>
        <v>0.04</v>
      </c>
      <c r="N175">
        <f t="shared" si="1"/>
        <v>0.980622079131853</v>
      </c>
      <c r="O175">
        <f t="shared" si="2"/>
        <v>0.980622079131853</v>
      </c>
      <c r="P175">
        <f>IF($A175="","",IF($E175=1,$F175*$O175,PNL!G175))</f>
        <v>79033</v>
      </c>
      <c r="T175">
        <f t="shared" si="3"/>
        <v>0</v>
      </c>
    </row>
    <row r="176" ht="14.25" customHeight="1">
      <c r="A176" t="str">
        <f>IF(PNL!A176="","",PNL!A176)</f>
        <v>ISCOM_LIL</v>
      </c>
      <c r="B176" t="str">
        <f>IF(PNL!B176="","",PNL!B176)</f>
        <v>604</v>
      </c>
      <c r="C176" t="str">
        <f>IF(PNL!C176="","",PNL!C176)</f>
        <v>2026</v>
      </c>
      <c r="D176" t="str">
        <f>IF(PNL!D176="","",PNL!D176)</f>
        <v>ACT</v>
      </c>
      <c r="E176">
        <f t="shared" si="0"/>
        <v>0</v>
      </c>
      <c r="F176">
        <f>IF($A176="","",IF($E176=1,_xlfn.SUMIFS(Comptabilité!$F$1:$F$1446,Comptabilité!$A$1:$A$1446,$A176,Comptabilité!$B$1:$B$1446,$B176,Comptabilité!$C$1:$C$1446,"2026"),0))</f>
        <v>0</v>
      </c>
      <c r="G176">
        <f>IF($A176="","",IF($D176="V01",Cadrage!$C$23,IF($D176="V02",Cadrage!$D$23,Cadrage!$E$23)))</f>
        <v>-0.05</v>
      </c>
      <c r="H176">
        <f>IF($A176="","",IF($D176="V01",Cadrage!$C$24,IF($D176="V02",Cadrage!$D$24,Cadrage!$E$24)))</f>
        <v>-0.05</v>
      </c>
      <c r="I176">
        <f>IF($A176="","",IF($D176="V01",Cadrage!$C$34,IF($D176="V02",Cadrage!$D$34,Cadrage!$E$34)))</f>
        <v>0.03</v>
      </c>
      <c r="J176">
        <f>IF($A176="","",IF($D176="V01",Cadrage!$C$35,IF($D176="V02",Cadrage!$D$35,Cadrage!$E$35)))</f>
        <v>0.03</v>
      </c>
      <c r="K176">
        <f>IF($A176="","",IF($D176="V01",Cadrage!$C$36,IF($D176="V02",Cadrage!$D$36,Cadrage!$E$36)))</f>
        <v>0.05</v>
      </c>
      <c r="L176">
        <f>IF($A176="","",IF($D176="V01",Cadrage!$C$37,IF($D176="V02",Cadrage!$D$37,Cadrage!$E$37)))</f>
        <v>0</v>
      </c>
      <c r="M176">
        <f>IF($A176="","",IF($D176="V01",Cadrage!$C$38,IF($D176="V02",Cadrage!$D$38,Cadrage!$E$38)))</f>
        <v>0.04</v>
      </c>
      <c r="N176">
        <f t="shared" si="1"/>
        <v>0.980622079131853</v>
      </c>
      <c r="O176">
        <f t="shared" si="2"/>
        <v>0.980622079131853</v>
      </c>
      <c r="P176">
        <f>IF($A176="","",IF($E176=1,$F176*$O176,PNL!G176))</f>
        <v>54475</v>
      </c>
      <c r="T176">
        <f t="shared" si="3"/>
        <v>0</v>
      </c>
    </row>
    <row r="177" ht="14.25" customHeight="1">
      <c r="A177" t="str">
        <f>IF(PNL!A177="","",PNL!A177)</f>
        <v>ISCOM_TLS</v>
      </c>
      <c r="B177" t="str">
        <f>IF(PNL!B177="","",PNL!B177)</f>
        <v>604</v>
      </c>
      <c r="C177" t="str">
        <f>IF(PNL!C177="","",PNL!C177)</f>
        <v>2026</v>
      </c>
      <c r="D177" t="str">
        <f>IF(PNL!D177="","",PNL!D177)</f>
        <v>ACT</v>
      </c>
      <c r="E177">
        <f t="shared" si="0"/>
        <v>0</v>
      </c>
      <c r="F177">
        <f>IF($A177="","",IF($E177=1,_xlfn.SUMIFS(Comptabilité!$F$1:$F$1446,Comptabilité!$A$1:$A$1446,$A177,Comptabilité!$B$1:$B$1446,$B177,Comptabilité!$C$1:$C$1446,"2026"),0))</f>
        <v>0</v>
      </c>
      <c r="G177">
        <f>IF($A177="","",IF($D177="V01",Cadrage!$C$23,IF($D177="V02",Cadrage!$D$23,Cadrage!$E$23)))</f>
        <v>-0.05</v>
      </c>
      <c r="H177">
        <f>IF($A177="","",IF($D177="V01",Cadrage!$C$24,IF($D177="V02",Cadrage!$D$24,Cadrage!$E$24)))</f>
        <v>-0.05</v>
      </c>
      <c r="I177">
        <f>IF($A177="","",IF($D177="V01",Cadrage!$C$34,IF($D177="V02",Cadrage!$D$34,Cadrage!$E$34)))</f>
        <v>0.03</v>
      </c>
      <c r="J177">
        <f>IF($A177="","",IF($D177="V01",Cadrage!$C$35,IF($D177="V02",Cadrage!$D$35,Cadrage!$E$35)))</f>
        <v>0.03</v>
      </c>
      <c r="K177">
        <f>IF($A177="","",IF($D177="V01",Cadrage!$C$36,IF($D177="V02",Cadrage!$D$36,Cadrage!$E$36)))</f>
        <v>0.05</v>
      </c>
      <c r="L177">
        <f>IF($A177="","",IF($D177="V01",Cadrage!$C$37,IF($D177="V02",Cadrage!$D$37,Cadrage!$E$37)))</f>
        <v>0</v>
      </c>
      <c r="M177">
        <f>IF($A177="","",IF($D177="V01",Cadrage!$C$38,IF($D177="V02",Cadrage!$D$38,Cadrage!$E$38)))</f>
        <v>0.04</v>
      </c>
      <c r="N177">
        <f t="shared" si="1"/>
        <v>0.980622079131853</v>
      </c>
      <c r="O177">
        <f t="shared" si="2"/>
        <v>0.980622079131853</v>
      </c>
      <c r="P177">
        <f>IF($A177="","",IF($E177=1,$F177*$O177,PNL!G177))</f>
        <v>51572</v>
      </c>
      <c r="T177">
        <f t="shared" si="3"/>
        <v>0</v>
      </c>
    </row>
    <row r="178" ht="14.25" customHeight="1">
      <c r="A178" t="str">
        <f>IF(PNL!A178="","",PNL!A178)</f>
        <v>IPAC_NAN</v>
      </c>
      <c r="B178" t="str">
        <f>IF(PNL!B178="","",PNL!B178)</f>
        <v>604</v>
      </c>
      <c r="C178" t="str">
        <f>IF(PNL!C178="","",PNL!C178)</f>
        <v>2026</v>
      </c>
      <c r="D178" t="str">
        <f>IF(PNL!D178="","",PNL!D178)</f>
        <v>ACT</v>
      </c>
      <c r="E178">
        <f t="shared" si="0"/>
        <v>0</v>
      </c>
      <c r="F178">
        <f>IF($A178="","",IF($E178=1,_xlfn.SUMIFS(Comptabilité!$F$1:$F$1446,Comptabilité!$A$1:$A$1446,$A178,Comptabilité!$B$1:$B$1446,$B178,Comptabilité!$C$1:$C$1446,"2026"),0))</f>
        <v>0</v>
      </c>
      <c r="G178">
        <f>IF($A178="","",IF($D178="V01",Cadrage!$C$23,IF($D178="V02",Cadrage!$D$23,Cadrage!$E$23)))</f>
        <v>-0.05</v>
      </c>
      <c r="H178">
        <f>IF($A178="","",IF($D178="V01",Cadrage!$C$24,IF($D178="V02",Cadrage!$D$24,Cadrage!$E$24)))</f>
        <v>-0.05</v>
      </c>
      <c r="I178">
        <f>IF($A178="","",IF($D178="V01",Cadrage!$C$34,IF($D178="V02",Cadrage!$D$34,Cadrage!$E$34)))</f>
        <v>0.03</v>
      </c>
      <c r="J178">
        <f>IF($A178="","",IF($D178="V01",Cadrage!$C$35,IF($D178="V02",Cadrage!$D$35,Cadrage!$E$35)))</f>
        <v>0.03</v>
      </c>
      <c r="K178">
        <f>IF($A178="","",IF($D178="V01",Cadrage!$C$36,IF($D178="V02",Cadrage!$D$36,Cadrage!$E$36)))</f>
        <v>0.05</v>
      </c>
      <c r="L178">
        <f>IF($A178="","",IF($D178="V01",Cadrage!$C$37,IF($D178="V02",Cadrage!$D$37,Cadrage!$E$37)))</f>
        <v>0</v>
      </c>
      <c r="M178">
        <f>IF($A178="","",IF($D178="V01",Cadrage!$C$38,IF($D178="V02",Cadrage!$D$38,Cadrage!$E$38)))</f>
        <v>0.04</v>
      </c>
      <c r="N178">
        <f t="shared" si="1"/>
        <v>0.980622079131853</v>
      </c>
      <c r="O178">
        <f t="shared" si="2"/>
        <v>0.980622079131853</v>
      </c>
      <c r="P178">
        <f>IF($A178="","",IF($E178=1,$F178*$O178,PNL!G178))</f>
        <v>32372</v>
      </c>
      <c r="T178">
        <f t="shared" si="3"/>
        <v>0</v>
      </c>
    </row>
    <row r="179" ht="14.25" customHeight="1">
      <c r="A179" t="str">
        <f>IF(PNL!A179="","",PNL!A179)</f>
        <v>IPAC_REN</v>
      </c>
      <c r="B179" t="str">
        <f>IF(PNL!B179="","",PNL!B179)</f>
        <v>604</v>
      </c>
      <c r="C179" t="str">
        <f>IF(PNL!C179="","",PNL!C179)</f>
        <v>2026</v>
      </c>
      <c r="D179" t="str">
        <f>IF(PNL!D179="","",PNL!D179)</f>
        <v>ACT</v>
      </c>
      <c r="E179">
        <f t="shared" si="0"/>
        <v>0</v>
      </c>
      <c r="F179">
        <f>IF($A179="","",IF($E179=1,_xlfn.SUMIFS(Comptabilité!$F$1:$F$1446,Comptabilité!$A$1:$A$1446,$A179,Comptabilité!$B$1:$B$1446,$B179,Comptabilité!$C$1:$C$1446,"2026"),0))</f>
        <v>0</v>
      </c>
      <c r="G179">
        <f>IF($A179="","",IF($D179="V01",Cadrage!$C$23,IF($D179="V02",Cadrage!$D$23,Cadrage!$E$23)))</f>
        <v>-0.05</v>
      </c>
      <c r="H179">
        <f>IF($A179="","",IF($D179="V01",Cadrage!$C$24,IF($D179="V02",Cadrage!$D$24,Cadrage!$E$24)))</f>
        <v>-0.05</v>
      </c>
      <c r="I179">
        <f>IF($A179="","",IF($D179="V01",Cadrage!$C$34,IF($D179="V02",Cadrage!$D$34,Cadrage!$E$34)))</f>
        <v>0.03</v>
      </c>
      <c r="J179">
        <f>IF($A179="","",IF($D179="V01",Cadrage!$C$35,IF($D179="V02",Cadrage!$D$35,Cadrage!$E$35)))</f>
        <v>0.03</v>
      </c>
      <c r="K179">
        <f>IF($A179="","",IF($D179="V01",Cadrage!$C$36,IF($D179="V02",Cadrage!$D$36,Cadrage!$E$36)))</f>
        <v>0.05</v>
      </c>
      <c r="L179">
        <f>IF($A179="","",IF($D179="V01",Cadrage!$C$37,IF($D179="V02",Cadrage!$D$37,Cadrage!$E$37)))</f>
        <v>0</v>
      </c>
      <c r="M179">
        <f>IF($A179="","",IF($D179="V01",Cadrage!$C$38,IF($D179="V02",Cadrage!$D$38,Cadrage!$E$38)))</f>
        <v>0.04</v>
      </c>
      <c r="N179">
        <f t="shared" si="1"/>
        <v>0.980622079131853</v>
      </c>
      <c r="O179">
        <f t="shared" si="2"/>
        <v>0.980622079131853</v>
      </c>
      <c r="P179">
        <f>IF($A179="","",IF($E179=1,$F179*$O179,PNL!G179))</f>
        <v>26121</v>
      </c>
      <c r="T179">
        <f t="shared" si="3"/>
        <v>0</v>
      </c>
    </row>
    <row r="180" ht="14.25" customHeight="1">
      <c r="A180" t="str">
        <f>IF(PNL!A180="","",PNL!A180)</f>
        <v>IPAC_MTP</v>
      </c>
      <c r="B180" t="str">
        <f>IF(PNL!B180="","",PNL!B180)</f>
        <v>604</v>
      </c>
      <c r="C180" t="str">
        <f>IF(PNL!C180="","",PNL!C180)</f>
        <v>2026</v>
      </c>
      <c r="D180" t="str">
        <f>IF(PNL!D180="","",PNL!D180)</f>
        <v>ACT</v>
      </c>
      <c r="E180">
        <f t="shared" si="0"/>
        <v>0</v>
      </c>
      <c r="F180">
        <f>IF($A180="","",IF($E180=1,_xlfn.SUMIFS(Comptabilité!$F$1:$F$1446,Comptabilité!$A$1:$A$1446,$A180,Comptabilité!$B$1:$B$1446,$B180,Comptabilité!$C$1:$C$1446,"2026"),0))</f>
        <v>0</v>
      </c>
      <c r="G180">
        <f>IF($A180="","",IF($D180="V01",Cadrage!$C$23,IF($D180="V02",Cadrage!$D$23,Cadrage!$E$23)))</f>
        <v>-0.05</v>
      </c>
      <c r="H180">
        <f>IF($A180="","",IF($D180="V01",Cadrage!$C$24,IF($D180="V02",Cadrage!$D$24,Cadrage!$E$24)))</f>
        <v>-0.05</v>
      </c>
      <c r="I180">
        <f>IF($A180="","",IF($D180="V01",Cadrage!$C$34,IF($D180="V02",Cadrage!$D$34,Cadrage!$E$34)))</f>
        <v>0.03</v>
      </c>
      <c r="J180">
        <f>IF($A180="","",IF($D180="V01",Cadrage!$C$35,IF($D180="V02",Cadrage!$D$35,Cadrage!$E$35)))</f>
        <v>0.03</v>
      </c>
      <c r="K180">
        <f>IF($A180="","",IF($D180="V01",Cadrage!$C$36,IF($D180="V02",Cadrage!$D$36,Cadrage!$E$36)))</f>
        <v>0.05</v>
      </c>
      <c r="L180">
        <f>IF($A180="","",IF($D180="V01",Cadrage!$C$37,IF($D180="V02",Cadrage!$D$37,Cadrage!$E$37)))</f>
        <v>0</v>
      </c>
      <c r="M180">
        <f>IF($A180="","",IF($D180="V01",Cadrage!$C$38,IF($D180="V02",Cadrage!$D$38,Cadrage!$E$38)))</f>
        <v>0.04</v>
      </c>
      <c r="N180">
        <f t="shared" si="1"/>
        <v>0.980622079131853</v>
      </c>
      <c r="O180">
        <f t="shared" si="2"/>
        <v>0.980622079131853</v>
      </c>
      <c r="P180">
        <f>IF($A180="","",IF($E180=1,$F180*$O180,PNL!G180))</f>
        <v>26121</v>
      </c>
      <c r="T180">
        <f t="shared" si="3"/>
        <v>0</v>
      </c>
    </row>
    <row r="181" ht="14.25" customHeight="1">
      <c r="A181" t="str">
        <f>IF(PNL!A181="","",PNL!A181)</f>
        <v>PIGIER_LYO</v>
      </c>
      <c r="B181" t="str">
        <f>IF(PNL!B181="","",PNL!B181)</f>
        <v>604</v>
      </c>
      <c r="C181" t="str">
        <f>IF(PNL!C181="","",PNL!C181)</f>
        <v>2026</v>
      </c>
      <c r="D181" t="str">
        <f>IF(PNL!D181="","",PNL!D181)</f>
        <v>ACT</v>
      </c>
      <c r="E181">
        <f t="shared" si="0"/>
        <v>0</v>
      </c>
      <c r="F181">
        <f>IF($A181="","",IF($E181=1,_xlfn.SUMIFS(Comptabilité!$F$1:$F$1446,Comptabilité!$A$1:$A$1446,$A181,Comptabilité!$B$1:$B$1446,$B181,Comptabilité!$C$1:$C$1446,"2026"),0))</f>
        <v>0</v>
      </c>
      <c r="G181">
        <f>IF($A181="","",IF($D181="V01",Cadrage!$C$23,IF($D181="V02",Cadrage!$D$23,Cadrage!$E$23)))</f>
        <v>-0.05</v>
      </c>
      <c r="H181">
        <f>IF($A181="","",IF($D181="V01",Cadrage!$C$24,IF($D181="V02",Cadrage!$D$24,Cadrage!$E$24)))</f>
        <v>-0.05</v>
      </c>
      <c r="I181">
        <f>IF($A181="","",IF($D181="V01",Cadrage!$C$34,IF($D181="V02",Cadrage!$D$34,Cadrage!$E$34)))</f>
        <v>0.03</v>
      </c>
      <c r="J181">
        <f>IF($A181="","",IF($D181="V01",Cadrage!$C$35,IF($D181="V02",Cadrage!$D$35,Cadrage!$E$35)))</f>
        <v>0.03</v>
      </c>
      <c r="K181">
        <f>IF($A181="","",IF($D181="V01",Cadrage!$C$36,IF($D181="V02",Cadrage!$D$36,Cadrage!$E$36)))</f>
        <v>0.05</v>
      </c>
      <c r="L181">
        <f>IF($A181="","",IF($D181="V01",Cadrage!$C$37,IF($D181="V02",Cadrage!$D$37,Cadrage!$E$37)))</f>
        <v>0</v>
      </c>
      <c r="M181">
        <f>IF($A181="","",IF($D181="V01",Cadrage!$C$38,IF($D181="V02",Cadrage!$D$38,Cadrage!$E$38)))</f>
        <v>0.04</v>
      </c>
      <c r="N181">
        <f t="shared" si="1"/>
        <v>0.980622079131853</v>
      </c>
      <c r="O181">
        <f t="shared" si="2"/>
        <v>0.980622079131853</v>
      </c>
      <c r="P181">
        <f>IF($A181="","",IF($E181=1,$F181*$O181,PNL!G181))</f>
        <v>40633</v>
      </c>
      <c r="T181">
        <f t="shared" si="3"/>
        <v>0</v>
      </c>
    </row>
    <row r="182" ht="14.25" customHeight="1">
      <c r="A182" t="str">
        <f>IF(PNL!A182="","",PNL!A182)</f>
        <v>PIGIER_BOR</v>
      </c>
      <c r="B182" t="str">
        <f>IF(PNL!B182="","",PNL!B182)</f>
        <v>604</v>
      </c>
      <c r="C182" t="str">
        <f>IF(PNL!C182="","",PNL!C182)</f>
        <v>2026</v>
      </c>
      <c r="D182" t="str">
        <f>IF(PNL!D182="","",PNL!D182)</f>
        <v>ACT</v>
      </c>
      <c r="E182">
        <f t="shared" si="0"/>
        <v>0</v>
      </c>
      <c r="F182">
        <f>IF($A182="","",IF($E182=1,_xlfn.SUMIFS(Comptabilité!$F$1:$F$1446,Comptabilité!$A$1:$A$1446,$A182,Comptabilité!$B$1:$B$1446,$B182,Comptabilité!$C$1:$C$1446,"2026"),0))</f>
        <v>0</v>
      </c>
      <c r="G182">
        <f>IF($A182="","",IF($D182="V01",Cadrage!$C$23,IF($D182="V02",Cadrage!$D$23,Cadrage!$E$23)))</f>
        <v>-0.05</v>
      </c>
      <c r="H182">
        <f>IF($A182="","",IF($D182="V01",Cadrage!$C$24,IF($D182="V02",Cadrage!$D$24,Cadrage!$E$24)))</f>
        <v>-0.05</v>
      </c>
      <c r="I182">
        <f>IF($A182="","",IF($D182="V01",Cadrage!$C$34,IF($D182="V02",Cadrage!$D$34,Cadrage!$E$34)))</f>
        <v>0.03</v>
      </c>
      <c r="J182">
        <f>IF($A182="","",IF($D182="V01",Cadrage!$C$35,IF($D182="V02",Cadrage!$D$35,Cadrage!$E$35)))</f>
        <v>0.03</v>
      </c>
      <c r="K182">
        <f>IF($A182="","",IF($D182="V01",Cadrage!$C$36,IF($D182="V02",Cadrage!$D$36,Cadrage!$E$36)))</f>
        <v>0.05</v>
      </c>
      <c r="L182">
        <f>IF($A182="","",IF($D182="V01",Cadrage!$C$37,IF($D182="V02",Cadrage!$D$37,Cadrage!$E$37)))</f>
        <v>0</v>
      </c>
      <c r="M182">
        <f>IF($A182="","",IF($D182="V01",Cadrage!$C$38,IF($D182="V02",Cadrage!$D$38,Cadrage!$E$38)))</f>
        <v>0.04</v>
      </c>
      <c r="N182">
        <f t="shared" si="1"/>
        <v>0.980622079131853</v>
      </c>
      <c r="O182">
        <f t="shared" si="2"/>
        <v>0.980622079131853</v>
      </c>
      <c r="P182">
        <f>IF($A182="","",IF($E182=1,$F182*$O182,PNL!G182))</f>
        <v>31703</v>
      </c>
      <c r="T182">
        <f t="shared" si="3"/>
        <v>0</v>
      </c>
    </row>
    <row r="183" ht="14.25" customHeight="1">
      <c r="A183" t="str">
        <f>IF(PNL!A183="","",PNL!A183)</f>
        <v>TUNON_PAR</v>
      </c>
      <c r="B183" t="str">
        <f>IF(PNL!B183="","",PNL!B183)</f>
        <v>604</v>
      </c>
      <c r="C183" t="str">
        <f>IF(PNL!C183="","",PNL!C183)</f>
        <v>2026</v>
      </c>
      <c r="D183" t="str">
        <f>IF(PNL!D183="","",PNL!D183)</f>
        <v>ACT</v>
      </c>
      <c r="E183">
        <f t="shared" si="0"/>
        <v>0</v>
      </c>
      <c r="F183">
        <f>IF($A183="","",IF($E183=1,_xlfn.SUMIFS(Comptabilité!$F$1:$F$1446,Comptabilité!$A$1:$A$1446,$A183,Comptabilité!$B$1:$B$1446,$B183,Comptabilité!$C$1:$C$1446,"2026"),0))</f>
        <v>0</v>
      </c>
      <c r="G183">
        <f>IF($A183="","",IF($D183="V01",Cadrage!$C$23,IF($D183="V02",Cadrage!$D$23,Cadrage!$E$23)))</f>
        <v>-0.05</v>
      </c>
      <c r="H183">
        <f>IF($A183="","",IF($D183="V01",Cadrage!$C$24,IF($D183="V02",Cadrage!$D$24,Cadrage!$E$24)))</f>
        <v>-0.05</v>
      </c>
      <c r="I183">
        <f>IF($A183="","",IF($D183="V01",Cadrage!$C$34,IF($D183="V02",Cadrage!$D$34,Cadrage!$E$34)))</f>
        <v>0.03</v>
      </c>
      <c r="J183">
        <f>IF($A183="","",IF($D183="V01",Cadrage!$C$35,IF($D183="V02",Cadrage!$D$35,Cadrage!$E$35)))</f>
        <v>0.03</v>
      </c>
      <c r="K183">
        <f>IF($A183="","",IF($D183="V01",Cadrage!$C$36,IF($D183="V02",Cadrage!$D$36,Cadrage!$E$36)))</f>
        <v>0.05</v>
      </c>
      <c r="L183">
        <f>IF($A183="","",IF($D183="V01",Cadrage!$C$37,IF($D183="V02",Cadrage!$D$37,Cadrage!$E$37)))</f>
        <v>0</v>
      </c>
      <c r="M183">
        <f>IF($A183="","",IF($D183="V01",Cadrage!$C$38,IF($D183="V02",Cadrage!$D$38,Cadrage!$E$38)))</f>
        <v>0.04</v>
      </c>
      <c r="N183">
        <f t="shared" si="1"/>
        <v>0.980622079131853</v>
      </c>
      <c r="O183">
        <f t="shared" si="2"/>
        <v>0.980622079131853</v>
      </c>
      <c r="P183">
        <f>IF($A183="","",IF($E183=1,$F183*$O183,PNL!G183))</f>
        <v>30809</v>
      </c>
      <c r="T183">
        <f t="shared" si="3"/>
        <v>0</v>
      </c>
    </row>
    <row r="184" ht="14.25" customHeight="1">
      <c r="A184" t="str">
        <f>IF(PNL!A184="","",PNL!A184)</f>
        <v>TUNON_LYO</v>
      </c>
      <c r="B184" t="str">
        <f>IF(PNL!B184="","",PNL!B184)</f>
        <v>604</v>
      </c>
      <c r="C184" t="str">
        <f>IF(PNL!C184="","",PNL!C184)</f>
        <v>2026</v>
      </c>
      <c r="D184" t="str">
        <f>IF(PNL!D184="","",PNL!D184)</f>
        <v>ACT</v>
      </c>
      <c r="E184">
        <f t="shared" si="0"/>
        <v>0</v>
      </c>
      <c r="F184">
        <f>IF($A184="","",IF($E184=1,_xlfn.SUMIFS(Comptabilité!$F$1:$F$1446,Comptabilité!$A$1:$A$1446,$A184,Comptabilité!$B$1:$B$1446,$B184,Comptabilité!$C$1:$C$1446,"2026"),0))</f>
        <v>0</v>
      </c>
      <c r="G184">
        <f>IF($A184="","",IF($D184="V01",Cadrage!$C$23,IF($D184="V02",Cadrage!$D$23,Cadrage!$E$23)))</f>
        <v>-0.05</v>
      </c>
      <c r="H184">
        <f>IF($A184="","",IF($D184="V01",Cadrage!$C$24,IF($D184="V02",Cadrage!$D$24,Cadrage!$E$24)))</f>
        <v>-0.05</v>
      </c>
      <c r="I184">
        <f>IF($A184="","",IF($D184="V01",Cadrage!$C$34,IF($D184="V02",Cadrage!$D$34,Cadrage!$E$34)))</f>
        <v>0.03</v>
      </c>
      <c r="J184">
        <f>IF($A184="","",IF($D184="V01",Cadrage!$C$35,IF($D184="V02",Cadrage!$D$35,Cadrage!$E$35)))</f>
        <v>0.03</v>
      </c>
      <c r="K184">
        <f>IF($A184="","",IF($D184="V01",Cadrage!$C$36,IF($D184="V02",Cadrage!$D$36,Cadrage!$E$36)))</f>
        <v>0.05</v>
      </c>
      <c r="L184">
        <f>IF($A184="","",IF($D184="V01",Cadrage!$C$37,IF($D184="V02",Cadrage!$D$37,Cadrage!$E$37)))</f>
        <v>0</v>
      </c>
      <c r="M184">
        <f>IF($A184="","",IF($D184="V01",Cadrage!$C$38,IF($D184="V02",Cadrage!$D$38,Cadrage!$E$38)))</f>
        <v>0.04</v>
      </c>
      <c r="N184">
        <f t="shared" si="1"/>
        <v>0.980622079131853</v>
      </c>
      <c r="O184">
        <f t="shared" si="2"/>
        <v>0.980622079131853</v>
      </c>
      <c r="P184">
        <f>IF($A184="","",IF($E184=1,$F184*$O184,PNL!G184))</f>
        <v>26121</v>
      </c>
      <c r="T184">
        <f t="shared" si="3"/>
        <v>0</v>
      </c>
    </row>
    <row r="185" ht="14.25" customHeight="1">
      <c r="A185" t="str">
        <f>IF(PNL!A185="","",PNL!A185)</f>
        <v>MBWAY_PAR</v>
      </c>
      <c r="B185" t="str">
        <f>IF(PNL!B185="","",PNL!B185)</f>
        <v>6063</v>
      </c>
      <c r="C185" t="str">
        <f>IF(PNL!C185="","",PNL!C185)</f>
        <v>2024</v>
      </c>
      <c r="D185" t="str">
        <f>IF(PNL!D185="","",PNL!D185)</f>
        <v>ACT</v>
      </c>
      <c r="E185">
        <f t="shared" si="0"/>
        <v>0</v>
      </c>
      <c r="F185">
        <f>IF($A185="","",IF($E185=1,_xlfn.SUMIFS(Comptabilité!$F$1:$F$1446,Comptabilité!$A$1:$A$1446,$A185,Comptabilité!$B$1:$B$1446,$B185,Comptabilité!$C$1:$C$1446,"2026"),0))</f>
        <v>0</v>
      </c>
      <c r="G185">
        <f>IF($A185="","",IF($D185="V01",Cadrage!$C$23,IF($D185="V02",Cadrage!$D$23,Cadrage!$E$23)))</f>
        <v>-0.05</v>
      </c>
      <c r="H185">
        <f>IF($A185="","",IF($D185="V01",Cadrage!$C$24,IF($D185="V02",Cadrage!$D$24,Cadrage!$E$24)))</f>
        <v>-0.05</v>
      </c>
      <c r="I185">
        <f>IF($A185="","",IF($D185="V01",Cadrage!$C$34,IF($D185="V02",Cadrage!$D$34,Cadrage!$E$34)))</f>
        <v>0.03</v>
      </c>
      <c r="J185">
        <f>IF($A185="","",IF($D185="V01",Cadrage!$C$35,IF($D185="V02",Cadrage!$D$35,Cadrage!$E$35)))</f>
        <v>0.03</v>
      </c>
      <c r="K185">
        <f>IF($A185="","",IF($D185="V01",Cadrage!$C$36,IF($D185="V02",Cadrage!$D$36,Cadrage!$E$36)))</f>
        <v>0.05</v>
      </c>
      <c r="L185">
        <f>IF($A185="","",IF($D185="V01",Cadrage!$C$37,IF($D185="V02",Cadrage!$D$37,Cadrage!$E$37)))</f>
        <v>0</v>
      </c>
      <c r="M185">
        <f>IF($A185="","",IF($D185="V01",Cadrage!$C$38,IF($D185="V02",Cadrage!$D$38,Cadrage!$E$38)))</f>
        <v>0.04</v>
      </c>
      <c r="N185">
        <f t="shared" si="1"/>
        <v>0.980622079131853</v>
      </c>
      <c r="O185">
        <f t="shared" si="2"/>
        <v>0.980622079131853</v>
      </c>
      <c r="P185">
        <f>IF($A185="","",IF($E185=1,$F185*$O185,PNL!G185))</f>
        <v>51888</v>
      </c>
      <c r="T185">
        <f t="shared" si="3"/>
        <v>0</v>
      </c>
    </row>
    <row r="186" ht="14.25" customHeight="1">
      <c r="A186" t="str">
        <f>IF(PNL!A186="","",PNL!A186)</f>
        <v>MBWAY_LYO</v>
      </c>
      <c r="B186" t="str">
        <f>IF(PNL!B186="","",PNL!B186)</f>
        <v>6063</v>
      </c>
      <c r="C186" t="str">
        <f>IF(PNL!C186="","",PNL!C186)</f>
        <v>2024</v>
      </c>
      <c r="D186" t="str">
        <f>IF(PNL!D186="","",PNL!D186)</f>
        <v>ACT</v>
      </c>
      <c r="E186">
        <f t="shared" si="0"/>
        <v>0</v>
      </c>
      <c r="F186">
        <f>IF($A186="","",IF($E186=1,_xlfn.SUMIFS(Comptabilité!$F$1:$F$1446,Comptabilité!$A$1:$A$1446,$A186,Comptabilité!$B$1:$B$1446,$B186,Comptabilité!$C$1:$C$1446,"2026"),0))</f>
        <v>0</v>
      </c>
      <c r="G186">
        <f>IF($A186="","",IF($D186="V01",Cadrage!$C$23,IF($D186="V02",Cadrage!$D$23,Cadrage!$E$23)))</f>
        <v>-0.05</v>
      </c>
      <c r="H186">
        <f>IF($A186="","",IF($D186="V01",Cadrage!$C$24,IF($D186="V02",Cadrage!$D$24,Cadrage!$E$24)))</f>
        <v>-0.05</v>
      </c>
      <c r="I186">
        <f>IF($A186="","",IF($D186="V01",Cadrage!$C$34,IF($D186="V02",Cadrage!$D$34,Cadrage!$E$34)))</f>
        <v>0.03</v>
      </c>
      <c r="J186">
        <f>IF($A186="","",IF($D186="V01",Cadrage!$C$35,IF($D186="V02",Cadrage!$D$35,Cadrage!$E$35)))</f>
        <v>0.03</v>
      </c>
      <c r="K186">
        <f>IF($A186="","",IF($D186="V01",Cadrage!$C$36,IF($D186="V02",Cadrage!$D$36,Cadrage!$E$36)))</f>
        <v>0.05</v>
      </c>
      <c r="L186">
        <f>IF($A186="","",IF($D186="V01",Cadrage!$C$37,IF($D186="V02",Cadrage!$D$37,Cadrage!$E$37)))</f>
        <v>0</v>
      </c>
      <c r="M186">
        <f>IF($A186="","",IF($D186="V01",Cadrage!$C$38,IF($D186="V02",Cadrage!$D$38,Cadrage!$E$38)))</f>
        <v>0.04</v>
      </c>
      <c r="N186">
        <f t="shared" si="1"/>
        <v>0.980622079131853</v>
      </c>
      <c r="O186">
        <f t="shared" si="2"/>
        <v>0.980622079131853</v>
      </c>
      <c r="P186">
        <f>IF($A186="","",IF($E186=1,$F186*$O186,PNL!G186))</f>
        <v>44010</v>
      </c>
      <c r="T186">
        <f t="shared" si="3"/>
        <v>0</v>
      </c>
    </row>
    <row r="187" ht="14.25" customHeight="1">
      <c r="A187" t="str">
        <f>IF(PNL!A187="","",PNL!A187)</f>
        <v>MBWAY_NAN</v>
      </c>
      <c r="B187" t="str">
        <f>IF(PNL!B187="","",PNL!B187)</f>
        <v>6063</v>
      </c>
      <c r="C187" t="str">
        <f>IF(PNL!C187="","",PNL!C187)</f>
        <v>2024</v>
      </c>
      <c r="D187" t="str">
        <f>IF(PNL!D187="","",PNL!D187)</f>
        <v>ACT</v>
      </c>
      <c r="E187">
        <f t="shared" si="0"/>
        <v>0</v>
      </c>
      <c r="F187">
        <f>IF($A187="","",IF($E187=1,_xlfn.SUMIFS(Comptabilité!$F$1:$F$1446,Comptabilité!$A$1:$A$1446,$A187,Comptabilité!$B$1:$B$1446,$B187,Comptabilité!$C$1:$C$1446,"2026"),0))</f>
        <v>0</v>
      </c>
      <c r="G187">
        <f>IF($A187="","",IF($D187="V01",Cadrage!$C$23,IF($D187="V02",Cadrage!$D$23,Cadrage!$E$23)))</f>
        <v>-0.05</v>
      </c>
      <c r="H187">
        <f>IF($A187="","",IF($D187="V01",Cadrage!$C$24,IF($D187="V02",Cadrage!$D$24,Cadrage!$E$24)))</f>
        <v>-0.05</v>
      </c>
      <c r="I187">
        <f>IF($A187="","",IF($D187="V01",Cadrage!$C$34,IF($D187="V02",Cadrage!$D$34,Cadrage!$E$34)))</f>
        <v>0.03</v>
      </c>
      <c r="J187">
        <f>IF($A187="","",IF($D187="V01",Cadrage!$C$35,IF($D187="V02",Cadrage!$D$35,Cadrage!$E$35)))</f>
        <v>0.03</v>
      </c>
      <c r="K187">
        <f>IF($A187="","",IF($D187="V01",Cadrage!$C$36,IF($D187="V02",Cadrage!$D$36,Cadrage!$E$36)))</f>
        <v>0.05</v>
      </c>
      <c r="L187">
        <f>IF($A187="","",IF($D187="V01",Cadrage!$C$37,IF($D187="V02",Cadrage!$D$37,Cadrage!$E$37)))</f>
        <v>0</v>
      </c>
      <c r="M187">
        <f>IF($A187="","",IF($D187="V01",Cadrage!$C$38,IF($D187="V02",Cadrage!$D$38,Cadrage!$E$38)))</f>
        <v>0.04</v>
      </c>
      <c r="N187">
        <f t="shared" si="1"/>
        <v>0.980622079131853</v>
      </c>
      <c r="O187">
        <f t="shared" si="2"/>
        <v>0.980622079131853</v>
      </c>
      <c r="P187">
        <f>IF($A187="","",IF($E187=1,$F187*$O187,PNL!G187))</f>
        <v>39935</v>
      </c>
      <c r="T187">
        <f t="shared" si="3"/>
        <v>0</v>
      </c>
    </row>
    <row r="188" ht="14.25" customHeight="1">
      <c r="A188" t="str">
        <f>IF(PNL!A188="","",PNL!A188)</f>
        <v>MBWAY_BOR</v>
      </c>
      <c r="B188" t="str">
        <f>IF(PNL!B188="","",PNL!B188)</f>
        <v>6063</v>
      </c>
      <c r="C188" t="str">
        <f>IF(PNL!C188="","",PNL!C188)</f>
        <v>2024</v>
      </c>
      <c r="D188" t="str">
        <f>IF(PNL!D188="","",PNL!D188)</f>
        <v>ACT</v>
      </c>
      <c r="E188">
        <f t="shared" si="0"/>
        <v>0</v>
      </c>
      <c r="F188">
        <f>IF($A188="","",IF($E188=1,_xlfn.SUMIFS(Comptabilité!$F$1:$F$1446,Comptabilité!$A$1:$A$1446,$A188,Comptabilité!$B$1:$B$1446,$B188,Comptabilité!$C$1:$C$1446,"2026"),0))</f>
        <v>0</v>
      </c>
      <c r="G188">
        <f>IF($A188="","",IF($D188="V01",Cadrage!$C$23,IF($D188="V02",Cadrage!$D$23,Cadrage!$E$23)))</f>
        <v>-0.05</v>
      </c>
      <c r="H188">
        <f>IF($A188="","",IF($D188="V01",Cadrage!$C$24,IF($D188="V02",Cadrage!$D$24,Cadrage!$E$24)))</f>
        <v>-0.05</v>
      </c>
      <c r="I188">
        <f>IF($A188="","",IF($D188="V01",Cadrage!$C$34,IF($D188="V02",Cadrage!$D$34,Cadrage!$E$34)))</f>
        <v>0.03</v>
      </c>
      <c r="J188">
        <f>IF($A188="","",IF($D188="V01",Cadrage!$C$35,IF($D188="V02",Cadrage!$D$35,Cadrage!$E$35)))</f>
        <v>0.03</v>
      </c>
      <c r="K188">
        <f>IF($A188="","",IF($D188="V01",Cadrage!$C$36,IF($D188="V02",Cadrage!$D$36,Cadrage!$E$36)))</f>
        <v>0.05</v>
      </c>
      <c r="L188">
        <f>IF($A188="","",IF($D188="V01",Cadrage!$C$37,IF($D188="V02",Cadrage!$D$37,Cadrage!$E$37)))</f>
        <v>0</v>
      </c>
      <c r="M188">
        <f>IF($A188="","",IF($D188="V01",Cadrage!$C$38,IF($D188="V02",Cadrage!$D$38,Cadrage!$E$38)))</f>
        <v>0.04</v>
      </c>
      <c r="N188">
        <f t="shared" si="1"/>
        <v>0.980622079131853</v>
      </c>
      <c r="O188">
        <f t="shared" si="2"/>
        <v>0.980622079131853</v>
      </c>
      <c r="P188">
        <f>IF($A188="","",IF($E188=1,$F188*$O188,PNL!G188))</f>
        <v>33822</v>
      </c>
      <c r="T188">
        <f t="shared" si="3"/>
        <v>0</v>
      </c>
    </row>
    <row r="189" ht="14.25" customHeight="1">
      <c r="A189" t="str">
        <f>IF(PNL!A189="","",PNL!A189)</f>
        <v>ISCOM_PAR</v>
      </c>
      <c r="B189" t="str">
        <f>IF(PNL!B189="","",PNL!B189)</f>
        <v>6063</v>
      </c>
      <c r="C189" t="str">
        <f>IF(PNL!C189="","",PNL!C189)</f>
        <v>2024</v>
      </c>
      <c r="D189" t="str">
        <f>IF(PNL!D189="","",PNL!D189)</f>
        <v>ACT</v>
      </c>
      <c r="E189">
        <f t="shared" si="0"/>
        <v>0</v>
      </c>
      <c r="F189">
        <f>IF($A189="","",IF($E189=1,_xlfn.SUMIFS(Comptabilité!$F$1:$F$1446,Comptabilité!$A$1:$A$1446,$A189,Comptabilité!$B$1:$B$1446,$B189,Comptabilité!$C$1:$C$1446,"2026"),0))</f>
        <v>0</v>
      </c>
      <c r="G189">
        <f>IF($A189="","",IF($D189="V01",Cadrage!$C$23,IF($D189="V02",Cadrage!$D$23,Cadrage!$E$23)))</f>
        <v>-0.05</v>
      </c>
      <c r="H189">
        <f>IF($A189="","",IF($D189="V01",Cadrage!$C$24,IF($D189="V02",Cadrage!$D$24,Cadrage!$E$24)))</f>
        <v>-0.05</v>
      </c>
      <c r="I189">
        <f>IF($A189="","",IF($D189="V01",Cadrage!$C$34,IF($D189="V02",Cadrage!$D$34,Cadrage!$E$34)))</f>
        <v>0.03</v>
      </c>
      <c r="J189">
        <f>IF($A189="","",IF($D189="V01",Cadrage!$C$35,IF($D189="V02",Cadrage!$D$35,Cadrage!$E$35)))</f>
        <v>0.03</v>
      </c>
      <c r="K189">
        <f>IF($A189="","",IF($D189="V01",Cadrage!$C$36,IF($D189="V02",Cadrage!$D$36,Cadrage!$E$36)))</f>
        <v>0.05</v>
      </c>
      <c r="L189">
        <f>IF($A189="","",IF($D189="V01",Cadrage!$C$37,IF($D189="V02",Cadrage!$D$37,Cadrage!$E$37)))</f>
        <v>0</v>
      </c>
      <c r="M189">
        <f>IF($A189="","",IF($D189="V01",Cadrage!$C$38,IF($D189="V02",Cadrage!$D$38,Cadrage!$E$38)))</f>
        <v>0.04</v>
      </c>
      <c r="N189">
        <f t="shared" si="1"/>
        <v>0.980622079131853</v>
      </c>
      <c r="O189">
        <f t="shared" si="2"/>
        <v>0.980622079131853</v>
      </c>
      <c r="P189">
        <f>IF($A189="","",IF($E189=1,$F189*$O189,PNL!G189))</f>
        <v>48085</v>
      </c>
      <c r="T189">
        <f t="shared" si="3"/>
        <v>0</v>
      </c>
    </row>
    <row r="190" ht="14.25" customHeight="1">
      <c r="A190" t="str">
        <f>IF(PNL!A190="","",PNL!A190)</f>
        <v>ISCOM_LIL</v>
      </c>
      <c r="B190" t="str">
        <f>IF(PNL!B190="","",PNL!B190)</f>
        <v>6063</v>
      </c>
      <c r="C190" t="str">
        <f>IF(PNL!C190="","",PNL!C190)</f>
        <v>2024</v>
      </c>
      <c r="D190" t="str">
        <f>IF(PNL!D190="","",PNL!D190)</f>
        <v>ACT</v>
      </c>
      <c r="E190">
        <f t="shared" si="0"/>
        <v>0</v>
      </c>
      <c r="F190">
        <f>IF($A190="","",IF($E190=1,_xlfn.SUMIFS(Comptabilité!$F$1:$F$1446,Comptabilité!$A$1:$A$1446,$A190,Comptabilité!$B$1:$B$1446,$B190,Comptabilité!$C$1:$C$1446,"2026"),0))</f>
        <v>0</v>
      </c>
      <c r="G190">
        <f>IF($A190="","",IF($D190="V01",Cadrage!$C$23,IF($D190="V02",Cadrage!$D$23,Cadrage!$E$23)))</f>
        <v>-0.05</v>
      </c>
      <c r="H190">
        <f>IF($A190="","",IF($D190="V01",Cadrage!$C$24,IF($D190="V02",Cadrage!$D$24,Cadrage!$E$24)))</f>
        <v>-0.05</v>
      </c>
      <c r="I190">
        <f>IF($A190="","",IF($D190="V01",Cadrage!$C$34,IF($D190="V02",Cadrage!$D$34,Cadrage!$E$34)))</f>
        <v>0.03</v>
      </c>
      <c r="J190">
        <f>IF($A190="","",IF($D190="V01",Cadrage!$C$35,IF($D190="V02",Cadrage!$D$35,Cadrage!$E$35)))</f>
        <v>0.03</v>
      </c>
      <c r="K190">
        <f>IF($A190="","",IF($D190="V01",Cadrage!$C$36,IF($D190="V02",Cadrage!$D$36,Cadrage!$E$36)))</f>
        <v>0.05</v>
      </c>
      <c r="L190">
        <f>IF($A190="","",IF($D190="V01",Cadrage!$C$37,IF($D190="V02",Cadrage!$D$37,Cadrage!$E$37)))</f>
        <v>0</v>
      </c>
      <c r="M190">
        <f>IF($A190="","",IF($D190="V01",Cadrage!$C$38,IF($D190="V02",Cadrage!$D$38,Cadrage!$E$38)))</f>
        <v>0.04</v>
      </c>
      <c r="N190">
        <f t="shared" si="1"/>
        <v>0.980622079131853</v>
      </c>
      <c r="O190">
        <f t="shared" si="2"/>
        <v>0.980622079131853</v>
      </c>
      <c r="P190">
        <f>IF($A190="","",IF($E190=1,$F190*$O190,PNL!G190))</f>
        <v>33143</v>
      </c>
      <c r="T190">
        <f t="shared" si="3"/>
        <v>0</v>
      </c>
    </row>
    <row r="191" ht="14.25" customHeight="1">
      <c r="A191" t="str">
        <f>IF(PNL!A191="","",PNL!A191)</f>
        <v>ISCOM_TLS</v>
      </c>
      <c r="B191" t="str">
        <f>IF(PNL!B191="","",PNL!B191)</f>
        <v>6063</v>
      </c>
      <c r="C191" t="str">
        <f>IF(PNL!C191="","",PNL!C191)</f>
        <v>2024</v>
      </c>
      <c r="D191" t="str">
        <f>IF(PNL!D191="","",PNL!D191)</f>
        <v>ACT</v>
      </c>
      <c r="E191">
        <f t="shared" si="0"/>
        <v>0</v>
      </c>
      <c r="F191">
        <f>IF($A191="","",IF($E191=1,_xlfn.SUMIFS(Comptabilité!$F$1:$F$1446,Comptabilité!$A$1:$A$1446,$A191,Comptabilité!$B$1:$B$1446,$B191,Comptabilité!$C$1:$C$1446,"2026"),0))</f>
        <v>0</v>
      </c>
      <c r="G191">
        <f>IF($A191="","",IF($D191="V01",Cadrage!$C$23,IF($D191="V02",Cadrage!$D$23,Cadrage!$E$23)))</f>
        <v>-0.05</v>
      </c>
      <c r="H191">
        <f>IF($A191="","",IF($D191="V01",Cadrage!$C$24,IF($D191="V02",Cadrage!$D$24,Cadrage!$E$24)))</f>
        <v>-0.05</v>
      </c>
      <c r="I191">
        <f>IF($A191="","",IF($D191="V01",Cadrage!$C$34,IF($D191="V02",Cadrage!$D$34,Cadrage!$E$34)))</f>
        <v>0.03</v>
      </c>
      <c r="J191">
        <f>IF($A191="","",IF($D191="V01",Cadrage!$C$35,IF($D191="V02",Cadrage!$D$35,Cadrage!$E$35)))</f>
        <v>0.03</v>
      </c>
      <c r="K191">
        <f>IF($A191="","",IF($D191="V01",Cadrage!$C$36,IF($D191="V02",Cadrage!$D$36,Cadrage!$E$36)))</f>
        <v>0.05</v>
      </c>
      <c r="L191">
        <f>IF($A191="","",IF($D191="V01",Cadrage!$C$37,IF($D191="V02",Cadrage!$D$37,Cadrage!$E$37)))</f>
        <v>0</v>
      </c>
      <c r="M191">
        <f>IF($A191="","",IF($D191="V01",Cadrage!$C$38,IF($D191="V02",Cadrage!$D$38,Cadrage!$E$38)))</f>
        <v>0.04</v>
      </c>
      <c r="N191">
        <f t="shared" si="1"/>
        <v>0.980622079131853</v>
      </c>
      <c r="O191">
        <f t="shared" si="2"/>
        <v>0.980622079131853</v>
      </c>
      <c r="P191">
        <f>IF($A191="","",IF($E191=1,$F191*$O191,PNL!G191))</f>
        <v>31377</v>
      </c>
      <c r="T191">
        <f t="shared" si="3"/>
        <v>0</v>
      </c>
    </row>
    <row r="192" ht="14.25" customHeight="1">
      <c r="A192" t="str">
        <f>IF(PNL!A192="","",PNL!A192)</f>
        <v>IPAC_NAN</v>
      </c>
      <c r="B192" t="str">
        <f>IF(PNL!B192="","",PNL!B192)</f>
        <v>6063</v>
      </c>
      <c r="C192" t="str">
        <f>IF(PNL!C192="","",PNL!C192)</f>
        <v>2024</v>
      </c>
      <c r="D192" t="str">
        <f>IF(PNL!D192="","",PNL!D192)</f>
        <v>ACT</v>
      </c>
      <c r="E192">
        <f t="shared" si="0"/>
        <v>0</v>
      </c>
      <c r="F192">
        <f>IF($A192="","",IF($E192=1,_xlfn.SUMIFS(Comptabilité!$F$1:$F$1446,Comptabilité!$A$1:$A$1446,$A192,Comptabilité!$B$1:$B$1446,$B192,Comptabilité!$C$1:$C$1446,"2026"),0))</f>
        <v>0</v>
      </c>
      <c r="G192">
        <f>IF($A192="","",IF($D192="V01",Cadrage!$C$23,IF($D192="V02",Cadrage!$D$23,Cadrage!$E$23)))</f>
        <v>-0.05</v>
      </c>
      <c r="H192">
        <f>IF($A192="","",IF($D192="V01",Cadrage!$C$24,IF($D192="V02",Cadrage!$D$24,Cadrage!$E$24)))</f>
        <v>-0.05</v>
      </c>
      <c r="I192">
        <f>IF($A192="","",IF($D192="V01",Cadrage!$C$34,IF($D192="V02",Cadrage!$D$34,Cadrage!$E$34)))</f>
        <v>0.03</v>
      </c>
      <c r="J192">
        <f>IF($A192="","",IF($D192="V01",Cadrage!$C$35,IF($D192="V02",Cadrage!$D$35,Cadrage!$E$35)))</f>
        <v>0.03</v>
      </c>
      <c r="K192">
        <f>IF($A192="","",IF($D192="V01",Cadrage!$C$36,IF($D192="V02",Cadrage!$D$36,Cadrage!$E$36)))</f>
        <v>0.05</v>
      </c>
      <c r="L192">
        <f>IF($A192="","",IF($D192="V01",Cadrage!$C$37,IF($D192="V02",Cadrage!$D$37,Cadrage!$E$37)))</f>
        <v>0</v>
      </c>
      <c r="M192">
        <f>IF($A192="","",IF($D192="V01",Cadrage!$C$38,IF($D192="V02",Cadrage!$D$38,Cadrage!$E$38)))</f>
        <v>0.04</v>
      </c>
      <c r="N192">
        <f t="shared" si="1"/>
        <v>0.980622079131853</v>
      </c>
      <c r="O192">
        <f t="shared" si="2"/>
        <v>0.980622079131853</v>
      </c>
      <c r="P192">
        <f>IF($A192="","",IF($E192=1,$F192*$O192,PNL!G192))</f>
        <v>19696</v>
      </c>
      <c r="T192">
        <f t="shared" si="3"/>
        <v>0</v>
      </c>
    </row>
    <row r="193" ht="14.25" customHeight="1">
      <c r="A193" t="str">
        <f>IF(PNL!A193="","",PNL!A193)</f>
        <v>IPAC_REN</v>
      </c>
      <c r="B193" t="str">
        <f>IF(PNL!B193="","",PNL!B193)</f>
        <v>6063</v>
      </c>
      <c r="C193" t="str">
        <f>IF(PNL!C193="","",PNL!C193)</f>
        <v>2024</v>
      </c>
      <c r="D193" t="str">
        <f>IF(PNL!D193="","",PNL!D193)</f>
        <v>ACT</v>
      </c>
      <c r="E193">
        <f t="shared" si="0"/>
        <v>0</v>
      </c>
      <c r="F193">
        <f>IF($A193="","",IF($E193=1,_xlfn.SUMIFS(Comptabilité!$F$1:$F$1446,Comptabilité!$A$1:$A$1446,$A193,Comptabilité!$B$1:$B$1446,$B193,Comptabilité!$C$1:$C$1446,"2026"),0))</f>
        <v>0</v>
      </c>
      <c r="G193">
        <f>IF($A193="","",IF($D193="V01",Cadrage!$C$23,IF($D193="V02",Cadrage!$D$23,Cadrage!$E$23)))</f>
        <v>-0.05</v>
      </c>
      <c r="H193">
        <f>IF($A193="","",IF($D193="V01",Cadrage!$C$24,IF($D193="V02",Cadrage!$D$24,Cadrage!$E$24)))</f>
        <v>-0.05</v>
      </c>
      <c r="I193">
        <f>IF($A193="","",IF($D193="V01",Cadrage!$C$34,IF($D193="V02",Cadrage!$D$34,Cadrage!$E$34)))</f>
        <v>0.03</v>
      </c>
      <c r="J193">
        <f>IF($A193="","",IF($D193="V01",Cadrage!$C$35,IF($D193="V02",Cadrage!$D$35,Cadrage!$E$35)))</f>
        <v>0.03</v>
      </c>
      <c r="K193">
        <f>IF($A193="","",IF($D193="V01",Cadrage!$C$36,IF($D193="V02",Cadrage!$D$36,Cadrage!$E$36)))</f>
        <v>0.05</v>
      </c>
      <c r="L193">
        <f>IF($A193="","",IF($D193="V01",Cadrage!$C$37,IF($D193="V02",Cadrage!$D$37,Cadrage!$E$37)))</f>
        <v>0</v>
      </c>
      <c r="M193">
        <f>IF($A193="","",IF($D193="V01",Cadrage!$C$38,IF($D193="V02",Cadrage!$D$38,Cadrage!$E$38)))</f>
        <v>0.04</v>
      </c>
      <c r="N193">
        <f t="shared" si="1"/>
        <v>0.980622079131853</v>
      </c>
      <c r="O193">
        <f t="shared" si="2"/>
        <v>0.980622079131853</v>
      </c>
      <c r="P193">
        <f>IF($A193="","",IF($E193=1,$F193*$O193,PNL!G193))</f>
        <v>15892</v>
      </c>
      <c r="T193">
        <f t="shared" si="3"/>
        <v>0</v>
      </c>
    </row>
    <row r="194" ht="14.25" customHeight="1">
      <c r="A194" t="str">
        <f>IF(PNL!A194="","",PNL!A194)</f>
        <v>IPAC_MTP</v>
      </c>
      <c r="B194" t="str">
        <f>IF(PNL!B194="","",PNL!B194)</f>
        <v>6063</v>
      </c>
      <c r="C194" t="str">
        <f>IF(PNL!C194="","",PNL!C194)</f>
        <v>2024</v>
      </c>
      <c r="D194" t="str">
        <f>IF(PNL!D194="","",PNL!D194)</f>
        <v>ACT</v>
      </c>
      <c r="E194">
        <f t="shared" si="0"/>
        <v>0</v>
      </c>
      <c r="F194">
        <f>IF($A194="","",IF($E194=1,_xlfn.SUMIFS(Comptabilité!$F$1:$F$1446,Comptabilité!$A$1:$A$1446,$A194,Comptabilité!$B$1:$B$1446,$B194,Comptabilité!$C$1:$C$1446,"2026"),0))</f>
        <v>0</v>
      </c>
      <c r="G194">
        <f>IF($A194="","",IF($D194="V01",Cadrage!$C$23,IF($D194="V02",Cadrage!$D$23,Cadrage!$E$23)))</f>
        <v>-0.05</v>
      </c>
      <c r="H194">
        <f>IF($A194="","",IF($D194="V01",Cadrage!$C$24,IF($D194="V02",Cadrage!$D$24,Cadrage!$E$24)))</f>
        <v>-0.05</v>
      </c>
      <c r="I194">
        <f>IF($A194="","",IF($D194="V01",Cadrage!$C$34,IF($D194="V02",Cadrage!$D$34,Cadrage!$E$34)))</f>
        <v>0.03</v>
      </c>
      <c r="J194">
        <f>IF($A194="","",IF($D194="V01",Cadrage!$C$35,IF($D194="V02",Cadrage!$D$35,Cadrage!$E$35)))</f>
        <v>0.03</v>
      </c>
      <c r="K194">
        <f>IF($A194="","",IF($D194="V01",Cadrage!$C$36,IF($D194="V02",Cadrage!$D$36,Cadrage!$E$36)))</f>
        <v>0.05</v>
      </c>
      <c r="L194">
        <f>IF($A194="","",IF($D194="V01",Cadrage!$C$37,IF($D194="V02",Cadrage!$D$37,Cadrage!$E$37)))</f>
        <v>0</v>
      </c>
      <c r="M194">
        <f>IF($A194="","",IF($D194="V01",Cadrage!$C$38,IF($D194="V02",Cadrage!$D$38,Cadrage!$E$38)))</f>
        <v>0.04</v>
      </c>
      <c r="N194">
        <f t="shared" si="1"/>
        <v>0.980622079131853</v>
      </c>
      <c r="O194">
        <f t="shared" si="2"/>
        <v>0.980622079131853</v>
      </c>
      <c r="P194">
        <f>IF($A194="","",IF($E194=1,$F194*$O194,PNL!G194))</f>
        <v>15892</v>
      </c>
      <c r="T194">
        <f t="shared" si="3"/>
        <v>0</v>
      </c>
    </row>
    <row r="195" ht="14.25" customHeight="1">
      <c r="A195" t="str">
        <f>IF(PNL!A195="","",PNL!A195)</f>
        <v>PIGIER_LYO</v>
      </c>
      <c r="B195" t="str">
        <f>IF(PNL!B195="","",PNL!B195)</f>
        <v>6063</v>
      </c>
      <c r="C195" t="str">
        <f>IF(PNL!C195="","",PNL!C195)</f>
        <v>2024</v>
      </c>
      <c r="D195" t="str">
        <f>IF(PNL!D195="","",PNL!D195)</f>
        <v>ACT</v>
      </c>
      <c r="E195">
        <f t="shared" si="0"/>
        <v>0</v>
      </c>
      <c r="F195">
        <f>IF($A195="","",IF($E195=1,_xlfn.SUMIFS(Comptabilité!$F$1:$F$1446,Comptabilité!$A$1:$A$1446,$A195,Comptabilité!$B$1:$B$1446,$B195,Comptabilité!$C$1:$C$1446,"2026"),0))</f>
        <v>0</v>
      </c>
      <c r="G195">
        <f>IF($A195="","",IF($D195="V01",Cadrage!$C$23,IF($D195="V02",Cadrage!$D$23,Cadrage!$E$23)))</f>
        <v>-0.05</v>
      </c>
      <c r="H195">
        <f>IF($A195="","",IF($D195="V01",Cadrage!$C$24,IF($D195="V02",Cadrage!$D$24,Cadrage!$E$24)))</f>
        <v>-0.05</v>
      </c>
      <c r="I195">
        <f>IF($A195="","",IF($D195="V01",Cadrage!$C$34,IF($D195="V02",Cadrage!$D$34,Cadrage!$E$34)))</f>
        <v>0.03</v>
      </c>
      <c r="J195">
        <f>IF($A195="","",IF($D195="V01",Cadrage!$C$35,IF($D195="V02",Cadrage!$D$35,Cadrage!$E$35)))</f>
        <v>0.03</v>
      </c>
      <c r="K195">
        <f>IF($A195="","",IF($D195="V01",Cadrage!$C$36,IF($D195="V02",Cadrage!$D$36,Cadrage!$E$36)))</f>
        <v>0.05</v>
      </c>
      <c r="L195">
        <f>IF($A195="","",IF($D195="V01",Cadrage!$C$37,IF($D195="V02",Cadrage!$D$37,Cadrage!$E$37)))</f>
        <v>0</v>
      </c>
      <c r="M195">
        <f>IF($A195="","",IF($D195="V01",Cadrage!$C$38,IF($D195="V02",Cadrage!$D$38,Cadrage!$E$38)))</f>
        <v>0.04</v>
      </c>
      <c r="N195">
        <f t="shared" si="1"/>
        <v>0.980622079131853</v>
      </c>
      <c r="O195">
        <f t="shared" si="2"/>
        <v>0.980622079131853</v>
      </c>
      <c r="P195">
        <f>IF($A195="","",IF($E195=1,$F195*$O195,PNL!G195))</f>
        <v>24722</v>
      </c>
      <c r="T195">
        <f t="shared" si="3"/>
        <v>0</v>
      </c>
    </row>
    <row r="196" ht="14.25" customHeight="1">
      <c r="A196" t="str">
        <f>IF(PNL!A196="","",PNL!A196)</f>
        <v>PIGIER_BOR</v>
      </c>
      <c r="B196" t="str">
        <f>IF(PNL!B196="","",PNL!B196)</f>
        <v>6063</v>
      </c>
      <c r="C196" t="str">
        <f>IF(PNL!C196="","",PNL!C196)</f>
        <v>2024</v>
      </c>
      <c r="D196" t="str">
        <f>IF(PNL!D196="","",PNL!D196)</f>
        <v>ACT</v>
      </c>
      <c r="E196">
        <f t="shared" si="0"/>
        <v>0</v>
      </c>
      <c r="F196">
        <f>IF($A196="","",IF($E196=1,_xlfn.SUMIFS(Comptabilité!$F$1:$F$1446,Comptabilité!$A$1:$A$1446,$A196,Comptabilité!$B$1:$B$1446,$B196,Comptabilité!$C$1:$C$1446,"2026"),0))</f>
        <v>0</v>
      </c>
      <c r="G196">
        <f>IF($A196="","",IF($D196="V01",Cadrage!$C$23,IF($D196="V02",Cadrage!$D$23,Cadrage!$E$23)))</f>
        <v>-0.05</v>
      </c>
      <c r="H196">
        <f>IF($A196="","",IF($D196="V01",Cadrage!$C$24,IF($D196="V02",Cadrage!$D$24,Cadrage!$E$24)))</f>
        <v>-0.05</v>
      </c>
      <c r="I196">
        <f>IF($A196="","",IF($D196="V01",Cadrage!$C$34,IF($D196="V02",Cadrage!$D$34,Cadrage!$E$34)))</f>
        <v>0.03</v>
      </c>
      <c r="J196">
        <f>IF($A196="","",IF($D196="V01",Cadrage!$C$35,IF($D196="V02",Cadrage!$D$35,Cadrage!$E$35)))</f>
        <v>0.03</v>
      </c>
      <c r="K196">
        <f>IF($A196="","",IF($D196="V01",Cadrage!$C$36,IF($D196="V02",Cadrage!$D$36,Cadrage!$E$36)))</f>
        <v>0.05</v>
      </c>
      <c r="L196">
        <f>IF($A196="","",IF($D196="V01",Cadrage!$C$37,IF($D196="V02",Cadrage!$D$37,Cadrage!$E$37)))</f>
        <v>0</v>
      </c>
      <c r="M196">
        <f>IF($A196="","",IF($D196="V01",Cadrage!$C$38,IF($D196="V02",Cadrage!$D$38,Cadrage!$E$38)))</f>
        <v>0.04</v>
      </c>
      <c r="N196">
        <f t="shared" si="1"/>
        <v>0.980622079131853</v>
      </c>
      <c r="O196">
        <f t="shared" si="2"/>
        <v>0.980622079131853</v>
      </c>
      <c r="P196">
        <f>IF($A196="","",IF($E196=1,$F196*$O196,PNL!G196))</f>
        <v>19288</v>
      </c>
      <c r="T196">
        <f t="shared" si="3"/>
        <v>0</v>
      </c>
    </row>
    <row r="197" ht="14.25" customHeight="1">
      <c r="A197" t="str">
        <f>IF(PNL!A197="","",PNL!A197)</f>
        <v>TUNON_PAR</v>
      </c>
      <c r="B197" t="str">
        <f>IF(PNL!B197="","",PNL!B197)</f>
        <v>6063</v>
      </c>
      <c r="C197" t="str">
        <f>IF(PNL!C197="","",PNL!C197)</f>
        <v>2024</v>
      </c>
      <c r="D197" t="str">
        <f>IF(PNL!D197="","",PNL!D197)</f>
        <v>ACT</v>
      </c>
      <c r="E197">
        <f t="shared" si="0"/>
        <v>0</v>
      </c>
      <c r="F197">
        <f>IF($A197="","",IF($E197=1,_xlfn.SUMIFS(Comptabilité!$F$1:$F$1446,Comptabilité!$A$1:$A$1446,$A197,Comptabilité!$B$1:$B$1446,$B197,Comptabilité!$C$1:$C$1446,"2026"),0))</f>
        <v>0</v>
      </c>
      <c r="G197">
        <f>IF($A197="","",IF($D197="V01",Cadrage!$C$23,IF($D197="V02",Cadrage!$D$23,Cadrage!$E$23)))</f>
        <v>-0.05</v>
      </c>
      <c r="H197">
        <f>IF($A197="","",IF($D197="V01",Cadrage!$C$24,IF($D197="V02",Cadrage!$D$24,Cadrage!$E$24)))</f>
        <v>-0.05</v>
      </c>
      <c r="I197">
        <f>IF($A197="","",IF($D197="V01",Cadrage!$C$34,IF($D197="V02",Cadrage!$D$34,Cadrage!$E$34)))</f>
        <v>0.03</v>
      </c>
      <c r="J197">
        <f>IF($A197="","",IF($D197="V01",Cadrage!$C$35,IF($D197="V02",Cadrage!$D$35,Cadrage!$E$35)))</f>
        <v>0.03</v>
      </c>
      <c r="K197">
        <f>IF($A197="","",IF($D197="V01",Cadrage!$C$36,IF($D197="V02",Cadrage!$D$36,Cadrage!$E$36)))</f>
        <v>0.05</v>
      </c>
      <c r="L197">
        <f>IF($A197="","",IF($D197="V01",Cadrage!$C$37,IF($D197="V02",Cadrage!$D$37,Cadrage!$E$37)))</f>
        <v>0</v>
      </c>
      <c r="M197">
        <f>IF($A197="","",IF($D197="V01",Cadrage!$C$38,IF($D197="V02",Cadrage!$D$38,Cadrage!$E$38)))</f>
        <v>0.04</v>
      </c>
      <c r="N197">
        <f t="shared" si="1"/>
        <v>0.980622079131853</v>
      </c>
      <c r="O197">
        <f t="shared" si="2"/>
        <v>0.980622079131853</v>
      </c>
      <c r="P197">
        <f>IF($A197="","",IF($E197=1,$F197*$O197,PNL!G197))</f>
        <v>18745</v>
      </c>
      <c r="T197">
        <f t="shared" si="3"/>
        <v>0</v>
      </c>
    </row>
    <row r="198" ht="14.25" customHeight="1">
      <c r="A198" t="str">
        <f>IF(PNL!A198="","",PNL!A198)</f>
        <v>TUNON_LYO</v>
      </c>
      <c r="B198" t="str">
        <f>IF(PNL!B198="","",PNL!B198)</f>
        <v>6063</v>
      </c>
      <c r="C198" t="str">
        <f>IF(PNL!C198="","",PNL!C198)</f>
        <v>2024</v>
      </c>
      <c r="D198" t="str">
        <f>IF(PNL!D198="","",PNL!D198)</f>
        <v>ACT</v>
      </c>
      <c r="E198">
        <f t="shared" si="0"/>
        <v>0</v>
      </c>
      <c r="F198">
        <f>IF($A198="","",IF($E198=1,_xlfn.SUMIFS(Comptabilité!$F$1:$F$1446,Comptabilité!$A$1:$A$1446,$A198,Comptabilité!$B$1:$B$1446,$B198,Comptabilité!$C$1:$C$1446,"2026"),0))</f>
        <v>0</v>
      </c>
      <c r="G198">
        <f>IF($A198="","",IF($D198="V01",Cadrage!$C$23,IF($D198="V02",Cadrage!$D$23,Cadrage!$E$23)))</f>
        <v>-0.05</v>
      </c>
      <c r="H198">
        <f>IF($A198="","",IF($D198="V01",Cadrage!$C$24,IF($D198="V02",Cadrage!$D$24,Cadrage!$E$24)))</f>
        <v>-0.05</v>
      </c>
      <c r="I198">
        <f>IF($A198="","",IF($D198="V01",Cadrage!$C$34,IF($D198="V02",Cadrage!$D$34,Cadrage!$E$34)))</f>
        <v>0.03</v>
      </c>
      <c r="J198">
        <f>IF($A198="","",IF($D198="V01",Cadrage!$C$35,IF($D198="V02",Cadrage!$D$35,Cadrage!$E$35)))</f>
        <v>0.03</v>
      </c>
      <c r="K198">
        <f>IF($A198="","",IF($D198="V01",Cadrage!$C$36,IF($D198="V02",Cadrage!$D$36,Cadrage!$E$36)))</f>
        <v>0.05</v>
      </c>
      <c r="L198">
        <f>IF($A198="","",IF($D198="V01",Cadrage!$C$37,IF($D198="V02",Cadrage!$D$37,Cadrage!$E$37)))</f>
        <v>0</v>
      </c>
      <c r="M198">
        <f>IF($A198="","",IF($D198="V01",Cadrage!$C$38,IF($D198="V02",Cadrage!$D$38,Cadrage!$E$38)))</f>
        <v>0.04</v>
      </c>
      <c r="N198">
        <f t="shared" si="1"/>
        <v>0.980622079131853</v>
      </c>
      <c r="O198">
        <f t="shared" si="2"/>
        <v>0.980622079131853</v>
      </c>
      <c r="P198">
        <f>IF($A198="","",IF($E198=1,$F198*$O198,PNL!G198))</f>
        <v>15892</v>
      </c>
      <c r="T198">
        <f t="shared" si="3"/>
        <v>0</v>
      </c>
    </row>
    <row r="199" ht="14.25" customHeight="1">
      <c r="A199" t="str">
        <f>IF(PNL!A199="","",PNL!A199)</f>
        <v>MBWAY_PAR</v>
      </c>
      <c r="B199" t="str">
        <f>IF(PNL!B199="","",PNL!B199)</f>
        <v>6063</v>
      </c>
      <c r="C199" t="str">
        <f>IF(PNL!C199="","",PNL!C199)</f>
        <v>2025</v>
      </c>
      <c r="D199" t="str">
        <f>IF(PNL!D199="","",PNL!D199)</f>
        <v>ACT</v>
      </c>
      <c r="E199">
        <f t="shared" si="0"/>
        <v>0</v>
      </c>
      <c r="F199">
        <f>IF($A199="","",IF($E199=1,_xlfn.SUMIFS(Comptabilité!$F$1:$F$1446,Comptabilité!$A$1:$A$1446,$A199,Comptabilité!$B$1:$B$1446,$B199,Comptabilité!$C$1:$C$1446,"2026"),0))</f>
        <v>0</v>
      </c>
      <c r="G199">
        <f>IF($A199="","",IF($D199="V01",Cadrage!$C$23,IF($D199="V02",Cadrage!$D$23,Cadrage!$E$23)))</f>
        <v>-0.05</v>
      </c>
      <c r="H199">
        <f>IF($A199="","",IF($D199="V01",Cadrage!$C$24,IF($D199="V02",Cadrage!$D$24,Cadrage!$E$24)))</f>
        <v>-0.05</v>
      </c>
      <c r="I199">
        <f>IF($A199="","",IF($D199="V01",Cadrage!$C$34,IF($D199="V02",Cadrage!$D$34,Cadrage!$E$34)))</f>
        <v>0.03</v>
      </c>
      <c r="J199">
        <f>IF($A199="","",IF($D199="V01",Cadrage!$C$35,IF($D199="V02",Cadrage!$D$35,Cadrage!$E$35)))</f>
        <v>0.03</v>
      </c>
      <c r="K199">
        <f>IF($A199="","",IF($D199="V01",Cadrage!$C$36,IF($D199="V02",Cadrage!$D$36,Cadrage!$E$36)))</f>
        <v>0.05</v>
      </c>
      <c r="L199">
        <f>IF($A199="","",IF($D199="V01",Cadrage!$C$37,IF($D199="V02",Cadrage!$D$37,Cadrage!$E$37)))</f>
        <v>0</v>
      </c>
      <c r="M199">
        <f>IF($A199="","",IF($D199="V01",Cadrage!$C$38,IF($D199="V02",Cadrage!$D$38,Cadrage!$E$38)))</f>
        <v>0.04</v>
      </c>
      <c r="N199">
        <f t="shared" si="1"/>
        <v>0.980622079131853</v>
      </c>
      <c r="O199">
        <f t="shared" si="2"/>
        <v>0.980622079131853</v>
      </c>
      <c r="P199">
        <f>IF($A199="","",IF($E199=1,$F199*$O199,PNL!G199))</f>
        <v>54266</v>
      </c>
      <c r="T199">
        <f t="shared" si="3"/>
        <v>0</v>
      </c>
    </row>
    <row r="200" ht="14.25" customHeight="1">
      <c r="A200" t="str">
        <f>IF(PNL!A200="","",PNL!A200)</f>
        <v>MBWAY_LYO</v>
      </c>
      <c r="B200" t="str">
        <f>IF(PNL!B200="","",PNL!B200)</f>
        <v>6063</v>
      </c>
      <c r="C200" t="str">
        <f>IF(PNL!C200="","",PNL!C200)</f>
        <v>2025</v>
      </c>
      <c r="D200" t="str">
        <f>IF(PNL!D200="","",PNL!D200)</f>
        <v>ACT</v>
      </c>
      <c r="E200">
        <f t="shared" si="0"/>
        <v>0</v>
      </c>
      <c r="F200">
        <f>IF($A200="","",IF($E200=1,_xlfn.SUMIFS(Comptabilité!$F$1:$F$1446,Comptabilité!$A$1:$A$1446,$A200,Comptabilité!$B$1:$B$1446,$B200,Comptabilité!$C$1:$C$1446,"2026"),0))</f>
        <v>0</v>
      </c>
      <c r="G200">
        <f>IF($A200="","",IF($D200="V01",Cadrage!$C$23,IF($D200="V02",Cadrage!$D$23,Cadrage!$E$23)))</f>
        <v>-0.05</v>
      </c>
      <c r="H200">
        <f>IF($A200="","",IF($D200="V01",Cadrage!$C$24,IF($D200="V02",Cadrage!$D$24,Cadrage!$E$24)))</f>
        <v>-0.05</v>
      </c>
      <c r="I200">
        <f>IF($A200="","",IF($D200="V01",Cadrage!$C$34,IF($D200="V02",Cadrage!$D$34,Cadrage!$E$34)))</f>
        <v>0.03</v>
      </c>
      <c r="J200">
        <f>IF($A200="","",IF($D200="V01",Cadrage!$C$35,IF($D200="V02",Cadrage!$D$35,Cadrage!$E$35)))</f>
        <v>0.03</v>
      </c>
      <c r="K200">
        <f>IF($A200="","",IF($D200="V01",Cadrage!$C$36,IF($D200="V02",Cadrage!$D$36,Cadrage!$E$36)))</f>
        <v>0.05</v>
      </c>
      <c r="L200">
        <f>IF($A200="","",IF($D200="V01",Cadrage!$C$37,IF($D200="V02",Cadrage!$D$37,Cadrage!$E$37)))</f>
        <v>0</v>
      </c>
      <c r="M200">
        <f>IF($A200="","",IF($D200="V01",Cadrage!$C$38,IF($D200="V02",Cadrage!$D$38,Cadrage!$E$38)))</f>
        <v>0.04</v>
      </c>
      <c r="N200">
        <f t="shared" si="1"/>
        <v>0.980622079131853</v>
      </c>
      <c r="O200">
        <f t="shared" si="2"/>
        <v>0.980622079131853</v>
      </c>
      <c r="P200">
        <f>IF($A200="","",IF($E200=1,$F200*$O200,PNL!G200))</f>
        <v>46027</v>
      </c>
      <c r="T200">
        <f t="shared" si="3"/>
        <v>0</v>
      </c>
    </row>
    <row r="201" ht="14.25" customHeight="1">
      <c r="A201" t="str">
        <f>IF(PNL!A201="","",PNL!A201)</f>
        <v>MBWAY_NAN</v>
      </c>
      <c r="B201" t="str">
        <f>IF(PNL!B201="","",PNL!B201)</f>
        <v>6063</v>
      </c>
      <c r="C201" t="str">
        <f>IF(PNL!C201="","",PNL!C201)</f>
        <v>2025</v>
      </c>
      <c r="D201" t="str">
        <f>IF(PNL!D201="","",PNL!D201)</f>
        <v>ACT</v>
      </c>
      <c r="E201">
        <f t="shared" si="0"/>
        <v>0</v>
      </c>
      <c r="F201">
        <f>IF($A201="","",IF($E201=1,_xlfn.SUMIFS(Comptabilité!$F$1:$F$1446,Comptabilité!$A$1:$A$1446,$A201,Comptabilité!$B$1:$B$1446,$B201,Comptabilité!$C$1:$C$1446,"2026"),0))</f>
        <v>0</v>
      </c>
      <c r="G201">
        <f>IF($A201="","",IF($D201="V01",Cadrage!$C$23,IF($D201="V02",Cadrage!$D$23,Cadrage!$E$23)))</f>
        <v>-0.05</v>
      </c>
      <c r="H201">
        <f>IF($A201="","",IF($D201="V01",Cadrage!$C$24,IF($D201="V02",Cadrage!$D$24,Cadrage!$E$24)))</f>
        <v>-0.05</v>
      </c>
      <c r="I201">
        <f>IF($A201="","",IF($D201="V01",Cadrage!$C$34,IF($D201="V02",Cadrage!$D$34,Cadrage!$E$34)))</f>
        <v>0.03</v>
      </c>
      <c r="J201">
        <f>IF($A201="","",IF($D201="V01",Cadrage!$C$35,IF($D201="V02",Cadrage!$D$35,Cadrage!$E$35)))</f>
        <v>0.03</v>
      </c>
      <c r="K201">
        <f>IF($A201="","",IF($D201="V01",Cadrage!$C$36,IF($D201="V02",Cadrage!$D$36,Cadrage!$E$36)))</f>
        <v>0.05</v>
      </c>
      <c r="L201">
        <f>IF($A201="","",IF($D201="V01",Cadrage!$C$37,IF($D201="V02",Cadrage!$D$37,Cadrage!$E$37)))</f>
        <v>0</v>
      </c>
      <c r="M201">
        <f>IF($A201="","",IF($D201="V01",Cadrage!$C$38,IF($D201="V02",Cadrage!$D$38,Cadrage!$E$38)))</f>
        <v>0.04</v>
      </c>
      <c r="N201">
        <f t="shared" si="1"/>
        <v>0.980622079131853</v>
      </c>
      <c r="O201">
        <f t="shared" si="2"/>
        <v>0.980622079131853</v>
      </c>
      <c r="P201">
        <f>IF($A201="","",IF($E201=1,$F201*$O201,PNL!G201))</f>
        <v>41765</v>
      </c>
      <c r="T201">
        <f t="shared" si="3"/>
        <v>0</v>
      </c>
    </row>
    <row r="202" ht="14.25" customHeight="1">
      <c r="A202" t="str">
        <f>IF(PNL!A202="","",PNL!A202)</f>
        <v>MBWAY_BOR</v>
      </c>
      <c r="B202" t="str">
        <f>IF(PNL!B202="","",PNL!B202)</f>
        <v>6063</v>
      </c>
      <c r="C202" t="str">
        <f>IF(PNL!C202="","",PNL!C202)</f>
        <v>2025</v>
      </c>
      <c r="D202" t="str">
        <f>IF(PNL!D202="","",PNL!D202)</f>
        <v>ACT</v>
      </c>
      <c r="E202">
        <f t="shared" si="0"/>
        <v>0</v>
      </c>
      <c r="F202">
        <f>IF($A202="","",IF($E202=1,_xlfn.SUMIFS(Comptabilité!$F$1:$F$1446,Comptabilité!$A$1:$A$1446,$A202,Comptabilité!$B$1:$B$1446,$B202,Comptabilité!$C$1:$C$1446,"2026"),0))</f>
        <v>0</v>
      </c>
      <c r="G202">
        <f>IF($A202="","",IF($D202="V01",Cadrage!$C$23,IF($D202="V02",Cadrage!$D$23,Cadrage!$E$23)))</f>
        <v>-0.05</v>
      </c>
      <c r="H202">
        <f>IF($A202="","",IF($D202="V01",Cadrage!$C$24,IF($D202="V02",Cadrage!$D$24,Cadrage!$E$24)))</f>
        <v>-0.05</v>
      </c>
      <c r="I202">
        <f>IF($A202="","",IF($D202="V01",Cadrage!$C$34,IF($D202="V02",Cadrage!$D$34,Cadrage!$E$34)))</f>
        <v>0.03</v>
      </c>
      <c r="J202">
        <f>IF($A202="","",IF($D202="V01",Cadrage!$C$35,IF($D202="V02",Cadrage!$D$35,Cadrage!$E$35)))</f>
        <v>0.03</v>
      </c>
      <c r="K202">
        <f>IF($A202="","",IF($D202="V01",Cadrage!$C$36,IF($D202="V02",Cadrage!$D$36,Cadrage!$E$36)))</f>
        <v>0.05</v>
      </c>
      <c r="L202">
        <f>IF($A202="","",IF($D202="V01",Cadrage!$C$37,IF($D202="V02",Cadrage!$D$37,Cadrage!$E$37)))</f>
        <v>0</v>
      </c>
      <c r="M202">
        <f>IF($A202="","",IF($D202="V01",Cadrage!$C$38,IF($D202="V02",Cadrage!$D$38,Cadrage!$E$38)))</f>
        <v>0.04</v>
      </c>
      <c r="N202">
        <f t="shared" si="1"/>
        <v>0.980622079131853</v>
      </c>
      <c r="O202">
        <f t="shared" si="2"/>
        <v>0.980622079131853</v>
      </c>
      <c r="P202">
        <f>IF($A202="","",IF($E202=1,$F202*$O202,PNL!G202))</f>
        <v>35372</v>
      </c>
      <c r="T202">
        <f t="shared" si="3"/>
        <v>0</v>
      </c>
    </row>
    <row r="203" ht="14.25" customHeight="1">
      <c r="A203" t="str">
        <f>IF(PNL!A203="","",PNL!A203)</f>
        <v>ISCOM_PAR</v>
      </c>
      <c r="B203" t="str">
        <f>IF(PNL!B203="","",PNL!B203)</f>
        <v>6063</v>
      </c>
      <c r="C203" t="str">
        <f>IF(PNL!C203="","",PNL!C203)</f>
        <v>2025</v>
      </c>
      <c r="D203" t="str">
        <f>IF(PNL!D203="","",PNL!D203)</f>
        <v>ACT</v>
      </c>
      <c r="E203">
        <f t="shared" si="0"/>
        <v>0</v>
      </c>
      <c r="F203">
        <f>IF($A203="","",IF($E203=1,_xlfn.SUMIFS(Comptabilité!$F$1:$F$1446,Comptabilité!$A$1:$A$1446,$A203,Comptabilité!$B$1:$B$1446,$B203,Comptabilité!$C$1:$C$1446,"2026"),0))</f>
        <v>0</v>
      </c>
      <c r="G203">
        <f>IF($A203="","",IF($D203="V01",Cadrage!$C$23,IF($D203="V02",Cadrage!$D$23,Cadrage!$E$23)))</f>
        <v>-0.05</v>
      </c>
      <c r="H203">
        <f>IF($A203="","",IF($D203="V01",Cadrage!$C$24,IF($D203="V02",Cadrage!$D$24,Cadrage!$E$24)))</f>
        <v>-0.05</v>
      </c>
      <c r="I203">
        <f>IF($A203="","",IF($D203="V01",Cadrage!$C$34,IF($D203="V02",Cadrage!$D$34,Cadrage!$E$34)))</f>
        <v>0.03</v>
      </c>
      <c r="J203">
        <f>IF($A203="","",IF($D203="V01",Cadrage!$C$35,IF($D203="V02",Cadrage!$D$35,Cadrage!$E$35)))</f>
        <v>0.03</v>
      </c>
      <c r="K203">
        <f>IF($A203="","",IF($D203="V01",Cadrage!$C$36,IF($D203="V02",Cadrage!$D$36,Cadrage!$E$36)))</f>
        <v>0.05</v>
      </c>
      <c r="L203">
        <f>IF($A203="","",IF($D203="V01",Cadrage!$C$37,IF($D203="V02",Cadrage!$D$37,Cadrage!$E$37)))</f>
        <v>0</v>
      </c>
      <c r="M203">
        <f>IF($A203="","",IF($D203="V01",Cadrage!$C$38,IF($D203="V02",Cadrage!$D$38,Cadrage!$E$38)))</f>
        <v>0.04</v>
      </c>
      <c r="N203">
        <f t="shared" si="1"/>
        <v>0.980622079131853</v>
      </c>
      <c r="O203">
        <f t="shared" si="2"/>
        <v>0.980622079131853</v>
      </c>
      <c r="P203">
        <f>IF($A203="","",IF($E203=1,$F203*$O203,PNL!G203))</f>
        <v>50288</v>
      </c>
      <c r="T203">
        <f t="shared" si="3"/>
        <v>0</v>
      </c>
    </row>
    <row r="204" ht="14.25" customHeight="1">
      <c r="A204" t="str">
        <f>IF(PNL!A204="","",PNL!A204)</f>
        <v>ISCOM_LIL</v>
      </c>
      <c r="B204" t="str">
        <f>IF(PNL!B204="","",PNL!B204)</f>
        <v>6063</v>
      </c>
      <c r="C204" t="str">
        <f>IF(PNL!C204="","",PNL!C204)</f>
        <v>2025</v>
      </c>
      <c r="D204" t="str">
        <f>IF(PNL!D204="","",PNL!D204)</f>
        <v>ACT</v>
      </c>
      <c r="E204">
        <f t="shared" si="0"/>
        <v>0</v>
      </c>
      <c r="F204">
        <f>IF($A204="","",IF($E204=1,_xlfn.SUMIFS(Comptabilité!$F$1:$F$1446,Comptabilité!$A$1:$A$1446,$A204,Comptabilité!$B$1:$B$1446,$B204,Comptabilité!$C$1:$C$1446,"2026"),0))</f>
        <v>0</v>
      </c>
      <c r="G204">
        <f>IF($A204="","",IF($D204="V01",Cadrage!$C$23,IF($D204="V02",Cadrage!$D$23,Cadrage!$E$23)))</f>
        <v>-0.05</v>
      </c>
      <c r="H204">
        <f>IF($A204="","",IF($D204="V01",Cadrage!$C$24,IF($D204="V02",Cadrage!$D$24,Cadrage!$E$24)))</f>
        <v>-0.05</v>
      </c>
      <c r="I204">
        <f>IF($A204="","",IF($D204="V01",Cadrage!$C$34,IF($D204="V02",Cadrage!$D$34,Cadrage!$E$34)))</f>
        <v>0.03</v>
      </c>
      <c r="J204">
        <f>IF($A204="","",IF($D204="V01",Cadrage!$C$35,IF($D204="V02",Cadrage!$D$35,Cadrage!$E$35)))</f>
        <v>0.03</v>
      </c>
      <c r="K204">
        <f>IF($A204="","",IF($D204="V01",Cadrage!$C$36,IF($D204="V02",Cadrage!$D$36,Cadrage!$E$36)))</f>
        <v>0.05</v>
      </c>
      <c r="L204">
        <f>IF($A204="","",IF($D204="V01",Cadrage!$C$37,IF($D204="V02",Cadrage!$D$37,Cadrage!$E$37)))</f>
        <v>0</v>
      </c>
      <c r="M204">
        <f>IF($A204="","",IF($D204="V01",Cadrage!$C$38,IF($D204="V02",Cadrage!$D$38,Cadrage!$E$38)))</f>
        <v>0.04</v>
      </c>
      <c r="N204">
        <f t="shared" si="1"/>
        <v>0.980622079131853</v>
      </c>
      <c r="O204">
        <f t="shared" si="2"/>
        <v>0.980622079131853</v>
      </c>
      <c r="P204">
        <f>IF($A204="","",IF($E204=1,$F204*$O204,PNL!G204))</f>
        <v>34662</v>
      </c>
      <c r="T204">
        <f t="shared" si="3"/>
        <v>0</v>
      </c>
    </row>
    <row r="205" ht="14.25" customHeight="1">
      <c r="A205" t="str">
        <f>IF(PNL!A205="","",PNL!A205)</f>
        <v>ISCOM_TLS</v>
      </c>
      <c r="B205" t="str">
        <f>IF(PNL!B205="","",PNL!B205)</f>
        <v>6063</v>
      </c>
      <c r="C205" t="str">
        <f>IF(PNL!C205="","",PNL!C205)</f>
        <v>2025</v>
      </c>
      <c r="D205" t="str">
        <f>IF(PNL!D205="","",PNL!D205)</f>
        <v>ACT</v>
      </c>
      <c r="E205">
        <f t="shared" si="0"/>
        <v>0</v>
      </c>
      <c r="F205">
        <f>IF($A205="","",IF($E205=1,_xlfn.SUMIFS(Comptabilité!$F$1:$F$1446,Comptabilité!$A$1:$A$1446,$A205,Comptabilité!$B$1:$B$1446,$B205,Comptabilité!$C$1:$C$1446,"2026"),0))</f>
        <v>0</v>
      </c>
      <c r="G205">
        <f>IF($A205="","",IF($D205="V01",Cadrage!$C$23,IF($D205="V02",Cadrage!$D$23,Cadrage!$E$23)))</f>
        <v>-0.05</v>
      </c>
      <c r="H205">
        <f>IF($A205="","",IF($D205="V01",Cadrage!$C$24,IF($D205="V02",Cadrage!$D$24,Cadrage!$E$24)))</f>
        <v>-0.05</v>
      </c>
      <c r="I205">
        <f>IF($A205="","",IF($D205="V01",Cadrage!$C$34,IF($D205="V02",Cadrage!$D$34,Cadrage!$E$34)))</f>
        <v>0.03</v>
      </c>
      <c r="J205">
        <f>IF($A205="","",IF($D205="V01",Cadrage!$C$35,IF($D205="V02",Cadrage!$D$35,Cadrage!$E$35)))</f>
        <v>0.03</v>
      </c>
      <c r="K205">
        <f>IF($A205="","",IF($D205="V01",Cadrage!$C$36,IF($D205="V02",Cadrage!$D$36,Cadrage!$E$36)))</f>
        <v>0.05</v>
      </c>
      <c r="L205">
        <f>IF($A205="","",IF($D205="V01",Cadrage!$C$37,IF($D205="V02",Cadrage!$D$37,Cadrage!$E$37)))</f>
        <v>0</v>
      </c>
      <c r="M205">
        <f>IF($A205="","",IF($D205="V01",Cadrage!$C$38,IF($D205="V02",Cadrage!$D$38,Cadrage!$E$38)))</f>
        <v>0.04</v>
      </c>
      <c r="N205">
        <f t="shared" si="1"/>
        <v>0.980622079131853</v>
      </c>
      <c r="O205">
        <f t="shared" si="2"/>
        <v>0.980622079131853</v>
      </c>
      <c r="P205">
        <f>IF($A205="","",IF($E205=1,$F205*$O205,PNL!G205))</f>
        <v>32815</v>
      </c>
      <c r="T205">
        <f t="shared" si="3"/>
        <v>0</v>
      </c>
    </row>
    <row r="206" ht="14.25" customHeight="1">
      <c r="A206" t="str">
        <f>IF(PNL!A206="","",PNL!A206)</f>
        <v>IPAC_NAN</v>
      </c>
      <c r="B206" t="str">
        <f>IF(PNL!B206="","",PNL!B206)</f>
        <v>6063</v>
      </c>
      <c r="C206" t="str">
        <f>IF(PNL!C206="","",PNL!C206)</f>
        <v>2025</v>
      </c>
      <c r="D206" t="str">
        <f>IF(PNL!D206="","",PNL!D206)</f>
        <v>ACT</v>
      </c>
      <c r="E206">
        <f t="shared" si="0"/>
        <v>0</v>
      </c>
      <c r="F206">
        <f>IF($A206="","",IF($E206=1,_xlfn.SUMIFS(Comptabilité!$F$1:$F$1446,Comptabilité!$A$1:$A$1446,$A206,Comptabilité!$B$1:$B$1446,$B206,Comptabilité!$C$1:$C$1446,"2026"),0))</f>
        <v>0</v>
      </c>
      <c r="G206">
        <f>IF($A206="","",IF($D206="V01",Cadrage!$C$23,IF($D206="V02",Cadrage!$D$23,Cadrage!$E$23)))</f>
        <v>-0.05</v>
      </c>
      <c r="H206">
        <f>IF($A206="","",IF($D206="V01",Cadrage!$C$24,IF($D206="V02",Cadrage!$D$24,Cadrage!$E$24)))</f>
        <v>-0.05</v>
      </c>
      <c r="I206">
        <f>IF($A206="","",IF($D206="V01",Cadrage!$C$34,IF($D206="V02",Cadrage!$D$34,Cadrage!$E$34)))</f>
        <v>0.03</v>
      </c>
      <c r="J206">
        <f>IF($A206="","",IF($D206="V01",Cadrage!$C$35,IF($D206="V02",Cadrage!$D$35,Cadrage!$E$35)))</f>
        <v>0.03</v>
      </c>
      <c r="K206">
        <f>IF($A206="","",IF($D206="V01",Cadrage!$C$36,IF($D206="V02",Cadrage!$D$36,Cadrage!$E$36)))</f>
        <v>0.05</v>
      </c>
      <c r="L206">
        <f>IF($A206="","",IF($D206="V01",Cadrage!$C$37,IF($D206="V02",Cadrage!$D$37,Cadrage!$E$37)))</f>
        <v>0</v>
      </c>
      <c r="M206">
        <f>IF($A206="","",IF($D206="V01",Cadrage!$C$38,IF($D206="V02",Cadrage!$D$38,Cadrage!$E$38)))</f>
        <v>0.04</v>
      </c>
      <c r="N206">
        <f t="shared" si="1"/>
        <v>0.980622079131853</v>
      </c>
      <c r="O206">
        <f t="shared" si="2"/>
        <v>0.980622079131853</v>
      </c>
      <c r="P206">
        <f>IF($A206="","",IF($E206=1,$F206*$O206,PNL!G206))</f>
        <v>20598</v>
      </c>
      <c r="T206">
        <f t="shared" si="3"/>
        <v>0</v>
      </c>
    </row>
    <row r="207" ht="14.25" customHeight="1">
      <c r="A207" t="str">
        <f>IF(PNL!A207="","",PNL!A207)</f>
        <v>IPAC_REN</v>
      </c>
      <c r="B207" t="str">
        <f>IF(PNL!B207="","",PNL!B207)</f>
        <v>6063</v>
      </c>
      <c r="C207" t="str">
        <f>IF(PNL!C207="","",PNL!C207)</f>
        <v>2025</v>
      </c>
      <c r="D207" t="str">
        <f>IF(PNL!D207="","",PNL!D207)</f>
        <v>ACT</v>
      </c>
      <c r="E207">
        <f t="shared" si="0"/>
        <v>0</v>
      </c>
      <c r="F207">
        <f>IF($A207="","",IF($E207=1,_xlfn.SUMIFS(Comptabilité!$F$1:$F$1446,Comptabilité!$A$1:$A$1446,$A207,Comptabilité!$B$1:$B$1446,$B207,Comptabilité!$C$1:$C$1446,"2026"),0))</f>
        <v>0</v>
      </c>
      <c r="G207">
        <f>IF($A207="","",IF($D207="V01",Cadrage!$C$23,IF($D207="V02",Cadrage!$D$23,Cadrage!$E$23)))</f>
        <v>-0.05</v>
      </c>
      <c r="H207">
        <f>IF($A207="","",IF($D207="V01",Cadrage!$C$24,IF($D207="V02",Cadrage!$D$24,Cadrage!$E$24)))</f>
        <v>-0.05</v>
      </c>
      <c r="I207">
        <f>IF($A207="","",IF($D207="V01",Cadrage!$C$34,IF($D207="V02",Cadrage!$D$34,Cadrage!$E$34)))</f>
        <v>0.03</v>
      </c>
      <c r="J207">
        <f>IF($A207="","",IF($D207="V01",Cadrage!$C$35,IF($D207="V02",Cadrage!$D$35,Cadrage!$E$35)))</f>
        <v>0.03</v>
      </c>
      <c r="K207">
        <f>IF($A207="","",IF($D207="V01",Cadrage!$C$36,IF($D207="V02",Cadrage!$D$36,Cadrage!$E$36)))</f>
        <v>0.05</v>
      </c>
      <c r="L207">
        <f>IF($A207="","",IF($D207="V01",Cadrage!$C$37,IF($D207="V02",Cadrage!$D$37,Cadrage!$E$37)))</f>
        <v>0</v>
      </c>
      <c r="M207">
        <f>IF($A207="","",IF($D207="V01",Cadrage!$C$38,IF($D207="V02",Cadrage!$D$38,Cadrage!$E$38)))</f>
        <v>0.04</v>
      </c>
      <c r="N207">
        <f t="shared" si="1"/>
        <v>0.980622079131853</v>
      </c>
      <c r="O207">
        <f t="shared" si="2"/>
        <v>0.980622079131853</v>
      </c>
      <c r="P207">
        <f>IF($A207="","",IF($E207=1,$F207*$O207,PNL!G207))</f>
        <v>16621</v>
      </c>
      <c r="T207">
        <f t="shared" si="3"/>
        <v>0</v>
      </c>
    </row>
    <row r="208" ht="14.25" customHeight="1">
      <c r="A208" t="str">
        <f>IF(PNL!A208="","",PNL!A208)</f>
        <v>IPAC_MTP</v>
      </c>
      <c r="B208" t="str">
        <f>IF(PNL!B208="","",PNL!B208)</f>
        <v>6063</v>
      </c>
      <c r="C208" t="str">
        <f>IF(PNL!C208="","",PNL!C208)</f>
        <v>2025</v>
      </c>
      <c r="D208" t="str">
        <f>IF(PNL!D208="","",PNL!D208)</f>
        <v>ACT</v>
      </c>
      <c r="E208">
        <f t="shared" si="0"/>
        <v>0</v>
      </c>
      <c r="F208">
        <f>IF($A208="","",IF($E208=1,_xlfn.SUMIFS(Comptabilité!$F$1:$F$1446,Comptabilité!$A$1:$A$1446,$A208,Comptabilité!$B$1:$B$1446,$B208,Comptabilité!$C$1:$C$1446,"2026"),0))</f>
        <v>0</v>
      </c>
      <c r="G208">
        <f>IF($A208="","",IF($D208="V01",Cadrage!$C$23,IF($D208="V02",Cadrage!$D$23,Cadrage!$E$23)))</f>
        <v>-0.05</v>
      </c>
      <c r="H208">
        <f>IF($A208="","",IF($D208="V01",Cadrage!$C$24,IF($D208="V02",Cadrage!$D$24,Cadrage!$E$24)))</f>
        <v>-0.05</v>
      </c>
      <c r="I208">
        <f>IF($A208="","",IF($D208="V01",Cadrage!$C$34,IF($D208="V02",Cadrage!$D$34,Cadrage!$E$34)))</f>
        <v>0.03</v>
      </c>
      <c r="J208">
        <f>IF($A208="","",IF($D208="V01",Cadrage!$C$35,IF($D208="V02",Cadrage!$D$35,Cadrage!$E$35)))</f>
        <v>0.03</v>
      </c>
      <c r="K208">
        <f>IF($A208="","",IF($D208="V01",Cadrage!$C$36,IF($D208="V02",Cadrage!$D$36,Cadrage!$E$36)))</f>
        <v>0.05</v>
      </c>
      <c r="L208">
        <f>IF($A208="","",IF($D208="V01",Cadrage!$C$37,IF($D208="V02",Cadrage!$D$37,Cadrage!$E$37)))</f>
        <v>0</v>
      </c>
      <c r="M208">
        <f>IF($A208="","",IF($D208="V01",Cadrage!$C$38,IF($D208="V02",Cadrage!$D$38,Cadrage!$E$38)))</f>
        <v>0.04</v>
      </c>
      <c r="N208">
        <f t="shared" si="1"/>
        <v>0.980622079131853</v>
      </c>
      <c r="O208">
        <f t="shared" si="2"/>
        <v>0.980622079131853</v>
      </c>
      <c r="P208">
        <f>IF($A208="","",IF($E208=1,$F208*$O208,PNL!G208))</f>
        <v>16621</v>
      </c>
      <c r="T208">
        <f t="shared" si="3"/>
        <v>0</v>
      </c>
    </row>
    <row r="209" ht="14.25" customHeight="1">
      <c r="A209" t="str">
        <f>IF(PNL!A209="","",PNL!A209)</f>
        <v>PIGIER_LYO</v>
      </c>
      <c r="B209" t="str">
        <f>IF(PNL!B209="","",PNL!B209)</f>
        <v>6063</v>
      </c>
      <c r="C209" t="str">
        <f>IF(PNL!C209="","",PNL!C209)</f>
        <v>2025</v>
      </c>
      <c r="D209" t="str">
        <f>IF(PNL!D209="","",PNL!D209)</f>
        <v>ACT</v>
      </c>
      <c r="E209">
        <f t="shared" si="0"/>
        <v>0</v>
      </c>
      <c r="F209">
        <f>IF($A209="","",IF($E209=1,_xlfn.SUMIFS(Comptabilité!$F$1:$F$1446,Comptabilité!$A$1:$A$1446,$A209,Comptabilité!$B$1:$B$1446,$B209,Comptabilité!$C$1:$C$1446,"2026"),0))</f>
        <v>0</v>
      </c>
      <c r="G209">
        <f>IF($A209="","",IF($D209="V01",Cadrage!$C$23,IF($D209="V02",Cadrage!$D$23,Cadrage!$E$23)))</f>
        <v>-0.05</v>
      </c>
      <c r="H209">
        <f>IF($A209="","",IF($D209="V01",Cadrage!$C$24,IF($D209="V02",Cadrage!$D$24,Cadrage!$E$24)))</f>
        <v>-0.05</v>
      </c>
      <c r="I209">
        <f>IF($A209="","",IF($D209="V01",Cadrage!$C$34,IF($D209="V02",Cadrage!$D$34,Cadrage!$E$34)))</f>
        <v>0.03</v>
      </c>
      <c r="J209">
        <f>IF($A209="","",IF($D209="V01",Cadrage!$C$35,IF($D209="V02",Cadrage!$D$35,Cadrage!$E$35)))</f>
        <v>0.03</v>
      </c>
      <c r="K209">
        <f>IF($A209="","",IF($D209="V01",Cadrage!$C$36,IF($D209="V02",Cadrage!$D$36,Cadrage!$E$36)))</f>
        <v>0.05</v>
      </c>
      <c r="L209">
        <f>IF($A209="","",IF($D209="V01",Cadrage!$C$37,IF($D209="V02",Cadrage!$D$37,Cadrage!$E$37)))</f>
        <v>0</v>
      </c>
      <c r="M209">
        <f>IF($A209="","",IF($D209="V01",Cadrage!$C$38,IF($D209="V02",Cadrage!$D$38,Cadrage!$E$38)))</f>
        <v>0.04</v>
      </c>
      <c r="N209">
        <f t="shared" si="1"/>
        <v>0.980622079131853</v>
      </c>
      <c r="O209">
        <f t="shared" si="2"/>
        <v>0.980622079131853</v>
      </c>
      <c r="P209">
        <f>IF($A209="","",IF($E209=1,$F209*$O209,PNL!G209))</f>
        <v>25854</v>
      </c>
      <c r="T209">
        <f t="shared" si="3"/>
        <v>0</v>
      </c>
    </row>
    <row r="210" ht="14.25" customHeight="1">
      <c r="A210" t="str">
        <f>IF(PNL!A210="","",PNL!A210)</f>
        <v>PIGIER_BOR</v>
      </c>
      <c r="B210" t="str">
        <f>IF(PNL!B210="","",PNL!B210)</f>
        <v>6063</v>
      </c>
      <c r="C210" t="str">
        <f>IF(PNL!C210="","",PNL!C210)</f>
        <v>2025</v>
      </c>
      <c r="D210" t="str">
        <f>IF(PNL!D210="","",PNL!D210)</f>
        <v>ACT</v>
      </c>
      <c r="E210">
        <f t="shared" si="0"/>
        <v>0</v>
      </c>
      <c r="F210">
        <f>IF($A210="","",IF($E210=1,_xlfn.SUMIFS(Comptabilité!$F$1:$F$1446,Comptabilité!$A$1:$A$1446,$A210,Comptabilité!$B$1:$B$1446,$B210,Comptabilité!$C$1:$C$1446,"2026"),0))</f>
        <v>0</v>
      </c>
      <c r="G210">
        <f>IF($A210="","",IF($D210="V01",Cadrage!$C$23,IF($D210="V02",Cadrage!$D$23,Cadrage!$E$23)))</f>
        <v>-0.05</v>
      </c>
      <c r="H210">
        <f>IF($A210="","",IF($D210="V01",Cadrage!$C$24,IF($D210="V02",Cadrage!$D$24,Cadrage!$E$24)))</f>
        <v>-0.05</v>
      </c>
      <c r="I210">
        <f>IF($A210="","",IF($D210="V01",Cadrage!$C$34,IF($D210="V02",Cadrage!$D$34,Cadrage!$E$34)))</f>
        <v>0.03</v>
      </c>
      <c r="J210">
        <f>IF($A210="","",IF($D210="V01",Cadrage!$C$35,IF($D210="V02",Cadrage!$D$35,Cadrage!$E$35)))</f>
        <v>0.03</v>
      </c>
      <c r="K210">
        <f>IF($A210="","",IF($D210="V01",Cadrage!$C$36,IF($D210="V02",Cadrage!$D$36,Cadrage!$E$36)))</f>
        <v>0.05</v>
      </c>
      <c r="L210">
        <f>IF($A210="","",IF($D210="V01",Cadrage!$C$37,IF($D210="V02",Cadrage!$D$37,Cadrage!$E$37)))</f>
        <v>0</v>
      </c>
      <c r="M210">
        <f>IF($A210="","",IF($D210="V01",Cadrage!$C$38,IF($D210="V02",Cadrage!$D$38,Cadrage!$E$38)))</f>
        <v>0.04</v>
      </c>
      <c r="N210">
        <f t="shared" si="1"/>
        <v>0.980622079131853</v>
      </c>
      <c r="O210">
        <f t="shared" si="2"/>
        <v>0.980622079131853</v>
      </c>
      <c r="P210">
        <f>IF($A210="","",IF($E210=1,$F210*$O210,PNL!G210))</f>
        <v>20172</v>
      </c>
      <c r="T210">
        <f t="shared" si="3"/>
        <v>0</v>
      </c>
    </row>
    <row r="211" ht="14.25" customHeight="1">
      <c r="A211" t="str">
        <f>IF(PNL!A211="","",PNL!A211)</f>
        <v>TUNON_PAR</v>
      </c>
      <c r="B211" t="str">
        <f>IF(PNL!B211="","",PNL!B211)</f>
        <v>6063</v>
      </c>
      <c r="C211" t="str">
        <f>IF(PNL!C211="","",PNL!C211)</f>
        <v>2025</v>
      </c>
      <c r="D211" t="str">
        <f>IF(PNL!D211="","",PNL!D211)</f>
        <v>ACT</v>
      </c>
      <c r="E211">
        <f t="shared" si="0"/>
        <v>0</v>
      </c>
      <c r="F211">
        <f>IF($A211="","",IF($E211=1,_xlfn.SUMIFS(Comptabilité!$F$1:$F$1446,Comptabilité!$A$1:$A$1446,$A211,Comptabilité!$B$1:$B$1446,$B211,Comptabilité!$C$1:$C$1446,"2026"),0))</f>
        <v>0</v>
      </c>
      <c r="G211">
        <f>IF($A211="","",IF($D211="V01",Cadrage!$C$23,IF($D211="V02",Cadrage!$D$23,Cadrage!$E$23)))</f>
        <v>-0.05</v>
      </c>
      <c r="H211">
        <f>IF($A211="","",IF($D211="V01",Cadrage!$C$24,IF($D211="V02",Cadrage!$D$24,Cadrage!$E$24)))</f>
        <v>-0.05</v>
      </c>
      <c r="I211">
        <f>IF($A211="","",IF($D211="V01",Cadrage!$C$34,IF($D211="V02",Cadrage!$D$34,Cadrage!$E$34)))</f>
        <v>0.03</v>
      </c>
      <c r="J211">
        <f>IF($A211="","",IF($D211="V01",Cadrage!$C$35,IF($D211="V02",Cadrage!$D$35,Cadrage!$E$35)))</f>
        <v>0.03</v>
      </c>
      <c r="K211">
        <f>IF($A211="","",IF($D211="V01",Cadrage!$C$36,IF($D211="V02",Cadrage!$D$36,Cadrage!$E$36)))</f>
        <v>0.05</v>
      </c>
      <c r="L211">
        <f>IF($A211="","",IF($D211="V01",Cadrage!$C$37,IF($D211="V02",Cadrage!$D$37,Cadrage!$E$37)))</f>
        <v>0</v>
      </c>
      <c r="M211">
        <f>IF($A211="","",IF($D211="V01",Cadrage!$C$38,IF($D211="V02",Cadrage!$D$38,Cadrage!$E$38)))</f>
        <v>0.04</v>
      </c>
      <c r="N211">
        <f t="shared" si="1"/>
        <v>0.980622079131853</v>
      </c>
      <c r="O211">
        <f t="shared" si="2"/>
        <v>0.980622079131853</v>
      </c>
      <c r="P211">
        <f>IF($A211="","",IF($E211=1,$F211*$O211,PNL!G211))</f>
        <v>19604</v>
      </c>
      <c r="T211">
        <f t="shared" si="3"/>
        <v>0</v>
      </c>
    </row>
    <row r="212" ht="14.25" customHeight="1">
      <c r="A212" t="str">
        <f>IF(PNL!A212="","",PNL!A212)</f>
        <v>TUNON_LYO</v>
      </c>
      <c r="B212" t="str">
        <f>IF(PNL!B212="","",PNL!B212)</f>
        <v>6063</v>
      </c>
      <c r="C212" t="str">
        <f>IF(PNL!C212="","",PNL!C212)</f>
        <v>2025</v>
      </c>
      <c r="D212" t="str">
        <f>IF(PNL!D212="","",PNL!D212)</f>
        <v>ACT</v>
      </c>
      <c r="E212">
        <f t="shared" si="0"/>
        <v>0</v>
      </c>
      <c r="F212">
        <f>IF($A212="","",IF($E212=1,_xlfn.SUMIFS(Comptabilité!$F$1:$F$1446,Comptabilité!$A$1:$A$1446,$A212,Comptabilité!$B$1:$B$1446,$B212,Comptabilité!$C$1:$C$1446,"2026"),0))</f>
        <v>0</v>
      </c>
      <c r="G212">
        <f>IF($A212="","",IF($D212="V01",Cadrage!$C$23,IF($D212="V02",Cadrage!$D$23,Cadrage!$E$23)))</f>
        <v>-0.05</v>
      </c>
      <c r="H212">
        <f>IF($A212="","",IF($D212="V01",Cadrage!$C$24,IF($D212="V02",Cadrage!$D$24,Cadrage!$E$24)))</f>
        <v>-0.05</v>
      </c>
      <c r="I212">
        <f>IF($A212="","",IF($D212="V01",Cadrage!$C$34,IF($D212="V02",Cadrage!$D$34,Cadrage!$E$34)))</f>
        <v>0.03</v>
      </c>
      <c r="J212">
        <f>IF($A212="","",IF($D212="V01",Cadrage!$C$35,IF($D212="V02",Cadrage!$D$35,Cadrage!$E$35)))</f>
        <v>0.03</v>
      </c>
      <c r="K212">
        <f>IF($A212="","",IF($D212="V01",Cadrage!$C$36,IF($D212="V02",Cadrage!$D$36,Cadrage!$E$36)))</f>
        <v>0.05</v>
      </c>
      <c r="L212">
        <f>IF($A212="","",IF($D212="V01",Cadrage!$C$37,IF($D212="V02",Cadrage!$D$37,Cadrage!$E$37)))</f>
        <v>0</v>
      </c>
      <c r="M212">
        <f>IF($A212="","",IF($D212="V01",Cadrage!$C$38,IF($D212="V02",Cadrage!$D$38,Cadrage!$E$38)))</f>
        <v>0.04</v>
      </c>
      <c r="N212">
        <f t="shared" si="1"/>
        <v>0.980622079131853</v>
      </c>
      <c r="O212">
        <f t="shared" si="2"/>
        <v>0.980622079131853</v>
      </c>
      <c r="P212">
        <f>IF($A212="","",IF($E212=1,$F212*$O212,PNL!G212))</f>
        <v>16621</v>
      </c>
      <c r="T212">
        <f t="shared" si="3"/>
        <v>0</v>
      </c>
    </row>
    <row r="213" ht="14.25" customHeight="1">
      <c r="A213" t="str">
        <f>IF(PNL!A213="","",PNL!A213)</f>
        <v>MBWAY_PAR</v>
      </c>
      <c r="B213" t="str">
        <f>IF(PNL!B213="","",PNL!B213)</f>
        <v>6063</v>
      </c>
      <c r="C213" t="str">
        <f>IF(PNL!C213="","",PNL!C213)</f>
        <v>2026</v>
      </c>
      <c r="D213" t="str">
        <f>IF(PNL!D213="","",PNL!D213)</f>
        <v>ACT</v>
      </c>
      <c r="E213">
        <f t="shared" si="0"/>
        <v>0</v>
      </c>
      <c r="F213">
        <f>IF($A213="","",IF($E213=1,_xlfn.SUMIFS(Comptabilité!$F$1:$F$1446,Comptabilité!$A$1:$A$1446,$A213,Comptabilité!$B$1:$B$1446,$B213,Comptabilité!$C$1:$C$1446,"2026"),0))</f>
        <v>0</v>
      </c>
      <c r="G213">
        <f>IF($A213="","",IF($D213="V01",Cadrage!$C$23,IF($D213="V02",Cadrage!$D$23,Cadrage!$E$23)))</f>
        <v>-0.05</v>
      </c>
      <c r="H213">
        <f>IF($A213="","",IF($D213="V01",Cadrage!$C$24,IF($D213="V02",Cadrage!$D$24,Cadrage!$E$24)))</f>
        <v>-0.05</v>
      </c>
      <c r="I213">
        <f>IF($A213="","",IF($D213="V01",Cadrage!$C$34,IF($D213="V02",Cadrage!$D$34,Cadrage!$E$34)))</f>
        <v>0.03</v>
      </c>
      <c r="J213">
        <f>IF($A213="","",IF($D213="V01",Cadrage!$C$35,IF($D213="V02",Cadrage!$D$35,Cadrage!$E$35)))</f>
        <v>0.03</v>
      </c>
      <c r="K213">
        <f>IF($A213="","",IF($D213="V01",Cadrage!$C$36,IF($D213="V02",Cadrage!$D$36,Cadrage!$E$36)))</f>
        <v>0.05</v>
      </c>
      <c r="L213">
        <f>IF($A213="","",IF($D213="V01",Cadrage!$C$37,IF($D213="V02",Cadrage!$D$37,Cadrage!$E$37)))</f>
        <v>0</v>
      </c>
      <c r="M213">
        <f>IF($A213="","",IF($D213="V01",Cadrage!$C$38,IF($D213="V02",Cadrage!$D$38,Cadrage!$E$38)))</f>
        <v>0.04</v>
      </c>
      <c r="N213">
        <f t="shared" si="1"/>
        <v>0.980622079131853</v>
      </c>
      <c r="O213">
        <f t="shared" si="2"/>
        <v>0.980622079131853</v>
      </c>
      <c r="P213">
        <f>IF($A213="","",IF($E213=1,$F213*$O213,PNL!G213))</f>
        <v>56856</v>
      </c>
      <c r="T213">
        <f t="shared" si="3"/>
        <v>0</v>
      </c>
    </row>
    <row r="214" ht="14.25" customHeight="1">
      <c r="A214" t="str">
        <f>IF(PNL!A214="","",PNL!A214)</f>
        <v>MBWAY_LYO</v>
      </c>
      <c r="B214" t="str">
        <f>IF(PNL!B214="","",PNL!B214)</f>
        <v>6063</v>
      </c>
      <c r="C214" t="str">
        <f>IF(PNL!C214="","",PNL!C214)</f>
        <v>2026</v>
      </c>
      <c r="D214" t="str">
        <f>IF(PNL!D214="","",PNL!D214)</f>
        <v>ACT</v>
      </c>
      <c r="E214">
        <f t="shared" si="0"/>
        <v>0</v>
      </c>
      <c r="F214">
        <f>IF($A214="","",IF($E214=1,_xlfn.SUMIFS(Comptabilité!$F$1:$F$1446,Comptabilité!$A$1:$A$1446,$A214,Comptabilité!$B$1:$B$1446,$B214,Comptabilité!$C$1:$C$1446,"2026"),0))</f>
        <v>0</v>
      </c>
      <c r="G214">
        <f>IF($A214="","",IF($D214="V01",Cadrage!$C$23,IF($D214="V02",Cadrage!$D$23,Cadrage!$E$23)))</f>
        <v>-0.05</v>
      </c>
      <c r="H214">
        <f>IF($A214="","",IF($D214="V01",Cadrage!$C$24,IF($D214="V02",Cadrage!$D$24,Cadrage!$E$24)))</f>
        <v>-0.05</v>
      </c>
      <c r="I214">
        <f>IF($A214="","",IF($D214="V01",Cadrage!$C$34,IF($D214="V02",Cadrage!$D$34,Cadrage!$E$34)))</f>
        <v>0.03</v>
      </c>
      <c r="J214">
        <f>IF($A214="","",IF($D214="V01",Cadrage!$C$35,IF($D214="V02",Cadrage!$D$35,Cadrage!$E$35)))</f>
        <v>0.03</v>
      </c>
      <c r="K214">
        <f>IF($A214="","",IF($D214="V01",Cadrage!$C$36,IF($D214="V02",Cadrage!$D$36,Cadrage!$E$36)))</f>
        <v>0.05</v>
      </c>
      <c r="L214">
        <f>IF($A214="","",IF($D214="V01",Cadrage!$C$37,IF($D214="V02",Cadrage!$D$37,Cadrage!$E$37)))</f>
        <v>0</v>
      </c>
      <c r="M214">
        <f>IF($A214="","",IF($D214="V01",Cadrage!$C$38,IF($D214="V02",Cadrage!$D$38,Cadrage!$E$38)))</f>
        <v>0.04</v>
      </c>
      <c r="N214">
        <f t="shared" si="1"/>
        <v>0.980622079131853</v>
      </c>
      <c r="O214">
        <f t="shared" si="2"/>
        <v>0.980622079131853</v>
      </c>
      <c r="P214">
        <f>IF($A214="","",IF($E214=1,$F214*$O214,PNL!G214))</f>
        <v>48224</v>
      </c>
      <c r="T214">
        <f t="shared" si="3"/>
        <v>0</v>
      </c>
    </row>
    <row r="215" ht="14.25" customHeight="1">
      <c r="A215" t="str">
        <f>IF(PNL!A215="","",PNL!A215)</f>
        <v>MBWAY_NAN</v>
      </c>
      <c r="B215" t="str">
        <f>IF(PNL!B215="","",PNL!B215)</f>
        <v>6063</v>
      </c>
      <c r="C215" t="str">
        <f>IF(PNL!C215="","",PNL!C215)</f>
        <v>2026</v>
      </c>
      <c r="D215" t="str">
        <f>IF(PNL!D215="","",PNL!D215)</f>
        <v>ACT</v>
      </c>
      <c r="E215">
        <f t="shared" si="0"/>
        <v>0</v>
      </c>
      <c r="F215">
        <f>IF($A215="","",IF($E215=1,_xlfn.SUMIFS(Comptabilité!$F$1:$F$1446,Comptabilité!$A$1:$A$1446,$A215,Comptabilité!$B$1:$B$1446,$B215,Comptabilité!$C$1:$C$1446,"2026"),0))</f>
        <v>0</v>
      </c>
      <c r="G215">
        <f>IF($A215="","",IF($D215="V01",Cadrage!$C$23,IF($D215="V02",Cadrage!$D$23,Cadrage!$E$23)))</f>
        <v>-0.05</v>
      </c>
      <c r="H215">
        <f>IF($A215="","",IF($D215="V01",Cadrage!$C$24,IF($D215="V02",Cadrage!$D$24,Cadrage!$E$24)))</f>
        <v>-0.05</v>
      </c>
      <c r="I215">
        <f>IF($A215="","",IF($D215="V01",Cadrage!$C$34,IF($D215="V02",Cadrage!$D$34,Cadrage!$E$34)))</f>
        <v>0.03</v>
      </c>
      <c r="J215">
        <f>IF($A215="","",IF($D215="V01",Cadrage!$C$35,IF($D215="V02",Cadrage!$D$35,Cadrage!$E$35)))</f>
        <v>0.03</v>
      </c>
      <c r="K215">
        <f>IF($A215="","",IF($D215="V01",Cadrage!$C$36,IF($D215="V02",Cadrage!$D$36,Cadrage!$E$36)))</f>
        <v>0.05</v>
      </c>
      <c r="L215">
        <f>IF($A215="","",IF($D215="V01",Cadrage!$C$37,IF($D215="V02",Cadrage!$D$37,Cadrage!$E$37)))</f>
        <v>0</v>
      </c>
      <c r="M215">
        <f>IF($A215="","",IF($D215="V01",Cadrage!$C$38,IF($D215="V02",Cadrage!$D$38,Cadrage!$E$38)))</f>
        <v>0.04</v>
      </c>
      <c r="N215">
        <f t="shared" si="1"/>
        <v>0.980622079131853</v>
      </c>
      <c r="O215">
        <f t="shared" si="2"/>
        <v>0.980622079131853</v>
      </c>
      <c r="P215">
        <f>IF($A215="","",IF($E215=1,$F215*$O215,PNL!G215))</f>
        <v>43758</v>
      </c>
      <c r="T215">
        <f t="shared" si="3"/>
        <v>0</v>
      </c>
    </row>
    <row r="216" ht="14.25" customHeight="1">
      <c r="A216" t="str">
        <f>IF(PNL!A216="","",PNL!A216)</f>
        <v>MBWAY_BOR</v>
      </c>
      <c r="B216" t="str">
        <f>IF(PNL!B216="","",PNL!B216)</f>
        <v>6063</v>
      </c>
      <c r="C216" t="str">
        <f>IF(PNL!C216="","",PNL!C216)</f>
        <v>2026</v>
      </c>
      <c r="D216" t="str">
        <f>IF(PNL!D216="","",PNL!D216)</f>
        <v>ACT</v>
      </c>
      <c r="E216">
        <f t="shared" si="0"/>
        <v>0</v>
      </c>
      <c r="F216">
        <f>IF($A216="","",IF($E216=1,_xlfn.SUMIFS(Comptabilité!$F$1:$F$1446,Comptabilité!$A$1:$A$1446,$A216,Comptabilité!$B$1:$B$1446,$B216,Comptabilité!$C$1:$C$1446,"2026"),0))</f>
        <v>0</v>
      </c>
      <c r="G216">
        <f>IF($A216="","",IF($D216="V01",Cadrage!$C$23,IF($D216="V02",Cadrage!$D$23,Cadrage!$E$23)))</f>
        <v>-0.05</v>
      </c>
      <c r="H216">
        <f>IF($A216="","",IF($D216="V01",Cadrage!$C$24,IF($D216="V02",Cadrage!$D$24,Cadrage!$E$24)))</f>
        <v>-0.05</v>
      </c>
      <c r="I216">
        <f>IF($A216="","",IF($D216="V01",Cadrage!$C$34,IF($D216="V02",Cadrage!$D$34,Cadrage!$E$34)))</f>
        <v>0.03</v>
      </c>
      <c r="J216">
        <f>IF($A216="","",IF($D216="V01",Cadrage!$C$35,IF($D216="V02",Cadrage!$D$35,Cadrage!$E$35)))</f>
        <v>0.03</v>
      </c>
      <c r="K216">
        <f>IF($A216="","",IF($D216="V01",Cadrage!$C$36,IF($D216="V02",Cadrage!$D$36,Cadrage!$E$36)))</f>
        <v>0.05</v>
      </c>
      <c r="L216">
        <f>IF($A216="","",IF($D216="V01",Cadrage!$C$37,IF($D216="V02",Cadrage!$D$37,Cadrage!$E$37)))</f>
        <v>0</v>
      </c>
      <c r="M216">
        <f>IF($A216="","",IF($D216="V01",Cadrage!$C$38,IF($D216="V02",Cadrage!$D$38,Cadrage!$E$38)))</f>
        <v>0.04</v>
      </c>
      <c r="N216">
        <f t="shared" si="1"/>
        <v>0.980622079131853</v>
      </c>
      <c r="O216">
        <f t="shared" si="2"/>
        <v>0.980622079131853</v>
      </c>
      <c r="P216">
        <f>IF($A216="","",IF($E216=1,$F216*$O216,PNL!G216))</f>
        <v>37061</v>
      </c>
      <c r="T216">
        <f t="shared" si="3"/>
        <v>0</v>
      </c>
    </row>
    <row r="217" ht="14.25" customHeight="1">
      <c r="A217" t="str">
        <f>IF(PNL!A217="","",PNL!A217)</f>
        <v>ISCOM_PAR</v>
      </c>
      <c r="B217" t="str">
        <f>IF(PNL!B217="","",PNL!B217)</f>
        <v>6063</v>
      </c>
      <c r="C217" t="str">
        <f>IF(PNL!C217="","",PNL!C217)</f>
        <v>2026</v>
      </c>
      <c r="D217" t="str">
        <f>IF(PNL!D217="","",PNL!D217)</f>
        <v>ACT</v>
      </c>
      <c r="E217">
        <f t="shared" si="0"/>
        <v>0</v>
      </c>
      <c r="F217">
        <f>IF($A217="","",IF($E217=1,_xlfn.SUMIFS(Comptabilité!$F$1:$F$1446,Comptabilité!$A$1:$A$1446,$A217,Comptabilité!$B$1:$B$1446,$B217,Comptabilité!$C$1:$C$1446,"2026"),0))</f>
        <v>0</v>
      </c>
      <c r="G217">
        <f>IF($A217="","",IF($D217="V01",Cadrage!$C$23,IF($D217="V02",Cadrage!$D$23,Cadrage!$E$23)))</f>
        <v>-0.05</v>
      </c>
      <c r="H217">
        <f>IF($A217="","",IF($D217="V01",Cadrage!$C$24,IF($D217="V02",Cadrage!$D$24,Cadrage!$E$24)))</f>
        <v>-0.05</v>
      </c>
      <c r="I217">
        <f>IF($A217="","",IF($D217="V01",Cadrage!$C$34,IF($D217="V02",Cadrage!$D$34,Cadrage!$E$34)))</f>
        <v>0.03</v>
      </c>
      <c r="J217">
        <f>IF($A217="","",IF($D217="V01",Cadrage!$C$35,IF($D217="V02",Cadrage!$D$35,Cadrage!$E$35)))</f>
        <v>0.03</v>
      </c>
      <c r="K217">
        <f>IF($A217="","",IF($D217="V01",Cadrage!$C$36,IF($D217="V02",Cadrage!$D$36,Cadrage!$E$36)))</f>
        <v>0.05</v>
      </c>
      <c r="L217">
        <f>IF($A217="","",IF($D217="V01",Cadrage!$C$37,IF($D217="V02",Cadrage!$D$37,Cadrage!$E$37)))</f>
        <v>0</v>
      </c>
      <c r="M217">
        <f>IF($A217="","",IF($D217="V01",Cadrage!$C$38,IF($D217="V02",Cadrage!$D$38,Cadrage!$E$38)))</f>
        <v>0.04</v>
      </c>
      <c r="N217">
        <f t="shared" si="1"/>
        <v>0.980622079131853</v>
      </c>
      <c r="O217">
        <f t="shared" si="2"/>
        <v>0.980622079131853</v>
      </c>
      <c r="P217">
        <f>IF($A217="","",IF($E217=1,$F217*$O217,PNL!G217))</f>
        <v>52689</v>
      </c>
      <c r="T217">
        <f t="shared" si="3"/>
        <v>0</v>
      </c>
    </row>
    <row r="218" ht="14.25" customHeight="1">
      <c r="A218" t="str">
        <f>IF(PNL!A218="","",PNL!A218)</f>
        <v>ISCOM_LIL</v>
      </c>
      <c r="B218" t="str">
        <f>IF(PNL!B218="","",PNL!B218)</f>
        <v>6063</v>
      </c>
      <c r="C218" t="str">
        <f>IF(PNL!C218="","",PNL!C218)</f>
        <v>2026</v>
      </c>
      <c r="D218" t="str">
        <f>IF(PNL!D218="","",PNL!D218)</f>
        <v>ACT</v>
      </c>
      <c r="E218">
        <f t="shared" si="0"/>
        <v>0</v>
      </c>
      <c r="F218">
        <f>IF($A218="","",IF($E218=1,_xlfn.SUMIFS(Comptabilité!$F$1:$F$1446,Comptabilité!$A$1:$A$1446,$A218,Comptabilité!$B$1:$B$1446,$B218,Comptabilité!$C$1:$C$1446,"2026"),0))</f>
        <v>0</v>
      </c>
      <c r="G218">
        <f>IF($A218="","",IF($D218="V01",Cadrage!$C$23,IF($D218="V02",Cadrage!$D$23,Cadrage!$E$23)))</f>
        <v>-0.05</v>
      </c>
      <c r="H218">
        <f>IF($A218="","",IF($D218="V01",Cadrage!$C$24,IF($D218="V02",Cadrage!$D$24,Cadrage!$E$24)))</f>
        <v>-0.05</v>
      </c>
      <c r="I218">
        <f>IF($A218="","",IF($D218="V01",Cadrage!$C$34,IF($D218="V02",Cadrage!$D$34,Cadrage!$E$34)))</f>
        <v>0.03</v>
      </c>
      <c r="J218">
        <f>IF($A218="","",IF($D218="V01",Cadrage!$C$35,IF($D218="V02",Cadrage!$D$35,Cadrage!$E$35)))</f>
        <v>0.03</v>
      </c>
      <c r="K218">
        <f>IF($A218="","",IF($D218="V01",Cadrage!$C$36,IF($D218="V02",Cadrage!$D$36,Cadrage!$E$36)))</f>
        <v>0.05</v>
      </c>
      <c r="L218">
        <f>IF($A218="","",IF($D218="V01",Cadrage!$C$37,IF($D218="V02",Cadrage!$D$37,Cadrage!$E$37)))</f>
        <v>0</v>
      </c>
      <c r="M218">
        <f>IF($A218="","",IF($D218="V01",Cadrage!$C$38,IF($D218="V02",Cadrage!$D$38,Cadrage!$E$38)))</f>
        <v>0.04</v>
      </c>
      <c r="N218">
        <f t="shared" si="1"/>
        <v>0.980622079131853</v>
      </c>
      <c r="O218">
        <f t="shared" si="2"/>
        <v>0.980622079131853</v>
      </c>
      <c r="P218">
        <f>IF($A218="","",IF($E218=1,$F218*$O218,PNL!G218))</f>
        <v>36316</v>
      </c>
      <c r="T218">
        <f t="shared" si="3"/>
        <v>0</v>
      </c>
    </row>
    <row r="219" ht="14.25" customHeight="1">
      <c r="A219" t="str">
        <f>IF(PNL!A219="","",PNL!A219)</f>
        <v>ISCOM_TLS</v>
      </c>
      <c r="B219" t="str">
        <f>IF(PNL!B219="","",PNL!B219)</f>
        <v>6063</v>
      </c>
      <c r="C219" t="str">
        <f>IF(PNL!C219="","",PNL!C219)</f>
        <v>2026</v>
      </c>
      <c r="D219" t="str">
        <f>IF(PNL!D219="","",PNL!D219)</f>
        <v>ACT</v>
      </c>
      <c r="E219">
        <f t="shared" si="0"/>
        <v>0</v>
      </c>
      <c r="F219">
        <f>IF($A219="","",IF($E219=1,_xlfn.SUMIFS(Comptabilité!$F$1:$F$1446,Comptabilité!$A$1:$A$1446,$A219,Comptabilité!$B$1:$B$1446,$B219,Comptabilité!$C$1:$C$1446,"2026"),0))</f>
        <v>0</v>
      </c>
      <c r="G219">
        <f>IF($A219="","",IF($D219="V01",Cadrage!$C$23,IF($D219="V02",Cadrage!$D$23,Cadrage!$E$23)))</f>
        <v>-0.05</v>
      </c>
      <c r="H219">
        <f>IF($A219="","",IF($D219="V01",Cadrage!$C$24,IF($D219="V02",Cadrage!$D$24,Cadrage!$E$24)))</f>
        <v>-0.05</v>
      </c>
      <c r="I219">
        <f>IF($A219="","",IF($D219="V01",Cadrage!$C$34,IF($D219="V02",Cadrage!$D$34,Cadrage!$E$34)))</f>
        <v>0.03</v>
      </c>
      <c r="J219">
        <f>IF($A219="","",IF($D219="V01",Cadrage!$C$35,IF($D219="V02",Cadrage!$D$35,Cadrage!$E$35)))</f>
        <v>0.03</v>
      </c>
      <c r="K219">
        <f>IF($A219="","",IF($D219="V01",Cadrage!$C$36,IF($D219="V02",Cadrage!$D$36,Cadrage!$E$36)))</f>
        <v>0.05</v>
      </c>
      <c r="L219">
        <f>IF($A219="","",IF($D219="V01",Cadrage!$C$37,IF($D219="V02",Cadrage!$D$37,Cadrage!$E$37)))</f>
        <v>0</v>
      </c>
      <c r="M219">
        <f>IF($A219="","",IF($D219="V01",Cadrage!$C$38,IF($D219="V02",Cadrage!$D$38,Cadrage!$E$38)))</f>
        <v>0.04</v>
      </c>
      <c r="N219">
        <f t="shared" si="1"/>
        <v>0.980622079131853</v>
      </c>
      <c r="O219">
        <f t="shared" si="2"/>
        <v>0.980622079131853</v>
      </c>
      <c r="P219">
        <f>IF($A219="","",IF($E219=1,$F219*$O219,PNL!G219))</f>
        <v>34382</v>
      </c>
      <c r="T219">
        <f t="shared" si="3"/>
        <v>0</v>
      </c>
    </row>
    <row r="220" ht="14.25" customHeight="1">
      <c r="A220" t="str">
        <f>IF(PNL!A220="","",PNL!A220)</f>
        <v>IPAC_NAN</v>
      </c>
      <c r="B220" t="str">
        <f>IF(PNL!B220="","",PNL!B220)</f>
        <v>6063</v>
      </c>
      <c r="C220" t="str">
        <f>IF(PNL!C220="","",PNL!C220)</f>
        <v>2026</v>
      </c>
      <c r="D220" t="str">
        <f>IF(PNL!D220="","",PNL!D220)</f>
        <v>ACT</v>
      </c>
      <c r="E220">
        <f t="shared" si="0"/>
        <v>0</v>
      </c>
      <c r="F220">
        <f>IF($A220="","",IF($E220=1,_xlfn.SUMIFS(Comptabilité!$F$1:$F$1446,Comptabilité!$A$1:$A$1446,$A220,Comptabilité!$B$1:$B$1446,$B220,Comptabilité!$C$1:$C$1446,"2026"),0))</f>
        <v>0</v>
      </c>
      <c r="G220">
        <f>IF($A220="","",IF($D220="V01",Cadrage!$C$23,IF($D220="V02",Cadrage!$D$23,Cadrage!$E$23)))</f>
        <v>-0.05</v>
      </c>
      <c r="H220">
        <f>IF($A220="","",IF($D220="V01",Cadrage!$C$24,IF($D220="V02",Cadrage!$D$24,Cadrage!$E$24)))</f>
        <v>-0.05</v>
      </c>
      <c r="I220">
        <f>IF($A220="","",IF($D220="V01",Cadrage!$C$34,IF($D220="V02",Cadrage!$D$34,Cadrage!$E$34)))</f>
        <v>0.03</v>
      </c>
      <c r="J220">
        <f>IF($A220="","",IF($D220="V01",Cadrage!$C$35,IF($D220="V02",Cadrage!$D$35,Cadrage!$E$35)))</f>
        <v>0.03</v>
      </c>
      <c r="K220">
        <f>IF($A220="","",IF($D220="V01",Cadrage!$C$36,IF($D220="V02",Cadrage!$D$36,Cadrage!$E$36)))</f>
        <v>0.05</v>
      </c>
      <c r="L220">
        <f>IF($A220="","",IF($D220="V01",Cadrage!$C$37,IF($D220="V02",Cadrage!$D$37,Cadrage!$E$37)))</f>
        <v>0</v>
      </c>
      <c r="M220">
        <f>IF($A220="","",IF($D220="V01",Cadrage!$C$38,IF($D220="V02",Cadrage!$D$38,Cadrage!$E$38)))</f>
        <v>0.04</v>
      </c>
      <c r="N220">
        <f t="shared" si="1"/>
        <v>0.980622079131853</v>
      </c>
      <c r="O220">
        <f t="shared" si="2"/>
        <v>0.980622079131853</v>
      </c>
      <c r="P220">
        <f>IF($A220="","",IF($E220=1,$F220*$O220,PNL!G220))</f>
        <v>21582</v>
      </c>
      <c r="T220">
        <f t="shared" si="3"/>
        <v>0</v>
      </c>
    </row>
    <row r="221" ht="14.25" customHeight="1">
      <c r="A221" t="str">
        <f>IF(PNL!A221="","",PNL!A221)</f>
        <v>IPAC_REN</v>
      </c>
      <c r="B221" t="str">
        <f>IF(PNL!B221="","",PNL!B221)</f>
        <v>6063</v>
      </c>
      <c r="C221" t="str">
        <f>IF(PNL!C221="","",PNL!C221)</f>
        <v>2026</v>
      </c>
      <c r="D221" t="str">
        <f>IF(PNL!D221="","",PNL!D221)</f>
        <v>ACT</v>
      </c>
      <c r="E221">
        <f t="shared" si="0"/>
        <v>0</v>
      </c>
      <c r="F221">
        <f>IF($A221="","",IF($E221=1,_xlfn.SUMIFS(Comptabilité!$F$1:$F$1446,Comptabilité!$A$1:$A$1446,$A221,Comptabilité!$B$1:$B$1446,$B221,Comptabilité!$C$1:$C$1446,"2026"),0))</f>
        <v>0</v>
      </c>
      <c r="G221">
        <f>IF($A221="","",IF($D221="V01",Cadrage!$C$23,IF($D221="V02",Cadrage!$D$23,Cadrage!$E$23)))</f>
        <v>-0.05</v>
      </c>
      <c r="H221">
        <f>IF($A221="","",IF($D221="V01",Cadrage!$C$24,IF($D221="V02",Cadrage!$D$24,Cadrage!$E$24)))</f>
        <v>-0.05</v>
      </c>
      <c r="I221">
        <f>IF($A221="","",IF($D221="V01",Cadrage!$C$34,IF($D221="V02",Cadrage!$D$34,Cadrage!$E$34)))</f>
        <v>0.03</v>
      </c>
      <c r="J221">
        <f>IF($A221="","",IF($D221="V01",Cadrage!$C$35,IF($D221="V02",Cadrage!$D$35,Cadrage!$E$35)))</f>
        <v>0.03</v>
      </c>
      <c r="K221">
        <f>IF($A221="","",IF($D221="V01",Cadrage!$C$36,IF($D221="V02",Cadrage!$D$36,Cadrage!$E$36)))</f>
        <v>0.05</v>
      </c>
      <c r="L221">
        <f>IF($A221="","",IF($D221="V01",Cadrage!$C$37,IF($D221="V02",Cadrage!$D$37,Cadrage!$E$37)))</f>
        <v>0</v>
      </c>
      <c r="M221">
        <f>IF($A221="","",IF($D221="V01",Cadrage!$C$38,IF($D221="V02",Cadrage!$D$38,Cadrage!$E$38)))</f>
        <v>0.04</v>
      </c>
      <c r="N221">
        <f t="shared" si="1"/>
        <v>0.980622079131853</v>
      </c>
      <c r="O221">
        <f t="shared" si="2"/>
        <v>0.980622079131853</v>
      </c>
      <c r="P221">
        <f>IF($A221="","",IF($E221=1,$F221*$O221,PNL!G221))</f>
        <v>17414</v>
      </c>
      <c r="T221">
        <f t="shared" si="3"/>
        <v>0</v>
      </c>
    </row>
    <row r="222" ht="14.25" customHeight="1">
      <c r="A222" t="str">
        <f>IF(PNL!A222="","",PNL!A222)</f>
        <v>IPAC_MTP</v>
      </c>
      <c r="B222" t="str">
        <f>IF(PNL!B222="","",PNL!B222)</f>
        <v>6063</v>
      </c>
      <c r="C222" t="str">
        <f>IF(PNL!C222="","",PNL!C222)</f>
        <v>2026</v>
      </c>
      <c r="D222" t="str">
        <f>IF(PNL!D222="","",PNL!D222)</f>
        <v>ACT</v>
      </c>
      <c r="E222">
        <f t="shared" si="0"/>
        <v>0</v>
      </c>
      <c r="F222">
        <f>IF($A222="","",IF($E222=1,_xlfn.SUMIFS(Comptabilité!$F$1:$F$1446,Comptabilité!$A$1:$A$1446,$A222,Comptabilité!$B$1:$B$1446,$B222,Comptabilité!$C$1:$C$1446,"2026"),0))</f>
        <v>0</v>
      </c>
      <c r="G222">
        <f>IF($A222="","",IF($D222="V01",Cadrage!$C$23,IF($D222="V02",Cadrage!$D$23,Cadrage!$E$23)))</f>
        <v>-0.05</v>
      </c>
      <c r="H222">
        <f>IF($A222="","",IF($D222="V01",Cadrage!$C$24,IF($D222="V02",Cadrage!$D$24,Cadrage!$E$24)))</f>
        <v>-0.05</v>
      </c>
      <c r="I222">
        <f>IF($A222="","",IF($D222="V01",Cadrage!$C$34,IF($D222="V02",Cadrage!$D$34,Cadrage!$E$34)))</f>
        <v>0.03</v>
      </c>
      <c r="J222">
        <f>IF($A222="","",IF($D222="V01",Cadrage!$C$35,IF($D222="V02",Cadrage!$D$35,Cadrage!$E$35)))</f>
        <v>0.03</v>
      </c>
      <c r="K222">
        <f>IF($A222="","",IF($D222="V01",Cadrage!$C$36,IF($D222="V02",Cadrage!$D$36,Cadrage!$E$36)))</f>
        <v>0.05</v>
      </c>
      <c r="L222">
        <f>IF($A222="","",IF($D222="V01",Cadrage!$C$37,IF($D222="V02",Cadrage!$D$37,Cadrage!$E$37)))</f>
        <v>0</v>
      </c>
      <c r="M222">
        <f>IF($A222="","",IF($D222="V01",Cadrage!$C$38,IF($D222="V02",Cadrage!$D$38,Cadrage!$E$38)))</f>
        <v>0.04</v>
      </c>
      <c r="N222">
        <f t="shared" si="1"/>
        <v>0.980622079131853</v>
      </c>
      <c r="O222">
        <f t="shared" si="2"/>
        <v>0.980622079131853</v>
      </c>
      <c r="P222">
        <f>IF($A222="","",IF($E222=1,$F222*$O222,PNL!G222))</f>
        <v>17414</v>
      </c>
      <c r="T222">
        <f t="shared" si="3"/>
        <v>0</v>
      </c>
    </row>
    <row r="223" ht="14.25" customHeight="1">
      <c r="A223" t="str">
        <f>IF(PNL!A223="","",PNL!A223)</f>
        <v>PIGIER_LYO</v>
      </c>
      <c r="B223" t="str">
        <f>IF(PNL!B223="","",PNL!B223)</f>
        <v>6063</v>
      </c>
      <c r="C223" t="str">
        <f>IF(PNL!C223="","",PNL!C223)</f>
        <v>2026</v>
      </c>
      <c r="D223" t="str">
        <f>IF(PNL!D223="","",PNL!D223)</f>
        <v>ACT</v>
      </c>
      <c r="E223">
        <f t="shared" si="0"/>
        <v>0</v>
      </c>
      <c r="F223">
        <f>IF($A223="","",IF($E223=1,_xlfn.SUMIFS(Comptabilité!$F$1:$F$1446,Comptabilité!$A$1:$A$1446,$A223,Comptabilité!$B$1:$B$1446,$B223,Comptabilité!$C$1:$C$1446,"2026"),0))</f>
        <v>0</v>
      </c>
      <c r="G223">
        <f>IF($A223="","",IF($D223="V01",Cadrage!$C$23,IF($D223="V02",Cadrage!$D$23,Cadrage!$E$23)))</f>
        <v>-0.05</v>
      </c>
      <c r="H223">
        <f>IF($A223="","",IF($D223="V01",Cadrage!$C$24,IF($D223="V02",Cadrage!$D$24,Cadrage!$E$24)))</f>
        <v>-0.05</v>
      </c>
      <c r="I223">
        <f>IF($A223="","",IF($D223="V01",Cadrage!$C$34,IF($D223="V02",Cadrage!$D$34,Cadrage!$E$34)))</f>
        <v>0.03</v>
      </c>
      <c r="J223">
        <f>IF($A223="","",IF($D223="V01",Cadrage!$C$35,IF($D223="V02",Cadrage!$D$35,Cadrage!$E$35)))</f>
        <v>0.03</v>
      </c>
      <c r="K223">
        <f>IF($A223="","",IF($D223="V01",Cadrage!$C$36,IF($D223="V02",Cadrage!$D$36,Cadrage!$E$36)))</f>
        <v>0.05</v>
      </c>
      <c r="L223">
        <f>IF($A223="","",IF($D223="V01",Cadrage!$C$37,IF($D223="V02",Cadrage!$D$37,Cadrage!$E$37)))</f>
        <v>0</v>
      </c>
      <c r="M223">
        <f>IF($A223="","",IF($D223="V01",Cadrage!$C$38,IF($D223="V02",Cadrage!$D$38,Cadrage!$E$38)))</f>
        <v>0.04</v>
      </c>
      <c r="N223">
        <f t="shared" si="1"/>
        <v>0.980622079131853</v>
      </c>
      <c r="O223">
        <f t="shared" si="2"/>
        <v>0.980622079131853</v>
      </c>
      <c r="P223">
        <f>IF($A223="","",IF($E223=1,$F223*$O223,PNL!G223))</f>
        <v>27089</v>
      </c>
      <c r="T223">
        <f t="shared" si="3"/>
        <v>0</v>
      </c>
    </row>
    <row r="224" ht="14.25" customHeight="1">
      <c r="A224" t="str">
        <f>IF(PNL!A224="","",PNL!A224)</f>
        <v>PIGIER_BOR</v>
      </c>
      <c r="B224" t="str">
        <f>IF(PNL!B224="","",PNL!B224)</f>
        <v>6063</v>
      </c>
      <c r="C224" t="str">
        <f>IF(PNL!C224="","",PNL!C224)</f>
        <v>2026</v>
      </c>
      <c r="D224" t="str">
        <f>IF(PNL!D224="","",PNL!D224)</f>
        <v>ACT</v>
      </c>
      <c r="E224">
        <f t="shared" si="0"/>
        <v>0</v>
      </c>
      <c r="F224">
        <f>IF($A224="","",IF($E224=1,_xlfn.SUMIFS(Comptabilité!$F$1:$F$1446,Comptabilité!$A$1:$A$1446,$A224,Comptabilité!$B$1:$B$1446,$B224,Comptabilité!$C$1:$C$1446,"2026"),0))</f>
        <v>0</v>
      </c>
      <c r="G224">
        <f>IF($A224="","",IF($D224="V01",Cadrage!$C$23,IF($D224="V02",Cadrage!$D$23,Cadrage!$E$23)))</f>
        <v>-0.05</v>
      </c>
      <c r="H224">
        <f>IF($A224="","",IF($D224="V01",Cadrage!$C$24,IF($D224="V02",Cadrage!$D$24,Cadrage!$E$24)))</f>
        <v>-0.05</v>
      </c>
      <c r="I224">
        <f>IF($A224="","",IF($D224="V01",Cadrage!$C$34,IF($D224="V02",Cadrage!$D$34,Cadrage!$E$34)))</f>
        <v>0.03</v>
      </c>
      <c r="J224">
        <f>IF($A224="","",IF($D224="V01",Cadrage!$C$35,IF($D224="V02",Cadrage!$D$35,Cadrage!$E$35)))</f>
        <v>0.03</v>
      </c>
      <c r="K224">
        <f>IF($A224="","",IF($D224="V01",Cadrage!$C$36,IF($D224="V02",Cadrage!$D$36,Cadrage!$E$36)))</f>
        <v>0.05</v>
      </c>
      <c r="L224">
        <f>IF($A224="","",IF($D224="V01",Cadrage!$C$37,IF($D224="V02",Cadrage!$D$37,Cadrage!$E$37)))</f>
        <v>0</v>
      </c>
      <c r="M224">
        <f>IF($A224="","",IF($D224="V01",Cadrage!$C$38,IF($D224="V02",Cadrage!$D$38,Cadrage!$E$38)))</f>
        <v>0.04</v>
      </c>
      <c r="N224">
        <f t="shared" si="1"/>
        <v>0.980622079131853</v>
      </c>
      <c r="O224">
        <f t="shared" si="2"/>
        <v>0.980622079131853</v>
      </c>
      <c r="P224">
        <f>IF($A224="","",IF($E224=1,$F224*$O224,PNL!G224))</f>
        <v>21135</v>
      </c>
      <c r="T224">
        <f t="shared" si="3"/>
        <v>0</v>
      </c>
    </row>
    <row r="225" ht="14.25" customHeight="1">
      <c r="A225" t="str">
        <f>IF(PNL!A225="","",PNL!A225)</f>
        <v>TUNON_PAR</v>
      </c>
      <c r="B225" t="str">
        <f>IF(PNL!B225="","",PNL!B225)</f>
        <v>6063</v>
      </c>
      <c r="C225" t="str">
        <f>IF(PNL!C225="","",PNL!C225)</f>
        <v>2026</v>
      </c>
      <c r="D225" t="str">
        <f>IF(PNL!D225="","",PNL!D225)</f>
        <v>ACT</v>
      </c>
      <c r="E225">
        <f t="shared" si="0"/>
        <v>0</v>
      </c>
      <c r="F225">
        <f>IF($A225="","",IF($E225=1,_xlfn.SUMIFS(Comptabilité!$F$1:$F$1446,Comptabilité!$A$1:$A$1446,$A225,Comptabilité!$B$1:$B$1446,$B225,Comptabilité!$C$1:$C$1446,"2026"),0))</f>
        <v>0</v>
      </c>
      <c r="G225">
        <f>IF($A225="","",IF($D225="V01",Cadrage!$C$23,IF($D225="V02",Cadrage!$D$23,Cadrage!$E$23)))</f>
        <v>-0.05</v>
      </c>
      <c r="H225">
        <f>IF($A225="","",IF($D225="V01",Cadrage!$C$24,IF($D225="V02",Cadrage!$D$24,Cadrage!$E$24)))</f>
        <v>-0.05</v>
      </c>
      <c r="I225">
        <f>IF($A225="","",IF($D225="V01",Cadrage!$C$34,IF($D225="V02",Cadrage!$D$34,Cadrage!$E$34)))</f>
        <v>0.03</v>
      </c>
      <c r="J225">
        <f>IF($A225="","",IF($D225="V01",Cadrage!$C$35,IF($D225="V02",Cadrage!$D$35,Cadrage!$E$35)))</f>
        <v>0.03</v>
      </c>
      <c r="K225">
        <f>IF($A225="","",IF($D225="V01",Cadrage!$C$36,IF($D225="V02",Cadrage!$D$36,Cadrage!$E$36)))</f>
        <v>0.05</v>
      </c>
      <c r="L225">
        <f>IF($A225="","",IF($D225="V01",Cadrage!$C$37,IF($D225="V02",Cadrage!$D$37,Cadrage!$E$37)))</f>
        <v>0</v>
      </c>
      <c r="M225">
        <f>IF($A225="","",IF($D225="V01",Cadrage!$C$38,IF($D225="V02",Cadrage!$D$38,Cadrage!$E$38)))</f>
        <v>0.04</v>
      </c>
      <c r="N225">
        <f t="shared" si="1"/>
        <v>0.980622079131853</v>
      </c>
      <c r="O225">
        <f t="shared" si="2"/>
        <v>0.980622079131853</v>
      </c>
      <c r="P225">
        <f>IF($A225="","",IF($E225=1,$F225*$O225,PNL!G225))</f>
        <v>20540</v>
      </c>
      <c r="T225">
        <f t="shared" si="3"/>
        <v>0</v>
      </c>
    </row>
    <row r="226" ht="14.25" customHeight="1">
      <c r="A226" t="str">
        <f>IF(PNL!A226="","",PNL!A226)</f>
        <v>TUNON_LYO</v>
      </c>
      <c r="B226" t="str">
        <f>IF(PNL!B226="","",PNL!B226)</f>
        <v>6063</v>
      </c>
      <c r="C226" t="str">
        <f>IF(PNL!C226="","",PNL!C226)</f>
        <v>2026</v>
      </c>
      <c r="D226" t="str">
        <f>IF(PNL!D226="","",PNL!D226)</f>
        <v>ACT</v>
      </c>
      <c r="E226">
        <f t="shared" si="0"/>
        <v>0</v>
      </c>
      <c r="F226">
        <f>IF($A226="","",IF($E226=1,_xlfn.SUMIFS(Comptabilité!$F$1:$F$1446,Comptabilité!$A$1:$A$1446,$A226,Comptabilité!$B$1:$B$1446,$B226,Comptabilité!$C$1:$C$1446,"2026"),0))</f>
        <v>0</v>
      </c>
      <c r="G226">
        <f>IF($A226="","",IF($D226="V01",Cadrage!$C$23,IF($D226="V02",Cadrage!$D$23,Cadrage!$E$23)))</f>
        <v>-0.05</v>
      </c>
      <c r="H226">
        <f>IF($A226="","",IF($D226="V01",Cadrage!$C$24,IF($D226="V02",Cadrage!$D$24,Cadrage!$E$24)))</f>
        <v>-0.05</v>
      </c>
      <c r="I226">
        <f>IF($A226="","",IF($D226="V01",Cadrage!$C$34,IF($D226="V02",Cadrage!$D$34,Cadrage!$E$34)))</f>
        <v>0.03</v>
      </c>
      <c r="J226">
        <f>IF($A226="","",IF($D226="V01",Cadrage!$C$35,IF($D226="V02",Cadrage!$D$35,Cadrage!$E$35)))</f>
        <v>0.03</v>
      </c>
      <c r="K226">
        <f>IF($A226="","",IF($D226="V01",Cadrage!$C$36,IF($D226="V02",Cadrage!$D$36,Cadrage!$E$36)))</f>
        <v>0.05</v>
      </c>
      <c r="L226">
        <f>IF($A226="","",IF($D226="V01",Cadrage!$C$37,IF($D226="V02",Cadrage!$D$37,Cadrage!$E$37)))</f>
        <v>0</v>
      </c>
      <c r="M226">
        <f>IF($A226="","",IF($D226="V01",Cadrage!$C$38,IF($D226="V02",Cadrage!$D$38,Cadrage!$E$38)))</f>
        <v>0.04</v>
      </c>
      <c r="N226">
        <f t="shared" si="1"/>
        <v>0.980622079131853</v>
      </c>
      <c r="O226">
        <f t="shared" si="2"/>
        <v>0.980622079131853</v>
      </c>
      <c r="P226">
        <f>IF($A226="","",IF($E226=1,$F226*$O226,PNL!G226))</f>
        <v>17414</v>
      </c>
      <c r="T226">
        <f t="shared" si="3"/>
        <v>0</v>
      </c>
    </row>
    <row r="227" ht="14.25" customHeight="1">
      <c r="A227" t="str">
        <f>IF(PNL!A227="","",PNL!A227)</f>
        <v>MBWAY_PAR</v>
      </c>
      <c r="B227" t="str">
        <f>IF(PNL!B227="","",PNL!B227)</f>
        <v>6231</v>
      </c>
      <c r="C227" t="str">
        <f>IF(PNL!C227="","",PNL!C227)</f>
        <v>2024</v>
      </c>
      <c r="D227" t="str">
        <f>IF(PNL!D227="","",PNL!D227)</f>
        <v>ACT</v>
      </c>
      <c r="E227">
        <f t="shared" si="0"/>
        <v>0</v>
      </c>
      <c r="F227">
        <f>IF($A227="","",IF($E227=1,_xlfn.SUMIFS(Comptabilité!$F$1:$F$1446,Comptabilité!$A$1:$A$1446,$A227,Comptabilité!$B$1:$B$1446,$B227,Comptabilité!$C$1:$C$1446,"2026"),0))</f>
        <v>0</v>
      </c>
      <c r="G227">
        <f>IF($A227="","",IF($D227="V01",Cadrage!$C$23,IF($D227="V02",Cadrage!$D$23,Cadrage!$E$23)))</f>
        <v>-0.05</v>
      </c>
      <c r="H227">
        <f>IF($A227="","",IF($D227="V01",Cadrage!$C$24,IF($D227="V02",Cadrage!$D$24,Cadrage!$E$24)))</f>
        <v>-0.05</v>
      </c>
      <c r="I227">
        <f>IF($A227="","",IF($D227="V01",Cadrage!$C$34,IF($D227="V02",Cadrage!$D$34,Cadrage!$E$34)))</f>
        <v>0.03</v>
      </c>
      <c r="J227">
        <f>IF($A227="","",IF($D227="V01",Cadrage!$C$35,IF($D227="V02",Cadrage!$D$35,Cadrage!$E$35)))</f>
        <v>0.03</v>
      </c>
      <c r="K227">
        <f>IF($A227="","",IF($D227="V01",Cadrage!$C$36,IF($D227="V02",Cadrage!$D$36,Cadrage!$E$36)))</f>
        <v>0.05</v>
      </c>
      <c r="L227">
        <f>IF($A227="","",IF($D227="V01",Cadrage!$C$37,IF($D227="V02",Cadrage!$D$37,Cadrage!$E$37)))</f>
        <v>0</v>
      </c>
      <c r="M227">
        <f>IF($A227="","",IF($D227="V01",Cadrage!$C$38,IF($D227="V02",Cadrage!$D$38,Cadrage!$E$38)))</f>
        <v>0.04</v>
      </c>
      <c r="N227">
        <f t="shared" si="1"/>
        <v>0.980622079131853</v>
      </c>
      <c r="O227">
        <f t="shared" si="2"/>
        <v>0.95</v>
      </c>
      <c r="P227">
        <f>IF($A227="","",IF($E227=1,$F227*$O227,PNL!G227))</f>
        <v>56438</v>
      </c>
      <c r="T227">
        <f t="shared" si="3"/>
        <v>0</v>
      </c>
    </row>
    <row r="228" ht="14.25" customHeight="1">
      <c r="A228" t="str">
        <f>IF(PNL!A228="","",PNL!A228)</f>
        <v>MBWAY_LYO</v>
      </c>
      <c r="B228" t="str">
        <f>IF(PNL!B228="","",PNL!B228)</f>
        <v>6231</v>
      </c>
      <c r="C228" t="str">
        <f>IF(PNL!C228="","",PNL!C228)</f>
        <v>2024</v>
      </c>
      <c r="D228" t="str">
        <f>IF(PNL!D228="","",PNL!D228)</f>
        <v>ACT</v>
      </c>
      <c r="E228">
        <f t="shared" si="0"/>
        <v>0</v>
      </c>
      <c r="F228">
        <f>IF($A228="","",IF($E228=1,_xlfn.SUMIFS(Comptabilité!$F$1:$F$1446,Comptabilité!$A$1:$A$1446,$A228,Comptabilité!$B$1:$B$1446,$B228,Comptabilité!$C$1:$C$1446,"2026"),0))</f>
        <v>0</v>
      </c>
      <c r="G228">
        <f>IF($A228="","",IF($D228="V01",Cadrage!$C$23,IF($D228="V02",Cadrage!$D$23,Cadrage!$E$23)))</f>
        <v>-0.05</v>
      </c>
      <c r="H228">
        <f>IF($A228="","",IF($D228="V01",Cadrage!$C$24,IF($D228="V02",Cadrage!$D$24,Cadrage!$E$24)))</f>
        <v>-0.05</v>
      </c>
      <c r="I228">
        <f>IF($A228="","",IF($D228="V01",Cadrage!$C$34,IF($D228="V02",Cadrage!$D$34,Cadrage!$E$34)))</f>
        <v>0.03</v>
      </c>
      <c r="J228">
        <f>IF($A228="","",IF($D228="V01",Cadrage!$C$35,IF($D228="V02",Cadrage!$D$35,Cadrage!$E$35)))</f>
        <v>0.03</v>
      </c>
      <c r="K228">
        <f>IF($A228="","",IF($D228="V01",Cadrage!$C$36,IF($D228="V02",Cadrage!$D$36,Cadrage!$E$36)))</f>
        <v>0.05</v>
      </c>
      <c r="L228">
        <f>IF($A228="","",IF($D228="V01",Cadrage!$C$37,IF($D228="V02",Cadrage!$D$37,Cadrage!$E$37)))</f>
        <v>0</v>
      </c>
      <c r="M228">
        <f>IF($A228="","",IF($D228="V01",Cadrage!$C$38,IF($D228="V02",Cadrage!$D$38,Cadrage!$E$38)))</f>
        <v>0.04</v>
      </c>
      <c r="N228">
        <f t="shared" si="1"/>
        <v>0.980622079131853</v>
      </c>
      <c r="O228">
        <f t="shared" si="2"/>
        <v>0.95</v>
      </c>
      <c r="P228">
        <f>IF($A228="","",IF($E228=1,$F228*$O228,PNL!G228))</f>
        <v>34532</v>
      </c>
      <c r="T228">
        <f t="shared" si="3"/>
        <v>0</v>
      </c>
    </row>
    <row r="229" ht="14.25" customHeight="1">
      <c r="A229" t="str">
        <f>IF(PNL!A229="","",PNL!A229)</f>
        <v>MBWAY_NAN</v>
      </c>
      <c r="B229" t="str">
        <f>IF(PNL!B229="","",PNL!B229)</f>
        <v>6231</v>
      </c>
      <c r="C229" t="str">
        <f>IF(PNL!C229="","",PNL!C229)</f>
        <v>2024</v>
      </c>
      <c r="D229" t="str">
        <f>IF(PNL!D229="","",PNL!D229)</f>
        <v>ACT</v>
      </c>
      <c r="E229">
        <f t="shared" si="0"/>
        <v>0</v>
      </c>
      <c r="F229">
        <f>IF($A229="","",IF($E229=1,_xlfn.SUMIFS(Comptabilité!$F$1:$F$1446,Comptabilité!$A$1:$A$1446,$A229,Comptabilité!$B$1:$B$1446,$B229,Comptabilité!$C$1:$C$1446,"2026"),0))</f>
        <v>0</v>
      </c>
      <c r="G229">
        <f>IF($A229="","",IF($D229="V01",Cadrage!$C$23,IF($D229="V02",Cadrage!$D$23,Cadrage!$E$23)))</f>
        <v>-0.05</v>
      </c>
      <c r="H229">
        <f>IF($A229="","",IF($D229="V01",Cadrage!$C$24,IF($D229="V02",Cadrage!$D$24,Cadrage!$E$24)))</f>
        <v>-0.05</v>
      </c>
      <c r="I229">
        <f>IF($A229="","",IF($D229="V01",Cadrage!$C$34,IF($D229="V02",Cadrage!$D$34,Cadrage!$E$34)))</f>
        <v>0.03</v>
      </c>
      <c r="J229">
        <f>IF($A229="","",IF($D229="V01",Cadrage!$C$35,IF($D229="V02",Cadrage!$D$35,Cadrage!$E$35)))</f>
        <v>0.03</v>
      </c>
      <c r="K229">
        <f>IF($A229="","",IF($D229="V01",Cadrage!$C$36,IF($D229="V02",Cadrage!$D$36,Cadrage!$E$36)))</f>
        <v>0.05</v>
      </c>
      <c r="L229">
        <f>IF($A229="","",IF($D229="V01",Cadrage!$C$37,IF($D229="V02",Cadrage!$D$37,Cadrage!$E$37)))</f>
        <v>0</v>
      </c>
      <c r="M229">
        <f>IF($A229="","",IF($D229="V01",Cadrage!$C$38,IF($D229="V02",Cadrage!$D$38,Cadrage!$E$38)))</f>
        <v>0.04</v>
      </c>
      <c r="N229">
        <f t="shared" si="1"/>
        <v>0.980622079131853</v>
      </c>
      <c r="O229">
        <f t="shared" si="2"/>
        <v>0.95</v>
      </c>
      <c r="P229">
        <f>IF($A229="","",IF($E229=1,$F229*$O229,PNL!G229))</f>
        <v>26060</v>
      </c>
      <c r="T229">
        <f t="shared" si="3"/>
        <v>0</v>
      </c>
    </row>
    <row r="230" ht="14.25" customHeight="1">
      <c r="A230" t="str">
        <f>IF(PNL!A230="","",PNL!A230)</f>
        <v>MBWAY_BOR</v>
      </c>
      <c r="B230" t="str">
        <f>IF(PNL!B230="","",PNL!B230)</f>
        <v>6231</v>
      </c>
      <c r="C230" t="str">
        <f>IF(PNL!C230="","",PNL!C230)</f>
        <v>2024</v>
      </c>
      <c r="D230" t="str">
        <f>IF(PNL!D230="","",PNL!D230)</f>
        <v>ACT</v>
      </c>
      <c r="E230">
        <f t="shared" si="0"/>
        <v>0</v>
      </c>
      <c r="F230">
        <f>IF($A230="","",IF($E230=1,_xlfn.SUMIFS(Comptabilité!$F$1:$F$1446,Comptabilité!$A$1:$A$1446,$A230,Comptabilité!$B$1:$B$1446,$B230,Comptabilité!$C$1:$C$1446,"2026"),0))</f>
        <v>0</v>
      </c>
      <c r="G230">
        <f>IF($A230="","",IF($D230="V01",Cadrage!$C$23,IF($D230="V02",Cadrage!$D$23,Cadrage!$E$23)))</f>
        <v>-0.05</v>
      </c>
      <c r="H230">
        <f>IF($A230="","",IF($D230="V01",Cadrage!$C$24,IF($D230="V02",Cadrage!$D$24,Cadrage!$E$24)))</f>
        <v>-0.05</v>
      </c>
      <c r="I230">
        <f>IF($A230="","",IF($D230="V01",Cadrage!$C$34,IF($D230="V02",Cadrage!$D$34,Cadrage!$E$34)))</f>
        <v>0.03</v>
      </c>
      <c r="J230">
        <f>IF($A230="","",IF($D230="V01",Cadrage!$C$35,IF($D230="V02",Cadrage!$D$35,Cadrage!$E$35)))</f>
        <v>0.03</v>
      </c>
      <c r="K230">
        <f>IF($A230="","",IF($D230="V01",Cadrage!$C$36,IF($D230="V02",Cadrage!$D$36,Cadrage!$E$36)))</f>
        <v>0.05</v>
      </c>
      <c r="L230">
        <f>IF($A230="","",IF($D230="V01",Cadrage!$C$37,IF($D230="V02",Cadrage!$D$37,Cadrage!$E$37)))</f>
        <v>0</v>
      </c>
      <c r="M230">
        <f>IF($A230="","",IF($D230="V01",Cadrage!$C$38,IF($D230="V02",Cadrage!$D$38,Cadrage!$E$38)))</f>
        <v>0.04</v>
      </c>
      <c r="N230">
        <f t="shared" si="1"/>
        <v>0.980622079131853</v>
      </c>
      <c r="O230">
        <f t="shared" si="2"/>
        <v>0.95</v>
      </c>
      <c r="P230">
        <f>IF($A230="","",IF($E230=1,$F230*$O230,PNL!G230))</f>
        <v>20597</v>
      </c>
      <c r="T230">
        <f t="shared" si="3"/>
        <v>0</v>
      </c>
    </row>
    <row r="231" ht="14.25" customHeight="1">
      <c r="A231" t="str">
        <f>IF(PNL!A231="","",PNL!A231)</f>
        <v>ISCOM_PAR</v>
      </c>
      <c r="B231" t="str">
        <f>IF(PNL!B231="","",PNL!B231)</f>
        <v>6231</v>
      </c>
      <c r="C231" t="str">
        <f>IF(PNL!C231="","",PNL!C231)</f>
        <v>2024</v>
      </c>
      <c r="D231" t="str">
        <f>IF(PNL!D231="","",PNL!D231)</f>
        <v>ACT</v>
      </c>
      <c r="E231">
        <f t="shared" si="0"/>
        <v>0</v>
      </c>
      <c r="F231">
        <f>IF($A231="","",IF($E231=1,_xlfn.SUMIFS(Comptabilité!$F$1:$F$1446,Comptabilité!$A$1:$A$1446,$A231,Comptabilité!$B$1:$B$1446,$B231,Comptabilité!$C$1:$C$1446,"2026"),0))</f>
        <v>0</v>
      </c>
      <c r="G231">
        <f>IF($A231="","",IF($D231="V01",Cadrage!$C$23,IF($D231="V02",Cadrage!$D$23,Cadrage!$E$23)))</f>
        <v>-0.05</v>
      </c>
      <c r="H231">
        <f>IF($A231="","",IF($D231="V01",Cadrage!$C$24,IF($D231="V02",Cadrage!$D$24,Cadrage!$E$24)))</f>
        <v>-0.05</v>
      </c>
      <c r="I231">
        <f>IF($A231="","",IF($D231="V01",Cadrage!$C$34,IF($D231="V02",Cadrage!$D$34,Cadrage!$E$34)))</f>
        <v>0.03</v>
      </c>
      <c r="J231">
        <f>IF($A231="","",IF($D231="V01",Cadrage!$C$35,IF($D231="V02",Cadrage!$D$35,Cadrage!$E$35)))</f>
        <v>0.03</v>
      </c>
      <c r="K231">
        <f>IF($A231="","",IF($D231="V01",Cadrage!$C$36,IF($D231="V02",Cadrage!$D$36,Cadrage!$E$36)))</f>
        <v>0.05</v>
      </c>
      <c r="L231">
        <f>IF($A231="","",IF($D231="V01",Cadrage!$C$37,IF($D231="V02",Cadrage!$D$37,Cadrage!$E$37)))</f>
        <v>0</v>
      </c>
      <c r="M231">
        <f>IF($A231="","",IF($D231="V01",Cadrage!$C$38,IF($D231="V02",Cadrage!$D$38,Cadrage!$E$38)))</f>
        <v>0.04</v>
      </c>
      <c r="N231">
        <f t="shared" si="1"/>
        <v>0.980622079131853</v>
      </c>
      <c r="O231">
        <f t="shared" si="2"/>
        <v>0.95</v>
      </c>
      <c r="P231">
        <f>IF($A231="","",IF($E231=1,$F231*$O231,PNL!G231))</f>
        <v>50248</v>
      </c>
      <c r="T231">
        <f t="shared" si="3"/>
        <v>0</v>
      </c>
    </row>
    <row r="232" ht="14.25" customHeight="1">
      <c r="A232" t="str">
        <f>IF(PNL!A232="","",PNL!A232)</f>
        <v>ISCOM_LIL</v>
      </c>
      <c r="B232" t="str">
        <f>IF(PNL!B232="","",PNL!B232)</f>
        <v>6231</v>
      </c>
      <c r="C232" t="str">
        <f>IF(PNL!C232="","",PNL!C232)</f>
        <v>2024</v>
      </c>
      <c r="D232" t="str">
        <f>IF(PNL!D232="","",PNL!D232)</f>
        <v>ACT</v>
      </c>
      <c r="E232">
        <f t="shared" si="0"/>
        <v>0</v>
      </c>
      <c r="F232">
        <f>IF($A232="","",IF($E232=1,_xlfn.SUMIFS(Comptabilité!$F$1:$F$1446,Comptabilité!$A$1:$A$1446,$A232,Comptabilité!$B$1:$B$1446,$B232,Comptabilité!$C$1:$C$1446,"2026"),0))</f>
        <v>0</v>
      </c>
      <c r="G232">
        <f>IF($A232="","",IF($D232="V01",Cadrage!$C$23,IF($D232="V02",Cadrage!$D$23,Cadrage!$E$23)))</f>
        <v>-0.05</v>
      </c>
      <c r="H232">
        <f>IF($A232="","",IF($D232="V01",Cadrage!$C$24,IF($D232="V02",Cadrage!$D$24,Cadrage!$E$24)))</f>
        <v>-0.05</v>
      </c>
      <c r="I232">
        <f>IF($A232="","",IF($D232="V01",Cadrage!$C$34,IF($D232="V02",Cadrage!$D$34,Cadrage!$E$34)))</f>
        <v>0.03</v>
      </c>
      <c r="J232">
        <f>IF($A232="","",IF($D232="V01",Cadrage!$C$35,IF($D232="V02",Cadrage!$D$35,Cadrage!$E$35)))</f>
        <v>0.03</v>
      </c>
      <c r="K232">
        <f>IF($A232="","",IF($D232="V01",Cadrage!$C$36,IF($D232="V02",Cadrage!$D$36,Cadrage!$E$36)))</f>
        <v>0.05</v>
      </c>
      <c r="L232">
        <f>IF($A232="","",IF($D232="V01",Cadrage!$C$37,IF($D232="V02",Cadrage!$D$37,Cadrage!$E$37)))</f>
        <v>0</v>
      </c>
      <c r="M232">
        <f>IF($A232="","",IF($D232="V01",Cadrage!$C$38,IF($D232="V02",Cadrage!$D$38,Cadrage!$E$38)))</f>
        <v>0.04</v>
      </c>
      <c r="N232">
        <f t="shared" si="1"/>
        <v>0.980622079131853</v>
      </c>
      <c r="O232">
        <f t="shared" si="2"/>
        <v>0.95</v>
      </c>
      <c r="P232">
        <f>IF($A232="","",IF($E232=1,$F232*$O232,PNL!G232))</f>
        <v>20843</v>
      </c>
      <c r="T232">
        <f t="shared" si="3"/>
        <v>0</v>
      </c>
    </row>
    <row r="233" ht="14.25" customHeight="1">
      <c r="A233" t="str">
        <f>IF(PNL!A233="","",PNL!A233)</f>
        <v>ISCOM_TLS</v>
      </c>
      <c r="B233" t="str">
        <f>IF(PNL!B233="","",PNL!B233)</f>
        <v>6231</v>
      </c>
      <c r="C233" t="str">
        <f>IF(PNL!C233="","",PNL!C233)</f>
        <v>2024</v>
      </c>
      <c r="D233" t="str">
        <f>IF(PNL!D233="","",PNL!D233)</f>
        <v>ACT</v>
      </c>
      <c r="E233">
        <f t="shared" si="0"/>
        <v>0</v>
      </c>
      <c r="F233">
        <f>IF($A233="","",IF($E233=1,_xlfn.SUMIFS(Comptabilité!$F$1:$F$1446,Comptabilité!$A$1:$A$1446,$A233,Comptabilité!$B$1:$B$1446,$B233,Comptabilité!$C$1:$C$1446,"2026"),0))</f>
        <v>0</v>
      </c>
      <c r="G233">
        <f>IF($A233="","",IF($D233="V01",Cadrage!$C$23,IF($D233="V02",Cadrage!$D$23,Cadrage!$E$23)))</f>
        <v>-0.05</v>
      </c>
      <c r="H233">
        <f>IF($A233="","",IF($D233="V01",Cadrage!$C$24,IF($D233="V02",Cadrage!$D$24,Cadrage!$E$24)))</f>
        <v>-0.05</v>
      </c>
      <c r="I233">
        <f>IF($A233="","",IF($D233="V01",Cadrage!$C$34,IF($D233="V02",Cadrage!$D$34,Cadrage!$E$34)))</f>
        <v>0.03</v>
      </c>
      <c r="J233">
        <f>IF($A233="","",IF($D233="V01",Cadrage!$C$35,IF($D233="V02",Cadrage!$D$35,Cadrage!$E$35)))</f>
        <v>0.03</v>
      </c>
      <c r="K233">
        <f>IF($A233="","",IF($D233="V01",Cadrage!$C$36,IF($D233="V02",Cadrage!$D$36,Cadrage!$E$36)))</f>
        <v>0.05</v>
      </c>
      <c r="L233">
        <f>IF($A233="","",IF($D233="V01",Cadrage!$C$37,IF($D233="V02",Cadrage!$D$37,Cadrage!$E$37)))</f>
        <v>0</v>
      </c>
      <c r="M233">
        <f>IF($A233="","",IF($D233="V01",Cadrage!$C$38,IF($D233="V02",Cadrage!$D$38,Cadrage!$E$38)))</f>
        <v>0.04</v>
      </c>
      <c r="N233">
        <f t="shared" si="1"/>
        <v>0.980622079131853</v>
      </c>
      <c r="O233">
        <f t="shared" si="2"/>
        <v>0.95</v>
      </c>
      <c r="P233">
        <f>IF($A233="","",IF($E233=1,$F233*$O233,PNL!G233))</f>
        <v>18251</v>
      </c>
      <c r="T233">
        <f t="shared" si="3"/>
        <v>0</v>
      </c>
    </row>
    <row r="234" ht="14.25" customHeight="1">
      <c r="A234" t="str">
        <f>IF(PNL!A234="","",PNL!A234)</f>
        <v>IPAC_NAN</v>
      </c>
      <c r="B234" t="str">
        <f>IF(PNL!B234="","",PNL!B234)</f>
        <v>6231</v>
      </c>
      <c r="C234" t="str">
        <f>IF(PNL!C234="","",PNL!C234)</f>
        <v>2024</v>
      </c>
      <c r="D234" t="str">
        <f>IF(PNL!D234="","",PNL!D234)</f>
        <v>ACT</v>
      </c>
      <c r="E234">
        <f t="shared" si="0"/>
        <v>0</v>
      </c>
      <c r="F234">
        <f>IF($A234="","",IF($E234=1,_xlfn.SUMIFS(Comptabilité!$F$1:$F$1446,Comptabilité!$A$1:$A$1446,$A234,Comptabilité!$B$1:$B$1446,$B234,Comptabilité!$C$1:$C$1446,"2026"),0))</f>
        <v>0</v>
      </c>
      <c r="G234">
        <f>IF($A234="","",IF($D234="V01",Cadrage!$C$23,IF($D234="V02",Cadrage!$D$23,Cadrage!$E$23)))</f>
        <v>-0.05</v>
      </c>
      <c r="H234">
        <f>IF($A234="","",IF($D234="V01",Cadrage!$C$24,IF($D234="V02",Cadrage!$D$24,Cadrage!$E$24)))</f>
        <v>-0.05</v>
      </c>
      <c r="I234">
        <f>IF($A234="","",IF($D234="V01",Cadrage!$C$34,IF($D234="V02",Cadrage!$D$34,Cadrage!$E$34)))</f>
        <v>0.03</v>
      </c>
      <c r="J234">
        <f>IF($A234="","",IF($D234="V01",Cadrage!$C$35,IF($D234="V02",Cadrage!$D$35,Cadrage!$E$35)))</f>
        <v>0.03</v>
      </c>
      <c r="K234">
        <f>IF($A234="","",IF($D234="V01",Cadrage!$C$36,IF($D234="V02",Cadrage!$D$36,Cadrage!$E$36)))</f>
        <v>0.05</v>
      </c>
      <c r="L234">
        <f>IF($A234="","",IF($D234="V01",Cadrage!$C$37,IF($D234="V02",Cadrage!$D$37,Cadrage!$E$37)))</f>
        <v>0</v>
      </c>
      <c r="M234">
        <f>IF($A234="","",IF($D234="V01",Cadrage!$C$38,IF($D234="V02",Cadrage!$D$38,Cadrage!$E$38)))</f>
        <v>0.04</v>
      </c>
      <c r="N234">
        <f t="shared" si="1"/>
        <v>0.980622079131853</v>
      </c>
      <c r="O234">
        <f t="shared" si="2"/>
        <v>0.95</v>
      </c>
      <c r="P234">
        <f>IF($A234="","",IF($E234=1,$F234*$O234,PNL!G234))</f>
        <v>17983</v>
      </c>
      <c r="T234">
        <f t="shared" si="3"/>
        <v>0</v>
      </c>
    </row>
    <row r="235" ht="14.25" customHeight="1">
      <c r="A235" t="str">
        <f>IF(PNL!A235="","",PNL!A235)</f>
        <v>IPAC_REN</v>
      </c>
      <c r="B235" t="str">
        <f>IF(PNL!B235="","",PNL!B235)</f>
        <v>6231</v>
      </c>
      <c r="C235" t="str">
        <f>IF(PNL!C235="","",PNL!C235)</f>
        <v>2024</v>
      </c>
      <c r="D235" t="str">
        <f>IF(PNL!D235="","",PNL!D235)</f>
        <v>ACT</v>
      </c>
      <c r="E235">
        <f t="shared" si="0"/>
        <v>0</v>
      </c>
      <c r="F235">
        <f>IF($A235="","",IF($E235=1,_xlfn.SUMIFS(Comptabilité!$F$1:$F$1446,Comptabilité!$A$1:$A$1446,$A235,Comptabilité!$B$1:$B$1446,$B235,Comptabilité!$C$1:$C$1446,"2026"),0))</f>
        <v>0</v>
      </c>
      <c r="G235">
        <f>IF($A235="","",IF($D235="V01",Cadrage!$C$23,IF($D235="V02",Cadrage!$D$23,Cadrage!$E$23)))</f>
        <v>-0.05</v>
      </c>
      <c r="H235">
        <f>IF($A235="","",IF($D235="V01",Cadrage!$C$24,IF($D235="V02",Cadrage!$D$24,Cadrage!$E$24)))</f>
        <v>-0.05</v>
      </c>
      <c r="I235">
        <f>IF($A235="","",IF($D235="V01",Cadrage!$C$34,IF($D235="V02",Cadrage!$D$34,Cadrage!$E$34)))</f>
        <v>0.03</v>
      </c>
      <c r="J235">
        <f>IF($A235="","",IF($D235="V01",Cadrage!$C$35,IF($D235="V02",Cadrage!$D$35,Cadrage!$E$35)))</f>
        <v>0.03</v>
      </c>
      <c r="K235">
        <f>IF($A235="","",IF($D235="V01",Cadrage!$C$36,IF($D235="V02",Cadrage!$D$36,Cadrage!$E$36)))</f>
        <v>0.05</v>
      </c>
      <c r="L235">
        <f>IF($A235="","",IF($D235="V01",Cadrage!$C$37,IF($D235="V02",Cadrage!$D$37,Cadrage!$E$37)))</f>
        <v>0</v>
      </c>
      <c r="M235">
        <f>IF($A235="","",IF($D235="V01",Cadrage!$C$38,IF($D235="V02",Cadrage!$D$38,Cadrage!$E$38)))</f>
        <v>0.04</v>
      </c>
      <c r="N235">
        <f t="shared" si="1"/>
        <v>0.980622079131853</v>
      </c>
      <c r="O235">
        <f t="shared" si="2"/>
        <v>0.95</v>
      </c>
      <c r="P235">
        <f>IF($A235="","",IF($E235=1,$F235*$O235,PNL!G235))</f>
        <v>12341</v>
      </c>
      <c r="T235">
        <f t="shared" si="3"/>
        <v>0</v>
      </c>
    </row>
    <row r="236" ht="14.25" customHeight="1">
      <c r="A236" t="str">
        <f>IF(PNL!A236="","",PNL!A236)</f>
        <v>IPAC_MTP</v>
      </c>
      <c r="B236" t="str">
        <f>IF(PNL!B236="","",PNL!B236)</f>
        <v>6231</v>
      </c>
      <c r="C236" t="str">
        <f>IF(PNL!C236="","",PNL!C236)</f>
        <v>2024</v>
      </c>
      <c r="D236" t="str">
        <f>IF(PNL!D236="","",PNL!D236)</f>
        <v>ACT</v>
      </c>
      <c r="E236">
        <f t="shared" si="0"/>
        <v>0</v>
      </c>
      <c r="F236">
        <f>IF($A236="","",IF($E236=1,_xlfn.SUMIFS(Comptabilité!$F$1:$F$1446,Comptabilité!$A$1:$A$1446,$A236,Comptabilité!$B$1:$B$1446,$B236,Comptabilité!$C$1:$C$1446,"2026"),0))</f>
        <v>0</v>
      </c>
      <c r="G236">
        <f>IF($A236="","",IF($D236="V01",Cadrage!$C$23,IF($D236="V02",Cadrage!$D$23,Cadrage!$E$23)))</f>
        <v>-0.05</v>
      </c>
      <c r="H236">
        <f>IF($A236="","",IF($D236="V01",Cadrage!$C$24,IF($D236="V02",Cadrage!$D$24,Cadrage!$E$24)))</f>
        <v>-0.05</v>
      </c>
      <c r="I236">
        <f>IF($A236="","",IF($D236="V01",Cadrage!$C$34,IF($D236="V02",Cadrage!$D$34,Cadrage!$E$34)))</f>
        <v>0.03</v>
      </c>
      <c r="J236">
        <f>IF($A236="","",IF($D236="V01",Cadrage!$C$35,IF($D236="V02",Cadrage!$D$35,Cadrage!$E$35)))</f>
        <v>0.03</v>
      </c>
      <c r="K236">
        <f>IF($A236="","",IF($D236="V01",Cadrage!$C$36,IF($D236="V02",Cadrage!$D$36,Cadrage!$E$36)))</f>
        <v>0.05</v>
      </c>
      <c r="L236">
        <f>IF($A236="","",IF($D236="V01",Cadrage!$C$37,IF($D236="V02",Cadrage!$D$37,Cadrage!$E$37)))</f>
        <v>0</v>
      </c>
      <c r="M236">
        <f>IF($A236="","",IF($D236="V01",Cadrage!$C$38,IF($D236="V02",Cadrage!$D$38,Cadrage!$E$38)))</f>
        <v>0.04</v>
      </c>
      <c r="N236">
        <f t="shared" si="1"/>
        <v>0.980622079131853</v>
      </c>
      <c r="O236">
        <f t="shared" si="2"/>
        <v>0.95</v>
      </c>
      <c r="P236">
        <f>IF($A236="","",IF($E236=1,$F236*$O236,PNL!G236))</f>
        <v>12543</v>
      </c>
      <c r="T236">
        <f t="shared" si="3"/>
        <v>0</v>
      </c>
    </row>
    <row r="237" ht="14.25" customHeight="1">
      <c r="A237" t="str">
        <f>IF(PNL!A237="","",PNL!A237)</f>
        <v>PIGIER_LYO</v>
      </c>
      <c r="B237" t="str">
        <f>IF(PNL!B237="","",PNL!B237)</f>
        <v>6231</v>
      </c>
      <c r="C237" t="str">
        <f>IF(PNL!C237="","",PNL!C237)</f>
        <v>2024</v>
      </c>
      <c r="D237" t="str">
        <f>IF(PNL!D237="","",PNL!D237)</f>
        <v>ACT</v>
      </c>
      <c r="E237">
        <f t="shared" si="0"/>
        <v>0</v>
      </c>
      <c r="F237">
        <f>IF($A237="","",IF($E237=1,_xlfn.SUMIFS(Comptabilité!$F$1:$F$1446,Comptabilité!$A$1:$A$1446,$A237,Comptabilité!$B$1:$B$1446,$B237,Comptabilité!$C$1:$C$1446,"2026"),0))</f>
        <v>0</v>
      </c>
      <c r="G237">
        <f>IF($A237="","",IF($D237="V01",Cadrage!$C$23,IF($D237="V02",Cadrage!$D$23,Cadrage!$E$23)))</f>
        <v>-0.05</v>
      </c>
      <c r="H237">
        <f>IF($A237="","",IF($D237="V01",Cadrage!$C$24,IF($D237="V02",Cadrage!$D$24,Cadrage!$E$24)))</f>
        <v>-0.05</v>
      </c>
      <c r="I237">
        <f>IF($A237="","",IF($D237="V01",Cadrage!$C$34,IF($D237="V02",Cadrage!$D$34,Cadrage!$E$34)))</f>
        <v>0.03</v>
      </c>
      <c r="J237">
        <f>IF($A237="","",IF($D237="V01",Cadrage!$C$35,IF($D237="V02",Cadrage!$D$35,Cadrage!$E$35)))</f>
        <v>0.03</v>
      </c>
      <c r="K237">
        <f>IF($A237="","",IF($D237="V01",Cadrage!$C$36,IF($D237="V02",Cadrage!$D$36,Cadrage!$E$36)))</f>
        <v>0.05</v>
      </c>
      <c r="L237">
        <f>IF($A237="","",IF($D237="V01",Cadrage!$C$37,IF($D237="V02",Cadrage!$D$37,Cadrage!$E$37)))</f>
        <v>0</v>
      </c>
      <c r="M237">
        <f>IF($A237="","",IF($D237="V01",Cadrage!$C$38,IF($D237="V02",Cadrage!$D$38,Cadrage!$E$38)))</f>
        <v>0.04</v>
      </c>
      <c r="N237">
        <f t="shared" si="1"/>
        <v>0.980622079131853</v>
      </c>
      <c r="O237">
        <f t="shared" si="2"/>
        <v>0.95</v>
      </c>
      <c r="P237">
        <f>IF($A237="","",IF($E237=1,$F237*$O237,PNL!G237))</f>
        <v>30258</v>
      </c>
      <c r="T237">
        <f t="shared" si="3"/>
        <v>0</v>
      </c>
    </row>
    <row r="238" ht="14.25" customHeight="1">
      <c r="A238" t="str">
        <f>IF(PNL!A238="","",PNL!A238)</f>
        <v>PIGIER_BOR</v>
      </c>
      <c r="B238" t="str">
        <f>IF(PNL!B238="","",PNL!B238)</f>
        <v>6231</v>
      </c>
      <c r="C238" t="str">
        <f>IF(PNL!C238="","",PNL!C238)</f>
        <v>2024</v>
      </c>
      <c r="D238" t="str">
        <f>IF(PNL!D238="","",PNL!D238)</f>
        <v>ACT</v>
      </c>
      <c r="E238">
        <f t="shared" si="0"/>
        <v>0</v>
      </c>
      <c r="F238">
        <f>IF($A238="","",IF($E238=1,_xlfn.SUMIFS(Comptabilité!$F$1:$F$1446,Comptabilité!$A$1:$A$1446,$A238,Comptabilité!$B$1:$B$1446,$B238,Comptabilité!$C$1:$C$1446,"2026"),0))</f>
        <v>0</v>
      </c>
      <c r="G238">
        <f>IF($A238="","",IF($D238="V01",Cadrage!$C$23,IF($D238="V02",Cadrage!$D$23,Cadrage!$E$23)))</f>
        <v>-0.05</v>
      </c>
      <c r="H238">
        <f>IF($A238="","",IF($D238="V01",Cadrage!$C$24,IF($D238="V02",Cadrage!$D$24,Cadrage!$E$24)))</f>
        <v>-0.05</v>
      </c>
      <c r="I238">
        <f>IF($A238="","",IF($D238="V01",Cadrage!$C$34,IF($D238="V02",Cadrage!$D$34,Cadrage!$E$34)))</f>
        <v>0.03</v>
      </c>
      <c r="J238">
        <f>IF($A238="","",IF($D238="V01",Cadrage!$C$35,IF($D238="V02",Cadrage!$D$35,Cadrage!$E$35)))</f>
        <v>0.03</v>
      </c>
      <c r="K238">
        <f>IF($A238="","",IF($D238="V01",Cadrage!$C$36,IF($D238="V02",Cadrage!$D$36,Cadrage!$E$36)))</f>
        <v>0.05</v>
      </c>
      <c r="L238">
        <f>IF($A238="","",IF($D238="V01",Cadrage!$C$37,IF($D238="V02",Cadrage!$D$37,Cadrage!$E$37)))</f>
        <v>0</v>
      </c>
      <c r="M238">
        <f>IF($A238="","",IF($D238="V01",Cadrage!$C$38,IF($D238="V02",Cadrage!$D$38,Cadrage!$E$38)))</f>
        <v>0.04</v>
      </c>
      <c r="N238">
        <f t="shared" si="1"/>
        <v>0.980622079131853</v>
      </c>
      <c r="O238">
        <f t="shared" si="2"/>
        <v>0.95</v>
      </c>
      <c r="P238">
        <f>IF($A238="","",IF($E238=1,$F238*$O238,PNL!G238))</f>
        <v>18155</v>
      </c>
      <c r="T238">
        <f t="shared" si="3"/>
        <v>0</v>
      </c>
    </row>
    <row r="239" ht="14.25" customHeight="1">
      <c r="A239" t="str">
        <f>IF(PNL!A239="","",PNL!A239)</f>
        <v>TUNON_PAR</v>
      </c>
      <c r="B239" t="str">
        <f>IF(PNL!B239="","",PNL!B239)</f>
        <v>6231</v>
      </c>
      <c r="C239" t="str">
        <f>IF(PNL!C239="","",PNL!C239)</f>
        <v>2024</v>
      </c>
      <c r="D239" t="str">
        <f>IF(PNL!D239="","",PNL!D239)</f>
        <v>ACT</v>
      </c>
      <c r="E239">
        <f t="shared" si="0"/>
        <v>0</v>
      </c>
      <c r="F239">
        <f>IF($A239="","",IF($E239=1,_xlfn.SUMIFS(Comptabilité!$F$1:$F$1446,Comptabilité!$A$1:$A$1446,$A239,Comptabilité!$B$1:$B$1446,$B239,Comptabilité!$C$1:$C$1446,"2026"),0))</f>
        <v>0</v>
      </c>
      <c r="G239">
        <f>IF($A239="","",IF($D239="V01",Cadrage!$C$23,IF($D239="V02",Cadrage!$D$23,Cadrage!$E$23)))</f>
        <v>-0.05</v>
      </c>
      <c r="H239">
        <f>IF($A239="","",IF($D239="V01",Cadrage!$C$24,IF($D239="V02",Cadrage!$D$24,Cadrage!$E$24)))</f>
        <v>-0.05</v>
      </c>
      <c r="I239">
        <f>IF($A239="","",IF($D239="V01",Cadrage!$C$34,IF($D239="V02",Cadrage!$D$34,Cadrage!$E$34)))</f>
        <v>0.03</v>
      </c>
      <c r="J239">
        <f>IF($A239="","",IF($D239="V01",Cadrage!$C$35,IF($D239="V02",Cadrage!$D$35,Cadrage!$E$35)))</f>
        <v>0.03</v>
      </c>
      <c r="K239">
        <f>IF($A239="","",IF($D239="V01",Cadrage!$C$36,IF($D239="V02",Cadrage!$D$36,Cadrage!$E$36)))</f>
        <v>0.05</v>
      </c>
      <c r="L239">
        <f>IF($A239="","",IF($D239="V01",Cadrage!$C$37,IF($D239="V02",Cadrage!$D$37,Cadrage!$E$37)))</f>
        <v>0</v>
      </c>
      <c r="M239">
        <f>IF($A239="","",IF($D239="V01",Cadrage!$C$38,IF($D239="V02",Cadrage!$D$38,Cadrage!$E$38)))</f>
        <v>0.04</v>
      </c>
      <c r="N239">
        <f t="shared" si="1"/>
        <v>0.980622079131853</v>
      </c>
      <c r="O239">
        <f t="shared" si="2"/>
        <v>0.95</v>
      </c>
      <c r="P239">
        <f>IF($A239="","",IF($E239=1,$F239*$O239,PNL!G239))</f>
        <v>24992</v>
      </c>
      <c r="T239">
        <f t="shared" si="3"/>
        <v>0</v>
      </c>
    </row>
    <row r="240" ht="14.25" customHeight="1">
      <c r="A240" t="str">
        <f>IF(PNL!A240="","",PNL!A240)</f>
        <v>TUNON_LYO</v>
      </c>
      <c r="B240" t="str">
        <f>IF(PNL!B240="","",PNL!B240)</f>
        <v>6231</v>
      </c>
      <c r="C240" t="str">
        <f>IF(PNL!C240="","",PNL!C240)</f>
        <v>2024</v>
      </c>
      <c r="D240" t="str">
        <f>IF(PNL!D240="","",PNL!D240)</f>
        <v>ACT</v>
      </c>
      <c r="E240">
        <f t="shared" si="0"/>
        <v>0</v>
      </c>
      <c r="F240">
        <f>IF($A240="","",IF($E240=1,_xlfn.SUMIFS(Comptabilité!$F$1:$F$1446,Comptabilité!$A$1:$A$1446,$A240,Comptabilité!$B$1:$B$1446,$B240,Comptabilité!$C$1:$C$1446,"2026"),0))</f>
        <v>0</v>
      </c>
      <c r="G240">
        <f>IF($A240="","",IF($D240="V01",Cadrage!$C$23,IF($D240="V02",Cadrage!$D$23,Cadrage!$E$23)))</f>
        <v>-0.05</v>
      </c>
      <c r="H240">
        <f>IF($A240="","",IF($D240="V01",Cadrage!$C$24,IF($D240="V02",Cadrage!$D$24,Cadrage!$E$24)))</f>
        <v>-0.05</v>
      </c>
      <c r="I240">
        <f>IF($A240="","",IF($D240="V01",Cadrage!$C$34,IF($D240="V02",Cadrage!$D$34,Cadrage!$E$34)))</f>
        <v>0.03</v>
      </c>
      <c r="J240">
        <f>IF($A240="","",IF($D240="V01",Cadrage!$C$35,IF($D240="V02",Cadrage!$D$35,Cadrage!$E$35)))</f>
        <v>0.03</v>
      </c>
      <c r="K240">
        <f>IF($A240="","",IF($D240="V01",Cadrage!$C$36,IF($D240="V02",Cadrage!$D$36,Cadrage!$E$36)))</f>
        <v>0.05</v>
      </c>
      <c r="L240">
        <f>IF($A240="","",IF($D240="V01",Cadrage!$C$37,IF($D240="V02",Cadrage!$D$37,Cadrage!$E$37)))</f>
        <v>0</v>
      </c>
      <c r="M240">
        <f>IF($A240="","",IF($D240="V01",Cadrage!$C$38,IF($D240="V02",Cadrage!$D$38,Cadrage!$E$38)))</f>
        <v>0.04</v>
      </c>
      <c r="N240">
        <f t="shared" si="1"/>
        <v>0.980622079131853</v>
      </c>
      <c r="O240">
        <f t="shared" si="2"/>
        <v>0.95</v>
      </c>
      <c r="P240">
        <f>IF($A240="","",IF($E240=1,$F240*$O240,PNL!G240))</f>
        <v>15578</v>
      </c>
      <c r="T240">
        <f t="shared" si="3"/>
        <v>0</v>
      </c>
    </row>
    <row r="241" ht="14.25" customHeight="1">
      <c r="A241" t="str">
        <f>IF(PNL!A241="","",PNL!A241)</f>
        <v>MBWAY_PAR</v>
      </c>
      <c r="B241" t="str">
        <f>IF(PNL!B241="","",PNL!B241)</f>
        <v>6231</v>
      </c>
      <c r="C241" t="str">
        <f>IF(PNL!C241="","",PNL!C241)</f>
        <v>2025</v>
      </c>
      <c r="D241" t="str">
        <f>IF(PNL!D241="","",PNL!D241)</f>
        <v>ACT</v>
      </c>
      <c r="E241">
        <f t="shared" si="0"/>
        <v>0</v>
      </c>
      <c r="F241">
        <f>IF($A241="","",IF($E241=1,_xlfn.SUMIFS(Comptabilité!$F$1:$F$1446,Comptabilité!$A$1:$A$1446,$A241,Comptabilité!$B$1:$B$1446,$B241,Comptabilité!$C$1:$C$1446,"2026"),0))</f>
        <v>0</v>
      </c>
      <c r="G241">
        <f>IF($A241="","",IF($D241="V01",Cadrage!$C$23,IF($D241="V02",Cadrage!$D$23,Cadrage!$E$23)))</f>
        <v>-0.05</v>
      </c>
      <c r="H241">
        <f>IF($A241="","",IF($D241="V01",Cadrage!$C$24,IF($D241="V02",Cadrage!$D$24,Cadrage!$E$24)))</f>
        <v>-0.05</v>
      </c>
      <c r="I241">
        <f>IF($A241="","",IF($D241="V01",Cadrage!$C$34,IF($D241="V02",Cadrage!$D$34,Cadrage!$E$34)))</f>
        <v>0.03</v>
      </c>
      <c r="J241">
        <f>IF($A241="","",IF($D241="V01",Cadrage!$C$35,IF($D241="V02",Cadrage!$D$35,Cadrage!$E$35)))</f>
        <v>0.03</v>
      </c>
      <c r="K241">
        <f>IF($A241="","",IF($D241="V01",Cadrage!$C$36,IF($D241="V02",Cadrage!$D$36,Cadrage!$E$36)))</f>
        <v>0.05</v>
      </c>
      <c r="L241">
        <f>IF($A241="","",IF($D241="V01",Cadrage!$C$37,IF($D241="V02",Cadrage!$D$37,Cadrage!$E$37)))</f>
        <v>0</v>
      </c>
      <c r="M241">
        <f>IF($A241="","",IF($D241="V01",Cadrage!$C$38,IF($D241="V02",Cadrage!$D$38,Cadrage!$E$38)))</f>
        <v>0.04</v>
      </c>
      <c r="N241">
        <f t="shared" si="1"/>
        <v>0.980622079131853</v>
      </c>
      <c r="O241">
        <f t="shared" si="2"/>
        <v>0.95</v>
      </c>
      <c r="P241">
        <f>IF($A241="","",IF($E241=1,$F241*$O241,PNL!G241))</f>
        <v>62082</v>
      </c>
      <c r="T241">
        <f t="shared" si="3"/>
        <v>0</v>
      </c>
    </row>
    <row r="242" ht="14.25" customHeight="1">
      <c r="A242" t="str">
        <f>IF(PNL!A242="","",PNL!A242)</f>
        <v>MBWAY_LYO</v>
      </c>
      <c r="B242" t="str">
        <f>IF(PNL!B242="","",PNL!B242)</f>
        <v>6231</v>
      </c>
      <c r="C242" t="str">
        <f>IF(PNL!C242="","",PNL!C242)</f>
        <v>2025</v>
      </c>
      <c r="D242" t="str">
        <f>IF(PNL!D242="","",PNL!D242)</f>
        <v>ACT</v>
      </c>
      <c r="E242">
        <f t="shared" si="0"/>
        <v>0</v>
      </c>
      <c r="F242">
        <f>IF($A242="","",IF($E242=1,_xlfn.SUMIFS(Comptabilité!$F$1:$F$1446,Comptabilité!$A$1:$A$1446,$A242,Comptabilité!$B$1:$B$1446,$B242,Comptabilité!$C$1:$C$1446,"2026"),0))</f>
        <v>0</v>
      </c>
      <c r="G242">
        <f>IF($A242="","",IF($D242="V01",Cadrage!$C$23,IF($D242="V02",Cadrage!$D$23,Cadrage!$E$23)))</f>
        <v>-0.05</v>
      </c>
      <c r="H242">
        <f>IF($A242="","",IF($D242="V01",Cadrage!$C$24,IF($D242="V02",Cadrage!$D$24,Cadrage!$E$24)))</f>
        <v>-0.05</v>
      </c>
      <c r="I242">
        <f>IF($A242="","",IF($D242="V01",Cadrage!$C$34,IF($D242="V02",Cadrage!$D$34,Cadrage!$E$34)))</f>
        <v>0.03</v>
      </c>
      <c r="J242">
        <f>IF($A242="","",IF($D242="V01",Cadrage!$C$35,IF($D242="V02",Cadrage!$D$35,Cadrage!$E$35)))</f>
        <v>0.03</v>
      </c>
      <c r="K242">
        <f>IF($A242="","",IF($D242="V01",Cadrage!$C$36,IF($D242="V02",Cadrage!$D$36,Cadrage!$E$36)))</f>
        <v>0.05</v>
      </c>
      <c r="L242">
        <f>IF($A242="","",IF($D242="V01",Cadrage!$C$37,IF($D242="V02",Cadrage!$D$37,Cadrage!$E$37)))</f>
        <v>0</v>
      </c>
      <c r="M242">
        <f>IF($A242="","",IF($D242="V01",Cadrage!$C$38,IF($D242="V02",Cadrage!$D$38,Cadrage!$E$38)))</f>
        <v>0.04</v>
      </c>
      <c r="N242">
        <f t="shared" si="1"/>
        <v>0.980622079131853</v>
      </c>
      <c r="O242">
        <f t="shared" si="2"/>
        <v>0.95</v>
      </c>
      <c r="P242">
        <f>IF($A242="","",IF($E242=1,$F242*$O242,PNL!G242))</f>
        <v>37985</v>
      </c>
      <c r="T242">
        <f t="shared" si="3"/>
        <v>0</v>
      </c>
    </row>
    <row r="243" ht="14.25" customHeight="1">
      <c r="A243" t="str">
        <f>IF(PNL!A243="","",PNL!A243)</f>
        <v>MBWAY_NAN</v>
      </c>
      <c r="B243" t="str">
        <f>IF(PNL!B243="","",PNL!B243)</f>
        <v>6231</v>
      </c>
      <c r="C243" t="str">
        <f>IF(PNL!C243="","",PNL!C243)</f>
        <v>2025</v>
      </c>
      <c r="D243" t="str">
        <f>IF(PNL!D243="","",PNL!D243)</f>
        <v>ACT</v>
      </c>
      <c r="E243">
        <f t="shared" si="0"/>
        <v>0</v>
      </c>
      <c r="F243">
        <f>IF($A243="","",IF($E243=1,_xlfn.SUMIFS(Comptabilité!$F$1:$F$1446,Comptabilité!$A$1:$A$1446,$A243,Comptabilité!$B$1:$B$1446,$B243,Comptabilité!$C$1:$C$1446,"2026"),0))</f>
        <v>0</v>
      </c>
      <c r="G243">
        <f>IF($A243="","",IF($D243="V01",Cadrage!$C$23,IF($D243="V02",Cadrage!$D$23,Cadrage!$E$23)))</f>
        <v>-0.05</v>
      </c>
      <c r="H243">
        <f>IF($A243="","",IF($D243="V01",Cadrage!$C$24,IF($D243="V02",Cadrage!$D$24,Cadrage!$E$24)))</f>
        <v>-0.05</v>
      </c>
      <c r="I243">
        <f>IF($A243="","",IF($D243="V01",Cadrage!$C$34,IF($D243="V02",Cadrage!$D$34,Cadrage!$E$34)))</f>
        <v>0.03</v>
      </c>
      <c r="J243">
        <f>IF($A243="","",IF($D243="V01",Cadrage!$C$35,IF($D243="V02",Cadrage!$D$35,Cadrage!$E$35)))</f>
        <v>0.03</v>
      </c>
      <c r="K243">
        <f>IF($A243="","",IF($D243="V01",Cadrage!$C$36,IF($D243="V02",Cadrage!$D$36,Cadrage!$E$36)))</f>
        <v>0.05</v>
      </c>
      <c r="L243">
        <f>IF($A243="","",IF($D243="V01",Cadrage!$C$37,IF($D243="V02",Cadrage!$D$37,Cadrage!$E$37)))</f>
        <v>0</v>
      </c>
      <c r="M243">
        <f>IF($A243="","",IF($D243="V01",Cadrage!$C$38,IF($D243="V02",Cadrage!$D$38,Cadrage!$E$38)))</f>
        <v>0.04</v>
      </c>
      <c r="N243">
        <f t="shared" si="1"/>
        <v>0.980622079131853</v>
      </c>
      <c r="O243">
        <f t="shared" si="2"/>
        <v>0.95</v>
      </c>
      <c r="P243">
        <f>IF($A243="","",IF($E243=1,$F243*$O243,PNL!G243))</f>
        <v>28666</v>
      </c>
      <c r="T243">
        <f t="shared" si="3"/>
        <v>0</v>
      </c>
    </row>
    <row r="244" ht="14.25" customHeight="1">
      <c r="A244" t="str">
        <f>IF(PNL!A244="","",PNL!A244)</f>
        <v>MBWAY_BOR</v>
      </c>
      <c r="B244" t="str">
        <f>IF(PNL!B244="","",PNL!B244)</f>
        <v>6231</v>
      </c>
      <c r="C244" t="str">
        <f>IF(PNL!C244="","",PNL!C244)</f>
        <v>2025</v>
      </c>
      <c r="D244" t="str">
        <f>IF(PNL!D244="","",PNL!D244)</f>
        <v>ACT</v>
      </c>
      <c r="E244">
        <f t="shared" si="0"/>
        <v>0</v>
      </c>
      <c r="F244">
        <f>IF($A244="","",IF($E244=1,_xlfn.SUMIFS(Comptabilité!$F$1:$F$1446,Comptabilité!$A$1:$A$1446,$A244,Comptabilité!$B$1:$B$1446,$B244,Comptabilité!$C$1:$C$1446,"2026"),0))</f>
        <v>0</v>
      </c>
      <c r="G244">
        <f>IF($A244="","",IF($D244="V01",Cadrage!$C$23,IF($D244="V02",Cadrage!$D$23,Cadrage!$E$23)))</f>
        <v>-0.05</v>
      </c>
      <c r="H244">
        <f>IF($A244="","",IF($D244="V01",Cadrage!$C$24,IF($D244="V02",Cadrage!$D$24,Cadrage!$E$24)))</f>
        <v>-0.05</v>
      </c>
      <c r="I244">
        <f>IF($A244="","",IF($D244="V01",Cadrage!$C$34,IF($D244="V02",Cadrage!$D$34,Cadrage!$E$34)))</f>
        <v>0.03</v>
      </c>
      <c r="J244">
        <f>IF($A244="","",IF($D244="V01",Cadrage!$C$35,IF($D244="V02",Cadrage!$D$35,Cadrage!$E$35)))</f>
        <v>0.03</v>
      </c>
      <c r="K244">
        <f>IF($A244="","",IF($D244="V01",Cadrage!$C$36,IF($D244="V02",Cadrage!$D$36,Cadrage!$E$36)))</f>
        <v>0.05</v>
      </c>
      <c r="L244">
        <f>IF($A244="","",IF($D244="V01",Cadrage!$C$37,IF($D244="V02",Cadrage!$D$37,Cadrage!$E$37)))</f>
        <v>0</v>
      </c>
      <c r="M244">
        <f>IF($A244="","",IF($D244="V01",Cadrage!$C$38,IF($D244="V02",Cadrage!$D$38,Cadrage!$E$38)))</f>
        <v>0.04</v>
      </c>
      <c r="N244">
        <f t="shared" si="1"/>
        <v>0.980622079131853</v>
      </c>
      <c r="O244">
        <f t="shared" si="2"/>
        <v>0.95</v>
      </c>
      <c r="P244">
        <f>IF($A244="","",IF($E244=1,$F244*$O244,PNL!G244))</f>
        <v>22657</v>
      </c>
      <c r="T244">
        <f t="shared" si="3"/>
        <v>0</v>
      </c>
    </row>
    <row r="245" ht="14.25" customHeight="1">
      <c r="A245" t="str">
        <f>IF(PNL!A245="","",PNL!A245)</f>
        <v>ISCOM_PAR</v>
      </c>
      <c r="B245" t="str">
        <f>IF(PNL!B245="","",PNL!B245)</f>
        <v>6231</v>
      </c>
      <c r="C245" t="str">
        <f>IF(PNL!C245="","",PNL!C245)</f>
        <v>2025</v>
      </c>
      <c r="D245" t="str">
        <f>IF(PNL!D245="","",PNL!D245)</f>
        <v>ACT</v>
      </c>
      <c r="E245">
        <f t="shared" si="0"/>
        <v>0</v>
      </c>
      <c r="F245">
        <f>IF($A245="","",IF($E245=1,_xlfn.SUMIFS(Comptabilité!$F$1:$F$1446,Comptabilité!$A$1:$A$1446,$A245,Comptabilité!$B$1:$B$1446,$B245,Comptabilité!$C$1:$C$1446,"2026"),0))</f>
        <v>0</v>
      </c>
      <c r="G245">
        <f>IF($A245="","",IF($D245="V01",Cadrage!$C$23,IF($D245="V02",Cadrage!$D$23,Cadrage!$E$23)))</f>
        <v>-0.05</v>
      </c>
      <c r="H245">
        <f>IF($A245="","",IF($D245="V01",Cadrage!$C$24,IF($D245="V02",Cadrage!$D$24,Cadrage!$E$24)))</f>
        <v>-0.05</v>
      </c>
      <c r="I245">
        <f>IF($A245="","",IF($D245="V01",Cadrage!$C$34,IF($D245="V02",Cadrage!$D$34,Cadrage!$E$34)))</f>
        <v>0.03</v>
      </c>
      <c r="J245">
        <f>IF($A245="","",IF($D245="V01",Cadrage!$C$35,IF($D245="V02",Cadrage!$D$35,Cadrage!$E$35)))</f>
        <v>0.03</v>
      </c>
      <c r="K245">
        <f>IF($A245="","",IF($D245="V01",Cadrage!$C$36,IF($D245="V02",Cadrage!$D$36,Cadrage!$E$36)))</f>
        <v>0.05</v>
      </c>
      <c r="L245">
        <f>IF($A245="","",IF($D245="V01",Cadrage!$C$37,IF($D245="V02",Cadrage!$D$37,Cadrage!$E$37)))</f>
        <v>0</v>
      </c>
      <c r="M245">
        <f>IF($A245="","",IF($D245="V01",Cadrage!$C$38,IF($D245="V02",Cadrage!$D$38,Cadrage!$E$38)))</f>
        <v>0.04</v>
      </c>
      <c r="N245">
        <f t="shared" si="1"/>
        <v>0.980622079131853</v>
      </c>
      <c r="O245">
        <f t="shared" si="2"/>
        <v>0.95</v>
      </c>
      <c r="P245">
        <f>IF($A245="","",IF($E245=1,$F245*$O245,PNL!G245))</f>
        <v>55272</v>
      </c>
      <c r="T245">
        <f t="shared" si="3"/>
        <v>0</v>
      </c>
    </row>
    <row r="246" ht="14.25" customHeight="1">
      <c r="A246" t="str">
        <f>IF(PNL!A246="","",PNL!A246)</f>
        <v>ISCOM_LIL</v>
      </c>
      <c r="B246" t="str">
        <f>IF(PNL!B246="","",PNL!B246)</f>
        <v>6231</v>
      </c>
      <c r="C246" t="str">
        <f>IF(PNL!C246="","",PNL!C246)</f>
        <v>2025</v>
      </c>
      <c r="D246" t="str">
        <f>IF(PNL!D246="","",PNL!D246)</f>
        <v>ACT</v>
      </c>
      <c r="E246">
        <f t="shared" si="0"/>
        <v>0</v>
      </c>
      <c r="F246">
        <f>IF($A246="","",IF($E246=1,_xlfn.SUMIFS(Comptabilité!$F$1:$F$1446,Comptabilité!$A$1:$A$1446,$A246,Comptabilité!$B$1:$B$1446,$B246,Comptabilité!$C$1:$C$1446,"2026"),0))</f>
        <v>0</v>
      </c>
      <c r="G246">
        <f>IF($A246="","",IF($D246="V01",Cadrage!$C$23,IF($D246="V02",Cadrage!$D$23,Cadrage!$E$23)))</f>
        <v>-0.05</v>
      </c>
      <c r="H246">
        <f>IF($A246="","",IF($D246="V01",Cadrage!$C$24,IF($D246="V02",Cadrage!$D$24,Cadrage!$E$24)))</f>
        <v>-0.05</v>
      </c>
      <c r="I246">
        <f>IF($A246="","",IF($D246="V01",Cadrage!$C$34,IF($D246="V02",Cadrage!$D$34,Cadrage!$E$34)))</f>
        <v>0.03</v>
      </c>
      <c r="J246">
        <f>IF($A246="","",IF($D246="V01",Cadrage!$C$35,IF($D246="V02",Cadrage!$D$35,Cadrage!$E$35)))</f>
        <v>0.03</v>
      </c>
      <c r="K246">
        <f>IF($A246="","",IF($D246="V01",Cadrage!$C$36,IF($D246="V02",Cadrage!$D$36,Cadrage!$E$36)))</f>
        <v>0.05</v>
      </c>
      <c r="L246">
        <f>IF($A246="","",IF($D246="V01",Cadrage!$C$37,IF($D246="V02",Cadrage!$D$37,Cadrage!$E$37)))</f>
        <v>0</v>
      </c>
      <c r="M246">
        <f>IF($A246="","",IF($D246="V01",Cadrage!$C$38,IF($D246="V02",Cadrage!$D$38,Cadrage!$E$38)))</f>
        <v>0.04</v>
      </c>
      <c r="N246">
        <f t="shared" si="1"/>
        <v>0.980622079131853</v>
      </c>
      <c r="O246">
        <f t="shared" si="2"/>
        <v>0.95</v>
      </c>
      <c r="P246">
        <f>IF($A246="","",IF($E246=1,$F246*$O246,PNL!G246))</f>
        <v>22927</v>
      </c>
      <c r="T246">
        <f t="shared" si="3"/>
        <v>0</v>
      </c>
    </row>
    <row r="247" ht="14.25" customHeight="1">
      <c r="A247" t="str">
        <f>IF(PNL!A247="","",PNL!A247)</f>
        <v>ISCOM_TLS</v>
      </c>
      <c r="B247" t="str">
        <f>IF(PNL!B247="","",PNL!B247)</f>
        <v>6231</v>
      </c>
      <c r="C247" t="str">
        <f>IF(PNL!C247="","",PNL!C247)</f>
        <v>2025</v>
      </c>
      <c r="D247" t="str">
        <f>IF(PNL!D247="","",PNL!D247)</f>
        <v>ACT</v>
      </c>
      <c r="E247">
        <f t="shared" si="0"/>
        <v>0</v>
      </c>
      <c r="F247">
        <f>IF($A247="","",IF($E247=1,_xlfn.SUMIFS(Comptabilité!$F$1:$F$1446,Comptabilité!$A$1:$A$1446,$A247,Comptabilité!$B$1:$B$1446,$B247,Comptabilité!$C$1:$C$1446,"2026"),0))</f>
        <v>0</v>
      </c>
      <c r="G247">
        <f>IF($A247="","",IF($D247="V01",Cadrage!$C$23,IF($D247="V02",Cadrage!$D$23,Cadrage!$E$23)))</f>
        <v>-0.05</v>
      </c>
      <c r="H247">
        <f>IF($A247="","",IF($D247="V01",Cadrage!$C$24,IF($D247="V02",Cadrage!$D$24,Cadrage!$E$24)))</f>
        <v>-0.05</v>
      </c>
      <c r="I247">
        <f>IF($A247="","",IF($D247="V01",Cadrage!$C$34,IF($D247="V02",Cadrage!$D$34,Cadrage!$E$34)))</f>
        <v>0.03</v>
      </c>
      <c r="J247">
        <f>IF($A247="","",IF($D247="V01",Cadrage!$C$35,IF($D247="V02",Cadrage!$D$35,Cadrage!$E$35)))</f>
        <v>0.03</v>
      </c>
      <c r="K247">
        <f>IF($A247="","",IF($D247="V01",Cadrage!$C$36,IF($D247="V02",Cadrage!$D$36,Cadrage!$E$36)))</f>
        <v>0.05</v>
      </c>
      <c r="L247">
        <f>IF($A247="","",IF($D247="V01",Cadrage!$C$37,IF($D247="V02",Cadrage!$D$37,Cadrage!$E$37)))</f>
        <v>0</v>
      </c>
      <c r="M247">
        <f>IF($A247="","",IF($D247="V01",Cadrage!$C$38,IF($D247="V02",Cadrage!$D$38,Cadrage!$E$38)))</f>
        <v>0.04</v>
      </c>
      <c r="N247">
        <f t="shared" si="1"/>
        <v>0.980622079131853</v>
      </c>
      <c r="O247">
        <f t="shared" si="2"/>
        <v>0.95</v>
      </c>
      <c r="P247">
        <f>IF($A247="","",IF($E247=1,$F247*$O247,PNL!G247))</f>
        <v>20076</v>
      </c>
      <c r="T247">
        <f t="shared" si="3"/>
        <v>0</v>
      </c>
    </row>
    <row r="248" ht="14.25" customHeight="1">
      <c r="A248" t="str">
        <f>IF(PNL!A248="","",PNL!A248)</f>
        <v>IPAC_NAN</v>
      </c>
      <c r="B248" t="str">
        <f>IF(PNL!B248="","",PNL!B248)</f>
        <v>6231</v>
      </c>
      <c r="C248" t="str">
        <f>IF(PNL!C248="","",PNL!C248)</f>
        <v>2025</v>
      </c>
      <c r="D248" t="str">
        <f>IF(PNL!D248="","",PNL!D248)</f>
        <v>ACT</v>
      </c>
      <c r="E248">
        <f t="shared" si="0"/>
        <v>0</v>
      </c>
      <c r="F248">
        <f>IF($A248="","",IF($E248=1,_xlfn.SUMIFS(Comptabilité!$F$1:$F$1446,Comptabilité!$A$1:$A$1446,$A248,Comptabilité!$B$1:$B$1446,$B248,Comptabilité!$C$1:$C$1446,"2026"),0))</f>
        <v>0</v>
      </c>
      <c r="G248">
        <f>IF($A248="","",IF($D248="V01",Cadrage!$C$23,IF($D248="V02",Cadrage!$D$23,Cadrage!$E$23)))</f>
        <v>-0.05</v>
      </c>
      <c r="H248">
        <f>IF($A248="","",IF($D248="V01",Cadrage!$C$24,IF($D248="V02",Cadrage!$D$24,Cadrage!$E$24)))</f>
        <v>-0.05</v>
      </c>
      <c r="I248">
        <f>IF($A248="","",IF($D248="V01",Cadrage!$C$34,IF($D248="V02",Cadrage!$D$34,Cadrage!$E$34)))</f>
        <v>0.03</v>
      </c>
      <c r="J248">
        <f>IF($A248="","",IF($D248="V01",Cadrage!$C$35,IF($D248="V02",Cadrage!$D$35,Cadrage!$E$35)))</f>
        <v>0.03</v>
      </c>
      <c r="K248">
        <f>IF($A248="","",IF($D248="V01",Cadrage!$C$36,IF($D248="V02",Cadrage!$D$36,Cadrage!$E$36)))</f>
        <v>0.05</v>
      </c>
      <c r="L248">
        <f>IF($A248="","",IF($D248="V01",Cadrage!$C$37,IF($D248="V02",Cadrage!$D$37,Cadrage!$E$37)))</f>
        <v>0</v>
      </c>
      <c r="M248">
        <f>IF($A248="","",IF($D248="V01",Cadrage!$C$38,IF($D248="V02",Cadrage!$D$38,Cadrage!$E$38)))</f>
        <v>0.04</v>
      </c>
      <c r="N248">
        <f t="shared" si="1"/>
        <v>0.980622079131853</v>
      </c>
      <c r="O248">
        <f t="shared" si="2"/>
        <v>0.95</v>
      </c>
      <c r="P248">
        <f>IF($A248="","",IF($E248=1,$F248*$O248,PNL!G248))</f>
        <v>19782</v>
      </c>
      <c r="T248">
        <f t="shared" si="3"/>
        <v>0</v>
      </c>
    </row>
    <row r="249" ht="14.25" customHeight="1">
      <c r="A249" t="str">
        <f>IF(PNL!A249="","",PNL!A249)</f>
        <v>IPAC_REN</v>
      </c>
      <c r="B249" t="str">
        <f>IF(PNL!B249="","",PNL!B249)</f>
        <v>6231</v>
      </c>
      <c r="C249" t="str">
        <f>IF(PNL!C249="","",PNL!C249)</f>
        <v>2025</v>
      </c>
      <c r="D249" t="str">
        <f>IF(PNL!D249="","",PNL!D249)</f>
        <v>ACT</v>
      </c>
      <c r="E249">
        <f t="shared" si="0"/>
        <v>0</v>
      </c>
      <c r="F249">
        <f>IF($A249="","",IF($E249=1,_xlfn.SUMIFS(Comptabilité!$F$1:$F$1446,Comptabilité!$A$1:$A$1446,$A249,Comptabilité!$B$1:$B$1446,$B249,Comptabilité!$C$1:$C$1446,"2026"),0))</f>
        <v>0</v>
      </c>
      <c r="G249">
        <f>IF($A249="","",IF($D249="V01",Cadrage!$C$23,IF($D249="V02",Cadrage!$D$23,Cadrage!$E$23)))</f>
        <v>-0.05</v>
      </c>
      <c r="H249">
        <f>IF($A249="","",IF($D249="V01",Cadrage!$C$24,IF($D249="V02",Cadrage!$D$24,Cadrage!$E$24)))</f>
        <v>-0.05</v>
      </c>
      <c r="I249">
        <f>IF($A249="","",IF($D249="V01",Cadrage!$C$34,IF($D249="V02",Cadrage!$D$34,Cadrage!$E$34)))</f>
        <v>0.03</v>
      </c>
      <c r="J249">
        <f>IF($A249="","",IF($D249="V01",Cadrage!$C$35,IF($D249="V02",Cadrage!$D$35,Cadrage!$E$35)))</f>
        <v>0.03</v>
      </c>
      <c r="K249">
        <f>IF($A249="","",IF($D249="V01",Cadrage!$C$36,IF($D249="V02",Cadrage!$D$36,Cadrage!$E$36)))</f>
        <v>0.05</v>
      </c>
      <c r="L249">
        <f>IF($A249="","",IF($D249="V01",Cadrage!$C$37,IF($D249="V02",Cadrage!$D$37,Cadrage!$E$37)))</f>
        <v>0</v>
      </c>
      <c r="M249">
        <f>IF($A249="","",IF($D249="V01",Cadrage!$C$38,IF($D249="V02",Cadrage!$D$38,Cadrage!$E$38)))</f>
        <v>0.04</v>
      </c>
      <c r="N249">
        <f t="shared" si="1"/>
        <v>0.980622079131853</v>
      </c>
      <c r="O249">
        <f t="shared" si="2"/>
        <v>0.95</v>
      </c>
      <c r="P249">
        <f>IF($A249="","",IF($E249=1,$F249*$O249,PNL!G249))</f>
        <v>13575</v>
      </c>
      <c r="T249">
        <f t="shared" si="3"/>
        <v>0</v>
      </c>
    </row>
    <row r="250" ht="14.25" customHeight="1">
      <c r="A250" t="str">
        <f>IF(PNL!A250="","",PNL!A250)</f>
        <v>IPAC_MTP</v>
      </c>
      <c r="B250" t="str">
        <f>IF(PNL!B250="","",PNL!B250)</f>
        <v>6231</v>
      </c>
      <c r="C250" t="str">
        <f>IF(PNL!C250="","",PNL!C250)</f>
        <v>2025</v>
      </c>
      <c r="D250" t="str">
        <f>IF(PNL!D250="","",PNL!D250)</f>
        <v>ACT</v>
      </c>
      <c r="E250">
        <f t="shared" si="0"/>
        <v>0</v>
      </c>
      <c r="F250">
        <f>IF($A250="","",IF($E250=1,_xlfn.SUMIFS(Comptabilité!$F$1:$F$1446,Comptabilité!$A$1:$A$1446,$A250,Comptabilité!$B$1:$B$1446,$B250,Comptabilité!$C$1:$C$1446,"2026"),0))</f>
        <v>0</v>
      </c>
      <c r="G250">
        <f>IF($A250="","",IF($D250="V01",Cadrage!$C$23,IF($D250="V02",Cadrage!$D$23,Cadrage!$E$23)))</f>
        <v>-0.05</v>
      </c>
      <c r="H250">
        <f>IF($A250="","",IF($D250="V01",Cadrage!$C$24,IF($D250="V02",Cadrage!$D$24,Cadrage!$E$24)))</f>
        <v>-0.05</v>
      </c>
      <c r="I250">
        <f>IF($A250="","",IF($D250="V01",Cadrage!$C$34,IF($D250="V02",Cadrage!$D$34,Cadrage!$E$34)))</f>
        <v>0.03</v>
      </c>
      <c r="J250">
        <f>IF($A250="","",IF($D250="V01",Cadrage!$C$35,IF($D250="V02",Cadrage!$D$35,Cadrage!$E$35)))</f>
        <v>0.03</v>
      </c>
      <c r="K250">
        <f>IF($A250="","",IF($D250="V01",Cadrage!$C$36,IF($D250="V02",Cadrage!$D$36,Cadrage!$E$36)))</f>
        <v>0.05</v>
      </c>
      <c r="L250">
        <f>IF($A250="","",IF($D250="V01",Cadrage!$C$37,IF($D250="V02",Cadrage!$D$37,Cadrage!$E$37)))</f>
        <v>0</v>
      </c>
      <c r="M250">
        <f>IF($A250="","",IF($D250="V01",Cadrage!$C$38,IF($D250="V02",Cadrage!$D$38,Cadrage!$E$38)))</f>
        <v>0.04</v>
      </c>
      <c r="N250">
        <f t="shared" si="1"/>
        <v>0.980622079131853</v>
      </c>
      <c r="O250">
        <f t="shared" si="2"/>
        <v>0.95</v>
      </c>
      <c r="P250">
        <f>IF($A250="","",IF($E250=1,$F250*$O250,PNL!G250))</f>
        <v>13798</v>
      </c>
      <c r="T250">
        <f t="shared" si="3"/>
        <v>0</v>
      </c>
    </row>
    <row r="251" ht="14.25" customHeight="1">
      <c r="A251" t="str">
        <f>IF(PNL!A251="","",PNL!A251)</f>
        <v>PIGIER_LYO</v>
      </c>
      <c r="B251" t="str">
        <f>IF(PNL!B251="","",PNL!B251)</f>
        <v>6231</v>
      </c>
      <c r="C251" t="str">
        <f>IF(PNL!C251="","",PNL!C251)</f>
        <v>2025</v>
      </c>
      <c r="D251" t="str">
        <f>IF(PNL!D251="","",PNL!D251)</f>
        <v>ACT</v>
      </c>
      <c r="E251">
        <f t="shared" si="0"/>
        <v>0</v>
      </c>
      <c r="F251">
        <f>IF($A251="","",IF($E251=1,_xlfn.SUMIFS(Comptabilité!$F$1:$F$1446,Comptabilité!$A$1:$A$1446,$A251,Comptabilité!$B$1:$B$1446,$B251,Comptabilité!$C$1:$C$1446,"2026"),0))</f>
        <v>0</v>
      </c>
      <c r="G251">
        <f>IF($A251="","",IF($D251="V01",Cadrage!$C$23,IF($D251="V02",Cadrage!$D$23,Cadrage!$E$23)))</f>
        <v>-0.05</v>
      </c>
      <c r="H251">
        <f>IF($A251="","",IF($D251="V01",Cadrage!$C$24,IF($D251="V02",Cadrage!$D$24,Cadrage!$E$24)))</f>
        <v>-0.05</v>
      </c>
      <c r="I251">
        <f>IF($A251="","",IF($D251="V01",Cadrage!$C$34,IF($D251="V02",Cadrage!$D$34,Cadrage!$E$34)))</f>
        <v>0.03</v>
      </c>
      <c r="J251">
        <f>IF($A251="","",IF($D251="V01",Cadrage!$C$35,IF($D251="V02",Cadrage!$D$35,Cadrage!$E$35)))</f>
        <v>0.03</v>
      </c>
      <c r="K251">
        <f>IF($A251="","",IF($D251="V01",Cadrage!$C$36,IF($D251="V02",Cadrage!$D$36,Cadrage!$E$36)))</f>
        <v>0.05</v>
      </c>
      <c r="L251">
        <f>IF($A251="","",IF($D251="V01",Cadrage!$C$37,IF($D251="V02",Cadrage!$D$37,Cadrage!$E$37)))</f>
        <v>0</v>
      </c>
      <c r="M251">
        <f>IF($A251="","",IF($D251="V01",Cadrage!$C$38,IF($D251="V02",Cadrage!$D$38,Cadrage!$E$38)))</f>
        <v>0.04</v>
      </c>
      <c r="N251">
        <f t="shared" si="1"/>
        <v>0.980622079131853</v>
      </c>
      <c r="O251">
        <f t="shared" si="2"/>
        <v>0.95</v>
      </c>
      <c r="P251">
        <f>IF($A251="","",IF($E251=1,$F251*$O251,PNL!G251))</f>
        <v>33284</v>
      </c>
      <c r="T251">
        <f t="shared" si="3"/>
        <v>0</v>
      </c>
    </row>
    <row r="252" ht="14.25" customHeight="1">
      <c r="A252" t="str">
        <f>IF(PNL!A252="","",PNL!A252)</f>
        <v>PIGIER_BOR</v>
      </c>
      <c r="B252" t="str">
        <f>IF(PNL!B252="","",PNL!B252)</f>
        <v>6231</v>
      </c>
      <c r="C252" t="str">
        <f>IF(PNL!C252="","",PNL!C252)</f>
        <v>2025</v>
      </c>
      <c r="D252" t="str">
        <f>IF(PNL!D252="","",PNL!D252)</f>
        <v>ACT</v>
      </c>
      <c r="E252">
        <f t="shared" si="0"/>
        <v>0</v>
      </c>
      <c r="F252">
        <f>IF($A252="","",IF($E252=1,_xlfn.SUMIFS(Comptabilité!$F$1:$F$1446,Comptabilité!$A$1:$A$1446,$A252,Comptabilité!$B$1:$B$1446,$B252,Comptabilité!$C$1:$C$1446,"2026"),0))</f>
        <v>0</v>
      </c>
      <c r="G252">
        <f>IF($A252="","",IF($D252="V01",Cadrage!$C$23,IF($D252="V02",Cadrage!$D$23,Cadrage!$E$23)))</f>
        <v>-0.05</v>
      </c>
      <c r="H252">
        <f>IF($A252="","",IF($D252="V01",Cadrage!$C$24,IF($D252="V02",Cadrage!$D$24,Cadrage!$E$24)))</f>
        <v>-0.05</v>
      </c>
      <c r="I252">
        <f>IF($A252="","",IF($D252="V01",Cadrage!$C$34,IF($D252="V02",Cadrage!$D$34,Cadrage!$E$34)))</f>
        <v>0.03</v>
      </c>
      <c r="J252">
        <f>IF($A252="","",IF($D252="V01",Cadrage!$C$35,IF($D252="V02",Cadrage!$D$35,Cadrage!$E$35)))</f>
        <v>0.03</v>
      </c>
      <c r="K252">
        <f>IF($A252="","",IF($D252="V01",Cadrage!$C$36,IF($D252="V02",Cadrage!$D$36,Cadrage!$E$36)))</f>
        <v>0.05</v>
      </c>
      <c r="L252">
        <f>IF($A252="","",IF($D252="V01",Cadrage!$C$37,IF($D252="V02",Cadrage!$D$37,Cadrage!$E$37)))</f>
        <v>0</v>
      </c>
      <c r="M252">
        <f>IF($A252="","",IF($D252="V01",Cadrage!$C$38,IF($D252="V02",Cadrage!$D$38,Cadrage!$E$38)))</f>
        <v>0.04</v>
      </c>
      <c r="N252">
        <f t="shared" si="1"/>
        <v>0.980622079131853</v>
      </c>
      <c r="O252">
        <f t="shared" si="2"/>
        <v>0.95</v>
      </c>
      <c r="P252">
        <f>IF($A252="","",IF($E252=1,$F252*$O252,PNL!G252))</f>
        <v>19971</v>
      </c>
      <c r="T252">
        <f t="shared" si="3"/>
        <v>0</v>
      </c>
    </row>
    <row r="253" ht="14.25" customHeight="1">
      <c r="A253" t="str">
        <f>IF(PNL!A253="","",PNL!A253)</f>
        <v>TUNON_PAR</v>
      </c>
      <c r="B253" t="str">
        <f>IF(PNL!B253="","",PNL!B253)</f>
        <v>6231</v>
      </c>
      <c r="C253" t="str">
        <f>IF(PNL!C253="","",PNL!C253)</f>
        <v>2025</v>
      </c>
      <c r="D253" t="str">
        <f>IF(PNL!D253="","",PNL!D253)</f>
        <v>ACT</v>
      </c>
      <c r="E253">
        <f t="shared" si="0"/>
        <v>0</v>
      </c>
      <c r="F253">
        <f>IF($A253="","",IF($E253=1,_xlfn.SUMIFS(Comptabilité!$F$1:$F$1446,Comptabilité!$A$1:$A$1446,$A253,Comptabilité!$B$1:$B$1446,$B253,Comptabilité!$C$1:$C$1446,"2026"),0))</f>
        <v>0</v>
      </c>
      <c r="G253">
        <f>IF($A253="","",IF($D253="V01",Cadrage!$C$23,IF($D253="V02",Cadrage!$D$23,Cadrage!$E$23)))</f>
        <v>-0.05</v>
      </c>
      <c r="H253">
        <f>IF($A253="","",IF($D253="V01",Cadrage!$C$24,IF($D253="V02",Cadrage!$D$24,Cadrage!$E$24)))</f>
        <v>-0.05</v>
      </c>
      <c r="I253">
        <f>IF($A253="","",IF($D253="V01",Cadrage!$C$34,IF($D253="V02",Cadrage!$D$34,Cadrage!$E$34)))</f>
        <v>0.03</v>
      </c>
      <c r="J253">
        <f>IF($A253="","",IF($D253="V01",Cadrage!$C$35,IF($D253="V02",Cadrage!$D$35,Cadrage!$E$35)))</f>
        <v>0.03</v>
      </c>
      <c r="K253">
        <f>IF($A253="","",IF($D253="V01",Cadrage!$C$36,IF($D253="V02",Cadrage!$D$36,Cadrage!$E$36)))</f>
        <v>0.05</v>
      </c>
      <c r="L253">
        <f>IF($A253="","",IF($D253="V01",Cadrage!$C$37,IF($D253="V02",Cadrage!$D$37,Cadrage!$E$37)))</f>
        <v>0</v>
      </c>
      <c r="M253">
        <f>IF($A253="","",IF($D253="V01",Cadrage!$C$38,IF($D253="V02",Cadrage!$D$38,Cadrage!$E$38)))</f>
        <v>0.04</v>
      </c>
      <c r="N253">
        <f t="shared" si="1"/>
        <v>0.980622079131853</v>
      </c>
      <c r="O253">
        <f t="shared" si="2"/>
        <v>0.95</v>
      </c>
      <c r="P253">
        <f>IF($A253="","",IF($E253=1,$F253*$O253,PNL!G253))</f>
        <v>27491</v>
      </c>
      <c r="T253">
        <f t="shared" si="3"/>
        <v>0</v>
      </c>
    </row>
    <row r="254" ht="14.25" customHeight="1">
      <c r="A254" t="str">
        <f>IF(PNL!A254="","",PNL!A254)</f>
        <v>TUNON_LYO</v>
      </c>
      <c r="B254" t="str">
        <f>IF(PNL!B254="","",PNL!B254)</f>
        <v>6231</v>
      </c>
      <c r="C254" t="str">
        <f>IF(PNL!C254="","",PNL!C254)</f>
        <v>2025</v>
      </c>
      <c r="D254" t="str">
        <f>IF(PNL!D254="","",PNL!D254)</f>
        <v>ACT</v>
      </c>
      <c r="E254">
        <f t="shared" si="0"/>
        <v>0</v>
      </c>
      <c r="F254">
        <f>IF($A254="","",IF($E254=1,_xlfn.SUMIFS(Comptabilité!$F$1:$F$1446,Comptabilité!$A$1:$A$1446,$A254,Comptabilité!$B$1:$B$1446,$B254,Comptabilité!$C$1:$C$1446,"2026"),0))</f>
        <v>0</v>
      </c>
      <c r="G254">
        <f>IF($A254="","",IF($D254="V01",Cadrage!$C$23,IF($D254="V02",Cadrage!$D$23,Cadrage!$E$23)))</f>
        <v>-0.05</v>
      </c>
      <c r="H254">
        <f>IF($A254="","",IF($D254="V01",Cadrage!$C$24,IF($D254="V02",Cadrage!$D$24,Cadrage!$E$24)))</f>
        <v>-0.05</v>
      </c>
      <c r="I254">
        <f>IF($A254="","",IF($D254="V01",Cadrage!$C$34,IF($D254="V02",Cadrage!$D$34,Cadrage!$E$34)))</f>
        <v>0.03</v>
      </c>
      <c r="J254">
        <f>IF($A254="","",IF($D254="V01",Cadrage!$C$35,IF($D254="V02",Cadrage!$D$35,Cadrage!$E$35)))</f>
        <v>0.03</v>
      </c>
      <c r="K254">
        <f>IF($A254="","",IF($D254="V01",Cadrage!$C$36,IF($D254="V02",Cadrage!$D$36,Cadrage!$E$36)))</f>
        <v>0.05</v>
      </c>
      <c r="L254">
        <f>IF($A254="","",IF($D254="V01",Cadrage!$C$37,IF($D254="V02",Cadrage!$D$37,Cadrage!$E$37)))</f>
        <v>0</v>
      </c>
      <c r="M254">
        <f>IF($A254="","",IF($D254="V01",Cadrage!$C$38,IF($D254="V02",Cadrage!$D$38,Cadrage!$E$38)))</f>
        <v>0.04</v>
      </c>
      <c r="N254">
        <f t="shared" si="1"/>
        <v>0.980622079131853</v>
      </c>
      <c r="O254">
        <f t="shared" si="2"/>
        <v>0.95</v>
      </c>
      <c r="P254">
        <f>IF($A254="","",IF($E254=1,$F254*$O254,PNL!G254))</f>
        <v>17136</v>
      </c>
      <c r="T254">
        <f t="shared" si="3"/>
        <v>0</v>
      </c>
    </row>
    <row r="255" ht="14.25" customHeight="1">
      <c r="A255" t="str">
        <f>IF(PNL!A255="","",PNL!A255)</f>
        <v>MBWAY_PAR</v>
      </c>
      <c r="B255" t="str">
        <f>IF(PNL!B255="","",PNL!B255)</f>
        <v>6231</v>
      </c>
      <c r="C255" t="str">
        <f>IF(PNL!C255="","",PNL!C255)</f>
        <v>2026</v>
      </c>
      <c r="D255" t="str">
        <f>IF(PNL!D255="","",PNL!D255)</f>
        <v>ACT</v>
      </c>
      <c r="E255">
        <f t="shared" si="0"/>
        <v>0</v>
      </c>
      <c r="F255">
        <f>IF($A255="","",IF($E255=1,_xlfn.SUMIFS(Comptabilité!$F$1:$F$1446,Comptabilité!$A$1:$A$1446,$A255,Comptabilité!$B$1:$B$1446,$B255,Comptabilité!$C$1:$C$1446,"2026"),0))</f>
        <v>0</v>
      </c>
      <c r="G255">
        <f>IF($A255="","",IF($D255="V01",Cadrage!$C$23,IF($D255="V02",Cadrage!$D$23,Cadrage!$E$23)))</f>
        <v>-0.05</v>
      </c>
      <c r="H255">
        <f>IF($A255="","",IF($D255="V01",Cadrage!$C$24,IF($D255="V02",Cadrage!$D$24,Cadrage!$E$24)))</f>
        <v>-0.05</v>
      </c>
      <c r="I255">
        <f>IF($A255="","",IF($D255="V01",Cadrage!$C$34,IF($D255="V02",Cadrage!$D$34,Cadrage!$E$34)))</f>
        <v>0.03</v>
      </c>
      <c r="J255">
        <f>IF($A255="","",IF($D255="V01",Cadrage!$C$35,IF($D255="V02",Cadrage!$D$35,Cadrage!$E$35)))</f>
        <v>0.03</v>
      </c>
      <c r="K255">
        <f>IF($A255="","",IF($D255="V01",Cadrage!$C$36,IF($D255="V02",Cadrage!$D$36,Cadrage!$E$36)))</f>
        <v>0.05</v>
      </c>
      <c r="L255">
        <f>IF($A255="","",IF($D255="V01",Cadrage!$C$37,IF($D255="V02",Cadrage!$D$37,Cadrage!$E$37)))</f>
        <v>0</v>
      </c>
      <c r="M255">
        <f>IF($A255="","",IF($D255="V01",Cadrage!$C$38,IF($D255="V02",Cadrage!$D$38,Cadrage!$E$38)))</f>
        <v>0.04</v>
      </c>
      <c r="N255">
        <f t="shared" si="1"/>
        <v>0.980622079131853</v>
      </c>
      <c r="O255">
        <f t="shared" si="2"/>
        <v>0.95</v>
      </c>
      <c r="P255">
        <f>IF($A255="","",IF($E255=1,$F255*$O255,PNL!G255))</f>
        <v>68291</v>
      </c>
      <c r="T255">
        <f t="shared" si="3"/>
        <v>0</v>
      </c>
    </row>
    <row r="256" ht="14.25" customHeight="1">
      <c r="A256" t="str">
        <f>IF(PNL!A256="","",PNL!A256)</f>
        <v>MBWAY_LYO</v>
      </c>
      <c r="B256" t="str">
        <f>IF(PNL!B256="","",PNL!B256)</f>
        <v>6231</v>
      </c>
      <c r="C256" t="str">
        <f>IF(PNL!C256="","",PNL!C256)</f>
        <v>2026</v>
      </c>
      <c r="D256" t="str">
        <f>IF(PNL!D256="","",PNL!D256)</f>
        <v>ACT</v>
      </c>
      <c r="E256">
        <f t="shared" si="0"/>
        <v>0</v>
      </c>
      <c r="F256">
        <f>IF($A256="","",IF($E256=1,_xlfn.SUMIFS(Comptabilité!$F$1:$F$1446,Comptabilité!$A$1:$A$1446,$A256,Comptabilité!$B$1:$B$1446,$B256,Comptabilité!$C$1:$C$1446,"2026"),0))</f>
        <v>0</v>
      </c>
      <c r="G256">
        <f>IF($A256="","",IF($D256="V01",Cadrage!$C$23,IF($D256="V02",Cadrage!$D$23,Cadrage!$E$23)))</f>
        <v>-0.05</v>
      </c>
      <c r="H256">
        <f>IF($A256="","",IF($D256="V01",Cadrage!$C$24,IF($D256="V02",Cadrage!$D$24,Cadrage!$E$24)))</f>
        <v>-0.05</v>
      </c>
      <c r="I256">
        <f>IF($A256="","",IF($D256="V01",Cadrage!$C$34,IF($D256="V02",Cadrage!$D$34,Cadrage!$E$34)))</f>
        <v>0.03</v>
      </c>
      <c r="J256">
        <f>IF($A256="","",IF($D256="V01",Cadrage!$C$35,IF($D256="V02",Cadrage!$D$35,Cadrage!$E$35)))</f>
        <v>0.03</v>
      </c>
      <c r="K256">
        <f>IF($A256="","",IF($D256="V01",Cadrage!$C$36,IF($D256="V02",Cadrage!$D$36,Cadrage!$E$36)))</f>
        <v>0.05</v>
      </c>
      <c r="L256">
        <f>IF($A256="","",IF($D256="V01",Cadrage!$C$37,IF($D256="V02",Cadrage!$D$37,Cadrage!$E$37)))</f>
        <v>0</v>
      </c>
      <c r="M256">
        <f>IF($A256="","",IF($D256="V01",Cadrage!$C$38,IF($D256="V02",Cadrage!$D$38,Cadrage!$E$38)))</f>
        <v>0.04</v>
      </c>
      <c r="N256">
        <f t="shared" si="1"/>
        <v>0.980622079131853</v>
      </c>
      <c r="O256">
        <f t="shared" si="2"/>
        <v>0.95</v>
      </c>
      <c r="P256">
        <f>IF($A256="","",IF($E256=1,$F256*$O256,PNL!G256))</f>
        <v>41783</v>
      </c>
      <c r="T256">
        <f t="shared" si="3"/>
        <v>0</v>
      </c>
    </row>
    <row r="257" ht="14.25" customHeight="1">
      <c r="A257" t="str">
        <f>IF(PNL!A257="","",PNL!A257)</f>
        <v>MBWAY_NAN</v>
      </c>
      <c r="B257" t="str">
        <f>IF(PNL!B257="","",PNL!B257)</f>
        <v>6231</v>
      </c>
      <c r="C257" t="str">
        <f>IF(PNL!C257="","",PNL!C257)</f>
        <v>2026</v>
      </c>
      <c r="D257" t="str">
        <f>IF(PNL!D257="","",PNL!D257)</f>
        <v>ACT</v>
      </c>
      <c r="E257">
        <f t="shared" si="0"/>
        <v>0</v>
      </c>
      <c r="F257">
        <f>IF($A257="","",IF($E257=1,_xlfn.SUMIFS(Comptabilité!$F$1:$F$1446,Comptabilité!$A$1:$A$1446,$A257,Comptabilité!$B$1:$B$1446,$B257,Comptabilité!$C$1:$C$1446,"2026"),0))</f>
        <v>0</v>
      </c>
      <c r="G257">
        <f>IF($A257="","",IF($D257="V01",Cadrage!$C$23,IF($D257="V02",Cadrage!$D$23,Cadrage!$E$23)))</f>
        <v>-0.05</v>
      </c>
      <c r="H257">
        <f>IF($A257="","",IF($D257="V01",Cadrage!$C$24,IF($D257="V02",Cadrage!$D$24,Cadrage!$E$24)))</f>
        <v>-0.05</v>
      </c>
      <c r="I257">
        <f>IF($A257="","",IF($D257="V01",Cadrage!$C$34,IF($D257="V02",Cadrage!$D$34,Cadrage!$E$34)))</f>
        <v>0.03</v>
      </c>
      <c r="J257">
        <f>IF($A257="","",IF($D257="V01",Cadrage!$C$35,IF($D257="V02",Cadrage!$D$35,Cadrage!$E$35)))</f>
        <v>0.03</v>
      </c>
      <c r="K257">
        <f>IF($A257="","",IF($D257="V01",Cadrage!$C$36,IF($D257="V02",Cadrage!$D$36,Cadrage!$E$36)))</f>
        <v>0.05</v>
      </c>
      <c r="L257">
        <f>IF($A257="","",IF($D257="V01",Cadrage!$C$37,IF($D257="V02",Cadrage!$D$37,Cadrage!$E$37)))</f>
        <v>0</v>
      </c>
      <c r="M257">
        <f>IF($A257="","",IF($D257="V01",Cadrage!$C$38,IF($D257="V02",Cadrage!$D$38,Cadrage!$E$38)))</f>
        <v>0.04</v>
      </c>
      <c r="N257">
        <f t="shared" si="1"/>
        <v>0.980622079131853</v>
      </c>
      <c r="O257">
        <f t="shared" si="2"/>
        <v>0.95</v>
      </c>
      <c r="P257">
        <f>IF($A257="","",IF($E257=1,$F257*$O257,PNL!G257))</f>
        <v>31533</v>
      </c>
      <c r="T257">
        <f t="shared" si="3"/>
        <v>0</v>
      </c>
    </row>
    <row r="258" ht="14.25" customHeight="1">
      <c r="A258" t="str">
        <f>IF(PNL!A258="","",PNL!A258)</f>
        <v>MBWAY_BOR</v>
      </c>
      <c r="B258" t="str">
        <f>IF(PNL!B258="","",PNL!B258)</f>
        <v>6231</v>
      </c>
      <c r="C258" t="str">
        <f>IF(PNL!C258="","",PNL!C258)</f>
        <v>2026</v>
      </c>
      <c r="D258" t="str">
        <f>IF(PNL!D258="","",PNL!D258)</f>
        <v>ACT</v>
      </c>
      <c r="E258">
        <f t="shared" si="0"/>
        <v>0</v>
      </c>
      <c r="F258">
        <f>IF($A258="","",IF($E258=1,_xlfn.SUMIFS(Comptabilité!$F$1:$F$1446,Comptabilité!$A$1:$A$1446,$A258,Comptabilité!$B$1:$B$1446,$B258,Comptabilité!$C$1:$C$1446,"2026"),0))</f>
        <v>0</v>
      </c>
      <c r="G258">
        <f>IF($A258="","",IF($D258="V01",Cadrage!$C$23,IF($D258="V02",Cadrage!$D$23,Cadrage!$E$23)))</f>
        <v>-0.05</v>
      </c>
      <c r="H258">
        <f>IF($A258="","",IF($D258="V01",Cadrage!$C$24,IF($D258="V02",Cadrage!$D$24,Cadrage!$E$24)))</f>
        <v>-0.05</v>
      </c>
      <c r="I258">
        <f>IF($A258="","",IF($D258="V01",Cadrage!$C$34,IF($D258="V02",Cadrage!$D$34,Cadrage!$E$34)))</f>
        <v>0.03</v>
      </c>
      <c r="J258">
        <f>IF($A258="","",IF($D258="V01",Cadrage!$C$35,IF($D258="V02",Cadrage!$D$35,Cadrage!$E$35)))</f>
        <v>0.03</v>
      </c>
      <c r="K258">
        <f>IF($A258="","",IF($D258="V01",Cadrage!$C$36,IF($D258="V02",Cadrage!$D$36,Cadrage!$E$36)))</f>
        <v>0.05</v>
      </c>
      <c r="L258">
        <f>IF($A258="","",IF($D258="V01",Cadrage!$C$37,IF($D258="V02",Cadrage!$D$37,Cadrage!$E$37)))</f>
        <v>0</v>
      </c>
      <c r="M258">
        <f>IF($A258="","",IF($D258="V01",Cadrage!$C$38,IF($D258="V02",Cadrage!$D$38,Cadrage!$E$38)))</f>
        <v>0.04</v>
      </c>
      <c r="N258">
        <f t="shared" si="1"/>
        <v>0.980622079131853</v>
      </c>
      <c r="O258">
        <f t="shared" si="2"/>
        <v>0.95</v>
      </c>
      <c r="P258">
        <f>IF($A258="","",IF($E258=1,$F258*$O258,PNL!G258))</f>
        <v>24923</v>
      </c>
      <c r="T258">
        <f t="shared" si="3"/>
        <v>0</v>
      </c>
    </row>
    <row r="259" ht="14.25" customHeight="1">
      <c r="A259" t="str">
        <f>IF(PNL!A259="","",PNL!A259)</f>
        <v>ISCOM_PAR</v>
      </c>
      <c r="B259" t="str">
        <f>IF(PNL!B259="","",PNL!B259)</f>
        <v>6231</v>
      </c>
      <c r="C259" t="str">
        <f>IF(PNL!C259="","",PNL!C259)</f>
        <v>2026</v>
      </c>
      <c r="D259" t="str">
        <f>IF(PNL!D259="","",PNL!D259)</f>
        <v>ACT</v>
      </c>
      <c r="E259">
        <f t="shared" si="0"/>
        <v>0</v>
      </c>
      <c r="F259">
        <f>IF($A259="","",IF($E259=1,_xlfn.SUMIFS(Comptabilité!$F$1:$F$1446,Comptabilité!$A$1:$A$1446,$A259,Comptabilité!$B$1:$B$1446,$B259,Comptabilité!$C$1:$C$1446,"2026"),0))</f>
        <v>0</v>
      </c>
      <c r="G259">
        <f>IF($A259="","",IF($D259="V01",Cadrage!$C$23,IF($D259="V02",Cadrage!$D$23,Cadrage!$E$23)))</f>
        <v>-0.05</v>
      </c>
      <c r="H259">
        <f>IF($A259="","",IF($D259="V01",Cadrage!$C$24,IF($D259="V02",Cadrage!$D$24,Cadrage!$E$24)))</f>
        <v>-0.05</v>
      </c>
      <c r="I259">
        <f>IF($A259="","",IF($D259="V01",Cadrage!$C$34,IF($D259="V02",Cadrage!$D$34,Cadrage!$E$34)))</f>
        <v>0.03</v>
      </c>
      <c r="J259">
        <f>IF($A259="","",IF($D259="V01",Cadrage!$C$35,IF($D259="V02",Cadrage!$D$35,Cadrage!$E$35)))</f>
        <v>0.03</v>
      </c>
      <c r="K259">
        <f>IF($A259="","",IF($D259="V01",Cadrage!$C$36,IF($D259="V02",Cadrage!$D$36,Cadrage!$E$36)))</f>
        <v>0.05</v>
      </c>
      <c r="L259">
        <f>IF($A259="","",IF($D259="V01",Cadrage!$C$37,IF($D259="V02",Cadrage!$D$37,Cadrage!$E$37)))</f>
        <v>0</v>
      </c>
      <c r="M259">
        <f>IF($A259="","",IF($D259="V01",Cadrage!$C$38,IF($D259="V02",Cadrage!$D$38,Cadrage!$E$38)))</f>
        <v>0.04</v>
      </c>
      <c r="N259">
        <f t="shared" si="1"/>
        <v>0.980622079131853</v>
      </c>
      <c r="O259">
        <f t="shared" si="2"/>
        <v>0.95</v>
      </c>
      <c r="P259">
        <f>IF($A259="","",IF($E259=1,$F259*$O259,PNL!G259))</f>
        <v>60800</v>
      </c>
      <c r="T259">
        <f t="shared" si="3"/>
        <v>0</v>
      </c>
    </row>
    <row r="260" ht="14.25" customHeight="1">
      <c r="A260" t="str">
        <f>IF(PNL!A260="","",PNL!A260)</f>
        <v>ISCOM_LIL</v>
      </c>
      <c r="B260" t="str">
        <f>IF(PNL!B260="","",PNL!B260)</f>
        <v>6231</v>
      </c>
      <c r="C260" t="str">
        <f>IF(PNL!C260="","",PNL!C260)</f>
        <v>2026</v>
      </c>
      <c r="D260" t="str">
        <f>IF(PNL!D260="","",PNL!D260)</f>
        <v>ACT</v>
      </c>
      <c r="E260">
        <f t="shared" si="0"/>
        <v>0</v>
      </c>
      <c r="F260">
        <f>IF($A260="","",IF($E260=1,_xlfn.SUMIFS(Comptabilité!$F$1:$F$1446,Comptabilité!$A$1:$A$1446,$A260,Comptabilité!$B$1:$B$1446,$B260,Comptabilité!$C$1:$C$1446,"2026"),0))</f>
        <v>0</v>
      </c>
      <c r="G260">
        <f>IF($A260="","",IF($D260="V01",Cadrage!$C$23,IF($D260="V02",Cadrage!$D$23,Cadrage!$E$23)))</f>
        <v>-0.05</v>
      </c>
      <c r="H260">
        <f>IF($A260="","",IF($D260="V01",Cadrage!$C$24,IF($D260="V02",Cadrage!$D$24,Cadrage!$E$24)))</f>
        <v>-0.05</v>
      </c>
      <c r="I260">
        <f>IF($A260="","",IF($D260="V01",Cadrage!$C$34,IF($D260="V02",Cadrage!$D$34,Cadrage!$E$34)))</f>
        <v>0.03</v>
      </c>
      <c r="J260">
        <f>IF($A260="","",IF($D260="V01",Cadrage!$C$35,IF($D260="V02",Cadrage!$D$35,Cadrage!$E$35)))</f>
        <v>0.03</v>
      </c>
      <c r="K260">
        <f>IF($A260="","",IF($D260="V01",Cadrage!$C$36,IF($D260="V02",Cadrage!$D$36,Cadrage!$E$36)))</f>
        <v>0.05</v>
      </c>
      <c r="L260">
        <f>IF($A260="","",IF($D260="V01",Cadrage!$C$37,IF($D260="V02",Cadrage!$D$37,Cadrage!$E$37)))</f>
        <v>0</v>
      </c>
      <c r="M260">
        <f>IF($A260="","",IF($D260="V01",Cadrage!$C$38,IF($D260="V02",Cadrage!$D$38,Cadrage!$E$38)))</f>
        <v>0.04</v>
      </c>
      <c r="N260">
        <f t="shared" si="1"/>
        <v>0.980622079131853</v>
      </c>
      <c r="O260">
        <f t="shared" si="2"/>
        <v>0.95</v>
      </c>
      <c r="P260">
        <f>IF($A260="","",IF($E260=1,$F260*$O260,PNL!G260))</f>
        <v>25220</v>
      </c>
      <c r="T260">
        <f t="shared" si="3"/>
        <v>0</v>
      </c>
    </row>
    <row r="261" ht="14.25" customHeight="1">
      <c r="A261" t="str">
        <f>IF(PNL!A261="","",PNL!A261)</f>
        <v>ISCOM_TLS</v>
      </c>
      <c r="B261" t="str">
        <f>IF(PNL!B261="","",PNL!B261)</f>
        <v>6231</v>
      </c>
      <c r="C261" t="str">
        <f>IF(PNL!C261="","",PNL!C261)</f>
        <v>2026</v>
      </c>
      <c r="D261" t="str">
        <f>IF(PNL!D261="","",PNL!D261)</f>
        <v>ACT</v>
      </c>
      <c r="E261">
        <f t="shared" si="0"/>
        <v>0</v>
      </c>
      <c r="F261">
        <f>IF($A261="","",IF($E261=1,_xlfn.SUMIFS(Comptabilité!$F$1:$F$1446,Comptabilité!$A$1:$A$1446,$A261,Comptabilité!$B$1:$B$1446,$B261,Comptabilité!$C$1:$C$1446,"2026"),0))</f>
        <v>0</v>
      </c>
      <c r="G261">
        <f>IF($A261="","",IF($D261="V01",Cadrage!$C$23,IF($D261="V02",Cadrage!$D$23,Cadrage!$E$23)))</f>
        <v>-0.05</v>
      </c>
      <c r="H261">
        <f>IF($A261="","",IF($D261="V01",Cadrage!$C$24,IF($D261="V02",Cadrage!$D$24,Cadrage!$E$24)))</f>
        <v>-0.05</v>
      </c>
      <c r="I261">
        <f>IF($A261="","",IF($D261="V01",Cadrage!$C$34,IF($D261="V02",Cadrage!$D$34,Cadrage!$E$34)))</f>
        <v>0.03</v>
      </c>
      <c r="J261">
        <f>IF($A261="","",IF($D261="V01",Cadrage!$C$35,IF($D261="V02",Cadrage!$D$35,Cadrage!$E$35)))</f>
        <v>0.03</v>
      </c>
      <c r="K261">
        <f>IF($A261="","",IF($D261="V01",Cadrage!$C$36,IF($D261="V02",Cadrage!$D$36,Cadrage!$E$36)))</f>
        <v>0.05</v>
      </c>
      <c r="L261">
        <f>IF($A261="","",IF($D261="V01",Cadrage!$C$37,IF($D261="V02",Cadrage!$D$37,Cadrage!$E$37)))</f>
        <v>0</v>
      </c>
      <c r="M261">
        <f>IF($A261="","",IF($D261="V01",Cadrage!$C$38,IF($D261="V02",Cadrage!$D$38,Cadrage!$E$38)))</f>
        <v>0.04</v>
      </c>
      <c r="N261">
        <f t="shared" si="1"/>
        <v>0.980622079131853</v>
      </c>
      <c r="O261">
        <f t="shared" si="2"/>
        <v>0.95</v>
      </c>
      <c r="P261">
        <f>IF($A261="","",IF($E261=1,$F261*$O261,PNL!G261))</f>
        <v>22083</v>
      </c>
      <c r="T261">
        <f t="shared" si="3"/>
        <v>0</v>
      </c>
    </row>
    <row r="262" ht="14.25" customHeight="1">
      <c r="A262" t="str">
        <f>IF(PNL!A262="","",PNL!A262)</f>
        <v>IPAC_NAN</v>
      </c>
      <c r="B262" t="str">
        <f>IF(PNL!B262="","",PNL!B262)</f>
        <v>6231</v>
      </c>
      <c r="C262" t="str">
        <f>IF(PNL!C262="","",PNL!C262)</f>
        <v>2026</v>
      </c>
      <c r="D262" t="str">
        <f>IF(PNL!D262="","",PNL!D262)</f>
        <v>ACT</v>
      </c>
      <c r="E262">
        <f t="shared" si="0"/>
        <v>0</v>
      </c>
      <c r="F262">
        <f>IF($A262="","",IF($E262=1,_xlfn.SUMIFS(Comptabilité!$F$1:$F$1446,Comptabilité!$A$1:$A$1446,$A262,Comptabilité!$B$1:$B$1446,$B262,Comptabilité!$C$1:$C$1446,"2026"),0))</f>
        <v>0</v>
      </c>
      <c r="G262">
        <f>IF($A262="","",IF($D262="V01",Cadrage!$C$23,IF($D262="V02",Cadrage!$D$23,Cadrage!$E$23)))</f>
        <v>-0.05</v>
      </c>
      <c r="H262">
        <f>IF($A262="","",IF($D262="V01",Cadrage!$C$24,IF($D262="V02",Cadrage!$D$24,Cadrage!$E$24)))</f>
        <v>-0.05</v>
      </c>
      <c r="I262">
        <f>IF($A262="","",IF($D262="V01",Cadrage!$C$34,IF($D262="V02",Cadrage!$D$34,Cadrage!$E$34)))</f>
        <v>0.03</v>
      </c>
      <c r="J262">
        <f>IF($A262="","",IF($D262="V01",Cadrage!$C$35,IF($D262="V02",Cadrage!$D$35,Cadrage!$E$35)))</f>
        <v>0.03</v>
      </c>
      <c r="K262">
        <f>IF($A262="","",IF($D262="V01",Cadrage!$C$36,IF($D262="V02",Cadrage!$D$36,Cadrage!$E$36)))</f>
        <v>0.05</v>
      </c>
      <c r="L262">
        <f>IF($A262="","",IF($D262="V01",Cadrage!$C$37,IF($D262="V02",Cadrage!$D$37,Cadrage!$E$37)))</f>
        <v>0</v>
      </c>
      <c r="M262">
        <f>IF($A262="","",IF($D262="V01",Cadrage!$C$38,IF($D262="V02",Cadrage!$D$38,Cadrage!$E$38)))</f>
        <v>0.04</v>
      </c>
      <c r="N262">
        <f t="shared" si="1"/>
        <v>0.980622079131853</v>
      </c>
      <c r="O262">
        <f t="shared" si="2"/>
        <v>0.95</v>
      </c>
      <c r="P262">
        <f>IF($A262="","",IF($E262=1,$F262*$O262,PNL!G262))</f>
        <v>21760</v>
      </c>
      <c r="T262">
        <f t="shared" si="3"/>
        <v>0</v>
      </c>
    </row>
    <row r="263" ht="14.25" customHeight="1">
      <c r="A263" t="str">
        <f>IF(PNL!A263="","",PNL!A263)</f>
        <v>IPAC_REN</v>
      </c>
      <c r="B263" t="str">
        <f>IF(PNL!B263="","",PNL!B263)</f>
        <v>6231</v>
      </c>
      <c r="C263" t="str">
        <f>IF(PNL!C263="","",PNL!C263)</f>
        <v>2026</v>
      </c>
      <c r="D263" t="str">
        <f>IF(PNL!D263="","",PNL!D263)</f>
        <v>ACT</v>
      </c>
      <c r="E263">
        <f t="shared" si="0"/>
        <v>0</v>
      </c>
      <c r="F263">
        <f>IF($A263="","",IF($E263=1,_xlfn.SUMIFS(Comptabilité!$F$1:$F$1446,Comptabilité!$A$1:$A$1446,$A263,Comptabilité!$B$1:$B$1446,$B263,Comptabilité!$C$1:$C$1446,"2026"),0))</f>
        <v>0</v>
      </c>
      <c r="G263">
        <f>IF($A263="","",IF($D263="V01",Cadrage!$C$23,IF($D263="V02",Cadrage!$D$23,Cadrage!$E$23)))</f>
        <v>-0.05</v>
      </c>
      <c r="H263">
        <f>IF($A263="","",IF($D263="V01",Cadrage!$C$24,IF($D263="V02",Cadrage!$D$24,Cadrage!$E$24)))</f>
        <v>-0.05</v>
      </c>
      <c r="I263">
        <f>IF($A263="","",IF($D263="V01",Cadrage!$C$34,IF($D263="V02",Cadrage!$D$34,Cadrage!$E$34)))</f>
        <v>0.03</v>
      </c>
      <c r="J263">
        <f>IF($A263="","",IF($D263="V01",Cadrage!$C$35,IF($D263="V02",Cadrage!$D$35,Cadrage!$E$35)))</f>
        <v>0.03</v>
      </c>
      <c r="K263">
        <f>IF($A263="","",IF($D263="V01",Cadrage!$C$36,IF($D263="V02",Cadrage!$D$36,Cadrage!$E$36)))</f>
        <v>0.05</v>
      </c>
      <c r="L263">
        <f>IF($A263="","",IF($D263="V01",Cadrage!$C$37,IF($D263="V02",Cadrage!$D$37,Cadrage!$E$37)))</f>
        <v>0</v>
      </c>
      <c r="M263">
        <f>IF($A263="","",IF($D263="V01",Cadrage!$C$38,IF($D263="V02",Cadrage!$D$38,Cadrage!$E$38)))</f>
        <v>0.04</v>
      </c>
      <c r="N263">
        <f t="shared" si="1"/>
        <v>0.980622079131853</v>
      </c>
      <c r="O263">
        <f t="shared" si="2"/>
        <v>0.95</v>
      </c>
      <c r="P263">
        <f>IF($A263="","",IF($E263=1,$F263*$O263,PNL!G263))</f>
        <v>14933</v>
      </c>
      <c r="T263">
        <f t="shared" si="3"/>
        <v>0</v>
      </c>
    </row>
    <row r="264" ht="14.25" customHeight="1">
      <c r="A264" t="str">
        <f>IF(PNL!A264="","",PNL!A264)</f>
        <v>IPAC_MTP</v>
      </c>
      <c r="B264" t="str">
        <f>IF(PNL!B264="","",PNL!B264)</f>
        <v>6231</v>
      </c>
      <c r="C264" t="str">
        <f>IF(PNL!C264="","",PNL!C264)</f>
        <v>2026</v>
      </c>
      <c r="D264" t="str">
        <f>IF(PNL!D264="","",PNL!D264)</f>
        <v>ACT</v>
      </c>
      <c r="E264">
        <f t="shared" si="0"/>
        <v>0</v>
      </c>
      <c r="F264">
        <f>IF($A264="","",IF($E264=1,_xlfn.SUMIFS(Comptabilité!$F$1:$F$1446,Comptabilité!$A$1:$A$1446,$A264,Comptabilité!$B$1:$B$1446,$B264,Comptabilité!$C$1:$C$1446,"2026"),0))</f>
        <v>0</v>
      </c>
      <c r="G264">
        <f>IF($A264="","",IF($D264="V01",Cadrage!$C$23,IF($D264="V02",Cadrage!$D$23,Cadrage!$E$23)))</f>
        <v>-0.05</v>
      </c>
      <c r="H264">
        <f>IF($A264="","",IF($D264="V01",Cadrage!$C$24,IF($D264="V02",Cadrage!$D$24,Cadrage!$E$24)))</f>
        <v>-0.05</v>
      </c>
      <c r="I264">
        <f>IF($A264="","",IF($D264="V01",Cadrage!$C$34,IF($D264="V02",Cadrage!$D$34,Cadrage!$E$34)))</f>
        <v>0.03</v>
      </c>
      <c r="J264">
        <f>IF($A264="","",IF($D264="V01",Cadrage!$C$35,IF($D264="V02",Cadrage!$D$35,Cadrage!$E$35)))</f>
        <v>0.03</v>
      </c>
      <c r="K264">
        <f>IF($A264="","",IF($D264="V01",Cadrage!$C$36,IF($D264="V02",Cadrage!$D$36,Cadrage!$E$36)))</f>
        <v>0.05</v>
      </c>
      <c r="L264">
        <f>IF($A264="","",IF($D264="V01",Cadrage!$C$37,IF($D264="V02",Cadrage!$D$37,Cadrage!$E$37)))</f>
        <v>0</v>
      </c>
      <c r="M264">
        <f>IF($A264="","",IF($D264="V01",Cadrage!$C$38,IF($D264="V02",Cadrage!$D$38,Cadrage!$E$38)))</f>
        <v>0.04</v>
      </c>
      <c r="N264">
        <f t="shared" si="1"/>
        <v>0.980622079131853</v>
      </c>
      <c r="O264">
        <f t="shared" si="2"/>
        <v>0.95</v>
      </c>
      <c r="P264">
        <f>IF($A264="","",IF($E264=1,$F264*$O264,PNL!G264))</f>
        <v>15178</v>
      </c>
      <c r="T264">
        <f t="shared" si="3"/>
        <v>0</v>
      </c>
    </row>
    <row r="265" ht="14.25" customHeight="1">
      <c r="A265" t="str">
        <f>IF(PNL!A265="","",PNL!A265)</f>
        <v>PIGIER_LYO</v>
      </c>
      <c r="B265" t="str">
        <f>IF(PNL!B265="","",PNL!B265)</f>
        <v>6231</v>
      </c>
      <c r="C265" t="str">
        <f>IF(PNL!C265="","",PNL!C265)</f>
        <v>2026</v>
      </c>
      <c r="D265" t="str">
        <f>IF(PNL!D265="","",PNL!D265)</f>
        <v>ACT</v>
      </c>
      <c r="E265">
        <f t="shared" si="0"/>
        <v>0</v>
      </c>
      <c r="F265">
        <f>IF($A265="","",IF($E265=1,_xlfn.SUMIFS(Comptabilité!$F$1:$F$1446,Comptabilité!$A$1:$A$1446,$A265,Comptabilité!$B$1:$B$1446,$B265,Comptabilité!$C$1:$C$1446,"2026"),0))</f>
        <v>0</v>
      </c>
      <c r="G265">
        <f>IF($A265="","",IF($D265="V01",Cadrage!$C$23,IF($D265="V02",Cadrage!$D$23,Cadrage!$E$23)))</f>
        <v>-0.05</v>
      </c>
      <c r="H265">
        <f>IF($A265="","",IF($D265="V01",Cadrage!$C$24,IF($D265="V02",Cadrage!$D$24,Cadrage!$E$24)))</f>
        <v>-0.05</v>
      </c>
      <c r="I265">
        <f>IF($A265="","",IF($D265="V01",Cadrage!$C$34,IF($D265="V02",Cadrage!$D$34,Cadrage!$E$34)))</f>
        <v>0.03</v>
      </c>
      <c r="J265">
        <f>IF($A265="","",IF($D265="V01",Cadrage!$C$35,IF($D265="V02",Cadrage!$D$35,Cadrage!$E$35)))</f>
        <v>0.03</v>
      </c>
      <c r="K265">
        <f>IF($A265="","",IF($D265="V01",Cadrage!$C$36,IF($D265="V02",Cadrage!$D$36,Cadrage!$E$36)))</f>
        <v>0.05</v>
      </c>
      <c r="L265">
        <f>IF($A265="","",IF($D265="V01",Cadrage!$C$37,IF($D265="V02",Cadrage!$D$37,Cadrage!$E$37)))</f>
        <v>0</v>
      </c>
      <c r="M265">
        <f>IF($A265="","",IF($D265="V01",Cadrage!$C$38,IF($D265="V02",Cadrage!$D$38,Cadrage!$E$38)))</f>
        <v>0.04</v>
      </c>
      <c r="N265">
        <f t="shared" si="1"/>
        <v>0.980622079131853</v>
      </c>
      <c r="O265">
        <f t="shared" si="2"/>
        <v>0.95</v>
      </c>
      <c r="P265">
        <f>IF($A265="","",IF($E265=1,$F265*$O265,PNL!G265))</f>
        <v>36612</v>
      </c>
      <c r="T265">
        <f t="shared" si="3"/>
        <v>0</v>
      </c>
    </row>
    <row r="266" ht="14.25" customHeight="1">
      <c r="A266" t="str">
        <f>IF(PNL!A266="","",PNL!A266)</f>
        <v>PIGIER_BOR</v>
      </c>
      <c r="B266" t="str">
        <f>IF(PNL!B266="","",PNL!B266)</f>
        <v>6231</v>
      </c>
      <c r="C266" t="str">
        <f>IF(PNL!C266="","",PNL!C266)</f>
        <v>2026</v>
      </c>
      <c r="D266" t="str">
        <f>IF(PNL!D266="","",PNL!D266)</f>
        <v>ACT</v>
      </c>
      <c r="E266">
        <f t="shared" si="0"/>
        <v>0</v>
      </c>
      <c r="F266">
        <f>IF($A266="","",IF($E266=1,_xlfn.SUMIFS(Comptabilité!$F$1:$F$1446,Comptabilité!$A$1:$A$1446,$A266,Comptabilité!$B$1:$B$1446,$B266,Comptabilité!$C$1:$C$1446,"2026"),0))</f>
        <v>0</v>
      </c>
      <c r="G266">
        <f>IF($A266="","",IF($D266="V01",Cadrage!$C$23,IF($D266="V02",Cadrage!$D$23,Cadrage!$E$23)))</f>
        <v>-0.05</v>
      </c>
      <c r="H266">
        <f>IF($A266="","",IF($D266="V01",Cadrage!$C$24,IF($D266="V02",Cadrage!$D$24,Cadrage!$E$24)))</f>
        <v>-0.05</v>
      </c>
      <c r="I266">
        <f>IF($A266="","",IF($D266="V01",Cadrage!$C$34,IF($D266="V02",Cadrage!$D$34,Cadrage!$E$34)))</f>
        <v>0.03</v>
      </c>
      <c r="J266">
        <f>IF($A266="","",IF($D266="V01",Cadrage!$C$35,IF($D266="V02",Cadrage!$D$35,Cadrage!$E$35)))</f>
        <v>0.03</v>
      </c>
      <c r="K266">
        <f>IF($A266="","",IF($D266="V01",Cadrage!$C$36,IF($D266="V02",Cadrage!$D$36,Cadrage!$E$36)))</f>
        <v>0.05</v>
      </c>
      <c r="L266">
        <f>IF($A266="","",IF($D266="V01",Cadrage!$C$37,IF($D266="V02",Cadrage!$D$37,Cadrage!$E$37)))</f>
        <v>0</v>
      </c>
      <c r="M266">
        <f>IF($A266="","",IF($D266="V01",Cadrage!$C$38,IF($D266="V02",Cadrage!$D$38,Cadrage!$E$38)))</f>
        <v>0.04</v>
      </c>
      <c r="N266">
        <f t="shared" si="1"/>
        <v>0.980622079131853</v>
      </c>
      <c r="O266">
        <f t="shared" si="2"/>
        <v>0.95</v>
      </c>
      <c r="P266">
        <f>IF($A266="","",IF($E266=1,$F266*$O266,PNL!G266))</f>
        <v>21968</v>
      </c>
      <c r="T266">
        <f t="shared" si="3"/>
        <v>0</v>
      </c>
    </row>
    <row r="267" ht="14.25" customHeight="1">
      <c r="A267" t="str">
        <f>IF(PNL!A267="","",PNL!A267)</f>
        <v>TUNON_PAR</v>
      </c>
      <c r="B267" t="str">
        <f>IF(PNL!B267="","",PNL!B267)</f>
        <v>6231</v>
      </c>
      <c r="C267" t="str">
        <f>IF(PNL!C267="","",PNL!C267)</f>
        <v>2026</v>
      </c>
      <c r="D267" t="str">
        <f>IF(PNL!D267="","",PNL!D267)</f>
        <v>ACT</v>
      </c>
      <c r="E267">
        <f t="shared" si="0"/>
        <v>0</v>
      </c>
      <c r="F267">
        <f>IF($A267="","",IF($E267=1,_xlfn.SUMIFS(Comptabilité!$F$1:$F$1446,Comptabilité!$A$1:$A$1446,$A267,Comptabilité!$B$1:$B$1446,$B267,Comptabilité!$C$1:$C$1446,"2026"),0))</f>
        <v>0</v>
      </c>
      <c r="G267">
        <f>IF($A267="","",IF($D267="V01",Cadrage!$C$23,IF($D267="V02",Cadrage!$D$23,Cadrage!$E$23)))</f>
        <v>-0.05</v>
      </c>
      <c r="H267">
        <f>IF($A267="","",IF($D267="V01",Cadrage!$C$24,IF($D267="V02",Cadrage!$D$24,Cadrage!$E$24)))</f>
        <v>-0.05</v>
      </c>
      <c r="I267">
        <f>IF($A267="","",IF($D267="V01",Cadrage!$C$34,IF($D267="V02",Cadrage!$D$34,Cadrage!$E$34)))</f>
        <v>0.03</v>
      </c>
      <c r="J267">
        <f>IF($A267="","",IF($D267="V01",Cadrage!$C$35,IF($D267="V02",Cadrage!$D$35,Cadrage!$E$35)))</f>
        <v>0.03</v>
      </c>
      <c r="K267">
        <f>IF($A267="","",IF($D267="V01",Cadrage!$C$36,IF($D267="V02",Cadrage!$D$36,Cadrage!$E$36)))</f>
        <v>0.05</v>
      </c>
      <c r="L267">
        <f>IF($A267="","",IF($D267="V01",Cadrage!$C$37,IF($D267="V02",Cadrage!$D$37,Cadrage!$E$37)))</f>
        <v>0</v>
      </c>
      <c r="M267">
        <f>IF($A267="","",IF($D267="V01",Cadrage!$C$38,IF($D267="V02",Cadrage!$D$38,Cadrage!$E$38)))</f>
        <v>0.04</v>
      </c>
      <c r="N267">
        <f t="shared" si="1"/>
        <v>0.980622079131853</v>
      </c>
      <c r="O267">
        <f t="shared" si="2"/>
        <v>0.95</v>
      </c>
      <c r="P267">
        <f>IF($A267="","",IF($E267=1,$F267*$O267,PNL!G267))</f>
        <v>30240</v>
      </c>
      <c r="T267">
        <f t="shared" si="3"/>
        <v>0</v>
      </c>
    </row>
    <row r="268" ht="14.25" customHeight="1">
      <c r="A268" t="str">
        <f>IF(PNL!A268="","",PNL!A268)</f>
        <v>TUNON_LYO</v>
      </c>
      <c r="B268" t="str">
        <f>IF(PNL!B268="","",PNL!B268)</f>
        <v>6231</v>
      </c>
      <c r="C268" t="str">
        <f>IF(PNL!C268="","",PNL!C268)</f>
        <v>2026</v>
      </c>
      <c r="D268" t="str">
        <f>IF(PNL!D268="","",PNL!D268)</f>
        <v>ACT</v>
      </c>
      <c r="E268">
        <f t="shared" si="0"/>
        <v>0</v>
      </c>
      <c r="F268">
        <f>IF($A268="","",IF($E268=1,_xlfn.SUMIFS(Comptabilité!$F$1:$F$1446,Comptabilité!$A$1:$A$1446,$A268,Comptabilité!$B$1:$B$1446,$B268,Comptabilité!$C$1:$C$1446,"2026"),0))</f>
        <v>0</v>
      </c>
      <c r="G268">
        <f>IF($A268="","",IF($D268="V01",Cadrage!$C$23,IF($D268="V02",Cadrage!$D$23,Cadrage!$E$23)))</f>
        <v>-0.05</v>
      </c>
      <c r="H268">
        <f>IF($A268="","",IF($D268="V01",Cadrage!$C$24,IF($D268="V02",Cadrage!$D$24,Cadrage!$E$24)))</f>
        <v>-0.05</v>
      </c>
      <c r="I268">
        <f>IF($A268="","",IF($D268="V01",Cadrage!$C$34,IF($D268="V02",Cadrage!$D$34,Cadrage!$E$34)))</f>
        <v>0.03</v>
      </c>
      <c r="J268">
        <f>IF($A268="","",IF($D268="V01",Cadrage!$C$35,IF($D268="V02",Cadrage!$D$35,Cadrage!$E$35)))</f>
        <v>0.03</v>
      </c>
      <c r="K268">
        <f>IF($A268="","",IF($D268="V01",Cadrage!$C$36,IF($D268="V02",Cadrage!$D$36,Cadrage!$E$36)))</f>
        <v>0.05</v>
      </c>
      <c r="L268">
        <f>IF($A268="","",IF($D268="V01",Cadrage!$C$37,IF($D268="V02",Cadrage!$D$37,Cadrage!$E$37)))</f>
        <v>0</v>
      </c>
      <c r="M268">
        <f>IF($A268="","",IF($D268="V01",Cadrage!$C$38,IF($D268="V02",Cadrage!$D$38,Cadrage!$E$38)))</f>
        <v>0.04</v>
      </c>
      <c r="N268">
        <f t="shared" si="1"/>
        <v>0.980622079131853</v>
      </c>
      <c r="O268">
        <f t="shared" si="2"/>
        <v>0.95</v>
      </c>
      <c r="P268">
        <f>IF($A268="","",IF($E268=1,$F268*$O268,PNL!G268))</f>
        <v>18850</v>
      </c>
      <c r="T268">
        <f t="shared" si="3"/>
        <v>0</v>
      </c>
    </row>
    <row r="269" ht="14.25" customHeight="1">
      <c r="A269" t="str">
        <f>IF(PNL!A269="","",PNL!A269)</f>
        <v>MBWAY_PAR</v>
      </c>
      <c r="B269" t="str">
        <f>IF(PNL!B269="","",PNL!B269)</f>
        <v>6411</v>
      </c>
      <c r="C269" t="str">
        <f>IF(PNL!C269="","",PNL!C269)</f>
        <v>2024</v>
      </c>
      <c r="D269" t="str">
        <f>IF(PNL!D269="","",PNL!D269)</f>
        <v>ACT</v>
      </c>
      <c r="E269">
        <f t="shared" si="0"/>
        <v>0</v>
      </c>
      <c r="F269">
        <f>IF($A269="","",IF($E269=1,_xlfn.SUMIFS(Comptabilité!$F$1:$F$1446,Comptabilité!$A$1:$A$1446,$A269,Comptabilité!$B$1:$B$1446,$B269,Comptabilité!$C$1:$C$1446,"2026"),0))</f>
        <v>0</v>
      </c>
      <c r="G269">
        <f>IF($A269="","",IF($D269="V01",Cadrage!$C$23,IF($D269="V02",Cadrage!$D$23,Cadrage!$E$23)))</f>
        <v>-0.05</v>
      </c>
      <c r="H269">
        <f>IF($A269="","",IF($D269="V01",Cadrage!$C$24,IF($D269="V02",Cadrage!$D$24,Cadrage!$E$24)))</f>
        <v>-0.05</v>
      </c>
      <c r="I269">
        <f>IF($A269="","",IF($D269="V01",Cadrage!$C$34,IF($D269="V02",Cadrage!$D$34,Cadrage!$E$34)))</f>
        <v>0.03</v>
      </c>
      <c r="J269">
        <f>IF($A269="","",IF($D269="V01",Cadrage!$C$35,IF($D269="V02",Cadrage!$D$35,Cadrage!$E$35)))</f>
        <v>0.03</v>
      </c>
      <c r="K269">
        <f>IF($A269="","",IF($D269="V01",Cadrage!$C$36,IF($D269="V02",Cadrage!$D$36,Cadrage!$E$36)))</f>
        <v>0.05</v>
      </c>
      <c r="L269">
        <f>IF($A269="","",IF($D269="V01",Cadrage!$C$37,IF($D269="V02",Cadrage!$D$37,Cadrage!$E$37)))</f>
        <v>0</v>
      </c>
      <c r="M269">
        <f>IF($A269="","",IF($D269="V01",Cadrage!$C$38,IF($D269="V02",Cadrage!$D$38,Cadrage!$E$38)))</f>
        <v>0.04</v>
      </c>
      <c r="N269">
        <f t="shared" si="1"/>
        <v>0.980622079131853</v>
      </c>
      <c r="O269">
        <f t="shared" si="2"/>
        <v>1.0815</v>
      </c>
      <c r="P269">
        <f>IF($A269="","",IF($E269=1,$F269*$O269,PNL!G269))</f>
        <v>461593.76</v>
      </c>
      <c r="T269">
        <f t="shared" si="3"/>
        <v>0</v>
      </c>
    </row>
    <row r="270" ht="14.25" customHeight="1">
      <c r="A270" t="str">
        <f>IF(PNL!A270="","",PNL!A270)</f>
        <v>MBWAY_LYO</v>
      </c>
      <c r="B270" t="str">
        <f>IF(PNL!B270="","",PNL!B270)</f>
        <v>6411</v>
      </c>
      <c r="C270" t="str">
        <f>IF(PNL!C270="","",PNL!C270)</f>
        <v>2024</v>
      </c>
      <c r="D270" t="str">
        <f>IF(PNL!D270="","",PNL!D270)</f>
        <v>ACT</v>
      </c>
      <c r="E270">
        <f t="shared" si="0"/>
        <v>0</v>
      </c>
      <c r="F270">
        <f>IF($A270="","",IF($E270=1,_xlfn.SUMIFS(Comptabilité!$F$1:$F$1446,Comptabilité!$A$1:$A$1446,$A270,Comptabilité!$B$1:$B$1446,$B270,Comptabilité!$C$1:$C$1446,"2026"),0))</f>
        <v>0</v>
      </c>
      <c r="G270">
        <f>IF($A270="","",IF($D270="V01",Cadrage!$C$23,IF($D270="V02",Cadrage!$D$23,Cadrage!$E$23)))</f>
        <v>-0.05</v>
      </c>
      <c r="H270">
        <f>IF($A270="","",IF($D270="V01",Cadrage!$C$24,IF($D270="V02",Cadrage!$D$24,Cadrage!$E$24)))</f>
        <v>-0.05</v>
      </c>
      <c r="I270">
        <f>IF($A270="","",IF($D270="V01",Cadrage!$C$34,IF($D270="V02",Cadrage!$D$34,Cadrage!$E$34)))</f>
        <v>0.03</v>
      </c>
      <c r="J270">
        <f>IF($A270="","",IF($D270="V01",Cadrage!$C$35,IF($D270="V02",Cadrage!$D$35,Cadrage!$E$35)))</f>
        <v>0.03</v>
      </c>
      <c r="K270">
        <f>IF($A270="","",IF($D270="V01",Cadrage!$C$36,IF($D270="V02",Cadrage!$D$36,Cadrage!$E$36)))</f>
        <v>0.05</v>
      </c>
      <c r="L270">
        <f>IF($A270="","",IF($D270="V01",Cadrage!$C$37,IF($D270="V02",Cadrage!$D$37,Cadrage!$E$37)))</f>
        <v>0</v>
      </c>
      <c r="M270">
        <f>IF($A270="","",IF($D270="V01",Cadrage!$C$38,IF($D270="V02",Cadrage!$D$38,Cadrage!$E$38)))</f>
        <v>0.04</v>
      </c>
      <c r="N270">
        <f t="shared" si="1"/>
        <v>0.980622079131853</v>
      </c>
      <c r="O270">
        <f t="shared" si="2"/>
        <v>1.0815</v>
      </c>
      <c r="P270">
        <f>IF($A270="","",IF($E270=1,$F270*$O270,PNL!G270))</f>
        <v>368902.58</v>
      </c>
      <c r="T270">
        <f t="shared" si="3"/>
        <v>0</v>
      </c>
    </row>
    <row r="271" ht="14.25" customHeight="1">
      <c r="A271" t="str">
        <f>IF(PNL!A271="","",PNL!A271)</f>
        <v>MBWAY_NAN</v>
      </c>
      <c r="B271" t="str">
        <f>IF(PNL!B271="","",PNL!B271)</f>
        <v>6411</v>
      </c>
      <c r="C271" t="str">
        <f>IF(PNL!C271="","",PNL!C271)</f>
        <v>2024</v>
      </c>
      <c r="D271" t="str">
        <f>IF(PNL!D271="","",PNL!D271)</f>
        <v>ACT</v>
      </c>
      <c r="E271">
        <f t="shared" si="0"/>
        <v>0</v>
      </c>
      <c r="F271">
        <f>IF($A271="","",IF($E271=1,_xlfn.SUMIFS(Comptabilité!$F$1:$F$1446,Comptabilité!$A$1:$A$1446,$A271,Comptabilité!$B$1:$B$1446,$B271,Comptabilité!$C$1:$C$1446,"2026"),0))</f>
        <v>0</v>
      </c>
      <c r="G271">
        <f>IF($A271="","",IF($D271="V01",Cadrage!$C$23,IF($D271="V02",Cadrage!$D$23,Cadrage!$E$23)))</f>
        <v>-0.05</v>
      </c>
      <c r="H271">
        <f>IF($A271="","",IF($D271="V01",Cadrage!$C$24,IF($D271="V02",Cadrage!$D$24,Cadrage!$E$24)))</f>
        <v>-0.05</v>
      </c>
      <c r="I271">
        <f>IF($A271="","",IF($D271="V01",Cadrage!$C$34,IF($D271="V02",Cadrage!$D$34,Cadrage!$E$34)))</f>
        <v>0.03</v>
      </c>
      <c r="J271">
        <f>IF($A271="","",IF($D271="V01",Cadrage!$C$35,IF($D271="V02",Cadrage!$D$35,Cadrage!$E$35)))</f>
        <v>0.03</v>
      </c>
      <c r="K271">
        <f>IF($A271="","",IF($D271="V01",Cadrage!$C$36,IF($D271="V02",Cadrage!$D$36,Cadrage!$E$36)))</f>
        <v>0.05</v>
      </c>
      <c r="L271">
        <f>IF($A271="","",IF($D271="V01",Cadrage!$C$37,IF($D271="V02",Cadrage!$D$37,Cadrage!$E$37)))</f>
        <v>0</v>
      </c>
      <c r="M271">
        <f>IF($A271="","",IF($D271="V01",Cadrage!$C$38,IF($D271="V02",Cadrage!$D$38,Cadrage!$E$38)))</f>
        <v>0.04</v>
      </c>
      <c r="N271">
        <f t="shared" si="1"/>
        <v>0.980622079131853</v>
      </c>
      <c r="O271">
        <f t="shared" si="2"/>
        <v>1.0815</v>
      </c>
      <c r="P271">
        <f>IF($A271="","",IF($E271=1,$F271*$O271,PNL!G271))</f>
        <v>316903.04</v>
      </c>
      <c r="T271">
        <f t="shared" si="3"/>
        <v>0</v>
      </c>
    </row>
    <row r="272" ht="14.25" customHeight="1">
      <c r="A272" t="str">
        <f>IF(PNL!A272="","",PNL!A272)</f>
        <v>MBWAY_BOR</v>
      </c>
      <c r="B272" t="str">
        <f>IF(PNL!B272="","",PNL!B272)</f>
        <v>6411</v>
      </c>
      <c r="C272" t="str">
        <f>IF(PNL!C272="","",PNL!C272)</f>
        <v>2024</v>
      </c>
      <c r="D272" t="str">
        <f>IF(PNL!D272="","",PNL!D272)</f>
        <v>ACT</v>
      </c>
      <c r="E272">
        <f t="shared" si="0"/>
        <v>0</v>
      </c>
      <c r="F272">
        <f>IF($A272="","",IF($E272=1,_xlfn.SUMIFS(Comptabilité!$F$1:$F$1446,Comptabilité!$A$1:$A$1446,$A272,Comptabilité!$B$1:$B$1446,$B272,Comptabilité!$C$1:$C$1446,"2026"),0))</f>
        <v>0</v>
      </c>
      <c r="G272">
        <f>IF($A272="","",IF($D272="V01",Cadrage!$C$23,IF($D272="V02",Cadrage!$D$23,Cadrage!$E$23)))</f>
        <v>-0.05</v>
      </c>
      <c r="H272">
        <f>IF($A272="","",IF($D272="V01",Cadrage!$C$24,IF($D272="V02",Cadrage!$D$24,Cadrage!$E$24)))</f>
        <v>-0.05</v>
      </c>
      <c r="I272">
        <f>IF($A272="","",IF($D272="V01",Cadrage!$C$34,IF($D272="V02",Cadrage!$D$34,Cadrage!$E$34)))</f>
        <v>0.03</v>
      </c>
      <c r="J272">
        <f>IF($A272="","",IF($D272="V01",Cadrage!$C$35,IF($D272="V02",Cadrage!$D$35,Cadrage!$E$35)))</f>
        <v>0.03</v>
      </c>
      <c r="K272">
        <f>IF($A272="","",IF($D272="V01",Cadrage!$C$36,IF($D272="V02",Cadrage!$D$36,Cadrage!$E$36)))</f>
        <v>0.05</v>
      </c>
      <c r="L272">
        <f>IF($A272="","",IF($D272="V01",Cadrage!$C$37,IF($D272="V02",Cadrage!$D$37,Cadrage!$E$37)))</f>
        <v>0</v>
      </c>
      <c r="M272">
        <f>IF($A272="","",IF($D272="V01",Cadrage!$C$38,IF($D272="V02",Cadrage!$D$38,Cadrage!$E$38)))</f>
        <v>0.04</v>
      </c>
      <c r="N272">
        <f t="shared" si="1"/>
        <v>0.980622079131853</v>
      </c>
      <c r="O272">
        <f t="shared" si="2"/>
        <v>1.0815</v>
      </c>
      <c r="P272">
        <f>IF($A272="","",IF($E272=1,$F272*$O272,PNL!G272))</f>
        <v>256743.58</v>
      </c>
      <c r="T272">
        <f t="shared" si="3"/>
        <v>0</v>
      </c>
    </row>
    <row r="273" ht="14.25" customHeight="1">
      <c r="A273" t="str">
        <f>IF(PNL!A273="","",PNL!A273)</f>
        <v>ISCOM_PAR</v>
      </c>
      <c r="B273" t="str">
        <f>IF(PNL!B273="","",PNL!B273)</f>
        <v>6411</v>
      </c>
      <c r="C273" t="str">
        <f>IF(PNL!C273="","",PNL!C273)</f>
        <v>2024</v>
      </c>
      <c r="D273" t="str">
        <f>IF(PNL!D273="","",PNL!D273)</f>
        <v>ACT</v>
      </c>
      <c r="E273">
        <f t="shared" si="0"/>
        <v>0</v>
      </c>
      <c r="F273">
        <f>IF($A273="","",IF($E273=1,_xlfn.SUMIFS(Comptabilité!$F$1:$F$1446,Comptabilité!$A$1:$A$1446,$A273,Comptabilité!$B$1:$B$1446,$B273,Comptabilité!$C$1:$C$1446,"2026"),0))</f>
        <v>0</v>
      </c>
      <c r="G273">
        <f>IF($A273="","",IF($D273="V01",Cadrage!$C$23,IF($D273="V02",Cadrage!$D$23,Cadrage!$E$23)))</f>
        <v>-0.05</v>
      </c>
      <c r="H273">
        <f>IF($A273="","",IF($D273="V01",Cadrage!$C$24,IF($D273="V02",Cadrage!$D$24,Cadrage!$E$24)))</f>
        <v>-0.05</v>
      </c>
      <c r="I273">
        <f>IF($A273="","",IF($D273="V01",Cadrage!$C$34,IF($D273="V02",Cadrage!$D$34,Cadrage!$E$34)))</f>
        <v>0.03</v>
      </c>
      <c r="J273">
        <f>IF($A273="","",IF($D273="V01",Cadrage!$C$35,IF($D273="V02",Cadrage!$D$35,Cadrage!$E$35)))</f>
        <v>0.03</v>
      </c>
      <c r="K273">
        <f>IF($A273="","",IF($D273="V01",Cadrage!$C$36,IF($D273="V02",Cadrage!$D$36,Cadrage!$E$36)))</f>
        <v>0.05</v>
      </c>
      <c r="L273">
        <f>IF($A273="","",IF($D273="V01",Cadrage!$C$37,IF($D273="V02",Cadrage!$D$37,Cadrage!$E$37)))</f>
        <v>0</v>
      </c>
      <c r="M273">
        <f>IF($A273="","",IF($D273="V01",Cadrage!$C$38,IF($D273="V02",Cadrage!$D$38,Cadrage!$E$38)))</f>
        <v>0.04</v>
      </c>
      <c r="N273">
        <f t="shared" si="1"/>
        <v>0.980622079131853</v>
      </c>
      <c r="O273">
        <f t="shared" si="2"/>
        <v>1.0815</v>
      </c>
      <c r="P273">
        <f>IF($A273="","",IF($E273=1,$F273*$O273,PNL!G273))</f>
        <v>443568.93</v>
      </c>
      <c r="T273">
        <f t="shared" si="3"/>
        <v>0</v>
      </c>
    </row>
    <row r="274" ht="14.25" customHeight="1">
      <c r="A274" t="str">
        <f>IF(PNL!A274="","",PNL!A274)</f>
        <v>ISCOM_LIL</v>
      </c>
      <c r="B274" t="str">
        <f>IF(PNL!B274="","",PNL!B274)</f>
        <v>6411</v>
      </c>
      <c r="C274" t="str">
        <f>IF(PNL!C274="","",PNL!C274)</f>
        <v>2024</v>
      </c>
      <c r="D274" t="str">
        <f>IF(PNL!D274="","",PNL!D274)</f>
        <v>ACT</v>
      </c>
      <c r="E274">
        <f t="shared" si="0"/>
        <v>0</v>
      </c>
      <c r="F274">
        <f>IF($A274="","",IF($E274=1,_xlfn.SUMIFS(Comptabilité!$F$1:$F$1446,Comptabilité!$A$1:$A$1446,$A274,Comptabilité!$B$1:$B$1446,$B274,Comptabilité!$C$1:$C$1446,"2026"),0))</f>
        <v>0</v>
      </c>
      <c r="G274">
        <f>IF($A274="","",IF($D274="V01",Cadrage!$C$23,IF($D274="V02",Cadrage!$D$23,Cadrage!$E$23)))</f>
        <v>-0.05</v>
      </c>
      <c r="H274">
        <f>IF($A274="","",IF($D274="V01",Cadrage!$C$24,IF($D274="V02",Cadrage!$D$24,Cadrage!$E$24)))</f>
        <v>-0.05</v>
      </c>
      <c r="I274">
        <f>IF($A274="","",IF($D274="V01",Cadrage!$C$34,IF($D274="V02",Cadrage!$D$34,Cadrage!$E$34)))</f>
        <v>0.03</v>
      </c>
      <c r="J274">
        <f>IF($A274="","",IF($D274="V01",Cadrage!$C$35,IF($D274="V02",Cadrage!$D$35,Cadrage!$E$35)))</f>
        <v>0.03</v>
      </c>
      <c r="K274">
        <f>IF($A274="","",IF($D274="V01",Cadrage!$C$36,IF($D274="V02",Cadrage!$D$36,Cadrage!$E$36)))</f>
        <v>0.05</v>
      </c>
      <c r="L274">
        <f>IF($A274="","",IF($D274="V01",Cadrage!$C$37,IF($D274="V02",Cadrage!$D$37,Cadrage!$E$37)))</f>
        <v>0</v>
      </c>
      <c r="M274">
        <f>IF($A274="","",IF($D274="V01",Cadrage!$C$38,IF($D274="V02",Cadrage!$D$38,Cadrage!$E$38)))</f>
        <v>0.04</v>
      </c>
      <c r="N274">
        <f t="shared" si="1"/>
        <v>0.980622079131853</v>
      </c>
      <c r="O274">
        <f t="shared" si="2"/>
        <v>1.0815</v>
      </c>
      <c r="P274">
        <f>IF($A274="","",IF($E274=1,$F274*$O274,PNL!G274))</f>
        <v>259421.46</v>
      </c>
      <c r="T274">
        <f t="shared" si="3"/>
        <v>0</v>
      </c>
    </row>
    <row r="275" ht="14.25" customHeight="1">
      <c r="A275" t="str">
        <f>IF(PNL!A275="","",PNL!A275)</f>
        <v>ISCOM_TLS</v>
      </c>
      <c r="B275" t="str">
        <f>IF(PNL!B275="","",PNL!B275)</f>
        <v>6411</v>
      </c>
      <c r="C275" t="str">
        <f>IF(PNL!C275="","",PNL!C275)</f>
        <v>2024</v>
      </c>
      <c r="D275" t="str">
        <f>IF(PNL!D275="","",PNL!D275)</f>
        <v>ACT</v>
      </c>
      <c r="E275">
        <f t="shared" si="0"/>
        <v>0</v>
      </c>
      <c r="F275">
        <f>IF($A275="","",IF($E275=1,_xlfn.SUMIFS(Comptabilité!$F$1:$F$1446,Comptabilité!$A$1:$A$1446,$A275,Comptabilité!$B$1:$B$1446,$B275,Comptabilité!$C$1:$C$1446,"2026"),0))</f>
        <v>0</v>
      </c>
      <c r="G275">
        <f>IF($A275="","",IF($D275="V01",Cadrage!$C$23,IF($D275="V02",Cadrage!$D$23,Cadrage!$E$23)))</f>
        <v>-0.05</v>
      </c>
      <c r="H275">
        <f>IF($A275="","",IF($D275="V01",Cadrage!$C$24,IF($D275="V02",Cadrage!$D$24,Cadrage!$E$24)))</f>
        <v>-0.05</v>
      </c>
      <c r="I275">
        <f>IF($A275="","",IF($D275="V01",Cadrage!$C$34,IF($D275="V02",Cadrage!$D$34,Cadrage!$E$34)))</f>
        <v>0.03</v>
      </c>
      <c r="J275">
        <f>IF($A275="","",IF($D275="V01",Cadrage!$C$35,IF($D275="V02",Cadrage!$D$35,Cadrage!$E$35)))</f>
        <v>0.03</v>
      </c>
      <c r="K275">
        <f>IF($A275="","",IF($D275="V01",Cadrage!$C$36,IF($D275="V02",Cadrage!$D$36,Cadrage!$E$36)))</f>
        <v>0.05</v>
      </c>
      <c r="L275">
        <f>IF($A275="","",IF($D275="V01",Cadrage!$C$37,IF($D275="V02",Cadrage!$D$37,Cadrage!$E$37)))</f>
        <v>0</v>
      </c>
      <c r="M275">
        <f>IF($A275="","",IF($D275="V01",Cadrage!$C$38,IF($D275="V02",Cadrage!$D$38,Cadrage!$E$38)))</f>
        <v>0.04</v>
      </c>
      <c r="N275">
        <f t="shared" si="1"/>
        <v>0.980622079131853</v>
      </c>
      <c r="O275">
        <f t="shared" si="2"/>
        <v>1.0815</v>
      </c>
      <c r="P275">
        <f>IF($A275="","",IF($E275=1,$F275*$O275,PNL!G275))</f>
        <v>244893.8</v>
      </c>
      <c r="T275">
        <f t="shared" si="3"/>
        <v>0</v>
      </c>
    </row>
    <row r="276" ht="14.25" customHeight="1">
      <c r="A276" t="str">
        <f>IF(PNL!A276="","",PNL!A276)</f>
        <v>IPAC_NAN</v>
      </c>
      <c r="B276" t="str">
        <f>IF(PNL!B276="","",PNL!B276)</f>
        <v>6411</v>
      </c>
      <c r="C276" t="str">
        <f>IF(PNL!C276="","",PNL!C276)</f>
        <v>2024</v>
      </c>
      <c r="D276" t="str">
        <f>IF(PNL!D276="","",PNL!D276)</f>
        <v>ACT</v>
      </c>
      <c r="E276">
        <f t="shared" si="0"/>
        <v>0</v>
      </c>
      <c r="F276">
        <f>IF($A276="","",IF($E276=1,_xlfn.SUMIFS(Comptabilité!$F$1:$F$1446,Comptabilité!$A$1:$A$1446,$A276,Comptabilité!$B$1:$B$1446,$B276,Comptabilité!$C$1:$C$1446,"2026"),0))</f>
        <v>0</v>
      </c>
      <c r="G276">
        <f>IF($A276="","",IF($D276="V01",Cadrage!$C$23,IF($D276="V02",Cadrage!$D$23,Cadrage!$E$23)))</f>
        <v>-0.05</v>
      </c>
      <c r="H276">
        <f>IF($A276="","",IF($D276="V01",Cadrage!$C$24,IF($D276="V02",Cadrage!$D$24,Cadrage!$E$24)))</f>
        <v>-0.05</v>
      </c>
      <c r="I276">
        <f>IF($A276="","",IF($D276="V01",Cadrage!$C$34,IF($D276="V02",Cadrage!$D$34,Cadrage!$E$34)))</f>
        <v>0.03</v>
      </c>
      <c r="J276">
        <f>IF($A276="","",IF($D276="V01",Cadrage!$C$35,IF($D276="V02",Cadrage!$D$35,Cadrage!$E$35)))</f>
        <v>0.03</v>
      </c>
      <c r="K276">
        <f>IF($A276="","",IF($D276="V01",Cadrage!$C$36,IF($D276="V02",Cadrage!$D$36,Cadrage!$E$36)))</f>
        <v>0.05</v>
      </c>
      <c r="L276">
        <f>IF($A276="","",IF($D276="V01",Cadrage!$C$37,IF($D276="V02",Cadrage!$D$37,Cadrage!$E$37)))</f>
        <v>0</v>
      </c>
      <c r="M276">
        <f>IF($A276="","",IF($D276="V01",Cadrage!$C$38,IF($D276="V02",Cadrage!$D$38,Cadrage!$E$38)))</f>
        <v>0.04</v>
      </c>
      <c r="N276">
        <f t="shared" si="1"/>
        <v>0.980622079131853</v>
      </c>
      <c r="O276">
        <f t="shared" si="2"/>
        <v>1.0815</v>
      </c>
      <c r="P276">
        <f>IF($A276="","",IF($E276=1,$F276*$O276,PNL!G276))</f>
        <v>155733.6</v>
      </c>
      <c r="T276">
        <f t="shared" si="3"/>
        <v>0</v>
      </c>
    </row>
    <row r="277" ht="14.25" customHeight="1">
      <c r="A277" t="str">
        <f>IF(PNL!A277="","",PNL!A277)</f>
        <v>IPAC_REN</v>
      </c>
      <c r="B277" t="str">
        <f>IF(PNL!B277="","",PNL!B277)</f>
        <v>6411</v>
      </c>
      <c r="C277" t="str">
        <f>IF(PNL!C277="","",PNL!C277)</f>
        <v>2024</v>
      </c>
      <c r="D277" t="str">
        <f>IF(PNL!D277="","",PNL!D277)</f>
        <v>ACT</v>
      </c>
      <c r="E277">
        <f t="shared" si="0"/>
        <v>0</v>
      </c>
      <c r="F277">
        <f>IF($A277="","",IF($E277=1,_xlfn.SUMIFS(Comptabilité!$F$1:$F$1446,Comptabilité!$A$1:$A$1446,$A277,Comptabilité!$B$1:$B$1446,$B277,Comptabilité!$C$1:$C$1446,"2026"),0))</f>
        <v>0</v>
      </c>
      <c r="G277">
        <f>IF($A277="","",IF($D277="V01",Cadrage!$C$23,IF($D277="V02",Cadrage!$D$23,Cadrage!$E$23)))</f>
        <v>-0.05</v>
      </c>
      <c r="H277">
        <f>IF($A277="","",IF($D277="V01",Cadrage!$C$24,IF($D277="V02",Cadrage!$D$24,Cadrage!$E$24)))</f>
        <v>-0.05</v>
      </c>
      <c r="I277">
        <f>IF($A277="","",IF($D277="V01",Cadrage!$C$34,IF($D277="V02",Cadrage!$D$34,Cadrage!$E$34)))</f>
        <v>0.03</v>
      </c>
      <c r="J277">
        <f>IF($A277="","",IF($D277="V01",Cadrage!$C$35,IF($D277="V02",Cadrage!$D$35,Cadrage!$E$35)))</f>
        <v>0.03</v>
      </c>
      <c r="K277">
        <f>IF($A277="","",IF($D277="V01",Cadrage!$C$36,IF($D277="V02",Cadrage!$D$36,Cadrage!$E$36)))</f>
        <v>0.05</v>
      </c>
      <c r="L277">
        <f>IF($A277="","",IF($D277="V01",Cadrage!$C$37,IF($D277="V02",Cadrage!$D$37,Cadrage!$E$37)))</f>
        <v>0</v>
      </c>
      <c r="M277">
        <f>IF($A277="","",IF($D277="V01",Cadrage!$C$38,IF($D277="V02",Cadrage!$D$38,Cadrage!$E$38)))</f>
        <v>0.04</v>
      </c>
      <c r="N277">
        <f t="shared" si="1"/>
        <v>0.980622079131853</v>
      </c>
      <c r="O277">
        <f t="shared" si="2"/>
        <v>1.0815</v>
      </c>
      <c r="P277">
        <f>IF($A277="","",IF($E277=1,$F277*$O277,PNL!G277))</f>
        <v>127624.16</v>
      </c>
      <c r="T277">
        <f t="shared" si="3"/>
        <v>0</v>
      </c>
    </row>
    <row r="278" ht="14.25" customHeight="1">
      <c r="A278" t="str">
        <f>IF(PNL!A278="","",PNL!A278)</f>
        <v>IPAC_MTP</v>
      </c>
      <c r="B278" t="str">
        <f>IF(PNL!B278="","",PNL!B278)</f>
        <v>6411</v>
      </c>
      <c r="C278" t="str">
        <f>IF(PNL!C278="","",PNL!C278)</f>
        <v>2024</v>
      </c>
      <c r="D278" t="str">
        <f>IF(PNL!D278="","",PNL!D278)</f>
        <v>ACT</v>
      </c>
      <c r="E278">
        <f t="shared" si="0"/>
        <v>0</v>
      </c>
      <c r="F278">
        <f>IF($A278="","",IF($E278=1,_xlfn.SUMIFS(Comptabilité!$F$1:$F$1446,Comptabilité!$A$1:$A$1446,$A278,Comptabilité!$B$1:$B$1446,$B278,Comptabilité!$C$1:$C$1446,"2026"),0))</f>
        <v>0</v>
      </c>
      <c r="G278">
        <f>IF($A278="","",IF($D278="V01",Cadrage!$C$23,IF($D278="V02",Cadrage!$D$23,Cadrage!$E$23)))</f>
        <v>-0.05</v>
      </c>
      <c r="H278">
        <f>IF($A278="","",IF($D278="V01",Cadrage!$C$24,IF($D278="V02",Cadrage!$D$24,Cadrage!$E$24)))</f>
        <v>-0.05</v>
      </c>
      <c r="I278">
        <f>IF($A278="","",IF($D278="V01",Cadrage!$C$34,IF($D278="V02",Cadrage!$D$34,Cadrage!$E$34)))</f>
        <v>0.03</v>
      </c>
      <c r="J278">
        <f>IF($A278="","",IF($D278="V01",Cadrage!$C$35,IF($D278="V02",Cadrage!$D$35,Cadrage!$E$35)))</f>
        <v>0.03</v>
      </c>
      <c r="K278">
        <f>IF($A278="","",IF($D278="V01",Cadrage!$C$36,IF($D278="V02",Cadrage!$D$36,Cadrage!$E$36)))</f>
        <v>0.05</v>
      </c>
      <c r="L278">
        <f>IF($A278="","",IF($D278="V01",Cadrage!$C$37,IF($D278="V02",Cadrage!$D$37,Cadrage!$E$37)))</f>
        <v>0</v>
      </c>
      <c r="M278">
        <f>IF($A278="","",IF($D278="V01",Cadrage!$C$38,IF($D278="V02",Cadrage!$D$38,Cadrage!$E$38)))</f>
        <v>0.04</v>
      </c>
      <c r="N278">
        <f t="shared" si="1"/>
        <v>0.980622079131853</v>
      </c>
      <c r="O278">
        <f t="shared" si="2"/>
        <v>1.0815</v>
      </c>
      <c r="P278">
        <f>IF($A278="","",IF($E278=1,$F278*$O278,PNL!G278))</f>
        <v>127557.21</v>
      </c>
      <c r="T278">
        <f t="shared" si="3"/>
        <v>0</v>
      </c>
    </row>
    <row r="279" ht="14.25" customHeight="1">
      <c r="A279" t="str">
        <f>IF(PNL!A279="","",PNL!A279)</f>
        <v>PIGIER_LYO</v>
      </c>
      <c r="B279" t="str">
        <f>IF(PNL!B279="","",PNL!B279)</f>
        <v>6411</v>
      </c>
      <c r="C279" t="str">
        <f>IF(PNL!C279="","",PNL!C279)</f>
        <v>2024</v>
      </c>
      <c r="D279" t="str">
        <f>IF(PNL!D279="","",PNL!D279)</f>
        <v>ACT</v>
      </c>
      <c r="E279">
        <f t="shared" si="0"/>
        <v>0</v>
      </c>
      <c r="F279">
        <f>IF($A279="","",IF($E279=1,_xlfn.SUMIFS(Comptabilité!$F$1:$F$1446,Comptabilité!$A$1:$A$1446,$A279,Comptabilité!$B$1:$B$1446,$B279,Comptabilité!$C$1:$C$1446,"2026"),0))</f>
        <v>0</v>
      </c>
      <c r="G279">
        <f>IF($A279="","",IF($D279="V01",Cadrage!$C$23,IF($D279="V02",Cadrage!$D$23,Cadrage!$E$23)))</f>
        <v>-0.05</v>
      </c>
      <c r="H279">
        <f>IF($A279="","",IF($D279="V01",Cadrage!$C$24,IF($D279="V02",Cadrage!$D$24,Cadrage!$E$24)))</f>
        <v>-0.05</v>
      </c>
      <c r="I279">
        <f>IF($A279="","",IF($D279="V01",Cadrage!$C$34,IF($D279="V02",Cadrage!$D$34,Cadrage!$E$34)))</f>
        <v>0.03</v>
      </c>
      <c r="J279">
        <f>IF($A279="","",IF($D279="V01",Cadrage!$C$35,IF($D279="V02",Cadrage!$D$35,Cadrage!$E$35)))</f>
        <v>0.03</v>
      </c>
      <c r="K279">
        <f>IF($A279="","",IF($D279="V01",Cadrage!$C$36,IF($D279="V02",Cadrage!$D$36,Cadrage!$E$36)))</f>
        <v>0.05</v>
      </c>
      <c r="L279">
        <f>IF($A279="","",IF($D279="V01",Cadrage!$C$37,IF($D279="V02",Cadrage!$D$37,Cadrage!$E$37)))</f>
        <v>0</v>
      </c>
      <c r="M279">
        <f>IF($A279="","",IF($D279="V01",Cadrage!$C$38,IF($D279="V02",Cadrage!$D$38,Cadrage!$E$38)))</f>
        <v>0.04</v>
      </c>
      <c r="N279">
        <f t="shared" si="1"/>
        <v>0.980622079131853</v>
      </c>
      <c r="O279">
        <f t="shared" si="2"/>
        <v>1.0815</v>
      </c>
      <c r="P279">
        <f>IF($A279="","",IF($E279=1,$F279*$O279,PNL!G279))</f>
        <v>220599.82</v>
      </c>
      <c r="T279">
        <f t="shared" si="3"/>
        <v>0</v>
      </c>
    </row>
    <row r="280" ht="14.25" customHeight="1">
      <c r="A280" t="str">
        <f>IF(PNL!A280="","",PNL!A280)</f>
        <v>PIGIER_BOR</v>
      </c>
      <c r="B280" t="str">
        <f>IF(PNL!B280="","",PNL!B280)</f>
        <v>6411</v>
      </c>
      <c r="C280" t="str">
        <f>IF(PNL!C280="","",PNL!C280)</f>
        <v>2024</v>
      </c>
      <c r="D280" t="str">
        <f>IF(PNL!D280="","",PNL!D280)</f>
        <v>ACT</v>
      </c>
      <c r="E280">
        <f t="shared" si="0"/>
        <v>0</v>
      </c>
      <c r="F280">
        <f>IF($A280="","",IF($E280=1,_xlfn.SUMIFS(Comptabilité!$F$1:$F$1446,Comptabilité!$A$1:$A$1446,$A280,Comptabilité!$B$1:$B$1446,$B280,Comptabilité!$C$1:$C$1446,"2026"),0))</f>
        <v>0</v>
      </c>
      <c r="G280">
        <f>IF($A280="","",IF($D280="V01",Cadrage!$C$23,IF($D280="V02",Cadrage!$D$23,Cadrage!$E$23)))</f>
        <v>-0.05</v>
      </c>
      <c r="H280">
        <f>IF($A280="","",IF($D280="V01",Cadrage!$C$24,IF($D280="V02",Cadrage!$D$24,Cadrage!$E$24)))</f>
        <v>-0.05</v>
      </c>
      <c r="I280">
        <f>IF($A280="","",IF($D280="V01",Cadrage!$C$34,IF($D280="V02",Cadrage!$D$34,Cadrage!$E$34)))</f>
        <v>0.03</v>
      </c>
      <c r="J280">
        <f>IF($A280="","",IF($D280="V01",Cadrage!$C$35,IF($D280="V02",Cadrage!$D$35,Cadrage!$E$35)))</f>
        <v>0.03</v>
      </c>
      <c r="K280">
        <f>IF($A280="","",IF($D280="V01",Cadrage!$C$36,IF($D280="V02",Cadrage!$D$36,Cadrage!$E$36)))</f>
        <v>0.05</v>
      </c>
      <c r="L280">
        <f>IF($A280="","",IF($D280="V01",Cadrage!$C$37,IF($D280="V02",Cadrage!$D$37,Cadrage!$E$37)))</f>
        <v>0</v>
      </c>
      <c r="M280">
        <f>IF($A280="","",IF($D280="V01",Cadrage!$C$38,IF($D280="V02",Cadrage!$D$38,Cadrage!$E$38)))</f>
        <v>0.04</v>
      </c>
      <c r="N280">
        <f t="shared" si="1"/>
        <v>0.980622079131853</v>
      </c>
      <c r="O280">
        <f t="shared" si="2"/>
        <v>1.0815</v>
      </c>
      <c r="P280">
        <f>IF($A280="","",IF($E280=1,$F280*$O280,PNL!G280))</f>
        <v>166342.4</v>
      </c>
      <c r="T280">
        <f t="shared" si="3"/>
        <v>0</v>
      </c>
    </row>
    <row r="281" ht="14.25" customHeight="1">
      <c r="A281" t="str">
        <f>IF(PNL!A281="","",PNL!A281)</f>
        <v>TUNON_PAR</v>
      </c>
      <c r="B281" t="str">
        <f>IF(PNL!B281="","",PNL!B281)</f>
        <v>6411</v>
      </c>
      <c r="C281" t="str">
        <f>IF(PNL!C281="","",PNL!C281)</f>
        <v>2024</v>
      </c>
      <c r="D281" t="str">
        <f>IF(PNL!D281="","",PNL!D281)</f>
        <v>ACT</v>
      </c>
      <c r="E281">
        <f t="shared" si="0"/>
        <v>0</v>
      </c>
      <c r="F281">
        <f>IF($A281="","",IF($E281=1,_xlfn.SUMIFS(Comptabilité!$F$1:$F$1446,Comptabilité!$A$1:$A$1446,$A281,Comptabilité!$B$1:$B$1446,$B281,Comptabilité!$C$1:$C$1446,"2026"),0))</f>
        <v>0</v>
      </c>
      <c r="G281">
        <f>IF($A281="","",IF($D281="V01",Cadrage!$C$23,IF($D281="V02",Cadrage!$D$23,Cadrage!$E$23)))</f>
        <v>-0.05</v>
      </c>
      <c r="H281">
        <f>IF($A281="","",IF($D281="V01",Cadrage!$C$24,IF($D281="V02",Cadrage!$D$24,Cadrage!$E$24)))</f>
        <v>-0.05</v>
      </c>
      <c r="I281">
        <f>IF($A281="","",IF($D281="V01",Cadrage!$C$34,IF($D281="V02",Cadrage!$D$34,Cadrage!$E$34)))</f>
        <v>0.03</v>
      </c>
      <c r="J281">
        <f>IF($A281="","",IF($D281="V01",Cadrage!$C$35,IF($D281="V02",Cadrage!$D$35,Cadrage!$E$35)))</f>
        <v>0.03</v>
      </c>
      <c r="K281">
        <f>IF($A281="","",IF($D281="V01",Cadrage!$C$36,IF($D281="V02",Cadrage!$D$36,Cadrage!$E$36)))</f>
        <v>0.05</v>
      </c>
      <c r="L281">
        <f>IF($A281="","",IF($D281="V01",Cadrage!$C$37,IF($D281="V02",Cadrage!$D$37,Cadrage!$E$37)))</f>
        <v>0</v>
      </c>
      <c r="M281">
        <f>IF($A281="","",IF($D281="V01",Cadrage!$C$38,IF($D281="V02",Cadrage!$D$38,Cadrage!$E$38)))</f>
        <v>0.04</v>
      </c>
      <c r="N281">
        <f t="shared" si="1"/>
        <v>0.980622079131853</v>
      </c>
      <c r="O281">
        <f t="shared" si="2"/>
        <v>1.0815</v>
      </c>
      <c r="P281">
        <f>IF($A281="","",IF($E281=1,$F281*$O281,PNL!G281))</f>
        <v>193142.69</v>
      </c>
      <c r="T281">
        <f t="shared" si="3"/>
        <v>0</v>
      </c>
    </row>
    <row r="282" ht="14.25" customHeight="1">
      <c r="A282" t="str">
        <f>IF(PNL!A282="","",PNL!A282)</f>
        <v>TUNON_LYO</v>
      </c>
      <c r="B282" t="str">
        <f>IF(PNL!B282="","",PNL!B282)</f>
        <v>6411</v>
      </c>
      <c r="C282" t="str">
        <f>IF(PNL!C282="","",PNL!C282)</f>
        <v>2024</v>
      </c>
      <c r="D282" t="str">
        <f>IF(PNL!D282="","",PNL!D282)</f>
        <v>ACT</v>
      </c>
      <c r="E282">
        <f t="shared" si="0"/>
        <v>0</v>
      </c>
      <c r="F282">
        <f>IF($A282="","",IF($E282=1,_xlfn.SUMIFS(Comptabilité!$F$1:$F$1446,Comptabilité!$A$1:$A$1446,$A282,Comptabilité!$B$1:$B$1446,$B282,Comptabilité!$C$1:$C$1446,"2026"),0))</f>
        <v>0</v>
      </c>
      <c r="G282">
        <f>IF($A282="","",IF($D282="V01",Cadrage!$C$23,IF($D282="V02",Cadrage!$D$23,Cadrage!$E$23)))</f>
        <v>-0.05</v>
      </c>
      <c r="H282">
        <f>IF($A282="","",IF($D282="V01",Cadrage!$C$24,IF($D282="V02",Cadrage!$D$24,Cadrage!$E$24)))</f>
        <v>-0.05</v>
      </c>
      <c r="I282">
        <f>IF($A282="","",IF($D282="V01",Cadrage!$C$34,IF($D282="V02",Cadrage!$D$34,Cadrage!$E$34)))</f>
        <v>0.03</v>
      </c>
      <c r="J282">
        <f>IF($A282="","",IF($D282="V01",Cadrage!$C$35,IF($D282="V02",Cadrage!$D$35,Cadrage!$E$35)))</f>
        <v>0.03</v>
      </c>
      <c r="K282">
        <f>IF($A282="","",IF($D282="V01",Cadrage!$C$36,IF($D282="V02",Cadrage!$D$36,Cadrage!$E$36)))</f>
        <v>0.05</v>
      </c>
      <c r="L282">
        <f>IF($A282="","",IF($D282="V01",Cadrage!$C$37,IF($D282="V02",Cadrage!$D$37,Cadrage!$E$37)))</f>
        <v>0</v>
      </c>
      <c r="M282">
        <f>IF($A282="","",IF($D282="V01",Cadrage!$C$38,IF($D282="V02",Cadrage!$D$38,Cadrage!$E$38)))</f>
        <v>0.04</v>
      </c>
      <c r="N282">
        <f t="shared" si="1"/>
        <v>0.980622079131853</v>
      </c>
      <c r="O282">
        <f t="shared" si="2"/>
        <v>1.0815</v>
      </c>
      <c r="P282">
        <f>IF($A282="","",IF($E282=1,$F282*$O282,PNL!G282))</f>
        <v>161858.54</v>
      </c>
      <c r="T282">
        <f t="shared" si="3"/>
        <v>0</v>
      </c>
    </row>
    <row r="283" ht="14.25" customHeight="1">
      <c r="A283" t="str">
        <f>IF(PNL!A283="","",PNL!A283)</f>
        <v>MBWAY_PAR</v>
      </c>
      <c r="B283" t="str">
        <f>IF(PNL!B283="","",PNL!B283)</f>
        <v>6411</v>
      </c>
      <c r="C283" t="str">
        <f>IF(PNL!C283="","",PNL!C283)</f>
        <v>2025</v>
      </c>
      <c r="D283" t="str">
        <f>IF(PNL!D283="","",PNL!D283)</f>
        <v>ACT</v>
      </c>
      <c r="E283">
        <f t="shared" si="0"/>
        <v>0</v>
      </c>
      <c r="F283">
        <f>IF($A283="","",IF($E283=1,_xlfn.SUMIFS(Comptabilité!$F$1:$F$1446,Comptabilité!$A$1:$A$1446,$A283,Comptabilité!$B$1:$B$1446,$B283,Comptabilité!$C$1:$C$1446,"2026"),0))</f>
        <v>0</v>
      </c>
      <c r="G283">
        <f>IF($A283="","",IF($D283="V01",Cadrage!$C$23,IF($D283="V02",Cadrage!$D$23,Cadrage!$E$23)))</f>
        <v>-0.05</v>
      </c>
      <c r="H283">
        <f>IF($A283="","",IF($D283="V01",Cadrage!$C$24,IF($D283="V02",Cadrage!$D$24,Cadrage!$E$24)))</f>
        <v>-0.05</v>
      </c>
      <c r="I283">
        <f>IF($A283="","",IF($D283="V01",Cadrage!$C$34,IF($D283="V02",Cadrage!$D$34,Cadrage!$E$34)))</f>
        <v>0.03</v>
      </c>
      <c r="J283">
        <f>IF($A283="","",IF($D283="V01",Cadrage!$C$35,IF($D283="V02",Cadrage!$D$35,Cadrage!$E$35)))</f>
        <v>0.03</v>
      </c>
      <c r="K283">
        <f>IF($A283="","",IF($D283="V01",Cadrage!$C$36,IF($D283="V02",Cadrage!$D$36,Cadrage!$E$36)))</f>
        <v>0.05</v>
      </c>
      <c r="L283">
        <f>IF($A283="","",IF($D283="V01",Cadrage!$C$37,IF($D283="V02",Cadrage!$D$37,Cadrage!$E$37)))</f>
        <v>0</v>
      </c>
      <c r="M283">
        <f>IF($A283="","",IF($D283="V01",Cadrage!$C$38,IF($D283="V02",Cadrage!$D$38,Cadrage!$E$38)))</f>
        <v>0.04</v>
      </c>
      <c r="N283">
        <f t="shared" si="1"/>
        <v>0.980622079131853</v>
      </c>
      <c r="O283">
        <f t="shared" si="2"/>
        <v>1.0815</v>
      </c>
      <c r="P283">
        <f>IF($A283="","",IF($E283=1,$F283*$O283,PNL!G283))</f>
        <v>484866.41</v>
      </c>
      <c r="T283">
        <f t="shared" si="3"/>
        <v>0</v>
      </c>
    </row>
    <row r="284" ht="14.25" customHeight="1">
      <c r="A284" t="str">
        <f>IF(PNL!A284="","",PNL!A284)</f>
        <v>MBWAY_LYO</v>
      </c>
      <c r="B284" t="str">
        <f>IF(PNL!B284="","",PNL!B284)</f>
        <v>6411</v>
      </c>
      <c r="C284" t="str">
        <f>IF(PNL!C284="","",PNL!C284)</f>
        <v>2025</v>
      </c>
      <c r="D284" t="str">
        <f>IF(PNL!D284="","",PNL!D284)</f>
        <v>ACT</v>
      </c>
      <c r="E284">
        <f t="shared" si="0"/>
        <v>0</v>
      </c>
      <c r="F284">
        <f>IF($A284="","",IF($E284=1,_xlfn.SUMIFS(Comptabilité!$F$1:$F$1446,Comptabilité!$A$1:$A$1446,$A284,Comptabilité!$B$1:$B$1446,$B284,Comptabilité!$C$1:$C$1446,"2026"),0))</f>
        <v>0</v>
      </c>
      <c r="G284">
        <f>IF($A284="","",IF($D284="V01",Cadrage!$C$23,IF($D284="V02",Cadrage!$D$23,Cadrage!$E$23)))</f>
        <v>-0.05</v>
      </c>
      <c r="H284">
        <f>IF($A284="","",IF($D284="V01",Cadrage!$C$24,IF($D284="V02",Cadrage!$D$24,Cadrage!$E$24)))</f>
        <v>-0.05</v>
      </c>
      <c r="I284">
        <f>IF($A284="","",IF($D284="V01",Cadrage!$C$34,IF($D284="V02",Cadrage!$D$34,Cadrage!$E$34)))</f>
        <v>0.03</v>
      </c>
      <c r="J284">
        <f>IF($A284="","",IF($D284="V01",Cadrage!$C$35,IF($D284="V02",Cadrage!$D$35,Cadrage!$E$35)))</f>
        <v>0.03</v>
      </c>
      <c r="K284">
        <f>IF($A284="","",IF($D284="V01",Cadrage!$C$36,IF($D284="V02",Cadrage!$D$36,Cadrage!$E$36)))</f>
        <v>0.05</v>
      </c>
      <c r="L284">
        <f>IF($A284="","",IF($D284="V01",Cadrage!$C$37,IF($D284="V02",Cadrage!$D$37,Cadrage!$E$37)))</f>
        <v>0</v>
      </c>
      <c r="M284">
        <f>IF($A284="","",IF($D284="V01",Cadrage!$C$38,IF($D284="V02",Cadrage!$D$38,Cadrage!$E$38)))</f>
        <v>0.04</v>
      </c>
      <c r="N284">
        <f t="shared" si="1"/>
        <v>0.980622079131853</v>
      </c>
      <c r="O284">
        <f t="shared" si="2"/>
        <v>1.0815</v>
      </c>
      <c r="P284">
        <f>IF($A284="","",IF($E284=1,$F284*$O284,PNL!G284))</f>
        <v>381714.36</v>
      </c>
      <c r="T284">
        <f t="shared" si="3"/>
        <v>0</v>
      </c>
    </row>
    <row r="285" ht="14.25" customHeight="1">
      <c r="A285" t="str">
        <f>IF(PNL!A285="","",PNL!A285)</f>
        <v>MBWAY_NAN</v>
      </c>
      <c r="B285" t="str">
        <f>IF(PNL!B285="","",PNL!B285)</f>
        <v>6411</v>
      </c>
      <c r="C285" t="str">
        <f>IF(PNL!C285="","",PNL!C285)</f>
        <v>2025</v>
      </c>
      <c r="D285" t="str">
        <f>IF(PNL!D285="","",PNL!D285)</f>
        <v>ACT</v>
      </c>
      <c r="E285">
        <f t="shared" si="0"/>
        <v>0</v>
      </c>
      <c r="F285">
        <f>IF($A285="","",IF($E285=1,_xlfn.SUMIFS(Comptabilité!$F$1:$F$1446,Comptabilité!$A$1:$A$1446,$A285,Comptabilité!$B$1:$B$1446,$B285,Comptabilité!$C$1:$C$1446,"2026"),0))</f>
        <v>0</v>
      </c>
      <c r="G285">
        <f>IF($A285="","",IF($D285="V01",Cadrage!$C$23,IF($D285="V02",Cadrage!$D$23,Cadrage!$E$23)))</f>
        <v>-0.05</v>
      </c>
      <c r="H285">
        <f>IF($A285="","",IF($D285="V01",Cadrage!$C$24,IF($D285="V02",Cadrage!$D$24,Cadrage!$E$24)))</f>
        <v>-0.05</v>
      </c>
      <c r="I285">
        <f>IF($A285="","",IF($D285="V01",Cadrage!$C$34,IF($D285="V02",Cadrage!$D$34,Cadrage!$E$34)))</f>
        <v>0.03</v>
      </c>
      <c r="J285">
        <f>IF($A285="","",IF($D285="V01",Cadrage!$C$35,IF($D285="V02",Cadrage!$D$35,Cadrage!$E$35)))</f>
        <v>0.03</v>
      </c>
      <c r="K285">
        <f>IF($A285="","",IF($D285="V01",Cadrage!$C$36,IF($D285="V02",Cadrage!$D$36,Cadrage!$E$36)))</f>
        <v>0.05</v>
      </c>
      <c r="L285">
        <f>IF($A285="","",IF($D285="V01",Cadrage!$C$37,IF($D285="V02",Cadrage!$D$37,Cadrage!$E$37)))</f>
        <v>0</v>
      </c>
      <c r="M285">
        <f>IF($A285="","",IF($D285="V01",Cadrage!$C$38,IF($D285="V02",Cadrage!$D$38,Cadrage!$E$38)))</f>
        <v>0.04</v>
      </c>
      <c r="N285">
        <f t="shared" si="1"/>
        <v>0.980622079131853</v>
      </c>
      <c r="O285">
        <f t="shared" si="2"/>
        <v>1.0815</v>
      </c>
      <c r="P285">
        <f>IF($A285="","",IF($E285=1,$F285*$O285,PNL!G285))</f>
        <v>333028.5</v>
      </c>
      <c r="T285">
        <f t="shared" si="3"/>
        <v>0</v>
      </c>
    </row>
    <row r="286" ht="14.25" customHeight="1">
      <c r="A286" t="str">
        <f>IF(PNL!A286="","",PNL!A286)</f>
        <v>MBWAY_BOR</v>
      </c>
      <c r="B286" t="str">
        <f>IF(PNL!B286="","",PNL!B286)</f>
        <v>6411</v>
      </c>
      <c r="C286" t="str">
        <f>IF(PNL!C286="","",PNL!C286)</f>
        <v>2025</v>
      </c>
      <c r="D286" t="str">
        <f>IF(PNL!D286="","",PNL!D286)</f>
        <v>ACT</v>
      </c>
      <c r="E286">
        <f t="shared" si="0"/>
        <v>0</v>
      </c>
      <c r="F286">
        <f>IF($A286="","",IF($E286=1,_xlfn.SUMIFS(Comptabilité!$F$1:$F$1446,Comptabilité!$A$1:$A$1446,$A286,Comptabilité!$B$1:$B$1446,$B286,Comptabilité!$C$1:$C$1446,"2026"),0))</f>
        <v>0</v>
      </c>
      <c r="G286">
        <f>IF($A286="","",IF($D286="V01",Cadrage!$C$23,IF($D286="V02",Cadrage!$D$23,Cadrage!$E$23)))</f>
        <v>-0.05</v>
      </c>
      <c r="H286">
        <f>IF($A286="","",IF($D286="V01",Cadrage!$C$24,IF($D286="V02",Cadrage!$D$24,Cadrage!$E$24)))</f>
        <v>-0.05</v>
      </c>
      <c r="I286">
        <f>IF($A286="","",IF($D286="V01",Cadrage!$C$34,IF($D286="V02",Cadrage!$D$34,Cadrage!$E$34)))</f>
        <v>0.03</v>
      </c>
      <c r="J286">
        <f>IF($A286="","",IF($D286="V01",Cadrage!$C$35,IF($D286="V02",Cadrage!$D$35,Cadrage!$E$35)))</f>
        <v>0.03</v>
      </c>
      <c r="K286">
        <f>IF($A286="","",IF($D286="V01",Cadrage!$C$36,IF($D286="V02",Cadrage!$D$36,Cadrage!$E$36)))</f>
        <v>0.05</v>
      </c>
      <c r="L286">
        <f>IF($A286="","",IF($D286="V01",Cadrage!$C$37,IF($D286="V02",Cadrage!$D$37,Cadrage!$E$37)))</f>
        <v>0</v>
      </c>
      <c r="M286">
        <f>IF($A286="","",IF($D286="V01",Cadrage!$C$38,IF($D286="V02",Cadrage!$D$38,Cadrage!$E$38)))</f>
        <v>0.04</v>
      </c>
      <c r="N286">
        <f t="shared" si="1"/>
        <v>0.980622079131853</v>
      </c>
      <c r="O286">
        <f t="shared" si="2"/>
        <v>1.0815</v>
      </c>
      <c r="P286">
        <f>IF($A286="","",IF($E286=1,$F286*$O286,PNL!G286))</f>
        <v>267929</v>
      </c>
      <c r="T286">
        <f t="shared" si="3"/>
        <v>0</v>
      </c>
    </row>
    <row r="287" ht="14.25" customHeight="1">
      <c r="A287" t="str">
        <f>IF(PNL!A287="","",PNL!A287)</f>
        <v>ISCOM_PAR</v>
      </c>
      <c r="B287" t="str">
        <f>IF(PNL!B287="","",PNL!B287)</f>
        <v>6411</v>
      </c>
      <c r="C287" t="str">
        <f>IF(PNL!C287="","",PNL!C287)</f>
        <v>2025</v>
      </c>
      <c r="D287" t="str">
        <f>IF(PNL!D287="","",PNL!D287)</f>
        <v>ACT</v>
      </c>
      <c r="E287">
        <f t="shared" si="0"/>
        <v>0</v>
      </c>
      <c r="F287">
        <f>IF($A287="","",IF($E287=1,_xlfn.SUMIFS(Comptabilité!$F$1:$F$1446,Comptabilité!$A$1:$A$1446,$A287,Comptabilité!$B$1:$B$1446,$B287,Comptabilité!$C$1:$C$1446,"2026"),0))</f>
        <v>0</v>
      </c>
      <c r="G287">
        <f>IF($A287="","",IF($D287="V01",Cadrage!$C$23,IF($D287="V02",Cadrage!$D$23,Cadrage!$E$23)))</f>
        <v>-0.05</v>
      </c>
      <c r="H287">
        <f>IF($A287="","",IF($D287="V01",Cadrage!$C$24,IF($D287="V02",Cadrage!$D$24,Cadrage!$E$24)))</f>
        <v>-0.05</v>
      </c>
      <c r="I287">
        <f>IF($A287="","",IF($D287="V01",Cadrage!$C$34,IF($D287="V02",Cadrage!$D$34,Cadrage!$E$34)))</f>
        <v>0.03</v>
      </c>
      <c r="J287">
        <f>IF($A287="","",IF($D287="V01",Cadrage!$C$35,IF($D287="V02",Cadrage!$D$35,Cadrage!$E$35)))</f>
        <v>0.03</v>
      </c>
      <c r="K287">
        <f>IF($A287="","",IF($D287="V01",Cadrage!$C$36,IF($D287="V02",Cadrage!$D$36,Cadrage!$E$36)))</f>
        <v>0.05</v>
      </c>
      <c r="L287">
        <f>IF($A287="","",IF($D287="V01",Cadrage!$C$37,IF($D287="V02",Cadrage!$D$37,Cadrage!$E$37)))</f>
        <v>0</v>
      </c>
      <c r="M287">
        <f>IF($A287="","",IF($D287="V01",Cadrage!$C$38,IF($D287="V02",Cadrage!$D$38,Cadrage!$E$38)))</f>
        <v>0.04</v>
      </c>
      <c r="N287">
        <f t="shared" si="1"/>
        <v>0.980622079131853</v>
      </c>
      <c r="O287">
        <f t="shared" si="2"/>
        <v>1.0815</v>
      </c>
      <c r="P287">
        <f>IF($A287="","",IF($E287=1,$F287*$O287,PNL!G287))</f>
        <v>466993.12</v>
      </c>
      <c r="T287">
        <f t="shared" si="3"/>
        <v>0</v>
      </c>
    </row>
    <row r="288" ht="14.25" customHeight="1">
      <c r="A288" t="str">
        <f>IF(PNL!A288="","",PNL!A288)</f>
        <v>ISCOM_LIL</v>
      </c>
      <c r="B288" t="str">
        <f>IF(PNL!B288="","",PNL!B288)</f>
        <v>6411</v>
      </c>
      <c r="C288" t="str">
        <f>IF(PNL!C288="","",PNL!C288)</f>
        <v>2025</v>
      </c>
      <c r="D288" t="str">
        <f>IF(PNL!D288="","",PNL!D288)</f>
        <v>ACT</v>
      </c>
      <c r="E288">
        <f t="shared" si="0"/>
        <v>0</v>
      </c>
      <c r="F288">
        <f>IF($A288="","",IF($E288=1,_xlfn.SUMIFS(Comptabilité!$F$1:$F$1446,Comptabilité!$A$1:$A$1446,$A288,Comptabilité!$B$1:$B$1446,$B288,Comptabilité!$C$1:$C$1446,"2026"),0))</f>
        <v>0</v>
      </c>
      <c r="G288">
        <f>IF($A288="","",IF($D288="V01",Cadrage!$C$23,IF($D288="V02",Cadrage!$D$23,Cadrage!$E$23)))</f>
        <v>-0.05</v>
      </c>
      <c r="H288">
        <f>IF($A288="","",IF($D288="V01",Cadrage!$C$24,IF($D288="V02",Cadrage!$D$24,Cadrage!$E$24)))</f>
        <v>-0.05</v>
      </c>
      <c r="I288">
        <f>IF($A288="","",IF($D288="V01",Cadrage!$C$34,IF($D288="V02",Cadrage!$D$34,Cadrage!$E$34)))</f>
        <v>0.03</v>
      </c>
      <c r="J288">
        <f>IF($A288="","",IF($D288="V01",Cadrage!$C$35,IF($D288="V02",Cadrage!$D$35,Cadrage!$E$35)))</f>
        <v>0.03</v>
      </c>
      <c r="K288">
        <f>IF($A288="","",IF($D288="V01",Cadrage!$C$36,IF($D288="V02",Cadrage!$D$36,Cadrage!$E$36)))</f>
        <v>0.05</v>
      </c>
      <c r="L288">
        <f>IF($A288="","",IF($D288="V01",Cadrage!$C$37,IF($D288="V02",Cadrage!$D$37,Cadrage!$E$37)))</f>
        <v>0</v>
      </c>
      <c r="M288">
        <f>IF($A288="","",IF($D288="V01",Cadrage!$C$38,IF($D288="V02",Cadrage!$D$38,Cadrage!$E$38)))</f>
        <v>0.04</v>
      </c>
      <c r="N288">
        <f t="shared" si="1"/>
        <v>0.980622079131853</v>
      </c>
      <c r="O288">
        <f t="shared" si="2"/>
        <v>1.0815</v>
      </c>
      <c r="P288">
        <f>IF($A288="","",IF($E288=1,$F288*$O288,PNL!G288))</f>
        <v>270570.21</v>
      </c>
      <c r="T288">
        <f t="shared" si="3"/>
        <v>0</v>
      </c>
    </row>
    <row r="289" ht="14.25" customHeight="1">
      <c r="A289" t="str">
        <f>IF(PNL!A289="","",PNL!A289)</f>
        <v>ISCOM_TLS</v>
      </c>
      <c r="B289" t="str">
        <f>IF(PNL!B289="","",PNL!B289)</f>
        <v>6411</v>
      </c>
      <c r="C289" t="str">
        <f>IF(PNL!C289="","",PNL!C289)</f>
        <v>2025</v>
      </c>
      <c r="D289" t="str">
        <f>IF(PNL!D289="","",PNL!D289)</f>
        <v>ACT</v>
      </c>
      <c r="E289">
        <f t="shared" si="0"/>
        <v>0</v>
      </c>
      <c r="F289">
        <f>IF($A289="","",IF($E289=1,_xlfn.SUMIFS(Comptabilité!$F$1:$F$1446,Comptabilité!$A$1:$A$1446,$A289,Comptabilité!$B$1:$B$1446,$B289,Comptabilité!$C$1:$C$1446,"2026"),0))</f>
        <v>0</v>
      </c>
      <c r="G289">
        <f>IF($A289="","",IF($D289="V01",Cadrage!$C$23,IF($D289="V02",Cadrage!$D$23,Cadrage!$E$23)))</f>
        <v>-0.05</v>
      </c>
      <c r="H289">
        <f>IF($A289="","",IF($D289="V01",Cadrage!$C$24,IF($D289="V02",Cadrage!$D$24,Cadrage!$E$24)))</f>
        <v>-0.05</v>
      </c>
      <c r="I289">
        <f>IF($A289="","",IF($D289="V01",Cadrage!$C$34,IF($D289="V02",Cadrage!$D$34,Cadrage!$E$34)))</f>
        <v>0.03</v>
      </c>
      <c r="J289">
        <f>IF($A289="","",IF($D289="V01",Cadrage!$C$35,IF($D289="V02",Cadrage!$D$35,Cadrage!$E$35)))</f>
        <v>0.03</v>
      </c>
      <c r="K289">
        <f>IF($A289="","",IF($D289="V01",Cadrage!$C$36,IF($D289="V02",Cadrage!$D$36,Cadrage!$E$36)))</f>
        <v>0.05</v>
      </c>
      <c r="L289">
        <f>IF($A289="","",IF($D289="V01",Cadrage!$C$37,IF($D289="V02",Cadrage!$D$37,Cadrage!$E$37)))</f>
        <v>0</v>
      </c>
      <c r="M289">
        <f>IF($A289="","",IF($D289="V01",Cadrage!$C$38,IF($D289="V02",Cadrage!$D$38,Cadrage!$E$38)))</f>
        <v>0.04</v>
      </c>
      <c r="N289">
        <f t="shared" si="1"/>
        <v>0.980622079131853</v>
      </c>
      <c r="O289">
        <f t="shared" si="2"/>
        <v>1.0815</v>
      </c>
      <c r="P289">
        <f>IF($A289="","",IF($E289=1,$F289*$O289,PNL!G289))</f>
        <v>253220.84</v>
      </c>
      <c r="T289">
        <f t="shared" si="3"/>
        <v>0</v>
      </c>
    </row>
    <row r="290" ht="14.25" customHeight="1">
      <c r="A290" t="str">
        <f>IF(PNL!A290="","",PNL!A290)</f>
        <v>IPAC_NAN</v>
      </c>
      <c r="B290" t="str">
        <f>IF(PNL!B290="","",PNL!B290)</f>
        <v>6411</v>
      </c>
      <c r="C290" t="str">
        <f>IF(PNL!C290="","",PNL!C290)</f>
        <v>2025</v>
      </c>
      <c r="D290" t="str">
        <f>IF(PNL!D290="","",PNL!D290)</f>
        <v>ACT</v>
      </c>
      <c r="E290">
        <f t="shared" si="0"/>
        <v>0</v>
      </c>
      <c r="F290">
        <f>IF($A290="","",IF($E290=1,_xlfn.SUMIFS(Comptabilité!$F$1:$F$1446,Comptabilité!$A$1:$A$1446,$A290,Comptabilité!$B$1:$B$1446,$B290,Comptabilité!$C$1:$C$1446,"2026"),0))</f>
        <v>0</v>
      </c>
      <c r="G290">
        <f>IF($A290="","",IF($D290="V01",Cadrage!$C$23,IF($D290="V02",Cadrage!$D$23,Cadrage!$E$23)))</f>
        <v>-0.05</v>
      </c>
      <c r="H290">
        <f>IF($A290="","",IF($D290="V01",Cadrage!$C$24,IF($D290="V02",Cadrage!$D$24,Cadrage!$E$24)))</f>
        <v>-0.05</v>
      </c>
      <c r="I290">
        <f>IF($A290="","",IF($D290="V01",Cadrage!$C$34,IF($D290="V02",Cadrage!$D$34,Cadrage!$E$34)))</f>
        <v>0.03</v>
      </c>
      <c r="J290">
        <f>IF($A290="","",IF($D290="V01",Cadrage!$C$35,IF($D290="V02",Cadrage!$D$35,Cadrage!$E$35)))</f>
        <v>0.03</v>
      </c>
      <c r="K290">
        <f>IF($A290="","",IF($D290="V01",Cadrage!$C$36,IF($D290="V02",Cadrage!$D$36,Cadrage!$E$36)))</f>
        <v>0.05</v>
      </c>
      <c r="L290">
        <f>IF($A290="","",IF($D290="V01",Cadrage!$C$37,IF($D290="V02",Cadrage!$D$37,Cadrage!$E$37)))</f>
        <v>0</v>
      </c>
      <c r="M290">
        <f>IF($A290="","",IF($D290="V01",Cadrage!$C$38,IF($D290="V02",Cadrage!$D$38,Cadrage!$E$38)))</f>
        <v>0.04</v>
      </c>
      <c r="N290">
        <f t="shared" si="1"/>
        <v>0.980622079131853</v>
      </c>
      <c r="O290">
        <f t="shared" si="2"/>
        <v>1.0815</v>
      </c>
      <c r="P290">
        <f>IF($A290="","",IF($E290=1,$F290*$O290,PNL!G290))</f>
        <v>160911.47</v>
      </c>
      <c r="T290">
        <f t="shared" si="3"/>
        <v>0</v>
      </c>
    </row>
    <row r="291" ht="14.25" customHeight="1">
      <c r="A291" t="str">
        <f>IF(PNL!A291="","",PNL!A291)</f>
        <v>IPAC_REN</v>
      </c>
      <c r="B291" t="str">
        <f>IF(PNL!B291="","",PNL!B291)</f>
        <v>6411</v>
      </c>
      <c r="C291" t="str">
        <f>IF(PNL!C291="","",PNL!C291)</f>
        <v>2025</v>
      </c>
      <c r="D291" t="str">
        <f>IF(PNL!D291="","",PNL!D291)</f>
        <v>ACT</v>
      </c>
      <c r="E291">
        <f t="shared" si="0"/>
        <v>0</v>
      </c>
      <c r="F291">
        <f>IF($A291="","",IF($E291=1,_xlfn.SUMIFS(Comptabilité!$F$1:$F$1446,Comptabilité!$A$1:$A$1446,$A291,Comptabilité!$B$1:$B$1446,$B291,Comptabilité!$C$1:$C$1446,"2026"),0))</f>
        <v>0</v>
      </c>
      <c r="G291">
        <f>IF($A291="","",IF($D291="V01",Cadrage!$C$23,IF($D291="V02",Cadrage!$D$23,Cadrage!$E$23)))</f>
        <v>-0.05</v>
      </c>
      <c r="H291">
        <f>IF($A291="","",IF($D291="V01",Cadrage!$C$24,IF($D291="V02",Cadrage!$D$24,Cadrage!$E$24)))</f>
        <v>-0.05</v>
      </c>
      <c r="I291">
        <f>IF($A291="","",IF($D291="V01",Cadrage!$C$34,IF($D291="V02",Cadrage!$D$34,Cadrage!$E$34)))</f>
        <v>0.03</v>
      </c>
      <c r="J291">
        <f>IF($A291="","",IF($D291="V01",Cadrage!$C$35,IF($D291="V02",Cadrage!$D$35,Cadrage!$E$35)))</f>
        <v>0.03</v>
      </c>
      <c r="K291">
        <f>IF($A291="","",IF($D291="V01",Cadrage!$C$36,IF($D291="V02",Cadrage!$D$36,Cadrage!$E$36)))</f>
        <v>0.05</v>
      </c>
      <c r="L291">
        <f>IF($A291="","",IF($D291="V01",Cadrage!$C$37,IF($D291="V02",Cadrage!$D$37,Cadrage!$E$37)))</f>
        <v>0</v>
      </c>
      <c r="M291">
        <f>IF($A291="","",IF($D291="V01",Cadrage!$C$38,IF($D291="V02",Cadrage!$D$38,Cadrage!$E$38)))</f>
        <v>0.04</v>
      </c>
      <c r="N291">
        <f t="shared" si="1"/>
        <v>0.980622079131853</v>
      </c>
      <c r="O291">
        <f t="shared" si="2"/>
        <v>1.0815</v>
      </c>
      <c r="P291">
        <f>IF($A291="","",IF($E291=1,$F291*$O291,PNL!G291))</f>
        <v>132256.93</v>
      </c>
      <c r="T291">
        <f t="shared" si="3"/>
        <v>0</v>
      </c>
    </row>
    <row r="292" ht="14.25" customHeight="1">
      <c r="A292" t="str">
        <f>IF(PNL!A292="","",PNL!A292)</f>
        <v>IPAC_MTP</v>
      </c>
      <c r="B292" t="str">
        <f>IF(PNL!B292="","",PNL!B292)</f>
        <v>6411</v>
      </c>
      <c r="C292" t="str">
        <f>IF(PNL!C292="","",PNL!C292)</f>
        <v>2025</v>
      </c>
      <c r="D292" t="str">
        <f>IF(PNL!D292="","",PNL!D292)</f>
        <v>ACT</v>
      </c>
      <c r="E292">
        <f t="shared" si="0"/>
        <v>0</v>
      </c>
      <c r="F292">
        <f>IF($A292="","",IF($E292=1,_xlfn.SUMIFS(Comptabilité!$F$1:$F$1446,Comptabilité!$A$1:$A$1446,$A292,Comptabilité!$B$1:$B$1446,$B292,Comptabilité!$C$1:$C$1446,"2026"),0))</f>
        <v>0</v>
      </c>
      <c r="G292">
        <f>IF($A292="","",IF($D292="V01",Cadrage!$C$23,IF($D292="V02",Cadrage!$D$23,Cadrage!$E$23)))</f>
        <v>-0.05</v>
      </c>
      <c r="H292">
        <f>IF($A292="","",IF($D292="V01",Cadrage!$C$24,IF($D292="V02",Cadrage!$D$24,Cadrage!$E$24)))</f>
        <v>-0.05</v>
      </c>
      <c r="I292">
        <f>IF($A292="","",IF($D292="V01",Cadrage!$C$34,IF($D292="V02",Cadrage!$D$34,Cadrage!$E$34)))</f>
        <v>0.03</v>
      </c>
      <c r="J292">
        <f>IF($A292="","",IF($D292="V01",Cadrage!$C$35,IF($D292="V02",Cadrage!$D$35,Cadrage!$E$35)))</f>
        <v>0.03</v>
      </c>
      <c r="K292">
        <f>IF($A292="","",IF($D292="V01",Cadrage!$C$36,IF($D292="V02",Cadrage!$D$36,Cadrage!$E$36)))</f>
        <v>0.05</v>
      </c>
      <c r="L292">
        <f>IF($A292="","",IF($D292="V01",Cadrage!$C$37,IF($D292="V02",Cadrage!$D$37,Cadrage!$E$37)))</f>
        <v>0</v>
      </c>
      <c r="M292">
        <f>IF($A292="","",IF($D292="V01",Cadrage!$C$38,IF($D292="V02",Cadrage!$D$38,Cadrage!$E$38)))</f>
        <v>0.04</v>
      </c>
      <c r="N292">
        <f t="shared" si="1"/>
        <v>0.980622079131853</v>
      </c>
      <c r="O292">
        <f t="shared" si="2"/>
        <v>1.0815</v>
      </c>
      <c r="P292">
        <f>IF($A292="","",IF($E292=1,$F292*$O292,PNL!G292))</f>
        <v>132183.02</v>
      </c>
      <c r="T292">
        <f t="shared" si="3"/>
        <v>0</v>
      </c>
    </row>
    <row r="293" ht="14.25" customHeight="1">
      <c r="A293" t="str">
        <f>IF(PNL!A293="","",PNL!A293)</f>
        <v>PIGIER_LYO</v>
      </c>
      <c r="B293" t="str">
        <f>IF(PNL!B293="","",PNL!B293)</f>
        <v>6411</v>
      </c>
      <c r="C293" t="str">
        <f>IF(PNL!C293="","",PNL!C293)</f>
        <v>2025</v>
      </c>
      <c r="D293" t="str">
        <f>IF(PNL!D293="","",PNL!D293)</f>
        <v>ACT</v>
      </c>
      <c r="E293">
        <f t="shared" si="0"/>
        <v>0</v>
      </c>
      <c r="F293">
        <f>IF($A293="","",IF($E293=1,_xlfn.SUMIFS(Comptabilité!$F$1:$F$1446,Comptabilité!$A$1:$A$1446,$A293,Comptabilité!$B$1:$B$1446,$B293,Comptabilité!$C$1:$C$1446,"2026"),0))</f>
        <v>0</v>
      </c>
      <c r="G293">
        <f>IF($A293="","",IF($D293="V01",Cadrage!$C$23,IF($D293="V02",Cadrage!$D$23,Cadrage!$E$23)))</f>
        <v>-0.05</v>
      </c>
      <c r="H293">
        <f>IF($A293="","",IF($D293="V01",Cadrage!$C$24,IF($D293="V02",Cadrage!$D$24,Cadrage!$E$24)))</f>
        <v>-0.05</v>
      </c>
      <c r="I293">
        <f>IF($A293="","",IF($D293="V01",Cadrage!$C$34,IF($D293="V02",Cadrage!$D$34,Cadrage!$E$34)))</f>
        <v>0.03</v>
      </c>
      <c r="J293">
        <f>IF($A293="","",IF($D293="V01",Cadrage!$C$35,IF($D293="V02",Cadrage!$D$35,Cadrage!$E$35)))</f>
        <v>0.03</v>
      </c>
      <c r="K293">
        <f>IF($A293="","",IF($D293="V01",Cadrage!$C$36,IF($D293="V02",Cadrage!$D$36,Cadrage!$E$36)))</f>
        <v>0.05</v>
      </c>
      <c r="L293">
        <f>IF($A293="","",IF($D293="V01",Cadrage!$C$37,IF($D293="V02",Cadrage!$D$37,Cadrage!$E$37)))</f>
        <v>0</v>
      </c>
      <c r="M293">
        <f>IF($A293="","",IF($D293="V01",Cadrage!$C$38,IF($D293="V02",Cadrage!$D$38,Cadrage!$E$38)))</f>
        <v>0.04</v>
      </c>
      <c r="N293">
        <f t="shared" si="1"/>
        <v>0.980622079131853</v>
      </c>
      <c r="O293">
        <f t="shared" si="2"/>
        <v>1.0815</v>
      </c>
      <c r="P293">
        <f>IF($A293="","",IF($E293=1,$F293*$O293,PNL!G293))</f>
        <v>228262.14</v>
      </c>
      <c r="T293">
        <f t="shared" si="3"/>
        <v>0</v>
      </c>
    </row>
    <row r="294" ht="14.25" customHeight="1">
      <c r="A294" t="str">
        <f>IF(PNL!A294="","",PNL!A294)</f>
        <v>PIGIER_BOR</v>
      </c>
      <c r="B294" t="str">
        <f>IF(PNL!B294="","",PNL!B294)</f>
        <v>6411</v>
      </c>
      <c r="C294" t="str">
        <f>IF(PNL!C294="","",PNL!C294)</f>
        <v>2025</v>
      </c>
      <c r="D294" t="str">
        <f>IF(PNL!D294="","",PNL!D294)</f>
        <v>ACT</v>
      </c>
      <c r="E294">
        <f t="shared" si="0"/>
        <v>0</v>
      </c>
      <c r="F294">
        <f>IF($A294="","",IF($E294=1,_xlfn.SUMIFS(Comptabilité!$F$1:$F$1446,Comptabilité!$A$1:$A$1446,$A294,Comptabilité!$B$1:$B$1446,$B294,Comptabilité!$C$1:$C$1446,"2026"),0))</f>
        <v>0</v>
      </c>
      <c r="G294">
        <f>IF($A294="","",IF($D294="V01",Cadrage!$C$23,IF($D294="V02",Cadrage!$D$23,Cadrage!$E$23)))</f>
        <v>-0.05</v>
      </c>
      <c r="H294">
        <f>IF($A294="","",IF($D294="V01",Cadrage!$C$24,IF($D294="V02",Cadrage!$D$24,Cadrage!$E$24)))</f>
        <v>-0.05</v>
      </c>
      <c r="I294">
        <f>IF($A294="","",IF($D294="V01",Cadrage!$C$34,IF($D294="V02",Cadrage!$D$34,Cadrage!$E$34)))</f>
        <v>0.03</v>
      </c>
      <c r="J294">
        <f>IF($A294="","",IF($D294="V01",Cadrage!$C$35,IF($D294="V02",Cadrage!$D$35,Cadrage!$E$35)))</f>
        <v>0.03</v>
      </c>
      <c r="K294">
        <f>IF($A294="","",IF($D294="V01",Cadrage!$C$36,IF($D294="V02",Cadrage!$D$36,Cadrage!$E$36)))</f>
        <v>0.05</v>
      </c>
      <c r="L294">
        <f>IF($A294="","",IF($D294="V01",Cadrage!$C$37,IF($D294="V02",Cadrage!$D$37,Cadrage!$E$37)))</f>
        <v>0</v>
      </c>
      <c r="M294">
        <f>IF($A294="","",IF($D294="V01",Cadrage!$C$38,IF($D294="V02",Cadrage!$D$38,Cadrage!$E$38)))</f>
        <v>0.04</v>
      </c>
      <c r="N294">
        <f t="shared" si="1"/>
        <v>0.980622079131853</v>
      </c>
      <c r="O294">
        <f t="shared" si="2"/>
        <v>1.0815</v>
      </c>
      <c r="P294">
        <f>IF($A294="","",IF($E294=1,$F294*$O294,PNL!G294))</f>
        <v>175123.55</v>
      </c>
      <c r="T294">
        <f t="shared" si="3"/>
        <v>0</v>
      </c>
    </row>
    <row r="295" ht="14.25" customHeight="1">
      <c r="A295" t="str">
        <f>IF(PNL!A295="","",PNL!A295)</f>
        <v>TUNON_PAR</v>
      </c>
      <c r="B295" t="str">
        <f>IF(PNL!B295="","",PNL!B295)</f>
        <v>6411</v>
      </c>
      <c r="C295" t="str">
        <f>IF(PNL!C295="","",PNL!C295)</f>
        <v>2025</v>
      </c>
      <c r="D295" t="str">
        <f>IF(PNL!D295="","",PNL!D295)</f>
        <v>ACT</v>
      </c>
      <c r="E295">
        <f t="shared" si="0"/>
        <v>0</v>
      </c>
      <c r="F295">
        <f>IF($A295="","",IF($E295=1,_xlfn.SUMIFS(Comptabilité!$F$1:$F$1446,Comptabilité!$A$1:$A$1446,$A295,Comptabilité!$B$1:$B$1446,$B295,Comptabilité!$C$1:$C$1446,"2026"),0))</f>
        <v>0</v>
      </c>
      <c r="G295">
        <f>IF($A295="","",IF($D295="V01",Cadrage!$C$23,IF($D295="V02",Cadrage!$D$23,Cadrage!$E$23)))</f>
        <v>-0.05</v>
      </c>
      <c r="H295">
        <f>IF($A295="","",IF($D295="V01",Cadrage!$C$24,IF($D295="V02",Cadrage!$D$24,Cadrage!$E$24)))</f>
        <v>-0.05</v>
      </c>
      <c r="I295">
        <f>IF($A295="","",IF($D295="V01",Cadrage!$C$34,IF($D295="V02",Cadrage!$D$34,Cadrage!$E$34)))</f>
        <v>0.03</v>
      </c>
      <c r="J295">
        <f>IF($A295="","",IF($D295="V01",Cadrage!$C$35,IF($D295="V02",Cadrage!$D$35,Cadrage!$E$35)))</f>
        <v>0.03</v>
      </c>
      <c r="K295">
        <f>IF($A295="","",IF($D295="V01",Cadrage!$C$36,IF($D295="V02",Cadrage!$D$36,Cadrage!$E$36)))</f>
        <v>0.05</v>
      </c>
      <c r="L295">
        <f>IF($A295="","",IF($D295="V01",Cadrage!$C$37,IF($D295="V02",Cadrage!$D$37,Cadrage!$E$37)))</f>
        <v>0</v>
      </c>
      <c r="M295">
        <f>IF($A295="","",IF($D295="V01",Cadrage!$C$38,IF($D295="V02",Cadrage!$D$38,Cadrage!$E$38)))</f>
        <v>0.04</v>
      </c>
      <c r="N295">
        <f t="shared" si="1"/>
        <v>0.980622079131853</v>
      </c>
      <c r="O295">
        <f t="shared" si="2"/>
        <v>1.0815</v>
      </c>
      <c r="P295">
        <f>IF($A295="","",IF($E295=1,$F295*$O295,PNL!G295))</f>
        <v>205065.3</v>
      </c>
      <c r="T295">
        <f t="shared" si="3"/>
        <v>0</v>
      </c>
    </row>
    <row r="296" ht="14.25" customHeight="1">
      <c r="A296" t="str">
        <f>IF(PNL!A296="","",PNL!A296)</f>
        <v>TUNON_LYO</v>
      </c>
      <c r="B296" t="str">
        <f>IF(PNL!B296="","",PNL!B296)</f>
        <v>6411</v>
      </c>
      <c r="C296" t="str">
        <f>IF(PNL!C296="","",PNL!C296)</f>
        <v>2025</v>
      </c>
      <c r="D296" t="str">
        <f>IF(PNL!D296="","",PNL!D296)</f>
        <v>ACT</v>
      </c>
      <c r="E296">
        <f t="shared" si="0"/>
        <v>0</v>
      </c>
      <c r="F296">
        <f>IF($A296="","",IF($E296=1,_xlfn.SUMIFS(Comptabilité!$F$1:$F$1446,Comptabilité!$A$1:$A$1446,$A296,Comptabilité!$B$1:$B$1446,$B296,Comptabilité!$C$1:$C$1446,"2026"),0))</f>
        <v>0</v>
      </c>
      <c r="G296">
        <f>IF($A296="","",IF($D296="V01",Cadrage!$C$23,IF($D296="V02",Cadrage!$D$23,Cadrage!$E$23)))</f>
        <v>-0.05</v>
      </c>
      <c r="H296">
        <f>IF($A296="","",IF($D296="V01",Cadrage!$C$24,IF($D296="V02",Cadrage!$D$24,Cadrage!$E$24)))</f>
        <v>-0.05</v>
      </c>
      <c r="I296">
        <f>IF($A296="","",IF($D296="V01",Cadrage!$C$34,IF($D296="V02",Cadrage!$D$34,Cadrage!$E$34)))</f>
        <v>0.03</v>
      </c>
      <c r="J296">
        <f>IF($A296="","",IF($D296="V01",Cadrage!$C$35,IF($D296="V02",Cadrage!$D$35,Cadrage!$E$35)))</f>
        <v>0.03</v>
      </c>
      <c r="K296">
        <f>IF($A296="","",IF($D296="V01",Cadrage!$C$36,IF($D296="V02",Cadrage!$D$36,Cadrage!$E$36)))</f>
        <v>0.05</v>
      </c>
      <c r="L296">
        <f>IF($A296="","",IF($D296="V01",Cadrage!$C$37,IF($D296="V02",Cadrage!$D$37,Cadrage!$E$37)))</f>
        <v>0</v>
      </c>
      <c r="M296">
        <f>IF($A296="","",IF($D296="V01",Cadrage!$C$38,IF($D296="V02",Cadrage!$D$38,Cadrage!$E$38)))</f>
        <v>0.04</v>
      </c>
      <c r="N296">
        <f t="shared" si="1"/>
        <v>0.980622079131853</v>
      </c>
      <c r="O296">
        <f t="shared" si="2"/>
        <v>1.0815</v>
      </c>
      <c r="P296">
        <f>IF($A296="","",IF($E296=1,$F296*$O296,PNL!G296))</f>
        <v>173666.48</v>
      </c>
      <c r="T296">
        <f t="shared" si="3"/>
        <v>0</v>
      </c>
    </row>
    <row r="297" ht="14.25" customHeight="1">
      <c r="A297" t="str">
        <f>IF(PNL!A297="","",PNL!A297)</f>
        <v>MBWAY_PAR</v>
      </c>
      <c r="B297" t="str">
        <f>IF(PNL!B297="","",PNL!B297)</f>
        <v>6411</v>
      </c>
      <c r="C297" t="str">
        <f>IF(PNL!C297="","",PNL!C297)</f>
        <v>2026</v>
      </c>
      <c r="D297" t="str">
        <f>IF(PNL!D297="","",PNL!D297)</f>
        <v>ACT</v>
      </c>
      <c r="E297">
        <f t="shared" si="0"/>
        <v>0</v>
      </c>
      <c r="F297">
        <f>IF($A297="","",IF($E297=1,_xlfn.SUMIFS(Comptabilité!$F$1:$F$1446,Comptabilité!$A$1:$A$1446,$A297,Comptabilité!$B$1:$B$1446,$B297,Comptabilité!$C$1:$C$1446,"2026"),0))</f>
        <v>0</v>
      </c>
      <c r="G297">
        <f>IF($A297="","",IF($D297="V01",Cadrage!$C$23,IF($D297="V02",Cadrage!$D$23,Cadrage!$E$23)))</f>
        <v>-0.05</v>
      </c>
      <c r="H297">
        <f>IF($A297="","",IF($D297="V01",Cadrage!$C$24,IF($D297="V02",Cadrage!$D$24,Cadrage!$E$24)))</f>
        <v>-0.05</v>
      </c>
      <c r="I297">
        <f>IF($A297="","",IF($D297="V01",Cadrage!$C$34,IF($D297="V02",Cadrage!$D$34,Cadrage!$E$34)))</f>
        <v>0.03</v>
      </c>
      <c r="J297">
        <f>IF($A297="","",IF($D297="V01",Cadrage!$C$35,IF($D297="V02",Cadrage!$D$35,Cadrage!$E$35)))</f>
        <v>0.03</v>
      </c>
      <c r="K297">
        <f>IF($A297="","",IF($D297="V01",Cadrage!$C$36,IF($D297="V02",Cadrage!$D$36,Cadrage!$E$36)))</f>
        <v>0.05</v>
      </c>
      <c r="L297">
        <f>IF($A297="","",IF($D297="V01",Cadrage!$C$37,IF($D297="V02",Cadrage!$D$37,Cadrage!$E$37)))</f>
        <v>0</v>
      </c>
      <c r="M297">
        <f>IF($A297="","",IF($D297="V01",Cadrage!$C$38,IF($D297="V02",Cadrage!$D$38,Cadrage!$E$38)))</f>
        <v>0.04</v>
      </c>
      <c r="N297">
        <f t="shared" si="1"/>
        <v>0.980622079131853</v>
      </c>
      <c r="O297">
        <f t="shared" si="2"/>
        <v>1.0815</v>
      </c>
      <c r="P297">
        <f>IF($A297="","",IF($E297=1,$F297*$O297,PNL!G297))</f>
        <v>502062.96</v>
      </c>
      <c r="T297">
        <f t="shared" si="3"/>
        <v>0</v>
      </c>
    </row>
    <row r="298" ht="14.25" customHeight="1">
      <c r="A298" t="str">
        <f>IF(PNL!A298="","",PNL!A298)</f>
        <v>MBWAY_LYO</v>
      </c>
      <c r="B298" t="str">
        <f>IF(PNL!B298="","",PNL!B298)</f>
        <v>6411</v>
      </c>
      <c r="C298" t="str">
        <f>IF(PNL!C298="","",PNL!C298)</f>
        <v>2026</v>
      </c>
      <c r="D298" t="str">
        <f>IF(PNL!D298="","",PNL!D298)</f>
        <v>ACT</v>
      </c>
      <c r="E298">
        <f t="shared" si="0"/>
        <v>0</v>
      </c>
      <c r="F298">
        <f>IF($A298="","",IF($E298=1,_xlfn.SUMIFS(Comptabilité!$F$1:$F$1446,Comptabilité!$A$1:$A$1446,$A298,Comptabilité!$B$1:$B$1446,$B298,Comptabilité!$C$1:$C$1446,"2026"),0))</f>
        <v>0</v>
      </c>
      <c r="G298">
        <f>IF($A298="","",IF($D298="V01",Cadrage!$C$23,IF($D298="V02",Cadrage!$D$23,Cadrage!$E$23)))</f>
        <v>-0.05</v>
      </c>
      <c r="H298">
        <f>IF($A298="","",IF($D298="V01",Cadrage!$C$24,IF($D298="V02",Cadrage!$D$24,Cadrage!$E$24)))</f>
        <v>-0.05</v>
      </c>
      <c r="I298">
        <f>IF($A298="","",IF($D298="V01",Cadrage!$C$34,IF($D298="V02",Cadrage!$D$34,Cadrage!$E$34)))</f>
        <v>0.03</v>
      </c>
      <c r="J298">
        <f>IF($A298="","",IF($D298="V01",Cadrage!$C$35,IF($D298="V02",Cadrage!$D$35,Cadrage!$E$35)))</f>
        <v>0.03</v>
      </c>
      <c r="K298">
        <f>IF($A298="","",IF($D298="V01",Cadrage!$C$36,IF($D298="V02",Cadrage!$D$36,Cadrage!$E$36)))</f>
        <v>0.05</v>
      </c>
      <c r="L298">
        <f>IF($A298="","",IF($D298="V01",Cadrage!$C$37,IF($D298="V02",Cadrage!$D$37,Cadrage!$E$37)))</f>
        <v>0</v>
      </c>
      <c r="M298">
        <f>IF($A298="","",IF($D298="V01",Cadrage!$C$38,IF($D298="V02",Cadrage!$D$38,Cadrage!$E$38)))</f>
        <v>0.04</v>
      </c>
      <c r="N298">
        <f t="shared" si="1"/>
        <v>0.980622079131853</v>
      </c>
      <c r="O298">
        <f t="shared" si="2"/>
        <v>1.0815</v>
      </c>
      <c r="P298">
        <f>IF($A298="","",IF($E298=1,$F298*$O298,PNL!G298))</f>
        <v>400192.8</v>
      </c>
      <c r="T298">
        <f t="shared" si="3"/>
        <v>0</v>
      </c>
    </row>
    <row r="299" ht="14.25" customHeight="1">
      <c r="A299" t="str">
        <f>IF(PNL!A299="","",PNL!A299)</f>
        <v>MBWAY_NAN</v>
      </c>
      <c r="B299" t="str">
        <f>IF(PNL!B299="","",PNL!B299)</f>
        <v>6411</v>
      </c>
      <c r="C299" t="str">
        <f>IF(PNL!C299="","",PNL!C299)</f>
        <v>2026</v>
      </c>
      <c r="D299" t="str">
        <f>IF(PNL!D299="","",PNL!D299)</f>
        <v>ACT</v>
      </c>
      <c r="E299">
        <f t="shared" si="0"/>
        <v>0</v>
      </c>
      <c r="F299">
        <f>IF($A299="","",IF($E299=1,_xlfn.SUMIFS(Comptabilité!$F$1:$F$1446,Comptabilité!$A$1:$A$1446,$A299,Comptabilité!$B$1:$B$1446,$B299,Comptabilité!$C$1:$C$1446,"2026"),0))</f>
        <v>0</v>
      </c>
      <c r="G299">
        <f>IF($A299="","",IF($D299="V01",Cadrage!$C$23,IF($D299="V02",Cadrage!$D$23,Cadrage!$E$23)))</f>
        <v>-0.05</v>
      </c>
      <c r="H299">
        <f>IF($A299="","",IF($D299="V01",Cadrage!$C$24,IF($D299="V02",Cadrage!$D$24,Cadrage!$E$24)))</f>
        <v>-0.05</v>
      </c>
      <c r="I299">
        <f>IF($A299="","",IF($D299="V01",Cadrage!$C$34,IF($D299="V02",Cadrage!$D$34,Cadrage!$E$34)))</f>
        <v>0.03</v>
      </c>
      <c r="J299">
        <f>IF($A299="","",IF($D299="V01",Cadrage!$C$35,IF($D299="V02",Cadrage!$D$35,Cadrage!$E$35)))</f>
        <v>0.03</v>
      </c>
      <c r="K299">
        <f>IF($A299="","",IF($D299="V01",Cadrage!$C$36,IF($D299="V02",Cadrage!$D$36,Cadrage!$E$36)))</f>
        <v>0.05</v>
      </c>
      <c r="L299">
        <f>IF($A299="","",IF($D299="V01",Cadrage!$C$37,IF($D299="V02",Cadrage!$D$37,Cadrage!$E$37)))</f>
        <v>0</v>
      </c>
      <c r="M299">
        <f>IF($A299="","",IF($D299="V01",Cadrage!$C$38,IF($D299="V02",Cadrage!$D$38,Cadrage!$E$38)))</f>
        <v>0.04</v>
      </c>
      <c r="N299">
        <f t="shared" si="1"/>
        <v>0.980622079131853</v>
      </c>
      <c r="O299">
        <f t="shared" si="2"/>
        <v>1.0815</v>
      </c>
      <c r="P299">
        <f>IF($A299="","",IF($E299=1,$F299*$O299,PNL!G299))</f>
        <v>344252.4</v>
      </c>
      <c r="T299">
        <f t="shared" si="3"/>
        <v>0</v>
      </c>
    </row>
    <row r="300" ht="14.25" customHeight="1">
      <c r="A300" t="str">
        <f>IF(PNL!A300="","",PNL!A300)</f>
        <v>MBWAY_BOR</v>
      </c>
      <c r="B300" t="str">
        <f>IF(PNL!B300="","",PNL!B300)</f>
        <v>6411</v>
      </c>
      <c r="C300" t="str">
        <f>IF(PNL!C300="","",PNL!C300)</f>
        <v>2026</v>
      </c>
      <c r="D300" t="str">
        <f>IF(PNL!D300="","",PNL!D300)</f>
        <v>ACT</v>
      </c>
      <c r="E300">
        <f t="shared" si="0"/>
        <v>0</v>
      </c>
      <c r="F300">
        <f>IF($A300="","",IF($E300=1,_xlfn.SUMIFS(Comptabilité!$F$1:$F$1446,Comptabilité!$A$1:$A$1446,$A300,Comptabilité!$B$1:$B$1446,$B300,Comptabilité!$C$1:$C$1446,"2026"),0))</f>
        <v>0</v>
      </c>
      <c r="G300">
        <f>IF($A300="","",IF($D300="V01",Cadrage!$C$23,IF($D300="V02",Cadrage!$D$23,Cadrage!$E$23)))</f>
        <v>-0.05</v>
      </c>
      <c r="H300">
        <f>IF($A300="","",IF($D300="V01",Cadrage!$C$24,IF($D300="V02",Cadrage!$D$24,Cadrage!$E$24)))</f>
        <v>-0.05</v>
      </c>
      <c r="I300">
        <f>IF($A300="","",IF($D300="V01",Cadrage!$C$34,IF($D300="V02",Cadrage!$D$34,Cadrage!$E$34)))</f>
        <v>0.03</v>
      </c>
      <c r="J300">
        <f>IF($A300="","",IF($D300="V01",Cadrage!$C$35,IF($D300="V02",Cadrage!$D$35,Cadrage!$E$35)))</f>
        <v>0.03</v>
      </c>
      <c r="K300">
        <f>IF($A300="","",IF($D300="V01",Cadrage!$C$36,IF($D300="V02",Cadrage!$D$36,Cadrage!$E$36)))</f>
        <v>0.05</v>
      </c>
      <c r="L300">
        <f>IF($A300="","",IF($D300="V01",Cadrage!$C$37,IF($D300="V02",Cadrage!$D$37,Cadrage!$E$37)))</f>
        <v>0</v>
      </c>
      <c r="M300">
        <f>IF($A300="","",IF($D300="V01",Cadrage!$C$38,IF($D300="V02",Cadrage!$D$38,Cadrage!$E$38)))</f>
        <v>0.04</v>
      </c>
      <c r="N300">
        <f t="shared" si="1"/>
        <v>0.980622079131853</v>
      </c>
      <c r="O300">
        <f t="shared" si="2"/>
        <v>1.0815</v>
      </c>
      <c r="P300">
        <f>IF($A300="","",IF($E300=1,$F300*$O300,PNL!G300))</f>
        <v>280337.09</v>
      </c>
      <c r="T300">
        <f t="shared" si="3"/>
        <v>0</v>
      </c>
    </row>
    <row r="301" ht="14.25" customHeight="1">
      <c r="A301" t="str">
        <f>IF(PNL!A301="","",PNL!A301)</f>
        <v>ISCOM_PAR</v>
      </c>
      <c r="B301" t="str">
        <f>IF(PNL!B301="","",PNL!B301)</f>
        <v>6411</v>
      </c>
      <c r="C301" t="str">
        <f>IF(PNL!C301="","",PNL!C301)</f>
        <v>2026</v>
      </c>
      <c r="D301" t="str">
        <f>IF(PNL!D301="","",PNL!D301)</f>
        <v>ACT</v>
      </c>
      <c r="E301">
        <f t="shared" si="0"/>
        <v>0</v>
      </c>
      <c r="F301">
        <f>IF($A301="","",IF($E301=1,_xlfn.SUMIFS(Comptabilité!$F$1:$F$1446,Comptabilité!$A$1:$A$1446,$A301,Comptabilité!$B$1:$B$1446,$B301,Comptabilité!$C$1:$C$1446,"2026"),0))</f>
        <v>0</v>
      </c>
      <c r="G301">
        <f>IF($A301="","",IF($D301="V01",Cadrage!$C$23,IF($D301="V02",Cadrage!$D$23,Cadrage!$E$23)))</f>
        <v>-0.05</v>
      </c>
      <c r="H301">
        <f>IF($A301="","",IF($D301="V01",Cadrage!$C$24,IF($D301="V02",Cadrage!$D$24,Cadrage!$E$24)))</f>
        <v>-0.05</v>
      </c>
      <c r="I301">
        <f>IF($A301="","",IF($D301="V01",Cadrage!$C$34,IF($D301="V02",Cadrage!$D$34,Cadrage!$E$34)))</f>
        <v>0.03</v>
      </c>
      <c r="J301">
        <f>IF($A301="","",IF($D301="V01",Cadrage!$C$35,IF($D301="V02",Cadrage!$D$35,Cadrage!$E$35)))</f>
        <v>0.03</v>
      </c>
      <c r="K301">
        <f>IF($A301="","",IF($D301="V01",Cadrage!$C$36,IF($D301="V02",Cadrage!$D$36,Cadrage!$E$36)))</f>
        <v>0.05</v>
      </c>
      <c r="L301">
        <f>IF($A301="","",IF($D301="V01",Cadrage!$C$37,IF($D301="V02",Cadrage!$D$37,Cadrage!$E$37)))</f>
        <v>0</v>
      </c>
      <c r="M301">
        <f>IF($A301="","",IF($D301="V01",Cadrage!$C$38,IF($D301="V02",Cadrage!$D$38,Cadrage!$E$38)))</f>
        <v>0.04</v>
      </c>
      <c r="N301">
        <f t="shared" si="1"/>
        <v>0.980622079131853</v>
      </c>
      <c r="O301">
        <f t="shared" si="2"/>
        <v>1.0815</v>
      </c>
      <c r="P301">
        <f>IF($A301="","",IF($E301=1,$F301*$O301,PNL!G301))</f>
        <v>488050.48</v>
      </c>
      <c r="T301">
        <f t="shared" si="3"/>
        <v>0</v>
      </c>
    </row>
    <row r="302" ht="14.25" customHeight="1">
      <c r="A302" t="str">
        <f>IF(PNL!A302="","",PNL!A302)</f>
        <v>ISCOM_LIL</v>
      </c>
      <c r="B302" t="str">
        <f>IF(PNL!B302="","",PNL!B302)</f>
        <v>6411</v>
      </c>
      <c r="C302" t="str">
        <f>IF(PNL!C302="","",PNL!C302)</f>
        <v>2026</v>
      </c>
      <c r="D302" t="str">
        <f>IF(PNL!D302="","",PNL!D302)</f>
        <v>ACT</v>
      </c>
      <c r="E302">
        <f t="shared" si="0"/>
        <v>0</v>
      </c>
      <c r="F302">
        <f>IF($A302="","",IF($E302=1,_xlfn.SUMIFS(Comptabilité!$F$1:$F$1446,Comptabilité!$A$1:$A$1446,$A302,Comptabilité!$B$1:$B$1446,$B302,Comptabilité!$C$1:$C$1446,"2026"),0))</f>
        <v>0</v>
      </c>
      <c r="G302">
        <f>IF($A302="","",IF($D302="V01",Cadrage!$C$23,IF($D302="V02",Cadrage!$D$23,Cadrage!$E$23)))</f>
        <v>-0.05</v>
      </c>
      <c r="H302">
        <f>IF($A302="","",IF($D302="V01",Cadrage!$C$24,IF($D302="V02",Cadrage!$D$24,Cadrage!$E$24)))</f>
        <v>-0.05</v>
      </c>
      <c r="I302">
        <f>IF($A302="","",IF($D302="V01",Cadrage!$C$34,IF($D302="V02",Cadrage!$D$34,Cadrage!$E$34)))</f>
        <v>0.03</v>
      </c>
      <c r="J302">
        <f>IF($A302="","",IF($D302="V01",Cadrage!$C$35,IF($D302="V02",Cadrage!$D$35,Cadrage!$E$35)))</f>
        <v>0.03</v>
      </c>
      <c r="K302">
        <f>IF($A302="","",IF($D302="V01",Cadrage!$C$36,IF($D302="V02",Cadrage!$D$36,Cadrage!$E$36)))</f>
        <v>0.05</v>
      </c>
      <c r="L302">
        <f>IF($A302="","",IF($D302="V01",Cadrage!$C$37,IF($D302="V02",Cadrage!$D$37,Cadrage!$E$37)))</f>
        <v>0</v>
      </c>
      <c r="M302">
        <f>IF($A302="","",IF($D302="V01",Cadrage!$C$38,IF($D302="V02",Cadrage!$D$38,Cadrage!$E$38)))</f>
        <v>0.04</v>
      </c>
      <c r="N302">
        <f t="shared" si="1"/>
        <v>0.980622079131853</v>
      </c>
      <c r="O302">
        <f t="shared" si="2"/>
        <v>1.0815</v>
      </c>
      <c r="P302">
        <f>IF($A302="","",IF($E302=1,$F302*$O302,PNL!G302))</f>
        <v>284669.17</v>
      </c>
      <c r="T302">
        <f t="shared" si="3"/>
        <v>0</v>
      </c>
    </row>
    <row r="303" ht="14.25" customHeight="1">
      <c r="A303" t="str">
        <f>IF(PNL!A303="","",PNL!A303)</f>
        <v>ISCOM_TLS</v>
      </c>
      <c r="B303" t="str">
        <f>IF(PNL!B303="","",PNL!B303)</f>
        <v>6411</v>
      </c>
      <c r="C303" t="str">
        <f>IF(PNL!C303="","",PNL!C303)</f>
        <v>2026</v>
      </c>
      <c r="D303" t="str">
        <f>IF(PNL!D303="","",PNL!D303)</f>
        <v>ACT</v>
      </c>
      <c r="E303">
        <f t="shared" si="0"/>
        <v>0</v>
      </c>
      <c r="F303">
        <f>IF($A303="","",IF($E303=1,_xlfn.SUMIFS(Comptabilité!$F$1:$F$1446,Comptabilité!$A$1:$A$1446,$A303,Comptabilité!$B$1:$B$1446,$B303,Comptabilité!$C$1:$C$1446,"2026"),0))</f>
        <v>0</v>
      </c>
      <c r="G303">
        <f>IF($A303="","",IF($D303="V01",Cadrage!$C$23,IF($D303="V02",Cadrage!$D$23,Cadrage!$E$23)))</f>
        <v>-0.05</v>
      </c>
      <c r="H303">
        <f>IF($A303="","",IF($D303="V01",Cadrage!$C$24,IF($D303="V02",Cadrage!$D$24,Cadrage!$E$24)))</f>
        <v>-0.05</v>
      </c>
      <c r="I303">
        <f>IF($A303="","",IF($D303="V01",Cadrage!$C$34,IF($D303="V02",Cadrage!$D$34,Cadrage!$E$34)))</f>
        <v>0.03</v>
      </c>
      <c r="J303">
        <f>IF($A303="","",IF($D303="V01",Cadrage!$C$35,IF($D303="V02",Cadrage!$D$35,Cadrage!$E$35)))</f>
        <v>0.03</v>
      </c>
      <c r="K303">
        <f>IF($A303="","",IF($D303="V01",Cadrage!$C$36,IF($D303="V02",Cadrage!$D$36,Cadrage!$E$36)))</f>
        <v>0.05</v>
      </c>
      <c r="L303">
        <f>IF($A303="","",IF($D303="V01",Cadrage!$C$37,IF($D303="V02",Cadrage!$D$37,Cadrage!$E$37)))</f>
        <v>0</v>
      </c>
      <c r="M303">
        <f>IF($A303="","",IF($D303="V01",Cadrage!$C$38,IF($D303="V02",Cadrage!$D$38,Cadrage!$E$38)))</f>
        <v>0.04</v>
      </c>
      <c r="N303">
        <f t="shared" si="1"/>
        <v>0.980622079131853</v>
      </c>
      <c r="O303">
        <f t="shared" si="2"/>
        <v>1.0815</v>
      </c>
      <c r="P303">
        <f>IF($A303="","",IF($E303=1,$F303*$O303,PNL!G303))</f>
        <v>267683.87</v>
      </c>
      <c r="T303">
        <f t="shared" si="3"/>
        <v>0</v>
      </c>
    </row>
    <row r="304" ht="14.25" customHeight="1">
      <c r="A304" t="str">
        <f>IF(PNL!A304="","",PNL!A304)</f>
        <v>IPAC_NAN</v>
      </c>
      <c r="B304" t="str">
        <f>IF(PNL!B304="","",PNL!B304)</f>
        <v>6411</v>
      </c>
      <c r="C304" t="str">
        <f>IF(PNL!C304="","",PNL!C304)</f>
        <v>2026</v>
      </c>
      <c r="D304" t="str">
        <f>IF(PNL!D304="","",PNL!D304)</f>
        <v>ACT</v>
      </c>
      <c r="E304">
        <f t="shared" si="0"/>
        <v>0</v>
      </c>
      <c r="F304">
        <f>IF($A304="","",IF($E304=1,_xlfn.SUMIFS(Comptabilité!$F$1:$F$1446,Comptabilité!$A$1:$A$1446,$A304,Comptabilité!$B$1:$B$1446,$B304,Comptabilité!$C$1:$C$1446,"2026"),0))</f>
        <v>0</v>
      </c>
      <c r="G304">
        <f>IF($A304="","",IF($D304="V01",Cadrage!$C$23,IF($D304="V02",Cadrage!$D$23,Cadrage!$E$23)))</f>
        <v>-0.05</v>
      </c>
      <c r="H304">
        <f>IF($A304="","",IF($D304="V01",Cadrage!$C$24,IF($D304="V02",Cadrage!$D$24,Cadrage!$E$24)))</f>
        <v>-0.05</v>
      </c>
      <c r="I304">
        <f>IF($A304="","",IF($D304="V01",Cadrage!$C$34,IF($D304="V02",Cadrage!$D$34,Cadrage!$E$34)))</f>
        <v>0.03</v>
      </c>
      <c r="J304">
        <f>IF($A304="","",IF($D304="V01",Cadrage!$C$35,IF($D304="V02",Cadrage!$D$35,Cadrage!$E$35)))</f>
        <v>0.03</v>
      </c>
      <c r="K304">
        <f>IF($A304="","",IF($D304="V01",Cadrage!$C$36,IF($D304="V02",Cadrage!$D$36,Cadrage!$E$36)))</f>
        <v>0.05</v>
      </c>
      <c r="L304">
        <f>IF($A304="","",IF($D304="V01",Cadrage!$C$37,IF($D304="V02",Cadrage!$D$37,Cadrage!$E$37)))</f>
        <v>0</v>
      </c>
      <c r="M304">
        <f>IF($A304="","",IF($D304="V01",Cadrage!$C$38,IF($D304="V02",Cadrage!$D$38,Cadrage!$E$38)))</f>
        <v>0.04</v>
      </c>
      <c r="N304">
        <f t="shared" si="1"/>
        <v>0.980622079131853</v>
      </c>
      <c r="O304">
        <f t="shared" si="2"/>
        <v>1.0815</v>
      </c>
      <c r="P304">
        <f>IF($A304="","",IF($E304=1,$F304*$O304,PNL!G304))</f>
        <v>168182.73</v>
      </c>
      <c r="T304">
        <f t="shared" si="3"/>
        <v>0</v>
      </c>
    </row>
    <row r="305" ht="14.25" customHeight="1">
      <c r="A305" t="str">
        <f>IF(PNL!A305="","",PNL!A305)</f>
        <v>IPAC_REN</v>
      </c>
      <c r="B305" t="str">
        <f>IF(PNL!B305="","",PNL!B305)</f>
        <v>6411</v>
      </c>
      <c r="C305" t="str">
        <f>IF(PNL!C305="","",PNL!C305)</f>
        <v>2026</v>
      </c>
      <c r="D305" t="str">
        <f>IF(PNL!D305="","",PNL!D305)</f>
        <v>ACT</v>
      </c>
      <c r="E305">
        <f t="shared" si="0"/>
        <v>0</v>
      </c>
      <c r="F305">
        <f>IF($A305="","",IF($E305=1,_xlfn.SUMIFS(Comptabilité!$F$1:$F$1446,Comptabilité!$A$1:$A$1446,$A305,Comptabilité!$B$1:$B$1446,$B305,Comptabilité!$C$1:$C$1446,"2026"),0))</f>
        <v>0</v>
      </c>
      <c r="G305">
        <f>IF($A305="","",IF($D305="V01",Cadrage!$C$23,IF($D305="V02",Cadrage!$D$23,Cadrage!$E$23)))</f>
        <v>-0.05</v>
      </c>
      <c r="H305">
        <f>IF($A305="","",IF($D305="V01",Cadrage!$C$24,IF($D305="V02",Cadrage!$D$24,Cadrage!$E$24)))</f>
        <v>-0.05</v>
      </c>
      <c r="I305">
        <f>IF($A305="","",IF($D305="V01",Cadrage!$C$34,IF($D305="V02",Cadrage!$D$34,Cadrage!$E$34)))</f>
        <v>0.03</v>
      </c>
      <c r="J305">
        <f>IF($A305="","",IF($D305="V01",Cadrage!$C$35,IF($D305="V02",Cadrage!$D$35,Cadrage!$E$35)))</f>
        <v>0.03</v>
      </c>
      <c r="K305">
        <f>IF($A305="","",IF($D305="V01",Cadrage!$C$36,IF($D305="V02",Cadrage!$D$36,Cadrage!$E$36)))</f>
        <v>0.05</v>
      </c>
      <c r="L305">
        <f>IF($A305="","",IF($D305="V01",Cadrage!$C$37,IF($D305="V02",Cadrage!$D$37,Cadrage!$E$37)))</f>
        <v>0</v>
      </c>
      <c r="M305">
        <f>IF($A305="","",IF($D305="V01",Cadrage!$C$38,IF($D305="V02",Cadrage!$D$38,Cadrage!$E$38)))</f>
        <v>0.04</v>
      </c>
      <c r="N305">
        <f t="shared" si="1"/>
        <v>0.980622079131853</v>
      </c>
      <c r="O305">
        <f t="shared" si="2"/>
        <v>1.0815</v>
      </c>
      <c r="P305">
        <f>IF($A305="","",IF($E305=1,$F305*$O305,PNL!G305))</f>
        <v>136168.63</v>
      </c>
      <c r="T305">
        <f t="shared" si="3"/>
        <v>0</v>
      </c>
    </row>
    <row r="306" ht="14.25" customHeight="1">
      <c r="A306" t="str">
        <f>IF(PNL!A306="","",PNL!A306)</f>
        <v>IPAC_MTP</v>
      </c>
      <c r="B306" t="str">
        <f>IF(PNL!B306="","",PNL!B306)</f>
        <v>6411</v>
      </c>
      <c r="C306" t="str">
        <f>IF(PNL!C306="","",PNL!C306)</f>
        <v>2026</v>
      </c>
      <c r="D306" t="str">
        <f>IF(PNL!D306="","",PNL!D306)</f>
        <v>ACT</v>
      </c>
      <c r="E306">
        <f t="shared" si="0"/>
        <v>0</v>
      </c>
      <c r="F306">
        <f>IF($A306="","",IF($E306=1,_xlfn.SUMIFS(Comptabilité!$F$1:$F$1446,Comptabilité!$A$1:$A$1446,$A306,Comptabilité!$B$1:$B$1446,$B306,Comptabilité!$C$1:$C$1446,"2026"),0))</f>
        <v>0</v>
      </c>
      <c r="G306">
        <f>IF($A306="","",IF($D306="V01",Cadrage!$C$23,IF($D306="V02",Cadrage!$D$23,Cadrage!$E$23)))</f>
        <v>-0.05</v>
      </c>
      <c r="H306">
        <f>IF($A306="","",IF($D306="V01",Cadrage!$C$24,IF($D306="V02",Cadrage!$D$24,Cadrage!$E$24)))</f>
        <v>-0.05</v>
      </c>
      <c r="I306">
        <f>IF($A306="","",IF($D306="V01",Cadrage!$C$34,IF($D306="V02",Cadrage!$D$34,Cadrage!$E$34)))</f>
        <v>0.03</v>
      </c>
      <c r="J306">
        <f>IF($A306="","",IF($D306="V01",Cadrage!$C$35,IF($D306="V02",Cadrage!$D$35,Cadrage!$E$35)))</f>
        <v>0.03</v>
      </c>
      <c r="K306">
        <f>IF($A306="","",IF($D306="V01",Cadrage!$C$36,IF($D306="V02",Cadrage!$D$36,Cadrage!$E$36)))</f>
        <v>0.05</v>
      </c>
      <c r="L306">
        <f>IF($A306="","",IF($D306="V01",Cadrage!$C$37,IF($D306="V02",Cadrage!$D$37,Cadrage!$E$37)))</f>
        <v>0</v>
      </c>
      <c r="M306">
        <f>IF($A306="","",IF($D306="V01",Cadrage!$C$38,IF($D306="V02",Cadrage!$D$38,Cadrage!$E$38)))</f>
        <v>0.04</v>
      </c>
      <c r="N306">
        <f t="shared" si="1"/>
        <v>0.980622079131853</v>
      </c>
      <c r="O306">
        <f t="shared" si="2"/>
        <v>1.0815</v>
      </c>
      <c r="P306">
        <f>IF($A306="","",IF($E306=1,$F306*$O306,PNL!G306))</f>
        <v>136087.43</v>
      </c>
      <c r="T306">
        <f t="shared" si="3"/>
        <v>0</v>
      </c>
    </row>
    <row r="307" ht="14.25" customHeight="1">
      <c r="A307" t="str">
        <f>IF(PNL!A307="","",PNL!A307)</f>
        <v>PIGIER_LYO</v>
      </c>
      <c r="B307" t="str">
        <f>IF(PNL!B307="","",PNL!B307)</f>
        <v>6411</v>
      </c>
      <c r="C307" t="str">
        <f>IF(PNL!C307="","",PNL!C307)</f>
        <v>2026</v>
      </c>
      <c r="D307" t="str">
        <f>IF(PNL!D307="","",PNL!D307)</f>
        <v>ACT</v>
      </c>
      <c r="E307">
        <f t="shared" si="0"/>
        <v>0</v>
      </c>
      <c r="F307">
        <f>IF($A307="","",IF($E307=1,_xlfn.SUMIFS(Comptabilité!$F$1:$F$1446,Comptabilité!$A$1:$A$1446,$A307,Comptabilité!$B$1:$B$1446,$B307,Comptabilité!$C$1:$C$1446,"2026"),0))</f>
        <v>0</v>
      </c>
      <c r="G307">
        <f>IF($A307="","",IF($D307="V01",Cadrage!$C$23,IF($D307="V02",Cadrage!$D$23,Cadrage!$E$23)))</f>
        <v>-0.05</v>
      </c>
      <c r="H307">
        <f>IF($A307="","",IF($D307="V01",Cadrage!$C$24,IF($D307="V02",Cadrage!$D$24,Cadrage!$E$24)))</f>
        <v>-0.05</v>
      </c>
      <c r="I307">
        <f>IF($A307="","",IF($D307="V01",Cadrage!$C$34,IF($D307="V02",Cadrage!$D$34,Cadrage!$E$34)))</f>
        <v>0.03</v>
      </c>
      <c r="J307">
        <f>IF($A307="","",IF($D307="V01",Cadrage!$C$35,IF($D307="V02",Cadrage!$D$35,Cadrage!$E$35)))</f>
        <v>0.03</v>
      </c>
      <c r="K307">
        <f>IF($A307="","",IF($D307="V01",Cadrage!$C$36,IF($D307="V02",Cadrage!$D$36,Cadrage!$E$36)))</f>
        <v>0.05</v>
      </c>
      <c r="L307">
        <f>IF($A307="","",IF($D307="V01",Cadrage!$C$37,IF($D307="V02",Cadrage!$D$37,Cadrage!$E$37)))</f>
        <v>0</v>
      </c>
      <c r="M307">
        <f>IF($A307="","",IF($D307="V01",Cadrage!$C$38,IF($D307="V02",Cadrage!$D$38,Cadrage!$E$38)))</f>
        <v>0.04</v>
      </c>
      <c r="N307">
        <f t="shared" si="1"/>
        <v>0.980622079131853</v>
      </c>
      <c r="O307">
        <f t="shared" si="2"/>
        <v>1.0815</v>
      </c>
      <c r="P307">
        <f>IF($A307="","",IF($E307=1,$F307*$O307,PNL!G307))</f>
        <v>241308.7</v>
      </c>
      <c r="T307">
        <f t="shared" si="3"/>
        <v>0</v>
      </c>
    </row>
    <row r="308" ht="14.25" customHeight="1">
      <c r="A308" t="str">
        <f>IF(PNL!A308="","",PNL!A308)</f>
        <v>PIGIER_BOR</v>
      </c>
      <c r="B308" t="str">
        <f>IF(PNL!B308="","",PNL!B308)</f>
        <v>6411</v>
      </c>
      <c r="C308" t="str">
        <f>IF(PNL!C308="","",PNL!C308)</f>
        <v>2026</v>
      </c>
      <c r="D308" t="str">
        <f>IF(PNL!D308="","",PNL!D308)</f>
        <v>ACT</v>
      </c>
      <c r="E308">
        <f t="shared" si="0"/>
        <v>0</v>
      </c>
      <c r="F308">
        <f>IF($A308="","",IF($E308=1,_xlfn.SUMIFS(Comptabilité!$F$1:$F$1446,Comptabilité!$A$1:$A$1446,$A308,Comptabilité!$B$1:$B$1446,$B308,Comptabilité!$C$1:$C$1446,"2026"),0))</f>
        <v>0</v>
      </c>
      <c r="G308">
        <f>IF($A308="","",IF($D308="V01",Cadrage!$C$23,IF($D308="V02",Cadrage!$D$23,Cadrage!$E$23)))</f>
        <v>-0.05</v>
      </c>
      <c r="H308">
        <f>IF($A308="","",IF($D308="V01",Cadrage!$C$24,IF($D308="V02",Cadrage!$D$24,Cadrage!$E$24)))</f>
        <v>-0.05</v>
      </c>
      <c r="I308">
        <f>IF($A308="","",IF($D308="V01",Cadrage!$C$34,IF($D308="V02",Cadrage!$D$34,Cadrage!$E$34)))</f>
        <v>0.03</v>
      </c>
      <c r="J308">
        <f>IF($A308="","",IF($D308="V01",Cadrage!$C$35,IF($D308="V02",Cadrage!$D$35,Cadrage!$E$35)))</f>
        <v>0.03</v>
      </c>
      <c r="K308">
        <f>IF($A308="","",IF($D308="V01",Cadrage!$C$36,IF($D308="V02",Cadrage!$D$36,Cadrage!$E$36)))</f>
        <v>0.05</v>
      </c>
      <c r="L308">
        <f>IF($A308="","",IF($D308="V01",Cadrage!$C$37,IF($D308="V02",Cadrage!$D$37,Cadrage!$E$37)))</f>
        <v>0</v>
      </c>
      <c r="M308">
        <f>IF($A308="","",IF($D308="V01",Cadrage!$C$38,IF($D308="V02",Cadrage!$D$38,Cadrage!$E$38)))</f>
        <v>0.04</v>
      </c>
      <c r="N308">
        <f t="shared" si="1"/>
        <v>0.980622079131853</v>
      </c>
      <c r="O308">
        <f t="shared" si="2"/>
        <v>1.0815</v>
      </c>
      <c r="P308">
        <f>IF($A308="","",IF($E308=1,$F308*$O308,PNL!G308))</f>
        <v>182756.35</v>
      </c>
      <c r="T308">
        <f t="shared" si="3"/>
        <v>0</v>
      </c>
    </row>
    <row r="309" ht="14.25" customHeight="1">
      <c r="A309" t="str">
        <f>IF(PNL!A309="","",PNL!A309)</f>
        <v>TUNON_PAR</v>
      </c>
      <c r="B309" t="str">
        <f>IF(PNL!B309="","",PNL!B309)</f>
        <v>6411</v>
      </c>
      <c r="C309" t="str">
        <f>IF(PNL!C309="","",PNL!C309)</f>
        <v>2026</v>
      </c>
      <c r="D309" t="str">
        <f>IF(PNL!D309="","",PNL!D309)</f>
        <v>ACT</v>
      </c>
      <c r="E309">
        <f t="shared" si="0"/>
        <v>0</v>
      </c>
      <c r="F309">
        <f>IF($A309="","",IF($E309=1,_xlfn.SUMIFS(Comptabilité!$F$1:$F$1446,Comptabilité!$A$1:$A$1446,$A309,Comptabilité!$B$1:$B$1446,$B309,Comptabilité!$C$1:$C$1446,"2026"),0))</f>
        <v>0</v>
      </c>
      <c r="G309">
        <f>IF($A309="","",IF($D309="V01",Cadrage!$C$23,IF($D309="V02",Cadrage!$D$23,Cadrage!$E$23)))</f>
        <v>-0.05</v>
      </c>
      <c r="H309">
        <f>IF($A309="","",IF($D309="V01",Cadrage!$C$24,IF($D309="V02",Cadrage!$D$24,Cadrage!$E$24)))</f>
        <v>-0.05</v>
      </c>
      <c r="I309">
        <f>IF($A309="","",IF($D309="V01",Cadrage!$C$34,IF($D309="V02",Cadrage!$D$34,Cadrage!$E$34)))</f>
        <v>0.03</v>
      </c>
      <c r="J309">
        <f>IF($A309="","",IF($D309="V01",Cadrage!$C$35,IF($D309="V02",Cadrage!$D$35,Cadrage!$E$35)))</f>
        <v>0.03</v>
      </c>
      <c r="K309">
        <f>IF($A309="","",IF($D309="V01",Cadrage!$C$36,IF($D309="V02",Cadrage!$D$36,Cadrage!$E$36)))</f>
        <v>0.05</v>
      </c>
      <c r="L309">
        <f>IF($A309="","",IF($D309="V01",Cadrage!$C$37,IF($D309="V02",Cadrage!$D$37,Cadrage!$E$37)))</f>
        <v>0</v>
      </c>
      <c r="M309">
        <f>IF($A309="","",IF($D309="V01",Cadrage!$C$38,IF($D309="V02",Cadrage!$D$38,Cadrage!$E$38)))</f>
        <v>0.04</v>
      </c>
      <c r="N309">
        <f t="shared" si="1"/>
        <v>0.980622079131853</v>
      </c>
      <c r="O309">
        <f t="shared" si="2"/>
        <v>1.0815</v>
      </c>
      <c r="P309">
        <f>IF($A309="","",IF($E309=1,$F309*$O309,PNL!G309))</f>
        <v>223369.51</v>
      </c>
      <c r="T309">
        <f t="shared" si="3"/>
        <v>0</v>
      </c>
    </row>
    <row r="310" ht="14.25" customHeight="1">
      <c r="A310" t="str">
        <f>IF(PNL!A310="","",PNL!A310)</f>
        <v>TUNON_LYO</v>
      </c>
      <c r="B310" t="str">
        <f>IF(PNL!B310="","",PNL!B310)</f>
        <v>6411</v>
      </c>
      <c r="C310" t="str">
        <f>IF(PNL!C310="","",PNL!C310)</f>
        <v>2026</v>
      </c>
      <c r="D310" t="str">
        <f>IF(PNL!D310="","",PNL!D310)</f>
        <v>ACT</v>
      </c>
      <c r="E310">
        <f t="shared" si="0"/>
        <v>0</v>
      </c>
      <c r="F310">
        <f>IF($A310="","",IF($E310=1,_xlfn.SUMIFS(Comptabilité!$F$1:$F$1446,Comptabilité!$A$1:$A$1446,$A310,Comptabilité!$B$1:$B$1446,$B310,Comptabilité!$C$1:$C$1446,"2026"),0))</f>
        <v>0</v>
      </c>
      <c r="G310">
        <f>IF($A310="","",IF($D310="V01",Cadrage!$C$23,IF($D310="V02",Cadrage!$D$23,Cadrage!$E$23)))</f>
        <v>-0.05</v>
      </c>
      <c r="H310">
        <f>IF($A310="","",IF($D310="V01",Cadrage!$C$24,IF($D310="V02",Cadrage!$D$24,Cadrage!$E$24)))</f>
        <v>-0.05</v>
      </c>
      <c r="I310">
        <f>IF($A310="","",IF($D310="V01",Cadrage!$C$34,IF($D310="V02",Cadrage!$D$34,Cadrage!$E$34)))</f>
        <v>0.03</v>
      </c>
      <c r="J310">
        <f>IF($A310="","",IF($D310="V01",Cadrage!$C$35,IF($D310="V02",Cadrage!$D$35,Cadrage!$E$35)))</f>
        <v>0.03</v>
      </c>
      <c r="K310">
        <f>IF($A310="","",IF($D310="V01",Cadrage!$C$36,IF($D310="V02",Cadrage!$D$36,Cadrage!$E$36)))</f>
        <v>0.05</v>
      </c>
      <c r="L310">
        <f>IF($A310="","",IF($D310="V01",Cadrage!$C$37,IF($D310="V02",Cadrage!$D$37,Cadrage!$E$37)))</f>
        <v>0</v>
      </c>
      <c r="M310">
        <f>IF($A310="","",IF($D310="V01",Cadrage!$C$38,IF($D310="V02",Cadrage!$D$38,Cadrage!$E$38)))</f>
        <v>0.04</v>
      </c>
      <c r="N310">
        <f t="shared" si="1"/>
        <v>0.980622079131853</v>
      </c>
      <c r="O310">
        <f t="shared" si="2"/>
        <v>1.0815</v>
      </c>
      <c r="P310">
        <f>IF($A310="","",IF($E310=1,$F310*$O310,PNL!G310))</f>
        <v>185947.72</v>
      </c>
      <c r="T310">
        <f t="shared" si="3"/>
        <v>0</v>
      </c>
    </row>
    <row r="311" ht="14.25" customHeight="1">
      <c r="A311" t="str">
        <f>IF(PNL!A311="","",PNL!A311)</f>
        <v>MBWAY_PAR</v>
      </c>
      <c r="B311" t="str">
        <f>IF(PNL!B311="","",PNL!B311)</f>
        <v>6413</v>
      </c>
      <c r="C311" t="str">
        <f>IF(PNL!C311="","",PNL!C311)</f>
        <v>2024</v>
      </c>
      <c r="D311" t="str">
        <f>IF(PNL!D311="","",PNL!D311)</f>
        <v>ACT</v>
      </c>
      <c r="E311">
        <f t="shared" si="0"/>
        <v>0</v>
      </c>
      <c r="F311">
        <f>IF($A311="","",IF($E311=1,_xlfn.SUMIFS(Comptabilité!$F$1:$F$1446,Comptabilité!$A$1:$A$1446,$A311,Comptabilité!$B$1:$B$1446,$B311,Comptabilité!$C$1:$C$1446,"2026"),0))</f>
        <v>0</v>
      </c>
      <c r="G311">
        <f>IF($A311="","",IF($D311="V01",Cadrage!$C$23,IF($D311="V02",Cadrage!$D$23,Cadrage!$E$23)))</f>
        <v>-0.05</v>
      </c>
      <c r="H311">
        <f>IF($A311="","",IF($D311="V01",Cadrage!$C$24,IF($D311="V02",Cadrage!$D$24,Cadrage!$E$24)))</f>
        <v>-0.05</v>
      </c>
      <c r="I311">
        <f>IF($A311="","",IF($D311="V01",Cadrage!$C$34,IF($D311="V02",Cadrage!$D$34,Cadrage!$E$34)))</f>
        <v>0.03</v>
      </c>
      <c r="J311">
        <f>IF($A311="","",IF($D311="V01",Cadrage!$C$35,IF($D311="V02",Cadrage!$D$35,Cadrage!$E$35)))</f>
        <v>0.03</v>
      </c>
      <c r="K311">
        <f>IF($A311="","",IF($D311="V01",Cadrage!$C$36,IF($D311="V02",Cadrage!$D$36,Cadrage!$E$36)))</f>
        <v>0.05</v>
      </c>
      <c r="L311">
        <f>IF($A311="","",IF($D311="V01",Cadrage!$C$37,IF($D311="V02",Cadrage!$D$37,Cadrage!$E$37)))</f>
        <v>0</v>
      </c>
      <c r="M311">
        <f>IF($A311="","",IF($D311="V01",Cadrage!$C$38,IF($D311="V02",Cadrage!$D$38,Cadrage!$E$38)))</f>
        <v>0.04</v>
      </c>
      <c r="N311">
        <f t="shared" si="1"/>
        <v>0.980622079131853</v>
      </c>
      <c r="O311">
        <f t="shared" si="2"/>
        <v>1.0815</v>
      </c>
      <c r="P311">
        <f>IF($A311="","",IF($E311=1,$F311*$O311,PNL!G311))</f>
        <v>266491.87</v>
      </c>
      <c r="T311">
        <f t="shared" si="3"/>
        <v>0</v>
      </c>
    </row>
    <row r="312" ht="14.25" customHeight="1">
      <c r="A312" t="str">
        <f>IF(PNL!A312="","",PNL!A312)</f>
        <v>MBWAY_LYO</v>
      </c>
      <c r="B312" t="str">
        <f>IF(PNL!B312="","",PNL!B312)</f>
        <v>6413</v>
      </c>
      <c r="C312" t="str">
        <f>IF(PNL!C312="","",PNL!C312)</f>
        <v>2024</v>
      </c>
      <c r="D312" t="str">
        <f>IF(PNL!D312="","",PNL!D312)</f>
        <v>ACT</v>
      </c>
      <c r="E312">
        <f t="shared" si="0"/>
        <v>0</v>
      </c>
      <c r="F312">
        <f>IF($A312="","",IF($E312=1,_xlfn.SUMIFS(Comptabilité!$F$1:$F$1446,Comptabilité!$A$1:$A$1446,$A312,Comptabilité!$B$1:$B$1446,$B312,Comptabilité!$C$1:$C$1446,"2026"),0))</f>
        <v>0</v>
      </c>
      <c r="G312">
        <f>IF($A312="","",IF($D312="V01",Cadrage!$C$23,IF($D312="V02",Cadrage!$D$23,Cadrage!$E$23)))</f>
        <v>-0.05</v>
      </c>
      <c r="H312">
        <f>IF($A312="","",IF($D312="V01",Cadrage!$C$24,IF($D312="V02",Cadrage!$D$24,Cadrage!$E$24)))</f>
        <v>-0.05</v>
      </c>
      <c r="I312">
        <f>IF($A312="","",IF($D312="V01",Cadrage!$C$34,IF($D312="V02",Cadrage!$D$34,Cadrage!$E$34)))</f>
        <v>0.03</v>
      </c>
      <c r="J312">
        <f>IF($A312="","",IF($D312="V01",Cadrage!$C$35,IF($D312="V02",Cadrage!$D$35,Cadrage!$E$35)))</f>
        <v>0.03</v>
      </c>
      <c r="K312">
        <f>IF($A312="","",IF($D312="V01",Cadrage!$C$36,IF($D312="V02",Cadrage!$D$36,Cadrage!$E$36)))</f>
        <v>0.05</v>
      </c>
      <c r="L312">
        <f>IF($A312="","",IF($D312="V01",Cadrage!$C$37,IF($D312="V02",Cadrage!$D$37,Cadrage!$E$37)))</f>
        <v>0</v>
      </c>
      <c r="M312">
        <f>IF($A312="","",IF($D312="V01",Cadrage!$C$38,IF($D312="V02",Cadrage!$D$38,Cadrage!$E$38)))</f>
        <v>0.04</v>
      </c>
      <c r="N312">
        <f t="shared" si="1"/>
        <v>0.980622079131853</v>
      </c>
      <c r="O312">
        <f t="shared" si="2"/>
        <v>1.0815</v>
      </c>
      <c r="P312">
        <f>IF($A312="","",IF($E312=1,$F312*$O312,PNL!G312))</f>
        <v>208432.22</v>
      </c>
      <c r="T312">
        <f t="shared" si="3"/>
        <v>0</v>
      </c>
    </row>
    <row r="313" ht="14.25" customHeight="1">
      <c r="A313" t="str">
        <f>IF(PNL!A313="","",PNL!A313)</f>
        <v>MBWAY_NAN</v>
      </c>
      <c r="B313" t="str">
        <f>IF(PNL!B313="","",PNL!B313)</f>
        <v>6413</v>
      </c>
      <c r="C313" t="str">
        <f>IF(PNL!C313="","",PNL!C313)</f>
        <v>2024</v>
      </c>
      <c r="D313" t="str">
        <f>IF(PNL!D313="","",PNL!D313)</f>
        <v>ACT</v>
      </c>
      <c r="E313">
        <f t="shared" si="0"/>
        <v>0</v>
      </c>
      <c r="F313">
        <f>IF($A313="","",IF($E313=1,_xlfn.SUMIFS(Comptabilité!$F$1:$F$1446,Comptabilité!$A$1:$A$1446,$A313,Comptabilité!$B$1:$B$1446,$B313,Comptabilité!$C$1:$C$1446,"2026"),0))</f>
        <v>0</v>
      </c>
      <c r="G313">
        <f>IF($A313="","",IF($D313="V01",Cadrage!$C$23,IF($D313="V02",Cadrage!$D$23,Cadrage!$E$23)))</f>
        <v>-0.05</v>
      </c>
      <c r="H313">
        <f>IF($A313="","",IF($D313="V01",Cadrage!$C$24,IF($D313="V02",Cadrage!$D$24,Cadrage!$E$24)))</f>
        <v>-0.05</v>
      </c>
      <c r="I313">
        <f>IF($A313="","",IF($D313="V01",Cadrage!$C$34,IF($D313="V02",Cadrage!$D$34,Cadrage!$E$34)))</f>
        <v>0.03</v>
      </c>
      <c r="J313">
        <f>IF($A313="","",IF($D313="V01",Cadrage!$C$35,IF($D313="V02",Cadrage!$D$35,Cadrage!$E$35)))</f>
        <v>0.03</v>
      </c>
      <c r="K313">
        <f>IF($A313="","",IF($D313="V01",Cadrage!$C$36,IF($D313="V02",Cadrage!$D$36,Cadrage!$E$36)))</f>
        <v>0.05</v>
      </c>
      <c r="L313">
        <f>IF($A313="","",IF($D313="V01",Cadrage!$C$37,IF($D313="V02",Cadrage!$D$37,Cadrage!$E$37)))</f>
        <v>0</v>
      </c>
      <c r="M313">
        <f>IF($A313="","",IF($D313="V01",Cadrage!$C$38,IF($D313="V02",Cadrage!$D$38,Cadrage!$E$38)))</f>
        <v>0.04</v>
      </c>
      <c r="N313">
        <f t="shared" si="1"/>
        <v>0.980622079131853</v>
      </c>
      <c r="O313">
        <f t="shared" si="2"/>
        <v>1.0815</v>
      </c>
      <c r="P313">
        <f>IF($A313="","",IF($E313=1,$F313*$O313,PNL!G313))</f>
        <v>176012.71</v>
      </c>
      <c r="T313">
        <f t="shared" si="3"/>
        <v>0</v>
      </c>
    </row>
    <row r="314" ht="14.25" customHeight="1">
      <c r="A314" t="str">
        <f>IF(PNL!A314="","",PNL!A314)</f>
        <v>MBWAY_BOR</v>
      </c>
      <c r="B314" t="str">
        <f>IF(PNL!B314="","",PNL!B314)</f>
        <v>6413</v>
      </c>
      <c r="C314" t="str">
        <f>IF(PNL!C314="","",PNL!C314)</f>
        <v>2024</v>
      </c>
      <c r="D314" t="str">
        <f>IF(PNL!D314="","",PNL!D314)</f>
        <v>ACT</v>
      </c>
      <c r="E314">
        <f t="shared" si="0"/>
        <v>0</v>
      </c>
      <c r="F314">
        <f>IF($A314="","",IF($E314=1,_xlfn.SUMIFS(Comptabilité!$F$1:$F$1446,Comptabilité!$A$1:$A$1446,$A314,Comptabilité!$B$1:$B$1446,$B314,Comptabilité!$C$1:$C$1446,"2026"),0))</f>
        <v>0</v>
      </c>
      <c r="G314">
        <f>IF($A314="","",IF($D314="V01",Cadrage!$C$23,IF($D314="V02",Cadrage!$D$23,Cadrage!$E$23)))</f>
        <v>-0.05</v>
      </c>
      <c r="H314">
        <f>IF($A314="","",IF($D314="V01",Cadrage!$C$24,IF($D314="V02",Cadrage!$D$24,Cadrage!$E$24)))</f>
        <v>-0.05</v>
      </c>
      <c r="I314">
        <f>IF($A314="","",IF($D314="V01",Cadrage!$C$34,IF($D314="V02",Cadrage!$D$34,Cadrage!$E$34)))</f>
        <v>0.03</v>
      </c>
      <c r="J314">
        <f>IF($A314="","",IF($D314="V01",Cadrage!$C$35,IF($D314="V02",Cadrage!$D$35,Cadrage!$E$35)))</f>
        <v>0.03</v>
      </c>
      <c r="K314">
        <f>IF($A314="","",IF($D314="V01",Cadrage!$C$36,IF($D314="V02",Cadrage!$D$36,Cadrage!$E$36)))</f>
        <v>0.05</v>
      </c>
      <c r="L314">
        <f>IF($A314="","",IF($D314="V01",Cadrage!$C$37,IF($D314="V02",Cadrage!$D$37,Cadrage!$E$37)))</f>
        <v>0</v>
      </c>
      <c r="M314">
        <f>IF($A314="","",IF($D314="V01",Cadrage!$C$38,IF($D314="V02",Cadrage!$D$38,Cadrage!$E$38)))</f>
        <v>0.04</v>
      </c>
      <c r="N314">
        <f t="shared" si="1"/>
        <v>0.980622079131853</v>
      </c>
      <c r="O314">
        <f t="shared" si="2"/>
        <v>1.0815</v>
      </c>
      <c r="P314">
        <f>IF($A314="","",IF($E314=1,$F314*$O314,PNL!G314))</f>
        <v>144927.58</v>
      </c>
      <c r="T314">
        <f t="shared" si="3"/>
        <v>0</v>
      </c>
    </row>
    <row r="315" ht="14.25" customHeight="1">
      <c r="A315" t="str">
        <f>IF(PNL!A315="","",PNL!A315)</f>
        <v>ISCOM_PAR</v>
      </c>
      <c r="B315" t="str">
        <f>IF(PNL!B315="","",PNL!B315)</f>
        <v>6413</v>
      </c>
      <c r="C315" t="str">
        <f>IF(PNL!C315="","",PNL!C315)</f>
        <v>2024</v>
      </c>
      <c r="D315" t="str">
        <f>IF(PNL!D315="","",PNL!D315)</f>
        <v>ACT</v>
      </c>
      <c r="E315">
        <f t="shared" si="0"/>
        <v>0</v>
      </c>
      <c r="F315">
        <f>IF($A315="","",IF($E315=1,_xlfn.SUMIFS(Comptabilité!$F$1:$F$1446,Comptabilité!$A$1:$A$1446,$A315,Comptabilité!$B$1:$B$1446,$B315,Comptabilité!$C$1:$C$1446,"2026"),0))</f>
        <v>0</v>
      </c>
      <c r="G315">
        <f>IF($A315="","",IF($D315="V01",Cadrage!$C$23,IF($D315="V02",Cadrage!$D$23,Cadrage!$E$23)))</f>
        <v>-0.05</v>
      </c>
      <c r="H315">
        <f>IF($A315="","",IF($D315="V01",Cadrage!$C$24,IF($D315="V02",Cadrage!$D$24,Cadrage!$E$24)))</f>
        <v>-0.05</v>
      </c>
      <c r="I315">
        <f>IF($A315="","",IF($D315="V01",Cadrage!$C$34,IF($D315="V02",Cadrage!$D$34,Cadrage!$E$34)))</f>
        <v>0.03</v>
      </c>
      <c r="J315">
        <f>IF($A315="","",IF($D315="V01",Cadrage!$C$35,IF($D315="V02",Cadrage!$D$35,Cadrage!$E$35)))</f>
        <v>0.03</v>
      </c>
      <c r="K315">
        <f>IF($A315="","",IF($D315="V01",Cadrage!$C$36,IF($D315="V02",Cadrage!$D$36,Cadrage!$E$36)))</f>
        <v>0.05</v>
      </c>
      <c r="L315">
        <f>IF($A315="","",IF($D315="V01",Cadrage!$C$37,IF($D315="V02",Cadrage!$D$37,Cadrage!$E$37)))</f>
        <v>0</v>
      </c>
      <c r="M315">
        <f>IF($A315="","",IF($D315="V01",Cadrage!$C$38,IF($D315="V02",Cadrage!$D$38,Cadrage!$E$38)))</f>
        <v>0.04</v>
      </c>
      <c r="N315">
        <f t="shared" si="1"/>
        <v>0.980622079131853</v>
      </c>
      <c r="O315">
        <f t="shared" si="2"/>
        <v>1.0815</v>
      </c>
      <c r="P315">
        <f>IF($A315="","",IF($E315=1,$F315*$O315,PNL!G315))</f>
        <v>237314.78</v>
      </c>
      <c r="T315">
        <f t="shared" si="3"/>
        <v>0</v>
      </c>
    </row>
    <row r="316" ht="14.25" customHeight="1">
      <c r="A316" t="str">
        <f>IF(PNL!A316="","",PNL!A316)</f>
        <v>ISCOM_LIL</v>
      </c>
      <c r="B316" t="str">
        <f>IF(PNL!B316="","",PNL!B316)</f>
        <v>6413</v>
      </c>
      <c r="C316" t="str">
        <f>IF(PNL!C316="","",PNL!C316)</f>
        <v>2024</v>
      </c>
      <c r="D316" t="str">
        <f>IF(PNL!D316="","",PNL!D316)</f>
        <v>ACT</v>
      </c>
      <c r="E316">
        <f t="shared" si="0"/>
        <v>0</v>
      </c>
      <c r="F316">
        <f>IF($A316="","",IF($E316=1,_xlfn.SUMIFS(Comptabilité!$F$1:$F$1446,Comptabilité!$A$1:$A$1446,$A316,Comptabilité!$B$1:$B$1446,$B316,Comptabilité!$C$1:$C$1446,"2026"),0))</f>
        <v>0</v>
      </c>
      <c r="G316">
        <f>IF($A316="","",IF($D316="V01",Cadrage!$C$23,IF($D316="V02",Cadrage!$D$23,Cadrage!$E$23)))</f>
        <v>-0.05</v>
      </c>
      <c r="H316">
        <f>IF($A316="","",IF($D316="V01",Cadrage!$C$24,IF($D316="V02",Cadrage!$D$24,Cadrage!$E$24)))</f>
        <v>-0.05</v>
      </c>
      <c r="I316">
        <f>IF($A316="","",IF($D316="V01",Cadrage!$C$34,IF($D316="V02",Cadrage!$D$34,Cadrage!$E$34)))</f>
        <v>0.03</v>
      </c>
      <c r="J316">
        <f>IF($A316="","",IF($D316="V01",Cadrage!$C$35,IF($D316="V02",Cadrage!$D$35,Cadrage!$E$35)))</f>
        <v>0.03</v>
      </c>
      <c r="K316">
        <f>IF($A316="","",IF($D316="V01",Cadrage!$C$36,IF($D316="V02",Cadrage!$D$36,Cadrage!$E$36)))</f>
        <v>0.05</v>
      </c>
      <c r="L316">
        <f>IF($A316="","",IF($D316="V01",Cadrage!$C$37,IF($D316="V02",Cadrage!$D$37,Cadrage!$E$37)))</f>
        <v>0</v>
      </c>
      <c r="M316">
        <f>IF($A316="","",IF($D316="V01",Cadrage!$C$38,IF($D316="V02",Cadrage!$D$38,Cadrage!$E$38)))</f>
        <v>0.04</v>
      </c>
      <c r="N316">
        <f t="shared" si="1"/>
        <v>0.980622079131853</v>
      </c>
      <c r="O316">
        <f t="shared" si="2"/>
        <v>1.0815</v>
      </c>
      <c r="P316">
        <f>IF($A316="","",IF($E316=1,$F316*$O316,PNL!G316))</f>
        <v>143499.42</v>
      </c>
      <c r="T316">
        <f t="shared" si="3"/>
        <v>0</v>
      </c>
    </row>
    <row r="317" ht="14.25" customHeight="1">
      <c r="A317" t="str">
        <f>IF(PNL!A317="","",PNL!A317)</f>
        <v>ISCOM_TLS</v>
      </c>
      <c r="B317" t="str">
        <f>IF(PNL!B317="","",PNL!B317)</f>
        <v>6413</v>
      </c>
      <c r="C317" t="str">
        <f>IF(PNL!C317="","",PNL!C317)</f>
        <v>2024</v>
      </c>
      <c r="D317" t="str">
        <f>IF(PNL!D317="","",PNL!D317)</f>
        <v>ACT</v>
      </c>
      <c r="E317">
        <f t="shared" si="0"/>
        <v>0</v>
      </c>
      <c r="F317">
        <f>IF($A317="","",IF($E317=1,_xlfn.SUMIFS(Comptabilité!$F$1:$F$1446,Comptabilité!$A$1:$A$1446,$A317,Comptabilité!$B$1:$B$1446,$B317,Comptabilité!$C$1:$C$1446,"2026"),0))</f>
        <v>0</v>
      </c>
      <c r="G317">
        <f>IF($A317="","",IF($D317="V01",Cadrage!$C$23,IF($D317="V02",Cadrage!$D$23,Cadrage!$E$23)))</f>
        <v>-0.05</v>
      </c>
      <c r="H317">
        <f>IF($A317="","",IF($D317="V01",Cadrage!$C$24,IF($D317="V02",Cadrage!$D$24,Cadrage!$E$24)))</f>
        <v>-0.05</v>
      </c>
      <c r="I317">
        <f>IF($A317="","",IF($D317="V01",Cadrage!$C$34,IF($D317="V02",Cadrage!$D$34,Cadrage!$E$34)))</f>
        <v>0.03</v>
      </c>
      <c r="J317">
        <f>IF($A317="","",IF($D317="V01",Cadrage!$C$35,IF($D317="V02",Cadrage!$D$35,Cadrage!$E$35)))</f>
        <v>0.03</v>
      </c>
      <c r="K317">
        <f>IF($A317="","",IF($D317="V01",Cadrage!$C$36,IF($D317="V02",Cadrage!$D$36,Cadrage!$E$36)))</f>
        <v>0.05</v>
      </c>
      <c r="L317">
        <f>IF($A317="","",IF($D317="V01",Cadrage!$C$37,IF($D317="V02",Cadrage!$D$37,Cadrage!$E$37)))</f>
        <v>0</v>
      </c>
      <c r="M317">
        <f>IF($A317="","",IF($D317="V01",Cadrage!$C$38,IF($D317="V02",Cadrage!$D$38,Cadrage!$E$38)))</f>
        <v>0.04</v>
      </c>
      <c r="N317">
        <f t="shared" si="1"/>
        <v>0.980622079131853</v>
      </c>
      <c r="O317">
        <f t="shared" si="2"/>
        <v>1.0815</v>
      </c>
      <c r="P317">
        <f>IF($A317="","",IF($E317=1,$F317*$O317,PNL!G317))</f>
        <v>128244.7</v>
      </c>
      <c r="T317">
        <f t="shared" si="3"/>
        <v>0</v>
      </c>
    </row>
    <row r="318" ht="14.25" customHeight="1">
      <c r="A318" t="str">
        <f>IF(PNL!A318="","",PNL!A318)</f>
        <v>IPAC_NAN</v>
      </c>
      <c r="B318" t="str">
        <f>IF(PNL!B318="","",PNL!B318)</f>
        <v>6413</v>
      </c>
      <c r="C318" t="str">
        <f>IF(PNL!C318="","",PNL!C318)</f>
        <v>2024</v>
      </c>
      <c r="D318" t="str">
        <f>IF(PNL!D318="","",PNL!D318)</f>
        <v>ACT</v>
      </c>
      <c r="E318">
        <f t="shared" si="0"/>
        <v>0</v>
      </c>
      <c r="F318">
        <f>IF($A318="","",IF($E318=1,_xlfn.SUMIFS(Comptabilité!$F$1:$F$1446,Comptabilité!$A$1:$A$1446,$A318,Comptabilité!$B$1:$B$1446,$B318,Comptabilité!$C$1:$C$1446,"2026"),0))</f>
        <v>0</v>
      </c>
      <c r="G318">
        <f>IF($A318="","",IF($D318="V01",Cadrage!$C$23,IF($D318="V02",Cadrage!$D$23,Cadrage!$E$23)))</f>
        <v>-0.05</v>
      </c>
      <c r="H318">
        <f>IF($A318="","",IF($D318="V01",Cadrage!$C$24,IF($D318="V02",Cadrage!$D$24,Cadrage!$E$24)))</f>
        <v>-0.05</v>
      </c>
      <c r="I318">
        <f>IF($A318="","",IF($D318="V01",Cadrage!$C$34,IF($D318="V02",Cadrage!$D$34,Cadrage!$E$34)))</f>
        <v>0.03</v>
      </c>
      <c r="J318">
        <f>IF($A318="","",IF($D318="V01",Cadrage!$C$35,IF($D318="V02",Cadrage!$D$35,Cadrage!$E$35)))</f>
        <v>0.03</v>
      </c>
      <c r="K318">
        <f>IF($A318="","",IF($D318="V01",Cadrage!$C$36,IF($D318="V02",Cadrage!$D$36,Cadrage!$E$36)))</f>
        <v>0.05</v>
      </c>
      <c r="L318">
        <f>IF($A318="","",IF($D318="V01",Cadrage!$C$37,IF($D318="V02",Cadrage!$D$37,Cadrage!$E$37)))</f>
        <v>0</v>
      </c>
      <c r="M318">
        <f>IF($A318="","",IF($D318="V01",Cadrage!$C$38,IF($D318="V02",Cadrage!$D$38,Cadrage!$E$38)))</f>
        <v>0.04</v>
      </c>
      <c r="N318">
        <f t="shared" si="1"/>
        <v>0.980622079131853</v>
      </c>
      <c r="O318">
        <f t="shared" si="2"/>
        <v>1.0815</v>
      </c>
      <c r="P318">
        <f>IF($A318="","",IF($E318=1,$F318*$O318,PNL!G318))</f>
        <v>85320.26</v>
      </c>
      <c r="T318">
        <f t="shared" si="3"/>
        <v>0</v>
      </c>
    </row>
    <row r="319" ht="14.25" customHeight="1">
      <c r="A319" t="str">
        <f>IF(PNL!A319="","",PNL!A319)</f>
        <v>IPAC_REN</v>
      </c>
      <c r="B319" t="str">
        <f>IF(PNL!B319="","",PNL!B319)</f>
        <v>6413</v>
      </c>
      <c r="C319" t="str">
        <f>IF(PNL!C319="","",PNL!C319)</f>
        <v>2024</v>
      </c>
      <c r="D319" t="str">
        <f>IF(PNL!D319="","",PNL!D319)</f>
        <v>ACT</v>
      </c>
      <c r="E319">
        <f t="shared" si="0"/>
        <v>0</v>
      </c>
      <c r="F319">
        <f>IF($A319="","",IF($E319=1,_xlfn.SUMIFS(Comptabilité!$F$1:$F$1446,Comptabilité!$A$1:$A$1446,$A319,Comptabilité!$B$1:$B$1446,$B319,Comptabilité!$C$1:$C$1446,"2026"),0))</f>
        <v>0</v>
      </c>
      <c r="G319">
        <f>IF($A319="","",IF($D319="V01",Cadrage!$C$23,IF($D319="V02",Cadrage!$D$23,Cadrage!$E$23)))</f>
        <v>-0.05</v>
      </c>
      <c r="H319">
        <f>IF($A319="","",IF($D319="V01",Cadrage!$C$24,IF($D319="V02",Cadrage!$D$24,Cadrage!$E$24)))</f>
        <v>-0.05</v>
      </c>
      <c r="I319">
        <f>IF($A319="","",IF($D319="V01",Cadrage!$C$34,IF($D319="V02",Cadrage!$D$34,Cadrage!$E$34)))</f>
        <v>0.03</v>
      </c>
      <c r="J319">
        <f>IF($A319="","",IF($D319="V01",Cadrage!$C$35,IF($D319="V02",Cadrage!$D$35,Cadrage!$E$35)))</f>
        <v>0.03</v>
      </c>
      <c r="K319">
        <f>IF($A319="","",IF($D319="V01",Cadrage!$C$36,IF($D319="V02",Cadrage!$D$36,Cadrage!$E$36)))</f>
        <v>0.05</v>
      </c>
      <c r="L319">
        <f>IF($A319="","",IF($D319="V01",Cadrage!$C$37,IF($D319="V02",Cadrage!$D$37,Cadrage!$E$37)))</f>
        <v>0</v>
      </c>
      <c r="M319">
        <f>IF($A319="","",IF($D319="V01",Cadrage!$C$38,IF($D319="V02",Cadrage!$D$38,Cadrage!$E$38)))</f>
        <v>0.04</v>
      </c>
      <c r="N319">
        <f t="shared" si="1"/>
        <v>0.980622079131853</v>
      </c>
      <c r="O319">
        <f t="shared" si="2"/>
        <v>1.0815</v>
      </c>
      <c r="P319">
        <f>IF($A319="","",IF($E319=1,$F319*$O319,PNL!G319))</f>
        <v>56418.53</v>
      </c>
      <c r="T319">
        <f t="shared" si="3"/>
        <v>0</v>
      </c>
    </row>
    <row r="320" ht="14.25" customHeight="1">
      <c r="A320" t="str">
        <f>IF(PNL!A320="","",PNL!A320)</f>
        <v>IPAC_MTP</v>
      </c>
      <c r="B320" t="str">
        <f>IF(PNL!B320="","",PNL!B320)</f>
        <v>6413</v>
      </c>
      <c r="C320" t="str">
        <f>IF(PNL!C320="","",PNL!C320)</f>
        <v>2024</v>
      </c>
      <c r="D320" t="str">
        <f>IF(PNL!D320="","",PNL!D320)</f>
        <v>ACT</v>
      </c>
      <c r="E320">
        <f t="shared" si="0"/>
        <v>0</v>
      </c>
      <c r="F320">
        <f>IF($A320="","",IF($E320=1,_xlfn.SUMIFS(Comptabilité!$F$1:$F$1446,Comptabilité!$A$1:$A$1446,$A320,Comptabilité!$B$1:$B$1446,$B320,Comptabilité!$C$1:$C$1446,"2026"),0))</f>
        <v>0</v>
      </c>
      <c r="G320">
        <f>IF($A320="","",IF($D320="V01",Cadrage!$C$23,IF($D320="V02",Cadrage!$D$23,Cadrage!$E$23)))</f>
        <v>-0.05</v>
      </c>
      <c r="H320">
        <f>IF($A320="","",IF($D320="V01",Cadrage!$C$24,IF($D320="V02",Cadrage!$D$24,Cadrage!$E$24)))</f>
        <v>-0.05</v>
      </c>
      <c r="I320">
        <f>IF($A320="","",IF($D320="V01",Cadrage!$C$34,IF($D320="V02",Cadrage!$D$34,Cadrage!$E$34)))</f>
        <v>0.03</v>
      </c>
      <c r="J320">
        <f>IF($A320="","",IF($D320="V01",Cadrage!$C$35,IF($D320="V02",Cadrage!$D$35,Cadrage!$E$35)))</f>
        <v>0.03</v>
      </c>
      <c r="K320">
        <f>IF($A320="","",IF($D320="V01",Cadrage!$C$36,IF($D320="V02",Cadrage!$D$36,Cadrage!$E$36)))</f>
        <v>0.05</v>
      </c>
      <c r="L320">
        <f>IF($A320="","",IF($D320="V01",Cadrage!$C$37,IF($D320="V02",Cadrage!$D$37,Cadrage!$E$37)))</f>
        <v>0</v>
      </c>
      <c r="M320">
        <f>IF($A320="","",IF($D320="V01",Cadrage!$C$38,IF($D320="V02",Cadrage!$D$38,Cadrage!$E$38)))</f>
        <v>0.04</v>
      </c>
      <c r="N320">
        <f t="shared" si="1"/>
        <v>0.980622079131853</v>
      </c>
      <c r="O320">
        <f t="shared" si="2"/>
        <v>1.0815</v>
      </c>
      <c r="P320">
        <f>IF($A320="","",IF($E320=1,$F320*$O320,PNL!G320))</f>
        <v>56388.94</v>
      </c>
      <c r="T320">
        <f t="shared" si="3"/>
        <v>0</v>
      </c>
    </row>
    <row r="321" ht="14.25" customHeight="1">
      <c r="A321" t="str">
        <f>IF(PNL!A321="","",PNL!A321)</f>
        <v>PIGIER_LYO</v>
      </c>
      <c r="B321" t="str">
        <f>IF(PNL!B321="","",PNL!B321)</f>
        <v>6413</v>
      </c>
      <c r="C321" t="str">
        <f>IF(PNL!C321="","",PNL!C321)</f>
        <v>2024</v>
      </c>
      <c r="D321" t="str">
        <f>IF(PNL!D321="","",PNL!D321)</f>
        <v>ACT</v>
      </c>
      <c r="E321">
        <f t="shared" si="0"/>
        <v>0</v>
      </c>
      <c r="F321">
        <f>IF($A321="","",IF($E321=1,_xlfn.SUMIFS(Comptabilité!$F$1:$F$1446,Comptabilité!$A$1:$A$1446,$A321,Comptabilité!$B$1:$B$1446,$B321,Comptabilité!$C$1:$C$1446,"2026"),0))</f>
        <v>0</v>
      </c>
      <c r="G321">
        <f>IF($A321="","",IF($D321="V01",Cadrage!$C$23,IF($D321="V02",Cadrage!$D$23,Cadrage!$E$23)))</f>
        <v>-0.05</v>
      </c>
      <c r="H321">
        <f>IF($A321="","",IF($D321="V01",Cadrage!$C$24,IF($D321="V02",Cadrage!$D$24,Cadrage!$E$24)))</f>
        <v>-0.05</v>
      </c>
      <c r="I321">
        <f>IF($A321="","",IF($D321="V01",Cadrage!$C$34,IF($D321="V02",Cadrage!$D$34,Cadrage!$E$34)))</f>
        <v>0.03</v>
      </c>
      <c r="J321">
        <f>IF($A321="","",IF($D321="V01",Cadrage!$C$35,IF($D321="V02",Cadrage!$D$35,Cadrage!$E$35)))</f>
        <v>0.03</v>
      </c>
      <c r="K321">
        <f>IF($A321="","",IF($D321="V01",Cadrage!$C$36,IF($D321="V02",Cadrage!$D$36,Cadrage!$E$36)))</f>
        <v>0.05</v>
      </c>
      <c r="L321">
        <f>IF($A321="","",IF($D321="V01",Cadrage!$C$37,IF($D321="V02",Cadrage!$D$37,Cadrage!$E$37)))</f>
        <v>0</v>
      </c>
      <c r="M321">
        <f>IF($A321="","",IF($D321="V01",Cadrage!$C$38,IF($D321="V02",Cadrage!$D$38,Cadrage!$E$38)))</f>
        <v>0.04</v>
      </c>
      <c r="N321">
        <f t="shared" si="1"/>
        <v>0.980622079131853</v>
      </c>
      <c r="O321">
        <f t="shared" si="2"/>
        <v>1.0815</v>
      </c>
      <c r="P321">
        <f>IF($A321="","",IF($E321=1,$F321*$O321,PNL!G321))</f>
        <v>113772.68</v>
      </c>
      <c r="T321">
        <f t="shared" si="3"/>
        <v>0</v>
      </c>
    </row>
    <row r="322" ht="14.25" customHeight="1">
      <c r="A322" t="str">
        <f>IF(PNL!A322="","",PNL!A322)</f>
        <v>PIGIER_BOR</v>
      </c>
      <c r="B322" t="str">
        <f>IF(PNL!B322="","",PNL!B322)</f>
        <v>6413</v>
      </c>
      <c r="C322" t="str">
        <f>IF(PNL!C322="","",PNL!C322)</f>
        <v>2024</v>
      </c>
      <c r="D322" t="str">
        <f>IF(PNL!D322="","",PNL!D322)</f>
        <v>ACT</v>
      </c>
      <c r="E322">
        <f t="shared" si="0"/>
        <v>0</v>
      </c>
      <c r="F322">
        <f>IF($A322="","",IF($E322=1,_xlfn.SUMIFS(Comptabilité!$F$1:$F$1446,Comptabilité!$A$1:$A$1446,$A322,Comptabilité!$B$1:$B$1446,$B322,Comptabilité!$C$1:$C$1446,"2026"),0))</f>
        <v>0</v>
      </c>
      <c r="G322">
        <f>IF($A322="","",IF($D322="V01",Cadrage!$C$23,IF($D322="V02",Cadrage!$D$23,Cadrage!$E$23)))</f>
        <v>-0.05</v>
      </c>
      <c r="H322">
        <f>IF($A322="","",IF($D322="V01",Cadrage!$C$24,IF($D322="V02",Cadrage!$D$24,Cadrage!$E$24)))</f>
        <v>-0.05</v>
      </c>
      <c r="I322">
        <f>IF($A322="","",IF($D322="V01",Cadrage!$C$34,IF($D322="V02",Cadrage!$D$34,Cadrage!$E$34)))</f>
        <v>0.03</v>
      </c>
      <c r="J322">
        <f>IF($A322="","",IF($D322="V01",Cadrage!$C$35,IF($D322="V02",Cadrage!$D$35,Cadrage!$E$35)))</f>
        <v>0.03</v>
      </c>
      <c r="K322">
        <f>IF($A322="","",IF($D322="V01",Cadrage!$C$36,IF($D322="V02",Cadrage!$D$36,Cadrage!$E$36)))</f>
        <v>0.05</v>
      </c>
      <c r="L322">
        <f>IF($A322="","",IF($D322="V01",Cadrage!$C$37,IF($D322="V02",Cadrage!$D$37,Cadrage!$E$37)))</f>
        <v>0</v>
      </c>
      <c r="M322">
        <f>IF($A322="","",IF($D322="V01",Cadrage!$C$38,IF($D322="V02",Cadrage!$D$38,Cadrage!$E$38)))</f>
        <v>0.04</v>
      </c>
      <c r="N322">
        <f t="shared" si="1"/>
        <v>0.980622079131853</v>
      </c>
      <c r="O322">
        <f t="shared" si="2"/>
        <v>1.0815</v>
      </c>
      <c r="P322">
        <f>IF($A322="","",IF($E322=1,$F322*$O322,PNL!G322))</f>
        <v>66934.77</v>
      </c>
      <c r="T322">
        <f t="shared" si="3"/>
        <v>0</v>
      </c>
    </row>
    <row r="323" ht="14.25" customHeight="1">
      <c r="A323" t="str">
        <f>IF(PNL!A323="","",PNL!A323)</f>
        <v>TUNON_PAR</v>
      </c>
      <c r="B323" t="str">
        <f>IF(PNL!B323="","",PNL!B323)</f>
        <v>6413</v>
      </c>
      <c r="C323" t="str">
        <f>IF(PNL!C323="","",PNL!C323)</f>
        <v>2024</v>
      </c>
      <c r="D323" t="str">
        <f>IF(PNL!D323="","",PNL!D323)</f>
        <v>ACT</v>
      </c>
      <c r="E323">
        <f t="shared" si="0"/>
        <v>0</v>
      </c>
      <c r="F323">
        <f>IF($A323="","",IF($E323=1,_xlfn.SUMIFS(Comptabilité!$F$1:$F$1446,Comptabilité!$A$1:$A$1446,$A323,Comptabilité!$B$1:$B$1446,$B323,Comptabilité!$C$1:$C$1446,"2026"),0))</f>
        <v>0</v>
      </c>
      <c r="G323">
        <f>IF($A323="","",IF($D323="V01",Cadrage!$C$23,IF($D323="V02",Cadrage!$D$23,Cadrage!$E$23)))</f>
        <v>-0.05</v>
      </c>
      <c r="H323">
        <f>IF($A323="","",IF($D323="V01",Cadrage!$C$24,IF($D323="V02",Cadrage!$D$24,Cadrage!$E$24)))</f>
        <v>-0.05</v>
      </c>
      <c r="I323">
        <f>IF($A323="","",IF($D323="V01",Cadrage!$C$34,IF($D323="V02",Cadrage!$D$34,Cadrage!$E$34)))</f>
        <v>0.03</v>
      </c>
      <c r="J323">
        <f>IF($A323="","",IF($D323="V01",Cadrage!$C$35,IF($D323="V02",Cadrage!$D$35,Cadrage!$E$35)))</f>
        <v>0.03</v>
      </c>
      <c r="K323">
        <f>IF($A323="","",IF($D323="V01",Cadrage!$C$36,IF($D323="V02",Cadrage!$D$36,Cadrage!$E$36)))</f>
        <v>0.05</v>
      </c>
      <c r="L323">
        <f>IF($A323="","",IF($D323="V01",Cadrage!$C$37,IF($D323="V02",Cadrage!$D$37,Cadrage!$E$37)))</f>
        <v>0</v>
      </c>
      <c r="M323">
        <f>IF($A323="","",IF($D323="V01",Cadrage!$C$38,IF($D323="V02",Cadrage!$D$38,Cadrage!$E$38)))</f>
        <v>0.04</v>
      </c>
      <c r="N323">
        <f t="shared" si="1"/>
        <v>0.980622079131853</v>
      </c>
      <c r="O323">
        <f t="shared" si="2"/>
        <v>1.0815</v>
      </c>
      <c r="P323">
        <f>IF($A323="","",IF($E323=1,$F323*$O323,PNL!G323))</f>
        <v>100706.89</v>
      </c>
      <c r="T323">
        <f t="shared" si="3"/>
        <v>0</v>
      </c>
    </row>
    <row r="324" ht="14.25" customHeight="1">
      <c r="A324" t="str">
        <f>IF(PNL!A324="","",PNL!A324)</f>
        <v>TUNON_LYO</v>
      </c>
      <c r="B324" t="str">
        <f>IF(PNL!B324="","",PNL!B324)</f>
        <v>6413</v>
      </c>
      <c r="C324" t="str">
        <f>IF(PNL!C324="","",PNL!C324)</f>
        <v>2024</v>
      </c>
      <c r="D324" t="str">
        <f>IF(PNL!D324="","",PNL!D324)</f>
        <v>ACT</v>
      </c>
      <c r="E324">
        <f t="shared" si="0"/>
        <v>0</v>
      </c>
      <c r="F324">
        <f>IF($A324="","",IF($E324=1,_xlfn.SUMIFS(Comptabilité!$F$1:$F$1446,Comptabilité!$A$1:$A$1446,$A324,Comptabilité!$B$1:$B$1446,$B324,Comptabilité!$C$1:$C$1446,"2026"),0))</f>
        <v>0</v>
      </c>
      <c r="G324">
        <f>IF($A324="","",IF($D324="V01",Cadrage!$C$23,IF($D324="V02",Cadrage!$D$23,Cadrage!$E$23)))</f>
        <v>-0.05</v>
      </c>
      <c r="H324">
        <f>IF($A324="","",IF($D324="V01",Cadrage!$C$24,IF($D324="V02",Cadrage!$D$24,Cadrage!$E$24)))</f>
        <v>-0.05</v>
      </c>
      <c r="I324">
        <f>IF($A324="","",IF($D324="V01",Cadrage!$C$34,IF($D324="V02",Cadrage!$D$34,Cadrage!$E$34)))</f>
        <v>0.03</v>
      </c>
      <c r="J324">
        <f>IF($A324="","",IF($D324="V01",Cadrage!$C$35,IF($D324="V02",Cadrage!$D$35,Cadrage!$E$35)))</f>
        <v>0.03</v>
      </c>
      <c r="K324">
        <f>IF($A324="","",IF($D324="V01",Cadrage!$C$36,IF($D324="V02",Cadrage!$D$36,Cadrage!$E$36)))</f>
        <v>0.05</v>
      </c>
      <c r="L324">
        <f>IF($A324="","",IF($D324="V01",Cadrage!$C$37,IF($D324="V02",Cadrage!$D$37,Cadrage!$E$37)))</f>
        <v>0</v>
      </c>
      <c r="M324">
        <f>IF($A324="","",IF($D324="V01",Cadrage!$C$38,IF($D324="V02",Cadrage!$D$38,Cadrage!$E$38)))</f>
        <v>0.04</v>
      </c>
      <c r="N324">
        <f t="shared" si="1"/>
        <v>0.980622079131853</v>
      </c>
      <c r="O324">
        <f t="shared" si="2"/>
        <v>1.0815</v>
      </c>
      <c r="P324">
        <f>IF($A324="","",IF($E324=1,$F324*$O324,PNL!G324))</f>
        <v>71551.52</v>
      </c>
      <c r="T324">
        <f t="shared" si="3"/>
        <v>0</v>
      </c>
    </row>
    <row r="325" ht="14.25" customHeight="1">
      <c r="A325" t="str">
        <f>IF(PNL!A325="","",PNL!A325)</f>
        <v>MBWAY_PAR</v>
      </c>
      <c r="B325" t="str">
        <f>IF(PNL!B325="","",PNL!B325)</f>
        <v>6413</v>
      </c>
      <c r="C325" t="str">
        <f>IF(PNL!C325="","",PNL!C325)</f>
        <v>2025</v>
      </c>
      <c r="D325" t="str">
        <f>IF(PNL!D325="","",PNL!D325)</f>
        <v>ACT</v>
      </c>
      <c r="E325">
        <f t="shared" si="0"/>
        <v>0</v>
      </c>
      <c r="F325">
        <f>IF($A325="","",IF($E325=1,_xlfn.SUMIFS(Comptabilité!$F$1:$F$1446,Comptabilité!$A$1:$A$1446,$A325,Comptabilité!$B$1:$B$1446,$B325,Comptabilité!$C$1:$C$1446,"2026"),0))</f>
        <v>0</v>
      </c>
      <c r="G325">
        <f>IF($A325="","",IF($D325="V01",Cadrage!$C$23,IF($D325="V02",Cadrage!$D$23,Cadrage!$E$23)))</f>
        <v>-0.05</v>
      </c>
      <c r="H325">
        <f>IF($A325="","",IF($D325="V01",Cadrage!$C$24,IF($D325="V02",Cadrage!$D$24,Cadrage!$E$24)))</f>
        <v>-0.05</v>
      </c>
      <c r="I325">
        <f>IF($A325="","",IF($D325="V01",Cadrage!$C$34,IF($D325="V02",Cadrage!$D$34,Cadrage!$E$34)))</f>
        <v>0.03</v>
      </c>
      <c r="J325">
        <f>IF($A325="","",IF($D325="V01",Cadrage!$C$35,IF($D325="V02",Cadrage!$D$35,Cadrage!$E$35)))</f>
        <v>0.03</v>
      </c>
      <c r="K325">
        <f>IF($A325="","",IF($D325="V01",Cadrage!$C$36,IF($D325="V02",Cadrage!$D$36,Cadrage!$E$36)))</f>
        <v>0.05</v>
      </c>
      <c r="L325">
        <f>IF($A325="","",IF($D325="V01",Cadrage!$C$37,IF($D325="V02",Cadrage!$D$37,Cadrage!$E$37)))</f>
        <v>0</v>
      </c>
      <c r="M325">
        <f>IF($A325="","",IF($D325="V01",Cadrage!$C$38,IF($D325="V02",Cadrage!$D$38,Cadrage!$E$38)))</f>
        <v>0.04</v>
      </c>
      <c r="N325">
        <f t="shared" si="1"/>
        <v>0.980622079131853</v>
      </c>
      <c r="O325">
        <f t="shared" si="2"/>
        <v>1.0815</v>
      </c>
      <c r="P325">
        <f>IF($A325="","",IF($E325=1,$F325*$O325,PNL!G325))</f>
        <v>279927.82</v>
      </c>
      <c r="T325">
        <f t="shared" si="3"/>
        <v>0</v>
      </c>
    </row>
    <row r="326" ht="14.25" customHeight="1">
      <c r="A326" t="str">
        <f>IF(PNL!A326="","",PNL!A326)</f>
        <v>MBWAY_LYO</v>
      </c>
      <c r="B326" t="str">
        <f>IF(PNL!B326="","",PNL!B326)</f>
        <v>6413</v>
      </c>
      <c r="C326" t="str">
        <f>IF(PNL!C326="","",PNL!C326)</f>
        <v>2025</v>
      </c>
      <c r="D326" t="str">
        <f>IF(PNL!D326="","",PNL!D326)</f>
        <v>ACT</v>
      </c>
      <c r="E326">
        <f t="shared" si="0"/>
        <v>0</v>
      </c>
      <c r="F326">
        <f>IF($A326="","",IF($E326=1,_xlfn.SUMIFS(Comptabilité!$F$1:$F$1446,Comptabilité!$A$1:$A$1446,$A326,Comptabilité!$B$1:$B$1446,$B326,Comptabilité!$C$1:$C$1446,"2026"),0))</f>
        <v>0</v>
      </c>
      <c r="G326">
        <f>IF($A326="","",IF($D326="V01",Cadrage!$C$23,IF($D326="V02",Cadrage!$D$23,Cadrage!$E$23)))</f>
        <v>-0.05</v>
      </c>
      <c r="H326">
        <f>IF($A326="","",IF($D326="V01",Cadrage!$C$24,IF($D326="V02",Cadrage!$D$24,Cadrage!$E$24)))</f>
        <v>-0.05</v>
      </c>
      <c r="I326">
        <f>IF($A326="","",IF($D326="V01",Cadrage!$C$34,IF($D326="V02",Cadrage!$D$34,Cadrage!$E$34)))</f>
        <v>0.03</v>
      </c>
      <c r="J326">
        <f>IF($A326="","",IF($D326="V01",Cadrage!$C$35,IF($D326="V02",Cadrage!$D$35,Cadrage!$E$35)))</f>
        <v>0.03</v>
      </c>
      <c r="K326">
        <f>IF($A326="","",IF($D326="V01",Cadrage!$C$36,IF($D326="V02",Cadrage!$D$36,Cadrage!$E$36)))</f>
        <v>0.05</v>
      </c>
      <c r="L326">
        <f>IF($A326="","",IF($D326="V01",Cadrage!$C$37,IF($D326="V02",Cadrage!$D$37,Cadrage!$E$37)))</f>
        <v>0</v>
      </c>
      <c r="M326">
        <f>IF($A326="","",IF($D326="V01",Cadrage!$C$38,IF($D326="V02",Cadrage!$D$38,Cadrage!$E$38)))</f>
        <v>0.04</v>
      </c>
      <c r="N326">
        <f t="shared" si="1"/>
        <v>0.980622079131853</v>
      </c>
      <c r="O326">
        <f t="shared" si="2"/>
        <v>1.0815</v>
      </c>
      <c r="P326">
        <f>IF($A326="","",IF($E326=1,$F326*$O326,PNL!G326))</f>
        <v>215670.6</v>
      </c>
      <c r="T326">
        <f t="shared" si="3"/>
        <v>0</v>
      </c>
    </row>
    <row r="327" ht="14.25" customHeight="1">
      <c r="A327" t="str">
        <f>IF(PNL!A327="","",PNL!A327)</f>
        <v>MBWAY_NAN</v>
      </c>
      <c r="B327" t="str">
        <f>IF(PNL!B327="","",PNL!B327)</f>
        <v>6413</v>
      </c>
      <c r="C327" t="str">
        <f>IF(PNL!C327="","",PNL!C327)</f>
        <v>2025</v>
      </c>
      <c r="D327" t="str">
        <f>IF(PNL!D327="","",PNL!D327)</f>
        <v>ACT</v>
      </c>
      <c r="E327">
        <f t="shared" si="0"/>
        <v>0</v>
      </c>
      <c r="F327">
        <f>IF($A327="","",IF($E327=1,_xlfn.SUMIFS(Comptabilité!$F$1:$F$1446,Comptabilité!$A$1:$A$1446,$A327,Comptabilité!$B$1:$B$1446,$B327,Comptabilité!$C$1:$C$1446,"2026"),0))</f>
        <v>0</v>
      </c>
      <c r="G327">
        <f>IF($A327="","",IF($D327="V01",Cadrage!$C$23,IF($D327="V02",Cadrage!$D$23,Cadrage!$E$23)))</f>
        <v>-0.05</v>
      </c>
      <c r="H327">
        <f>IF($A327="","",IF($D327="V01",Cadrage!$C$24,IF($D327="V02",Cadrage!$D$24,Cadrage!$E$24)))</f>
        <v>-0.05</v>
      </c>
      <c r="I327">
        <f>IF($A327="","",IF($D327="V01",Cadrage!$C$34,IF($D327="V02",Cadrage!$D$34,Cadrage!$E$34)))</f>
        <v>0.03</v>
      </c>
      <c r="J327">
        <f>IF($A327="","",IF($D327="V01",Cadrage!$C$35,IF($D327="V02",Cadrage!$D$35,Cadrage!$E$35)))</f>
        <v>0.03</v>
      </c>
      <c r="K327">
        <f>IF($A327="","",IF($D327="V01",Cadrage!$C$36,IF($D327="V02",Cadrage!$D$36,Cadrage!$E$36)))</f>
        <v>0.05</v>
      </c>
      <c r="L327">
        <f>IF($A327="","",IF($D327="V01",Cadrage!$C$37,IF($D327="V02",Cadrage!$D$37,Cadrage!$E$37)))</f>
        <v>0</v>
      </c>
      <c r="M327">
        <f>IF($A327="","",IF($D327="V01",Cadrage!$C$38,IF($D327="V02",Cadrage!$D$38,Cadrage!$E$38)))</f>
        <v>0.04</v>
      </c>
      <c r="N327">
        <f t="shared" si="1"/>
        <v>0.980622079131853</v>
      </c>
      <c r="O327">
        <f t="shared" si="2"/>
        <v>1.0815</v>
      </c>
      <c r="P327">
        <f>IF($A327="","",IF($E327=1,$F327*$O327,PNL!G327))</f>
        <v>184969.52</v>
      </c>
      <c r="T327">
        <f t="shared" si="3"/>
        <v>0</v>
      </c>
    </row>
    <row r="328" ht="14.25" customHeight="1">
      <c r="A328" t="str">
        <f>IF(PNL!A328="","",PNL!A328)</f>
        <v>MBWAY_BOR</v>
      </c>
      <c r="B328" t="str">
        <f>IF(PNL!B328="","",PNL!B328)</f>
        <v>6413</v>
      </c>
      <c r="C328" t="str">
        <f>IF(PNL!C328="","",PNL!C328)</f>
        <v>2025</v>
      </c>
      <c r="D328" t="str">
        <f>IF(PNL!D328="","",PNL!D328)</f>
        <v>ACT</v>
      </c>
      <c r="E328">
        <f t="shared" si="0"/>
        <v>0</v>
      </c>
      <c r="F328">
        <f>IF($A328="","",IF($E328=1,_xlfn.SUMIFS(Comptabilité!$F$1:$F$1446,Comptabilité!$A$1:$A$1446,$A328,Comptabilité!$B$1:$B$1446,$B328,Comptabilité!$C$1:$C$1446,"2026"),0))</f>
        <v>0</v>
      </c>
      <c r="G328">
        <f>IF($A328="","",IF($D328="V01",Cadrage!$C$23,IF($D328="V02",Cadrage!$D$23,Cadrage!$E$23)))</f>
        <v>-0.05</v>
      </c>
      <c r="H328">
        <f>IF($A328="","",IF($D328="V01",Cadrage!$C$24,IF($D328="V02",Cadrage!$D$24,Cadrage!$E$24)))</f>
        <v>-0.05</v>
      </c>
      <c r="I328">
        <f>IF($A328="","",IF($D328="V01",Cadrage!$C$34,IF($D328="V02",Cadrage!$D$34,Cadrage!$E$34)))</f>
        <v>0.03</v>
      </c>
      <c r="J328">
        <f>IF($A328="","",IF($D328="V01",Cadrage!$C$35,IF($D328="V02",Cadrage!$D$35,Cadrage!$E$35)))</f>
        <v>0.03</v>
      </c>
      <c r="K328">
        <f>IF($A328="","",IF($D328="V01",Cadrage!$C$36,IF($D328="V02",Cadrage!$D$36,Cadrage!$E$36)))</f>
        <v>0.05</v>
      </c>
      <c r="L328">
        <f>IF($A328="","",IF($D328="V01",Cadrage!$C$37,IF($D328="V02",Cadrage!$D$37,Cadrage!$E$37)))</f>
        <v>0</v>
      </c>
      <c r="M328">
        <f>IF($A328="","",IF($D328="V01",Cadrage!$C$38,IF($D328="V02",Cadrage!$D$38,Cadrage!$E$38)))</f>
        <v>0.04</v>
      </c>
      <c r="N328">
        <f t="shared" si="1"/>
        <v>0.980622079131853</v>
      </c>
      <c r="O328">
        <f t="shared" si="2"/>
        <v>1.0815</v>
      </c>
      <c r="P328">
        <f>IF($A328="","",IF($E328=1,$F328*$O328,PNL!G328))</f>
        <v>151241.36</v>
      </c>
      <c r="T328">
        <f t="shared" si="3"/>
        <v>0</v>
      </c>
    </row>
    <row r="329" ht="14.25" customHeight="1">
      <c r="A329" t="str">
        <f>IF(PNL!A329="","",PNL!A329)</f>
        <v>ISCOM_PAR</v>
      </c>
      <c r="B329" t="str">
        <f>IF(PNL!B329="","",PNL!B329)</f>
        <v>6413</v>
      </c>
      <c r="C329" t="str">
        <f>IF(PNL!C329="","",PNL!C329)</f>
        <v>2025</v>
      </c>
      <c r="D329" t="str">
        <f>IF(PNL!D329="","",PNL!D329)</f>
        <v>ACT</v>
      </c>
      <c r="E329">
        <f t="shared" si="0"/>
        <v>0</v>
      </c>
      <c r="F329">
        <f>IF($A329="","",IF($E329=1,_xlfn.SUMIFS(Comptabilité!$F$1:$F$1446,Comptabilité!$A$1:$A$1446,$A329,Comptabilité!$B$1:$B$1446,$B329,Comptabilité!$C$1:$C$1446,"2026"),0))</f>
        <v>0</v>
      </c>
      <c r="G329">
        <f>IF($A329="","",IF($D329="V01",Cadrage!$C$23,IF($D329="V02",Cadrage!$D$23,Cadrage!$E$23)))</f>
        <v>-0.05</v>
      </c>
      <c r="H329">
        <f>IF($A329="","",IF($D329="V01",Cadrage!$C$24,IF($D329="V02",Cadrage!$D$24,Cadrage!$E$24)))</f>
        <v>-0.05</v>
      </c>
      <c r="I329">
        <f>IF($A329="","",IF($D329="V01",Cadrage!$C$34,IF($D329="V02",Cadrage!$D$34,Cadrage!$E$34)))</f>
        <v>0.03</v>
      </c>
      <c r="J329">
        <f>IF($A329="","",IF($D329="V01",Cadrage!$C$35,IF($D329="V02",Cadrage!$D$35,Cadrage!$E$35)))</f>
        <v>0.03</v>
      </c>
      <c r="K329">
        <f>IF($A329="","",IF($D329="V01",Cadrage!$C$36,IF($D329="V02",Cadrage!$D$36,Cadrage!$E$36)))</f>
        <v>0.05</v>
      </c>
      <c r="L329">
        <f>IF($A329="","",IF($D329="V01",Cadrage!$C$37,IF($D329="V02",Cadrage!$D$37,Cadrage!$E$37)))</f>
        <v>0</v>
      </c>
      <c r="M329">
        <f>IF($A329="","",IF($D329="V01",Cadrage!$C$38,IF($D329="V02",Cadrage!$D$38,Cadrage!$E$38)))</f>
        <v>0.04</v>
      </c>
      <c r="N329">
        <f t="shared" si="1"/>
        <v>0.980622079131853</v>
      </c>
      <c r="O329">
        <f t="shared" si="2"/>
        <v>1.0815</v>
      </c>
      <c r="P329">
        <f>IF($A329="","",IF($E329=1,$F329*$O329,PNL!G329))</f>
        <v>249846.94</v>
      </c>
      <c r="T329">
        <f t="shared" si="3"/>
        <v>0</v>
      </c>
    </row>
    <row r="330" ht="14.25" customHeight="1">
      <c r="A330" t="str">
        <f>IF(PNL!A330="","",PNL!A330)</f>
        <v>ISCOM_LIL</v>
      </c>
      <c r="B330" t="str">
        <f>IF(PNL!B330="","",PNL!B330)</f>
        <v>6413</v>
      </c>
      <c r="C330" t="str">
        <f>IF(PNL!C330="","",PNL!C330)</f>
        <v>2025</v>
      </c>
      <c r="D330" t="str">
        <f>IF(PNL!D330="","",PNL!D330)</f>
        <v>ACT</v>
      </c>
      <c r="E330">
        <f t="shared" si="0"/>
        <v>0</v>
      </c>
      <c r="F330">
        <f>IF($A330="","",IF($E330=1,_xlfn.SUMIFS(Comptabilité!$F$1:$F$1446,Comptabilité!$A$1:$A$1446,$A330,Comptabilité!$B$1:$B$1446,$B330,Comptabilité!$C$1:$C$1446,"2026"),0))</f>
        <v>0</v>
      </c>
      <c r="G330">
        <f>IF($A330="","",IF($D330="V01",Cadrage!$C$23,IF($D330="V02",Cadrage!$D$23,Cadrage!$E$23)))</f>
        <v>-0.05</v>
      </c>
      <c r="H330">
        <f>IF($A330="","",IF($D330="V01",Cadrage!$C$24,IF($D330="V02",Cadrage!$D$24,Cadrage!$E$24)))</f>
        <v>-0.05</v>
      </c>
      <c r="I330">
        <f>IF($A330="","",IF($D330="V01",Cadrage!$C$34,IF($D330="V02",Cadrage!$D$34,Cadrage!$E$34)))</f>
        <v>0.03</v>
      </c>
      <c r="J330">
        <f>IF($A330="","",IF($D330="V01",Cadrage!$C$35,IF($D330="V02",Cadrage!$D$35,Cadrage!$E$35)))</f>
        <v>0.03</v>
      </c>
      <c r="K330">
        <f>IF($A330="","",IF($D330="V01",Cadrage!$C$36,IF($D330="V02",Cadrage!$D$36,Cadrage!$E$36)))</f>
        <v>0.05</v>
      </c>
      <c r="L330">
        <f>IF($A330="","",IF($D330="V01",Cadrage!$C$37,IF($D330="V02",Cadrage!$D$37,Cadrage!$E$37)))</f>
        <v>0</v>
      </c>
      <c r="M330">
        <f>IF($A330="","",IF($D330="V01",Cadrage!$C$38,IF($D330="V02",Cadrage!$D$38,Cadrage!$E$38)))</f>
        <v>0.04</v>
      </c>
      <c r="N330">
        <f t="shared" si="1"/>
        <v>0.980622079131853</v>
      </c>
      <c r="O330">
        <f t="shared" si="2"/>
        <v>1.0815</v>
      </c>
      <c r="P330">
        <f>IF($A330="","",IF($E330=1,$F330*$O330,PNL!G330))</f>
        <v>149666</v>
      </c>
      <c r="T330">
        <f t="shared" si="3"/>
        <v>0</v>
      </c>
    </row>
    <row r="331" ht="14.25" customHeight="1">
      <c r="A331" t="str">
        <f>IF(PNL!A331="","",PNL!A331)</f>
        <v>ISCOM_TLS</v>
      </c>
      <c r="B331" t="str">
        <f>IF(PNL!B331="","",PNL!B331)</f>
        <v>6413</v>
      </c>
      <c r="C331" t="str">
        <f>IF(PNL!C331="","",PNL!C331)</f>
        <v>2025</v>
      </c>
      <c r="D331" t="str">
        <f>IF(PNL!D331="","",PNL!D331)</f>
        <v>ACT</v>
      </c>
      <c r="E331">
        <f t="shared" si="0"/>
        <v>0</v>
      </c>
      <c r="F331">
        <f>IF($A331="","",IF($E331=1,_xlfn.SUMIFS(Comptabilité!$F$1:$F$1446,Comptabilité!$A$1:$A$1446,$A331,Comptabilité!$B$1:$B$1446,$B331,Comptabilité!$C$1:$C$1446,"2026"),0))</f>
        <v>0</v>
      </c>
      <c r="G331">
        <f>IF($A331="","",IF($D331="V01",Cadrage!$C$23,IF($D331="V02",Cadrage!$D$23,Cadrage!$E$23)))</f>
        <v>-0.05</v>
      </c>
      <c r="H331">
        <f>IF($A331="","",IF($D331="V01",Cadrage!$C$24,IF($D331="V02",Cadrage!$D$24,Cadrage!$E$24)))</f>
        <v>-0.05</v>
      </c>
      <c r="I331">
        <f>IF($A331="","",IF($D331="V01",Cadrage!$C$34,IF($D331="V02",Cadrage!$D$34,Cadrage!$E$34)))</f>
        <v>0.03</v>
      </c>
      <c r="J331">
        <f>IF($A331="","",IF($D331="V01",Cadrage!$C$35,IF($D331="V02",Cadrage!$D$35,Cadrage!$E$35)))</f>
        <v>0.03</v>
      </c>
      <c r="K331">
        <f>IF($A331="","",IF($D331="V01",Cadrage!$C$36,IF($D331="V02",Cadrage!$D$36,Cadrage!$E$36)))</f>
        <v>0.05</v>
      </c>
      <c r="L331">
        <f>IF($A331="","",IF($D331="V01",Cadrage!$C$37,IF($D331="V02",Cadrage!$D$37,Cadrage!$E$37)))</f>
        <v>0</v>
      </c>
      <c r="M331">
        <f>IF($A331="","",IF($D331="V01",Cadrage!$C$38,IF($D331="V02",Cadrage!$D$38,Cadrage!$E$38)))</f>
        <v>0.04</v>
      </c>
      <c r="N331">
        <f t="shared" si="1"/>
        <v>0.980622079131853</v>
      </c>
      <c r="O331">
        <f t="shared" si="2"/>
        <v>1.0815</v>
      </c>
      <c r="P331">
        <f>IF($A331="","",IF($E331=1,$F331*$O331,PNL!G331))</f>
        <v>132606.06</v>
      </c>
      <c r="T331">
        <f t="shared" si="3"/>
        <v>0</v>
      </c>
    </row>
    <row r="332" ht="14.25" customHeight="1">
      <c r="A332" t="str">
        <f>IF(PNL!A332="","",PNL!A332)</f>
        <v>IPAC_NAN</v>
      </c>
      <c r="B332" t="str">
        <f>IF(PNL!B332="","",PNL!B332)</f>
        <v>6413</v>
      </c>
      <c r="C332" t="str">
        <f>IF(PNL!C332="","",PNL!C332)</f>
        <v>2025</v>
      </c>
      <c r="D332" t="str">
        <f>IF(PNL!D332="","",PNL!D332)</f>
        <v>ACT</v>
      </c>
      <c r="E332">
        <f t="shared" si="0"/>
        <v>0</v>
      </c>
      <c r="F332">
        <f>IF($A332="","",IF($E332=1,_xlfn.SUMIFS(Comptabilité!$F$1:$F$1446,Comptabilité!$A$1:$A$1446,$A332,Comptabilité!$B$1:$B$1446,$B332,Comptabilité!$C$1:$C$1446,"2026"),0))</f>
        <v>0</v>
      </c>
      <c r="G332">
        <f>IF($A332="","",IF($D332="V01",Cadrage!$C$23,IF($D332="V02",Cadrage!$D$23,Cadrage!$E$23)))</f>
        <v>-0.05</v>
      </c>
      <c r="H332">
        <f>IF($A332="","",IF($D332="V01",Cadrage!$C$24,IF($D332="V02",Cadrage!$D$24,Cadrage!$E$24)))</f>
        <v>-0.05</v>
      </c>
      <c r="I332">
        <f>IF($A332="","",IF($D332="V01",Cadrage!$C$34,IF($D332="V02",Cadrage!$D$34,Cadrage!$E$34)))</f>
        <v>0.03</v>
      </c>
      <c r="J332">
        <f>IF($A332="","",IF($D332="V01",Cadrage!$C$35,IF($D332="V02",Cadrage!$D$35,Cadrage!$E$35)))</f>
        <v>0.03</v>
      </c>
      <c r="K332">
        <f>IF($A332="","",IF($D332="V01",Cadrage!$C$36,IF($D332="V02",Cadrage!$D$36,Cadrage!$E$36)))</f>
        <v>0.05</v>
      </c>
      <c r="L332">
        <f>IF($A332="","",IF($D332="V01",Cadrage!$C$37,IF($D332="V02",Cadrage!$D$37,Cadrage!$E$37)))</f>
        <v>0</v>
      </c>
      <c r="M332">
        <f>IF($A332="","",IF($D332="V01",Cadrage!$C$38,IF($D332="V02",Cadrage!$D$38,Cadrage!$E$38)))</f>
        <v>0.04</v>
      </c>
      <c r="N332">
        <f t="shared" si="1"/>
        <v>0.980622079131853</v>
      </c>
      <c r="O332">
        <f t="shared" si="2"/>
        <v>1.0815</v>
      </c>
      <c r="P332">
        <f>IF($A332="","",IF($E332=1,$F332*$O332,PNL!G332))</f>
        <v>88156.35</v>
      </c>
      <c r="T332">
        <f t="shared" si="3"/>
        <v>0</v>
      </c>
    </row>
    <row r="333" ht="14.25" customHeight="1">
      <c r="A333" t="str">
        <f>IF(PNL!A333="","",PNL!A333)</f>
        <v>IPAC_REN</v>
      </c>
      <c r="B333" t="str">
        <f>IF(PNL!B333="","",PNL!B333)</f>
        <v>6413</v>
      </c>
      <c r="C333" t="str">
        <f>IF(PNL!C333="","",PNL!C333)</f>
        <v>2025</v>
      </c>
      <c r="D333" t="str">
        <f>IF(PNL!D333="","",PNL!D333)</f>
        <v>ACT</v>
      </c>
      <c r="E333">
        <f t="shared" si="0"/>
        <v>0</v>
      </c>
      <c r="F333">
        <f>IF($A333="","",IF($E333=1,_xlfn.SUMIFS(Comptabilité!$F$1:$F$1446,Comptabilité!$A$1:$A$1446,$A333,Comptabilité!$B$1:$B$1446,$B333,Comptabilité!$C$1:$C$1446,"2026"),0))</f>
        <v>0</v>
      </c>
      <c r="G333">
        <f>IF($A333="","",IF($D333="V01",Cadrage!$C$23,IF($D333="V02",Cadrage!$D$23,Cadrage!$E$23)))</f>
        <v>-0.05</v>
      </c>
      <c r="H333">
        <f>IF($A333="","",IF($D333="V01",Cadrage!$C$24,IF($D333="V02",Cadrage!$D$24,Cadrage!$E$24)))</f>
        <v>-0.05</v>
      </c>
      <c r="I333">
        <f>IF($A333="","",IF($D333="V01",Cadrage!$C$34,IF($D333="V02",Cadrage!$D$34,Cadrage!$E$34)))</f>
        <v>0.03</v>
      </c>
      <c r="J333">
        <f>IF($A333="","",IF($D333="V01",Cadrage!$C$35,IF($D333="V02",Cadrage!$D$35,Cadrage!$E$35)))</f>
        <v>0.03</v>
      </c>
      <c r="K333">
        <f>IF($A333="","",IF($D333="V01",Cadrage!$C$36,IF($D333="V02",Cadrage!$D$36,Cadrage!$E$36)))</f>
        <v>0.05</v>
      </c>
      <c r="L333">
        <f>IF($A333="","",IF($D333="V01",Cadrage!$C$37,IF($D333="V02",Cadrage!$D$37,Cadrage!$E$37)))</f>
        <v>0</v>
      </c>
      <c r="M333">
        <f>IF($A333="","",IF($D333="V01",Cadrage!$C$38,IF($D333="V02",Cadrage!$D$38,Cadrage!$E$38)))</f>
        <v>0.04</v>
      </c>
      <c r="N333">
        <f t="shared" si="1"/>
        <v>0.980622079131853</v>
      </c>
      <c r="O333">
        <f t="shared" si="2"/>
        <v>1.0815</v>
      </c>
      <c r="P333">
        <f>IF($A333="","",IF($E333=1,$F333*$O333,PNL!G333))</f>
        <v>58466.61</v>
      </c>
      <c r="T333">
        <f t="shared" si="3"/>
        <v>0</v>
      </c>
    </row>
    <row r="334" ht="14.25" customHeight="1">
      <c r="A334" t="str">
        <f>IF(PNL!A334="","",PNL!A334)</f>
        <v>IPAC_MTP</v>
      </c>
      <c r="B334" t="str">
        <f>IF(PNL!B334="","",PNL!B334)</f>
        <v>6413</v>
      </c>
      <c r="C334" t="str">
        <f>IF(PNL!C334="","",PNL!C334)</f>
        <v>2025</v>
      </c>
      <c r="D334" t="str">
        <f>IF(PNL!D334="","",PNL!D334)</f>
        <v>ACT</v>
      </c>
      <c r="E334">
        <f t="shared" si="0"/>
        <v>0</v>
      </c>
      <c r="F334">
        <f>IF($A334="","",IF($E334=1,_xlfn.SUMIFS(Comptabilité!$F$1:$F$1446,Comptabilité!$A$1:$A$1446,$A334,Comptabilité!$B$1:$B$1446,$B334,Comptabilité!$C$1:$C$1446,"2026"),0))</f>
        <v>0</v>
      </c>
      <c r="G334">
        <f>IF($A334="","",IF($D334="V01",Cadrage!$C$23,IF($D334="V02",Cadrage!$D$23,Cadrage!$E$23)))</f>
        <v>-0.05</v>
      </c>
      <c r="H334">
        <f>IF($A334="","",IF($D334="V01",Cadrage!$C$24,IF($D334="V02",Cadrage!$D$24,Cadrage!$E$24)))</f>
        <v>-0.05</v>
      </c>
      <c r="I334">
        <f>IF($A334="","",IF($D334="V01",Cadrage!$C$34,IF($D334="V02",Cadrage!$D$34,Cadrage!$E$34)))</f>
        <v>0.03</v>
      </c>
      <c r="J334">
        <f>IF($A334="","",IF($D334="V01",Cadrage!$C$35,IF($D334="V02",Cadrage!$D$35,Cadrage!$E$35)))</f>
        <v>0.03</v>
      </c>
      <c r="K334">
        <f>IF($A334="","",IF($D334="V01",Cadrage!$C$36,IF($D334="V02",Cadrage!$D$36,Cadrage!$E$36)))</f>
        <v>0.05</v>
      </c>
      <c r="L334">
        <f>IF($A334="","",IF($D334="V01",Cadrage!$C$37,IF($D334="V02",Cadrage!$D$37,Cadrage!$E$37)))</f>
        <v>0</v>
      </c>
      <c r="M334">
        <f>IF($A334="","",IF($D334="V01",Cadrage!$C$38,IF($D334="V02",Cadrage!$D$38,Cadrage!$E$38)))</f>
        <v>0.04</v>
      </c>
      <c r="N334">
        <f t="shared" si="1"/>
        <v>0.980622079131853</v>
      </c>
      <c r="O334">
        <f t="shared" si="2"/>
        <v>1.0815</v>
      </c>
      <c r="P334">
        <f>IF($A334="","",IF($E334=1,$F334*$O334,PNL!G334))</f>
        <v>58433.93</v>
      </c>
      <c r="T334">
        <f t="shared" si="3"/>
        <v>0</v>
      </c>
    </row>
    <row r="335" ht="14.25" customHeight="1">
      <c r="A335" t="str">
        <f>IF(PNL!A335="","",PNL!A335)</f>
        <v>PIGIER_LYO</v>
      </c>
      <c r="B335" t="str">
        <f>IF(PNL!B335="","",PNL!B335)</f>
        <v>6413</v>
      </c>
      <c r="C335" t="str">
        <f>IF(PNL!C335="","",PNL!C335)</f>
        <v>2025</v>
      </c>
      <c r="D335" t="str">
        <f>IF(PNL!D335="","",PNL!D335)</f>
        <v>ACT</v>
      </c>
      <c r="E335">
        <f t="shared" si="0"/>
        <v>0</v>
      </c>
      <c r="F335">
        <f>IF($A335="","",IF($E335=1,_xlfn.SUMIFS(Comptabilité!$F$1:$F$1446,Comptabilité!$A$1:$A$1446,$A335,Comptabilité!$B$1:$B$1446,$B335,Comptabilité!$C$1:$C$1446,"2026"),0))</f>
        <v>0</v>
      </c>
      <c r="G335">
        <f>IF($A335="","",IF($D335="V01",Cadrage!$C$23,IF($D335="V02",Cadrage!$D$23,Cadrage!$E$23)))</f>
        <v>-0.05</v>
      </c>
      <c r="H335">
        <f>IF($A335="","",IF($D335="V01",Cadrage!$C$24,IF($D335="V02",Cadrage!$D$24,Cadrage!$E$24)))</f>
        <v>-0.05</v>
      </c>
      <c r="I335">
        <f>IF($A335="","",IF($D335="V01",Cadrage!$C$34,IF($D335="V02",Cadrage!$D$34,Cadrage!$E$34)))</f>
        <v>0.03</v>
      </c>
      <c r="J335">
        <f>IF($A335="","",IF($D335="V01",Cadrage!$C$35,IF($D335="V02",Cadrage!$D$35,Cadrage!$E$35)))</f>
        <v>0.03</v>
      </c>
      <c r="K335">
        <f>IF($A335="","",IF($D335="V01",Cadrage!$C$36,IF($D335="V02",Cadrage!$D$36,Cadrage!$E$36)))</f>
        <v>0.05</v>
      </c>
      <c r="L335">
        <f>IF($A335="","",IF($D335="V01",Cadrage!$C$37,IF($D335="V02",Cadrage!$D$37,Cadrage!$E$37)))</f>
        <v>0</v>
      </c>
      <c r="M335">
        <f>IF($A335="","",IF($D335="V01",Cadrage!$C$38,IF($D335="V02",Cadrage!$D$38,Cadrage!$E$38)))</f>
        <v>0.04</v>
      </c>
      <c r="N335">
        <f t="shared" si="1"/>
        <v>0.980622079131853</v>
      </c>
      <c r="O335">
        <f t="shared" si="2"/>
        <v>1.0815</v>
      </c>
      <c r="P335">
        <f>IF($A335="","",IF($E335=1,$F335*$O335,PNL!G335))</f>
        <v>117724.56</v>
      </c>
      <c r="T335">
        <f t="shared" si="3"/>
        <v>0</v>
      </c>
    </row>
    <row r="336" ht="14.25" customHeight="1">
      <c r="A336" t="str">
        <f>IF(PNL!A336="","",PNL!A336)</f>
        <v>PIGIER_BOR</v>
      </c>
      <c r="B336" t="str">
        <f>IF(PNL!B336="","",PNL!B336)</f>
        <v>6413</v>
      </c>
      <c r="C336" t="str">
        <f>IF(PNL!C336="","",PNL!C336)</f>
        <v>2025</v>
      </c>
      <c r="D336" t="str">
        <f>IF(PNL!D336="","",PNL!D336)</f>
        <v>ACT</v>
      </c>
      <c r="E336">
        <f t="shared" si="0"/>
        <v>0</v>
      </c>
      <c r="F336">
        <f>IF($A336="","",IF($E336=1,_xlfn.SUMIFS(Comptabilité!$F$1:$F$1446,Comptabilité!$A$1:$A$1446,$A336,Comptabilité!$B$1:$B$1446,$B336,Comptabilité!$C$1:$C$1446,"2026"),0))</f>
        <v>0</v>
      </c>
      <c r="G336">
        <f>IF($A336="","",IF($D336="V01",Cadrage!$C$23,IF($D336="V02",Cadrage!$D$23,Cadrage!$E$23)))</f>
        <v>-0.05</v>
      </c>
      <c r="H336">
        <f>IF($A336="","",IF($D336="V01",Cadrage!$C$24,IF($D336="V02",Cadrage!$D$24,Cadrage!$E$24)))</f>
        <v>-0.05</v>
      </c>
      <c r="I336">
        <f>IF($A336="","",IF($D336="V01",Cadrage!$C$34,IF($D336="V02",Cadrage!$D$34,Cadrage!$E$34)))</f>
        <v>0.03</v>
      </c>
      <c r="J336">
        <f>IF($A336="","",IF($D336="V01",Cadrage!$C$35,IF($D336="V02",Cadrage!$D$35,Cadrage!$E$35)))</f>
        <v>0.03</v>
      </c>
      <c r="K336">
        <f>IF($A336="","",IF($D336="V01",Cadrage!$C$36,IF($D336="V02",Cadrage!$D$36,Cadrage!$E$36)))</f>
        <v>0.05</v>
      </c>
      <c r="L336">
        <f>IF($A336="","",IF($D336="V01",Cadrage!$C$37,IF($D336="V02",Cadrage!$D$37,Cadrage!$E$37)))</f>
        <v>0</v>
      </c>
      <c r="M336">
        <f>IF($A336="","",IF($D336="V01",Cadrage!$C$38,IF($D336="V02",Cadrage!$D$38,Cadrage!$E$38)))</f>
        <v>0.04</v>
      </c>
      <c r="N336">
        <f t="shared" si="1"/>
        <v>0.980622079131853</v>
      </c>
      <c r="O336">
        <f t="shared" si="2"/>
        <v>1.0815</v>
      </c>
      <c r="P336">
        <f>IF($A336="","",IF($E336=1,$F336*$O336,PNL!G336))</f>
        <v>70468.65</v>
      </c>
      <c r="T336">
        <f t="shared" si="3"/>
        <v>0</v>
      </c>
    </row>
    <row r="337" ht="14.25" customHeight="1">
      <c r="A337" t="str">
        <f>IF(PNL!A337="","",PNL!A337)</f>
        <v>TUNON_PAR</v>
      </c>
      <c r="B337" t="str">
        <f>IF(PNL!B337="","",PNL!B337)</f>
        <v>6413</v>
      </c>
      <c r="C337" t="str">
        <f>IF(PNL!C337="","",PNL!C337)</f>
        <v>2025</v>
      </c>
      <c r="D337" t="str">
        <f>IF(PNL!D337="","",PNL!D337)</f>
        <v>ACT</v>
      </c>
      <c r="E337">
        <f t="shared" si="0"/>
        <v>0</v>
      </c>
      <c r="F337">
        <f>IF($A337="","",IF($E337=1,_xlfn.SUMIFS(Comptabilité!$F$1:$F$1446,Comptabilité!$A$1:$A$1446,$A337,Comptabilité!$B$1:$B$1446,$B337,Comptabilité!$C$1:$C$1446,"2026"),0))</f>
        <v>0</v>
      </c>
      <c r="G337">
        <f>IF($A337="","",IF($D337="V01",Cadrage!$C$23,IF($D337="V02",Cadrage!$D$23,Cadrage!$E$23)))</f>
        <v>-0.05</v>
      </c>
      <c r="H337">
        <f>IF($A337="","",IF($D337="V01",Cadrage!$C$24,IF($D337="V02",Cadrage!$D$24,Cadrage!$E$24)))</f>
        <v>-0.05</v>
      </c>
      <c r="I337">
        <f>IF($A337="","",IF($D337="V01",Cadrage!$C$34,IF($D337="V02",Cadrage!$D$34,Cadrage!$E$34)))</f>
        <v>0.03</v>
      </c>
      <c r="J337">
        <f>IF($A337="","",IF($D337="V01",Cadrage!$C$35,IF($D337="V02",Cadrage!$D$35,Cadrage!$E$35)))</f>
        <v>0.03</v>
      </c>
      <c r="K337">
        <f>IF($A337="","",IF($D337="V01",Cadrage!$C$36,IF($D337="V02",Cadrage!$D$36,Cadrage!$E$36)))</f>
        <v>0.05</v>
      </c>
      <c r="L337">
        <f>IF($A337="","",IF($D337="V01",Cadrage!$C$37,IF($D337="V02",Cadrage!$D$37,Cadrage!$E$37)))</f>
        <v>0</v>
      </c>
      <c r="M337">
        <f>IF($A337="","",IF($D337="V01",Cadrage!$C$38,IF($D337="V02",Cadrage!$D$38,Cadrage!$E$38)))</f>
        <v>0.04</v>
      </c>
      <c r="N337">
        <f t="shared" si="1"/>
        <v>0.980622079131853</v>
      </c>
      <c r="O337">
        <f t="shared" si="2"/>
        <v>1.0815</v>
      </c>
      <c r="P337">
        <f>IF($A337="","",IF($E337=1,$F337*$O337,PNL!G337))</f>
        <v>106923.25</v>
      </c>
      <c r="T337">
        <f t="shared" si="3"/>
        <v>0</v>
      </c>
    </row>
    <row r="338" ht="14.25" customHeight="1">
      <c r="A338" t="str">
        <f>IF(PNL!A338="","",PNL!A338)</f>
        <v>TUNON_LYO</v>
      </c>
      <c r="B338" t="str">
        <f>IF(PNL!B338="","",PNL!B338)</f>
        <v>6413</v>
      </c>
      <c r="C338" t="str">
        <f>IF(PNL!C338="","",PNL!C338)</f>
        <v>2025</v>
      </c>
      <c r="D338" t="str">
        <f>IF(PNL!D338="","",PNL!D338)</f>
        <v>ACT</v>
      </c>
      <c r="E338">
        <f t="shared" si="0"/>
        <v>0</v>
      </c>
      <c r="F338">
        <f>IF($A338="","",IF($E338=1,_xlfn.SUMIFS(Comptabilité!$F$1:$F$1446,Comptabilité!$A$1:$A$1446,$A338,Comptabilité!$B$1:$B$1446,$B338,Comptabilité!$C$1:$C$1446,"2026"),0))</f>
        <v>0</v>
      </c>
      <c r="G338">
        <f>IF($A338="","",IF($D338="V01",Cadrage!$C$23,IF($D338="V02",Cadrage!$D$23,Cadrage!$E$23)))</f>
        <v>-0.05</v>
      </c>
      <c r="H338">
        <f>IF($A338="","",IF($D338="V01",Cadrage!$C$24,IF($D338="V02",Cadrage!$D$24,Cadrage!$E$24)))</f>
        <v>-0.05</v>
      </c>
      <c r="I338">
        <f>IF($A338="","",IF($D338="V01",Cadrage!$C$34,IF($D338="V02",Cadrage!$D$34,Cadrage!$E$34)))</f>
        <v>0.03</v>
      </c>
      <c r="J338">
        <f>IF($A338="","",IF($D338="V01",Cadrage!$C$35,IF($D338="V02",Cadrage!$D$35,Cadrage!$E$35)))</f>
        <v>0.03</v>
      </c>
      <c r="K338">
        <f>IF($A338="","",IF($D338="V01",Cadrage!$C$36,IF($D338="V02",Cadrage!$D$36,Cadrage!$E$36)))</f>
        <v>0.05</v>
      </c>
      <c r="L338">
        <f>IF($A338="","",IF($D338="V01",Cadrage!$C$37,IF($D338="V02",Cadrage!$D$37,Cadrage!$E$37)))</f>
        <v>0</v>
      </c>
      <c r="M338">
        <f>IF($A338="","",IF($D338="V01",Cadrage!$C$38,IF($D338="V02",Cadrage!$D$38,Cadrage!$E$38)))</f>
        <v>0.04</v>
      </c>
      <c r="N338">
        <f t="shared" si="1"/>
        <v>0.980622079131853</v>
      </c>
      <c r="O338">
        <f t="shared" si="2"/>
        <v>1.0815</v>
      </c>
      <c r="P338">
        <f>IF($A338="","",IF($E338=1,$F338*$O338,PNL!G338))</f>
        <v>76771.37</v>
      </c>
      <c r="T338">
        <f t="shared" si="3"/>
        <v>0</v>
      </c>
    </row>
    <row r="339" ht="14.25" customHeight="1">
      <c r="A339" t="str">
        <f>IF(PNL!A339="","",PNL!A339)</f>
        <v>MBWAY_PAR</v>
      </c>
      <c r="B339" t="str">
        <f>IF(PNL!B339="","",PNL!B339)</f>
        <v>6413</v>
      </c>
      <c r="C339" t="str">
        <f>IF(PNL!C339="","",PNL!C339)</f>
        <v>2026</v>
      </c>
      <c r="D339" t="str">
        <f>IF(PNL!D339="","",PNL!D339)</f>
        <v>ACT</v>
      </c>
      <c r="E339">
        <f t="shared" si="0"/>
        <v>0</v>
      </c>
      <c r="F339">
        <f>IF($A339="","",IF($E339=1,_xlfn.SUMIFS(Comptabilité!$F$1:$F$1446,Comptabilité!$A$1:$A$1446,$A339,Comptabilité!$B$1:$B$1446,$B339,Comptabilité!$C$1:$C$1446,"2026"),0))</f>
        <v>0</v>
      </c>
      <c r="G339">
        <f>IF($A339="","",IF($D339="V01",Cadrage!$C$23,IF($D339="V02",Cadrage!$D$23,Cadrage!$E$23)))</f>
        <v>-0.05</v>
      </c>
      <c r="H339">
        <f>IF($A339="","",IF($D339="V01",Cadrage!$C$24,IF($D339="V02",Cadrage!$D$24,Cadrage!$E$24)))</f>
        <v>-0.05</v>
      </c>
      <c r="I339">
        <f>IF($A339="","",IF($D339="V01",Cadrage!$C$34,IF($D339="V02",Cadrage!$D$34,Cadrage!$E$34)))</f>
        <v>0.03</v>
      </c>
      <c r="J339">
        <f>IF($A339="","",IF($D339="V01",Cadrage!$C$35,IF($D339="V02",Cadrage!$D$35,Cadrage!$E$35)))</f>
        <v>0.03</v>
      </c>
      <c r="K339">
        <f>IF($A339="","",IF($D339="V01",Cadrage!$C$36,IF($D339="V02",Cadrage!$D$36,Cadrage!$E$36)))</f>
        <v>0.05</v>
      </c>
      <c r="L339">
        <f>IF($A339="","",IF($D339="V01",Cadrage!$C$37,IF($D339="V02",Cadrage!$D$37,Cadrage!$E$37)))</f>
        <v>0</v>
      </c>
      <c r="M339">
        <f>IF($A339="","",IF($D339="V01",Cadrage!$C$38,IF($D339="V02",Cadrage!$D$38,Cadrage!$E$38)))</f>
        <v>0.04</v>
      </c>
      <c r="N339">
        <f t="shared" si="1"/>
        <v>0.980622079131853</v>
      </c>
      <c r="O339">
        <f t="shared" si="2"/>
        <v>1.0815</v>
      </c>
      <c r="P339">
        <f>IF($A339="","",IF($E339=1,$F339*$O339,PNL!G339))</f>
        <v>289855.78</v>
      </c>
      <c r="T339">
        <f t="shared" si="3"/>
        <v>0</v>
      </c>
    </row>
    <row r="340" ht="14.25" customHeight="1">
      <c r="A340" t="str">
        <f>IF(PNL!A340="","",PNL!A340)</f>
        <v>MBWAY_LYO</v>
      </c>
      <c r="B340" t="str">
        <f>IF(PNL!B340="","",PNL!B340)</f>
        <v>6413</v>
      </c>
      <c r="C340" t="str">
        <f>IF(PNL!C340="","",PNL!C340)</f>
        <v>2026</v>
      </c>
      <c r="D340" t="str">
        <f>IF(PNL!D340="","",PNL!D340)</f>
        <v>ACT</v>
      </c>
      <c r="E340">
        <f t="shared" si="0"/>
        <v>0</v>
      </c>
      <c r="F340">
        <f>IF($A340="","",IF($E340=1,_xlfn.SUMIFS(Comptabilité!$F$1:$F$1446,Comptabilité!$A$1:$A$1446,$A340,Comptabilité!$B$1:$B$1446,$B340,Comptabilité!$C$1:$C$1446,"2026"),0))</f>
        <v>0</v>
      </c>
      <c r="G340">
        <f>IF($A340="","",IF($D340="V01",Cadrage!$C$23,IF($D340="V02",Cadrage!$D$23,Cadrage!$E$23)))</f>
        <v>-0.05</v>
      </c>
      <c r="H340">
        <f>IF($A340="","",IF($D340="V01",Cadrage!$C$24,IF($D340="V02",Cadrage!$D$24,Cadrage!$E$24)))</f>
        <v>-0.05</v>
      </c>
      <c r="I340">
        <f>IF($A340="","",IF($D340="V01",Cadrage!$C$34,IF($D340="V02",Cadrage!$D$34,Cadrage!$E$34)))</f>
        <v>0.03</v>
      </c>
      <c r="J340">
        <f>IF($A340="","",IF($D340="V01",Cadrage!$C$35,IF($D340="V02",Cadrage!$D$35,Cadrage!$E$35)))</f>
        <v>0.03</v>
      </c>
      <c r="K340">
        <f>IF($A340="","",IF($D340="V01",Cadrage!$C$36,IF($D340="V02",Cadrage!$D$36,Cadrage!$E$36)))</f>
        <v>0.05</v>
      </c>
      <c r="L340">
        <f>IF($A340="","",IF($D340="V01",Cadrage!$C$37,IF($D340="V02",Cadrage!$D$37,Cadrage!$E$37)))</f>
        <v>0</v>
      </c>
      <c r="M340">
        <f>IF($A340="","",IF($D340="V01",Cadrage!$C$38,IF($D340="V02",Cadrage!$D$38,Cadrage!$E$38)))</f>
        <v>0.04</v>
      </c>
      <c r="N340">
        <f t="shared" si="1"/>
        <v>0.980622079131853</v>
      </c>
      <c r="O340">
        <f t="shared" si="2"/>
        <v>1.0815</v>
      </c>
      <c r="P340">
        <f>IF($A340="","",IF($E340=1,$F340*$O340,PNL!G340))</f>
        <v>226112.25</v>
      </c>
      <c r="T340">
        <f t="shared" si="3"/>
        <v>0</v>
      </c>
    </row>
    <row r="341" ht="14.25" customHeight="1">
      <c r="A341" t="str">
        <f>IF(PNL!A341="","",PNL!A341)</f>
        <v>MBWAY_NAN</v>
      </c>
      <c r="B341" t="str">
        <f>IF(PNL!B341="","",PNL!B341)</f>
        <v>6413</v>
      </c>
      <c r="C341" t="str">
        <f>IF(PNL!C341="","",PNL!C341)</f>
        <v>2026</v>
      </c>
      <c r="D341" t="str">
        <f>IF(PNL!D341="","",PNL!D341)</f>
        <v>ACT</v>
      </c>
      <c r="E341">
        <f t="shared" si="0"/>
        <v>0</v>
      </c>
      <c r="F341">
        <f>IF($A341="","",IF($E341=1,_xlfn.SUMIFS(Comptabilité!$F$1:$F$1446,Comptabilité!$A$1:$A$1446,$A341,Comptabilité!$B$1:$B$1446,$B341,Comptabilité!$C$1:$C$1446,"2026"),0))</f>
        <v>0</v>
      </c>
      <c r="G341">
        <f>IF($A341="","",IF($D341="V01",Cadrage!$C$23,IF($D341="V02",Cadrage!$D$23,Cadrage!$E$23)))</f>
        <v>-0.05</v>
      </c>
      <c r="H341">
        <f>IF($A341="","",IF($D341="V01",Cadrage!$C$24,IF($D341="V02",Cadrage!$D$24,Cadrage!$E$24)))</f>
        <v>-0.05</v>
      </c>
      <c r="I341">
        <f>IF($A341="","",IF($D341="V01",Cadrage!$C$34,IF($D341="V02",Cadrage!$D$34,Cadrage!$E$34)))</f>
        <v>0.03</v>
      </c>
      <c r="J341">
        <f>IF($A341="","",IF($D341="V01",Cadrage!$C$35,IF($D341="V02",Cadrage!$D$35,Cadrage!$E$35)))</f>
        <v>0.03</v>
      </c>
      <c r="K341">
        <f>IF($A341="","",IF($D341="V01",Cadrage!$C$36,IF($D341="V02",Cadrage!$D$36,Cadrage!$E$36)))</f>
        <v>0.05</v>
      </c>
      <c r="L341">
        <f>IF($A341="","",IF($D341="V01",Cadrage!$C$37,IF($D341="V02",Cadrage!$D$37,Cadrage!$E$37)))</f>
        <v>0</v>
      </c>
      <c r="M341">
        <f>IF($A341="","",IF($D341="V01",Cadrage!$C$38,IF($D341="V02",Cadrage!$D$38,Cadrage!$E$38)))</f>
        <v>0.04</v>
      </c>
      <c r="N341">
        <f t="shared" si="1"/>
        <v>0.980622079131853</v>
      </c>
      <c r="O341">
        <f t="shared" si="2"/>
        <v>1.0815</v>
      </c>
      <c r="P341">
        <f>IF($A341="","",IF($E341=1,$F341*$O341,PNL!G341))</f>
        <v>191202.82</v>
      </c>
      <c r="T341">
        <f t="shared" si="3"/>
        <v>0</v>
      </c>
    </row>
    <row r="342" ht="14.25" customHeight="1">
      <c r="A342" t="str">
        <f>IF(PNL!A342="","",PNL!A342)</f>
        <v>MBWAY_BOR</v>
      </c>
      <c r="B342" t="str">
        <f>IF(PNL!B342="","",PNL!B342)</f>
        <v>6413</v>
      </c>
      <c r="C342" t="str">
        <f>IF(PNL!C342="","",PNL!C342)</f>
        <v>2026</v>
      </c>
      <c r="D342" t="str">
        <f>IF(PNL!D342="","",PNL!D342)</f>
        <v>ACT</v>
      </c>
      <c r="E342">
        <f t="shared" si="0"/>
        <v>0</v>
      </c>
      <c r="F342">
        <f>IF($A342="","",IF($E342=1,_xlfn.SUMIFS(Comptabilité!$F$1:$F$1446,Comptabilité!$A$1:$A$1446,$A342,Comptabilité!$B$1:$B$1446,$B342,Comptabilité!$C$1:$C$1446,"2026"),0))</f>
        <v>0</v>
      </c>
      <c r="G342">
        <f>IF($A342="","",IF($D342="V01",Cadrage!$C$23,IF($D342="V02",Cadrage!$D$23,Cadrage!$E$23)))</f>
        <v>-0.05</v>
      </c>
      <c r="H342">
        <f>IF($A342="","",IF($D342="V01",Cadrage!$C$24,IF($D342="V02",Cadrage!$D$24,Cadrage!$E$24)))</f>
        <v>-0.05</v>
      </c>
      <c r="I342">
        <f>IF($A342="","",IF($D342="V01",Cadrage!$C$34,IF($D342="V02",Cadrage!$D$34,Cadrage!$E$34)))</f>
        <v>0.03</v>
      </c>
      <c r="J342">
        <f>IF($A342="","",IF($D342="V01",Cadrage!$C$35,IF($D342="V02",Cadrage!$D$35,Cadrage!$E$35)))</f>
        <v>0.03</v>
      </c>
      <c r="K342">
        <f>IF($A342="","",IF($D342="V01",Cadrage!$C$36,IF($D342="V02",Cadrage!$D$36,Cadrage!$E$36)))</f>
        <v>0.05</v>
      </c>
      <c r="L342">
        <f>IF($A342="","",IF($D342="V01",Cadrage!$C$37,IF($D342="V02",Cadrage!$D$37,Cadrage!$E$37)))</f>
        <v>0</v>
      </c>
      <c r="M342">
        <f>IF($A342="","",IF($D342="V01",Cadrage!$C$38,IF($D342="V02",Cadrage!$D$38,Cadrage!$E$38)))</f>
        <v>0.04</v>
      </c>
      <c r="N342">
        <f t="shared" si="1"/>
        <v>0.980622079131853</v>
      </c>
      <c r="O342">
        <f t="shared" si="2"/>
        <v>1.0815</v>
      </c>
      <c r="P342">
        <f>IF($A342="","",IF($E342=1,$F342*$O342,PNL!G342))</f>
        <v>158245.25</v>
      </c>
      <c r="T342">
        <f t="shared" si="3"/>
        <v>0</v>
      </c>
    </row>
    <row r="343" ht="14.25" customHeight="1">
      <c r="A343" t="str">
        <f>IF(PNL!A343="","",PNL!A343)</f>
        <v>ISCOM_PAR</v>
      </c>
      <c r="B343" t="str">
        <f>IF(PNL!B343="","",PNL!B343)</f>
        <v>6413</v>
      </c>
      <c r="C343" t="str">
        <f>IF(PNL!C343="","",PNL!C343)</f>
        <v>2026</v>
      </c>
      <c r="D343" t="str">
        <f>IF(PNL!D343="","",PNL!D343)</f>
        <v>ACT</v>
      </c>
      <c r="E343">
        <f t="shared" si="0"/>
        <v>0</v>
      </c>
      <c r="F343">
        <f>IF($A343="","",IF($E343=1,_xlfn.SUMIFS(Comptabilité!$F$1:$F$1446,Comptabilité!$A$1:$A$1446,$A343,Comptabilité!$B$1:$B$1446,$B343,Comptabilité!$C$1:$C$1446,"2026"),0))</f>
        <v>0</v>
      </c>
      <c r="G343">
        <f>IF($A343="","",IF($D343="V01",Cadrage!$C$23,IF($D343="V02",Cadrage!$D$23,Cadrage!$E$23)))</f>
        <v>-0.05</v>
      </c>
      <c r="H343">
        <f>IF($A343="","",IF($D343="V01",Cadrage!$C$24,IF($D343="V02",Cadrage!$D$24,Cadrage!$E$24)))</f>
        <v>-0.05</v>
      </c>
      <c r="I343">
        <f>IF($A343="","",IF($D343="V01",Cadrage!$C$34,IF($D343="V02",Cadrage!$D$34,Cadrage!$E$34)))</f>
        <v>0.03</v>
      </c>
      <c r="J343">
        <f>IF($A343="","",IF($D343="V01",Cadrage!$C$35,IF($D343="V02",Cadrage!$D$35,Cadrage!$E$35)))</f>
        <v>0.03</v>
      </c>
      <c r="K343">
        <f>IF($A343="","",IF($D343="V01",Cadrage!$C$36,IF($D343="V02",Cadrage!$D$36,Cadrage!$E$36)))</f>
        <v>0.05</v>
      </c>
      <c r="L343">
        <f>IF($A343="","",IF($D343="V01",Cadrage!$C$37,IF($D343="V02",Cadrage!$D$37,Cadrage!$E$37)))</f>
        <v>0</v>
      </c>
      <c r="M343">
        <f>IF($A343="","",IF($D343="V01",Cadrage!$C$38,IF($D343="V02",Cadrage!$D$38,Cadrage!$E$38)))</f>
        <v>0.04</v>
      </c>
      <c r="N343">
        <f t="shared" si="1"/>
        <v>0.980622079131853</v>
      </c>
      <c r="O343">
        <f t="shared" si="2"/>
        <v>1.0815</v>
      </c>
      <c r="P343">
        <f>IF($A343="","",IF($E343=1,$F343*$O343,PNL!G343))</f>
        <v>261113.4</v>
      </c>
      <c r="T343">
        <f t="shared" si="3"/>
        <v>0</v>
      </c>
    </row>
    <row r="344" ht="14.25" customHeight="1">
      <c r="A344" t="str">
        <f>IF(PNL!A344="","",PNL!A344)</f>
        <v>ISCOM_LIL</v>
      </c>
      <c r="B344" t="str">
        <f>IF(PNL!B344="","",PNL!B344)</f>
        <v>6413</v>
      </c>
      <c r="C344" t="str">
        <f>IF(PNL!C344="","",PNL!C344)</f>
        <v>2026</v>
      </c>
      <c r="D344" t="str">
        <f>IF(PNL!D344="","",PNL!D344)</f>
        <v>ACT</v>
      </c>
      <c r="E344">
        <f t="shared" si="0"/>
        <v>0</v>
      </c>
      <c r="F344">
        <f>IF($A344="","",IF($E344=1,_xlfn.SUMIFS(Comptabilité!$F$1:$F$1446,Comptabilité!$A$1:$A$1446,$A344,Comptabilité!$B$1:$B$1446,$B344,Comptabilité!$C$1:$C$1446,"2026"),0))</f>
        <v>0</v>
      </c>
      <c r="G344">
        <f>IF($A344="","",IF($D344="V01",Cadrage!$C$23,IF($D344="V02",Cadrage!$D$23,Cadrage!$E$23)))</f>
        <v>-0.05</v>
      </c>
      <c r="H344">
        <f>IF($A344="","",IF($D344="V01",Cadrage!$C$24,IF($D344="V02",Cadrage!$D$24,Cadrage!$E$24)))</f>
        <v>-0.05</v>
      </c>
      <c r="I344">
        <f>IF($A344="","",IF($D344="V01",Cadrage!$C$34,IF($D344="V02",Cadrage!$D$34,Cadrage!$E$34)))</f>
        <v>0.03</v>
      </c>
      <c r="J344">
        <f>IF($A344="","",IF($D344="V01",Cadrage!$C$35,IF($D344="V02",Cadrage!$D$35,Cadrage!$E$35)))</f>
        <v>0.03</v>
      </c>
      <c r="K344">
        <f>IF($A344="","",IF($D344="V01",Cadrage!$C$36,IF($D344="V02",Cadrage!$D$36,Cadrage!$E$36)))</f>
        <v>0.05</v>
      </c>
      <c r="L344">
        <f>IF($A344="","",IF($D344="V01",Cadrage!$C$37,IF($D344="V02",Cadrage!$D$37,Cadrage!$E$37)))</f>
        <v>0</v>
      </c>
      <c r="M344">
        <f>IF($A344="","",IF($D344="V01",Cadrage!$C$38,IF($D344="V02",Cadrage!$D$38,Cadrage!$E$38)))</f>
        <v>0.04</v>
      </c>
      <c r="N344">
        <f t="shared" si="1"/>
        <v>0.980622079131853</v>
      </c>
      <c r="O344">
        <f t="shared" si="2"/>
        <v>1.0815</v>
      </c>
      <c r="P344">
        <f>IF($A344="","",IF($E344=1,$F344*$O344,PNL!G344))</f>
        <v>157464.43</v>
      </c>
      <c r="T344">
        <f t="shared" si="3"/>
        <v>0</v>
      </c>
    </row>
    <row r="345" ht="14.25" customHeight="1">
      <c r="A345" t="str">
        <f>IF(PNL!A345="","",PNL!A345)</f>
        <v>ISCOM_TLS</v>
      </c>
      <c r="B345" t="str">
        <f>IF(PNL!B345="","",PNL!B345)</f>
        <v>6413</v>
      </c>
      <c r="C345" t="str">
        <f>IF(PNL!C345="","",PNL!C345)</f>
        <v>2026</v>
      </c>
      <c r="D345" t="str">
        <f>IF(PNL!D345="","",PNL!D345)</f>
        <v>ACT</v>
      </c>
      <c r="E345">
        <f t="shared" si="0"/>
        <v>0</v>
      </c>
      <c r="F345">
        <f>IF($A345="","",IF($E345=1,_xlfn.SUMIFS(Comptabilité!$F$1:$F$1446,Comptabilité!$A$1:$A$1446,$A345,Comptabilité!$B$1:$B$1446,$B345,Comptabilité!$C$1:$C$1446,"2026"),0))</f>
        <v>0</v>
      </c>
      <c r="G345">
        <f>IF($A345="","",IF($D345="V01",Cadrage!$C$23,IF($D345="V02",Cadrage!$D$23,Cadrage!$E$23)))</f>
        <v>-0.05</v>
      </c>
      <c r="H345">
        <f>IF($A345="","",IF($D345="V01",Cadrage!$C$24,IF($D345="V02",Cadrage!$D$24,Cadrage!$E$24)))</f>
        <v>-0.05</v>
      </c>
      <c r="I345">
        <f>IF($A345="","",IF($D345="V01",Cadrage!$C$34,IF($D345="V02",Cadrage!$D$34,Cadrage!$E$34)))</f>
        <v>0.03</v>
      </c>
      <c r="J345">
        <f>IF($A345="","",IF($D345="V01",Cadrage!$C$35,IF($D345="V02",Cadrage!$D$35,Cadrage!$E$35)))</f>
        <v>0.03</v>
      </c>
      <c r="K345">
        <f>IF($A345="","",IF($D345="V01",Cadrage!$C$36,IF($D345="V02",Cadrage!$D$36,Cadrage!$E$36)))</f>
        <v>0.05</v>
      </c>
      <c r="L345">
        <f>IF($A345="","",IF($D345="V01",Cadrage!$C$37,IF($D345="V02",Cadrage!$D$37,Cadrage!$E$37)))</f>
        <v>0</v>
      </c>
      <c r="M345">
        <f>IF($A345="","",IF($D345="V01",Cadrage!$C$38,IF($D345="V02",Cadrage!$D$38,Cadrage!$E$38)))</f>
        <v>0.04</v>
      </c>
      <c r="N345">
        <f t="shared" si="1"/>
        <v>0.980622079131853</v>
      </c>
      <c r="O345">
        <f t="shared" si="2"/>
        <v>1.0815</v>
      </c>
      <c r="P345">
        <f>IF($A345="","",IF($E345=1,$F345*$O345,PNL!G345))</f>
        <v>140180.27</v>
      </c>
      <c r="T345">
        <f t="shared" si="3"/>
        <v>0</v>
      </c>
    </row>
    <row r="346" ht="14.25" customHeight="1">
      <c r="A346" t="str">
        <f>IF(PNL!A346="","",PNL!A346)</f>
        <v>IPAC_NAN</v>
      </c>
      <c r="B346" t="str">
        <f>IF(PNL!B346="","",PNL!B346)</f>
        <v>6413</v>
      </c>
      <c r="C346" t="str">
        <f>IF(PNL!C346="","",PNL!C346)</f>
        <v>2026</v>
      </c>
      <c r="D346" t="str">
        <f>IF(PNL!D346="","",PNL!D346)</f>
        <v>ACT</v>
      </c>
      <c r="E346">
        <f t="shared" si="0"/>
        <v>0</v>
      </c>
      <c r="F346">
        <f>IF($A346="","",IF($E346=1,_xlfn.SUMIFS(Comptabilité!$F$1:$F$1446,Comptabilité!$A$1:$A$1446,$A346,Comptabilité!$B$1:$B$1446,$B346,Comptabilité!$C$1:$C$1446,"2026"),0))</f>
        <v>0</v>
      </c>
      <c r="G346">
        <f>IF($A346="","",IF($D346="V01",Cadrage!$C$23,IF($D346="V02",Cadrage!$D$23,Cadrage!$E$23)))</f>
        <v>-0.05</v>
      </c>
      <c r="H346">
        <f>IF($A346="","",IF($D346="V01",Cadrage!$C$24,IF($D346="V02",Cadrage!$D$24,Cadrage!$E$24)))</f>
        <v>-0.05</v>
      </c>
      <c r="I346">
        <f>IF($A346="","",IF($D346="V01",Cadrage!$C$34,IF($D346="V02",Cadrage!$D$34,Cadrage!$E$34)))</f>
        <v>0.03</v>
      </c>
      <c r="J346">
        <f>IF($A346="","",IF($D346="V01",Cadrage!$C$35,IF($D346="V02",Cadrage!$D$35,Cadrage!$E$35)))</f>
        <v>0.03</v>
      </c>
      <c r="K346">
        <f>IF($A346="","",IF($D346="V01",Cadrage!$C$36,IF($D346="V02",Cadrage!$D$36,Cadrage!$E$36)))</f>
        <v>0.05</v>
      </c>
      <c r="L346">
        <f>IF($A346="","",IF($D346="V01",Cadrage!$C$37,IF($D346="V02",Cadrage!$D$37,Cadrage!$E$37)))</f>
        <v>0</v>
      </c>
      <c r="M346">
        <f>IF($A346="","",IF($D346="V01",Cadrage!$C$38,IF($D346="V02",Cadrage!$D$38,Cadrage!$E$38)))</f>
        <v>0.04</v>
      </c>
      <c r="N346">
        <f t="shared" si="1"/>
        <v>0.980622079131853</v>
      </c>
      <c r="O346">
        <f t="shared" si="2"/>
        <v>1.0815</v>
      </c>
      <c r="P346">
        <f>IF($A346="","",IF($E346=1,$F346*$O346,PNL!G346))</f>
        <v>92140.18</v>
      </c>
      <c r="T346">
        <f t="shared" si="3"/>
        <v>0</v>
      </c>
    </row>
    <row r="347" ht="14.25" customHeight="1">
      <c r="A347" t="str">
        <f>IF(PNL!A347="","",PNL!A347)</f>
        <v>IPAC_REN</v>
      </c>
      <c r="B347" t="str">
        <f>IF(PNL!B347="","",PNL!B347)</f>
        <v>6413</v>
      </c>
      <c r="C347" t="str">
        <f>IF(PNL!C347="","",PNL!C347)</f>
        <v>2026</v>
      </c>
      <c r="D347" t="str">
        <f>IF(PNL!D347="","",PNL!D347)</f>
        <v>ACT</v>
      </c>
      <c r="E347">
        <f t="shared" si="0"/>
        <v>0</v>
      </c>
      <c r="F347">
        <f>IF($A347="","",IF($E347=1,_xlfn.SUMIFS(Comptabilité!$F$1:$F$1446,Comptabilité!$A$1:$A$1446,$A347,Comptabilité!$B$1:$B$1446,$B347,Comptabilité!$C$1:$C$1446,"2026"),0))</f>
        <v>0</v>
      </c>
      <c r="G347">
        <f>IF($A347="","",IF($D347="V01",Cadrage!$C$23,IF($D347="V02",Cadrage!$D$23,Cadrage!$E$23)))</f>
        <v>-0.05</v>
      </c>
      <c r="H347">
        <f>IF($A347="","",IF($D347="V01",Cadrage!$C$24,IF($D347="V02",Cadrage!$D$24,Cadrage!$E$24)))</f>
        <v>-0.05</v>
      </c>
      <c r="I347">
        <f>IF($A347="","",IF($D347="V01",Cadrage!$C$34,IF($D347="V02",Cadrage!$D$34,Cadrage!$E$34)))</f>
        <v>0.03</v>
      </c>
      <c r="J347">
        <f>IF($A347="","",IF($D347="V01",Cadrage!$C$35,IF($D347="V02",Cadrage!$D$35,Cadrage!$E$35)))</f>
        <v>0.03</v>
      </c>
      <c r="K347">
        <f>IF($A347="","",IF($D347="V01",Cadrage!$C$36,IF($D347="V02",Cadrage!$D$36,Cadrage!$E$36)))</f>
        <v>0.05</v>
      </c>
      <c r="L347">
        <f>IF($A347="","",IF($D347="V01",Cadrage!$C$37,IF($D347="V02",Cadrage!$D$37,Cadrage!$E$37)))</f>
        <v>0</v>
      </c>
      <c r="M347">
        <f>IF($A347="","",IF($D347="V01",Cadrage!$C$38,IF($D347="V02",Cadrage!$D$38,Cadrage!$E$38)))</f>
        <v>0.04</v>
      </c>
      <c r="N347">
        <f t="shared" si="1"/>
        <v>0.980622079131853</v>
      </c>
      <c r="O347">
        <f t="shared" si="2"/>
        <v>1.0815</v>
      </c>
      <c r="P347">
        <f>IF($A347="","",IF($E347=1,$F347*$O347,PNL!G347))</f>
        <v>60195.4</v>
      </c>
      <c r="T347">
        <f t="shared" si="3"/>
        <v>0</v>
      </c>
    </row>
    <row r="348" ht="14.25" customHeight="1">
      <c r="A348" t="str">
        <f>IF(PNL!A348="","",PNL!A348)</f>
        <v>IPAC_MTP</v>
      </c>
      <c r="B348" t="str">
        <f>IF(PNL!B348="","",PNL!B348)</f>
        <v>6413</v>
      </c>
      <c r="C348" t="str">
        <f>IF(PNL!C348="","",PNL!C348)</f>
        <v>2026</v>
      </c>
      <c r="D348" t="str">
        <f>IF(PNL!D348="","",PNL!D348)</f>
        <v>ACT</v>
      </c>
      <c r="E348">
        <f t="shared" si="0"/>
        <v>0</v>
      </c>
      <c r="F348">
        <f>IF($A348="","",IF($E348=1,_xlfn.SUMIFS(Comptabilité!$F$1:$F$1446,Comptabilité!$A$1:$A$1446,$A348,Comptabilité!$B$1:$B$1446,$B348,Comptabilité!$C$1:$C$1446,"2026"),0))</f>
        <v>0</v>
      </c>
      <c r="G348">
        <f>IF($A348="","",IF($D348="V01",Cadrage!$C$23,IF($D348="V02",Cadrage!$D$23,Cadrage!$E$23)))</f>
        <v>-0.05</v>
      </c>
      <c r="H348">
        <f>IF($A348="","",IF($D348="V01",Cadrage!$C$24,IF($D348="V02",Cadrage!$D$24,Cadrage!$E$24)))</f>
        <v>-0.05</v>
      </c>
      <c r="I348">
        <f>IF($A348="","",IF($D348="V01",Cadrage!$C$34,IF($D348="V02",Cadrage!$D$34,Cadrage!$E$34)))</f>
        <v>0.03</v>
      </c>
      <c r="J348">
        <f>IF($A348="","",IF($D348="V01",Cadrage!$C$35,IF($D348="V02",Cadrage!$D$35,Cadrage!$E$35)))</f>
        <v>0.03</v>
      </c>
      <c r="K348">
        <f>IF($A348="","",IF($D348="V01",Cadrage!$C$36,IF($D348="V02",Cadrage!$D$36,Cadrage!$E$36)))</f>
        <v>0.05</v>
      </c>
      <c r="L348">
        <f>IF($A348="","",IF($D348="V01",Cadrage!$C$37,IF($D348="V02",Cadrage!$D$37,Cadrage!$E$37)))</f>
        <v>0</v>
      </c>
      <c r="M348">
        <f>IF($A348="","",IF($D348="V01",Cadrage!$C$38,IF($D348="V02",Cadrage!$D$38,Cadrage!$E$38)))</f>
        <v>0.04</v>
      </c>
      <c r="N348">
        <f t="shared" si="1"/>
        <v>0.980622079131853</v>
      </c>
      <c r="O348">
        <f t="shared" si="2"/>
        <v>1.0815</v>
      </c>
      <c r="P348">
        <f>IF($A348="","",IF($E348=1,$F348*$O348,PNL!G348))</f>
        <v>60159.5</v>
      </c>
      <c r="T348">
        <f t="shared" si="3"/>
        <v>0</v>
      </c>
    </row>
    <row r="349" ht="14.25" customHeight="1">
      <c r="A349" t="str">
        <f>IF(PNL!A349="","",PNL!A349)</f>
        <v>PIGIER_LYO</v>
      </c>
      <c r="B349" t="str">
        <f>IF(PNL!B349="","",PNL!B349)</f>
        <v>6413</v>
      </c>
      <c r="C349" t="str">
        <f>IF(PNL!C349="","",PNL!C349)</f>
        <v>2026</v>
      </c>
      <c r="D349" t="str">
        <f>IF(PNL!D349="","",PNL!D349)</f>
        <v>ACT</v>
      </c>
      <c r="E349">
        <f t="shared" si="0"/>
        <v>0</v>
      </c>
      <c r="F349">
        <f>IF($A349="","",IF($E349=1,_xlfn.SUMIFS(Comptabilité!$F$1:$F$1446,Comptabilité!$A$1:$A$1446,$A349,Comptabilité!$B$1:$B$1446,$B349,Comptabilité!$C$1:$C$1446,"2026"),0))</f>
        <v>0</v>
      </c>
      <c r="G349">
        <f>IF($A349="","",IF($D349="V01",Cadrage!$C$23,IF($D349="V02",Cadrage!$D$23,Cadrage!$E$23)))</f>
        <v>-0.05</v>
      </c>
      <c r="H349">
        <f>IF($A349="","",IF($D349="V01",Cadrage!$C$24,IF($D349="V02",Cadrage!$D$24,Cadrage!$E$24)))</f>
        <v>-0.05</v>
      </c>
      <c r="I349">
        <f>IF($A349="","",IF($D349="V01",Cadrage!$C$34,IF($D349="V02",Cadrage!$D$34,Cadrage!$E$34)))</f>
        <v>0.03</v>
      </c>
      <c r="J349">
        <f>IF($A349="","",IF($D349="V01",Cadrage!$C$35,IF($D349="V02",Cadrage!$D$35,Cadrage!$E$35)))</f>
        <v>0.03</v>
      </c>
      <c r="K349">
        <f>IF($A349="","",IF($D349="V01",Cadrage!$C$36,IF($D349="V02",Cadrage!$D$36,Cadrage!$E$36)))</f>
        <v>0.05</v>
      </c>
      <c r="L349">
        <f>IF($A349="","",IF($D349="V01",Cadrage!$C$37,IF($D349="V02",Cadrage!$D$37,Cadrage!$E$37)))</f>
        <v>0</v>
      </c>
      <c r="M349">
        <f>IF($A349="","",IF($D349="V01",Cadrage!$C$38,IF($D349="V02",Cadrage!$D$38,Cadrage!$E$38)))</f>
        <v>0.04</v>
      </c>
      <c r="N349">
        <f t="shared" si="1"/>
        <v>0.980622079131853</v>
      </c>
      <c r="O349">
        <f t="shared" si="2"/>
        <v>1.0815</v>
      </c>
      <c r="P349">
        <f>IF($A349="","",IF($E349=1,$F349*$O349,PNL!G349))</f>
        <v>124452.63</v>
      </c>
      <c r="T349">
        <f t="shared" si="3"/>
        <v>0</v>
      </c>
    </row>
    <row r="350" ht="14.25" customHeight="1">
      <c r="A350" t="str">
        <f>IF(PNL!A350="","",PNL!A350)</f>
        <v>PIGIER_BOR</v>
      </c>
      <c r="B350" t="str">
        <f>IF(PNL!B350="","",PNL!B350)</f>
        <v>6413</v>
      </c>
      <c r="C350" t="str">
        <f>IF(PNL!C350="","",PNL!C350)</f>
        <v>2026</v>
      </c>
      <c r="D350" t="str">
        <f>IF(PNL!D350="","",PNL!D350)</f>
        <v>ACT</v>
      </c>
      <c r="E350">
        <f t="shared" si="0"/>
        <v>0</v>
      </c>
      <c r="F350">
        <f>IF($A350="","",IF($E350=1,_xlfn.SUMIFS(Comptabilité!$F$1:$F$1446,Comptabilité!$A$1:$A$1446,$A350,Comptabilité!$B$1:$B$1446,$B350,Comptabilité!$C$1:$C$1446,"2026"),0))</f>
        <v>0</v>
      </c>
      <c r="G350">
        <f>IF($A350="","",IF($D350="V01",Cadrage!$C$23,IF($D350="V02",Cadrage!$D$23,Cadrage!$E$23)))</f>
        <v>-0.05</v>
      </c>
      <c r="H350">
        <f>IF($A350="","",IF($D350="V01",Cadrage!$C$24,IF($D350="V02",Cadrage!$D$24,Cadrage!$E$24)))</f>
        <v>-0.05</v>
      </c>
      <c r="I350">
        <f>IF($A350="","",IF($D350="V01",Cadrage!$C$34,IF($D350="V02",Cadrage!$D$34,Cadrage!$E$34)))</f>
        <v>0.03</v>
      </c>
      <c r="J350">
        <f>IF($A350="","",IF($D350="V01",Cadrage!$C$35,IF($D350="V02",Cadrage!$D$35,Cadrage!$E$35)))</f>
        <v>0.03</v>
      </c>
      <c r="K350">
        <f>IF($A350="","",IF($D350="V01",Cadrage!$C$36,IF($D350="V02",Cadrage!$D$36,Cadrage!$E$36)))</f>
        <v>0.05</v>
      </c>
      <c r="L350">
        <f>IF($A350="","",IF($D350="V01",Cadrage!$C$37,IF($D350="V02",Cadrage!$D$37,Cadrage!$E$37)))</f>
        <v>0</v>
      </c>
      <c r="M350">
        <f>IF($A350="","",IF($D350="V01",Cadrage!$C$38,IF($D350="V02",Cadrage!$D$38,Cadrage!$E$38)))</f>
        <v>0.04</v>
      </c>
      <c r="N350">
        <f t="shared" si="1"/>
        <v>0.980622079131853</v>
      </c>
      <c r="O350">
        <f t="shared" si="2"/>
        <v>1.0815</v>
      </c>
      <c r="P350">
        <f>IF($A350="","",IF($E350=1,$F350*$O350,PNL!G350))</f>
        <v>73539.85</v>
      </c>
      <c r="T350">
        <f t="shared" si="3"/>
        <v>0</v>
      </c>
    </row>
    <row r="351" ht="14.25" customHeight="1">
      <c r="A351" t="str">
        <f>IF(PNL!A351="","",PNL!A351)</f>
        <v>TUNON_PAR</v>
      </c>
      <c r="B351" t="str">
        <f>IF(PNL!B351="","",PNL!B351)</f>
        <v>6413</v>
      </c>
      <c r="C351" t="str">
        <f>IF(PNL!C351="","",PNL!C351)</f>
        <v>2026</v>
      </c>
      <c r="D351" t="str">
        <f>IF(PNL!D351="","",PNL!D351)</f>
        <v>ACT</v>
      </c>
      <c r="E351">
        <f t="shared" si="0"/>
        <v>0</v>
      </c>
      <c r="F351">
        <f>IF($A351="","",IF($E351=1,_xlfn.SUMIFS(Comptabilité!$F$1:$F$1446,Comptabilité!$A$1:$A$1446,$A351,Comptabilité!$B$1:$B$1446,$B351,Comptabilité!$C$1:$C$1446,"2026"),0))</f>
        <v>0</v>
      </c>
      <c r="G351">
        <f>IF($A351="","",IF($D351="V01",Cadrage!$C$23,IF($D351="V02",Cadrage!$D$23,Cadrage!$E$23)))</f>
        <v>-0.05</v>
      </c>
      <c r="H351">
        <f>IF($A351="","",IF($D351="V01",Cadrage!$C$24,IF($D351="V02",Cadrage!$D$24,Cadrage!$E$24)))</f>
        <v>-0.05</v>
      </c>
      <c r="I351">
        <f>IF($A351="","",IF($D351="V01",Cadrage!$C$34,IF($D351="V02",Cadrage!$D$34,Cadrage!$E$34)))</f>
        <v>0.03</v>
      </c>
      <c r="J351">
        <f>IF($A351="","",IF($D351="V01",Cadrage!$C$35,IF($D351="V02",Cadrage!$D$35,Cadrage!$E$35)))</f>
        <v>0.03</v>
      </c>
      <c r="K351">
        <f>IF($A351="","",IF($D351="V01",Cadrage!$C$36,IF($D351="V02",Cadrage!$D$36,Cadrage!$E$36)))</f>
        <v>0.05</v>
      </c>
      <c r="L351">
        <f>IF($A351="","",IF($D351="V01",Cadrage!$C$37,IF($D351="V02",Cadrage!$D$37,Cadrage!$E$37)))</f>
        <v>0</v>
      </c>
      <c r="M351">
        <f>IF($A351="","",IF($D351="V01",Cadrage!$C$38,IF($D351="V02",Cadrage!$D$38,Cadrage!$E$38)))</f>
        <v>0.04</v>
      </c>
      <c r="N351">
        <f t="shared" si="1"/>
        <v>0.980622079131853</v>
      </c>
      <c r="O351">
        <f t="shared" si="2"/>
        <v>1.0815</v>
      </c>
      <c r="P351">
        <f>IF($A351="","",IF($E351=1,$F351*$O351,PNL!G351))</f>
        <v>116467.6</v>
      </c>
      <c r="T351">
        <f t="shared" si="3"/>
        <v>0</v>
      </c>
    </row>
    <row r="352" ht="14.25" customHeight="1">
      <c r="A352" t="str">
        <f>IF(PNL!A352="","",PNL!A352)</f>
        <v>TUNON_LYO</v>
      </c>
      <c r="B352" t="str">
        <f>IF(PNL!B352="","",PNL!B352)</f>
        <v>6413</v>
      </c>
      <c r="C352" t="str">
        <f>IF(PNL!C352="","",PNL!C352)</f>
        <v>2026</v>
      </c>
      <c r="D352" t="str">
        <f>IF(PNL!D352="","",PNL!D352)</f>
        <v>ACT</v>
      </c>
      <c r="E352">
        <f t="shared" si="0"/>
        <v>0</v>
      </c>
      <c r="F352">
        <f>IF($A352="","",IF($E352=1,_xlfn.SUMIFS(Comptabilité!$F$1:$F$1446,Comptabilité!$A$1:$A$1446,$A352,Comptabilité!$B$1:$B$1446,$B352,Comptabilité!$C$1:$C$1446,"2026"),0))</f>
        <v>0</v>
      </c>
      <c r="G352">
        <f>IF($A352="","",IF($D352="V01",Cadrage!$C$23,IF($D352="V02",Cadrage!$D$23,Cadrage!$E$23)))</f>
        <v>-0.05</v>
      </c>
      <c r="H352">
        <f>IF($A352="","",IF($D352="V01",Cadrage!$C$24,IF($D352="V02",Cadrage!$D$24,Cadrage!$E$24)))</f>
        <v>-0.05</v>
      </c>
      <c r="I352">
        <f>IF($A352="","",IF($D352="V01",Cadrage!$C$34,IF($D352="V02",Cadrage!$D$34,Cadrage!$E$34)))</f>
        <v>0.03</v>
      </c>
      <c r="J352">
        <f>IF($A352="","",IF($D352="V01",Cadrage!$C$35,IF($D352="V02",Cadrage!$D$35,Cadrage!$E$35)))</f>
        <v>0.03</v>
      </c>
      <c r="K352">
        <f>IF($A352="","",IF($D352="V01",Cadrage!$C$36,IF($D352="V02",Cadrage!$D$36,Cadrage!$E$36)))</f>
        <v>0.05</v>
      </c>
      <c r="L352">
        <f>IF($A352="","",IF($D352="V01",Cadrage!$C$37,IF($D352="V02",Cadrage!$D$37,Cadrage!$E$37)))</f>
        <v>0</v>
      </c>
      <c r="M352">
        <f>IF($A352="","",IF($D352="V01",Cadrage!$C$38,IF($D352="V02",Cadrage!$D$38,Cadrage!$E$38)))</f>
        <v>0.04</v>
      </c>
      <c r="N352">
        <f t="shared" si="1"/>
        <v>0.980622079131853</v>
      </c>
      <c r="O352">
        <f t="shared" si="2"/>
        <v>1.0815</v>
      </c>
      <c r="P352">
        <f>IF($A352="","",IF($E352=1,$F352*$O352,PNL!G352))</f>
        <v>82201.24</v>
      </c>
      <c r="T352">
        <f t="shared" si="3"/>
        <v>0</v>
      </c>
    </row>
    <row r="353" ht="14.25" customHeight="1">
      <c r="A353" t="str">
        <f>IF(PNL!A353="","",PNL!A353)</f>
        <v>GRP</v>
      </c>
      <c r="B353" t="str">
        <f>IF(PNL!B353="","",PNL!B353)</f>
        <v>6414</v>
      </c>
      <c r="C353" t="str">
        <f>IF(PNL!C353="","",PNL!C353)</f>
        <v>2024</v>
      </c>
      <c r="D353" t="str">
        <f>IF(PNL!D353="","",PNL!D353)</f>
        <v>ACT</v>
      </c>
      <c r="E353">
        <f t="shared" si="0"/>
        <v>0</v>
      </c>
      <c r="F353">
        <f>IF($A353="","",IF($E353=1,_xlfn.SUMIFS(Comptabilité!$F$1:$F$1446,Comptabilité!$A$1:$A$1446,$A353,Comptabilité!$B$1:$B$1446,$B353,Comptabilité!$C$1:$C$1446,"2026"),0))</f>
        <v>0</v>
      </c>
      <c r="G353">
        <f>IF($A353="","",IF($D353="V01",Cadrage!$C$23,IF($D353="V02",Cadrage!$D$23,Cadrage!$E$23)))</f>
        <v>-0.05</v>
      </c>
      <c r="H353">
        <f>IF($A353="","",IF($D353="V01",Cadrage!$C$24,IF($D353="V02",Cadrage!$D$24,Cadrage!$E$24)))</f>
        <v>-0.05</v>
      </c>
      <c r="I353">
        <f>IF($A353="","",IF($D353="V01",Cadrage!$C$34,IF($D353="V02",Cadrage!$D$34,Cadrage!$E$34)))</f>
        <v>0.03</v>
      </c>
      <c r="J353">
        <f>IF($A353="","",IF($D353="V01",Cadrage!$C$35,IF($D353="V02",Cadrage!$D$35,Cadrage!$E$35)))</f>
        <v>0.03</v>
      </c>
      <c r="K353">
        <f>IF($A353="","",IF($D353="V01",Cadrage!$C$36,IF($D353="V02",Cadrage!$D$36,Cadrage!$E$36)))</f>
        <v>0.05</v>
      </c>
      <c r="L353">
        <f>IF($A353="","",IF($D353="V01",Cadrage!$C$37,IF($D353="V02",Cadrage!$D$37,Cadrage!$E$37)))</f>
        <v>0</v>
      </c>
      <c r="M353">
        <f>IF($A353="","",IF($D353="V01",Cadrage!$C$38,IF($D353="V02",Cadrage!$D$38,Cadrage!$E$38)))</f>
        <v>0.04</v>
      </c>
      <c r="N353">
        <f t="shared" si="1"/>
        <v>0.980622079131853</v>
      </c>
      <c r="O353">
        <f t="shared" si="2"/>
        <v>1.0815</v>
      </c>
      <c r="P353">
        <f>IF($A353="","",IF($E353=1,$F353*$O353,PNL!G353))</f>
        <v>1134071</v>
      </c>
      <c r="T353">
        <f t="shared" si="3"/>
        <v>0</v>
      </c>
    </row>
    <row r="354" ht="14.25" customHeight="1">
      <c r="A354" t="str">
        <f>IF(PNL!A354="","",PNL!A354)</f>
        <v>GRP</v>
      </c>
      <c r="B354" t="str">
        <f>IF(PNL!B354="","",PNL!B354)</f>
        <v>6414</v>
      </c>
      <c r="C354" t="str">
        <f>IF(PNL!C354="","",PNL!C354)</f>
        <v>2025</v>
      </c>
      <c r="D354" t="str">
        <f>IF(PNL!D354="","",PNL!D354)</f>
        <v>ACT</v>
      </c>
      <c r="E354">
        <f t="shared" si="0"/>
        <v>0</v>
      </c>
      <c r="F354">
        <f>IF($A354="","",IF($E354=1,_xlfn.SUMIFS(Comptabilité!$F$1:$F$1446,Comptabilité!$A$1:$A$1446,$A354,Comptabilité!$B$1:$B$1446,$B354,Comptabilité!$C$1:$C$1446,"2026"),0))</f>
        <v>0</v>
      </c>
      <c r="G354">
        <f>IF($A354="","",IF($D354="V01",Cadrage!$C$23,IF($D354="V02",Cadrage!$D$23,Cadrage!$E$23)))</f>
        <v>-0.05</v>
      </c>
      <c r="H354">
        <f>IF($A354="","",IF($D354="V01",Cadrage!$C$24,IF($D354="V02",Cadrage!$D$24,Cadrage!$E$24)))</f>
        <v>-0.05</v>
      </c>
      <c r="I354">
        <f>IF($A354="","",IF($D354="V01",Cadrage!$C$34,IF($D354="V02",Cadrage!$D$34,Cadrage!$E$34)))</f>
        <v>0.03</v>
      </c>
      <c r="J354">
        <f>IF($A354="","",IF($D354="V01",Cadrage!$C$35,IF($D354="V02",Cadrage!$D$35,Cadrage!$E$35)))</f>
        <v>0.03</v>
      </c>
      <c r="K354">
        <f>IF($A354="","",IF($D354="V01",Cadrage!$C$36,IF($D354="V02",Cadrage!$D$36,Cadrage!$E$36)))</f>
        <v>0.05</v>
      </c>
      <c r="L354">
        <f>IF($A354="","",IF($D354="V01",Cadrage!$C$37,IF($D354="V02",Cadrage!$D$37,Cadrage!$E$37)))</f>
        <v>0</v>
      </c>
      <c r="M354">
        <f>IF($A354="","",IF($D354="V01",Cadrage!$C$38,IF($D354="V02",Cadrage!$D$38,Cadrage!$E$38)))</f>
        <v>0.04</v>
      </c>
      <c r="N354">
        <f t="shared" si="1"/>
        <v>0.980622079131853</v>
      </c>
      <c r="O354">
        <f t="shared" si="2"/>
        <v>1.0815</v>
      </c>
      <c r="P354">
        <f>IF($A354="","",IF($E354=1,$F354*$O354,PNL!G354))</f>
        <v>1186037</v>
      </c>
      <c r="T354">
        <f t="shared" si="3"/>
        <v>0</v>
      </c>
    </row>
    <row r="355" ht="14.25" customHeight="1">
      <c r="A355" t="str">
        <f>IF(PNL!A355="","",PNL!A355)</f>
        <v>GRP</v>
      </c>
      <c r="B355" t="str">
        <f>IF(PNL!B355="","",PNL!B355)</f>
        <v>6414</v>
      </c>
      <c r="C355" t="str">
        <f>IF(PNL!C355="","",PNL!C355)</f>
        <v>2026</v>
      </c>
      <c r="D355" t="str">
        <f>IF(PNL!D355="","",PNL!D355)</f>
        <v>ACT</v>
      </c>
      <c r="E355">
        <f t="shared" si="0"/>
        <v>0</v>
      </c>
      <c r="F355">
        <f>IF($A355="","",IF($E355=1,_xlfn.SUMIFS(Comptabilité!$F$1:$F$1446,Comptabilité!$A$1:$A$1446,$A355,Comptabilité!$B$1:$B$1446,$B355,Comptabilité!$C$1:$C$1446,"2026"),0))</f>
        <v>0</v>
      </c>
      <c r="G355">
        <f>IF($A355="","",IF($D355="V01",Cadrage!$C$23,IF($D355="V02",Cadrage!$D$23,Cadrage!$E$23)))</f>
        <v>-0.05</v>
      </c>
      <c r="H355">
        <f>IF($A355="","",IF($D355="V01",Cadrage!$C$24,IF($D355="V02",Cadrage!$D$24,Cadrage!$E$24)))</f>
        <v>-0.05</v>
      </c>
      <c r="I355">
        <f>IF($A355="","",IF($D355="V01",Cadrage!$C$34,IF($D355="V02",Cadrage!$D$34,Cadrage!$E$34)))</f>
        <v>0.03</v>
      </c>
      <c r="J355">
        <f>IF($A355="","",IF($D355="V01",Cadrage!$C$35,IF($D355="V02",Cadrage!$D$35,Cadrage!$E$35)))</f>
        <v>0.03</v>
      </c>
      <c r="K355">
        <f>IF($A355="","",IF($D355="V01",Cadrage!$C$36,IF($D355="V02",Cadrage!$D$36,Cadrage!$E$36)))</f>
        <v>0.05</v>
      </c>
      <c r="L355">
        <f>IF($A355="","",IF($D355="V01",Cadrage!$C$37,IF($D355="V02",Cadrage!$D$37,Cadrage!$E$37)))</f>
        <v>0</v>
      </c>
      <c r="M355">
        <f>IF($A355="","",IF($D355="V01",Cadrage!$C$38,IF($D355="V02",Cadrage!$D$38,Cadrage!$E$38)))</f>
        <v>0.04</v>
      </c>
      <c r="N355">
        <f t="shared" si="1"/>
        <v>0.980622079131853</v>
      </c>
      <c r="O355">
        <f t="shared" si="2"/>
        <v>1.0815</v>
      </c>
      <c r="P355">
        <f>IF($A355="","",IF($E355=1,$F355*$O355,PNL!G355))</f>
        <v>1242649</v>
      </c>
      <c r="T355">
        <f t="shared" si="3"/>
        <v>0</v>
      </c>
    </row>
    <row r="356" ht="14.25" customHeight="1">
      <c r="A356" t="str">
        <f>IF(PNL!A356="","",PNL!A356)</f>
        <v>MBWAY_PAR</v>
      </c>
      <c r="B356" t="str">
        <f>IF(PNL!B356="","",PNL!B356)</f>
        <v>645</v>
      </c>
      <c r="C356" t="str">
        <f>IF(PNL!C356="","",PNL!C356)</f>
        <v>2024</v>
      </c>
      <c r="D356" t="str">
        <f>IF(PNL!D356="","",PNL!D356)</f>
        <v>ACT</v>
      </c>
      <c r="E356">
        <f t="shared" si="0"/>
        <v>0</v>
      </c>
      <c r="F356">
        <f>IF($A356="","",IF($E356=1,_xlfn.SUMIFS(Comptabilité!$F$1:$F$1446,Comptabilité!$A$1:$A$1446,$A356,Comptabilité!$B$1:$B$1446,$B356,Comptabilité!$C$1:$C$1446,"2026"),0))</f>
        <v>0</v>
      </c>
      <c r="G356">
        <f>IF($A356="","",IF($D356="V01",Cadrage!$C$23,IF($D356="V02",Cadrage!$D$23,Cadrage!$E$23)))</f>
        <v>-0.05</v>
      </c>
      <c r="H356">
        <f>IF($A356="","",IF($D356="V01",Cadrage!$C$24,IF($D356="V02",Cadrage!$D$24,Cadrage!$E$24)))</f>
        <v>-0.05</v>
      </c>
      <c r="I356">
        <f>IF($A356="","",IF($D356="V01",Cadrage!$C$34,IF($D356="V02",Cadrage!$D$34,Cadrage!$E$34)))</f>
        <v>0.03</v>
      </c>
      <c r="J356">
        <f>IF($A356="","",IF($D356="V01",Cadrage!$C$35,IF($D356="V02",Cadrage!$D$35,Cadrage!$E$35)))</f>
        <v>0.03</v>
      </c>
      <c r="K356">
        <f>IF($A356="","",IF($D356="V01",Cadrage!$C$36,IF($D356="V02",Cadrage!$D$36,Cadrage!$E$36)))</f>
        <v>0.05</v>
      </c>
      <c r="L356">
        <f>IF($A356="","",IF($D356="V01",Cadrage!$C$37,IF($D356="V02",Cadrage!$D$37,Cadrage!$E$37)))</f>
        <v>0</v>
      </c>
      <c r="M356">
        <f>IF($A356="","",IF($D356="V01",Cadrage!$C$38,IF($D356="V02",Cadrage!$D$38,Cadrage!$E$38)))</f>
        <v>0.04</v>
      </c>
      <c r="N356">
        <f t="shared" si="1"/>
        <v>0.980622079131853</v>
      </c>
      <c r="O356">
        <f t="shared" si="2"/>
        <v>1.0815</v>
      </c>
      <c r="P356">
        <f>IF($A356="","",IF($E356=1,$F356*$O356,PNL!G356))</f>
        <v>414542.82</v>
      </c>
      <c r="T356">
        <f t="shared" si="3"/>
        <v>0</v>
      </c>
    </row>
    <row r="357" ht="14.25" customHeight="1">
      <c r="A357" t="str">
        <f>IF(PNL!A357="","",PNL!A357)</f>
        <v>MBWAY_LYO</v>
      </c>
      <c r="B357" t="str">
        <f>IF(PNL!B357="","",PNL!B357)</f>
        <v>645</v>
      </c>
      <c r="C357" t="str">
        <f>IF(PNL!C357="","",PNL!C357)</f>
        <v>2024</v>
      </c>
      <c r="D357" t="str">
        <f>IF(PNL!D357="","",PNL!D357)</f>
        <v>ACT</v>
      </c>
      <c r="E357">
        <f t="shared" si="0"/>
        <v>0</v>
      </c>
      <c r="F357">
        <f>IF($A357="","",IF($E357=1,_xlfn.SUMIFS(Comptabilité!$F$1:$F$1446,Comptabilité!$A$1:$A$1446,$A357,Comptabilité!$B$1:$B$1446,$B357,Comptabilité!$C$1:$C$1446,"2026"),0))</f>
        <v>0</v>
      </c>
      <c r="G357">
        <f>IF($A357="","",IF($D357="V01",Cadrage!$C$23,IF($D357="V02",Cadrage!$D$23,Cadrage!$E$23)))</f>
        <v>-0.05</v>
      </c>
      <c r="H357">
        <f>IF($A357="","",IF($D357="V01",Cadrage!$C$24,IF($D357="V02",Cadrage!$D$24,Cadrage!$E$24)))</f>
        <v>-0.05</v>
      </c>
      <c r="I357">
        <f>IF($A357="","",IF($D357="V01",Cadrage!$C$34,IF($D357="V02",Cadrage!$D$34,Cadrage!$E$34)))</f>
        <v>0.03</v>
      </c>
      <c r="J357">
        <f>IF($A357="","",IF($D357="V01",Cadrage!$C$35,IF($D357="V02",Cadrage!$D$35,Cadrage!$E$35)))</f>
        <v>0.03</v>
      </c>
      <c r="K357">
        <f>IF($A357="","",IF($D357="V01",Cadrage!$C$36,IF($D357="V02",Cadrage!$D$36,Cadrage!$E$36)))</f>
        <v>0.05</v>
      </c>
      <c r="L357">
        <f>IF($A357="","",IF($D357="V01",Cadrage!$C$37,IF($D357="V02",Cadrage!$D$37,Cadrage!$E$37)))</f>
        <v>0</v>
      </c>
      <c r="M357">
        <f>IF($A357="","",IF($D357="V01",Cadrage!$C$38,IF($D357="V02",Cadrage!$D$38,Cadrage!$E$38)))</f>
        <v>0.04</v>
      </c>
      <c r="N357">
        <f t="shared" si="1"/>
        <v>0.980622079131853</v>
      </c>
      <c r="O357">
        <f t="shared" si="2"/>
        <v>1.0815</v>
      </c>
      <c r="P357">
        <f>IF($A357="","",IF($E357=1,$F357*$O357,PNL!G357))</f>
        <v>324229.13</v>
      </c>
      <c r="T357">
        <f t="shared" si="3"/>
        <v>0</v>
      </c>
    </row>
    <row r="358" ht="14.25" customHeight="1">
      <c r="A358" t="str">
        <f>IF(PNL!A358="","",PNL!A358)</f>
        <v>MBWAY_NAN</v>
      </c>
      <c r="B358" t="str">
        <f>IF(PNL!B358="","",PNL!B358)</f>
        <v>645</v>
      </c>
      <c r="C358" t="str">
        <f>IF(PNL!C358="","",PNL!C358)</f>
        <v>2024</v>
      </c>
      <c r="D358" t="str">
        <f>IF(PNL!D358="","",PNL!D358)</f>
        <v>ACT</v>
      </c>
      <c r="E358">
        <f t="shared" si="0"/>
        <v>0</v>
      </c>
      <c r="F358">
        <f>IF($A358="","",IF($E358=1,_xlfn.SUMIFS(Comptabilité!$F$1:$F$1446,Comptabilité!$A$1:$A$1446,$A358,Comptabilité!$B$1:$B$1446,$B358,Comptabilité!$C$1:$C$1446,"2026"),0))</f>
        <v>0</v>
      </c>
      <c r="G358">
        <f>IF($A358="","",IF($D358="V01",Cadrage!$C$23,IF($D358="V02",Cadrage!$D$23,Cadrage!$E$23)))</f>
        <v>-0.05</v>
      </c>
      <c r="H358">
        <f>IF($A358="","",IF($D358="V01",Cadrage!$C$24,IF($D358="V02",Cadrage!$D$24,Cadrage!$E$24)))</f>
        <v>-0.05</v>
      </c>
      <c r="I358">
        <f>IF($A358="","",IF($D358="V01",Cadrage!$C$34,IF($D358="V02",Cadrage!$D$34,Cadrage!$E$34)))</f>
        <v>0.03</v>
      </c>
      <c r="J358">
        <f>IF($A358="","",IF($D358="V01",Cadrage!$C$35,IF($D358="V02",Cadrage!$D$35,Cadrage!$E$35)))</f>
        <v>0.03</v>
      </c>
      <c r="K358">
        <f>IF($A358="","",IF($D358="V01",Cadrage!$C$36,IF($D358="V02",Cadrage!$D$36,Cadrage!$E$36)))</f>
        <v>0.05</v>
      </c>
      <c r="L358">
        <f>IF($A358="","",IF($D358="V01",Cadrage!$C$37,IF($D358="V02",Cadrage!$D$37,Cadrage!$E$37)))</f>
        <v>0</v>
      </c>
      <c r="M358">
        <f>IF($A358="","",IF($D358="V01",Cadrage!$C$38,IF($D358="V02",Cadrage!$D$38,Cadrage!$E$38)))</f>
        <v>0.04</v>
      </c>
      <c r="N358">
        <f t="shared" si="1"/>
        <v>0.980622079131853</v>
      </c>
      <c r="O358">
        <f t="shared" si="2"/>
        <v>1.0815</v>
      </c>
      <c r="P358">
        <f>IF($A358="","",IF($E358=1,$F358*$O358,PNL!G358))</f>
        <v>273798.58</v>
      </c>
      <c r="T358">
        <f t="shared" si="3"/>
        <v>0</v>
      </c>
    </row>
    <row r="359" ht="14.25" customHeight="1">
      <c r="A359" t="str">
        <f>IF(PNL!A359="","",PNL!A359)</f>
        <v>MBWAY_BOR</v>
      </c>
      <c r="B359" t="str">
        <f>IF(PNL!B359="","",PNL!B359)</f>
        <v>645</v>
      </c>
      <c r="C359" t="str">
        <f>IF(PNL!C359="","",PNL!C359)</f>
        <v>2024</v>
      </c>
      <c r="D359" t="str">
        <f>IF(PNL!D359="","",PNL!D359)</f>
        <v>ACT</v>
      </c>
      <c r="E359">
        <f t="shared" si="0"/>
        <v>0</v>
      </c>
      <c r="F359">
        <f>IF($A359="","",IF($E359=1,_xlfn.SUMIFS(Comptabilité!$F$1:$F$1446,Comptabilité!$A$1:$A$1446,$A359,Comptabilité!$B$1:$B$1446,$B359,Comptabilité!$C$1:$C$1446,"2026"),0))</f>
        <v>0</v>
      </c>
      <c r="G359">
        <f>IF($A359="","",IF($D359="V01",Cadrage!$C$23,IF($D359="V02",Cadrage!$D$23,Cadrage!$E$23)))</f>
        <v>-0.05</v>
      </c>
      <c r="H359">
        <f>IF($A359="","",IF($D359="V01",Cadrage!$C$24,IF($D359="V02",Cadrage!$D$24,Cadrage!$E$24)))</f>
        <v>-0.05</v>
      </c>
      <c r="I359">
        <f>IF($A359="","",IF($D359="V01",Cadrage!$C$34,IF($D359="V02",Cadrage!$D$34,Cadrage!$E$34)))</f>
        <v>0.03</v>
      </c>
      <c r="J359">
        <f>IF($A359="","",IF($D359="V01",Cadrage!$C$35,IF($D359="V02",Cadrage!$D$35,Cadrage!$E$35)))</f>
        <v>0.03</v>
      </c>
      <c r="K359">
        <f>IF($A359="","",IF($D359="V01",Cadrage!$C$36,IF($D359="V02",Cadrage!$D$36,Cadrage!$E$36)))</f>
        <v>0.05</v>
      </c>
      <c r="L359">
        <f>IF($A359="","",IF($D359="V01",Cadrage!$C$37,IF($D359="V02",Cadrage!$D$37,Cadrage!$E$37)))</f>
        <v>0</v>
      </c>
      <c r="M359">
        <f>IF($A359="","",IF($D359="V01",Cadrage!$C$38,IF($D359="V02",Cadrage!$D$38,Cadrage!$E$38)))</f>
        <v>0.04</v>
      </c>
      <c r="N359">
        <f t="shared" si="1"/>
        <v>0.980622079131853</v>
      </c>
      <c r="O359">
        <f t="shared" si="2"/>
        <v>1.0815</v>
      </c>
      <c r="P359">
        <f>IF($A359="","",IF($E359=1,$F359*$O359,PNL!G359))</f>
        <v>225443.62</v>
      </c>
      <c r="T359">
        <f t="shared" si="3"/>
        <v>0</v>
      </c>
    </row>
    <row r="360" ht="14.25" customHeight="1">
      <c r="A360" t="str">
        <f>IF(PNL!A360="","",PNL!A360)</f>
        <v>ISCOM_PAR</v>
      </c>
      <c r="B360" t="str">
        <f>IF(PNL!B360="","",PNL!B360)</f>
        <v>645</v>
      </c>
      <c r="C360" t="str">
        <f>IF(PNL!C360="","",PNL!C360)</f>
        <v>2024</v>
      </c>
      <c r="D360" t="str">
        <f>IF(PNL!D360="","",PNL!D360)</f>
        <v>ACT</v>
      </c>
      <c r="E360">
        <f t="shared" si="0"/>
        <v>0</v>
      </c>
      <c r="F360">
        <f>IF($A360="","",IF($E360=1,_xlfn.SUMIFS(Comptabilité!$F$1:$F$1446,Comptabilité!$A$1:$A$1446,$A360,Comptabilité!$B$1:$B$1446,$B360,Comptabilité!$C$1:$C$1446,"2026"),0))</f>
        <v>0</v>
      </c>
      <c r="G360">
        <f>IF($A360="","",IF($D360="V01",Cadrage!$C$23,IF($D360="V02",Cadrage!$D$23,Cadrage!$E$23)))</f>
        <v>-0.05</v>
      </c>
      <c r="H360">
        <f>IF($A360="","",IF($D360="V01",Cadrage!$C$24,IF($D360="V02",Cadrage!$D$24,Cadrage!$E$24)))</f>
        <v>-0.05</v>
      </c>
      <c r="I360">
        <f>IF($A360="","",IF($D360="V01",Cadrage!$C$34,IF($D360="V02",Cadrage!$D$34,Cadrage!$E$34)))</f>
        <v>0.03</v>
      </c>
      <c r="J360">
        <f>IF($A360="","",IF($D360="V01",Cadrage!$C$35,IF($D360="V02",Cadrage!$D$35,Cadrage!$E$35)))</f>
        <v>0.03</v>
      </c>
      <c r="K360">
        <f>IF($A360="","",IF($D360="V01",Cadrage!$C$36,IF($D360="V02",Cadrage!$D$36,Cadrage!$E$36)))</f>
        <v>0.05</v>
      </c>
      <c r="L360">
        <f>IF($A360="","",IF($D360="V01",Cadrage!$C$37,IF($D360="V02",Cadrage!$D$37,Cadrage!$E$37)))</f>
        <v>0</v>
      </c>
      <c r="M360">
        <f>IF($A360="","",IF($D360="V01",Cadrage!$C$38,IF($D360="V02",Cadrage!$D$38,Cadrage!$E$38)))</f>
        <v>0.04</v>
      </c>
      <c r="N360">
        <f t="shared" si="1"/>
        <v>0.980622079131853</v>
      </c>
      <c r="O360">
        <f t="shared" si="2"/>
        <v>1.0815</v>
      </c>
      <c r="P360">
        <f>IF($A360="","",IF($E360=1,$F360*$O360,PNL!G360))</f>
        <v>369156.24</v>
      </c>
      <c r="T360">
        <f t="shared" si="3"/>
        <v>0</v>
      </c>
    </row>
    <row r="361" ht="14.25" customHeight="1">
      <c r="A361" t="str">
        <f>IF(PNL!A361="","",PNL!A361)</f>
        <v>ISCOM_LIL</v>
      </c>
      <c r="B361" t="str">
        <f>IF(PNL!B361="","",PNL!B361)</f>
        <v>645</v>
      </c>
      <c r="C361" t="str">
        <f>IF(PNL!C361="","",PNL!C361)</f>
        <v>2024</v>
      </c>
      <c r="D361" t="str">
        <f>IF(PNL!D361="","",PNL!D361)</f>
        <v>ACT</v>
      </c>
      <c r="E361">
        <f t="shared" si="0"/>
        <v>0</v>
      </c>
      <c r="F361">
        <f>IF($A361="","",IF($E361=1,_xlfn.SUMIFS(Comptabilité!$F$1:$F$1446,Comptabilité!$A$1:$A$1446,$A361,Comptabilité!$B$1:$B$1446,$B361,Comptabilité!$C$1:$C$1446,"2026"),0))</f>
        <v>0</v>
      </c>
      <c r="G361">
        <f>IF($A361="","",IF($D361="V01",Cadrage!$C$23,IF($D361="V02",Cadrage!$D$23,Cadrage!$E$23)))</f>
        <v>-0.05</v>
      </c>
      <c r="H361">
        <f>IF($A361="","",IF($D361="V01",Cadrage!$C$24,IF($D361="V02",Cadrage!$D$24,Cadrage!$E$24)))</f>
        <v>-0.05</v>
      </c>
      <c r="I361">
        <f>IF($A361="","",IF($D361="V01",Cadrage!$C$34,IF($D361="V02",Cadrage!$D$34,Cadrage!$E$34)))</f>
        <v>0.03</v>
      </c>
      <c r="J361">
        <f>IF($A361="","",IF($D361="V01",Cadrage!$C$35,IF($D361="V02",Cadrage!$D$35,Cadrage!$E$35)))</f>
        <v>0.03</v>
      </c>
      <c r="K361">
        <f>IF($A361="","",IF($D361="V01",Cadrage!$C$36,IF($D361="V02",Cadrage!$D$36,Cadrage!$E$36)))</f>
        <v>0.05</v>
      </c>
      <c r="L361">
        <f>IF($A361="","",IF($D361="V01",Cadrage!$C$37,IF($D361="V02",Cadrage!$D$37,Cadrage!$E$37)))</f>
        <v>0</v>
      </c>
      <c r="M361">
        <f>IF($A361="","",IF($D361="V01",Cadrage!$C$38,IF($D361="V02",Cadrage!$D$38,Cadrage!$E$38)))</f>
        <v>0.04</v>
      </c>
      <c r="N361">
        <f t="shared" si="1"/>
        <v>0.980622079131853</v>
      </c>
      <c r="O361">
        <f t="shared" si="2"/>
        <v>1.0815</v>
      </c>
      <c r="P361">
        <f>IF($A361="","",IF($E361=1,$F361*$O361,PNL!G361))</f>
        <v>223220.64</v>
      </c>
      <c r="T361">
        <f t="shared" si="3"/>
        <v>0</v>
      </c>
    </row>
    <row r="362" ht="14.25" customHeight="1">
      <c r="A362" t="str">
        <f>IF(PNL!A362="","",PNL!A362)</f>
        <v>ISCOM_TLS</v>
      </c>
      <c r="B362" t="str">
        <f>IF(PNL!B362="","",PNL!B362)</f>
        <v>645</v>
      </c>
      <c r="C362" t="str">
        <f>IF(PNL!C362="","",PNL!C362)</f>
        <v>2024</v>
      </c>
      <c r="D362" t="str">
        <f>IF(PNL!D362="","",PNL!D362)</f>
        <v>ACT</v>
      </c>
      <c r="E362">
        <f t="shared" si="0"/>
        <v>0</v>
      </c>
      <c r="F362">
        <f>IF($A362="","",IF($E362=1,_xlfn.SUMIFS(Comptabilité!$F$1:$F$1446,Comptabilité!$A$1:$A$1446,$A362,Comptabilité!$B$1:$B$1446,$B362,Comptabilité!$C$1:$C$1446,"2026"),0))</f>
        <v>0</v>
      </c>
      <c r="G362">
        <f>IF($A362="","",IF($D362="V01",Cadrage!$C$23,IF($D362="V02",Cadrage!$D$23,Cadrage!$E$23)))</f>
        <v>-0.05</v>
      </c>
      <c r="H362">
        <f>IF($A362="","",IF($D362="V01",Cadrage!$C$24,IF($D362="V02",Cadrage!$D$24,Cadrage!$E$24)))</f>
        <v>-0.05</v>
      </c>
      <c r="I362">
        <f>IF($A362="","",IF($D362="V01",Cadrage!$C$34,IF($D362="V02",Cadrage!$D$34,Cadrage!$E$34)))</f>
        <v>0.03</v>
      </c>
      <c r="J362">
        <f>IF($A362="","",IF($D362="V01",Cadrage!$C$35,IF($D362="V02",Cadrage!$D$35,Cadrage!$E$35)))</f>
        <v>0.03</v>
      </c>
      <c r="K362">
        <f>IF($A362="","",IF($D362="V01",Cadrage!$C$36,IF($D362="V02",Cadrage!$D$36,Cadrage!$E$36)))</f>
        <v>0.05</v>
      </c>
      <c r="L362">
        <f>IF($A362="","",IF($D362="V01",Cadrage!$C$37,IF($D362="V02",Cadrage!$D$37,Cadrage!$E$37)))</f>
        <v>0</v>
      </c>
      <c r="M362">
        <f>IF($A362="","",IF($D362="V01",Cadrage!$C$38,IF($D362="V02",Cadrage!$D$38,Cadrage!$E$38)))</f>
        <v>0.04</v>
      </c>
      <c r="N362">
        <f t="shared" si="1"/>
        <v>0.980622079131853</v>
      </c>
      <c r="O362">
        <f t="shared" si="2"/>
        <v>1.0815</v>
      </c>
      <c r="P362">
        <f>IF($A362="","",IF($E362=1,$F362*$O362,PNL!G362))</f>
        <v>199491.89</v>
      </c>
      <c r="T362">
        <f t="shared" si="3"/>
        <v>0</v>
      </c>
    </row>
    <row r="363" ht="14.25" customHeight="1">
      <c r="A363" t="str">
        <f>IF(PNL!A363="","",PNL!A363)</f>
        <v>IPAC_NAN</v>
      </c>
      <c r="B363" t="str">
        <f>IF(PNL!B363="","",PNL!B363)</f>
        <v>645</v>
      </c>
      <c r="C363" t="str">
        <f>IF(PNL!C363="","",PNL!C363)</f>
        <v>2024</v>
      </c>
      <c r="D363" t="str">
        <f>IF(PNL!D363="","",PNL!D363)</f>
        <v>ACT</v>
      </c>
      <c r="E363">
        <f t="shared" si="0"/>
        <v>0</v>
      </c>
      <c r="F363">
        <f>IF($A363="","",IF($E363=1,_xlfn.SUMIFS(Comptabilité!$F$1:$F$1446,Comptabilité!$A$1:$A$1446,$A363,Comptabilité!$B$1:$B$1446,$B363,Comptabilité!$C$1:$C$1446,"2026"),0))</f>
        <v>0</v>
      </c>
      <c r="G363">
        <f>IF($A363="","",IF($D363="V01",Cadrage!$C$23,IF($D363="V02",Cadrage!$D$23,Cadrage!$E$23)))</f>
        <v>-0.05</v>
      </c>
      <c r="H363">
        <f>IF($A363="","",IF($D363="V01",Cadrage!$C$24,IF($D363="V02",Cadrage!$D$24,Cadrage!$E$24)))</f>
        <v>-0.05</v>
      </c>
      <c r="I363">
        <f>IF($A363="","",IF($D363="V01",Cadrage!$C$34,IF($D363="V02",Cadrage!$D$34,Cadrage!$E$34)))</f>
        <v>0.03</v>
      </c>
      <c r="J363">
        <f>IF($A363="","",IF($D363="V01",Cadrage!$C$35,IF($D363="V02",Cadrage!$D$35,Cadrage!$E$35)))</f>
        <v>0.03</v>
      </c>
      <c r="K363">
        <f>IF($A363="","",IF($D363="V01",Cadrage!$C$36,IF($D363="V02",Cadrage!$D$36,Cadrage!$E$36)))</f>
        <v>0.05</v>
      </c>
      <c r="L363">
        <f>IF($A363="","",IF($D363="V01",Cadrage!$C$37,IF($D363="V02",Cadrage!$D$37,Cadrage!$E$37)))</f>
        <v>0</v>
      </c>
      <c r="M363">
        <f>IF($A363="","",IF($D363="V01",Cadrage!$C$38,IF($D363="V02",Cadrage!$D$38,Cadrage!$E$38)))</f>
        <v>0.04</v>
      </c>
      <c r="N363">
        <f t="shared" si="1"/>
        <v>0.980622079131853</v>
      </c>
      <c r="O363">
        <f t="shared" si="2"/>
        <v>1.0815</v>
      </c>
      <c r="P363">
        <f>IF($A363="","",IF($E363=1,$F363*$O363,PNL!G363))</f>
        <v>132720.02</v>
      </c>
      <c r="T363">
        <f t="shared" si="3"/>
        <v>0</v>
      </c>
    </row>
    <row r="364" ht="14.25" customHeight="1">
      <c r="A364" t="str">
        <f>IF(PNL!A364="","",PNL!A364)</f>
        <v>IPAC_REN</v>
      </c>
      <c r="B364" t="str">
        <f>IF(PNL!B364="","",PNL!B364)</f>
        <v>645</v>
      </c>
      <c r="C364" t="str">
        <f>IF(PNL!C364="","",PNL!C364)</f>
        <v>2024</v>
      </c>
      <c r="D364" t="str">
        <f>IF(PNL!D364="","",PNL!D364)</f>
        <v>ACT</v>
      </c>
      <c r="E364">
        <f t="shared" si="0"/>
        <v>0</v>
      </c>
      <c r="F364">
        <f>IF($A364="","",IF($E364=1,_xlfn.SUMIFS(Comptabilité!$F$1:$F$1446,Comptabilité!$A$1:$A$1446,$A364,Comptabilité!$B$1:$B$1446,$B364,Comptabilité!$C$1:$C$1446,"2026"),0))</f>
        <v>0</v>
      </c>
      <c r="G364">
        <f>IF($A364="","",IF($D364="V01",Cadrage!$C$23,IF($D364="V02",Cadrage!$D$23,Cadrage!$E$23)))</f>
        <v>-0.05</v>
      </c>
      <c r="H364">
        <f>IF($A364="","",IF($D364="V01",Cadrage!$C$24,IF($D364="V02",Cadrage!$D$24,Cadrage!$E$24)))</f>
        <v>-0.05</v>
      </c>
      <c r="I364">
        <f>IF($A364="","",IF($D364="V01",Cadrage!$C$34,IF($D364="V02",Cadrage!$D$34,Cadrage!$E$34)))</f>
        <v>0.03</v>
      </c>
      <c r="J364">
        <f>IF($A364="","",IF($D364="V01",Cadrage!$C$35,IF($D364="V02",Cadrage!$D$35,Cadrage!$E$35)))</f>
        <v>0.03</v>
      </c>
      <c r="K364">
        <f>IF($A364="","",IF($D364="V01",Cadrage!$C$36,IF($D364="V02",Cadrage!$D$36,Cadrage!$E$36)))</f>
        <v>0.05</v>
      </c>
      <c r="L364">
        <f>IF($A364="","",IF($D364="V01",Cadrage!$C$37,IF($D364="V02",Cadrage!$D$37,Cadrage!$E$37)))</f>
        <v>0</v>
      </c>
      <c r="M364">
        <f>IF($A364="","",IF($D364="V01",Cadrage!$C$38,IF($D364="V02",Cadrage!$D$38,Cadrage!$E$38)))</f>
        <v>0.04</v>
      </c>
      <c r="N364">
        <f t="shared" si="1"/>
        <v>0.980622079131853</v>
      </c>
      <c r="O364">
        <f t="shared" si="2"/>
        <v>1.0815</v>
      </c>
      <c r="P364">
        <f>IF($A364="","",IF($E364=1,$F364*$O364,PNL!G364))</f>
        <v>87761.22</v>
      </c>
      <c r="T364">
        <f t="shared" si="3"/>
        <v>0</v>
      </c>
    </row>
    <row r="365" ht="14.25" customHeight="1">
      <c r="A365" t="str">
        <f>IF(PNL!A365="","",PNL!A365)</f>
        <v>IPAC_MTP</v>
      </c>
      <c r="B365" t="str">
        <f>IF(PNL!B365="","",PNL!B365)</f>
        <v>645</v>
      </c>
      <c r="C365" t="str">
        <f>IF(PNL!C365="","",PNL!C365)</f>
        <v>2024</v>
      </c>
      <c r="D365" t="str">
        <f>IF(PNL!D365="","",PNL!D365)</f>
        <v>ACT</v>
      </c>
      <c r="E365">
        <f t="shared" si="0"/>
        <v>0</v>
      </c>
      <c r="F365">
        <f>IF($A365="","",IF($E365=1,_xlfn.SUMIFS(Comptabilité!$F$1:$F$1446,Comptabilité!$A$1:$A$1446,$A365,Comptabilité!$B$1:$B$1446,$B365,Comptabilité!$C$1:$C$1446,"2026"),0))</f>
        <v>0</v>
      </c>
      <c r="G365">
        <f>IF($A365="","",IF($D365="V01",Cadrage!$C$23,IF($D365="V02",Cadrage!$D$23,Cadrage!$E$23)))</f>
        <v>-0.05</v>
      </c>
      <c r="H365">
        <f>IF($A365="","",IF($D365="V01",Cadrage!$C$24,IF($D365="V02",Cadrage!$D$24,Cadrage!$E$24)))</f>
        <v>-0.05</v>
      </c>
      <c r="I365">
        <f>IF($A365="","",IF($D365="V01",Cadrage!$C$34,IF($D365="V02",Cadrage!$D$34,Cadrage!$E$34)))</f>
        <v>0.03</v>
      </c>
      <c r="J365">
        <f>IF($A365="","",IF($D365="V01",Cadrage!$C$35,IF($D365="V02",Cadrage!$D$35,Cadrage!$E$35)))</f>
        <v>0.03</v>
      </c>
      <c r="K365">
        <f>IF($A365="","",IF($D365="V01",Cadrage!$C$36,IF($D365="V02",Cadrage!$D$36,Cadrage!$E$36)))</f>
        <v>0.05</v>
      </c>
      <c r="L365">
        <f>IF($A365="","",IF($D365="V01",Cadrage!$C$37,IF($D365="V02",Cadrage!$D$37,Cadrage!$E$37)))</f>
        <v>0</v>
      </c>
      <c r="M365">
        <f>IF($A365="","",IF($D365="V01",Cadrage!$C$38,IF($D365="V02",Cadrage!$D$38,Cadrage!$E$38)))</f>
        <v>0.04</v>
      </c>
      <c r="N365">
        <f t="shared" si="1"/>
        <v>0.980622079131853</v>
      </c>
      <c r="O365">
        <f t="shared" si="2"/>
        <v>1.0815</v>
      </c>
      <c r="P365">
        <f>IF($A365="","",IF($E365=1,$F365*$O365,PNL!G365))</f>
        <v>87715.18</v>
      </c>
      <c r="T365">
        <f t="shared" si="3"/>
        <v>0</v>
      </c>
    </row>
    <row r="366" ht="14.25" customHeight="1">
      <c r="A366" t="str">
        <f>IF(PNL!A366="","",PNL!A366)</f>
        <v>PIGIER_LYO</v>
      </c>
      <c r="B366" t="str">
        <f>IF(PNL!B366="","",PNL!B366)</f>
        <v>645</v>
      </c>
      <c r="C366" t="str">
        <f>IF(PNL!C366="","",PNL!C366)</f>
        <v>2024</v>
      </c>
      <c r="D366" t="str">
        <f>IF(PNL!D366="","",PNL!D366)</f>
        <v>ACT</v>
      </c>
      <c r="E366">
        <f t="shared" si="0"/>
        <v>0</v>
      </c>
      <c r="F366">
        <f>IF($A366="","",IF($E366=1,_xlfn.SUMIFS(Comptabilité!$F$1:$F$1446,Comptabilité!$A$1:$A$1446,$A366,Comptabilité!$B$1:$B$1446,$B366,Comptabilité!$C$1:$C$1446,"2026"),0))</f>
        <v>0</v>
      </c>
      <c r="G366">
        <f>IF($A366="","",IF($D366="V01",Cadrage!$C$23,IF($D366="V02",Cadrage!$D$23,Cadrage!$E$23)))</f>
        <v>-0.05</v>
      </c>
      <c r="H366">
        <f>IF($A366="","",IF($D366="V01",Cadrage!$C$24,IF($D366="V02",Cadrage!$D$24,Cadrage!$E$24)))</f>
        <v>-0.05</v>
      </c>
      <c r="I366">
        <f>IF($A366="","",IF($D366="V01",Cadrage!$C$34,IF($D366="V02",Cadrage!$D$34,Cadrage!$E$34)))</f>
        <v>0.03</v>
      </c>
      <c r="J366">
        <f>IF($A366="","",IF($D366="V01",Cadrage!$C$35,IF($D366="V02",Cadrage!$D$35,Cadrage!$E$35)))</f>
        <v>0.03</v>
      </c>
      <c r="K366">
        <f>IF($A366="","",IF($D366="V01",Cadrage!$C$36,IF($D366="V02",Cadrage!$D$36,Cadrage!$E$36)))</f>
        <v>0.05</v>
      </c>
      <c r="L366">
        <f>IF($A366="","",IF($D366="V01",Cadrage!$C$37,IF($D366="V02",Cadrage!$D$37,Cadrage!$E$37)))</f>
        <v>0</v>
      </c>
      <c r="M366">
        <f>IF($A366="","",IF($D366="V01",Cadrage!$C$38,IF($D366="V02",Cadrage!$D$38,Cadrage!$E$38)))</f>
        <v>0.04</v>
      </c>
      <c r="N366">
        <f t="shared" si="1"/>
        <v>0.980622079131853</v>
      </c>
      <c r="O366">
        <f t="shared" si="2"/>
        <v>1.0815</v>
      </c>
      <c r="P366">
        <f>IF($A366="","",IF($E366=1,$F366*$O366,PNL!G366))</f>
        <v>176980.09</v>
      </c>
      <c r="T366">
        <f t="shared" si="3"/>
        <v>0</v>
      </c>
    </row>
    <row r="367" ht="14.25" customHeight="1">
      <c r="A367" t="str">
        <f>IF(PNL!A367="","",PNL!A367)</f>
        <v>PIGIER_BOR</v>
      </c>
      <c r="B367" t="str">
        <f>IF(PNL!B367="","",PNL!B367)</f>
        <v>645</v>
      </c>
      <c r="C367" t="str">
        <f>IF(PNL!C367="","",PNL!C367)</f>
        <v>2024</v>
      </c>
      <c r="D367" t="str">
        <f>IF(PNL!D367="","",PNL!D367)</f>
        <v>ACT</v>
      </c>
      <c r="E367">
        <f t="shared" si="0"/>
        <v>0</v>
      </c>
      <c r="F367">
        <f>IF($A367="","",IF($E367=1,_xlfn.SUMIFS(Comptabilité!$F$1:$F$1446,Comptabilité!$A$1:$A$1446,$A367,Comptabilité!$B$1:$B$1446,$B367,Comptabilité!$C$1:$C$1446,"2026"),0))</f>
        <v>0</v>
      </c>
      <c r="G367">
        <f>IF($A367="","",IF($D367="V01",Cadrage!$C$23,IF($D367="V02",Cadrage!$D$23,Cadrage!$E$23)))</f>
        <v>-0.05</v>
      </c>
      <c r="H367">
        <f>IF($A367="","",IF($D367="V01",Cadrage!$C$24,IF($D367="V02",Cadrage!$D$24,Cadrage!$E$24)))</f>
        <v>-0.05</v>
      </c>
      <c r="I367">
        <f>IF($A367="","",IF($D367="V01",Cadrage!$C$34,IF($D367="V02",Cadrage!$D$34,Cadrage!$E$34)))</f>
        <v>0.03</v>
      </c>
      <c r="J367">
        <f>IF($A367="","",IF($D367="V01",Cadrage!$C$35,IF($D367="V02",Cadrage!$D$35,Cadrage!$E$35)))</f>
        <v>0.03</v>
      </c>
      <c r="K367">
        <f>IF($A367="","",IF($D367="V01",Cadrage!$C$36,IF($D367="V02",Cadrage!$D$36,Cadrage!$E$36)))</f>
        <v>0.05</v>
      </c>
      <c r="L367">
        <f>IF($A367="","",IF($D367="V01",Cadrage!$C$37,IF($D367="V02",Cadrage!$D$37,Cadrage!$E$37)))</f>
        <v>0</v>
      </c>
      <c r="M367">
        <f>IF($A367="","",IF($D367="V01",Cadrage!$C$38,IF($D367="V02",Cadrage!$D$38,Cadrage!$E$38)))</f>
        <v>0.04</v>
      </c>
      <c r="N367">
        <f t="shared" si="1"/>
        <v>0.980622079131853</v>
      </c>
      <c r="O367">
        <f t="shared" si="2"/>
        <v>1.0815</v>
      </c>
      <c r="P367">
        <f>IF($A367="","",IF($E367=1,$F367*$O367,PNL!G367))</f>
        <v>104121.04</v>
      </c>
      <c r="T367">
        <f t="shared" si="3"/>
        <v>0</v>
      </c>
    </row>
    <row r="368" ht="14.25" customHeight="1">
      <c r="A368" t="str">
        <f>IF(PNL!A368="","",PNL!A368)</f>
        <v>TUNON_PAR</v>
      </c>
      <c r="B368" t="str">
        <f>IF(PNL!B368="","",PNL!B368)</f>
        <v>645</v>
      </c>
      <c r="C368" t="str">
        <f>IF(PNL!C368="","",PNL!C368)</f>
        <v>2024</v>
      </c>
      <c r="D368" t="str">
        <f>IF(PNL!D368="","",PNL!D368)</f>
        <v>ACT</v>
      </c>
      <c r="E368">
        <f t="shared" si="0"/>
        <v>0</v>
      </c>
      <c r="F368">
        <f>IF($A368="","",IF($E368=1,_xlfn.SUMIFS(Comptabilité!$F$1:$F$1446,Comptabilité!$A$1:$A$1446,$A368,Comptabilité!$B$1:$B$1446,$B368,Comptabilité!$C$1:$C$1446,"2026"),0))</f>
        <v>0</v>
      </c>
      <c r="G368">
        <f>IF($A368="","",IF($D368="V01",Cadrage!$C$23,IF($D368="V02",Cadrage!$D$23,Cadrage!$E$23)))</f>
        <v>-0.05</v>
      </c>
      <c r="H368">
        <f>IF($A368="","",IF($D368="V01",Cadrage!$C$24,IF($D368="V02",Cadrage!$D$24,Cadrage!$E$24)))</f>
        <v>-0.05</v>
      </c>
      <c r="I368">
        <f>IF($A368="","",IF($D368="V01",Cadrage!$C$34,IF($D368="V02",Cadrage!$D$34,Cadrage!$E$34)))</f>
        <v>0.03</v>
      </c>
      <c r="J368">
        <f>IF($A368="","",IF($D368="V01",Cadrage!$C$35,IF($D368="V02",Cadrage!$D$35,Cadrage!$E$35)))</f>
        <v>0.03</v>
      </c>
      <c r="K368">
        <f>IF($A368="","",IF($D368="V01",Cadrage!$C$36,IF($D368="V02",Cadrage!$D$36,Cadrage!$E$36)))</f>
        <v>0.05</v>
      </c>
      <c r="L368">
        <f>IF($A368="","",IF($D368="V01",Cadrage!$C$37,IF($D368="V02",Cadrage!$D$37,Cadrage!$E$37)))</f>
        <v>0</v>
      </c>
      <c r="M368">
        <f>IF($A368="","",IF($D368="V01",Cadrage!$C$38,IF($D368="V02",Cadrage!$D$38,Cadrage!$E$38)))</f>
        <v>0.04</v>
      </c>
      <c r="N368">
        <f t="shared" si="1"/>
        <v>0.980622079131853</v>
      </c>
      <c r="O368">
        <f t="shared" si="2"/>
        <v>1.0815</v>
      </c>
      <c r="P368">
        <f>IF($A368="","",IF($E368=1,$F368*$O368,PNL!G368))</f>
        <v>156654.97</v>
      </c>
      <c r="T368">
        <f t="shared" si="3"/>
        <v>0</v>
      </c>
    </row>
    <row r="369" ht="14.25" customHeight="1">
      <c r="A369" t="str">
        <f>IF(PNL!A369="","",PNL!A369)</f>
        <v>TUNON_LYO</v>
      </c>
      <c r="B369" t="str">
        <f>IF(PNL!B369="","",PNL!B369)</f>
        <v>645</v>
      </c>
      <c r="C369" t="str">
        <f>IF(PNL!C369="","",PNL!C369)</f>
        <v>2024</v>
      </c>
      <c r="D369" t="str">
        <f>IF(PNL!D369="","",PNL!D369)</f>
        <v>ACT</v>
      </c>
      <c r="E369">
        <f t="shared" si="0"/>
        <v>0</v>
      </c>
      <c r="F369">
        <f>IF($A369="","",IF($E369=1,_xlfn.SUMIFS(Comptabilité!$F$1:$F$1446,Comptabilité!$A$1:$A$1446,$A369,Comptabilité!$B$1:$B$1446,$B369,Comptabilité!$C$1:$C$1446,"2026"),0))</f>
        <v>0</v>
      </c>
      <c r="G369">
        <f>IF($A369="","",IF($D369="V01",Cadrage!$C$23,IF($D369="V02",Cadrage!$D$23,Cadrage!$E$23)))</f>
        <v>-0.05</v>
      </c>
      <c r="H369">
        <f>IF($A369="","",IF($D369="V01",Cadrage!$C$24,IF($D369="V02",Cadrage!$D$24,Cadrage!$E$24)))</f>
        <v>-0.05</v>
      </c>
      <c r="I369">
        <f>IF($A369="","",IF($D369="V01",Cadrage!$C$34,IF($D369="V02",Cadrage!$D$34,Cadrage!$E$34)))</f>
        <v>0.03</v>
      </c>
      <c r="J369">
        <f>IF($A369="","",IF($D369="V01",Cadrage!$C$35,IF($D369="V02",Cadrage!$D$35,Cadrage!$E$35)))</f>
        <v>0.03</v>
      </c>
      <c r="K369">
        <f>IF($A369="","",IF($D369="V01",Cadrage!$C$36,IF($D369="V02",Cadrage!$D$36,Cadrage!$E$36)))</f>
        <v>0.05</v>
      </c>
      <c r="L369">
        <f>IF($A369="","",IF($D369="V01",Cadrage!$C$37,IF($D369="V02",Cadrage!$D$37,Cadrage!$E$37)))</f>
        <v>0</v>
      </c>
      <c r="M369">
        <f>IF($A369="","",IF($D369="V01",Cadrage!$C$38,IF($D369="V02",Cadrage!$D$38,Cadrage!$E$38)))</f>
        <v>0.04</v>
      </c>
      <c r="N369">
        <f t="shared" si="1"/>
        <v>0.980622079131853</v>
      </c>
      <c r="O369">
        <f t="shared" si="2"/>
        <v>1.0815</v>
      </c>
      <c r="P369">
        <f>IF($A369="","",IF($E369=1,$F369*$O369,PNL!G369))</f>
        <v>111302.72</v>
      </c>
      <c r="T369">
        <f t="shared" si="3"/>
        <v>0</v>
      </c>
    </row>
    <row r="370" ht="14.25" customHeight="1">
      <c r="A370" t="str">
        <f>IF(PNL!A370="","",PNL!A370)</f>
        <v>MBWAY_PAR</v>
      </c>
      <c r="B370" t="str">
        <f>IF(PNL!B370="","",PNL!B370)</f>
        <v>645</v>
      </c>
      <c r="C370" t="str">
        <f>IF(PNL!C370="","",PNL!C370)</f>
        <v>2025</v>
      </c>
      <c r="D370" t="str">
        <f>IF(PNL!D370="","",PNL!D370)</f>
        <v>ACT</v>
      </c>
      <c r="E370">
        <f t="shared" si="0"/>
        <v>0</v>
      </c>
      <c r="F370">
        <f>IF($A370="","",IF($E370=1,_xlfn.SUMIFS(Comptabilité!$F$1:$F$1446,Comptabilité!$A$1:$A$1446,$A370,Comptabilité!$B$1:$B$1446,$B370,Comptabilité!$C$1:$C$1446,"2026"),0))</f>
        <v>0</v>
      </c>
      <c r="G370">
        <f>IF($A370="","",IF($D370="V01",Cadrage!$C$23,IF($D370="V02",Cadrage!$D$23,Cadrage!$E$23)))</f>
        <v>-0.05</v>
      </c>
      <c r="H370">
        <f>IF($A370="","",IF($D370="V01",Cadrage!$C$24,IF($D370="V02",Cadrage!$D$24,Cadrage!$E$24)))</f>
        <v>-0.05</v>
      </c>
      <c r="I370">
        <f>IF($A370="","",IF($D370="V01",Cadrage!$C$34,IF($D370="V02",Cadrage!$D$34,Cadrage!$E$34)))</f>
        <v>0.03</v>
      </c>
      <c r="J370">
        <f>IF($A370="","",IF($D370="V01",Cadrage!$C$35,IF($D370="V02",Cadrage!$D$35,Cadrage!$E$35)))</f>
        <v>0.03</v>
      </c>
      <c r="K370">
        <f>IF($A370="","",IF($D370="V01",Cadrage!$C$36,IF($D370="V02",Cadrage!$D$36,Cadrage!$E$36)))</f>
        <v>0.05</v>
      </c>
      <c r="L370">
        <f>IF($A370="","",IF($D370="V01",Cadrage!$C$37,IF($D370="V02",Cadrage!$D$37,Cadrage!$E$37)))</f>
        <v>0</v>
      </c>
      <c r="M370">
        <f>IF($A370="","",IF($D370="V01",Cadrage!$C$38,IF($D370="V02",Cadrage!$D$38,Cadrage!$E$38)))</f>
        <v>0.04</v>
      </c>
      <c r="N370">
        <f t="shared" si="1"/>
        <v>0.980622079131853</v>
      </c>
      <c r="O370">
        <f t="shared" si="2"/>
        <v>1.0815</v>
      </c>
      <c r="P370">
        <f>IF($A370="","",IF($E370=1,$F370*$O370,PNL!G370))</f>
        <v>435443.83</v>
      </c>
      <c r="T370">
        <f t="shared" si="3"/>
        <v>0</v>
      </c>
    </row>
    <row r="371" ht="14.25" customHeight="1">
      <c r="A371" t="str">
        <f>IF(PNL!A371="","",PNL!A371)</f>
        <v>MBWAY_LYO</v>
      </c>
      <c r="B371" t="str">
        <f>IF(PNL!B371="","",PNL!B371)</f>
        <v>645</v>
      </c>
      <c r="C371" t="str">
        <f>IF(PNL!C371="","",PNL!C371)</f>
        <v>2025</v>
      </c>
      <c r="D371" t="str">
        <f>IF(PNL!D371="","",PNL!D371)</f>
        <v>ACT</v>
      </c>
      <c r="E371">
        <f t="shared" si="0"/>
        <v>0</v>
      </c>
      <c r="F371">
        <f>IF($A371="","",IF($E371=1,_xlfn.SUMIFS(Comptabilité!$F$1:$F$1446,Comptabilité!$A$1:$A$1446,$A371,Comptabilité!$B$1:$B$1446,$B371,Comptabilité!$C$1:$C$1446,"2026"),0))</f>
        <v>0</v>
      </c>
      <c r="G371">
        <f>IF($A371="","",IF($D371="V01",Cadrage!$C$23,IF($D371="V02",Cadrage!$D$23,Cadrage!$E$23)))</f>
        <v>-0.05</v>
      </c>
      <c r="H371">
        <f>IF($A371="","",IF($D371="V01",Cadrage!$C$24,IF($D371="V02",Cadrage!$D$24,Cadrage!$E$24)))</f>
        <v>-0.05</v>
      </c>
      <c r="I371">
        <f>IF($A371="","",IF($D371="V01",Cadrage!$C$34,IF($D371="V02",Cadrage!$D$34,Cadrage!$E$34)))</f>
        <v>0.03</v>
      </c>
      <c r="J371">
        <f>IF($A371="","",IF($D371="V01",Cadrage!$C$35,IF($D371="V02",Cadrage!$D$35,Cadrage!$E$35)))</f>
        <v>0.03</v>
      </c>
      <c r="K371">
        <f>IF($A371="","",IF($D371="V01",Cadrage!$C$36,IF($D371="V02",Cadrage!$D$36,Cadrage!$E$36)))</f>
        <v>0.05</v>
      </c>
      <c r="L371">
        <f>IF($A371="","",IF($D371="V01",Cadrage!$C$37,IF($D371="V02",Cadrage!$D$37,Cadrage!$E$37)))</f>
        <v>0</v>
      </c>
      <c r="M371">
        <f>IF($A371="","",IF($D371="V01",Cadrage!$C$38,IF($D371="V02",Cadrage!$D$38,Cadrage!$E$38)))</f>
        <v>0.04</v>
      </c>
      <c r="N371">
        <f t="shared" si="1"/>
        <v>0.980622079131853</v>
      </c>
      <c r="O371">
        <f t="shared" si="2"/>
        <v>1.0815</v>
      </c>
      <c r="P371">
        <f>IF($A371="","",IF($E371=1,$F371*$O371,PNL!G371))</f>
        <v>335488.83</v>
      </c>
      <c r="T371">
        <f t="shared" si="3"/>
        <v>0</v>
      </c>
    </row>
    <row r="372" ht="14.25" customHeight="1">
      <c r="A372" t="str">
        <f>IF(PNL!A372="","",PNL!A372)</f>
        <v>MBWAY_NAN</v>
      </c>
      <c r="B372" t="str">
        <f>IF(PNL!B372="","",PNL!B372)</f>
        <v>645</v>
      </c>
      <c r="C372" t="str">
        <f>IF(PNL!C372="","",PNL!C372)</f>
        <v>2025</v>
      </c>
      <c r="D372" t="str">
        <f>IF(PNL!D372="","",PNL!D372)</f>
        <v>ACT</v>
      </c>
      <c r="E372">
        <f t="shared" si="0"/>
        <v>0</v>
      </c>
      <c r="F372">
        <f>IF($A372="","",IF($E372=1,_xlfn.SUMIFS(Comptabilité!$F$1:$F$1446,Comptabilité!$A$1:$A$1446,$A372,Comptabilité!$B$1:$B$1446,$B372,Comptabilité!$C$1:$C$1446,"2026"),0))</f>
        <v>0</v>
      </c>
      <c r="G372">
        <f>IF($A372="","",IF($D372="V01",Cadrage!$C$23,IF($D372="V02",Cadrage!$D$23,Cadrage!$E$23)))</f>
        <v>-0.05</v>
      </c>
      <c r="H372">
        <f>IF($A372="","",IF($D372="V01",Cadrage!$C$24,IF($D372="V02",Cadrage!$D$24,Cadrage!$E$24)))</f>
        <v>-0.05</v>
      </c>
      <c r="I372">
        <f>IF($A372="","",IF($D372="V01",Cadrage!$C$34,IF($D372="V02",Cadrage!$D$34,Cadrage!$E$34)))</f>
        <v>0.03</v>
      </c>
      <c r="J372">
        <f>IF($A372="","",IF($D372="V01",Cadrage!$C$35,IF($D372="V02",Cadrage!$D$35,Cadrage!$E$35)))</f>
        <v>0.03</v>
      </c>
      <c r="K372">
        <f>IF($A372="","",IF($D372="V01",Cadrage!$C$36,IF($D372="V02",Cadrage!$D$36,Cadrage!$E$36)))</f>
        <v>0.05</v>
      </c>
      <c r="L372">
        <f>IF($A372="","",IF($D372="V01",Cadrage!$C$37,IF($D372="V02",Cadrage!$D$37,Cadrage!$E$37)))</f>
        <v>0</v>
      </c>
      <c r="M372">
        <f>IF($A372="","",IF($D372="V01",Cadrage!$C$38,IF($D372="V02",Cadrage!$D$38,Cadrage!$E$38)))</f>
        <v>0.04</v>
      </c>
      <c r="N372">
        <f t="shared" si="1"/>
        <v>0.980622079131853</v>
      </c>
      <c r="O372">
        <f t="shared" si="2"/>
        <v>1.0815</v>
      </c>
      <c r="P372">
        <f>IF($A372="","",IF($E372=1,$F372*$O372,PNL!G372))</f>
        <v>287730.62</v>
      </c>
      <c r="T372">
        <f t="shared" si="3"/>
        <v>0</v>
      </c>
    </row>
    <row r="373" ht="14.25" customHeight="1">
      <c r="A373" t="str">
        <f>IF(PNL!A373="","",PNL!A373)</f>
        <v>MBWAY_BOR</v>
      </c>
      <c r="B373" t="str">
        <f>IF(PNL!B373="","",PNL!B373)</f>
        <v>645</v>
      </c>
      <c r="C373" t="str">
        <f>IF(PNL!C373="","",PNL!C373)</f>
        <v>2025</v>
      </c>
      <c r="D373" t="str">
        <f>IF(PNL!D373="","",PNL!D373)</f>
        <v>ACT</v>
      </c>
      <c r="E373">
        <f t="shared" si="0"/>
        <v>0</v>
      </c>
      <c r="F373">
        <f>IF($A373="","",IF($E373=1,_xlfn.SUMIFS(Comptabilité!$F$1:$F$1446,Comptabilité!$A$1:$A$1446,$A373,Comptabilité!$B$1:$B$1446,$B373,Comptabilité!$C$1:$C$1446,"2026"),0))</f>
        <v>0</v>
      </c>
      <c r="G373">
        <f>IF($A373="","",IF($D373="V01",Cadrage!$C$23,IF($D373="V02",Cadrage!$D$23,Cadrage!$E$23)))</f>
        <v>-0.05</v>
      </c>
      <c r="H373">
        <f>IF($A373="","",IF($D373="V01",Cadrage!$C$24,IF($D373="V02",Cadrage!$D$24,Cadrage!$E$24)))</f>
        <v>-0.05</v>
      </c>
      <c r="I373">
        <f>IF($A373="","",IF($D373="V01",Cadrage!$C$34,IF($D373="V02",Cadrage!$D$34,Cadrage!$E$34)))</f>
        <v>0.03</v>
      </c>
      <c r="J373">
        <f>IF($A373="","",IF($D373="V01",Cadrage!$C$35,IF($D373="V02",Cadrage!$D$35,Cadrage!$E$35)))</f>
        <v>0.03</v>
      </c>
      <c r="K373">
        <f>IF($A373="","",IF($D373="V01",Cadrage!$C$36,IF($D373="V02",Cadrage!$D$36,Cadrage!$E$36)))</f>
        <v>0.05</v>
      </c>
      <c r="L373">
        <f>IF($A373="","",IF($D373="V01",Cadrage!$C$37,IF($D373="V02",Cadrage!$D$37,Cadrage!$E$37)))</f>
        <v>0</v>
      </c>
      <c r="M373">
        <f>IF($A373="","",IF($D373="V01",Cadrage!$C$38,IF($D373="V02",Cadrage!$D$38,Cadrage!$E$38)))</f>
        <v>0.04</v>
      </c>
      <c r="N373">
        <f t="shared" si="1"/>
        <v>0.980622079131853</v>
      </c>
      <c r="O373">
        <f t="shared" si="2"/>
        <v>1.0815</v>
      </c>
      <c r="P373">
        <f>IF($A373="","",IF($E373=1,$F373*$O373,PNL!G373))</f>
        <v>235264.58</v>
      </c>
      <c r="T373">
        <f t="shared" si="3"/>
        <v>0</v>
      </c>
    </row>
    <row r="374" ht="14.25" customHeight="1">
      <c r="A374" t="str">
        <f>IF(PNL!A374="","",PNL!A374)</f>
        <v>ISCOM_PAR</v>
      </c>
      <c r="B374" t="str">
        <f>IF(PNL!B374="","",PNL!B374)</f>
        <v>645</v>
      </c>
      <c r="C374" t="str">
        <f>IF(PNL!C374="","",PNL!C374)</f>
        <v>2025</v>
      </c>
      <c r="D374" t="str">
        <f>IF(PNL!D374="","",PNL!D374)</f>
        <v>ACT</v>
      </c>
      <c r="E374">
        <f t="shared" si="0"/>
        <v>0</v>
      </c>
      <c r="F374">
        <f>IF($A374="","",IF($E374=1,_xlfn.SUMIFS(Comptabilité!$F$1:$F$1446,Comptabilité!$A$1:$A$1446,$A374,Comptabilité!$B$1:$B$1446,$B374,Comptabilité!$C$1:$C$1446,"2026"),0))</f>
        <v>0</v>
      </c>
      <c r="G374">
        <f>IF($A374="","",IF($D374="V01",Cadrage!$C$23,IF($D374="V02",Cadrage!$D$23,Cadrage!$E$23)))</f>
        <v>-0.05</v>
      </c>
      <c r="H374">
        <f>IF($A374="","",IF($D374="V01",Cadrage!$C$24,IF($D374="V02",Cadrage!$D$24,Cadrage!$E$24)))</f>
        <v>-0.05</v>
      </c>
      <c r="I374">
        <f>IF($A374="","",IF($D374="V01",Cadrage!$C$34,IF($D374="V02",Cadrage!$D$34,Cadrage!$E$34)))</f>
        <v>0.03</v>
      </c>
      <c r="J374">
        <f>IF($A374="","",IF($D374="V01",Cadrage!$C$35,IF($D374="V02",Cadrage!$D$35,Cadrage!$E$35)))</f>
        <v>0.03</v>
      </c>
      <c r="K374">
        <f>IF($A374="","",IF($D374="V01",Cadrage!$C$36,IF($D374="V02",Cadrage!$D$36,Cadrage!$E$36)))</f>
        <v>0.05</v>
      </c>
      <c r="L374">
        <f>IF($A374="","",IF($D374="V01",Cadrage!$C$37,IF($D374="V02",Cadrage!$D$37,Cadrage!$E$37)))</f>
        <v>0</v>
      </c>
      <c r="M374">
        <f>IF($A374="","",IF($D374="V01",Cadrage!$C$38,IF($D374="V02",Cadrage!$D$38,Cadrage!$E$38)))</f>
        <v>0.04</v>
      </c>
      <c r="N374">
        <f t="shared" si="1"/>
        <v>0.980622079131853</v>
      </c>
      <c r="O374">
        <f t="shared" si="2"/>
        <v>1.0815</v>
      </c>
      <c r="P374">
        <f>IF($A374="","",IF($E374=1,$F374*$O374,PNL!G374))</f>
        <v>388651.33</v>
      </c>
      <c r="T374">
        <f t="shared" si="3"/>
        <v>0</v>
      </c>
    </row>
    <row r="375" ht="14.25" customHeight="1">
      <c r="A375" t="str">
        <f>IF(PNL!A375="","",PNL!A375)</f>
        <v>ISCOM_LIL</v>
      </c>
      <c r="B375" t="str">
        <f>IF(PNL!B375="","",PNL!B375)</f>
        <v>645</v>
      </c>
      <c r="C375" t="str">
        <f>IF(PNL!C375="","",PNL!C375)</f>
        <v>2025</v>
      </c>
      <c r="D375" t="str">
        <f>IF(PNL!D375="","",PNL!D375)</f>
        <v>ACT</v>
      </c>
      <c r="E375">
        <f t="shared" si="0"/>
        <v>0</v>
      </c>
      <c r="F375">
        <f>IF($A375="","",IF($E375=1,_xlfn.SUMIFS(Comptabilité!$F$1:$F$1446,Comptabilité!$A$1:$A$1446,$A375,Comptabilité!$B$1:$B$1446,$B375,Comptabilité!$C$1:$C$1446,"2026"),0))</f>
        <v>0</v>
      </c>
      <c r="G375">
        <f>IF($A375="","",IF($D375="V01",Cadrage!$C$23,IF($D375="V02",Cadrage!$D$23,Cadrage!$E$23)))</f>
        <v>-0.05</v>
      </c>
      <c r="H375">
        <f>IF($A375="","",IF($D375="V01",Cadrage!$C$24,IF($D375="V02",Cadrage!$D$24,Cadrage!$E$24)))</f>
        <v>-0.05</v>
      </c>
      <c r="I375">
        <f>IF($A375="","",IF($D375="V01",Cadrage!$C$34,IF($D375="V02",Cadrage!$D$34,Cadrage!$E$34)))</f>
        <v>0.03</v>
      </c>
      <c r="J375">
        <f>IF($A375="","",IF($D375="V01",Cadrage!$C$35,IF($D375="V02",Cadrage!$D$35,Cadrage!$E$35)))</f>
        <v>0.03</v>
      </c>
      <c r="K375">
        <f>IF($A375="","",IF($D375="V01",Cadrage!$C$36,IF($D375="V02",Cadrage!$D$36,Cadrage!$E$36)))</f>
        <v>0.05</v>
      </c>
      <c r="L375">
        <f>IF($A375="","",IF($D375="V01",Cadrage!$C$37,IF($D375="V02",Cadrage!$D$37,Cadrage!$E$37)))</f>
        <v>0</v>
      </c>
      <c r="M375">
        <f>IF($A375="","",IF($D375="V01",Cadrage!$C$38,IF($D375="V02",Cadrage!$D$38,Cadrage!$E$38)))</f>
        <v>0.04</v>
      </c>
      <c r="N375">
        <f t="shared" si="1"/>
        <v>0.980622079131853</v>
      </c>
      <c r="O375">
        <f t="shared" si="2"/>
        <v>1.0815</v>
      </c>
      <c r="P375">
        <f>IF($A375="","",IF($E375=1,$F375*$O375,PNL!G375))</f>
        <v>232813.78</v>
      </c>
      <c r="T375">
        <f t="shared" si="3"/>
        <v>0</v>
      </c>
    </row>
    <row r="376" ht="14.25" customHeight="1">
      <c r="A376" t="str">
        <f>IF(PNL!A376="","",PNL!A376)</f>
        <v>ISCOM_TLS</v>
      </c>
      <c r="B376" t="str">
        <f>IF(PNL!B376="","",PNL!B376)</f>
        <v>645</v>
      </c>
      <c r="C376" t="str">
        <f>IF(PNL!C376="","",PNL!C376)</f>
        <v>2025</v>
      </c>
      <c r="D376" t="str">
        <f>IF(PNL!D376="","",PNL!D376)</f>
        <v>ACT</v>
      </c>
      <c r="E376">
        <f t="shared" si="0"/>
        <v>0</v>
      </c>
      <c r="F376">
        <f>IF($A376="","",IF($E376=1,_xlfn.SUMIFS(Comptabilité!$F$1:$F$1446,Comptabilité!$A$1:$A$1446,$A376,Comptabilité!$B$1:$B$1446,$B376,Comptabilité!$C$1:$C$1446,"2026"),0))</f>
        <v>0</v>
      </c>
      <c r="G376">
        <f>IF($A376="","",IF($D376="V01",Cadrage!$C$23,IF($D376="V02",Cadrage!$D$23,Cadrage!$E$23)))</f>
        <v>-0.05</v>
      </c>
      <c r="H376">
        <f>IF($A376="","",IF($D376="V01",Cadrage!$C$24,IF($D376="V02",Cadrage!$D$24,Cadrage!$E$24)))</f>
        <v>-0.05</v>
      </c>
      <c r="I376">
        <f>IF($A376="","",IF($D376="V01",Cadrage!$C$34,IF($D376="V02",Cadrage!$D$34,Cadrage!$E$34)))</f>
        <v>0.03</v>
      </c>
      <c r="J376">
        <f>IF($A376="","",IF($D376="V01",Cadrage!$C$35,IF($D376="V02",Cadrage!$D$35,Cadrage!$E$35)))</f>
        <v>0.03</v>
      </c>
      <c r="K376">
        <f>IF($A376="","",IF($D376="V01",Cadrage!$C$36,IF($D376="V02",Cadrage!$D$36,Cadrage!$E$36)))</f>
        <v>0.05</v>
      </c>
      <c r="L376">
        <f>IF($A376="","",IF($D376="V01",Cadrage!$C$37,IF($D376="V02",Cadrage!$D$37,Cadrage!$E$37)))</f>
        <v>0</v>
      </c>
      <c r="M376">
        <f>IF($A376="","",IF($D376="V01",Cadrage!$C$38,IF($D376="V02",Cadrage!$D$38,Cadrage!$E$38)))</f>
        <v>0.04</v>
      </c>
      <c r="N376">
        <f t="shared" si="1"/>
        <v>0.980622079131853</v>
      </c>
      <c r="O376">
        <f t="shared" si="2"/>
        <v>1.0815</v>
      </c>
      <c r="P376">
        <f>IF($A376="","",IF($E376=1,$F376*$O376,PNL!G376))</f>
        <v>206275.97</v>
      </c>
      <c r="T376">
        <f t="shared" si="3"/>
        <v>0</v>
      </c>
    </row>
    <row r="377" ht="14.25" customHeight="1">
      <c r="A377" t="str">
        <f>IF(PNL!A377="","",PNL!A377)</f>
        <v>IPAC_NAN</v>
      </c>
      <c r="B377" t="str">
        <f>IF(PNL!B377="","",PNL!B377)</f>
        <v>645</v>
      </c>
      <c r="C377" t="str">
        <f>IF(PNL!C377="","",PNL!C377)</f>
        <v>2025</v>
      </c>
      <c r="D377" t="str">
        <f>IF(PNL!D377="","",PNL!D377)</f>
        <v>ACT</v>
      </c>
      <c r="E377">
        <f t="shared" si="0"/>
        <v>0</v>
      </c>
      <c r="F377">
        <f>IF($A377="","",IF($E377=1,_xlfn.SUMIFS(Comptabilité!$F$1:$F$1446,Comptabilité!$A$1:$A$1446,$A377,Comptabilité!$B$1:$B$1446,$B377,Comptabilité!$C$1:$C$1446,"2026"),0))</f>
        <v>0</v>
      </c>
      <c r="G377">
        <f>IF($A377="","",IF($D377="V01",Cadrage!$C$23,IF($D377="V02",Cadrage!$D$23,Cadrage!$E$23)))</f>
        <v>-0.05</v>
      </c>
      <c r="H377">
        <f>IF($A377="","",IF($D377="V01",Cadrage!$C$24,IF($D377="V02",Cadrage!$D$24,Cadrage!$E$24)))</f>
        <v>-0.05</v>
      </c>
      <c r="I377">
        <f>IF($A377="","",IF($D377="V01",Cadrage!$C$34,IF($D377="V02",Cadrage!$D$34,Cadrage!$E$34)))</f>
        <v>0.03</v>
      </c>
      <c r="J377">
        <f>IF($A377="","",IF($D377="V01",Cadrage!$C$35,IF($D377="V02",Cadrage!$D$35,Cadrage!$E$35)))</f>
        <v>0.03</v>
      </c>
      <c r="K377">
        <f>IF($A377="","",IF($D377="V01",Cadrage!$C$36,IF($D377="V02",Cadrage!$D$36,Cadrage!$E$36)))</f>
        <v>0.05</v>
      </c>
      <c r="L377">
        <f>IF($A377="","",IF($D377="V01",Cadrage!$C$37,IF($D377="V02",Cadrage!$D$37,Cadrage!$E$37)))</f>
        <v>0</v>
      </c>
      <c r="M377">
        <f>IF($A377="","",IF($D377="V01",Cadrage!$C$38,IF($D377="V02",Cadrage!$D$38,Cadrage!$E$38)))</f>
        <v>0.04</v>
      </c>
      <c r="N377">
        <f t="shared" si="1"/>
        <v>0.980622079131853</v>
      </c>
      <c r="O377">
        <f t="shared" si="2"/>
        <v>1.0815</v>
      </c>
      <c r="P377">
        <f>IF($A377="","",IF($E377=1,$F377*$O377,PNL!G377))</f>
        <v>137132.11</v>
      </c>
      <c r="T377">
        <f t="shared" si="3"/>
        <v>0</v>
      </c>
    </row>
    <row r="378" ht="14.25" customHeight="1">
      <c r="A378" t="str">
        <f>IF(PNL!A378="","",PNL!A378)</f>
        <v>IPAC_REN</v>
      </c>
      <c r="B378" t="str">
        <f>IF(PNL!B378="","",PNL!B378)</f>
        <v>645</v>
      </c>
      <c r="C378" t="str">
        <f>IF(PNL!C378="","",PNL!C378)</f>
        <v>2025</v>
      </c>
      <c r="D378" t="str">
        <f>IF(PNL!D378="","",PNL!D378)</f>
        <v>ACT</v>
      </c>
      <c r="E378">
        <f t="shared" si="0"/>
        <v>0</v>
      </c>
      <c r="F378">
        <f>IF($A378="","",IF($E378=1,_xlfn.SUMIFS(Comptabilité!$F$1:$F$1446,Comptabilité!$A$1:$A$1446,$A378,Comptabilité!$B$1:$B$1446,$B378,Comptabilité!$C$1:$C$1446,"2026"),0))</f>
        <v>0</v>
      </c>
      <c r="G378">
        <f>IF($A378="","",IF($D378="V01",Cadrage!$C$23,IF($D378="V02",Cadrage!$D$23,Cadrage!$E$23)))</f>
        <v>-0.05</v>
      </c>
      <c r="H378">
        <f>IF($A378="","",IF($D378="V01",Cadrage!$C$24,IF($D378="V02",Cadrage!$D$24,Cadrage!$E$24)))</f>
        <v>-0.05</v>
      </c>
      <c r="I378">
        <f>IF($A378="","",IF($D378="V01",Cadrage!$C$34,IF($D378="V02",Cadrage!$D$34,Cadrage!$E$34)))</f>
        <v>0.03</v>
      </c>
      <c r="J378">
        <f>IF($A378="","",IF($D378="V01",Cadrage!$C$35,IF($D378="V02",Cadrage!$D$35,Cadrage!$E$35)))</f>
        <v>0.03</v>
      </c>
      <c r="K378">
        <f>IF($A378="","",IF($D378="V01",Cadrage!$C$36,IF($D378="V02",Cadrage!$D$36,Cadrage!$E$36)))</f>
        <v>0.05</v>
      </c>
      <c r="L378">
        <f>IF($A378="","",IF($D378="V01",Cadrage!$C$37,IF($D378="V02",Cadrage!$D$37,Cadrage!$E$37)))</f>
        <v>0</v>
      </c>
      <c r="M378">
        <f>IF($A378="","",IF($D378="V01",Cadrage!$C$38,IF($D378="V02",Cadrage!$D$38,Cadrage!$E$38)))</f>
        <v>0.04</v>
      </c>
      <c r="N378">
        <f t="shared" si="1"/>
        <v>0.980622079131853</v>
      </c>
      <c r="O378">
        <f t="shared" si="2"/>
        <v>1.0815</v>
      </c>
      <c r="P378">
        <f>IF($A378="","",IF($E378=1,$F378*$O378,PNL!G378))</f>
        <v>90947.59</v>
      </c>
      <c r="T378">
        <f t="shared" si="3"/>
        <v>0</v>
      </c>
    </row>
    <row r="379" ht="14.25" customHeight="1">
      <c r="A379" t="str">
        <f>IF(PNL!A379="","",PNL!A379)</f>
        <v>IPAC_MTP</v>
      </c>
      <c r="B379" t="str">
        <f>IF(PNL!B379="","",PNL!B379)</f>
        <v>645</v>
      </c>
      <c r="C379" t="str">
        <f>IF(PNL!C379="","",PNL!C379)</f>
        <v>2025</v>
      </c>
      <c r="D379" t="str">
        <f>IF(PNL!D379="","",PNL!D379)</f>
        <v>ACT</v>
      </c>
      <c r="E379">
        <f t="shared" si="0"/>
        <v>0</v>
      </c>
      <c r="F379">
        <f>IF($A379="","",IF($E379=1,_xlfn.SUMIFS(Comptabilité!$F$1:$F$1446,Comptabilité!$A$1:$A$1446,$A379,Comptabilité!$B$1:$B$1446,$B379,Comptabilité!$C$1:$C$1446,"2026"),0))</f>
        <v>0</v>
      </c>
      <c r="G379">
        <f>IF($A379="","",IF($D379="V01",Cadrage!$C$23,IF($D379="V02",Cadrage!$D$23,Cadrage!$E$23)))</f>
        <v>-0.05</v>
      </c>
      <c r="H379">
        <f>IF($A379="","",IF($D379="V01",Cadrage!$C$24,IF($D379="V02",Cadrage!$D$24,Cadrage!$E$24)))</f>
        <v>-0.05</v>
      </c>
      <c r="I379">
        <f>IF($A379="","",IF($D379="V01",Cadrage!$C$34,IF($D379="V02",Cadrage!$D$34,Cadrage!$E$34)))</f>
        <v>0.03</v>
      </c>
      <c r="J379">
        <f>IF($A379="","",IF($D379="V01",Cadrage!$C$35,IF($D379="V02",Cadrage!$D$35,Cadrage!$E$35)))</f>
        <v>0.03</v>
      </c>
      <c r="K379">
        <f>IF($A379="","",IF($D379="V01",Cadrage!$C$36,IF($D379="V02",Cadrage!$D$36,Cadrage!$E$36)))</f>
        <v>0.05</v>
      </c>
      <c r="L379">
        <f>IF($A379="","",IF($D379="V01",Cadrage!$C$37,IF($D379="V02",Cadrage!$D$37,Cadrage!$E$37)))</f>
        <v>0</v>
      </c>
      <c r="M379">
        <f>IF($A379="","",IF($D379="V01",Cadrage!$C$38,IF($D379="V02",Cadrage!$D$38,Cadrage!$E$38)))</f>
        <v>0.04</v>
      </c>
      <c r="N379">
        <f t="shared" si="1"/>
        <v>0.980622079131853</v>
      </c>
      <c r="O379">
        <f t="shared" si="2"/>
        <v>1.0815</v>
      </c>
      <c r="P379">
        <f>IF($A379="","",IF($E379=1,$F379*$O379,PNL!G379))</f>
        <v>90896.76</v>
      </c>
      <c r="T379">
        <f t="shared" si="3"/>
        <v>0</v>
      </c>
    </row>
    <row r="380" ht="14.25" customHeight="1">
      <c r="A380" t="str">
        <f>IF(PNL!A380="","",PNL!A380)</f>
        <v>PIGIER_LYO</v>
      </c>
      <c r="B380" t="str">
        <f>IF(PNL!B380="","",PNL!B380)</f>
        <v>645</v>
      </c>
      <c r="C380" t="str">
        <f>IF(PNL!C380="","",PNL!C380)</f>
        <v>2025</v>
      </c>
      <c r="D380" t="str">
        <f>IF(PNL!D380="","",PNL!D380)</f>
        <v>ACT</v>
      </c>
      <c r="E380">
        <f t="shared" si="0"/>
        <v>0</v>
      </c>
      <c r="F380">
        <f>IF($A380="","",IF($E380=1,_xlfn.SUMIFS(Comptabilité!$F$1:$F$1446,Comptabilité!$A$1:$A$1446,$A380,Comptabilité!$B$1:$B$1446,$B380,Comptabilité!$C$1:$C$1446,"2026"),0))</f>
        <v>0</v>
      </c>
      <c r="G380">
        <f>IF($A380="","",IF($D380="V01",Cadrage!$C$23,IF($D380="V02",Cadrage!$D$23,Cadrage!$E$23)))</f>
        <v>-0.05</v>
      </c>
      <c r="H380">
        <f>IF($A380="","",IF($D380="V01",Cadrage!$C$24,IF($D380="V02",Cadrage!$D$24,Cadrage!$E$24)))</f>
        <v>-0.05</v>
      </c>
      <c r="I380">
        <f>IF($A380="","",IF($D380="V01",Cadrage!$C$34,IF($D380="V02",Cadrage!$D$34,Cadrage!$E$34)))</f>
        <v>0.03</v>
      </c>
      <c r="J380">
        <f>IF($A380="","",IF($D380="V01",Cadrage!$C$35,IF($D380="V02",Cadrage!$D$35,Cadrage!$E$35)))</f>
        <v>0.03</v>
      </c>
      <c r="K380">
        <f>IF($A380="","",IF($D380="V01",Cadrage!$C$36,IF($D380="V02",Cadrage!$D$36,Cadrage!$E$36)))</f>
        <v>0.05</v>
      </c>
      <c r="L380">
        <f>IF($A380="","",IF($D380="V01",Cadrage!$C$37,IF($D380="V02",Cadrage!$D$37,Cadrage!$E$37)))</f>
        <v>0</v>
      </c>
      <c r="M380">
        <f>IF($A380="","",IF($D380="V01",Cadrage!$C$38,IF($D380="V02",Cadrage!$D$38,Cadrage!$E$38)))</f>
        <v>0.04</v>
      </c>
      <c r="N380">
        <f t="shared" si="1"/>
        <v>0.980622079131853</v>
      </c>
      <c r="O380">
        <f t="shared" si="2"/>
        <v>1.0815</v>
      </c>
      <c r="P380">
        <f>IF($A380="","",IF($E380=1,$F380*$O380,PNL!G380))</f>
        <v>183127.57</v>
      </c>
      <c r="T380">
        <f t="shared" si="3"/>
        <v>0</v>
      </c>
    </row>
    <row r="381" ht="14.25" customHeight="1">
      <c r="A381" t="str">
        <f>IF(PNL!A381="","",PNL!A381)</f>
        <v>PIGIER_BOR</v>
      </c>
      <c r="B381" t="str">
        <f>IF(PNL!B381="","",PNL!B381)</f>
        <v>645</v>
      </c>
      <c r="C381" t="str">
        <f>IF(PNL!C381="","",PNL!C381)</f>
        <v>2025</v>
      </c>
      <c r="D381" t="str">
        <f>IF(PNL!D381="","",PNL!D381)</f>
        <v>ACT</v>
      </c>
      <c r="E381">
        <f t="shared" si="0"/>
        <v>0</v>
      </c>
      <c r="F381">
        <f>IF($A381="","",IF($E381=1,_xlfn.SUMIFS(Comptabilité!$F$1:$F$1446,Comptabilité!$A$1:$A$1446,$A381,Comptabilité!$B$1:$B$1446,$B381,Comptabilité!$C$1:$C$1446,"2026"),0))</f>
        <v>0</v>
      </c>
      <c r="G381">
        <f>IF($A381="","",IF($D381="V01",Cadrage!$C$23,IF($D381="V02",Cadrage!$D$23,Cadrage!$E$23)))</f>
        <v>-0.05</v>
      </c>
      <c r="H381">
        <f>IF($A381="","",IF($D381="V01",Cadrage!$C$24,IF($D381="V02",Cadrage!$D$24,Cadrage!$E$24)))</f>
        <v>-0.05</v>
      </c>
      <c r="I381">
        <f>IF($A381="","",IF($D381="V01",Cadrage!$C$34,IF($D381="V02",Cadrage!$D$34,Cadrage!$E$34)))</f>
        <v>0.03</v>
      </c>
      <c r="J381">
        <f>IF($A381="","",IF($D381="V01",Cadrage!$C$35,IF($D381="V02",Cadrage!$D$35,Cadrage!$E$35)))</f>
        <v>0.03</v>
      </c>
      <c r="K381">
        <f>IF($A381="","",IF($D381="V01",Cadrage!$C$36,IF($D381="V02",Cadrage!$D$36,Cadrage!$E$36)))</f>
        <v>0.05</v>
      </c>
      <c r="L381">
        <f>IF($A381="","",IF($D381="V01",Cadrage!$C$37,IF($D381="V02",Cadrage!$D$37,Cadrage!$E$37)))</f>
        <v>0</v>
      </c>
      <c r="M381">
        <f>IF($A381="","",IF($D381="V01",Cadrage!$C$38,IF($D381="V02",Cadrage!$D$38,Cadrage!$E$38)))</f>
        <v>0.04</v>
      </c>
      <c r="N381">
        <f t="shared" si="1"/>
        <v>0.980622079131853</v>
      </c>
      <c r="O381">
        <f t="shared" si="2"/>
        <v>1.0815</v>
      </c>
      <c r="P381">
        <f>IF($A381="","",IF($E381=1,$F381*$O381,PNL!G381))</f>
        <v>109617.21</v>
      </c>
      <c r="T381">
        <f t="shared" si="3"/>
        <v>0</v>
      </c>
    </row>
    <row r="382" ht="14.25" customHeight="1">
      <c r="A382" t="str">
        <f>IF(PNL!A382="","",PNL!A382)</f>
        <v>TUNON_PAR</v>
      </c>
      <c r="B382" t="str">
        <f>IF(PNL!B382="","",PNL!B382)</f>
        <v>645</v>
      </c>
      <c r="C382" t="str">
        <f>IF(PNL!C382="","",PNL!C382)</f>
        <v>2025</v>
      </c>
      <c r="D382" t="str">
        <f>IF(PNL!D382="","",PNL!D382)</f>
        <v>ACT</v>
      </c>
      <c r="E382">
        <f t="shared" si="0"/>
        <v>0</v>
      </c>
      <c r="F382">
        <f>IF($A382="","",IF($E382=1,_xlfn.SUMIFS(Comptabilité!$F$1:$F$1446,Comptabilité!$A$1:$A$1446,$A382,Comptabilité!$B$1:$B$1446,$B382,Comptabilité!$C$1:$C$1446,"2026"),0))</f>
        <v>0</v>
      </c>
      <c r="G382">
        <f>IF($A382="","",IF($D382="V01",Cadrage!$C$23,IF($D382="V02",Cadrage!$D$23,Cadrage!$E$23)))</f>
        <v>-0.05</v>
      </c>
      <c r="H382">
        <f>IF($A382="","",IF($D382="V01",Cadrage!$C$24,IF($D382="V02",Cadrage!$D$24,Cadrage!$E$24)))</f>
        <v>-0.05</v>
      </c>
      <c r="I382">
        <f>IF($A382="","",IF($D382="V01",Cadrage!$C$34,IF($D382="V02",Cadrage!$D$34,Cadrage!$E$34)))</f>
        <v>0.03</v>
      </c>
      <c r="J382">
        <f>IF($A382="","",IF($D382="V01",Cadrage!$C$35,IF($D382="V02",Cadrage!$D$35,Cadrage!$E$35)))</f>
        <v>0.03</v>
      </c>
      <c r="K382">
        <f>IF($A382="","",IF($D382="V01",Cadrage!$C$36,IF($D382="V02",Cadrage!$D$36,Cadrage!$E$36)))</f>
        <v>0.05</v>
      </c>
      <c r="L382">
        <f>IF($A382="","",IF($D382="V01",Cadrage!$C$37,IF($D382="V02",Cadrage!$D$37,Cadrage!$E$37)))</f>
        <v>0</v>
      </c>
      <c r="M382">
        <f>IF($A382="","",IF($D382="V01",Cadrage!$C$38,IF($D382="V02",Cadrage!$D$38,Cadrage!$E$38)))</f>
        <v>0.04</v>
      </c>
      <c r="N382">
        <f t="shared" si="1"/>
        <v>0.980622079131853</v>
      </c>
      <c r="O382">
        <f t="shared" si="2"/>
        <v>1.0815</v>
      </c>
      <c r="P382">
        <f>IF($A382="","",IF($E382=1,$F382*$O382,PNL!G382))</f>
        <v>166324.67</v>
      </c>
      <c r="T382">
        <f t="shared" si="3"/>
        <v>0</v>
      </c>
    </row>
    <row r="383" ht="14.25" customHeight="1">
      <c r="A383" t="str">
        <f>IF(PNL!A383="","",PNL!A383)</f>
        <v>TUNON_LYO</v>
      </c>
      <c r="B383" t="str">
        <f>IF(PNL!B383="","",PNL!B383)</f>
        <v>645</v>
      </c>
      <c r="C383" t="str">
        <f>IF(PNL!C383="","",PNL!C383)</f>
        <v>2025</v>
      </c>
      <c r="D383" t="str">
        <f>IF(PNL!D383="","",PNL!D383)</f>
        <v>ACT</v>
      </c>
      <c r="E383">
        <f t="shared" si="0"/>
        <v>0</v>
      </c>
      <c r="F383">
        <f>IF($A383="","",IF($E383=1,_xlfn.SUMIFS(Comptabilité!$F$1:$F$1446,Comptabilité!$A$1:$A$1446,$A383,Comptabilité!$B$1:$B$1446,$B383,Comptabilité!$C$1:$C$1446,"2026"),0))</f>
        <v>0</v>
      </c>
      <c r="G383">
        <f>IF($A383="","",IF($D383="V01",Cadrage!$C$23,IF($D383="V02",Cadrage!$D$23,Cadrage!$E$23)))</f>
        <v>-0.05</v>
      </c>
      <c r="H383">
        <f>IF($A383="","",IF($D383="V01",Cadrage!$C$24,IF($D383="V02",Cadrage!$D$24,Cadrage!$E$24)))</f>
        <v>-0.05</v>
      </c>
      <c r="I383">
        <f>IF($A383="","",IF($D383="V01",Cadrage!$C$34,IF($D383="V02",Cadrage!$D$34,Cadrage!$E$34)))</f>
        <v>0.03</v>
      </c>
      <c r="J383">
        <f>IF($A383="","",IF($D383="V01",Cadrage!$C$35,IF($D383="V02",Cadrage!$D$35,Cadrage!$E$35)))</f>
        <v>0.03</v>
      </c>
      <c r="K383">
        <f>IF($A383="","",IF($D383="V01",Cadrage!$C$36,IF($D383="V02",Cadrage!$D$36,Cadrage!$E$36)))</f>
        <v>0.05</v>
      </c>
      <c r="L383">
        <f>IF($A383="","",IF($D383="V01",Cadrage!$C$37,IF($D383="V02",Cadrage!$D$37,Cadrage!$E$37)))</f>
        <v>0</v>
      </c>
      <c r="M383">
        <f>IF($A383="","",IF($D383="V01",Cadrage!$C$38,IF($D383="V02",Cadrage!$D$38,Cadrage!$E$38)))</f>
        <v>0.04</v>
      </c>
      <c r="N383">
        <f t="shared" si="1"/>
        <v>0.980622079131853</v>
      </c>
      <c r="O383">
        <f t="shared" si="2"/>
        <v>1.0815</v>
      </c>
      <c r="P383">
        <f>IF($A383="","",IF($E383=1,$F383*$O383,PNL!G383))</f>
        <v>119422.61</v>
      </c>
      <c r="T383">
        <f t="shared" si="3"/>
        <v>0</v>
      </c>
    </row>
    <row r="384" ht="14.25" customHeight="1">
      <c r="A384" t="str">
        <f>IF(PNL!A384="","",PNL!A384)</f>
        <v>MBWAY_PAR</v>
      </c>
      <c r="B384" t="str">
        <f>IF(PNL!B384="","",PNL!B384)</f>
        <v>645</v>
      </c>
      <c r="C384" t="str">
        <f>IF(PNL!C384="","",PNL!C384)</f>
        <v>2026</v>
      </c>
      <c r="D384" t="str">
        <f>IF(PNL!D384="","",PNL!D384)</f>
        <v>ACT</v>
      </c>
      <c r="E384">
        <f t="shared" si="0"/>
        <v>0</v>
      </c>
      <c r="F384">
        <f>IF($A384="","",IF($E384=1,_xlfn.SUMIFS(Comptabilité!$F$1:$F$1446,Comptabilité!$A$1:$A$1446,$A384,Comptabilité!$B$1:$B$1446,$B384,Comptabilité!$C$1:$C$1446,"2026"),0))</f>
        <v>0</v>
      </c>
      <c r="G384">
        <f>IF($A384="","",IF($D384="V01",Cadrage!$C$23,IF($D384="V02",Cadrage!$D$23,Cadrage!$E$23)))</f>
        <v>-0.05</v>
      </c>
      <c r="H384">
        <f>IF($A384="","",IF($D384="V01",Cadrage!$C$24,IF($D384="V02",Cadrage!$D$24,Cadrage!$E$24)))</f>
        <v>-0.05</v>
      </c>
      <c r="I384">
        <f>IF($A384="","",IF($D384="V01",Cadrage!$C$34,IF($D384="V02",Cadrage!$D$34,Cadrage!$E$34)))</f>
        <v>0.03</v>
      </c>
      <c r="J384">
        <f>IF($A384="","",IF($D384="V01",Cadrage!$C$35,IF($D384="V02",Cadrage!$D$35,Cadrage!$E$35)))</f>
        <v>0.03</v>
      </c>
      <c r="K384">
        <f>IF($A384="","",IF($D384="V01",Cadrage!$C$36,IF($D384="V02",Cadrage!$D$36,Cadrage!$E$36)))</f>
        <v>0.05</v>
      </c>
      <c r="L384">
        <f>IF($A384="","",IF($D384="V01",Cadrage!$C$37,IF($D384="V02",Cadrage!$D$37,Cadrage!$E$37)))</f>
        <v>0</v>
      </c>
      <c r="M384">
        <f>IF($A384="","",IF($D384="V01",Cadrage!$C$38,IF($D384="V02",Cadrage!$D$38,Cadrage!$E$38)))</f>
        <v>0.04</v>
      </c>
      <c r="N384">
        <f t="shared" si="1"/>
        <v>0.980622079131853</v>
      </c>
      <c r="O384">
        <f t="shared" si="2"/>
        <v>1.0815</v>
      </c>
      <c r="P384">
        <f>IF($A384="","",IF($E384=1,$F384*$O384,PNL!G384))</f>
        <v>450887.05</v>
      </c>
      <c r="T384">
        <f t="shared" si="3"/>
        <v>0</v>
      </c>
    </row>
    <row r="385" ht="14.25" customHeight="1">
      <c r="A385" t="str">
        <f>IF(PNL!A385="","",PNL!A385)</f>
        <v>MBWAY_LYO</v>
      </c>
      <c r="B385" t="str">
        <f>IF(PNL!B385="","",PNL!B385)</f>
        <v>645</v>
      </c>
      <c r="C385" t="str">
        <f>IF(PNL!C385="","",PNL!C385)</f>
        <v>2026</v>
      </c>
      <c r="D385" t="str">
        <f>IF(PNL!D385="","",PNL!D385)</f>
        <v>ACT</v>
      </c>
      <c r="E385">
        <f t="shared" si="0"/>
        <v>0</v>
      </c>
      <c r="F385">
        <f>IF($A385="","",IF($E385=1,_xlfn.SUMIFS(Comptabilité!$F$1:$F$1446,Comptabilité!$A$1:$A$1446,$A385,Comptabilité!$B$1:$B$1446,$B385,Comptabilité!$C$1:$C$1446,"2026"),0))</f>
        <v>0</v>
      </c>
      <c r="G385">
        <f>IF($A385="","",IF($D385="V01",Cadrage!$C$23,IF($D385="V02",Cadrage!$D$23,Cadrage!$E$23)))</f>
        <v>-0.05</v>
      </c>
      <c r="H385">
        <f>IF($A385="","",IF($D385="V01",Cadrage!$C$24,IF($D385="V02",Cadrage!$D$24,Cadrage!$E$24)))</f>
        <v>-0.05</v>
      </c>
      <c r="I385">
        <f>IF($A385="","",IF($D385="V01",Cadrage!$C$34,IF($D385="V02",Cadrage!$D$34,Cadrage!$E$34)))</f>
        <v>0.03</v>
      </c>
      <c r="J385">
        <f>IF($A385="","",IF($D385="V01",Cadrage!$C$35,IF($D385="V02",Cadrage!$D$35,Cadrage!$E$35)))</f>
        <v>0.03</v>
      </c>
      <c r="K385">
        <f>IF($A385="","",IF($D385="V01",Cadrage!$C$36,IF($D385="V02",Cadrage!$D$36,Cadrage!$E$36)))</f>
        <v>0.05</v>
      </c>
      <c r="L385">
        <f>IF($A385="","",IF($D385="V01",Cadrage!$C$37,IF($D385="V02",Cadrage!$D$37,Cadrage!$E$37)))</f>
        <v>0</v>
      </c>
      <c r="M385">
        <f>IF($A385="","",IF($D385="V01",Cadrage!$C$38,IF($D385="V02",Cadrage!$D$38,Cadrage!$E$38)))</f>
        <v>0.04</v>
      </c>
      <c r="N385">
        <f t="shared" si="1"/>
        <v>0.980622079131853</v>
      </c>
      <c r="O385">
        <f t="shared" si="2"/>
        <v>1.0815</v>
      </c>
      <c r="P385">
        <f>IF($A385="","",IF($E385=1,$F385*$O385,PNL!G385))</f>
        <v>351729.06</v>
      </c>
      <c r="T385">
        <f t="shared" si="3"/>
        <v>0</v>
      </c>
    </row>
    <row r="386" ht="14.25" customHeight="1">
      <c r="A386" t="str">
        <f>IF(PNL!A386="","",PNL!A386)</f>
        <v>MBWAY_NAN</v>
      </c>
      <c r="B386" t="str">
        <f>IF(PNL!B386="","",PNL!B386)</f>
        <v>645</v>
      </c>
      <c r="C386" t="str">
        <f>IF(PNL!C386="","",PNL!C386)</f>
        <v>2026</v>
      </c>
      <c r="D386" t="str">
        <f>IF(PNL!D386="","",PNL!D386)</f>
        <v>ACT</v>
      </c>
      <c r="E386">
        <f t="shared" si="0"/>
        <v>0</v>
      </c>
      <c r="F386">
        <f>IF($A386="","",IF($E386=1,_xlfn.SUMIFS(Comptabilité!$F$1:$F$1446,Comptabilité!$A$1:$A$1446,$A386,Comptabilité!$B$1:$B$1446,$B386,Comptabilité!$C$1:$C$1446,"2026"),0))</f>
        <v>0</v>
      </c>
      <c r="G386">
        <f>IF($A386="","",IF($D386="V01",Cadrage!$C$23,IF($D386="V02",Cadrage!$D$23,Cadrage!$E$23)))</f>
        <v>-0.05</v>
      </c>
      <c r="H386">
        <f>IF($A386="","",IF($D386="V01",Cadrage!$C$24,IF($D386="V02",Cadrage!$D$24,Cadrage!$E$24)))</f>
        <v>-0.05</v>
      </c>
      <c r="I386">
        <f>IF($A386="","",IF($D386="V01",Cadrage!$C$34,IF($D386="V02",Cadrage!$D$34,Cadrage!$E$34)))</f>
        <v>0.03</v>
      </c>
      <c r="J386">
        <f>IF($A386="","",IF($D386="V01",Cadrage!$C$35,IF($D386="V02",Cadrage!$D$35,Cadrage!$E$35)))</f>
        <v>0.03</v>
      </c>
      <c r="K386">
        <f>IF($A386="","",IF($D386="V01",Cadrage!$C$36,IF($D386="V02",Cadrage!$D$36,Cadrage!$E$36)))</f>
        <v>0.05</v>
      </c>
      <c r="L386">
        <f>IF($A386="","",IF($D386="V01",Cadrage!$C$37,IF($D386="V02",Cadrage!$D$37,Cadrage!$E$37)))</f>
        <v>0</v>
      </c>
      <c r="M386">
        <f>IF($A386="","",IF($D386="V01",Cadrage!$C$38,IF($D386="V02",Cadrage!$D$38,Cadrage!$E$38)))</f>
        <v>0.04</v>
      </c>
      <c r="N386">
        <f t="shared" si="1"/>
        <v>0.980622079131853</v>
      </c>
      <c r="O386">
        <f t="shared" si="2"/>
        <v>1.0815</v>
      </c>
      <c r="P386">
        <f>IF($A386="","",IF($E386=1,$F386*$O386,PNL!G386))</f>
        <v>297427.9</v>
      </c>
      <c r="T386">
        <f t="shared" si="3"/>
        <v>0</v>
      </c>
    </row>
    <row r="387" ht="14.25" customHeight="1">
      <c r="A387" t="str">
        <f>IF(PNL!A387="","",PNL!A387)</f>
        <v>MBWAY_BOR</v>
      </c>
      <c r="B387" t="str">
        <f>IF(PNL!B387="","",PNL!B387)</f>
        <v>645</v>
      </c>
      <c r="C387" t="str">
        <f>IF(PNL!C387="","",PNL!C387)</f>
        <v>2026</v>
      </c>
      <c r="D387" t="str">
        <f>IF(PNL!D387="","",PNL!D387)</f>
        <v>ACT</v>
      </c>
      <c r="E387">
        <f t="shared" si="0"/>
        <v>0</v>
      </c>
      <c r="F387">
        <f>IF($A387="","",IF($E387=1,_xlfn.SUMIFS(Comptabilité!$F$1:$F$1446,Comptabilité!$A$1:$A$1446,$A387,Comptabilité!$B$1:$B$1446,$B387,Comptabilité!$C$1:$C$1446,"2026"),0))</f>
        <v>0</v>
      </c>
      <c r="G387">
        <f>IF($A387="","",IF($D387="V01",Cadrage!$C$23,IF($D387="V02",Cadrage!$D$23,Cadrage!$E$23)))</f>
        <v>-0.05</v>
      </c>
      <c r="H387">
        <f>IF($A387="","",IF($D387="V01",Cadrage!$C$24,IF($D387="V02",Cadrage!$D$24,Cadrage!$E$24)))</f>
        <v>-0.05</v>
      </c>
      <c r="I387">
        <f>IF($A387="","",IF($D387="V01",Cadrage!$C$34,IF($D387="V02",Cadrage!$D$34,Cadrage!$E$34)))</f>
        <v>0.03</v>
      </c>
      <c r="J387">
        <f>IF($A387="","",IF($D387="V01",Cadrage!$C$35,IF($D387="V02",Cadrage!$D$35,Cadrage!$E$35)))</f>
        <v>0.03</v>
      </c>
      <c r="K387">
        <f>IF($A387="","",IF($D387="V01",Cadrage!$C$36,IF($D387="V02",Cadrage!$D$36,Cadrage!$E$36)))</f>
        <v>0.05</v>
      </c>
      <c r="L387">
        <f>IF($A387="","",IF($D387="V01",Cadrage!$C$37,IF($D387="V02",Cadrage!$D$37,Cadrage!$E$37)))</f>
        <v>0</v>
      </c>
      <c r="M387">
        <f>IF($A387="","",IF($D387="V01",Cadrage!$C$38,IF($D387="V02",Cadrage!$D$38,Cadrage!$E$38)))</f>
        <v>0.04</v>
      </c>
      <c r="N387">
        <f t="shared" si="1"/>
        <v>0.980622079131853</v>
      </c>
      <c r="O387">
        <f t="shared" si="2"/>
        <v>1.0815</v>
      </c>
      <c r="P387">
        <f>IF($A387="","",IF($E387=1,$F387*$O387,PNL!G387))</f>
        <v>246160.47</v>
      </c>
      <c r="T387">
        <f t="shared" si="3"/>
        <v>0</v>
      </c>
    </row>
    <row r="388" ht="14.25" customHeight="1">
      <c r="A388" t="str">
        <f>IF(PNL!A388="","",PNL!A388)</f>
        <v>ISCOM_PAR</v>
      </c>
      <c r="B388" t="str">
        <f>IF(PNL!B388="","",PNL!B388)</f>
        <v>645</v>
      </c>
      <c r="C388" t="str">
        <f>IF(PNL!C388="","",PNL!C388)</f>
        <v>2026</v>
      </c>
      <c r="D388" t="str">
        <f>IF(PNL!D388="","",PNL!D388)</f>
        <v>ACT</v>
      </c>
      <c r="E388">
        <f t="shared" si="0"/>
        <v>0</v>
      </c>
      <c r="F388">
        <f>IF($A388="","",IF($E388=1,_xlfn.SUMIFS(Comptabilité!$F$1:$F$1446,Comptabilité!$A$1:$A$1446,$A388,Comptabilité!$B$1:$B$1446,$B388,Comptabilité!$C$1:$C$1446,"2026"),0))</f>
        <v>0</v>
      </c>
      <c r="G388">
        <f>IF($A388="","",IF($D388="V01",Cadrage!$C$23,IF($D388="V02",Cadrage!$D$23,Cadrage!$E$23)))</f>
        <v>-0.05</v>
      </c>
      <c r="H388">
        <f>IF($A388="","",IF($D388="V01",Cadrage!$C$24,IF($D388="V02",Cadrage!$D$24,Cadrage!$E$24)))</f>
        <v>-0.05</v>
      </c>
      <c r="I388">
        <f>IF($A388="","",IF($D388="V01",Cadrage!$C$34,IF($D388="V02",Cadrage!$D$34,Cadrage!$E$34)))</f>
        <v>0.03</v>
      </c>
      <c r="J388">
        <f>IF($A388="","",IF($D388="V01",Cadrage!$C$35,IF($D388="V02",Cadrage!$D$35,Cadrage!$E$35)))</f>
        <v>0.03</v>
      </c>
      <c r="K388">
        <f>IF($A388="","",IF($D388="V01",Cadrage!$C$36,IF($D388="V02",Cadrage!$D$36,Cadrage!$E$36)))</f>
        <v>0.05</v>
      </c>
      <c r="L388">
        <f>IF($A388="","",IF($D388="V01",Cadrage!$C$37,IF($D388="V02",Cadrage!$D$37,Cadrage!$E$37)))</f>
        <v>0</v>
      </c>
      <c r="M388">
        <f>IF($A388="","",IF($D388="V01",Cadrage!$C$38,IF($D388="V02",Cadrage!$D$38,Cadrage!$E$38)))</f>
        <v>0.04</v>
      </c>
      <c r="N388">
        <f t="shared" si="1"/>
        <v>0.980622079131853</v>
      </c>
      <c r="O388">
        <f t="shared" si="2"/>
        <v>1.0815</v>
      </c>
      <c r="P388">
        <f>IF($A388="","",IF($E388=1,$F388*$O388,PNL!G388))</f>
        <v>406175.69</v>
      </c>
      <c r="T388">
        <f t="shared" si="3"/>
        <v>0</v>
      </c>
    </row>
    <row r="389" ht="14.25" customHeight="1">
      <c r="A389" t="str">
        <f>IF(PNL!A389="","",PNL!A389)</f>
        <v>ISCOM_LIL</v>
      </c>
      <c r="B389" t="str">
        <f>IF(PNL!B389="","",PNL!B389)</f>
        <v>645</v>
      </c>
      <c r="C389" t="str">
        <f>IF(PNL!C389="","",PNL!C389)</f>
        <v>2026</v>
      </c>
      <c r="D389" t="str">
        <f>IF(PNL!D389="","",PNL!D389)</f>
        <v>ACT</v>
      </c>
      <c r="E389">
        <f t="shared" si="0"/>
        <v>0</v>
      </c>
      <c r="F389">
        <f>IF($A389="","",IF($E389=1,_xlfn.SUMIFS(Comptabilité!$F$1:$F$1446,Comptabilité!$A$1:$A$1446,$A389,Comptabilité!$B$1:$B$1446,$B389,Comptabilité!$C$1:$C$1446,"2026"),0))</f>
        <v>0</v>
      </c>
      <c r="G389">
        <f>IF($A389="","",IF($D389="V01",Cadrage!$C$23,IF($D389="V02",Cadrage!$D$23,Cadrage!$E$23)))</f>
        <v>-0.05</v>
      </c>
      <c r="H389">
        <f>IF($A389="","",IF($D389="V01",Cadrage!$C$24,IF($D389="V02",Cadrage!$D$24,Cadrage!$E$24)))</f>
        <v>-0.05</v>
      </c>
      <c r="I389">
        <f>IF($A389="","",IF($D389="V01",Cadrage!$C$34,IF($D389="V02",Cadrage!$D$34,Cadrage!$E$34)))</f>
        <v>0.03</v>
      </c>
      <c r="J389">
        <f>IF($A389="","",IF($D389="V01",Cadrage!$C$35,IF($D389="V02",Cadrage!$D$35,Cadrage!$E$35)))</f>
        <v>0.03</v>
      </c>
      <c r="K389">
        <f>IF($A389="","",IF($D389="V01",Cadrage!$C$36,IF($D389="V02",Cadrage!$D$36,Cadrage!$E$36)))</f>
        <v>0.05</v>
      </c>
      <c r="L389">
        <f>IF($A389="","",IF($D389="V01",Cadrage!$C$37,IF($D389="V02",Cadrage!$D$37,Cadrage!$E$37)))</f>
        <v>0</v>
      </c>
      <c r="M389">
        <f>IF($A389="","",IF($D389="V01",Cadrage!$C$38,IF($D389="V02",Cadrage!$D$38,Cadrage!$E$38)))</f>
        <v>0.04</v>
      </c>
      <c r="N389">
        <f t="shared" si="1"/>
        <v>0.980622079131853</v>
      </c>
      <c r="O389">
        <f t="shared" si="2"/>
        <v>1.0815</v>
      </c>
      <c r="P389">
        <f>IF($A389="","",IF($E389=1,$F389*$O389,PNL!G389))</f>
        <v>244944.94</v>
      </c>
      <c r="T389">
        <f t="shared" si="3"/>
        <v>0</v>
      </c>
    </row>
    <row r="390" ht="14.25" customHeight="1">
      <c r="A390" t="str">
        <f>IF(PNL!A390="","",PNL!A390)</f>
        <v>ISCOM_TLS</v>
      </c>
      <c r="B390" t="str">
        <f>IF(PNL!B390="","",PNL!B390)</f>
        <v>645</v>
      </c>
      <c r="C390" t="str">
        <f>IF(PNL!C390="","",PNL!C390)</f>
        <v>2026</v>
      </c>
      <c r="D390" t="str">
        <f>IF(PNL!D390="","",PNL!D390)</f>
        <v>ACT</v>
      </c>
      <c r="E390">
        <f t="shared" si="0"/>
        <v>0</v>
      </c>
      <c r="F390">
        <f>IF($A390="","",IF($E390=1,_xlfn.SUMIFS(Comptabilité!$F$1:$F$1446,Comptabilité!$A$1:$A$1446,$A390,Comptabilité!$B$1:$B$1446,$B390,Comptabilité!$C$1:$C$1446,"2026"),0))</f>
        <v>0</v>
      </c>
      <c r="G390">
        <f>IF($A390="","",IF($D390="V01",Cadrage!$C$23,IF($D390="V02",Cadrage!$D$23,Cadrage!$E$23)))</f>
        <v>-0.05</v>
      </c>
      <c r="H390">
        <f>IF($A390="","",IF($D390="V01",Cadrage!$C$24,IF($D390="V02",Cadrage!$D$24,Cadrage!$E$24)))</f>
        <v>-0.05</v>
      </c>
      <c r="I390">
        <f>IF($A390="","",IF($D390="V01",Cadrage!$C$34,IF($D390="V02",Cadrage!$D$34,Cadrage!$E$34)))</f>
        <v>0.03</v>
      </c>
      <c r="J390">
        <f>IF($A390="","",IF($D390="V01",Cadrage!$C$35,IF($D390="V02",Cadrage!$D$35,Cadrage!$E$35)))</f>
        <v>0.03</v>
      </c>
      <c r="K390">
        <f>IF($A390="","",IF($D390="V01",Cadrage!$C$36,IF($D390="V02",Cadrage!$D$36,Cadrage!$E$36)))</f>
        <v>0.05</v>
      </c>
      <c r="L390">
        <f>IF($A390="","",IF($D390="V01",Cadrage!$C$37,IF($D390="V02",Cadrage!$D$37,Cadrage!$E$37)))</f>
        <v>0</v>
      </c>
      <c r="M390">
        <f>IF($A390="","",IF($D390="V01",Cadrage!$C$38,IF($D390="V02",Cadrage!$D$38,Cadrage!$E$38)))</f>
        <v>0.04</v>
      </c>
      <c r="N390">
        <f t="shared" si="1"/>
        <v>0.980622079131853</v>
      </c>
      <c r="O390">
        <f t="shared" si="2"/>
        <v>1.0815</v>
      </c>
      <c r="P390">
        <f>IF($A390="","",IF($E390=1,$F390*$O390,PNL!G390))</f>
        <v>218057.94</v>
      </c>
      <c r="T390">
        <f t="shared" si="3"/>
        <v>0</v>
      </c>
    </row>
    <row r="391" ht="14.25" customHeight="1">
      <c r="A391" t="str">
        <f>IF(PNL!A391="","",PNL!A391)</f>
        <v>IPAC_NAN</v>
      </c>
      <c r="B391" t="str">
        <f>IF(PNL!B391="","",PNL!B391)</f>
        <v>645</v>
      </c>
      <c r="C391" t="str">
        <f>IF(PNL!C391="","",PNL!C391)</f>
        <v>2026</v>
      </c>
      <c r="D391" t="str">
        <f>IF(PNL!D391="","",PNL!D391)</f>
        <v>ACT</v>
      </c>
      <c r="E391">
        <f t="shared" si="0"/>
        <v>0</v>
      </c>
      <c r="F391">
        <f>IF($A391="","",IF($E391=1,_xlfn.SUMIFS(Comptabilité!$F$1:$F$1446,Comptabilité!$A$1:$A$1446,$A391,Comptabilité!$B$1:$B$1446,$B391,Comptabilité!$C$1:$C$1446,"2026"),0))</f>
        <v>0</v>
      </c>
      <c r="G391">
        <f>IF($A391="","",IF($D391="V01",Cadrage!$C$23,IF($D391="V02",Cadrage!$D$23,Cadrage!$E$23)))</f>
        <v>-0.05</v>
      </c>
      <c r="H391">
        <f>IF($A391="","",IF($D391="V01",Cadrage!$C$24,IF($D391="V02",Cadrage!$D$24,Cadrage!$E$24)))</f>
        <v>-0.05</v>
      </c>
      <c r="I391">
        <f>IF($A391="","",IF($D391="V01",Cadrage!$C$34,IF($D391="V02",Cadrage!$D$34,Cadrage!$E$34)))</f>
        <v>0.03</v>
      </c>
      <c r="J391">
        <f>IF($A391="","",IF($D391="V01",Cadrage!$C$35,IF($D391="V02",Cadrage!$D$35,Cadrage!$E$35)))</f>
        <v>0.03</v>
      </c>
      <c r="K391">
        <f>IF($A391="","",IF($D391="V01",Cadrage!$C$36,IF($D391="V02",Cadrage!$D$36,Cadrage!$E$36)))</f>
        <v>0.05</v>
      </c>
      <c r="L391">
        <f>IF($A391="","",IF($D391="V01",Cadrage!$C$37,IF($D391="V02",Cadrage!$D$37,Cadrage!$E$37)))</f>
        <v>0</v>
      </c>
      <c r="M391">
        <f>IF($A391="","",IF($D391="V01",Cadrage!$C$38,IF($D391="V02",Cadrage!$D$38,Cadrage!$E$38)))</f>
        <v>0.04</v>
      </c>
      <c r="N391">
        <f t="shared" si="1"/>
        <v>0.980622079131853</v>
      </c>
      <c r="O391">
        <f t="shared" si="2"/>
        <v>1.0815</v>
      </c>
      <c r="P391">
        <f>IF($A391="","",IF($E391=1,$F391*$O391,PNL!G391))</f>
        <v>143328.92</v>
      </c>
      <c r="T391">
        <f t="shared" si="3"/>
        <v>0</v>
      </c>
    </row>
    <row r="392" ht="14.25" customHeight="1">
      <c r="A392" t="str">
        <f>IF(PNL!A392="","",PNL!A392)</f>
        <v>IPAC_REN</v>
      </c>
      <c r="B392" t="str">
        <f>IF(PNL!B392="","",PNL!B392)</f>
        <v>645</v>
      </c>
      <c r="C392" t="str">
        <f>IF(PNL!C392="","",PNL!C392)</f>
        <v>2026</v>
      </c>
      <c r="D392" t="str">
        <f>IF(PNL!D392="","",PNL!D392)</f>
        <v>ACT</v>
      </c>
      <c r="E392">
        <f t="shared" si="0"/>
        <v>0</v>
      </c>
      <c r="F392">
        <f>IF($A392="","",IF($E392=1,_xlfn.SUMIFS(Comptabilité!$F$1:$F$1446,Comptabilité!$A$1:$A$1446,$A392,Comptabilité!$B$1:$B$1446,$B392,Comptabilité!$C$1:$C$1446,"2026"),0))</f>
        <v>0</v>
      </c>
      <c r="G392">
        <f>IF($A392="","",IF($D392="V01",Cadrage!$C$23,IF($D392="V02",Cadrage!$D$23,Cadrage!$E$23)))</f>
        <v>-0.05</v>
      </c>
      <c r="H392">
        <f>IF($A392="","",IF($D392="V01",Cadrage!$C$24,IF($D392="V02",Cadrage!$D$24,Cadrage!$E$24)))</f>
        <v>-0.05</v>
      </c>
      <c r="I392">
        <f>IF($A392="","",IF($D392="V01",Cadrage!$C$34,IF($D392="V02",Cadrage!$D$34,Cadrage!$E$34)))</f>
        <v>0.03</v>
      </c>
      <c r="J392">
        <f>IF($A392="","",IF($D392="V01",Cadrage!$C$35,IF($D392="V02",Cadrage!$D$35,Cadrage!$E$35)))</f>
        <v>0.03</v>
      </c>
      <c r="K392">
        <f>IF($A392="","",IF($D392="V01",Cadrage!$C$36,IF($D392="V02",Cadrage!$D$36,Cadrage!$E$36)))</f>
        <v>0.05</v>
      </c>
      <c r="L392">
        <f>IF($A392="","",IF($D392="V01",Cadrage!$C$37,IF($D392="V02",Cadrage!$D$37,Cadrage!$E$37)))</f>
        <v>0</v>
      </c>
      <c r="M392">
        <f>IF($A392="","",IF($D392="V01",Cadrage!$C$38,IF($D392="V02",Cadrage!$D$38,Cadrage!$E$38)))</f>
        <v>0.04</v>
      </c>
      <c r="N392">
        <f t="shared" si="1"/>
        <v>0.980622079131853</v>
      </c>
      <c r="O392">
        <f t="shared" si="2"/>
        <v>1.0815</v>
      </c>
      <c r="P392">
        <f>IF($A392="","",IF($E392=1,$F392*$O392,PNL!G392))</f>
        <v>93636.71</v>
      </c>
      <c r="T392">
        <f t="shared" si="3"/>
        <v>0</v>
      </c>
    </row>
    <row r="393" ht="14.25" customHeight="1">
      <c r="A393" t="str">
        <f>IF(PNL!A393="","",PNL!A393)</f>
        <v>IPAC_MTP</v>
      </c>
      <c r="B393" t="str">
        <f>IF(PNL!B393="","",PNL!B393)</f>
        <v>645</v>
      </c>
      <c r="C393" t="str">
        <f>IF(PNL!C393="","",PNL!C393)</f>
        <v>2026</v>
      </c>
      <c r="D393" t="str">
        <f>IF(PNL!D393="","",PNL!D393)</f>
        <v>ACT</v>
      </c>
      <c r="E393">
        <f t="shared" si="0"/>
        <v>0</v>
      </c>
      <c r="F393">
        <f>IF($A393="","",IF($E393=1,_xlfn.SUMIFS(Comptabilité!$F$1:$F$1446,Comptabilité!$A$1:$A$1446,$A393,Comptabilité!$B$1:$B$1446,$B393,Comptabilité!$C$1:$C$1446,"2026"),0))</f>
        <v>0</v>
      </c>
      <c r="G393">
        <f>IF($A393="","",IF($D393="V01",Cadrage!$C$23,IF($D393="V02",Cadrage!$D$23,Cadrage!$E$23)))</f>
        <v>-0.05</v>
      </c>
      <c r="H393">
        <f>IF($A393="","",IF($D393="V01",Cadrage!$C$24,IF($D393="V02",Cadrage!$D$24,Cadrage!$E$24)))</f>
        <v>-0.05</v>
      </c>
      <c r="I393">
        <f>IF($A393="","",IF($D393="V01",Cadrage!$C$34,IF($D393="V02",Cadrage!$D$34,Cadrage!$E$34)))</f>
        <v>0.03</v>
      </c>
      <c r="J393">
        <f>IF($A393="","",IF($D393="V01",Cadrage!$C$35,IF($D393="V02",Cadrage!$D$35,Cadrage!$E$35)))</f>
        <v>0.03</v>
      </c>
      <c r="K393">
        <f>IF($A393="","",IF($D393="V01",Cadrage!$C$36,IF($D393="V02",Cadrage!$D$36,Cadrage!$E$36)))</f>
        <v>0.05</v>
      </c>
      <c r="L393">
        <f>IF($A393="","",IF($D393="V01",Cadrage!$C$37,IF($D393="V02",Cadrage!$D$37,Cadrage!$E$37)))</f>
        <v>0</v>
      </c>
      <c r="M393">
        <f>IF($A393="","",IF($D393="V01",Cadrage!$C$38,IF($D393="V02",Cadrage!$D$38,Cadrage!$E$38)))</f>
        <v>0.04</v>
      </c>
      <c r="N393">
        <f t="shared" si="1"/>
        <v>0.980622079131853</v>
      </c>
      <c r="O393">
        <f t="shared" si="2"/>
        <v>1.0815</v>
      </c>
      <c r="P393">
        <f>IF($A393="","",IF($E393=1,$F393*$O393,PNL!G393))</f>
        <v>93580.87</v>
      </c>
      <c r="T393">
        <f t="shared" si="3"/>
        <v>0</v>
      </c>
    </row>
    <row r="394" ht="14.25" customHeight="1">
      <c r="A394" t="str">
        <f>IF(PNL!A394="","",PNL!A394)</f>
        <v>PIGIER_LYO</v>
      </c>
      <c r="B394" t="str">
        <f>IF(PNL!B394="","",PNL!B394)</f>
        <v>645</v>
      </c>
      <c r="C394" t="str">
        <f>IF(PNL!C394="","",PNL!C394)</f>
        <v>2026</v>
      </c>
      <c r="D394" t="str">
        <f>IF(PNL!D394="","",PNL!D394)</f>
        <v>ACT</v>
      </c>
      <c r="E394">
        <f t="shared" si="0"/>
        <v>0</v>
      </c>
      <c r="F394">
        <f>IF($A394="","",IF($E394=1,_xlfn.SUMIFS(Comptabilité!$F$1:$F$1446,Comptabilité!$A$1:$A$1446,$A394,Comptabilité!$B$1:$B$1446,$B394,Comptabilité!$C$1:$C$1446,"2026"),0))</f>
        <v>0</v>
      </c>
      <c r="G394">
        <f>IF($A394="","",IF($D394="V01",Cadrage!$C$23,IF($D394="V02",Cadrage!$D$23,Cadrage!$E$23)))</f>
        <v>-0.05</v>
      </c>
      <c r="H394">
        <f>IF($A394="","",IF($D394="V01",Cadrage!$C$24,IF($D394="V02",Cadrage!$D$24,Cadrage!$E$24)))</f>
        <v>-0.05</v>
      </c>
      <c r="I394">
        <f>IF($A394="","",IF($D394="V01",Cadrage!$C$34,IF($D394="V02",Cadrage!$D$34,Cadrage!$E$34)))</f>
        <v>0.03</v>
      </c>
      <c r="J394">
        <f>IF($A394="","",IF($D394="V01",Cadrage!$C$35,IF($D394="V02",Cadrage!$D$35,Cadrage!$E$35)))</f>
        <v>0.03</v>
      </c>
      <c r="K394">
        <f>IF($A394="","",IF($D394="V01",Cadrage!$C$36,IF($D394="V02",Cadrage!$D$36,Cadrage!$E$36)))</f>
        <v>0.05</v>
      </c>
      <c r="L394">
        <f>IF($A394="","",IF($D394="V01",Cadrage!$C$37,IF($D394="V02",Cadrage!$D$37,Cadrage!$E$37)))</f>
        <v>0</v>
      </c>
      <c r="M394">
        <f>IF($A394="","",IF($D394="V01",Cadrage!$C$38,IF($D394="V02",Cadrage!$D$38,Cadrage!$E$38)))</f>
        <v>0.04</v>
      </c>
      <c r="N394">
        <f t="shared" si="1"/>
        <v>0.980622079131853</v>
      </c>
      <c r="O394">
        <f t="shared" si="2"/>
        <v>1.0815</v>
      </c>
      <c r="P394">
        <f>IF($A394="","",IF($E394=1,$F394*$O394,PNL!G394))</f>
        <v>193593.69</v>
      </c>
      <c r="T394">
        <f t="shared" si="3"/>
        <v>0</v>
      </c>
    </row>
    <row r="395" ht="14.25" customHeight="1">
      <c r="A395" t="str">
        <f>IF(PNL!A395="","",PNL!A395)</f>
        <v>PIGIER_BOR</v>
      </c>
      <c r="B395" t="str">
        <f>IF(PNL!B395="","",PNL!B395)</f>
        <v>645</v>
      </c>
      <c r="C395" t="str">
        <f>IF(PNL!C395="","",PNL!C395)</f>
        <v>2026</v>
      </c>
      <c r="D395" t="str">
        <f>IF(PNL!D395="","",PNL!D395)</f>
        <v>ACT</v>
      </c>
      <c r="E395">
        <f t="shared" si="0"/>
        <v>0</v>
      </c>
      <c r="F395">
        <f>IF($A395="","",IF($E395=1,_xlfn.SUMIFS(Comptabilité!$F$1:$F$1446,Comptabilité!$A$1:$A$1446,$A395,Comptabilité!$B$1:$B$1446,$B395,Comptabilité!$C$1:$C$1446,"2026"),0))</f>
        <v>0</v>
      </c>
      <c r="G395">
        <f>IF($A395="","",IF($D395="V01",Cadrage!$C$23,IF($D395="V02",Cadrage!$D$23,Cadrage!$E$23)))</f>
        <v>-0.05</v>
      </c>
      <c r="H395">
        <f>IF($A395="","",IF($D395="V01",Cadrage!$C$24,IF($D395="V02",Cadrage!$D$24,Cadrage!$E$24)))</f>
        <v>-0.05</v>
      </c>
      <c r="I395">
        <f>IF($A395="","",IF($D395="V01",Cadrage!$C$34,IF($D395="V02",Cadrage!$D$34,Cadrage!$E$34)))</f>
        <v>0.03</v>
      </c>
      <c r="J395">
        <f>IF($A395="","",IF($D395="V01",Cadrage!$C$35,IF($D395="V02",Cadrage!$D$35,Cadrage!$E$35)))</f>
        <v>0.03</v>
      </c>
      <c r="K395">
        <f>IF($A395="","",IF($D395="V01",Cadrage!$C$36,IF($D395="V02",Cadrage!$D$36,Cadrage!$E$36)))</f>
        <v>0.05</v>
      </c>
      <c r="L395">
        <f>IF($A395="","",IF($D395="V01",Cadrage!$C$37,IF($D395="V02",Cadrage!$D$37,Cadrage!$E$37)))</f>
        <v>0</v>
      </c>
      <c r="M395">
        <f>IF($A395="","",IF($D395="V01",Cadrage!$C$38,IF($D395="V02",Cadrage!$D$38,Cadrage!$E$38)))</f>
        <v>0.04</v>
      </c>
      <c r="N395">
        <f t="shared" si="1"/>
        <v>0.980622079131853</v>
      </c>
      <c r="O395">
        <f t="shared" si="2"/>
        <v>1.0815</v>
      </c>
      <c r="P395">
        <f>IF($A395="","",IF($E395=1,$F395*$O395,PNL!G395))</f>
        <v>114395.03</v>
      </c>
      <c r="T395">
        <f t="shared" si="3"/>
        <v>0</v>
      </c>
    </row>
    <row r="396" ht="14.25" customHeight="1">
      <c r="A396" t="str">
        <f>IF(PNL!A396="","",PNL!A396)</f>
        <v>TUNON_PAR</v>
      </c>
      <c r="B396" t="str">
        <f>IF(PNL!B396="","",PNL!B396)</f>
        <v>645</v>
      </c>
      <c r="C396" t="str">
        <f>IF(PNL!C396="","",PNL!C396)</f>
        <v>2026</v>
      </c>
      <c r="D396" t="str">
        <f>IF(PNL!D396="","",PNL!D396)</f>
        <v>ACT</v>
      </c>
      <c r="E396">
        <f t="shared" si="0"/>
        <v>0</v>
      </c>
      <c r="F396">
        <f>IF($A396="","",IF($E396=1,_xlfn.SUMIFS(Comptabilité!$F$1:$F$1446,Comptabilité!$A$1:$A$1446,$A396,Comptabilité!$B$1:$B$1446,$B396,Comptabilité!$C$1:$C$1446,"2026"),0))</f>
        <v>0</v>
      </c>
      <c r="G396">
        <f>IF($A396="","",IF($D396="V01",Cadrage!$C$23,IF($D396="V02",Cadrage!$D$23,Cadrage!$E$23)))</f>
        <v>-0.05</v>
      </c>
      <c r="H396">
        <f>IF($A396="","",IF($D396="V01",Cadrage!$C$24,IF($D396="V02",Cadrage!$D$24,Cadrage!$E$24)))</f>
        <v>-0.05</v>
      </c>
      <c r="I396">
        <f>IF($A396="","",IF($D396="V01",Cadrage!$C$34,IF($D396="V02",Cadrage!$D$34,Cadrage!$E$34)))</f>
        <v>0.03</v>
      </c>
      <c r="J396">
        <f>IF($A396="","",IF($D396="V01",Cadrage!$C$35,IF($D396="V02",Cadrage!$D$35,Cadrage!$E$35)))</f>
        <v>0.03</v>
      </c>
      <c r="K396">
        <f>IF($A396="","",IF($D396="V01",Cadrage!$C$36,IF($D396="V02",Cadrage!$D$36,Cadrage!$E$36)))</f>
        <v>0.05</v>
      </c>
      <c r="L396">
        <f>IF($A396="","",IF($D396="V01",Cadrage!$C$37,IF($D396="V02",Cadrage!$D$37,Cadrage!$E$37)))</f>
        <v>0</v>
      </c>
      <c r="M396">
        <f>IF($A396="","",IF($D396="V01",Cadrage!$C$38,IF($D396="V02",Cadrage!$D$38,Cadrage!$E$38)))</f>
        <v>0.04</v>
      </c>
      <c r="N396">
        <f t="shared" si="1"/>
        <v>0.980622079131853</v>
      </c>
      <c r="O396">
        <f t="shared" si="2"/>
        <v>1.0815</v>
      </c>
      <c r="P396">
        <f>IF($A396="","",IF($E396=1,$F396*$O396,PNL!G396))</f>
        <v>181171.41</v>
      </c>
      <c r="T396">
        <f t="shared" si="3"/>
        <v>0</v>
      </c>
    </row>
    <row r="397" ht="14.25" customHeight="1">
      <c r="A397" t="str">
        <f>IF(PNL!A397="","",PNL!A397)</f>
        <v>TUNON_LYO</v>
      </c>
      <c r="B397" t="str">
        <f>IF(PNL!B397="","",PNL!B397)</f>
        <v>645</v>
      </c>
      <c r="C397" t="str">
        <f>IF(PNL!C397="","",PNL!C397)</f>
        <v>2026</v>
      </c>
      <c r="D397" t="str">
        <f>IF(PNL!D397="","",PNL!D397)</f>
        <v>ACT</v>
      </c>
      <c r="E397">
        <f t="shared" si="0"/>
        <v>0</v>
      </c>
      <c r="F397">
        <f>IF($A397="","",IF($E397=1,_xlfn.SUMIFS(Comptabilité!$F$1:$F$1446,Comptabilité!$A$1:$A$1446,$A397,Comptabilité!$B$1:$B$1446,$B397,Comptabilité!$C$1:$C$1446,"2026"),0))</f>
        <v>0</v>
      </c>
      <c r="G397">
        <f>IF($A397="","",IF($D397="V01",Cadrage!$C$23,IF($D397="V02",Cadrage!$D$23,Cadrage!$E$23)))</f>
        <v>-0.05</v>
      </c>
      <c r="H397">
        <f>IF($A397="","",IF($D397="V01",Cadrage!$C$24,IF($D397="V02",Cadrage!$D$24,Cadrage!$E$24)))</f>
        <v>-0.05</v>
      </c>
      <c r="I397">
        <f>IF($A397="","",IF($D397="V01",Cadrage!$C$34,IF($D397="V02",Cadrage!$D$34,Cadrage!$E$34)))</f>
        <v>0.03</v>
      </c>
      <c r="J397">
        <f>IF($A397="","",IF($D397="V01",Cadrage!$C$35,IF($D397="V02",Cadrage!$D$35,Cadrage!$E$35)))</f>
        <v>0.03</v>
      </c>
      <c r="K397">
        <f>IF($A397="","",IF($D397="V01",Cadrage!$C$36,IF($D397="V02",Cadrage!$D$36,Cadrage!$E$36)))</f>
        <v>0.05</v>
      </c>
      <c r="L397">
        <f>IF($A397="","",IF($D397="V01",Cadrage!$C$37,IF($D397="V02",Cadrage!$D$37,Cadrage!$E$37)))</f>
        <v>0</v>
      </c>
      <c r="M397">
        <f>IF($A397="","",IF($D397="V01",Cadrage!$C$38,IF($D397="V02",Cadrage!$D$38,Cadrage!$E$38)))</f>
        <v>0.04</v>
      </c>
      <c r="N397">
        <f t="shared" si="1"/>
        <v>0.980622079131853</v>
      </c>
      <c r="O397">
        <f t="shared" si="2"/>
        <v>1.0815</v>
      </c>
      <c r="P397">
        <f>IF($A397="","",IF($E397=1,$F397*$O397,PNL!G397))</f>
        <v>127868.22</v>
      </c>
      <c r="T397">
        <f t="shared" si="3"/>
        <v>0</v>
      </c>
    </row>
    <row r="398" ht="14.25" customHeight="1">
      <c r="A398" t="str">
        <f>IF(PNL!A398="","",PNL!A398)</f>
        <v>MBWAY_PAR</v>
      </c>
      <c r="B398" t="str">
        <f>IF(PNL!B398="","",PNL!B398)</f>
        <v>613</v>
      </c>
      <c r="C398" t="str">
        <f>IF(PNL!C398="","",PNL!C398)</f>
        <v>2024</v>
      </c>
      <c r="D398" t="str">
        <f>IF(PNL!D398="","",PNL!D398)</f>
        <v>ACT</v>
      </c>
      <c r="E398">
        <f t="shared" si="0"/>
        <v>0</v>
      </c>
      <c r="F398">
        <f>IF($A398="","",IF($E398=1,_xlfn.SUMIFS(Comptabilité!$F$1:$F$1446,Comptabilité!$A$1:$A$1446,$A398,Comptabilité!$B$1:$B$1446,$B398,Comptabilité!$C$1:$C$1446,"2026"),0))</f>
        <v>0</v>
      </c>
      <c r="G398">
        <f>IF($A398="","",IF($D398="V01",Cadrage!$C$23,IF($D398="V02",Cadrage!$D$23,Cadrage!$E$23)))</f>
        <v>-0.05</v>
      </c>
      <c r="H398">
        <f>IF($A398="","",IF($D398="V01",Cadrage!$C$24,IF($D398="V02",Cadrage!$D$24,Cadrage!$E$24)))</f>
        <v>-0.05</v>
      </c>
      <c r="I398">
        <f>IF($A398="","",IF($D398="V01",Cadrage!$C$34,IF($D398="V02",Cadrage!$D$34,Cadrage!$E$34)))</f>
        <v>0.03</v>
      </c>
      <c r="J398">
        <f>IF($A398="","",IF($D398="V01",Cadrage!$C$35,IF($D398="V02",Cadrage!$D$35,Cadrage!$E$35)))</f>
        <v>0.03</v>
      </c>
      <c r="K398">
        <f>IF($A398="","",IF($D398="V01",Cadrage!$C$36,IF($D398="V02",Cadrage!$D$36,Cadrage!$E$36)))</f>
        <v>0.05</v>
      </c>
      <c r="L398">
        <f>IF($A398="","",IF($D398="V01",Cadrage!$C$37,IF($D398="V02",Cadrage!$D$37,Cadrage!$E$37)))</f>
        <v>0</v>
      </c>
      <c r="M398">
        <f>IF($A398="","",IF($D398="V01",Cadrage!$C$38,IF($D398="V02",Cadrage!$D$38,Cadrage!$E$38)))</f>
        <v>0.04</v>
      </c>
      <c r="N398">
        <f t="shared" si="1"/>
        <v>0.980622079131853</v>
      </c>
      <c r="O398">
        <f t="shared" si="2"/>
        <v>1.0712</v>
      </c>
      <c r="P398">
        <f>IF($A398="","",IF($E398=1,$F398*$O398,PNL!G398))</f>
        <v>285101.98</v>
      </c>
      <c r="T398">
        <f t="shared" si="3"/>
        <v>0</v>
      </c>
    </row>
    <row r="399" ht="14.25" customHeight="1">
      <c r="A399" t="str">
        <f>IF(PNL!A399="","",PNL!A399)</f>
        <v>MBWAY_LYO</v>
      </c>
      <c r="B399" t="str">
        <f>IF(PNL!B399="","",PNL!B399)</f>
        <v>613</v>
      </c>
      <c r="C399" t="str">
        <f>IF(PNL!C399="","",PNL!C399)</f>
        <v>2024</v>
      </c>
      <c r="D399" t="str">
        <f>IF(PNL!D399="","",PNL!D399)</f>
        <v>ACT</v>
      </c>
      <c r="E399">
        <f t="shared" si="0"/>
        <v>0</v>
      </c>
      <c r="F399">
        <f>IF($A399="","",IF($E399=1,_xlfn.SUMIFS(Comptabilité!$F$1:$F$1446,Comptabilité!$A$1:$A$1446,$A399,Comptabilité!$B$1:$B$1446,$B399,Comptabilité!$C$1:$C$1446,"2026"),0))</f>
        <v>0</v>
      </c>
      <c r="G399">
        <f>IF($A399="","",IF($D399="V01",Cadrage!$C$23,IF($D399="V02",Cadrage!$D$23,Cadrage!$E$23)))</f>
        <v>-0.05</v>
      </c>
      <c r="H399">
        <f>IF($A399="","",IF($D399="V01",Cadrage!$C$24,IF($D399="V02",Cadrage!$D$24,Cadrage!$E$24)))</f>
        <v>-0.05</v>
      </c>
      <c r="I399">
        <f>IF($A399="","",IF($D399="V01",Cadrage!$C$34,IF($D399="V02",Cadrage!$D$34,Cadrage!$E$34)))</f>
        <v>0.03</v>
      </c>
      <c r="J399">
        <f>IF($A399="","",IF($D399="V01",Cadrage!$C$35,IF($D399="V02",Cadrage!$D$35,Cadrage!$E$35)))</f>
        <v>0.03</v>
      </c>
      <c r="K399">
        <f>IF($A399="","",IF($D399="V01",Cadrage!$C$36,IF($D399="V02",Cadrage!$D$36,Cadrage!$E$36)))</f>
        <v>0.05</v>
      </c>
      <c r="L399">
        <f>IF($A399="","",IF($D399="V01",Cadrage!$C$37,IF($D399="V02",Cadrage!$D$37,Cadrage!$E$37)))</f>
        <v>0</v>
      </c>
      <c r="M399">
        <f>IF($A399="","",IF($D399="V01",Cadrage!$C$38,IF($D399="V02",Cadrage!$D$38,Cadrage!$E$38)))</f>
        <v>0.04</v>
      </c>
      <c r="N399">
        <f t="shared" si="1"/>
        <v>0.980622079131853</v>
      </c>
      <c r="O399">
        <f t="shared" si="2"/>
        <v>1.0712</v>
      </c>
      <c r="P399">
        <f>IF($A399="","",IF($E399=1,$F399*$O399,PNL!G399))</f>
        <v>227851.72</v>
      </c>
      <c r="T399">
        <f t="shared" si="3"/>
        <v>0</v>
      </c>
    </row>
    <row r="400" ht="14.25" customHeight="1">
      <c r="A400" t="str">
        <f>IF(PNL!A400="","",PNL!A400)</f>
        <v>MBWAY_NAN</v>
      </c>
      <c r="B400" t="str">
        <f>IF(PNL!B400="","",PNL!B400)</f>
        <v>613</v>
      </c>
      <c r="C400" t="str">
        <f>IF(PNL!C400="","",PNL!C400)</f>
        <v>2024</v>
      </c>
      <c r="D400" t="str">
        <f>IF(PNL!D400="","",PNL!D400)</f>
        <v>ACT</v>
      </c>
      <c r="E400">
        <f t="shared" si="0"/>
        <v>0</v>
      </c>
      <c r="F400">
        <f>IF($A400="","",IF($E400=1,_xlfn.SUMIFS(Comptabilité!$F$1:$F$1446,Comptabilité!$A$1:$A$1446,$A400,Comptabilité!$B$1:$B$1446,$B400,Comptabilité!$C$1:$C$1446,"2026"),0))</f>
        <v>0</v>
      </c>
      <c r="G400">
        <f>IF($A400="","",IF($D400="V01",Cadrage!$C$23,IF($D400="V02",Cadrage!$D$23,Cadrage!$E$23)))</f>
        <v>-0.05</v>
      </c>
      <c r="H400">
        <f>IF($A400="","",IF($D400="V01",Cadrage!$C$24,IF($D400="V02",Cadrage!$D$24,Cadrage!$E$24)))</f>
        <v>-0.05</v>
      </c>
      <c r="I400">
        <f>IF($A400="","",IF($D400="V01",Cadrage!$C$34,IF($D400="V02",Cadrage!$D$34,Cadrage!$E$34)))</f>
        <v>0.03</v>
      </c>
      <c r="J400">
        <f>IF($A400="","",IF($D400="V01",Cadrage!$C$35,IF($D400="V02",Cadrage!$D$35,Cadrage!$E$35)))</f>
        <v>0.03</v>
      </c>
      <c r="K400">
        <f>IF($A400="","",IF($D400="V01",Cadrage!$C$36,IF($D400="V02",Cadrage!$D$36,Cadrage!$E$36)))</f>
        <v>0.05</v>
      </c>
      <c r="L400">
        <f>IF($A400="","",IF($D400="V01",Cadrage!$C$37,IF($D400="V02",Cadrage!$D$37,Cadrage!$E$37)))</f>
        <v>0</v>
      </c>
      <c r="M400">
        <f>IF($A400="","",IF($D400="V01",Cadrage!$C$38,IF($D400="V02",Cadrage!$D$38,Cadrage!$E$38)))</f>
        <v>0.04</v>
      </c>
      <c r="N400">
        <f t="shared" si="1"/>
        <v>0.980622079131853</v>
      </c>
      <c r="O400">
        <f t="shared" si="2"/>
        <v>1.0712</v>
      </c>
      <c r="P400">
        <f>IF($A400="","",IF($E400=1,$F400*$O400,PNL!G400))</f>
        <v>195734.4</v>
      </c>
      <c r="T400">
        <f t="shared" si="3"/>
        <v>0</v>
      </c>
    </row>
    <row r="401" ht="14.25" customHeight="1">
      <c r="A401" t="str">
        <f>IF(PNL!A401="","",PNL!A401)</f>
        <v>MBWAY_BOR</v>
      </c>
      <c r="B401" t="str">
        <f>IF(PNL!B401="","",PNL!B401)</f>
        <v>613</v>
      </c>
      <c r="C401" t="str">
        <f>IF(PNL!C401="","",PNL!C401)</f>
        <v>2024</v>
      </c>
      <c r="D401" t="str">
        <f>IF(PNL!D401="","",PNL!D401)</f>
        <v>ACT</v>
      </c>
      <c r="E401">
        <f t="shared" si="0"/>
        <v>0</v>
      </c>
      <c r="F401">
        <f>IF($A401="","",IF($E401=1,_xlfn.SUMIFS(Comptabilité!$F$1:$F$1446,Comptabilité!$A$1:$A$1446,$A401,Comptabilité!$B$1:$B$1446,$B401,Comptabilité!$C$1:$C$1446,"2026"),0))</f>
        <v>0</v>
      </c>
      <c r="G401">
        <f>IF($A401="","",IF($D401="V01",Cadrage!$C$23,IF($D401="V02",Cadrage!$D$23,Cadrage!$E$23)))</f>
        <v>-0.05</v>
      </c>
      <c r="H401">
        <f>IF($A401="","",IF($D401="V01",Cadrage!$C$24,IF($D401="V02",Cadrage!$D$24,Cadrage!$E$24)))</f>
        <v>-0.05</v>
      </c>
      <c r="I401">
        <f>IF($A401="","",IF($D401="V01",Cadrage!$C$34,IF($D401="V02",Cadrage!$D$34,Cadrage!$E$34)))</f>
        <v>0.03</v>
      </c>
      <c r="J401">
        <f>IF($A401="","",IF($D401="V01",Cadrage!$C$35,IF($D401="V02",Cadrage!$D$35,Cadrage!$E$35)))</f>
        <v>0.03</v>
      </c>
      <c r="K401">
        <f>IF($A401="","",IF($D401="V01",Cadrage!$C$36,IF($D401="V02",Cadrage!$D$36,Cadrage!$E$36)))</f>
        <v>0.05</v>
      </c>
      <c r="L401">
        <f>IF($A401="","",IF($D401="V01",Cadrage!$C$37,IF($D401="V02",Cadrage!$D$37,Cadrage!$E$37)))</f>
        <v>0</v>
      </c>
      <c r="M401">
        <f>IF($A401="","",IF($D401="V01",Cadrage!$C$38,IF($D401="V02",Cadrage!$D$38,Cadrage!$E$38)))</f>
        <v>0.04</v>
      </c>
      <c r="N401">
        <f t="shared" si="1"/>
        <v>0.980622079131853</v>
      </c>
      <c r="O401">
        <f t="shared" si="2"/>
        <v>1.0712</v>
      </c>
      <c r="P401">
        <f>IF($A401="","",IF($E401=1,$F401*$O401,PNL!G401))</f>
        <v>158577.14</v>
      </c>
      <c r="T401">
        <f t="shared" si="3"/>
        <v>0</v>
      </c>
    </row>
    <row r="402" ht="14.25" customHeight="1">
      <c r="A402" t="str">
        <f>IF(PNL!A402="","",PNL!A402)</f>
        <v>ISCOM_PAR</v>
      </c>
      <c r="B402" t="str">
        <f>IF(PNL!B402="","",PNL!B402)</f>
        <v>613</v>
      </c>
      <c r="C402" t="str">
        <f>IF(PNL!C402="","",PNL!C402)</f>
        <v>2024</v>
      </c>
      <c r="D402" t="str">
        <f>IF(PNL!D402="","",PNL!D402)</f>
        <v>ACT</v>
      </c>
      <c r="E402">
        <f t="shared" si="0"/>
        <v>0</v>
      </c>
      <c r="F402">
        <f>IF($A402="","",IF($E402=1,_xlfn.SUMIFS(Comptabilité!$F$1:$F$1446,Comptabilité!$A$1:$A$1446,$A402,Comptabilité!$B$1:$B$1446,$B402,Comptabilité!$C$1:$C$1446,"2026"),0))</f>
        <v>0</v>
      </c>
      <c r="G402">
        <f>IF($A402="","",IF($D402="V01",Cadrage!$C$23,IF($D402="V02",Cadrage!$D$23,Cadrage!$E$23)))</f>
        <v>-0.05</v>
      </c>
      <c r="H402">
        <f>IF($A402="","",IF($D402="V01",Cadrage!$C$24,IF($D402="V02",Cadrage!$D$24,Cadrage!$E$24)))</f>
        <v>-0.05</v>
      </c>
      <c r="I402">
        <f>IF($A402="","",IF($D402="V01",Cadrage!$C$34,IF($D402="V02",Cadrage!$D$34,Cadrage!$E$34)))</f>
        <v>0.03</v>
      </c>
      <c r="J402">
        <f>IF($A402="","",IF($D402="V01",Cadrage!$C$35,IF($D402="V02",Cadrage!$D$35,Cadrage!$E$35)))</f>
        <v>0.03</v>
      </c>
      <c r="K402">
        <f>IF($A402="","",IF($D402="V01",Cadrage!$C$36,IF($D402="V02",Cadrage!$D$36,Cadrage!$E$36)))</f>
        <v>0.05</v>
      </c>
      <c r="L402">
        <f>IF($A402="","",IF($D402="V01",Cadrage!$C$37,IF($D402="V02",Cadrage!$D$37,Cadrage!$E$37)))</f>
        <v>0</v>
      </c>
      <c r="M402">
        <f>IF($A402="","",IF($D402="V01",Cadrage!$C$38,IF($D402="V02",Cadrage!$D$38,Cadrage!$E$38)))</f>
        <v>0.04</v>
      </c>
      <c r="N402">
        <f t="shared" si="1"/>
        <v>0.980622079131853</v>
      </c>
      <c r="O402">
        <f t="shared" si="2"/>
        <v>1.0712</v>
      </c>
      <c r="P402">
        <f>IF($A402="","",IF($E402=1,$F402*$O402,PNL!G402))</f>
        <v>273969</v>
      </c>
      <c r="T402">
        <f t="shared" si="3"/>
        <v>0</v>
      </c>
    </row>
    <row r="403" ht="14.25" customHeight="1">
      <c r="A403" t="str">
        <f>IF(PNL!A403="","",PNL!A403)</f>
        <v>ISCOM_LIL</v>
      </c>
      <c r="B403" t="str">
        <f>IF(PNL!B403="","",PNL!B403)</f>
        <v>613</v>
      </c>
      <c r="C403" t="str">
        <f>IF(PNL!C403="","",PNL!C403)</f>
        <v>2024</v>
      </c>
      <c r="D403" t="str">
        <f>IF(PNL!D403="","",PNL!D403)</f>
        <v>ACT</v>
      </c>
      <c r="E403">
        <f t="shared" si="0"/>
        <v>0</v>
      </c>
      <c r="F403">
        <f>IF($A403="","",IF($E403=1,_xlfn.SUMIFS(Comptabilité!$F$1:$F$1446,Comptabilité!$A$1:$A$1446,$A403,Comptabilité!$B$1:$B$1446,$B403,Comptabilité!$C$1:$C$1446,"2026"),0))</f>
        <v>0</v>
      </c>
      <c r="G403">
        <f>IF($A403="","",IF($D403="V01",Cadrage!$C$23,IF($D403="V02",Cadrage!$D$23,Cadrage!$E$23)))</f>
        <v>-0.05</v>
      </c>
      <c r="H403">
        <f>IF($A403="","",IF($D403="V01",Cadrage!$C$24,IF($D403="V02",Cadrage!$D$24,Cadrage!$E$24)))</f>
        <v>-0.05</v>
      </c>
      <c r="I403">
        <f>IF($A403="","",IF($D403="V01",Cadrage!$C$34,IF($D403="V02",Cadrage!$D$34,Cadrage!$E$34)))</f>
        <v>0.03</v>
      </c>
      <c r="J403">
        <f>IF($A403="","",IF($D403="V01",Cadrage!$C$35,IF($D403="V02",Cadrage!$D$35,Cadrage!$E$35)))</f>
        <v>0.03</v>
      </c>
      <c r="K403">
        <f>IF($A403="","",IF($D403="V01",Cadrage!$C$36,IF($D403="V02",Cadrage!$D$36,Cadrage!$E$36)))</f>
        <v>0.05</v>
      </c>
      <c r="L403">
        <f>IF($A403="","",IF($D403="V01",Cadrage!$C$37,IF($D403="V02",Cadrage!$D$37,Cadrage!$E$37)))</f>
        <v>0</v>
      </c>
      <c r="M403">
        <f>IF($A403="","",IF($D403="V01",Cadrage!$C$38,IF($D403="V02",Cadrage!$D$38,Cadrage!$E$38)))</f>
        <v>0.04</v>
      </c>
      <c r="N403">
        <f t="shared" si="1"/>
        <v>0.980622079131853</v>
      </c>
      <c r="O403">
        <f t="shared" si="2"/>
        <v>1.0712</v>
      </c>
      <c r="P403">
        <f>IF($A403="","",IF($E403=1,$F403*$O403,PNL!G403))</f>
        <v>160231.45</v>
      </c>
      <c r="T403">
        <f t="shared" si="3"/>
        <v>0</v>
      </c>
    </row>
    <row r="404" ht="14.25" customHeight="1">
      <c r="A404" t="str">
        <f>IF(PNL!A404="","",PNL!A404)</f>
        <v>ISCOM_TLS</v>
      </c>
      <c r="B404" t="str">
        <f>IF(PNL!B404="","",PNL!B404)</f>
        <v>613</v>
      </c>
      <c r="C404" t="str">
        <f>IF(PNL!C404="","",PNL!C404)</f>
        <v>2024</v>
      </c>
      <c r="D404" t="str">
        <f>IF(PNL!D404="","",PNL!D404)</f>
        <v>ACT</v>
      </c>
      <c r="E404">
        <f t="shared" si="0"/>
        <v>0</v>
      </c>
      <c r="F404">
        <f>IF($A404="","",IF($E404=1,_xlfn.SUMIFS(Comptabilité!$F$1:$F$1446,Comptabilité!$A$1:$A$1446,$A404,Comptabilité!$B$1:$B$1446,$B404,Comptabilité!$C$1:$C$1446,"2026"),0))</f>
        <v>0</v>
      </c>
      <c r="G404">
        <f>IF($A404="","",IF($D404="V01",Cadrage!$C$23,IF($D404="V02",Cadrage!$D$23,Cadrage!$E$23)))</f>
        <v>-0.05</v>
      </c>
      <c r="H404">
        <f>IF($A404="","",IF($D404="V01",Cadrage!$C$24,IF($D404="V02",Cadrage!$D$24,Cadrage!$E$24)))</f>
        <v>-0.05</v>
      </c>
      <c r="I404">
        <f>IF($A404="","",IF($D404="V01",Cadrage!$C$34,IF($D404="V02",Cadrage!$D$34,Cadrage!$E$34)))</f>
        <v>0.03</v>
      </c>
      <c r="J404">
        <f>IF($A404="","",IF($D404="V01",Cadrage!$C$35,IF($D404="V02",Cadrage!$D$35,Cadrage!$E$35)))</f>
        <v>0.03</v>
      </c>
      <c r="K404">
        <f>IF($A404="","",IF($D404="V01",Cadrage!$C$36,IF($D404="V02",Cadrage!$D$36,Cadrage!$E$36)))</f>
        <v>0.05</v>
      </c>
      <c r="L404">
        <f>IF($A404="","",IF($D404="V01",Cadrage!$C$37,IF($D404="V02",Cadrage!$D$37,Cadrage!$E$37)))</f>
        <v>0</v>
      </c>
      <c r="M404">
        <f>IF($A404="","",IF($D404="V01",Cadrage!$C$38,IF($D404="V02",Cadrage!$D$38,Cadrage!$E$38)))</f>
        <v>0.04</v>
      </c>
      <c r="N404">
        <f t="shared" si="1"/>
        <v>0.980622079131853</v>
      </c>
      <c r="O404">
        <f t="shared" si="2"/>
        <v>1.0712</v>
      </c>
      <c r="P404">
        <f>IF($A404="","",IF($E404=1,$F404*$O404,PNL!G404))</f>
        <v>151257.51</v>
      </c>
      <c r="T404">
        <f t="shared" si="3"/>
        <v>0</v>
      </c>
    </row>
    <row r="405" ht="14.25" customHeight="1">
      <c r="A405" t="str">
        <f>IF(PNL!A405="","",PNL!A405)</f>
        <v>IPAC_NAN</v>
      </c>
      <c r="B405" t="str">
        <f>IF(PNL!B405="","",PNL!B405)</f>
        <v>613</v>
      </c>
      <c r="C405" t="str">
        <f>IF(PNL!C405="","",PNL!C405)</f>
        <v>2024</v>
      </c>
      <c r="D405" t="str">
        <f>IF(PNL!D405="","",PNL!D405)</f>
        <v>ACT</v>
      </c>
      <c r="E405">
        <f t="shared" si="0"/>
        <v>0</v>
      </c>
      <c r="F405">
        <f>IF($A405="","",IF($E405=1,_xlfn.SUMIFS(Comptabilité!$F$1:$F$1446,Comptabilité!$A$1:$A$1446,$A405,Comptabilité!$B$1:$B$1446,$B405,Comptabilité!$C$1:$C$1446,"2026"),0))</f>
        <v>0</v>
      </c>
      <c r="G405">
        <f>IF($A405="","",IF($D405="V01",Cadrage!$C$23,IF($D405="V02",Cadrage!$D$23,Cadrage!$E$23)))</f>
        <v>-0.05</v>
      </c>
      <c r="H405">
        <f>IF($A405="","",IF($D405="V01",Cadrage!$C$24,IF($D405="V02",Cadrage!$D$24,Cadrage!$E$24)))</f>
        <v>-0.05</v>
      </c>
      <c r="I405">
        <f>IF($A405="","",IF($D405="V01",Cadrage!$C$34,IF($D405="V02",Cadrage!$D$34,Cadrage!$E$34)))</f>
        <v>0.03</v>
      </c>
      <c r="J405">
        <f>IF($A405="","",IF($D405="V01",Cadrage!$C$35,IF($D405="V02",Cadrage!$D$35,Cadrage!$E$35)))</f>
        <v>0.03</v>
      </c>
      <c r="K405">
        <f>IF($A405="","",IF($D405="V01",Cadrage!$C$36,IF($D405="V02",Cadrage!$D$36,Cadrage!$E$36)))</f>
        <v>0.05</v>
      </c>
      <c r="L405">
        <f>IF($A405="","",IF($D405="V01",Cadrage!$C$37,IF($D405="V02",Cadrage!$D$37,Cadrage!$E$37)))</f>
        <v>0</v>
      </c>
      <c r="M405">
        <f>IF($A405="","",IF($D405="V01",Cadrage!$C$38,IF($D405="V02",Cadrage!$D$38,Cadrage!$E$38)))</f>
        <v>0.04</v>
      </c>
      <c r="N405">
        <f t="shared" si="1"/>
        <v>0.980622079131853</v>
      </c>
      <c r="O405">
        <f t="shared" si="2"/>
        <v>1.0712</v>
      </c>
      <c r="P405">
        <f>IF($A405="","",IF($E405=1,$F405*$O405,PNL!G405))</f>
        <v>96188.13</v>
      </c>
      <c r="T405">
        <f t="shared" si="3"/>
        <v>0</v>
      </c>
    </row>
    <row r="406" ht="14.25" customHeight="1">
      <c r="A406" t="str">
        <f>IF(PNL!A406="","",PNL!A406)</f>
        <v>IPAC_REN</v>
      </c>
      <c r="B406" t="str">
        <f>IF(PNL!B406="","",PNL!B406)</f>
        <v>613</v>
      </c>
      <c r="C406" t="str">
        <f>IF(PNL!C406="","",PNL!C406)</f>
        <v>2024</v>
      </c>
      <c r="D406" t="str">
        <f>IF(PNL!D406="","",PNL!D406)</f>
        <v>ACT</v>
      </c>
      <c r="E406">
        <f t="shared" si="0"/>
        <v>0</v>
      </c>
      <c r="F406">
        <f>IF($A406="","",IF($E406=1,_xlfn.SUMIFS(Comptabilité!$F$1:$F$1446,Comptabilité!$A$1:$A$1446,$A406,Comptabilité!$B$1:$B$1446,$B406,Comptabilité!$C$1:$C$1446,"2026"),0))</f>
        <v>0</v>
      </c>
      <c r="G406">
        <f>IF($A406="","",IF($D406="V01",Cadrage!$C$23,IF($D406="V02",Cadrage!$D$23,Cadrage!$E$23)))</f>
        <v>-0.05</v>
      </c>
      <c r="H406">
        <f>IF($A406="","",IF($D406="V01",Cadrage!$C$24,IF($D406="V02",Cadrage!$D$24,Cadrage!$E$24)))</f>
        <v>-0.05</v>
      </c>
      <c r="I406">
        <f>IF($A406="","",IF($D406="V01",Cadrage!$C$34,IF($D406="V02",Cadrage!$D$34,Cadrage!$E$34)))</f>
        <v>0.03</v>
      </c>
      <c r="J406">
        <f>IF($A406="","",IF($D406="V01",Cadrage!$C$35,IF($D406="V02",Cadrage!$D$35,Cadrage!$E$35)))</f>
        <v>0.03</v>
      </c>
      <c r="K406">
        <f>IF($A406="","",IF($D406="V01",Cadrage!$C$36,IF($D406="V02",Cadrage!$D$36,Cadrage!$E$36)))</f>
        <v>0.05</v>
      </c>
      <c r="L406">
        <f>IF($A406="","",IF($D406="V01",Cadrage!$C$37,IF($D406="V02",Cadrage!$D$37,Cadrage!$E$37)))</f>
        <v>0</v>
      </c>
      <c r="M406">
        <f>IF($A406="","",IF($D406="V01",Cadrage!$C$38,IF($D406="V02",Cadrage!$D$38,Cadrage!$E$38)))</f>
        <v>0.04</v>
      </c>
      <c r="N406">
        <f t="shared" si="1"/>
        <v>0.980622079131853</v>
      </c>
      <c r="O406">
        <f t="shared" si="2"/>
        <v>1.0712</v>
      </c>
      <c r="P406">
        <f>IF($A406="","",IF($E406=1,$F406*$O406,PNL!G406))</f>
        <v>78826.22</v>
      </c>
      <c r="T406">
        <f t="shared" si="3"/>
        <v>0</v>
      </c>
    </row>
    <row r="407" ht="14.25" customHeight="1">
      <c r="A407" t="str">
        <f>IF(PNL!A407="","",PNL!A407)</f>
        <v>IPAC_MTP</v>
      </c>
      <c r="B407" t="str">
        <f>IF(PNL!B407="","",PNL!B407)</f>
        <v>613</v>
      </c>
      <c r="C407" t="str">
        <f>IF(PNL!C407="","",PNL!C407)</f>
        <v>2024</v>
      </c>
      <c r="D407" t="str">
        <f>IF(PNL!D407="","",PNL!D407)</f>
        <v>ACT</v>
      </c>
      <c r="E407">
        <f t="shared" si="0"/>
        <v>0</v>
      </c>
      <c r="F407">
        <f>IF($A407="","",IF($E407=1,_xlfn.SUMIFS(Comptabilité!$F$1:$F$1446,Comptabilité!$A$1:$A$1446,$A407,Comptabilité!$B$1:$B$1446,$B407,Comptabilité!$C$1:$C$1446,"2026"),0))</f>
        <v>0</v>
      </c>
      <c r="G407">
        <f>IF($A407="","",IF($D407="V01",Cadrage!$C$23,IF($D407="V02",Cadrage!$D$23,Cadrage!$E$23)))</f>
        <v>-0.05</v>
      </c>
      <c r="H407">
        <f>IF($A407="","",IF($D407="V01",Cadrage!$C$24,IF($D407="V02",Cadrage!$D$24,Cadrage!$E$24)))</f>
        <v>-0.05</v>
      </c>
      <c r="I407">
        <f>IF($A407="","",IF($D407="V01",Cadrage!$C$34,IF($D407="V02",Cadrage!$D$34,Cadrage!$E$34)))</f>
        <v>0.03</v>
      </c>
      <c r="J407">
        <f>IF($A407="","",IF($D407="V01",Cadrage!$C$35,IF($D407="V02",Cadrage!$D$35,Cadrage!$E$35)))</f>
        <v>0.03</v>
      </c>
      <c r="K407">
        <f>IF($A407="","",IF($D407="V01",Cadrage!$C$36,IF($D407="V02",Cadrage!$D$36,Cadrage!$E$36)))</f>
        <v>0.05</v>
      </c>
      <c r="L407">
        <f>IF($A407="","",IF($D407="V01",Cadrage!$C$37,IF($D407="V02",Cadrage!$D$37,Cadrage!$E$37)))</f>
        <v>0</v>
      </c>
      <c r="M407">
        <f>IF($A407="","",IF($D407="V01",Cadrage!$C$38,IF($D407="V02",Cadrage!$D$38,Cadrage!$E$38)))</f>
        <v>0.04</v>
      </c>
      <c r="N407">
        <f t="shared" si="1"/>
        <v>0.980622079131853</v>
      </c>
      <c r="O407">
        <f t="shared" si="2"/>
        <v>1.0712</v>
      </c>
      <c r="P407">
        <f>IF($A407="","",IF($E407=1,$F407*$O407,PNL!G407))</f>
        <v>78784.87</v>
      </c>
      <c r="T407">
        <f t="shared" si="3"/>
        <v>0</v>
      </c>
    </row>
    <row r="408" ht="14.25" customHeight="1">
      <c r="A408" t="str">
        <f>IF(PNL!A408="","",PNL!A408)</f>
        <v>PIGIER_LYO</v>
      </c>
      <c r="B408" t="str">
        <f>IF(PNL!B408="","",PNL!B408)</f>
        <v>613</v>
      </c>
      <c r="C408" t="str">
        <f>IF(PNL!C408="","",PNL!C408)</f>
        <v>2024</v>
      </c>
      <c r="D408" t="str">
        <f>IF(PNL!D408="","",PNL!D408)</f>
        <v>ACT</v>
      </c>
      <c r="E408">
        <f t="shared" si="0"/>
        <v>0</v>
      </c>
      <c r="F408">
        <f>IF($A408="","",IF($E408=1,_xlfn.SUMIFS(Comptabilité!$F$1:$F$1446,Comptabilité!$A$1:$A$1446,$A408,Comptabilité!$B$1:$B$1446,$B408,Comptabilité!$C$1:$C$1446,"2026"),0))</f>
        <v>0</v>
      </c>
      <c r="G408">
        <f>IF($A408="","",IF($D408="V01",Cadrage!$C$23,IF($D408="V02",Cadrage!$D$23,Cadrage!$E$23)))</f>
        <v>-0.05</v>
      </c>
      <c r="H408">
        <f>IF($A408="","",IF($D408="V01",Cadrage!$C$24,IF($D408="V02",Cadrage!$D$24,Cadrage!$E$24)))</f>
        <v>-0.05</v>
      </c>
      <c r="I408">
        <f>IF($A408="","",IF($D408="V01",Cadrage!$C$34,IF($D408="V02",Cadrage!$D$34,Cadrage!$E$34)))</f>
        <v>0.03</v>
      </c>
      <c r="J408">
        <f>IF($A408="","",IF($D408="V01",Cadrage!$C$35,IF($D408="V02",Cadrage!$D$35,Cadrage!$E$35)))</f>
        <v>0.03</v>
      </c>
      <c r="K408">
        <f>IF($A408="","",IF($D408="V01",Cadrage!$C$36,IF($D408="V02",Cadrage!$D$36,Cadrage!$E$36)))</f>
        <v>0.05</v>
      </c>
      <c r="L408">
        <f>IF($A408="","",IF($D408="V01",Cadrage!$C$37,IF($D408="V02",Cadrage!$D$37,Cadrage!$E$37)))</f>
        <v>0</v>
      </c>
      <c r="M408">
        <f>IF($A408="","",IF($D408="V01",Cadrage!$C$38,IF($D408="V02",Cadrage!$D$38,Cadrage!$E$38)))</f>
        <v>0.04</v>
      </c>
      <c r="N408">
        <f t="shared" si="1"/>
        <v>0.980622079131853</v>
      </c>
      <c r="O408">
        <f t="shared" si="2"/>
        <v>1.0712</v>
      </c>
      <c r="P408">
        <f>IF($A408="","",IF($E408=1,$F408*$O408,PNL!G408))</f>
        <v>136253.6</v>
      </c>
      <c r="T408">
        <f t="shared" si="3"/>
        <v>0</v>
      </c>
    </row>
    <row r="409" ht="14.25" customHeight="1">
      <c r="A409" t="str">
        <f>IF(PNL!A409="","",PNL!A409)</f>
        <v>PIGIER_BOR</v>
      </c>
      <c r="B409" t="str">
        <f>IF(PNL!B409="","",PNL!B409)</f>
        <v>613</v>
      </c>
      <c r="C409" t="str">
        <f>IF(PNL!C409="","",PNL!C409)</f>
        <v>2024</v>
      </c>
      <c r="D409" t="str">
        <f>IF(PNL!D409="","",PNL!D409)</f>
        <v>ACT</v>
      </c>
      <c r="E409">
        <f t="shared" si="0"/>
        <v>0</v>
      </c>
      <c r="F409">
        <f>IF($A409="","",IF($E409=1,_xlfn.SUMIFS(Comptabilité!$F$1:$F$1446,Comptabilité!$A$1:$A$1446,$A409,Comptabilité!$B$1:$B$1446,$B409,Comptabilité!$C$1:$C$1446,"2026"),0))</f>
        <v>0</v>
      </c>
      <c r="G409">
        <f>IF($A409="","",IF($D409="V01",Cadrage!$C$23,IF($D409="V02",Cadrage!$D$23,Cadrage!$E$23)))</f>
        <v>-0.05</v>
      </c>
      <c r="H409">
        <f>IF($A409="","",IF($D409="V01",Cadrage!$C$24,IF($D409="V02",Cadrage!$D$24,Cadrage!$E$24)))</f>
        <v>-0.05</v>
      </c>
      <c r="I409">
        <f>IF($A409="","",IF($D409="V01",Cadrage!$C$34,IF($D409="V02",Cadrage!$D$34,Cadrage!$E$34)))</f>
        <v>0.03</v>
      </c>
      <c r="J409">
        <f>IF($A409="","",IF($D409="V01",Cadrage!$C$35,IF($D409="V02",Cadrage!$D$35,Cadrage!$E$35)))</f>
        <v>0.03</v>
      </c>
      <c r="K409">
        <f>IF($A409="","",IF($D409="V01",Cadrage!$C$36,IF($D409="V02",Cadrage!$D$36,Cadrage!$E$36)))</f>
        <v>0.05</v>
      </c>
      <c r="L409">
        <f>IF($A409="","",IF($D409="V01",Cadrage!$C$37,IF($D409="V02",Cadrage!$D$37,Cadrage!$E$37)))</f>
        <v>0</v>
      </c>
      <c r="M409">
        <f>IF($A409="","",IF($D409="V01",Cadrage!$C$38,IF($D409="V02",Cadrage!$D$38,Cadrage!$E$38)))</f>
        <v>0.04</v>
      </c>
      <c r="N409">
        <f t="shared" si="1"/>
        <v>0.980622079131853</v>
      </c>
      <c r="O409">
        <f t="shared" si="2"/>
        <v>1.0712</v>
      </c>
      <c r="P409">
        <f>IF($A409="","",IF($E409=1,$F409*$O409,PNL!G409))</f>
        <v>102741</v>
      </c>
      <c r="T409">
        <f t="shared" si="3"/>
        <v>0</v>
      </c>
    </row>
    <row r="410" ht="14.25" customHeight="1">
      <c r="A410" t="str">
        <f>IF(PNL!A410="","",PNL!A410)</f>
        <v>TUNON_PAR</v>
      </c>
      <c r="B410" t="str">
        <f>IF(PNL!B410="","",PNL!B410)</f>
        <v>613</v>
      </c>
      <c r="C410" t="str">
        <f>IF(PNL!C410="","",PNL!C410)</f>
        <v>2024</v>
      </c>
      <c r="D410" t="str">
        <f>IF(PNL!D410="","",PNL!D410)</f>
        <v>ACT</v>
      </c>
      <c r="E410">
        <f t="shared" si="0"/>
        <v>0</v>
      </c>
      <c r="F410">
        <f>IF($A410="","",IF($E410=1,_xlfn.SUMIFS(Comptabilité!$F$1:$F$1446,Comptabilité!$A$1:$A$1446,$A410,Comptabilité!$B$1:$B$1446,$B410,Comptabilité!$C$1:$C$1446,"2026"),0))</f>
        <v>0</v>
      </c>
      <c r="G410">
        <f>IF($A410="","",IF($D410="V01",Cadrage!$C$23,IF($D410="V02",Cadrage!$D$23,Cadrage!$E$23)))</f>
        <v>-0.05</v>
      </c>
      <c r="H410">
        <f>IF($A410="","",IF($D410="V01",Cadrage!$C$24,IF($D410="V02",Cadrage!$D$24,Cadrage!$E$24)))</f>
        <v>-0.05</v>
      </c>
      <c r="I410">
        <f>IF($A410="","",IF($D410="V01",Cadrage!$C$34,IF($D410="V02",Cadrage!$D$34,Cadrage!$E$34)))</f>
        <v>0.03</v>
      </c>
      <c r="J410">
        <f>IF($A410="","",IF($D410="V01",Cadrage!$C$35,IF($D410="V02",Cadrage!$D$35,Cadrage!$E$35)))</f>
        <v>0.03</v>
      </c>
      <c r="K410">
        <f>IF($A410="","",IF($D410="V01",Cadrage!$C$36,IF($D410="V02",Cadrage!$D$36,Cadrage!$E$36)))</f>
        <v>0.05</v>
      </c>
      <c r="L410">
        <f>IF($A410="","",IF($D410="V01",Cadrage!$C$37,IF($D410="V02",Cadrage!$D$37,Cadrage!$E$37)))</f>
        <v>0</v>
      </c>
      <c r="M410">
        <f>IF($A410="","",IF($D410="V01",Cadrage!$C$38,IF($D410="V02",Cadrage!$D$38,Cadrage!$E$38)))</f>
        <v>0.04</v>
      </c>
      <c r="N410">
        <f t="shared" si="1"/>
        <v>0.980622079131853</v>
      </c>
      <c r="O410">
        <f t="shared" si="2"/>
        <v>1.0712</v>
      </c>
      <c r="P410">
        <f>IF($A410="","",IF($E410=1,$F410*$O410,PNL!G410))</f>
        <v>119293.89</v>
      </c>
      <c r="T410">
        <f t="shared" si="3"/>
        <v>0</v>
      </c>
    </row>
    <row r="411" ht="14.25" customHeight="1">
      <c r="A411" t="str">
        <f>IF(PNL!A411="","",PNL!A411)</f>
        <v>TUNON_LYO</v>
      </c>
      <c r="B411" t="str">
        <f>IF(PNL!B411="","",PNL!B411)</f>
        <v>613</v>
      </c>
      <c r="C411" t="str">
        <f>IF(PNL!C411="","",PNL!C411)</f>
        <v>2024</v>
      </c>
      <c r="D411" t="str">
        <f>IF(PNL!D411="","",PNL!D411)</f>
        <v>ACT</v>
      </c>
      <c r="E411">
        <f t="shared" si="0"/>
        <v>0</v>
      </c>
      <c r="F411">
        <f>IF($A411="","",IF($E411=1,_xlfn.SUMIFS(Comptabilité!$F$1:$F$1446,Comptabilité!$A$1:$A$1446,$A411,Comptabilité!$B$1:$B$1446,$B411,Comptabilité!$C$1:$C$1446,"2026"),0))</f>
        <v>0</v>
      </c>
      <c r="G411">
        <f>IF($A411="","",IF($D411="V01",Cadrage!$C$23,IF($D411="V02",Cadrage!$D$23,Cadrage!$E$23)))</f>
        <v>-0.05</v>
      </c>
      <c r="H411">
        <f>IF($A411="","",IF($D411="V01",Cadrage!$C$24,IF($D411="V02",Cadrage!$D$24,Cadrage!$E$24)))</f>
        <v>-0.05</v>
      </c>
      <c r="I411">
        <f>IF($A411="","",IF($D411="V01",Cadrage!$C$34,IF($D411="V02",Cadrage!$D$34,Cadrage!$E$34)))</f>
        <v>0.03</v>
      </c>
      <c r="J411">
        <f>IF($A411="","",IF($D411="V01",Cadrage!$C$35,IF($D411="V02",Cadrage!$D$35,Cadrage!$E$35)))</f>
        <v>0.03</v>
      </c>
      <c r="K411">
        <f>IF($A411="","",IF($D411="V01",Cadrage!$C$36,IF($D411="V02",Cadrage!$D$36,Cadrage!$E$36)))</f>
        <v>0.05</v>
      </c>
      <c r="L411">
        <f>IF($A411="","",IF($D411="V01",Cadrage!$C$37,IF($D411="V02",Cadrage!$D$37,Cadrage!$E$37)))</f>
        <v>0</v>
      </c>
      <c r="M411">
        <f>IF($A411="","",IF($D411="V01",Cadrage!$C$38,IF($D411="V02",Cadrage!$D$38,Cadrage!$E$38)))</f>
        <v>0.04</v>
      </c>
      <c r="N411">
        <f t="shared" si="1"/>
        <v>0.980622079131853</v>
      </c>
      <c r="O411">
        <f t="shared" si="2"/>
        <v>1.0712</v>
      </c>
      <c r="P411">
        <f>IF($A411="","",IF($E411=1,$F411*$O411,PNL!G411))</f>
        <v>99971.42</v>
      </c>
      <c r="T411">
        <f t="shared" si="3"/>
        <v>0</v>
      </c>
    </row>
    <row r="412" ht="14.25" customHeight="1">
      <c r="A412" t="str">
        <f>IF(PNL!A412="","",PNL!A412)</f>
        <v>MBWAY_PAR</v>
      </c>
      <c r="B412" t="str">
        <f>IF(PNL!B412="","",PNL!B412)</f>
        <v>613</v>
      </c>
      <c r="C412" t="str">
        <f>IF(PNL!C412="","",PNL!C412)</f>
        <v>2025</v>
      </c>
      <c r="D412" t="str">
        <f>IF(PNL!D412="","",PNL!D412)</f>
        <v>ACT</v>
      </c>
      <c r="E412">
        <f t="shared" si="0"/>
        <v>0</v>
      </c>
      <c r="F412">
        <f>IF($A412="","",IF($E412=1,_xlfn.SUMIFS(Comptabilité!$F$1:$F$1446,Comptabilité!$A$1:$A$1446,$A412,Comptabilité!$B$1:$B$1446,$B412,Comptabilité!$C$1:$C$1446,"2026"),0))</f>
        <v>0</v>
      </c>
      <c r="G412">
        <f>IF($A412="","",IF($D412="V01",Cadrage!$C$23,IF($D412="V02",Cadrage!$D$23,Cadrage!$E$23)))</f>
        <v>-0.05</v>
      </c>
      <c r="H412">
        <f>IF($A412="","",IF($D412="V01",Cadrage!$C$24,IF($D412="V02",Cadrage!$D$24,Cadrage!$E$24)))</f>
        <v>-0.05</v>
      </c>
      <c r="I412">
        <f>IF($A412="","",IF($D412="V01",Cadrage!$C$34,IF($D412="V02",Cadrage!$D$34,Cadrage!$E$34)))</f>
        <v>0.03</v>
      </c>
      <c r="J412">
        <f>IF($A412="","",IF($D412="V01",Cadrage!$C$35,IF($D412="V02",Cadrage!$D$35,Cadrage!$E$35)))</f>
        <v>0.03</v>
      </c>
      <c r="K412">
        <f>IF($A412="","",IF($D412="V01",Cadrage!$C$36,IF($D412="V02",Cadrage!$D$36,Cadrage!$E$36)))</f>
        <v>0.05</v>
      </c>
      <c r="L412">
        <f>IF($A412="","",IF($D412="V01",Cadrage!$C$37,IF($D412="V02",Cadrage!$D$37,Cadrage!$E$37)))</f>
        <v>0</v>
      </c>
      <c r="M412">
        <f>IF($A412="","",IF($D412="V01",Cadrage!$C$38,IF($D412="V02",Cadrage!$D$38,Cadrage!$E$38)))</f>
        <v>0.04</v>
      </c>
      <c r="N412">
        <f t="shared" si="1"/>
        <v>0.980622079131853</v>
      </c>
      <c r="O412">
        <f t="shared" si="2"/>
        <v>1.0712</v>
      </c>
      <c r="P412">
        <f>IF($A412="","",IF($E412=1,$F412*$O412,PNL!G412))</f>
        <v>299476.76</v>
      </c>
      <c r="T412">
        <f t="shared" si="3"/>
        <v>0</v>
      </c>
    </row>
    <row r="413" ht="14.25" customHeight="1">
      <c r="A413" t="str">
        <f>IF(PNL!A413="","",PNL!A413)</f>
        <v>MBWAY_LYO</v>
      </c>
      <c r="B413" t="str">
        <f>IF(PNL!B413="","",PNL!B413)</f>
        <v>613</v>
      </c>
      <c r="C413" t="str">
        <f>IF(PNL!C413="","",PNL!C413)</f>
        <v>2025</v>
      </c>
      <c r="D413" t="str">
        <f>IF(PNL!D413="","",PNL!D413)</f>
        <v>ACT</v>
      </c>
      <c r="E413">
        <f t="shared" si="0"/>
        <v>0</v>
      </c>
      <c r="F413">
        <f>IF($A413="","",IF($E413=1,_xlfn.SUMIFS(Comptabilité!$F$1:$F$1446,Comptabilité!$A$1:$A$1446,$A413,Comptabilité!$B$1:$B$1446,$B413,Comptabilité!$C$1:$C$1446,"2026"),0))</f>
        <v>0</v>
      </c>
      <c r="G413">
        <f>IF($A413="","",IF($D413="V01",Cadrage!$C$23,IF($D413="V02",Cadrage!$D$23,Cadrage!$E$23)))</f>
        <v>-0.05</v>
      </c>
      <c r="H413">
        <f>IF($A413="","",IF($D413="V01",Cadrage!$C$24,IF($D413="V02",Cadrage!$D$24,Cadrage!$E$24)))</f>
        <v>-0.05</v>
      </c>
      <c r="I413">
        <f>IF($A413="","",IF($D413="V01",Cadrage!$C$34,IF($D413="V02",Cadrage!$D$34,Cadrage!$E$34)))</f>
        <v>0.03</v>
      </c>
      <c r="J413">
        <f>IF($A413="","",IF($D413="V01",Cadrage!$C$35,IF($D413="V02",Cadrage!$D$35,Cadrage!$E$35)))</f>
        <v>0.03</v>
      </c>
      <c r="K413">
        <f>IF($A413="","",IF($D413="V01",Cadrage!$C$36,IF($D413="V02",Cadrage!$D$36,Cadrage!$E$36)))</f>
        <v>0.05</v>
      </c>
      <c r="L413">
        <f>IF($A413="","",IF($D413="V01",Cadrage!$C$37,IF($D413="V02",Cadrage!$D$37,Cadrage!$E$37)))</f>
        <v>0</v>
      </c>
      <c r="M413">
        <f>IF($A413="","",IF($D413="V01",Cadrage!$C$38,IF($D413="V02",Cadrage!$D$38,Cadrage!$E$38)))</f>
        <v>0.04</v>
      </c>
      <c r="N413">
        <f t="shared" si="1"/>
        <v>0.980622079131853</v>
      </c>
      <c r="O413">
        <f t="shared" si="2"/>
        <v>1.0712</v>
      </c>
      <c r="P413">
        <f>IF($A413="","",IF($E413=1,$F413*$O413,PNL!G413))</f>
        <v>235764.2</v>
      </c>
      <c r="T413">
        <f t="shared" si="3"/>
        <v>0</v>
      </c>
    </row>
    <row r="414" ht="14.25" customHeight="1">
      <c r="A414" t="str">
        <f>IF(PNL!A414="","",PNL!A414)</f>
        <v>MBWAY_NAN</v>
      </c>
      <c r="B414" t="str">
        <f>IF(PNL!B414="","",PNL!B414)</f>
        <v>613</v>
      </c>
      <c r="C414" t="str">
        <f>IF(PNL!C414="","",PNL!C414)</f>
        <v>2025</v>
      </c>
      <c r="D414" t="str">
        <f>IF(PNL!D414="","",PNL!D414)</f>
        <v>ACT</v>
      </c>
      <c r="E414">
        <f t="shared" si="0"/>
        <v>0</v>
      </c>
      <c r="F414">
        <f>IF($A414="","",IF($E414=1,_xlfn.SUMIFS(Comptabilité!$F$1:$F$1446,Comptabilité!$A$1:$A$1446,$A414,Comptabilité!$B$1:$B$1446,$B414,Comptabilité!$C$1:$C$1446,"2026"),0))</f>
        <v>0</v>
      </c>
      <c r="G414">
        <f>IF($A414="","",IF($D414="V01",Cadrage!$C$23,IF($D414="V02",Cadrage!$D$23,Cadrage!$E$23)))</f>
        <v>-0.05</v>
      </c>
      <c r="H414">
        <f>IF($A414="","",IF($D414="V01",Cadrage!$C$24,IF($D414="V02",Cadrage!$D$24,Cadrage!$E$24)))</f>
        <v>-0.05</v>
      </c>
      <c r="I414">
        <f>IF($A414="","",IF($D414="V01",Cadrage!$C$34,IF($D414="V02",Cadrage!$D$34,Cadrage!$E$34)))</f>
        <v>0.03</v>
      </c>
      <c r="J414">
        <f>IF($A414="","",IF($D414="V01",Cadrage!$C$35,IF($D414="V02",Cadrage!$D$35,Cadrage!$E$35)))</f>
        <v>0.03</v>
      </c>
      <c r="K414">
        <f>IF($A414="","",IF($D414="V01",Cadrage!$C$36,IF($D414="V02",Cadrage!$D$36,Cadrage!$E$36)))</f>
        <v>0.05</v>
      </c>
      <c r="L414">
        <f>IF($A414="","",IF($D414="V01",Cadrage!$C$37,IF($D414="V02",Cadrage!$D$37,Cadrage!$E$37)))</f>
        <v>0</v>
      </c>
      <c r="M414">
        <f>IF($A414="","",IF($D414="V01",Cadrage!$C$38,IF($D414="V02",Cadrage!$D$38,Cadrage!$E$38)))</f>
        <v>0.04</v>
      </c>
      <c r="N414">
        <f t="shared" si="1"/>
        <v>0.980622079131853</v>
      </c>
      <c r="O414">
        <f t="shared" si="2"/>
        <v>1.0712</v>
      </c>
      <c r="P414">
        <f>IF($A414="","",IF($E414=1,$F414*$O414,PNL!G414))</f>
        <v>205695</v>
      </c>
      <c r="T414">
        <f t="shared" si="3"/>
        <v>0</v>
      </c>
    </row>
    <row r="415" ht="14.25" customHeight="1">
      <c r="A415" t="str">
        <f>IF(PNL!A415="","",PNL!A415)</f>
        <v>MBWAY_BOR</v>
      </c>
      <c r="B415" t="str">
        <f>IF(PNL!B415="","",PNL!B415)</f>
        <v>613</v>
      </c>
      <c r="C415" t="str">
        <f>IF(PNL!C415="","",PNL!C415)</f>
        <v>2025</v>
      </c>
      <c r="D415" t="str">
        <f>IF(PNL!D415="","",PNL!D415)</f>
        <v>ACT</v>
      </c>
      <c r="E415">
        <f t="shared" si="0"/>
        <v>0</v>
      </c>
      <c r="F415">
        <f>IF($A415="","",IF($E415=1,_xlfn.SUMIFS(Comptabilité!$F$1:$F$1446,Comptabilité!$A$1:$A$1446,$A415,Comptabilité!$B$1:$B$1446,$B415,Comptabilité!$C$1:$C$1446,"2026"),0))</f>
        <v>0</v>
      </c>
      <c r="G415">
        <f>IF($A415="","",IF($D415="V01",Cadrage!$C$23,IF($D415="V02",Cadrage!$D$23,Cadrage!$E$23)))</f>
        <v>-0.05</v>
      </c>
      <c r="H415">
        <f>IF($A415="","",IF($D415="V01",Cadrage!$C$24,IF($D415="V02",Cadrage!$D$24,Cadrage!$E$24)))</f>
        <v>-0.05</v>
      </c>
      <c r="I415">
        <f>IF($A415="","",IF($D415="V01",Cadrage!$C$34,IF($D415="V02",Cadrage!$D$34,Cadrage!$E$34)))</f>
        <v>0.03</v>
      </c>
      <c r="J415">
        <f>IF($A415="","",IF($D415="V01",Cadrage!$C$35,IF($D415="V02",Cadrage!$D$35,Cadrage!$E$35)))</f>
        <v>0.03</v>
      </c>
      <c r="K415">
        <f>IF($A415="","",IF($D415="V01",Cadrage!$C$36,IF($D415="V02",Cadrage!$D$36,Cadrage!$E$36)))</f>
        <v>0.05</v>
      </c>
      <c r="L415">
        <f>IF($A415="","",IF($D415="V01",Cadrage!$C$37,IF($D415="V02",Cadrage!$D$37,Cadrage!$E$37)))</f>
        <v>0</v>
      </c>
      <c r="M415">
        <f>IF($A415="","",IF($D415="V01",Cadrage!$C$38,IF($D415="V02",Cadrage!$D$38,Cadrage!$E$38)))</f>
        <v>0.04</v>
      </c>
      <c r="N415">
        <f t="shared" si="1"/>
        <v>0.980622079131853</v>
      </c>
      <c r="O415">
        <f t="shared" si="2"/>
        <v>1.0712</v>
      </c>
      <c r="P415">
        <f>IF($A415="","",IF($E415=1,$F415*$O415,PNL!G415))</f>
        <v>165486.22</v>
      </c>
      <c r="T415">
        <f t="shared" si="3"/>
        <v>0</v>
      </c>
    </row>
    <row r="416" ht="14.25" customHeight="1">
      <c r="A416" t="str">
        <f>IF(PNL!A416="","",PNL!A416)</f>
        <v>ISCOM_PAR</v>
      </c>
      <c r="B416" t="str">
        <f>IF(PNL!B416="","",PNL!B416)</f>
        <v>613</v>
      </c>
      <c r="C416" t="str">
        <f>IF(PNL!C416="","",PNL!C416)</f>
        <v>2025</v>
      </c>
      <c r="D416" t="str">
        <f>IF(PNL!D416="","",PNL!D416)</f>
        <v>ACT</v>
      </c>
      <c r="E416">
        <f t="shared" si="0"/>
        <v>0</v>
      </c>
      <c r="F416">
        <f>IF($A416="","",IF($E416=1,_xlfn.SUMIFS(Comptabilité!$F$1:$F$1446,Comptabilité!$A$1:$A$1446,$A416,Comptabilité!$B$1:$B$1446,$B416,Comptabilité!$C$1:$C$1446,"2026"),0))</f>
        <v>0</v>
      </c>
      <c r="G416">
        <f>IF($A416="","",IF($D416="V01",Cadrage!$C$23,IF($D416="V02",Cadrage!$D$23,Cadrage!$E$23)))</f>
        <v>-0.05</v>
      </c>
      <c r="H416">
        <f>IF($A416="","",IF($D416="V01",Cadrage!$C$24,IF($D416="V02",Cadrage!$D$24,Cadrage!$E$24)))</f>
        <v>-0.05</v>
      </c>
      <c r="I416">
        <f>IF($A416="","",IF($D416="V01",Cadrage!$C$34,IF($D416="V02",Cadrage!$D$34,Cadrage!$E$34)))</f>
        <v>0.03</v>
      </c>
      <c r="J416">
        <f>IF($A416="","",IF($D416="V01",Cadrage!$C$35,IF($D416="V02",Cadrage!$D$35,Cadrage!$E$35)))</f>
        <v>0.03</v>
      </c>
      <c r="K416">
        <f>IF($A416="","",IF($D416="V01",Cadrage!$C$36,IF($D416="V02",Cadrage!$D$36,Cadrage!$E$36)))</f>
        <v>0.05</v>
      </c>
      <c r="L416">
        <f>IF($A416="","",IF($D416="V01",Cadrage!$C$37,IF($D416="V02",Cadrage!$D$37,Cadrage!$E$37)))</f>
        <v>0</v>
      </c>
      <c r="M416">
        <f>IF($A416="","",IF($D416="V01",Cadrage!$C$38,IF($D416="V02",Cadrage!$D$38,Cadrage!$E$38)))</f>
        <v>0.04</v>
      </c>
      <c r="N416">
        <f t="shared" si="1"/>
        <v>0.980622079131853</v>
      </c>
      <c r="O416">
        <f t="shared" si="2"/>
        <v>1.0712</v>
      </c>
      <c r="P416">
        <f>IF($A416="","",IF($E416=1,$F416*$O416,PNL!G416))</f>
        <v>288437.36</v>
      </c>
      <c r="T416">
        <f t="shared" si="3"/>
        <v>0</v>
      </c>
    </row>
    <row r="417" ht="14.25" customHeight="1">
      <c r="A417" t="str">
        <f>IF(PNL!A417="","",PNL!A417)</f>
        <v>ISCOM_LIL</v>
      </c>
      <c r="B417" t="str">
        <f>IF(PNL!B417="","",PNL!B417)</f>
        <v>613</v>
      </c>
      <c r="C417" t="str">
        <f>IF(PNL!C417="","",PNL!C417)</f>
        <v>2025</v>
      </c>
      <c r="D417" t="str">
        <f>IF(PNL!D417="","",PNL!D417)</f>
        <v>ACT</v>
      </c>
      <c r="E417">
        <f t="shared" si="0"/>
        <v>0</v>
      </c>
      <c r="F417">
        <f>IF($A417="","",IF($E417=1,_xlfn.SUMIFS(Comptabilité!$F$1:$F$1446,Comptabilité!$A$1:$A$1446,$A417,Comptabilité!$B$1:$B$1446,$B417,Comptabilité!$C$1:$C$1446,"2026"),0))</f>
        <v>0</v>
      </c>
      <c r="G417">
        <f>IF($A417="","",IF($D417="V01",Cadrage!$C$23,IF($D417="V02",Cadrage!$D$23,Cadrage!$E$23)))</f>
        <v>-0.05</v>
      </c>
      <c r="H417">
        <f>IF($A417="","",IF($D417="V01",Cadrage!$C$24,IF($D417="V02",Cadrage!$D$24,Cadrage!$E$24)))</f>
        <v>-0.05</v>
      </c>
      <c r="I417">
        <f>IF($A417="","",IF($D417="V01",Cadrage!$C$34,IF($D417="V02",Cadrage!$D$34,Cadrage!$E$34)))</f>
        <v>0.03</v>
      </c>
      <c r="J417">
        <f>IF($A417="","",IF($D417="V01",Cadrage!$C$35,IF($D417="V02",Cadrage!$D$35,Cadrage!$E$35)))</f>
        <v>0.03</v>
      </c>
      <c r="K417">
        <f>IF($A417="","",IF($D417="V01",Cadrage!$C$36,IF($D417="V02",Cadrage!$D$36,Cadrage!$E$36)))</f>
        <v>0.05</v>
      </c>
      <c r="L417">
        <f>IF($A417="","",IF($D417="V01",Cadrage!$C$37,IF($D417="V02",Cadrage!$D$37,Cadrage!$E$37)))</f>
        <v>0</v>
      </c>
      <c r="M417">
        <f>IF($A417="","",IF($D417="V01",Cadrage!$C$38,IF($D417="V02",Cadrage!$D$38,Cadrage!$E$38)))</f>
        <v>0.04</v>
      </c>
      <c r="N417">
        <f t="shared" si="1"/>
        <v>0.980622079131853</v>
      </c>
      <c r="O417">
        <f t="shared" si="2"/>
        <v>1.0712</v>
      </c>
      <c r="P417">
        <f>IF($A417="","",IF($E417=1,$F417*$O417,PNL!G417))</f>
        <v>167117.08</v>
      </c>
      <c r="T417">
        <f t="shared" si="3"/>
        <v>0</v>
      </c>
    </row>
    <row r="418" ht="14.25" customHeight="1">
      <c r="A418" t="str">
        <f>IF(PNL!A418="","",PNL!A418)</f>
        <v>ISCOM_TLS</v>
      </c>
      <c r="B418" t="str">
        <f>IF(PNL!B418="","",PNL!B418)</f>
        <v>613</v>
      </c>
      <c r="C418" t="str">
        <f>IF(PNL!C418="","",PNL!C418)</f>
        <v>2025</v>
      </c>
      <c r="D418" t="str">
        <f>IF(PNL!D418="","",PNL!D418)</f>
        <v>ACT</v>
      </c>
      <c r="E418">
        <f t="shared" si="0"/>
        <v>0</v>
      </c>
      <c r="F418">
        <f>IF($A418="","",IF($E418=1,_xlfn.SUMIFS(Comptabilité!$F$1:$F$1446,Comptabilité!$A$1:$A$1446,$A418,Comptabilité!$B$1:$B$1446,$B418,Comptabilité!$C$1:$C$1446,"2026"),0))</f>
        <v>0</v>
      </c>
      <c r="G418">
        <f>IF($A418="","",IF($D418="V01",Cadrage!$C$23,IF($D418="V02",Cadrage!$D$23,Cadrage!$E$23)))</f>
        <v>-0.05</v>
      </c>
      <c r="H418">
        <f>IF($A418="","",IF($D418="V01",Cadrage!$C$24,IF($D418="V02",Cadrage!$D$24,Cadrage!$E$24)))</f>
        <v>-0.05</v>
      </c>
      <c r="I418">
        <f>IF($A418="","",IF($D418="V01",Cadrage!$C$34,IF($D418="V02",Cadrage!$D$34,Cadrage!$E$34)))</f>
        <v>0.03</v>
      </c>
      <c r="J418">
        <f>IF($A418="","",IF($D418="V01",Cadrage!$C$35,IF($D418="V02",Cadrage!$D$35,Cadrage!$E$35)))</f>
        <v>0.03</v>
      </c>
      <c r="K418">
        <f>IF($A418="","",IF($D418="V01",Cadrage!$C$36,IF($D418="V02",Cadrage!$D$36,Cadrage!$E$36)))</f>
        <v>0.05</v>
      </c>
      <c r="L418">
        <f>IF($A418="","",IF($D418="V01",Cadrage!$C$37,IF($D418="V02",Cadrage!$D$37,Cadrage!$E$37)))</f>
        <v>0</v>
      </c>
      <c r="M418">
        <f>IF($A418="","",IF($D418="V01",Cadrage!$C$38,IF($D418="V02",Cadrage!$D$38,Cadrage!$E$38)))</f>
        <v>0.04</v>
      </c>
      <c r="N418">
        <f t="shared" si="1"/>
        <v>0.980622079131853</v>
      </c>
      <c r="O418">
        <f t="shared" si="2"/>
        <v>1.0712</v>
      </c>
      <c r="P418">
        <f>IF($A418="","",IF($E418=1,$F418*$O418,PNL!G418))</f>
        <v>156401.63</v>
      </c>
      <c r="T418">
        <f t="shared" si="3"/>
        <v>0</v>
      </c>
    </row>
    <row r="419" ht="14.25" customHeight="1">
      <c r="A419" t="str">
        <f>IF(PNL!A419="","",PNL!A419)</f>
        <v>IPAC_NAN</v>
      </c>
      <c r="B419" t="str">
        <f>IF(PNL!B419="","",PNL!B419)</f>
        <v>613</v>
      </c>
      <c r="C419" t="str">
        <f>IF(PNL!C419="","",PNL!C419)</f>
        <v>2025</v>
      </c>
      <c r="D419" t="str">
        <f>IF(PNL!D419="","",PNL!D419)</f>
        <v>ACT</v>
      </c>
      <c r="E419">
        <f t="shared" si="0"/>
        <v>0</v>
      </c>
      <c r="F419">
        <f>IF($A419="","",IF($E419=1,_xlfn.SUMIFS(Comptabilité!$F$1:$F$1446,Comptabilité!$A$1:$A$1446,$A419,Comptabilité!$B$1:$B$1446,$B419,Comptabilité!$C$1:$C$1446,"2026"),0))</f>
        <v>0</v>
      </c>
      <c r="G419">
        <f>IF($A419="","",IF($D419="V01",Cadrage!$C$23,IF($D419="V02",Cadrage!$D$23,Cadrage!$E$23)))</f>
        <v>-0.05</v>
      </c>
      <c r="H419">
        <f>IF($A419="","",IF($D419="V01",Cadrage!$C$24,IF($D419="V02",Cadrage!$D$24,Cadrage!$E$24)))</f>
        <v>-0.05</v>
      </c>
      <c r="I419">
        <f>IF($A419="","",IF($D419="V01",Cadrage!$C$34,IF($D419="V02",Cadrage!$D$34,Cadrage!$E$34)))</f>
        <v>0.03</v>
      </c>
      <c r="J419">
        <f>IF($A419="","",IF($D419="V01",Cadrage!$C$35,IF($D419="V02",Cadrage!$D$35,Cadrage!$E$35)))</f>
        <v>0.03</v>
      </c>
      <c r="K419">
        <f>IF($A419="","",IF($D419="V01",Cadrage!$C$36,IF($D419="V02",Cadrage!$D$36,Cadrage!$E$36)))</f>
        <v>0.05</v>
      </c>
      <c r="L419">
        <f>IF($A419="","",IF($D419="V01",Cadrage!$C$37,IF($D419="V02",Cadrage!$D$37,Cadrage!$E$37)))</f>
        <v>0</v>
      </c>
      <c r="M419">
        <f>IF($A419="","",IF($D419="V01",Cadrage!$C$38,IF($D419="V02",Cadrage!$D$38,Cadrage!$E$38)))</f>
        <v>0.04</v>
      </c>
      <c r="N419">
        <f t="shared" si="1"/>
        <v>0.980622079131853</v>
      </c>
      <c r="O419">
        <f t="shared" si="2"/>
        <v>1.0712</v>
      </c>
      <c r="P419">
        <f>IF($A419="","",IF($E419=1,$F419*$O419,PNL!G419))</f>
        <v>99386.59</v>
      </c>
      <c r="T419">
        <f t="shared" si="3"/>
        <v>0</v>
      </c>
    </row>
    <row r="420" ht="14.25" customHeight="1">
      <c r="A420" t="str">
        <f>IF(PNL!A420="","",PNL!A420)</f>
        <v>IPAC_REN</v>
      </c>
      <c r="B420" t="str">
        <f>IF(PNL!B420="","",PNL!B420)</f>
        <v>613</v>
      </c>
      <c r="C420" t="str">
        <f>IF(PNL!C420="","",PNL!C420)</f>
        <v>2025</v>
      </c>
      <c r="D420" t="str">
        <f>IF(PNL!D420="","",PNL!D420)</f>
        <v>ACT</v>
      </c>
      <c r="E420">
        <f t="shared" si="0"/>
        <v>0</v>
      </c>
      <c r="F420">
        <f>IF($A420="","",IF($E420=1,_xlfn.SUMIFS(Comptabilité!$F$1:$F$1446,Comptabilité!$A$1:$A$1446,$A420,Comptabilité!$B$1:$B$1446,$B420,Comptabilité!$C$1:$C$1446,"2026"),0))</f>
        <v>0</v>
      </c>
      <c r="G420">
        <f>IF($A420="","",IF($D420="V01",Cadrage!$C$23,IF($D420="V02",Cadrage!$D$23,Cadrage!$E$23)))</f>
        <v>-0.05</v>
      </c>
      <c r="H420">
        <f>IF($A420="","",IF($D420="V01",Cadrage!$C$24,IF($D420="V02",Cadrage!$D$24,Cadrage!$E$24)))</f>
        <v>-0.05</v>
      </c>
      <c r="I420">
        <f>IF($A420="","",IF($D420="V01",Cadrage!$C$34,IF($D420="V02",Cadrage!$D$34,Cadrage!$E$34)))</f>
        <v>0.03</v>
      </c>
      <c r="J420">
        <f>IF($A420="","",IF($D420="V01",Cadrage!$C$35,IF($D420="V02",Cadrage!$D$35,Cadrage!$E$35)))</f>
        <v>0.03</v>
      </c>
      <c r="K420">
        <f>IF($A420="","",IF($D420="V01",Cadrage!$C$36,IF($D420="V02",Cadrage!$D$36,Cadrage!$E$36)))</f>
        <v>0.05</v>
      </c>
      <c r="L420">
        <f>IF($A420="","",IF($D420="V01",Cadrage!$C$37,IF($D420="V02",Cadrage!$D$37,Cadrage!$E$37)))</f>
        <v>0</v>
      </c>
      <c r="M420">
        <f>IF($A420="","",IF($D420="V01",Cadrage!$C$38,IF($D420="V02",Cadrage!$D$38,Cadrage!$E$38)))</f>
        <v>0.04</v>
      </c>
      <c r="N420">
        <f t="shared" si="1"/>
        <v>0.980622079131853</v>
      </c>
      <c r="O420">
        <f t="shared" si="2"/>
        <v>1.0712</v>
      </c>
      <c r="P420">
        <f>IF($A420="","",IF($E420=1,$F420*$O420,PNL!G420))</f>
        <v>81688.23</v>
      </c>
      <c r="T420">
        <f t="shared" si="3"/>
        <v>0</v>
      </c>
    </row>
    <row r="421" ht="14.25" customHeight="1">
      <c r="A421" t="str">
        <f>IF(PNL!A421="","",PNL!A421)</f>
        <v>IPAC_MTP</v>
      </c>
      <c r="B421" t="str">
        <f>IF(PNL!B421="","",PNL!B421)</f>
        <v>613</v>
      </c>
      <c r="C421" t="str">
        <f>IF(PNL!C421="","",PNL!C421)</f>
        <v>2025</v>
      </c>
      <c r="D421" t="str">
        <f>IF(PNL!D421="","",PNL!D421)</f>
        <v>ACT</v>
      </c>
      <c r="E421">
        <f t="shared" si="0"/>
        <v>0</v>
      </c>
      <c r="F421">
        <f>IF($A421="","",IF($E421=1,_xlfn.SUMIFS(Comptabilité!$F$1:$F$1446,Comptabilité!$A$1:$A$1446,$A421,Comptabilité!$B$1:$B$1446,$B421,Comptabilité!$C$1:$C$1446,"2026"),0))</f>
        <v>0</v>
      </c>
      <c r="G421">
        <f>IF($A421="","",IF($D421="V01",Cadrage!$C$23,IF($D421="V02",Cadrage!$D$23,Cadrage!$E$23)))</f>
        <v>-0.05</v>
      </c>
      <c r="H421">
        <f>IF($A421="","",IF($D421="V01",Cadrage!$C$24,IF($D421="V02",Cadrage!$D$24,Cadrage!$E$24)))</f>
        <v>-0.05</v>
      </c>
      <c r="I421">
        <f>IF($A421="","",IF($D421="V01",Cadrage!$C$34,IF($D421="V02",Cadrage!$D$34,Cadrage!$E$34)))</f>
        <v>0.03</v>
      </c>
      <c r="J421">
        <f>IF($A421="","",IF($D421="V01",Cadrage!$C$35,IF($D421="V02",Cadrage!$D$35,Cadrage!$E$35)))</f>
        <v>0.03</v>
      </c>
      <c r="K421">
        <f>IF($A421="","",IF($D421="V01",Cadrage!$C$36,IF($D421="V02",Cadrage!$D$36,Cadrage!$E$36)))</f>
        <v>0.05</v>
      </c>
      <c r="L421">
        <f>IF($A421="","",IF($D421="V01",Cadrage!$C$37,IF($D421="V02",Cadrage!$D$37,Cadrage!$E$37)))</f>
        <v>0</v>
      </c>
      <c r="M421">
        <f>IF($A421="","",IF($D421="V01",Cadrage!$C$38,IF($D421="V02",Cadrage!$D$38,Cadrage!$E$38)))</f>
        <v>0.04</v>
      </c>
      <c r="N421">
        <f t="shared" si="1"/>
        <v>0.980622079131853</v>
      </c>
      <c r="O421">
        <f t="shared" si="2"/>
        <v>1.0712</v>
      </c>
      <c r="P421">
        <f>IF($A421="","",IF($E421=1,$F421*$O421,PNL!G421))</f>
        <v>81642.58</v>
      </c>
      <c r="T421">
        <f t="shared" si="3"/>
        <v>0</v>
      </c>
    </row>
    <row r="422" ht="14.25" customHeight="1">
      <c r="A422" t="str">
        <f>IF(PNL!A422="","",PNL!A422)</f>
        <v>PIGIER_LYO</v>
      </c>
      <c r="B422" t="str">
        <f>IF(PNL!B422="","",PNL!B422)</f>
        <v>613</v>
      </c>
      <c r="C422" t="str">
        <f>IF(PNL!C422="","",PNL!C422)</f>
        <v>2025</v>
      </c>
      <c r="D422" t="str">
        <f>IF(PNL!D422="","",PNL!D422)</f>
        <v>ACT</v>
      </c>
      <c r="E422">
        <f t="shared" si="0"/>
        <v>0</v>
      </c>
      <c r="F422">
        <f>IF($A422="","",IF($E422=1,_xlfn.SUMIFS(Comptabilité!$F$1:$F$1446,Comptabilité!$A$1:$A$1446,$A422,Comptabilité!$B$1:$B$1446,$B422,Comptabilité!$C$1:$C$1446,"2026"),0))</f>
        <v>0</v>
      </c>
      <c r="G422">
        <f>IF($A422="","",IF($D422="V01",Cadrage!$C$23,IF($D422="V02",Cadrage!$D$23,Cadrage!$E$23)))</f>
        <v>-0.05</v>
      </c>
      <c r="H422">
        <f>IF($A422="","",IF($D422="V01",Cadrage!$C$24,IF($D422="V02",Cadrage!$D$24,Cadrage!$E$24)))</f>
        <v>-0.05</v>
      </c>
      <c r="I422">
        <f>IF($A422="","",IF($D422="V01",Cadrage!$C$34,IF($D422="V02",Cadrage!$D$34,Cadrage!$E$34)))</f>
        <v>0.03</v>
      </c>
      <c r="J422">
        <f>IF($A422="","",IF($D422="V01",Cadrage!$C$35,IF($D422="V02",Cadrage!$D$35,Cadrage!$E$35)))</f>
        <v>0.03</v>
      </c>
      <c r="K422">
        <f>IF($A422="","",IF($D422="V01",Cadrage!$C$36,IF($D422="V02",Cadrage!$D$36,Cadrage!$E$36)))</f>
        <v>0.05</v>
      </c>
      <c r="L422">
        <f>IF($A422="","",IF($D422="V01",Cadrage!$C$37,IF($D422="V02",Cadrage!$D$37,Cadrage!$E$37)))</f>
        <v>0</v>
      </c>
      <c r="M422">
        <f>IF($A422="","",IF($D422="V01",Cadrage!$C$38,IF($D422="V02",Cadrage!$D$38,Cadrage!$E$38)))</f>
        <v>0.04</v>
      </c>
      <c r="N422">
        <f t="shared" si="1"/>
        <v>0.980622079131853</v>
      </c>
      <c r="O422">
        <f t="shared" si="2"/>
        <v>1.0712</v>
      </c>
      <c r="P422">
        <f>IF($A422="","",IF($E422=1,$F422*$O422,PNL!G422))</f>
        <v>140985.25</v>
      </c>
      <c r="T422">
        <f t="shared" si="3"/>
        <v>0</v>
      </c>
    </row>
    <row r="423" ht="14.25" customHeight="1">
      <c r="A423" t="str">
        <f>IF(PNL!A423="","",PNL!A423)</f>
        <v>PIGIER_BOR</v>
      </c>
      <c r="B423" t="str">
        <f>IF(PNL!B423="","",PNL!B423)</f>
        <v>613</v>
      </c>
      <c r="C423" t="str">
        <f>IF(PNL!C423="","",PNL!C423)</f>
        <v>2025</v>
      </c>
      <c r="D423" t="str">
        <f>IF(PNL!D423="","",PNL!D423)</f>
        <v>ACT</v>
      </c>
      <c r="E423">
        <f t="shared" si="0"/>
        <v>0</v>
      </c>
      <c r="F423">
        <f>IF($A423="","",IF($E423=1,_xlfn.SUMIFS(Comptabilité!$F$1:$F$1446,Comptabilité!$A$1:$A$1446,$A423,Comptabilité!$B$1:$B$1446,$B423,Comptabilité!$C$1:$C$1446,"2026"),0))</f>
        <v>0</v>
      </c>
      <c r="G423">
        <f>IF($A423="","",IF($D423="V01",Cadrage!$C$23,IF($D423="V02",Cadrage!$D$23,Cadrage!$E$23)))</f>
        <v>-0.05</v>
      </c>
      <c r="H423">
        <f>IF($A423="","",IF($D423="V01",Cadrage!$C$24,IF($D423="V02",Cadrage!$D$24,Cadrage!$E$24)))</f>
        <v>-0.05</v>
      </c>
      <c r="I423">
        <f>IF($A423="","",IF($D423="V01",Cadrage!$C$34,IF($D423="V02",Cadrage!$D$34,Cadrage!$E$34)))</f>
        <v>0.03</v>
      </c>
      <c r="J423">
        <f>IF($A423="","",IF($D423="V01",Cadrage!$C$35,IF($D423="V02",Cadrage!$D$35,Cadrage!$E$35)))</f>
        <v>0.03</v>
      </c>
      <c r="K423">
        <f>IF($A423="","",IF($D423="V01",Cadrage!$C$36,IF($D423="V02",Cadrage!$D$36,Cadrage!$E$36)))</f>
        <v>0.05</v>
      </c>
      <c r="L423">
        <f>IF($A423="","",IF($D423="V01",Cadrage!$C$37,IF($D423="V02",Cadrage!$D$37,Cadrage!$E$37)))</f>
        <v>0</v>
      </c>
      <c r="M423">
        <f>IF($A423="","",IF($D423="V01",Cadrage!$C$38,IF($D423="V02",Cadrage!$D$38,Cadrage!$E$38)))</f>
        <v>0.04</v>
      </c>
      <c r="N423">
        <f t="shared" si="1"/>
        <v>0.980622079131853</v>
      </c>
      <c r="O423">
        <f t="shared" si="2"/>
        <v>1.0712</v>
      </c>
      <c r="P423">
        <f>IF($A423="","",IF($E423=1,$F423*$O423,PNL!G423))</f>
        <v>108163.95</v>
      </c>
      <c r="T423">
        <f t="shared" si="3"/>
        <v>0</v>
      </c>
    </row>
    <row r="424" ht="14.25" customHeight="1">
      <c r="A424" t="str">
        <f>IF(PNL!A424="","",PNL!A424)</f>
        <v>TUNON_PAR</v>
      </c>
      <c r="B424" t="str">
        <f>IF(PNL!B424="","",PNL!B424)</f>
        <v>613</v>
      </c>
      <c r="C424" t="str">
        <f>IF(PNL!C424="","",PNL!C424)</f>
        <v>2025</v>
      </c>
      <c r="D424" t="str">
        <f>IF(PNL!D424="","",PNL!D424)</f>
        <v>ACT</v>
      </c>
      <c r="E424">
        <f t="shared" si="0"/>
        <v>0</v>
      </c>
      <c r="F424">
        <f>IF($A424="","",IF($E424=1,_xlfn.SUMIFS(Comptabilité!$F$1:$F$1446,Comptabilité!$A$1:$A$1446,$A424,Comptabilité!$B$1:$B$1446,$B424,Comptabilité!$C$1:$C$1446,"2026"),0))</f>
        <v>0</v>
      </c>
      <c r="G424">
        <f>IF($A424="","",IF($D424="V01",Cadrage!$C$23,IF($D424="V02",Cadrage!$D$23,Cadrage!$E$23)))</f>
        <v>-0.05</v>
      </c>
      <c r="H424">
        <f>IF($A424="","",IF($D424="V01",Cadrage!$C$24,IF($D424="V02",Cadrage!$D$24,Cadrage!$E$24)))</f>
        <v>-0.05</v>
      </c>
      <c r="I424">
        <f>IF($A424="","",IF($D424="V01",Cadrage!$C$34,IF($D424="V02",Cadrage!$D$34,Cadrage!$E$34)))</f>
        <v>0.03</v>
      </c>
      <c r="J424">
        <f>IF($A424="","",IF($D424="V01",Cadrage!$C$35,IF($D424="V02",Cadrage!$D$35,Cadrage!$E$35)))</f>
        <v>0.03</v>
      </c>
      <c r="K424">
        <f>IF($A424="","",IF($D424="V01",Cadrage!$C$36,IF($D424="V02",Cadrage!$D$36,Cadrage!$E$36)))</f>
        <v>0.05</v>
      </c>
      <c r="L424">
        <f>IF($A424="","",IF($D424="V01",Cadrage!$C$37,IF($D424="V02",Cadrage!$D$37,Cadrage!$E$37)))</f>
        <v>0</v>
      </c>
      <c r="M424">
        <f>IF($A424="","",IF($D424="V01",Cadrage!$C$38,IF($D424="V02",Cadrage!$D$38,Cadrage!$E$38)))</f>
        <v>0.04</v>
      </c>
      <c r="N424">
        <f t="shared" si="1"/>
        <v>0.980622079131853</v>
      </c>
      <c r="O424">
        <f t="shared" si="2"/>
        <v>1.0712</v>
      </c>
      <c r="P424">
        <f>IF($A424="","",IF($E424=1,$F424*$O424,PNL!G424))</f>
        <v>126658.34</v>
      </c>
      <c r="T424">
        <f t="shared" si="3"/>
        <v>0</v>
      </c>
    </row>
    <row r="425" ht="14.25" customHeight="1">
      <c r="A425" t="str">
        <f>IF(PNL!A425="","",PNL!A425)</f>
        <v>TUNON_LYO</v>
      </c>
      <c r="B425" t="str">
        <f>IF(PNL!B425="","",PNL!B425)</f>
        <v>613</v>
      </c>
      <c r="C425" t="str">
        <f>IF(PNL!C425="","",PNL!C425)</f>
        <v>2025</v>
      </c>
      <c r="D425" t="str">
        <f>IF(PNL!D425="","",PNL!D425)</f>
        <v>ACT</v>
      </c>
      <c r="E425">
        <f t="shared" si="0"/>
        <v>0</v>
      </c>
      <c r="F425">
        <f>IF($A425="","",IF($E425=1,_xlfn.SUMIFS(Comptabilité!$F$1:$F$1446,Comptabilité!$A$1:$A$1446,$A425,Comptabilité!$B$1:$B$1446,$B425,Comptabilité!$C$1:$C$1446,"2026"),0))</f>
        <v>0</v>
      </c>
      <c r="G425">
        <f>IF($A425="","",IF($D425="V01",Cadrage!$C$23,IF($D425="V02",Cadrage!$D$23,Cadrage!$E$23)))</f>
        <v>-0.05</v>
      </c>
      <c r="H425">
        <f>IF($A425="","",IF($D425="V01",Cadrage!$C$24,IF($D425="V02",Cadrage!$D$24,Cadrage!$E$24)))</f>
        <v>-0.05</v>
      </c>
      <c r="I425">
        <f>IF($A425="","",IF($D425="V01",Cadrage!$C$34,IF($D425="V02",Cadrage!$D$34,Cadrage!$E$34)))</f>
        <v>0.03</v>
      </c>
      <c r="J425">
        <f>IF($A425="","",IF($D425="V01",Cadrage!$C$35,IF($D425="V02",Cadrage!$D$35,Cadrage!$E$35)))</f>
        <v>0.03</v>
      </c>
      <c r="K425">
        <f>IF($A425="","",IF($D425="V01",Cadrage!$C$36,IF($D425="V02",Cadrage!$D$36,Cadrage!$E$36)))</f>
        <v>0.05</v>
      </c>
      <c r="L425">
        <f>IF($A425="","",IF($D425="V01",Cadrage!$C$37,IF($D425="V02",Cadrage!$D$37,Cadrage!$E$37)))</f>
        <v>0</v>
      </c>
      <c r="M425">
        <f>IF($A425="","",IF($D425="V01",Cadrage!$C$38,IF($D425="V02",Cadrage!$D$38,Cadrage!$E$38)))</f>
        <v>0.04</v>
      </c>
      <c r="N425">
        <f t="shared" si="1"/>
        <v>0.980622079131853</v>
      </c>
      <c r="O425">
        <f t="shared" si="2"/>
        <v>1.0712</v>
      </c>
      <c r="P425">
        <f>IF($A425="","",IF($E425=1,$F425*$O425,PNL!G425))</f>
        <v>107264.65</v>
      </c>
      <c r="T425">
        <f t="shared" si="3"/>
        <v>0</v>
      </c>
    </row>
    <row r="426" ht="14.25" customHeight="1">
      <c r="A426" t="str">
        <f>IF(PNL!A426="","",PNL!A426)</f>
        <v>MBWAY_PAR</v>
      </c>
      <c r="B426" t="str">
        <f>IF(PNL!B426="","",PNL!B426)</f>
        <v>613</v>
      </c>
      <c r="C426" t="str">
        <f>IF(PNL!C426="","",PNL!C426)</f>
        <v>2026</v>
      </c>
      <c r="D426" t="str">
        <f>IF(PNL!D426="","",PNL!D426)</f>
        <v>ACT</v>
      </c>
      <c r="E426">
        <f t="shared" si="0"/>
        <v>0</v>
      </c>
      <c r="F426">
        <f>IF($A426="","",IF($E426=1,_xlfn.SUMIFS(Comptabilité!$F$1:$F$1446,Comptabilité!$A$1:$A$1446,$A426,Comptabilité!$B$1:$B$1446,$B426,Comptabilité!$C$1:$C$1446,"2026"),0))</f>
        <v>0</v>
      </c>
      <c r="G426">
        <f>IF($A426="","",IF($D426="V01",Cadrage!$C$23,IF($D426="V02",Cadrage!$D$23,Cadrage!$E$23)))</f>
        <v>-0.05</v>
      </c>
      <c r="H426">
        <f>IF($A426="","",IF($D426="V01",Cadrage!$C$24,IF($D426="V02",Cadrage!$D$24,Cadrage!$E$24)))</f>
        <v>-0.05</v>
      </c>
      <c r="I426">
        <f>IF($A426="","",IF($D426="V01",Cadrage!$C$34,IF($D426="V02",Cadrage!$D$34,Cadrage!$E$34)))</f>
        <v>0.03</v>
      </c>
      <c r="J426">
        <f>IF($A426="","",IF($D426="V01",Cadrage!$C$35,IF($D426="V02",Cadrage!$D$35,Cadrage!$E$35)))</f>
        <v>0.03</v>
      </c>
      <c r="K426">
        <f>IF($A426="","",IF($D426="V01",Cadrage!$C$36,IF($D426="V02",Cadrage!$D$36,Cadrage!$E$36)))</f>
        <v>0.05</v>
      </c>
      <c r="L426">
        <f>IF($A426="","",IF($D426="V01",Cadrage!$C$37,IF($D426="V02",Cadrage!$D$37,Cadrage!$E$37)))</f>
        <v>0</v>
      </c>
      <c r="M426">
        <f>IF($A426="","",IF($D426="V01",Cadrage!$C$38,IF($D426="V02",Cadrage!$D$38,Cadrage!$E$38)))</f>
        <v>0.04</v>
      </c>
      <c r="N426">
        <f t="shared" si="1"/>
        <v>0.980622079131853</v>
      </c>
      <c r="O426">
        <f t="shared" si="2"/>
        <v>1.0712</v>
      </c>
      <c r="P426">
        <f>IF($A426="","",IF($E426=1,$F426*$O426,PNL!G426))</f>
        <v>310097.52</v>
      </c>
      <c r="T426">
        <f t="shared" si="3"/>
        <v>0</v>
      </c>
    </row>
    <row r="427" ht="14.25" customHeight="1">
      <c r="A427" t="str">
        <f>IF(PNL!A427="","",PNL!A427)</f>
        <v>MBWAY_LYO</v>
      </c>
      <c r="B427" t="str">
        <f>IF(PNL!B427="","",PNL!B427)</f>
        <v>613</v>
      </c>
      <c r="C427" t="str">
        <f>IF(PNL!C427="","",PNL!C427)</f>
        <v>2026</v>
      </c>
      <c r="D427" t="str">
        <f>IF(PNL!D427="","",PNL!D427)</f>
        <v>ACT</v>
      </c>
      <c r="E427">
        <f t="shared" si="0"/>
        <v>0</v>
      </c>
      <c r="F427">
        <f>IF($A427="","",IF($E427=1,_xlfn.SUMIFS(Comptabilité!$F$1:$F$1446,Comptabilité!$A$1:$A$1446,$A427,Comptabilité!$B$1:$B$1446,$B427,Comptabilité!$C$1:$C$1446,"2026"),0))</f>
        <v>0</v>
      </c>
      <c r="G427">
        <f>IF($A427="","",IF($D427="V01",Cadrage!$C$23,IF($D427="V02",Cadrage!$D$23,Cadrage!$E$23)))</f>
        <v>-0.05</v>
      </c>
      <c r="H427">
        <f>IF($A427="","",IF($D427="V01",Cadrage!$C$24,IF($D427="V02",Cadrage!$D$24,Cadrage!$E$24)))</f>
        <v>-0.05</v>
      </c>
      <c r="I427">
        <f>IF($A427="","",IF($D427="V01",Cadrage!$C$34,IF($D427="V02",Cadrage!$D$34,Cadrage!$E$34)))</f>
        <v>0.03</v>
      </c>
      <c r="J427">
        <f>IF($A427="","",IF($D427="V01",Cadrage!$C$35,IF($D427="V02",Cadrage!$D$35,Cadrage!$E$35)))</f>
        <v>0.03</v>
      </c>
      <c r="K427">
        <f>IF($A427="","",IF($D427="V01",Cadrage!$C$36,IF($D427="V02",Cadrage!$D$36,Cadrage!$E$36)))</f>
        <v>0.05</v>
      </c>
      <c r="L427">
        <f>IF($A427="","",IF($D427="V01",Cadrage!$C$37,IF($D427="V02",Cadrage!$D$37,Cadrage!$E$37)))</f>
        <v>0</v>
      </c>
      <c r="M427">
        <f>IF($A427="","",IF($D427="V01",Cadrage!$C$38,IF($D427="V02",Cadrage!$D$38,Cadrage!$E$38)))</f>
        <v>0.04</v>
      </c>
      <c r="N427">
        <f t="shared" si="1"/>
        <v>0.980622079131853</v>
      </c>
      <c r="O427">
        <f t="shared" si="2"/>
        <v>1.0712</v>
      </c>
      <c r="P427">
        <f>IF($A427="","",IF($E427=1,$F427*$O427,PNL!G427))</f>
        <v>247177.87</v>
      </c>
      <c r="T427">
        <f t="shared" si="3"/>
        <v>0</v>
      </c>
    </row>
    <row r="428" ht="14.25" customHeight="1">
      <c r="A428" t="str">
        <f>IF(PNL!A428="","",PNL!A428)</f>
        <v>MBWAY_NAN</v>
      </c>
      <c r="B428" t="str">
        <f>IF(PNL!B428="","",PNL!B428)</f>
        <v>613</v>
      </c>
      <c r="C428" t="str">
        <f>IF(PNL!C428="","",PNL!C428)</f>
        <v>2026</v>
      </c>
      <c r="D428" t="str">
        <f>IF(PNL!D428="","",PNL!D428)</f>
        <v>ACT</v>
      </c>
      <c r="E428">
        <f t="shared" si="0"/>
        <v>0</v>
      </c>
      <c r="F428">
        <f>IF($A428="","",IF($E428=1,_xlfn.SUMIFS(Comptabilité!$F$1:$F$1446,Comptabilité!$A$1:$A$1446,$A428,Comptabilité!$B$1:$B$1446,$B428,Comptabilité!$C$1:$C$1446,"2026"),0))</f>
        <v>0</v>
      </c>
      <c r="G428">
        <f>IF($A428="","",IF($D428="V01",Cadrage!$C$23,IF($D428="V02",Cadrage!$D$23,Cadrage!$E$23)))</f>
        <v>-0.05</v>
      </c>
      <c r="H428">
        <f>IF($A428="","",IF($D428="V01",Cadrage!$C$24,IF($D428="V02",Cadrage!$D$24,Cadrage!$E$24)))</f>
        <v>-0.05</v>
      </c>
      <c r="I428">
        <f>IF($A428="","",IF($D428="V01",Cadrage!$C$34,IF($D428="V02",Cadrage!$D$34,Cadrage!$E$34)))</f>
        <v>0.03</v>
      </c>
      <c r="J428">
        <f>IF($A428="","",IF($D428="V01",Cadrage!$C$35,IF($D428="V02",Cadrage!$D$35,Cadrage!$E$35)))</f>
        <v>0.03</v>
      </c>
      <c r="K428">
        <f>IF($A428="","",IF($D428="V01",Cadrage!$C$36,IF($D428="V02",Cadrage!$D$36,Cadrage!$E$36)))</f>
        <v>0.05</v>
      </c>
      <c r="L428">
        <f>IF($A428="","",IF($D428="V01",Cadrage!$C$37,IF($D428="V02",Cadrage!$D$37,Cadrage!$E$37)))</f>
        <v>0</v>
      </c>
      <c r="M428">
        <f>IF($A428="","",IF($D428="V01",Cadrage!$C$38,IF($D428="V02",Cadrage!$D$38,Cadrage!$E$38)))</f>
        <v>0.04</v>
      </c>
      <c r="N428">
        <f t="shared" si="1"/>
        <v>0.980622079131853</v>
      </c>
      <c r="O428">
        <f t="shared" si="2"/>
        <v>1.0712</v>
      </c>
      <c r="P428">
        <f>IF($A428="","",IF($E428=1,$F428*$O428,PNL!G428))</f>
        <v>212626.38</v>
      </c>
      <c r="T428">
        <f t="shared" si="3"/>
        <v>0</v>
      </c>
    </row>
    <row r="429" ht="14.25" customHeight="1">
      <c r="A429" t="str">
        <f>IF(PNL!A429="","",PNL!A429)</f>
        <v>MBWAY_BOR</v>
      </c>
      <c r="B429" t="str">
        <f>IF(PNL!B429="","",PNL!B429)</f>
        <v>613</v>
      </c>
      <c r="C429" t="str">
        <f>IF(PNL!C429="","",PNL!C429)</f>
        <v>2026</v>
      </c>
      <c r="D429" t="str">
        <f>IF(PNL!D429="","",PNL!D429)</f>
        <v>ACT</v>
      </c>
      <c r="E429">
        <f t="shared" si="0"/>
        <v>0</v>
      </c>
      <c r="F429">
        <f>IF($A429="","",IF($E429=1,_xlfn.SUMIFS(Comptabilité!$F$1:$F$1446,Comptabilité!$A$1:$A$1446,$A429,Comptabilité!$B$1:$B$1446,$B429,Comptabilité!$C$1:$C$1446,"2026"),0))</f>
        <v>0</v>
      </c>
      <c r="G429">
        <f>IF($A429="","",IF($D429="V01",Cadrage!$C$23,IF($D429="V02",Cadrage!$D$23,Cadrage!$E$23)))</f>
        <v>-0.05</v>
      </c>
      <c r="H429">
        <f>IF($A429="","",IF($D429="V01",Cadrage!$C$24,IF($D429="V02",Cadrage!$D$24,Cadrage!$E$24)))</f>
        <v>-0.05</v>
      </c>
      <c r="I429">
        <f>IF($A429="","",IF($D429="V01",Cadrage!$C$34,IF($D429="V02",Cadrage!$D$34,Cadrage!$E$34)))</f>
        <v>0.03</v>
      </c>
      <c r="J429">
        <f>IF($A429="","",IF($D429="V01",Cadrage!$C$35,IF($D429="V02",Cadrage!$D$35,Cadrage!$E$35)))</f>
        <v>0.03</v>
      </c>
      <c r="K429">
        <f>IF($A429="","",IF($D429="V01",Cadrage!$C$36,IF($D429="V02",Cadrage!$D$36,Cadrage!$E$36)))</f>
        <v>0.05</v>
      </c>
      <c r="L429">
        <f>IF($A429="","",IF($D429="V01",Cadrage!$C$37,IF($D429="V02",Cadrage!$D$37,Cadrage!$E$37)))</f>
        <v>0</v>
      </c>
      <c r="M429">
        <f>IF($A429="","",IF($D429="V01",Cadrage!$C$38,IF($D429="V02",Cadrage!$D$38,Cadrage!$E$38)))</f>
        <v>0.04</v>
      </c>
      <c r="N429">
        <f t="shared" si="1"/>
        <v>0.980622079131853</v>
      </c>
      <c r="O429">
        <f t="shared" si="2"/>
        <v>1.0712</v>
      </c>
      <c r="P429">
        <f>IF($A429="","",IF($E429=1,$F429*$O429,PNL!G429))</f>
        <v>173149.35</v>
      </c>
      <c r="T429">
        <f t="shared" si="3"/>
        <v>0</v>
      </c>
    </row>
    <row r="430" ht="14.25" customHeight="1">
      <c r="A430" t="str">
        <f>IF(PNL!A430="","",PNL!A430)</f>
        <v>ISCOM_PAR</v>
      </c>
      <c r="B430" t="str">
        <f>IF(PNL!B430="","",PNL!B430)</f>
        <v>613</v>
      </c>
      <c r="C430" t="str">
        <f>IF(PNL!C430="","",PNL!C430)</f>
        <v>2026</v>
      </c>
      <c r="D430" t="str">
        <f>IF(PNL!D430="","",PNL!D430)</f>
        <v>ACT</v>
      </c>
      <c r="E430">
        <f t="shared" si="0"/>
        <v>0</v>
      </c>
      <c r="F430">
        <f>IF($A430="","",IF($E430=1,_xlfn.SUMIFS(Comptabilité!$F$1:$F$1446,Comptabilité!$A$1:$A$1446,$A430,Comptabilité!$B$1:$B$1446,$B430,Comptabilité!$C$1:$C$1446,"2026"),0))</f>
        <v>0</v>
      </c>
      <c r="G430">
        <f>IF($A430="","",IF($D430="V01",Cadrage!$C$23,IF($D430="V02",Cadrage!$D$23,Cadrage!$E$23)))</f>
        <v>-0.05</v>
      </c>
      <c r="H430">
        <f>IF($A430="","",IF($D430="V01",Cadrage!$C$24,IF($D430="V02",Cadrage!$D$24,Cadrage!$E$24)))</f>
        <v>-0.05</v>
      </c>
      <c r="I430">
        <f>IF($A430="","",IF($D430="V01",Cadrage!$C$34,IF($D430="V02",Cadrage!$D$34,Cadrage!$E$34)))</f>
        <v>0.03</v>
      </c>
      <c r="J430">
        <f>IF($A430="","",IF($D430="V01",Cadrage!$C$35,IF($D430="V02",Cadrage!$D$35,Cadrage!$E$35)))</f>
        <v>0.03</v>
      </c>
      <c r="K430">
        <f>IF($A430="","",IF($D430="V01",Cadrage!$C$36,IF($D430="V02",Cadrage!$D$36,Cadrage!$E$36)))</f>
        <v>0.05</v>
      </c>
      <c r="L430">
        <f>IF($A430="","",IF($D430="V01",Cadrage!$C$37,IF($D430="V02",Cadrage!$D$37,Cadrage!$E$37)))</f>
        <v>0</v>
      </c>
      <c r="M430">
        <f>IF($A430="","",IF($D430="V01",Cadrage!$C$38,IF($D430="V02",Cadrage!$D$38,Cadrage!$E$38)))</f>
        <v>0.04</v>
      </c>
      <c r="N430">
        <f t="shared" si="1"/>
        <v>0.980622079131853</v>
      </c>
      <c r="O430">
        <f t="shared" si="2"/>
        <v>1.0712</v>
      </c>
      <c r="P430">
        <f>IF($A430="","",IF($E430=1,$F430*$O430,PNL!G430))</f>
        <v>301442.76</v>
      </c>
      <c r="T430">
        <f t="shared" si="3"/>
        <v>0</v>
      </c>
    </row>
    <row r="431" ht="14.25" customHeight="1">
      <c r="A431" t="str">
        <f>IF(PNL!A431="","",PNL!A431)</f>
        <v>ISCOM_LIL</v>
      </c>
      <c r="B431" t="str">
        <f>IF(PNL!B431="","",PNL!B431)</f>
        <v>613</v>
      </c>
      <c r="C431" t="str">
        <f>IF(PNL!C431="","",PNL!C431)</f>
        <v>2026</v>
      </c>
      <c r="D431" t="str">
        <f>IF(PNL!D431="","",PNL!D431)</f>
        <v>ACT</v>
      </c>
      <c r="E431">
        <f t="shared" si="0"/>
        <v>0</v>
      </c>
      <c r="F431">
        <f>IF($A431="","",IF($E431=1,_xlfn.SUMIFS(Comptabilité!$F$1:$F$1446,Comptabilité!$A$1:$A$1446,$A431,Comptabilité!$B$1:$B$1446,$B431,Comptabilité!$C$1:$C$1446,"2026"),0))</f>
        <v>0</v>
      </c>
      <c r="G431">
        <f>IF($A431="","",IF($D431="V01",Cadrage!$C$23,IF($D431="V02",Cadrage!$D$23,Cadrage!$E$23)))</f>
        <v>-0.05</v>
      </c>
      <c r="H431">
        <f>IF($A431="","",IF($D431="V01",Cadrage!$C$24,IF($D431="V02",Cadrage!$D$24,Cadrage!$E$24)))</f>
        <v>-0.05</v>
      </c>
      <c r="I431">
        <f>IF($A431="","",IF($D431="V01",Cadrage!$C$34,IF($D431="V02",Cadrage!$D$34,Cadrage!$E$34)))</f>
        <v>0.03</v>
      </c>
      <c r="J431">
        <f>IF($A431="","",IF($D431="V01",Cadrage!$C$35,IF($D431="V02",Cadrage!$D$35,Cadrage!$E$35)))</f>
        <v>0.03</v>
      </c>
      <c r="K431">
        <f>IF($A431="","",IF($D431="V01",Cadrage!$C$36,IF($D431="V02",Cadrage!$D$36,Cadrage!$E$36)))</f>
        <v>0.05</v>
      </c>
      <c r="L431">
        <f>IF($A431="","",IF($D431="V01",Cadrage!$C$37,IF($D431="V02",Cadrage!$D$37,Cadrage!$E$37)))</f>
        <v>0</v>
      </c>
      <c r="M431">
        <f>IF($A431="","",IF($D431="V01",Cadrage!$C$38,IF($D431="V02",Cadrage!$D$38,Cadrage!$E$38)))</f>
        <v>0.04</v>
      </c>
      <c r="N431">
        <f t="shared" si="1"/>
        <v>0.980622079131853</v>
      </c>
      <c r="O431">
        <f t="shared" si="2"/>
        <v>1.0712</v>
      </c>
      <c r="P431">
        <f>IF($A431="","",IF($E431=1,$F431*$O431,PNL!G431))</f>
        <v>175824.49</v>
      </c>
      <c r="T431">
        <f t="shared" si="3"/>
        <v>0</v>
      </c>
    </row>
    <row r="432" ht="14.25" customHeight="1">
      <c r="A432" t="str">
        <f>IF(PNL!A432="","",PNL!A432)</f>
        <v>ISCOM_TLS</v>
      </c>
      <c r="B432" t="str">
        <f>IF(PNL!B432="","",PNL!B432)</f>
        <v>613</v>
      </c>
      <c r="C432" t="str">
        <f>IF(PNL!C432="","",PNL!C432)</f>
        <v>2026</v>
      </c>
      <c r="D432" t="str">
        <f>IF(PNL!D432="","",PNL!D432)</f>
        <v>ACT</v>
      </c>
      <c r="E432">
        <f t="shared" si="0"/>
        <v>0</v>
      </c>
      <c r="F432">
        <f>IF($A432="","",IF($E432=1,_xlfn.SUMIFS(Comptabilité!$F$1:$F$1446,Comptabilité!$A$1:$A$1446,$A432,Comptabilité!$B$1:$B$1446,$B432,Comptabilité!$C$1:$C$1446,"2026"),0))</f>
        <v>0</v>
      </c>
      <c r="G432">
        <f>IF($A432="","",IF($D432="V01",Cadrage!$C$23,IF($D432="V02",Cadrage!$D$23,Cadrage!$E$23)))</f>
        <v>-0.05</v>
      </c>
      <c r="H432">
        <f>IF($A432="","",IF($D432="V01",Cadrage!$C$24,IF($D432="V02",Cadrage!$D$24,Cadrage!$E$24)))</f>
        <v>-0.05</v>
      </c>
      <c r="I432">
        <f>IF($A432="","",IF($D432="V01",Cadrage!$C$34,IF($D432="V02",Cadrage!$D$34,Cadrage!$E$34)))</f>
        <v>0.03</v>
      </c>
      <c r="J432">
        <f>IF($A432="","",IF($D432="V01",Cadrage!$C$35,IF($D432="V02",Cadrage!$D$35,Cadrage!$E$35)))</f>
        <v>0.03</v>
      </c>
      <c r="K432">
        <f>IF($A432="","",IF($D432="V01",Cadrage!$C$36,IF($D432="V02",Cadrage!$D$36,Cadrage!$E$36)))</f>
        <v>0.05</v>
      </c>
      <c r="L432">
        <f>IF($A432="","",IF($D432="V01",Cadrage!$C$37,IF($D432="V02",Cadrage!$D$37,Cadrage!$E$37)))</f>
        <v>0</v>
      </c>
      <c r="M432">
        <f>IF($A432="","",IF($D432="V01",Cadrage!$C$38,IF($D432="V02",Cadrage!$D$38,Cadrage!$E$38)))</f>
        <v>0.04</v>
      </c>
      <c r="N432">
        <f t="shared" si="1"/>
        <v>0.980622079131853</v>
      </c>
      <c r="O432">
        <f t="shared" si="2"/>
        <v>1.0712</v>
      </c>
      <c r="P432">
        <f>IF($A432="","",IF($E432=1,$F432*$O432,PNL!G432))</f>
        <v>165334.19</v>
      </c>
      <c r="T432">
        <f t="shared" si="3"/>
        <v>0</v>
      </c>
    </row>
    <row r="433" ht="14.25" customHeight="1">
      <c r="A433" t="str">
        <f>IF(PNL!A433="","",PNL!A433)</f>
        <v>IPAC_NAN</v>
      </c>
      <c r="B433" t="str">
        <f>IF(PNL!B433="","",PNL!B433)</f>
        <v>613</v>
      </c>
      <c r="C433" t="str">
        <f>IF(PNL!C433="","",PNL!C433)</f>
        <v>2026</v>
      </c>
      <c r="D433" t="str">
        <f>IF(PNL!D433="","",PNL!D433)</f>
        <v>ACT</v>
      </c>
      <c r="E433">
        <f t="shared" si="0"/>
        <v>0</v>
      </c>
      <c r="F433">
        <f>IF($A433="","",IF($E433=1,_xlfn.SUMIFS(Comptabilité!$F$1:$F$1446,Comptabilité!$A$1:$A$1446,$A433,Comptabilité!$B$1:$B$1446,$B433,Comptabilité!$C$1:$C$1446,"2026"),0))</f>
        <v>0</v>
      </c>
      <c r="G433">
        <f>IF($A433="","",IF($D433="V01",Cadrage!$C$23,IF($D433="V02",Cadrage!$D$23,Cadrage!$E$23)))</f>
        <v>-0.05</v>
      </c>
      <c r="H433">
        <f>IF($A433="","",IF($D433="V01",Cadrage!$C$24,IF($D433="V02",Cadrage!$D$24,Cadrage!$E$24)))</f>
        <v>-0.05</v>
      </c>
      <c r="I433">
        <f>IF($A433="","",IF($D433="V01",Cadrage!$C$34,IF($D433="V02",Cadrage!$D$34,Cadrage!$E$34)))</f>
        <v>0.03</v>
      </c>
      <c r="J433">
        <f>IF($A433="","",IF($D433="V01",Cadrage!$C$35,IF($D433="V02",Cadrage!$D$35,Cadrage!$E$35)))</f>
        <v>0.03</v>
      </c>
      <c r="K433">
        <f>IF($A433="","",IF($D433="V01",Cadrage!$C$36,IF($D433="V02",Cadrage!$D$36,Cadrage!$E$36)))</f>
        <v>0.05</v>
      </c>
      <c r="L433">
        <f>IF($A433="","",IF($D433="V01",Cadrage!$C$37,IF($D433="V02",Cadrage!$D$37,Cadrage!$E$37)))</f>
        <v>0</v>
      </c>
      <c r="M433">
        <f>IF($A433="","",IF($D433="V01",Cadrage!$C$38,IF($D433="V02",Cadrage!$D$38,Cadrage!$E$38)))</f>
        <v>0.04</v>
      </c>
      <c r="N433">
        <f t="shared" si="1"/>
        <v>0.980622079131853</v>
      </c>
      <c r="O433">
        <f t="shared" si="2"/>
        <v>1.0712</v>
      </c>
      <c r="P433">
        <f>IF($A433="","",IF($E433=1,$F433*$O433,PNL!G433))</f>
        <v>103877.74</v>
      </c>
      <c r="T433">
        <f t="shared" si="3"/>
        <v>0</v>
      </c>
    </row>
    <row r="434" ht="14.25" customHeight="1">
      <c r="A434" t="str">
        <f>IF(PNL!A434="","",PNL!A434)</f>
        <v>IPAC_REN</v>
      </c>
      <c r="B434" t="str">
        <f>IF(PNL!B434="","",PNL!B434)</f>
        <v>613</v>
      </c>
      <c r="C434" t="str">
        <f>IF(PNL!C434="","",PNL!C434)</f>
        <v>2026</v>
      </c>
      <c r="D434" t="str">
        <f>IF(PNL!D434="","",PNL!D434)</f>
        <v>ACT</v>
      </c>
      <c r="E434">
        <f t="shared" si="0"/>
        <v>0</v>
      </c>
      <c r="F434">
        <f>IF($A434="","",IF($E434=1,_xlfn.SUMIFS(Comptabilité!$F$1:$F$1446,Comptabilité!$A$1:$A$1446,$A434,Comptabilité!$B$1:$B$1446,$B434,Comptabilité!$C$1:$C$1446,"2026"),0))</f>
        <v>0</v>
      </c>
      <c r="G434">
        <f>IF($A434="","",IF($D434="V01",Cadrage!$C$23,IF($D434="V02",Cadrage!$D$23,Cadrage!$E$23)))</f>
        <v>-0.05</v>
      </c>
      <c r="H434">
        <f>IF($A434="","",IF($D434="V01",Cadrage!$C$24,IF($D434="V02",Cadrage!$D$24,Cadrage!$E$24)))</f>
        <v>-0.05</v>
      </c>
      <c r="I434">
        <f>IF($A434="","",IF($D434="V01",Cadrage!$C$34,IF($D434="V02",Cadrage!$D$34,Cadrage!$E$34)))</f>
        <v>0.03</v>
      </c>
      <c r="J434">
        <f>IF($A434="","",IF($D434="V01",Cadrage!$C$35,IF($D434="V02",Cadrage!$D$35,Cadrage!$E$35)))</f>
        <v>0.03</v>
      </c>
      <c r="K434">
        <f>IF($A434="","",IF($D434="V01",Cadrage!$C$36,IF($D434="V02",Cadrage!$D$36,Cadrage!$E$36)))</f>
        <v>0.05</v>
      </c>
      <c r="L434">
        <f>IF($A434="","",IF($D434="V01",Cadrage!$C$37,IF($D434="V02",Cadrage!$D$37,Cadrage!$E$37)))</f>
        <v>0</v>
      </c>
      <c r="M434">
        <f>IF($A434="","",IF($D434="V01",Cadrage!$C$38,IF($D434="V02",Cadrage!$D$38,Cadrage!$E$38)))</f>
        <v>0.04</v>
      </c>
      <c r="N434">
        <f t="shared" si="1"/>
        <v>0.980622079131853</v>
      </c>
      <c r="O434">
        <f t="shared" si="2"/>
        <v>1.0712</v>
      </c>
      <c r="P434">
        <f>IF($A434="","",IF($E434=1,$F434*$O434,PNL!G434))</f>
        <v>84103.94</v>
      </c>
      <c r="T434">
        <f t="shared" si="3"/>
        <v>0</v>
      </c>
    </row>
    <row r="435" ht="14.25" customHeight="1">
      <c r="A435" t="str">
        <f>IF(PNL!A435="","",PNL!A435)</f>
        <v>IPAC_MTP</v>
      </c>
      <c r="B435" t="str">
        <f>IF(PNL!B435="","",PNL!B435)</f>
        <v>613</v>
      </c>
      <c r="C435" t="str">
        <f>IF(PNL!C435="","",PNL!C435)</f>
        <v>2026</v>
      </c>
      <c r="D435" t="str">
        <f>IF(PNL!D435="","",PNL!D435)</f>
        <v>ACT</v>
      </c>
      <c r="E435">
        <f t="shared" si="0"/>
        <v>0</v>
      </c>
      <c r="F435">
        <f>IF($A435="","",IF($E435=1,_xlfn.SUMIFS(Comptabilité!$F$1:$F$1446,Comptabilité!$A$1:$A$1446,$A435,Comptabilité!$B$1:$B$1446,$B435,Comptabilité!$C$1:$C$1446,"2026"),0))</f>
        <v>0</v>
      </c>
      <c r="G435">
        <f>IF($A435="","",IF($D435="V01",Cadrage!$C$23,IF($D435="V02",Cadrage!$D$23,Cadrage!$E$23)))</f>
        <v>-0.05</v>
      </c>
      <c r="H435">
        <f>IF($A435="","",IF($D435="V01",Cadrage!$C$24,IF($D435="V02",Cadrage!$D$24,Cadrage!$E$24)))</f>
        <v>-0.05</v>
      </c>
      <c r="I435">
        <f>IF($A435="","",IF($D435="V01",Cadrage!$C$34,IF($D435="V02",Cadrage!$D$34,Cadrage!$E$34)))</f>
        <v>0.03</v>
      </c>
      <c r="J435">
        <f>IF($A435="","",IF($D435="V01",Cadrage!$C$35,IF($D435="V02",Cadrage!$D$35,Cadrage!$E$35)))</f>
        <v>0.03</v>
      </c>
      <c r="K435">
        <f>IF($A435="","",IF($D435="V01",Cadrage!$C$36,IF($D435="V02",Cadrage!$D$36,Cadrage!$E$36)))</f>
        <v>0.05</v>
      </c>
      <c r="L435">
        <f>IF($A435="","",IF($D435="V01",Cadrage!$C$37,IF($D435="V02",Cadrage!$D$37,Cadrage!$E$37)))</f>
        <v>0</v>
      </c>
      <c r="M435">
        <f>IF($A435="","",IF($D435="V01",Cadrage!$C$38,IF($D435="V02",Cadrage!$D$38,Cadrage!$E$38)))</f>
        <v>0.04</v>
      </c>
      <c r="N435">
        <f t="shared" si="1"/>
        <v>0.980622079131853</v>
      </c>
      <c r="O435">
        <f t="shared" si="2"/>
        <v>1.0712</v>
      </c>
      <c r="P435">
        <f>IF($A435="","",IF($E435=1,$F435*$O435,PNL!G435))</f>
        <v>84053.79</v>
      </c>
      <c r="T435">
        <f t="shared" si="3"/>
        <v>0</v>
      </c>
    </row>
    <row r="436" ht="14.25" customHeight="1">
      <c r="A436" t="str">
        <f>IF(PNL!A436="","",PNL!A436)</f>
        <v>PIGIER_LYO</v>
      </c>
      <c r="B436" t="str">
        <f>IF(PNL!B436="","",PNL!B436)</f>
        <v>613</v>
      </c>
      <c r="C436" t="str">
        <f>IF(PNL!C436="","",PNL!C436)</f>
        <v>2026</v>
      </c>
      <c r="D436" t="str">
        <f>IF(PNL!D436="","",PNL!D436)</f>
        <v>ACT</v>
      </c>
      <c r="E436">
        <f t="shared" si="0"/>
        <v>0</v>
      </c>
      <c r="F436">
        <f>IF($A436="","",IF($E436=1,_xlfn.SUMIFS(Comptabilité!$F$1:$F$1446,Comptabilité!$A$1:$A$1446,$A436,Comptabilité!$B$1:$B$1446,$B436,Comptabilité!$C$1:$C$1446,"2026"),0))</f>
        <v>0</v>
      </c>
      <c r="G436">
        <f>IF($A436="","",IF($D436="V01",Cadrage!$C$23,IF($D436="V02",Cadrage!$D$23,Cadrage!$E$23)))</f>
        <v>-0.05</v>
      </c>
      <c r="H436">
        <f>IF($A436="","",IF($D436="V01",Cadrage!$C$24,IF($D436="V02",Cadrage!$D$24,Cadrage!$E$24)))</f>
        <v>-0.05</v>
      </c>
      <c r="I436">
        <f>IF($A436="","",IF($D436="V01",Cadrage!$C$34,IF($D436="V02",Cadrage!$D$34,Cadrage!$E$34)))</f>
        <v>0.03</v>
      </c>
      <c r="J436">
        <f>IF($A436="","",IF($D436="V01",Cadrage!$C$35,IF($D436="V02",Cadrage!$D$35,Cadrage!$E$35)))</f>
        <v>0.03</v>
      </c>
      <c r="K436">
        <f>IF($A436="","",IF($D436="V01",Cadrage!$C$36,IF($D436="V02",Cadrage!$D$36,Cadrage!$E$36)))</f>
        <v>0.05</v>
      </c>
      <c r="L436">
        <f>IF($A436="","",IF($D436="V01",Cadrage!$C$37,IF($D436="V02",Cadrage!$D$37,Cadrage!$E$37)))</f>
        <v>0</v>
      </c>
      <c r="M436">
        <f>IF($A436="","",IF($D436="V01",Cadrage!$C$38,IF($D436="V02",Cadrage!$D$38,Cadrage!$E$38)))</f>
        <v>0.04</v>
      </c>
      <c r="N436">
        <f t="shared" si="1"/>
        <v>0.980622079131853</v>
      </c>
      <c r="O436">
        <f t="shared" si="2"/>
        <v>1.0712</v>
      </c>
      <c r="P436">
        <f>IF($A436="","",IF($E436=1,$F436*$O436,PNL!G436))</f>
        <v>149043.83</v>
      </c>
      <c r="T436">
        <f t="shared" si="3"/>
        <v>0</v>
      </c>
    </row>
    <row r="437" ht="14.25" customHeight="1">
      <c r="A437" t="str">
        <f>IF(PNL!A437="","",PNL!A437)</f>
        <v>PIGIER_BOR</v>
      </c>
      <c r="B437" t="str">
        <f>IF(PNL!B437="","",PNL!B437)</f>
        <v>613</v>
      </c>
      <c r="C437" t="str">
        <f>IF(PNL!C437="","",PNL!C437)</f>
        <v>2026</v>
      </c>
      <c r="D437" t="str">
        <f>IF(PNL!D437="","",PNL!D437)</f>
        <v>ACT</v>
      </c>
      <c r="E437">
        <f t="shared" si="0"/>
        <v>0</v>
      </c>
      <c r="F437">
        <f>IF($A437="","",IF($E437=1,_xlfn.SUMIFS(Comptabilité!$F$1:$F$1446,Comptabilité!$A$1:$A$1446,$A437,Comptabilité!$B$1:$B$1446,$B437,Comptabilité!$C$1:$C$1446,"2026"),0))</f>
        <v>0</v>
      </c>
      <c r="G437">
        <f>IF($A437="","",IF($D437="V01",Cadrage!$C$23,IF($D437="V02",Cadrage!$D$23,Cadrage!$E$23)))</f>
        <v>-0.05</v>
      </c>
      <c r="H437">
        <f>IF($A437="","",IF($D437="V01",Cadrage!$C$24,IF($D437="V02",Cadrage!$D$24,Cadrage!$E$24)))</f>
        <v>-0.05</v>
      </c>
      <c r="I437">
        <f>IF($A437="","",IF($D437="V01",Cadrage!$C$34,IF($D437="V02",Cadrage!$D$34,Cadrage!$E$34)))</f>
        <v>0.03</v>
      </c>
      <c r="J437">
        <f>IF($A437="","",IF($D437="V01",Cadrage!$C$35,IF($D437="V02",Cadrage!$D$35,Cadrage!$E$35)))</f>
        <v>0.03</v>
      </c>
      <c r="K437">
        <f>IF($A437="","",IF($D437="V01",Cadrage!$C$36,IF($D437="V02",Cadrage!$D$36,Cadrage!$E$36)))</f>
        <v>0.05</v>
      </c>
      <c r="L437">
        <f>IF($A437="","",IF($D437="V01",Cadrage!$C$37,IF($D437="V02",Cadrage!$D$37,Cadrage!$E$37)))</f>
        <v>0</v>
      </c>
      <c r="M437">
        <f>IF($A437="","",IF($D437="V01",Cadrage!$C$38,IF($D437="V02",Cadrage!$D$38,Cadrage!$E$38)))</f>
        <v>0.04</v>
      </c>
      <c r="N437">
        <f t="shared" si="1"/>
        <v>0.980622079131853</v>
      </c>
      <c r="O437">
        <f t="shared" si="2"/>
        <v>1.0712</v>
      </c>
      <c r="P437">
        <f>IF($A437="","",IF($E437=1,$F437*$O437,PNL!G437))</f>
        <v>112878.51</v>
      </c>
      <c r="T437">
        <f t="shared" si="3"/>
        <v>0</v>
      </c>
    </row>
    <row r="438" ht="14.25" customHeight="1">
      <c r="A438" t="str">
        <f>IF(PNL!A438="","",PNL!A438)</f>
        <v>TUNON_PAR</v>
      </c>
      <c r="B438" t="str">
        <f>IF(PNL!B438="","",PNL!B438)</f>
        <v>613</v>
      </c>
      <c r="C438" t="str">
        <f>IF(PNL!C438="","",PNL!C438)</f>
        <v>2026</v>
      </c>
      <c r="D438" t="str">
        <f>IF(PNL!D438="","",PNL!D438)</f>
        <v>ACT</v>
      </c>
      <c r="E438">
        <f t="shared" si="0"/>
        <v>0</v>
      </c>
      <c r="F438">
        <f>IF($A438="","",IF($E438=1,_xlfn.SUMIFS(Comptabilité!$F$1:$F$1446,Comptabilité!$A$1:$A$1446,$A438,Comptabilité!$B$1:$B$1446,$B438,Comptabilité!$C$1:$C$1446,"2026"),0))</f>
        <v>0</v>
      </c>
      <c r="G438">
        <f>IF($A438="","",IF($D438="V01",Cadrage!$C$23,IF($D438="V02",Cadrage!$D$23,Cadrage!$E$23)))</f>
        <v>-0.05</v>
      </c>
      <c r="H438">
        <f>IF($A438="","",IF($D438="V01",Cadrage!$C$24,IF($D438="V02",Cadrage!$D$24,Cadrage!$E$24)))</f>
        <v>-0.05</v>
      </c>
      <c r="I438">
        <f>IF($A438="","",IF($D438="V01",Cadrage!$C$34,IF($D438="V02",Cadrage!$D$34,Cadrage!$E$34)))</f>
        <v>0.03</v>
      </c>
      <c r="J438">
        <f>IF($A438="","",IF($D438="V01",Cadrage!$C$35,IF($D438="V02",Cadrage!$D$35,Cadrage!$E$35)))</f>
        <v>0.03</v>
      </c>
      <c r="K438">
        <f>IF($A438="","",IF($D438="V01",Cadrage!$C$36,IF($D438="V02",Cadrage!$D$36,Cadrage!$E$36)))</f>
        <v>0.05</v>
      </c>
      <c r="L438">
        <f>IF($A438="","",IF($D438="V01",Cadrage!$C$37,IF($D438="V02",Cadrage!$D$37,Cadrage!$E$37)))</f>
        <v>0</v>
      </c>
      <c r="M438">
        <f>IF($A438="","",IF($D438="V01",Cadrage!$C$38,IF($D438="V02",Cadrage!$D$38,Cadrage!$E$38)))</f>
        <v>0.04</v>
      </c>
      <c r="N438">
        <f t="shared" si="1"/>
        <v>0.980622079131853</v>
      </c>
      <c r="O438">
        <f t="shared" si="2"/>
        <v>1.0712</v>
      </c>
      <c r="P438">
        <f>IF($A438="","",IF($E438=1,$F438*$O438,PNL!G438))</f>
        <v>137962.95</v>
      </c>
      <c r="T438">
        <f t="shared" si="3"/>
        <v>0</v>
      </c>
    </row>
    <row r="439" ht="14.25" customHeight="1">
      <c r="A439" t="str">
        <f>IF(PNL!A439="","",PNL!A439)</f>
        <v>TUNON_LYO</v>
      </c>
      <c r="B439" t="str">
        <f>IF(PNL!B439="","",PNL!B439)</f>
        <v>613</v>
      </c>
      <c r="C439" t="str">
        <f>IF(PNL!C439="","",PNL!C439)</f>
        <v>2026</v>
      </c>
      <c r="D439" t="str">
        <f>IF(PNL!D439="","",PNL!D439)</f>
        <v>ACT</v>
      </c>
      <c r="E439">
        <f t="shared" si="0"/>
        <v>0</v>
      </c>
      <c r="F439">
        <f>IF($A439="","",IF($E439=1,_xlfn.SUMIFS(Comptabilité!$F$1:$F$1446,Comptabilité!$A$1:$A$1446,$A439,Comptabilité!$B$1:$B$1446,$B439,Comptabilité!$C$1:$C$1446,"2026"),0))</f>
        <v>0</v>
      </c>
      <c r="G439">
        <f>IF($A439="","",IF($D439="V01",Cadrage!$C$23,IF($D439="V02",Cadrage!$D$23,Cadrage!$E$23)))</f>
        <v>-0.05</v>
      </c>
      <c r="H439">
        <f>IF($A439="","",IF($D439="V01",Cadrage!$C$24,IF($D439="V02",Cadrage!$D$24,Cadrage!$E$24)))</f>
        <v>-0.05</v>
      </c>
      <c r="I439">
        <f>IF($A439="","",IF($D439="V01",Cadrage!$C$34,IF($D439="V02",Cadrage!$D$34,Cadrage!$E$34)))</f>
        <v>0.03</v>
      </c>
      <c r="J439">
        <f>IF($A439="","",IF($D439="V01",Cadrage!$C$35,IF($D439="V02",Cadrage!$D$35,Cadrage!$E$35)))</f>
        <v>0.03</v>
      </c>
      <c r="K439">
        <f>IF($A439="","",IF($D439="V01",Cadrage!$C$36,IF($D439="V02",Cadrage!$D$36,Cadrage!$E$36)))</f>
        <v>0.05</v>
      </c>
      <c r="L439">
        <f>IF($A439="","",IF($D439="V01",Cadrage!$C$37,IF($D439="V02",Cadrage!$D$37,Cadrage!$E$37)))</f>
        <v>0</v>
      </c>
      <c r="M439">
        <f>IF($A439="","",IF($D439="V01",Cadrage!$C$38,IF($D439="V02",Cadrage!$D$38,Cadrage!$E$38)))</f>
        <v>0.04</v>
      </c>
      <c r="N439">
        <f t="shared" si="1"/>
        <v>0.980622079131853</v>
      </c>
      <c r="O439">
        <f t="shared" si="2"/>
        <v>1.0712</v>
      </c>
      <c r="P439">
        <f>IF($A439="","",IF($E439=1,$F439*$O439,PNL!G439))</f>
        <v>114850.19</v>
      </c>
      <c r="T439">
        <f t="shared" si="3"/>
        <v>0</v>
      </c>
    </row>
    <row r="440" ht="14.25" customHeight="1">
      <c r="A440" t="str">
        <f>IF(PNL!A440="","",PNL!A440)</f>
        <v>MBWAY_PAR</v>
      </c>
      <c r="B440" t="str">
        <f>IF(PNL!B440="","",PNL!B440)</f>
        <v>615</v>
      </c>
      <c r="C440" t="str">
        <f>IF(PNL!C440="","",PNL!C440)</f>
        <v>2024</v>
      </c>
      <c r="D440" t="str">
        <f>IF(PNL!D440="","",PNL!D440)</f>
        <v>ACT</v>
      </c>
      <c r="E440">
        <f t="shared" si="0"/>
        <v>0</v>
      </c>
      <c r="F440">
        <f>IF($A440="","",IF($E440=1,_xlfn.SUMIFS(Comptabilité!$F$1:$F$1446,Comptabilité!$A$1:$A$1446,$A440,Comptabilité!$B$1:$B$1446,$B440,Comptabilité!$C$1:$C$1446,"2026"),0))</f>
        <v>0</v>
      </c>
      <c r="G440">
        <f>IF($A440="","",IF($D440="V01",Cadrage!$C$23,IF($D440="V02",Cadrage!$D$23,Cadrage!$E$23)))</f>
        <v>-0.05</v>
      </c>
      <c r="H440">
        <f>IF($A440="","",IF($D440="V01",Cadrage!$C$24,IF($D440="V02",Cadrage!$D$24,Cadrage!$E$24)))</f>
        <v>-0.05</v>
      </c>
      <c r="I440">
        <f>IF($A440="","",IF($D440="V01",Cadrage!$C$34,IF($D440="V02",Cadrage!$D$34,Cadrage!$E$34)))</f>
        <v>0.03</v>
      </c>
      <c r="J440">
        <f>IF($A440="","",IF($D440="V01",Cadrage!$C$35,IF($D440="V02",Cadrage!$D$35,Cadrage!$E$35)))</f>
        <v>0.03</v>
      </c>
      <c r="K440">
        <f>IF($A440="","",IF($D440="V01",Cadrage!$C$36,IF($D440="V02",Cadrage!$D$36,Cadrage!$E$36)))</f>
        <v>0.05</v>
      </c>
      <c r="L440">
        <f>IF($A440="","",IF($D440="V01",Cadrage!$C$37,IF($D440="V02",Cadrage!$D$37,Cadrage!$E$37)))</f>
        <v>0</v>
      </c>
      <c r="M440">
        <f>IF($A440="","",IF($D440="V01",Cadrage!$C$38,IF($D440="V02",Cadrage!$D$38,Cadrage!$E$38)))</f>
        <v>0.04</v>
      </c>
      <c r="N440">
        <f t="shared" si="1"/>
        <v>0.980622079131853</v>
      </c>
      <c r="O440">
        <f t="shared" si="2"/>
        <v>1.0712</v>
      </c>
      <c r="P440">
        <f>IF($A440="","",IF($E440=1,$F440*$O440,PNL!G440))</f>
        <v>40728.62</v>
      </c>
      <c r="T440">
        <f t="shared" si="3"/>
        <v>0</v>
      </c>
    </row>
    <row r="441" ht="14.25" customHeight="1">
      <c r="A441" t="str">
        <f>IF(PNL!A441="","",PNL!A441)</f>
        <v>MBWAY_LYO</v>
      </c>
      <c r="B441" t="str">
        <f>IF(PNL!B441="","",PNL!B441)</f>
        <v>615</v>
      </c>
      <c r="C441" t="str">
        <f>IF(PNL!C441="","",PNL!C441)</f>
        <v>2024</v>
      </c>
      <c r="D441" t="str">
        <f>IF(PNL!D441="","",PNL!D441)</f>
        <v>ACT</v>
      </c>
      <c r="E441">
        <f t="shared" si="0"/>
        <v>0</v>
      </c>
      <c r="F441">
        <f>IF($A441="","",IF($E441=1,_xlfn.SUMIFS(Comptabilité!$F$1:$F$1446,Comptabilité!$A$1:$A$1446,$A441,Comptabilité!$B$1:$B$1446,$B441,Comptabilité!$C$1:$C$1446,"2026"),0))</f>
        <v>0</v>
      </c>
      <c r="G441">
        <f>IF($A441="","",IF($D441="V01",Cadrage!$C$23,IF($D441="V02",Cadrage!$D$23,Cadrage!$E$23)))</f>
        <v>-0.05</v>
      </c>
      <c r="H441">
        <f>IF($A441="","",IF($D441="V01",Cadrage!$C$24,IF($D441="V02",Cadrage!$D$24,Cadrage!$E$24)))</f>
        <v>-0.05</v>
      </c>
      <c r="I441">
        <f>IF($A441="","",IF($D441="V01",Cadrage!$C$34,IF($D441="V02",Cadrage!$D$34,Cadrage!$E$34)))</f>
        <v>0.03</v>
      </c>
      <c r="J441">
        <f>IF($A441="","",IF($D441="V01",Cadrage!$C$35,IF($D441="V02",Cadrage!$D$35,Cadrage!$E$35)))</f>
        <v>0.03</v>
      </c>
      <c r="K441">
        <f>IF($A441="","",IF($D441="V01",Cadrage!$C$36,IF($D441="V02",Cadrage!$D$36,Cadrage!$E$36)))</f>
        <v>0.05</v>
      </c>
      <c r="L441">
        <f>IF($A441="","",IF($D441="V01",Cadrage!$C$37,IF($D441="V02",Cadrage!$D$37,Cadrage!$E$37)))</f>
        <v>0</v>
      </c>
      <c r="M441">
        <f>IF($A441="","",IF($D441="V01",Cadrage!$C$38,IF($D441="V02",Cadrage!$D$38,Cadrage!$E$38)))</f>
        <v>0.04</v>
      </c>
      <c r="N441">
        <f t="shared" si="1"/>
        <v>0.980622079131853</v>
      </c>
      <c r="O441">
        <f t="shared" si="2"/>
        <v>1.0712</v>
      </c>
      <c r="P441">
        <f>IF($A441="","",IF($E441=1,$F441*$O441,PNL!G441))</f>
        <v>32549.77</v>
      </c>
      <c r="T441">
        <f t="shared" si="3"/>
        <v>0</v>
      </c>
    </row>
    <row r="442" ht="14.25" customHeight="1">
      <c r="A442" t="str">
        <f>IF(PNL!A442="","",PNL!A442)</f>
        <v>MBWAY_NAN</v>
      </c>
      <c r="B442" t="str">
        <f>IF(PNL!B442="","",PNL!B442)</f>
        <v>615</v>
      </c>
      <c r="C442" t="str">
        <f>IF(PNL!C442="","",PNL!C442)</f>
        <v>2024</v>
      </c>
      <c r="D442" t="str">
        <f>IF(PNL!D442="","",PNL!D442)</f>
        <v>ACT</v>
      </c>
      <c r="E442">
        <f t="shared" si="0"/>
        <v>0</v>
      </c>
      <c r="F442">
        <f>IF($A442="","",IF($E442=1,_xlfn.SUMIFS(Comptabilité!$F$1:$F$1446,Comptabilité!$A$1:$A$1446,$A442,Comptabilité!$B$1:$B$1446,$B442,Comptabilité!$C$1:$C$1446,"2026"),0))</f>
        <v>0</v>
      </c>
      <c r="G442">
        <f>IF($A442="","",IF($D442="V01",Cadrage!$C$23,IF($D442="V02",Cadrage!$D$23,Cadrage!$E$23)))</f>
        <v>-0.05</v>
      </c>
      <c r="H442">
        <f>IF($A442="","",IF($D442="V01",Cadrage!$C$24,IF($D442="V02",Cadrage!$D$24,Cadrage!$E$24)))</f>
        <v>-0.05</v>
      </c>
      <c r="I442">
        <f>IF($A442="","",IF($D442="V01",Cadrage!$C$34,IF($D442="V02",Cadrage!$D$34,Cadrage!$E$34)))</f>
        <v>0.03</v>
      </c>
      <c r="J442">
        <f>IF($A442="","",IF($D442="V01",Cadrage!$C$35,IF($D442="V02",Cadrage!$D$35,Cadrage!$E$35)))</f>
        <v>0.03</v>
      </c>
      <c r="K442">
        <f>IF($A442="","",IF($D442="V01",Cadrage!$C$36,IF($D442="V02",Cadrage!$D$36,Cadrage!$E$36)))</f>
        <v>0.05</v>
      </c>
      <c r="L442">
        <f>IF($A442="","",IF($D442="V01",Cadrage!$C$37,IF($D442="V02",Cadrage!$D$37,Cadrage!$E$37)))</f>
        <v>0</v>
      </c>
      <c r="M442">
        <f>IF($A442="","",IF($D442="V01",Cadrage!$C$38,IF($D442="V02",Cadrage!$D$38,Cadrage!$E$38)))</f>
        <v>0.04</v>
      </c>
      <c r="N442">
        <f t="shared" si="1"/>
        <v>0.980622079131853</v>
      </c>
      <c r="O442">
        <f t="shared" si="2"/>
        <v>1.0712</v>
      </c>
      <c r="P442">
        <f>IF($A442="","",IF($E442=1,$F442*$O442,PNL!G442))</f>
        <v>27961.73</v>
      </c>
      <c r="T442">
        <f t="shared" si="3"/>
        <v>0</v>
      </c>
    </row>
    <row r="443" ht="14.25" customHeight="1">
      <c r="A443" t="str">
        <f>IF(PNL!A443="","",PNL!A443)</f>
        <v>MBWAY_BOR</v>
      </c>
      <c r="B443" t="str">
        <f>IF(PNL!B443="","",PNL!B443)</f>
        <v>615</v>
      </c>
      <c r="C443" t="str">
        <f>IF(PNL!C443="","",PNL!C443)</f>
        <v>2024</v>
      </c>
      <c r="D443" t="str">
        <f>IF(PNL!D443="","",PNL!D443)</f>
        <v>ACT</v>
      </c>
      <c r="E443">
        <f t="shared" si="0"/>
        <v>0</v>
      </c>
      <c r="F443">
        <f>IF($A443="","",IF($E443=1,_xlfn.SUMIFS(Comptabilité!$F$1:$F$1446,Comptabilité!$A$1:$A$1446,$A443,Comptabilité!$B$1:$B$1446,$B443,Comptabilité!$C$1:$C$1446,"2026"),0))</f>
        <v>0</v>
      </c>
      <c r="G443">
        <f>IF($A443="","",IF($D443="V01",Cadrage!$C$23,IF($D443="V02",Cadrage!$D$23,Cadrage!$E$23)))</f>
        <v>-0.05</v>
      </c>
      <c r="H443">
        <f>IF($A443="","",IF($D443="V01",Cadrage!$C$24,IF($D443="V02",Cadrage!$D$24,Cadrage!$E$24)))</f>
        <v>-0.05</v>
      </c>
      <c r="I443">
        <f>IF($A443="","",IF($D443="V01",Cadrage!$C$34,IF($D443="V02",Cadrage!$D$34,Cadrage!$E$34)))</f>
        <v>0.03</v>
      </c>
      <c r="J443">
        <f>IF($A443="","",IF($D443="V01",Cadrage!$C$35,IF($D443="V02",Cadrage!$D$35,Cadrage!$E$35)))</f>
        <v>0.03</v>
      </c>
      <c r="K443">
        <f>IF($A443="","",IF($D443="V01",Cadrage!$C$36,IF($D443="V02",Cadrage!$D$36,Cadrage!$E$36)))</f>
        <v>0.05</v>
      </c>
      <c r="L443">
        <f>IF($A443="","",IF($D443="V01",Cadrage!$C$37,IF($D443="V02",Cadrage!$D$37,Cadrage!$E$37)))</f>
        <v>0</v>
      </c>
      <c r="M443">
        <f>IF($A443="","",IF($D443="V01",Cadrage!$C$38,IF($D443="V02",Cadrage!$D$38,Cadrage!$E$38)))</f>
        <v>0.04</v>
      </c>
      <c r="N443">
        <f t="shared" si="1"/>
        <v>0.980622079131853</v>
      </c>
      <c r="O443">
        <f t="shared" si="2"/>
        <v>1.0712</v>
      </c>
      <c r="P443">
        <f>IF($A443="","",IF($E443=1,$F443*$O443,PNL!G443))</f>
        <v>22653.88</v>
      </c>
      <c r="T443">
        <f t="shared" si="3"/>
        <v>0</v>
      </c>
    </row>
    <row r="444" ht="14.25" customHeight="1">
      <c r="A444" t="str">
        <f>IF(PNL!A444="","",PNL!A444)</f>
        <v>ISCOM_PAR</v>
      </c>
      <c r="B444" t="str">
        <f>IF(PNL!B444="","",PNL!B444)</f>
        <v>615</v>
      </c>
      <c r="C444" t="str">
        <f>IF(PNL!C444="","",PNL!C444)</f>
        <v>2024</v>
      </c>
      <c r="D444" t="str">
        <f>IF(PNL!D444="","",PNL!D444)</f>
        <v>ACT</v>
      </c>
      <c r="E444">
        <f t="shared" si="0"/>
        <v>0</v>
      </c>
      <c r="F444">
        <f>IF($A444="","",IF($E444=1,_xlfn.SUMIFS(Comptabilité!$F$1:$F$1446,Comptabilité!$A$1:$A$1446,$A444,Comptabilité!$B$1:$B$1446,$B444,Comptabilité!$C$1:$C$1446,"2026"),0))</f>
        <v>0</v>
      </c>
      <c r="G444">
        <f>IF($A444="","",IF($D444="V01",Cadrage!$C$23,IF($D444="V02",Cadrage!$D$23,Cadrage!$E$23)))</f>
        <v>-0.05</v>
      </c>
      <c r="H444">
        <f>IF($A444="","",IF($D444="V01",Cadrage!$C$24,IF($D444="V02",Cadrage!$D$24,Cadrage!$E$24)))</f>
        <v>-0.05</v>
      </c>
      <c r="I444">
        <f>IF($A444="","",IF($D444="V01",Cadrage!$C$34,IF($D444="V02",Cadrage!$D$34,Cadrage!$E$34)))</f>
        <v>0.03</v>
      </c>
      <c r="J444">
        <f>IF($A444="","",IF($D444="V01",Cadrage!$C$35,IF($D444="V02",Cadrage!$D$35,Cadrage!$E$35)))</f>
        <v>0.03</v>
      </c>
      <c r="K444">
        <f>IF($A444="","",IF($D444="V01",Cadrage!$C$36,IF($D444="V02",Cadrage!$D$36,Cadrage!$E$36)))</f>
        <v>0.05</v>
      </c>
      <c r="L444">
        <f>IF($A444="","",IF($D444="V01",Cadrage!$C$37,IF($D444="V02",Cadrage!$D$37,Cadrage!$E$37)))</f>
        <v>0</v>
      </c>
      <c r="M444">
        <f>IF($A444="","",IF($D444="V01",Cadrage!$C$38,IF($D444="V02",Cadrage!$D$38,Cadrage!$E$38)))</f>
        <v>0.04</v>
      </c>
      <c r="N444">
        <f t="shared" si="1"/>
        <v>0.980622079131853</v>
      </c>
      <c r="O444">
        <f t="shared" si="2"/>
        <v>1.0712</v>
      </c>
      <c r="P444">
        <f>IF($A444="","",IF($E444=1,$F444*$O444,PNL!G444))</f>
        <v>39138.2</v>
      </c>
      <c r="T444">
        <f t="shared" si="3"/>
        <v>0</v>
      </c>
    </row>
    <row r="445" ht="14.25" customHeight="1">
      <c r="A445" t="str">
        <f>IF(PNL!A445="","",PNL!A445)</f>
        <v>ISCOM_LIL</v>
      </c>
      <c r="B445" t="str">
        <f>IF(PNL!B445="","",PNL!B445)</f>
        <v>615</v>
      </c>
      <c r="C445" t="str">
        <f>IF(PNL!C445="","",PNL!C445)</f>
        <v>2024</v>
      </c>
      <c r="D445" t="str">
        <f>IF(PNL!D445="","",PNL!D445)</f>
        <v>ACT</v>
      </c>
      <c r="E445">
        <f t="shared" si="0"/>
        <v>0</v>
      </c>
      <c r="F445">
        <f>IF($A445="","",IF($E445=1,_xlfn.SUMIFS(Comptabilité!$F$1:$F$1446,Comptabilité!$A$1:$A$1446,$A445,Comptabilité!$B$1:$B$1446,$B445,Comptabilité!$C$1:$C$1446,"2026"),0))</f>
        <v>0</v>
      </c>
      <c r="G445">
        <f>IF($A445="","",IF($D445="V01",Cadrage!$C$23,IF($D445="V02",Cadrage!$D$23,Cadrage!$E$23)))</f>
        <v>-0.05</v>
      </c>
      <c r="H445">
        <f>IF($A445="","",IF($D445="V01",Cadrage!$C$24,IF($D445="V02",Cadrage!$D$24,Cadrage!$E$24)))</f>
        <v>-0.05</v>
      </c>
      <c r="I445">
        <f>IF($A445="","",IF($D445="V01",Cadrage!$C$34,IF($D445="V02",Cadrage!$D$34,Cadrage!$E$34)))</f>
        <v>0.03</v>
      </c>
      <c r="J445">
        <f>IF($A445="","",IF($D445="V01",Cadrage!$C$35,IF($D445="V02",Cadrage!$D$35,Cadrage!$E$35)))</f>
        <v>0.03</v>
      </c>
      <c r="K445">
        <f>IF($A445="","",IF($D445="V01",Cadrage!$C$36,IF($D445="V02",Cadrage!$D$36,Cadrage!$E$36)))</f>
        <v>0.05</v>
      </c>
      <c r="L445">
        <f>IF($A445="","",IF($D445="V01",Cadrage!$C$37,IF($D445="V02",Cadrage!$D$37,Cadrage!$E$37)))</f>
        <v>0</v>
      </c>
      <c r="M445">
        <f>IF($A445="","",IF($D445="V01",Cadrage!$C$38,IF($D445="V02",Cadrage!$D$38,Cadrage!$E$38)))</f>
        <v>0.04</v>
      </c>
      <c r="N445">
        <f t="shared" si="1"/>
        <v>0.980622079131853</v>
      </c>
      <c r="O445">
        <f t="shared" si="2"/>
        <v>1.0712</v>
      </c>
      <c r="P445">
        <f>IF($A445="","",IF($E445=1,$F445*$O445,PNL!G445))</f>
        <v>22890.38</v>
      </c>
      <c r="T445">
        <f t="shared" si="3"/>
        <v>0</v>
      </c>
    </row>
    <row r="446" ht="14.25" customHeight="1">
      <c r="A446" t="str">
        <f>IF(PNL!A446="","",PNL!A446)</f>
        <v>ISCOM_TLS</v>
      </c>
      <c r="B446" t="str">
        <f>IF(PNL!B446="","",PNL!B446)</f>
        <v>615</v>
      </c>
      <c r="C446" t="str">
        <f>IF(PNL!C446="","",PNL!C446)</f>
        <v>2024</v>
      </c>
      <c r="D446" t="str">
        <f>IF(PNL!D446="","",PNL!D446)</f>
        <v>ACT</v>
      </c>
      <c r="E446">
        <f t="shared" si="0"/>
        <v>0</v>
      </c>
      <c r="F446">
        <f>IF($A446="","",IF($E446=1,_xlfn.SUMIFS(Comptabilité!$F$1:$F$1446,Comptabilité!$A$1:$A$1446,$A446,Comptabilité!$B$1:$B$1446,$B446,Comptabilité!$C$1:$C$1446,"2026"),0))</f>
        <v>0</v>
      </c>
      <c r="G446">
        <f>IF($A446="","",IF($D446="V01",Cadrage!$C$23,IF($D446="V02",Cadrage!$D$23,Cadrage!$E$23)))</f>
        <v>-0.05</v>
      </c>
      <c r="H446">
        <f>IF($A446="","",IF($D446="V01",Cadrage!$C$24,IF($D446="V02",Cadrage!$D$24,Cadrage!$E$24)))</f>
        <v>-0.05</v>
      </c>
      <c r="I446">
        <f>IF($A446="","",IF($D446="V01",Cadrage!$C$34,IF($D446="V02",Cadrage!$D$34,Cadrage!$E$34)))</f>
        <v>0.03</v>
      </c>
      <c r="J446">
        <f>IF($A446="","",IF($D446="V01",Cadrage!$C$35,IF($D446="V02",Cadrage!$D$35,Cadrage!$E$35)))</f>
        <v>0.03</v>
      </c>
      <c r="K446">
        <f>IF($A446="","",IF($D446="V01",Cadrage!$C$36,IF($D446="V02",Cadrage!$D$36,Cadrage!$E$36)))</f>
        <v>0.05</v>
      </c>
      <c r="L446">
        <f>IF($A446="","",IF($D446="V01",Cadrage!$C$37,IF($D446="V02",Cadrage!$D$37,Cadrage!$E$37)))</f>
        <v>0</v>
      </c>
      <c r="M446">
        <f>IF($A446="","",IF($D446="V01",Cadrage!$C$38,IF($D446="V02",Cadrage!$D$38,Cadrage!$E$38)))</f>
        <v>0.04</v>
      </c>
      <c r="N446">
        <f t="shared" si="1"/>
        <v>0.980622079131853</v>
      </c>
      <c r="O446">
        <f t="shared" si="2"/>
        <v>1.0712</v>
      </c>
      <c r="P446">
        <f>IF($A446="","",IF($E446=1,$F446*$O446,PNL!G446))</f>
        <v>21608.56</v>
      </c>
      <c r="T446">
        <f t="shared" si="3"/>
        <v>0</v>
      </c>
    </row>
    <row r="447" ht="14.25" customHeight="1">
      <c r="A447" t="str">
        <f>IF(PNL!A447="","",PNL!A447)</f>
        <v>IPAC_NAN</v>
      </c>
      <c r="B447" t="str">
        <f>IF(PNL!B447="","",PNL!B447)</f>
        <v>615</v>
      </c>
      <c r="C447" t="str">
        <f>IF(PNL!C447="","",PNL!C447)</f>
        <v>2024</v>
      </c>
      <c r="D447" t="str">
        <f>IF(PNL!D447="","",PNL!D447)</f>
        <v>ACT</v>
      </c>
      <c r="E447">
        <f t="shared" si="0"/>
        <v>0</v>
      </c>
      <c r="F447">
        <f>IF($A447="","",IF($E447=1,_xlfn.SUMIFS(Comptabilité!$F$1:$F$1446,Comptabilité!$A$1:$A$1446,$A447,Comptabilité!$B$1:$B$1446,$B447,Comptabilité!$C$1:$C$1446,"2026"),0))</f>
        <v>0</v>
      </c>
      <c r="G447">
        <f>IF($A447="","",IF($D447="V01",Cadrage!$C$23,IF($D447="V02",Cadrage!$D$23,Cadrage!$E$23)))</f>
        <v>-0.05</v>
      </c>
      <c r="H447">
        <f>IF($A447="","",IF($D447="V01",Cadrage!$C$24,IF($D447="V02",Cadrage!$D$24,Cadrage!$E$24)))</f>
        <v>-0.05</v>
      </c>
      <c r="I447">
        <f>IF($A447="","",IF($D447="V01",Cadrage!$C$34,IF($D447="V02",Cadrage!$D$34,Cadrage!$E$34)))</f>
        <v>0.03</v>
      </c>
      <c r="J447">
        <f>IF($A447="","",IF($D447="V01",Cadrage!$C$35,IF($D447="V02",Cadrage!$D$35,Cadrage!$E$35)))</f>
        <v>0.03</v>
      </c>
      <c r="K447">
        <f>IF($A447="","",IF($D447="V01",Cadrage!$C$36,IF($D447="V02",Cadrage!$D$36,Cadrage!$E$36)))</f>
        <v>0.05</v>
      </c>
      <c r="L447">
        <f>IF($A447="","",IF($D447="V01",Cadrage!$C$37,IF($D447="V02",Cadrage!$D$37,Cadrage!$E$37)))</f>
        <v>0</v>
      </c>
      <c r="M447">
        <f>IF($A447="","",IF($D447="V01",Cadrage!$C$38,IF($D447="V02",Cadrage!$D$38,Cadrage!$E$38)))</f>
        <v>0.04</v>
      </c>
      <c r="N447">
        <f t="shared" si="1"/>
        <v>0.980622079131853</v>
      </c>
      <c r="O447">
        <f t="shared" si="2"/>
        <v>1.0712</v>
      </c>
      <c r="P447">
        <f>IF($A447="","",IF($E447=1,$F447*$O447,PNL!G447))</f>
        <v>13741</v>
      </c>
      <c r="T447">
        <f t="shared" si="3"/>
        <v>0</v>
      </c>
    </row>
    <row r="448" ht="14.25" customHeight="1">
      <c r="A448" t="str">
        <f>IF(PNL!A448="","",PNL!A448)</f>
        <v>IPAC_REN</v>
      </c>
      <c r="B448" t="str">
        <f>IF(PNL!B448="","",PNL!B448)</f>
        <v>615</v>
      </c>
      <c r="C448" t="str">
        <f>IF(PNL!C448="","",PNL!C448)</f>
        <v>2024</v>
      </c>
      <c r="D448" t="str">
        <f>IF(PNL!D448="","",PNL!D448)</f>
        <v>ACT</v>
      </c>
      <c r="E448">
        <f t="shared" si="0"/>
        <v>0</v>
      </c>
      <c r="F448">
        <f>IF($A448="","",IF($E448=1,_xlfn.SUMIFS(Comptabilité!$F$1:$F$1446,Comptabilité!$A$1:$A$1446,$A448,Comptabilité!$B$1:$B$1446,$B448,Comptabilité!$C$1:$C$1446,"2026"),0))</f>
        <v>0</v>
      </c>
      <c r="G448">
        <f>IF($A448="","",IF($D448="V01",Cadrage!$C$23,IF($D448="V02",Cadrage!$D$23,Cadrage!$E$23)))</f>
        <v>-0.05</v>
      </c>
      <c r="H448">
        <f>IF($A448="","",IF($D448="V01",Cadrage!$C$24,IF($D448="V02",Cadrage!$D$24,Cadrage!$E$24)))</f>
        <v>-0.05</v>
      </c>
      <c r="I448">
        <f>IF($A448="","",IF($D448="V01",Cadrage!$C$34,IF($D448="V02",Cadrage!$D$34,Cadrage!$E$34)))</f>
        <v>0.03</v>
      </c>
      <c r="J448">
        <f>IF($A448="","",IF($D448="V01",Cadrage!$C$35,IF($D448="V02",Cadrage!$D$35,Cadrage!$E$35)))</f>
        <v>0.03</v>
      </c>
      <c r="K448">
        <f>IF($A448="","",IF($D448="V01",Cadrage!$C$36,IF($D448="V02",Cadrage!$D$36,Cadrage!$E$36)))</f>
        <v>0.05</v>
      </c>
      <c r="L448">
        <f>IF($A448="","",IF($D448="V01",Cadrage!$C$37,IF($D448="V02",Cadrage!$D$37,Cadrage!$E$37)))</f>
        <v>0</v>
      </c>
      <c r="M448">
        <f>IF($A448="","",IF($D448="V01",Cadrage!$C$38,IF($D448="V02",Cadrage!$D$38,Cadrage!$E$38)))</f>
        <v>0.04</v>
      </c>
      <c r="N448">
        <f t="shared" si="1"/>
        <v>0.980622079131853</v>
      </c>
      <c r="O448">
        <f t="shared" si="2"/>
        <v>1.0712</v>
      </c>
      <c r="P448">
        <f>IF($A448="","",IF($E448=1,$F448*$O448,PNL!G448))</f>
        <v>11260.74</v>
      </c>
      <c r="T448">
        <f t="shared" si="3"/>
        <v>0</v>
      </c>
    </row>
    <row r="449" ht="14.25" customHeight="1">
      <c r="A449" t="str">
        <f>IF(PNL!A449="","",PNL!A449)</f>
        <v>IPAC_MTP</v>
      </c>
      <c r="B449" t="str">
        <f>IF(PNL!B449="","",PNL!B449)</f>
        <v>615</v>
      </c>
      <c r="C449" t="str">
        <f>IF(PNL!C449="","",PNL!C449)</f>
        <v>2024</v>
      </c>
      <c r="D449" t="str">
        <f>IF(PNL!D449="","",PNL!D449)</f>
        <v>ACT</v>
      </c>
      <c r="E449">
        <f t="shared" si="0"/>
        <v>0</v>
      </c>
      <c r="F449">
        <f>IF($A449="","",IF($E449=1,_xlfn.SUMIFS(Comptabilité!$F$1:$F$1446,Comptabilité!$A$1:$A$1446,$A449,Comptabilité!$B$1:$B$1446,$B449,Comptabilité!$C$1:$C$1446,"2026"),0))</f>
        <v>0</v>
      </c>
      <c r="G449">
        <f>IF($A449="","",IF($D449="V01",Cadrage!$C$23,IF($D449="V02",Cadrage!$D$23,Cadrage!$E$23)))</f>
        <v>-0.05</v>
      </c>
      <c r="H449">
        <f>IF($A449="","",IF($D449="V01",Cadrage!$C$24,IF($D449="V02",Cadrage!$D$24,Cadrage!$E$24)))</f>
        <v>-0.05</v>
      </c>
      <c r="I449">
        <f>IF($A449="","",IF($D449="V01",Cadrage!$C$34,IF($D449="V02",Cadrage!$D$34,Cadrage!$E$34)))</f>
        <v>0.03</v>
      </c>
      <c r="J449">
        <f>IF($A449="","",IF($D449="V01",Cadrage!$C$35,IF($D449="V02",Cadrage!$D$35,Cadrage!$E$35)))</f>
        <v>0.03</v>
      </c>
      <c r="K449">
        <f>IF($A449="","",IF($D449="V01",Cadrage!$C$36,IF($D449="V02",Cadrage!$D$36,Cadrage!$E$36)))</f>
        <v>0.05</v>
      </c>
      <c r="L449">
        <f>IF($A449="","",IF($D449="V01",Cadrage!$C$37,IF($D449="V02",Cadrage!$D$37,Cadrage!$E$37)))</f>
        <v>0</v>
      </c>
      <c r="M449">
        <f>IF($A449="","",IF($D449="V01",Cadrage!$C$38,IF($D449="V02",Cadrage!$D$38,Cadrage!$E$38)))</f>
        <v>0.04</v>
      </c>
      <c r="N449">
        <f t="shared" si="1"/>
        <v>0.980622079131853</v>
      </c>
      <c r="O449">
        <f t="shared" si="2"/>
        <v>1.0712</v>
      </c>
      <c r="P449">
        <f>IF($A449="","",IF($E449=1,$F449*$O449,PNL!G449))</f>
        <v>11254.83</v>
      </c>
      <c r="T449">
        <f t="shared" si="3"/>
        <v>0</v>
      </c>
    </row>
    <row r="450" ht="14.25" customHeight="1">
      <c r="A450" t="str">
        <f>IF(PNL!A450="","",PNL!A450)</f>
        <v>PIGIER_LYO</v>
      </c>
      <c r="B450" t="str">
        <f>IF(PNL!B450="","",PNL!B450)</f>
        <v>615</v>
      </c>
      <c r="C450" t="str">
        <f>IF(PNL!C450="","",PNL!C450)</f>
        <v>2024</v>
      </c>
      <c r="D450" t="str">
        <f>IF(PNL!D450="","",PNL!D450)</f>
        <v>ACT</v>
      </c>
      <c r="E450">
        <f t="shared" si="0"/>
        <v>0</v>
      </c>
      <c r="F450">
        <f>IF($A450="","",IF($E450=1,_xlfn.SUMIFS(Comptabilité!$F$1:$F$1446,Comptabilité!$A$1:$A$1446,$A450,Comptabilité!$B$1:$B$1446,$B450,Comptabilité!$C$1:$C$1446,"2026"),0))</f>
        <v>0</v>
      </c>
      <c r="G450">
        <f>IF($A450="","",IF($D450="V01",Cadrage!$C$23,IF($D450="V02",Cadrage!$D$23,Cadrage!$E$23)))</f>
        <v>-0.05</v>
      </c>
      <c r="H450">
        <f>IF($A450="","",IF($D450="V01",Cadrage!$C$24,IF($D450="V02",Cadrage!$D$24,Cadrage!$E$24)))</f>
        <v>-0.05</v>
      </c>
      <c r="I450">
        <f>IF($A450="","",IF($D450="V01",Cadrage!$C$34,IF($D450="V02",Cadrage!$D$34,Cadrage!$E$34)))</f>
        <v>0.03</v>
      </c>
      <c r="J450">
        <f>IF($A450="","",IF($D450="V01",Cadrage!$C$35,IF($D450="V02",Cadrage!$D$35,Cadrage!$E$35)))</f>
        <v>0.03</v>
      </c>
      <c r="K450">
        <f>IF($A450="","",IF($D450="V01",Cadrage!$C$36,IF($D450="V02",Cadrage!$D$36,Cadrage!$E$36)))</f>
        <v>0.05</v>
      </c>
      <c r="L450">
        <f>IF($A450="","",IF($D450="V01",Cadrage!$C$37,IF($D450="V02",Cadrage!$D$37,Cadrage!$E$37)))</f>
        <v>0</v>
      </c>
      <c r="M450">
        <f>IF($A450="","",IF($D450="V01",Cadrage!$C$38,IF($D450="V02",Cadrage!$D$38,Cadrage!$E$38)))</f>
        <v>0.04</v>
      </c>
      <c r="N450">
        <f t="shared" si="1"/>
        <v>0.980622079131853</v>
      </c>
      <c r="O450">
        <f t="shared" si="2"/>
        <v>1.0712</v>
      </c>
      <c r="P450">
        <f>IF($A450="","",IF($E450=1,$F450*$O450,PNL!G450))</f>
        <v>19465.26</v>
      </c>
      <c r="T450">
        <f t="shared" si="3"/>
        <v>0</v>
      </c>
    </row>
    <row r="451" ht="14.25" customHeight="1">
      <c r="A451" t="str">
        <f>IF(PNL!A451="","",PNL!A451)</f>
        <v>PIGIER_BOR</v>
      </c>
      <c r="B451" t="str">
        <f>IF(PNL!B451="","",PNL!B451)</f>
        <v>615</v>
      </c>
      <c r="C451" t="str">
        <f>IF(PNL!C451="","",PNL!C451)</f>
        <v>2024</v>
      </c>
      <c r="D451" t="str">
        <f>IF(PNL!D451="","",PNL!D451)</f>
        <v>ACT</v>
      </c>
      <c r="E451">
        <f t="shared" si="0"/>
        <v>0</v>
      </c>
      <c r="F451">
        <f>IF($A451="","",IF($E451=1,_xlfn.SUMIFS(Comptabilité!$F$1:$F$1446,Comptabilité!$A$1:$A$1446,$A451,Comptabilité!$B$1:$B$1446,$B451,Comptabilité!$C$1:$C$1446,"2026"),0))</f>
        <v>0</v>
      </c>
      <c r="G451">
        <f>IF($A451="","",IF($D451="V01",Cadrage!$C$23,IF($D451="V02",Cadrage!$D$23,Cadrage!$E$23)))</f>
        <v>-0.05</v>
      </c>
      <c r="H451">
        <f>IF($A451="","",IF($D451="V01",Cadrage!$C$24,IF($D451="V02",Cadrage!$D$24,Cadrage!$E$24)))</f>
        <v>-0.05</v>
      </c>
      <c r="I451">
        <f>IF($A451="","",IF($D451="V01",Cadrage!$C$34,IF($D451="V02",Cadrage!$D$34,Cadrage!$E$34)))</f>
        <v>0.03</v>
      </c>
      <c r="J451">
        <f>IF($A451="","",IF($D451="V01",Cadrage!$C$35,IF($D451="V02",Cadrage!$D$35,Cadrage!$E$35)))</f>
        <v>0.03</v>
      </c>
      <c r="K451">
        <f>IF($A451="","",IF($D451="V01",Cadrage!$C$36,IF($D451="V02",Cadrage!$D$36,Cadrage!$E$36)))</f>
        <v>0.05</v>
      </c>
      <c r="L451">
        <f>IF($A451="","",IF($D451="V01",Cadrage!$C$37,IF($D451="V02",Cadrage!$D$37,Cadrage!$E$37)))</f>
        <v>0</v>
      </c>
      <c r="M451">
        <f>IF($A451="","",IF($D451="V01",Cadrage!$C$38,IF($D451="V02",Cadrage!$D$38,Cadrage!$E$38)))</f>
        <v>0.04</v>
      </c>
      <c r="N451">
        <f t="shared" si="1"/>
        <v>0.980622079131853</v>
      </c>
      <c r="O451">
        <f t="shared" si="2"/>
        <v>1.0712</v>
      </c>
      <c r="P451">
        <f>IF($A451="","",IF($E451=1,$F451*$O451,PNL!G451))</f>
        <v>14676.91</v>
      </c>
      <c r="T451">
        <f t="shared" si="3"/>
        <v>0</v>
      </c>
    </row>
    <row r="452" ht="14.25" customHeight="1">
      <c r="A452" t="str">
        <f>IF(PNL!A452="","",PNL!A452)</f>
        <v>TUNON_PAR</v>
      </c>
      <c r="B452" t="str">
        <f>IF(PNL!B452="","",PNL!B452)</f>
        <v>615</v>
      </c>
      <c r="C452" t="str">
        <f>IF(PNL!C452="","",PNL!C452)</f>
        <v>2024</v>
      </c>
      <c r="D452" t="str">
        <f>IF(PNL!D452="","",PNL!D452)</f>
        <v>ACT</v>
      </c>
      <c r="E452">
        <f t="shared" si="0"/>
        <v>0</v>
      </c>
      <c r="F452">
        <f>IF($A452="","",IF($E452=1,_xlfn.SUMIFS(Comptabilité!$F$1:$F$1446,Comptabilité!$A$1:$A$1446,$A452,Comptabilité!$B$1:$B$1446,$B452,Comptabilité!$C$1:$C$1446,"2026"),0))</f>
        <v>0</v>
      </c>
      <c r="G452">
        <f>IF($A452="","",IF($D452="V01",Cadrage!$C$23,IF($D452="V02",Cadrage!$D$23,Cadrage!$E$23)))</f>
        <v>-0.05</v>
      </c>
      <c r="H452">
        <f>IF($A452="","",IF($D452="V01",Cadrage!$C$24,IF($D452="V02",Cadrage!$D$24,Cadrage!$E$24)))</f>
        <v>-0.05</v>
      </c>
      <c r="I452">
        <f>IF($A452="","",IF($D452="V01",Cadrage!$C$34,IF($D452="V02",Cadrage!$D$34,Cadrage!$E$34)))</f>
        <v>0.03</v>
      </c>
      <c r="J452">
        <f>IF($A452="","",IF($D452="V01",Cadrage!$C$35,IF($D452="V02",Cadrage!$D$35,Cadrage!$E$35)))</f>
        <v>0.03</v>
      </c>
      <c r="K452">
        <f>IF($A452="","",IF($D452="V01",Cadrage!$C$36,IF($D452="V02",Cadrage!$D$36,Cadrage!$E$36)))</f>
        <v>0.05</v>
      </c>
      <c r="L452">
        <f>IF($A452="","",IF($D452="V01",Cadrage!$C$37,IF($D452="V02",Cadrage!$D$37,Cadrage!$E$37)))</f>
        <v>0</v>
      </c>
      <c r="M452">
        <f>IF($A452="","",IF($D452="V01",Cadrage!$C$38,IF($D452="V02",Cadrage!$D$38,Cadrage!$E$38)))</f>
        <v>0.04</v>
      </c>
      <c r="N452">
        <f t="shared" si="1"/>
        <v>0.980622079131853</v>
      </c>
      <c r="O452">
        <f t="shared" si="2"/>
        <v>1.0712</v>
      </c>
      <c r="P452">
        <f>IF($A452="","",IF($E452=1,$F452*$O452,PNL!G452))</f>
        <v>17042.23</v>
      </c>
      <c r="T452">
        <f t="shared" si="3"/>
        <v>0</v>
      </c>
    </row>
    <row r="453" ht="14.25" customHeight="1">
      <c r="A453" t="str">
        <f>IF(PNL!A453="","",PNL!A453)</f>
        <v>TUNON_LYO</v>
      </c>
      <c r="B453" t="str">
        <f>IF(PNL!B453="","",PNL!B453)</f>
        <v>615</v>
      </c>
      <c r="C453" t="str">
        <f>IF(PNL!C453="","",PNL!C453)</f>
        <v>2024</v>
      </c>
      <c r="D453" t="str">
        <f>IF(PNL!D453="","",PNL!D453)</f>
        <v>ACT</v>
      </c>
      <c r="E453">
        <f t="shared" si="0"/>
        <v>0</v>
      </c>
      <c r="F453">
        <f>IF($A453="","",IF($E453=1,_xlfn.SUMIFS(Comptabilité!$F$1:$F$1446,Comptabilité!$A$1:$A$1446,$A453,Comptabilité!$B$1:$B$1446,$B453,Comptabilité!$C$1:$C$1446,"2026"),0))</f>
        <v>0</v>
      </c>
      <c r="G453">
        <f>IF($A453="","",IF($D453="V01",Cadrage!$C$23,IF($D453="V02",Cadrage!$D$23,Cadrage!$E$23)))</f>
        <v>-0.05</v>
      </c>
      <c r="H453">
        <f>IF($A453="","",IF($D453="V01",Cadrage!$C$24,IF($D453="V02",Cadrage!$D$24,Cadrage!$E$24)))</f>
        <v>-0.05</v>
      </c>
      <c r="I453">
        <f>IF($A453="","",IF($D453="V01",Cadrage!$C$34,IF($D453="V02",Cadrage!$D$34,Cadrage!$E$34)))</f>
        <v>0.03</v>
      </c>
      <c r="J453">
        <f>IF($A453="","",IF($D453="V01",Cadrage!$C$35,IF($D453="V02",Cadrage!$D$35,Cadrage!$E$35)))</f>
        <v>0.03</v>
      </c>
      <c r="K453">
        <f>IF($A453="","",IF($D453="V01",Cadrage!$C$36,IF($D453="V02",Cadrage!$D$36,Cadrage!$E$36)))</f>
        <v>0.05</v>
      </c>
      <c r="L453">
        <f>IF($A453="","",IF($D453="V01",Cadrage!$C$37,IF($D453="V02",Cadrage!$D$37,Cadrage!$E$37)))</f>
        <v>0</v>
      </c>
      <c r="M453">
        <f>IF($A453="","",IF($D453="V01",Cadrage!$C$38,IF($D453="V02",Cadrage!$D$38,Cadrage!$E$38)))</f>
        <v>0.04</v>
      </c>
      <c r="N453">
        <f t="shared" si="1"/>
        <v>0.980622079131853</v>
      </c>
      <c r="O453">
        <f t="shared" si="2"/>
        <v>1.0712</v>
      </c>
      <c r="P453">
        <f>IF($A453="","",IF($E453=1,$F453*$O453,PNL!G453))</f>
        <v>14281.48</v>
      </c>
      <c r="T453">
        <f t="shared" si="3"/>
        <v>0</v>
      </c>
    </row>
    <row r="454" ht="14.25" customHeight="1">
      <c r="A454" t="str">
        <f>IF(PNL!A454="","",PNL!A454)</f>
        <v>MBWAY_PAR</v>
      </c>
      <c r="B454" t="str">
        <f>IF(PNL!B454="","",PNL!B454)</f>
        <v>615</v>
      </c>
      <c r="C454" t="str">
        <f>IF(PNL!C454="","",PNL!C454)</f>
        <v>2025</v>
      </c>
      <c r="D454" t="str">
        <f>IF(PNL!D454="","",PNL!D454)</f>
        <v>ACT</v>
      </c>
      <c r="E454">
        <f t="shared" si="0"/>
        <v>0</v>
      </c>
      <c r="F454">
        <f>IF($A454="","",IF($E454=1,_xlfn.SUMIFS(Comptabilité!$F$1:$F$1446,Comptabilité!$A$1:$A$1446,$A454,Comptabilité!$B$1:$B$1446,$B454,Comptabilité!$C$1:$C$1446,"2026"),0))</f>
        <v>0</v>
      </c>
      <c r="G454">
        <f>IF($A454="","",IF($D454="V01",Cadrage!$C$23,IF($D454="V02",Cadrage!$D$23,Cadrage!$E$23)))</f>
        <v>-0.05</v>
      </c>
      <c r="H454">
        <f>IF($A454="","",IF($D454="V01",Cadrage!$C$24,IF($D454="V02",Cadrage!$D$24,Cadrage!$E$24)))</f>
        <v>-0.05</v>
      </c>
      <c r="I454">
        <f>IF($A454="","",IF($D454="V01",Cadrage!$C$34,IF($D454="V02",Cadrage!$D$34,Cadrage!$E$34)))</f>
        <v>0.03</v>
      </c>
      <c r="J454">
        <f>IF($A454="","",IF($D454="V01",Cadrage!$C$35,IF($D454="V02",Cadrage!$D$35,Cadrage!$E$35)))</f>
        <v>0.03</v>
      </c>
      <c r="K454">
        <f>IF($A454="","",IF($D454="V01",Cadrage!$C$36,IF($D454="V02",Cadrage!$D$36,Cadrage!$E$36)))</f>
        <v>0.05</v>
      </c>
      <c r="L454">
        <f>IF($A454="","",IF($D454="V01",Cadrage!$C$37,IF($D454="V02",Cadrage!$D$37,Cadrage!$E$37)))</f>
        <v>0</v>
      </c>
      <c r="M454">
        <f>IF($A454="","",IF($D454="V01",Cadrage!$C$38,IF($D454="V02",Cadrage!$D$38,Cadrage!$E$38)))</f>
        <v>0.04</v>
      </c>
      <c r="N454">
        <f t="shared" si="1"/>
        <v>0.980622079131853</v>
      </c>
      <c r="O454">
        <f t="shared" si="2"/>
        <v>1.0712</v>
      </c>
      <c r="P454">
        <f>IF($A454="","",IF($E454=1,$F454*$O454,PNL!G454))</f>
        <v>42782.03</v>
      </c>
      <c r="T454">
        <f t="shared" si="3"/>
        <v>0</v>
      </c>
    </row>
    <row r="455" ht="14.25" customHeight="1">
      <c r="A455" t="str">
        <f>IF(PNL!A455="","",PNL!A455)</f>
        <v>MBWAY_LYO</v>
      </c>
      <c r="B455" t="str">
        <f>IF(PNL!B455="","",PNL!B455)</f>
        <v>615</v>
      </c>
      <c r="C455" t="str">
        <f>IF(PNL!C455="","",PNL!C455)</f>
        <v>2025</v>
      </c>
      <c r="D455" t="str">
        <f>IF(PNL!D455="","",PNL!D455)</f>
        <v>ACT</v>
      </c>
      <c r="E455">
        <f t="shared" si="0"/>
        <v>0</v>
      </c>
      <c r="F455">
        <f>IF($A455="","",IF($E455=1,_xlfn.SUMIFS(Comptabilité!$F$1:$F$1446,Comptabilité!$A$1:$A$1446,$A455,Comptabilité!$B$1:$B$1446,$B455,Comptabilité!$C$1:$C$1446,"2026"),0))</f>
        <v>0</v>
      </c>
      <c r="G455">
        <f>IF($A455="","",IF($D455="V01",Cadrage!$C$23,IF($D455="V02",Cadrage!$D$23,Cadrage!$E$23)))</f>
        <v>-0.05</v>
      </c>
      <c r="H455">
        <f>IF($A455="","",IF($D455="V01",Cadrage!$C$24,IF($D455="V02",Cadrage!$D$24,Cadrage!$E$24)))</f>
        <v>-0.05</v>
      </c>
      <c r="I455">
        <f>IF($A455="","",IF($D455="V01",Cadrage!$C$34,IF($D455="V02",Cadrage!$D$34,Cadrage!$E$34)))</f>
        <v>0.03</v>
      </c>
      <c r="J455">
        <f>IF($A455="","",IF($D455="V01",Cadrage!$C$35,IF($D455="V02",Cadrage!$D$35,Cadrage!$E$35)))</f>
        <v>0.03</v>
      </c>
      <c r="K455">
        <f>IF($A455="","",IF($D455="V01",Cadrage!$C$36,IF($D455="V02",Cadrage!$D$36,Cadrage!$E$36)))</f>
        <v>0.05</v>
      </c>
      <c r="L455">
        <f>IF($A455="","",IF($D455="V01",Cadrage!$C$37,IF($D455="V02",Cadrage!$D$37,Cadrage!$E$37)))</f>
        <v>0</v>
      </c>
      <c r="M455">
        <f>IF($A455="","",IF($D455="V01",Cadrage!$C$38,IF($D455="V02",Cadrage!$D$38,Cadrage!$E$38)))</f>
        <v>0.04</v>
      </c>
      <c r="N455">
        <f t="shared" si="1"/>
        <v>0.980622079131853</v>
      </c>
      <c r="O455">
        <f t="shared" si="2"/>
        <v>1.0712</v>
      </c>
      <c r="P455">
        <f>IF($A455="","",IF($E455=1,$F455*$O455,PNL!G455))</f>
        <v>33680.13</v>
      </c>
      <c r="T455">
        <f t="shared" si="3"/>
        <v>0</v>
      </c>
    </row>
    <row r="456" ht="14.25" customHeight="1">
      <c r="A456" t="str">
        <f>IF(PNL!A456="","",PNL!A456)</f>
        <v>MBWAY_NAN</v>
      </c>
      <c r="B456" t="str">
        <f>IF(PNL!B456="","",PNL!B456)</f>
        <v>615</v>
      </c>
      <c r="C456" t="str">
        <f>IF(PNL!C456="","",PNL!C456)</f>
        <v>2025</v>
      </c>
      <c r="D456" t="str">
        <f>IF(PNL!D456="","",PNL!D456)</f>
        <v>ACT</v>
      </c>
      <c r="E456">
        <f t="shared" si="0"/>
        <v>0</v>
      </c>
      <c r="F456">
        <f>IF($A456="","",IF($E456=1,_xlfn.SUMIFS(Comptabilité!$F$1:$F$1446,Comptabilité!$A$1:$A$1446,$A456,Comptabilité!$B$1:$B$1446,$B456,Comptabilité!$C$1:$C$1446,"2026"),0))</f>
        <v>0</v>
      </c>
      <c r="G456">
        <f>IF($A456="","",IF($D456="V01",Cadrage!$C$23,IF($D456="V02",Cadrage!$D$23,Cadrage!$E$23)))</f>
        <v>-0.05</v>
      </c>
      <c r="H456">
        <f>IF($A456="","",IF($D456="V01",Cadrage!$C$24,IF($D456="V02",Cadrage!$D$24,Cadrage!$E$24)))</f>
        <v>-0.05</v>
      </c>
      <c r="I456">
        <f>IF($A456="","",IF($D456="V01",Cadrage!$C$34,IF($D456="V02",Cadrage!$D$34,Cadrage!$E$34)))</f>
        <v>0.03</v>
      </c>
      <c r="J456">
        <f>IF($A456="","",IF($D456="V01",Cadrage!$C$35,IF($D456="V02",Cadrage!$D$35,Cadrage!$E$35)))</f>
        <v>0.03</v>
      </c>
      <c r="K456">
        <f>IF($A456="","",IF($D456="V01",Cadrage!$C$36,IF($D456="V02",Cadrage!$D$36,Cadrage!$E$36)))</f>
        <v>0.05</v>
      </c>
      <c r="L456">
        <f>IF($A456="","",IF($D456="V01",Cadrage!$C$37,IF($D456="V02",Cadrage!$D$37,Cadrage!$E$37)))</f>
        <v>0</v>
      </c>
      <c r="M456">
        <f>IF($A456="","",IF($D456="V01",Cadrage!$C$38,IF($D456="V02",Cadrage!$D$38,Cadrage!$E$38)))</f>
        <v>0.04</v>
      </c>
      <c r="N456">
        <f t="shared" si="1"/>
        <v>0.980622079131853</v>
      </c>
      <c r="O456">
        <f t="shared" si="2"/>
        <v>1.0712</v>
      </c>
      <c r="P456">
        <f>IF($A456="","",IF($E456=1,$F456*$O456,PNL!G456))</f>
        <v>29384.83</v>
      </c>
      <c r="T456">
        <f t="shared" si="3"/>
        <v>0</v>
      </c>
    </row>
    <row r="457" ht="14.25" customHeight="1">
      <c r="A457" t="str">
        <f>IF(PNL!A457="","",PNL!A457)</f>
        <v>MBWAY_BOR</v>
      </c>
      <c r="B457" t="str">
        <f>IF(PNL!B457="","",PNL!B457)</f>
        <v>615</v>
      </c>
      <c r="C457" t="str">
        <f>IF(PNL!C457="","",PNL!C457)</f>
        <v>2025</v>
      </c>
      <c r="D457" t="str">
        <f>IF(PNL!D457="","",PNL!D457)</f>
        <v>ACT</v>
      </c>
      <c r="E457">
        <f t="shared" si="0"/>
        <v>0</v>
      </c>
      <c r="F457">
        <f>IF($A457="","",IF($E457=1,_xlfn.SUMIFS(Comptabilité!$F$1:$F$1446,Comptabilité!$A$1:$A$1446,$A457,Comptabilité!$B$1:$B$1446,$B457,Comptabilité!$C$1:$C$1446,"2026"),0))</f>
        <v>0</v>
      </c>
      <c r="G457">
        <f>IF($A457="","",IF($D457="V01",Cadrage!$C$23,IF($D457="V02",Cadrage!$D$23,Cadrage!$E$23)))</f>
        <v>-0.05</v>
      </c>
      <c r="H457">
        <f>IF($A457="","",IF($D457="V01",Cadrage!$C$24,IF($D457="V02",Cadrage!$D$24,Cadrage!$E$24)))</f>
        <v>-0.05</v>
      </c>
      <c r="I457">
        <f>IF($A457="","",IF($D457="V01",Cadrage!$C$34,IF($D457="V02",Cadrage!$D$34,Cadrage!$E$34)))</f>
        <v>0.03</v>
      </c>
      <c r="J457">
        <f>IF($A457="","",IF($D457="V01",Cadrage!$C$35,IF($D457="V02",Cadrage!$D$35,Cadrage!$E$35)))</f>
        <v>0.03</v>
      </c>
      <c r="K457">
        <f>IF($A457="","",IF($D457="V01",Cadrage!$C$36,IF($D457="V02",Cadrage!$D$36,Cadrage!$E$36)))</f>
        <v>0.05</v>
      </c>
      <c r="L457">
        <f>IF($A457="","",IF($D457="V01",Cadrage!$C$37,IF($D457="V02",Cadrage!$D$37,Cadrage!$E$37)))</f>
        <v>0</v>
      </c>
      <c r="M457">
        <f>IF($A457="","",IF($D457="V01",Cadrage!$C$38,IF($D457="V02",Cadrage!$D$38,Cadrage!$E$38)))</f>
        <v>0.04</v>
      </c>
      <c r="N457">
        <f t="shared" si="1"/>
        <v>0.980622079131853</v>
      </c>
      <c r="O457">
        <f t="shared" si="2"/>
        <v>1.0712</v>
      </c>
      <c r="P457">
        <f>IF($A457="","",IF($E457=1,$F457*$O457,PNL!G457))</f>
        <v>23640.89</v>
      </c>
      <c r="T457">
        <f t="shared" si="3"/>
        <v>0</v>
      </c>
    </row>
    <row r="458" ht="14.25" customHeight="1">
      <c r="A458" t="str">
        <f>IF(PNL!A458="","",PNL!A458)</f>
        <v>ISCOM_PAR</v>
      </c>
      <c r="B458" t="str">
        <f>IF(PNL!B458="","",PNL!B458)</f>
        <v>615</v>
      </c>
      <c r="C458" t="str">
        <f>IF(PNL!C458="","",PNL!C458)</f>
        <v>2025</v>
      </c>
      <c r="D458" t="str">
        <f>IF(PNL!D458="","",PNL!D458)</f>
        <v>ACT</v>
      </c>
      <c r="E458">
        <f t="shared" si="0"/>
        <v>0</v>
      </c>
      <c r="F458">
        <f>IF($A458="","",IF($E458=1,_xlfn.SUMIFS(Comptabilité!$F$1:$F$1446,Comptabilité!$A$1:$A$1446,$A458,Comptabilité!$B$1:$B$1446,$B458,Comptabilité!$C$1:$C$1446,"2026"),0))</f>
        <v>0</v>
      </c>
      <c r="G458">
        <f>IF($A458="","",IF($D458="V01",Cadrage!$C$23,IF($D458="V02",Cadrage!$D$23,Cadrage!$E$23)))</f>
        <v>-0.05</v>
      </c>
      <c r="H458">
        <f>IF($A458="","",IF($D458="V01",Cadrage!$C$24,IF($D458="V02",Cadrage!$D$24,Cadrage!$E$24)))</f>
        <v>-0.05</v>
      </c>
      <c r="I458">
        <f>IF($A458="","",IF($D458="V01",Cadrage!$C$34,IF($D458="V02",Cadrage!$D$34,Cadrage!$E$34)))</f>
        <v>0.03</v>
      </c>
      <c r="J458">
        <f>IF($A458="","",IF($D458="V01",Cadrage!$C$35,IF($D458="V02",Cadrage!$D$35,Cadrage!$E$35)))</f>
        <v>0.03</v>
      </c>
      <c r="K458">
        <f>IF($A458="","",IF($D458="V01",Cadrage!$C$36,IF($D458="V02",Cadrage!$D$36,Cadrage!$E$36)))</f>
        <v>0.05</v>
      </c>
      <c r="L458">
        <f>IF($A458="","",IF($D458="V01",Cadrage!$C$37,IF($D458="V02",Cadrage!$D$37,Cadrage!$E$37)))</f>
        <v>0</v>
      </c>
      <c r="M458">
        <f>IF($A458="","",IF($D458="V01",Cadrage!$C$38,IF($D458="V02",Cadrage!$D$38,Cadrage!$E$38)))</f>
        <v>0.04</v>
      </c>
      <c r="N458">
        <f t="shared" si="1"/>
        <v>0.980622079131853</v>
      </c>
      <c r="O458">
        <f t="shared" si="2"/>
        <v>1.0712</v>
      </c>
      <c r="P458">
        <f>IF($A458="","",IF($E458=1,$F458*$O458,PNL!G458))</f>
        <v>41204.99</v>
      </c>
      <c r="T458">
        <f t="shared" si="3"/>
        <v>0</v>
      </c>
    </row>
    <row r="459" ht="14.25" customHeight="1">
      <c r="A459" t="str">
        <f>IF(PNL!A459="","",PNL!A459)</f>
        <v>ISCOM_LIL</v>
      </c>
      <c r="B459" t="str">
        <f>IF(PNL!B459="","",PNL!B459)</f>
        <v>615</v>
      </c>
      <c r="C459" t="str">
        <f>IF(PNL!C459="","",PNL!C459)</f>
        <v>2025</v>
      </c>
      <c r="D459" t="str">
        <f>IF(PNL!D459="","",PNL!D459)</f>
        <v>ACT</v>
      </c>
      <c r="E459">
        <f t="shared" si="0"/>
        <v>0</v>
      </c>
      <c r="F459">
        <f>IF($A459="","",IF($E459=1,_xlfn.SUMIFS(Comptabilité!$F$1:$F$1446,Comptabilité!$A$1:$A$1446,$A459,Comptabilité!$B$1:$B$1446,$B459,Comptabilité!$C$1:$C$1446,"2026"),0))</f>
        <v>0</v>
      </c>
      <c r="G459">
        <f>IF($A459="","",IF($D459="V01",Cadrage!$C$23,IF($D459="V02",Cadrage!$D$23,Cadrage!$E$23)))</f>
        <v>-0.05</v>
      </c>
      <c r="H459">
        <f>IF($A459="","",IF($D459="V01",Cadrage!$C$24,IF($D459="V02",Cadrage!$D$24,Cadrage!$E$24)))</f>
        <v>-0.05</v>
      </c>
      <c r="I459">
        <f>IF($A459="","",IF($D459="V01",Cadrage!$C$34,IF($D459="V02",Cadrage!$D$34,Cadrage!$E$34)))</f>
        <v>0.03</v>
      </c>
      <c r="J459">
        <f>IF($A459="","",IF($D459="V01",Cadrage!$C$35,IF($D459="V02",Cadrage!$D$35,Cadrage!$E$35)))</f>
        <v>0.03</v>
      </c>
      <c r="K459">
        <f>IF($A459="","",IF($D459="V01",Cadrage!$C$36,IF($D459="V02",Cadrage!$D$36,Cadrage!$E$36)))</f>
        <v>0.05</v>
      </c>
      <c r="L459">
        <f>IF($A459="","",IF($D459="V01",Cadrage!$C$37,IF($D459="V02",Cadrage!$D$37,Cadrage!$E$37)))</f>
        <v>0</v>
      </c>
      <c r="M459">
        <f>IF($A459="","",IF($D459="V01",Cadrage!$C$38,IF($D459="V02",Cadrage!$D$38,Cadrage!$E$38)))</f>
        <v>0.04</v>
      </c>
      <c r="N459">
        <f t="shared" si="1"/>
        <v>0.980622079131853</v>
      </c>
      <c r="O459">
        <f t="shared" si="2"/>
        <v>1.0712</v>
      </c>
      <c r="P459">
        <f>IF($A459="","",IF($E459=1,$F459*$O459,PNL!G459))</f>
        <v>23873.51</v>
      </c>
      <c r="T459">
        <f t="shared" si="3"/>
        <v>0</v>
      </c>
    </row>
    <row r="460" ht="14.25" customHeight="1">
      <c r="A460" t="str">
        <f>IF(PNL!A460="","",PNL!A460)</f>
        <v>ISCOM_TLS</v>
      </c>
      <c r="B460" t="str">
        <f>IF(PNL!B460="","",PNL!B460)</f>
        <v>615</v>
      </c>
      <c r="C460" t="str">
        <f>IF(PNL!C460="","",PNL!C460)</f>
        <v>2025</v>
      </c>
      <c r="D460" t="str">
        <f>IF(PNL!D460="","",PNL!D460)</f>
        <v>ACT</v>
      </c>
      <c r="E460">
        <f t="shared" si="0"/>
        <v>0</v>
      </c>
      <c r="F460">
        <f>IF($A460="","",IF($E460=1,_xlfn.SUMIFS(Comptabilité!$F$1:$F$1446,Comptabilité!$A$1:$A$1446,$A460,Comptabilité!$B$1:$B$1446,$B460,Comptabilité!$C$1:$C$1446,"2026"),0))</f>
        <v>0</v>
      </c>
      <c r="G460">
        <f>IF($A460="","",IF($D460="V01",Cadrage!$C$23,IF($D460="V02",Cadrage!$D$23,Cadrage!$E$23)))</f>
        <v>-0.05</v>
      </c>
      <c r="H460">
        <f>IF($A460="","",IF($D460="V01",Cadrage!$C$24,IF($D460="V02",Cadrage!$D$24,Cadrage!$E$24)))</f>
        <v>-0.05</v>
      </c>
      <c r="I460">
        <f>IF($A460="","",IF($D460="V01",Cadrage!$C$34,IF($D460="V02",Cadrage!$D$34,Cadrage!$E$34)))</f>
        <v>0.03</v>
      </c>
      <c r="J460">
        <f>IF($A460="","",IF($D460="V01",Cadrage!$C$35,IF($D460="V02",Cadrage!$D$35,Cadrage!$E$35)))</f>
        <v>0.03</v>
      </c>
      <c r="K460">
        <f>IF($A460="","",IF($D460="V01",Cadrage!$C$36,IF($D460="V02",Cadrage!$D$36,Cadrage!$E$36)))</f>
        <v>0.05</v>
      </c>
      <c r="L460">
        <f>IF($A460="","",IF($D460="V01",Cadrage!$C$37,IF($D460="V02",Cadrage!$D$37,Cadrage!$E$37)))</f>
        <v>0</v>
      </c>
      <c r="M460">
        <f>IF($A460="","",IF($D460="V01",Cadrage!$C$38,IF($D460="V02",Cadrage!$D$38,Cadrage!$E$38)))</f>
        <v>0.04</v>
      </c>
      <c r="N460">
        <f t="shared" si="1"/>
        <v>0.980622079131853</v>
      </c>
      <c r="O460">
        <f t="shared" si="2"/>
        <v>1.0712</v>
      </c>
      <c r="P460">
        <f>IF($A460="","",IF($E460=1,$F460*$O460,PNL!G460))</f>
        <v>22343.26</v>
      </c>
      <c r="T460">
        <f t="shared" si="3"/>
        <v>0</v>
      </c>
    </row>
    <row r="461" ht="14.25" customHeight="1">
      <c r="A461" t="str">
        <f>IF(PNL!A461="","",PNL!A461)</f>
        <v>IPAC_NAN</v>
      </c>
      <c r="B461" t="str">
        <f>IF(PNL!B461="","",PNL!B461)</f>
        <v>615</v>
      </c>
      <c r="C461" t="str">
        <f>IF(PNL!C461="","",PNL!C461)</f>
        <v>2025</v>
      </c>
      <c r="D461" t="str">
        <f>IF(PNL!D461="","",PNL!D461)</f>
        <v>ACT</v>
      </c>
      <c r="E461">
        <f t="shared" si="0"/>
        <v>0</v>
      </c>
      <c r="F461">
        <f>IF($A461="","",IF($E461=1,_xlfn.SUMIFS(Comptabilité!$F$1:$F$1446,Comptabilité!$A$1:$A$1446,$A461,Comptabilité!$B$1:$B$1446,$B461,Comptabilité!$C$1:$C$1446,"2026"),0))</f>
        <v>0</v>
      </c>
      <c r="G461">
        <f>IF($A461="","",IF($D461="V01",Cadrage!$C$23,IF($D461="V02",Cadrage!$D$23,Cadrage!$E$23)))</f>
        <v>-0.05</v>
      </c>
      <c r="H461">
        <f>IF($A461="","",IF($D461="V01",Cadrage!$C$24,IF($D461="V02",Cadrage!$D$24,Cadrage!$E$24)))</f>
        <v>-0.05</v>
      </c>
      <c r="I461">
        <f>IF($A461="","",IF($D461="V01",Cadrage!$C$34,IF($D461="V02",Cadrage!$D$34,Cadrage!$E$34)))</f>
        <v>0.03</v>
      </c>
      <c r="J461">
        <f>IF($A461="","",IF($D461="V01",Cadrage!$C$35,IF($D461="V02",Cadrage!$D$35,Cadrage!$E$35)))</f>
        <v>0.03</v>
      </c>
      <c r="K461">
        <f>IF($A461="","",IF($D461="V01",Cadrage!$C$36,IF($D461="V02",Cadrage!$D$36,Cadrage!$E$36)))</f>
        <v>0.05</v>
      </c>
      <c r="L461">
        <f>IF($A461="","",IF($D461="V01",Cadrage!$C$37,IF($D461="V02",Cadrage!$D$37,Cadrage!$E$37)))</f>
        <v>0</v>
      </c>
      <c r="M461">
        <f>IF($A461="","",IF($D461="V01",Cadrage!$C$38,IF($D461="V02",Cadrage!$D$38,Cadrage!$E$38)))</f>
        <v>0.04</v>
      </c>
      <c r="N461">
        <f t="shared" si="1"/>
        <v>0.980622079131853</v>
      </c>
      <c r="O461">
        <f t="shared" si="2"/>
        <v>1.0712</v>
      </c>
      <c r="P461">
        <f>IF($A461="","",IF($E461=1,$F461*$O461,PNL!G461))</f>
        <v>14198.57</v>
      </c>
      <c r="T461">
        <f t="shared" si="3"/>
        <v>0</v>
      </c>
    </row>
    <row r="462" ht="14.25" customHeight="1">
      <c r="A462" t="str">
        <f>IF(PNL!A462="","",PNL!A462)</f>
        <v>IPAC_REN</v>
      </c>
      <c r="B462" t="str">
        <f>IF(PNL!B462="","",PNL!B462)</f>
        <v>615</v>
      </c>
      <c r="C462" t="str">
        <f>IF(PNL!C462="","",PNL!C462)</f>
        <v>2025</v>
      </c>
      <c r="D462" t="str">
        <f>IF(PNL!D462="","",PNL!D462)</f>
        <v>ACT</v>
      </c>
      <c r="E462">
        <f t="shared" si="0"/>
        <v>0</v>
      </c>
      <c r="F462">
        <f>IF($A462="","",IF($E462=1,_xlfn.SUMIFS(Comptabilité!$F$1:$F$1446,Comptabilité!$A$1:$A$1446,$A462,Comptabilité!$B$1:$B$1446,$B462,Comptabilité!$C$1:$C$1446,"2026"),0))</f>
        <v>0</v>
      </c>
      <c r="G462">
        <f>IF($A462="","",IF($D462="V01",Cadrage!$C$23,IF($D462="V02",Cadrage!$D$23,Cadrage!$E$23)))</f>
        <v>-0.05</v>
      </c>
      <c r="H462">
        <f>IF($A462="","",IF($D462="V01",Cadrage!$C$24,IF($D462="V02",Cadrage!$D$24,Cadrage!$E$24)))</f>
        <v>-0.05</v>
      </c>
      <c r="I462">
        <f>IF($A462="","",IF($D462="V01",Cadrage!$C$34,IF($D462="V02",Cadrage!$D$34,Cadrage!$E$34)))</f>
        <v>0.03</v>
      </c>
      <c r="J462">
        <f>IF($A462="","",IF($D462="V01",Cadrage!$C$35,IF($D462="V02",Cadrage!$D$35,Cadrage!$E$35)))</f>
        <v>0.03</v>
      </c>
      <c r="K462">
        <f>IF($A462="","",IF($D462="V01",Cadrage!$C$36,IF($D462="V02",Cadrage!$D$36,Cadrage!$E$36)))</f>
        <v>0.05</v>
      </c>
      <c r="L462">
        <f>IF($A462="","",IF($D462="V01",Cadrage!$C$37,IF($D462="V02",Cadrage!$D$37,Cadrage!$E$37)))</f>
        <v>0</v>
      </c>
      <c r="M462">
        <f>IF($A462="","",IF($D462="V01",Cadrage!$C$38,IF($D462="V02",Cadrage!$D$38,Cadrage!$E$38)))</f>
        <v>0.04</v>
      </c>
      <c r="N462">
        <f t="shared" si="1"/>
        <v>0.980622079131853</v>
      </c>
      <c r="O462">
        <f t="shared" si="2"/>
        <v>1.0712</v>
      </c>
      <c r="P462">
        <f>IF($A462="","",IF($E462=1,$F462*$O462,PNL!G462))</f>
        <v>11669.3</v>
      </c>
      <c r="T462">
        <f t="shared" si="3"/>
        <v>0</v>
      </c>
    </row>
    <row r="463" ht="14.25" customHeight="1">
      <c r="A463" t="str">
        <f>IF(PNL!A463="","",PNL!A463)</f>
        <v>IPAC_MTP</v>
      </c>
      <c r="B463" t="str">
        <f>IF(PNL!B463="","",PNL!B463)</f>
        <v>615</v>
      </c>
      <c r="C463" t="str">
        <f>IF(PNL!C463="","",PNL!C463)</f>
        <v>2025</v>
      </c>
      <c r="D463" t="str">
        <f>IF(PNL!D463="","",PNL!D463)</f>
        <v>ACT</v>
      </c>
      <c r="E463">
        <f t="shared" si="0"/>
        <v>0</v>
      </c>
      <c r="F463">
        <f>IF($A463="","",IF($E463=1,_xlfn.SUMIFS(Comptabilité!$F$1:$F$1446,Comptabilité!$A$1:$A$1446,$A463,Comptabilité!$B$1:$B$1446,$B463,Comptabilité!$C$1:$C$1446,"2026"),0))</f>
        <v>0</v>
      </c>
      <c r="G463">
        <f>IF($A463="","",IF($D463="V01",Cadrage!$C$23,IF($D463="V02",Cadrage!$D$23,Cadrage!$E$23)))</f>
        <v>-0.05</v>
      </c>
      <c r="H463">
        <f>IF($A463="","",IF($D463="V01",Cadrage!$C$24,IF($D463="V02",Cadrage!$D$24,Cadrage!$E$24)))</f>
        <v>-0.05</v>
      </c>
      <c r="I463">
        <f>IF($A463="","",IF($D463="V01",Cadrage!$C$34,IF($D463="V02",Cadrage!$D$34,Cadrage!$E$34)))</f>
        <v>0.03</v>
      </c>
      <c r="J463">
        <f>IF($A463="","",IF($D463="V01",Cadrage!$C$35,IF($D463="V02",Cadrage!$D$35,Cadrage!$E$35)))</f>
        <v>0.03</v>
      </c>
      <c r="K463">
        <f>IF($A463="","",IF($D463="V01",Cadrage!$C$36,IF($D463="V02",Cadrage!$D$36,Cadrage!$E$36)))</f>
        <v>0.05</v>
      </c>
      <c r="L463">
        <f>IF($A463="","",IF($D463="V01",Cadrage!$C$37,IF($D463="V02",Cadrage!$D$37,Cadrage!$E$37)))</f>
        <v>0</v>
      </c>
      <c r="M463">
        <f>IF($A463="","",IF($D463="V01",Cadrage!$C$38,IF($D463="V02",Cadrage!$D$38,Cadrage!$E$38)))</f>
        <v>0.04</v>
      </c>
      <c r="N463">
        <f t="shared" si="1"/>
        <v>0.980622079131853</v>
      </c>
      <c r="O463">
        <f t="shared" si="2"/>
        <v>1.0712</v>
      </c>
      <c r="P463">
        <f>IF($A463="","",IF($E463=1,$F463*$O463,PNL!G463))</f>
        <v>11662.77</v>
      </c>
      <c r="T463">
        <f t="shared" si="3"/>
        <v>0</v>
      </c>
    </row>
    <row r="464" ht="14.25" customHeight="1">
      <c r="A464" t="str">
        <f>IF(PNL!A464="","",PNL!A464)</f>
        <v>PIGIER_LYO</v>
      </c>
      <c r="B464" t="str">
        <f>IF(PNL!B464="","",PNL!B464)</f>
        <v>615</v>
      </c>
      <c r="C464" t="str">
        <f>IF(PNL!C464="","",PNL!C464)</f>
        <v>2025</v>
      </c>
      <c r="D464" t="str">
        <f>IF(PNL!D464="","",PNL!D464)</f>
        <v>ACT</v>
      </c>
      <c r="E464">
        <f t="shared" si="0"/>
        <v>0</v>
      </c>
      <c r="F464">
        <f>IF($A464="","",IF($E464=1,_xlfn.SUMIFS(Comptabilité!$F$1:$F$1446,Comptabilité!$A$1:$A$1446,$A464,Comptabilité!$B$1:$B$1446,$B464,Comptabilité!$C$1:$C$1446,"2026"),0))</f>
        <v>0</v>
      </c>
      <c r="G464">
        <f>IF($A464="","",IF($D464="V01",Cadrage!$C$23,IF($D464="V02",Cadrage!$D$23,Cadrage!$E$23)))</f>
        <v>-0.05</v>
      </c>
      <c r="H464">
        <f>IF($A464="","",IF($D464="V01",Cadrage!$C$24,IF($D464="V02",Cadrage!$D$24,Cadrage!$E$24)))</f>
        <v>-0.05</v>
      </c>
      <c r="I464">
        <f>IF($A464="","",IF($D464="V01",Cadrage!$C$34,IF($D464="V02",Cadrage!$D$34,Cadrage!$E$34)))</f>
        <v>0.03</v>
      </c>
      <c r="J464">
        <f>IF($A464="","",IF($D464="V01",Cadrage!$C$35,IF($D464="V02",Cadrage!$D$35,Cadrage!$E$35)))</f>
        <v>0.03</v>
      </c>
      <c r="K464">
        <f>IF($A464="","",IF($D464="V01",Cadrage!$C$36,IF($D464="V02",Cadrage!$D$36,Cadrage!$E$36)))</f>
        <v>0.05</v>
      </c>
      <c r="L464">
        <f>IF($A464="","",IF($D464="V01",Cadrage!$C$37,IF($D464="V02",Cadrage!$D$37,Cadrage!$E$37)))</f>
        <v>0</v>
      </c>
      <c r="M464">
        <f>IF($A464="","",IF($D464="V01",Cadrage!$C$38,IF($D464="V02",Cadrage!$D$38,Cadrage!$E$38)))</f>
        <v>0.04</v>
      </c>
      <c r="N464">
        <f t="shared" si="1"/>
        <v>0.980622079131853</v>
      </c>
      <c r="O464">
        <f t="shared" si="2"/>
        <v>1.0712</v>
      </c>
      <c r="P464">
        <f>IF($A464="","",IF($E464=1,$F464*$O464,PNL!G464))</f>
        <v>20140.9</v>
      </c>
      <c r="T464">
        <f t="shared" si="3"/>
        <v>0</v>
      </c>
    </row>
    <row r="465" ht="14.25" customHeight="1">
      <c r="A465" t="str">
        <f>IF(PNL!A465="","",PNL!A465)</f>
        <v>PIGIER_BOR</v>
      </c>
      <c r="B465" t="str">
        <f>IF(PNL!B465="","",PNL!B465)</f>
        <v>615</v>
      </c>
      <c r="C465" t="str">
        <f>IF(PNL!C465="","",PNL!C465)</f>
        <v>2025</v>
      </c>
      <c r="D465" t="str">
        <f>IF(PNL!D465="","",PNL!D465)</f>
        <v>ACT</v>
      </c>
      <c r="E465">
        <f t="shared" si="0"/>
        <v>0</v>
      </c>
      <c r="F465">
        <f>IF($A465="","",IF($E465=1,_xlfn.SUMIFS(Comptabilité!$F$1:$F$1446,Comptabilité!$A$1:$A$1446,$A465,Comptabilité!$B$1:$B$1446,$B465,Comptabilité!$C$1:$C$1446,"2026"),0))</f>
        <v>0</v>
      </c>
      <c r="G465">
        <f>IF($A465="","",IF($D465="V01",Cadrage!$C$23,IF($D465="V02",Cadrage!$D$23,Cadrage!$E$23)))</f>
        <v>-0.05</v>
      </c>
      <c r="H465">
        <f>IF($A465="","",IF($D465="V01",Cadrage!$C$24,IF($D465="V02",Cadrage!$D$24,Cadrage!$E$24)))</f>
        <v>-0.05</v>
      </c>
      <c r="I465">
        <f>IF($A465="","",IF($D465="V01",Cadrage!$C$34,IF($D465="V02",Cadrage!$D$34,Cadrage!$E$34)))</f>
        <v>0.03</v>
      </c>
      <c r="J465">
        <f>IF($A465="","",IF($D465="V01",Cadrage!$C$35,IF($D465="V02",Cadrage!$D$35,Cadrage!$E$35)))</f>
        <v>0.03</v>
      </c>
      <c r="K465">
        <f>IF($A465="","",IF($D465="V01",Cadrage!$C$36,IF($D465="V02",Cadrage!$D$36,Cadrage!$E$36)))</f>
        <v>0.05</v>
      </c>
      <c r="L465">
        <f>IF($A465="","",IF($D465="V01",Cadrage!$C$37,IF($D465="V02",Cadrage!$D$37,Cadrage!$E$37)))</f>
        <v>0</v>
      </c>
      <c r="M465">
        <f>IF($A465="","",IF($D465="V01",Cadrage!$C$38,IF($D465="V02",Cadrage!$D$38,Cadrage!$E$38)))</f>
        <v>0.04</v>
      </c>
      <c r="N465">
        <f t="shared" si="1"/>
        <v>0.980622079131853</v>
      </c>
      <c r="O465">
        <f t="shared" si="2"/>
        <v>1.0712</v>
      </c>
      <c r="P465">
        <f>IF($A465="","",IF($E465=1,$F465*$O465,PNL!G465))</f>
        <v>15451.74</v>
      </c>
      <c r="T465">
        <f t="shared" si="3"/>
        <v>0</v>
      </c>
    </row>
    <row r="466" ht="14.25" customHeight="1">
      <c r="A466" t="str">
        <f>IF(PNL!A466="","",PNL!A466)</f>
        <v>TUNON_PAR</v>
      </c>
      <c r="B466" t="str">
        <f>IF(PNL!B466="","",PNL!B466)</f>
        <v>615</v>
      </c>
      <c r="C466" t="str">
        <f>IF(PNL!C466="","",PNL!C466)</f>
        <v>2025</v>
      </c>
      <c r="D466" t="str">
        <f>IF(PNL!D466="","",PNL!D466)</f>
        <v>ACT</v>
      </c>
      <c r="E466">
        <f t="shared" si="0"/>
        <v>0</v>
      </c>
      <c r="F466">
        <f>IF($A466="","",IF($E466=1,_xlfn.SUMIFS(Comptabilité!$F$1:$F$1446,Comptabilité!$A$1:$A$1446,$A466,Comptabilité!$B$1:$B$1446,$B466,Comptabilité!$C$1:$C$1446,"2026"),0))</f>
        <v>0</v>
      </c>
      <c r="G466">
        <f>IF($A466="","",IF($D466="V01",Cadrage!$C$23,IF($D466="V02",Cadrage!$D$23,Cadrage!$E$23)))</f>
        <v>-0.05</v>
      </c>
      <c r="H466">
        <f>IF($A466="","",IF($D466="V01",Cadrage!$C$24,IF($D466="V02",Cadrage!$D$24,Cadrage!$E$24)))</f>
        <v>-0.05</v>
      </c>
      <c r="I466">
        <f>IF($A466="","",IF($D466="V01",Cadrage!$C$34,IF($D466="V02",Cadrage!$D$34,Cadrage!$E$34)))</f>
        <v>0.03</v>
      </c>
      <c r="J466">
        <f>IF($A466="","",IF($D466="V01",Cadrage!$C$35,IF($D466="V02",Cadrage!$D$35,Cadrage!$E$35)))</f>
        <v>0.03</v>
      </c>
      <c r="K466">
        <f>IF($A466="","",IF($D466="V01",Cadrage!$C$36,IF($D466="V02",Cadrage!$D$36,Cadrage!$E$36)))</f>
        <v>0.05</v>
      </c>
      <c r="L466">
        <f>IF($A466="","",IF($D466="V01",Cadrage!$C$37,IF($D466="V02",Cadrage!$D$37,Cadrage!$E$37)))</f>
        <v>0</v>
      </c>
      <c r="M466">
        <f>IF($A466="","",IF($D466="V01",Cadrage!$C$38,IF($D466="V02",Cadrage!$D$38,Cadrage!$E$38)))</f>
        <v>0.04</v>
      </c>
      <c r="N466">
        <f t="shared" si="1"/>
        <v>0.980622079131853</v>
      </c>
      <c r="O466">
        <f t="shared" si="2"/>
        <v>1.0712</v>
      </c>
      <c r="P466">
        <f>IF($A466="","",IF($E466=1,$F466*$O466,PNL!G466))</f>
        <v>18094.05</v>
      </c>
      <c r="T466">
        <f t="shared" si="3"/>
        <v>0</v>
      </c>
    </row>
    <row r="467" ht="14.25" customHeight="1">
      <c r="A467" t="str">
        <f>IF(PNL!A467="","",PNL!A467)</f>
        <v>TUNON_LYO</v>
      </c>
      <c r="B467" t="str">
        <f>IF(PNL!B467="","",PNL!B467)</f>
        <v>615</v>
      </c>
      <c r="C467" t="str">
        <f>IF(PNL!C467="","",PNL!C467)</f>
        <v>2025</v>
      </c>
      <c r="D467" t="str">
        <f>IF(PNL!D467="","",PNL!D467)</f>
        <v>ACT</v>
      </c>
      <c r="E467">
        <f t="shared" si="0"/>
        <v>0</v>
      </c>
      <c r="F467">
        <f>IF($A467="","",IF($E467=1,_xlfn.SUMIFS(Comptabilité!$F$1:$F$1446,Comptabilité!$A$1:$A$1446,$A467,Comptabilité!$B$1:$B$1446,$B467,Comptabilité!$C$1:$C$1446,"2026"),0))</f>
        <v>0</v>
      </c>
      <c r="G467">
        <f>IF($A467="","",IF($D467="V01",Cadrage!$C$23,IF($D467="V02",Cadrage!$D$23,Cadrage!$E$23)))</f>
        <v>-0.05</v>
      </c>
      <c r="H467">
        <f>IF($A467="","",IF($D467="V01",Cadrage!$C$24,IF($D467="V02",Cadrage!$D$24,Cadrage!$E$24)))</f>
        <v>-0.05</v>
      </c>
      <c r="I467">
        <f>IF($A467="","",IF($D467="V01",Cadrage!$C$34,IF($D467="V02",Cadrage!$D$34,Cadrage!$E$34)))</f>
        <v>0.03</v>
      </c>
      <c r="J467">
        <f>IF($A467="","",IF($D467="V01",Cadrage!$C$35,IF($D467="V02",Cadrage!$D$35,Cadrage!$E$35)))</f>
        <v>0.03</v>
      </c>
      <c r="K467">
        <f>IF($A467="","",IF($D467="V01",Cadrage!$C$36,IF($D467="V02",Cadrage!$D$36,Cadrage!$E$36)))</f>
        <v>0.05</v>
      </c>
      <c r="L467">
        <f>IF($A467="","",IF($D467="V01",Cadrage!$C$37,IF($D467="V02",Cadrage!$D$37,Cadrage!$E$37)))</f>
        <v>0</v>
      </c>
      <c r="M467">
        <f>IF($A467="","",IF($D467="V01",Cadrage!$C$38,IF($D467="V02",Cadrage!$D$38,Cadrage!$E$38)))</f>
        <v>0.04</v>
      </c>
      <c r="N467">
        <f t="shared" si="1"/>
        <v>0.980622079131853</v>
      </c>
      <c r="O467">
        <f t="shared" si="2"/>
        <v>1.0712</v>
      </c>
      <c r="P467">
        <f>IF($A467="","",IF($E467=1,$F467*$O467,PNL!G467))</f>
        <v>15323.83</v>
      </c>
      <c r="T467">
        <f t="shared" si="3"/>
        <v>0</v>
      </c>
    </row>
    <row r="468" ht="14.25" customHeight="1">
      <c r="A468" t="str">
        <f>IF(PNL!A468="","",PNL!A468)</f>
        <v>MBWAY_PAR</v>
      </c>
      <c r="B468" t="str">
        <f>IF(PNL!B468="","",PNL!B468)</f>
        <v>615</v>
      </c>
      <c r="C468" t="str">
        <f>IF(PNL!C468="","",PNL!C468)</f>
        <v>2026</v>
      </c>
      <c r="D468" t="str">
        <f>IF(PNL!D468="","",PNL!D468)</f>
        <v>ACT</v>
      </c>
      <c r="E468">
        <f t="shared" si="0"/>
        <v>0</v>
      </c>
      <c r="F468">
        <f>IF($A468="","",IF($E468=1,_xlfn.SUMIFS(Comptabilité!$F$1:$F$1446,Comptabilité!$A$1:$A$1446,$A468,Comptabilité!$B$1:$B$1446,$B468,Comptabilité!$C$1:$C$1446,"2026"),0))</f>
        <v>0</v>
      </c>
      <c r="G468">
        <f>IF($A468="","",IF($D468="V01",Cadrage!$C$23,IF($D468="V02",Cadrage!$D$23,Cadrage!$E$23)))</f>
        <v>-0.05</v>
      </c>
      <c r="H468">
        <f>IF($A468="","",IF($D468="V01",Cadrage!$C$24,IF($D468="V02",Cadrage!$D$24,Cadrage!$E$24)))</f>
        <v>-0.05</v>
      </c>
      <c r="I468">
        <f>IF($A468="","",IF($D468="V01",Cadrage!$C$34,IF($D468="V02",Cadrage!$D$34,Cadrage!$E$34)))</f>
        <v>0.03</v>
      </c>
      <c r="J468">
        <f>IF($A468="","",IF($D468="V01",Cadrage!$C$35,IF($D468="V02",Cadrage!$D$35,Cadrage!$E$35)))</f>
        <v>0.03</v>
      </c>
      <c r="K468">
        <f>IF($A468="","",IF($D468="V01",Cadrage!$C$36,IF($D468="V02",Cadrage!$D$36,Cadrage!$E$36)))</f>
        <v>0.05</v>
      </c>
      <c r="L468">
        <f>IF($A468="","",IF($D468="V01",Cadrage!$C$37,IF($D468="V02",Cadrage!$D$37,Cadrage!$E$37)))</f>
        <v>0</v>
      </c>
      <c r="M468">
        <f>IF($A468="","",IF($D468="V01",Cadrage!$C$38,IF($D468="V02",Cadrage!$D$38,Cadrage!$E$38)))</f>
        <v>0.04</v>
      </c>
      <c r="N468">
        <f t="shared" si="1"/>
        <v>0.980622079131853</v>
      </c>
      <c r="O468">
        <f t="shared" si="2"/>
        <v>1.0712</v>
      </c>
      <c r="P468">
        <f>IF($A468="","",IF($E468=1,$F468*$O468,PNL!G468))</f>
        <v>44299.53</v>
      </c>
      <c r="T468">
        <f t="shared" si="3"/>
        <v>0</v>
      </c>
    </row>
    <row r="469" ht="14.25" customHeight="1">
      <c r="A469" t="str">
        <f>IF(PNL!A469="","",PNL!A469)</f>
        <v>MBWAY_LYO</v>
      </c>
      <c r="B469" t="str">
        <f>IF(PNL!B469="","",PNL!B469)</f>
        <v>615</v>
      </c>
      <c r="C469" t="str">
        <f>IF(PNL!C469="","",PNL!C469)</f>
        <v>2026</v>
      </c>
      <c r="D469" t="str">
        <f>IF(PNL!D469="","",PNL!D469)</f>
        <v>ACT</v>
      </c>
      <c r="E469">
        <f t="shared" si="0"/>
        <v>0</v>
      </c>
      <c r="F469">
        <f>IF($A469="","",IF($E469=1,_xlfn.SUMIFS(Comptabilité!$F$1:$F$1446,Comptabilité!$A$1:$A$1446,$A469,Comptabilité!$B$1:$B$1446,$B469,Comptabilité!$C$1:$C$1446,"2026"),0))</f>
        <v>0</v>
      </c>
      <c r="G469">
        <f>IF($A469="","",IF($D469="V01",Cadrage!$C$23,IF($D469="V02",Cadrage!$D$23,Cadrage!$E$23)))</f>
        <v>-0.05</v>
      </c>
      <c r="H469">
        <f>IF($A469="","",IF($D469="V01",Cadrage!$C$24,IF($D469="V02",Cadrage!$D$24,Cadrage!$E$24)))</f>
        <v>-0.05</v>
      </c>
      <c r="I469">
        <f>IF($A469="","",IF($D469="V01",Cadrage!$C$34,IF($D469="V02",Cadrage!$D$34,Cadrage!$E$34)))</f>
        <v>0.03</v>
      </c>
      <c r="J469">
        <f>IF($A469="","",IF($D469="V01",Cadrage!$C$35,IF($D469="V02",Cadrage!$D$35,Cadrage!$E$35)))</f>
        <v>0.03</v>
      </c>
      <c r="K469">
        <f>IF($A469="","",IF($D469="V01",Cadrage!$C$36,IF($D469="V02",Cadrage!$D$36,Cadrage!$E$36)))</f>
        <v>0.05</v>
      </c>
      <c r="L469">
        <f>IF($A469="","",IF($D469="V01",Cadrage!$C$37,IF($D469="V02",Cadrage!$D$37,Cadrage!$E$37)))</f>
        <v>0</v>
      </c>
      <c r="M469">
        <f>IF($A469="","",IF($D469="V01",Cadrage!$C$38,IF($D469="V02",Cadrage!$D$38,Cadrage!$E$38)))</f>
        <v>0.04</v>
      </c>
      <c r="N469">
        <f t="shared" si="1"/>
        <v>0.980622079131853</v>
      </c>
      <c r="O469">
        <f t="shared" si="2"/>
        <v>1.0712</v>
      </c>
      <c r="P469">
        <f>IF($A469="","",IF($E469=1,$F469*$O469,PNL!G469))</f>
        <v>35310.97</v>
      </c>
      <c r="T469">
        <f t="shared" si="3"/>
        <v>0</v>
      </c>
    </row>
    <row r="470" ht="14.25" customHeight="1">
      <c r="A470" t="str">
        <f>IF(PNL!A470="","",PNL!A470)</f>
        <v>MBWAY_NAN</v>
      </c>
      <c r="B470" t="str">
        <f>IF(PNL!B470="","",PNL!B470)</f>
        <v>615</v>
      </c>
      <c r="C470" t="str">
        <f>IF(PNL!C470="","",PNL!C470)</f>
        <v>2026</v>
      </c>
      <c r="D470" t="str">
        <f>IF(PNL!D470="","",PNL!D470)</f>
        <v>ACT</v>
      </c>
      <c r="E470">
        <f t="shared" si="0"/>
        <v>0</v>
      </c>
      <c r="F470">
        <f>IF($A470="","",IF($E470=1,_xlfn.SUMIFS(Comptabilité!$F$1:$F$1446,Comptabilité!$A$1:$A$1446,$A470,Comptabilité!$B$1:$B$1446,$B470,Comptabilité!$C$1:$C$1446,"2026"),0))</f>
        <v>0</v>
      </c>
      <c r="G470">
        <f>IF($A470="","",IF($D470="V01",Cadrage!$C$23,IF($D470="V02",Cadrage!$D$23,Cadrage!$E$23)))</f>
        <v>-0.05</v>
      </c>
      <c r="H470">
        <f>IF($A470="","",IF($D470="V01",Cadrage!$C$24,IF($D470="V02",Cadrage!$D$24,Cadrage!$E$24)))</f>
        <v>-0.05</v>
      </c>
      <c r="I470">
        <f>IF($A470="","",IF($D470="V01",Cadrage!$C$34,IF($D470="V02",Cadrage!$D$34,Cadrage!$E$34)))</f>
        <v>0.03</v>
      </c>
      <c r="J470">
        <f>IF($A470="","",IF($D470="V01",Cadrage!$C$35,IF($D470="V02",Cadrage!$D$35,Cadrage!$E$35)))</f>
        <v>0.03</v>
      </c>
      <c r="K470">
        <f>IF($A470="","",IF($D470="V01",Cadrage!$C$36,IF($D470="V02",Cadrage!$D$36,Cadrage!$E$36)))</f>
        <v>0.05</v>
      </c>
      <c r="L470">
        <f>IF($A470="","",IF($D470="V01",Cadrage!$C$37,IF($D470="V02",Cadrage!$D$37,Cadrage!$E$37)))</f>
        <v>0</v>
      </c>
      <c r="M470">
        <f>IF($A470="","",IF($D470="V01",Cadrage!$C$38,IF($D470="V02",Cadrage!$D$38,Cadrage!$E$38)))</f>
        <v>0.04</v>
      </c>
      <c r="N470">
        <f t="shared" si="1"/>
        <v>0.980622079131853</v>
      </c>
      <c r="O470">
        <f t="shared" si="2"/>
        <v>1.0712</v>
      </c>
      <c r="P470">
        <f>IF($A470="","",IF($E470=1,$F470*$O470,PNL!G470))</f>
        <v>30374.7</v>
      </c>
      <c r="T470">
        <f t="shared" si="3"/>
        <v>0</v>
      </c>
    </row>
    <row r="471" ht="14.25" customHeight="1">
      <c r="A471" t="str">
        <f>IF(PNL!A471="","",PNL!A471)</f>
        <v>MBWAY_BOR</v>
      </c>
      <c r="B471" t="str">
        <f>IF(PNL!B471="","",PNL!B471)</f>
        <v>615</v>
      </c>
      <c r="C471" t="str">
        <f>IF(PNL!C471="","",PNL!C471)</f>
        <v>2026</v>
      </c>
      <c r="D471" t="str">
        <f>IF(PNL!D471="","",PNL!D471)</f>
        <v>ACT</v>
      </c>
      <c r="E471">
        <f t="shared" si="0"/>
        <v>0</v>
      </c>
      <c r="F471">
        <f>IF($A471="","",IF($E471=1,_xlfn.SUMIFS(Comptabilité!$F$1:$F$1446,Comptabilité!$A$1:$A$1446,$A471,Comptabilité!$B$1:$B$1446,$B471,Comptabilité!$C$1:$C$1446,"2026"),0))</f>
        <v>0</v>
      </c>
      <c r="G471">
        <f>IF($A471="","",IF($D471="V01",Cadrage!$C$23,IF($D471="V02",Cadrage!$D$23,Cadrage!$E$23)))</f>
        <v>-0.05</v>
      </c>
      <c r="H471">
        <f>IF($A471="","",IF($D471="V01",Cadrage!$C$24,IF($D471="V02",Cadrage!$D$24,Cadrage!$E$24)))</f>
        <v>-0.05</v>
      </c>
      <c r="I471">
        <f>IF($A471="","",IF($D471="V01",Cadrage!$C$34,IF($D471="V02",Cadrage!$D$34,Cadrage!$E$34)))</f>
        <v>0.03</v>
      </c>
      <c r="J471">
        <f>IF($A471="","",IF($D471="V01",Cadrage!$C$35,IF($D471="V02",Cadrage!$D$35,Cadrage!$E$35)))</f>
        <v>0.03</v>
      </c>
      <c r="K471">
        <f>IF($A471="","",IF($D471="V01",Cadrage!$C$36,IF($D471="V02",Cadrage!$D$36,Cadrage!$E$36)))</f>
        <v>0.05</v>
      </c>
      <c r="L471">
        <f>IF($A471="","",IF($D471="V01",Cadrage!$C$37,IF($D471="V02",Cadrage!$D$37,Cadrage!$E$37)))</f>
        <v>0</v>
      </c>
      <c r="M471">
        <f>IF($A471="","",IF($D471="V01",Cadrage!$C$38,IF($D471="V02",Cadrage!$D$38,Cadrage!$E$38)))</f>
        <v>0.04</v>
      </c>
      <c r="N471">
        <f t="shared" si="1"/>
        <v>0.980622079131853</v>
      </c>
      <c r="O471">
        <f t="shared" si="2"/>
        <v>1.0712</v>
      </c>
      <c r="P471">
        <f>IF($A471="","",IF($E471=1,$F471*$O471,PNL!G471))</f>
        <v>24735.47</v>
      </c>
      <c r="T471">
        <f t="shared" si="3"/>
        <v>0</v>
      </c>
    </row>
    <row r="472" ht="14.25" customHeight="1">
      <c r="A472" t="str">
        <f>IF(PNL!A472="","",PNL!A472)</f>
        <v>ISCOM_PAR</v>
      </c>
      <c r="B472" t="str">
        <f>IF(PNL!B472="","",PNL!B472)</f>
        <v>615</v>
      </c>
      <c r="C472" t="str">
        <f>IF(PNL!C472="","",PNL!C472)</f>
        <v>2026</v>
      </c>
      <c r="D472" t="str">
        <f>IF(PNL!D472="","",PNL!D472)</f>
        <v>ACT</v>
      </c>
      <c r="E472">
        <f t="shared" si="0"/>
        <v>0</v>
      </c>
      <c r="F472">
        <f>IF($A472="","",IF($E472=1,_xlfn.SUMIFS(Comptabilité!$F$1:$F$1446,Comptabilité!$A$1:$A$1446,$A472,Comptabilité!$B$1:$B$1446,$B472,Comptabilité!$C$1:$C$1446,"2026"),0))</f>
        <v>0</v>
      </c>
      <c r="G472">
        <f>IF($A472="","",IF($D472="V01",Cadrage!$C$23,IF($D472="V02",Cadrage!$D$23,Cadrage!$E$23)))</f>
        <v>-0.05</v>
      </c>
      <c r="H472">
        <f>IF($A472="","",IF($D472="V01",Cadrage!$C$24,IF($D472="V02",Cadrage!$D$24,Cadrage!$E$24)))</f>
        <v>-0.05</v>
      </c>
      <c r="I472">
        <f>IF($A472="","",IF($D472="V01",Cadrage!$C$34,IF($D472="V02",Cadrage!$D$34,Cadrage!$E$34)))</f>
        <v>0.03</v>
      </c>
      <c r="J472">
        <f>IF($A472="","",IF($D472="V01",Cadrage!$C$35,IF($D472="V02",Cadrage!$D$35,Cadrage!$E$35)))</f>
        <v>0.03</v>
      </c>
      <c r="K472">
        <f>IF($A472="","",IF($D472="V01",Cadrage!$C$36,IF($D472="V02",Cadrage!$D$36,Cadrage!$E$36)))</f>
        <v>0.05</v>
      </c>
      <c r="L472">
        <f>IF($A472="","",IF($D472="V01",Cadrage!$C$37,IF($D472="V02",Cadrage!$D$37,Cadrage!$E$37)))</f>
        <v>0</v>
      </c>
      <c r="M472">
        <f>IF($A472="","",IF($D472="V01",Cadrage!$C$38,IF($D472="V02",Cadrage!$D$38,Cadrage!$E$38)))</f>
        <v>0.04</v>
      </c>
      <c r="N472">
        <f t="shared" si="1"/>
        <v>0.980622079131853</v>
      </c>
      <c r="O472">
        <f t="shared" si="2"/>
        <v>1.0712</v>
      </c>
      <c r="P472">
        <f>IF($A472="","",IF($E472=1,$F472*$O472,PNL!G472))</f>
        <v>43063.14</v>
      </c>
      <c r="T472">
        <f t="shared" si="3"/>
        <v>0</v>
      </c>
    </row>
    <row r="473" ht="14.25" customHeight="1">
      <c r="A473" t="str">
        <f>IF(PNL!A473="","",PNL!A473)</f>
        <v>ISCOM_LIL</v>
      </c>
      <c r="B473" t="str">
        <f>IF(PNL!B473="","",PNL!B473)</f>
        <v>615</v>
      </c>
      <c r="C473" t="str">
        <f>IF(PNL!C473="","",PNL!C473)</f>
        <v>2026</v>
      </c>
      <c r="D473" t="str">
        <f>IF(PNL!D473="","",PNL!D473)</f>
        <v>ACT</v>
      </c>
      <c r="E473">
        <f t="shared" si="0"/>
        <v>0</v>
      </c>
      <c r="F473">
        <f>IF($A473="","",IF($E473=1,_xlfn.SUMIFS(Comptabilité!$F$1:$F$1446,Comptabilité!$A$1:$A$1446,$A473,Comptabilité!$B$1:$B$1446,$B473,Comptabilité!$C$1:$C$1446,"2026"),0))</f>
        <v>0</v>
      </c>
      <c r="G473">
        <f>IF($A473="","",IF($D473="V01",Cadrage!$C$23,IF($D473="V02",Cadrage!$D$23,Cadrage!$E$23)))</f>
        <v>-0.05</v>
      </c>
      <c r="H473">
        <f>IF($A473="","",IF($D473="V01",Cadrage!$C$24,IF($D473="V02",Cadrage!$D$24,Cadrage!$E$24)))</f>
        <v>-0.05</v>
      </c>
      <c r="I473">
        <f>IF($A473="","",IF($D473="V01",Cadrage!$C$34,IF($D473="V02",Cadrage!$D$34,Cadrage!$E$34)))</f>
        <v>0.03</v>
      </c>
      <c r="J473">
        <f>IF($A473="","",IF($D473="V01",Cadrage!$C$35,IF($D473="V02",Cadrage!$D$35,Cadrage!$E$35)))</f>
        <v>0.03</v>
      </c>
      <c r="K473">
        <f>IF($A473="","",IF($D473="V01",Cadrage!$C$36,IF($D473="V02",Cadrage!$D$36,Cadrage!$E$36)))</f>
        <v>0.05</v>
      </c>
      <c r="L473">
        <f>IF($A473="","",IF($D473="V01",Cadrage!$C$37,IF($D473="V02",Cadrage!$D$37,Cadrage!$E$37)))</f>
        <v>0</v>
      </c>
      <c r="M473">
        <f>IF($A473="","",IF($D473="V01",Cadrage!$C$38,IF($D473="V02",Cadrage!$D$38,Cadrage!$E$38)))</f>
        <v>0.04</v>
      </c>
      <c r="N473">
        <f t="shared" si="1"/>
        <v>0.980622079131853</v>
      </c>
      <c r="O473">
        <f t="shared" si="2"/>
        <v>1.0712</v>
      </c>
      <c r="P473">
        <f>IF($A473="","",IF($E473=1,$F473*$O473,PNL!G473))</f>
        <v>25117.43</v>
      </c>
      <c r="T473">
        <f t="shared" si="3"/>
        <v>0</v>
      </c>
    </row>
    <row r="474" ht="14.25" customHeight="1">
      <c r="A474" t="str">
        <f>IF(PNL!A474="","",PNL!A474)</f>
        <v>ISCOM_TLS</v>
      </c>
      <c r="B474" t="str">
        <f>IF(PNL!B474="","",PNL!B474)</f>
        <v>615</v>
      </c>
      <c r="C474" t="str">
        <f>IF(PNL!C474="","",PNL!C474)</f>
        <v>2026</v>
      </c>
      <c r="D474" t="str">
        <f>IF(PNL!D474="","",PNL!D474)</f>
        <v>ACT</v>
      </c>
      <c r="E474">
        <f t="shared" si="0"/>
        <v>0</v>
      </c>
      <c r="F474">
        <f>IF($A474="","",IF($E474=1,_xlfn.SUMIFS(Comptabilité!$F$1:$F$1446,Comptabilité!$A$1:$A$1446,$A474,Comptabilité!$B$1:$B$1446,$B474,Comptabilité!$C$1:$C$1446,"2026"),0))</f>
        <v>0</v>
      </c>
      <c r="G474">
        <f>IF($A474="","",IF($D474="V01",Cadrage!$C$23,IF($D474="V02",Cadrage!$D$23,Cadrage!$E$23)))</f>
        <v>-0.05</v>
      </c>
      <c r="H474">
        <f>IF($A474="","",IF($D474="V01",Cadrage!$C$24,IF($D474="V02",Cadrage!$D$24,Cadrage!$E$24)))</f>
        <v>-0.05</v>
      </c>
      <c r="I474">
        <f>IF($A474="","",IF($D474="V01",Cadrage!$C$34,IF($D474="V02",Cadrage!$D$34,Cadrage!$E$34)))</f>
        <v>0.03</v>
      </c>
      <c r="J474">
        <f>IF($A474="","",IF($D474="V01",Cadrage!$C$35,IF($D474="V02",Cadrage!$D$35,Cadrage!$E$35)))</f>
        <v>0.03</v>
      </c>
      <c r="K474">
        <f>IF($A474="","",IF($D474="V01",Cadrage!$C$36,IF($D474="V02",Cadrage!$D$36,Cadrage!$E$36)))</f>
        <v>0.05</v>
      </c>
      <c r="L474">
        <f>IF($A474="","",IF($D474="V01",Cadrage!$C$37,IF($D474="V02",Cadrage!$D$37,Cadrage!$E$37)))</f>
        <v>0</v>
      </c>
      <c r="M474">
        <f>IF($A474="","",IF($D474="V01",Cadrage!$C$38,IF($D474="V02",Cadrage!$D$38,Cadrage!$E$38)))</f>
        <v>0.04</v>
      </c>
      <c r="N474">
        <f t="shared" si="1"/>
        <v>0.980622079131853</v>
      </c>
      <c r="O474">
        <f t="shared" si="2"/>
        <v>1.0712</v>
      </c>
      <c r="P474">
        <f>IF($A474="","",IF($E474=1,$F474*$O474,PNL!G474))</f>
        <v>23619.34</v>
      </c>
      <c r="T474">
        <f t="shared" si="3"/>
        <v>0</v>
      </c>
    </row>
    <row r="475" ht="14.25" customHeight="1">
      <c r="A475" t="str">
        <f>IF(PNL!A475="","",PNL!A475)</f>
        <v>IPAC_NAN</v>
      </c>
      <c r="B475" t="str">
        <f>IF(PNL!B475="","",PNL!B475)</f>
        <v>615</v>
      </c>
      <c r="C475" t="str">
        <f>IF(PNL!C475="","",PNL!C475)</f>
        <v>2026</v>
      </c>
      <c r="D475" t="str">
        <f>IF(PNL!D475="","",PNL!D475)</f>
        <v>ACT</v>
      </c>
      <c r="E475">
        <f t="shared" si="0"/>
        <v>0</v>
      </c>
      <c r="F475">
        <f>IF($A475="","",IF($E475=1,_xlfn.SUMIFS(Comptabilité!$F$1:$F$1446,Comptabilité!$A$1:$A$1446,$A475,Comptabilité!$B$1:$B$1446,$B475,Comptabilité!$C$1:$C$1446,"2026"),0))</f>
        <v>0</v>
      </c>
      <c r="G475">
        <f>IF($A475="","",IF($D475="V01",Cadrage!$C$23,IF($D475="V02",Cadrage!$D$23,Cadrage!$E$23)))</f>
        <v>-0.05</v>
      </c>
      <c r="H475">
        <f>IF($A475="","",IF($D475="V01",Cadrage!$C$24,IF($D475="V02",Cadrage!$D$24,Cadrage!$E$24)))</f>
        <v>-0.05</v>
      </c>
      <c r="I475">
        <f>IF($A475="","",IF($D475="V01",Cadrage!$C$34,IF($D475="V02",Cadrage!$D$34,Cadrage!$E$34)))</f>
        <v>0.03</v>
      </c>
      <c r="J475">
        <f>IF($A475="","",IF($D475="V01",Cadrage!$C$35,IF($D475="V02",Cadrage!$D$35,Cadrage!$E$35)))</f>
        <v>0.03</v>
      </c>
      <c r="K475">
        <f>IF($A475="","",IF($D475="V01",Cadrage!$C$36,IF($D475="V02",Cadrage!$D$36,Cadrage!$E$36)))</f>
        <v>0.05</v>
      </c>
      <c r="L475">
        <f>IF($A475="","",IF($D475="V01",Cadrage!$C$37,IF($D475="V02",Cadrage!$D$37,Cadrage!$E$37)))</f>
        <v>0</v>
      </c>
      <c r="M475">
        <f>IF($A475="","",IF($D475="V01",Cadrage!$C$38,IF($D475="V02",Cadrage!$D$38,Cadrage!$E$38)))</f>
        <v>0.04</v>
      </c>
      <c r="N475">
        <f t="shared" si="1"/>
        <v>0.980622079131853</v>
      </c>
      <c r="O475">
        <f t="shared" si="2"/>
        <v>1.0712</v>
      </c>
      <c r="P475">
        <f>IF($A475="","",IF($E475=1,$F475*$O475,PNL!G475))</f>
        <v>14839.36</v>
      </c>
      <c r="T475">
        <f t="shared" si="3"/>
        <v>0</v>
      </c>
    </row>
    <row r="476" ht="14.25" customHeight="1">
      <c r="A476" t="str">
        <f>IF(PNL!A476="","",PNL!A476)</f>
        <v>IPAC_REN</v>
      </c>
      <c r="B476" t="str">
        <f>IF(PNL!B476="","",PNL!B476)</f>
        <v>615</v>
      </c>
      <c r="C476" t="str">
        <f>IF(PNL!C476="","",PNL!C476)</f>
        <v>2026</v>
      </c>
      <c r="D476" t="str">
        <f>IF(PNL!D476="","",PNL!D476)</f>
        <v>ACT</v>
      </c>
      <c r="E476">
        <f t="shared" si="0"/>
        <v>0</v>
      </c>
      <c r="F476">
        <f>IF($A476="","",IF($E476=1,_xlfn.SUMIFS(Comptabilité!$F$1:$F$1446,Comptabilité!$A$1:$A$1446,$A476,Comptabilité!$B$1:$B$1446,$B476,Comptabilité!$C$1:$C$1446,"2026"),0))</f>
        <v>0</v>
      </c>
      <c r="G476">
        <f>IF($A476="","",IF($D476="V01",Cadrage!$C$23,IF($D476="V02",Cadrage!$D$23,Cadrage!$E$23)))</f>
        <v>-0.05</v>
      </c>
      <c r="H476">
        <f>IF($A476="","",IF($D476="V01",Cadrage!$C$24,IF($D476="V02",Cadrage!$D$24,Cadrage!$E$24)))</f>
        <v>-0.05</v>
      </c>
      <c r="I476">
        <f>IF($A476="","",IF($D476="V01",Cadrage!$C$34,IF($D476="V02",Cadrage!$D$34,Cadrage!$E$34)))</f>
        <v>0.03</v>
      </c>
      <c r="J476">
        <f>IF($A476="","",IF($D476="V01",Cadrage!$C$35,IF($D476="V02",Cadrage!$D$35,Cadrage!$E$35)))</f>
        <v>0.03</v>
      </c>
      <c r="K476">
        <f>IF($A476="","",IF($D476="V01",Cadrage!$C$36,IF($D476="V02",Cadrage!$D$36,Cadrage!$E$36)))</f>
        <v>0.05</v>
      </c>
      <c r="L476">
        <f>IF($A476="","",IF($D476="V01",Cadrage!$C$37,IF($D476="V02",Cadrage!$D$37,Cadrage!$E$37)))</f>
        <v>0</v>
      </c>
      <c r="M476">
        <f>IF($A476="","",IF($D476="V01",Cadrage!$C$38,IF($D476="V02",Cadrage!$D$38,Cadrage!$E$38)))</f>
        <v>0.04</v>
      </c>
      <c r="N476">
        <f t="shared" si="1"/>
        <v>0.980622079131853</v>
      </c>
      <c r="O476">
        <f t="shared" si="2"/>
        <v>1.0712</v>
      </c>
      <c r="P476">
        <f>IF($A476="","",IF($E476=1,$F476*$O476,PNL!G476))</f>
        <v>12014.85</v>
      </c>
      <c r="T476">
        <f t="shared" si="3"/>
        <v>0</v>
      </c>
    </row>
    <row r="477" ht="14.25" customHeight="1">
      <c r="A477" t="str">
        <f>IF(PNL!A477="","",PNL!A477)</f>
        <v>IPAC_MTP</v>
      </c>
      <c r="B477" t="str">
        <f>IF(PNL!B477="","",PNL!B477)</f>
        <v>615</v>
      </c>
      <c r="C477" t="str">
        <f>IF(PNL!C477="","",PNL!C477)</f>
        <v>2026</v>
      </c>
      <c r="D477" t="str">
        <f>IF(PNL!D477="","",PNL!D477)</f>
        <v>ACT</v>
      </c>
      <c r="E477">
        <f t="shared" si="0"/>
        <v>0</v>
      </c>
      <c r="F477">
        <f>IF($A477="","",IF($E477=1,_xlfn.SUMIFS(Comptabilité!$F$1:$F$1446,Comptabilité!$A$1:$A$1446,$A477,Comptabilité!$B$1:$B$1446,$B477,Comptabilité!$C$1:$C$1446,"2026"),0))</f>
        <v>0</v>
      </c>
      <c r="G477">
        <f>IF($A477="","",IF($D477="V01",Cadrage!$C$23,IF($D477="V02",Cadrage!$D$23,Cadrage!$E$23)))</f>
        <v>-0.05</v>
      </c>
      <c r="H477">
        <f>IF($A477="","",IF($D477="V01",Cadrage!$C$24,IF($D477="V02",Cadrage!$D$24,Cadrage!$E$24)))</f>
        <v>-0.05</v>
      </c>
      <c r="I477">
        <f>IF($A477="","",IF($D477="V01",Cadrage!$C$34,IF($D477="V02",Cadrage!$D$34,Cadrage!$E$34)))</f>
        <v>0.03</v>
      </c>
      <c r="J477">
        <f>IF($A477="","",IF($D477="V01",Cadrage!$C$35,IF($D477="V02",Cadrage!$D$35,Cadrage!$E$35)))</f>
        <v>0.03</v>
      </c>
      <c r="K477">
        <f>IF($A477="","",IF($D477="V01",Cadrage!$C$36,IF($D477="V02",Cadrage!$D$36,Cadrage!$E$36)))</f>
        <v>0.05</v>
      </c>
      <c r="L477">
        <f>IF($A477="","",IF($D477="V01",Cadrage!$C$37,IF($D477="V02",Cadrage!$D$37,Cadrage!$E$37)))</f>
        <v>0</v>
      </c>
      <c r="M477">
        <f>IF($A477="","",IF($D477="V01",Cadrage!$C$38,IF($D477="V02",Cadrage!$D$38,Cadrage!$E$38)))</f>
        <v>0.04</v>
      </c>
      <c r="N477">
        <f t="shared" si="1"/>
        <v>0.980622079131853</v>
      </c>
      <c r="O477">
        <f t="shared" si="2"/>
        <v>1.0712</v>
      </c>
      <c r="P477">
        <f>IF($A477="","",IF($E477=1,$F477*$O477,PNL!G477))</f>
        <v>12007.68</v>
      </c>
      <c r="T477">
        <f t="shared" si="3"/>
        <v>0</v>
      </c>
    </row>
    <row r="478" ht="14.25" customHeight="1">
      <c r="A478" t="str">
        <f>IF(PNL!A478="","",PNL!A478)</f>
        <v>PIGIER_LYO</v>
      </c>
      <c r="B478" t="str">
        <f>IF(PNL!B478="","",PNL!B478)</f>
        <v>615</v>
      </c>
      <c r="C478" t="str">
        <f>IF(PNL!C478="","",PNL!C478)</f>
        <v>2026</v>
      </c>
      <c r="D478" t="str">
        <f>IF(PNL!D478="","",PNL!D478)</f>
        <v>ACT</v>
      </c>
      <c r="E478">
        <f t="shared" si="0"/>
        <v>0</v>
      </c>
      <c r="F478">
        <f>IF($A478="","",IF($E478=1,_xlfn.SUMIFS(Comptabilité!$F$1:$F$1446,Comptabilité!$A$1:$A$1446,$A478,Comptabilité!$B$1:$B$1446,$B478,Comptabilité!$C$1:$C$1446,"2026"),0))</f>
        <v>0</v>
      </c>
      <c r="G478">
        <f>IF($A478="","",IF($D478="V01",Cadrage!$C$23,IF($D478="V02",Cadrage!$D$23,Cadrage!$E$23)))</f>
        <v>-0.05</v>
      </c>
      <c r="H478">
        <f>IF($A478="","",IF($D478="V01",Cadrage!$C$24,IF($D478="V02",Cadrage!$D$24,Cadrage!$E$24)))</f>
        <v>-0.05</v>
      </c>
      <c r="I478">
        <f>IF($A478="","",IF($D478="V01",Cadrage!$C$34,IF($D478="V02",Cadrage!$D$34,Cadrage!$E$34)))</f>
        <v>0.03</v>
      </c>
      <c r="J478">
        <f>IF($A478="","",IF($D478="V01",Cadrage!$C$35,IF($D478="V02",Cadrage!$D$35,Cadrage!$E$35)))</f>
        <v>0.03</v>
      </c>
      <c r="K478">
        <f>IF($A478="","",IF($D478="V01",Cadrage!$C$36,IF($D478="V02",Cadrage!$D$36,Cadrage!$E$36)))</f>
        <v>0.05</v>
      </c>
      <c r="L478">
        <f>IF($A478="","",IF($D478="V01",Cadrage!$C$37,IF($D478="V02",Cadrage!$D$37,Cadrage!$E$37)))</f>
        <v>0</v>
      </c>
      <c r="M478">
        <f>IF($A478="","",IF($D478="V01",Cadrage!$C$38,IF($D478="V02",Cadrage!$D$38,Cadrage!$E$38)))</f>
        <v>0.04</v>
      </c>
      <c r="N478">
        <f t="shared" si="1"/>
        <v>0.980622079131853</v>
      </c>
      <c r="O478">
        <f t="shared" si="2"/>
        <v>1.0712</v>
      </c>
      <c r="P478">
        <f>IF($A478="","",IF($E478=1,$F478*$O478,PNL!G478))</f>
        <v>21291.98</v>
      </c>
      <c r="T478">
        <f t="shared" si="3"/>
        <v>0</v>
      </c>
    </row>
    <row r="479" ht="14.25" customHeight="1">
      <c r="A479" t="str">
        <f>IF(PNL!A479="","",PNL!A479)</f>
        <v>PIGIER_BOR</v>
      </c>
      <c r="B479" t="str">
        <f>IF(PNL!B479="","",PNL!B479)</f>
        <v>615</v>
      </c>
      <c r="C479" t="str">
        <f>IF(PNL!C479="","",PNL!C479)</f>
        <v>2026</v>
      </c>
      <c r="D479" t="str">
        <f>IF(PNL!D479="","",PNL!D479)</f>
        <v>ACT</v>
      </c>
      <c r="E479">
        <f t="shared" si="0"/>
        <v>0</v>
      </c>
      <c r="F479">
        <f>IF($A479="","",IF($E479=1,_xlfn.SUMIFS(Comptabilité!$F$1:$F$1446,Comptabilité!$A$1:$A$1446,$A479,Comptabilité!$B$1:$B$1446,$B479,Comptabilité!$C$1:$C$1446,"2026"),0))</f>
        <v>0</v>
      </c>
      <c r="G479">
        <f>IF($A479="","",IF($D479="V01",Cadrage!$C$23,IF($D479="V02",Cadrage!$D$23,Cadrage!$E$23)))</f>
        <v>-0.05</v>
      </c>
      <c r="H479">
        <f>IF($A479="","",IF($D479="V01",Cadrage!$C$24,IF($D479="V02",Cadrage!$D$24,Cadrage!$E$24)))</f>
        <v>-0.05</v>
      </c>
      <c r="I479">
        <f>IF($A479="","",IF($D479="V01",Cadrage!$C$34,IF($D479="V02",Cadrage!$D$34,Cadrage!$E$34)))</f>
        <v>0.03</v>
      </c>
      <c r="J479">
        <f>IF($A479="","",IF($D479="V01",Cadrage!$C$35,IF($D479="V02",Cadrage!$D$35,Cadrage!$E$35)))</f>
        <v>0.03</v>
      </c>
      <c r="K479">
        <f>IF($A479="","",IF($D479="V01",Cadrage!$C$36,IF($D479="V02",Cadrage!$D$36,Cadrage!$E$36)))</f>
        <v>0.05</v>
      </c>
      <c r="L479">
        <f>IF($A479="","",IF($D479="V01",Cadrage!$C$37,IF($D479="V02",Cadrage!$D$37,Cadrage!$E$37)))</f>
        <v>0</v>
      </c>
      <c r="M479">
        <f>IF($A479="","",IF($D479="V01",Cadrage!$C$38,IF($D479="V02",Cadrage!$D$38,Cadrage!$E$38)))</f>
        <v>0.04</v>
      </c>
      <c r="N479">
        <f t="shared" si="1"/>
        <v>0.980622079131853</v>
      </c>
      <c r="O479">
        <f t="shared" si="2"/>
        <v>1.0712</v>
      </c>
      <c r="P479">
        <f>IF($A479="","",IF($E479=1,$F479*$O479,PNL!G479))</f>
        <v>16125.25</v>
      </c>
      <c r="T479">
        <f t="shared" si="3"/>
        <v>0</v>
      </c>
    </row>
    <row r="480" ht="14.25" customHeight="1">
      <c r="A480" t="str">
        <f>IF(PNL!A480="","",PNL!A480)</f>
        <v>TUNON_PAR</v>
      </c>
      <c r="B480" t="str">
        <f>IF(PNL!B480="","",PNL!B480)</f>
        <v>615</v>
      </c>
      <c r="C480" t="str">
        <f>IF(PNL!C480="","",PNL!C480)</f>
        <v>2026</v>
      </c>
      <c r="D480" t="str">
        <f>IF(PNL!D480="","",PNL!D480)</f>
        <v>ACT</v>
      </c>
      <c r="E480">
        <f t="shared" si="0"/>
        <v>0</v>
      </c>
      <c r="F480">
        <f>IF($A480="","",IF($E480=1,_xlfn.SUMIFS(Comptabilité!$F$1:$F$1446,Comptabilité!$A$1:$A$1446,$A480,Comptabilité!$B$1:$B$1446,$B480,Comptabilité!$C$1:$C$1446,"2026"),0))</f>
        <v>0</v>
      </c>
      <c r="G480">
        <f>IF($A480="","",IF($D480="V01",Cadrage!$C$23,IF($D480="V02",Cadrage!$D$23,Cadrage!$E$23)))</f>
        <v>-0.05</v>
      </c>
      <c r="H480">
        <f>IF($A480="","",IF($D480="V01",Cadrage!$C$24,IF($D480="V02",Cadrage!$D$24,Cadrage!$E$24)))</f>
        <v>-0.05</v>
      </c>
      <c r="I480">
        <f>IF($A480="","",IF($D480="V01",Cadrage!$C$34,IF($D480="V02",Cadrage!$D$34,Cadrage!$E$34)))</f>
        <v>0.03</v>
      </c>
      <c r="J480">
        <f>IF($A480="","",IF($D480="V01",Cadrage!$C$35,IF($D480="V02",Cadrage!$D$35,Cadrage!$E$35)))</f>
        <v>0.03</v>
      </c>
      <c r="K480">
        <f>IF($A480="","",IF($D480="V01",Cadrage!$C$36,IF($D480="V02",Cadrage!$D$36,Cadrage!$E$36)))</f>
        <v>0.05</v>
      </c>
      <c r="L480">
        <f>IF($A480="","",IF($D480="V01",Cadrage!$C$37,IF($D480="V02",Cadrage!$D$37,Cadrage!$E$37)))</f>
        <v>0</v>
      </c>
      <c r="M480">
        <f>IF($A480="","",IF($D480="V01",Cadrage!$C$38,IF($D480="V02",Cadrage!$D$38,Cadrage!$E$38)))</f>
        <v>0.04</v>
      </c>
      <c r="N480">
        <f t="shared" si="1"/>
        <v>0.980622079131853</v>
      </c>
      <c r="O480">
        <f t="shared" si="2"/>
        <v>1.0712</v>
      </c>
      <c r="P480">
        <f>IF($A480="","",IF($E480=1,$F480*$O480,PNL!G480))</f>
        <v>19708.99</v>
      </c>
      <c r="T480">
        <f t="shared" si="3"/>
        <v>0</v>
      </c>
    </row>
    <row r="481" ht="14.25" customHeight="1">
      <c r="A481" t="str">
        <f>IF(PNL!A481="","",PNL!A481)</f>
        <v>TUNON_LYO</v>
      </c>
      <c r="B481" t="str">
        <f>IF(PNL!B481="","",PNL!B481)</f>
        <v>615</v>
      </c>
      <c r="C481" t="str">
        <f>IF(PNL!C481="","",PNL!C481)</f>
        <v>2026</v>
      </c>
      <c r="D481" t="str">
        <f>IF(PNL!D481="","",PNL!D481)</f>
        <v>ACT</v>
      </c>
      <c r="E481">
        <f t="shared" si="0"/>
        <v>0</v>
      </c>
      <c r="F481">
        <f>IF($A481="","",IF($E481=1,_xlfn.SUMIFS(Comptabilité!$F$1:$F$1446,Comptabilité!$A$1:$A$1446,$A481,Comptabilité!$B$1:$B$1446,$B481,Comptabilité!$C$1:$C$1446,"2026"),0))</f>
        <v>0</v>
      </c>
      <c r="G481">
        <f>IF($A481="","",IF($D481="V01",Cadrage!$C$23,IF($D481="V02",Cadrage!$D$23,Cadrage!$E$23)))</f>
        <v>-0.05</v>
      </c>
      <c r="H481">
        <f>IF($A481="","",IF($D481="V01",Cadrage!$C$24,IF($D481="V02",Cadrage!$D$24,Cadrage!$E$24)))</f>
        <v>-0.05</v>
      </c>
      <c r="I481">
        <f>IF($A481="","",IF($D481="V01",Cadrage!$C$34,IF($D481="V02",Cadrage!$D$34,Cadrage!$E$34)))</f>
        <v>0.03</v>
      </c>
      <c r="J481">
        <f>IF($A481="","",IF($D481="V01",Cadrage!$C$35,IF($D481="V02",Cadrage!$D$35,Cadrage!$E$35)))</f>
        <v>0.03</v>
      </c>
      <c r="K481">
        <f>IF($A481="","",IF($D481="V01",Cadrage!$C$36,IF($D481="V02",Cadrage!$D$36,Cadrage!$E$36)))</f>
        <v>0.05</v>
      </c>
      <c r="L481">
        <f>IF($A481="","",IF($D481="V01",Cadrage!$C$37,IF($D481="V02",Cadrage!$D$37,Cadrage!$E$37)))</f>
        <v>0</v>
      </c>
      <c r="M481">
        <f>IF($A481="","",IF($D481="V01",Cadrage!$C$38,IF($D481="V02",Cadrage!$D$38,Cadrage!$E$38)))</f>
        <v>0.04</v>
      </c>
      <c r="N481">
        <f t="shared" si="1"/>
        <v>0.980622079131853</v>
      </c>
      <c r="O481">
        <f t="shared" si="2"/>
        <v>1.0712</v>
      </c>
      <c r="P481">
        <f>IF($A481="","",IF($E481=1,$F481*$O481,PNL!G481))</f>
        <v>16406.69</v>
      </c>
      <c r="T481">
        <f t="shared" si="3"/>
        <v>0</v>
      </c>
    </row>
    <row r="482" ht="14.25" customHeight="1">
      <c r="A482" t="str">
        <f>IF(PNL!A482="","",PNL!A482)</f>
        <v>MBWAY_PAR</v>
      </c>
      <c r="B482" t="str">
        <f>IF(PNL!B482="","",PNL!B482)</f>
        <v>616</v>
      </c>
      <c r="C482" t="str">
        <f>IF(PNL!C482="","",PNL!C482)</f>
        <v>2024</v>
      </c>
      <c r="D482" t="str">
        <f>IF(PNL!D482="","",PNL!D482)</f>
        <v>ACT</v>
      </c>
      <c r="E482">
        <f t="shared" si="0"/>
        <v>0</v>
      </c>
      <c r="F482">
        <f>IF($A482="","",IF($E482=1,_xlfn.SUMIFS(Comptabilité!$F$1:$F$1446,Comptabilité!$A$1:$A$1446,$A482,Comptabilité!$B$1:$B$1446,$B482,Comptabilité!$C$1:$C$1446,"2026"),0))</f>
        <v>0</v>
      </c>
      <c r="G482">
        <f>IF($A482="","",IF($D482="V01",Cadrage!$C$23,IF($D482="V02",Cadrage!$D$23,Cadrage!$E$23)))</f>
        <v>-0.05</v>
      </c>
      <c r="H482">
        <f>IF($A482="","",IF($D482="V01",Cadrage!$C$24,IF($D482="V02",Cadrage!$D$24,Cadrage!$E$24)))</f>
        <v>-0.05</v>
      </c>
      <c r="I482">
        <f>IF($A482="","",IF($D482="V01",Cadrage!$C$34,IF($D482="V02",Cadrage!$D$34,Cadrage!$E$34)))</f>
        <v>0.03</v>
      </c>
      <c r="J482">
        <f>IF($A482="","",IF($D482="V01",Cadrage!$C$35,IF($D482="V02",Cadrage!$D$35,Cadrage!$E$35)))</f>
        <v>0.03</v>
      </c>
      <c r="K482">
        <f>IF($A482="","",IF($D482="V01",Cadrage!$C$36,IF($D482="V02",Cadrage!$D$36,Cadrage!$E$36)))</f>
        <v>0.05</v>
      </c>
      <c r="L482">
        <f>IF($A482="","",IF($D482="V01",Cadrage!$C$37,IF($D482="V02",Cadrage!$D$37,Cadrage!$E$37)))</f>
        <v>0</v>
      </c>
      <c r="M482">
        <f>IF($A482="","",IF($D482="V01",Cadrage!$C$38,IF($D482="V02",Cadrage!$D$38,Cadrage!$E$38)))</f>
        <v>0.04</v>
      </c>
      <c r="N482">
        <f t="shared" si="1"/>
        <v>0.980622079131853</v>
      </c>
      <c r="O482">
        <f t="shared" si="2"/>
        <v>1.0712</v>
      </c>
      <c r="P482">
        <f>IF($A482="","",IF($E482=1,$F482*$O482,PNL!G482))</f>
        <v>29610.02</v>
      </c>
      <c r="T482">
        <f t="shared" si="3"/>
        <v>0</v>
      </c>
    </row>
    <row r="483" ht="14.25" customHeight="1">
      <c r="A483" t="str">
        <f>IF(PNL!A483="","",PNL!A483)</f>
        <v>MBWAY_LYO</v>
      </c>
      <c r="B483" t="str">
        <f>IF(PNL!B483="","",PNL!B483)</f>
        <v>616</v>
      </c>
      <c r="C483" t="str">
        <f>IF(PNL!C483="","",PNL!C483)</f>
        <v>2024</v>
      </c>
      <c r="D483" t="str">
        <f>IF(PNL!D483="","",PNL!D483)</f>
        <v>ACT</v>
      </c>
      <c r="E483">
        <f t="shared" si="0"/>
        <v>0</v>
      </c>
      <c r="F483">
        <f>IF($A483="","",IF($E483=1,_xlfn.SUMIFS(Comptabilité!$F$1:$F$1446,Comptabilité!$A$1:$A$1446,$A483,Comptabilité!$B$1:$B$1446,$B483,Comptabilité!$C$1:$C$1446,"2026"),0))</f>
        <v>0</v>
      </c>
      <c r="G483">
        <f>IF($A483="","",IF($D483="V01",Cadrage!$C$23,IF($D483="V02",Cadrage!$D$23,Cadrage!$E$23)))</f>
        <v>-0.05</v>
      </c>
      <c r="H483">
        <f>IF($A483="","",IF($D483="V01",Cadrage!$C$24,IF($D483="V02",Cadrage!$D$24,Cadrage!$E$24)))</f>
        <v>-0.05</v>
      </c>
      <c r="I483">
        <f>IF($A483="","",IF($D483="V01",Cadrage!$C$34,IF($D483="V02",Cadrage!$D$34,Cadrage!$E$34)))</f>
        <v>0.03</v>
      </c>
      <c r="J483">
        <f>IF($A483="","",IF($D483="V01",Cadrage!$C$35,IF($D483="V02",Cadrage!$D$35,Cadrage!$E$35)))</f>
        <v>0.03</v>
      </c>
      <c r="K483">
        <f>IF($A483="","",IF($D483="V01",Cadrage!$C$36,IF($D483="V02",Cadrage!$D$36,Cadrage!$E$36)))</f>
        <v>0.05</v>
      </c>
      <c r="L483">
        <f>IF($A483="","",IF($D483="V01",Cadrage!$C$37,IF($D483="V02",Cadrage!$D$37,Cadrage!$E$37)))</f>
        <v>0</v>
      </c>
      <c r="M483">
        <f>IF($A483="","",IF($D483="V01",Cadrage!$C$38,IF($D483="V02",Cadrage!$D$38,Cadrage!$E$38)))</f>
        <v>0.04</v>
      </c>
      <c r="N483">
        <f t="shared" si="1"/>
        <v>0.980622079131853</v>
      </c>
      <c r="O483">
        <f t="shared" si="2"/>
        <v>1.0712</v>
      </c>
      <c r="P483">
        <f>IF($A483="","",IF($E483=1,$F483*$O483,PNL!G483))</f>
        <v>23159.38</v>
      </c>
      <c r="T483">
        <f t="shared" si="3"/>
        <v>0</v>
      </c>
    </row>
    <row r="484" ht="14.25" customHeight="1">
      <c r="A484" t="str">
        <f>IF(PNL!A484="","",PNL!A484)</f>
        <v>MBWAY_NAN</v>
      </c>
      <c r="B484" t="str">
        <f>IF(PNL!B484="","",PNL!B484)</f>
        <v>616</v>
      </c>
      <c r="C484" t="str">
        <f>IF(PNL!C484="","",PNL!C484)</f>
        <v>2024</v>
      </c>
      <c r="D484" t="str">
        <f>IF(PNL!D484="","",PNL!D484)</f>
        <v>ACT</v>
      </c>
      <c r="E484">
        <f t="shared" si="0"/>
        <v>0</v>
      </c>
      <c r="F484">
        <f>IF($A484="","",IF($E484=1,_xlfn.SUMIFS(Comptabilité!$F$1:$F$1446,Comptabilité!$A$1:$A$1446,$A484,Comptabilité!$B$1:$B$1446,$B484,Comptabilité!$C$1:$C$1446,"2026"),0))</f>
        <v>0</v>
      </c>
      <c r="G484">
        <f>IF($A484="","",IF($D484="V01",Cadrage!$C$23,IF($D484="V02",Cadrage!$D$23,Cadrage!$E$23)))</f>
        <v>-0.05</v>
      </c>
      <c r="H484">
        <f>IF($A484="","",IF($D484="V01",Cadrage!$C$24,IF($D484="V02",Cadrage!$D$24,Cadrage!$E$24)))</f>
        <v>-0.05</v>
      </c>
      <c r="I484">
        <f>IF($A484="","",IF($D484="V01",Cadrage!$C$34,IF($D484="V02",Cadrage!$D$34,Cadrage!$E$34)))</f>
        <v>0.03</v>
      </c>
      <c r="J484">
        <f>IF($A484="","",IF($D484="V01",Cadrage!$C$35,IF($D484="V02",Cadrage!$D$35,Cadrage!$E$35)))</f>
        <v>0.03</v>
      </c>
      <c r="K484">
        <f>IF($A484="","",IF($D484="V01",Cadrage!$C$36,IF($D484="V02",Cadrage!$D$36,Cadrage!$E$36)))</f>
        <v>0.05</v>
      </c>
      <c r="L484">
        <f>IF($A484="","",IF($D484="V01",Cadrage!$C$37,IF($D484="V02",Cadrage!$D$37,Cadrage!$E$37)))</f>
        <v>0</v>
      </c>
      <c r="M484">
        <f>IF($A484="","",IF($D484="V01",Cadrage!$C$38,IF($D484="V02",Cadrage!$D$38,Cadrage!$E$38)))</f>
        <v>0.04</v>
      </c>
      <c r="N484">
        <f t="shared" si="1"/>
        <v>0.980622079131853</v>
      </c>
      <c r="O484">
        <f t="shared" si="2"/>
        <v>1.0712</v>
      </c>
      <c r="P484">
        <f>IF($A484="","",IF($E484=1,$F484*$O484,PNL!G484))</f>
        <v>19556.71</v>
      </c>
      <c r="T484">
        <f t="shared" si="3"/>
        <v>0</v>
      </c>
    </row>
    <row r="485" ht="14.25" customHeight="1">
      <c r="A485" t="str">
        <f>IF(PNL!A485="","",PNL!A485)</f>
        <v>MBWAY_BOR</v>
      </c>
      <c r="B485" t="str">
        <f>IF(PNL!B485="","",PNL!B485)</f>
        <v>616</v>
      </c>
      <c r="C485" t="str">
        <f>IF(PNL!C485="","",PNL!C485)</f>
        <v>2024</v>
      </c>
      <c r="D485" t="str">
        <f>IF(PNL!D485="","",PNL!D485)</f>
        <v>ACT</v>
      </c>
      <c r="E485">
        <f t="shared" si="0"/>
        <v>0</v>
      </c>
      <c r="F485">
        <f>IF($A485="","",IF($E485=1,_xlfn.SUMIFS(Comptabilité!$F$1:$F$1446,Comptabilité!$A$1:$A$1446,$A485,Comptabilité!$B$1:$B$1446,$B485,Comptabilité!$C$1:$C$1446,"2026"),0))</f>
        <v>0</v>
      </c>
      <c r="G485">
        <f>IF($A485="","",IF($D485="V01",Cadrage!$C$23,IF($D485="V02",Cadrage!$D$23,Cadrage!$E$23)))</f>
        <v>-0.05</v>
      </c>
      <c r="H485">
        <f>IF($A485="","",IF($D485="V01",Cadrage!$C$24,IF($D485="V02",Cadrage!$D$24,Cadrage!$E$24)))</f>
        <v>-0.05</v>
      </c>
      <c r="I485">
        <f>IF($A485="","",IF($D485="V01",Cadrage!$C$34,IF($D485="V02",Cadrage!$D$34,Cadrage!$E$34)))</f>
        <v>0.03</v>
      </c>
      <c r="J485">
        <f>IF($A485="","",IF($D485="V01",Cadrage!$C$35,IF($D485="V02",Cadrage!$D$35,Cadrage!$E$35)))</f>
        <v>0.03</v>
      </c>
      <c r="K485">
        <f>IF($A485="","",IF($D485="V01",Cadrage!$C$36,IF($D485="V02",Cadrage!$D$36,Cadrage!$E$36)))</f>
        <v>0.05</v>
      </c>
      <c r="L485">
        <f>IF($A485="","",IF($D485="V01",Cadrage!$C$37,IF($D485="V02",Cadrage!$D$37,Cadrage!$E$37)))</f>
        <v>0</v>
      </c>
      <c r="M485">
        <f>IF($A485="","",IF($D485="V01",Cadrage!$C$38,IF($D485="V02",Cadrage!$D$38,Cadrage!$E$38)))</f>
        <v>0.04</v>
      </c>
      <c r="N485">
        <f t="shared" si="1"/>
        <v>0.980622079131853</v>
      </c>
      <c r="O485">
        <f t="shared" si="2"/>
        <v>1.0712</v>
      </c>
      <c r="P485">
        <f>IF($A485="","",IF($E485=1,$F485*$O485,PNL!G485))</f>
        <v>16103.42</v>
      </c>
      <c r="T485">
        <f t="shared" si="3"/>
        <v>0</v>
      </c>
    </row>
    <row r="486" ht="14.25" customHeight="1">
      <c r="A486" t="str">
        <f>IF(PNL!A486="","",PNL!A486)</f>
        <v>ISCOM_PAR</v>
      </c>
      <c r="B486" t="str">
        <f>IF(PNL!B486="","",PNL!B486)</f>
        <v>616</v>
      </c>
      <c r="C486" t="str">
        <f>IF(PNL!C486="","",PNL!C486)</f>
        <v>2024</v>
      </c>
      <c r="D486" t="str">
        <f>IF(PNL!D486="","",PNL!D486)</f>
        <v>ACT</v>
      </c>
      <c r="E486">
        <f t="shared" si="0"/>
        <v>0</v>
      </c>
      <c r="F486">
        <f>IF($A486="","",IF($E486=1,_xlfn.SUMIFS(Comptabilité!$F$1:$F$1446,Comptabilité!$A$1:$A$1446,$A486,Comptabilité!$B$1:$B$1446,$B486,Comptabilité!$C$1:$C$1446,"2026"),0))</f>
        <v>0</v>
      </c>
      <c r="G486">
        <f>IF($A486="","",IF($D486="V01",Cadrage!$C$23,IF($D486="V02",Cadrage!$D$23,Cadrage!$E$23)))</f>
        <v>-0.05</v>
      </c>
      <c r="H486">
        <f>IF($A486="","",IF($D486="V01",Cadrage!$C$24,IF($D486="V02",Cadrage!$D$24,Cadrage!$E$24)))</f>
        <v>-0.05</v>
      </c>
      <c r="I486">
        <f>IF($A486="","",IF($D486="V01",Cadrage!$C$34,IF($D486="V02",Cadrage!$D$34,Cadrage!$E$34)))</f>
        <v>0.03</v>
      </c>
      <c r="J486">
        <f>IF($A486="","",IF($D486="V01",Cadrage!$C$35,IF($D486="V02",Cadrage!$D$35,Cadrage!$E$35)))</f>
        <v>0.03</v>
      </c>
      <c r="K486">
        <f>IF($A486="","",IF($D486="V01",Cadrage!$C$36,IF($D486="V02",Cadrage!$D$36,Cadrage!$E$36)))</f>
        <v>0.05</v>
      </c>
      <c r="L486">
        <f>IF($A486="","",IF($D486="V01",Cadrage!$C$37,IF($D486="V02",Cadrage!$D$37,Cadrage!$E$37)))</f>
        <v>0</v>
      </c>
      <c r="M486">
        <f>IF($A486="","",IF($D486="V01",Cadrage!$C$38,IF($D486="V02",Cadrage!$D$38,Cadrage!$E$38)))</f>
        <v>0.04</v>
      </c>
      <c r="N486">
        <f t="shared" si="1"/>
        <v>0.980622079131853</v>
      </c>
      <c r="O486">
        <f t="shared" si="2"/>
        <v>1.0712</v>
      </c>
      <c r="P486">
        <f>IF($A486="","",IF($E486=1,$F486*$O486,PNL!G486))</f>
        <v>26368.13</v>
      </c>
      <c r="T486">
        <f t="shared" si="3"/>
        <v>0</v>
      </c>
    </row>
    <row r="487" ht="14.25" customHeight="1">
      <c r="A487" t="str">
        <f>IF(PNL!A487="","",PNL!A487)</f>
        <v>ISCOM_LIL</v>
      </c>
      <c r="B487" t="str">
        <f>IF(PNL!B487="","",PNL!B487)</f>
        <v>616</v>
      </c>
      <c r="C487" t="str">
        <f>IF(PNL!C487="","",PNL!C487)</f>
        <v>2024</v>
      </c>
      <c r="D487" t="str">
        <f>IF(PNL!D487="","",PNL!D487)</f>
        <v>ACT</v>
      </c>
      <c r="E487">
        <f t="shared" si="0"/>
        <v>0</v>
      </c>
      <c r="F487">
        <f>IF($A487="","",IF($E487=1,_xlfn.SUMIFS(Comptabilité!$F$1:$F$1446,Comptabilité!$A$1:$A$1446,$A487,Comptabilité!$B$1:$B$1446,$B487,Comptabilité!$C$1:$C$1446,"2026"),0))</f>
        <v>0</v>
      </c>
      <c r="G487">
        <f>IF($A487="","",IF($D487="V01",Cadrage!$C$23,IF($D487="V02",Cadrage!$D$23,Cadrage!$E$23)))</f>
        <v>-0.05</v>
      </c>
      <c r="H487">
        <f>IF($A487="","",IF($D487="V01",Cadrage!$C$24,IF($D487="V02",Cadrage!$D$24,Cadrage!$E$24)))</f>
        <v>-0.05</v>
      </c>
      <c r="I487">
        <f>IF($A487="","",IF($D487="V01",Cadrage!$C$34,IF($D487="V02",Cadrage!$D$34,Cadrage!$E$34)))</f>
        <v>0.03</v>
      </c>
      <c r="J487">
        <f>IF($A487="","",IF($D487="V01",Cadrage!$C$35,IF($D487="V02",Cadrage!$D$35,Cadrage!$E$35)))</f>
        <v>0.03</v>
      </c>
      <c r="K487">
        <f>IF($A487="","",IF($D487="V01",Cadrage!$C$36,IF($D487="V02",Cadrage!$D$36,Cadrage!$E$36)))</f>
        <v>0.05</v>
      </c>
      <c r="L487">
        <f>IF($A487="","",IF($D487="V01",Cadrage!$C$37,IF($D487="V02",Cadrage!$D$37,Cadrage!$E$37)))</f>
        <v>0</v>
      </c>
      <c r="M487">
        <f>IF($A487="","",IF($D487="V01",Cadrage!$C$38,IF($D487="V02",Cadrage!$D$38,Cadrage!$E$38)))</f>
        <v>0.04</v>
      </c>
      <c r="N487">
        <f t="shared" si="1"/>
        <v>0.980622079131853</v>
      </c>
      <c r="O487">
        <f t="shared" si="2"/>
        <v>1.0712</v>
      </c>
      <c r="P487">
        <f>IF($A487="","",IF($E487=1,$F487*$O487,PNL!G487))</f>
        <v>15944.24</v>
      </c>
      <c r="T487">
        <f t="shared" si="3"/>
        <v>0</v>
      </c>
    </row>
    <row r="488" ht="14.25" customHeight="1">
      <c r="A488" t="str">
        <f>IF(PNL!A488="","",PNL!A488)</f>
        <v>ISCOM_TLS</v>
      </c>
      <c r="B488" t="str">
        <f>IF(PNL!B488="","",PNL!B488)</f>
        <v>616</v>
      </c>
      <c r="C488" t="str">
        <f>IF(PNL!C488="","",PNL!C488)</f>
        <v>2024</v>
      </c>
      <c r="D488" t="str">
        <f>IF(PNL!D488="","",PNL!D488)</f>
        <v>ACT</v>
      </c>
      <c r="E488">
        <f t="shared" si="0"/>
        <v>0</v>
      </c>
      <c r="F488">
        <f>IF($A488="","",IF($E488=1,_xlfn.SUMIFS(Comptabilité!$F$1:$F$1446,Comptabilité!$A$1:$A$1446,$A488,Comptabilité!$B$1:$B$1446,$B488,Comptabilité!$C$1:$C$1446,"2026"),0))</f>
        <v>0</v>
      </c>
      <c r="G488">
        <f>IF($A488="","",IF($D488="V01",Cadrage!$C$23,IF($D488="V02",Cadrage!$D$23,Cadrage!$E$23)))</f>
        <v>-0.05</v>
      </c>
      <c r="H488">
        <f>IF($A488="","",IF($D488="V01",Cadrage!$C$24,IF($D488="V02",Cadrage!$D$24,Cadrage!$E$24)))</f>
        <v>-0.05</v>
      </c>
      <c r="I488">
        <f>IF($A488="","",IF($D488="V01",Cadrage!$C$34,IF($D488="V02",Cadrage!$D$34,Cadrage!$E$34)))</f>
        <v>0.03</v>
      </c>
      <c r="J488">
        <f>IF($A488="","",IF($D488="V01",Cadrage!$C$35,IF($D488="V02",Cadrage!$D$35,Cadrage!$E$35)))</f>
        <v>0.03</v>
      </c>
      <c r="K488">
        <f>IF($A488="","",IF($D488="V01",Cadrage!$C$36,IF($D488="V02",Cadrage!$D$36,Cadrage!$E$36)))</f>
        <v>0.05</v>
      </c>
      <c r="L488">
        <f>IF($A488="","",IF($D488="V01",Cadrage!$C$37,IF($D488="V02",Cadrage!$D$37,Cadrage!$E$37)))</f>
        <v>0</v>
      </c>
      <c r="M488">
        <f>IF($A488="","",IF($D488="V01",Cadrage!$C$38,IF($D488="V02",Cadrage!$D$38,Cadrage!$E$38)))</f>
        <v>0.04</v>
      </c>
      <c r="N488">
        <f t="shared" si="1"/>
        <v>0.980622079131853</v>
      </c>
      <c r="O488">
        <f t="shared" si="2"/>
        <v>1.0712</v>
      </c>
      <c r="P488">
        <f>IF($A488="","",IF($E488=1,$F488*$O488,PNL!G488))</f>
        <v>14249.68</v>
      </c>
      <c r="T488">
        <f t="shared" si="3"/>
        <v>0</v>
      </c>
    </row>
    <row r="489" ht="14.25" customHeight="1">
      <c r="A489" t="str">
        <f>IF(PNL!A489="","",PNL!A489)</f>
        <v>IPAC_NAN</v>
      </c>
      <c r="B489" t="str">
        <f>IF(PNL!B489="","",PNL!B489)</f>
        <v>616</v>
      </c>
      <c r="C489" t="str">
        <f>IF(PNL!C489="","",PNL!C489)</f>
        <v>2024</v>
      </c>
      <c r="D489" t="str">
        <f>IF(PNL!D489="","",PNL!D489)</f>
        <v>ACT</v>
      </c>
      <c r="E489">
        <f t="shared" si="0"/>
        <v>0</v>
      </c>
      <c r="F489">
        <f>IF($A489="","",IF($E489=1,_xlfn.SUMIFS(Comptabilité!$F$1:$F$1446,Comptabilité!$A$1:$A$1446,$A489,Comptabilité!$B$1:$B$1446,$B489,Comptabilité!$C$1:$C$1446,"2026"),0))</f>
        <v>0</v>
      </c>
      <c r="G489">
        <f>IF($A489="","",IF($D489="V01",Cadrage!$C$23,IF($D489="V02",Cadrage!$D$23,Cadrage!$E$23)))</f>
        <v>-0.05</v>
      </c>
      <c r="H489">
        <f>IF($A489="","",IF($D489="V01",Cadrage!$C$24,IF($D489="V02",Cadrage!$D$24,Cadrage!$E$24)))</f>
        <v>-0.05</v>
      </c>
      <c r="I489">
        <f>IF($A489="","",IF($D489="V01",Cadrage!$C$34,IF($D489="V02",Cadrage!$D$34,Cadrage!$E$34)))</f>
        <v>0.03</v>
      </c>
      <c r="J489">
        <f>IF($A489="","",IF($D489="V01",Cadrage!$C$35,IF($D489="V02",Cadrage!$D$35,Cadrage!$E$35)))</f>
        <v>0.03</v>
      </c>
      <c r="K489">
        <f>IF($A489="","",IF($D489="V01",Cadrage!$C$36,IF($D489="V02",Cadrage!$D$36,Cadrage!$E$36)))</f>
        <v>0.05</v>
      </c>
      <c r="L489">
        <f>IF($A489="","",IF($D489="V01",Cadrage!$C$37,IF($D489="V02",Cadrage!$D$37,Cadrage!$E$37)))</f>
        <v>0</v>
      </c>
      <c r="M489">
        <f>IF($A489="","",IF($D489="V01",Cadrage!$C$38,IF($D489="V02",Cadrage!$D$38,Cadrage!$E$38)))</f>
        <v>0.04</v>
      </c>
      <c r="N489">
        <f t="shared" si="1"/>
        <v>0.980622079131853</v>
      </c>
      <c r="O489">
        <f t="shared" si="2"/>
        <v>1.0712</v>
      </c>
      <c r="P489">
        <f>IF($A489="","",IF($E489=1,$F489*$O489,PNL!G489))</f>
        <v>9480.41</v>
      </c>
      <c r="T489">
        <f t="shared" si="3"/>
        <v>0</v>
      </c>
    </row>
    <row r="490" ht="14.25" customHeight="1">
      <c r="A490" t="str">
        <f>IF(PNL!A490="","",PNL!A490)</f>
        <v>IPAC_REN</v>
      </c>
      <c r="B490" t="str">
        <f>IF(PNL!B490="","",PNL!B490)</f>
        <v>616</v>
      </c>
      <c r="C490" t="str">
        <f>IF(PNL!C490="","",PNL!C490)</f>
        <v>2024</v>
      </c>
      <c r="D490" t="str">
        <f>IF(PNL!D490="","",PNL!D490)</f>
        <v>ACT</v>
      </c>
      <c r="E490">
        <f t="shared" si="0"/>
        <v>0</v>
      </c>
      <c r="F490">
        <f>IF($A490="","",IF($E490=1,_xlfn.SUMIFS(Comptabilité!$F$1:$F$1446,Comptabilité!$A$1:$A$1446,$A490,Comptabilité!$B$1:$B$1446,$B490,Comptabilité!$C$1:$C$1446,"2026"),0))</f>
        <v>0</v>
      </c>
      <c r="G490">
        <f>IF($A490="","",IF($D490="V01",Cadrage!$C$23,IF($D490="V02",Cadrage!$D$23,Cadrage!$E$23)))</f>
        <v>-0.05</v>
      </c>
      <c r="H490">
        <f>IF($A490="","",IF($D490="V01",Cadrage!$C$24,IF($D490="V02",Cadrage!$D$24,Cadrage!$E$24)))</f>
        <v>-0.05</v>
      </c>
      <c r="I490">
        <f>IF($A490="","",IF($D490="V01",Cadrage!$C$34,IF($D490="V02",Cadrage!$D$34,Cadrage!$E$34)))</f>
        <v>0.03</v>
      </c>
      <c r="J490">
        <f>IF($A490="","",IF($D490="V01",Cadrage!$C$35,IF($D490="V02",Cadrage!$D$35,Cadrage!$E$35)))</f>
        <v>0.03</v>
      </c>
      <c r="K490">
        <f>IF($A490="","",IF($D490="V01",Cadrage!$C$36,IF($D490="V02",Cadrage!$D$36,Cadrage!$E$36)))</f>
        <v>0.05</v>
      </c>
      <c r="L490">
        <f>IF($A490="","",IF($D490="V01",Cadrage!$C$37,IF($D490="V02",Cadrage!$D$37,Cadrage!$E$37)))</f>
        <v>0</v>
      </c>
      <c r="M490">
        <f>IF($A490="","",IF($D490="V01",Cadrage!$C$38,IF($D490="V02",Cadrage!$D$38,Cadrage!$E$38)))</f>
        <v>0.04</v>
      </c>
      <c r="N490">
        <f t="shared" si="1"/>
        <v>0.980622079131853</v>
      </c>
      <c r="O490">
        <f t="shared" si="2"/>
        <v>1.0712</v>
      </c>
      <c r="P490">
        <f>IF($A490="","",IF($E490=1,$F490*$O490,PNL!G490))</f>
        <v>6268.96</v>
      </c>
      <c r="T490">
        <f t="shared" si="3"/>
        <v>0</v>
      </c>
    </row>
    <row r="491" ht="14.25" customHeight="1">
      <c r="A491" t="str">
        <f>IF(PNL!A491="","",PNL!A491)</f>
        <v>IPAC_MTP</v>
      </c>
      <c r="B491" t="str">
        <f>IF(PNL!B491="","",PNL!B491)</f>
        <v>616</v>
      </c>
      <c r="C491" t="str">
        <f>IF(PNL!C491="","",PNL!C491)</f>
        <v>2024</v>
      </c>
      <c r="D491" t="str">
        <f>IF(PNL!D491="","",PNL!D491)</f>
        <v>ACT</v>
      </c>
      <c r="E491">
        <f t="shared" si="0"/>
        <v>0</v>
      </c>
      <c r="F491">
        <f>IF($A491="","",IF($E491=1,_xlfn.SUMIFS(Comptabilité!$F$1:$F$1446,Comptabilité!$A$1:$A$1446,$A491,Comptabilité!$B$1:$B$1446,$B491,Comptabilité!$C$1:$C$1446,"2026"),0))</f>
        <v>0</v>
      </c>
      <c r="G491">
        <f>IF($A491="","",IF($D491="V01",Cadrage!$C$23,IF($D491="V02",Cadrage!$D$23,Cadrage!$E$23)))</f>
        <v>-0.05</v>
      </c>
      <c r="H491">
        <f>IF($A491="","",IF($D491="V01",Cadrage!$C$24,IF($D491="V02",Cadrage!$D$24,Cadrage!$E$24)))</f>
        <v>-0.05</v>
      </c>
      <c r="I491">
        <f>IF($A491="","",IF($D491="V01",Cadrage!$C$34,IF($D491="V02",Cadrage!$D$34,Cadrage!$E$34)))</f>
        <v>0.03</v>
      </c>
      <c r="J491">
        <f>IF($A491="","",IF($D491="V01",Cadrage!$C$35,IF($D491="V02",Cadrage!$D$35,Cadrage!$E$35)))</f>
        <v>0.03</v>
      </c>
      <c r="K491">
        <f>IF($A491="","",IF($D491="V01",Cadrage!$C$36,IF($D491="V02",Cadrage!$D$36,Cadrage!$E$36)))</f>
        <v>0.05</v>
      </c>
      <c r="L491">
        <f>IF($A491="","",IF($D491="V01",Cadrage!$C$37,IF($D491="V02",Cadrage!$D$37,Cadrage!$E$37)))</f>
        <v>0</v>
      </c>
      <c r="M491">
        <f>IF($A491="","",IF($D491="V01",Cadrage!$C$38,IF($D491="V02",Cadrage!$D$38,Cadrage!$E$38)))</f>
        <v>0.04</v>
      </c>
      <c r="N491">
        <f t="shared" si="1"/>
        <v>0.980622079131853</v>
      </c>
      <c r="O491">
        <f t="shared" si="2"/>
        <v>1.0712</v>
      </c>
      <c r="P491">
        <f>IF($A491="","",IF($E491=1,$F491*$O491,PNL!G491))</f>
        <v>6265.67</v>
      </c>
      <c r="T491">
        <f t="shared" si="3"/>
        <v>0</v>
      </c>
    </row>
    <row r="492" ht="14.25" customHeight="1">
      <c r="A492" t="str">
        <f>IF(PNL!A492="","",PNL!A492)</f>
        <v>PIGIER_LYO</v>
      </c>
      <c r="B492" t="str">
        <f>IF(PNL!B492="","",PNL!B492)</f>
        <v>616</v>
      </c>
      <c r="C492" t="str">
        <f>IF(PNL!C492="","",PNL!C492)</f>
        <v>2024</v>
      </c>
      <c r="D492" t="str">
        <f>IF(PNL!D492="","",PNL!D492)</f>
        <v>ACT</v>
      </c>
      <c r="E492">
        <f t="shared" si="0"/>
        <v>0</v>
      </c>
      <c r="F492">
        <f>IF($A492="","",IF($E492=1,_xlfn.SUMIFS(Comptabilité!$F$1:$F$1446,Comptabilité!$A$1:$A$1446,$A492,Comptabilité!$B$1:$B$1446,$B492,Comptabilité!$C$1:$C$1446,"2026"),0))</f>
        <v>0</v>
      </c>
      <c r="G492">
        <f>IF($A492="","",IF($D492="V01",Cadrage!$C$23,IF($D492="V02",Cadrage!$D$23,Cadrage!$E$23)))</f>
        <v>-0.05</v>
      </c>
      <c r="H492">
        <f>IF($A492="","",IF($D492="V01",Cadrage!$C$24,IF($D492="V02",Cadrage!$D$24,Cadrage!$E$24)))</f>
        <v>-0.05</v>
      </c>
      <c r="I492">
        <f>IF($A492="","",IF($D492="V01",Cadrage!$C$34,IF($D492="V02",Cadrage!$D$34,Cadrage!$E$34)))</f>
        <v>0.03</v>
      </c>
      <c r="J492">
        <f>IF($A492="","",IF($D492="V01",Cadrage!$C$35,IF($D492="V02",Cadrage!$D$35,Cadrage!$E$35)))</f>
        <v>0.03</v>
      </c>
      <c r="K492">
        <f>IF($A492="","",IF($D492="V01",Cadrage!$C$36,IF($D492="V02",Cadrage!$D$36,Cadrage!$E$36)))</f>
        <v>0.05</v>
      </c>
      <c r="L492">
        <f>IF($A492="","",IF($D492="V01",Cadrage!$C$37,IF($D492="V02",Cadrage!$D$37,Cadrage!$E$37)))</f>
        <v>0</v>
      </c>
      <c r="M492">
        <f>IF($A492="","",IF($D492="V01",Cadrage!$C$38,IF($D492="V02",Cadrage!$D$38,Cadrage!$E$38)))</f>
        <v>0.04</v>
      </c>
      <c r="N492">
        <f t="shared" si="1"/>
        <v>0.980622079131853</v>
      </c>
      <c r="O492">
        <f t="shared" si="2"/>
        <v>1.0712</v>
      </c>
      <c r="P492">
        <f>IF($A492="","",IF($E492=1,$F492*$O492,PNL!G492))</f>
        <v>12641.05</v>
      </c>
      <c r="T492">
        <f t="shared" si="3"/>
        <v>0</v>
      </c>
    </row>
    <row r="493" ht="14.25" customHeight="1">
      <c r="A493" t="str">
        <f>IF(PNL!A493="","",PNL!A493)</f>
        <v>PIGIER_BOR</v>
      </c>
      <c r="B493" t="str">
        <f>IF(PNL!B493="","",PNL!B493)</f>
        <v>616</v>
      </c>
      <c r="C493" t="str">
        <f>IF(PNL!C493="","",PNL!C493)</f>
        <v>2024</v>
      </c>
      <c r="D493" t="str">
        <f>IF(PNL!D493="","",PNL!D493)</f>
        <v>ACT</v>
      </c>
      <c r="E493">
        <f t="shared" si="0"/>
        <v>0</v>
      </c>
      <c r="F493">
        <f>IF($A493="","",IF($E493=1,_xlfn.SUMIFS(Comptabilité!$F$1:$F$1446,Comptabilité!$A$1:$A$1446,$A493,Comptabilité!$B$1:$B$1446,$B493,Comptabilité!$C$1:$C$1446,"2026"),0))</f>
        <v>0</v>
      </c>
      <c r="G493">
        <f>IF($A493="","",IF($D493="V01",Cadrage!$C$23,IF($D493="V02",Cadrage!$D$23,Cadrage!$E$23)))</f>
        <v>-0.05</v>
      </c>
      <c r="H493">
        <f>IF($A493="","",IF($D493="V01",Cadrage!$C$24,IF($D493="V02",Cadrage!$D$24,Cadrage!$E$24)))</f>
        <v>-0.05</v>
      </c>
      <c r="I493">
        <f>IF($A493="","",IF($D493="V01",Cadrage!$C$34,IF($D493="V02",Cadrage!$D$34,Cadrage!$E$34)))</f>
        <v>0.03</v>
      </c>
      <c r="J493">
        <f>IF($A493="","",IF($D493="V01",Cadrage!$C$35,IF($D493="V02",Cadrage!$D$35,Cadrage!$E$35)))</f>
        <v>0.03</v>
      </c>
      <c r="K493">
        <f>IF($A493="","",IF($D493="V01",Cadrage!$C$36,IF($D493="V02",Cadrage!$D$36,Cadrage!$E$36)))</f>
        <v>0.05</v>
      </c>
      <c r="L493">
        <f>IF($A493="","",IF($D493="V01",Cadrage!$C$37,IF($D493="V02",Cadrage!$D$37,Cadrage!$E$37)))</f>
        <v>0</v>
      </c>
      <c r="M493">
        <f>IF($A493="","",IF($D493="V01",Cadrage!$C$38,IF($D493="V02",Cadrage!$D$38,Cadrage!$E$38)))</f>
        <v>0.04</v>
      </c>
      <c r="N493">
        <f t="shared" si="1"/>
        <v>0.980622079131853</v>
      </c>
      <c r="O493">
        <f t="shared" si="2"/>
        <v>1.0712</v>
      </c>
      <c r="P493">
        <f>IF($A493="","",IF($E493=1,$F493*$O493,PNL!G493))</f>
        <v>7436.91</v>
      </c>
      <c r="T493">
        <f t="shared" si="3"/>
        <v>0</v>
      </c>
    </row>
    <row r="494" ht="14.25" customHeight="1">
      <c r="A494" t="str">
        <f>IF(PNL!A494="","",PNL!A494)</f>
        <v>TUNON_PAR</v>
      </c>
      <c r="B494" t="str">
        <f>IF(PNL!B494="","",PNL!B494)</f>
        <v>616</v>
      </c>
      <c r="C494" t="str">
        <f>IF(PNL!C494="","",PNL!C494)</f>
        <v>2024</v>
      </c>
      <c r="D494" t="str">
        <f>IF(PNL!D494="","",PNL!D494)</f>
        <v>ACT</v>
      </c>
      <c r="E494">
        <f t="shared" si="0"/>
        <v>0</v>
      </c>
      <c r="F494">
        <f>IF($A494="","",IF($E494=1,_xlfn.SUMIFS(Comptabilité!$F$1:$F$1446,Comptabilité!$A$1:$A$1446,$A494,Comptabilité!$B$1:$B$1446,$B494,Comptabilité!$C$1:$C$1446,"2026"),0))</f>
        <v>0</v>
      </c>
      <c r="G494">
        <f>IF($A494="","",IF($D494="V01",Cadrage!$C$23,IF($D494="V02",Cadrage!$D$23,Cadrage!$E$23)))</f>
        <v>-0.05</v>
      </c>
      <c r="H494">
        <f>IF($A494="","",IF($D494="V01",Cadrage!$C$24,IF($D494="V02",Cadrage!$D$24,Cadrage!$E$24)))</f>
        <v>-0.05</v>
      </c>
      <c r="I494">
        <f>IF($A494="","",IF($D494="V01",Cadrage!$C$34,IF($D494="V02",Cadrage!$D$34,Cadrage!$E$34)))</f>
        <v>0.03</v>
      </c>
      <c r="J494">
        <f>IF($A494="","",IF($D494="V01",Cadrage!$C$35,IF($D494="V02",Cadrage!$D$35,Cadrage!$E$35)))</f>
        <v>0.03</v>
      </c>
      <c r="K494">
        <f>IF($A494="","",IF($D494="V01",Cadrage!$C$36,IF($D494="V02",Cadrage!$D$36,Cadrage!$E$36)))</f>
        <v>0.05</v>
      </c>
      <c r="L494">
        <f>IF($A494="","",IF($D494="V01",Cadrage!$C$37,IF($D494="V02",Cadrage!$D$37,Cadrage!$E$37)))</f>
        <v>0</v>
      </c>
      <c r="M494">
        <f>IF($A494="","",IF($D494="V01",Cadrage!$C$38,IF($D494="V02",Cadrage!$D$38,Cadrage!$E$38)))</f>
        <v>0.04</v>
      </c>
      <c r="N494">
        <f t="shared" si="1"/>
        <v>0.980622079131853</v>
      </c>
      <c r="O494">
        <f t="shared" si="2"/>
        <v>1.0712</v>
      </c>
      <c r="P494">
        <f>IF($A494="","",IF($E494=1,$F494*$O494,PNL!G494))</f>
        <v>11189.27</v>
      </c>
      <c r="T494">
        <f t="shared" si="3"/>
        <v>0</v>
      </c>
    </row>
    <row r="495" ht="14.25" customHeight="1">
      <c r="A495" t="str">
        <f>IF(PNL!A495="","",PNL!A495)</f>
        <v>TUNON_LYO</v>
      </c>
      <c r="B495" t="str">
        <f>IF(PNL!B495="","",PNL!B495)</f>
        <v>616</v>
      </c>
      <c r="C495" t="str">
        <f>IF(PNL!C495="","",PNL!C495)</f>
        <v>2024</v>
      </c>
      <c r="D495" t="str">
        <f>IF(PNL!D495="","",PNL!D495)</f>
        <v>ACT</v>
      </c>
      <c r="E495">
        <f t="shared" si="0"/>
        <v>0</v>
      </c>
      <c r="F495">
        <f>IF($A495="","",IF($E495=1,_xlfn.SUMIFS(Comptabilité!$F$1:$F$1446,Comptabilité!$A$1:$A$1446,$A495,Comptabilité!$B$1:$B$1446,$B495,Comptabilité!$C$1:$C$1446,"2026"),0))</f>
        <v>0</v>
      </c>
      <c r="G495">
        <f>IF($A495="","",IF($D495="V01",Cadrage!$C$23,IF($D495="V02",Cadrage!$D$23,Cadrage!$E$23)))</f>
        <v>-0.05</v>
      </c>
      <c r="H495">
        <f>IF($A495="","",IF($D495="V01",Cadrage!$C$24,IF($D495="V02",Cadrage!$D$24,Cadrage!$E$24)))</f>
        <v>-0.05</v>
      </c>
      <c r="I495">
        <f>IF($A495="","",IF($D495="V01",Cadrage!$C$34,IF($D495="V02",Cadrage!$D$34,Cadrage!$E$34)))</f>
        <v>0.03</v>
      </c>
      <c r="J495">
        <f>IF($A495="","",IF($D495="V01",Cadrage!$C$35,IF($D495="V02",Cadrage!$D$35,Cadrage!$E$35)))</f>
        <v>0.03</v>
      </c>
      <c r="K495">
        <f>IF($A495="","",IF($D495="V01",Cadrage!$C$36,IF($D495="V02",Cadrage!$D$36,Cadrage!$E$36)))</f>
        <v>0.05</v>
      </c>
      <c r="L495">
        <f>IF($A495="","",IF($D495="V01",Cadrage!$C$37,IF($D495="V02",Cadrage!$D$37,Cadrage!$E$37)))</f>
        <v>0</v>
      </c>
      <c r="M495">
        <f>IF($A495="","",IF($D495="V01",Cadrage!$C$38,IF($D495="V02",Cadrage!$D$38,Cadrage!$E$38)))</f>
        <v>0.04</v>
      </c>
      <c r="N495">
        <f t="shared" si="1"/>
        <v>0.980622079131853</v>
      </c>
      <c r="O495">
        <f t="shared" si="2"/>
        <v>1.0712</v>
      </c>
      <c r="P495">
        <f>IF($A495="","",IF($E495=1,$F495*$O495,PNL!G495))</f>
        <v>7949.82</v>
      </c>
      <c r="T495">
        <f t="shared" si="3"/>
        <v>0</v>
      </c>
    </row>
    <row r="496" ht="14.25" customHeight="1">
      <c r="A496" t="str">
        <f>IF(PNL!A496="","",PNL!A496)</f>
        <v>MBWAY_PAR</v>
      </c>
      <c r="B496" t="str">
        <f>IF(PNL!B496="","",PNL!B496)</f>
        <v>616</v>
      </c>
      <c r="C496" t="str">
        <f>IF(PNL!C496="","",PNL!C496)</f>
        <v>2025</v>
      </c>
      <c r="D496" t="str">
        <f>IF(PNL!D496="","",PNL!D496)</f>
        <v>ACT</v>
      </c>
      <c r="E496">
        <f t="shared" si="0"/>
        <v>0</v>
      </c>
      <c r="F496">
        <f>IF($A496="","",IF($E496=1,_xlfn.SUMIFS(Comptabilité!$F$1:$F$1446,Comptabilité!$A$1:$A$1446,$A496,Comptabilité!$B$1:$B$1446,$B496,Comptabilité!$C$1:$C$1446,"2026"),0))</f>
        <v>0</v>
      </c>
      <c r="G496">
        <f>IF($A496="","",IF($D496="V01",Cadrage!$C$23,IF($D496="V02",Cadrage!$D$23,Cadrage!$E$23)))</f>
        <v>-0.05</v>
      </c>
      <c r="H496">
        <f>IF($A496="","",IF($D496="V01",Cadrage!$C$24,IF($D496="V02",Cadrage!$D$24,Cadrage!$E$24)))</f>
        <v>-0.05</v>
      </c>
      <c r="I496">
        <f>IF($A496="","",IF($D496="V01",Cadrage!$C$34,IF($D496="V02",Cadrage!$D$34,Cadrage!$E$34)))</f>
        <v>0.03</v>
      </c>
      <c r="J496">
        <f>IF($A496="","",IF($D496="V01",Cadrage!$C$35,IF($D496="V02",Cadrage!$D$35,Cadrage!$E$35)))</f>
        <v>0.03</v>
      </c>
      <c r="K496">
        <f>IF($A496="","",IF($D496="V01",Cadrage!$C$36,IF($D496="V02",Cadrage!$D$36,Cadrage!$E$36)))</f>
        <v>0.05</v>
      </c>
      <c r="L496">
        <f>IF($A496="","",IF($D496="V01",Cadrage!$C$37,IF($D496="V02",Cadrage!$D$37,Cadrage!$E$37)))</f>
        <v>0</v>
      </c>
      <c r="M496">
        <f>IF($A496="","",IF($D496="V01",Cadrage!$C$38,IF($D496="V02",Cadrage!$D$38,Cadrage!$E$38)))</f>
        <v>0.04</v>
      </c>
      <c r="N496">
        <f t="shared" si="1"/>
        <v>0.980622079131853</v>
      </c>
      <c r="O496">
        <f t="shared" si="2"/>
        <v>1.0712</v>
      </c>
      <c r="P496">
        <f>IF($A496="","",IF($E496=1,$F496*$O496,PNL!G496))</f>
        <v>31103.37</v>
      </c>
      <c r="T496">
        <f t="shared" si="3"/>
        <v>0</v>
      </c>
    </row>
    <row r="497" ht="14.25" customHeight="1">
      <c r="A497" t="str">
        <f>IF(PNL!A497="","",PNL!A497)</f>
        <v>MBWAY_LYO</v>
      </c>
      <c r="B497" t="str">
        <f>IF(PNL!B497="","",PNL!B497)</f>
        <v>616</v>
      </c>
      <c r="C497" t="str">
        <f>IF(PNL!C497="","",PNL!C497)</f>
        <v>2025</v>
      </c>
      <c r="D497" t="str">
        <f>IF(PNL!D497="","",PNL!D497)</f>
        <v>ACT</v>
      </c>
      <c r="E497">
        <f t="shared" si="0"/>
        <v>0</v>
      </c>
      <c r="F497">
        <f>IF($A497="","",IF($E497=1,_xlfn.SUMIFS(Comptabilité!$F$1:$F$1446,Comptabilité!$A$1:$A$1446,$A497,Comptabilité!$B$1:$B$1446,$B497,Comptabilité!$C$1:$C$1446,"2026"),0))</f>
        <v>0</v>
      </c>
      <c r="G497">
        <f>IF($A497="","",IF($D497="V01",Cadrage!$C$23,IF($D497="V02",Cadrage!$D$23,Cadrage!$E$23)))</f>
        <v>-0.05</v>
      </c>
      <c r="H497">
        <f>IF($A497="","",IF($D497="V01",Cadrage!$C$24,IF($D497="V02",Cadrage!$D$24,Cadrage!$E$24)))</f>
        <v>-0.05</v>
      </c>
      <c r="I497">
        <f>IF($A497="","",IF($D497="V01",Cadrage!$C$34,IF($D497="V02",Cadrage!$D$34,Cadrage!$E$34)))</f>
        <v>0.03</v>
      </c>
      <c r="J497">
        <f>IF($A497="","",IF($D497="V01",Cadrage!$C$35,IF($D497="V02",Cadrage!$D$35,Cadrage!$E$35)))</f>
        <v>0.03</v>
      </c>
      <c r="K497">
        <f>IF($A497="","",IF($D497="V01",Cadrage!$C$36,IF($D497="V02",Cadrage!$D$36,Cadrage!$E$36)))</f>
        <v>0.05</v>
      </c>
      <c r="L497">
        <f>IF($A497="","",IF($D497="V01",Cadrage!$C$37,IF($D497="V02",Cadrage!$D$37,Cadrage!$E$37)))</f>
        <v>0</v>
      </c>
      <c r="M497">
        <f>IF($A497="","",IF($D497="V01",Cadrage!$C$38,IF($D497="V02",Cadrage!$D$38,Cadrage!$E$38)))</f>
        <v>0.04</v>
      </c>
      <c r="N497">
        <f t="shared" si="1"/>
        <v>0.980622079131853</v>
      </c>
      <c r="O497">
        <f t="shared" si="2"/>
        <v>1.0712</v>
      </c>
      <c r="P497">
        <f>IF($A497="","",IF($E497=1,$F497*$O497,PNL!G497))</f>
        <v>23963.65</v>
      </c>
      <c r="T497">
        <f t="shared" si="3"/>
        <v>0</v>
      </c>
    </row>
    <row r="498" ht="14.25" customHeight="1">
      <c r="A498" t="str">
        <f>IF(PNL!A498="","",PNL!A498)</f>
        <v>MBWAY_NAN</v>
      </c>
      <c r="B498" t="str">
        <f>IF(PNL!B498="","",PNL!B498)</f>
        <v>616</v>
      </c>
      <c r="C498" t="str">
        <f>IF(PNL!C498="","",PNL!C498)</f>
        <v>2025</v>
      </c>
      <c r="D498" t="str">
        <f>IF(PNL!D498="","",PNL!D498)</f>
        <v>ACT</v>
      </c>
      <c r="E498">
        <f t="shared" si="0"/>
        <v>0</v>
      </c>
      <c r="F498">
        <f>IF($A498="","",IF($E498=1,_xlfn.SUMIFS(Comptabilité!$F$1:$F$1446,Comptabilité!$A$1:$A$1446,$A498,Comptabilité!$B$1:$B$1446,$B498,Comptabilité!$C$1:$C$1446,"2026"),0))</f>
        <v>0</v>
      </c>
      <c r="G498">
        <f>IF($A498="","",IF($D498="V01",Cadrage!$C$23,IF($D498="V02",Cadrage!$D$23,Cadrage!$E$23)))</f>
        <v>-0.05</v>
      </c>
      <c r="H498">
        <f>IF($A498="","",IF($D498="V01",Cadrage!$C$24,IF($D498="V02",Cadrage!$D$24,Cadrage!$E$24)))</f>
        <v>-0.05</v>
      </c>
      <c r="I498">
        <f>IF($A498="","",IF($D498="V01",Cadrage!$C$34,IF($D498="V02",Cadrage!$D$34,Cadrage!$E$34)))</f>
        <v>0.03</v>
      </c>
      <c r="J498">
        <f>IF($A498="","",IF($D498="V01",Cadrage!$C$35,IF($D498="V02",Cadrage!$D$35,Cadrage!$E$35)))</f>
        <v>0.03</v>
      </c>
      <c r="K498">
        <f>IF($A498="","",IF($D498="V01",Cadrage!$C$36,IF($D498="V02",Cadrage!$D$36,Cadrage!$E$36)))</f>
        <v>0.05</v>
      </c>
      <c r="L498">
        <f>IF($A498="","",IF($D498="V01",Cadrage!$C$37,IF($D498="V02",Cadrage!$D$37,Cadrage!$E$37)))</f>
        <v>0</v>
      </c>
      <c r="M498">
        <f>IF($A498="","",IF($D498="V01",Cadrage!$C$38,IF($D498="V02",Cadrage!$D$38,Cadrage!$E$38)))</f>
        <v>0.04</v>
      </c>
      <c r="N498">
        <f t="shared" si="1"/>
        <v>0.980622079131853</v>
      </c>
      <c r="O498">
        <f t="shared" si="2"/>
        <v>1.0712</v>
      </c>
      <c r="P498">
        <f>IF($A498="","",IF($E498=1,$F498*$O498,PNL!G498))</f>
        <v>20552.69</v>
      </c>
      <c r="T498">
        <f t="shared" si="3"/>
        <v>0</v>
      </c>
    </row>
    <row r="499" ht="14.25" customHeight="1">
      <c r="A499" t="str">
        <f>IF(PNL!A499="","",PNL!A499)</f>
        <v>MBWAY_BOR</v>
      </c>
      <c r="B499" t="str">
        <f>IF(PNL!B499="","",PNL!B499)</f>
        <v>616</v>
      </c>
      <c r="C499" t="str">
        <f>IF(PNL!C499="","",PNL!C499)</f>
        <v>2025</v>
      </c>
      <c r="D499" t="str">
        <f>IF(PNL!D499="","",PNL!D499)</f>
        <v>ACT</v>
      </c>
      <c r="E499">
        <f t="shared" si="0"/>
        <v>0</v>
      </c>
      <c r="F499">
        <f>IF($A499="","",IF($E499=1,_xlfn.SUMIFS(Comptabilité!$F$1:$F$1446,Comptabilité!$A$1:$A$1446,$A499,Comptabilité!$B$1:$B$1446,$B499,Comptabilité!$C$1:$C$1446,"2026"),0))</f>
        <v>0</v>
      </c>
      <c r="G499">
        <f>IF($A499="","",IF($D499="V01",Cadrage!$C$23,IF($D499="V02",Cadrage!$D$23,Cadrage!$E$23)))</f>
        <v>-0.05</v>
      </c>
      <c r="H499">
        <f>IF($A499="","",IF($D499="V01",Cadrage!$C$24,IF($D499="V02",Cadrage!$D$24,Cadrage!$E$24)))</f>
        <v>-0.05</v>
      </c>
      <c r="I499">
        <f>IF($A499="","",IF($D499="V01",Cadrage!$C$34,IF($D499="V02",Cadrage!$D$34,Cadrage!$E$34)))</f>
        <v>0.03</v>
      </c>
      <c r="J499">
        <f>IF($A499="","",IF($D499="V01",Cadrage!$C$35,IF($D499="V02",Cadrage!$D$35,Cadrage!$E$35)))</f>
        <v>0.03</v>
      </c>
      <c r="K499">
        <f>IF($A499="","",IF($D499="V01",Cadrage!$C$36,IF($D499="V02",Cadrage!$D$36,Cadrage!$E$36)))</f>
        <v>0.05</v>
      </c>
      <c r="L499">
        <f>IF($A499="","",IF($D499="V01",Cadrage!$C$37,IF($D499="V02",Cadrage!$D$37,Cadrage!$E$37)))</f>
        <v>0</v>
      </c>
      <c r="M499">
        <f>IF($A499="","",IF($D499="V01",Cadrage!$C$38,IF($D499="V02",Cadrage!$D$38,Cadrage!$E$38)))</f>
        <v>0.04</v>
      </c>
      <c r="N499">
        <f t="shared" si="1"/>
        <v>0.980622079131853</v>
      </c>
      <c r="O499">
        <f t="shared" si="2"/>
        <v>1.0712</v>
      </c>
      <c r="P499">
        <f>IF($A499="","",IF($E499=1,$F499*$O499,PNL!G499))</f>
        <v>16805.07</v>
      </c>
      <c r="T499">
        <f t="shared" si="3"/>
        <v>0</v>
      </c>
    </row>
    <row r="500" ht="14.25" customHeight="1">
      <c r="A500" t="str">
        <f>IF(PNL!A500="","",PNL!A500)</f>
        <v>ISCOM_PAR</v>
      </c>
      <c r="B500" t="str">
        <f>IF(PNL!B500="","",PNL!B500)</f>
        <v>616</v>
      </c>
      <c r="C500" t="str">
        <f>IF(PNL!C500="","",PNL!C500)</f>
        <v>2025</v>
      </c>
      <c r="D500" t="str">
        <f>IF(PNL!D500="","",PNL!D500)</f>
        <v>ACT</v>
      </c>
      <c r="E500">
        <f t="shared" si="0"/>
        <v>0</v>
      </c>
      <c r="F500">
        <f>IF($A500="","",IF($E500=1,_xlfn.SUMIFS(Comptabilité!$F$1:$F$1446,Comptabilité!$A$1:$A$1446,$A500,Comptabilité!$B$1:$B$1446,$B500,Comptabilité!$C$1:$C$1446,"2026"),0))</f>
        <v>0</v>
      </c>
      <c r="G500">
        <f>IF($A500="","",IF($D500="V01",Cadrage!$C$23,IF($D500="V02",Cadrage!$D$23,Cadrage!$E$23)))</f>
        <v>-0.05</v>
      </c>
      <c r="H500">
        <f>IF($A500="","",IF($D500="V01",Cadrage!$C$24,IF($D500="V02",Cadrage!$D$24,Cadrage!$E$24)))</f>
        <v>-0.05</v>
      </c>
      <c r="I500">
        <f>IF($A500="","",IF($D500="V01",Cadrage!$C$34,IF($D500="V02",Cadrage!$D$34,Cadrage!$E$34)))</f>
        <v>0.03</v>
      </c>
      <c r="J500">
        <f>IF($A500="","",IF($D500="V01",Cadrage!$C$35,IF($D500="V02",Cadrage!$D$35,Cadrage!$E$35)))</f>
        <v>0.03</v>
      </c>
      <c r="K500">
        <f>IF($A500="","",IF($D500="V01",Cadrage!$C$36,IF($D500="V02",Cadrage!$D$36,Cadrage!$E$36)))</f>
        <v>0.05</v>
      </c>
      <c r="L500">
        <f>IF($A500="","",IF($D500="V01",Cadrage!$C$37,IF($D500="V02",Cadrage!$D$37,Cadrage!$E$37)))</f>
        <v>0</v>
      </c>
      <c r="M500">
        <f>IF($A500="","",IF($D500="V01",Cadrage!$C$38,IF($D500="V02",Cadrage!$D$38,Cadrage!$E$38)))</f>
        <v>0.04</v>
      </c>
      <c r="N500">
        <f t="shared" si="1"/>
        <v>0.980622079131853</v>
      </c>
      <c r="O500">
        <f t="shared" si="2"/>
        <v>1.0712</v>
      </c>
      <c r="P500">
        <f>IF($A500="","",IF($E500=1,$F500*$O500,PNL!G500))</f>
        <v>27761.04</v>
      </c>
      <c r="T500">
        <f t="shared" si="3"/>
        <v>0</v>
      </c>
    </row>
    <row r="501" ht="14.25" customHeight="1">
      <c r="A501" t="str">
        <f>IF(PNL!A501="","",PNL!A501)</f>
        <v>ISCOM_LIL</v>
      </c>
      <c r="B501" t="str">
        <f>IF(PNL!B501="","",PNL!B501)</f>
        <v>616</v>
      </c>
      <c r="C501" t="str">
        <f>IF(PNL!C501="","",PNL!C501)</f>
        <v>2025</v>
      </c>
      <c r="D501" t="str">
        <f>IF(PNL!D501="","",PNL!D501)</f>
        <v>ACT</v>
      </c>
      <c r="E501">
        <f t="shared" si="0"/>
        <v>0</v>
      </c>
      <c r="F501">
        <f>IF($A501="","",IF($E501=1,_xlfn.SUMIFS(Comptabilité!$F$1:$F$1446,Comptabilité!$A$1:$A$1446,$A501,Comptabilité!$B$1:$B$1446,$B501,Comptabilité!$C$1:$C$1446,"2026"),0))</f>
        <v>0</v>
      </c>
      <c r="G501">
        <f>IF($A501="","",IF($D501="V01",Cadrage!$C$23,IF($D501="V02",Cadrage!$D$23,Cadrage!$E$23)))</f>
        <v>-0.05</v>
      </c>
      <c r="H501">
        <f>IF($A501="","",IF($D501="V01",Cadrage!$C$24,IF($D501="V02",Cadrage!$D$24,Cadrage!$E$24)))</f>
        <v>-0.05</v>
      </c>
      <c r="I501">
        <f>IF($A501="","",IF($D501="V01",Cadrage!$C$34,IF($D501="V02",Cadrage!$D$34,Cadrage!$E$34)))</f>
        <v>0.03</v>
      </c>
      <c r="J501">
        <f>IF($A501="","",IF($D501="V01",Cadrage!$C$35,IF($D501="V02",Cadrage!$D$35,Cadrage!$E$35)))</f>
        <v>0.03</v>
      </c>
      <c r="K501">
        <f>IF($A501="","",IF($D501="V01",Cadrage!$C$36,IF($D501="V02",Cadrage!$D$36,Cadrage!$E$36)))</f>
        <v>0.05</v>
      </c>
      <c r="L501">
        <f>IF($A501="","",IF($D501="V01",Cadrage!$C$37,IF($D501="V02",Cadrage!$D$37,Cadrage!$E$37)))</f>
        <v>0</v>
      </c>
      <c r="M501">
        <f>IF($A501="","",IF($D501="V01",Cadrage!$C$38,IF($D501="V02",Cadrage!$D$38,Cadrage!$E$38)))</f>
        <v>0.04</v>
      </c>
      <c r="N501">
        <f t="shared" si="1"/>
        <v>0.980622079131853</v>
      </c>
      <c r="O501">
        <f t="shared" si="2"/>
        <v>1.0712</v>
      </c>
      <c r="P501">
        <f>IF($A501="","",IF($E501=1,$F501*$O501,PNL!G501))</f>
        <v>16629.56</v>
      </c>
      <c r="T501">
        <f t="shared" si="3"/>
        <v>0</v>
      </c>
    </row>
    <row r="502" ht="14.25" customHeight="1">
      <c r="A502" t="str">
        <f>IF(PNL!A502="","",PNL!A502)</f>
        <v>ISCOM_TLS</v>
      </c>
      <c r="B502" t="str">
        <f>IF(PNL!B502="","",PNL!B502)</f>
        <v>616</v>
      </c>
      <c r="C502" t="str">
        <f>IF(PNL!C502="","",PNL!C502)</f>
        <v>2025</v>
      </c>
      <c r="D502" t="str">
        <f>IF(PNL!D502="","",PNL!D502)</f>
        <v>ACT</v>
      </c>
      <c r="E502">
        <f t="shared" si="0"/>
        <v>0</v>
      </c>
      <c r="F502">
        <f>IF($A502="","",IF($E502=1,_xlfn.SUMIFS(Comptabilité!$F$1:$F$1446,Comptabilité!$A$1:$A$1446,$A502,Comptabilité!$B$1:$B$1446,$B502,Comptabilité!$C$1:$C$1446,"2026"),0))</f>
        <v>0</v>
      </c>
      <c r="G502">
        <f>IF($A502="","",IF($D502="V01",Cadrage!$C$23,IF($D502="V02",Cadrage!$D$23,Cadrage!$E$23)))</f>
        <v>-0.05</v>
      </c>
      <c r="H502">
        <f>IF($A502="","",IF($D502="V01",Cadrage!$C$24,IF($D502="V02",Cadrage!$D$24,Cadrage!$E$24)))</f>
        <v>-0.05</v>
      </c>
      <c r="I502">
        <f>IF($A502="","",IF($D502="V01",Cadrage!$C$34,IF($D502="V02",Cadrage!$D$34,Cadrage!$E$34)))</f>
        <v>0.03</v>
      </c>
      <c r="J502">
        <f>IF($A502="","",IF($D502="V01",Cadrage!$C$35,IF($D502="V02",Cadrage!$D$35,Cadrage!$E$35)))</f>
        <v>0.03</v>
      </c>
      <c r="K502">
        <f>IF($A502="","",IF($D502="V01",Cadrage!$C$36,IF($D502="V02",Cadrage!$D$36,Cadrage!$E$36)))</f>
        <v>0.05</v>
      </c>
      <c r="L502">
        <f>IF($A502="","",IF($D502="V01",Cadrage!$C$37,IF($D502="V02",Cadrage!$D$37,Cadrage!$E$37)))</f>
        <v>0</v>
      </c>
      <c r="M502">
        <f>IF($A502="","",IF($D502="V01",Cadrage!$C$38,IF($D502="V02",Cadrage!$D$38,Cadrage!$E$38)))</f>
        <v>0.04</v>
      </c>
      <c r="N502">
        <f t="shared" si="1"/>
        <v>0.980622079131853</v>
      </c>
      <c r="O502">
        <f t="shared" si="2"/>
        <v>1.0712</v>
      </c>
      <c r="P502">
        <f>IF($A502="","",IF($E502=1,$F502*$O502,PNL!G502))</f>
        <v>14733.74</v>
      </c>
      <c r="T502">
        <f t="shared" si="3"/>
        <v>0</v>
      </c>
    </row>
    <row r="503" ht="14.25" customHeight="1">
      <c r="A503" t="str">
        <f>IF(PNL!A503="","",PNL!A503)</f>
        <v>IPAC_NAN</v>
      </c>
      <c r="B503" t="str">
        <f>IF(PNL!B503="","",PNL!B503)</f>
        <v>616</v>
      </c>
      <c r="C503" t="str">
        <f>IF(PNL!C503="","",PNL!C503)</f>
        <v>2025</v>
      </c>
      <c r="D503" t="str">
        <f>IF(PNL!D503="","",PNL!D503)</f>
        <v>ACT</v>
      </c>
      <c r="E503">
        <f t="shared" si="0"/>
        <v>0</v>
      </c>
      <c r="F503">
        <f>IF($A503="","",IF($E503=1,_xlfn.SUMIFS(Comptabilité!$F$1:$F$1446,Comptabilité!$A$1:$A$1446,$A503,Comptabilité!$B$1:$B$1446,$B503,Comptabilité!$C$1:$C$1446,"2026"),0))</f>
        <v>0</v>
      </c>
      <c r="G503">
        <f>IF($A503="","",IF($D503="V01",Cadrage!$C$23,IF($D503="V02",Cadrage!$D$23,Cadrage!$E$23)))</f>
        <v>-0.05</v>
      </c>
      <c r="H503">
        <f>IF($A503="","",IF($D503="V01",Cadrage!$C$24,IF($D503="V02",Cadrage!$D$24,Cadrage!$E$24)))</f>
        <v>-0.05</v>
      </c>
      <c r="I503">
        <f>IF($A503="","",IF($D503="V01",Cadrage!$C$34,IF($D503="V02",Cadrage!$D$34,Cadrage!$E$34)))</f>
        <v>0.03</v>
      </c>
      <c r="J503">
        <f>IF($A503="","",IF($D503="V01",Cadrage!$C$35,IF($D503="V02",Cadrage!$D$35,Cadrage!$E$35)))</f>
        <v>0.03</v>
      </c>
      <c r="K503">
        <f>IF($A503="","",IF($D503="V01",Cadrage!$C$36,IF($D503="V02",Cadrage!$D$36,Cadrage!$E$36)))</f>
        <v>0.05</v>
      </c>
      <c r="L503">
        <f>IF($A503="","",IF($D503="V01",Cadrage!$C$37,IF($D503="V02",Cadrage!$D$37,Cadrage!$E$37)))</f>
        <v>0</v>
      </c>
      <c r="M503">
        <f>IF($A503="","",IF($D503="V01",Cadrage!$C$38,IF($D503="V02",Cadrage!$D$38,Cadrage!$E$38)))</f>
        <v>0.04</v>
      </c>
      <c r="N503">
        <f t="shared" si="1"/>
        <v>0.980622079131853</v>
      </c>
      <c r="O503">
        <f t="shared" si="2"/>
        <v>1.0712</v>
      </c>
      <c r="P503">
        <f>IF($A503="","",IF($E503=1,$F503*$O503,PNL!G503))</f>
        <v>9795.15</v>
      </c>
      <c r="T503">
        <f t="shared" si="3"/>
        <v>0</v>
      </c>
    </row>
    <row r="504" ht="14.25" customHeight="1">
      <c r="A504" t="str">
        <f>IF(PNL!A504="","",PNL!A504)</f>
        <v>IPAC_REN</v>
      </c>
      <c r="B504" t="str">
        <f>IF(PNL!B504="","",PNL!B504)</f>
        <v>616</v>
      </c>
      <c r="C504" t="str">
        <f>IF(PNL!C504="","",PNL!C504)</f>
        <v>2025</v>
      </c>
      <c r="D504" t="str">
        <f>IF(PNL!D504="","",PNL!D504)</f>
        <v>ACT</v>
      </c>
      <c r="E504">
        <f t="shared" si="0"/>
        <v>0</v>
      </c>
      <c r="F504">
        <f>IF($A504="","",IF($E504=1,_xlfn.SUMIFS(Comptabilité!$F$1:$F$1446,Comptabilité!$A$1:$A$1446,$A504,Comptabilité!$B$1:$B$1446,$B504,Comptabilité!$C$1:$C$1446,"2026"),0))</f>
        <v>0</v>
      </c>
      <c r="G504">
        <f>IF($A504="","",IF($D504="V01",Cadrage!$C$23,IF($D504="V02",Cadrage!$D$23,Cadrage!$E$23)))</f>
        <v>-0.05</v>
      </c>
      <c r="H504">
        <f>IF($A504="","",IF($D504="V01",Cadrage!$C$24,IF($D504="V02",Cadrage!$D$24,Cadrage!$E$24)))</f>
        <v>-0.05</v>
      </c>
      <c r="I504">
        <f>IF($A504="","",IF($D504="V01",Cadrage!$C$34,IF($D504="V02",Cadrage!$D$34,Cadrage!$E$34)))</f>
        <v>0.03</v>
      </c>
      <c r="J504">
        <f>IF($A504="","",IF($D504="V01",Cadrage!$C$35,IF($D504="V02",Cadrage!$D$35,Cadrage!$E$35)))</f>
        <v>0.03</v>
      </c>
      <c r="K504">
        <f>IF($A504="","",IF($D504="V01",Cadrage!$C$36,IF($D504="V02",Cadrage!$D$36,Cadrage!$E$36)))</f>
        <v>0.05</v>
      </c>
      <c r="L504">
        <f>IF($A504="","",IF($D504="V01",Cadrage!$C$37,IF($D504="V02",Cadrage!$D$37,Cadrage!$E$37)))</f>
        <v>0</v>
      </c>
      <c r="M504">
        <f>IF($A504="","",IF($D504="V01",Cadrage!$C$38,IF($D504="V02",Cadrage!$D$38,Cadrage!$E$38)))</f>
        <v>0.04</v>
      </c>
      <c r="N504">
        <f t="shared" si="1"/>
        <v>0.980622079131853</v>
      </c>
      <c r="O504">
        <f t="shared" si="2"/>
        <v>1.0712</v>
      </c>
      <c r="P504">
        <f>IF($A504="","",IF($E504=1,$F504*$O504,PNL!G504))</f>
        <v>6496.41</v>
      </c>
      <c r="T504">
        <f t="shared" si="3"/>
        <v>0</v>
      </c>
    </row>
    <row r="505" ht="14.25" customHeight="1">
      <c r="A505" t="str">
        <f>IF(PNL!A505="","",PNL!A505)</f>
        <v>IPAC_MTP</v>
      </c>
      <c r="B505" t="str">
        <f>IF(PNL!B505="","",PNL!B505)</f>
        <v>616</v>
      </c>
      <c r="C505" t="str">
        <f>IF(PNL!C505="","",PNL!C505)</f>
        <v>2025</v>
      </c>
      <c r="D505" t="str">
        <f>IF(PNL!D505="","",PNL!D505)</f>
        <v>ACT</v>
      </c>
      <c r="E505">
        <f t="shared" si="0"/>
        <v>0</v>
      </c>
      <c r="F505">
        <f>IF($A505="","",IF($E505=1,_xlfn.SUMIFS(Comptabilité!$F$1:$F$1446,Comptabilité!$A$1:$A$1446,$A505,Comptabilité!$B$1:$B$1446,$B505,Comptabilité!$C$1:$C$1446,"2026"),0))</f>
        <v>0</v>
      </c>
      <c r="G505">
        <f>IF($A505="","",IF($D505="V01",Cadrage!$C$23,IF($D505="V02",Cadrage!$D$23,Cadrage!$E$23)))</f>
        <v>-0.05</v>
      </c>
      <c r="H505">
        <f>IF($A505="","",IF($D505="V01",Cadrage!$C$24,IF($D505="V02",Cadrage!$D$24,Cadrage!$E$24)))</f>
        <v>-0.05</v>
      </c>
      <c r="I505">
        <f>IF($A505="","",IF($D505="V01",Cadrage!$C$34,IF($D505="V02",Cadrage!$D$34,Cadrage!$E$34)))</f>
        <v>0.03</v>
      </c>
      <c r="J505">
        <f>IF($A505="","",IF($D505="V01",Cadrage!$C$35,IF($D505="V02",Cadrage!$D$35,Cadrage!$E$35)))</f>
        <v>0.03</v>
      </c>
      <c r="K505">
        <f>IF($A505="","",IF($D505="V01",Cadrage!$C$36,IF($D505="V02",Cadrage!$D$36,Cadrage!$E$36)))</f>
        <v>0.05</v>
      </c>
      <c r="L505">
        <f>IF($A505="","",IF($D505="V01",Cadrage!$C$37,IF($D505="V02",Cadrage!$D$37,Cadrage!$E$37)))</f>
        <v>0</v>
      </c>
      <c r="M505">
        <f>IF($A505="","",IF($D505="V01",Cadrage!$C$38,IF($D505="V02",Cadrage!$D$38,Cadrage!$E$38)))</f>
        <v>0.04</v>
      </c>
      <c r="N505">
        <f t="shared" si="1"/>
        <v>0.980622079131853</v>
      </c>
      <c r="O505">
        <f t="shared" si="2"/>
        <v>1.0712</v>
      </c>
      <c r="P505">
        <f>IF($A505="","",IF($E505=1,$F505*$O505,PNL!G505))</f>
        <v>6492.78</v>
      </c>
      <c r="T505">
        <f t="shared" si="3"/>
        <v>0</v>
      </c>
    </row>
    <row r="506" ht="14.25" customHeight="1">
      <c r="A506" t="str">
        <f>IF(PNL!A506="","",PNL!A506)</f>
        <v>PIGIER_LYO</v>
      </c>
      <c r="B506" t="str">
        <f>IF(PNL!B506="","",PNL!B506)</f>
        <v>616</v>
      </c>
      <c r="C506" t="str">
        <f>IF(PNL!C506="","",PNL!C506)</f>
        <v>2025</v>
      </c>
      <c r="D506" t="str">
        <f>IF(PNL!D506="","",PNL!D506)</f>
        <v>ACT</v>
      </c>
      <c r="E506">
        <f t="shared" si="0"/>
        <v>0</v>
      </c>
      <c r="F506">
        <f>IF($A506="","",IF($E506=1,_xlfn.SUMIFS(Comptabilité!$F$1:$F$1446,Comptabilité!$A$1:$A$1446,$A506,Comptabilité!$B$1:$B$1446,$B506,Comptabilité!$C$1:$C$1446,"2026"),0))</f>
        <v>0</v>
      </c>
      <c r="G506">
        <f>IF($A506="","",IF($D506="V01",Cadrage!$C$23,IF($D506="V02",Cadrage!$D$23,Cadrage!$E$23)))</f>
        <v>-0.05</v>
      </c>
      <c r="H506">
        <f>IF($A506="","",IF($D506="V01",Cadrage!$C$24,IF($D506="V02",Cadrage!$D$24,Cadrage!$E$24)))</f>
        <v>-0.05</v>
      </c>
      <c r="I506">
        <f>IF($A506="","",IF($D506="V01",Cadrage!$C$34,IF($D506="V02",Cadrage!$D$34,Cadrage!$E$34)))</f>
        <v>0.03</v>
      </c>
      <c r="J506">
        <f>IF($A506="","",IF($D506="V01",Cadrage!$C$35,IF($D506="V02",Cadrage!$D$35,Cadrage!$E$35)))</f>
        <v>0.03</v>
      </c>
      <c r="K506">
        <f>IF($A506="","",IF($D506="V01",Cadrage!$C$36,IF($D506="V02",Cadrage!$D$36,Cadrage!$E$36)))</f>
        <v>0.05</v>
      </c>
      <c r="L506">
        <f>IF($A506="","",IF($D506="V01",Cadrage!$C$37,IF($D506="V02",Cadrage!$D$37,Cadrage!$E$37)))</f>
        <v>0</v>
      </c>
      <c r="M506">
        <f>IF($A506="","",IF($D506="V01",Cadrage!$C$38,IF($D506="V02",Cadrage!$D$38,Cadrage!$E$38)))</f>
        <v>0.04</v>
      </c>
      <c r="N506">
        <f t="shared" si="1"/>
        <v>0.980622079131853</v>
      </c>
      <c r="O506">
        <f t="shared" si="2"/>
        <v>1.0712</v>
      </c>
      <c r="P506">
        <f>IF($A506="","",IF($E506=1,$F506*$O506,PNL!G506))</f>
        <v>13080.39</v>
      </c>
      <c r="T506">
        <f t="shared" si="3"/>
        <v>0</v>
      </c>
    </row>
    <row r="507" ht="14.25" customHeight="1">
      <c r="A507" t="str">
        <f>IF(PNL!A507="","",PNL!A507)</f>
        <v>PIGIER_BOR</v>
      </c>
      <c r="B507" t="str">
        <f>IF(PNL!B507="","",PNL!B507)</f>
        <v>616</v>
      </c>
      <c r="C507" t="str">
        <f>IF(PNL!C507="","",PNL!C507)</f>
        <v>2025</v>
      </c>
      <c r="D507" t="str">
        <f>IF(PNL!D507="","",PNL!D507)</f>
        <v>ACT</v>
      </c>
      <c r="E507">
        <f t="shared" si="0"/>
        <v>0</v>
      </c>
      <c r="F507">
        <f>IF($A507="","",IF($E507=1,_xlfn.SUMIFS(Comptabilité!$F$1:$F$1446,Comptabilité!$A$1:$A$1446,$A507,Comptabilité!$B$1:$B$1446,$B507,Comptabilité!$C$1:$C$1446,"2026"),0))</f>
        <v>0</v>
      </c>
      <c r="G507">
        <f>IF($A507="","",IF($D507="V01",Cadrage!$C$23,IF($D507="V02",Cadrage!$D$23,Cadrage!$E$23)))</f>
        <v>-0.05</v>
      </c>
      <c r="H507">
        <f>IF($A507="","",IF($D507="V01",Cadrage!$C$24,IF($D507="V02",Cadrage!$D$24,Cadrage!$E$24)))</f>
        <v>-0.05</v>
      </c>
      <c r="I507">
        <f>IF($A507="","",IF($D507="V01",Cadrage!$C$34,IF($D507="V02",Cadrage!$D$34,Cadrage!$E$34)))</f>
        <v>0.03</v>
      </c>
      <c r="J507">
        <f>IF($A507="","",IF($D507="V01",Cadrage!$C$35,IF($D507="V02",Cadrage!$D$35,Cadrage!$E$35)))</f>
        <v>0.03</v>
      </c>
      <c r="K507">
        <f>IF($A507="","",IF($D507="V01",Cadrage!$C$36,IF($D507="V02",Cadrage!$D$36,Cadrage!$E$36)))</f>
        <v>0.05</v>
      </c>
      <c r="L507">
        <f>IF($A507="","",IF($D507="V01",Cadrage!$C$37,IF($D507="V02",Cadrage!$D$37,Cadrage!$E$37)))</f>
        <v>0</v>
      </c>
      <c r="M507">
        <f>IF($A507="","",IF($D507="V01",Cadrage!$C$38,IF($D507="V02",Cadrage!$D$38,Cadrage!$E$38)))</f>
        <v>0.04</v>
      </c>
      <c r="N507">
        <f t="shared" si="1"/>
        <v>0.980622079131853</v>
      </c>
      <c r="O507">
        <f t="shared" si="2"/>
        <v>1.0712</v>
      </c>
      <c r="P507">
        <f>IF($A507="","",IF($E507=1,$F507*$O507,PNL!G507))</f>
        <v>7830.24</v>
      </c>
      <c r="T507">
        <f t="shared" si="3"/>
        <v>0</v>
      </c>
    </row>
    <row r="508" ht="14.25" customHeight="1">
      <c r="A508" t="str">
        <f>IF(PNL!A508="","",PNL!A508)</f>
        <v>TUNON_PAR</v>
      </c>
      <c r="B508" t="str">
        <f>IF(PNL!B508="","",PNL!B508)</f>
        <v>616</v>
      </c>
      <c r="C508" t="str">
        <f>IF(PNL!C508="","",PNL!C508)</f>
        <v>2025</v>
      </c>
      <c r="D508" t="str">
        <f>IF(PNL!D508="","",PNL!D508)</f>
        <v>ACT</v>
      </c>
      <c r="E508">
        <f t="shared" si="0"/>
        <v>0</v>
      </c>
      <c r="F508">
        <f>IF($A508="","",IF($E508=1,_xlfn.SUMIFS(Comptabilité!$F$1:$F$1446,Comptabilité!$A$1:$A$1446,$A508,Comptabilité!$B$1:$B$1446,$B508,Comptabilité!$C$1:$C$1446,"2026"),0))</f>
        <v>0</v>
      </c>
      <c r="G508">
        <f>IF($A508="","",IF($D508="V01",Cadrage!$C$23,IF($D508="V02",Cadrage!$D$23,Cadrage!$E$23)))</f>
        <v>-0.05</v>
      </c>
      <c r="H508">
        <f>IF($A508="","",IF($D508="V01",Cadrage!$C$24,IF($D508="V02",Cadrage!$D$24,Cadrage!$E$24)))</f>
        <v>-0.05</v>
      </c>
      <c r="I508">
        <f>IF($A508="","",IF($D508="V01",Cadrage!$C$34,IF($D508="V02",Cadrage!$D$34,Cadrage!$E$34)))</f>
        <v>0.03</v>
      </c>
      <c r="J508">
        <f>IF($A508="","",IF($D508="V01",Cadrage!$C$35,IF($D508="V02",Cadrage!$D$35,Cadrage!$E$35)))</f>
        <v>0.03</v>
      </c>
      <c r="K508">
        <f>IF($A508="","",IF($D508="V01",Cadrage!$C$36,IF($D508="V02",Cadrage!$D$36,Cadrage!$E$36)))</f>
        <v>0.05</v>
      </c>
      <c r="L508">
        <f>IF($A508="","",IF($D508="V01",Cadrage!$C$37,IF($D508="V02",Cadrage!$D$37,Cadrage!$E$37)))</f>
        <v>0</v>
      </c>
      <c r="M508">
        <f>IF($A508="","",IF($D508="V01",Cadrage!$C$38,IF($D508="V02",Cadrage!$D$38,Cadrage!$E$38)))</f>
        <v>0.04</v>
      </c>
      <c r="N508">
        <f t="shared" si="1"/>
        <v>0.980622079131853</v>
      </c>
      <c r="O508">
        <f t="shared" si="2"/>
        <v>1.0712</v>
      </c>
      <c r="P508">
        <f>IF($A508="","",IF($E508=1,$F508*$O508,PNL!G508))</f>
        <v>11880.46</v>
      </c>
      <c r="T508">
        <f t="shared" si="3"/>
        <v>0</v>
      </c>
    </row>
    <row r="509" ht="14.25" customHeight="1">
      <c r="A509" t="str">
        <f>IF(PNL!A509="","",PNL!A509)</f>
        <v>TUNON_LYO</v>
      </c>
      <c r="B509" t="str">
        <f>IF(PNL!B509="","",PNL!B509)</f>
        <v>616</v>
      </c>
      <c r="C509" t="str">
        <f>IF(PNL!C509="","",PNL!C509)</f>
        <v>2025</v>
      </c>
      <c r="D509" t="str">
        <f>IF(PNL!D509="","",PNL!D509)</f>
        <v>ACT</v>
      </c>
      <c r="E509">
        <f t="shared" si="0"/>
        <v>0</v>
      </c>
      <c r="F509">
        <f>IF($A509="","",IF($E509=1,_xlfn.SUMIFS(Comptabilité!$F$1:$F$1446,Comptabilité!$A$1:$A$1446,$A509,Comptabilité!$B$1:$B$1446,$B509,Comptabilité!$C$1:$C$1446,"2026"),0))</f>
        <v>0</v>
      </c>
      <c r="G509">
        <f>IF($A509="","",IF($D509="V01",Cadrage!$C$23,IF($D509="V02",Cadrage!$D$23,Cadrage!$E$23)))</f>
        <v>-0.05</v>
      </c>
      <c r="H509">
        <f>IF($A509="","",IF($D509="V01",Cadrage!$C$24,IF($D509="V02",Cadrage!$D$24,Cadrage!$E$24)))</f>
        <v>-0.05</v>
      </c>
      <c r="I509">
        <f>IF($A509="","",IF($D509="V01",Cadrage!$C$34,IF($D509="V02",Cadrage!$D$34,Cadrage!$E$34)))</f>
        <v>0.03</v>
      </c>
      <c r="J509">
        <f>IF($A509="","",IF($D509="V01",Cadrage!$C$35,IF($D509="V02",Cadrage!$D$35,Cadrage!$E$35)))</f>
        <v>0.03</v>
      </c>
      <c r="K509">
        <f>IF($A509="","",IF($D509="V01",Cadrage!$C$36,IF($D509="V02",Cadrage!$D$36,Cadrage!$E$36)))</f>
        <v>0.05</v>
      </c>
      <c r="L509">
        <f>IF($A509="","",IF($D509="V01",Cadrage!$C$37,IF($D509="V02",Cadrage!$D$37,Cadrage!$E$37)))</f>
        <v>0</v>
      </c>
      <c r="M509">
        <f>IF($A509="","",IF($D509="V01",Cadrage!$C$38,IF($D509="V02",Cadrage!$D$38,Cadrage!$E$38)))</f>
        <v>0.04</v>
      </c>
      <c r="N509">
        <f t="shared" si="1"/>
        <v>0.980622079131853</v>
      </c>
      <c r="O509">
        <f t="shared" si="2"/>
        <v>1.0712</v>
      </c>
      <c r="P509">
        <f>IF($A509="","",IF($E509=1,$F509*$O509,PNL!G509))</f>
        <v>8530.03</v>
      </c>
      <c r="T509">
        <f t="shared" si="3"/>
        <v>0</v>
      </c>
    </row>
    <row r="510" ht="14.25" customHeight="1">
      <c r="A510" t="str">
        <f>IF(PNL!A510="","",PNL!A510)</f>
        <v>MBWAY_PAR</v>
      </c>
      <c r="B510" t="str">
        <f>IF(PNL!B510="","",PNL!B510)</f>
        <v>616</v>
      </c>
      <c r="C510" t="str">
        <f>IF(PNL!C510="","",PNL!C510)</f>
        <v>2026</v>
      </c>
      <c r="D510" t="str">
        <f>IF(PNL!D510="","",PNL!D510)</f>
        <v>ACT</v>
      </c>
      <c r="E510">
        <f t="shared" si="0"/>
        <v>0</v>
      </c>
      <c r="F510">
        <f>IF($A510="","",IF($E510=1,_xlfn.SUMIFS(Comptabilité!$F$1:$F$1446,Comptabilité!$A$1:$A$1446,$A510,Comptabilité!$B$1:$B$1446,$B510,Comptabilité!$C$1:$C$1446,"2026"),0))</f>
        <v>0</v>
      </c>
      <c r="G510">
        <f>IF($A510="","",IF($D510="V01",Cadrage!$C$23,IF($D510="V02",Cadrage!$D$23,Cadrage!$E$23)))</f>
        <v>-0.05</v>
      </c>
      <c r="H510">
        <f>IF($A510="","",IF($D510="V01",Cadrage!$C$24,IF($D510="V02",Cadrage!$D$24,Cadrage!$E$24)))</f>
        <v>-0.05</v>
      </c>
      <c r="I510">
        <f>IF($A510="","",IF($D510="V01",Cadrage!$C$34,IF($D510="V02",Cadrage!$D$34,Cadrage!$E$34)))</f>
        <v>0.03</v>
      </c>
      <c r="J510">
        <f>IF($A510="","",IF($D510="V01",Cadrage!$C$35,IF($D510="V02",Cadrage!$D$35,Cadrage!$E$35)))</f>
        <v>0.03</v>
      </c>
      <c r="K510">
        <f>IF($A510="","",IF($D510="V01",Cadrage!$C$36,IF($D510="V02",Cadrage!$D$36,Cadrage!$E$36)))</f>
        <v>0.05</v>
      </c>
      <c r="L510">
        <f>IF($A510="","",IF($D510="V01",Cadrage!$C$37,IF($D510="V02",Cadrage!$D$37,Cadrage!$E$37)))</f>
        <v>0</v>
      </c>
      <c r="M510">
        <f>IF($A510="","",IF($D510="V01",Cadrage!$C$38,IF($D510="V02",Cadrage!$D$38,Cadrage!$E$38)))</f>
        <v>0.04</v>
      </c>
      <c r="N510">
        <f t="shared" si="1"/>
        <v>0.980622079131853</v>
      </c>
      <c r="O510">
        <f t="shared" si="2"/>
        <v>1.0712</v>
      </c>
      <c r="P510">
        <f>IF($A510="","",IF($E510=1,$F510*$O510,PNL!G510))</f>
        <v>32205.92</v>
      </c>
      <c r="T510">
        <f t="shared" si="3"/>
        <v>0</v>
      </c>
    </row>
    <row r="511" ht="14.25" customHeight="1">
      <c r="A511" t="str">
        <f>IF(PNL!A511="","",PNL!A511)</f>
        <v>MBWAY_LYO</v>
      </c>
      <c r="B511" t="str">
        <f>IF(PNL!B511="","",PNL!B511)</f>
        <v>616</v>
      </c>
      <c r="C511" t="str">
        <f>IF(PNL!C511="","",PNL!C511)</f>
        <v>2026</v>
      </c>
      <c r="D511" t="str">
        <f>IF(PNL!D511="","",PNL!D511)</f>
        <v>ACT</v>
      </c>
      <c r="E511">
        <f t="shared" si="0"/>
        <v>0</v>
      </c>
      <c r="F511">
        <f>IF($A511="","",IF($E511=1,_xlfn.SUMIFS(Comptabilité!$F$1:$F$1446,Comptabilité!$A$1:$A$1446,$A511,Comptabilité!$B$1:$B$1446,$B511,Comptabilité!$C$1:$C$1446,"2026"),0))</f>
        <v>0</v>
      </c>
      <c r="G511">
        <f>IF($A511="","",IF($D511="V01",Cadrage!$C$23,IF($D511="V02",Cadrage!$D$23,Cadrage!$E$23)))</f>
        <v>-0.05</v>
      </c>
      <c r="H511">
        <f>IF($A511="","",IF($D511="V01",Cadrage!$C$24,IF($D511="V02",Cadrage!$D$24,Cadrage!$E$24)))</f>
        <v>-0.05</v>
      </c>
      <c r="I511">
        <f>IF($A511="","",IF($D511="V01",Cadrage!$C$34,IF($D511="V02",Cadrage!$D$34,Cadrage!$E$34)))</f>
        <v>0.03</v>
      </c>
      <c r="J511">
        <f>IF($A511="","",IF($D511="V01",Cadrage!$C$35,IF($D511="V02",Cadrage!$D$35,Cadrage!$E$35)))</f>
        <v>0.03</v>
      </c>
      <c r="K511">
        <f>IF($A511="","",IF($D511="V01",Cadrage!$C$36,IF($D511="V02",Cadrage!$D$36,Cadrage!$E$36)))</f>
        <v>0.05</v>
      </c>
      <c r="L511">
        <f>IF($A511="","",IF($D511="V01",Cadrage!$C$37,IF($D511="V02",Cadrage!$D$37,Cadrage!$E$37)))</f>
        <v>0</v>
      </c>
      <c r="M511">
        <f>IF($A511="","",IF($D511="V01",Cadrage!$C$38,IF($D511="V02",Cadrage!$D$38,Cadrage!$E$38)))</f>
        <v>0.04</v>
      </c>
      <c r="N511">
        <f t="shared" si="1"/>
        <v>0.980622079131853</v>
      </c>
      <c r="O511">
        <f t="shared" si="2"/>
        <v>1.0712</v>
      </c>
      <c r="P511">
        <f>IF($A511="","",IF($E511=1,$F511*$O511,PNL!G511))</f>
        <v>25123.58</v>
      </c>
      <c r="T511">
        <f t="shared" si="3"/>
        <v>0</v>
      </c>
    </row>
    <row r="512" ht="14.25" customHeight="1">
      <c r="A512" t="str">
        <f>IF(PNL!A512="","",PNL!A512)</f>
        <v>MBWAY_NAN</v>
      </c>
      <c r="B512" t="str">
        <f>IF(PNL!B512="","",PNL!B512)</f>
        <v>616</v>
      </c>
      <c r="C512" t="str">
        <f>IF(PNL!C512="","",PNL!C512)</f>
        <v>2026</v>
      </c>
      <c r="D512" t="str">
        <f>IF(PNL!D512="","",PNL!D512)</f>
        <v>ACT</v>
      </c>
      <c r="E512">
        <f t="shared" si="0"/>
        <v>0</v>
      </c>
      <c r="F512">
        <f>IF($A512="","",IF($E512=1,_xlfn.SUMIFS(Comptabilité!$F$1:$F$1446,Comptabilité!$A$1:$A$1446,$A512,Comptabilité!$B$1:$B$1446,$B512,Comptabilité!$C$1:$C$1446,"2026"),0))</f>
        <v>0</v>
      </c>
      <c r="G512">
        <f>IF($A512="","",IF($D512="V01",Cadrage!$C$23,IF($D512="V02",Cadrage!$D$23,Cadrage!$E$23)))</f>
        <v>-0.05</v>
      </c>
      <c r="H512">
        <f>IF($A512="","",IF($D512="V01",Cadrage!$C$24,IF($D512="V02",Cadrage!$D$24,Cadrage!$E$24)))</f>
        <v>-0.05</v>
      </c>
      <c r="I512">
        <f>IF($A512="","",IF($D512="V01",Cadrage!$C$34,IF($D512="V02",Cadrage!$D$34,Cadrage!$E$34)))</f>
        <v>0.03</v>
      </c>
      <c r="J512">
        <f>IF($A512="","",IF($D512="V01",Cadrage!$C$35,IF($D512="V02",Cadrage!$D$35,Cadrage!$E$35)))</f>
        <v>0.03</v>
      </c>
      <c r="K512">
        <f>IF($A512="","",IF($D512="V01",Cadrage!$C$36,IF($D512="V02",Cadrage!$D$36,Cadrage!$E$36)))</f>
        <v>0.05</v>
      </c>
      <c r="L512">
        <f>IF($A512="","",IF($D512="V01",Cadrage!$C$37,IF($D512="V02",Cadrage!$D$37,Cadrage!$E$37)))</f>
        <v>0</v>
      </c>
      <c r="M512">
        <f>IF($A512="","",IF($D512="V01",Cadrage!$C$38,IF($D512="V02",Cadrage!$D$38,Cadrage!$E$38)))</f>
        <v>0.04</v>
      </c>
      <c r="N512">
        <f t="shared" si="1"/>
        <v>0.980622079131853</v>
      </c>
      <c r="O512">
        <f t="shared" si="2"/>
        <v>1.0712</v>
      </c>
      <c r="P512">
        <f>IF($A512="","",IF($E512=1,$F512*$O512,PNL!G512))</f>
        <v>21245.01</v>
      </c>
      <c r="T512">
        <f t="shared" si="3"/>
        <v>0</v>
      </c>
    </row>
    <row r="513" ht="14.25" customHeight="1">
      <c r="A513" t="str">
        <f>IF(PNL!A513="","",PNL!A513)</f>
        <v>MBWAY_BOR</v>
      </c>
      <c r="B513" t="str">
        <f>IF(PNL!B513="","",PNL!B513)</f>
        <v>616</v>
      </c>
      <c r="C513" t="str">
        <f>IF(PNL!C513="","",PNL!C513)</f>
        <v>2026</v>
      </c>
      <c r="D513" t="str">
        <f>IF(PNL!D513="","",PNL!D513)</f>
        <v>ACT</v>
      </c>
      <c r="E513">
        <f t="shared" si="0"/>
        <v>0</v>
      </c>
      <c r="F513">
        <f>IF($A513="","",IF($E513=1,_xlfn.SUMIFS(Comptabilité!$F$1:$F$1446,Comptabilité!$A$1:$A$1446,$A513,Comptabilité!$B$1:$B$1446,$B513,Comptabilité!$C$1:$C$1446,"2026"),0))</f>
        <v>0</v>
      </c>
      <c r="G513">
        <f>IF($A513="","",IF($D513="V01",Cadrage!$C$23,IF($D513="V02",Cadrage!$D$23,Cadrage!$E$23)))</f>
        <v>-0.05</v>
      </c>
      <c r="H513">
        <f>IF($A513="","",IF($D513="V01",Cadrage!$C$24,IF($D513="V02",Cadrage!$D$24,Cadrage!$E$24)))</f>
        <v>-0.05</v>
      </c>
      <c r="I513">
        <f>IF($A513="","",IF($D513="V01",Cadrage!$C$34,IF($D513="V02",Cadrage!$D$34,Cadrage!$E$34)))</f>
        <v>0.03</v>
      </c>
      <c r="J513">
        <f>IF($A513="","",IF($D513="V01",Cadrage!$C$35,IF($D513="V02",Cadrage!$D$35,Cadrage!$E$35)))</f>
        <v>0.03</v>
      </c>
      <c r="K513">
        <f>IF($A513="","",IF($D513="V01",Cadrage!$C$36,IF($D513="V02",Cadrage!$D$36,Cadrage!$E$36)))</f>
        <v>0.05</v>
      </c>
      <c r="L513">
        <f>IF($A513="","",IF($D513="V01",Cadrage!$C$37,IF($D513="V02",Cadrage!$D$37,Cadrage!$E$37)))</f>
        <v>0</v>
      </c>
      <c r="M513">
        <f>IF($A513="","",IF($D513="V01",Cadrage!$C$38,IF($D513="V02",Cadrage!$D$38,Cadrage!$E$38)))</f>
        <v>0.04</v>
      </c>
      <c r="N513">
        <f t="shared" si="1"/>
        <v>0.980622079131853</v>
      </c>
      <c r="O513">
        <f t="shared" si="2"/>
        <v>1.0712</v>
      </c>
      <c r="P513">
        <f>IF($A513="","",IF($E513=1,$F513*$O513,PNL!G513))</f>
        <v>17583.04</v>
      </c>
      <c r="T513">
        <f t="shared" si="3"/>
        <v>0</v>
      </c>
    </row>
    <row r="514" ht="14.25" customHeight="1">
      <c r="A514" t="str">
        <f>IF(PNL!A514="","",PNL!A514)</f>
        <v>ISCOM_PAR</v>
      </c>
      <c r="B514" t="str">
        <f>IF(PNL!B514="","",PNL!B514)</f>
        <v>616</v>
      </c>
      <c r="C514" t="str">
        <f>IF(PNL!C514="","",PNL!C514)</f>
        <v>2026</v>
      </c>
      <c r="D514" t="str">
        <f>IF(PNL!D514="","",PNL!D514)</f>
        <v>ACT</v>
      </c>
      <c r="E514">
        <f t="shared" si="0"/>
        <v>0</v>
      </c>
      <c r="F514">
        <f>IF($A514="","",IF($E514=1,_xlfn.SUMIFS(Comptabilité!$F$1:$F$1446,Comptabilité!$A$1:$A$1446,$A514,Comptabilité!$B$1:$B$1446,$B514,Comptabilité!$C$1:$C$1446,"2026"),0))</f>
        <v>0</v>
      </c>
      <c r="G514">
        <f>IF($A514="","",IF($D514="V01",Cadrage!$C$23,IF($D514="V02",Cadrage!$D$23,Cadrage!$E$23)))</f>
        <v>-0.05</v>
      </c>
      <c r="H514">
        <f>IF($A514="","",IF($D514="V01",Cadrage!$C$24,IF($D514="V02",Cadrage!$D$24,Cadrage!$E$24)))</f>
        <v>-0.05</v>
      </c>
      <c r="I514">
        <f>IF($A514="","",IF($D514="V01",Cadrage!$C$34,IF($D514="V02",Cadrage!$D$34,Cadrage!$E$34)))</f>
        <v>0.03</v>
      </c>
      <c r="J514">
        <f>IF($A514="","",IF($D514="V01",Cadrage!$C$35,IF($D514="V02",Cadrage!$D$35,Cadrage!$E$35)))</f>
        <v>0.03</v>
      </c>
      <c r="K514">
        <f>IF($A514="","",IF($D514="V01",Cadrage!$C$36,IF($D514="V02",Cadrage!$D$36,Cadrage!$E$36)))</f>
        <v>0.05</v>
      </c>
      <c r="L514">
        <f>IF($A514="","",IF($D514="V01",Cadrage!$C$37,IF($D514="V02",Cadrage!$D$37,Cadrage!$E$37)))</f>
        <v>0</v>
      </c>
      <c r="M514">
        <f>IF($A514="","",IF($D514="V01",Cadrage!$C$38,IF($D514="V02",Cadrage!$D$38,Cadrage!$E$38)))</f>
        <v>0.04</v>
      </c>
      <c r="N514">
        <f t="shared" si="1"/>
        <v>0.980622079131853</v>
      </c>
      <c r="O514">
        <f t="shared" si="2"/>
        <v>1.0712</v>
      </c>
      <c r="P514">
        <f>IF($A514="","",IF($E514=1,$F514*$O514,PNL!G514))</f>
        <v>29012.78</v>
      </c>
      <c r="T514">
        <f t="shared" si="3"/>
        <v>0</v>
      </c>
    </row>
    <row r="515" ht="14.25" customHeight="1">
      <c r="A515" t="str">
        <f>IF(PNL!A515="","",PNL!A515)</f>
        <v>ISCOM_LIL</v>
      </c>
      <c r="B515" t="str">
        <f>IF(PNL!B515="","",PNL!B515)</f>
        <v>616</v>
      </c>
      <c r="C515" t="str">
        <f>IF(PNL!C515="","",PNL!C515)</f>
        <v>2026</v>
      </c>
      <c r="D515" t="str">
        <f>IF(PNL!D515="","",PNL!D515)</f>
        <v>ACT</v>
      </c>
      <c r="E515">
        <f t="shared" si="0"/>
        <v>0</v>
      </c>
      <c r="F515">
        <f>IF($A515="","",IF($E515=1,_xlfn.SUMIFS(Comptabilité!$F$1:$F$1446,Comptabilité!$A$1:$A$1446,$A515,Comptabilité!$B$1:$B$1446,$B515,Comptabilité!$C$1:$C$1446,"2026"),0))</f>
        <v>0</v>
      </c>
      <c r="G515">
        <f>IF($A515="","",IF($D515="V01",Cadrage!$C$23,IF($D515="V02",Cadrage!$D$23,Cadrage!$E$23)))</f>
        <v>-0.05</v>
      </c>
      <c r="H515">
        <f>IF($A515="","",IF($D515="V01",Cadrage!$C$24,IF($D515="V02",Cadrage!$D$24,Cadrage!$E$24)))</f>
        <v>-0.05</v>
      </c>
      <c r="I515">
        <f>IF($A515="","",IF($D515="V01",Cadrage!$C$34,IF($D515="V02",Cadrage!$D$34,Cadrage!$E$34)))</f>
        <v>0.03</v>
      </c>
      <c r="J515">
        <f>IF($A515="","",IF($D515="V01",Cadrage!$C$35,IF($D515="V02",Cadrage!$D$35,Cadrage!$E$35)))</f>
        <v>0.03</v>
      </c>
      <c r="K515">
        <f>IF($A515="","",IF($D515="V01",Cadrage!$C$36,IF($D515="V02",Cadrage!$D$36,Cadrage!$E$36)))</f>
        <v>0.05</v>
      </c>
      <c r="L515">
        <f>IF($A515="","",IF($D515="V01",Cadrage!$C$37,IF($D515="V02",Cadrage!$D$37,Cadrage!$E$37)))</f>
        <v>0</v>
      </c>
      <c r="M515">
        <f>IF($A515="","",IF($D515="V01",Cadrage!$C$38,IF($D515="V02",Cadrage!$D$38,Cadrage!$E$38)))</f>
        <v>0.04</v>
      </c>
      <c r="N515">
        <f t="shared" si="1"/>
        <v>0.980622079131853</v>
      </c>
      <c r="O515">
        <f t="shared" si="2"/>
        <v>1.0712</v>
      </c>
      <c r="P515">
        <f>IF($A515="","",IF($E515=1,$F515*$O515,PNL!G515))</f>
        <v>17496.6</v>
      </c>
      <c r="T515">
        <f t="shared" si="3"/>
        <v>0</v>
      </c>
    </row>
    <row r="516" ht="14.25" customHeight="1">
      <c r="A516" t="str">
        <f>IF(PNL!A516="","",PNL!A516)</f>
        <v>ISCOM_TLS</v>
      </c>
      <c r="B516" t="str">
        <f>IF(PNL!B516="","",PNL!B516)</f>
        <v>616</v>
      </c>
      <c r="C516" t="str">
        <f>IF(PNL!C516="","",PNL!C516)</f>
        <v>2026</v>
      </c>
      <c r="D516" t="str">
        <f>IF(PNL!D516="","",PNL!D516)</f>
        <v>ACT</v>
      </c>
      <c r="E516">
        <f t="shared" si="0"/>
        <v>0</v>
      </c>
      <c r="F516">
        <f>IF($A516="","",IF($E516=1,_xlfn.SUMIFS(Comptabilité!$F$1:$F$1446,Comptabilité!$A$1:$A$1446,$A516,Comptabilité!$B$1:$B$1446,$B516,Comptabilité!$C$1:$C$1446,"2026"),0))</f>
        <v>0</v>
      </c>
      <c r="G516">
        <f>IF($A516="","",IF($D516="V01",Cadrage!$C$23,IF($D516="V02",Cadrage!$D$23,Cadrage!$E$23)))</f>
        <v>-0.05</v>
      </c>
      <c r="H516">
        <f>IF($A516="","",IF($D516="V01",Cadrage!$C$24,IF($D516="V02",Cadrage!$D$24,Cadrage!$E$24)))</f>
        <v>-0.05</v>
      </c>
      <c r="I516">
        <f>IF($A516="","",IF($D516="V01",Cadrage!$C$34,IF($D516="V02",Cadrage!$D$34,Cadrage!$E$34)))</f>
        <v>0.03</v>
      </c>
      <c r="J516">
        <f>IF($A516="","",IF($D516="V01",Cadrage!$C$35,IF($D516="V02",Cadrage!$D$35,Cadrage!$E$35)))</f>
        <v>0.03</v>
      </c>
      <c r="K516">
        <f>IF($A516="","",IF($D516="V01",Cadrage!$C$36,IF($D516="V02",Cadrage!$D$36,Cadrage!$E$36)))</f>
        <v>0.05</v>
      </c>
      <c r="L516">
        <f>IF($A516="","",IF($D516="V01",Cadrage!$C$37,IF($D516="V02",Cadrage!$D$37,Cadrage!$E$37)))</f>
        <v>0</v>
      </c>
      <c r="M516">
        <f>IF($A516="","",IF($D516="V01",Cadrage!$C$38,IF($D516="V02",Cadrage!$D$38,Cadrage!$E$38)))</f>
        <v>0.04</v>
      </c>
      <c r="N516">
        <f t="shared" si="1"/>
        <v>0.980622079131853</v>
      </c>
      <c r="O516">
        <f t="shared" si="2"/>
        <v>1.0712</v>
      </c>
      <c r="P516">
        <f>IF($A516="","",IF($E516=1,$F516*$O516,PNL!G516))</f>
        <v>15575.06</v>
      </c>
      <c r="T516">
        <f t="shared" si="3"/>
        <v>0</v>
      </c>
    </row>
    <row r="517" ht="14.25" customHeight="1">
      <c r="A517" t="str">
        <f>IF(PNL!A517="","",PNL!A517)</f>
        <v>IPAC_NAN</v>
      </c>
      <c r="B517" t="str">
        <f>IF(PNL!B517="","",PNL!B517)</f>
        <v>616</v>
      </c>
      <c r="C517" t="str">
        <f>IF(PNL!C517="","",PNL!C517)</f>
        <v>2026</v>
      </c>
      <c r="D517" t="str">
        <f>IF(PNL!D517="","",PNL!D517)</f>
        <v>ACT</v>
      </c>
      <c r="E517">
        <f t="shared" si="0"/>
        <v>0</v>
      </c>
      <c r="F517">
        <f>IF($A517="","",IF($E517=1,_xlfn.SUMIFS(Comptabilité!$F$1:$F$1446,Comptabilité!$A$1:$A$1446,$A517,Comptabilité!$B$1:$B$1446,$B517,Comptabilité!$C$1:$C$1446,"2026"),0))</f>
        <v>0</v>
      </c>
      <c r="G517">
        <f>IF($A517="","",IF($D517="V01",Cadrage!$C$23,IF($D517="V02",Cadrage!$D$23,Cadrage!$E$23)))</f>
        <v>-0.05</v>
      </c>
      <c r="H517">
        <f>IF($A517="","",IF($D517="V01",Cadrage!$C$24,IF($D517="V02",Cadrage!$D$24,Cadrage!$E$24)))</f>
        <v>-0.05</v>
      </c>
      <c r="I517">
        <f>IF($A517="","",IF($D517="V01",Cadrage!$C$34,IF($D517="V02",Cadrage!$D$34,Cadrage!$E$34)))</f>
        <v>0.03</v>
      </c>
      <c r="J517">
        <f>IF($A517="","",IF($D517="V01",Cadrage!$C$35,IF($D517="V02",Cadrage!$D$35,Cadrage!$E$35)))</f>
        <v>0.03</v>
      </c>
      <c r="K517">
        <f>IF($A517="","",IF($D517="V01",Cadrage!$C$36,IF($D517="V02",Cadrage!$D$36,Cadrage!$E$36)))</f>
        <v>0.05</v>
      </c>
      <c r="L517">
        <f>IF($A517="","",IF($D517="V01",Cadrage!$C$37,IF($D517="V02",Cadrage!$D$37,Cadrage!$E$37)))</f>
        <v>0</v>
      </c>
      <c r="M517">
        <f>IF($A517="","",IF($D517="V01",Cadrage!$C$38,IF($D517="V02",Cadrage!$D$38,Cadrage!$E$38)))</f>
        <v>0.04</v>
      </c>
      <c r="N517">
        <f t="shared" si="1"/>
        <v>0.980622079131853</v>
      </c>
      <c r="O517">
        <f t="shared" si="2"/>
        <v>1.0712</v>
      </c>
      <c r="P517">
        <f>IF($A517="","",IF($E517=1,$F517*$O517,PNL!G517))</f>
        <v>10237.3</v>
      </c>
      <c r="T517">
        <f t="shared" si="3"/>
        <v>0</v>
      </c>
    </row>
    <row r="518" ht="14.25" customHeight="1">
      <c r="A518" t="str">
        <f>IF(PNL!A518="","",PNL!A518)</f>
        <v>IPAC_REN</v>
      </c>
      <c r="B518" t="str">
        <f>IF(PNL!B518="","",PNL!B518)</f>
        <v>616</v>
      </c>
      <c r="C518" t="str">
        <f>IF(PNL!C518="","",PNL!C518)</f>
        <v>2026</v>
      </c>
      <c r="D518" t="str">
        <f>IF(PNL!D518="","",PNL!D518)</f>
        <v>ACT</v>
      </c>
      <c r="E518">
        <f t="shared" si="0"/>
        <v>0</v>
      </c>
      <c r="F518">
        <f>IF($A518="","",IF($E518=1,_xlfn.SUMIFS(Comptabilité!$F$1:$F$1446,Comptabilité!$A$1:$A$1446,$A518,Comptabilité!$B$1:$B$1446,$B518,Comptabilité!$C$1:$C$1446,"2026"),0))</f>
        <v>0</v>
      </c>
      <c r="G518">
        <f>IF($A518="","",IF($D518="V01",Cadrage!$C$23,IF($D518="V02",Cadrage!$D$23,Cadrage!$E$23)))</f>
        <v>-0.05</v>
      </c>
      <c r="H518">
        <f>IF($A518="","",IF($D518="V01",Cadrage!$C$24,IF($D518="V02",Cadrage!$D$24,Cadrage!$E$24)))</f>
        <v>-0.05</v>
      </c>
      <c r="I518">
        <f>IF($A518="","",IF($D518="V01",Cadrage!$C$34,IF($D518="V02",Cadrage!$D$34,Cadrage!$E$34)))</f>
        <v>0.03</v>
      </c>
      <c r="J518">
        <f>IF($A518="","",IF($D518="V01",Cadrage!$C$35,IF($D518="V02",Cadrage!$D$35,Cadrage!$E$35)))</f>
        <v>0.03</v>
      </c>
      <c r="K518">
        <f>IF($A518="","",IF($D518="V01",Cadrage!$C$36,IF($D518="V02",Cadrage!$D$36,Cadrage!$E$36)))</f>
        <v>0.05</v>
      </c>
      <c r="L518">
        <f>IF($A518="","",IF($D518="V01",Cadrage!$C$37,IF($D518="V02",Cadrage!$D$37,Cadrage!$E$37)))</f>
        <v>0</v>
      </c>
      <c r="M518">
        <f>IF($A518="","",IF($D518="V01",Cadrage!$C$38,IF($D518="V02",Cadrage!$D$38,Cadrage!$E$38)))</f>
        <v>0.04</v>
      </c>
      <c r="N518">
        <f t="shared" si="1"/>
        <v>0.980622079131853</v>
      </c>
      <c r="O518">
        <f t="shared" si="2"/>
        <v>1.0712</v>
      </c>
      <c r="P518">
        <f>IF($A518="","",IF($E518=1,$F518*$O518,PNL!G518))</f>
        <v>6688.26</v>
      </c>
      <c r="T518">
        <f t="shared" si="3"/>
        <v>0</v>
      </c>
    </row>
    <row r="519" ht="14.25" customHeight="1">
      <c r="A519" t="str">
        <f>IF(PNL!A519="","",PNL!A519)</f>
        <v>IPAC_MTP</v>
      </c>
      <c r="B519" t="str">
        <f>IF(PNL!B519="","",PNL!B519)</f>
        <v>616</v>
      </c>
      <c r="C519" t="str">
        <f>IF(PNL!C519="","",PNL!C519)</f>
        <v>2026</v>
      </c>
      <c r="D519" t="str">
        <f>IF(PNL!D519="","",PNL!D519)</f>
        <v>ACT</v>
      </c>
      <c r="E519">
        <f t="shared" si="0"/>
        <v>0</v>
      </c>
      <c r="F519">
        <f>IF($A519="","",IF($E519=1,_xlfn.SUMIFS(Comptabilité!$F$1:$F$1446,Comptabilité!$A$1:$A$1446,$A519,Comptabilité!$B$1:$B$1446,$B519,Comptabilité!$C$1:$C$1446,"2026"),0))</f>
        <v>0</v>
      </c>
      <c r="G519">
        <f>IF($A519="","",IF($D519="V01",Cadrage!$C$23,IF($D519="V02",Cadrage!$D$23,Cadrage!$E$23)))</f>
        <v>-0.05</v>
      </c>
      <c r="H519">
        <f>IF($A519="","",IF($D519="V01",Cadrage!$C$24,IF($D519="V02",Cadrage!$D$24,Cadrage!$E$24)))</f>
        <v>-0.05</v>
      </c>
      <c r="I519">
        <f>IF($A519="","",IF($D519="V01",Cadrage!$C$34,IF($D519="V02",Cadrage!$D$34,Cadrage!$E$34)))</f>
        <v>0.03</v>
      </c>
      <c r="J519">
        <f>IF($A519="","",IF($D519="V01",Cadrage!$C$35,IF($D519="V02",Cadrage!$D$35,Cadrage!$E$35)))</f>
        <v>0.03</v>
      </c>
      <c r="K519">
        <f>IF($A519="","",IF($D519="V01",Cadrage!$C$36,IF($D519="V02",Cadrage!$D$36,Cadrage!$E$36)))</f>
        <v>0.05</v>
      </c>
      <c r="L519">
        <f>IF($A519="","",IF($D519="V01",Cadrage!$C$37,IF($D519="V02",Cadrage!$D$37,Cadrage!$E$37)))</f>
        <v>0</v>
      </c>
      <c r="M519">
        <f>IF($A519="","",IF($D519="V01",Cadrage!$C$38,IF($D519="V02",Cadrage!$D$38,Cadrage!$E$38)))</f>
        <v>0.04</v>
      </c>
      <c r="N519">
        <f t="shared" si="1"/>
        <v>0.980622079131853</v>
      </c>
      <c r="O519">
        <f t="shared" si="2"/>
        <v>1.0712</v>
      </c>
      <c r="P519">
        <f>IF($A519="","",IF($E519=1,$F519*$O519,PNL!G519))</f>
        <v>6684.27</v>
      </c>
      <c r="T519">
        <f t="shared" si="3"/>
        <v>0</v>
      </c>
    </row>
    <row r="520" ht="14.25" customHeight="1">
      <c r="A520" t="str">
        <f>IF(PNL!A520="","",PNL!A520)</f>
        <v>PIGIER_LYO</v>
      </c>
      <c r="B520" t="str">
        <f>IF(PNL!B520="","",PNL!B520)</f>
        <v>616</v>
      </c>
      <c r="C520" t="str">
        <f>IF(PNL!C520="","",PNL!C520)</f>
        <v>2026</v>
      </c>
      <c r="D520" t="str">
        <f>IF(PNL!D520="","",PNL!D520)</f>
        <v>ACT</v>
      </c>
      <c r="E520">
        <f t="shared" si="0"/>
        <v>0</v>
      </c>
      <c r="F520">
        <f>IF($A520="","",IF($E520=1,_xlfn.SUMIFS(Comptabilité!$F$1:$F$1446,Comptabilité!$A$1:$A$1446,$A520,Comptabilité!$B$1:$B$1446,$B520,Comptabilité!$C$1:$C$1446,"2026"),0))</f>
        <v>0</v>
      </c>
      <c r="G520">
        <f>IF($A520="","",IF($D520="V01",Cadrage!$C$23,IF($D520="V02",Cadrage!$D$23,Cadrage!$E$23)))</f>
        <v>-0.05</v>
      </c>
      <c r="H520">
        <f>IF($A520="","",IF($D520="V01",Cadrage!$C$24,IF($D520="V02",Cadrage!$D$24,Cadrage!$E$24)))</f>
        <v>-0.05</v>
      </c>
      <c r="I520">
        <f>IF($A520="","",IF($D520="V01",Cadrage!$C$34,IF($D520="V02",Cadrage!$D$34,Cadrage!$E$34)))</f>
        <v>0.03</v>
      </c>
      <c r="J520">
        <f>IF($A520="","",IF($D520="V01",Cadrage!$C$35,IF($D520="V02",Cadrage!$D$35,Cadrage!$E$35)))</f>
        <v>0.03</v>
      </c>
      <c r="K520">
        <f>IF($A520="","",IF($D520="V01",Cadrage!$C$36,IF($D520="V02",Cadrage!$D$36,Cadrage!$E$36)))</f>
        <v>0.05</v>
      </c>
      <c r="L520">
        <f>IF($A520="","",IF($D520="V01",Cadrage!$C$37,IF($D520="V02",Cadrage!$D$37,Cadrage!$E$37)))</f>
        <v>0</v>
      </c>
      <c r="M520">
        <f>IF($A520="","",IF($D520="V01",Cadrage!$C$38,IF($D520="V02",Cadrage!$D$38,Cadrage!$E$38)))</f>
        <v>0.04</v>
      </c>
      <c r="N520">
        <f t="shared" si="1"/>
        <v>0.980622079131853</v>
      </c>
      <c r="O520">
        <f t="shared" si="2"/>
        <v>1.0712</v>
      </c>
      <c r="P520">
        <f>IF($A520="","",IF($E520=1,$F520*$O520,PNL!G520))</f>
        <v>13828.43</v>
      </c>
      <c r="T520">
        <f t="shared" si="3"/>
        <v>0</v>
      </c>
    </row>
    <row r="521" ht="14.25" customHeight="1">
      <c r="A521" t="str">
        <f>IF(PNL!A521="","",PNL!A521)</f>
        <v>PIGIER_BOR</v>
      </c>
      <c r="B521" t="str">
        <f>IF(PNL!B521="","",PNL!B521)</f>
        <v>616</v>
      </c>
      <c r="C521" t="str">
        <f>IF(PNL!C521="","",PNL!C521)</f>
        <v>2026</v>
      </c>
      <c r="D521" t="str">
        <f>IF(PNL!D521="","",PNL!D521)</f>
        <v>ACT</v>
      </c>
      <c r="E521">
        <f t="shared" si="0"/>
        <v>0</v>
      </c>
      <c r="F521">
        <f>IF($A521="","",IF($E521=1,_xlfn.SUMIFS(Comptabilité!$F$1:$F$1446,Comptabilité!$A$1:$A$1446,$A521,Comptabilité!$B$1:$B$1446,$B521,Comptabilité!$C$1:$C$1446,"2026"),0))</f>
        <v>0</v>
      </c>
      <c r="G521">
        <f>IF($A521="","",IF($D521="V01",Cadrage!$C$23,IF($D521="V02",Cadrage!$D$23,Cadrage!$E$23)))</f>
        <v>-0.05</v>
      </c>
      <c r="H521">
        <f>IF($A521="","",IF($D521="V01",Cadrage!$C$24,IF($D521="V02",Cadrage!$D$24,Cadrage!$E$24)))</f>
        <v>-0.05</v>
      </c>
      <c r="I521">
        <f>IF($A521="","",IF($D521="V01",Cadrage!$C$34,IF($D521="V02",Cadrage!$D$34,Cadrage!$E$34)))</f>
        <v>0.03</v>
      </c>
      <c r="J521">
        <f>IF($A521="","",IF($D521="V01",Cadrage!$C$35,IF($D521="V02",Cadrage!$D$35,Cadrage!$E$35)))</f>
        <v>0.03</v>
      </c>
      <c r="K521">
        <f>IF($A521="","",IF($D521="V01",Cadrage!$C$36,IF($D521="V02",Cadrage!$D$36,Cadrage!$E$36)))</f>
        <v>0.05</v>
      </c>
      <c r="L521">
        <f>IF($A521="","",IF($D521="V01",Cadrage!$C$37,IF($D521="V02",Cadrage!$D$37,Cadrage!$E$37)))</f>
        <v>0</v>
      </c>
      <c r="M521">
        <f>IF($A521="","",IF($D521="V01",Cadrage!$C$38,IF($D521="V02",Cadrage!$D$38,Cadrage!$E$38)))</f>
        <v>0.04</v>
      </c>
      <c r="N521">
        <f t="shared" si="1"/>
        <v>0.980622079131853</v>
      </c>
      <c r="O521">
        <f t="shared" si="2"/>
        <v>1.0712</v>
      </c>
      <c r="P521">
        <f>IF($A521="","",IF($E521=1,$F521*$O521,PNL!G521))</f>
        <v>8171.39</v>
      </c>
      <c r="T521">
        <f t="shared" si="3"/>
        <v>0</v>
      </c>
    </row>
    <row r="522" ht="14.25" customHeight="1">
      <c r="A522" t="str">
        <f>IF(PNL!A522="","",PNL!A522)</f>
        <v>TUNON_PAR</v>
      </c>
      <c r="B522" t="str">
        <f>IF(PNL!B522="","",PNL!B522)</f>
        <v>616</v>
      </c>
      <c r="C522" t="str">
        <f>IF(PNL!C522="","",PNL!C522)</f>
        <v>2026</v>
      </c>
      <c r="D522" t="str">
        <f>IF(PNL!D522="","",PNL!D522)</f>
        <v>ACT</v>
      </c>
      <c r="E522">
        <f t="shared" si="0"/>
        <v>0</v>
      </c>
      <c r="F522">
        <f>IF($A522="","",IF($E522=1,_xlfn.SUMIFS(Comptabilité!$F$1:$F$1446,Comptabilité!$A$1:$A$1446,$A522,Comptabilité!$B$1:$B$1446,$B522,Comptabilité!$C$1:$C$1446,"2026"),0))</f>
        <v>0</v>
      </c>
      <c r="G522">
        <f>IF($A522="","",IF($D522="V01",Cadrage!$C$23,IF($D522="V02",Cadrage!$D$23,Cadrage!$E$23)))</f>
        <v>-0.05</v>
      </c>
      <c r="H522">
        <f>IF($A522="","",IF($D522="V01",Cadrage!$C$24,IF($D522="V02",Cadrage!$D$24,Cadrage!$E$24)))</f>
        <v>-0.05</v>
      </c>
      <c r="I522">
        <f>IF($A522="","",IF($D522="V01",Cadrage!$C$34,IF($D522="V02",Cadrage!$D$34,Cadrage!$E$34)))</f>
        <v>0.03</v>
      </c>
      <c r="J522">
        <f>IF($A522="","",IF($D522="V01",Cadrage!$C$35,IF($D522="V02",Cadrage!$D$35,Cadrage!$E$35)))</f>
        <v>0.03</v>
      </c>
      <c r="K522">
        <f>IF($A522="","",IF($D522="V01",Cadrage!$C$36,IF($D522="V02",Cadrage!$D$36,Cadrage!$E$36)))</f>
        <v>0.05</v>
      </c>
      <c r="L522">
        <f>IF($A522="","",IF($D522="V01",Cadrage!$C$37,IF($D522="V02",Cadrage!$D$37,Cadrage!$E$37)))</f>
        <v>0</v>
      </c>
      <c r="M522">
        <f>IF($A522="","",IF($D522="V01",Cadrage!$C$38,IF($D522="V02",Cadrage!$D$38,Cadrage!$E$38)))</f>
        <v>0.04</v>
      </c>
      <c r="N522">
        <f t="shared" si="1"/>
        <v>0.980622079131853</v>
      </c>
      <c r="O522">
        <f t="shared" si="2"/>
        <v>1.0712</v>
      </c>
      <c r="P522">
        <f>IF($A522="","",IF($E522=1,$F522*$O522,PNL!G522))</f>
        <v>12940.95</v>
      </c>
      <c r="T522">
        <f t="shared" si="3"/>
        <v>0</v>
      </c>
    </row>
    <row r="523" ht="14.25" customHeight="1">
      <c r="A523" t="str">
        <f>IF(PNL!A523="","",PNL!A523)</f>
        <v>TUNON_LYO</v>
      </c>
      <c r="B523" t="str">
        <f>IF(PNL!B523="","",PNL!B523)</f>
        <v>616</v>
      </c>
      <c r="C523" t="str">
        <f>IF(PNL!C523="","",PNL!C523)</f>
        <v>2026</v>
      </c>
      <c r="D523" t="str">
        <f>IF(PNL!D523="","",PNL!D523)</f>
        <v>ACT</v>
      </c>
      <c r="E523">
        <f t="shared" si="0"/>
        <v>0</v>
      </c>
      <c r="F523">
        <f>IF($A523="","",IF($E523=1,_xlfn.SUMIFS(Comptabilité!$F$1:$F$1446,Comptabilité!$A$1:$A$1446,$A523,Comptabilité!$B$1:$B$1446,$B523,Comptabilité!$C$1:$C$1446,"2026"),0))</f>
        <v>0</v>
      </c>
      <c r="G523">
        <f>IF($A523="","",IF($D523="V01",Cadrage!$C$23,IF($D523="V02",Cadrage!$D$23,Cadrage!$E$23)))</f>
        <v>-0.05</v>
      </c>
      <c r="H523">
        <f>IF($A523="","",IF($D523="V01",Cadrage!$C$24,IF($D523="V02",Cadrage!$D$24,Cadrage!$E$24)))</f>
        <v>-0.05</v>
      </c>
      <c r="I523">
        <f>IF($A523="","",IF($D523="V01",Cadrage!$C$34,IF($D523="V02",Cadrage!$D$34,Cadrage!$E$34)))</f>
        <v>0.03</v>
      </c>
      <c r="J523">
        <f>IF($A523="","",IF($D523="V01",Cadrage!$C$35,IF($D523="V02",Cadrage!$D$35,Cadrage!$E$35)))</f>
        <v>0.03</v>
      </c>
      <c r="K523">
        <f>IF($A523="","",IF($D523="V01",Cadrage!$C$36,IF($D523="V02",Cadrage!$D$36,Cadrage!$E$36)))</f>
        <v>0.05</v>
      </c>
      <c r="L523">
        <f>IF($A523="","",IF($D523="V01",Cadrage!$C$37,IF($D523="V02",Cadrage!$D$37,Cadrage!$E$37)))</f>
        <v>0</v>
      </c>
      <c r="M523">
        <f>IF($A523="","",IF($D523="V01",Cadrage!$C$38,IF($D523="V02",Cadrage!$D$38,Cadrage!$E$38)))</f>
        <v>0.04</v>
      </c>
      <c r="N523">
        <f t="shared" si="1"/>
        <v>0.980622079131853</v>
      </c>
      <c r="O523">
        <f t="shared" si="2"/>
        <v>1.0712</v>
      </c>
      <c r="P523">
        <f>IF($A523="","",IF($E523=1,$F523*$O523,PNL!G523))</f>
        <v>9133.84</v>
      </c>
      <c r="T523">
        <f t="shared" si="3"/>
        <v>0</v>
      </c>
    </row>
    <row r="524" ht="14.25" customHeight="1">
      <c r="A524" t="str">
        <f>IF(PNL!A524="","",PNL!A524)</f>
        <v>GRP</v>
      </c>
      <c r="B524" t="str">
        <f>IF(PNL!B524="","",PNL!B524)</f>
        <v>6226</v>
      </c>
      <c r="C524" t="str">
        <f>IF(PNL!C524="","",PNL!C524)</f>
        <v>2024</v>
      </c>
      <c r="D524" t="str">
        <f>IF(PNL!D524="","",PNL!D524)</f>
        <v>ACT</v>
      </c>
      <c r="E524">
        <f t="shared" si="0"/>
        <v>0</v>
      </c>
      <c r="F524">
        <f>IF($A524="","",IF($E524=1,_xlfn.SUMIFS(Comptabilité!$F$1:$F$1446,Comptabilité!$A$1:$A$1446,$A524,Comptabilité!$B$1:$B$1446,$B524,Comptabilité!$C$1:$C$1446,"2026"),0))</f>
        <v>0</v>
      </c>
      <c r="G524">
        <f>IF($A524="","",IF($D524="V01",Cadrage!$C$23,IF($D524="V02",Cadrage!$D$23,Cadrage!$E$23)))</f>
        <v>-0.05</v>
      </c>
      <c r="H524">
        <f>IF($A524="","",IF($D524="V01",Cadrage!$C$24,IF($D524="V02",Cadrage!$D$24,Cadrage!$E$24)))</f>
        <v>-0.05</v>
      </c>
      <c r="I524">
        <f>IF($A524="","",IF($D524="V01",Cadrage!$C$34,IF($D524="V02",Cadrage!$D$34,Cadrage!$E$34)))</f>
        <v>0.03</v>
      </c>
      <c r="J524">
        <f>IF($A524="","",IF($D524="V01",Cadrage!$C$35,IF($D524="V02",Cadrage!$D$35,Cadrage!$E$35)))</f>
        <v>0.03</v>
      </c>
      <c r="K524">
        <f>IF($A524="","",IF($D524="V01",Cadrage!$C$36,IF($D524="V02",Cadrage!$D$36,Cadrage!$E$36)))</f>
        <v>0.05</v>
      </c>
      <c r="L524">
        <f>IF($A524="","",IF($D524="V01",Cadrage!$C$37,IF($D524="V02",Cadrage!$D$37,Cadrage!$E$37)))</f>
        <v>0</v>
      </c>
      <c r="M524">
        <f>IF($A524="","",IF($D524="V01",Cadrage!$C$38,IF($D524="V02",Cadrage!$D$38,Cadrage!$E$38)))</f>
        <v>0.04</v>
      </c>
      <c r="N524">
        <f t="shared" si="1"/>
        <v>0.980622079131853</v>
      </c>
      <c r="O524">
        <f t="shared" si="2"/>
        <v>1.0712</v>
      </c>
      <c r="P524">
        <f>IF($A524="","",IF($E524=1,$F524*$O524,PNL!G524))</f>
        <v>515487</v>
      </c>
      <c r="T524">
        <f t="shared" si="3"/>
        <v>0</v>
      </c>
    </row>
    <row r="525" ht="14.25" customHeight="1">
      <c r="A525" t="str">
        <f>IF(PNL!A525="","",PNL!A525)</f>
        <v>GRP</v>
      </c>
      <c r="B525" t="str">
        <f>IF(PNL!B525="","",PNL!B525)</f>
        <v>6226</v>
      </c>
      <c r="C525" t="str">
        <f>IF(PNL!C525="","",PNL!C525)</f>
        <v>2025</v>
      </c>
      <c r="D525" t="str">
        <f>IF(PNL!D525="","",PNL!D525)</f>
        <v>ACT</v>
      </c>
      <c r="E525">
        <f t="shared" si="0"/>
        <v>0</v>
      </c>
      <c r="F525">
        <f>IF($A525="","",IF($E525=1,_xlfn.SUMIFS(Comptabilité!$F$1:$F$1446,Comptabilité!$A$1:$A$1446,$A525,Comptabilité!$B$1:$B$1446,$B525,Comptabilité!$C$1:$C$1446,"2026"),0))</f>
        <v>0</v>
      </c>
      <c r="G525">
        <f>IF($A525="","",IF($D525="V01",Cadrage!$C$23,IF($D525="V02",Cadrage!$D$23,Cadrage!$E$23)))</f>
        <v>-0.05</v>
      </c>
      <c r="H525">
        <f>IF($A525="","",IF($D525="V01",Cadrage!$C$24,IF($D525="V02",Cadrage!$D$24,Cadrage!$E$24)))</f>
        <v>-0.05</v>
      </c>
      <c r="I525">
        <f>IF($A525="","",IF($D525="V01",Cadrage!$C$34,IF($D525="V02",Cadrage!$D$34,Cadrage!$E$34)))</f>
        <v>0.03</v>
      </c>
      <c r="J525">
        <f>IF($A525="","",IF($D525="V01",Cadrage!$C$35,IF($D525="V02",Cadrage!$D$35,Cadrage!$E$35)))</f>
        <v>0.03</v>
      </c>
      <c r="K525">
        <f>IF($A525="","",IF($D525="V01",Cadrage!$C$36,IF($D525="V02",Cadrage!$D$36,Cadrage!$E$36)))</f>
        <v>0.05</v>
      </c>
      <c r="L525">
        <f>IF($A525="","",IF($D525="V01",Cadrage!$C$37,IF($D525="V02",Cadrage!$D$37,Cadrage!$E$37)))</f>
        <v>0</v>
      </c>
      <c r="M525">
        <f>IF($A525="","",IF($D525="V01",Cadrage!$C$38,IF($D525="V02",Cadrage!$D$38,Cadrage!$E$38)))</f>
        <v>0.04</v>
      </c>
      <c r="N525">
        <f t="shared" si="1"/>
        <v>0.980622079131853</v>
      </c>
      <c r="O525">
        <f t="shared" si="2"/>
        <v>1.0712</v>
      </c>
      <c r="P525">
        <f>IF($A525="","",IF($E525=1,$F525*$O525,PNL!G525))</f>
        <v>539108</v>
      </c>
      <c r="T525">
        <f t="shared" si="3"/>
        <v>0</v>
      </c>
    </row>
    <row r="526" ht="14.25" customHeight="1">
      <c r="A526" t="str">
        <f>IF(PNL!A526="","",PNL!A526)</f>
        <v>GRP</v>
      </c>
      <c r="B526" t="str">
        <f>IF(PNL!B526="","",PNL!B526)</f>
        <v>6226</v>
      </c>
      <c r="C526" t="str">
        <f>IF(PNL!C526="","",PNL!C526)</f>
        <v>2026</v>
      </c>
      <c r="D526" t="str">
        <f>IF(PNL!D526="","",PNL!D526)</f>
        <v>ACT</v>
      </c>
      <c r="E526">
        <f t="shared" si="0"/>
        <v>0</v>
      </c>
      <c r="F526">
        <f>IF($A526="","",IF($E526=1,_xlfn.SUMIFS(Comptabilité!$F$1:$F$1446,Comptabilité!$A$1:$A$1446,$A526,Comptabilité!$B$1:$B$1446,$B526,Comptabilité!$C$1:$C$1446,"2026"),0))</f>
        <v>0</v>
      </c>
      <c r="G526">
        <f>IF($A526="","",IF($D526="V01",Cadrage!$C$23,IF($D526="V02",Cadrage!$D$23,Cadrage!$E$23)))</f>
        <v>-0.05</v>
      </c>
      <c r="H526">
        <f>IF($A526="","",IF($D526="V01",Cadrage!$C$24,IF($D526="V02",Cadrage!$D$24,Cadrage!$E$24)))</f>
        <v>-0.05</v>
      </c>
      <c r="I526">
        <f>IF($A526="","",IF($D526="V01",Cadrage!$C$34,IF($D526="V02",Cadrage!$D$34,Cadrage!$E$34)))</f>
        <v>0.03</v>
      </c>
      <c r="J526">
        <f>IF($A526="","",IF($D526="V01",Cadrage!$C$35,IF($D526="V02",Cadrage!$D$35,Cadrage!$E$35)))</f>
        <v>0.03</v>
      </c>
      <c r="K526">
        <f>IF($A526="","",IF($D526="V01",Cadrage!$C$36,IF($D526="V02",Cadrage!$D$36,Cadrage!$E$36)))</f>
        <v>0.05</v>
      </c>
      <c r="L526">
        <f>IF($A526="","",IF($D526="V01",Cadrage!$C$37,IF($D526="V02",Cadrage!$D$37,Cadrage!$E$37)))</f>
        <v>0</v>
      </c>
      <c r="M526">
        <f>IF($A526="","",IF($D526="V01",Cadrage!$C$38,IF($D526="V02",Cadrage!$D$38,Cadrage!$E$38)))</f>
        <v>0.04</v>
      </c>
      <c r="N526">
        <f t="shared" si="1"/>
        <v>0.980622079131853</v>
      </c>
      <c r="O526">
        <f t="shared" si="2"/>
        <v>1.0712</v>
      </c>
      <c r="P526">
        <f>IF($A526="","",IF($E526=1,$F526*$O526,PNL!G526))</f>
        <v>564841</v>
      </c>
      <c r="T526">
        <f t="shared" si="3"/>
        <v>0</v>
      </c>
    </row>
    <row r="527" ht="14.25" customHeight="1">
      <c r="A527" t="str">
        <f>IF(PNL!A527="","",PNL!A527)</f>
        <v>GRP</v>
      </c>
      <c r="B527" t="str">
        <f>IF(PNL!B527="","",PNL!B527)</f>
        <v>6236</v>
      </c>
      <c r="C527" t="str">
        <f>IF(PNL!C527="","",PNL!C527)</f>
        <v>2024</v>
      </c>
      <c r="D527" t="str">
        <f>IF(PNL!D527="","",PNL!D527)</f>
        <v>ACT</v>
      </c>
      <c r="E527">
        <f t="shared" si="0"/>
        <v>0</v>
      </c>
      <c r="F527">
        <f>IF($A527="","",IF($E527=1,_xlfn.SUMIFS(Comptabilité!$F$1:$F$1446,Comptabilité!$A$1:$A$1446,$A527,Comptabilité!$B$1:$B$1446,$B527,Comptabilité!$C$1:$C$1446,"2026"),0))</f>
        <v>0</v>
      </c>
      <c r="G527">
        <f>IF($A527="","",IF($D527="V01",Cadrage!$C$23,IF($D527="V02",Cadrage!$D$23,Cadrage!$E$23)))</f>
        <v>-0.05</v>
      </c>
      <c r="H527">
        <f>IF($A527="","",IF($D527="V01",Cadrage!$C$24,IF($D527="V02",Cadrage!$D$24,Cadrage!$E$24)))</f>
        <v>-0.05</v>
      </c>
      <c r="I527">
        <f>IF($A527="","",IF($D527="V01",Cadrage!$C$34,IF($D527="V02",Cadrage!$D$34,Cadrage!$E$34)))</f>
        <v>0.03</v>
      </c>
      <c r="J527">
        <f>IF($A527="","",IF($D527="V01",Cadrage!$C$35,IF($D527="V02",Cadrage!$D$35,Cadrage!$E$35)))</f>
        <v>0.03</v>
      </c>
      <c r="K527">
        <f>IF($A527="","",IF($D527="V01",Cadrage!$C$36,IF($D527="V02",Cadrage!$D$36,Cadrage!$E$36)))</f>
        <v>0.05</v>
      </c>
      <c r="L527">
        <f>IF($A527="","",IF($D527="V01",Cadrage!$C$37,IF($D527="V02",Cadrage!$D$37,Cadrage!$E$37)))</f>
        <v>0</v>
      </c>
      <c r="M527">
        <f>IF($A527="","",IF($D527="V01",Cadrage!$C$38,IF($D527="V02",Cadrage!$D$38,Cadrage!$E$38)))</f>
        <v>0.04</v>
      </c>
      <c r="N527">
        <f t="shared" si="1"/>
        <v>0.980622079131853</v>
      </c>
      <c r="O527">
        <f t="shared" si="2"/>
        <v>0.95</v>
      </c>
      <c r="P527">
        <f>IF($A527="","",IF($E527=1,$F527*$O527,PNL!G527))</f>
        <v>499926</v>
      </c>
      <c r="T527">
        <f t="shared" si="3"/>
        <v>0</v>
      </c>
    </row>
    <row r="528" ht="14.25" customHeight="1">
      <c r="A528" t="str">
        <f>IF(PNL!A528="","",PNL!A528)</f>
        <v>GRP</v>
      </c>
      <c r="B528" t="str">
        <f>IF(PNL!B528="","",PNL!B528)</f>
        <v>6236</v>
      </c>
      <c r="C528" t="str">
        <f>IF(PNL!C528="","",PNL!C528)</f>
        <v>2025</v>
      </c>
      <c r="D528" t="str">
        <f>IF(PNL!D528="","",PNL!D528)</f>
        <v>ACT</v>
      </c>
      <c r="E528">
        <f t="shared" si="0"/>
        <v>0</v>
      </c>
      <c r="F528">
        <f>IF($A528="","",IF($E528=1,_xlfn.SUMIFS(Comptabilité!$F$1:$F$1446,Comptabilité!$A$1:$A$1446,$A528,Comptabilité!$B$1:$B$1446,$B528,Comptabilité!$C$1:$C$1446,"2026"),0))</f>
        <v>0</v>
      </c>
      <c r="G528">
        <f>IF($A528="","",IF($D528="V01",Cadrage!$C$23,IF($D528="V02",Cadrage!$D$23,Cadrage!$E$23)))</f>
        <v>-0.05</v>
      </c>
      <c r="H528">
        <f>IF($A528="","",IF($D528="V01",Cadrage!$C$24,IF($D528="V02",Cadrage!$D$24,Cadrage!$E$24)))</f>
        <v>-0.05</v>
      </c>
      <c r="I528">
        <f>IF($A528="","",IF($D528="V01",Cadrage!$C$34,IF($D528="V02",Cadrage!$D$34,Cadrage!$E$34)))</f>
        <v>0.03</v>
      </c>
      <c r="J528">
        <f>IF($A528="","",IF($D528="V01",Cadrage!$C$35,IF($D528="V02",Cadrage!$D$35,Cadrage!$E$35)))</f>
        <v>0.03</v>
      </c>
      <c r="K528">
        <f>IF($A528="","",IF($D528="V01",Cadrage!$C$36,IF($D528="V02",Cadrage!$D$36,Cadrage!$E$36)))</f>
        <v>0.05</v>
      </c>
      <c r="L528">
        <f>IF($A528="","",IF($D528="V01",Cadrage!$C$37,IF($D528="V02",Cadrage!$D$37,Cadrage!$E$37)))</f>
        <v>0</v>
      </c>
      <c r="M528">
        <f>IF($A528="","",IF($D528="V01",Cadrage!$C$38,IF($D528="V02",Cadrage!$D$38,Cadrage!$E$38)))</f>
        <v>0.04</v>
      </c>
      <c r="N528">
        <f t="shared" si="1"/>
        <v>0.980622079131853</v>
      </c>
      <c r="O528">
        <f t="shared" si="2"/>
        <v>0.95</v>
      </c>
      <c r="P528">
        <f>IF($A528="","",IF($E528=1,$F528*$O528,PNL!G528))</f>
        <v>580167</v>
      </c>
      <c r="T528">
        <f t="shared" si="3"/>
        <v>0</v>
      </c>
    </row>
    <row r="529" ht="14.25" customHeight="1">
      <c r="A529" t="str">
        <f>IF(PNL!A529="","",PNL!A529)</f>
        <v>GRP</v>
      </c>
      <c r="B529" t="str">
        <f>IF(PNL!B529="","",PNL!B529)</f>
        <v>6236</v>
      </c>
      <c r="C529" t="str">
        <f>IF(PNL!C529="","",PNL!C529)</f>
        <v>2026</v>
      </c>
      <c r="D529" t="str">
        <f>IF(PNL!D529="","",PNL!D529)</f>
        <v>ACT</v>
      </c>
      <c r="E529">
        <f t="shared" si="0"/>
        <v>0</v>
      </c>
      <c r="F529">
        <f>IF($A529="","",IF($E529=1,_xlfn.SUMIFS(Comptabilité!$F$1:$F$1446,Comptabilité!$A$1:$A$1446,$A529,Comptabilité!$B$1:$B$1446,$B529,Comptabilité!$C$1:$C$1446,"2026"),0))</f>
        <v>0</v>
      </c>
      <c r="G529">
        <f>IF($A529="","",IF($D529="V01",Cadrage!$C$23,IF($D529="V02",Cadrage!$D$23,Cadrage!$E$23)))</f>
        <v>-0.05</v>
      </c>
      <c r="H529">
        <f>IF($A529="","",IF($D529="V01",Cadrage!$C$24,IF($D529="V02",Cadrage!$D$24,Cadrage!$E$24)))</f>
        <v>-0.05</v>
      </c>
      <c r="I529">
        <f>IF($A529="","",IF($D529="V01",Cadrage!$C$34,IF($D529="V02",Cadrage!$D$34,Cadrage!$E$34)))</f>
        <v>0.03</v>
      </c>
      <c r="J529">
        <f>IF($A529="","",IF($D529="V01",Cadrage!$C$35,IF($D529="V02",Cadrage!$D$35,Cadrage!$E$35)))</f>
        <v>0.03</v>
      </c>
      <c r="K529">
        <f>IF($A529="","",IF($D529="V01",Cadrage!$C$36,IF($D529="V02",Cadrage!$D$36,Cadrage!$E$36)))</f>
        <v>0.05</v>
      </c>
      <c r="L529">
        <f>IF($A529="","",IF($D529="V01",Cadrage!$C$37,IF($D529="V02",Cadrage!$D$37,Cadrage!$E$37)))</f>
        <v>0</v>
      </c>
      <c r="M529">
        <f>IF($A529="","",IF($D529="V01",Cadrage!$C$38,IF($D529="V02",Cadrage!$D$38,Cadrage!$E$38)))</f>
        <v>0.04</v>
      </c>
      <c r="N529">
        <f t="shared" si="1"/>
        <v>0.980622079131853</v>
      </c>
      <c r="O529">
        <f t="shared" si="2"/>
        <v>0.95</v>
      </c>
      <c r="P529">
        <f>IF($A529="","",IF($E529=1,$F529*$O529,PNL!G529))</f>
        <v>676344</v>
      </c>
      <c r="T529">
        <f t="shared" si="3"/>
        <v>0</v>
      </c>
    </row>
    <row r="530" ht="14.25" customHeight="1">
      <c r="A530" t="str">
        <f>IF(PNL!A530="","",PNL!A530)</f>
        <v>MBWAY_PAR</v>
      </c>
      <c r="B530" t="str">
        <f>IF(PNL!B530="","",PNL!B530)</f>
        <v>625</v>
      </c>
      <c r="C530" t="str">
        <f>IF(PNL!C530="","",PNL!C530)</f>
        <v>2024</v>
      </c>
      <c r="D530" t="str">
        <f>IF(PNL!D530="","",PNL!D530)</f>
        <v>ACT</v>
      </c>
      <c r="E530">
        <f t="shared" si="0"/>
        <v>0</v>
      </c>
      <c r="F530">
        <f>IF($A530="","",IF($E530=1,_xlfn.SUMIFS(Comptabilité!$F$1:$F$1446,Comptabilité!$A$1:$A$1446,$A530,Comptabilité!$B$1:$B$1446,$B530,Comptabilité!$C$1:$C$1446,"2026"),0))</f>
        <v>0</v>
      </c>
      <c r="G530">
        <f>IF($A530="","",IF($D530="V01",Cadrage!$C$23,IF($D530="V02",Cadrage!$D$23,Cadrage!$E$23)))</f>
        <v>-0.05</v>
      </c>
      <c r="H530">
        <f>IF($A530="","",IF($D530="V01",Cadrage!$C$24,IF($D530="V02",Cadrage!$D$24,Cadrage!$E$24)))</f>
        <v>-0.05</v>
      </c>
      <c r="I530">
        <f>IF($A530="","",IF($D530="V01",Cadrage!$C$34,IF($D530="V02",Cadrage!$D$34,Cadrage!$E$34)))</f>
        <v>0.03</v>
      </c>
      <c r="J530">
        <f>IF($A530="","",IF($D530="V01",Cadrage!$C$35,IF($D530="V02",Cadrage!$D$35,Cadrage!$E$35)))</f>
        <v>0.03</v>
      </c>
      <c r="K530">
        <f>IF($A530="","",IF($D530="V01",Cadrage!$C$36,IF($D530="V02",Cadrage!$D$36,Cadrage!$E$36)))</f>
        <v>0.05</v>
      </c>
      <c r="L530">
        <f>IF($A530="","",IF($D530="V01",Cadrage!$C$37,IF($D530="V02",Cadrage!$D$37,Cadrage!$E$37)))</f>
        <v>0</v>
      </c>
      <c r="M530">
        <f>IF($A530="","",IF($D530="V01",Cadrage!$C$38,IF($D530="V02",Cadrage!$D$38,Cadrage!$E$38)))</f>
        <v>0.04</v>
      </c>
      <c r="N530">
        <f t="shared" si="1"/>
        <v>0.980622079131853</v>
      </c>
      <c r="O530">
        <f t="shared" si="2"/>
        <v>1.0712</v>
      </c>
      <c r="P530">
        <f>IF($A530="","",IF($E530=1,$F530*$O530,PNL!G530))</f>
        <v>44415.03</v>
      </c>
      <c r="T530">
        <f t="shared" si="3"/>
        <v>0</v>
      </c>
    </row>
    <row r="531" ht="14.25" customHeight="1">
      <c r="A531" t="str">
        <f>IF(PNL!A531="","",PNL!A531)</f>
        <v>MBWAY_LYO</v>
      </c>
      <c r="B531" t="str">
        <f>IF(PNL!B531="","",PNL!B531)</f>
        <v>625</v>
      </c>
      <c r="C531" t="str">
        <f>IF(PNL!C531="","",PNL!C531)</f>
        <v>2024</v>
      </c>
      <c r="D531" t="str">
        <f>IF(PNL!D531="","",PNL!D531)</f>
        <v>ACT</v>
      </c>
      <c r="E531">
        <f t="shared" si="0"/>
        <v>0</v>
      </c>
      <c r="F531">
        <f>IF($A531="","",IF($E531=1,_xlfn.SUMIFS(Comptabilité!$F$1:$F$1446,Comptabilité!$A$1:$A$1446,$A531,Comptabilité!$B$1:$B$1446,$B531,Comptabilité!$C$1:$C$1446,"2026"),0))</f>
        <v>0</v>
      </c>
      <c r="G531">
        <f>IF($A531="","",IF($D531="V01",Cadrage!$C$23,IF($D531="V02",Cadrage!$D$23,Cadrage!$E$23)))</f>
        <v>-0.05</v>
      </c>
      <c r="H531">
        <f>IF($A531="","",IF($D531="V01",Cadrage!$C$24,IF($D531="V02",Cadrage!$D$24,Cadrage!$E$24)))</f>
        <v>-0.05</v>
      </c>
      <c r="I531">
        <f>IF($A531="","",IF($D531="V01",Cadrage!$C$34,IF($D531="V02",Cadrage!$D$34,Cadrage!$E$34)))</f>
        <v>0.03</v>
      </c>
      <c r="J531">
        <f>IF($A531="","",IF($D531="V01",Cadrage!$C$35,IF($D531="V02",Cadrage!$D$35,Cadrage!$E$35)))</f>
        <v>0.03</v>
      </c>
      <c r="K531">
        <f>IF($A531="","",IF($D531="V01",Cadrage!$C$36,IF($D531="V02",Cadrage!$D$36,Cadrage!$E$36)))</f>
        <v>0.05</v>
      </c>
      <c r="L531">
        <f>IF($A531="","",IF($D531="V01",Cadrage!$C$37,IF($D531="V02",Cadrage!$D$37,Cadrage!$E$37)))</f>
        <v>0</v>
      </c>
      <c r="M531">
        <f>IF($A531="","",IF($D531="V01",Cadrage!$C$38,IF($D531="V02",Cadrage!$D$38,Cadrage!$E$38)))</f>
        <v>0.04</v>
      </c>
      <c r="N531">
        <f t="shared" si="1"/>
        <v>0.980622079131853</v>
      </c>
      <c r="O531">
        <f t="shared" si="2"/>
        <v>1.0712</v>
      </c>
      <c r="P531">
        <f>IF($A531="","",IF($E531=1,$F531*$O531,PNL!G531))</f>
        <v>34739.07</v>
      </c>
      <c r="T531">
        <f t="shared" si="3"/>
        <v>0</v>
      </c>
    </row>
    <row r="532" ht="14.25" customHeight="1">
      <c r="A532" t="str">
        <f>IF(PNL!A532="","",PNL!A532)</f>
        <v>MBWAY_NAN</v>
      </c>
      <c r="B532" t="str">
        <f>IF(PNL!B532="","",PNL!B532)</f>
        <v>625</v>
      </c>
      <c r="C532" t="str">
        <f>IF(PNL!C532="","",PNL!C532)</f>
        <v>2024</v>
      </c>
      <c r="D532" t="str">
        <f>IF(PNL!D532="","",PNL!D532)</f>
        <v>ACT</v>
      </c>
      <c r="E532">
        <f t="shared" si="0"/>
        <v>0</v>
      </c>
      <c r="F532">
        <f>IF($A532="","",IF($E532=1,_xlfn.SUMIFS(Comptabilité!$F$1:$F$1446,Comptabilité!$A$1:$A$1446,$A532,Comptabilité!$B$1:$B$1446,$B532,Comptabilité!$C$1:$C$1446,"2026"),0))</f>
        <v>0</v>
      </c>
      <c r="G532">
        <f>IF($A532="","",IF($D532="V01",Cadrage!$C$23,IF($D532="V02",Cadrage!$D$23,Cadrage!$E$23)))</f>
        <v>-0.05</v>
      </c>
      <c r="H532">
        <f>IF($A532="","",IF($D532="V01",Cadrage!$C$24,IF($D532="V02",Cadrage!$D$24,Cadrage!$E$24)))</f>
        <v>-0.05</v>
      </c>
      <c r="I532">
        <f>IF($A532="","",IF($D532="V01",Cadrage!$C$34,IF($D532="V02",Cadrage!$D$34,Cadrage!$E$34)))</f>
        <v>0.03</v>
      </c>
      <c r="J532">
        <f>IF($A532="","",IF($D532="V01",Cadrage!$C$35,IF($D532="V02",Cadrage!$D$35,Cadrage!$E$35)))</f>
        <v>0.03</v>
      </c>
      <c r="K532">
        <f>IF($A532="","",IF($D532="V01",Cadrage!$C$36,IF($D532="V02",Cadrage!$D$36,Cadrage!$E$36)))</f>
        <v>0.05</v>
      </c>
      <c r="L532">
        <f>IF($A532="","",IF($D532="V01",Cadrage!$C$37,IF($D532="V02",Cadrage!$D$37,Cadrage!$E$37)))</f>
        <v>0</v>
      </c>
      <c r="M532">
        <f>IF($A532="","",IF($D532="V01",Cadrage!$C$38,IF($D532="V02",Cadrage!$D$38,Cadrage!$E$38)))</f>
        <v>0.04</v>
      </c>
      <c r="N532">
        <f t="shared" si="1"/>
        <v>0.980622079131853</v>
      </c>
      <c r="O532">
        <f t="shared" si="2"/>
        <v>1.0712</v>
      </c>
      <c r="P532">
        <f>IF($A532="","",IF($E532=1,$F532*$O532,PNL!G532))</f>
        <v>29335.06</v>
      </c>
      <c r="T532">
        <f t="shared" si="3"/>
        <v>0</v>
      </c>
    </row>
    <row r="533" ht="14.25" customHeight="1">
      <c r="A533" t="str">
        <f>IF(PNL!A533="","",PNL!A533)</f>
        <v>MBWAY_BOR</v>
      </c>
      <c r="B533" t="str">
        <f>IF(PNL!B533="","",PNL!B533)</f>
        <v>625</v>
      </c>
      <c r="C533" t="str">
        <f>IF(PNL!C533="","",PNL!C533)</f>
        <v>2024</v>
      </c>
      <c r="D533" t="str">
        <f>IF(PNL!D533="","",PNL!D533)</f>
        <v>ACT</v>
      </c>
      <c r="E533">
        <f t="shared" si="0"/>
        <v>0</v>
      </c>
      <c r="F533">
        <f>IF($A533="","",IF($E533=1,_xlfn.SUMIFS(Comptabilité!$F$1:$F$1446,Comptabilité!$A$1:$A$1446,$A533,Comptabilité!$B$1:$B$1446,$B533,Comptabilité!$C$1:$C$1446,"2026"),0))</f>
        <v>0</v>
      </c>
      <c r="G533">
        <f>IF($A533="","",IF($D533="V01",Cadrage!$C$23,IF($D533="V02",Cadrage!$D$23,Cadrage!$E$23)))</f>
        <v>-0.05</v>
      </c>
      <c r="H533">
        <f>IF($A533="","",IF($D533="V01",Cadrage!$C$24,IF($D533="V02",Cadrage!$D$24,Cadrage!$E$24)))</f>
        <v>-0.05</v>
      </c>
      <c r="I533">
        <f>IF($A533="","",IF($D533="V01",Cadrage!$C$34,IF($D533="V02",Cadrage!$D$34,Cadrage!$E$34)))</f>
        <v>0.03</v>
      </c>
      <c r="J533">
        <f>IF($A533="","",IF($D533="V01",Cadrage!$C$35,IF($D533="V02",Cadrage!$D$35,Cadrage!$E$35)))</f>
        <v>0.03</v>
      </c>
      <c r="K533">
        <f>IF($A533="","",IF($D533="V01",Cadrage!$C$36,IF($D533="V02",Cadrage!$D$36,Cadrage!$E$36)))</f>
        <v>0.05</v>
      </c>
      <c r="L533">
        <f>IF($A533="","",IF($D533="V01",Cadrage!$C$37,IF($D533="V02",Cadrage!$D$37,Cadrage!$E$37)))</f>
        <v>0</v>
      </c>
      <c r="M533">
        <f>IF($A533="","",IF($D533="V01",Cadrage!$C$38,IF($D533="V02",Cadrage!$D$38,Cadrage!$E$38)))</f>
        <v>0.04</v>
      </c>
      <c r="N533">
        <f t="shared" si="1"/>
        <v>0.980622079131853</v>
      </c>
      <c r="O533">
        <f t="shared" si="2"/>
        <v>1.0712</v>
      </c>
      <c r="P533">
        <f>IF($A533="","",IF($E533=1,$F533*$O533,PNL!G533))</f>
        <v>24154.6</v>
      </c>
      <c r="T533">
        <f t="shared" si="3"/>
        <v>0</v>
      </c>
    </row>
    <row r="534" ht="14.25" customHeight="1">
      <c r="A534" t="str">
        <f>IF(PNL!A534="","",PNL!A534)</f>
        <v>ISCOM_PAR</v>
      </c>
      <c r="B534" t="str">
        <f>IF(PNL!B534="","",PNL!B534)</f>
        <v>625</v>
      </c>
      <c r="C534" t="str">
        <f>IF(PNL!C534="","",PNL!C534)</f>
        <v>2024</v>
      </c>
      <c r="D534" t="str">
        <f>IF(PNL!D534="","",PNL!D534)</f>
        <v>ACT</v>
      </c>
      <c r="E534">
        <f t="shared" si="0"/>
        <v>0</v>
      </c>
      <c r="F534">
        <f>IF($A534="","",IF($E534=1,_xlfn.SUMIFS(Comptabilité!$F$1:$F$1446,Comptabilité!$A$1:$A$1446,$A534,Comptabilité!$B$1:$B$1446,$B534,Comptabilité!$C$1:$C$1446,"2026"),0))</f>
        <v>0</v>
      </c>
      <c r="G534">
        <f>IF($A534="","",IF($D534="V01",Cadrage!$C$23,IF($D534="V02",Cadrage!$D$23,Cadrage!$E$23)))</f>
        <v>-0.05</v>
      </c>
      <c r="H534">
        <f>IF($A534="","",IF($D534="V01",Cadrage!$C$24,IF($D534="V02",Cadrage!$D$24,Cadrage!$E$24)))</f>
        <v>-0.05</v>
      </c>
      <c r="I534">
        <f>IF($A534="","",IF($D534="V01",Cadrage!$C$34,IF($D534="V02",Cadrage!$D$34,Cadrage!$E$34)))</f>
        <v>0.03</v>
      </c>
      <c r="J534">
        <f>IF($A534="","",IF($D534="V01",Cadrage!$C$35,IF($D534="V02",Cadrage!$D$35,Cadrage!$E$35)))</f>
        <v>0.03</v>
      </c>
      <c r="K534">
        <f>IF($A534="","",IF($D534="V01",Cadrage!$C$36,IF($D534="V02",Cadrage!$D$36,Cadrage!$E$36)))</f>
        <v>0.05</v>
      </c>
      <c r="L534">
        <f>IF($A534="","",IF($D534="V01",Cadrage!$C$37,IF($D534="V02",Cadrage!$D$37,Cadrage!$E$37)))</f>
        <v>0</v>
      </c>
      <c r="M534">
        <f>IF($A534="","",IF($D534="V01",Cadrage!$C$38,IF($D534="V02",Cadrage!$D$38,Cadrage!$E$38)))</f>
        <v>0.04</v>
      </c>
      <c r="N534">
        <f t="shared" si="1"/>
        <v>0.980622079131853</v>
      </c>
      <c r="O534">
        <f t="shared" si="2"/>
        <v>1.0712</v>
      </c>
      <c r="P534">
        <f>IF($A534="","",IF($E534=1,$F534*$O534,PNL!G534))</f>
        <v>39552.6</v>
      </c>
      <c r="T534">
        <f t="shared" si="3"/>
        <v>0</v>
      </c>
    </row>
    <row r="535" ht="14.25" customHeight="1">
      <c r="A535" t="str">
        <f>IF(PNL!A535="","",PNL!A535)</f>
        <v>ISCOM_LIL</v>
      </c>
      <c r="B535" t="str">
        <f>IF(PNL!B535="","",PNL!B535)</f>
        <v>625</v>
      </c>
      <c r="C535" t="str">
        <f>IF(PNL!C535="","",PNL!C535)</f>
        <v>2024</v>
      </c>
      <c r="D535" t="str">
        <f>IF(PNL!D535="","",PNL!D535)</f>
        <v>ACT</v>
      </c>
      <c r="E535">
        <f t="shared" si="0"/>
        <v>0</v>
      </c>
      <c r="F535">
        <f>IF($A535="","",IF($E535=1,_xlfn.SUMIFS(Comptabilité!$F$1:$F$1446,Comptabilité!$A$1:$A$1446,$A535,Comptabilité!$B$1:$B$1446,$B535,Comptabilité!$C$1:$C$1446,"2026"),0))</f>
        <v>0</v>
      </c>
      <c r="G535">
        <f>IF($A535="","",IF($D535="V01",Cadrage!$C$23,IF($D535="V02",Cadrage!$D$23,Cadrage!$E$23)))</f>
        <v>-0.05</v>
      </c>
      <c r="H535">
        <f>IF($A535="","",IF($D535="V01",Cadrage!$C$24,IF($D535="V02",Cadrage!$D$24,Cadrage!$E$24)))</f>
        <v>-0.05</v>
      </c>
      <c r="I535">
        <f>IF($A535="","",IF($D535="V01",Cadrage!$C$34,IF($D535="V02",Cadrage!$D$34,Cadrage!$E$34)))</f>
        <v>0.03</v>
      </c>
      <c r="J535">
        <f>IF($A535="","",IF($D535="V01",Cadrage!$C$35,IF($D535="V02",Cadrage!$D$35,Cadrage!$E$35)))</f>
        <v>0.03</v>
      </c>
      <c r="K535">
        <f>IF($A535="","",IF($D535="V01",Cadrage!$C$36,IF($D535="V02",Cadrage!$D$36,Cadrage!$E$36)))</f>
        <v>0.05</v>
      </c>
      <c r="L535">
        <f>IF($A535="","",IF($D535="V01",Cadrage!$C$37,IF($D535="V02",Cadrage!$D$37,Cadrage!$E$37)))</f>
        <v>0</v>
      </c>
      <c r="M535">
        <f>IF($A535="","",IF($D535="V01",Cadrage!$C$38,IF($D535="V02",Cadrage!$D$38,Cadrage!$E$38)))</f>
        <v>0.04</v>
      </c>
      <c r="N535">
        <f t="shared" si="1"/>
        <v>0.980622079131853</v>
      </c>
      <c r="O535">
        <f t="shared" si="2"/>
        <v>1.0712</v>
      </c>
      <c r="P535">
        <f>IF($A535="","",IF($E535=1,$F535*$O535,PNL!G535))</f>
        <v>23916.36</v>
      </c>
      <c r="T535">
        <f t="shared" si="3"/>
        <v>0</v>
      </c>
    </row>
    <row r="536" ht="14.25" customHeight="1">
      <c r="A536" t="str">
        <f>IF(PNL!A536="","",PNL!A536)</f>
        <v>ISCOM_TLS</v>
      </c>
      <c r="B536" t="str">
        <f>IF(PNL!B536="","",PNL!B536)</f>
        <v>625</v>
      </c>
      <c r="C536" t="str">
        <f>IF(PNL!C536="","",PNL!C536)</f>
        <v>2024</v>
      </c>
      <c r="D536" t="str">
        <f>IF(PNL!D536="","",PNL!D536)</f>
        <v>ACT</v>
      </c>
      <c r="E536">
        <f t="shared" si="0"/>
        <v>0</v>
      </c>
      <c r="F536">
        <f>IF($A536="","",IF($E536=1,_xlfn.SUMIFS(Comptabilité!$F$1:$F$1446,Comptabilité!$A$1:$A$1446,$A536,Comptabilité!$B$1:$B$1446,$B536,Comptabilité!$C$1:$C$1446,"2026"),0))</f>
        <v>0</v>
      </c>
      <c r="G536">
        <f>IF($A536="","",IF($D536="V01",Cadrage!$C$23,IF($D536="V02",Cadrage!$D$23,Cadrage!$E$23)))</f>
        <v>-0.05</v>
      </c>
      <c r="H536">
        <f>IF($A536="","",IF($D536="V01",Cadrage!$C$24,IF($D536="V02",Cadrage!$D$24,Cadrage!$E$24)))</f>
        <v>-0.05</v>
      </c>
      <c r="I536">
        <f>IF($A536="","",IF($D536="V01",Cadrage!$C$34,IF($D536="V02",Cadrage!$D$34,Cadrage!$E$34)))</f>
        <v>0.03</v>
      </c>
      <c r="J536">
        <f>IF($A536="","",IF($D536="V01",Cadrage!$C$35,IF($D536="V02",Cadrage!$D$35,Cadrage!$E$35)))</f>
        <v>0.03</v>
      </c>
      <c r="K536">
        <f>IF($A536="","",IF($D536="V01",Cadrage!$C$36,IF($D536="V02",Cadrage!$D$36,Cadrage!$E$36)))</f>
        <v>0.05</v>
      </c>
      <c r="L536">
        <f>IF($A536="","",IF($D536="V01",Cadrage!$C$37,IF($D536="V02",Cadrage!$D$37,Cadrage!$E$37)))</f>
        <v>0</v>
      </c>
      <c r="M536">
        <f>IF($A536="","",IF($D536="V01",Cadrage!$C$38,IF($D536="V02",Cadrage!$D$38,Cadrage!$E$38)))</f>
        <v>0.04</v>
      </c>
      <c r="N536">
        <f t="shared" si="1"/>
        <v>0.980622079131853</v>
      </c>
      <c r="O536">
        <f t="shared" si="2"/>
        <v>1.0712</v>
      </c>
      <c r="P536">
        <f>IF($A536="","",IF($E536=1,$F536*$O536,PNL!G536))</f>
        <v>21373.92</v>
      </c>
      <c r="T536">
        <f t="shared" si="3"/>
        <v>0</v>
      </c>
    </row>
    <row r="537" ht="14.25" customHeight="1">
      <c r="A537" t="str">
        <f>IF(PNL!A537="","",PNL!A537)</f>
        <v>IPAC_NAN</v>
      </c>
      <c r="B537" t="str">
        <f>IF(PNL!B537="","",PNL!B537)</f>
        <v>625</v>
      </c>
      <c r="C537" t="str">
        <f>IF(PNL!C537="","",PNL!C537)</f>
        <v>2024</v>
      </c>
      <c r="D537" t="str">
        <f>IF(PNL!D537="","",PNL!D537)</f>
        <v>ACT</v>
      </c>
      <c r="E537">
        <f t="shared" si="0"/>
        <v>0</v>
      </c>
      <c r="F537">
        <f>IF($A537="","",IF($E537=1,_xlfn.SUMIFS(Comptabilité!$F$1:$F$1446,Comptabilité!$A$1:$A$1446,$A537,Comptabilité!$B$1:$B$1446,$B537,Comptabilité!$C$1:$C$1446,"2026"),0))</f>
        <v>0</v>
      </c>
      <c r="G537">
        <f>IF($A537="","",IF($D537="V01",Cadrage!$C$23,IF($D537="V02",Cadrage!$D$23,Cadrage!$E$23)))</f>
        <v>-0.05</v>
      </c>
      <c r="H537">
        <f>IF($A537="","",IF($D537="V01",Cadrage!$C$24,IF($D537="V02",Cadrage!$D$24,Cadrage!$E$24)))</f>
        <v>-0.05</v>
      </c>
      <c r="I537">
        <f>IF($A537="","",IF($D537="V01",Cadrage!$C$34,IF($D537="V02",Cadrage!$D$34,Cadrage!$E$34)))</f>
        <v>0.03</v>
      </c>
      <c r="J537">
        <f>IF($A537="","",IF($D537="V01",Cadrage!$C$35,IF($D537="V02",Cadrage!$D$35,Cadrage!$E$35)))</f>
        <v>0.03</v>
      </c>
      <c r="K537">
        <f>IF($A537="","",IF($D537="V01",Cadrage!$C$36,IF($D537="V02",Cadrage!$D$36,Cadrage!$E$36)))</f>
        <v>0.05</v>
      </c>
      <c r="L537">
        <f>IF($A537="","",IF($D537="V01",Cadrage!$C$37,IF($D537="V02",Cadrage!$D$37,Cadrage!$E$37)))</f>
        <v>0</v>
      </c>
      <c r="M537">
        <f>IF($A537="","",IF($D537="V01",Cadrage!$C$38,IF($D537="V02",Cadrage!$D$38,Cadrage!$E$38)))</f>
        <v>0.04</v>
      </c>
      <c r="N537">
        <f t="shared" si="1"/>
        <v>0.980622079131853</v>
      </c>
      <c r="O537">
        <f t="shared" si="2"/>
        <v>1.0712</v>
      </c>
      <c r="P537">
        <f>IF($A537="","",IF($E537=1,$F537*$O537,PNL!G537))</f>
        <v>14219.47</v>
      </c>
      <c r="T537">
        <f t="shared" si="3"/>
        <v>0</v>
      </c>
    </row>
    <row r="538" ht="14.25" customHeight="1">
      <c r="A538" t="str">
        <f>IF(PNL!A538="","",PNL!A538)</f>
        <v>IPAC_REN</v>
      </c>
      <c r="B538" t="str">
        <f>IF(PNL!B538="","",PNL!B538)</f>
        <v>625</v>
      </c>
      <c r="C538" t="str">
        <f>IF(PNL!C538="","",PNL!C538)</f>
        <v>2024</v>
      </c>
      <c r="D538" t="str">
        <f>IF(PNL!D538="","",PNL!D538)</f>
        <v>ACT</v>
      </c>
      <c r="E538">
        <f t="shared" si="0"/>
        <v>0</v>
      </c>
      <c r="F538">
        <f>IF($A538="","",IF($E538=1,_xlfn.SUMIFS(Comptabilité!$F$1:$F$1446,Comptabilité!$A$1:$A$1446,$A538,Comptabilité!$B$1:$B$1446,$B538,Comptabilité!$C$1:$C$1446,"2026"),0))</f>
        <v>0</v>
      </c>
      <c r="G538">
        <f>IF($A538="","",IF($D538="V01",Cadrage!$C$23,IF($D538="V02",Cadrage!$D$23,Cadrage!$E$23)))</f>
        <v>-0.05</v>
      </c>
      <c r="H538">
        <f>IF($A538="","",IF($D538="V01",Cadrage!$C$24,IF($D538="V02",Cadrage!$D$24,Cadrage!$E$24)))</f>
        <v>-0.05</v>
      </c>
      <c r="I538">
        <f>IF($A538="","",IF($D538="V01",Cadrage!$C$34,IF($D538="V02",Cadrage!$D$34,Cadrage!$E$34)))</f>
        <v>0.03</v>
      </c>
      <c r="J538">
        <f>IF($A538="","",IF($D538="V01",Cadrage!$C$35,IF($D538="V02",Cadrage!$D$35,Cadrage!$E$35)))</f>
        <v>0.03</v>
      </c>
      <c r="K538">
        <f>IF($A538="","",IF($D538="V01",Cadrage!$C$36,IF($D538="V02",Cadrage!$D$36,Cadrage!$E$36)))</f>
        <v>0.05</v>
      </c>
      <c r="L538">
        <f>IF($A538="","",IF($D538="V01",Cadrage!$C$37,IF($D538="V02",Cadrage!$D$37,Cadrage!$E$37)))</f>
        <v>0</v>
      </c>
      <c r="M538">
        <f>IF($A538="","",IF($D538="V01",Cadrage!$C$38,IF($D538="V02",Cadrage!$D$38,Cadrage!$E$38)))</f>
        <v>0.04</v>
      </c>
      <c r="N538">
        <f t="shared" si="1"/>
        <v>0.980622079131853</v>
      </c>
      <c r="O538">
        <f t="shared" si="2"/>
        <v>1.0712</v>
      </c>
      <c r="P538">
        <f>IF($A538="","",IF($E538=1,$F538*$O538,PNL!G538))</f>
        <v>9402.91</v>
      </c>
      <c r="T538">
        <f t="shared" si="3"/>
        <v>0</v>
      </c>
    </row>
    <row r="539" ht="14.25" customHeight="1">
      <c r="A539" t="str">
        <f>IF(PNL!A539="","",PNL!A539)</f>
        <v>IPAC_MTP</v>
      </c>
      <c r="B539" t="str">
        <f>IF(PNL!B539="","",PNL!B539)</f>
        <v>625</v>
      </c>
      <c r="C539" t="str">
        <f>IF(PNL!C539="","",PNL!C539)</f>
        <v>2024</v>
      </c>
      <c r="D539" t="str">
        <f>IF(PNL!D539="","",PNL!D539)</f>
        <v>ACT</v>
      </c>
      <c r="E539">
        <f t="shared" si="0"/>
        <v>0</v>
      </c>
      <c r="F539">
        <f>IF($A539="","",IF($E539=1,_xlfn.SUMIFS(Comptabilité!$F$1:$F$1446,Comptabilité!$A$1:$A$1446,$A539,Comptabilité!$B$1:$B$1446,$B539,Comptabilité!$C$1:$C$1446,"2026"),0))</f>
        <v>0</v>
      </c>
      <c r="G539">
        <f>IF($A539="","",IF($D539="V01",Cadrage!$C$23,IF($D539="V02",Cadrage!$D$23,Cadrage!$E$23)))</f>
        <v>-0.05</v>
      </c>
      <c r="H539">
        <f>IF($A539="","",IF($D539="V01",Cadrage!$C$24,IF($D539="V02",Cadrage!$D$24,Cadrage!$E$24)))</f>
        <v>-0.05</v>
      </c>
      <c r="I539">
        <f>IF($A539="","",IF($D539="V01",Cadrage!$C$34,IF($D539="V02",Cadrage!$D$34,Cadrage!$E$34)))</f>
        <v>0.03</v>
      </c>
      <c r="J539">
        <f>IF($A539="","",IF($D539="V01",Cadrage!$C$35,IF($D539="V02",Cadrage!$D$35,Cadrage!$E$35)))</f>
        <v>0.03</v>
      </c>
      <c r="K539">
        <f>IF($A539="","",IF($D539="V01",Cadrage!$C$36,IF($D539="V02",Cadrage!$D$36,Cadrage!$E$36)))</f>
        <v>0.05</v>
      </c>
      <c r="L539">
        <f>IF($A539="","",IF($D539="V01",Cadrage!$C$37,IF($D539="V02",Cadrage!$D$37,Cadrage!$E$37)))</f>
        <v>0</v>
      </c>
      <c r="M539">
        <f>IF($A539="","",IF($D539="V01",Cadrage!$C$38,IF($D539="V02",Cadrage!$D$38,Cadrage!$E$38)))</f>
        <v>0.04</v>
      </c>
      <c r="N539">
        <f t="shared" si="1"/>
        <v>0.980622079131853</v>
      </c>
      <c r="O539">
        <f t="shared" si="2"/>
        <v>1.0712</v>
      </c>
      <c r="P539">
        <f>IF($A539="","",IF($E539=1,$F539*$O539,PNL!G539))</f>
        <v>9397.98</v>
      </c>
      <c r="T539">
        <f t="shared" si="3"/>
        <v>0</v>
      </c>
    </row>
    <row r="540" ht="14.25" customHeight="1">
      <c r="A540" t="str">
        <f>IF(PNL!A540="","",PNL!A540)</f>
        <v>PIGIER_LYO</v>
      </c>
      <c r="B540" t="str">
        <f>IF(PNL!B540="","",PNL!B540)</f>
        <v>625</v>
      </c>
      <c r="C540" t="str">
        <f>IF(PNL!C540="","",PNL!C540)</f>
        <v>2024</v>
      </c>
      <c r="D540" t="str">
        <f>IF(PNL!D540="","",PNL!D540)</f>
        <v>ACT</v>
      </c>
      <c r="E540">
        <f t="shared" si="0"/>
        <v>0</v>
      </c>
      <c r="F540">
        <f>IF($A540="","",IF($E540=1,_xlfn.SUMIFS(Comptabilité!$F$1:$F$1446,Comptabilité!$A$1:$A$1446,$A540,Comptabilité!$B$1:$B$1446,$B540,Comptabilité!$C$1:$C$1446,"2026"),0))</f>
        <v>0</v>
      </c>
      <c r="G540">
        <f>IF($A540="","",IF($D540="V01",Cadrage!$C$23,IF($D540="V02",Cadrage!$D$23,Cadrage!$E$23)))</f>
        <v>-0.05</v>
      </c>
      <c r="H540">
        <f>IF($A540="","",IF($D540="V01",Cadrage!$C$24,IF($D540="V02",Cadrage!$D$24,Cadrage!$E$24)))</f>
        <v>-0.05</v>
      </c>
      <c r="I540">
        <f>IF($A540="","",IF($D540="V01",Cadrage!$C$34,IF($D540="V02",Cadrage!$D$34,Cadrage!$E$34)))</f>
        <v>0.03</v>
      </c>
      <c r="J540">
        <f>IF($A540="","",IF($D540="V01",Cadrage!$C$35,IF($D540="V02",Cadrage!$D$35,Cadrage!$E$35)))</f>
        <v>0.03</v>
      </c>
      <c r="K540">
        <f>IF($A540="","",IF($D540="V01",Cadrage!$C$36,IF($D540="V02",Cadrage!$D$36,Cadrage!$E$36)))</f>
        <v>0.05</v>
      </c>
      <c r="L540">
        <f>IF($A540="","",IF($D540="V01",Cadrage!$C$37,IF($D540="V02",Cadrage!$D$37,Cadrage!$E$37)))</f>
        <v>0</v>
      </c>
      <c r="M540">
        <f>IF($A540="","",IF($D540="V01",Cadrage!$C$38,IF($D540="V02",Cadrage!$D$38,Cadrage!$E$38)))</f>
        <v>0.04</v>
      </c>
      <c r="N540">
        <f t="shared" si="1"/>
        <v>0.980622079131853</v>
      </c>
      <c r="O540">
        <f t="shared" si="2"/>
        <v>1.0712</v>
      </c>
      <c r="P540">
        <f>IF($A540="","",IF($E540=1,$F540*$O540,PNL!G540))</f>
        <v>18962.65</v>
      </c>
      <c r="T540">
        <f t="shared" si="3"/>
        <v>0</v>
      </c>
    </row>
    <row r="541" ht="14.25" customHeight="1">
      <c r="A541" t="str">
        <f>IF(PNL!A541="","",PNL!A541)</f>
        <v>PIGIER_BOR</v>
      </c>
      <c r="B541" t="str">
        <f>IF(PNL!B541="","",PNL!B541)</f>
        <v>625</v>
      </c>
      <c r="C541" t="str">
        <f>IF(PNL!C541="","",PNL!C541)</f>
        <v>2024</v>
      </c>
      <c r="D541" t="str">
        <f>IF(PNL!D541="","",PNL!D541)</f>
        <v>ACT</v>
      </c>
      <c r="E541">
        <f t="shared" si="0"/>
        <v>0</v>
      </c>
      <c r="F541">
        <f>IF($A541="","",IF($E541=1,_xlfn.SUMIFS(Comptabilité!$F$1:$F$1446,Comptabilité!$A$1:$A$1446,$A541,Comptabilité!$B$1:$B$1446,$B541,Comptabilité!$C$1:$C$1446,"2026"),0))</f>
        <v>0</v>
      </c>
      <c r="G541">
        <f>IF($A541="","",IF($D541="V01",Cadrage!$C$23,IF($D541="V02",Cadrage!$D$23,Cadrage!$E$23)))</f>
        <v>-0.05</v>
      </c>
      <c r="H541">
        <f>IF($A541="","",IF($D541="V01",Cadrage!$C$24,IF($D541="V02",Cadrage!$D$24,Cadrage!$E$24)))</f>
        <v>-0.05</v>
      </c>
      <c r="I541">
        <f>IF($A541="","",IF($D541="V01",Cadrage!$C$34,IF($D541="V02",Cadrage!$D$34,Cadrage!$E$34)))</f>
        <v>0.03</v>
      </c>
      <c r="J541">
        <f>IF($A541="","",IF($D541="V01",Cadrage!$C$35,IF($D541="V02",Cadrage!$D$35,Cadrage!$E$35)))</f>
        <v>0.03</v>
      </c>
      <c r="K541">
        <f>IF($A541="","",IF($D541="V01",Cadrage!$C$36,IF($D541="V02",Cadrage!$D$36,Cadrage!$E$36)))</f>
        <v>0.05</v>
      </c>
      <c r="L541">
        <f>IF($A541="","",IF($D541="V01",Cadrage!$C$37,IF($D541="V02",Cadrage!$D$37,Cadrage!$E$37)))</f>
        <v>0</v>
      </c>
      <c r="M541">
        <f>IF($A541="","",IF($D541="V01",Cadrage!$C$38,IF($D541="V02",Cadrage!$D$38,Cadrage!$E$38)))</f>
        <v>0.04</v>
      </c>
      <c r="N541">
        <f t="shared" si="1"/>
        <v>0.980622079131853</v>
      </c>
      <c r="O541">
        <f t="shared" si="2"/>
        <v>1.0712</v>
      </c>
      <c r="P541">
        <f>IF($A541="","",IF($E541=1,$F541*$O541,PNL!G541))</f>
        <v>11156.23</v>
      </c>
      <c r="T541">
        <f t="shared" si="3"/>
        <v>0</v>
      </c>
    </row>
    <row r="542" ht="14.25" customHeight="1">
      <c r="A542" t="str">
        <f>IF(PNL!A542="","",PNL!A542)</f>
        <v>TUNON_PAR</v>
      </c>
      <c r="B542" t="str">
        <f>IF(PNL!B542="","",PNL!B542)</f>
        <v>625</v>
      </c>
      <c r="C542" t="str">
        <f>IF(PNL!C542="","",PNL!C542)</f>
        <v>2024</v>
      </c>
      <c r="D542" t="str">
        <f>IF(PNL!D542="","",PNL!D542)</f>
        <v>ACT</v>
      </c>
      <c r="E542">
        <f t="shared" si="0"/>
        <v>0</v>
      </c>
      <c r="F542">
        <f>IF($A542="","",IF($E542=1,_xlfn.SUMIFS(Comptabilité!$F$1:$F$1446,Comptabilité!$A$1:$A$1446,$A542,Comptabilité!$B$1:$B$1446,$B542,Comptabilité!$C$1:$C$1446,"2026"),0))</f>
        <v>0</v>
      </c>
      <c r="G542">
        <f>IF($A542="","",IF($D542="V01",Cadrage!$C$23,IF($D542="V02",Cadrage!$D$23,Cadrage!$E$23)))</f>
        <v>-0.05</v>
      </c>
      <c r="H542">
        <f>IF($A542="","",IF($D542="V01",Cadrage!$C$24,IF($D542="V02",Cadrage!$D$24,Cadrage!$E$24)))</f>
        <v>-0.05</v>
      </c>
      <c r="I542">
        <f>IF($A542="","",IF($D542="V01",Cadrage!$C$34,IF($D542="V02",Cadrage!$D$34,Cadrage!$E$34)))</f>
        <v>0.03</v>
      </c>
      <c r="J542">
        <f>IF($A542="","",IF($D542="V01",Cadrage!$C$35,IF($D542="V02",Cadrage!$D$35,Cadrage!$E$35)))</f>
        <v>0.03</v>
      </c>
      <c r="K542">
        <f>IF($A542="","",IF($D542="V01",Cadrage!$C$36,IF($D542="V02",Cadrage!$D$36,Cadrage!$E$36)))</f>
        <v>0.05</v>
      </c>
      <c r="L542">
        <f>IF($A542="","",IF($D542="V01",Cadrage!$C$37,IF($D542="V02",Cadrage!$D$37,Cadrage!$E$37)))</f>
        <v>0</v>
      </c>
      <c r="M542">
        <f>IF($A542="","",IF($D542="V01",Cadrage!$C$38,IF($D542="V02",Cadrage!$D$38,Cadrage!$E$38)))</f>
        <v>0.04</v>
      </c>
      <c r="N542">
        <f t="shared" si="1"/>
        <v>0.980622079131853</v>
      </c>
      <c r="O542">
        <f t="shared" si="2"/>
        <v>1.0712</v>
      </c>
      <c r="P542">
        <f>IF($A542="","",IF($E542=1,$F542*$O542,PNL!G542))</f>
        <v>16784.34</v>
      </c>
      <c r="T542">
        <f t="shared" si="3"/>
        <v>0</v>
      </c>
    </row>
    <row r="543" ht="14.25" customHeight="1">
      <c r="A543" t="str">
        <f>IF(PNL!A543="","",PNL!A543)</f>
        <v>TUNON_LYO</v>
      </c>
      <c r="B543" t="str">
        <f>IF(PNL!B543="","",PNL!B543)</f>
        <v>625</v>
      </c>
      <c r="C543" t="str">
        <f>IF(PNL!C543="","",PNL!C543)</f>
        <v>2024</v>
      </c>
      <c r="D543" t="str">
        <f>IF(PNL!D543="","",PNL!D543)</f>
        <v>ACT</v>
      </c>
      <c r="E543">
        <f t="shared" si="0"/>
        <v>0</v>
      </c>
      <c r="F543">
        <f>IF($A543="","",IF($E543=1,_xlfn.SUMIFS(Comptabilité!$F$1:$F$1446,Comptabilité!$A$1:$A$1446,$A543,Comptabilité!$B$1:$B$1446,$B543,Comptabilité!$C$1:$C$1446,"2026"),0))</f>
        <v>0</v>
      </c>
      <c r="G543">
        <f>IF($A543="","",IF($D543="V01",Cadrage!$C$23,IF($D543="V02",Cadrage!$D$23,Cadrage!$E$23)))</f>
        <v>-0.05</v>
      </c>
      <c r="H543">
        <f>IF($A543="","",IF($D543="V01",Cadrage!$C$24,IF($D543="V02",Cadrage!$D$24,Cadrage!$E$24)))</f>
        <v>-0.05</v>
      </c>
      <c r="I543">
        <f>IF($A543="","",IF($D543="V01",Cadrage!$C$34,IF($D543="V02",Cadrage!$D$34,Cadrage!$E$34)))</f>
        <v>0.03</v>
      </c>
      <c r="J543">
        <f>IF($A543="","",IF($D543="V01",Cadrage!$C$35,IF($D543="V02",Cadrage!$D$35,Cadrage!$E$35)))</f>
        <v>0.03</v>
      </c>
      <c r="K543">
        <f>IF($A543="","",IF($D543="V01",Cadrage!$C$36,IF($D543="V02",Cadrage!$D$36,Cadrage!$E$36)))</f>
        <v>0.05</v>
      </c>
      <c r="L543">
        <f>IF($A543="","",IF($D543="V01",Cadrage!$C$37,IF($D543="V02",Cadrage!$D$37,Cadrage!$E$37)))</f>
        <v>0</v>
      </c>
      <c r="M543">
        <f>IF($A543="","",IF($D543="V01",Cadrage!$C$38,IF($D543="V02",Cadrage!$D$38,Cadrage!$E$38)))</f>
        <v>0.04</v>
      </c>
      <c r="N543">
        <f t="shared" si="1"/>
        <v>0.980622079131853</v>
      </c>
      <c r="O543">
        <f t="shared" si="2"/>
        <v>1.0712</v>
      </c>
      <c r="P543">
        <f>IF($A543="","",IF($E543=1,$F543*$O543,PNL!G543))</f>
        <v>11925.78</v>
      </c>
      <c r="T543">
        <f t="shared" si="3"/>
        <v>0</v>
      </c>
    </row>
    <row r="544" ht="14.25" customHeight="1">
      <c r="A544" t="str">
        <f>IF(PNL!A544="","",PNL!A544)</f>
        <v>MBWAY_PAR</v>
      </c>
      <c r="B544" t="str">
        <f>IF(PNL!B544="","",PNL!B544)</f>
        <v>625</v>
      </c>
      <c r="C544" t="str">
        <f>IF(PNL!C544="","",PNL!C544)</f>
        <v>2025</v>
      </c>
      <c r="D544" t="str">
        <f>IF(PNL!D544="","",PNL!D544)</f>
        <v>ACT</v>
      </c>
      <c r="E544">
        <f t="shared" si="0"/>
        <v>0</v>
      </c>
      <c r="F544">
        <f>IF($A544="","",IF($E544=1,_xlfn.SUMIFS(Comptabilité!$F$1:$F$1446,Comptabilité!$A$1:$A$1446,$A544,Comptabilité!$B$1:$B$1446,$B544,Comptabilité!$C$1:$C$1446,"2026"),0))</f>
        <v>0</v>
      </c>
      <c r="G544">
        <f>IF($A544="","",IF($D544="V01",Cadrage!$C$23,IF($D544="V02",Cadrage!$D$23,Cadrage!$E$23)))</f>
        <v>-0.05</v>
      </c>
      <c r="H544">
        <f>IF($A544="","",IF($D544="V01",Cadrage!$C$24,IF($D544="V02",Cadrage!$D$24,Cadrage!$E$24)))</f>
        <v>-0.05</v>
      </c>
      <c r="I544">
        <f>IF($A544="","",IF($D544="V01",Cadrage!$C$34,IF($D544="V02",Cadrage!$D$34,Cadrage!$E$34)))</f>
        <v>0.03</v>
      </c>
      <c r="J544">
        <f>IF($A544="","",IF($D544="V01",Cadrage!$C$35,IF($D544="V02",Cadrage!$D$35,Cadrage!$E$35)))</f>
        <v>0.03</v>
      </c>
      <c r="K544">
        <f>IF($A544="","",IF($D544="V01",Cadrage!$C$36,IF($D544="V02",Cadrage!$D$36,Cadrage!$E$36)))</f>
        <v>0.05</v>
      </c>
      <c r="L544">
        <f>IF($A544="","",IF($D544="V01",Cadrage!$C$37,IF($D544="V02",Cadrage!$D$37,Cadrage!$E$37)))</f>
        <v>0</v>
      </c>
      <c r="M544">
        <f>IF($A544="","",IF($D544="V01",Cadrage!$C$38,IF($D544="V02",Cadrage!$D$38,Cadrage!$E$38)))</f>
        <v>0.04</v>
      </c>
      <c r="N544">
        <f t="shared" si="1"/>
        <v>0.980622079131853</v>
      </c>
      <c r="O544">
        <f t="shared" si="2"/>
        <v>1.0712</v>
      </c>
      <c r="P544">
        <f>IF($A544="","",IF($E544=1,$F544*$O544,PNL!G544))</f>
        <v>46655.06</v>
      </c>
      <c r="T544">
        <f t="shared" si="3"/>
        <v>0</v>
      </c>
    </row>
    <row r="545" ht="14.25" customHeight="1">
      <c r="A545" t="str">
        <f>IF(PNL!A545="","",PNL!A545)</f>
        <v>MBWAY_LYO</v>
      </c>
      <c r="B545" t="str">
        <f>IF(PNL!B545="","",PNL!B545)</f>
        <v>625</v>
      </c>
      <c r="C545" t="str">
        <f>IF(PNL!C545="","",PNL!C545)</f>
        <v>2025</v>
      </c>
      <c r="D545" t="str">
        <f>IF(PNL!D545="","",PNL!D545)</f>
        <v>ACT</v>
      </c>
      <c r="E545">
        <f t="shared" si="0"/>
        <v>0</v>
      </c>
      <c r="F545">
        <f>IF($A545="","",IF($E545=1,_xlfn.SUMIFS(Comptabilité!$F$1:$F$1446,Comptabilité!$A$1:$A$1446,$A545,Comptabilité!$B$1:$B$1446,$B545,Comptabilité!$C$1:$C$1446,"2026"),0))</f>
        <v>0</v>
      </c>
      <c r="G545">
        <f>IF($A545="","",IF($D545="V01",Cadrage!$C$23,IF($D545="V02",Cadrage!$D$23,Cadrage!$E$23)))</f>
        <v>-0.05</v>
      </c>
      <c r="H545">
        <f>IF($A545="","",IF($D545="V01",Cadrage!$C$24,IF($D545="V02",Cadrage!$D$24,Cadrage!$E$24)))</f>
        <v>-0.05</v>
      </c>
      <c r="I545">
        <f>IF($A545="","",IF($D545="V01",Cadrage!$C$34,IF($D545="V02",Cadrage!$D$34,Cadrage!$E$34)))</f>
        <v>0.03</v>
      </c>
      <c r="J545">
        <f>IF($A545="","",IF($D545="V01",Cadrage!$C$35,IF($D545="V02",Cadrage!$D$35,Cadrage!$E$35)))</f>
        <v>0.03</v>
      </c>
      <c r="K545">
        <f>IF($A545="","",IF($D545="V01",Cadrage!$C$36,IF($D545="V02",Cadrage!$D$36,Cadrage!$E$36)))</f>
        <v>0.05</v>
      </c>
      <c r="L545">
        <f>IF($A545="","",IF($D545="V01",Cadrage!$C$37,IF($D545="V02",Cadrage!$D$37,Cadrage!$E$37)))</f>
        <v>0</v>
      </c>
      <c r="M545">
        <f>IF($A545="","",IF($D545="V01",Cadrage!$C$38,IF($D545="V02",Cadrage!$D$38,Cadrage!$E$38)))</f>
        <v>0.04</v>
      </c>
      <c r="N545">
        <f t="shared" si="1"/>
        <v>0.980622079131853</v>
      </c>
      <c r="O545">
        <f t="shared" si="2"/>
        <v>1.0712</v>
      </c>
      <c r="P545">
        <f>IF($A545="","",IF($E545=1,$F545*$O545,PNL!G545))</f>
        <v>35945.47</v>
      </c>
      <c r="T545">
        <f t="shared" si="3"/>
        <v>0</v>
      </c>
    </row>
    <row r="546" ht="14.25" customHeight="1">
      <c r="A546" t="str">
        <f>IF(PNL!A546="","",PNL!A546)</f>
        <v>MBWAY_NAN</v>
      </c>
      <c r="B546" t="str">
        <f>IF(PNL!B546="","",PNL!B546)</f>
        <v>625</v>
      </c>
      <c r="C546" t="str">
        <f>IF(PNL!C546="","",PNL!C546)</f>
        <v>2025</v>
      </c>
      <c r="D546" t="str">
        <f>IF(PNL!D546="","",PNL!D546)</f>
        <v>ACT</v>
      </c>
      <c r="E546">
        <f t="shared" si="0"/>
        <v>0</v>
      </c>
      <c r="F546">
        <f>IF($A546="","",IF($E546=1,_xlfn.SUMIFS(Comptabilité!$F$1:$F$1446,Comptabilité!$A$1:$A$1446,$A546,Comptabilité!$B$1:$B$1446,$B546,Comptabilité!$C$1:$C$1446,"2026"),0))</f>
        <v>0</v>
      </c>
      <c r="G546">
        <f>IF($A546="","",IF($D546="V01",Cadrage!$C$23,IF($D546="V02",Cadrage!$D$23,Cadrage!$E$23)))</f>
        <v>-0.05</v>
      </c>
      <c r="H546">
        <f>IF($A546="","",IF($D546="V01",Cadrage!$C$24,IF($D546="V02",Cadrage!$D$24,Cadrage!$E$24)))</f>
        <v>-0.05</v>
      </c>
      <c r="I546">
        <f>IF($A546="","",IF($D546="V01",Cadrage!$C$34,IF($D546="V02",Cadrage!$D$34,Cadrage!$E$34)))</f>
        <v>0.03</v>
      </c>
      <c r="J546">
        <f>IF($A546="","",IF($D546="V01",Cadrage!$C$35,IF($D546="V02",Cadrage!$D$35,Cadrage!$E$35)))</f>
        <v>0.03</v>
      </c>
      <c r="K546">
        <f>IF($A546="","",IF($D546="V01",Cadrage!$C$36,IF($D546="V02",Cadrage!$D$36,Cadrage!$E$36)))</f>
        <v>0.05</v>
      </c>
      <c r="L546">
        <f>IF($A546="","",IF($D546="V01",Cadrage!$C$37,IF($D546="V02",Cadrage!$D$37,Cadrage!$E$37)))</f>
        <v>0</v>
      </c>
      <c r="M546">
        <f>IF($A546="","",IF($D546="V01",Cadrage!$C$38,IF($D546="V02",Cadrage!$D$38,Cadrage!$E$38)))</f>
        <v>0.04</v>
      </c>
      <c r="N546">
        <f t="shared" si="1"/>
        <v>0.980622079131853</v>
      </c>
      <c r="O546">
        <f t="shared" si="2"/>
        <v>1.0712</v>
      </c>
      <c r="P546">
        <f>IF($A546="","",IF($E546=1,$F546*$O546,PNL!G546))</f>
        <v>30827.86</v>
      </c>
      <c r="T546">
        <f t="shared" si="3"/>
        <v>0</v>
      </c>
    </row>
    <row r="547" ht="14.25" customHeight="1">
      <c r="A547" t="str">
        <f>IF(PNL!A547="","",PNL!A547)</f>
        <v>MBWAY_BOR</v>
      </c>
      <c r="B547" t="str">
        <f>IF(PNL!B547="","",PNL!B547)</f>
        <v>625</v>
      </c>
      <c r="C547" t="str">
        <f>IF(PNL!C547="","",PNL!C547)</f>
        <v>2025</v>
      </c>
      <c r="D547" t="str">
        <f>IF(PNL!D547="","",PNL!D547)</f>
        <v>ACT</v>
      </c>
      <c r="E547">
        <f t="shared" si="0"/>
        <v>0</v>
      </c>
      <c r="F547">
        <f>IF($A547="","",IF($E547=1,_xlfn.SUMIFS(Comptabilité!$F$1:$F$1446,Comptabilité!$A$1:$A$1446,$A547,Comptabilité!$B$1:$B$1446,$B547,Comptabilité!$C$1:$C$1446,"2026"),0))</f>
        <v>0</v>
      </c>
      <c r="G547">
        <f>IF($A547="","",IF($D547="V01",Cadrage!$C$23,IF($D547="V02",Cadrage!$D$23,Cadrage!$E$23)))</f>
        <v>-0.05</v>
      </c>
      <c r="H547">
        <f>IF($A547="","",IF($D547="V01",Cadrage!$C$24,IF($D547="V02",Cadrage!$D$24,Cadrage!$E$24)))</f>
        <v>-0.05</v>
      </c>
      <c r="I547">
        <f>IF($A547="","",IF($D547="V01",Cadrage!$C$34,IF($D547="V02",Cadrage!$D$34,Cadrage!$E$34)))</f>
        <v>0.03</v>
      </c>
      <c r="J547">
        <f>IF($A547="","",IF($D547="V01",Cadrage!$C$35,IF($D547="V02",Cadrage!$D$35,Cadrage!$E$35)))</f>
        <v>0.03</v>
      </c>
      <c r="K547">
        <f>IF($A547="","",IF($D547="V01",Cadrage!$C$36,IF($D547="V02",Cadrage!$D$36,Cadrage!$E$36)))</f>
        <v>0.05</v>
      </c>
      <c r="L547">
        <f>IF($A547="","",IF($D547="V01",Cadrage!$C$37,IF($D547="V02",Cadrage!$D$37,Cadrage!$E$37)))</f>
        <v>0</v>
      </c>
      <c r="M547">
        <f>IF($A547="","",IF($D547="V01",Cadrage!$C$38,IF($D547="V02",Cadrage!$D$38,Cadrage!$E$38)))</f>
        <v>0.04</v>
      </c>
      <c r="N547">
        <f t="shared" si="1"/>
        <v>0.980622079131853</v>
      </c>
      <c r="O547">
        <f t="shared" si="2"/>
        <v>1.0712</v>
      </c>
      <c r="P547">
        <f>IF($A547="","",IF($E547=1,$F547*$O547,PNL!G547))</f>
        <v>25207.07</v>
      </c>
      <c r="T547">
        <f t="shared" si="3"/>
        <v>0</v>
      </c>
    </row>
    <row r="548" ht="14.25" customHeight="1">
      <c r="A548" t="str">
        <f>IF(PNL!A548="","",PNL!A548)</f>
        <v>ISCOM_PAR</v>
      </c>
      <c r="B548" t="str">
        <f>IF(PNL!B548="","",PNL!B548)</f>
        <v>625</v>
      </c>
      <c r="C548" t="str">
        <f>IF(PNL!C548="","",PNL!C548)</f>
        <v>2025</v>
      </c>
      <c r="D548" t="str">
        <f>IF(PNL!D548="","",PNL!D548)</f>
        <v>ACT</v>
      </c>
      <c r="E548">
        <f t="shared" si="0"/>
        <v>0</v>
      </c>
      <c r="F548">
        <f>IF($A548="","",IF($E548=1,_xlfn.SUMIFS(Comptabilité!$F$1:$F$1446,Comptabilité!$A$1:$A$1446,$A548,Comptabilité!$B$1:$B$1446,$B548,Comptabilité!$C$1:$C$1446,"2026"),0))</f>
        <v>0</v>
      </c>
      <c r="G548">
        <f>IF($A548="","",IF($D548="V01",Cadrage!$C$23,IF($D548="V02",Cadrage!$D$23,Cadrage!$E$23)))</f>
        <v>-0.05</v>
      </c>
      <c r="H548">
        <f>IF($A548="","",IF($D548="V01",Cadrage!$C$24,IF($D548="V02",Cadrage!$D$24,Cadrage!$E$24)))</f>
        <v>-0.05</v>
      </c>
      <c r="I548">
        <f>IF($A548="","",IF($D548="V01",Cadrage!$C$34,IF($D548="V02",Cadrage!$D$34,Cadrage!$E$34)))</f>
        <v>0.03</v>
      </c>
      <c r="J548">
        <f>IF($A548="","",IF($D548="V01",Cadrage!$C$35,IF($D548="V02",Cadrage!$D$35,Cadrage!$E$35)))</f>
        <v>0.03</v>
      </c>
      <c r="K548">
        <f>IF($A548="","",IF($D548="V01",Cadrage!$C$36,IF($D548="V02",Cadrage!$D$36,Cadrage!$E$36)))</f>
        <v>0.05</v>
      </c>
      <c r="L548">
        <f>IF($A548="","",IF($D548="V01",Cadrage!$C$37,IF($D548="V02",Cadrage!$D$37,Cadrage!$E$37)))</f>
        <v>0</v>
      </c>
      <c r="M548">
        <f>IF($A548="","",IF($D548="V01",Cadrage!$C$38,IF($D548="V02",Cadrage!$D$38,Cadrage!$E$38)))</f>
        <v>0.04</v>
      </c>
      <c r="N548">
        <f t="shared" si="1"/>
        <v>0.980622079131853</v>
      </c>
      <c r="O548">
        <f t="shared" si="2"/>
        <v>1.0712</v>
      </c>
      <c r="P548">
        <f>IF($A548="","",IF($E548=1,$F548*$O548,PNL!G548))</f>
        <v>41641.56</v>
      </c>
      <c r="T548">
        <f t="shared" si="3"/>
        <v>0</v>
      </c>
    </row>
    <row r="549" ht="14.25" customHeight="1">
      <c r="A549" t="str">
        <f>IF(PNL!A549="","",PNL!A549)</f>
        <v>ISCOM_LIL</v>
      </c>
      <c r="B549" t="str">
        <f>IF(PNL!B549="","",PNL!B549)</f>
        <v>625</v>
      </c>
      <c r="C549" t="str">
        <f>IF(PNL!C549="","",PNL!C549)</f>
        <v>2025</v>
      </c>
      <c r="D549" t="str">
        <f>IF(PNL!D549="","",PNL!D549)</f>
        <v>ACT</v>
      </c>
      <c r="E549">
        <f t="shared" si="0"/>
        <v>0</v>
      </c>
      <c r="F549">
        <f>IF($A549="","",IF($E549=1,_xlfn.SUMIFS(Comptabilité!$F$1:$F$1446,Comptabilité!$A$1:$A$1446,$A549,Comptabilité!$B$1:$B$1446,$B549,Comptabilité!$C$1:$C$1446,"2026"),0))</f>
        <v>0</v>
      </c>
      <c r="G549">
        <f>IF($A549="","",IF($D549="V01",Cadrage!$C$23,IF($D549="V02",Cadrage!$D$23,Cadrage!$E$23)))</f>
        <v>-0.05</v>
      </c>
      <c r="H549">
        <f>IF($A549="","",IF($D549="V01",Cadrage!$C$24,IF($D549="V02",Cadrage!$D$24,Cadrage!$E$24)))</f>
        <v>-0.05</v>
      </c>
      <c r="I549">
        <f>IF($A549="","",IF($D549="V01",Cadrage!$C$34,IF($D549="V02",Cadrage!$D$34,Cadrage!$E$34)))</f>
        <v>0.03</v>
      </c>
      <c r="J549">
        <f>IF($A549="","",IF($D549="V01",Cadrage!$C$35,IF($D549="V02",Cadrage!$D$35,Cadrage!$E$35)))</f>
        <v>0.03</v>
      </c>
      <c r="K549">
        <f>IF($A549="","",IF($D549="V01",Cadrage!$C$36,IF($D549="V02",Cadrage!$D$36,Cadrage!$E$36)))</f>
        <v>0.05</v>
      </c>
      <c r="L549">
        <f>IF($A549="","",IF($D549="V01",Cadrage!$C$37,IF($D549="V02",Cadrage!$D$37,Cadrage!$E$37)))</f>
        <v>0</v>
      </c>
      <c r="M549">
        <f>IF($A549="","",IF($D549="V01",Cadrage!$C$38,IF($D549="V02",Cadrage!$D$38,Cadrage!$E$38)))</f>
        <v>0.04</v>
      </c>
      <c r="N549">
        <f t="shared" si="1"/>
        <v>0.980622079131853</v>
      </c>
      <c r="O549">
        <f t="shared" si="2"/>
        <v>1.0712</v>
      </c>
      <c r="P549">
        <f>IF($A549="","",IF($E549=1,$F549*$O549,PNL!G549))</f>
        <v>24943.71</v>
      </c>
      <c r="T549">
        <f t="shared" si="3"/>
        <v>0</v>
      </c>
    </row>
    <row r="550" ht="14.25" customHeight="1">
      <c r="A550" t="str">
        <f>IF(PNL!A550="","",PNL!A550)</f>
        <v>ISCOM_TLS</v>
      </c>
      <c r="B550" t="str">
        <f>IF(PNL!B550="","",PNL!B550)</f>
        <v>625</v>
      </c>
      <c r="C550" t="str">
        <f>IF(PNL!C550="","",PNL!C550)</f>
        <v>2025</v>
      </c>
      <c r="D550" t="str">
        <f>IF(PNL!D550="","",PNL!D550)</f>
        <v>ACT</v>
      </c>
      <c r="E550">
        <f t="shared" si="0"/>
        <v>0</v>
      </c>
      <c r="F550">
        <f>IF($A550="","",IF($E550=1,_xlfn.SUMIFS(Comptabilité!$F$1:$F$1446,Comptabilité!$A$1:$A$1446,$A550,Comptabilité!$B$1:$B$1446,$B550,Comptabilité!$C$1:$C$1446,"2026"),0))</f>
        <v>0</v>
      </c>
      <c r="G550">
        <f>IF($A550="","",IF($D550="V01",Cadrage!$C$23,IF($D550="V02",Cadrage!$D$23,Cadrage!$E$23)))</f>
        <v>-0.05</v>
      </c>
      <c r="H550">
        <f>IF($A550="","",IF($D550="V01",Cadrage!$C$24,IF($D550="V02",Cadrage!$D$24,Cadrage!$E$24)))</f>
        <v>-0.05</v>
      </c>
      <c r="I550">
        <f>IF($A550="","",IF($D550="V01",Cadrage!$C$34,IF($D550="V02",Cadrage!$D$34,Cadrage!$E$34)))</f>
        <v>0.03</v>
      </c>
      <c r="J550">
        <f>IF($A550="","",IF($D550="V01",Cadrage!$C$35,IF($D550="V02",Cadrage!$D$35,Cadrage!$E$35)))</f>
        <v>0.03</v>
      </c>
      <c r="K550">
        <f>IF($A550="","",IF($D550="V01",Cadrage!$C$36,IF($D550="V02",Cadrage!$D$36,Cadrage!$E$36)))</f>
        <v>0.05</v>
      </c>
      <c r="L550">
        <f>IF($A550="","",IF($D550="V01",Cadrage!$C$37,IF($D550="V02",Cadrage!$D$37,Cadrage!$E$37)))</f>
        <v>0</v>
      </c>
      <c r="M550">
        <f>IF($A550="","",IF($D550="V01",Cadrage!$C$38,IF($D550="V02",Cadrage!$D$38,Cadrage!$E$38)))</f>
        <v>0.04</v>
      </c>
      <c r="N550">
        <f t="shared" si="1"/>
        <v>0.980622079131853</v>
      </c>
      <c r="O550">
        <f t="shared" si="2"/>
        <v>1.0712</v>
      </c>
      <c r="P550">
        <f>IF($A550="","",IF($E550=1,$F550*$O550,PNL!G550))</f>
        <v>22100.62</v>
      </c>
      <c r="T550">
        <f t="shared" si="3"/>
        <v>0</v>
      </c>
    </row>
    <row r="551" ht="14.25" customHeight="1">
      <c r="A551" t="str">
        <f>IF(PNL!A551="","",PNL!A551)</f>
        <v>IPAC_NAN</v>
      </c>
      <c r="B551" t="str">
        <f>IF(PNL!B551="","",PNL!B551)</f>
        <v>625</v>
      </c>
      <c r="C551" t="str">
        <f>IF(PNL!C551="","",PNL!C551)</f>
        <v>2025</v>
      </c>
      <c r="D551" t="str">
        <f>IF(PNL!D551="","",PNL!D551)</f>
        <v>ACT</v>
      </c>
      <c r="E551">
        <f t="shared" si="0"/>
        <v>0</v>
      </c>
      <c r="F551">
        <f>IF($A551="","",IF($E551=1,_xlfn.SUMIFS(Comptabilité!$F$1:$F$1446,Comptabilité!$A$1:$A$1446,$A551,Comptabilité!$B$1:$B$1446,$B551,Comptabilité!$C$1:$C$1446,"2026"),0))</f>
        <v>0</v>
      </c>
      <c r="G551">
        <f>IF($A551="","",IF($D551="V01",Cadrage!$C$23,IF($D551="V02",Cadrage!$D$23,Cadrage!$E$23)))</f>
        <v>-0.05</v>
      </c>
      <c r="H551">
        <f>IF($A551="","",IF($D551="V01",Cadrage!$C$24,IF($D551="V02",Cadrage!$D$24,Cadrage!$E$24)))</f>
        <v>-0.05</v>
      </c>
      <c r="I551">
        <f>IF($A551="","",IF($D551="V01",Cadrage!$C$34,IF($D551="V02",Cadrage!$D$34,Cadrage!$E$34)))</f>
        <v>0.03</v>
      </c>
      <c r="J551">
        <f>IF($A551="","",IF($D551="V01",Cadrage!$C$35,IF($D551="V02",Cadrage!$D$35,Cadrage!$E$35)))</f>
        <v>0.03</v>
      </c>
      <c r="K551">
        <f>IF($A551="","",IF($D551="V01",Cadrage!$C$36,IF($D551="V02",Cadrage!$D$36,Cadrage!$E$36)))</f>
        <v>0.05</v>
      </c>
      <c r="L551">
        <f>IF($A551="","",IF($D551="V01",Cadrage!$C$37,IF($D551="V02",Cadrage!$D$37,Cadrage!$E$37)))</f>
        <v>0</v>
      </c>
      <c r="M551">
        <f>IF($A551="","",IF($D551="V01",Cadrage!$C$38,IF($D551="V02",Cadrage!$D$38,Cadrage!$E$38)))</f>
        <v>0.04</v>
      </c>
      <c r="N551">
        <f t="shared" si="1"/>
        <v>0.980622079131853</v>
      </c>
      <c r="O551">
        <f t="shared" si="2"/>
        <v>1.0712</v>
      </c>
      <c r="P551">
        <f>IF($A551="","",IF($E551=1,$F551*$O551,PNL!G551))</f>
        <v>14692.73</v>
      </c>
      <c r="T551">
        <f t="shared" si="3"/>
        <v>0</v>
      </c>
    </row>
    <row r="552" ht="14.25" customHeight="1">
      <c r="A552" t="str">
        <f>IF(PNL!A552="","",PNL!A552)</f>
        <v>IPAC_REN</v>
      </c>
      <c r="B552" t="str">
        <f>IF(PNL!B552="","",PNL!B552)</f>
        <v>625</v>
      </c>
      <c r="C552" t="str">
        <f>IF(PNL!C552="","",PNL!C552)</f>
        <v>2025</v>
      </c>
      <c r="D552" t="str">
        <f>IF(PNL!D552="","",PNL!D552)</f>
        <v>ACT</v>
      </c>
      <c r="E552">
        <f t="shared" si="0"/>
        <v>0</v>
      </c>
      <c r="F552">
        <f>IF($A552="","",IF($E552=1,_xlfn.SUMIFS(Comptabilité!$F$1:$F$1446,Comptabilité!$A$1:$A$1446,$A552,Comptabilité!$B$1:$B$1446,$B552,Comptabilité!$C$1:$C$1446,"2026"),0))</f>
        <v>0</v>
      </c>
      <c r="G552">
        <f>IF($A552="","",IF($D552="V01",Cadrage!$C$23,IF($D552="V02",Cadrage!$D$23,Cadrage!$E$23)))</f>
        <v>-0.05</v>
      </c>
      <c r="H552">
        <f>IF($A552="","",IF($D552="V01",Cadrage!$C$24,IF($D552="V02",Cadrage!$D$24,Cadrage!$E$24)))</f>
        <v>-0.05</v>
      </c>
      <c r="I552">
        <f>IF($A552="","",IF($D552="V01",Cadrage!$C$34,IF($D552="V02",Cadrage!$D$34,Cadrage!$E$34)))</f>
        <v>0.03</v>
      </c>
      <c r="J552">
        <f>IF($A552="","",IF($D552="V01",Cadrage!$C$35,IF($D552="V02",Cadrage!$D$35,Cadrage!$E$35)))</f>
        <v>0.03</v>
      </c>
      <c r="K552">
        <f>IF($A552="","",IF($D552="V01",Cadrage!$C$36,IF($D552="V02",Cadrage!$D$36,Cadrage!$E$36)))</f>
        <v>0.05</v>
      </c>
      <c r="L552">
        <f>IF($A552="","",IF($D552="V01",Cadrage!$C$37,IF($D552="V02",Cadrage!$D$37,Cadrage!$E$37)))</f>
        <v>0</v>
      </c>
      <c r="M552">
        <f>IF($A552="","",IF($D552="V01",Cadrage!$C$38,IF($D552="V02",Cadrage!$D$38,Cadrage!$E$38)))</f>
        <v>0.04</v>
      </c>
      <c r="N552">
        <f t="shared" si="1"/>
        <v>0.980622079131853</v>
      </c>
      <c r="O552">
        <f t="shared" si="2"/>
        <v>1.0712</v>
      </c>
      <c r="P552">
        <f>IF($A552="","",IF($E552=1,$F552*$O552,PNL!G552))</f>
        <v>9744.08</v>
      </c>
      <c r="T552">
        <f t="shared" si="3"/>
        <v>0</v>
      </c>
    </row>
    <row r="553" ht="14.25" customHeight="1">
      <c r="A553" t="str">
        <f>IF(PNL!A553="","",PNL!A553)</f>
        <v>IPAC_MTP</v>
      </c>
      <c r="B553" t="str">
        <f>IF(PNL!B553="","",PNL!B553)</f>
        <v>625</v>
      </c>
      <c r="C553" t="str">
        <f>IF(PNL!C553="","",PNL!C553)</f>
        <v>2025</v>
      </c>
      <c r="D553" t="str">
        <f>IF(PNL!D553="","",PNL!D553)</f>
        <v>ACT</v>
      </c>
      <c r="E553">
        <f t="shared" si="0"/>
        <v>0</v>
      </c>
      <c r="F553">
        <f>IF($A553="","",IF($E553=1,_xlfn.SUMIFS(Comptabilité!$F$1:$F$1446,Comptabilité!$A$1:$A$1446,$A553,Comptabilité!$B$1:$B$1446,$B553,Comptabilité!$C$1:$C$1446,"2026"),0))</f>
        <v>0</v>
      </c>
      <c r="G553">
        <f>IF($A553="","",IF($D553="V01",Cadrage!$C$23,IF($D553="V02",Cadrage!$D$23,Cadrage!$E$23)))</f>
        <v>-0.05</v>
      </c>
      <c r="H553">
        <f>IF($A553="","",IF($D553="V01",Cadrage!$C$24,IF($D553="V02",Cadrage!$D$24,Cadrage!$E$24)))</f>
        <v>-0.05</v>
      </c>
      <c r="I553">
        <f>IF($A553="","",IF($D553="V01",Cadrage!$C$34,IF($D553="V02",Cadrage!$D$34,Cadrage!$E$34)))</f>
        <v>0.03</v>
      </c>
      <c r="J553">
        <f>IF($A553="","",IF($D553="V01",Cadrage!$C$35,IF($D553="V02",Cadrage!$D$35,Cadrage!$E$35)))</f>
        <v>0.03</v>
      </c>
      <c r="K553">
        <f>IF($A553="","",IF($D553="V01",Cadrage!$C$36,IF($D553="V02",Cadrage!$D$36,Cadrage!$E$36)))</f>
        <v>0.05</v>
      </c>
      <c r="L553">
        <f>IF($A553="","",IF($D553="V01",Cadrage!$C$37,IF($D553="V02",Cadrage!$D$37,Cadrage!$E$37)))</f>
        <v>0</v>
      </c>
      <c r="M553">
        <f>IF($A553="","",IF($D553="V01",Cadrage!$C$38,IF($D553="V02",Cadrage!$D$38,Cadrage!$E$38)))</f>
        <v>0.04</v>
      </c>
      <c r="N553">
        <f t="shared" si="1"/>
        <v>0.980622079131853</v>
      </c>
      <c r="O553">
        <f t="shared" si="2"/>
        <v>1.0712</v>
      </c>
      <c r="P553">
        <f>IF($A553="","",IF($E553=1,$F553*$O553,PNL!G553))</f>
        <v>9738.64</v>
      </c>
      <c r="T553">
        <f t="shared" si="3"/>
        <v>0</v>
      </c>
    </row>
    <row r="554" ht="14.25" customHeight="1">
      <c r="A554" t="str">
        <f>IF(PNL!A554="","",PNL!A554)</f>
        <v>PIGIER_LYO</v>
      </c>
      <c r="B554" t="str">
        <f>IF(PNL!B554="","",PNL!B554)</f>
        <v>625</v>
      </c>
      <c r="C554" t="str">
        <f>IF(PNL!C554="","",PNL!C554)</f>
        <v>2025</v>
      </c>
      <c r="D554" t="str">
        <f>IF(PNL!D554="","",PNL!D554)</f>
        <v>ACT</v>
      </c>
      <c r="E554">
        <f t="shared" si="0"/>
        <v>0</v>
      </c>
      <c r="F554">
        <f>IF($A554="","",IF($E554=1,_xlfn.SUMIFS(Comptabilité!$F$1:$F$1446,Comptabilité!$A$1:$A$1446,$A554,Comptabilité!$B$1:$B$1446,$B554,Comptabilité!$C$1:$C$1446,"2026"),0))</f>
        <v>0</v>
      </c>
      <c r="G554">
        <f>IF($A554="","",IF($D554="V01",Cadrage!$C$23,IF($D554="V02",Cadrage!$D$23,Cadrage!$E$23)))</f>
        <v>-0.05</v>
      </c>
      <c r="H554">
        <f>IF($A554="","",IF($D554="V01",Cadrage!$C$24,IF($D554="V02",Cadrage!$D$24,Cadrage!$E$24)))</f>
        <v>-0.05</v>
      </c>
      <c r="I554">
        <f>IF($A554="","",IF($D554="V01",Cadrage!$C$34,IF($D554="V02",Cadrage!$D$34,Cadrage!$E$34)))</f>
        <v>0.03</v>
      </c>
      <c r="J554">
        <f>IF($A554="","",IF($D554="V01",Cadrage!$C$35,IF($D554="V02",Cadrage!$D$35,Cadrage!$E$35)))</f>
        <v>0.03</v>
      </c>
      <c r="K554">
        <f>IF($A554="","",IF($D554="V01",Cadrage!$C$36,IF($D554="V02",Cadrage!$D$36,Cadrage!$E$36)))</f>
        <v>0.05</v>
      </c>
      <c r="L554">
        <f>IF($A554="","",IF($D554="V01",Cadrage!$C$37,IF($D554="V02",Cadrage!$D$37,Cadrage!$E$37)))</f>
        <v>0</v>
      </c>
      <c r="M554">
        <f>IF($A554="","",IF($D554="V01",Cadrage!$C$38,IF($D554="V02",Cadrage!$D$38,Cadrage!$E$38)))</f>
        <v>0.04</v>
      </c>
      <c r="N554">
        <f t="shared" si="1"/>
        <v>0.980622079131853</v>
      </c>
      <c r="O554">
        <f t="shared" si="2"/>
        <v>1.0712</v>
      </c>
      <c r="P554">
        <f>IF($A554="","",IF($E554=1,$F554*$O554,PNL!G554))</f>
        <v>19621.12</v>
      </c>
      <c r="T554">
        <f t="shared" si="3"/>
        <v>0</v>
      </c>
    </row>
    <row r="555" ht="14.25" customHeight="1">
      <c r="A555" t="str">
        <f>IF(PNL!A555="","",PNL!A555)</f>
        <v>PIGIER_BOR</v>
      </c>
      <c r="B555" t="str">
        <f>IF(PNL!B555="","",PNL!B555)</f>
        <v>625</v>
      </c>
      <c r="C555" t="str">
        <f>IF(PNL!C555="","",PNL!C555)</f>
        <v>2025</v>
      </c>
      <c r="D555" t="str">
        <f>IF(PNL!D555="","",PNL!D555)</f>
        <v>ACT</v>
      </c>
      <c r="E555">
        <f t="shared" si="0"/>
        <v>0</v>
      </c>
      <c r="F555">
        <f>IF($A555="","",IF($E555=1,_xlfn.SUMIFS(Comptabilité!$F$1:$F$1446,Comptabilité!$A$1:$A$1446,$A555,Comptabilité!$B$1:$B$1446,$B555,Comptabilité!$C$1:$C$1446,"2026"),0))</f>
        <v>0</v>
      </c>
      <c r="G555">
        <f>IF($A555="","",IF($D555="V01",Cadrage!$C$23,IF($D555="V02",Cadrage!$D$23,Cadrage!$E$23)))</f>
        <v>-0.05</v>
      </c>
      <c r="H555">
        <f>IF($A555="","",IF($D555="V01",Cadrage!$C$24,IF($D555="V02",Cadrage!$D$24,Cadrage!$E$24)))</f>
        <v>-0.05</v>
      </c>
      <c r="I555">
        <f>IF($A555="","",IF($D555="V01",Cadrage!$C$34,IF($D555="V02",Cadrage!$D$34,Cadrage!$E$34)))</f>
        <v>0.03</v>
      </c>
      <c r="J555">
        <f>IF($A555="","",IF($D555="V01",Cadrage!$C$35,IF($D555="V02",Cadrage!$D$35,Cadrage!$E$35)))</f>
        <v>0.03</v>
      </c>
      <c r="K555">
        <f>IF($A555="","",IF($D555="V01",Cadrage!$C$36,IF($D555="V02",Cadrage!$D$36,Cadrage!$E$36)))</f>
        <v>0.05</v>
      </c>
      <c r="L555">
        <f>IF($A555="","",IF($D555="V01",Cadrage!$C$37,IF($D555="V02",Cadrage!$D$37,Cadrage!$E$37)))</f>
        <v>0</v>
      </c>
      <c r="M555">
        <f>IF($A555="","",IF($D555="V01",Cadrage!$C$38,IF($D555="V02",Cadrage!$D$38,Cadrage!$E$38)))</f>
        <v>0.04</v>
      </c>
      <c r="N555">
        <f t="shared" si="1"/>
        <v>0.980622079131853</v>
      </c>
      <c r="O555">
        <f t="shared" si="2"/>
        <v>1.0712</v>
      </c>
      <c r="P555">
        <f>IF($A555="","",IF($E555=1,$F555*$O555,PNL!G555))</f>
        <v>11744.48</v>
      </c>
      <c r="T555">
        <f t="shared" si="3"/>
        <v>0</v>
      </c>
    </row>
    <row r="556" ht="14.25" customHeight="1">
      <c r="A556" t="str">
        <f>IF(PNL!A556="","",PNL!A556)</f>
        <v>TUNON_PAR</v>
      </c>
      <c r="B556" t="str">
        <f>IF(PNL!B556="","",PNL!B556)</f>
        <v>625</v>
      </c>
      <c r="C556" t="str">
        <f>IF(PNL!C556="","",PNL!C556)</f>
        <v>2025</v>
      </c>
      <c r="D556" t="str">
        <f>IF(PNL!D556="","",PNL!D556)</f>
        <v>ACT</v>
      </c>
      <c r="E556">
        <f t="shared" si="0"/>
        <v>0</v>
      </c>
      <c r="F556">
        <f>IF($A556="","",IF($E556=1,_xlfn.SUMIFS(Comptabilité!$F$1:$F$1446,Comptabilité!$A$1:$A$1446,$A556,Comptabilité!$B$1:$B$1446,$B556,Comptabilité!$C$1:$C$1446,"2026"),0))</f>
        <v>0</v>
      </c>
      <c r="G556">
        <f>IF($A556="","",IF($D556="V01",Cadrage!$C$23,IF($D556="V02",Cadrage!$D$23,Cadrage!$E$23)))</f>
        <v>-0.05</v>
      </c>
      <c r="H556">
        <f>IF($A556="","",IF($D556="V01",Cadrage!$C$24,IF($D556="V02",Cadrage!$D$24,Cadrage!$E$24)))</f>
        <v>-0.05</v>
      </c>
      <c r="I556">
        <f>IF($A556="","",IF($D556="V01",Cadrage!$C$34,IF($D556="V02",Cadrage!$D$34,Cadrage!$E$34)))</f>
        <v>0.03</v>
      </c>
      <c r="J556">
        <f>IF($A556="","",IF($D556="V01",Cadrage!$C$35,IF($D556="V02",Cadrage!$D$35,Cadrage!$E$35)))</f>
        <v>0.03</v>
      </c>
      <c r="K556">
        <f>IF($A556="","",IF($D556="V01",Cadrage!$C$36,IF($D556="V02",Cadrage!$D$36,Cadrage!$E$36)))</f>
        <v>0.05</v>
      </c>
      <c r="L556">
        <f>IF($A556="","",IF($D556="V01",Cadrage!$C$37,IF($D556="V02",Cadrage!$D$37,Cadrage!$E$37)))</f>
        <v>0</v>
      </c>
      <c r="M556">
        <f>IF($A556="","",IF($D556="V01",Cadrage!$C$38,IF($D556="V02",Cadrage!$D$38,Cadrage!$E$38)))</f>
        <v>0.04</v>
      </c>
      <c r="N556">
        <f t="shared" si="1"/>
        <v>0.980622079131853</v>
      </c>
      <c r="O556">
        <f t="shared" si="2"/>
        <v>1.0712</v>
      </c>
      <c r="P556">
        <f>IF($A556="","",IF($E556=1,$F556*$O556,PNL!G556))</f>
        <v>17820.69</v>
      </c>
      <c r="T556">
        <f t="shared" si="3"/>
        <v>0</v>
      </c>
    </row>
    <row r="557" ht="14.25" customHeight="1">
      <c r="A557" t="str">
        <f>IF(PNL!A557="","",PNL!A557)</f>
        <v>TUNON_LYO</v>
      </c>
      <c r="B557" t="str">
        <f>IF(PNL!B557="","",PNL!B557)</f>
        <v>625</v>
      </c>
      <c r="C557" t="str">
        <f>IF(PNL!C557="","",PNL!C557)</f>
        <v>2025</v>
      </c>
      <c r="D557" t="str">
        <f>IF(PNL!D557="","",PNL!D557)</f>
        <v>ACT</v>
      </c>
      <c r="E557">
        <f t="shared" si="0"/>
        <v>0</v>
      </c>
      <c r="F557">
        <f>IF($A557="","",IF($E557=1,_xlfn.SUMIFS(Comptabilité!$F$1:$F$1446,Comptabilité!$A$1:$A$1446,$A557,Comptabilité!$B$1:$B$1446,$B557,Comptabilité!$C$1:$C$1446,"2026"),0))</f>
        <v>0</v>
      </c>
      <c r="G557">
        <f>IF($A557="","",IF($D557="V01",Cadrage!$C$23,IF($D557="V02",Cadrage!$D$23,Cadrage!$E$23)))</f>
        <v>-0.05</v>
      </c>
      <c r="H557">
        <f>IF($A557="","",IF($D557="V01",Cadrage!$C$24,IF($D557="V02",Cadrage!$D$24,Cadrage!$E$24)))</f>
        <v>-0.05</v>
      </c>
      <c r="I557">
        <f>IF($A557="","",IF($D557="V01",Cadrage!$C$34,IF($D557="V02",Cadrage!$D$34,Cadrage!$E$34)))</f>
        <v>0.03</v>
      </c>
      <c r="J557">
        <f>IF($A557="","",IF($D557="V01",Cadrage!$C$35,IF($D557="V02",Cadrage!$D$35,Cadrage!$E$35)))</f>
        <v>0.03</v>
      </c>
      <c r="K557">
        <f>IF($A557="","",IF($D557="V01",Cadrage!$C$36,IF($D557="V02",Cadrage!$D$36,Cadrage!$E$36)))</f>
        <v>0.05</v>
      </c>
      <c r="L557">
        <f>IF($A557="","",IF($D557="V01",Cadrage!$C$37,IF($D557="V02",Cadrage!$D$37,Cadrage!$E$37)))</f>
        <v>0</v>
      </c>
      <c r="M557">
        <f>IF($A557="","",IF($D557="V01",Cadrage!$C$38,IF($D557="V02",Cadrage!$D$38,Cadrage!$E$38)))</f>
        <v>0.04</v>
      </c>
      <c r="N557">
        <f t="shared" si="1"/>
        <v>0.980622079131853</v>
      </c>
      <c r="O557">
        <f t="shared" si="2"/>
        <v>1.0712</v>
      </c>
      <c r="P557">
        <f>IF($A557="","",IF($E557=1,$F557*$O557,PNL!G557))</f>
        <v>12795.05</v>
      </c>
      <c r="T557">
        <f t="shared" si="3"/>
        <v>0</v>
      </c>
    </row>
    <row r="558" ht="14.25" customHeight="1">
      <c r="A558" t="str">
        <f>IF(PNL!A558="","",PNL!A558)</f>
        <v>MBWAY_PAR</v>
      </c>
      <c r="B558" t="str">
        <f>IF(PNL!B558="","",PNL!B558)</f>
        <v>625</v>
      </c>
      <c r="C558" t="str">
        <f>IF(PNL!C558="","",PNL!C558)</f>
        <v>2026</v>
      </c>
      <c r="D558" t="str">
        <f>IF(PNL!D558="","",PNL!D558)</f>
        <v>ACT</v>
      </c>
      <c r="E558">
        <f t="shared" si="0"/>
        <v>0</v>
      </c>
      <c r="F558">
        <f>IF($A558="","",IF($E558=1,_xlfn.SUMIFS(Comptabilité!$F$1:$F$1446,Comptabilité!$A$1:$A$1446,$A558,Comptabilité!$B$1:$B$1446,$B558,Comptabilité!$C$1:$C$1446,"2026"),0))</f>
        <v>0</v>
      </c>
      <c r="G558">
        <f>IF($A558="","",IF($D558="V01",Cadrage!$C$23,IF($D558="V02",Cadrage!$D$23,Cadrage!$E$23)))</f>
        <v>-0.05</v>
      </c>
      <c r="H558">
        <f>IF($A558="","",IF($D558="V01",Cadrage!$C$24,IF($D558="V02",Cadrage!$D$24,Cadrage!$E$24)))</f>
        <v>-0.05</v>
      </c>
      <c r="I558">
        <f>IF($A558="","",IF($D558="V01",Cadrage!$C$34,IF($D558="V02",Cadrage!$D$34,Cadrage!$E$34)))</f>
        <v>0.03</v>
      </c>
      <c r="J558">
        <f>IF($A558="","",IF($D558="V01",Cadrage!$C$35,IF($D558="V02",Cadrage!$D$35,Cadrage!$E$35)))</f>
        <v>0.03</v>
      </c>
      <c r="K558">
        <f>IF($A558="","",IF($D558="V01",Cadrage!$C$36,IF($D558="V02",Cadrage!$D$36,Cadrage!$E$36)))</f>
        <v>0.05</v>
      </c>
      <c r="L558">
        <f>IF($A558="","",IF($D558="V01",Cadrage!$C$37,IF($D558="V02",Cadrage!$D$37,Cadrage!$E$37)))</f>
        <v>0</v>
      </c>
      <c r="M558">
        <f>IF($A558="","",IF($D558="V01",Cadrage!$C$38,IF($D558="V02",Cadrage!$D$38,Cadrage!$E$38)))</f>
        <v>0.04</v>
      </c>
      <c r="N558">
        <f t="shared" si="1"/>
        <v>0.980622079131853</v>
      </c>
      <c r="O558">
        <f t="shared" si="2"/>
        <v>1.0712</v>
      </c>
      <c r="P558">
        <f>IF($A558="","",IF($E558=1,$F558*$O558,PNL!G558))</f>
        <v>48309.71</v>
      </c>
      <c r="T558">
        <f t="shared" si="3"/>
        <v>0</v>
      </c>
    </row>
    <row r="559" ht="14.25" customHeight="1">
      <c r="A559" t="str">
        <f>IF(PNL!A559="","",PNL!A559)</f>
        <v>MBWAY_LYO</v>
      </c>
      <c r="B559" t="str">
        <f>IF(PNL!B559="","",PNL!B559)</f>
        <v>625</v>
      </c>
      <c r="C559" t="str">
        <f>IF(PNL!C559="","",PNL!C559)</f>
        <v>2026</v>
      </c>
      <c r="D559" t="str">
        <f>IF(PNL!D559="","",PNL!D559)</f>
        <v>ACT</v>
      </c>
      <c r="E559">
        <f t="shared" si="0"/>
        <v>0</v>
      </c>
      <c r="F559">
        <f>IF($A559="","",IF($E559=1,_xlfn.SUMIFS(Comptabilité!$F$1:$F$1446,Comptabilité!$A$1:$A$1446,$A559,Comptabilité!$B$1:$B$1446,$B559,Comptabilité!$C$1:$C$1446,"2026"),0))</f>
        <v>0</v>
      </c>
      <c r="G559">
        <f>IF($A559="","",IF($D559="V01",Cadrage!$C$23,IF($D559="V02",Cadrage!$D$23,Cadrage!$E$23)))</f>
        <v>-0.05</v>
      </c>
      <c r="H559">
        <f>IF($A559="","",IF($D559="V01",Cadrage!$C$24,IF($D559="V02",Cadrage!$D$24,Cadrage!$E$24)))</f>
        <v>-0.05</v>
      </c>
      <c r="I559">
        <f>IF($A559="","",IF($D559="V01",Cadrage!$C$34,IF($D559="V02",Cadrage!$D$34,Cadrage!$E$34)))</f>
        <v>0.03</v>
      </c>
      <c r="J559">
        <f>IF($A559="","",IF($D559="V01",Cadrage!$C$35,IF($D559="V02",Cadrage!$D$35,Cadrage!$E$35)))</f>
        <v>0.03</v>
      </c>
      <c r="K559">
        <f>IF($A559="","",IF($D559="V01",Cadrage!$C$36,IF($D559="V02",Cadrage!$D$36,Cadrage!$E$36)))</f>
        <v>0.05</v>
      </c>
      <c r="L559">
        <f>IF($A559="","",IF($D559="V01",Cadrage!$C$37,IF($D559="V02",Cadrage!$D$37,Cadrage!$E$37)))</f>
        <v>0</v>
      </c>
      <c r="M559">
        <f>IF($A559="","",IF($D559="V01",Cadrage!$C$38,IF($D559="V02",Cadrage!$D$38,Cadrage!$E$38)))</f>
        <v>0.04</v>
      </c>
      <c r="N559">
        <f t="shared" si="1"/>
        <v>0.980622079131853</v>
      </c>
      <c r="O559">
        <f t="shared" si="2"/>
        <v>1.0712</v>
      </c>
      <c r="P559">
        <f>IF($A559="","",IF($E559=1,$F559*$O559,PNL!G559))</f>
        <v>37684.82</v>
      </c>
      <c r="T559">
        <f t="shared" si="3"/>
        <v>0</v>
      </c>
    </row>
    <row r="560" ht="14.25" customHeight="1">
      <c r="A560" t="str">
        <f>IF(PNL!A560="","",PNL!A560)</f>
        <v>MBWAY_NAN</v>
      </c>
      <c r="B560" t="str">
        <f>IF(PNL!B560="","",PNL!B560)</f>
        <v>625</v>
      </c>
      <c r="C560" t="str">
        <f>IF(PNL!C560="","",PNL!C560)</f>
        <v>2026</v>
      </c>
      <c r="D560" t="str">
        <f>IF(PNL!D560="","",PNL!D560)</f>
        <v>ACT</v>
      </c>
      <c r="E560">
        <f t="shared" si="0"/>
        <v>0</v>
      </c>
      <c r="F560">
        <f>IF($A560="","",IF($E560=1,_xlfn.SUMIFS(Comptabilité!$F$1:$F$1446,Comptabilité!$A$1:$A$1446,$A560,Comptabilité!$B$1:$B$1446,$B560,Comptabilité!$C$1:$C$1446,"2026"),0))</f>
        <v>0</v>
      </c>
      <c r="G560">
        <f>IF($A560="","",IF($D560="V01",Cadrage!$C$23,IF($D560="V02",Cadrage!$D$23,Cadrage!$E$23)))</f>
        <v>-0.05</v>
      </c>
      <c r="H560">
        <f>IF($A560="","",IF($D560="V01",Cadrage!$C$24,IF($D560="V02",Cadrage!$D$24,Cadrage!$E$24)))</f>
        <v>-0.05</v>
      </c>
      <c r="I560">
        <f>IF($A560="","",IF($D560="V01",Cadrage!$C$34,IF($D560="V02",Cadrage!$D$34,Cadrage!$E$34)))</f>
        <v>0.03</v>
      </c>
      <c r="J560">
        <f>IF($A560="","",IF($D560="V01",Cadrage!$C$35,IF($D560="V02",Cadrage!$D$35,Cadrage!$E$35)))</f>
        <v>0.03</v>
      </c>
      <c r="K560">
        <f>IF($A560="","",IF($D560="V01",Cadrage!$C$36,IF($D560="V02",Cadrage!$D$36,Cadrage!$E$36)))</f>
        <v>0.05</v>
      </c>
      <c r="L560">
        <f>IF($A560="","",IF($D560="V01",Cadrage!$C$37,IF($D560="V02",Cadrage!$D$37,Cadrage!$E$37)))</f>
        <v>0</v>
      </c>
      <c r="M560">
        <f>IF($A560="","",IF($D560="V01",Cadrage!$C$38,IF($D560="V02",Cadrage!$D$38,Cadrage!$E$38)))</f>
        <v>0.04</v>
      </c>
      <c r="N560">
        <f t="shared" si="1"/>
        <v>0.980622079131853</v>
      </c>
      <c r="O560">
        <f t="shared" si="2"/>
        <v>1.0712</v>
      </c>
      <c r="P560">
        <f>IF($A560="","",IF($E560=1,$F560*$O560,PNL!G560))</f>
        <v>31867.52</v>
      </c>
      <c r="T560">
        <f t="shared" si="3"/>
        <v>0</v>
      </c>
    </row>
    <row r="561" ht="14.25" customHeight="1">
      <c r="A561" t="str">
        <f>IF(PNL!A561="","",PNL!A561)</f>
        <v>MBWAY_BOR</v>
      </c>
      <c r="B561" t="str">
        <f>IF(PNL!B561="","",PNL!B561)</f>
        <v>625</v>
      </c>
      <c r="C561" t="str">
        <f>IF(PNL!C561="","",PNL!C561)</f>
        <v>2026</v>
      </c>
      <c r="D561" t="str">
        <f>IF(PNL!D561="","",PNL!D561)</f>
        <v>ACT</v>
      </c>
      <c r="E561">
        <f t="shared" si="0"/>
        <v>0</v>
      </c>
      <c r="F561">
        <f>IF($A561="","",IF($E561=1,_xlfn.SUMIFS(Comptabilité!$F$1:$F$1446,Comptabilité!$A$1:$A$1446,$A561,Comptabilité!$B$1:$B$1446,$B561,Comptabilité!$C$1:$C$1446,"2026"),0))</f>
        <v>0</v>
      </c>
      <c r="G561">
        <f>IF($A561="","",IF($D561="V01",Cadrage!$C$23,IF($D561="V02",Cadrage!$D$23,Cadrage!$E$23)))</f>
        <v>-0.05</v>
      </c>
      <c r="H561">
        <f>IF($A561="","",IF($D561="V01",Cadrage!$C$24,IF($D561="V02",Cadrage!$D$24,Cadrage!$E$24)))</f>
        <v>-0.05</v>
      </c>
      <c r="I561">
        <f>IF($A561="","",IF($D561="V01",Cadrage!$C$34,IF($D561="V02",Cadrage!$D$34,Cadrage!$E$34)))</f>
        <v>0.03</v>
      </c>
      <c r="J561">
        <f>IF($A561="","",IF($D561="V01",Cadrage!$C$35,IF($D561="V02",Cadrage!$D$35,Cadrage!$E$35)))</f>
        <v>0.03</v>
      </c>
      <c r="K561">
        <f>IF($A561="","",IF($D561="V01",Cadrage!$C$36,IF($D561="V02",Cadrage!$D$36,Cadrage!$E$36)))</f>
        <v>0.05</v>
      </c>
      <c r="L561">
        <f>IF($A561="","",IF($D561="V01",Cadrage!$C$37,IF($D561="V02",Cadrage!$D$37,Cadrage!$E$37)))</f>
        <v>0</v>
      </c>
      <c r="M561">
        <f>IF($A561="","",IF($D561="V01",Cadrage!$C$38,IF($D561="V02",Cadrage!$D$38,Cadrage!$E$38)))</f>
        <v>0.04</v>
      </c>
      <c r="N561">
        <f t="shared" si="1"/>
        <v>0.980622079131853</v>
      </c>
      <c r="O561">
        <f t="shared" si="2"/>
        <v>1.0712</v>
      </c>
      <c r="P561">
        <f>IF($A561="","",IF($E561=1,$F561*$O561,PNL!G561))</f>
        <v>26374.57</v>
      </c>
      <c r="T561">
        <f t="shared" si="3"/>
        <v>0</v>
      </c>
    </row>
    <row r="562" ht="14.25" customHeight="1">
      <c r="A562" t="str">
        <f>IF(PNL!A562="","",PNL!A562)</f>
        <v>ISCOM_PAR</v>
      </c>
      <c r="B562" t="str">
        <f>IF(PNL!B562="","",PNL!B562)</f>
        <v>625</v>
      </c>
      <c r="C562" t="str">
        <f>IF(PNL!C562="","",PNL!C562)</f>
        <v>2026</v>
      </c>
      <c r="D562" t="str">
        <f>IF(PNL!D562="","",PNL!D562)</f>
        <v>ACT</v>
      </c>
      <c r="E562">
        <f t="shared" si="0"/>
        <v>0</v>
      </c>
      <c r="F562">
        <f>IF($A562="","",IF($E562=1,_xlfn.SUMIFS(Comptabilité!$F$1:$F$1446,Comptabilité!$A$1:$A$1446,$A562,Comptabilité!$B$1:$B$1446,$B562,Comptabilité!$C$1:$C$1446,"2026"),0))</f>
        <v>0</v>
      </c>
      <c r="G562">
        <f>IF($A562="","",IF($D562="V01",Cadrage!$C$23,IF($D562="V02",Cadrage!$D$23,Cadrage!$E$23)))</f>
        <v>-0.05</v>
      </c>
      <c r="H562">
        <f>IF($A562="","",IF($D562="V01",Cadrage!$C$24,IF($D562="V02",Cadrage!$D$24,Cadrage!$E$24)))</f>
        <v>-0.05</v>
      </c>
      <c r="I562">
        <f>IF($A562="","",IF($D562="V01",Cadrage!$C$34,IF($D562="V02",Cadrage!$D$34,Cadrage!$E$34)))</f>
        <v>0.03</v>
      </c>
      <c r="J562">
        <f>IF($A562="","",IF($D562="V01",Cadrage!$C$35,IF($D562="V02",Cadrage!$D$35,Cadrage!$E$35)))</f>
        <v>0.03</v>
      </c>
      <c r="K562">
        <f>IF($A562="","",IF($D562="V01",Cadrage!$C$36,IF($D562="V02",Cadrage!$D$36,Cadrage!$E$36)))</f>
        <v>0.05</v>
      </c>
      <c r="L562">
        <f>IF($A562="","",IF($D562="V01",Cadrage!$C$37,IF($D562="V02",Cadrage!$D$37,Cadrage!$E$37)))</f>
        <v>0</v>
      </c>
      <c r="M562">
        <f>IF($A562="","",IF($D562="V01",Cadrage!$C$38,IF($D562="V02",Cadrage!$D$38,Cadrage!$E$38)))</f>
        <v>0.04</v>
      </c>
      <c r="N562">
        <f t="shared" si="1"/>
        <v>0.980622079131853</v>
      </c>
      <c r="O562">
        <f t="shared" si="2"/>
        <v>1.0712</v>
      </c>
      <c r="P562">
        <f>IF($A562="","",IF($E562=1,$F562*$O562,PNL!G562))</f>
        <v>43518.77</v>
      </c>
      <c r="T562">
        <f t="shared" si="3"/>
        <v>0</v>
      </c>
    </row>
    <row r="563" ht="14.25" customHeight="1">
      <c r="A563" t="str">
        <f>IF(PNL!A563="","",PNL!A563)</f>
        <v>ISCOM_LIL</v>
      </c>
      <c r="B563" t="str">
        <f>IF(PNL!B563="","",PNL!B563)</f>
        <v>625</v>
      </c>
      <c r="C563" t="str">
        <f>IF(PNL!C563="","",PNL!C563)</f>
        <v>2026</v>
      </c>
      <c r="D563" t="str">
        <f>IF(PNL!D563="","",PNL!D563)</f>
        <v>ACT</v>
      </c>
      <c r="E563">
        <f t="shared" si="0"/>
        <v>0</v>
      </c>
      <c r="F563">
        <f>IF($A563="","",IF($E563=1,_xlfn.SUMIFS(Comptabilité!$F$1:$F$1446,Comptabilité!$A$1:$A$1446,$A563,Comptabilité!$B$1:$B$1446,$B563,Comptabilité!$C$1:$C$1446,"2026"),0))</f>
        <v>0</v>
      </c>
      <c r="G563">
        <f>IF($A563="","",IF($D563="V01",Cadrage!$C$23,IF($D563="V02",Cadrage!$D$23,Cadrage!$E$23)))</f>
        <v>-0.05</v>
      </c>
      <c r="H563">
        <f>IF($A563="","",IF($D563="V01",Cadrage!$C$24,IF($D563="V02",Cadrage!$D$24,Cadrage!$E$24)))</f>
        <v>-0.05</v>
      </c>
      <c r="I563">
        <f>IF($A563="","",IF($D563="V01",Cadrage!$C$34,IF($D563="V02",Cadrage!$D$34,Cadrage!$E$34)))</f>
        <v>0.03</v>
      </c>
      <c r="J563">
        <f>IF($A563="","",IF($D563="V01",Cadrage!$C$35,IF($D563="V02",Cadrage!$D$35,Cadrage!$E$35)))</f>
        <v>0.03</v>
      </c>
      <c r="K563">
        <f>IF($A563="","",IF($D563="V01",Cadrage!$C$36,IF($D563="V02",Cadrage!$D$36,Cadrage!$E$36)))</f>
        <v>0.05</v>
      </c>
      <c r="L563">
        <f>IF($A563="","",IF($D563="V01",Cadrage!$C$37,IF($D563="V02",Cadrage!$D$37,Cadrage!$E$37)))</f>
        <v>0</v>
      </c>
      <c r="M563">
        <f>IF($A563="","",IF($D563="V01",Cadrage!$C$38,IF($D563="V02",Cadrage!$D$38,Cadrage!$E$38)))</f>
        <v>0.04</v>
      </c>
      <c r="N563">
        <f t="shared" si="1"/>
        <v>0.980622079131853</v>
      </c>
      <c r="O563">
        <f t="shared" si="2"/>
        <v>1.0712</v>
      </c>
      <c r="P563">
        <f>IF($A563="","",IF($E563=1,$F563*$O563,PNL!G563))</f>
        <v>26244.28</v>
      </c>
      <c r="T563">
        <f t="shared" si="3"/>
        <v>0</v>
      </c>
    </row>
    <row r="564" ht="14.25" customHeight="1">
      <c r="A564" t="str">
        <f>IF(PNL!A564="","",PNL!A564)</f>
        <v>ISCOM_TLS</v>
      </c>
      <c r="B564" t="str">
        <f>IF(PNL!B564="","",PNL!B564)</f>
        <v>625</v>
      </c>
      <c r="C564" t="str">
        <f>IF(PNL!C564="","",PNL!C564)</f>
        <v>2026</v>
      </c>
      <c r="D564" t="str">
        <f>IF(PNL!D564="","",PNL!D564)</f>
        <v>ACT</v>
      </c>
      <c r="E564">
        <f t="shared" si="0"/>
        <v>0</v>
      </c>
      <c r="F564">
        <f>IF($A564="","",IF($E564=1,_xlfn.SUMIFS(Comptabilité!$F$1:$F$1446,Comptabilité!$A$1:$A$1446,$A564,Comptabilité!$B$1:$B$1446,$B564,Comptabilité!$C$1:$C$1446,"2026"),0))</f>
        <v>0</v>
      </c>
      <c r="G564">
        <f>IF($A564="","",IF($D564="V01",Cadrage!$C$23,IF($D564="V02",Cadrage!$D$23,Cadrage!$E$23)))</f>
        <v>-0.05</v>
      </c>
      <c r="H564">
        <f>IF($A564="","",IF($D564="V01",Cadrage!$C$24,IF($D564="V02",Cadrage!$D$24,Cadrage!$E$24)))</f>
        <v>-0.05</v>
      </c>
      <c r="I564">
        <f>IF($A564="","",IF($D564="V01",Cadrage!$C$34,IF($D564="V02",Cadrage!$D$34,Cadrage!$E$34)))</f>
        <v>0.03</v>
      </c>
      <c r="J564">
        <f>IF($A564="","",IF($D564="V01",Cadrage!$C$35,IF($D564="V02",Cadrage!$D$35,Cadrage!$E$35)))</f>
        <v>0.03</v>
      </c>
      <c r="K564">
        <f>IF($A564="","",IF($D564="V01",Cadrage!$C$36,IF($D564="V02",Cadrage!$D$36,Cadrage!$E$36)))</f>
        <v>0.05</v>
      </c>
      <c r="L564">
        <f>IF($A564="","",IF($D564="V01",Cadrage!$C$37,IF($D564="V02",Cadrage!$D$37,Cadrage!$E$37)))</f>
        <v>0</v>
      </c>
      <c r="M564">
        <f>IF($A564="","",IF($D564="V01",Cadrage!$C$38,IF($D564="V02",Cadrage!$D$38,Cadrage!$E$38)))</f>
        <v>0.04</v>
      </c>
      <c r="N564">
        <f t="shared" si="1"/>
        <v>0.980622079131853</v>
      </c>
      <c r="O564">
        <f t="shared" si="2"/>
        <v>1.0712</v>
      </c>
      <c r="P564">
        <f>IF($A564="","",IF($E564=1,$F564*$O564,PNL!G564))</f>
        <v>23363.78</v>
      </c>
      <c r="T564">
        <f t="shared" si="3"/>
        <v>0</v>
      </c>
    </row>
    <row r="565" ht="14.25" customHeight="1">
      <c r="A565" t="str">
        <f>IF(PNL!A565="","",PNL!A565)</f>
        <v>IPAC_NAN</v>
      </c>
      <c r="B565" t="str">
        <f>IF(PNL!B565="","",PNL!B565)</f>
        <v>625</v>
      </c>
      <c r="C565" t="str">
        <f>IF(PNL!C565="","",PNL!C565)</f>
        <v>2026</v>
      </c>
      <c r="D565" t="str">
        <f>IF(PNL!D565="","",PNL!D565)</f>
        <v>ACT</v>
      </c>
      <c r="E565">
        <f t="shared" si="0"/>
        <v>0</v>
      </c>
      <c r="F565">
        <f>IF($A565="","",IF($E565=1,_xlfn.SUMIFS(Comptabilité!$F$1:$F$1446,Comptabilité!$A$1:$A$1446,$A565,Comptabilité!$B$1:$B$1446,$B565,Comptabilité!$C$1:$C$1446,"2026"),0))</f>
        <v>0</v>
      </c>
      <c r="G565">
        <f>IF($A565="","",IF($D565="V01",Cadrage!$C$23,IF($D565="V02",Cadrage!$D$23,Cadrage!$E$23)))</f>
        <v>-0.05</v>
      </c>
      <c r="H565">
        <f>IF($A565="","",IF($D565="V01",Cadrage!$C$24,IF($D565="V02",Cadrage!$D$24,Cadrage!$E$24)))</f>
        <v>-0.05</v>
      </c>
      <c r="I565">
        <f>IF($A565="","",IF($D565="V01",Cadrage!$C$34,IF($D565="V02",Cadrage!$D$34,Cadrage!$E$34)))</f>
        <v>0.03</v>
      </c>
      <c r="J565">
        <f>IF($A565="","",IF($D565="V01",Cadrage!$C$35,IF($D565="V02",Cadrage!$D$35,Cadrage!$E$35)))</f>
        <v>0.03</v>
      </c>
      <c r="K565">
        <f>IF($A565="","",IF($D565="V01",Cadrage!$C$36,IF($D565="V02",Cadrage!$D$36,Cadrage!$E$36)))</f>
        <v>0.05</v>
      </c>
      <c r="L565">
        <f>IF($A565="","",IF($D565="V01",Cadrage!$C$37,IF($D565="V02",Cadrage!$D$37,Cadrage!$E$37)))</f>
        <v>0</v>
      </c>
      <c r="M565">
        <f>IF($A565="","",IF($D565="V01",Cadrage!$C$38,IF($D565="V02",Cadrage!$D$38,Cadrage!$E$38)))</f>
        <v>0.04</v>
      </c>
      <c r="N565">
        <f t="shared" si="1"/>
        <v>0.980622079131853</v>
      </c>
      <c r="O565">
        <f t="shared" si="2"/>
        <v>1.0712</v>
      </c>
      <c r="P565">
        <f>IF($A565="","",IF($E565=1,$F565*$O565,PNL!G565))</f>
        <v>15357.07</v>
      </c>
      <c r="T565">
        <f t="shared" si="3"/>
        <v>0</v>
      </c>
    </row>
    <row r="566" ht="14.25" customHeight="1">
      <c r="A566" t="str">
        <f>IF(PNL!A566="","",PNL!A566)</f>
        <v>IPAC_REN</v>
      </c>
      <c r="B566" t="str">
        <f>IF(PNL!B566="","",PNL!B566)</f>
        <v>625</v>
      </c>
      <c r="C566" t="str">
        <f>IF(PNL!C566="","",PNL!C566)</f>
        <v>2026</v>
      </c>
      <c r="D566" t="str">
        <f>IF(PNL!D566="","",PNL!D566)</f>
        <v>ACT</v>
      </c>
      <c r="E566">
        <f t="shared" si="0"/>
        <v>0</v>
      </c>
      <c r="F566">
        <f>IF($A566="","",IF($E566=1,_xlfn.SUMIFS(Comptabilité!$F$1:$F$1446,Comptabilité!$A$1:$A$1446,$A566,Comptabilité!$B$1:$B$1446,$B566,Comptabilité!$C$1:$C$1446,"2026"),0))</f>
        <v>0</v>
      </c>
      <c r="G566">
        <f>IF($A566="","",IF($D566="V01",Cadrage!$C$23,IF($D566="V02",Cadrage!$D$23,Cadrage!$E$23)))</f>
        <v>-0.05</v>
      </c>
      <c r="H566">
        <f>IF($A566="","",IF($D566="V01",Cadrage!$C$24,IF($D566="V02",Cadrage!$D$24,Cadrage!$E$24)))</f>
        <v>-0.05</v>
      </c>
      <c r="I566">
        <f>IF($A566="","",IF($D566="V01",Cadrage!$C$34,IF($D566="V02",Cadrage!$D$34,Cadrage!$E$34)))</f>
        <v>0.03</v>
      </c>
      <c r="J566">
        <f>IF($A566="","",IF($D566="V01",Cadrage!$C$35,IF($D566="V02",Cadrage!$D$35,Cadrage!$E$35)))</f>
        <v>0.03</v>
      </c>
      <c r="K566">
        <f>IF($A566="","",IF($D566="V01",Cadrage!$C$36,IF($D566="V02",Cadrage!$D$36,Cadrage!$E$36)))</f>
        <v>0.05</v>
      </c>
      <c r="L566">
        <f>IF($A566="","",IF($D566="V01",Cadrage!$C$37,IF($D566="V02",Cadrage!$D$37,Cadrage!$E$37)))</f>
        <v>0</v>
      </c>
      <c r="M566">
        <f>IF($A566="","",IF($D566="V01",Cadrage!$C$38,IF($D566="V02",Cadrage!$D$38,Cadrage!$E$38)))</f>
        <v>0.04</v>
      </c>
      <c r="N566">
        <f t="shared" si="1"/>
        <v>0.980622079131853</v>
      </c>
      <c r="O566">
        <f t="shared" si="2"/>
        <v>1.0712</v>
      </c>
      <c r="P566">
        <f>IF($A566="","",IF($E566=1,$F566*$O566,PNL!G566))</f>
        <v>10032.91</v>
      </c>
      <c r="T566">
        <f t="shared" si="3"/>
        <v>0</v>
      </c>
    </row>
    <row r="567" ht="14.25" customHeight="1">
      <c r="A567" t="str">
        <f>IF(PNL!A567="","",PNL!A567)</f>
        <v>IPAC_MTP</v>
      </c>
      <c r="B567" t="str">
        <f>IF(PNL!B567="","",PNL!B567)</f>
        <v>625</v>
      </c>
      <c r="C567" t="str">
        <f>IF(PNL!C567="","",PNL!C567)</f>
        <v>2026</v>
      </c>
      <c r="D567" t="str">
        <f>IF(PNL!D567="","",PNL!D567)</f>
        <v>ACT</v>
      </c>
      <c r="E567">
        <f t="shared" si="0"/>
        <v>0</v>
      </c>
      <c r="F567">
        <f>IF($A567="","",IF($E567=1,_xlfn.SUMIFS(Comptabilité!$F$1:$F$1446,Comptabilité!$A$1:$A$1446,$A567,Comptabilité!$B$1:$B$1446,$B567,Comptabilité!$C$1:$C$1446,"2026"),0))</f>
        <v>0</v>
      </c>
      <c r="G567">
        <f>IF($A567="","",IF($D567="V01",Cadrage!$C$23,IF($D567="V02",Cadrage!$D$23,Cadrage!$E$23)))</f>
        <v>-0.05</v>
      </c>
      <c r="H567">
        <f>IF($A567="","",IF($D567="V01",Cadrage!$C$24,IF($D567="V02",Cadrage!$D$24,Cadrage!$E$24)))</f>
        <v>-0.05</v>
      </c>
      <c r="I567">
        <f>IF($A567="","",IF($D567="V01",Cadrage!$C$34,IF($D567="V02",Cadrage!$D$34,Cadrage!$E$34)))</f>
        <v>0.03</v>
      </c>
      <c r="J567">
        <f>IF($A567="","",IF($D567="V01",Cadrage!$C$35,IF($D567="V02",Cadrage!$D$35,Cadrage!$E$35)))</f>
        <v>0.03</v>
      </c>
      <c r="K567">
        <f>IF($A567="","",IF($D567="V01",Cadrage!$C$36,IF($D567="V02",Cadrage!$D$36,Cadrage!$E$36)))</f>
        <v>0.05</v>
      </c>
      <c r="L567">
        <f>IF($A567="","",IF($D567="V01",Cadrage!$C$37,IF($D567="V02",Cadrage!$D$37,Cadrage!$E$37)))</f>
        <v>0</v>
      </c>
      <c r="M567">
        <f>IF($A567="","",IF($D567="V01",Cadrage!$C$38,IF($D567="V02",Cadrage!$D$38,Cadrage!$E$38)))</f>
        <v>0.04</v>
      </c>
      <c r="N567">
        <f t="shared" si="1"/>
        <v>0.980622079131853</v>
      </c>
      <c r="O567">
        <f t="shared" si="2"/>
        <v>1.0712</v>
      </c>
      <c r="P567">
        <f>IF($A567="","",IF($E567=1,$F567*$O567,PNL!G567))</f>
        <v>10026.93</v>
      </c>
      <c r="T567">
        <f t="shared" si="3"/>
        <v>0</v>
      </c>
    </row>
    <row r="568" ht="14.25" customHeight="1">
      <c r="A568" t="str">
        <f>IF(PNL!A568="","",PNL!A568)</f>
        <v>PIGIER_LYO</v>
      </c>
      <c r="B568" t="str">
        <f>IF(PNL!B568="","",PNL!B568)</f>
        <v>625</v>
      </c>
      <c r="C568" t="str">
        <f>IF(PNL!C568="","",PNL!C568)</f>
        <v>2026</v>
      </c>
      <c r="D568" t="str">
        <f>IF(PNL!D568="","",PNL!D568)</f>
        <v>ACT</v>
      </c>
      <c r="E568">
        <f t="shared" si="0"/>
        <v>0</v>
      </c>
      <c r="F568">
        <f>IF($A568="","",IF($E568=1,_xlfn.SUMIFS(Comptabilité!$F$1:$F$1446,Comptabilité!$A$1:$A$1446,$A568,Comptabilité!$B$1:$B$1446,$B568,Comptabilité!$C$1:$C$1446,"2026"),0))</f>
        <v>0</v>
      </c>
      <c r="G568">
        <f>IF($A568="","",IF($D568="V01",Cadrage!$C$23,IF($D568="V02",Cadrage!$D$23,Cadrage!$E$23)))</f>
        <v>-0.05</v>
      </c>
      <c r="H568">
        <f>IF($A568="","",IF($D568="V01",Cadrage!$C$24,IF($D568="V02",Cadrage!$D$24,Cadrage!$E$24)))</f>
        <v>-0.05</v>
      </c>
      <c r="I568">
        <f>IF($A568="","",IF($D568="V01",Cadrage!$C$34,IF($D568="V02",Cadrage!$D$34,Cadrage!$E$34)))</f>
        <v>0.03</v>
      </c>
      <c r="J568">
        <f>IF($A568="","",IF($D568="V01",Cadrage!$C$35,IF($D568="V02",Cadrage!$D$35,Cadrage!$E$35)))</f>
        <v>0.03</v>
      </c>
      <c r="K568">
        <f>IF($A568="","",IF($D568="V01",Cadrage!$C$36,IF($D568="V02",Cadrage!$D$36,Cadrage!$E$36)))</f>
        <v>0.05</v>
      </c>
      <c r="L568">
        <f>IF($A568="","",IF($D568="V01",Cadrage!$C$37,IF($D568="V02",Cadrage!$D$37,Cadrage!$E$37)))</f>
        <v>0</v>
      </c>
      <c r="M568">
        <f>IF($A568="","",IF($D568="V01",Cadrage!$C$38,IF($D568="V02",Cadrage!$D$38,Cadrage!$E$38)))</f>
        <v>0.04</v>
      </c>
      <c r="N568">
        <f t="shared" si="1"/>
        <v>0.980622079131853</v>
      </c>
      <c r="O568">
        <f t="shared" si="2"/>
        <v>1.0712</v>
      </c>
      <c r="P568">
        <f>IF($A568="","",IF($E568=1,$F568*$O568,PNL!G568))</f>
        <v>20742.64</v>
      </c>
      <c r="T568">
        <f t="shared" si="3"/>
        <v>0</v>
      </c>
    </row>
    <row r="569" ht="14.25" customHeight="1">
      <c r="A569" t="str">
        <f>IF(PNL!A569="","",PNL!A569)</f>
        <v>PIGIER_BOR</v>
      </c>
      <c r="B569" t="str">
        <f>IF(PNL!B569="","",PNL!B569)</f>
        <v>625</v>
      </c>
      <c r="C569" t="str">
        <f>IF(PNL!C569="","",PNL!C569)</f>
        <v>2026</v>
      </c>
      <c r="D569" t="str">
        <f>IF(PNL!D569="","",PNL!D569)</f>
        <v>ACT</v>
      </c>
      <c r="E569">
        <f t="shared" si="0"/>
        <v>0</v>
      </c>
      <c r="F569">
        <f>IF($A569="","",IF($E569=1,_xlfn.SUMIFS(Comptabilité!$F$1:$F$1446,Comptabilité!$A$1:$A$1446,$A569,Comptabilité!$B$1:$B$1446,$B569,Comptabilité!$C$1:$C$1446,"2026"),0))</f>
        <v>0</v>
      </c>
      <c r="G569">
        <f>IF($A569="","",IF($D569="V01",Cadrage!$C$23,IF($D569="V02",Cadrage!$D$23,Cadrage!$E$23)))</f>
        <v>-0.05</v>
      </c>
      <c r="H569">
        <f>IF($A569="","",IF($D569="V01",Cadrage!$C$24,IF($D569="V02",Cadrage!$D$24,Cadrage!$E$24)))</f>
        <v>-0.05</v>
      </c>
      <c r="I569">
        <f>IF($A569="","",IF($D569="V01",Cadrage!$C$34,IF($D569="V02",Cadrage!$D$34,Cadrage!$E$34)))</f>
        <v>0.03</v>
      </c>
      <c r="J569">
        <f>IF($A569="","",IF($D569="V01",Cadrage!$C$35,IF($D569="V02",Cadrage!$D$35,Cadrage!$E$35)))</f>
        <v>0.03</v>
      </c>
      <c r="K569">
        <f>IF($A569="","",IF($D569="V01",Cadrage!$C$36,IF($D569="V02",Cadrage!$D$36,Cadrage!$E$36)))</f>
        <v>0.05</v>
      </c>
      <c r="L569">
        <f>IF($A569="","",IF($D569="V01",Cadrage!$C$37,IF($D569="V02",Cadrage!$D$37,Cadrage!$E$37)))</f>
        <v>0</v>
      </c>
      <c r="M569">
        <f>IF($A569="","",IF($D569="V01",Cadrage!$C$38,IF($D569="V02",Cadrage!$D$38,Cadrage!$E$38)))</f>
        <v>0.04</v>
      </c>
      <c r="N569">
        <f t="shared" si="1"/>
        <v>0.980622079131853</v>
      </c>
      <c r="O569">
        <f t="shared" si="2"/>
        <v>1.0712</v>
      </c>
      <c r="P569">
        <f>IF($A569="","",IF($E569=1,$F569*$O569,PNL!G569))</f>
        <v>12256.21</v>
      </c>
      <c r="T569">
        <f t="shared" si="3"/>
        <v>0</v>
      </c>
    </row>
    <row r="570" ht="14.25" customHeight="1">
      <c r="A570" t="str">
        <f>IF(PNL!A570="","",PNL!A570)</f>
        <v>TUNON_PAR</v>
      </c>
      <c r="B570" t="str">
        <f>IF(PNL!B570="","",PNL!B570)</f>
        <v>625</v>
      </c>
      <c r="C570" t="str">
        <f>IF(PNL!C570="","",PNL!C570)</f>
        <v>2026</v>
      </c>
      <c r="D570" t="str">
        <f>IF(PNL!D570="","",PNL!D570)</f>
        <v>ACT</v>
      </c>
      <c r="E570">
        <f t="shared" si="0"/>
        <v>0</v>
      </c>
      <c r="F570">
        <f>IF($A570="","",IF($E570=1,_xlfn.SUMIFS(Comptabilité!$F$1:$F$1446,Comptabilité!$A$1:$A$1446,$A570,Comptabilité!$B$1:$B$1446,$B570,Comptabilité!$C$1:$C$1446,"2026"),0))</f>
        <v>0</v>
      </c>
      <c r="G570">
        <f>IF($A570="","",IF($D570="V01",Cadrage!$C$23,IF($D570="V02",Cadrage!$D$23,Cadrage!$E$23)))</f>
        <v>-0.05</v>
      </c>
      <c r="H570">
        <f>IF($A570="","",IF($D570="V01",Cadrage!$C$24,IF($D570="V02",Cadrage!$D$24,Cadrage!$E$24)))</f>
        <v>-0.05</v>
      </c>
      <c r="I570">
        <f>IF($A570="","",IF($D570="V01",Cadrage!$C$34,IF($D570="V02",Cadrage!$D$34,Cadrage!$E$34)))</f>
        <v>0.03</v>
      </c>
      <c r="J570">
        <f>IF($A570="","",IF($D570="V01",Cadrage!$C$35,IF($D570="V02",Cadrage!$D$35,Cadrage!$E$35)))</f>
        <v>0.03</v>
      </c>
      <c r="K570">
        <f>IF($A570="","",IF($D570="V01",Cadrage!$C$36,IF($D570="V02",Cadrage!$D$36,Cadrage!$E$36)))</f>
        <v>0.05</v>
      </c>
      <c r="L570">
        <f>IF($A570="","",IF($D570="V01",Cadrage!$C$37,IF($D570="V02",Cadrage!$D$37,Cadrage!$E$37)))</f>
        <v>0</v>
      </c>
      <c r="M570">
        <f>IF($A570="","",IF($D570="V01",Cadrage!$C$38,IF($D570="V02",Cadrage!$D$38,Cadrage!$E$38)))</f>
        <v>0.04</v>
      </c>
      <c r="N570">
        <f t="shared" si="1"/>
        <v>0.980622079131853</v>
      </c>
      <c r="O570">
        <f t="shared" si="2"/>
        <v>1.0712</v>
      </c>
      <c r="P570">
        <f>IF($A570="","",IF($E570=1,$F570*$O570,PNL!G570))</f>
        <v>19410.96</v>
      </c>
      <c r="T570">
        <f t="shared" si="3"/>
        <v>0</v>
      </c>
    </row>
    <row r="571" ht="14.25" customHeight="1">
      <c r="A571" t="str">
        <f>IF(PNL!A571="","",PNL!A571)</f>
        <v>TUNON_LYO</v>
      </c>
      <c r="B571" t="str">
        <f>IF(PNL!B571="","",PNL!B571)</f>
        <v>625</v>
      </c>
      <c r="C571" t="str">
        <f>IF(PNL!C571="","",PNL!C571)</f>
        <v>2026</v>
      </c>
      <c r="D571" t="str">
        <f>IF(PNL!D571="","",PNL!D571)</f>
        <v>ACT</v>
      </c>
      <c r="E571">
        <f t="shared" si="0"/>
        <v>0</v>
      </c>
      <c r="F571">
        <f>IF($A571="","",IF($E571=1,_xlfn.SUMIFS(Comptabilité!$F$1:$F$1446,Comptabilité!$A$1:$A$1446,$A571,Comptabilité!$B$1:$B$1446,$B571,Comptabilité!$C$1:$C$1446,"2026"),0))</f>
        <v>0</v>
      </c>
      <c r="G571">
        <f>IF($A571="","",IF($D571="V01",Cadrage!$C$23,IF($D571="V02",Cadrage!$D$23,Cadrage!$E$23)))</f>
        <v>-0.05</v>
      </c>
      <c r="H571">
        <f>IF($A571="","",IF($D571="V01",Cadrage!$C$24,IF($D571="V02",Cadrage!$D$24,Cadrage!$E$24)))</f>
        <v>-0.05</v>
      </c>
      <c r="I571">
        <f>IF($A571="","",IF($D571="V01",Cadrage!$C$34,IF($D571="V02",Cadrage!$D$34,Cadrage!$E$34)))</f>
        <v>0.03</v>
      </c>
      <c r="J571">
        <f>IF($A571="","",IF($D571="V01",Cadrage!$C$35,IF($D571="V02",Cadrage!$D$35,Cadrage!$E$35)))</f>
        <v>0.03</v>
      </c>
      <c r="K571">
        <f>IF($A571="","",IF($D571="V01",Cadrage!$C$36,IF($D571="V02",Cadrage!$D$36,Cadrage!$E$36)))</f>
        <v>0.05</v>
      </c>
      <c r="L571">
        <f>IF($A571="","",IF($D571="V01",Cadrage!$C$37,IF($D571="V02",Cadrage!$D$37,Cadrage!$E$37)))</f>
        <v>0</v>
      </c>
      <c r="M571">
        <f>IF($A571="","",IF($D571="V01",Cadrage!$C$38,IF($D571="V02",Cadrage!$D$38,Cadrage!$E$38)))</f>
        <v>0.04</v>
      </c>
      <c r="N571">
        <f t="shared" si="1"/>
        <v>0.980622079131853</v>
      </c>
      <c r="O571">
        <f t="shared" si="2"/>
        <v>1.0712</v>
      </c>
      <c r="P571">
        <f>IF($A571="","",IF($E571=1,$F571*$O571,PNL!G571))</f>
        <v>13700.21</v>
      </c>
      <c r="T571">
        <f t="shared" si="3"/>
        <v>0</v>
      </c>
    </row>
    <row r="572" ht="14.25" customHeight="1">
      <c r="A572" t="str">
        <f>IF(PNL!A572="","",PNL!A572)</f>
        <v>GRP</v>
      </c>
      <c r="B572" t="str">
        <f>IF(PNL!B572="","",PNL!B572)</f>
        <v>626</v>
      </c>
      <c r="C572" t="str">
        <f>IF(PNL!C572="","",PNL!C572)</f>
        <v>2024</v>
      </c>
      <c r="D572" t="str">
        <f>IF(PNL!D572="","",PNL!D572)</f>
        <v>ACT</v>
      </c>
      <c r="E572">
        <f t="shared" si="0"/>
        <v>0</v>
      </c>
      <c r="F572">
        <f>IF($A572="","",IF($E572=1,_xlfn.SUMIFS(Comptabilité!$F$1:$F$1446,Comptabilité!$A$1:$A$1446,$A572,Comptabilité!$B$1:$B$1446,$B572,Comptabilité!$C$1:$C$1446,"2026"),0))</f>
        <v>0</v>
      </c>
      <c r="G572">
        <f>IF($A572="","",IF($D572="V01",Cadrage!$C$23,IF($D572="V02",Cadrage!$D$23,Cadrage!$E$23)))</f>
        <v>-0.05</v>
      </c>
      <c r="H572">
        <f>IF($A572="","",IF($D572="V01",Cadrage!$C$24,IF($D572="V02",Cadrage!$D$24,Cadrage!$E$24)))</f>
        <v>-0.05</v>
      </c>
      <c r="I572">
        <f>IF($A572="","",IF($D572="V01",Cadrage!$C$34,IF($D572="V02",Cadrage!$D$34,Cadrage!$E$34)))</f>
        <v>0.03</v>
      </c>
      <c r="J572">
        <f>IF($A572="","",IF($D572="V01",Cadrage!$C$35,IF($D572="V02",Cadrage!$D$35,Cadrage!$E$35)))</f>
        <v>0.03</v>
      </c>
      <c r="K572">
        <f>IF($A572="","",IF($D572="V01",Cadrage!$C$36,IF($D572="V02",Cadrage!$D$36,Cadrage!$E$36)))</f>
        <v>0.05</v>
      </c>
      <c r="L572">
        <f>IF($A572="","",IF($D572="V01",Cadrage!$C$37,IF($D572="V02",Cadrage!$D$37,Cadrage!$E$37)))</f>
        <v>0</v>
      </c>
      <c r="M572">
        <f>IF($A572="","",IF($D572="V01",Cadrage!$C$38,IF($D572="V02",Cadrage!$D$38,Cadrage!$E$38)))</f>
        <v>0.04</v>
      </c>
      <c r="N572">
        <f t="shared" si="1"/>
        <v>0.980622079131853</v>
      </c>
      <c r="O572">
        <f t="shared" si="2"/>
        <v>1.0712</v>
      </c>
      <c r="P572">
        <f>IF($A572="","",IF($E572=1,$F572*$O572,PNL!G572))</f>
        <v>412389</v>
      </c>
      <c r="T572">
        <f t="shared" si="3"/>
        <v>0</v>
      </c>
    </row>
    <row r="573" ht="14.25" customHeight="1">
      <c r="A573" t="str">
        <f>IF(PNL!A573="","",PNL!A573)</f>
        <v>GRP</v>
      </c>
      <c r="B573" t="str">
        <f>IF(PNL!B573="","",PNL!B573)</f>
        <v>626</v>
      </c>
      <c r="C573" t="str">
        <f>IF(PNL!C573="","",PNL!C573)</f>
        <v>2025</v>
      </c>
      <c r="D573" t="str">
        <f>IF(PNL!D573="","",PNL!D573)</f>
        <v>ACT</v>
      </c>
      <c r="E573">
        <f t="shared" si="0"/>
        <v>0</v>
      </c>
      <c r="F573">
        <f>IF($A573="","",IF($E573=1,_xlfn.SUMIFS(Comptabilité!$F$1:$F$1446,Comptabilité!$A$1:$A$1446,$A573,Comptabilité!$B$1:$B$1446,$B573,Comptabilité!$C$1:$C$1446,"2026"),0))</f>
        <v>0</v>
      </c>
      <c r="G573">
        <f>IF($A573="","",IF($D573="V01",Cadrage!$C$23,IF($D573="V02",Cadrage!$D$23,Cadrage!$E$23)))</f>
        <v>-0.05</v>
      </c>
      <c r="H573">
        <f>IF($A573="","",IF($D573="V01",Cadrage!$C$24,IF($D573="V02",Cadrage!$D$24,Cadrage!$E$24)))</f>
        <v>-0.05</v>
      </c>
      <c r="I573">
        <f>IF($A573="","",IF($D573="V01",Cadrage!$C$34,IF($D573="V02",Cadrage!$D$34,Cadrage!$E$34)))</f>
        <v>0.03</v>
      </c>
      <c r="J573">
        <f>IF($A573="","",IF($D573="V01",Cadrage!$C$35,IF($D573="V02",Cadrage!$D$35,Cadrage!$E$35)))</f>
        <v>0.03</v>
      </c>
      <c r="K573">
        <f>IF($A573="","",IF($D573="V01",Cadrage!$C$36,IF($D573="V02",Cadrage!$D$36,Cadrage!$E$36)))</f>
        <v>0.05</v>
      </c>
      <c r="L573">
        <f>IF($A573="","",IF($D573="V01",Cadrage!$C$37,IF($D573="V02",Cadrage!$D$37,Cadrage!$E$37)))</f>
        <v>0</v>
      </c>
      <c r="M573">
        <f>IF($A573="","",IF($D573="V01",Cadrage!$C$38,IF($D573="V02",Cadrage!$D$38,Cadrage!$E$38)))</f>
        <v>0.04</v>
      </c>
      <c r="N573">
        <f t="shared" si="1"/>
        <v>0.980622079131853</v>
      </c>
      <c r="O573">
        <f t="shared" si="2"/>
        <v>1.0712</v>
      </c>
      <c r="P573">
        <f>IF($A573="","",IF($E573=1,$F573*$O573,PNL!G573))</f>
        <v>431286</v>
      </c>
      <c r="T573">
        <f t="shared" si="3"/>
        <v>0</v>
      </c>
    </row>
    <row r="574" ht="14.25" customHeight="1">
      <c r="A574" t="str">
        <f>IF(PNL!A574="","",PNL!A574)</f>
        <v>GRP</v>
      </c>
      <c r="B574" t="str">
        <f>IF(PNL!B574="","",PNL!B574)</f>
        <v>626</v>
      </c>
      <c r="C574" t="str">
        <f>IF(PNL!C574="","",PNL!C574)</f>
        <v>2026</v>
      </c>
      <c r="D574" t="str">
        <f>IF(PNL!D574="","",PNL!D574)</f>
        <v>ACT</v>
      </c>
      <c r="E574">
        <f t="shared" si="0"/>
        <v>0</v>
      </c>
      <c r="F574">
        <f>IF($A574="","",IF($E574=1,_xlfn.SUMIFS(Comptabilité!$F$1:$F$1446,Comptabilité!$A$1:$A$1446,$A574,Comptabilité!$B$1:$B$1446,$B574,Comptabilité!$C$1:$C$1446,"2026"),0))</f>
        <v>0</v>
      </c>
      <c r="G574">
        <f>IF($A574="","",IF($D574="V01",Cadrage!$C$23,IF($D574="V02",Cadrage!$D$23,Cadrage!$E$23)))</f>
        <v>-0.05</v>
      </c>
      <c r="H574">
        <f>IF($A574="","",IF($D574="V01",Cadrage!$C$24,IF($D574="V02",Cadrage!$D$24,Cadrage!$E$24)))</f>
        <v>-0.05</v>
      </c>
      <c r="I574">
        <f>IF($A574="","",IF($D574="V01",Cadrage!$C$34,IF($D574="V02",Cadrage!$D$34,Cadrage!$E$34)))</f>
        <v>0.03</v>
      </c>
      <c r="J574">
        <f>IF($A574="","",IF($D574="V01",Cadrage!$C$35,IF($D574="V02",Cadrage!$D$35,Cadrage!$E$35)))</f>
        <v>0.03</v>
      </c>
      <c r="K574">
        <f>IF($A574="","",IF($D574="V01",Cadrage!$C$36,IF($D574="V02",Cadrage!$D$36,Cadrage!$E$36)))</f>
        <v>0.05</v>
      </c>
      <c r="L574">
        <f>IF($A574="","",IF($D574="V01",Cadrage!$C$37,IF($D574="V02",Cadrage!$D$37,Cadrage!$E$37)))</f>
        <v>0</v>
      </c>
      <c r="M574">
        <f>IF($A574="","",IF($D574="V01",Cadrage!$C$38,IF($D574="V02",Cadrage!$D$38,Cadrage!$E$38)))</f>
        <v>0.04</v>
      </c>
      <c r="N574">
        <f t="shared" si="1"/>
        <v>0.980622079131853</v>
      </c>
      <c r="O574">
        <f t="shared" si="2"/>
        <v>1.0712</v>
      </c>
      <c r="P574">
        <f>IF($A574="","",IF($E574=1,$F574*$O574,PNL!G574))</f>
        <v>451872</v>
      </c>
      <c r="T574">
        <f t="shared" si="3"/>
        <v>0</v>
      </c>
    </row>
    <row r="575" ht="14.25" customHeight="1">
      <c r="A575" t="str">
        <f>IF(PNL!A575="","",PNL!A575)</f>
        <v>GRP</v>
      </c>
      <c r="B575" t="str">
        <f>IF(PNL!B575="","",PNL!B575)</f>
        <v>6281</v>
      </c>
      <c r="C575" t="str">
        <f>IF(PNL!C575="","",PNL!C575)</f>
        <v>2024</v>
      </c>
      <c r="D575" t="str">
        <f>IF(PNL!D575="","",PNL!D575)</f>
        <v>ACT</v>
      </c>
      <c r="E575">
        <f t="shared" si="0"/>
        <v>0</v>
      </c>
      <c r="F575">
        <f>IF($A575="","",IF($E575=1,_xlfn.SUMIFS(Comptabilité!$F$1:$F$1446,Comptabilité!$A$1:$A$1446,$A575,Comptabilité!$B$1:$B$1446,$B575,Comptabilité!$C$1:$C$1446,"2026"),0))</f>
        <v>0</v>
      </c>
      <c r="G575">
        <f>IF($A575="","",IF($D575="V01",Cadrage!$C$23,IF($D575="V02",Cadrage!$D$23,Cadrage!$E$23)))</f>
        <v>-0.05</v>
      </c>
      <c r="H575">
        <f>IF($A575="","",IF($D575="V01",Cadrage!$C$24,IF($D575="V02",Cadrage!$D$24,Cadrage!$E$24)))</f>
        <v>-0.05</v>
      </c>
      <c r="I575">
        <f>IF($A575="","",IF($D575="V01",Cadrage!$C$34,IF($D575="V02",Cadrage!$D$34,Cadrage!$E$34)))</f>
        <v>0.03</v>
      </c>
      <c r="J575">
        <f>IF($A575="","",IF($D575="V01",Cadrage!$C$35,IF($D575="V02",Cadrage!$D$35,Cadrage!$E$35)))</f>
        <v>0.03</v>
      </c>
      <c r="K575">
        <f>IF($A575="","",IF($D575="V01",Cadrage!$C$36,IF($D575="V02",Cadrage!$D$36,Cadrage!$E$36)))</f>
        <v>0.05</v>
      </c>
      <c r="L575">
        <f>IF($A575="","",IF($D575="V01",Cadrage!$C$37,IF($D575="V02",Cadrage!$D$37,Cadrage!$E$37)))</f>
        <v>0</v>
      </c>
      <c r="M575">
        <f>IF($A575="","",IF($D575="V01",Cadrage!$C$38,IF($D575="V02",Cadrage!$D$38,Cadrage!$E$38)))</f>
        <v>0.04</v>
      </c>
      <c r="N575">
        <f t="shared" si="1"/>
        <v>0.980622079131853</v>
      </c>
      <c r="O575">
        <f t="shared" si="2"/>
        <v>1.0712</v>
      </c>
      <c r="P575">
        <f>IF($A575="","",IF($E575=1,$F575*$O575,PNL!G575))</f>
        <v>164956</v>
      </c>
      <c r="T575">
        <f t="shared" si="3"/>
        <v>0</v>
      </c>
    </row>
    <row r="576" ht="14.25" customHeight="1">
      <c r="A576" t="str">
        <f>IF(PNL!A576="","",PNL!A576)</f>
        <v>GRP</v>
      </c>
      <c r="B576" t="str">
        <f>IF(PNL!B576="","",PNL!B576)</f>
        <v>6281</v>
      </c>
      <c r="C576" t="str">
        <f>IF(PNL!C576="","",PNL!C576)</f>
        <v>2025</v>
      </c>
      <c r="D576" t="str">
        <f>IF(PNL!D576="","",PNL!D576)</f>
        <v>ACT</v>
      </c>
      <c r="E576">
        <f t="shared" si="0"/>
        <v>0</v>
      </c>
      <c r="F576">
        <f>IF($A576="","",IF($E576=1,_xlfn.SUMIFS(Comptabilité!$F$1:$F$1446,Comptabilité!$A$1:$A$1446,$A576,Comptabilité!$B$1:$B$1446,$B576,Comptabilité!$C$1:$C$1446,"2026"),0))</f>
        <v>0</v>
      </c>
      <c r="G576">
        <f>IF($A576="","",IF($D576="V01",Cadrage!$C$23,IF($D576="V02",Cadrage!$D$23,Cadrage!$E$23)))</f>
        <v>-0.05</v>
      </c>
      <c r="H576">
        <f>IF($A576="","",IF($D576="V01",Cadrage!$C$24,IF($D576="V02",Cadrage!$D$24,Cadrage!$E$24)))</f>
        <v>-0.05</v>
      </c>
      <c r="I576">
        <f>IF($A576="","",IF($D576="V01",Cadrage!$C$34,IF($D576="V02",Cadrage!$D$34,Cadrage!$E$34)))</f>
        <v>0.03</v>
      </c>
      <c r="J576">
        <f>IF($A576="","",IF($D576="V01",Cadrage!$C$35,IF($D576="V02",Cadrage!$D$35,Cadrage!$E$35)))</f>
        <v>0.03</v>
      </c>
      <c r="K576">
        <f>IF($A576="","",IF($D576="V01",Cadrage!$C$36,IF($D576="V02",Cadrage!$D$36,Cadrage!$E$36)))</f>
        <v>0.05</v>
      </c>
      <c r="L576">
        <f>IF($A576="","",IF($D576="V01",Cadrage!$C$37,IF($D576="V02",Cadrage!$D$37,Cadrage!$E$37)))</f>
        <v>0</v>
      </c>
      <c r="M576">
        <f>IF($A576="","",IF($D576="V01",Cadrage!$C$38,IF($D576="V02",Cadrage!$D$38,Cadrage!$E$38)))</f>
        <v>0.04</v>
      </c>
      <c r="N576">
        <f t="shared" si="1"/>
        <v>0.980622079131853</v>
      </c>
      <c r="O576">
        <f t="shared" si="2"/>
        <v>1.0712</v>
      </c>
      <c r="P576">
        <f>IF($A576="","",IF($E576=1,$F576*$O576,PNL!G576))</f>
        <v>172514</v>
      </c>
      <c r="T576">
        <f t="shared" si="3"/>
        <v>0</v>
      </c>
    </row>
    <row r="577" ht="14.25" customHeight="1">
      <c r="A577" t="str">
        <f>IF(PNL!A577="","",PNL!A577)</f>
        <v>GRP</v>
      </c>
      <c r="B577" t="str">
        <f>IF(PNL!B577="","",PNL!B577)</f>
        <v>6281</v>
      </c>
      <c r="C577" t="str">
        <f>IF(PNL!C577="","",PNL!C577)</f>
        <v>2026</v>
      </c>
      <c r="D577" t="str">
        <f>IF(PNL!D577="","",PNL!D577)</f>
        <v>ACT</v>
      </c>
      <c r="E577">
        <f t="shared" si="0"/>
        <v>0</v>
      </c>
      <c r="F577">
        <f>IF($A577="","",IF($E577=1,_xlfn.SUMIFS(Comptabilité!$F$1:$F$1446,Comptabilité!$A$1:$A$1446,$A577,Comptabilité!$B$1:$B$1446,$B577,Comptabilité!$C$1:$C$1446,"2026"),0))</f>
        <v>0</v>
      </c>
      <c r="G577">
        <f>IF($A577="","",IF($D577="V01",Cadrage!$C$23,IF($D577="V02",Cadrage!$D$23,Cadrage!$E$23)))</f>
        <v>-0.05</v>
      </c>
      <c r="H577">
        <f>IF($A577="","",IF($D577="V01",Cadrage!$C$24,IF($D577="V02",Cadrage!$D$24,Cadrage!$E$24)))</f>
        <v>-0.05</v>
      </c>
      <c r="I577">
        <f>IF($A577="","",IF($D577="V01",Cadrage!$C$34,IF($D577="V02",Cadrage!$D$34,Cadrage!$E$34)))</f>
        <v>0.03</v>
      </c>
      <c r="J577">
        <f>IF($A577="","",IF($D577="V01",Cadrage!$C$35,IF($D577="V02",Cadrage!$D$35,Cadrage!$E$35)))</f>
        <v>0.03</v>
      </c>
      <c r="K577">
        <f>IF($A577="","",IF($D577="V01",Cadrage!$C$36,IF($D577="V02",Cadrage!$D$36,Cadrage!$E$36)))</f>
        <v>0.05</v>
      </c>
      <c r="L577">
        <f>IF($A577="","",IF($D577="V01",Cadrage!$C$37,IF($D577="V02",Cadrage!$D$37,Cadrage!$E$37)))</f>
        <v>0</v>
      </c>
      <c r="M577">
        <f>IF($A577="","",IF($D577="V01",Cadrage!$C$38,IF($D577="V02",Cadrage!$D$38,Cadrage!$E$38)))</f>
        <v>0.04</v>
      </c>
      <c r="N577">
        <f t="shared" si="1"/>
        <v>0.980622079131853</v>
      </c>
      <c r="O577">
        <f t="shared" si="2"/>
        <v>1.0712</v>
      </c>
      <c r="P577">
        <f>IF($A577="","",IF($E577=1,$F577*$O577,PNL!G577))</f>
        <v>180749</v>
      </c>
      <c r="T577">
        <f t="shared" si="3"/>
        <v>0</v>
      </c>
    </row>
    <row r="578" ht="14.25" customHeight="1">
      <c r="A578" t="str">
        <f>IF(PNL!A578="","",PNL!A578)</f>
        <v>GRP</v>
      </c>
      <c r="B578" t="str">
        <f>IF(PNL!B578="","",PNL!B578)</f>
        <v>6331</v>
      </c>
      <c r="C578" t="str">
        <f>IF(PNL!C578="","",PNL!C578)</f>
        <v>2024</v>
      </c>
      <c r="D578" t="str">
        <f>IF(PNL!D578="","",PNL!D578)</f>
        <v>ACT</v>
      </c>
      <c r="E578">
        <f t="shared" si="0"/>
        <v>0</v>
      </c>
      <c r="F578">
        <f>IF($A578="","",IF($E578=1,_xlfn.SUMIFS(Comptabilité!$F$1:$F$1446,Comptabilité!$A$1:$A$1446,$A578,Comptabilité!$B$1:$B$1446,$B578,Comptabilité!$C$1:$C$1446,"2026"),0))</f>
        <v>0</v>
      </c>
      <c r="G578">
        <f>IF($A578="","",IF($D578="V01",Cadrage!$C$23,IF($D578="V02",Cadrage!$D$23,Cadrage!$E$23)))</f>
        <v>-0.05</v>
      </c>
      <c r="H578">
        <f>IF($A578="","",IF($D578="V01",Cadrage!$C$24,IF($D578="V02",Cadrage!$D$24,Cadrage!$E$24)))</f>
        <v>-0.05</v>
      </c>
      <c r="I578">
        <f>IF($A578="","",IF($D578="V01",Cadrage!$C$34,IF($D578="V02",Cadrage!$D$34,Cadrage!$E$34)))</f>
        <v>0.03</v>
      </c>
      <c r="J578">
        <f>IF($A578="","",IF($D578="V01",Cadrage!$C$35,IF($D578="V02",Cadrage!$D$35,Cadrage!$E$35)))</f>
        <v>0.03</v>
      </c>
      <c r="K578">
        <f>IF($A578="","",IF($D578="V01",Cadrage!$C$36,IF($D578="V02",Cadrage!$D$36,Cadrage!$E$36)))</f>
        <v>0.05</v>
      </c>
      <c r="L578">
        <f>IF($A578="","",IF($D578="V01",Cadrage!$C$37,IF($D578="V02",Cadrage!$D$37,Cadrage!$E$37)))</f>
        <v>0</v>
      </c>
      <c r="M578">
        <f>IF($A578="","",IF($D578="V01",Cadrage!$C$38,IF($D578="V02",Cadrage!$D$38,Cadrage!$E$38)))</f>
        <v>0.04</v>
      </c>
      <c r="N578">
        <f t="shared" si="1"/>
        <v>0.980622079131853</v>
      </c>
      <c r="O578">
        <f t="shared" si="2"/>
        <v>1.03</v>
      </c>
      <c r="P578">
        <f>IF($A578="","",IF($E578=1,$F578*$O578,PNL!G578))</f>
        <v>309292</v>
      </c>
      <c r="T578">
        <f t="shared" si="3"/>
        <v>0</v>
      </c>
    </row>
    <row r="579" ht="14.25" customHeight="1">
      <c r="A579" t="str">
        <f>IF(PNL!A579="","",PNL!A579)</f>
        <v>GRP</v>
      </c>
      <c r="B579" t="str">
        <f>IF(PNL!B579="","",PNL!B579)</f>
        <v>6331</v>
      </c>
      <c r="C579" t="str">
        <f>IF(PNL!C579="","",PNL!C579)</f>
        <v>2025</v>
      </c>
      <c r="D579" t="str">
        <f>IF(PNL!D579="","",PNL!D579)</f>
        <v>ACT</v>
      </c>
      <c r="E579">
        <f t="shared" si="0"/>
        <v>0</v>
      </c>
      <c r="F579">
        <f>IF($A579="","",IF($E579=1,_xlfn.SUMIFS(Comptabilité!$F$1:$F$1446,Comptabilité!$A$1:$A$1446,$A579,Comptabilité!$B$1:$B$1446,$B579,Comptabilité!$C$1:$C$1446,"2026"),0))</f>
        <v>0</v>
      </c>
      <c r="G579">
        <f>IF($A579="","",IF($D579="V01",Cadrage!$C$23,IF($D579="V02",Cadrage!$D$23,Cadrage!$E$23)))</f>
        <v>-0.05</v>
      </c>
      <c r="H579">
        <f>IF($A579="","",IF($D579="V01",Cadrage!$C$24,IF($D579="V02",Cadrage!$D$24,Cadrage!$E$24)))</f>
        <v>-0.05</v>
      </c>
      <c r="I579">
        <f>IF($A579="","",IF($D579="V01",Cadrage!$C$34,IF($D579="V02",Cadrage!$D$34,Cadrage!$E$34)))</f>
        <v>0.03</v>
      </c>
      <c r="J579">
        <f>IF($A579="","",IF($D579="V01",Cadrage!$C$35,IF($D579="V02",Cadrage!$D$35,Cadrage!$E$35)))</f>
        <v>0.03</v>
      </c>
      <c r="K579">
        <f>IF($A579="","",IF($D579="V01",Cadrage!$C$36,IF($D579="V02",Cadrage!$D$36,Cadrage!$E$36)))</f>
        <v>0.05</v>
      </c>
      <c r="L579">
        <f>IF($A579="","",IF($D579="V01",Cadrage!$C$37,IF($D579="V02",Cadrage!$D$37,Cadrage!$E$37)))</f>
        <v>0</v>
      </c>
      <c r="M579">
        <f>IF($A579="","",IF($D579="V01",Cadrage!$C$38,IF($D579="V02",Cadrage!$D$38,Cadrage!$E$38)))</f>
        <v>0.04</v>
      </c>
      <c r="N579">
        <f t="shared" si="1"/>
        <v>0.980622079131853</v>
      </c>
      <c r="O579">
        <f t="shared" si="2"/>
        <v>1.03</v>
      </c>
      <c r="P579">
        <f>IF($A579="","",IF($E579=1,$F579*$O579,PNL!G579))</f>
        <v>323465</v>
      </c>
      <c r="T579">
        <f t="shared" si="3"/>
        <v>0</v>
      </c>
    </row>
    <row r="580" ht="14.25" customHeight="1">
      <c r="A580" t="str">
        <f>IF(PNL!A580="","",PNL!A580)</f>
        <v>GRP</v>
      </c>
      <c r="B580" t="str">
        <f>IF(PNL!B580="","",PNL!B580)</f>
        <v>6331</v>
      </c>
      <c r="C580" t="str">
        <f>IF(PNL!C580="","",PNL!C580)</f>
        <v>2026</v>
      </c>
      <c r="D580" t="str">
        <f>IF(PNL!D580="","",PNL!D580)</f>
        <v>ACT</v>
      </c>
      <c r="E580">
        <f t="shared" si="0"/>
        <v>0</v>
      </c>
      <c r="F580">
        <f>IF($A580="","",IF($E580=1,_xlfn.SUMIFS(Comptabilité!$F$1:$F$1446,Comptabilité!$A$1:$A$1446,$A580,Comptabilité!$B$1:$B$1446,$B580,Comptabilité!$C$1:$C$1446,"2026"),0))</f>
        <v>0</v>
      </c>
      <c r="G580">
        <f>IF($A580="","",IF($D580="V01",Cadrage!$C$23,IF($D580="V02",Cadrage!$D$23,Cadrage!$E$23)))</f>
        <v>-0.05</v>
      </c>
      <c r="H580">
        <f>IF($A580="","",IF($D580="V01",Cadrage!$C$24,IF($D580="V02",Cadrage!$D$24,Cadrage!$E$24)))</f>
        <v>-0.05</v>
      </c>
      <c r="I580">
        <f>IF($A580="","",IF($D580="V01",Cadrage!$C$34,IF($D580="V02",Cadrage!$D$34,Cadrage!$E$34)))</f>
        <v>0.03</v>
      </c>
      <c r="J580">
        <f>IF($A580="","",IF($D580="V01",Cadrage!$C$35,IF($D580="V02",Cadrage!$D$35,Cadrage!$E$35)))</f>
        <v>0.03</v>
      </c>
      <c r="K580">
        <f>IF($A580="","",IF($D580="V01",Cadrage!$C$36,IF($D580="V02",Cadrage!$D$36,Cadrage!$E$36)))</f>
        <v>0.05</v>
      </c>
      <c r="L580">
        <f>IF($A580="","",IF($D580="V01",Cadrage!$C$37,IF($D580="V02",Cadrage!$D$37,Cadrage!$E$37)))</f>
        <v>0</v>
      </c>
      <c r="M580">
        <f>IF($A580="","",IF($D580="V01",Cadrage!$C$38,IF($D580="V02",Cadrage!$D$38,Cadrage!$E$38)))</f>
        <v>0.04</v>
      </c>
      <c r="N580">
        <f t="shared" si="1"/>
        <v>0.980622079131853</v>
      </c>
      <c r="O580">
        <f t="shared" si="2"/>
        <v>1.03</v>
      </c>
      <c r="P580">
        <f>IF($A580="","",IF($E580=1,$F580*$O580,PNL!G580))</f>
        <v>338904</v>
      </c>
      <c r="T580">
        <f t="shared" si="3"/>
        <v>0</v>
      </c>
    </row>
    <row r="581" ht="14.25" customHeight="1">
      <c r="A581" t="str">
        <f>IF(PNL!A581="","",PNL!A581)</f>
        <v>MBWAY_PAR</v>
      </c>
      <c r="B581" t="str">
        <f>IF(PNL!B581="","",PNL!B581)</f>
        <v>63511</v>
      </c>
      <c r="C581" t="str">
        <f>IF(PNL!C581="","",PNL!C581)</f>
        <v>2024</v>
      </c>
      <c r="D581" t="str">
        <f>IF(PNL!D581="","",PNL!D581)</f>
        <v>ACT</v>
      </c>
      <c r="E581">
        <f t="shared" si="0"/>
        <v>0</v>
      </c>
      <c r="F581">
        <f>IF($A581="","",IF($E581=1,_xlfn.SUMIFS(Comptabilité!$F$1:$F$1446,Comptabilité!$A$1:$A$1446,$A581,Comptabilité!$B$1:$B$1446,$B581,Comptabilité!$C$1:$C$1446,"2026"),0))</f>
        <v>0</v>
      </c>
      <c r="G581">
        <f>IF($A581="","",IF($D581="V01",Cadrage!$C$23,IF($D581="V02",Cadrage!$D$23,Cadrage!$E$23)))</f>
        <v>-0.05</v>
      </c>
      <c r="H581">
        <f>IF($A581="","",IF($D581="V01",Cadrage!$C$24,IF($D581="V02",Cadrage!$D$24,Cadrage!$E$24)))</f>
        <v>-0.05</v>
      </c>
      <c r="I581">
        <f>IF($A581="","",IF($D581="V01",Cadrage!$C$34,IF($D581="V02",Cadrage!$D$34,Cadrage!$E$34)))</f>
        <v>0.03</v>
      </c>
      <c r="J581">
        <f>IF($A581="","",IF($D581="V01",Cadrage!$C$35,IF($D581="V02",Cadrage!$D$35,Cadrage!$E$35)))</f>
        <v>0.03</v>
      </c>
      <c r="K581">
        <f>IF($A581="","",IF($D581="V01",Cadrage!$C$36,IF($D581="V02",Cadrage!$D$36,Cadrage!$E$36)))</f>
        <v>0.05</v>
      </c>
      <c r="L581">
        <f>IF($A581="","",IF($D581="V01",Cadrage!$C$37,IF($D581="V02",Cadrage!$D$37,Cadrage!$E$37)))</f>
        <v>0</v>
      </c>
      <c r="M581">
        <f>IF($A581="","",IF($D581="V01",Cadrage!$C$38,IF($D581="V02",Cadrage!$D$38,Cadrage!$E$38)))</f>
        <v>0.04</v>
      </c>
      <c r="N581">
        <f t="shared" si="1"/>
        <v>0.980622079131853</v>
      </c>
      <c r="O581">
        <f t="shared" si="2"/>
        <v>1.03</v>
      </c>
      <c r="P581">
        <f>IF($A581="","",IF($E581=1,$F581*$O581,PNL!G581))</f>
        <v>27152.97</v>
      </c>
      <c r="T581">
        <f t="shared" si="3"/>
        <v>0</v>
      </c>
    </row>
    <row r="582" ht="14.25" customHeight="1">
      <c r="A582" t="str">
        <f>IF(PNL!A582="","",PNL!A582)</f>
        <v>MBWAY_LYO</v>
      </c>
      <c r="B582" t="str">
        <f>IF(PNL!B582="","",PNL!B582)</f>
        <v>63511</v>
      </c>
      <c r="C582" t="str">
        <f>IF(PNL!C582="","",PNL!C582)</f>
        <v>2024</v>
      </c>
      <c r="D582" t="str">
        <f>IF(PNL!D582="","",PNL!D582)</f>
        <v>ACT</v>
      </c>
      <c r="E582">
        <f t="shared" si="0"/>
        <v>0</v>
      </c>
      <c r="F582">
        <f>IF($A582="","",IF($E582=1,_xlfn.SUMIFS(Comptabilité!$F$1:$F$1446,Comptabilité!$A$1:$A$1446,$A582,Comptabilité!$B$1:$B$1446,$B582,Comptabilité!$C$1:$C$1446,"2026"),0))</f>
        <v>0</v>
      </c>
      <c r="G582">
        <f>IF($A582="","",IF($D582="V01",Cadrage!$C$23,IF($D582="V02",Cadrage!$D$23,Cadrage!$E$23)))</f>
        <v>-0.05</v>
      </c>
      <c r="H582">
        <f>IF($A582="","",IF($D582="V01",Cadrage!$C$24,IF($D582="V02",Cadrage!$D$24,Cadrage!$E$24)))</f>
        <v>-0.05</v>
      </c>
      <c r="I582">
        <f>IF($A582="","",IF($D582="V01",Cadrage!$C$34,IF($D582="V02",Cadrage!$D$34,Cadrage!$E$34)))</f>
        <v>0.03</v>
      </c>
      <c r="J582">
        <f>IF($A582="","",IF($D582="V01",Cadrage!$C$35,IF($D582="V02",Cadrage!$D$35,Cadrage!$E$35)))</f>
        <v>0.03</v>
      </c>
      <c r="K582">
        <f>IF($A582="","",IF($D582="V01",Cadrage!$C$36,IF($D582="V02",Cadrage!$D$36,Cadrage!$E$36)))</f>
        <v>0.05</v>
      </c>
      <c r="L582">
        <f>IF($A582="","",IF($D582="V01",Cadrage!$C$37,IF($D582="V02",Cadrage!$D$37,Cadrage!$E$37)))</f>
        <v>0</v>
      </c>
      <c r="M582">
        <f>IF($A582="","",IF($D582="V01",Cadrage!$C$38,IF($D582="V02",Cadrage!$D$38,Cadrage!$E$38)))</f>
        <v>0.04</v>
      </c>
      <c r="N582">
        <f t="shared" si="1"/>
        <v>0.980622079131853</v>
      </c>
      <c r="O582">
        <f t="shared" si="2"/>
        <v>1.03</v>
      </c>
      <c r="P582">
        <f>IF($A582="","",IF($E582=1,$F582*$O582,PNL!G582))</f>
        <v>21700.22</v>
      </c>
      <c r="T582">
        <f t="shared" si="3"/>
        <v>0</v>
      </c>
    </row>
    <row r="583" ht="14.25" customHeight="1">
      <c r="A583" t="str">
        <f>IF(PNL!A583="","",PNL!A583)</f>
        <v>MBWAY_NAN</v>
      </c>
      <c r="B583" t="str">
        <f>IF(PNL!B583="","",PNL!B583)</f>
        <v>63511</v>
      </c>
      <c r="C583" t="str">
        <f>IF(PNL!C583="","",PNL!C583)</f>
        <v>2024</v>
      </c>
      <c r="D583" t="str">
        <f>IF(PNL!D583="","",PNL!D583)</f>
        <v>ACT</v>
      </c>
      <c r="E583">
        <f t="shared" si="0"/>
        <v>0</v>
      </c>
      <c r="F583">
        <f>IF($A583="","",IF($E583=1,_xlfn.SUMIFS(Comptabilité!$F$1:$F$1446,Comptabilité!$A$1:$A$1446,$A583,Comptabilité!$B$1:$B$1446,$B583,Comptabilité!$C$1:$C$1446,"2026"),0))</f>
        <v>0</v>
      </c>
      <c r="G583">
        <f>IF($A583="","",IF($D583="V01",Cadrage!$C$23,IF($D583="V02",Cadrage!$D$23,Cadrage!$E$23)))</f>
        <v>-0.05</v>
      </c>
      <c r="H583">
        <f>IF($A583="","",IF($D583="V01",Cadrage!$C$24,IF($D583="V02",Cadrage!$D$24,Cadrage!$E$24)))</f>
        <v>-0.05</v>
      </c>
      <c r="I583">
        <f>IF($A583="","",IF($D583="V01",Cadrage!$C$34,IF($D583="V02",Cadrage!$D$34,Cadrage!$E$34)))</f>
        <v>0.03</v>
      </c>
      <c r="J583">
        <f>IF($A583="","",IF($D583="V01",Cadrage!$C$35,IF($D583="V02",Cadrage!$D$35,Cadrage!$E$35)))</f>
        <v>0.03</v>
      </c>
      <c r="K583">
        <f>IF($A583="","",IF($D583="V01",Cadrage!$C$36,IF($D583="V02",Cadrage!$D$36,Cadrage!$E$36)))</f>
        <v>0.05</v>
      </c>
      <c r="L583">
        <f>IF($A583="","",IF($D583="V01",Cadrage!$C$37,IF($D583="V02",Cadrage!$D$37,Cadrage!$E$37)))</f>
        <v>0</v>
      </c>
      <c r="M583">
        <f>IF($A583="","",IF($D583="V01",Cadrage!$C$38,IF($D583="V02",Cadrage!$D$38,Cadrage!$E$38)))</f>
        <v>0.04</v>
      </c>
      <c r="N583">
        <f t="shared" si="1"/>
        <v>0.980622079131853</v>
      </c>
      <c r="O583">
        <f t="shared" si="2"/>
        <v>1.03</v>
      </c>
      <c r="P583">
        <f>IF($A583="","",IF($E583=1,$F583*$O583,PNL!G583))</f>
        <v>18641.15</v>
      </c>
      <c r="T583">
        <f t="shared" si="3"/>
        <v>0</v>
      </c>
    </row>
    <row r="584" ht="14.25" customHeight="1">
      <c r="A584" t="str">
        <f>IF(PNL!A584="","",PNL!A584)</f>
        <v>MBWAY_BOR</v>
      </c>
      <c r="B584" t="str">
        <f>IF(PNL!B584="","",PNL!B584)</f>
        <v>63511</v>
      </c>
      <c r="C584" t="str">
        <f>IF(PNL!C584="","",PNL!C584)</f>
        <v>2024</v>
      </c>
      <c r="D584" t="str">
        <f>IF(PNL!D584="","",PNL!D584)</f>
        <v>ACT</v>
      </c>
      <c r="E584">
        <f t="shared" si="0"/>
        <v>0</v>
      </c>
      <c r="F584">
        <f>IF($A584="","",IF($E584=1,_xlfn.SUMIFS(Comptabilité!$F$1:$F$1446,Comptabilité!$A$1:$A$1446,$A584,Comptabilité!$B$1:$B$1446,$B584,Comptabilité!$C$1:$C$1446,"2026"),0))</f>
        <v>0</v>
      </c>
      <c r="G584">
        <f>IF($A584="","",IF($D584="V01",Cadrage!$C$23,IF($D584="V02",Cadrage!$D$23,Cadrage!$E$23)))</f>
        <v>-0.05</v>
      </c>
      <c r="H584">
        <f>IF($A584="","",IF($D584="V01",Cadrage!$C$24,IF($D584="V02",Cadrage!$D$24,Cadrage!$E$24)))</f>
        <v>-0.05</v>
      </c>
      <c r="I584">
        <f>IF($A584="","",IF($D584="V01",Cadrage!$C$34,IF($D584="V02",Cadrage!$D$34,Cadrage!$E$34)))</f>
        <v>0.03</v>
      </c>
      <c r="J584">
        <f>IF($A584="","",IF($D584="V01",Cadrage!$C$35,IF($D584="V02",Cadrage!$D$35,Cadrage!$E$35)))</f>
        <v>0.03</v>
      </c>
      <c r="K584">
        <f>IF($A584="","",IF($D584="V01",Cadrage!$C$36,IF($D584="V02",Cadrage!$D$36,Cadrage!$E$36)))</f>
        <v>0.05</v>
      </c>
      <c r="L584">
        <f>IF($A584="","",IF($D584="V01",Cadrage!$C$37,IF($D584="V02",Cadrage!$D$37,Cadrage!$E$37)))</f>
        <v>0</v>
      </c>
      <c r="M584">
        <f>IF($A584="","",IF($D584="V01",Cadrage!$C$38,IF($D584="V02",Cadrage!$D$38,Cadrage!$E$38)))</f>
        <v>0.04</v>
      </c>
      <c r="N584">
        <f t="shared" si="1"/>
        <v>0.980622079131853</v>
      </c>
      <c r="O584">
        <f t="shared" si="2"/>
        <v>1.03</v>
      </c>
      <c r="P584">
        <f>IF($A584="","",IF($E584=1,$F584*$O584,PNL!G584))</f>
        <v>15102.94</v>
      </c>
      <c r="T584">
        <f t="shared" si="3"/>
        <v>0</v>
      </c>
    </row>
    <row r="585" ht="14.25" customHeight="1">
      <c r="A585" t="str">
        <f>IF(PNL!A585="","",PNL!A585)</f>
        <v>ISCOM_PAR</v>
      </c>
      <c r="B585" t="str">
        <f>IF(PNL!B585="","",PNL!B585)</f>
        <v>63511</v>
      </c>
      <c r="C585" t="str">
        <f>IF(PNL!C585="","",PNL!C585)</f>
        <v>2024</v>
      </c>
      <c r="D585" t="str">
        <f>IF(PNL!D585="","",PNL!D585)</f>
        <v>ACT</v>
      </c>
      <c r="E585">
        <f t="shared" si="0"/>
        <v>0</v>
      </c>
      <c r="F585">
        <f>IF($A585="","",IF($E585=1,_xlfn.SUMIFS(Comptabilité!$F$1:$F$1446,Comptabilité!$A$1:$A$1446,$A585,Comptabilité!$B$1:$B$1446,$B585,Comptabilité!$C$1:$C$1446,"2026"),0))</f>
        <v>0</v>
      </c>
      <c r="G585">
        <f>IF($A585="","",IF($D585="V01",Cadrage!$C$23,IF($D585="V02",Cadrage!$D$23,Cadrage!$E$23)))</f>
        <v>-0.05</v>
      </c>
      <c r="H585">
        <f>IF($A585="","",IF($D585="V01",Cadrage!$C$24,IF($D585="V02",Cadrage!$D$24,Cadrage!$E$24)))</f>
        <v>-0.05</v>
      </c>
      <c r="I585">
        <f>IF($A585="","",IF($D585="V01",Cadrage!$C$34,IF($D585="V02",Cadrage!$D$34,Cadrage!$E$34)))</f>
        <v>0.03</v>
      </c>
      <c r="J585">
        <f>IF($A585="","",IF($D585="V01",Cadrage!$C$35,IF($D585="V02",Cadrage!$D$35,Cadrage!$E$35)))</f>
        <v>0.03</v>
      </c>
      <c r="K585">
        <f>IF($A585="","",IF($D585="V01",Cadrage!$C$36,IF($D585="V02",Cadrage!$D$36,Cadrage!$E$36)))</f>
        <v>0.05</v>
      </c>
      <c r="L585">
        <f>IF($A585="","",IF($D585="V01",Cadrage!$C$37,IF($D585="V02",Cadrage!$D$37,Cadrage!$E$37)))</f>
        <v>0</v>
      </c>
      <c r="M585">
        <f>IF($A585="","",IF($D585="V01",Cadrage!$C$38,IF($D585="V02",Cadrage!$D$38,Cadrage!$E$38)))</f>
        <v>0.04</v>
      </c>
      <c r="N585">
        <f t="shared" si="1"/>
        <v>0.980622079131853</v>
      </c>
      <c r="O585">
        <f t="shared" si="2"/>
        <v>1.03</v>
      </c>
      <c r="P585">
        <f>IF($A585="","",IF($E585=1,$F585*$O585,PNL!G585))</f>
        <v>26092.67</v>
      </c>
      <c r="T585">
        <f t="shared" si="3"/>
        <v>0</v>
      </c>
    </row>
    <row r="586" ht="14.25" customHeight="1">
      <c r="A586" t="str">
        <f>IF(PNL!A586="","",PNL!A586)</f>
        <v>ISCOM_LIL</v>
      </c>
      <c r="B586" t="str">
        <f>IF(PNL!B586="","",PNL!B586)</f>
        <v>63511</v>
      </c>
      <c r="C586" t="str">
        <f>IF(PNL!C586="","",PNL!C586)</f>
        <v>2024</v>
      </c>
      <c r="D586" t="str">
        <f>IF(PNL!D586="","",PNL!D586)</f>
        <v>ACT</v>
      </c>
      <c r="E586">
        <f t="shared" si="0"/>
        <v>0</v>
      </c>
      <c r="F586">
        <f>IF($A586="","",IF($E586=1,_xlfn.SUMIFS(Comptabilité!$F$1:$F$1446,Comptabilité!$A$1:$A$1446,$A586,Comptabilité!$B$1:$B$1446,$B586,Comptabilité!$C$1:$C$1446,"2026"),0))</f>
        <v>0</v>
      </c>
      <c r="G586">
        <f>IF($A586="","",IF($D586="V01",Cadrage!$C$23,IF($D586="V02",Cadrage!$D$23,Cadrage!$E$23)))</f>
        <v>-0.05</v>
      </c>
      <c r="H586">
        <f>IF($A586="","",IF($D586="V01",Cadrage!$C$24,IF($D586="V02",Cadrage!$D$24,Cadrage!$E$24)))</f>
        <v>-0.05</v>
      </c>
      <c r="I586">
        <f>IF($A586="","",IF($D586="V01",Cadrage!$C$34,IF($D586="V02",Cadrage!$D$34,Cadrage!$E$34)))</f>
        <v>0.03</v>
      </c>
      <c r="J586">
        <f>IF($A586="","",IF($D586="V01",Cadrage!$C$35,IF($D586="V02",Cadrage!$D$35,Cadrage!$E$35)))</f>
        <v>0.03</v>
      </c>
      <c r="K586">
        <f>IF($A586="","",IF($D586="V01",Cadrage!$C$36,IF($D586="V02",Cadrage!$D$36,Cadrage!$E$36)))</f>
        <v>0.05</v>
      </c>
      <c r="L586">
        <f>IF($A586="","",IF($D586="V01",Cadrage!$C$37,IF($D586="V02",Cadrage!$D$37,Cadrage!$E$37)))</f>
        <v>0</v>
      </c>
      <c r="M586">
        <f>IF($A586="","",IF($D586="V01",Cadrage!$C$38,IF($D586="V02",Cadrage!$D$38,Cadrage!$E$38)))</f>
        <v>0.04</v>
      </c>
      <c r="N586">
        <f t="shared" si="1"/>
        <v>0.980622079131853</v>
      </c>
      <c r="O586">
        <f t="shared" si="2"/>
        <v>1.03</v>
      </c>
      <c r="P586">
        <f>IF($A586="","",IF($E586=1,$F586*$O586,PNL!G586))</f>
        <v>15260.67</v>
      </c>
      <c r="T586">
        <f t="shared" si="3"/>
        <v>0</v>
      </c>
    </row>
    <row r="587" ht="14.25" customHeight="1">
      <c r="A587" t="str">
        <f>IF(PNL!A587="","",PNL!A587)</f>
        <v>ISCOM_TLS</v>
      </c>
      <c r="B587" t="str">
        <f>IF(PNL!B587="","",PNL!B587)</f>
        <v>63511</v>
      </c>
      <c r="C587" t="str">
        <f>IF(PNL!C587="","",PNL!C587)</f>
        <v>2024</v>
      </c>
      <c r="D587" t="str">
        <f>IF(PNL!D587="","",PNL!D587)</f>
        <v>ACT</v>
      </c>
      <c r="E587">
        <f t="shared" si="0"/>
        <v>0</v>
      </c>
      <c r="F587">
        <f>IF($A587="","",IF($E587=1,_xlfn.SUMIFS(Comptabilité!$F$1:$F$1446,Comptabilité!$A$1:$A$1446,$A587,Comptabilité!$B$1:$B$1446,$B587,Comptabilité!$C$1:$C$1446,"2026"),0))</f>
        <v>0</v>
      </c>
      <c r="G587">
        <f>IF($A587="","",IF($D587="V01",Cadrage!$C$23,IF($D587="V02",Cadrage!$D$23,Cadrage!$E$23)))</f>
        <v>-0.05</v>
      </c>
      <c r="H587">
        <f>IF($A587="","",IF($D587="V01",Cadrage!$C$24,IF($D587="V02",Cadrage!$D$24,Cadrage!$E$24)))</f>
        <v>-0.05</v>
      </c>
      <c r="I587">
        <f>IF($A587="","",IF($D587="V01",Cadrage!$C$34,IF($D587="V02",Cadrage!$D$34,Cadrage!$E$34)))</f>
        <v>0.03</v>
      </c>
      <c r="J587">
        <f>IF($A587="","",IF($D587="V01",Cadrage!$C$35,IF($D587="V02",Cadrage!$D$35,Cadrage!$E$35)))</f>
        <v>0.03</v>
      </c>
      <c r="K587">
        <f>IF($A587="","",IF($D587="V01",Cadrage!$C$36,IF($D587="V02",Cadrage!$D$36,Cadrage!$E$36)))</f>
        <v>0.05</v>
      </c>
      <c r="L587">
        <f>IF($A587="","",IF($D587="V01",Cadrage!$C$37,IF($D587="V02",Cadrage!$D$37,Cadrage!$E$37)))</f>
        <v>0</v>
      </c>
      <c r="M587">
        <f>IF($A587="","",IF($D587="V01",Cadrage!$C$38,IF($D587="V02",Cadrage!$D$38,Cadrage!$E$38)))</f>
        <v>0.04</v>
      </c>
      <c r="N587">
        <f t="shared" si="1"/>
        <v>0.980622079131853</v>
      </c>
      <c r="O587">
        <f t="shared" si="2"/>
        <v>1.03</v>
      </c>
      <c r="P587">
        <f>IF($A587="","",IF($E587=1,$F587*$O587,PNL!G587))</f>
        <v>14405.31</v>
      </c>
      <c r="T587">
        <f t="shared" si="3"/>
        <v>0</v>
      </c>
    </row>
    <row r="588" ht="14.25" customHeight="1">
      <c r="A588" t="str">
        <f>IF(PNL!A588="","",PNL!A588)</f>
        <v>IPAC_NAN</v>
      </c>
      <c r="B588" t="str">
        <f>IF(PNL!B588="","",PNL!B588)</f>
        <v>63511</v>
      </c>
      <c r="C588" t="str">
        <f>IF(PNL!C588="","",PNL!C588)</f>
        <v>2024</v>
      </c>
      <c r="D588" t="str">
        <f>IF(PNL!D588="","",PNL!D588)</f>
        <v>ACT</v>
      </c>
      <c r="E588">
        <f t="shared" si="0"/>
        <v>0</v>
      </c>
      <c r="F588">
        <f>IF($A588="","",IF($E588=1,_xlfn.SUMIFS(Comptabilité!$F$1:$F$1446,Comptabilité!$A$1:$A$1446,$A588,Comptabilité!$B$1:$B$1446,$B588,Comptabilité!$C$1:$C$1446,"2026"),0))</f>
        <v>0</v>
      </c>
      <c r="G588">
        <f>IF($A588="","",IF($D588="V01",Cadrage!$C$23,IF($D588="V02",Cadrage!$D$23,Cadrage!$E$23)))</f>
        <v>-0.05</v>
      </c>
      <c r="H588">
        <f>IF($A588="","",IF($D588="V01",Cadrage!$C$24,IF($D588="V02",Cadrage!$D$24,Cadrage!$E$24)))</f>
        <v>-0.05</v>
      </c>
      <c r="I588">
        <f>IF($A588="","",IF($D588="V01",Cadrage!$C$34,IF($D588="V02",Cadrage!$D$34,Cadrage!$E$34)))</f>
        <v>0.03</v>
      </c>
      <c r="J588">
        <f>IF($A588="","",IF($D588="V01",Cadrage!$C$35,IF($D588="V02",Cadrage!$D$35,Cadrage!$E$35)))</f>
        <v>0.03</v>
      </c>
      <c r="K588">
        <f>IF($A588="","",IF($D588="V01",Cadrage!$C$36,IF($D588="V02",Cadrage!$D$36,Cadrage!$E$36)))</f>
        <v>0.05</v>
      </c>
      <c r="L588">
        <f>IF($A588="","",IF($D588="V01",Cadrage!$C$37,IF($D588="V02",Cadrage!$D$37,Cadrage!$E$37)))</f>
        <v>0</v>
      </c>
      <c r="M588">
        <f>IF($A588="","",IF($D588="V01",Cadrage!$C$38,IF($D588="V02",Cadrage!$D$38,Cadrage!$E$38)))</f>
        <v>0.04</v>
      </c>
      <c r="N588">
        <f t="shared" si="1"/>
        <v>0.980622079131853</v>
      </c>
      <c r="O588">
        <f t="shared" si="2"/>
        <v>1.03</v>
      </c>
      <c r="P588">
        <f>IF($A588="","",IF($E588=1,$F588*$O588,PNL!G588))</f>
        <v>9160.67</v>
      </c>
      <c r="T588">
        <f t="shared" si="3"/>
        <v>0</v>
      </c>
    </row>
    <row r="589" ht="14.25" customHeight="1">
      <c r="A589" t="str">
        <f>IF(PNL!A589="","",PNL!A589)</f>
        <v>IPAC_REN</v>
      </c>
      <c r="B589" t="str">
        <f>IF(PNL!B589="","",PNL!B589)</f>
        <v>63511</v>
      </c>
      <c r="C589" t="str">
        <f>IF(PNL!C589="","",PNL!C589)</f>
        <v>2024</v>
      </c>
      <c r="D589" t="str">
        <f>IF(PNL!D589="","",PNL!D589)</f>
        <v>ACT</v>
      </c>
      <c r="E589">
        <f t="shared" si="0"/>
        <v>0</v>
      </c>
      <c r="F589">
        <f>IF($A589="","",IF($E589=1,_xlfn.SUMIFS(Comptabilité!$F$1:$F$1446,Comptabilité!$A$1:$A$1446,$A589,Comptabilité!$B$1:$B$1446,$B589,Comptabilité!$C$1:$C$1446,"2026"),0))</f>
        <v>0</v>
      </c>
      <c r="G589">
        <f>IF($A589="","",IF($D589="V01",Cadrage!$C$23,IF($D589="V02",Cadrage!$D$23,Cadrage!$E$23)))</f>
        <v>-0.05</v>
      </c>
      <c r="H589">
        <f>IF($A589="","",IF($D589="V01",Cadrage!$C$24,IF($D589="V02",Cadrage!$D$24,Cadrage!$E$24)))</f>
        <v>-0.05</v>
      </c>
      <c r="I589">
        <f>IF($A589="","",IF($D589="V01",Cadrage!$C$34,IF($D589="V02",Cadrage!$D$34,Cadrage!$E$34)))</f>
        <v>0.03</v>
      </c>
      <c r="J589">
        <f>IF($A589="","",IF($D589="V01",Cadrage!$C$35,IF($D589="V02",Cadrage!$D$35,Cadrage!$E$35)))</f>
        <v>0.03</v>
      </c>
      <c r="K589">
        <f>IF($A589="","",IF($D589="V01",Cadrage!$C$36,IF($D589="V02",Cadrage!$D$36,Cadrage!$E$36)))</f>
        <v>0.05</v>
      </c>
      <c r="L589">
        <f>IF($A589="","",IF($D589="V01",Cadrage!$C$37,IF($D589="V02",Cadrage!$D$37,Cadrage!$E$37)))</f>
        <v>0</v>
      </c>
      <c r="M589">
        <f>IF($A589="","",IF($D589="V01",Cadrage!$C$38,IF($D589="V02",Cadrage!$D$38,Cadrage!$E$38)))</f>
        <v>0.04</v>
      </c>
      <c r="N589">
        <f t="shared" si="1"/>
        <v>0.980622079131853</v>
      </c>
      <c r="O589">
        <f t="shared" si="2"/>
        <v>1.03</v>
      </c>
      <c r="P589">
        <f>IF($A589="","",IF($E589=1,$F589*$O589,PNL!G589))</f>
        <v>7506.8</v>
      </c>
      <c r="T589">
        <f t="shared" si="3"/>
        <v>0</v>
      </c>
    </row>
    <row r="590" ht="14.25" customHeight="1">
      <c r="A590" t="str">
        <f>IF(PNL!A590="","",PNL!A590)</f>
        <v>IPAC_MTP</v>
      </c>
      <c r="B590" t="str">
        <f>IF(PNL!B590="","",PNL!B590)</f>
        <v>63511</v>
      </c>
      <c r="C590" t="str">
        <f>IF(PNL!C590="","",PNL!C590)</f>
        <v>2024</v>
      </c>
      <c r="D590" t="str">
        <f>IF(PNL!D590="","",PNL!D590)</f>
        <v>ACT</v>
      </c>
      <c r="E590">
        <f t="shared" si="0"/>
        <v>0</v>
      </c>
      <c r="F590">
        <f>IF($A590="","",IF($E590=1,_xlfn.SUMIFS(Comptabilité!$F$1:$F$1446,Comptabilité!$A$1:$A$1446,$A590,Comptabilité!$B$1:$B$1446,$B590,Comptabilité!$C$1:$C$1446,"2026"),0))</f>
        <v>0</v>
      </c>
      <c r="G590">
        <f>IF($A590="","",IF($D590="V01",Cadrage!$C$23,IF($D590="V02",Cadrage!$D$23,Cadrage!$E$23)))</f>
        <v>-0.05</v>
      </c>
      <c r="H590">
        <f>IF($A590="","",IF($D590="V01",Cadrage!$C$24,IF($D590="V02",Cadrage!$D$24,Cadrage!$E$24)))</f>
        <v>-0.05</v>
      </c>
      <c r="I590">
        <f>IF($A590="","",IF($D590="V01",Cadrage!$C$34,IF($D590="V02",Cadrage!$D$34,Cadrage!$E$34)))</f>
        <v>0.03</v>
      </c>
      <c r="J590">
        <f>IF($A590="","",IF($D590="V01",Cadrage!$C$35,IF($D590="V02",Cadrage!$D$35,Cadrage!$E$35)))</f>
        <v>0.03</v>
      </c>
      <c r="K590">
        <f>IF($A590="","",IF($D590="V01",Cadrage!$C$36,IF($D590="V02",Cadrage!$D$36,Cadrage!$E$36)))</f>
        <v>0.05</v>
      </c>
      <c r="L590">
        <f>IF($A590="","",IF($D590="V01",Cadrage!$C$37,IF($D590="V02",Cadrage!$D$37,Cadrage!$E$37)))</f>
        <v>0</v>
      </c>
      <c r="M590">
        <f>IF($A590="","",IF($D590="V01",Cadrage!$C$38,IF($D590="V02",Cadrage!$D$38,Cadrage!$E$38)))</f>
        <v>0.04</v>
      </c>
      <c r="N590">
        <f t="shared" si="1"/>
        <v>0.980622079131853</v>
      </c>
      <c r="O590">
        <f t="shared" si="2"/>
        <v>1.03</v>
      </c>
      <c r="P590">
        <f>IF($A590="","",IF($E590=1,$F590*$O590,PNL!G590))</f>
        <v>7502.87</v>
      </c>
      <c r="T590">
        <f t="shared" si="3"/>
        <v>0</v>
      </c>
    </row>
    <row r="591" ht="14.25" customHeight="1">
      <c r="A591" t="str">
        <f>IF(PNL!A591="","",PNL!A591)</f>
        <v>PIGIER_LYO</v>
      </c>
      <c r="B591" t="str">
        <f>IF(PNL!B591="","",PNL!B591)</f>
        <v>63511</v>
      </c>
      <c r="C591" t="str">
        <f>IF(PNL!C591="","",PNL!C591)</f>
        <v>2024</v>
      </c>
      <c r="D591" t="str">
        <f>IF(PNL!D591="","",PNL!D591)</f>
        <v>ACT</v>
      </c>
      <c r="E591">
        <f t="shared" si="0"/>
        <v>0</v>
      </c>
      <c r="F591">
        <f>IF($A591="","",IF($E591=1,_xlfn.SUMIFS(Comptabilité!$F$1:$F$1446,Comptabilité!$A$1:$A$1446,$A591,Comptabilité!$B$1:$B$1446,$B591,Comptabilité!$C$1:$C$1446,"2026"),0))</f>
        <v>0</v>
      </c>
      <c r="G591">
        <f>IF($A591="","",IF($D591="V01",Cadrage!$C$23,IF($D591="V02",Cadrage!$D$23,Cadrage!$E$23)))</f>
        <v>-0.05</v>
      </c>
      <c r="H591">
        <f>IF($A591="","",IF($D591="V01",Cadrage!$C$24,IF($D591="V02",Cadrage!$D$24,Cadrage!$E$24)))</f>
        <v>-0.05</v>
      </c>
      <c r="I591">
        <f>IF($A591="","",IF($D591="V01",Cadrage!$C$34,IF($D591="V02",Cadrage!$D$34,Cadrage!$E$34)))</f>
        <v>0.03</v>
      </c>
      <c r="J591">
        <f>IF($A591="","",IF($D591="V01",Cadrage!$C$35,IF($D591="V02",Cadrage!$D$35,Cadrage!$E$35)))</f>
        <v>0.03</v>
      </c>
      <c r="K591">
        <f>IF($A591="","",IF($D591="V01",Cadrage!$C$36,IF($D591="V02",Cadrage!$D$36,Cadrage!$E$36)))</f>
        <v>0.05</v>
      </c>
      <c r="L591">
        <f>IF($A591="","",IF($D591="V01",Cadrage!$C$37,IF($D591="V02",Cadrage!$D$37,Cadrage!$E$37)))</f>
        <v>0</v>
      </c>
      <c r="M591">
        <f>IF($A591="","",IF($D591="V01",Cadrage!$C$38,IF($D591="V02",Cadrage!$D$38,Cadrage!$E$38)))</f>
        <v>0.04</v>
      </c>
      <c r="N591">
        <f t="shared" si="1"/>
        <v>0.980622079131853</v>
      </c>
      <c r="O591">
        <f t="shared" si="2"/>
        <v>1.03</v>
      </c>
      <c r="P591">
        <f>IF($A591="","",IF($E591=1,$F591*$O591,PNL!G591))</f>
        <v>12976.84</v>
      </c>
      <c r="T591">
        <f t="shared" si="3"/>
        <v>0</v>
      </c>
    </row>
    <row r="592" ht="14.25" customHeight="1">
      <c r="A592" t="str">
        <f>IF(PNL!A592="","",PNL!A592)</f>
        <v>PIGIER_BOR</v>
      </c>
      <c r="B592" t="str">
        <f>IF(PNL!B592="","",PNL!B592)</f>
        <v>63511</v>
      </c>
      <c r="C592" t="str">
        <f>IF(PNL!C592="","",PNL!C592)</f>
        <v>2024</v>
      </c>
      <c r="D592" t="str">
        <f>IF(PNL!D592="","",PNL!D592)</f>
        <v>ACT</v>
      </c>
      <c r="E592">
        <f t="shared" si="0"/>
        <v>0</v>
      </c>
      <c r="F592">
        <f>IF($A592="","",IF($E592=1,_xlfn.SUMIFS(Comptabilité!$F$1:$F$1446,Comptabilité!$A$1:$A$1446,$A592,Comptabilité!$B$1:$B$1446,$B592,Comptabilité!$C$1:$C$1446,"2026"),0))</f>
        <v>0</v>
      </c>
      <c r="G592">
        <f>IF($A592="","",IF($D592="V01",Cadrage!$C$23,IF($D592="V02",Cadrage!$D$23,Cadrage!$E$23)))</f>
        <v>-0.05</v>
      </c>
      <c r="H592">
        <f>IF($A592="","",IF($D592="V01",Cadrage!$C$24,IF($D592="V02",Cadrage!$D$24,Cadrage!$E$24)))</f>
        <v>-0.05</v>
      </c>
      <c r="I592">
        <f>IF($A592="","",IF($D592="V01",Cadrage!$C$34,IF($D592="V02",Cadrage!$D$34,Cadrage!$E$34)))</f>
        <v>0.03</v>
      </c>
      <c r="J592">
        <f>IF($A592="","",IF($D592="V01",Cadrage!$C$35,IF($D592="V02",Cadrage!$D$35,Cadrage!$E$35)))</f>
        <v>0.03</v>
      </c>
      <c r="K592">
        <f>IF($A592="","",IF($D592="V01",Cadrage!$C$36,IF($D592="V02",Cadrage!$D$36,Cadrage!$E$36)))</f>
        <v>0.05</v>
      </c>
      <c r="L592">
        <f>IF($A592="","",IF($D592="V01",Cadrage!$C$37,IF($D592="V02",Cadrage!$D$37,Cadrage!$E$37)))</f>
        <v>0</v>
      </c>
      <c r="M592">
        <f>IF($A592="","",IF($D592="V01",Cadrage!$C$38,IF($D592="V02",Cadrage!$D$38,Cadrage!$E$38)))</f>
        <v>0.04</v>
      </c>
      <c r="N592">
        <f t="shared" si="1"/>
        <v>0.980622079131853</v>
      </c>
      <c r="O592">
        <f t="shared" si="2"/>
        <v>1.03</v>
      </c>
      <c r="P592">
        <f>IF($A592="","",IF($E592=1,$F592*$O592,PNL!G592))</f>
        <v>9784.9</v>
      </c>
      <c r="T592">
        <f t="shared" si="3"/>
        <v>0</v>
      </c>
    </row>
    <row r="593" ht="14.25" customHeight="1">
      <c r="A593" t="str">
        <f>IF(PNL!A593="","",PNL!A593)</f>
        <v>TUNON_PAR</v>
      </c>
      <c r="B593" t="str">
        <f>IF(PNL!B593="","",PNL!B593)</f>
        <v>63511</v>
      </c>
      <c r="C593" t="str">
        <f>IF(PNL!C593="","",PNL!C593)</f>
        <v>2024</v>
      </c>
      <c r="D593" t="str">
        <f>IF(PNL!D593="","",PNL!D593)</f>
        <v>ACT</v>
      </c>
      <c r="E593">
        <f t="shared" si="0"/>
        <v>0</v>
      </c>
      <c r="F593">
        <f>IF($A593="","",IF($E593=1,_xlfn.SUMIFS(Comptabilité!$F$1:$F$1446,Comptabilité!$A$1:$A$1446,$A593,Comptabilité!$B$1:$B$1446,$B593,Comptabilité!$C$1:$C$1446,"2026"),0))</f>
        <v>0</v>
      </c>
      <c r="G593">
        <f>IF($A593="","",IF($D593="V01",Cadrage!$C$23,IF($D593="V02",Cadrage!$D$23,Cadrage!$E$23)))</f>
        <v>-0.05</v>
      </c>
      <c r="H593">
        <f>IF($A593="","",IF($D593="V01",Cadrage!$C$24,IF($D593="V02",Cadrage!$D$24,Cadrage!$E$24)))</f>
        <v>-0.05</v>
      </c>
      <c r="I593">
        <f>IF($A593="","",IF($D593="V01",Cadrage!$C$34,IF($D593="V02",Cadrage!$D$34,Cadrage!$E$34)))</f>
        <v>0.03</v>
      </c>
      <c r="J593">
        <f>IF($A593="","",IF($D593="V01",Cadrage!$C$35,IF($D593="V02",Cadrage!$D$35,Cadrage!$E$35)))</f>
        <v>0.03</v>
      </c>
      <c r="K593">
        <f>IF($A593="","",IF($D593="V01",Cadrage!$C$36,IF($D593="V02",Cadrage!$D$36,Cadrage!$E$36)))</f>
        <v>0.05</v>
      </c>
      <c r="L593">
        <f>IF($A593="","",IF($D593="V01",Cadrage!$C$37,IF($D593="V02",Cadrage!$D$37,Cadrage!$E$37)))</f>
        <v>0</v>
      </c>
      <c r="M593">
        <f>IF($A593="","",IF($D593="V01",Cadrage!$C$38,IF($D593="V02",Cadrage!$D$38,Cadrage!$E$38)))</f>
        <v>0.04</v>
      </c>
      <c r="N593">
        <f t="shared" si="1"/>
        <v>0.980622079131853</v>
      </c>
      <c r="O593">
        <f t="shared" si="2"/>
        <v>1.03</v>
      </c>
      <c r="P593">
        <f>IF($A593="","",IF($E593=1,$F593*$O593,PNL!G593))</f>
        <v>11361.49</v>
      </c>
      <c r="T593">
        <f t="shared" si="3"/>
        <v>0</v>
      </c>
    </row>
    <row r="594" ht="14.25" customHeight="1">
      <c r="A594" t="str">
        <f>IF(PNL!A594="","",PNL!A594)</f>
        <v>TUNON_LYO</v>
      </c>
      <c r="B594" t="str">
        <f>IF(PNL!B594="","",PNL!B594)</f>
        <v>63511</v>
      </c>
      <c r="C594" t="str">
        <f>IF(PNL!C594="","",PNL!C594)</f>
        <v>2024</v>
      </c>
      <c r="D594" t="str">
        <f>IF(PNL!D594="","",PNL!D594)</f>
        <v>ACT</v>
      </c>
      <c r="E594">
        <f t="shared" si="0"/>
        <v>0</v>
      </c>
      <c r="F594">
        <f>IF($A594="","",IF($E594=1,_xlfn.SUMIFS(Comptabilité!$F$1:$F$1446,Comptabilité!$A$1:$A$1446,$A594,Comptabilité!$B$1:$B$1446,$B594,Comptabilité!$C$1:$C$1446,"2026"),0))</f>
        <v>0</v>
      </c>
      <c r="G594">
        <f>IF($A594="","",IF($D594="V01",Cadrage!$C$23,IF($D594="V02",Cadrage!$D$23,Cadrage!$E$23)))</f>
        <v>-0.05</v>
      </c>
      <c r="H594">
        <f>IF($A594="","",IF($D594="V01",Cadrage!$C$24,IF($D594="V02",Cadrage!$D$24,Cadrage!$E$24)))</f>
        <v>-0.05</v>
      </c>
      <c r="I594">
        <f>IF($A594="","",IF($D594="V01",Cadrage!$C$34,IF($D594="V02",Cadrage!$D$34,Cadrage!$E$34)))</f>
        <v>0.03</v>
      </c>
      <c r="J594">
        <f>IF($A594="","",IF($D594="V01",Cadrage!$C$35,IF($D594="V02",Cadrage!$D$35,Cadrage!$E$35)))</f>
        <v>0.03</v>
      </c>
      <c r="K594">
        <f>IF($A594="","",IF($D594="V01",Cadrage!$C$36,IF($D594="V02",Cadrage!$D$36,Cadrage!$E$36)))</f>
        <v>0.05</v>
      </c>
      <c r="L594">
        <f>IF($A594="","",IF($D594="V01",Cadrage!$C$37,IF($D594="V02",Cadrage!$D$37,Cadrage!$E$37)))</f>
        <v>0</v>
      </c>
      <c r="M594">
        <f>IF($A594="","",IF($D594="V01",Cadrage!$C$38,IF($D594="V02",Cadrage!$D$38,Cadrage!$E$38)))</f>
        <v>0.04</v>
      </c>
      <c r="N594">
        <f t="shared" si="1"/>
        <v>0.980622079131853</v>
      </c>
      <c r="O594">
        <f t="shared" si="2"/>
        <v>1.03</v>
      </c>
      <c r="P594">
        <f>IF($A594="","",IF($E594=1,$F594*$O594,PNL!G594))</f>
        <v>9521.34</v>
      </c>
      <c r="T594">
        <f t="shared" si="3"/>
        <v>0</v>
      </c>
    </row>
    <row r="595" ht="14.25" customHeight="1">
      <c r="A595" t="str">
        <f>IF(PNL!A595="","",PNL!A595)</f>
        <v>MBWAY_PAR</v>
      </c>
      <c r="B595" t="str">
        <f>IF(PNL!B595="","",PNL!B595)</f>
        <v>63511</v>
      </c>
      <c r="C595" t="str">
        <f>IF(PNL!C595="","",PNL!C595)</f>
        <v>2025</v>
      </c>
      <c r="D595" t="str">
        <f>IF(PNL!D595="","",PNL!D595)</f>
        <v>ACT</v>
      </c>
      <c r="E595">
        <f t="shared" si="0"/>
        <v>0</v>
      </c>
      <c r="F595">
        <f>IF($A595="","",IF($E595=1,_xlfn.SUMIFS(Comptabilité!$F$1:$F$1446,Comptabilité!$A$1:$A$1446,$A595,Comptabilité!$B$1:$B$1446,$B595,Comptabilité!$C$1:$C$1446,"2026"),0))</f>
        <v>0</v>
      </c>
      <c r="G595">
        <f>IF($A595="","",IF($D595="V01",Cadrage!$C$23,IF($D595="V02",Cadrage!$D$23,Cadrage!$E$23)))</f>
        <v>-0.05</v>
      </c>
      <c r="H595">
        <f>IF($A595="","",IF($D595="V01",Cadrage!$C$24,IF($D595="V02",Cadrage!$D$24,Cadrage!$E$24)))</f>
        <v>-0.05</v>
      </c>
      <c r="I595">
        <f>IF($A595="","",IF($D595="V01",Cadrage!$C$34,IF($D595="V02",Cadrage!$D$34,Cadrage!$E$34)))</f>
        <v>0.03</v>
      </c>
      <c r="J595">
        <f>IF($A595="","",IF($D595="V01",Cadrage!$C$35,IF($D595="V02",Cadrage!$D$35,Cadrage!$E$35)))</f>
        <v>0.03</v>
      </c>
      <c r="K595">
        <f>IF($A595="","",IF($D595="V01",Cadrage!$C$36,IF($D595="V02",Cadrage!$D$36,Cadrage!$E$36)))</f>
        <v>0.05</v>
      </c>
      <c r="L595">
        <f>IF($A595="","",IF($D595="V01",Cadrage!$C$37,IF($D595="V02",Cadrage!$D$37,Cadrage!$E$37)))</f>
        <v>0</v>
      </c>
      <c r="M595">
        <f>IF($A595="","",IF($D595="V01",Cadrage!$C$38,IF($D595="V02",Cadrage!$D$38,Cadrage!$E$38)))</f>
        <v>0.04</v>
      </c>
      <c r="N595">
        <f t="shared" si="1"/>
        <v>0.980622079131853</v>
      </c>
      <c r="O595">
        <f t="shared" si="2"/>
        <v>1.03</v>
      </c>
      <c r="P595">
        <f>IF($A595="","",IF($E595=1,$F595*$O595,PNL!G595))</f>
        <v>28521.36</v>
      </c>
      <c r="T595">
        <f t="shared" si="3"/>
        <v>0</v>
      </c>
    </row>
    <row r="596" ht="14.25" customHeight="1">
      <c r="A596" t="str">
        <f>IF(PNL!A596="","",PNL!A596)</f>
        <v>MBWAY_LYO</v>
      </c>
      <c r="B596" t="str">
        <f>IF(PNL!B596="","",PNL!B596)</f>
        <v>63511</v>
      </c>
      <c r="C596" t="str">
        <f>IF(PNL!C596="","",PNL!C596)</f>
        <v>2025</v>
      </c>
      <c r="D596" t="str">
        <f>IF(PNL!D596="","",PNL!D596)</f>
        <v>ACT</v>
      </c>
      <c r="E596">
        <f t="shared" si="0"/>
        <v>0</v>
      </c>
      <c r="F596">
        <f>IF($A596="","",IF($E596=1,_xlfn.SUMIFS(Comptabilité!$F$1:$F$1446,Comptabilité!$A$1:$A$1446,$A596,Comptabilité!$B$1:$B$1446,$B596,Comptabilité!$C$1:$C$1446,"2026"),0))</f>
        <v>0</v>
      </c>
      <c r="G596">
        <f>IF($A596="","",IF($D596="V01",Cadrage!$C$23,IF($D596="V02",Cadrage!$D$23,Cadrage!$E$23)))</f>
        <v>-0.05</v>
      </c>
      <c r="H596">
        <f>IF($A596="","",IF($D596="V01",Cadrage!$C$24,IF($D596="V02",Cadrage!$D$24,Cadrage!$E$24)))</f>
        <v>-0.05</v>
      </c>
      <c r="I596">
        <f>IF($A596="","",IF($D596="V01",Cadrage!$C$34,IF($D596="V02",Cadrage!$D$34,Cadrage!$E$34)))</f>
        <v>0.03</v>
      </c>
      <c r="J596">
        <f>IF($A596="","",IF($D596="V01",Cadrage!$C$35,IF($D596="V02",Cadrage!$D$35,Cadrage!$E$35)))</f>
        <v>0.03</v>
      </c>
      <c r="K596">
        <f>IF($A596="","",IF($D596="V01",Cadrage!$C$36,IF($D596="V02",Cadrage!$D$36,Cadrage!$E$36)))</f>
        <v>0.05</v>
      </c>
      <c r="L596">
        <f>IF($A596="","",IF($D596="V01",Cadrage!$C$37,IF($D596="V02",Cadrage!$D$37,Cadrage!$E$37)))</f>
        <v>0</v>
      </c>
      <c r="M596">
        <f>IF($A596="","",IF($D596="V01",Cadrage!$C$38,IF($D596="V02",Cadrage!$D$38,Cadrage!$E$38)))</f>
        <v>0.04</v>
      </c>
      <c r="N596">
        <f t="shared" si="1"/>
        <v>0.980622079131853</v>
      </c>
      <c r="O596">
        <f t="shared" si="2"/>
        <v>1.03</v>
      </c>
      <c r="P596">
        <f>IF($A596="","",IF($E596=1,$F596*$O596,PNL!G596))</f>
        <v>22453.79</v>
      </c>
      <c r="T596">
        <f t="shared" si="3"/>
        <v>0</v>
      </c>
    </row>
    <row r="597" ht="14.25" customHeight="1">
      <c r="A597" t="str">
        <f>IF(PNL!A597="","",PNL!A597)</f>
        <v>MBWAY_NAN</v>
      </c>
      <c r="B597" t="str">
        <f>IF(PNL!B597="","",PNL!B597)</f>
        <v>63511</v>
      </c>
      <c r="C597" t="str">
        <f>IF(PNL!C597="","",PNL!C597)</f>
        <v>2025</v>
      </c>
      <c r="D597" t="str">
        <f>IF(PNL!D597="","",PNL!D597)</f>
        <v>ACT</v>
      </c>
      <c r="E597">
        <f t="shared" si="0"/>
        <v>0</v>
      </c>
      <c r="F597">
        <f>IF($A597="","",IF($E597=1,_xlfn.SUMIFS(Comptabilité!$F$1:$F$1446,Comptabilité!$A$1:$A$1446,$A597,Comptabilité!$B$1:$B$1446,$B597,Comptabilité!$C$1:$C$1446,"2026"),0))</f>
        <v>0</v>
      </c>
      <c r="G597">
        <f>IF($A597="","",IF($D597="V01",Cadrage!$C$23,IF($D597="V02",Cadrage!$D$23,Cadrage!$E$23)))</f>
        <v>-0.05</v>
      </c>
      <c r="H597">
        <f>IF($A597="","",IF($D597="V01",Cadrage!$C$24,IF($D597="V02",Cadrage!$D$24,Cadrage!$E$24)))</f>
        <v>-0.05</v>
      </c>
      <c r="I597">
        <f>IF($A597="","",IF($D597="V01",Cadrage!$C$34,IF($D597="V02",Cadrage!$D$34,Cadrage!$E$34)))</f>
        <v>0.03</v>
      </c>
      <c r="J597">
        <f>IF($A597="","",IF($D597="V01",Cadrage!$C$35,IF($D597="V02",Cadrage!$D$35,Cadrage!$E$35)))</f>
        <v>0.03</v>
      </c>
      <c r="K597">
        <f>IF($A597="","",IF($D597="V01",Cadrage!$C$36,IF($D597="V02",Cadrage!$D$36,Cadrage!$E$36)))</f>
        <v>0.05</v>
      </c>
      <c r="L597">
        <f>IF($A597="","",IF($D597="V01",Cadrage!$C$37,IF($D597="V02",Cadrage!$D$37,Cadrage!$E$37)))</f>
        <v>0</v>
      </c>
      <c r="M597">
        <f>IF($A597="","",IF($D597="V01",Cadrage!$C$38,IF($D597="V02",Cadrage!$D$38,Cadrage!$E$38)))</f>
        <v>0.04</v>
      </c>
      <c r="N597">
        <f t="shared" si="1"/>
        <v>0.980622079131853</v>
      </c>
      <c r="O597">
        <f t="shared" si="2"/>
        <v>1.03</v>
      </c>
      <c r="P597">
        <f>IF($A597="","",IF($E597=1,$F597*$O597,PNL!G597))</f>
        <v>19589.5</v>
      </c>
      <c r="T597">
        <f t="shared" si="3"/>
        <v>0</v>
      </c>
    </row>
    <row r="598" ht="14.25" customHeight="1">
      <c r="A598" t="str">
        <f>IF(PNL!A598="","",PNL!A598)</f>
        <v>MBWAY_BOR</v>
      </c>
      <c r="B598" t="str">
        <f>IF(PNL!B598="","",PNL!B598)</f>
        <v>63511</v>
      </c>
      <c r="C598" t="str">
        <f>IF(PNL!C598="","",PNL!C598)</f>
        <v>2025</v>
      </c>
      <c r="D598" t="str">
        <f>IF(PNL!D598="","",PNL!D598)</f>
        <v>ACT</v>
      </c>
      <c r="E598">
        <f t="shared" si="0"/>
        <v>0</v>
      </c>
      <c r="F598">
        <f>IF($A598="","",IF($E598=1,_xlfn.SUMIFS(Comptabilité!$F$1:$F$1446,Comptabilité!$A$1:$A$1446,$A598,Comptabilité!$B$1:$B$1446,$B598,Comptabilité!$C$1:$C$1446,"2026"),0))</f>
        <v>0</v>
      </c>
      <c r="G598">
        <f>IF($A598="","",IF($D598="V01",Cadrage!$C$23,IF($D598="V02",Cadrage!$D$23,Cadrage!$E$23)))</f>
        <v>-0.05</v>
      </c>
      <c r="H598">
        <f>IF($A598="","",IF($D598="V01",Cadrage!$C$24,IF($D598="V02",Cadrage!$D$24,Cadrage!$E$24)))</f>
        <v>-0.05</v>
      </c>
      <c r="I598">
        <f>IF($A598="","",IF($D598="V01",Cadrage!$C$34,IF($D598="V02",Cadrage!$D$34,Cadrage!$E$34)))</f>
        <v>0.03</v>
      </c>
      <c r="J598">
        <f>IF($A598="","",IF($D598="V01",Cadrage!$C$35,IF($D598="V02",Cadrage!$D$35,Cadrage!$E$35)))</f>
        <v>0.03</v>
      </c>
      <c r="K598">
        <f>IF($A598="","",IF($D598="V01",Cadrage!$C$36,IF($D598="V02",Cadrage!$D$36,Cadrage!$E$36)))</f>
        <v>0.05</v>
      </c>
      <c r="L598">
        <f>IF($A598="","",IF($D598="V01",Cadrage!$C$37,IF($D598="V02",Cadrage!$D$37,Cadrage!$E$37)))</f>
        <v>0</v>
      </c>
      <c r="M598">
        <f>IF($A598="","",IF($D598="V01",Cadrage!$C$38,IF($D598="V02",Cadrage!$D$38,Cadrage!$E$38)))</f>
        <v>0.04</v>
      </c>
      <c r="N598">
        <f t="shared" si="1"/>
        <v>0.980622079131853</v>
      </c>
      <c r="O598">
        <f t="shared" si="2"/>
        <v>1.03</v>
      </c>
      <c r="P598">
        <f>IF($A598="","",IF($E598=1,$F598*$O598,PNL!G598))</f>
        <v>15760.59</v>
      </c>
      <c r="T598">
        <f t="shared" si="3"/>
        <v>0</v>
      </c>
    </row>
    <row r="599" ht="14.25" customHeight="1">
      <c r="A599" t="str">
        <f>IF(PNL!A599="","",PNL!A599)</f>
        <v>ISCOM_PAR</v>
      </c>
      <c r="B599" t="str">
        <f>IF(PNL!B599="","",PNL!B599)</f>
        <v>63511</v>
      </c>
      <c r="C599" t="str">
        <f>IF(PNL!C599="","",PNL!C599)</f>
        <v>2025</v>
      </c>
      <c r="D599" t="str">
        <f>IF(PNL!D599="","",PNL!D599)</f>
        <v>ACT</v>
      </c>
      <c r="E599">
        <f t="shared" si="0"/>
        <v>0</v>
      </c>
      <c r="F599">
        <f>IF($A599="","",IF($E599=1,_xlfn.SUMIFS(Comptabilité!$F$1:$F$1446,Comptabilité!$A$1:$A$1446,$A599,Comptabilité!$B$1:$B$1446,$B599,Comptabilité!$C$1:$C$1446,"2026"),0))</f>
        <v>0</v>
      </c>
      <c r="G599">
        <f>IF($A599="","",IF($D599="V01",Cadrage!$C$23,IF($D599="V02",Cadrage!$D$23,Cadrage!$E$23)))</f>
        <v>-0.05</v>
      </c>
      <c r="H599">
        <f>IF($A599="","",IF($D599="V01",Cadrage!$C$24,IF($D599="V02",Cadrage!$D$24,Cadrage!$E$24)))</f>
        <v>-0.05</v>
      </c>
      <c r="I599">
        <f>IF($A599="","",IF($D599="V01",Cadrage!$C$34,IF($D599="V02",Cadrage!$D$34,Cadrage!$E$34)))</f>
        <v>0.03</v>
      </c>
      <c r="J599">
        <f>IF($A599="","",IF($D599="V01",Cadrage!$C$35,IF($D599="V02",Cadrage!$D$35,Cadrage!$E$35)))</f>
        <v>0.03</v>
      </c>
      <c r="K599">
        <f>IF($A599="","",IF($D599="V01",Cadrage!$C$36,IF($D599="V02",Cadrage!$D$36,Cadrage!$E$36)))</f>
        <v>0.05</v>
      </c>
      <c r="L599">
        <f>IF($A599="","",IF($D599="V01",Cadrage!$C$37,IF($D599="V02",Cadrage!$D$37,Cadrage!$E$37)))</f>
        <v>0</v>
      </c>
      <c r="M599">
        <f>IF($A599="","",IF($D599="V01",Cadrage!$C$38,IF($D599="V02",Cadrage!$D$38,Cadrage!$E$38)))</f>
        <v>0.04</v>
      </c>
      <c r="N599">
        <f t="shared" si="1"/>
        <v>0.980622079131853</v>
      </c>
      <c r="O599">
        <f t="shared" si="2"/>
        <v>1.03</v>
      </c>
      <c r="P599">
        <f>IF($A599="","",IF($E599=1,$F599*$O599,PNL!G599))</f>
        <v>27469.99</v>
      </c>
      <c r="T599">
        <f t="shared" si="3"/>
        <v>0</v>
      </c>
    </row>
    <row r="600" ht="14.25" customHeight="1">
      <c r="A600" t="str">
        <f>IF(PNL!A600="","",PNL!A600)</f>
        <v>ISCOM_LIL</v>
      </c>
      <c r="B600" t="str">
        <f>IF(PNL!B600="","",PNL!B600)</f>
        <v>63511</v>
      </c>
      <c r="C600" t="str">
        <f>IF(PNL!C600="","",PNL!C600)</f>
        <v>2025</v>
      </c>
      <c r="D600" t="str">
        <f>IF(PNL!D600="","",PNL!D600)</f>
        <v>ACT</v>
      </c>
      <c r="E600">
        <f t="shared" si="0"/>
        <v>0</v>
      </c>
      <c r="F600">
        <f>IF($A600="","",IF($E600=1,_xlfn.SUMIFS(Comptabilité!$F$1:$F$1446,Comptabilité!$A$1:$A$1446,$A600,Comptabilité!$B$1:$B$1446,$B600,Comptabilité!$C$1:$C$1446,"2026"),0))</f>
        <v>0</v>
      </c>
      <c r="G600">
        <f>IF($A600="","",IF($D600="V01",Cadrage!$C$23,IF($D600="V02",Cadrage!$D$23,Cadrage!$E$23)))</f>
        <v>-0.05</v>
      </c>
      <c r="H600">
        <f>IF($A600="","",IF($D600="V01",Cadrage!$C$24,IF($D600="V02",Cadrage!$D$24,Cadrage!$E$24)))</f>
        <v>-0.05</v>
      </c>
      <c r="I600">
        <f>IF($A600="","",IF($D600="V01",Cadrage!$C$34,IF($D600="V02",Cadrage!$D$34,Cadrage!$E$34)))</f>
        <v>0.03</v>
      </c>
      <c r="J600">
        <f>IF($A600="","",IF($D600="V01",Cadrage!$C$35,IF($D600="V02",Cadrage!$D$35,Cadrage!$E$35)))</f>
        <v>0.03</v>
      </c>
      <c r="K600">
        <f>IF($A600="","",IF($D600="V01",Cadrage!$C$36,IF($D600="V02",Cadrage!$D$36,Cadrage!$E$36)))</f>
        <v>0.05</v>
      </c>
      <c r="L600">
        <f>IF($A600="","",IF($D600="V01",Cadrage!$C$37,IF($D600="V02",Cadrage!$D$37,Cadrage!$E$37)))</f>
        <v>0</v>
      </c>
      <c r="M600">
        <f>IF($A600="","",IF($D600="V01",Cadrage!$C$38,IF($D600="V02",Cadrage!$D$38,Cadrage!$E$38)))</f>
        <v>0.04</v>
      </c>
      <c r="N600">
        <f t="shared" si="1"/>
        <v>0.980622079131853</v>
      </c>
      <c r="O600">
        <f t="shared" si="2"/>
        <v>1.03</v>
      </c>
      <c r="P600">
        <f>IF($A600="","",IF($E600=1,$F600*$O600,PNL!G600))</f>
        <v>15915.68</v>
      </c>
      <c r="T600">
        <f t="shared" si="3"/>
        <v>0</v>
      </c>
    </row>
    <row r="601" ht="14.25" customHeight="1">
      <c r="A601" t="str">
        <f>IF(PNL!A601="","",PNL!A601)</f>
        <v>ISCOM_TLS</v>
      </c>
      <c r="B601" t="str">
        <f>IF(PNL!B601="","",PNL!B601)</f>
        <v>63511</v>
      </c>
      <c r="C601" t="str">
        <f>IF(PNL!C601="","",PNL!C601)</f>
        <v>2025</v>
      </c>
      <c r="D601" t="str">
        <f>IF(PNL!D601="","",PNL!D601)</f>
        <v>ACT</v>
      </c>
      <c r="E601">
        <f t="shared" si="0"/>
        <v>0</v>
      </c>
      <c r="F601">
        <f>IF($A601="","",IF($E601=1,_xlfn.SUMIFS(Comptabilité!$F$1:$F$1446,Comptabilité!$A$1:$A$1446,$A601,Comptabilité!$B$1:$B$1446,$B601,Comptabilité!$C$1:$C$1446,"2026"),0))</f>
        <v>0</v>
      </c>
      <c r="G601">
        <f>IF($A601="","",IF($D601="V01",Cadrage!$C$23,IF($D601="V02",Cadrage!$D$23,Cadrage!$E$23)))</f>
        <v>-0.05</v>
      </c>
      <c r="H601">
        <f>IF($A601="","",IF($D601="V01",Cadrage!$C$24,IF($D601="V02",Cadrage!$D$24,Cadrage!$E$24)))</f>
        <v>-0.05</v>
      </c>
      <c r="I601">
        <f>IF($A601="","",IF($D601="V01",Cadrage!$C$34,IF($D601="V02",Cadrage!$D$34,Cadrage!$E$34)))</f>
        <v>0.03</v>
      </c>
      <c r="J601">
        <f>IF($A601="","",IF($D601="V01",Cadrage!$C$35,IF($D601="V02",Cadrage!$D$35,Cadrage!$E$35)))</f>
        <v>0.03</v>
      </c>
      <c r="K601">
        <f>IF($A601="","",IF($D601="V01",Cadrage!$C$36,IF($D601="V02",Cadrage!$D$36,Cadrage!$E$36)))</f>
        <v>0.05</v>
      </c>
      <c r="L601">
        <f>IF($A601="","",IF($D601="V01",Cadrage!$C$37,IF($D601="V02",Cadrage!$D$37,Cadrage!$E$37)))</f>
        <v>0</v>
      </c>
      <c r="M601">
        <f>IF($A601="","",IF($D601="V01",Cadrage!$C$38,IF($D601="V02",Cadrage!$D$38,Cadrage!$E$38)))</f>
        <v>0.04</v>
      </c>
      <c r="N601">
        <f t="shared" si="1"/>
        <v>0.980622079131853</v>
      </c>
      <c r="O601">
        <f t="shared" si="2"/>
        <v>1.03</v>
      </c>
      <c r="P601">
        <f>IF($A601="","",IF($E601=1,$F601*$O601,PNL!G601))</f>
        <v>14895.9</v>
      </c>
      <c r="T601">
        <f t="shared" si="3"/>
        <v>0</v>
      </c>
    </row>
    <row r="602" ht="14.25" customHeight="1">
      <c r="A602" t="str">
        <f>IF(PNL!A602="","",PNL!A602)</f>
        <v>IPAC_NAN</v>
      </c>
      <c r="B602" t="str">
        <f>IF(PNL!B602="","",PNL!B602)</f>
        <v>63511</v>
      </c>
      <c r="C602" t="str">
        <f>IF(PNL!C602="","",PNL!C602)</f>
        <v>2025</v>
      </c>
      <c r="D602" t="str">
        <f>IF(PNL!D602="","",PNL!D602)</f>
        <v>ACT</v>
      </c>
      <c r="E602">
        <f t="shared" si="0"/>
        <v>0</v>
      </c>
      <c r="F602">
        <f>IF($A602="","",IF($E602=1,_xlfn.SUMIFS(Comptabilité!$F$1:$F$1446,Comptabilité!$A$1:$A$1446,$A602,Comptabilité!$B$1:$B$1446,$B602,Comptabilité!$C$1:$C$1446,"2026"),0))</f>
        <v>0</v>
      </c>
      <c r="G602">
        <f>IF($A602="","",IF($D602="V01",Cadrage!$C$23,IF($D602="V02",Cadrage!$D$23,Cadrage!$E$23)))</f>
        <v>-0.05</v>
      </c>
      <c r="H602">
        <f>IF($A602="","",IF($D602="V01",Cadrage!$C$24,IF($D602="V02",Cadrage!$D$24,Cadrage!$E$24)))</f>
        <v>-0.05</v>
      </c>
      <c r="I602">
        <f>IF($A602="","",IF($D602="V01",Cadrage!$C$34,IF($D602="V02",Cadrage!$D$34,Cadrage!$E$34)))</f>
        <v>0.03</v>
      </c>
      <c r="J602">
        <f>IF($A602="","",IF($D602="V01",Cadrage!$C$35,IF($D602="V02",Cadrage!$D$35,Cadrage!$E$35)))</f>
        <v>0.03</v>
      </c>
      <c r="K602">
        <f>IF($A602="","",IF($D602="V01",Cadrage!$C$36,IF($D602="V02",Cadrage!$D$36,Cadrage!$E$36)))</f>
        <v>0.05</v>
      </c>
      <c r="L602">
        <f>IF($A602="","",IF($D602="V01",Cadrage!$C$37,IF($D602="V02",Cadrage!$D$37,Cadrage!$E$37)))</f>
        <v>0</v>
      </c>
      <c r="M602">
        <f>IF($A602="","",IF($D602="V01",Cadrage!$C$38,IF($D602="V02",Cadrage!$D$38,Cadrage!$E$38)))</f>
        <v>0.04</v>
      </c>
      <c r="N602">
        <f t="shared" si="1"/>
        <v>0.980622079131853</v>
      </c>
      <c r="O602">
        <f t="shared" si="2"/>
        <v>1.03</v>
      </c>
      <c r="P602">
        <f>IF($A602="","",IF($E602=1,$F602*$O602,PNL!G602))</f>
        <v>9465.71</v>
      </c>
      <c r="T602">
        <f t="shared" si="3"/>
        <v>0</v>
      </c>
    </row>
    <row r="603" ht="14.25" customHeight="1">
      <c r="A603" t="str">
        <f>IF(PNL!A603="","",PNL!A603)</f>
        <v>IPAC_REN</v>
      </c>
      <c r="B603" t="str">
        <f>IF(PNL!B603="","",PNL!B603)</f>
        <v>63511</v>
      </c>
      <c r="C603" t="str">
        <f>IF(PNL!C603="","",PNL!C603)</f>
        <v>2025</v>
      </c>
      <c r="D603" t="str">
        <f>IF(PNL!D603="","",PNL!D603)</f>
        <v>ACT</v>
      </c>
      <c r="E603">
        <f t="shared" si="0"/>
        <v>0</v>
      </c>
      <c r="F603">
        <f>IF($A603="","",IF($E603=1,_xlfn.SUMIFS(Comptabilité!$F$1:$F$1446,Comptabilité!$A$1:$A$1446,$A603,Comptabilité!$B$1:$B$1446,$B603,Comptabilité!$C$1:$C$1446,"2026"),0))</f>
        <v>0</v>
      </c>
      <c r="G603">
        <f>IF($A603="","",IF($D603="V01",Cadrage!$C$23,IF($D603="V02",Cadrage!$D$23,Cadrage!$E$23)))</f>
        <v>-0.05</v>
      </c>
      <c r="H603">
        <f>IF($A603="","",IF($D603="V01",Cadrage!$C$24,IF($D603="V02",Cadrage!$D$24,Cadrage!$E$24)))</f>
        <v>-0.05</v>
      </c>
      <c r="I603">
        <f>IF($A603="","",IF($D603="V01",Cadrage!$C$34,IF($D603="V02",Cadrage!$D$34,Cadrage!$E$34)))</f>
        <v>0.03</v>
      </c>
      <c r="J603">
        <f>IF($A603="","",IF($D603="V01",Cadrage!$C$35,IF($D603="V02",Cadrage!$D$35,Cadrage!$E$35)))</f>
        <v>0.03</v>
      </c>
      <c r="K603">
        <f>IF($A603="","",IF($D603="V01",Cadrage!$C$36,IF($D603="V02",Cadrage!$D$36,Cadrage!$E$36)))</f>
        <v>0.05</v>
      </c>
      <c r="L603">
        <f>IF($A603="","",IF($D603="V01",Cadrage!$C$37,IF($D603="V02",Cadrage!$D$37,Cadrage!$E$37)))</f>
        <v>0</v>
      </c>
      <c r="M603">
        <f>IF($A603="","",IF($D603="V01",Cadrage!$C$38,IF($D603="V02",Cadrage!$D$38,Cadrage!$E$38)))</f>
        <v>0.04</v>
      </c>
      <c r="N603">
        <f t="shared" si="1"/>
        <v>0.980622079131853</v>
      </c>
      <c r="O603">
        <f t="shared" si="2"/>
        <v>1.03</v>
      </c>
      <c r="P603">
        <f>IF($A603="","",IF($E603=1,$F603*$O603,PNL!G603))</f>
        <v>7779.88</v>
      </c>
      <c r="T603">
        <f t="shared" si="3"/>
        <v>0</v>
      </c>
    </row>
    <row r="604" ht="14.25" customHeight="1">
      <c r="A604" t="str">
        <f>IF(PNL!A604="","",PNL!A604)</f>
        <v>IPAC_MTP</v>
      </c>
      <c r="B604" t="str">
        <f>IF(PNL!B604="","",PNL!B604)</f>
        <v>63511</v>
      </c>
      <c r="C604" t="str">
        <f>IF(PNL!C604="","",PNL!C604)</f>
        <v>2025</v>
      </c>
      <c r="D604" t="str">
        <f>IF(PNL!D604="","",PNL!D604)</f>
        <v>ACT</v>
      </c>
      <c r="E604">
        <f t="shared" si="0"/>
        <v>0</v>
      </c>
      <c r="F604">
        <f>IF($A604="","",IF($E604=1,_xlfn.SUMIFS(Comptabilité!$F$1:$F$1446,Comptabilité!$A$1:$A$1446,$A604,Comptabilité!$B$1:$B$1446,$B604,Comptabilité!$C$1:$C$1446,"2026"),0))</f>
        <v>0</v>
      </c>
      <c r="G604">
        <f>IF($A604="","",IF($D604="V01",Cadrage!$C$23,IF($D604="V02",Cadrage!$D$23,Cadrage!$E$23)))</f>
        <v>-0.05</v>
      </c>
      <c r="H604">
        <f>IF($A604="","",IF($D604="V01",Cadrage!$C$24,IF($D604="V02",Cadrage!$D$24,Cadrage!$E$24)))</f>
        <v>-0.05</v>
      </c>
      <c r="I604">
        <f>IF($A604="","",IF($D604="V01",Cadrage!$C$34,IF($D604="V02",Cadrage!$D$34,Cadrage!$E$34)))</f>
        <v>0.03</v>
      </c>
      <c r="J604">
        <f>IF($A604="","",IF($D604="V01",Cadrage!$C$35,IF($D604="V02",Cadrage!$D$35,Cadrage!$E$35)))</f>
        <v>0.03</v>
      </c>
      <c r="K604">
        <f>IF($A604="","",IF($D604="V01",Cadrage!$C$36,IF($D604="V02",Cadrage!$D$36,Cadrage!$E$36)))</f>
        <v>0.05</v>
      </c>
      <c r="L604">
        <f>IF($A604="","",IF($D604="V01",Cadrage!$C$37,IF($D604="V02",Cadrage!$D$37,Cadrage!$E$37)))</f>
        <v>0</v>
      </c>
      <c r="M604">
        <f>IF($A604="","",IF($D604="V01",Cadrage!$C$38,IF($D604="V02",Cadrage!$D$38,Cadrage!$E$38)))</f>
        <v>0.04</v>
      </c>
      <c r="N604">
        <f t="shared" si="1"/>
        <v>0.980622079131853</v>
      </c>
      <c r="O604">
        <f t="shared" si="2"/>
        <v>1.03</v>
      </c>
      <c r="P604">
        <f>IF($A604="","",IF($E604=1,$F604*$O604,PNL!G604))</f>
        <v>7775.53</v>
      </c>
      <c r="T604">
        <f t="shared" si="3"/>
        <v>0</v>
      </c>
    </row>
    <row r="605" ht="14.25" customHeight="1">
      <c r="A605" t="str">
        <f>IF(PNL!A605="","",PNL!A605)</f>
        <v>PIGIER_LYO</v>
      </c>
      <c r="B605" t="str">
        <f>IF(PNL!B605="","",PNL!B605)</f>
        <v>63511</v>
      </c>
      <c r="C605" t="str">
        <f>IF(PNL!C605="","",PNL!C605)</f>
        <v>2025</v>
      </c>
      <c r="D605" t="str">
        <f>IF(PNL!D605="","",PNL!D605)</f>
        <v>ACT</v>
      </c>
      <c r="E605">
        <f t="shared" si="0"/>
        <v>0</v>
      </c>
      <c r="F605">
        <f>IF($A605="","",IF($E605=1,_xlfn.SUMIFS(Comptabilité!$F$1:$F$1446,Comptabilité!$A$1:$A$1446,$A605,Comptabilité!$B$1:$B$1446,$B605,Comptabilité!$C$1:$C$1446,"2026"),0))</f>
        <v>0</v>
      </c>
      <c r="G605">
        <f>IF($A605="","",IF($D605="V01",Cadrage!$C$23,IF($D605="V02",Cadrage!$D$23,Cadrage!$E$23)))</f>
        <v>-0.05</v>
      </c>
      <c r="H605">
        <f>IF($A605="","",IF($D605="V01",Cadrage!$C$24,IF($D605="V02",Cadrage!$D$24,Cadrage!$E$24)))</f>
        <v>-0.05</v>
      </c>
      <c r="I605">
        <f>IF($A605="","",IF($D605="V01",Cadrage!$C$34,IF($D605="V02",Cadrage!$D$34,Cadrage!$E$34)))</f>
        <v>0.03</v>
      </c>
      <c r="J605">
        <f>IF($A605="","",IF($D605="V01",Cadrage!$C$35,IF($D605="V02",Cadrage!$D$35,Cadrage!$E$35)))</f>
        <v>0.03</v>
      </c>
      <c r="K605">
        <f>IF($A605="","",IF($D605="V01",Cadrage!$C$36,IF($D605="V02",Cadrage!$D$36,Cadrage!$E$36)))</f>
        <v>0.05</v>
      </c>
      <c r="L605">
        <f>IF($A605="","",IF($D605="V01",Cadrage!$C$37,IF($D605="V02",Cadrage!$D$37,Cadrage!$E$37)))</f>
        <v>0</v>
      </c>
      <c r="M605">
        <f>IF($A605="","",IF($D605="V01",Cadrage!$C$38,IF($D605="V02",Cadrage!$D$38,Cadrage!$E$38)))</f>
        <v>0.04</v>
      </c>
      <c r="N605">
        <f t="shared" si="1"/>
        <v>0.980622079131853</v>
      </c>
      <c r="O605">
        <f t="shared" si="2"/>
        <v>1.03</v>
      </c>
      <c r="P605">
        <f>IF($A605="","",IF($E605=1,$F605*$O605,PNL!G605))</f>
        <v>13427.63</v>
      </c>
      <c r="T605">
        <f t="shared" si="3"/>
        <v>0</v>
      </c>
    </row>
    <row r="606" ht="14.25" customHeight="1">
      <c r="A606" t="str">
        <f>IF(PNL!A606="","",PNL!A606)</f>
        <v>PIGIER_BOR</v>
      </c>
      <c r="B606" t="str">
        <f>IF(PNL!B606="","",PNL!B606)</f>
        <v>63511</v>
      </c>
      <c r="C606" t="str">
        <f>IF(PNL!C606="","",PNL!C606)</f>
        <v>2025</v>
      </c>
      <c r="D606" t="str">
        <f>IF(PNL!D606="","",PNL!D606)</f>
        <v>ACT</v>
      </c>
      <c r="E606">
        <f t="shared" si="0"/>
        <v>0</v>
      </c>
      <c r="F606">
        <f>IF($A606="","",IF($E606=1,_xlfn.SUMIFS(Comptabilité!$F$1:$F$1446,Comptabilité!$A$1:$A$1446,$A606,Comptabilité!$B$1:$B$1446,$B606,Comptabilité!$C$1:$C$1446,"2026"),0))</f>
        <v>0</v>
      </c>
      <c r="G606">
        <f>IF($A606="","",IF($D606="V01",Cadrage!$C$23,IF($D606="V02",Cadrage!$D$23,Cadrage!$E$23)))</f>
        <v>-0.05</v>
      </c>
      <c r="H606">
        <f>IF($A606="","",IF($D606="V01",Cadrage!$C$24,IF($D606="V02",Cadrage!$D$24,Cadrage!$E$24)))</f>
        <v>-0.05</v>
      </c>
      <c r="I606">
        <f>IF($A606="","",IF($D606="V01",Cadrage!$C$34,IF($D606="V02",Cadrage!$D$34,Cadrage!$E$34)))</f>
        <v>0.03</v>
      </c>
      <c r="J606">
        <f>IF($A606="","",IF($D606="V01",Cadrage!$C$35,IF($D606="V02",Cadrage!$D$35,Cadrage!$E$35)))</f>
        <v>0.03</v>
      </c>
      <c r="K606">
        <f>IF($A606="","",IF($D606="V01",Cadrage!$C$36,IF($D606="V02",Cadrage!$D$36,Cadrage!$E$36)))</f>
        <v>0.05</v>
      </c>
      <c r="L606">
        <f>IF($A606="","",IF($D606="V01",Cadrage!$C$37,IF($D606="V02",Cadrage!$D$37,Cadrage!$E$37)))</f>
        <v>0</v>
      </c>
      <c r="M606">
        <f>IF($A606="","",IF($D606="V01",Cadrage!$C$38,IF($D606="V02",Cadrage!$D$38,Cadrage!$E$38)))</f>
        <v>0.04</v>
      </c>
      <c r="N606">
        <f t="shared" si="1"/>
        <v>0.980622079131853</v>
      </c>
      <c r="O606">
        <f t="shared" si="2"/>
        <v>1.03</v>
      </c>
      <c r="P606">
        <f>IF($A606="","",IF($E606=1,$F606*$O606,PNL!G606))</f>
        <v>10301.75</v>
      </c>
      <c r="T606">
        <f t="shared" si="3"/>
        <v>0</v>
      </c>
    </row>
    <row r="607" ht="14.25" customHeight="1">
      <c r="A607" t="str">
        <f>IF(PNL!A607="","",PNL!A607)</f>
        <v>TUNON_PAR</v>
      </c>
      <c r="B607" t="str">
        <f>IF(PNL!B607="","",PNL!B607)</f>
        <v>63511</v>
      </c>
      <c r="C607" t="str">
        <f>IF(PNL!C607="","",PNL!C607)</f>
        <v>2025</v>
      </c>
      <c r="D607" t="str">
        <f>IF(PNL!D607="","",PNL!D607)</f>
        <v>ACT</v>
      </c>
      <c r="E607">
        <f t="shared" si="0"/>
        <v>0</v>
      </c>
      <c r="F607">
        <f>IF($A607="","",IF($E607=1,_xlfn.SUMIFS(Comptabilité!$F$1:$F$1446,Comptabilité!$A$1:$A$1446,$A607,Comptabilité!$B$1:$B$1446,$B607,Comptabilité!$C$1:$C$1446,"2026"),0))</f>
        <v>0</v>
      </c>
      <c r="G607">
        <f>IF($A607="","",IF($D607="V01",Cadrage!$C$23,IF($D607="V02",Cadrage!$D$23,Cadrage!$E$23)))</f>
        <v>-0.05</v>
      </c>
      <c r="H607">
        <f>IF($A607="","",IF($D607="V01",Cadrage!$C$24,IF($D607="V02",Cadrage!$D$24,Cadrage!$E$24)))</f>
        <v>-0.05</v>
      </c>
      <c r="I607">
        <f>IF($A607="","",IF($D607="V01",Cadrage!$C$34,IF($D607="V02",Cadrage!$D$34,Cadrage!$E$34)))</f>
        <v>0.03</v>
      </c>
      <c r="J607">
        <f>IF($A607="","",IF($D607="V01",Cadrage!$C$35,IF($D607="V02",Cadrage!$D$35,Cadrage!$E$35)))</f>
        <v>0.03</v>
      </c>
      <c r="K607">
        <f>IF($A607="","",IF($D607="V01",Cadrage!$C$36,IF($D607="V02",Cadrage!$D$36,Cadrage!$E$36)))</f>
        <v>0.05</v>
      </c>
      <c r="L607">
        <f>IF($A607="","",IF($D607="V01",Cadrage!$C$37,IF($D607="V02",Cadrage!$D$37,Cadrage!$E$37)))</f>
        <v>0</v>
      </c>
      <c r="M607">
        <f>IF($A607="","",IF($D607="V01",Cadrage!$C$38,IF($D607="V02",Cadrage!$D$38,Cadrage!$E$38)))</f>
        <v>0.04</v>
      </c>
      <c r="N607">
        <f t="shared" si="1"/>
        <v>0.980622079131853</v>
      </c>
      <c r="O607">
        <f t="shared" si="2"/>
        <v>1.03</v>
      </c>
      <c r="P607">
        <f>IF($A607="","",IF($E607=1,$F607*$O607,PNL!G607))</f>
        <v>12062.4</v>
      </c>
      <c r="T607">
        <f t="shared" si="3"/>
        <v>0</v>
      </c>
    </row>
    <row r="608" ht="14.25" customHeight="1">
      <c r="A608" t="str">
        <f>IF(PNL!A608="","",PNL!A608)</f>
        <v>TUNON_LYO</v>
      </c>
      <c r="B608" t="str">
        <f>IF(PNL!B608="","",PNL!B608)</f>
        <v>63511</v>
      </c>
      <c r="C608" t="str">
        <f>IF(PNL!C608="","",PNL!C608)</f>
        <v>2025</v>
      </c>
      <c r="D608" t="str">
        <f>IF(PNL!D608="","",PNL!D608)</f>
        <v>ACT</v>
      </c>
      <c r="E608">
        <f t="shared" si="0"/>
        <v>0</v>
      </c>
      <c r="F608">
        <f>IF($A608="","",IF($E608=1,_xlfn.SUMIFS(Comptabilité!$F$1:$F$1446,Comptabilité!$A$1:$A$1446,$A608,Comptabilité!$B$1:$B$1446,$B608,Comptabilité!$C$1:$C$1446,"2026"),0))</f>
        <v>0</v>
      </c>
      <c r="G608">
        <f>IF($A608="","",IF($D608="V01",Cadrage!$C$23,IF($D608="V02",Cadrage!$D$23,Cadrage!$E$23)))</f>
        <v>-0.05</v>
      </c>
      <c r="H608">
        <f>IF($A608="","",IF($D608="V01",Cadrage!$C$24,IF($D608="V02",Cadrage!$D$24,Cadrage!$E$24)))</f>
        <v>-0.05</v>
      </c>
      <c r="I608">
        <f>IF($A608="","",IF($D608="V01",Cadrage!$C$34,IF($D608="V02",Cadrage!$D$34,Cadrage!$E$34)))</f>
        <v>0.03</v>
      </c>
      <c r="J608">
        <f>IF($A608="","",IF($D608="V01",Cadrage!$C$35,IF($D608="V02",Cadrage!$D$35,Cadrage!$E$35)))</f>
        <v>0.03</v>
      </c>
      <c r="K608">
        <f>IF($A608="","",IF($D608="V01",Cadrage!$C$36,IF($D608="V02",Cadrage!$D$36,Cadrage!$E$36)))</f>
        <v>0.05</v>
      </c>
      <c r="L608">
        <f>IF($A608="","",IF($D608="V01",Cadrage!$C$37,IF($D608="V02",Cadrage!$D$37,Cadrage!$E$37)))</f>
        <v>0</v>
      </c>
      <c r="M608">
        <f>IF($A608="","",IF($D608="V01",Cadrage!$C$38,IF($D608="V02",Cadrage!$D$38,Cadrage!$E$38)))</f>
        <v>0.04</v>
      </c>
      <c r="N608">
        <f t="shared" si="1"/>
        <v>0.980622079131853</v>
      </c>
      <c r="O608">
        <f t="shared" si="2"/>
        <v>1.03</v>
      </c>
      <c r="P608">
        <f>IF($A608="","",IF($E608=1,$F608*$O608,PNL!G608))</f>
        <v>10215.16</v>
      </c>
      <c r="T608">
        <f t="shared" si="3"/>
        <v>0</v>
      </c>
    </row>
    <row r="609" ht="14.25" customHeight="1">
      <c r="A609" t="str">
        <f>IF(PNL!A609="","",PNL!A609)</f>
        <v>MBWAY_PAR</v>
      </c>
      <c r="B609" t="str">
        <f>IF(PNL!B609="","",PNL!B609)</f>
        <v>63511</v>
      </c>
      <c r="C609" t="str">
        <f>IF(PNL!C609="","",PNL!C609)</f>
        <v>2026</v>
      </c>
      <c r="D609" t="str">
        <f>IF(PNL!D609="","",PNL!D609)</f>
        <v>ACT</v>
      </c>
      <c r="E609">
        <f t="shared" si="0"/>
        <v>0</v>
      </c>
      <c r="F609">
        <f>IF($A609="","",IF($E609=1,_xlfn.SUMIFS(Comptabilité!$F$1:$F$1446,Comptabilité!$A$1:$A$1446,$A609,Comptabilité!$B$1:$B$1446,$B609,Comptabilité!$C$1:$C$1446,"2026"),0))</f>
        <v>0</v>
      </c>
      <c r="G609">
        <f>IF($A609="","",IF($D609="V01",Cadrage!$C$23,IF($D609="V02",Cadrage!$D$23,Cadrage!$E$23)))</f>
        <v>-0.05</v>
      </c>
      <c r="H609">
        <f>IF($A609="","",IF($D609="V01",Cadrage!$C$24,IF($D609="V02",Cadrage!$D$24,Cadrage!$E$24)))</f>
        <v>-0.05</v>
      </c>
      <c r="I609">
        <f>IF($A609="","",IF($D609="V01",Cadrage!$C$34,IF($D609="V02",Cadrage!$D$34,Cadrage!$E$34)))</f>
        <v>0.03</v>
      </c>
      <c r="J609">
        <f>IF($A609="","",IF($D609="V01",Cadrage!$C$35,IF($D609="V02",Cadrage!$D$35,Cadrage!$E$35)))</f>
        <v>0.03</v>
      </c>
      <c r="K609">
        <f>IF($A609="","",IF($D609="V01",Cadrage!$C$36,IF($D609="V02",Cadrage!$D$36,Cadrage!$E$36)))</f>
        <v>0.05</v>
      </c>
      <c r="L609">
        <f>IF($A609="","",IF($D609="V01",Cadrage!$C$37,IF($D609="V02",Cadrage!$D$37,Cadrage!$E$37)))</f>
        <v>0</v>
      </c>
      <c r="M609">
        <f>IF($A609="","",IF($D609="V01",Cadrage!$C$38,IF($D609="V02",Cadrage!$D$38,Cadrage!$E$38)))</f>
        <v>0.04</v>
      </c>
      <c r="N609">
        <f t="shared" si="1"/>
        <v>0.980622079131853</v>
      </c>
      <c r="O609">
        <f t="shared" si="2"/>
        <v>1.03</v>
      </c>
      <c r="P609">
        <f>IF($A609="","",IF($E609=1,$F609*$O609,PNL!G609))</f>
        <v>29533.02</v>
      </c>
      <c r="T609">
        <f t="shared" si="3"/>
        <v>0</v>
      </c>
    </row>
    <row r="610" ht="14.25" customHeight="1">
      <c r="A610" t="str">
        <f>IF(PNL!A610="","",PNL!A610)</f>
        <v>MBWAY_LYO</v>
      </c>
      <c r="B610" t="str">
        <f>IF(PNL!B610="","",PNL!B610)</f>
        <v>63511</v>
      </c>
      <c r="C610" t="str">
        <f>IF(PNL!C610="","",PNL!C610)</f>
        <v>2026</v>
      </c>
      <c r="D610" t="str">
        <f>IF(PNL!D610="","",PNL!D610)</f>
        <v>ACT</v>
      </c>
      <c r="E610">
        <f t="shared" si="0"/>
        <v>0</v>
      </c>
      <c r="F610">
        <f>IF($A610="","",IF($E610=1,_xlfn.SUMIFS(Comptabilité!$F$1:$F$1446,Comptabilité!$A$1:$A$1446,$A610,Comptabilité!$B$1:$B$1446,$B610,Comptabilité!$C$1:$C$1446,"2026"),0))</f>
        <v>0</v>
      </c>
      <c r="G610">
        <f>IF($A610="","",IF($D610="V01",Cadrage!$C$23,IF($D610="V02",Cadrage!$D$23,Cadrage!$E$23)))</f>
        <v>-0.05</v>
      </c>
      <c r="H610">
        <f>IF($A610="","",IF($D610="V01",Cadrage!$C$24,IF($D610="V02",Cadrage!$D$24,Cadrage!$E$24)))</f>
        <v>-0.05</v>
      </c>
      <c r="I610">
        <f>IF($A610="","",IF($D610="V01",Cadrage!$C$34,IF($D610="V02",Cadrage!$D$34,Cadrage!$E$34)))</f>
        <v>0.03</v>
      </c>
      <c r="J610">
        <f>IF($A610="","",IF($D610="V01",Cadrage!$C$35,IF($D610="V02",Cadrage!$D$35,Cadrage!$E$35)))</f>
        <v>0.03</v>
      </c>
      <c r="K610">
        <f>IF($A610="","",IF($D610="V01",Cadrage!$C$36,IF($D610="V02",Cadrage!$D$36,Cadrage!$E$36)))</f>
        <v>0.05</v>
      </c>
      <c r="L610">
        <f>IF($A610="","",IF($D610="V01",Cadrage!$C$37,IF($D610="V02",Cadrage!$D$37,Cadrage!$E$37)))</f>
        <v>0</v>
      </c>
      <c r="M610">
        <f>IF($A610="","",IF($D610="V01",Cadrage!$C$38,IF($D610="V02",Cadrage!$D$38,Cadrage!$E$38)))</f>
        <v>0.04</v>
      </c>
      <c r="N610">
        <f t="shared" si="1"/>
        <v>0.980622079131853</v>
      </c>
      <c r="O610">
        <f t="shared" si="2"/>
        <v>1.03</v>
      </c>
      <c r="P610">
        <f>IF($A610="","",IF($E610=1,$F610*$O610,PNL!G610))</f>
        <v>23541.01</v>
      </c>
      <c r="T610">
        <f t="shared" si="3"/>
        <v>0</v>
      </c>
    </row>
    <row r="611" ht="14.25" customHeight="1">
      <c r="A611" t="str">
        <f>IF(PNL!A611="","",PNL!A611)</f>
        <v>MBWAY_NAN</v>
      </c>
      <c r="B611" t="str">
        <f>IF(PNL!B611="","",PNL!B611)</f>
        <v>63511</v>
      </c>
      <c r="C611" t="str">
        <f>IF(PNL!C611="","",PNL!C611)</f>
        <v>2026</v>
      </c>
      <c r="D611" t="str">
        <f>IF(PNL!D611="","",PNL!D611)</f>
        <v>ACT</v>
      </c>
      <c r="E611">
        <f t="shared" si="0"/>
        <v>0</v>
      </c>
      <c r="F611">
        <f>IF($A611="","",IF($E611=1,_xlfn.SUMIFS(Comptabilité!$F$1:$F$1446,Comptabilité!$A$1:$A$1446,$A611,Comptabilité!$B$1:$B$1446,$B611,Comptabilité!$C$1:$C$1446,"2026"),0))</f>
        <v>0</v>
      </c>
      <c r="G611">
        <f>IF($A611="","",IF($D611="V01",Cadrage!$C$23,IF($D611="V02",Cadrage!$D$23,Cadrage!$E$23)))</f>
        <v>-0.05</v>
      </c>
      <c r="H611">
        <f>IF($A611="","",IF($D611="V01",Cadrage!$C$24,IF($D611="V02",Cadrage!$D$24,Cadrage!$E$24)))</f>
        <v>-0.05</v>
      </c>
      <c r="I611">
        <f>IF($A611="","",IF($D611="V01",Cadrage!$C$34,IF($D611="V02",Cadrage!$D$34,Cadrage!$E$34)))</f>
        <v>0.03</v>
      </c>
      <c r="J611">
        <f>IF($A611="","",IF($D611="V01",Cadrage!$C$35,IF($D611="V02",Cadrage!$D$35,Cadrage!$E$35)))</f>
        <v>0.03</v>
      </c>
      <c r="K611">
        <f>IF($A611="","",IF($D611="V01",Cadrage!$C$36,IF($D611="V02",Cadrage!$D$36,Cadrage!$E$36)))</f>
        <v>0.05</v>
      </c>
      <c r="L611">
        <f>IF($A611="","",IF($D611="V01",Cadrage!$C$37,IF($D611="V02",Cadrage!$D$37,Cadrage!$E$37)))</f>
        <v>0</v>
      </c>
      <c r="M611">
        <f>IF($A611="","",IF($D611="V01",Cadrage!$C$38,IF($D611="V02",Cadrage!$D$38,Cadrage!$E$38)))</f>
        <v>0.04</v>
      </c>
      <c r="N611">
        <f t="shared" si="1"/>
        <v>0.980622079131853</v>
      </c>
      <c r="O611">
        <f t="shared" si="2"/>
        <v>1.03</v>
      </c>
      <c r="P611">
        <f>IF($A611="","",IF($E611=1,$F611*$O611,PNL!G611))</f>
        <v>20249.8</v>
      </c>
      <c r="T611">
        <f t="shared" si="3"/>
        <v>0</v>
      </c>
    </row>
    <row r="612" ht="14.25" customHeight="1">
      <c r="A612" t="str">
        <f>IF(PNL!A612="","",PNL!A612)</f>
        <v>MBWAY_BOR</v>
      </c>
      <c r="B612" t="str">
        <f>IF(PNL!B612="","",PNL!B612)</f>
        <v>63511</v>
      </c>
      <c r="C612" t="str">
        <f>IF(PNL!C612="","",PNL!C612)</f>
        <v>2026</v>
      </c>
      <c r="D612" t="str">
        <f>IF(PNL!D612="","",PNL!D612)</f>
        <v>ACT</v>
      </c>
      <c r="E612">
        <f t="shared" si="0"/>
        <v>0</v>
      </c>
      <c r="F612">
        <f>IF($A612="","",IF($E612=1,_xlfn.SUMIFS(Comptabilité!$F$1:$F$1446,Comptabilité!$A$1:$A$1446,$A612,Comptabilité!$B$1:$B$1446,$B612,Comptabilité!$C$1:$C$1446,"2026"),0))</f>
        <v>0</v>
      </c>
      <c r="G612">
        <f>IF($A612="","",IF($D612="V01",Cadrage!$C$23,IF($D612="V02",Cadrage!$D$23,Cadrage!$E$23)))</f>
        <v>-0.05</v>
      </c>
      <c r="H612">
        <f>IF($A612="","",IF($D612="V01",Cadrage!$C$24,IF($D612="V02",Cadrage!$D$24,Cadrage!$E$24)))</f>
        <v>-0.05</v>
      </c>
      <c r="I612">
        <f>IF($A612="","",IF($D612="V01",Cadrage!$C$34,IF($D612="V02",Cadrage!$D$34,Cadrage!$E$34)))</f>
        <v>0.03</v>
      </c>
      <c r="J612">
        <f>IF($A612="","",IF($D612="V01",Cadrage!$C$35,IF($D612="V02",Cadrage!$D$35,Cadrage!$E$35)))</f>
        <v>0.03</v>
      </c>
      <c r="K612">
        <f>IF($A612="","",IF($D612="V01",Cadrage!$C$36,IF($D612="V02",Cadrage!$D$36,Cadrage!$E$36)))</f>
        <v>0.05</v>
      </c>
      <c r="L612">
        <f>IF($A612="","",IF($D612="V01",Cadrage!$C$37,IF($D612="V02",Cadrage!$D$37,Cadrage!$E$37)))</f>
        <v>0</v>
      </c>
      <c r="M612">
        <f>IF($A612="","",IF($D612="V01",Cadrage!$C$38,IF($D612="V02",Cadrage!$D$38,Cadrage!$E$38)))</f>
        <v>0.04</v>
      </c>
      <c r="N612">
        <f t="shared" si="1"/>
        <v>0.980622079131853</v>
      </c>
      <c r="O612">
        <f t="shared" si="2"/>
        <v>1.03</v>
      </c>
      <c r="P612">
        <f>IF($A612="","",IF($E612=1,$F612*$O612,PNL!G612))</f>
        <v>16490.67</v>
      </c>
      <c r="T612">
        <f t="shared" si="3"/>
        <v>0</v>
      </c>
    </row>
    <row r="613" ht="14.25" customHeight="1">
      <c r="A613" t="str">
        <f>IF(PNL!A613="","",PNL!A613)</f>
        <v>ISCOM_PAR</v>
      </c>
      <c r="B613" t="str">
        <f>IF(PNL!B613="","",PNL!B613)</f>
        <v>63511</v>
      </c>
      <c r="C613" t="str">
        <f>IF(PNL!C613="","",PNL!C613)</f>
        <v>2026</v>
      </c>
      <c r="D613" t="str">
        <f>IF(PNL!D613="","",PNL!D613)</f>
        <v>ACT</v>
      </c>
      <c r="E613">
        <f t="shared" si="0"/>
        <v>0</v>
      </c>
      <c r="F613">
        <f>IF($A613="","",IF($E613=1,_xlfn.SUMIFS(Comptabilité!$F$1:$F$1446,Comptabilité!$A$1:$A$1446,$A613,Comptabilité!$B$1:$B$1446,$B613,Comptabilité!$C$1:$C$1446,"2026"),0))</f>
        <v>0</v>
      </c>
      <c r="G613">
        <f>IF($A613="","",IF($D613="V01",Cadrage!$C$23,IF($D613="V02",Cadrage!$D$23,Cadrage!$E$23)))</f>
        <v>-0.05</v>
      </c>
      <c r="H613">
        <f>IF($A613="","",IF($D613="V01",Cadrage!$C$24,IF($D613="V02",Cadrage!$D$24,Cadrage!$E$24)))</f>
        <v>-0.05</v>
      </c>
      <c r="I613">
        <f>IF($A613="","",IF($D613="V01",Cadrage!$C$34,IF($D613="V02",Cadrage!$D$34,Cadrage!$E$34)))</f>
        <v>0.03</v>
      </c>
      <c r="J613">
        <f>IF($A613="","",IF($D613="V01",Cadrage!$C$35,IF($D613="V02",Cadrage!$D$35,Cadrage!$E$35)))</f>
        <v>0.03</v>
      </c>
      <c r="K613">
        <f>IF($A613="","",IF($D613="V01",Cadrage!$C$36,IF($D613="V02",Cadrage!$D$36,Cadrage!$E$36)))</f>
        <v>0.05</v>
      </c>
      <c r="L613">
        <f>IF($A613="","",IF($D613="V01",Cadrage!$C$37,IF($D613="V02",Cadrage!$D$37,Cadrage!$E$37)))</f>
        <v>0</v>
      </c>
      <c r="M613">
        <f>IF($A613="","",IF($D613="V01",Cadrage!$C$38,IF($D613="V02",Cadrage!$D$38,Cadrage!$E$38)))</f>
        <v>0.04</v>
      </c>
      <c r="N613">
        <f t="shared" si="1"/>
        <v>0.980622079131853</v>
      </c>
      <c r="O613">
        <f t="shared" si="2"/>
        <v>1.03</v>
      </c>
      <c r="P613">
        <f>IF($A613="","",IF($E613=1,$F613*$O613,PNL!G613))</f>
        <v>28708.76</v>
      </c>
      <c r="T613">
        <f t="shared" si="3"/>
        <v>0</v>
      </c>
    </row>
    <row r="614" ht="14.25" customHeight="1">
      <c r="A614" t="str">
        <f>IF(PNL!A614="","",PNL!A614)</f>
        <v>ISCOM_LIL</v>
      </c>
      <c r="B614" t="str">
        <f>IF(PNL!B614="","",PNL!B614)</f>
        <v>63511</v>
      </c>
      <c r="C614" t="str">
        <f>IF(PNL!C614="","",PNL!C614)</f>
        <v>2026</v>
      </c>
      <c r="D614" t="str">
        <f>IF(PNL!D614="","",PNL!D614)</f>
        <v>ACT</v>
      </c>
      <c r="E614">
        <f t="shared" si="0"/>
        <v>0</v>
      </c>
      <c r="F614">
        <f>IF($A614="","",IF($E614=1,_xlfn.SUMIFS(Comptabilité!$F$1:$F$1446,Comptabilité!$A$1:$A$1446,$A614,Comptabilité!$B$1:$B$1446,$B614,Comptabilité!$C$1:$C$1446,"2026"),0))</f>
        <v>0</v>
      </c>
      <c r="G614">
        <f>IF($A614="","",IF($D614="V01",Cadrage!$C$23,IF($D614="V02",Cadrage!$D$23,Cadrage!$E$23)))</f>
        <v>-0.05</v>
      </c>
      <c r="H614">
        <f>IF($A614="","",IF($D614="V01",Cadrage!$C$24,IF($D614="V02",Cadrage!$D$24,Cadrage!$E$24)))</f>
        <v>-0.05</v>
      </c>
      <c r="I614">
        <f>IF($A614="","",IF($D614="V01",Cadrage!$C$34,IF($D614="V02",Cadrage!$D$34,Cadrage!$E$34)))</f>
        <v>0.03</v>
      </c>
      <c r="J614">
        <f>IF($A614="","",IF($D614="V01",Cadrage!$C$35,IF($D614="V02",Cadrage!$D$35,Cadrage!$E$35)))</f>
        <v>0.03</v>
      </c>
      <c r="K614">
        <f>IF($A614="","",IF($D614="V01",Cadrage!$C$36,IF($D614="V02",Cadrage!$D$36,Cadrage!$E$36)))</f>
        <v>0.05</v>
      </c>
      <c r="L614">
        <f>IF($A614="","",IF($D614="V01",Cadrage!$C$37,IF($D614="V02",Cadrage!$D$37,Cadrage!$E$37)))</f>
        <v>0</v>
      </c>
      <c r="M614">
        <f>IF($A614="","",IF($D614="V01",Cadrage!$C$38,IF($D614="V02",Cadrage!$D$38,Cadrage!$E$38)))</f>
        <v>0.04</v>
      </c>
      <c r="N614">
        <f t="shared" si="1"/>
        <v>0.980622079131853</v>
      </c>
      <c r="O614">
        <f t="shared" si="2"/>
        <v>1.03</v>
      </c>
      <c r="P614">
        <f>IF($A614="","",IF($E614=1,$F614*$O614,PNL!G614))</f>
        <v>16744.95</v>
      </c>
      <c r="T614">
        <f t="shared" si="3"/>
        <v>0</v>
      </c>
    </row>
    <row r="615" ht="14.25" customHeight="1">
      <c r="A615" t="str">
        <f>IF(PNL!A615="","",PNL!A615)</f>
        <v>ISCOM_TLS</v>
      </c>
      <c r="B615" t="str">
        <f>IF(PNL!B615="","",PNL!B615)</f>
        <v>63511</v>
      </c>
      <c r="C615" t="str">
        <f>IF(PNL!C615="","",PNL!C615)</f>
        <v>2026</v>
      </c>
      <c r="D615" t="str">
        <f>IF(PNL!D615="","",PNL!D615)</f>
        <v>ACT</v>
      </c>
      <c r="E615">
        <f t="shared" si="0"/>
        <v>0</v>
      </c>
      <c r="F615">
        <f>IF($A615="","",IF($E615=1,_xlfn.SUMIFS(Comptabilité!$F$1:$F$1446,Comptabilité!$A$1:$A$1446,$A615,Comptabilité!$B$1:$B$1446,$B615,Comptabilité!$C$1:$C$1446,"2026"),0))</f>
        <v>0</v>
      </c>
      <c r="G615">
        <f>IF($A615="","",IF($D615="V01",Cadrage!$C$23,IF($D615="V02",Cadrage!$D$23,Cadrage!$E$23)))</f>
        <v>-0.05</v>
      </c>
      <c r="H615">
        <f>IF($A615="","",IF($D615="V01",Cadrage!$C$24,IF($D615="V02",Cadrage!$D$24,Cadrage!$E$24)))</f>
        <v>-0.05</v>
      </c>
      <c r="I615">
        <f>IF($A615="","",IF($D615="V01",Cadrage!$C$34,IF($D615="V02",Cadrage!$D$34,Cadrage!$E$34)))</f>
        <v>0.03</v>
      </c>
      <c r="J615">
        <f>IF($A615="","",IF($D615="V01",Cadrage!$C$35,IF($D615="V02",Cadrage!$D$35,Cadrage!$E$35)))</f>
        <v>0.03</v>
      </c>
      <c r="K615">
        <f>IF($A615="","",IF($D615="V01",Cadrage!$C$36,IF($D615="V02",Cadrage!$D$36,Cadrage!$E$36)))</f>
        <v>0.05</v>
      </c>
      <c r="L615">
        <f>IF($A615="","",IF($D615="V01",Cadrage!$C$37,IF($D615="V02",Cadrage!$D$37,Cadrage!$E$37)))</f>
        <v>0</v>
      </c>
      <c r="M615">
        <f>IF($A615="","",IF($D615="V01",Cadrage!$C$38,IF($D615="V02",Cadrage!$D$38,Cadrage!$E$38)))</f>
        <v>0.04</v>
      </c>
      <c r="N615">
        <f t="shared" si="1"/>
        <v>0.980622079131853</v>
      </c>
      <c r="O615">
        <f t="shared" si="2"/>
        <v>1.03</v>
      </c>
      <c r="P615">
        <f>IF($A615="","",IF($E615=1,$F615*$O615,PNL!G615))</f>
        <v>15745.83</v>
      </c>
      <c r="T615">
        <f t="shared" si="3"/>
        <v>0</v>
      </c>
    </row>
    <row r="616" ht="14.25" customHeight="1">
      <c r="A616" t="str">
        <f>IF(PNL!A616="","",PNL!A616)</f>
        <v>IPAC_NAN</v>
      </c>
      <c r="B616" t="str">
        <f>IF(PNL!B616="","",PNL!B616)</f>
        <v>63511</v>
      </c>
      <c r="C616" t="str">
        <f>IF(PNL!C616="","",PNL!C616)</f>
        <v>2026</v>
      </c>
      <c r="D616" t="str">
        <f>IF(PNL!D616="","",PNL!D616)</f>
        <v>ACT</v>
      </c>
      <c r="E616">
        <f t="shared" si="0"/>
        <v>0</v>
      </c>
      <c r="F616">
        <f>IF($A616="","",IF($E616=1,_xlfn.SUMIFS(Comptabilité!$F$1:$F$1446,Comptabilité!$A$1:$A$1446,$A616,Comptabilité!$B$1:$B$1446,$B616,Comptabilité!$C$1:$C$1446,"2026"),0))</f>
        <v>0</v>
      </c>
      <c r="G616">
        <f>IF($A616="","",IF($D616="V01",Cadrage!$C$23,IF($D616="V02",Cadrage!$D$23,Cadrage!$E$23)))</f>
        <v>-0.05</v>
      </c>
      <c r="H616">
        <f>IF($A616="","",IF($D616="V01",Cadrage!$C$24,IF($D616="V02",Cadrage!$D$24,Cadrage!$E$24)))</f>
        <v>-0.05</v>
      </c>
      <c r="I616">
        <f>IF($A616="","",IF($D616="V01",Cadrage!$C$34,IF($D616="V02",Cadrage!$D$34,Cadrage!$E$34)))</f>
        <v>0.03</v>
      </c>
      <c r="J616">
        <f>IF($A616="","",IF($D616="V01",Cadrage!$C$35,IF($D616="V02",Cadrage!$D$35,Cadrage!$E$35)))</f>
        <v>0.03</v>
      </c>
      <c r="K616">
        <f>IF($A616="","",IF($D616="V01",Cadrage!$C$36,IF($D616="V02",Cadrage!$D$36,Cadrage!$E$36)))</f>
        <v>0.05</v>
      </c>
      <c r="L616">
        <f>IF($A616="","",IF($D616="V01",Cadrage!$C$37,IF($D616="V02",Cadrage!$D$37,Cadrage!$E$37)))</f>
        <v>0</v>
      </c>
      <c r="M616">
        <f>IF($A616="","",IF($D616="V01",Cadrage!$C$38,IF($D616="V02",Cadrage!$D$38,Cadrage!$E$38)))</f>
        <v>0.04</v>
      </c>
      <c r="N616">
        <f t="shared" si="1"/>
        <v>0.980622079131853</v>
      </c>
      <c r="O616">
        <f t="shared" si="2"/>
        <v>1.03</v>
      </c>
      <c r="P616">
        <f>IF($A616="","",IF($E616=1,$F616*$O616,PNL!G616))</f>
        <v>9892.9</v>
      </c>
      <c r="T616">
        <f t="shared" si="3"/>
        <v>0</v>
      </c>
    </row>
    <row r="617" ht="14.25" customHeight="1">
      <c r="A617" t="str">
        <f>IF(PNL!A617="","",PNL!A617)</f>
        <v>IPAC_REN</v>
      </c>
      <c r="B617" t="str">
        <f>IF(PNL!B617="","",PNL!B617)</f>
        <v>63511</v>
      </c>
      <c r="C617" t="str">
        <f>IF(PNL!C617="","",PNL!C617)</f>
        <v>2026</v>
      </c>
      <c r="D617" t="str">
        <f>IF(PNL!D617="","",PNL!D617)</f>
        <v>ACT</v>
      </c>
      <c r="E617">
        <f t="shared" si="0"/>
        <v>0</v>
      </c>
      <c r="F617">
        <f>IF($A617="","",IF($E617=1,_xlfn.SUMIFS(Comptabilité!$F$1:$F$1446,Comptabilité!$A$1:$A$1446,$A617,Comptabilité!$B$1:$B$1446,$B617,Comptabilité!$C$1:$C$1446,"2026"),0))</f>
        <v>0</v>
      </c>
      <c r="G617">
        <f>IF($A617="","",IF($D617="V01",Cadrage!$C$23,IF($D617="V02",Cadrage!$D$23,Cadrage!$E$23)))</f>
        <v>-0.05</v>
      </c>
      <c r="H617">
        <f>IF($A617="","",IF($D617="V01",Cadrage!$C$24,IF($D617="V02",Cadrage!$D$24,Cadrage!$E$24)))</f>
        <v>-0.05</v>
      </c>
      <c r="I617">
        <f>IF($A617="","",IF($D617="V01",Cadrage!$C$34,IF($D617="V02",Cadrage!$D$34,Cadrage!$E$34)))</f>
        <v>0.03</v>
      </c>
      <c r="J617">
        <f>IF($A617="","",IF($D617="V01",Cadrage!$C$35,IF($D617="V02",Cadrage!$D$35,Cadrage!$E$35)))</f>
        <v>0.03</v>
      </c>
      <c r="K617">
        <f>IF($A617="","",IF($D617="V01",Cadrage!$C$36,IF($D617="V02",Cadrage!$D$36,Cadrage!$E$36)))</f>
        <v>0.05</v>
      </c>
      <c r="L617">
        <f>IF($A617="","",IF($D617="V01",Cadrage!$C$37,IF($D617="V02",Cadrage!$D$37,Cadrage!$E$37)))</f>
        <v>0</v>
      </c>
      <c r="M617">
        <f>IF($A617="","",IF($D617="V01",Cadrage!$C$38,IF($D617="V02",Cadrage!$D$38,Cadrage!$E$38)))</f>
        <v>0.04</v>
      </c>
      <c r="N617">
        <f t="shared" si="1"/>
        <v>0.980622079131853</v>
      </c>
      <c r="O617">
        <f t="shared" si="2"/>
        <v>1.03</v>
      </c>
      <c r="P617">
        <f>IF($A617="","",IF($E617=1,$F617*$O617,PNL!G617))</f>
        <v>8009.55</v>
      </c>
      <c r="T617">
        <f t="shared" si="3"/>
        <v>0</v>
      </c>
    </row>
    <row r="618" ht="14.25" customHeight="1">
      <c r="A618" t="str">
        <f>IF(PNL!A618="","",PNL!A618)</f>
        <v>IPAC_MTP</v>
      </c>
      <c r="B618" t="str">
        <f>IF(PNL!B618="","",PNL!B618)</f>
        <v>63511</v>
      </c>
      <c r="C618" t="str">
        <f>IF(PNL!C618="","",PNL!C618)</f>
        <v>2026</v>
      </c>
      <c r="D618" t="str">
        <f>IF(PNL!D618="","",PNL!D618)</f>
        <v>ACT</v>
      </c>
      <c r="E618">
        <f t="shared" si="0"/>
        <v>0</v>
      </c>
      <c r="F618">
        <f>IF($A618="","",IF($E618=1,_xlfn.SUMIFS(Comptabilité!$F$1:$F$1446,Comptabilité!$A$1:$A$1446,$A618,Comptabilité!$B$1:$B$1446,$B618,Comptabilité!$C$1:$C$1446,"2026"),0))</f>
        <v>0</v>
      </c>
      <c r="G618">
        <f>IF($A618="","",IF($D618="V01",Cadrage!$C$23,IF($D618="V02",Cadrage!$D$23,Cadrage!$E$23)))</f>
        <v>-0.05</v>
      </c>
      <c r="H618">
        <f>IF($A618="","",IF($D618="V01",Cadrage!$C$24,IF($D618="V02",Cadrage!$D$24,Cadrage!$E$24)))</f>
        <v>-0.05</v>
      </c>
      <c r="I618">
        <f>IF($A618="","",IF($D618="V01",Cadrage!$C$34,IF($D618="V02",Cadrage!$D$34,Cadrage!$E$34)))</f>
        <v>0.03</v>
      </c>
      <c r="J618">
        <f>IF($A618="","",IF($D618="V01",Cadrage!$C$35,IF($D618="V02",Cadrage!$D$35,Cadrage!$E$35)))</f>
        <v>0.03</v>
      </c>
      <c r="K618">
        <f>IF($A618="","",IF($D618="V01",Cadrage!$C$36,IF($D618="V02",Cadrage!$D$36,Cadrage!$E$36)))</f>
        <v>0.05</v>
      </c>
      <c r="L618">
        <f>IF($A618="","",IF($D618="V01",Cadrage!$C$37,IF($D618="V02",Cadrage!$D$37,Cadrage!$E$37)))</f>
        <v>0</v>
      </c>
      <c r="M618">
        <f>IF($A618="","",IF($D618="V01",Cadrage!$C$38,IF($D618="V02",Cadrage!$D$38,Cadrage!$E$38)))</f>
        <v>0.04</v>
      </c>
      <c r="N618">
        <f t="shared" si="1"/>
        <v>0.980622079131853</v>
      </c>
      <c r="O618">
        <f t="shared" si="2"/>
        <v>1.03</v>
      </c>
      <c r="P618">
        <f>IF($A618="","",IF($E618=1,$F618*$O618,PNL!G618))</f>
        <v>8004.78</v>
      </c>
      <c r="T618">
        <f t="shared" si="3"/>
        <v>0</v>
      </c>
    </row>
    <row r="619" ht="14.25" customHeight="1">
      <c r="A619" t="str">
        <f>IF(PNL!A619="","",PNL!A619)</f>
        <v>PIGIER_LYO</v>
      </c>
      <c r="B619" t="str">
        <f>IF(PNL!B619="","",PNL!B619)</f>
        <v>63511</v>
      </c>
      <c r="C619" t="str">
        <f>IF(PNL!C619="","",PNL!C619)</f>
        <v>2026</v>
      </c>
      <c r="D619" t="str">
        <f>IF(PNL!D619="","",PNL!D619)</f>
        <v>ACT</v>
      </c>
      <c r="E619">
        <f t="shared" si="0"/>
        <v>0</v>
      </c>
      <c r="F619">
        <f>IF($A619="","",IF($E619=1,_xlfn.SUMIFS(Comptabilité!$F$1:$F$1446,Comptabilité!$A$1:$A$1446,$A619,Comptabilité!$B$1:$B$1446,$B619,Comptabilité!$C$1:$C$1446,"2026"),0))</f>
        <v>0</v>
      </c>
      <c r="G619">
        <f>IF($A619="","",IF($D619="V01",Cadrage!$C$23,IF($D619="V02",Cadrage!$D$23,Cadrage!$E$23)))</f>
        <v>-0.05</v>
      </c>
      <c r="H619">
        <f>IF($A619="","",IF($D619="V01",Cadrage!$C$24,IF($D619="V02",Cadrage!$D$24,Cadrage!$E$24)))</f>
        <v>-0.05</v>
      </c>
      <c r="I619">
        <f>IF($A619="","",IF($D619="V01",Cadrage!$C$34,IF($D619="V02",Cadrage!$D$34,Cadrage!$E$34)))</f>
        <v>0.03</v>
      </c>
      <c r="J619">
        <f>IF($A619="","",IF($D619="V01",Cadrage!$C$35,IF($D619="V02",Cadrage!$D$35,Cadrage!$E$35)))</f>
        <v>0.03</v>
      </c>
      <c r="K619">
        <f>IF($A619="","",IF($D619="V01",Cadrage!$C$36,IF($D619="V02",Cadrage!$D$36,Cadrage!$E$36)))</f>
        <v>0.05</v>
      </c>
      <c r="L619">
        <f>IF($A619="","",IF($D619="V01",Cadrage!$C$37,IF($D619="V02",Cadrage!$D$37,Cadrage!$E$37)))</f>
        <v>0</v>
      </c>
      <c r="M619">
        <f>IF($A619="","",IF($D619="V01",Cadrage!$C$38,IF($D619="V02",Cadrage!$D$38,Cadrage!$E$38)))</f>
        <v>0.04</v>
      </c>
      <c r="N619">
        <f t="shared" si="1"/>
        <v>0.980622079131853</v>
      </c>
      <c r="O619">
        <f t="shared" si="2"/>
        <v>1.03</v>
      </c>
      <c r="P619">
        <f>IF($A619="","",IF($E619=1,$F619*$O619,PNL!G619))</f>
        <v>14195.01</v>
      </c>
      <c r="T619">
        <f t="shared" si="3"/>
        <v>0</v>
      </c>
    </row>
    <row r="620" ht="14.25" customHeight="1">
      <c r="A620" t="str">
        <f>IF(PNL!A620="","",PNL!A620)</f>
        <v>PIGIER_BOR</v>
      </c>
      <c r="B620" t="str">
        <f>IF(PNL!B620="","",PNL!B620)</f>
        <v>63511</v>
      </c>
      <c r="C620" t="str">
        <f>IF(PNL!C620="","",PNL!C620)</f>
        <v>2026</v>
      </c>
      <c r="D620" t="str">
        <f>IF(PNL!D620="","",PNL!D620)</f>
        <v>ACT</v>
      </c>
      <c r="E620">
        <f t="shared" si="0"/>
        <v>0</v>
      </c>
      <c r="F620">
        <f>IF($A620="","",IF($E620=1,_xlfn.SUMIFS(Comptabilité!$F$1:$F$1446,Comptabilité!$A$1:$A$1446,$A620,Comptabilité!$B$1:$B$1446,$B620,Comptabilité!$C$1:$C$1446,"2026"),0))</f>
        <v>0</v>
      </c>
      <c r="G620">
        <f>IF($A620="","",IF($D620="V01",Cadrage!$C$23,IF($D620="V02",Cadrage!$D$23,Cadrage!$E$23)))</f>
        <v>-0.05</v>
      </c>
      <c r="H620">
        <f>IF($A620="","",IF($D620="V01",Cadrage!$C$24,IF($D620="V02",Cadrage!$D$24,Cadrage!$E$24)))</f>
        <v>-0.05</v>
      </c>
      <c r="I620">
        <f>IF($A620="","",IF($D620="V01",Cadrage!$C$34,IF($D620="V02",Cadrage!$D$34,Cadrage!$E$34)))</f>
        <v>0.03</v>
      </c>
      <c r="J620">
        <f>IF($A620="","",IF($D620="V01",Cadrage!$C$35,IF($D620="V02",Cadrage!$D$35,Cadrage!$E$35)))</f>
        <v>0.03</v>
      </c>
      <c r="K620">
        <f>IF($A620="","",IF($D620="V01",Cadrage!$C$36,IF($D620="V02",Cadrage!$D$36,Cadrage!$E$36)))</f>
        <v>0.05</v>
      </c>
      <c r="L620">
        <f>IF($A620="","",IF($D620="V01",Cadrage!$C$37,IF($D620="V02",Cadrage!$D$37,Cadrage!$E$37)))</f>
        <v>0</v>
      </c>
      <c r="M620">
        <f>IF($A620="","",IF($D620="V01",Cadrage!$C$38,IF($D620="V02",Cadrage!$D$38,Cadrage!$E$38)))</f>
        <v>0.04</v>
      </c>
      <c r="N620">
        <f t="shared" si="1"/>
        <v>0.980622079131853</v>
      </c>
      <c r="O620">
        <f t="shared" si="2"/>
        <v>1.03</v>
      </c>
      <c r="P620">
        <f>IF($A620="","",IF($E620=1,$F620*$O620,PNL!G620))</f>
        <v>10750.17</v>
      </c>
      <c r="T620">
        <f t="shared" si="3"/>
        <v>0</v>
      </c>
    </row>
    <row r="621" ht="14.25" customHeight="1">
      <c r="A621" t="str">
        <f>IF(PNL!A621="","",PNL!A621)</f>
        <v>TUNON_PAR</v>
      </c>
      <c r="B621" t="str">
        <f>IF(PNL!B621="","",PNL!B621)</f>
        <v>63511</v>
      </c>
      <c r="C621" t="str">
        <f>IF(PNL!C621="","",PNL!C621)</f>
        <v>2026</v>
      </c>
      <c r="D621" t="str">
        <f>IF(PNL!D621="","",PNL!D621)</f>
        <v>ACT</v>
      </c>
      <c r="E621">
        <f t="shared" si="0"/>
        <v>0</v>
      </c>
      <c r="F621">
        <f>IF($A621="","",IF($E621=1,_xlfn.SUMIFS(Comptabilité!$F$1:$F$1446,Comptabilité!$A$1:$A$1446,$A621,Comptabilité!$B$1:$B$1446,$B621,Comptabilité!$C$1:$C$1446,"2026"),0))</f>
        <v>0</v>
      </c>
      <c r="G621">
        <f>IF($A621="","",IF($D621="V01",Cadrage!$C$23,IF($D621="V02",Cadrage!$D$23,Cadrage!$E$23)))</f>
        <v>-0.05</v>
      </c>
      <c r="H621">
        <f>IF($A621="","",IF($D621="V01",Cadrage!$C$24,IF($D621="V02",Cadrage!$D$24,Cadrage!$E$24)))</f>
        <v>-0.05</v>
      </c>
      <c r="I621">
        <f>IF($A621="","",IF($D621="V01",Cadrage!$C$34,IF($D621="V02",Cadrage!$D$34,Cadrage!$E$34)))</f>
        <v>0.03</v>
      </c>
      <c r="J621">
        <f>IF($A621="","",IF($D621="V01",Cadrage!$C$35,IF($D621="V02",Cadrage!$D$35,Cadrage!$E$35)))</f>
        <v>0.03</v>
      </c>
      <c r="K621">
        <f>IF($A621="","",IF($D621="V01",Cadrage!$C$36,IF($D621="V02",Cadrage!$D$36,Cadrage!$E$36)))</f>
        <v>0.05</v>
      </c>
      <c r="L621">
        <f>IF($A621="","",IF($D621="V01",Cadrage!$C$37,IF($D621="V02",Cadrage!$D$37,Cadrage!$E$37)))</f>
        <v>0</v>
      </c>
      <c r="M621">
        <f>IF($A621="","",IF($D621="V01",Cadrage!$C$38,IF($D621="V02",Cadrage!$D$38,Cadrage!$E$38)))</f>
        <v>0.04</v>
      </c>
      <c r="N621">
        <f t="shared" si="1"/>
        <v>0.980622079131853</v>
      </c>
      <c r="O621">
        <f t="shared" si="2"/>
        <v>1.03</v>
      </c>
      <c r="P621">
        <f>IF($A621="","",IF($E621=1,$F621*$O621,PNL!G621))</f>
        <v>13139.33</v>
      </c>
      <c r="T621">
        <f t="shared" si="3"/>
        <v>0</v>
      </c>
    </row>
    <row r="622" ht="14.25" customHeight="1">
      <c r="A622" t="str">
        <f>IF(PNL!A622="","",PNL!A622)</f>
        <v>TUNON_LYO</v>
      </c>
      <c r="B622" t="str">
        <f>IF(PNL!B622="","",PNL!B622)</f>
        <v>63511</v>
      </c>
      <c r="C622" t="str">
        <f>IF(PNL!C622="","",PNL!C622)</f>
        <v>2026</v>
      </c>
      <c r="D622" t="str">
        <f>IF(PNL!D622="","",PNL!D622)</f>
        <v>ACT</v>
      </c>
      <c r="E622">
        <f t="shared" si="0"/>
        <v>0</v>
      </c>
      <c r="F622">
        <f>IF($A622="","",IF($E622=1,_xlfn.SUMIFS(Comptabilité!$F$1:$F$1446,Comptabilité!$A$1:$A$1446,$A622,Comptabilité!$B$1:$B$1446,$B622,Comptabilité!$C$1:$C$1446,"2026"),0))</f>
        <v>0</v>
      </c>
      <c r="G622">
        <f>IF($A622="","",IF($D622="V01",Cadrage!$C$23,IF($D622="V02",Cadrage!$D$23,Cadrage!$E$23)))</f>
        <v>-0.05</v>
      </c>
      <c r="H622">
        <f>IF($A622="","",IF($D622="V01",Cadrage!$C$24,IF($D622="V02",Cadrage!$D$24,Cadrage!$E$24)))</f>
        <v>-0.05</v>
      </c>
      <c r="I622">
        <f>IF($A622="","",IF($D622="V01",Cadrage!$C$34,IF($D622="V02",Cadrage!$D$34,Cadrage!$E$34)))</f>
        <v>0.03</v>
      </c>
      <c r="J622">
        <f>IF($A622="","",IF($D622="V01",Cadrage!$C$35,IF($D622="V02",Cadrage!$D$35,Cadrage!$E$35)))</f>
        <v>0.03</v>
      </c>
      <c r="K622">
        <f>IF($A622="","",IF($D622="V01",Cadrage!$C$36,IF($D622="V02",Cadrage!$D$36,Cadrage!$E$36)))</f>
        <v>0.05</v>
      </c>
      <c r="L622">
        <f>IF($A622="","",IF($D622="V01",Cadrage!$C$37,IF($D622="V02",Cadrage!$D$37,Cadrage!$E$37)))</f>
        <v>0</v>
      </c>
      <c r="M622">
        <f>IF($A622="","",IF($D622="V01",Cadrage!$C$38,IF($D622="V02",Cadrage!$D$38,Cadrage!$E$38)))</f>
        <v>0.04</v>
      </c>
      <c r="N622">
        <f t="shared" si="1"/>
        <v>0.980622079131853</v>
      </c>
      <c r="O622">
        <f t="shared" si="2"/>
        <v>1.03</v>
      </c>
      <c r="P622">
        <f>IF($A622="","",IF($E622=1,$F622*$O622,PNL!G622))</f>
        <v>10938.17</v>
      </c>
      <c r="T622">
        <f t="shared" si="3"/>
        <v>0</v>
      </c>
    </row>
    <row r="623" ht="14.25" customHeight="1">
      <c r="A623" t="str">
        <f>IF(PNL!A623="","",PNL!A623)</f>
        <v>GRP</v>
      </c>
      <c r="B623" t="str">
        <f>IF(PNL!B623="","",PNL!B623)</f>
        <v>6333</v>
      </c>
      <c r="C623" t="str">
        <f>IF(PNL!C623="","",PNL!C623)</f>
        <v>2024</v>
      </c>
      <c r="D623" t="str">
        <f>IF(PNL!D623="","",PNL!D623)</f>
        <v>ACT</v>
      </c>
      <c r="E623">
        <f t="shared" si="0"/>
        <v>0</v>
      </c>
      <c r="F623">
        <f>IF($A623="","",IF($E623=1,_xlfn.SUMIFS(Comptabilité!$F$1:$F$1446,Comptabilité!$A$1:$A$1446,$A623,Comptabilité!$B$1:$B$1446,$B623,Comptabilité!$C$1:$C$1446,"2026"),0))</f>
        <v>0</v>
      </c>
      <c r="G623">
        <f>IF($A623="","",IF($D623="V01",Cadrage!$C$23,IF($D623="V02",Cadrage!$D$23,Cadrage!$E$23)))</f>
        <v>-0.05</v>
      </c>
      <c r="H623">
        <f>IF($A623="","",IF($D623="V01",Cadrage!$C$24,IF($D623="V02",Cadrage!$D$24,Cadrage!$E$24)))</f>
        <v>-0.05</v>
      </c>
      <c r="I623">
        <f>IF($A623="","",IF($D623="V01",Cadrage!$C$34,IF($D623="V02",Cadrage!$D$34,Cadrage!$E$34)))</f>
        <v>0.03</v>
      </c>
      <c r="J623">
        <f>IF($A623="","",IF($D623="V01",Cadrage!$C$35,IF($D623="V02",Cadrage!$D$35,Cadrage!$E$35)))</f>
        <v>0.03</v>
      </c>
      <c r="K623">
        <f>IF($A623="","",IF($D623="V01",Cadrage!$C$36,IF($D623="V02",Cadrage!$D$36,Cadrage!$E$36)))</f>
        <v>0.05</v>
      </c>
      <c r="L623">
        <f>IF($A623="","",IF($D623="V01",Cadrage!$C$37,IF($D623="V02",Cadrage!$D$37,Cadrage!$E$37)))</f>
        <v>0</v>
      </c>
      <c r="M623">
        <f>IF($A623="","",IF($D623="V01",Cadrage!$C$38,IF($D623="V02",Cadrage!$D$38,Cadrage!$E$38)))</f>
        <v>0.04</v>
      </c>
      <c r="N623">
        <f t="shared" si="1"/>
        <v>0.980622079131853</v>
      </c>
      <c r="O623">
        <f t="shared" si="2"/>
        <v>1.03</v>
      </c>
      <c r="P623">
        <f>IF($A623="","",IF($E623=1,$F623*$O623,PNL!G623))</f>
        <v>103097</v>
      </c>
      <c r="T623">
        <f t="shared" si="3"/>
        <v>0</v>
      </c>
    </row>
    <row r="624" ht="14.25" customHeight="1">
      <c r="A624" t="str">
        <f>IF(PNL!A624="","",PNL!A624)</f>
        <v>GRP</v>
      </c>
      <c r="B624" t="str">
        <f>IF(PNL!B624="","",PNL!B624)</f>
        <v>6333</v>
      </c>
      <c r="C624" t="str">
        <f>IF(PNL!C624="","",PNL!C624)</f>
        <v>2025</v>
      </c>
      <c r="D624" t="str">
        <f>IF(PNL!D624="","",PNL!D624)</f>
        <v>ACT</v>
      </c>
      <c r="E624">
        <f t="shared" si="0"/>
        <v>0</v>
      </c>
      <c r="F624">
        <f>IF($A624="","",IF($E624=1,_xlfn.SUMIFS(Comptabilité!$F$1:$F$1446,Comptabilité!$A$1:$A$1446,$A624,Comptabilité!$B$1:$B$1446,$B624,Comptabilité!$C$1:$C$1446,"2026"),0))</f>
        <v>0</v>
      </c>
      <c r="G624">
        <f>IF($A624="","",IF($D624="V01",Cadrage!$C$23,IF($D624="V02",Cadrage!$D$23,Cadrage!$E$23)))</f>
        <v>-0.05</v>
      </c>
      <c r="H624">
        <f>IF($A624="","",IF($D624="V01",Cadrage!$C$24,IF($D624="V02",Cadrage!$D$24,Cadrage!$E$24)))</f>
        <v>-0.05</v>
      </c>
      <c r="I624">
        <f>IF($A624="","",IF($D624="V01",Cadrage!$C$34,IF($D624="V02",Cadrage!$D$34,Cadrage!$E$34)))</f>
        <v>0.03</v>
      </c>
      <c r="J624">
        <f>IF($A624="","",IF($D624="V01",Cadrage!$C$35,IF($D624="V02",Cadrage!$D$35,Cadrage!$E$35)))</f>
        <v>0.03</v>
      </c>
      <c r="K624">
        <f>IF($A624="","",IF($D624="V01",Cadrage!$C$36,IF($D624="V02",Cadrage!$D$36,Cadrage!$E$36)))</f>
        <v>0.05</v>
      </c>
      <c r="L624">
        <f>IF($A624="","",IF($D624="V01",Cadrage!$C$37,IF($D624="V02",Cadrage!$D$37,Cadrage!$E$37)))</f>
        <v>0</v>
      </c>
      <c r="M624">
        <f>IF($A624="","",IF($D624="V01",Cadrage!$C$38,IF($D624="V02",Cadrage!$D$38,Cadrage!$E$38)))</f>
        <v>0.04</v>
      </c>
      <c r="N624">
        <f t="shared" si="1"/>
        <v>0.980622079131853</v>
      </c>
      <c r="O624">
        <f t="shared" si="2"/>
        <v>1.03</v>
      </c>
      <c r="P624">
        <f>IF($A624="","",IF($E624=1,$F624*$O624,PNL!G624))</f>
        <v>107822</v>
      </c>
      <c r="T624">
        <f t="shared" si="3"/>
        <v>0</v>
      </c>
    </row>
    <row r="625" ht="14.25" customHeight="1">
      <c r="A625" t="str">
        <f>IF(PNL!A625="","",PNL!A625)</f>
        <v>GRP</v>
      </c>
      <c r="B625" t="str">
        <f>IF(PNL!B625="","",PNL!B625)</f>
        <v>6333</v>
      </c>
      <c r="C625" t="str">
        <f>IF(PNL!C625="","",PNL!C625)</f>
        <v>2026</v>
      </c>
      <c r="D625" t="str">
        <f>IF(PNL!D625="","",PNL!D625)</f>
        <v>ACT</v>
      </c>
      <c r="E625">
        <f t="shared" si="0"/>
        <v>0</v>
      </c>
      <c r="F625">
        <f>IF($A625="","",IF($E625=1,_xlfn.SUMIFS(Comptabilité!$F$1:$F$1446,Comptabilité!$A$1:$A$1446,$A625,Comptabilité!$B$1:$B$1446,$B625,Comptabilité!$C$1:$C$1446,"2026"),0))</f>
        <v>0</v>
      </c>
      <c r="G625">
        <f>IF($A625="","",IF($D625="V01",Cadrage!$C$23,IF($D625="V02",Cadrage!$D$23,Cadrage!$E$23)))</f>
        <v>-0.05</v>
      </c>
      <c r="H625">
        <f>IF($A625="","",IF($D625="V01",Cadrage!$C$24,IF($D625="V02",Cadrage!$D$24,Cadrage!$E$24)))</f>
        <v>-0.05</v>
      </c>
      <c r="I625">
        <f>IF($A625="","",IF($D625="V01",Cadrage!$C$34,IF($D625="V02",Cadrage!$D$34,Cadrage!$E$34)))</f>
        <v>0.03</v>
      </c>
      <c r="J625">
        <f>IF($A625="","",IF($D625="V01",Cadrage!$C$35,IF($D625="V02",Cadrage!$D$35,Cadrage!$E$35)))</f>
        <v>0.03</v>
      </c>
      <c r="K625">
        <f>IF($A625="","",IF($D625="V01",Cadrage!$C$36,IF($D625="V02",Cadrage!$D$36,Cadrage!$E$36)))</f>
        <v>0.05</v>
      </c>
      <c r="L625">
        <f>IF($A625="","",IF($D625="V01",Cadrage!$C$37,IF($D625="V02",Cadrage!$D$37,Cadrage!$E$37)))</f>
        <v>0</v>
      </c>
      <c r="M625">
        <f>IF($A625="","",IF($D625="V01",Cadrage!$C$38,IF($D625="V02",Cadrage!$D$38,Cadrage!$E$38)))</f>
        <v>0.04</v>
      </c>
      <c r="N625">
        <f t="shared" si="1"/>
        <v>0.980622079131853</v>
      </c>
      <c r="O625">
        <f t="shared" si="2"/>
        <v>1.03</v>
      </c>
      <c r="P625">
        <f>IF($A625="","",IF($E625=1,$F625*$O625,PNL!G625))</f>
        <v>112968</v>
      </c>
      <c r="T625">
        <f t="shared" si="3"/>
        <v>0</v>
      </c>
    </row>
    <row r="626" ht="14.25" customHeight="1">
      <c r="A626" t="str">
        <f>IF(PNL!A626="","",PNL!A626)</f>
        <v>MBWAY_PAR</v>
      </c>
      <c r="B626" t="str">
        <f>IF(PNL!B626="","",PNL!B626)</f>
        <v>6811</v>
      </c>
      <c r="C626" t="str">
        <f>IF(PNL!C626="","",PNL!C626)</f>
        <v>2024</v>
      </c>
      <c r="D626" t="str">
        <f>IF(PNL!D626="","",PNL!D626)</f>
        <v>ACT</v>
      </c>
      <c r="E626">
        <f t="shared" si="0"/>
        <v>0</v>
      </c>
      <c r="F626">
        <f>IF($A626="","",IF($E626=1,_xlfn.SUMIFS(Comptabilité!$F$1:$F$1446,Comptabilité!$A$1:$A$1446,$A626,Comptabilité!$B$1:$B$1446,$B626,Comptabilité!$C$1:$C$1446,"2026"),0))</f>
        <v>0</v>
      </c>
      <c r="G626">
        <f>IF($A626="","",IF($D626="V01",Cadrage!$C$23,IF($D626="V02",Cadrage!$D$23,Cadrage!$E$23)))</f>
        <v>-0.05</v>
      </c>
      <c r="H626">
        <f>IF($A626="","",IF($D626="V01",Cadrage!$C$24,IF($D626="V02",Cadrage!$D$24,Cadrage!$E$24)))</f>
        <v>-0.05</v>
      </c>
      <c r="I626">
        <f>IF($A626="","",IF($D626="V01",Cadrage!$C$34,IF($D626="V02",Cadrage!$D$34,Cadrage!$E$34)))</f>
        <v>0.03</v>
      </c>
      <c r="J626">
        <f>IF($A626="","",IF($D626="V01",Cadrage!$C$35,IF($D626="V02",Cadrage!$D$35,Cadrage!$E$35)))</f>
        <v>0.03</v>
      </c>
      <c r="K626">
        <f>IF($A626="","",IF($D626="V01",Cadrage!$C$36,IF($D626="V02",Cadrage!$D$36,Cadrage!$E$36)))</f>
        <v>0.05</v>
      </c>
      <c r="L626">
        <f>IF($A626="","",IF($D626="V01",Cadrage!$C$37,IF($D626="V02",Cadrage!$D$37,Cadrage!$E$37)))</f>
        <v>0</v>
      </c>
      <c r="M626">
        <f>IF($A626="","",IF($D626="V01",Cadrage!$C$38,IF($D626="V02",Cadrage!$D$38,Cadrage!$E$38)))</f>
        <v>0.04</v>
      </c>
      <c r="N626">
        <f t="shared" si="1"/>
        <v>0.980622079131853</v>
      </c>
      <c r="O626">
        <f t="shared" si="2"/>
        <v>1.03</v>
      </c>
      <c r="P626">
        <f>IF($A626="","",IF($E626=1,$F626*$O626,PNL!G626))</f>
        <v>137849</v>
      </c>
      <c r="T626">
        <f t="shared" si="3"/>
        <v>0</v>
      </c>
    </row>
    <row r="627" ht="14.25" customHeight="1">
      <c r="A627" t="str">
        <f>IF(PNL!A627="","",PNL!A627)</f>
        <v>MBWAY_LYO</v>
      </c>
      <c r="B627" t="str">
        <f>IF(PNL!B627="","",PNL!B627)</f>
        <v>6811</v>
      </c>
      <c r="C627" t="str">
        <f>IF(PNL!C627="","",PNL!C627)</f>
        <v>2024</v>
      </c>
      <c r="D627" t="str">
        <f>IF(PNL!D627="","",PNL!D627)</f>
        <v>ACT</v>
      </c>
      <c r="E627">
        <f t="shared" si="0"/>
        <v>0</v>
      </c>
      <c r="F627">
        <f>IF($A627="","",IF($E627=1,_xlfn.SUMIFS(Comptabilité!$F$1:$F$1446,Comptabilité!$A$1:$A$1446,$A627,Comptabilité!$B$1:$B$1446,$B627,Comptabilité!$C$1:$C$1446,"2026"),0))</f>
        <v>0</v>
      </c>
      <c r="G627">
        <f>IF($A627="","",IF($D627="V01",Cadrage!$C$23,IF($D627="V02",Cadrage!$D$23,Cadrage!$E$23)))</f>
        <v>-0.05</v>
      </c>
      <c r="H627">
        <f>IF($A627="","",IF($D627="V01",Cadrage!$C$24,IF($D627="V02",Cadrage!$D$24,Cadrage!$E$24)))</f>
        <v>-0.05</v>
      </c>
      <c r="I627">
        <f>IF($A627="","",IF($D627="V01",Cadrage!$C$34,IF($D627="V02",Cadrage!$D$34,Cadrage!$E$34)))</f>
        <v>0.03</v>
      </c>
      <c r="J627">
        <f>IF($A627="","",IF($D627="V01",Cadrage!$C$35,IF($D627="V02",Cadrage!$D$35,Cadrage!$E$35)))</f>
        <v>0.03</v>
      </c>
      <c r="K627">
        <f>IF($A627="","",IF($D627="V01",Cadrage!$C$36,IF($D627="V02",Cadrage!$D$36,Cadrage!$E$36)))</f>
        <v>0.05</v>
      </c>
      <c r="L627">
        <f>IF($A627="","",IF($D627="V01",Cadrage!$C$37,IF($D627="V02",Cadrage!$D$37,Cadrage!$E$37)))</f>
        <v>0</v>
      </c>
      <c r="M627">
        <f>IF($A627="","",IF($D627="V01",Cadrage!$C$38,IF($D627="V02",Cadrage!$D$38,Cadrage!$E$38)))</f>
        <v>0.04</v>
      </c>
      <c r="N627">
        <f t="shared" si="1"/>
        <v>0.980622079131853</v>
      </c>
      <c r="O627">
        <f t="shared" si="2"/>
        <v>1.03</v>
      </c>
      <c r="P627">
        <f>IF($A627="","",IF($E627=1,$F627*$O627,PNL!G627))</f>
        <v>119469</v>
      </c>
      <c r="T627">
        <f t="shared" si="3"/>
        <v>0</v>
      </c>
    </row>
    <row r="628" ht="14.25" customHeight="1">
      <c r="A628" t="str">
        <f>IF(PNL!A628="","",PNL!A628)</f>
        <v>MBWAY_NAN</v>
      </c>
      <c r="B628" t="str">
        <f>IF(PNL!B628="","",PNL!B628)</f>
        <v>6811</v>
      </c>
      <c r="C628" t="str">
        <f>IF(PNL!C628="","",PNL!C628)</f>
        <v>2024</v>
      </c>
      <c r="D628" t="str">
        <f>IF(PNL!D628="","",PNL!D628)</f>
        <v>ACT</v>
      </c>
      <c r="E628">
        <f t="shared" si="0"/>
        <v>0</v>
      </c>
      <c r="F628">
        <f>IF($A628="","",IF($E628=1,_xlfn.SUMIFS(Comptabilité!$F$1:$F$1446,Comptabilité!$A$1:$A$1446,$A628,Comptabilité!$B$1:$B$1446,$B628,Comptabilité!$C$1:$C$1446,"2026"),0))</f>
        <v>0</v>
      </c>
      <c r="G628">
        <f>IF($A628="","",IF($D628="V01",Cadrage!$C$23,IF($D628="V02",Cadrage!$D$23,Cadrage!$E$23)))</f>
        <v>-0.05</v>
      </c>
      <c r="H628">
        <f>IF($A628="","",IF($D628="V01",Cadrage!$C$24,IF($D628="V02",Cadrage!$D$24,Cadrage!$E$24)))</f>
        <v>-0.05</v>
      </c>
      <c r="I628">
        <f>IF($A628="","",IF($D628="V01",Cadrage!$C$34,IF($D628="V02",Cadrage!$D$34,Cadrage!$E$34)))</f>
        <v>0.03</v>
      </c>
      <c r="J628">
        <f>IF($A628="","",IF($D628="V01",Cadrage!$C$35,IF($D628="V02",Cadrage!$D$35,Cadrage!$E$35)))</f>
        <v>0.03</v>
      </c>
      <c r="K628">
        <f>IF($A628="","",IF($D628="V01",Cadrage!$C$36,IF($D628="V02",Cadrage!$D$36,Cadrage!$E$36)))</f>
        <v>0.05</v>
      </c>
      <c r="L628">
        <f>IF($A628="","",IF($D628="V01",Cadrage!$C$37,IF($D628="V02",Cadrage!$D$37,Cadrage!$E$37)))</f>
        <v>0</v>
      </c>
      <c r="M628">
        <f>IF($A628="","",IF($D628="V01",Cadrage!$C$38,IF($D628="V02",Cadrage!$D$38,Cadrage!$E$38)))</f>
        <v>0.04</v>
      </c>
      <c r="N628">
        <f t="shared" si="1"/>
        <v>0.980622079131853</v>
      </c>
      <c r="O628">
        <f t="shared" si="2"/>
        <v>1.03</v>
      </c>
      <c r="P628">
        <f>IF($A628="","",IF($E628=1,$F628*$O628,PNL!G628))</f>
        <v>110279</v>
      </c>
      <c r="T628">
        <f t="shared" si="3"/>
        <v>0</v>
      </c>
    </row>
    <row r="629" ht="14.25" customHeight="1">
      <c r="A629" t="str">
        <f>IF(PNL!A629="","",PNL!A629)</f>
        <v>MBWAY_BOR</v>
      </c>
      <c r="B629" t="str">
        <f>IF(PNL!B629="","",PNL!B629)</f>
        <v>6811</v>
      </c>
      <c r="C629" t="str">
        <f>IF(PNL!C629="","",PNL!C629)</f>
        <v>2024</v>
      </c>
      <c r="D629" t="str">
        <f>IF(PNL!D629="","",PNL!D629)</f>
        <v>ACT</v>
      </c>
      <c r="E629">
        <f t="shared" si="0"/>
        <v>0</v>
      </c>
      <c r="F629">
        <f>IF($A629="","",IF($E629=1,_xlfn.SUMIFS(Comptabilité!$F$1:$F$1446,Comptabilité!$A$1:$A$1446,$A629,Comptabilité!$B$1:$B$1446,$B629,Comptabilité!$C$1:$C$1446,"2026"),0))</f>
        <v>0</v>
      </c>
      <c r="G629">
        <f>IF($A629="","",IF($D629="V01",Cadrage!$C$23,IF($D629="V02",Cadrage!$D$23,Cadrage!$E$23)))</f>
        <v>-0.05</v>
      </c>
      <c r="H629">
        <f>IF($A629="","",IF($D629="V01",Cadrage!$C$24,IF($D629="V02",Cadrage!$D$24,Cadrage!$E$24)))</f>
        <v>-0.05</v>
      </c>
      <c r="I629">
        <f>IF($A629="","",IF($D629="V01",Cadrage!$C$34,IF($D629="V02",Cadrage!$D$34,Cadrage!$E$34)))</f>
        <v>0.03</v>
      </c>
      <c r="J629">
        <f>IF($A629="","",IF($D629="V01",Cadrage!$C$35,IF($D629="V02",Cadrage!$D$35,Cadrage!$E$35)))</f>
        <v>0.03</v>
      </c>
      <c r="K629">
        <f>IF($A629="","",IF($D629="V01",Cadrage!$C$36,IF($D629="V02",Cadrage!$D$36,Cadrage!$E$36)))</f>
        <v>0.05</v>
      </c>
      <c r="L629">
        <f>IF($A629="","",IF($D629="V01",Cadrage!$C$37,IF($D629="V02",Cadrage!$D$37,Cadrage!$E$37)))</f>
        <v>0</v>
      </c>
      <c r="M629">
        <f>IF($A629="","",IF($D629="V01",Cadrage!$C$38,IF($D629="V02",Cadrage!$D$38,Cadrage!$E$38)))</f>
        <v>0.04</v>
      </c>
      <c r="N629">
        <f t="shared" si="1"/>
        <v>0.980622079131853</v>
      </c>
      <c r="O629">
        <f t="shared" si="2"/>
        <v>1.03</v>
      </c>
      <c r="P629">
        <f>IF($A629="","",IF($E629=1,$F629*$O629,PNL!G629))</f>
        <v>91900</v>
      </c>
      <c r="T629">
        <f t="shared" si="3"/>
        <v>0</v>
      </c>
    </row>
    <row r="630" ht="14.25" customHeight="1">
      <c r="A630" t="str">
        <f>IF(PNL!A630="","",PNL!A630)</f>
        <v>ISCOM_PAR</v>
      </c>
      <c r="B630" t="str">
        <f>IF(PNL!B630="","",PNL!B630)</f>
        <v>6811</v>
      </c>
      <c r="C630" t="str">
        <f>IF(PNL!C630="","",PNL!C630)</f>
        <v>2024</v>
      </c>
      <c r="D630" t="str">
        <f>IF(PNL!D630="","",PNL!D630)</f>
        <v>ACT</v>
      </c>
      <c r="E630">
        <f t="shared" si="0"/>
        <v>0</v>
      </c>
      <c r="F630">
        <f>IF($A630="","",IF($E630=1,_xlfn.SUMIFS(Comptabilité!$F$1:$F$1446,Comptabilité!$A$1:$A$1446,$A630,Comptabilité!$B$1:$B$1446,$B630,Comptabilité!$C$1:$C$1446,"2026"),0))</f>
        <v>0</v>
      </c>
      <c r="G630">
        <f>IF($A630="","",IF($D630="V01",Cadrage!$C$23,IF($D630="V02",Cadrage!$D$23,Cadrage!$E$23)))</f>
        <v>-0.05</v>
      </c>
      <c r="H630">
        <f>IF($A630="","",IF($D630="V01",Cadrage!$C$24,IF($D630="V02",Cadrage!$D$24,Cadrage!$E$24)))</f>
        <v>-0.05</v>
      </c>
      <c r="I630">
        <f>IF($A630="","",IF($D630="V01",Cadrage!$C$34,IF($D630="V02",Cadrage!$D$34,Cadrage!$E$34)))</f>
        <v>0.03</v>
      </c>
      <c r="J630">
        <f>IF($A630="","",IF($D630="V01",Cadrage!$C$35,IF($D630="V02",Cadrage!$D$35,Cadrage!$E$35)))</f>
        <v>0.03</v>
      </c>
      <c r="K630">
        <f>IF($A630="","",IF($D630="V01",Cadrage!$C$36,IF($D630="V02",Cadrage!$D$36,Cadrage!$E$36)))</f>
        <v>0.05</v>
      </c>
      <c r="L630">
        <f>IF($A630="","",IF($D630="V01",Cadrage!$C$37,IF($D630="V02",Cadrage!$D$37,Cadrage!$E$37)))</f>
        <v>0</v>
      </c>
      <c r="M630">
        <f>IF($A630="","",IF($D630="V01",Cadrage!$C$38,IF($D630="V02",Cadrage!$D$38,Cadrage!$E$38)))</f>
        <v>0.04</v>
      </c>
      <c r="N630">
        <f t="shared" si="1"/>
        <v>0.980622079131853</v>
      </c>
      <c r="O630">
        <f t="shared" si="2"/>
        <v>1.03</v>
      </c>
      <c r="P630">
        <f>IF($A630="","",IF($E630=1,$F630*$O630,PNL!G630))</f>
        <v>137849</v>
      </c>
      <c r="T630">
        <f t="shared" si="3"/>
        <v>0</v>
      </c>
    </row>
    <row r="631" ht="14.25" customHeight="1">
      <c r="A631" t="str">
        <f>IF(PNL!A631="","",PNL!A631)</f>
        <v>ISCOM_LIL</v>
      </c>
      <c r="B631" t="str">
        <f>IF(PNL!B631="","",PNL!B631)</f>
        <v>6811</v>
      </c>
      <c r="C631" t="str">
        <f>IF(PNL!C631="","",PNL!C631)</f>
        <v>2024</v>
      </c>
      <c r="D631" t="str">
        <f>IF(PNL!D631="","",PNL!D631)</f>
        <v>ACT</v>
      </c>
      <c r="E631">
        <f t="shared" si="0"/>
        <v>0</v>
      </c>
      <c r="F631">
        <f>IF($A631="","",IF($E631=1,_xlfn.SUMIFS(Comptabilité!$F$1:$F$1446,Comptabilité!$A$1:$A$1446,$A631,Comptabilité!$B$1:$B$1446,$B631,Comptabilité!$C$1:$C$1446,"2026"),0))</f>
        <v>0</v>
      </c>
      <c r="G631">
        <f>IF($A631="","",IF($D631="V01",Cadrage!$C$23,IF($D631="V02",Cadrage!$D$23,Cadrage!$E$23)))</f>
        <v>-0.05</v>
      </c>
      <c r="H631">
        <f>IF($A631="","",IF($D631="V01",Cadrage!$C$24,IF($D631="V02",Cadrage!$D$24,Cadrage!$E$24)))</f>
        <v>-0.05</v>
      </c>
      <c r="I631">
        <f>IF($A631="","",IF($D631="V01",Cadrage!$C$34,IF($D631="V02",Cadrage!$D$34,Cadrage!$E$34)))</f>
        <v>0.03</v>
      </c>
      <c r="J631">
        <f>IF($A631="","",IF($D631="V01",Cadrage!$C$35,IF($D631="V02",Cadrage!$D$35,Cadrage!$E$35)))</f>
        <v>0.03</v>
      </c>
      <c r="K631">
        <f>IF($A631="","",IF($D631="V01",Cadrage!$C$36,IF($D631="V02",Cadrage!$D$36,Cadrage!$E$36)))</f>
        <v>0.05</v>
      </c>
      <c r="L631">
        <f>IF($A631="","",IF($D631="V01",Cadrage!$C$37,IF($D631="V02",Cadrage!$D$37,Cadrage!$E$37)))</f>
        <v>0</v>
      </c>
      <c r="M631">
        <f>IF($A631="","",IF($D631="V01",Cadrage!$C$38,IF($D631="V02",Cadrage!$D$38,Cadrage!$E$38)))</f>
        <v>0.04</v>
      </c>
      <c r="N631">
        <f t="shared" si="1"/>
        <v>0.980622079131853</v>
      </c>
      <c r="O631">
        <f t="shared" si="2"/>
        <v>1.03</v>
      </c>
      <c r="P631">
        <f>IF($A631="","",IF($E631=1,$F631*$O631,PNL!G631))</f>
        <v>91900</v>
      </c>
      <c r="T631">
        <f t="shared" si="3"/>
        <v>0</v>
      </c>
    </row>
    <row r="632" ht="14.25" customHeight="1">
      <c r="A632" t="str">
        <f>IF(PNL!A632="","",PNL!A632)</f>
        <v>ISCOM_TLS</v>
      </c>
      <c r="B632" t="str">
        <f>IF(PNL!B632="","",PNL!B632)</f>
        <v>6811</v>
      </c>
      <c r="C632" t="str">
        <f>IF(PNL!C632="","",PNL!C632)</f>
        <v>2024</v>
      </c>
      <c r="D632" t="str">
        <f>IF(PNL!D632="","",PNL!D632)</f>
        <v>ACT</v>
      </c>
      <c r="E632">
        <f t="shared" si="0"/>
        <v>0</v>
      </c>
      <c r="F632">
        <f>IF($A632="","",IF($E632=1,_xlfn.SUMIFS(Comptabilité!$F$1:$F$1446,Comptabilité!$A$1:$A$1446,$A632,Comptabilité!$B$1:$B$1446,$B632,Comptabilité!$C$1:$C$1446,"2026"),0))</f>
        <v>0</v>
      </c>
      <c r="G632">
        <f>IF($A632="","",IF($D632="V01",Cadrage!$C$23,IF($D632="V02",Cadrage!$D$23,Cadrage!$E$23)))</f>
        <v>-0.05</v>
      </c>
      <c r="H632">
        <f>IF($A632="","",IF($D632="V01",Cadrage!$C$24,IF($D632="V02",Cadrage!$D$24,Cadrage!$E$24)))</f>
        <v>-0.05</v>
      </c>
      <c r="I632">
        <f>IF($A632="","",IF($D632="V01",Cadrage!$C$34,IF($D632="V02",Cadrage!$D$34,Cadrage!$E$34)))</f>
        <v>0.03</v>
      </c>
      <c r="J632">
        <f>IF($A632="","",IF($D632="V01",Cadrage!$C$35,IF($D632="V02",Cadrage!$D$35,Cadrage!$E$35)))</f>
        <v>0.03</v>
      </c>
      <c r="K632">
        <f>IF($A632="","",IF($D632="V01",Cadrage!$C$36,IF($D632="V02",Cadrage!$D$36,Cadrage!$E$36)))</f>
        <v>0.05</v>
      </c>
      <c r="L632">
        <f>IF($A632="","",IF($D632="V01",Cadrage!$C$37,IF($D632="V02",Cadrage!$D$37,Cadrage!$E$37)))</f>
        <v>0</v>
      </c>
      <c r="M632">
        <f>IF($A632="","",IF($D632="V01",Cadrage!$C$38,IF($D632="V02",Cadrage!$D$38,Cadrage!$E$38)))</f>
        <v>0.04</v>
      </c>
      <c r="N632">
        <f t="shared" si="1"/>
        <v>0.980622079131853</v>
      </c>
      <c r="O632">
        <f t="shared" si="2"/>
        <v>1.03</v>
      </c>
      <c r="P632">
        <f>IF($A632="","",IF($E632=1,$F632*$O632,PNL!G632))</f>
        <v>91900</v>
      </c>
      <c r="T632">
        <f t="shared" si="3"/>
        <v>0</v>
      </c>
    </row>
    <row r="633" ht="14.25" customHeight="1">
      <c r="A633" t="str">
        <f>IF(PNL!A633="","",PNL!A633)</f>
        <v>IPAC_NAN</v>
      </c>
      <c r="B633" t="str">
        <f>IF(PNL!B633="","",PNL!B633)</f>
        <v>6811</v>
      </c>
      <c r="C633" t="str">
        <f>IF(PNL!C633="","",PNL!C633)</f>
        <v>2024</v>
      </c>
      <c r="D633" t="str">
        <f>IF(PNL!D633="","",PNL!D633)</f>
        <v>ACT</v>
      </c>
      <c r="E633">
        <f t="shared" si="0"/>
        <v>0</v>
      </c>
      <c r="F633">
        <f>IF($A633="","",IF($E633=1,_xlfn.SUMIFS(Comptabilité!$F$1:$F$1446,Comptabilité!$A$1:$A$1446,$A633,Comptabilité!$B$1:$B$1446,$B633,Comptabilité!$C$1:$C$1446,"2026"),0))</f>
        <v>0</v>
      </c>
      <c r="G633">
        <f>IF($A633="","",IF($D633="V01",Cadrage!$C$23,IF($D633="V02",Cadrage!$D$23,Cadrage!$E$23)))</f>
        <v>-0.05</v>
      </c>
      <c r="H633">
        <f>IF($A633="","",IF($D633="V01",Cadrage!$C$24,IF($D633="V02",Cadrage!$D$24,Cadrage!$E$24)))</f>
        <v>-0.05</v>
      </c>
      <c r="I633">
        <f>IF($A633="","",IF($D633="V01",Cadrage!$C$34,IF($D633="V02",Cadrage!$D$34,Cadrage!$E$34)))</f>
        <v>0.03</v>
      </c>
      <c r="J633">
        <f>IF($A633="","",IF($D633="V01",Cadrage!$C$35,IF($D633="V02",Cadrage!$D$35,Cadrage!$E$35)))</f>
        <v>0.03</v>
      </c>
      <c r="K633">
        <f>IF($A633="","",IF($D633="V01",Cadrage!$C$36,IF($D633="V02",Cadrage!$D$36,Cadrage!$E$36)))</f>
        <v>0.05</v>
      </c>
      <c r="L633">
        <f>IF($A633="","",IF($D633="V01",Cadrage!$C$37,IF($D633="V02",Cadrage!$D$37,Cadrage!$E$37)))</f>
        <v>0</v>
      </c>
      <c r="M633">
        <f>IF($A633="","",IF($D633="V01",Cadrage!$C$38,IF($D633="V02",Cadrage!$D$38,Cadrage!$E$38)))</f>
        <v>0.04</v>
      </c>
      <c r="N633">
        <f t="shared" si="1"/>
        <v>0.980622079131853</v>
      </c>
      <c r="O633">
        <f t="shared" si="2"/>
        <v>1.03</v>
      </c>
      <c r="P633">
        <f>IF($A633="","",IF($E633=1,$F633*$O633,PNL!G633))</f>
        <v>55140</v>
      </c>
      <c r="T633">
        <f t="shared" si="3"/>
        <v>0</v>
      </c>
    </row>
    <row r="634" ht="14.25" customHeight="1">
      <c r="A634" t="str">
        <f>IF(PNL!A634="","",PNL!A634)</f>
        <v>IPAC_REN</v>
      </c>
      <c r="B634" t="str">
        <f>IF(PNL!B634="","",PNL!B634)</f>
        <v>6811</v>
      </c>
      <c r="C634" t="str">
        <f>IF(PNL!C634="","",PNL!C634)</f>
        <v>2024</v>
      </c>
      <c r="D634" t="str">
        <f>IF(PNL!D634="","",PNL!D634)</f>
        <v>ACT</v>
      </c>
      <c r="E634">
        <f t="shared" si="0"/>
        <v>0</v>
      </c>
      <c r="F634">
        <f>IF($A634="","",IF($E634=1,_xlfn.SUMIFS(Comptabilité!$F$1:$F$1446,Comptabilité!$A$1:$A$1446,$A634,Comptabilité!$B$1:$B$1446,$B634,Comptabilité!$C$1:$C$1446,"2026"),0))</f>
        <v>0</v>
      </c>
      <c r="G634">
        <f>IF($A634="","",IF($D634="V01",Cadrage!$C$23,IF($D634="V02",Cadrage!$D$23,Cadrage!$E$23)))</f>
        <v>-0.05</v>
      </c>
      <c r="H634">
        <f>IF($A634="","",IF($D634="V01",Cadrage!$C$24,IF($D634="V02",Cadrage!$D$24,Cadrage!$E$24)))</f>
        <v>-0.05</v>
      </c>
      <c r="I634">
        <f>IF($A634="","",IF($D634="V01",Cadrage!$C$34,IF($D634="V02",Cadrage!$D$34,Cadrage!$E$34)))</f>
        <v>0.03</v>
      </c>
      <c r="J634">
        <f>IF($A634="","",IF($D634="V01",Cadrage!$C$35,IF($D634="V02",Cadrage!$D$35,Cadrage!$E$35)))</f>
        <v>0.03</v>
      </c>
      <c r="K634">
        <f>IF($A634="","",IF($D634="V01",Cadrage!$C$36,IF($D634="V02",Cadrage!$D$36,Cadrage!$E$36)))</f>
        <v>0.05</v>
      </c>
      <c r="L634">
        <f>IF($A634="","",IF($D634="V01",Cadrage!$C$37,IF($D634="V02",Cadrage!$D$37,Cadrage!$E$37)))</f>
        <v>0</v>
      </c>
      <c r="M634">
        <f>IF($A634="","",IF($D634="V01",Cadrage!$C$38,IF($D634="V02",Cadrage!$D$38,Cadrage!$E$38)))</f>
        <v>0.04</v>
      </c>
      <c r="N634">
        <f t="shared" si="1"/>
        <v>0.980622079131853</v>
      </c>
      <c r="O634">
        <f t="shared" si="2"/>
        <v>1.03</v>
      </c>
      <c r="P634">
        <f>IF($A634="","",IF($E634=1,$F634*$O634,PNL!G634))</f>
        <v>55140</v>
      </c>
      <c r="T634">
        <f t="shared" si="3"/>
        <v>0</v>
      </c>
    </row>
    <row r="635" ht="14.25" customHeight="1">
      <c r="A635" t="str">
        <f>IF(PNL!A635="","",PNL!A635)</f>
        <v>IPAC_MTP</v>
      </c>
      <c r="B635" t="str">
        <f>IF(PNL!B635="","",PNL!B635)</f>
        <v>6811</v>
      </c>
      <c r="C635" t="str">
        <f>IF(PNL!C635="","",PNL!C635)</f>
        <v>2024</v>
      </c>
      <c r="D635" t="str">
        <f>IF(PNL!D635="","",PNL!D635)</f>
        <v>ACT</v>
      </c>
      <c r="E635">
        <f t="shared" si="0"/>
        <v>0</v>
      </c>
      <c r="F635">
        <f>IF($A635="","",IF($E635=1,_xlfn.SUMIFS(Comptabilité!$F$1:$F$1446,Comptabilité!$A$1:$A$1446,$A635,Comptabilité!$B$1:$B$1446,$B635,Comptabilité!$C$1:$C$1446,"2026"),0))</f>
        <v>0</v>
      </c>
      <c r="G635">
        <f>IF($A635="","",IF($D635="V01",Cadrage!$C$23,IF($D635="V02",Cadrage!$D$23,Cadrage!$E$23)))</f>
        <v>-0.05</v>
      </c>
      <c r="H635">
        <f>IF($A635="","",IF($D635="V01",Cadrage!$C$24,IF($D635="V02",Cadrage!$D$24,Cadrage!$E$24)))</f>
        <v>-0.05</v>
      </c>
      <c r="I635">
        <f>IF($A635="","",IF($D635="V01",Cadrage!$C$34,IF($D635="V02",Cadrage!$D$34,Cadrage!$E$34)))</f>
        <v>0.03</v>
      </c>
      <c r="J635">
        <f>IF($A635="","",IF($D635="V01",Cadrage!$C$35,IF($D635="V02",Cadrage!$D$35,Cadrage!$E$35)))</f>
        <v>0.03</v>
      </c>
      <c r="K635">
        <f>IF($A635="","",IF($D635="V01",Cadrage!$C$36,IF($D635="V02",Cadrage!$D$36,Cadrage!$E$36)))</f>
        <v>0.05</v>
      </c>
      <c r="L635">
        <f>IF($A635="","",IF($D635="V01",Cadrage!$C$37,IF($D635="V02",Cadrage!$D$37,Cadrage!$E$37)))</f>
        <v>0</v>
      </c>
      <c r="M635">
        <f>IF($A635="","",IF($D635="V01",Cadrage!$C$38,IF($D635="V02",Cadrage!$D$38,Cadrage!$E$38)))</f>
        <v>0.04</v>
      </c>
      <c r="N635">
        <f t="shared" si="1"/>
        <v>0.980622079131853</v>
      </c>
      <c r="O635">
        <f t="shared" si="2"/>
        <v>1.03</v>
      </c>
      <c r="P635">
        <f>IF($A635="","",IF($E635=1,$F635*$O635,PNL!G635))</f>
        <v>55140</v>
      </c>
      <c r="T635">
        <f t="shared" si="3"/>
        <v>0</v>
      </c>
    </row>
    <row r="636" ht="14.25" customHeight="1">
      <c r="A636" t="str">
        <f>IF(PNL!A636="","",PNL!A636)</f>
        <v>PIGIER_LYO</v>
      </c>
      <c r="B636" t="str">
        <f>IF(PNL!B636="","",PNL!B636)</f>
        <v>6811</v>
      </c>
      <c r="C636" t="str">
        <f>IF(PNL!C636="","",PNL!C636)</f>
        <v>2024</v>
      </c>
      <c r="D636" t="str">
        <f>IF(PNL!D636="","",PNL!D636)</f>
        <v>ACT</v>
      </c>
      <c r="E636">
        <f t="shared" si="0"/>
        <v>0</v>
      </c>
      <c r="F636">
        <f>IF($A636="","",IF($E636=1,_xlfn.SUMIFS(Comptabilité!$F$1:$F$1446,Comptabilité!$A$1:$A$1446,$A636,Comptabilité!$B$1:$B$1446,$B636,Comptabilité!$C$1:$C$1446,"2026"),0))</f>
        <v>0</v>
      </c>
      <c r="G636">
        <f>IF($A636="","",IF($D636="V01",Cadrage!$C$23,IF($D636="V02",Cadrage!$D$23,Cadrage!$E$23)))</f>
        <v>-0.05</v>
      </c>
      <c r="H636">
        <f>IF($A636="","",IF($D636="V01",Cadrage!$C$24,IF($D636="V02",Cadrage!$D$24,Cadrage!$E$24)))</f>
        <v>-0.05</v>
      </c>
      <c r="I636">
        <f>IF($A636="","",IF($D636="V01",Cadrage!$C$34,IF($D636="V02",Cadrage!$D$34,Cadrage!$E$34)))</f>
        <v>0.03</v>
      </c>
      <c r="J636">
        <f>IF($A636="","",IF($D636="V01",Cadrage!$C$35,IF($D636="V02",Cadrage!$D$35,Cadrage!$E$35)))</f>
        <v>0.03</v>
      </c>
      <c r="K636">
        <f>IF($A636="","",IF($D636="V01",Cadrage!$C$36,IF($D636="V02",Cadrage!$D$36,Cadrage!$E$36)))</f>
        <v>0.05</v>
      </c>
      <c r="L636">
        <f>IF($A636="","",IF($D636="V01",Cadrage!$C$37,IF($D636="V02",Cadrage!$D$37,Cadrage!$E$37)))</f>
        <v>0</v>
      </c>
      <c r="M636">
        <f>IF($A636="","",IF($D636="V01",Cadrage!$C$38,IF($D636="V02",Cadrage!$D$38,Cadrage!$E$38)))</f>
        <v>0.04</v>
      </c>
      <c r="N636">
        <f t="shared" si="1"/>
        <v>0.980622079131853</v>
      </c>
      <c r="O636">
        <f t="shared" si="2"/>
        <v>1.03</v>
      </c>
      <c r="P636">
        <f>IF($A636="","",IF($E636=1,$F636*$O636,PNL!G636))</f>
        <v>73520</v>
      </c>
      <c r="T636">
        <f t="shared" si="3"/>
        <v>0</v>
      </c>
    </row>
    <row r="637" ht="14.25" customHeight="1">
      <c r="A637" t="str">
        <f>IF(PNL!A637="","",PNL!A637)</f>
        <v>PIGIER_BOR</v>
      </c>
      <c r="B637" t="str">
        <f>IF(PNL!B637="","",PNL!B637)</f>
        <v>6811</v>
      </c>
      <c r="C637" t="str">
        <f>IF(PNL!C637="","",PNL!C637)</f>
        <v>2024</v>
      </c>
      <c r="D637" t="str">
        <f>IF(PNL!D637="","",PNL!D637)</f>
        <v>ACT</v>
      </c>
      <c r="E637">
        <f t="shared" si="0"/>
        <v>0</v>
      </c>
      <c r="F637">
        <f>IF($A637="","",IF($E637=1,_xlfn.SUMIFS(Comptabilité!$F$1:$F$1446,Comptabilité!$A$1:$A$1446,$A637,Comptabilité!$B$1:$B$1446,$B637,Comptabilité!$C$1:$C$1446,"2026"),0))</f>
        <v>0</v>
      </c>
      <c r="G637">
        <f>IF($A637="","",IF($D637="V01",Cadrage!$C$23,IF($D637="V02",Cadrage!$D$23,Cadrage!$E$23)))</f>
        <v>-0.05</v>
      </c>
      <c r="H637">
        <f>IF($A637="","",IF($D637="V01",Cadrage!$C$24,IF($D637="V02",Cadrage!$D$24,Cadrage!$E$24)))</f>
        <v>-0.05</v>
      </c>
      <c r="I637">
        <f>IF($A637="","",IF($D637="V01",Cadrage!$C$34,IF($D637="V02",Cadrage!$D$34,Cadrage!$E$34)))</f>
        <v>0.03</v>
      </c>
      <c r="J637">
        <f>IF($A637="","",IF($D637="V01",Cadrage!$C$35,IF($D637="V02",Cadrage!$D$35,Cadrage!$E$35)))</f>
        <v>0.03</v>
      </c>
      <c r="K637">
        <f>IF($A637="","",IF($D637="V01",Cadrage!$C$36,IF($D637="V02",Cadrage!$D$36,Cadrage!$E$36)))</f>
        <v>0.05</v>
      </c>
      <c r="L637">
        <f>IF($A637="","",IF($D637="V01",Cadrage!$C$37,IF($D637="V02",Cadrage!$D$37,Cadrage!$E$37)))</f>
        <v>0</v>
      </c>
      <c r="M637">
        <f>IF($A637="","",IF($D637="V01",Cadrage!$C$38,IF($D637="V02",Cadrage!$D$38,Cadrage!$E$38)))</f>
        <v>0.04</v>
      </c>
      <c r="N637">
        <f t="shared" si="1"/>
        <v>0.980622079131853</v>
      </c>
      <c r="O637">
        <f t="shared" si="2"/>
        <v>1.03</v>
      </c>
      <c r="P637">
        <f>IF($A637="","",IF($E637=1,$F637*$O637,PNL!G637))</f>
        <v>73520</v>
      </c>
      <c r="T637">
        <f t="shared" si="3"/>
        <v>0</v>
      </c>
    </row>
    <row r="638" ht="14.25" customHeight="1">
      <c r="A638" t="str">
        <f>IF(PNL!A638="","",PNL!A638)</f>
        <v>TUNON_PAR</v>
      </c>
      <c r="B638" t="str">
        <f>IF(PNL!B638="","",PNL!B638)</f>
        <v>6811</v>
      </c>
      <c r="C638" t="str">
        <f>IF(PNL!C638="","",PNL!C638)</f>
        <v>2024</v>
      </c>
      <c r="D638" t="str">
        <f>IF(PNL!D638="","",PNL!D638)</f>
        <v>ACT</v>
      </c>
      <c r="E638">
        <f t="shared" si="0"/>
        <v>0</v>
      </c>
      <c r="F638">
        <f>IF($A638="","",IF($E638=1,_xlfn.SUMIFS(Comptabilité!$F$1:$F$1446,Comptabilité!$A$1:$A$1446,$A638,Comptabilité!$B$1:$B$1446,$B638,Comptabilité!$C$1:$C$1446,"2026"),0))</f>
        <v>0</v>
      </c>
      <c r="G638">
        <f>IF($A638="","",IF($D638="V01",Cadrage!$C$23,IF($D638="V02",Cadrage!$D$23,Cadrage!$E$23)))</f>
        <v>-0.05</v>
      </c>
      <c r="H638">
        <f>IF($A638="","",IF($D638="V01",Cadrage!$C$24,IF($D638="V02",Cadrage!$D$24,Cadrage!$E$24)))</f>
        <v>-0.05</v>
      </c>
      <c r="I638">
        <f>IF($A638="","",IF($D638="V01",Cadrage!$C$34,IF($D638="V02",Cadrage!$D$34,Cadrage!$E$34)))</f>
        <v>0.03</v>
      </c>
      <c r="J638">
        <f>IF($A638="","",IF($D638="V01",Cadrage!$C$35,IF($D638="V02",Cadrage!$D$35,Cadrage!$E$35)))</f>
        <v>0.03</v>
      </c>
      <c r="K638">
        <f>IF($A638="","",IF($D638="V01",Cadrage!$C$36,IF($D638="V02",Cadrage!$D$36,Cadrage!$E$36)))</f>
        <v>0.05</v>
      </c>
      <c r="L638">
        <f>IF($A638="","",IF($D638="V01",Cadrage!$C$37,IF($D638="V02",Cadrage!$D$37,Cadrage!$E$37)))</f>
        <v>0</v>
      </c>
      <c r="M638">
        <f>IF($A638="","",IF($D638="V01",Cadrage!$C$38,IF($D638="V02",Cadrage!$D$38,Cadrage!$E$38)))</f>
        <v>0.04</v>
      </c>
      <c r="N638">
        <f t="shared" si="1"/>
        <v>0.980622079131853</v>
      </c>
      <c r="O638">
        <f t="shared" si="2"/>
        <v>1.03</v>
      </c>
      <c r="P638">
        <f>IF($A638="","",IF($E638=1,$F638*$O638,PNL!G638))</f>
        <v>55140</v>
      </c>
      <c r="T638">
        <f t="shared" si="3"/>
        <v>0</v>
      </c>
    </row>
    <row r="639" ht="14.25" customHeight="1">
      <c r="A639" t="str">
        <f>IF(PNL!A639="","",PNL!A639)</f>
        <v>TUNON_LYO</v>
      </c>
      <c r="B639" t="str">
        <f>IF(PNL!B639="","",PNL!B639)</f>
        <v>6811</v>
      </c>
      <c r="C639" t="str">
        <f>IF(PNL!C639="","",PNL!C639)</f>
        <v>2024</v>
      </c>
      <c r="D639" t="str">
        <f>IF(PNL!D639="","",PNL!D639)</f>
        <v>ACT</v>
      </c>
      <c r="E639">
        <f t="shared" si="0"/>
        <v>0</v>
      </c>
      <c r="F639">
        <f>IF($A639="","",IF($E639=1,_xlfn.SUMIFS(Comptabilité!$F$1:$F$1446,Comptabilité!$A$1:$A$1446,$A639,Comptabilité!$B$1:$B$1446,$B639,Comptabilité!$C$1:$C$1446,"2026"),0))</f>
        <v>0</v>
      </c>
      <c r="G639">
        <f>IF($A639="","",IF($D639="V01",Cadrage!$C$23,IF($D639="V02",Cadrage!$D$23,Cadrage!$E$23)))</f>
        <v>-0.05</v>
      </c>
      <c r="H639">
        <f>IF($A639="","",IF($D639="V01",Cadrage!$C$24,IF($D639="V02",Cadrage!$D$24,Cadrage!$E$24)))</f>
        <v>-0.05</v>
      </c>
      <c r="I639">
        <f>IF($A639="","",IF($D639="V01",Cadrage!$C$34,IF($D639="V02",Cadrage!$D$34,Cadrage!$E$34)))</f>
        <v>0.03</v>
      </c>
      <c r="J639">
        <f>IF($A639="","",IF($D639="V01",Cadrage!$C$35,IF($D639="V02",Cadrage!$D$35,Cadrage!$E$35)))</f>
        <v>0.03</v>
      </c>
      <c r="K639">
        <f>IF($A639="","",IF($D639="V01",Cadrage!$C$36,IF($D639="V02",Cadrage!$D$36,Cadrage!$E$36)))</f>
        <v>0.05</v>
      </c>
      <c r="L639">
        <f>IF($A639="","",IF($D639="V01",Cadrage!$C$37,IF($D639="V02",Cadrage!$D$37,Cadrage!$E$37)))</f>
        <v>0</v>
      </c>
      <c r="M639">
        <f>IF($A639="","",IF($D639="V01",Cadrage!$C$38,IF($D639="V02",Cadrage!$D$38,Cadrage!$E$38)))</f>
        <v>0.04</v>
      </c>
      <c r="N639">
        <f t="shared" si="1"/>
        <v>0.980622079131853</v>
      </c>
      <c r="O639">
        <f t="shared" si="2"/>
        <v>1.03</v>
      </c>
      <c r="P639">
        <f>IF($A639="","",IF($E639=1,$F639*$O639,PNL!G639))</f>
        <v>55140</v>
      </c>
      <c r="T639">
        <f t="shared" si="3"/>
        <v>0</v>
      </c>
    </row>
    <row r="640" ht="14.25" customHeight="1">
      <c r="A640" t="str">
        <f>IF(PNL!A640="","",PNL!A640)</f>
        <v>MBWAY_PAR</v>
      </c>
      <c r="B640" t="str">
        <f>IF(PNL!B640="","",PNL!B640)</f>
        <v>6811</v>
      </c>
      <c r="C640" t="str">
        <f>IF(PNL!C640="","",PNL!C640)</f>
        <v>2025</v>
      </c>
      <c r="D640" t="str">
        <f>IF(PNL!D640="","",PNL!D640)</f>
        <v>ACT</v>
      </c>
      <c r="E640">
        <f t="shared" si="0"/>
        <v>0</v>
      </c>
      <c r="F640">
        <f>IF($A640="","",IF($E640=1,_xlfn.SUMIFS(Comptabilité!$F$1:$F$1446,Comptabilité!$A$1:$A$1446,$A640,Comptabilité!$B$1:$B$1446,$B640,Comptabilité!$C$1:$C$1446,"2026"),0))</f>
        <v>0</v>
      </c>
      <c r="G640">
        <f>IF($A640="","",IF($D640="V01",Cadrage!$C$23,IF($D640="V02",Cadrage!$D$23,Cadrage!$E$23)))</f>
        <v>-0.05</v>
      </c>
      <c r="H640">
        <f>IF($A640="","",IF($D640="V01",Cadrage!$C$24,IF($D640="V02",Cadrage!$D$24,Cadrage!$E$24)))</f>
        <v>-0.05</v>
      </c>
      <c r="I640">
        <f>IF($A640="","",IF($D640="V01",Cadrage!$C$34,IF($D640="V02",Cadrage!$D$34,Cadrage!$E$34)))</f>
        <v>0.03</v>
      </c>
      <c r="J640">
        <f>IF($A640="","",IF($D640="V01",Cadrage!$C$35,IF($D640="V02",Cadrage!$D$35,Cadrage!$E$35)))</f>
        <v>0.03</v>
      </c>
      <c r="K640">
        <f>IF($A640="","",IF($D640="V01",Cadrage!$C$36,IF($D640="V02",Cadrage!$D$36,Cadrage!$E$36)))</f>
        <v>0.05</v>
      </c>
      <c r="L640">
        <f>IF($A640="","",IF($D640="V01",Cadrage!$C$37,IF($D640="V02",Cadrage!$D$37,Cadrage!$E$37)))</f>
        <v>0</v>
      </c>
      <c r="M640">
        <f>IF($A640="","",IF($D640="V01",Cadrage!$C$38,IF($D640="V02",Cadrage!$D$38,Cadrage!$E$38)))</f>
        <v>0.04</v>
      </c>
      <c r="N640">
        <f t="shared" si="1"/>
        <v>0.980622079131853</v>
      </c>
      <c r="O640">
        <f t="shared" si="2"/>
        <v>1.03</v>
      </c>
      <c r="P640">
        <f>IF($A640="","",IF($E640=1,$F640*$O640,PNL!G640))</f>
        <v>146120</v>
      </c>
      <c r="T640">
        <f t="shared" si="3"/>
        <v>0</v>
      </c>
    </row>
    <row r="641" ht="14.25" customHeight="1">
      <c r="A641" t="str">
        <f>IF(PNL!A641="","",PNL!A641)</f>
        <v>MBWAY_LYO</v>
      </c>
      <c r="B641" t="str">
        <f>IF(PNL!B641="","",PNL!B641)</f>
        <v>6811</v>
      </c>
      <c r="C641" t="str">
        <f>IF(PNL!C641="","",PNL!C641)</f>
        <v>2025</v>
      </c>
      <c r="D641" t="str">
        <f>IF(PNL!D641="","",PNL!D641)</f>
        <v>ACT</v>
      </c>
      <c r="E641">
        <f t="shared" si="0"/>
        <v>0</v>
      </c>
      <c r="F641">
        <f>IF($A641="","",IF($E641=1,_xlfn.SUMIFS(Comptabilité!$F$1:$F$1446,Comptabilité!$A$1:$A$1446,$A641,Comptabilité!$B$1:$B$1446,$B641,Comptabilité!$C$1:$C$1446,"2026"),0))</f>
        <v>0</v>
      </c>
      <c r="G641">
        <f>IF($A641="","",IF($D641="V01",Cadrage!$C$23,IF($D641="V02",Cadrage!$D$23,Cadrage!$E$23)))</f>
        <v>-0.05</v>
      </c>
      <c r="H641">
        <f>IF($A641="","",IF($D641="V01",Cadrage!$C$24,IF($D641="V02",Cadrage!$D$24,Cadrage!$E$24)))</f>
        <v>-0.05</v>
      </c>
      <c r="I641">
        <f>IF($A641="","",IF($D641="V01",Cadrage!$C$34,IF($D641="V02",Cadrage!$D$34,Cadrage!$E$34)))</f>
        <v>0.03</v>
      </c>
      <c r="J641">
        <f>IF($A641="","",IF($D641="V01",Cadrage!$C$35,IF($D641="V02",Cadrage!$D$35,Cadrage!$E$35)))</f>
        <v>0.03</v>
      </c>
      <c r="K641">
        <f>IF($A641="","",IF($D641="V01",Cadrage!$C$36,IF($D641="V02",Cadrage!$D$36,Cadrage!$E$36)))</f>
        <v>0.05</v>
      </c>
      <c r="L641">
        <f>IF($A641="","",IF($D641="V01",Cadrage!$C$37,IF($D641="V02",Cadrage!$D$37,Cadrage!$E$37)))</f>
        <v>0</v>
      </c>
      <c r="M641">
        <f>IF($A641="","",IF($D641="V01",Cadrage!$C$38,IF($D641="V02",Cadrage!$D$38,Cadrage!$E$38)))</f>
        <v>0.04</v>
      </c>
      <c r="N641">
        <f t="shared" si="1"/>
        <v>0.980622079131853</v>
      </c>
      <c r="O641">
        <f t="shared" si="2"/>
        <v>1.03</v>
      </c>
      <c r="P641">
        <f>IF($A641="","",IF($E641=1,$F641*$O641,PNL!G641))</f>
        <v>126638</v>
      </c>
      <c r="T641">
        <f t="shared" si="3"/>
        <v>0</v>
      </c>
    </row>
    <row r="642" ht="14.25" customHeight="1">
      <c r="A642" t="str">
        <f>IF(PNL!A642="","",PNL!A642)</f>
        <v>MBWAY_NAN</v>
      </c>
      <c r="B642" t="str">
        <f>IF(PNL!B642="","",PNL!B642)</f>
        <v>6811</v>
      </c>
      <c r="C642" t="str">
        <f>IF(PNL!C642="","",PNL!C642)</f>
        <v>2025</v>
      </c>
      <c r="D642" t="str">
        <f>IF(PNL!D642="","",PNL!D642)</f>
        <v>ACT</v>
      </c>
      <c r="E642">
        <f t="shared" si="0"/>
        <v>0</v>
      </c>
      <c r="F642">
        <f>IF($A642="","",IF($E642=1,_xlfn.SUMIFS(Comptabilité!$F$1:$F$1446,Comptabilité!$A$1:$A$1446,$A642,Comptabilité!$B$1:$B$1446,$B642,Comptabilité!$C$1:$C$1446,"2026"),0))</f>
        <v>0</v>
      </c>
      <c r="G642">
        <f>IF($A642="","",IF($D642="V01",Cadrage!$C$23,IF($D642="V02",Cadrage!$D$23,Cadrage!$E$23)))</f>
        <v>-0.05</v>
      </c>
      <c r="H642">
        <f>IF($A642="","",IF($D642="V01",Cadrage!$C$24,IF($D642="V02",Cadrage!$D$24,Cadrage!$E$24)))</f>
        <v>-0.05</v>
      </c>
      <c r="I642">
        <f>IF($A642="","",IF($D642="V01",Cadrage!$C$34,IF($D642="V02",Cadrage!$D$34,Cadrage!$E$34)))</f>
        <v>0.03</v>
      </c>
      <c r="J642">
        <f>IF($A642="","",IF($D642="V01",Cadrage!$C$35,IF($D642="V02",Cadrage!$D$35,Cadrage!$E$35)))</f>
        <v>0.03</v>
      </c>
      <c r="K642">
        <f>IF($A642="","",IF($D642="V01",Cadrage!$C$36,IF($D642="V02",Cadrage!$D$36,Cadrage!$E$36)))</f>
        <v>0.05</v>
      </c>
      <c r="L642">
        <f>IF($A642="","",IF($D642="V01",Cadrage!$C$37,IF($D642="V02",Cadrage!$D$37,Cadrage!$E$37)))</f>
        <v>0</v>
      </c>
      <c r="M642">
        <f>IF($A642="","",IF($D642="V01",Cadrage!$C$38,IF($D642="V02",Cadrage!$D$38,Cadrage!$E$38)))</f>
        <v>0.04</v>
      </c>
      <c r="N642">
        <f t="shared" si="1"/>
        <v>0.980622079131853</v>
      </c>
      <c r="O642">
        <f t="shared" si="2"/>
        <v>1.03</v>
      </c>
      <c r="P642">
        <f>IF($A642="","",IF($E642=1,$F642*$O642,PNL!G642))</f>
        <v>116896</v>
      </c>
      <c r="T642">
        <f t="shared" si="3"/>
        <v>0</v>
      </c>
    </row>
    <row r="643" ht="14.25" customHeight="1">
      <c r="A643" t="str">
        <f>IF(PNL!A643="","",PNL!A643)</f>
        <v>MBWAY_BOR</v>
      </c>
      <c r="B643" t="str">
        <f>IF(PNL!B643="","",PNL!B643)</f>
        <v>6811</v>
      </c>
      <c r="C643" t="str">
        <f>IF(PNL!C643="","",PNL!C643)</f>
        <v>2025</v>
      </c>
      <c r="D643" t="str">
        <f>IF(PNL!D643="","",PNL!D643)</f>
        <v>ACT</v>
      </c>
      <c r="E643">
        <f t="shared" si="0"/>
        <v>0</v>
      </c>
      <c r="F643">
        <f>IF($A643="","",IF($E643=1,_xlfn.SUMIFS(Comptabilité!$F$1:$F$1446,Comptabilité!$A$1:$A$1446,$A643,Comptabilité!$B$1:$B$1446,$B643,Comptabilité!$C$1:$C$1446,"2026"),0))</f>
        <v>0</v>
      </c>
      <c r="G643">
        <f>IF($A643="","",IF($D643="V01",Cadrage!$C$23,IF($D643="V02",Cadrage!$D$23,Cadrage!$E$23)))</f>
        <v>-0.05</v>
      </c>
      <c r="H643">
        <f>IF($A643="","",IF($D643="V01",Cadrage!$C$24,IF($D643="V02",Cadrage!$D$24,Cadrage!$E$24)))</f>
        <v>-0.05</v>
      </c>
      <c r="I643">
        <f>IF($A643="","",IF($D643="V01",Cadrage!$C$34,IF($D643="V02",Cadrage!$D$34,Cadrage!$E$34)))</f>
        <v>0.03</v>
      </c>
      <c r="J643">
        <f>IF($A643="","",IF($D643="V01",Cadrage!$C$35,IF($D643="V02",Cadrage!$D$35,Cadrage!$E$35)))</f>
        <v>0.03</v>
      </c>
      <c r="K643">
        <f>IF($A643="","",IF($D643="V01",Cadrage!$C$36,IF($D643="V02",Cadrage!$D$36,Cadrage!$E$36)))</f>
        <v>0.05</v>
      </c>
      <c r="L643">
        <f>IF($A643="","",IF($D643="V01",Cadrage!$C$37,IF($D643="V02",Cadrage!$D$37,Cadrage!$E$37)))</f>
        <v>0</v>
      </c>
      <c r="M643">
        <f>IF($A643="","",IF($D643="V01",Cadrage!$C$38,IF($D643="V02",Cadrage!$D$38,Cadrage!$E$38)))</f>
        <v>0.04</v>
      </c>
      <c r="N643">
        <f t="shared" si="1"/>
        <v>0.980622079131853</v>
      </c>
      <c r="O643">
        <f t="shared" si="2"/>
        <v>1.03</v>
      </c>
      <c r="P643">
        <f>IF($A643="","",IF($E643=1,$F643*$O643,PNL!G643))</f>
        <v>97413</v>
      </c>
      <c r="T643">
        <f t="shared" si="3"/>
        <v>0</v>
      </c>
    </row>
    <row r="644" ht="14.25" customHeight="1">
      <c r="A644" t="str">
        <f>IF(PNL!A644="","",PNL!A644)</f>
        <v>ISCOM_PAR</v>
      </c>
      <c r="B644" t="str">
        <f>IF(PNL!B644="","",PNL!B644)</f>
        <v>6811</v>
      </c>
      <c r="C644" t="str">
        <f>IF(PNL!C644="","",PNL!C644)</f>
        <v>2025</v>
      </c>
      <c r="D644" t="str">
        <f>IF(PNL!D644="","",PNL!D644)</f>
        <v>ACT</v>
      </c>
      <c r="E644">
        <f t="shared" si="0"/>
        <v>0</v>
      </c>
      <c r="F644">
        <f>IF($A644="","",IF($E644=1,_xlfn.SUMIFS(Comptabilité!$F$1:$F$1446,Comptabilité!$A$1:$A$1446,$A644,Comptabilité!$B$1:$B$1446,$B644,Comptabilité!$C$1:$C$1446,"2026"),0))</f>
        <v>0</v>
      </c>
      <c r="G644">
        <f>IF($A644="","",IF($D644="V01",Cadrage!$C$23,IF($D644="V02",Cadrage!$D$23,Cadrage!$E$23)))</f>
        <v>-0.05</v>
      </c>
      <c r="H644">
        <f>IF($A644="","",IF($D644="V01",Cadrage!$C$24,IF($D644="V02",Cadrage!$D$24,Cadrage!$E$24)))</f>
        <v>-0.05</v>
      </c>
      <c r="I644">
        <f>IF($A644="","",IF($D644="V01",Cadrage!$C$34,IF($D644="V02",Cadrage!$D$34,Cadrage!$E$34)))</f>
        <v>0.03</v>
      </c>
      <c r="J644">
        <f>IF($A644="","",IF($D644="V01",Cadrage!$C$35,IF($D644="V02",Cadrage!$D$35,Cadrage!$E$35)))</f>
        <v>0.03</v>
      </c>
      <c r="K644">
        <f>IF($A644="","",IF($D644="V01",Cadrage!$C$36,IF($D644="V02",Cadrage!$D$36,Cadrage!$E$36)))</f>
        <v>0.05</v>
      </c>
      <c r="L644">
        <f>IF($A644="","",IF($D644="V01",Cadrage!$C$37,IF($D644="V02",Cadrage!$D$37,Cadrage!$E$37)))</f>
        <v>0</v>
      </c>
      <c r="M644">
        <f>IF($A644="","",IF($D644="V01",Cadrage!$C$38,IF($D644="V02",Cadrage!$D$38,Cadrage!$E$38)))</f>
        <v>0.04</v>
      </c>
      <c r="N644">
        <f t="shared" si="1"/>
        <v>0.980622079131853</v>
      </c>
      <c r="O644">
        <f t="shared" si="2"/>
        <v>1.03</v>
      </c>
      <c r="P644">
        <f>IF($A644="","",IF($E644=1,$F644*$O644,PNL!G644))</f>
        <v>146120</v>
      </c>
      <c r="T644">
        <f t="shared" si="3"/>
        <v>0</v>
      </c>
    </row>
    <row r="645" ht="14.25" customHeight="1">
      <c r="A645" t="str">
        <f>IF(PNL!A645="","",PNL!A645)</f>
        <v>ISCOM_LIL</v>
      </c>
      <c r="B645" t="str">
        <f>IF(PNL!B645="","",PNL!B645)</f>
        <v>6811</v>
      </c>
      <c r="C645" t="str">
        <f>IF(PNL!C645="","",PNL!C645)</f>
        <v>2025</v>
      </c>
      <c r="D645" t="str">
        <f>IF(PNL!D645="","",PNL!D645)</f>
        <v>ACT</v>
      </c>
      <c r="E645">
        <f t="shared" si="0"/>
        <v>0</v>
      </c>
      <c r="F645">
        <f>IF($A645="","",IF($E645=1,_xlfn.SUMIFS(Comptabilité!$F$1:$F$1446,Comptabilité!$A$1:$A$1446,$A645,Comptabilité!$B$1:$B$1446,$B645,Comptabilité!$C$1:$C$1446,"2026"),0))</f>
        <v>0</v>
      </c>
      <c r="G645">
        <f>IF($A645="","",IF($D645="V01",Cadrage!$C$23,IF($D645="V02",Cadrage!$D$23,Cadrage!$E$23)))</f>
        <v>-0.05</v>
      </c>
      <c r="H645">
        <f>IF($A645="","",IF($D645="V01",Cadrage!$C$24,IF($D645="V02",Cadrage!$D$24,Cadrage!$E$24)))</f>
        <v>-0.05</v>
      </c>
      <c r="I645">
        <f>IF($A645="","",IF($D645="V01",Cadrage!$C$34,IF($D645="V02",Cadrage!$D$34,Cadrage!$E$34)))</f>
        <v>0.03</v>
      </c>
      <c r="J645">
        <f>IF($A645="","",IF($D645="V01",Cadrage!$C$35,IF($D645="V02",Cadrage!$D$35,Cadrage!$E$35)))</f>
        <v>0.03</v>
      </c>
      <c r="K645">
        <f>IF($A645="","",IF($D645="V01",Cadrage!$C$36,IF($D645="V02",Cadrage!$D$36,Cadrage!$E$36)))</f>
        <v>0.05</v>
      </c>
      <c r="L645">
        <f>IF($A645="","",IF($D645="V01",Cadrage!$C$37,IF($D645="V02",Cadrage!$D$37,Cadrage!$E$37)))</f>
        <v>0</v>
      </c>
      <c r="M645">
        <f>IF($A645="","",IF($D645="V01",Cadrage!$C$38,IF($D645="V02",Cadrage!$D$38,Cadrage!$E$38)))</f>
        <v>0.04</v>
      </c>
      <c r="N645">
        <f t="shared" si="1"/>
        <v>0.980622079131853</v>
      </c>
      <c r="O645">
        <f t="shared" si="2"/>
        <v>1.03</v>
      </c>
      <c r="P645">
        <f>IF($A645="","",IF($E645=1,$F645*$O645,PNL!G645))</f>
        <v>97413</v>
      </c>
      <c r="T645">
        <f t="shared" si="3"/>
        <v>0</v>
      </c>
    </row>
    <row r="646" ht="14.25" customHeight="1">
      <c r="A646" t="str">
        <f>IF(PNL!A646="","",PNL!A646)</f>
        <v>ISCOM_TLS</v>
      </c>
      <c r="B646" t="str">
        <f>IF(PNL!B646="","",PNL!B646)</f>
        <v>6811</v>
      </c>
      <c r="C646" t="str">
        <f>IF(PNL!C646="","",PNL!C646)</f>
        <v>2025</v>
      </c>
      <c r="D646" t="str">
        <f>IF(PNL!D646="","",PNL!D646)</f>
        <v>ACT</v>
      </c>
      <c r="E646">
        <f t="shared" si="0"/>
        <v>0</v>
      </c>
      <c r="F646">
        <f>IF($A646="","",IF($E646=1,_xlfn.SUMIFS(Comptabilité!$F$1:$F$1446,Comptabilité!$A$1:$A$1446,$A646,Comptabilité!$B$1:$B$1446,$B646,Comptabilité!$C$1:$C$1446,"2026"),0))</f>
        <v>0</v>
      </c>
      <c r="G646">
        <f>IF($A646="","",IF($D646="V01",Cadrage!$C$23,IF($D646="V02",Cadrage!$D$23,Cadrage!$E$23)))</f>
        <v>-0.05</v>
      </c>
      <c r="H646">
        <f>IF($A646="","",IF($D646="V01",Cadrage!$C$24,IF($D646="V02",Cadrage!$D$24,Cadrage!$E$24)))</f>
        <v>-0.05</v>
      </c>
      <c r="I646">
        <f>IF($A646="","",IF($D646="V01",Cadrage!$C$34,IF($D646="V02",Cadrage!$D$34,Cadrage!$E$34)))</f>
        <v>0.03</v>
      </c>
      <c r="J646">
        <f>IF($A646="","",IF($D646="V01",Cadrage!$C$35,IF($D646="V02",Cadrage!$D$35,Cadrage!$E$35)))</f>
        <v>0.03</v>
      </c>
      <c r="K646">
        <f>IF($A646="","",IF($D646="V01",Cadrage!$C$36,IF($D646="V02",Cadrage!$D$36,Cadrage!$E$36)))</f>
        <v>0.05</v>
      </c>
      <c r="L646">
        <f>IF($A646="","",IF($D646="V01",Cadrage!$C$37,IF($D646="V02",Cadrage!$D$37,Cadrage!$E$37)))</f>
        <v>0</v>
      </c>
      <c r="M646">
        <f>IF($A646="","",IF($D646="V01",Cadrage!$C$38,IF($D646="V02",Cadrage!$D$38,Cadrage!$E$38)))</f>
        <v>0.04</v>
      </c>
      <c r="N646">
        <f t="shared" si="1"/>
        <v>0.980622079131853</v>
      </c>
      <c r="O646">
        <f t="shared" si="2"/>
        <v>1.03</v>
      </c>
      <c r="P646">
        <f>IF($A646="","",IF($E646=1,$F646*$O646,PNL!G646))</f>
        <v>97413</v>
      </c>
      <c r="T646">
        <f t="shared" si="3"/>
        <v>0</v>
      </c>
    </row>
    <row r="647" ht="14.25" customHeight="1">
      <c r="A647" t="str">
        <f>IF(PNL!A647="","",PNL!A647)</f>
        <v>IPAC_NAN</v>
      </c>
      <c r="B647" t="str">
        <f>IF(PNL!B647="","",PNL!B647)</f>
        <v>6811</v>
      </c>
      <c r="C647" t="str">
        <f>IF(PNL!C647="","",PNL!C647)</f>
        <v>2025</v>
      </c>
      <c r="D647" t="str">
        <f>IF(PNL!D647="","",PNL!D647)</f>
        <v>ACT</v>
      </c>
      <c r="E647">
        <f t="shared" si="0"/>
        <v>0</v>
      </c>
      <c r="F647">
        <f>IF($A647="","",IF($E647=1,_xlfn.SUMIFS(Comptabilité!$F$1:$F$1446,Comptabilité!$A$1:$A$1446,$A647,Comptabilité!$B$1:$B$1446,$B647,Comptabilité!$C$1:$C$1446,"2026"),0))</f>
        <v>0</v>
      </c>
      <c r="G647">
        <f>IF($A647="","",IF($D647="V01",Cadrage!$C$23,IF($D647="V02",Cadrage!$D$23,Cadrage!$E$23)))</f>
        <v>-0.05</v>
      </c>
      <c r="H647">
        <f>IF($A647="","",IF($D647="V01",Cadrage!$C$24,IF($D647="V02",Cadrage!$D$24,Cadrage!$E$24)))</f>
        <v>-0.05</v>
      </c>
      <c r="I647">
        <f>IF($A647="","",IF($D647="V01",Cadrage!$C$34,IF($D647="V02",Cadrage!$D$34,Cadrage!$E$34)))</f>
        <v>0.03</v>
      </c>
      <c r="J647">
        <f>IF($A647="","",IF($D647="V01",Cadrage!$C$35,IF($D647="V02",Cadrage!$D$35,Cadrage!$E$35)))</f>
        <v>0.03</v>
      </c>
      <c r="K647">
        <f>IF($A647="","",IF($D647="V01",Cadrage!$C$36,IF($D647="V02",Cadrage!$D$36,Cadrage!$E$36)))</f>
        <v>0.05</v>
      </c>
      <c r="L647">
        <f>IF($A647="","",IF($D647="V01",Cadrage!$C$37,IF($D647="V02",Cadrage!$D$37,Cadrage!$E$37)))</f>
        <v>0</v>
      </c>
      <c r="M647">
        <f>IF($A647="","",IF($D647="V01",Cadrage!$C$38,IF($D647="V02",Cadrage!$D$38,Cadrage!$E$38)))</f>
        <v>0.04</v>
      </c>
      <c r="N647">
        <f t="shared" si="1"/>
        <v>0.980622079131853</v>
      </c>
      <c r="O647">
        <f t="shared" si="2"/>
        <v>1.03</v>
      </c>
      <c r="P647">
        <f>IF($A647="","",IF($E647=1,$F647*$O647,PNL!G647))</f>
        <v>58448</v>
      </c>
      <c r="T647">
        <f t="shared" si="3"/>
        <v>0</v>
      </c>
    </row>
    <row r="648" ht="14.25" customHeight="1">
      <c r="A648" t="str">
        <f>IF(PNL!A648="","",PNL!A648)</f>
        <v>IPAC_REN</v>
      </c>
      <c r="B648" t="str">
        <f>IF(PNL!B648="","",PNL!B648)</f>
        <v>6811</v>
      </c>
      <c r="C648" t="str">
        <f>IF(PNL!C648="","",PNL!C648)</f>
        <v>2025</v>
      </c>
      <c r="D648" t="str">
        <f>IF(PNL!D648="","",PNL!D648)</f>
        <v>ACT</v>
      </c>
      <c r="E648">
        <f t="shared" si="0"/>
        <v>0</v>
      </c>
      <c r="F648">
        <f>IF($A648="","",IF($E648=1,_xlfn.SUMIFS(Comptabilité!$F$1:$F$1446,Comptabilité!$A$1:$A$1446,$A648,Comptabilité!$B$1:$B$1446,$B648,Comptabilité!$C$1:$C$1446,"2026"),0))</f>
        <v>0</v>
      </c>
      <c r="G648">
        <f>IF($A648="","",IF($D648="V01",Cadrage!$C$23,IF($D648="V02",Cadrage!$D$23,Cadrage!$E$23)))</f>
        <v>-0.05</v>
      </c>
      <c r="H648">
        <f>IF($A648="","",IF($D648="V01",Cadrage!$C$24,IF($D648="V02",Cadrage!$D$24,Cadrage!$E$24)))</f>
        <v>-0.05</v>
      </c>
      <c r="I648">
        <f>IF($A648="","",IF($D648="V01",Cadrage!$C$34,IF($D648="V02",Cadrage!$D$34,Cadrage!$E$34)))</f>
        <v>0.03</v>
      </c>
      <c r="J648">
        <f>IF($A648="","",IF($D648="V01",Cadrage!$C$35,IF($D648="V02",Cadrage!$D$35,Cadrage!$E$35)))</f>
        <v>0.03</v>
      </c>
      <c r="K648">
        <f>IF($A648="","",IF($D648="V01",Cadrage!$C$36,IF($D648="V02",Cadrage!$D$36,Cadrage!$E$36)))</f>
        <v>0.05</v>
      </c>
      <c r="L648">
        <f>IF($A648="","",IF($D648="V01",Cadrage!$C$37,IF($D648="V02",Cadrage!$D$37,Cadrage!$E$37)))</f>
        <v>0</v>
      </c>
      <c r="M648">
        <f>IF($A648="","",IF($D648="V01",Cadrage!$C$38,IF($D648="V02",Cadrage!$D$38,Cadrage!$E$38)))</f>
        <v>0.04</v>
      </c>
      <c r="N648">
        <f t="shared" si="1"/>
        <v>0.980622079131853</v>
      </c>
      <c r="O648">
        <f t="shared" si="2"/>
        <v>1.03</v>
      </c>
      <c r="P648">
        <f>IF($A648="","",IF($E648=1,$F648*$O648,PNL!G648))</f>
        <v>58448</v>
      </c>
      <c r="T648">
        <f t="shared" si="3"/>
        <v>0</v>
      </c>
    </row>
    <row r="649" ht="14.25" customHeight="1">
      <c r="A649" t="str">
        <f>IF(PNL!A649="","",PNL!A649)</f>
        <v>IPAC_MTP</v>
      </c>
      <c r="B649" t="str">
        <f>IF(PNL!B649="","",PNL!B649)</f>
        <v>6811</v>
      </c>
      <c r="C649" t="str">
        <f>IF(PNL!C649="","",PNL!C649)</f>
        <v>2025</v>
      </c>
      <c r="D649" t="str">
        <f>IF(PNL!D649="","",PNL!D649)</f>
        <v>ACT</v>
      </c>
      <c r="E649">
        <f t="shared" si="0"/>
        <v>0</v>
      </c>
      <c r="F649">
        <f>IF($A649="","",IF($E649=1,_xlfn.SUMIFS(Comptabilité!$F$1:$F$1446,Comptabilité!$A$1:$A$1446,$A649,Comptabilité!$B$1:$B$1446,$B649,Comptabilité!$C$1:$C$1446,"2026"),0))</f>
        <v>0</v>
      </c>
      <c r="G649">
        <f>IF($A649="","",IF($D649="V01",Cadrage!$C$23,IF($D649="V02",Cadrage!$D$23,Cadrage!$E$23)))</f>
        <v>-0.05</v>
      </c>
      <c r="H649">
        <f>IF($A649="","",IF($D649="V01",Cadrage!$C$24,IF($D649="V02",Cadrage!$D$24,Cadrage!$E$24)))</f>
        <v>-0.05</v>
      </c>
      <c r="I649">
        <f>IF($A649="","",IF($D649="V01",Cadrage!$C$34,IF($D649="V02",Cadrage!$D$34,Cadrage!$E$34)))</f>
        <v>0.03</v>
      </c>
      <c r="J649">
        <f>IF($A649="","",IF($D649="V01",Cadrage!$C$35,IF($D649="V02",Cadrage!$D$35,Cadrage!$E$35)))</f>
        <v>0.03</v>
      </c>
      <c r="K649">
        <f>IF($A649="","",IF($D649="V01",Cadrage!$C$36,IF($D649="V02",Cadrage!$D$36,Cadrage!$E$36)))</f>
        <v>0.05</v>
      </c>
      <c r="L649">
        <f>IF($A649="","",IF($D649="V01",Cadrage!$C$37,IF($D649="V02",Cadrage!$D$37,Cadrage!$E$37)))</f>
        <v>0</v>
      </c>
      <c r="M649">
        <f>IF($A649="","",IF($D649="V01",Cadrage!$C$38,IF($D649="V02",Cadrage!$D$38,Cadrage!$E$38)))</f>
        <v>0.04</v>
      </c>
      <c r="N649">
        <f t="shared" si="1"/>
        <v>0.980622079131853</v>
      </c>
      <c r="O649">
        <f t="shared" si="2"/>
        <v>1.03</v>
      </c>
      <c r="P649">
        <f>IF($A649="","",IF($E649=1,$F649*$O649,PNL!G649))</f>
        <v>58448</v>
      </c>
      <c r="T649">
        <f t="shared" si="3"/>
        <v>0</v>
      </c>
    </row>
    <row r="650" ht="14.25" customHeight="1">
      <c r="A650" t="str">
        <f>IF(PNL!A650="","",PNL!A650)</f>
        <v>PIGIER_LYO</v>
      </c>
      <c r="B650" t="str">
        <f>IF(PNL!B650="","",PNL!B650)</f>
        <v>6811</v>
      </c>
      <c r="C650" t="str">
        <f>IF(PNL!C650="","",PNL!C650)</f>
        <v>2025</v>
      </c>
      <c r="D650" t="str">
        <f>IF(PNL!D650="","",PNL!D650)</f>
        <v>ACT</v>
      </c>
      <c r="E650">
        <f t="shared" si="0"/>
        <v>0</v>
      </c>
      <c r="F650">
        <f>IF($A650="","",IF($E650=1,_xlfn.SUMIFS(Comptabilité!$F$1:$F$1446,Comptabilité!$A$1:$A$1446,$A650,Comptabilité!$B$1:$B$1446,$B650,Comptabilité!$C$1:$C$1446,"2026"),0))</f>
        <v>0</v>
      </c>
      <c r="G650">
        <f>IF($A650="","",IF($D650="V01",Cadrage!$C$23,IF($D650="V02",Cadrage!$D$23,Cadrage!$E$23)))</f>
        <v>-0.05</v>
      </c>
      <c r="H650">
        <f>IF($A650="","",IF($D650="V01",Cadrage!$C$24,IF($D650="V02",Cadrage!$D$24,Cadrage!$E$24)))</f>
        <v>-0.05</v>
      </c>
      <c r="I650">
        <f>IF($A650="","",IF($D650="V01",Cadrage!$C$34,IF($D650="V02",Cadrage!$D$34,Cadrage!$E$34)))</f>
        <v>0.03</v>
      </c>
      <c r="J650">
        <f>IF($A650="","",IF($D650="V01",Cadrage!$C$35,IF($D650="V02",Cadrage!$D$35,Cadrage!$E$35)))</f>
        <v>0.03</v>
      </c>
      <c r="K650">
        <f>IF($A650="","",IF($D650="V01",Cadrage!$C$36,IF($D650="V02",Cadrage!$D$36,Cadrage!$E$36)))</f>
        <v>0.05</v>
      </c>
      <c r="L650">
        <f>IF($A650="","",IF($D650="V01",Cadrage!$C$37,IF($D650="V02",Cadrage!$D$37,Cadrage!$E$37)))</f>
        <v>0</v>
      </c>
      <c r="M650">
        <f>IF($A650="","",IF($D650="V01",Cadrage!$C$38,IF($D650="V02",Cadrage!$D$38,Cadrage!$E$38)))</f>
        <v>0.04</v>
      </c>
      <c r="N650">
        <f t="shared" si="1"/>
        <v>0.980622079131853</v>
      </c>
      <c r="O650">
        <f t="shared" si="2"/>
        <v>1.03</v>
      </c>
      <c r="P650">
        <f>IF($A650="","",IF($E650=1,$F650*$O650,PNL!G650))</f>
        <v>77931</v>
      </c>
      <c r="T650">
        <f t="shared" si="3"/>
        <v>0</v>
      </c>
    </row>
    <row r="651" ht="14.25" customHeight="1">
      <c r="A651" t="str">
        <f>IF(PNL!A651="","",PNL!A651)</f>
        <v>PIGIER_BOR</v>
      </c>
      <c r="B651" t="str">
        <f>IF(PNL!B651="","",PNL!B651)</f>
        <v>6811</v>
      </c>
      <c r="C651" t="str">
        <f>IF(PNL!C651="","",PNL!C651)</f>
        <v>2025</v>
      </c>
      <c r="D651" t="str">
        <f>IF(PNL!D651="","",PNL!D651)</f>
        <v>ACT</v>
      </c>
      <c r="E651">
        <f t="shared" si="0"/>
        <v>0</v>
      </c>
      <c r="F651">
        <f>IF($A651="","",IF($E651=1,_xlfn.SUMIFS(Comptabilité!$F$1:$F$1446,Comptabilité!$A$1:$A$1446,$A651,Comptabilité!$B$1:$B$1446,$B651,Comptabilité!$C$1:$C$1446,"2026"),0))</f>
        <v>0</v>
      </c>
      <c r="G651">
        <f>IF($A651="","",IF($D651="V01",Cadrage!$C$23,IF($D651="V02",Cadrage!$D$23,Cadrage!$E$23)))</f>
        <v>-0.05</v>
      </c>
      <c r="H651">
        <f>IF($A651="","",IF($D651="V01",Cadrage!$C$24,IF($D651="V02",Cadrage!$D$24,Cadrage!$E$24)))</f>
        <v>-0.05</v>
      </c>
      <c r="I651">
        <f>IF($A651="","",IF($D651="V01",Cadrage!$C$34,IF($D651="V02",Cadrage!$D$34,Cadrage!$E$34)))</f>
        <v>0.03</v>
      </c>
      <c r="J651">
        <f>IF($A651="","",IF($D651="V01",Cadrage!$C$35,IF($D651="V02",Cadrage!$D$35,Cadrage!$E$35)))</f>
        <v>0.03</v>
      </c>
      <c r="K651">
        <f>IF($A651="","",IF($D651="V01",Cadrage!$C$36,IF($D651="V02",Cadrage!$D$36,Cadrage!$E$36)))</f>
        <v>0.05</v>
      </c>
      <c r="L651">
        <f>IF($A651="","",IF($D651="V01",Cadrage!$C$37,IF($D651="V02",Cadrage!$D$37,Cadrage!$E$37)))</f>
        <v>0</v>
      </c>
      <c r="M651">
        <f>IF($A651="","",IF($D651="V01",Cadrage!$C$38,IF($D651="V02",Cadrage!$D$38,Cadrage!$E$38)))</f>
        <v>0.04</v>
      </c>
      <c r="N651">
        <f t="shared" si="1"/>
        <v>0.980622079131853</v>
      </c>
      <c r="O651">
        <f t="shared" si="2"/>
        <v>1.03</v>
      </c>
      <c r="P651">
        <f>IF($A651="","",IF($E651=1,$F651*$O651,PNL!G651))</f>
        <v>77931</v>
      </c>
      <c r="T651">
        <f t="shared" si="3"/>
        <v>0</v>
      </c>
    </row>
    <row r="652" ht="14.25" customHeight="1">
      <c r="A652" t="str">
        <f>IF(PNL!A652="","",PNL!A652)</f>
        <v>TUNON_PAR</v>
      </c>
      <c r="B652" t="str">
        <f>IF(PNL!B652="","",PNL!B652)</f>
        <v>6811</v>
      </c>
      <c r="C652" t="str">
        <f>IF(PNL!C652="","",PNL!C652)</f>
        <v>2025</v>
      </c>
      <c r="D652" t="str">
        <f>IF(PNL!D652="","",PNL!D652)</f>
        <v>ACT</v>
      </c>
      <c r="E652">
        <f t="shared" si="0"/>
        <v>0</v>
      </c>
      <c r="F652">
        <f>IF($A652="","",IF($E652=1,_xlfn.SUMIFS(Comptabilité!$F$1:$F$1446,Comptabilité!$A$1:$A$1446,$A652,Comptabilité!$B$1:$B$1446,$B652,Comptabilité!$C$1:$C$1446,"2026"),0))</f>
        <v>0</v>
      </c>
      <c r="G652">
        <f>IF($A652="","",IF($D652="V01",Cadrage!$C$23,IF($D652="V02",Cadrage!$D$23,Cadrage!$E$23)))</f>
        <v>-0.05</v>
      </c>
      <c r="H652">
        <f>IF($A652="","",IF($D652="V01",Cadrage!$C$24,IF($D652="V02",Cadrage!$D$24,Cadrage!$E$24)))</f>
        <v>-0.05</v>
      </c>
      <c r="I652">
        <f>IF($A652="","",IF($D652="V01",Cadrage!$C$34,IF($D652="V02",Cadrage!$D$34,Cadrage!$E$34)))</f>
        <v>0.03</v>
      </c>
      <c r="J652">
        <f>IF($A652="","",IF($D652="V01",Cadrage!$C$35,IF($D652="V02",Cadrage!$D$35,Cadrage!$E$35)))</f>
        <v>0.03</v>
      </c>
      <c r="K652">
        <f>IF($A652="","",IF($D652="V01",Cadrage!$C$36,IF($D652="V02",Cadrage!$D$36,Cadrage!$E$36)))</f>
        <v>0.05</v>
      </c>
      <c r="L652">
        <f>IF($A652="","",IF($D652="V01",Cadrage!$C$37,IF($D652="V02",Cadrage!$D$37,Cadrage!$E$37)))</f>
        <v>0</v>
      </c>
      <c r="M652">
        <f>IF($A652="","",IF($D652="V01",Cadrage!$C$38,IF($D652="V02",Cadrage!$D$38,Cadrage!$E$38)))</f>
        <v>0.04</v>
      </c>
      <c r="N652">
        <f t="shared" si="1"/>
        <v>0.980622079131853</v>
      </c>
      <c r="O652">
        <f t="shared" si="2"/>
        <v>1.03</v>
      </c>
      <c r="P652">
        <f>IF($A652="","",IF($E652=1,$F652*$O652,PNL!G652))</f>
        <v>58448</v>
      </c>
      <c r="T652">
        <f t="shared" si="3"/>
        <v>0</v>
      </c>
    </row>
    <row r="653" ht="14.25" customHeight="1">
      <c r="A653" t="str">
        <f>IF(PNL!A653="","",PNL!A653)</f>
        <v>TUNON_LYO</v>
      </c>
      <c r="B653" t="str">
        <f>IF(PNL!B653="","",PNL!B653)</f>
        <v>6811</v>
      </c>
      <c r="C653" t="str">
        <f>IF(PNL!C653="","",PNL!C653)</f>
        <v>2025</v>
      </c>
      <c r="D653" t="str">
        <f>IF(PNL!D653="","",PNL!D653)</f>
        <v>ACT</v>
      </c>
      <c r="E653">
        <f t="shared" si="0"/>
        <v>0</v>
      </c>
      <c r="F653">
        <f>IF($A653="","",IF($E653=1,_xlfn.SUMIFS(Comptabilité!$F$1:$F$1446,Comptabilité!$A$1:$A$1446,$A653,Comptabilité!$B$1:$B$1446,$B653,Comptabilité!$C$1:$C$1446,"2026"),0))</f>
        <v>0</v>
      </c>
      <c r="G653">
        <f>IF($A653="","",IF($D653="V01",Cadrage!$C$23,IF($D653="V02",Cadrage!$D$23,Cadrage!$E$23)))</f>
        <v>-0.05</v>
      </c>
      <c r="H653">
        <f>IF($A653="","",IF($D653="V01",Cadrage!$C$24,IF($D653="V02",Cadrage!$D$24,Cadrage!$E$24)))</f>
        <v>-0.05</v>
      </c>
      <c r="I653">
        <f>IF($A653="","",IF($D653="V01",Cadrage!$C$34,IF($D653="V02",Cadrage!$D$34,Cadrage!$E$34)))</f>
        <v>0.03</v>
      </c>
      <c r="J653">
        <f>IF($A653="","",IF($D653="V01",Cadrage!$C$35,IF($D653="V02",Cadrage!$D$35,Cadrage!$E$35)))</f>
        <v>0.03</v>
      </c>
      <c r="K653">
        <f>IF($A653="","",IF($D653="V01",Cadrage!$C$36,IF($D653="V02",Cadrage!$D$36,Cadrage!$E$36)))</f>
        <v>0.05</v>
      </c>
      <c r="L653">
        <f>IF($A653="","",IF($D653="V01",Cadrage!$C$37,IF($D653="V02",Cadrage!$D$37,Cadrage!$E$37)))</f>
        <v>0</v>
      </c>
      <c r="M653">
        <f>IF($A653="","",IF($D653="V01",Cadrage!$C$38,IF($D653="V02",Cadrage!$D$38,Cadrage!$E$38)))</f>
        <v>0.04</v>
      </c>
      <c r="N653">
        <f t="shared" si="1"/>
        <v>0.980622079131853</v>
      </c>
      <c r="O653">
        <f t="shared" si="2"/>
        <v>1.03</v>
      </c>
      <c r="P653">
        <f>IF($A653="","",IF($E653=1,$F653*$O653,PNL!G653))</f>
        <v>58448</v>
      </c>
      <c r="T653">
        <f t="shared" si="3"/>
        <v>0</v>
      </c>
    </row>
    <row r="654" ht="14.25" customHeight="1">
      <c r="A654" t="str">
        <f>IF(PNL!A654="","",PNL!A654)</f>
        <v>MBWAY_PAR</v>
      </c>
      <c r="B654" t="str">
        <f>IF(PNL!B654="","",PNL!B654)</f>
        <v>6811</v>
      </c>
      <c r="C654" t="str">
        <f>IF(PNL!C654="","",PNL!C654)</f>
        <v>2026</v>
      </c>
      <c r="D654" t="str">
        <f>IF(PNL!D654="","",PNL!D654)</f>
        <v>ACT</v>
      </c>
      <c r="E654">
        <f t="shared" si="0"/>
        <v>0</v>
      </c>
      <c r="F654">
        <f>IF($A654="","",IF($E654=1,_xlfn.SUMIFS(Comptabilité!$F$1:$F$1446,Comptabilité!$A$1:$A$1446,$A654,Comptabilité!$B$1:$B$1446,$B654,Comptabilité!$C$1:$C$1446,"2026"),0))</f>
        <v>0</v>
      </c>
      <c r="G654">
        <f>IF($A654="","",IF($D654="V01",Cadrage!$C$23,IF($D654="V02",Cadrage!$D$23,Cadrage!$E$23)))</f>
        <v>-0.05</v>
      </c>
      <c r="H654">
        <f>IF($A654="","",IF($D654="V01",Cadrage!$C$24,IF($D654="V02",Cadrage!$D$24,Cadrage!$E$24)))</f>
        <v>-0.05</v>
      </c>
      <c r="I654">
        <f>IF($A654="","",IF($D654="V01",Cadrage!$C$34,IF($D654="V02",Cadrage!$D$34,Cadrage!$E$34)))</f>
        <v>0.03</v>
      </c>
      <c r="J654">
        <f>IF($A654="","",IF($D654="V01",Cadrage!$C$35,IF($D654="V02",Cadrage!$D$35,Cadrage!$E$35)))</f>
        <v>0.03</v>
      </c>
      <c r="K654">
        <f>IF($A654="","",IF($D654="V01",Cadrage!$C$36,IF($D654="V02",Cadrage!$D$36,Cadrage!$E$36)))</f>
        <v>0.05</v>
      </c>
      <c r="L654">
        <f>IF($A654="","",IF($D654="V01",Cadrage!$C$37,IF($D654="V02",Cadrage!$D$37,Cadrage!$E$37)))</f>
        <v>0</v>
      </c>
      <c r="M654">
        <f>IF($A654="","",IF($D654="V01",Cadrage!$C$38,IF($D654="V02",Cadrage!$D$38,Cadrage!$E$38)))</f>
        <v>0.04</v>
      </c>
      <c r="N654">
        <f t="shared" si="1"/>
        <v>0.980622079131853</v>
      </c>
      <c r="O654">
        <f t="shared" si="2"/>
        <v>1.03</v>
      </c>
      <c r="P654">
        <f>IF($A654="","",IF($E654=1,$F654*$O654,PNL!G654))</f>
        <v>154887</v>
      </c>
      <c r="T654">
        <f t="shared" si="3"/>
        <v>0</v>
      </c>
    </row>
    <row r="655" ht="14.25" customHeight="1">
      <c r="A655" t="str">
        <f>IF(PNL!A655="","",PNL!A655)</f>
        <v>MBWAY_LYO</v>
      </c>
      <c r="B655" t="str">
        <f>IF(PNL!B655="","",PNL!B655)</f>
        <v>6811</v>
      </c>
      <c r="C655" t="str">
        <f>IF(PNL!C655="","",PNL!C655)</f>
        <v>2026</v>
      </c>
      <c r="D655" t="str">
        <f>IF(PNL!D655="","",PNL!D655)</f>
        <v>ACT</v>
      </c>
      <c r="E655">
        <f t="shared" si="0"/>
        <v>0</v>
      </c>
      <c r="F655">
        <f>IF($A655="","",IF($E655=1,_xlfn.SUMIFS(Comptabilité!$F$1:$F$1446,Comptabilité!$A$1:$A$1446,$A655,Comptabilité!$B$1:$B$1446,$B655,Comptabilité!$C$1:$C$1446,"2026"),0))</f>
        <v>0</v>
      </c>
      <c r="G655">
        <f>IF($A655="","",IF($D655="V01",Cadrage!$C$23,IF($D655="V02",Cadrage!$D$23,Cadrage!$E$23)))</f>
        <v>-0.05</v>
      </c>
      <c r="H655">
        <f>IF($A655="","",IF($D655="V01",Cadrage!$C$24,IF($D655="V02",Cadrage!$D$24,Cadrage!$E$24)))</f>
        <v>-0.05</v>
      </c>
      <c r="I655">
        <f>IF($A655="","",IF($D655="V01",Cadrage!$C$34,IF($D655="V02",Cadrage!$D$34,Cadrage!$E$34)))</f>
        <v>0.03</v>
      </c>
      <c r="J655">
        <f>IF($A655="","",IF($D655="V01",Cadrage!$C$35,IF($D655="V02",Cadrage!$D$35,Cadrage!$E$35)))</f>
        <v>0.03</v>
      </c>
      <c r="K655">
        <f>IF($A655="","",IF($D655="V01",Cadrage!$C$36,IF($D655="V02",Cadrage!$D$36,Cadrage!$E$36)))</f>
        <v>0.05</v>
      </c>
      <c r="L655">
        <f>IF($A655="","",IF($D655="V01",Cadrage!$C$37,IF($D655="V02",Cadrage!$D$37,Cadrage!$E$37)))</f>
        <v>0</v>
      </c>
      <c r="M655">
        <f>IF($A655="","",IF($D655="V01",Cadrage!$C$38,IF($D655="V02",Cadrage!$D$38,Cadrage!$E$38)))</f>
        <v>0.04</v>
      </c>
      <c r="N655">
        <f t="shared" si="1"/>
        <v>0.980622079131853</v>
      </c>
      <c r="O655">
        <f t="shared" si="2"/>
        <v>1.03</v>
      </c>
      <c r="P655">
        <f>IF($A655="","",IF($E655=1,$F655*$O655,PNL!G655))</f>
        <v>134236</v>
      </c>
      <c r="T655">
        <f t="shared" si="3"/>
        <v>0</v>
      </c>
    </row>
    <row r="656" ht="14.25" customHeight="1">
      <c r="A656" t="str">
        <f>IF(PNL!A656="","",PNL!A656)</f>
        <v>MBWAY_NAN</v>
      </c>
      <c r="B656" t="str">
        <f>IF(PNL!B656="","",PNL!B656)</f>
        <v>6811</v>
      </c>
      <c r="C656" t="str">
        <f>IF(PNL!C656="","",PNL!C656)</f>
        <v>2026</v>
      </c>
      <c r="D656" t="str">
        <f>IF(PNL!D656="","",PNL!D656)</f>
        <v>ACT</v>
      </c>
      <c r="E656">
        <f t="shared" si="0"/>
        <v>0</v>
      </c>
      <c r="F656">
        <f>IF($A656="","",IF($E656=1,_xlfn.SUMIFS(Comptabilité!$F$1:$F$1446,Comptabilité!$A$1:$A$1446,$A656,Comptabilité!$B$1:$B$1446,$B656,Comptabilité!$C$1:$C$1446,"2026"),0))</f>
        <v>0</v>
      </c>
      <c r="G656">
        <f>IF($A656="","",IF($D656="V01",Cadrage!$C$23,IF($D656="V02",Cadrage!$D$23,Cadrage!$E$23)))</f>
        <v>-0.05</v>
      </c>
      <c r="H656">
        <f>IF($A656="","",IF($D656="V01",Cadrage!$C$24,IF($D656="V02",Cadrage!$D$24,Cadrage!$E$24)))</f>
        <v>-0.05</v>
      </c>
      <c r="I656">
        <f>IF($A656="","",IF($D656="V01",Cadrage!$C$34,IF($D656="V02",Cadrage!$D$34,Cadrage!$E$34)))</f>
        <v>0.03</v>
      </c>
      <c r="J656">
        <f>IF($A656="","",IF($D656="V01",Cadrage!$C$35,IF($D656="V02",Cadrage!$D$35,Cadrage!$E$35)))</f>
        <v>0.03</v>
      </c>
      <c r="K656">
        <f>IF($A656="","",IF($D656="V01",Cadrage!$C$36,IF($D656="V02",Cadrage!$D$36,Cadrage!$E$36)))</f>
        <v>0.05</v>
      </c>
      <c r="L656">
        <f>IF($A656="","",IF($D656="V01",Cadrage!$C$37,IF($D656="V02",Cadrage!$D$37,Cadrage!$E$37)))</f>
        <v>0</v>
      </c>
      <c r="M656">
        <f>IF($A656="","",IF($D656="V01",Cadrage!$C$38,IF($D656="V02",Cadrage!$D$38,Cadrage!$E$38)))</f>
        <v>0.04</v>
      </c>
      <c r="N656">
        <f t="shared" si="1"/>
        <v>0.980622079131853</v>
      </c>
      <c r="O656">
        <f t="shared" si="2"/>
        <v>1.03</v>
      </c>
      <c r="P656">
        <f>IF($A656="","",IF($E656=1,$F656*$O656,PNL!G656))</f>
        <v>123910</v>
      </c>
      <c r="T656">
        <f t="shared" si="3"/>
        <v>0</v>
      </c>
    </row>
    <row r="657" ht="14.25" customHeight="1">
      <c r="A657" t="str">
        <f>IF(PNL!A657="","",PNL!A657)</f>
        <v>MBWAY_BOR</v>
      </c>
      <c r="B657" t="str">
        <f>IF(PNL!B657="","",PNL!B657)</f>
        <v>6811</v>
      </c>
      <c r="C657" t="str">
        <f>IF(PNL!C657="","",PNL!C657)</f>
        <v>2026</v>
      </c>
      <c r="D657" t="str">
        <f>IF(PNL!D657="","",PNL!D657)</f>
        <v>ACT</v>
      </c>
      <c r="E657">
        <f t="shared" si="0"/>
        <v>0</v>
      </c>
      <c r="F657">
        <f>IF($A657="","",IF($E657=1,_xlfn.SUMIFS(Comptabilité!$F$1:$F$1446,Comptabilité!$A$1:$A$1446,$A657,Comptabilité!$B$1:$B$1446,$B657,Comptabilité!$C$1:$C$1446,"2026"),0))</f>
        <v>0</v>
      </c>
      <c r="G657">
        <f>IF($A657="","",IF($D657="V01",Cadrage!$C$23,IF($D657="V02",Cadrage!$D$23,Cadrage!$E$23)))</f>
        <v>-0.05</v>
      </c>
      <c r="H657">
        <f>IF($A657="","",IF($D657="V01",Cadrage!$C$24,IF($D657="V02",Cadrage!$D$24,Cadrage!$E$24)))</f>
        <v>-0.05</v>
      </c>
      <c r="I657">
        <f>IF($A657="","",IF($D657="V01",Cadrage!$C$34,IF($D657="V02",Cadrage!$D$34,Cadrage!$E$34)))</f>
        <v>0.03</v>
      </c>
      <c r="J657">
        <f>IF($A657="","",IF($D657="V01",Cadrage!$C$35,IF($D657="V02",Cadrage!$D$35,Cadrage!$E$35)))</f>
        <v>0.03</v>
      </c>
      <c r="K657">
        <f>IF($A657="","",IF($D657="V01",Cadrage!$C$36,IF($D657="V02",Cadrage!$D$36,Cadrage!$E$36)))</f>
        <v>0.05</v>
      </c>
      <c r="L657">
        <f>IF($A657="","",IF($D657="V01",Cadrage!$C$37,IF($D657="V02",Cadrage!$D$37,Cadrage!$E$37)))</f>
        <v>0</v>
      </c>
      <c r="M657">
        <f>IF($A657="","",IF($D657="V01",Cadrage!$C$38,IF($D657="V02",Cadrage!$D$38,Cadrage!$E$38)))</f>
        <v>0.04</v>
      </c>
      <c r="N657">
        <f t="shared" si="1"/>
        <v>0.980622079131853</v>
      </c>
      <c r="O657">
        <f t="shared" si="2"/>
        <v>1.03</v>
      </c>
      <c r="P657">
        <f>IF($A657="","",IF($E657=1,$F657*$O657,PNL!G657))</f>
        <v>103258</v>
      </c>
      <c r="T657">
        <f t="shared" si="3"/>
        <v>0</v>
      </c>
    </row>
    <row r="658" ht="14.25" customHeight="1">
      <c r="A658" t="str">
        <f>IF(PNL!A658="","",PNL!A658)</f>
        <v>ISCOM_PAR</v>
      </c>
      <c r="B658" t="str">
        <f>IF(PNL!B658="","",PNL!B658)</f>
        <v>6811</v>
      </c>
      <c r="C658" t="str">
        <f>IF(PNL!C658="","",PNL!C658)</f>
        <v>2026</v>
      </c>
      <c r="D658" t="str">
        <f>IF(PNL!D658="","",PNL!D658)</f>
        <v>ACT</v>
      </c>
      <c r="E658">
        <f t="shared" si="0"/>
        <v>0</v>
      </c>
      <c r="F658">
        <f>IF($A658="","",IF($E658=1,_xlfn.SUMIFS(Comptabilité!$F$1:$F$1446,Comptabilité!$A$1:$A$1446,$A658,Comptabilité!$B$1:$B$1446,$B658,Comptabilité!$C$1:$C$1446,"2026"),0))</f>
        <v>0</v>
      </c>
      <c r="G658">
        <f>IF($A658="","",IF($D658="V01",Cadrage!$C$23,IF($D658="V02",Cadrage!$D$23,Cadrage!$E$23)))</f>
        <v>-0.05</v>
      </c>
      <c r="H658">
        <f>IF($A658="","",IF($D658="V01",Cadrage!$C$24,IF($D658="V02",Cadrage!$D$24,Cadrage!$E$24)))</f>
        <v>-0.05</v>
      </c>
      <c r="I658">
        <f>IF($A658="","",IF($D658="V01",Cadrage!$C$34,IF($D658="V02",Cadrage!$D$34,Cadrage!$E$34)))</f>
        <v>0.03</v>
      </c>
      <c r="J658">
        <f>IF($A658="","",IF($D658="V01",Cadrage!$C$35,IF($D658="V02",Cadrage!$D$35,Cadrage!$E$35)))</f>
        <v>0.03</v>
      </c>
      <c r="K658">
        <f>IF($A658="","",IF($D658="V01",Cadrage!$C$36,IF($D658="V02",Cadrage!$D$36,Cadrage!$E$36)))</f>
        <v>0.05</v>
      </c>
      <c r="L658">
        <f>IF($A658="","",IF($D658="V01",Cadrage!$C$37,IF($D658="V02",Cadrage!$D$37,Cadrage!$E$37)))</f>
        <v>0</v>
      </c>
      <c r="M658">
        <f>IF($A658="","",IF($D658="V01",Cadrage!$C$38,IF($D658="V02",Cadrage!$D$38,Cadrage!$E$38)))</f>
        <v>0.04</v>
      </c>
      <c r="N658">
        <f t="shared" si="1"/>
        <v>0.980622079131853</v>
      </c>
      <c r="O658">
        <f t="shared" si="2"/>
        <v>1.03</v>
      </c>
      <c r="P658">
        <f>IF($A658="","",IF($E658=1,$F658*$O658,PNL!G658))</f>
        <v>154887</v>
      </c>
      <c r="T658">
        <f t="shared" si="3"/>
        <v>0</v>
      </c>
    </row>
    <row r="659" ht="14.25" customHeight="1">
      <c r="A659" t="str">
        <f>IF(PNL!A659="","",PNL!A659)</f>
        <v>ISCOM_LIL</v>
      </c>
      <c r="B659" t="str">
        <f>IF(PNL!B659="","",PNL!B659)</f>
        <v>6811</v>
      </c>
      <c r="C659" t="str">
        <f>IF(PNL!C659="","",PNL!C659)</f>
        <v>2026</v>
      </c>
      <c r="D659" t="str">
        <f>IF(PNL!D659="","",PNL!D659)</f>
        <v>ACT</v>
      </c>
      <c r="E659">
        <f t="shared" si="0"/>
        <v>0</v>
      </c>
      <c r="F659">
        <f>IF($A659="","",IF($E659=1,_xlfn.SUMIFS(Comptabilité!$F$1:$F$1446,Comptabilité!$A$1:$A$1446,$A659,Comptabilité!$B$1:$B$1446,$B659,Comptabilité!$C$1:$C$1446,"2026"),0))</f>
        <v>0</v>
      </c>
      <c r="G659">
        <f>IF($A659="","",IF($D659="V01",Cadrage!$C$23,IF($D659="V02",Cadrage!$D$23,Cadrage!$E$23)))</f>
        <v>-0.05</v>
      </c>
      <c r="H659">
        <f>IF($A659="","",IF($D659="V01",Cadrage!$C$24,IF($D659="V02",Cadrage!$D$24,Cadrage!$E$24)))</f>
        <v>-0.05</v>
      </c>
      <c r="I659">
        <f>IF($A659="","",IF($D659="V01",Cadrage!$C$34,IF($D659="V02",Cadrage!$D$34,Cadrage!$E$34)))</f>
        <v>0.03</v>
      </c>
      <c r="J659">
        <f>IF($A659="","",IF($D659="V01",Cadrage!$C$35,IF($D659="V02",Cadrage!$D$35,Cadrage!$E$35)))</f>
        <v>0.03</v>
      </c>
      <c r="K659">
        <f>IF($A659="","",IF($D659="V01",Cadrage!$C$36,IF($D659="V02",Cadrage!$D$36,Cadrage!$E$36)))</f>
        <v>0.05</v>
      </c>
      <c r="L659">
        <f>IF($A659="","",IF($D659="V01",Cadrage!$C$37,IF($D659="V02",Cadrage!$D$37,Cadrage!$E$37)))</f>
        <v>0</v>
      </c>
      <c r="M659">
        <f>IF($A659="","",IF($D659="V01",Cadrage!$C$38,IF($D659="V02",Cadrage!$D$38,Cadrage!$E$38)))</f>
        <v>0.04</v>
      </c>
      <c r="N659">
        <f t="shared" si="1"/>
        <v>0.980622079131853</v>
      </c>
      <c r="O659">
        <f t="shared" si="2"/>
        <v>1.03</v>
      </c>
      <c r="P659">
        <f>IF($A659="","",IF($E659=1,$F659*$O659,PNL!G659))</f>
        <v>103258</v>
      </c>
      <c r="T659">
        <f t="shared" si="3"/>
        <v>0</v>
      </c>
    </row>
    <row r="660" ht="14.25" customHeight="1">
      <c r="A660" t="str">
        <f>IF(PNL!A660="","",PNL!A660)</f>
        <v>ISCOM_TLS</v>
      </c>
      <c r="B660" t="str">
        <f>IF(PNL!B660="","",PNL!B660)</f>
        <v>6811</v>
      </c>
      <c r="C660" t="str">
        <f>IF(PNL!C660="","",PNL!C660)</f>
        <v>2026</v>
      </c>
      <c r="D660" t="str">
        <f>IF(PNL!D660="","",PNL!D660)</f>
        <v>ACT</v>
      </c>
      <c r="E660">
        <f t="shared" si="0"/>
        <v>0</v>
      </c>
      <c r="F660">
        <f>IF($A660="","",IF($E660=1,_xlfn.SUMIFS(Comptabilité!$F$1:$F$1446,Comptabilité!$A$1:$A$1446,$A660,Comptabilité!$B$1:$B$1446,$B660,Comptabilité!$C$1:$C$1446,"2026"),0))</f>
        <v>0</v>
      </c>
      <c r="G660">
        <f>IF($A660="","",IF($D660="V01",Cadrage!$C$23,IF($D660="V02",Cadrage!$D$23,Cadrage!$E$23)))</f>
        <v>-0.05</v>
      </c>
      <c r="H660">
        <f>IF($A660="","",IF($D660="V01",Cadrage!$C$24,IF($D660="V02",Cadrage!$D$24,Cadrage!$E$24)))</f>
        <v>-0.05</v>
      </c>
      <c r="I660">
        <f>IF($A660="","",IF($D660="V01",Cadrage!$C$34,IF($D660="V02",Cadrage!$D$34,Cadrage!$E$34)))</f>
        <v>0.03</v>
      </c>
      <c r="J660">
        <f>IF($A660="","",IF($D660="V01",Cadrage!$C$35,IF($D660="V02",Cadrage!$D$35,Cadrage!$E$35)))</f>
        <v>0.03</v>
      </c>
      <c r="K660">
        <f>IF($A660="","",IF($D660="V01",Cadrage!$C$36,IF($D660="V02",Cadrage!$D$36,Cadrage!$E$36)))</f>
        <v>0.05</v>
      </c>
      <c r="L660">
        <f>IF($A660="","",IF($D660="V01",Cadrage!$C$37,IF($D660="V02",Cadrage!$D$37,Cadrage!$E$37)))</f>
        <v>0</v>
      </c>
      <c r="M660">
        <f>IF($A660="","",IF($D660="V01",Cadrage!$C$38,IF($D660="V02",Cadrage!$D$38,Cadrage!$E$38)))</f>
        <v>0.04</v>
      </c>
      <c r="N660">
        <f t="shared" si="1"/>
        <v>0.980622079131853</v>
      </c>
      <c r="O660">
        <f t="shared" si="2"/>
        <v>1.03</v>
      </c>
      <c r="P660">
        <f>IF($A660="","",IF($E660=1,$F660*$O660,PNL!G660))</f>
        <v>103258</v>
      </c>
      <c r="T660">
        <f t="shared" si="3"/>
        <v>0</v>
      </c>
    </row>
    <row r="661" ht="14.25" customHeight="1">
      <c r="A661" t="str">
        <f>IF(PNL!A661="","",PNL!A661)</f>
        <v>IPAC_NAN</v>
      </c>
      <c r="B661" t="str">
        <f>IF(PNL!B661="","",PNL!B661)</f>
        <v>6811</v>
      </c>
      <c r="C661" t="str">
        <f>IF(PNL!C661="","",PNL!C661)</f>
        <v>2026</v>
      </c>
      <c r="D661" t="str">
        <f>IF(PNL!D661="","",PNL!D661)</f>
        <v>ACT</v>
      </c>
      <c r="E661">
        <f t="shared" si="0"/>
        <v>0</v>
      </c>
      <c r="F661">
        <f>IF($A661="","",IF($E661=1,_xlfn.SUMIFS(Comptabilité!$F$1:$F$1446,Comptabilité!$A$1:$A$1446,$A661,Comptabilité!$B$1:$B$1446,$B661,Comptabilité!$C$1:$C$1446,"2026"),0))</f>
        <v>0</v>
      </c>
      <c r="G661">
        <f>IF($A661="","",IF($D661="V01",Cadrage!$C$23,IF($D661="V02",Cadrage!$D$23,Cadrage!$E$23)))</f>
        <v>-0.05</v>
      </c>
      <c r="H661">
        <f>IF($A661="","",IF($D661="V01",Cadrage!$C$24,IF($D661="V02",Cadrage!$D$24,Cadrage!$E$24)))</f>
        <v>-0.05</v>
      </c>
      <c r="I661">
        <f>IF($A661="","",IF($D661="V01",Cadrage!$C$34,IF($D661="V02",Cadrage!$D$34,Cadrage!$E$34)))</f>
        <v>0.03</v>
      </c>
      <c r="J661">
        <f>IF($A661="","",IF($D661="V01",Cadrage!$C$35,IF($D661="V02",Cadrage!$D$35,Cadrage!$E$35)))</f>
        <v>0.03</v>
      </c>
      <c r="K661">
        <f>IF($A661="","",IF($D661="V01",Cadrage!$C$36,IF($D661="V02",Cadrage!$D$36,Cadrage!$E$36)))</f>
        <v>0.05</v>
      </c>
      <c r="L661">
        <f>IF($A661="","",IF($D661="V01",Cadrage!$C$37,IF($D661="V02",Cadrage!$D$37,Cadrage!$E$37)))</f>
        <v>0</v>
      </c>
      <c r="M661">
        <f>IF($A661="","",IF($D661="V01",Cadrage!$C$38,IF($D661="V02",Cadrage!$D$38,Cadrage!$E$38)))</f>
        <v>0.04</v>
      </c>
      <c r="N661">
        <f t="shared" si="1"/>
        <v>0.980622079131853</v>
      </c>
      <c r="O661">
        <f t="shared" si="2"/>
        <v>1.03</v>
      </c>
      <c r="P661">
        <f>IF($A661="","",IF($E661=1,$F661*$O661,PNL!G661))</f>
        <v>61955</v>
      </c>
      <c r="T661">
        <f t="shared" si="3"/>
        <v>0</v>
      </c>
    </row>
    <row r="662" ht="14.25" customHeight="1">
      <c r="A662" t="str">
        <f>IF(PNL!A662="","",PNL!A662)</f>
        <v>IPAC_REN</v>
      </c>
      <c r="B662" t="str">
        <f>IF(PNL!B662="","",PNL!B662)</f>
        <v>6811</v>
      </c>
      <c r="C662" t="str">
        <f>IF(PNL!C662="","",PNL!C662)</f>
        <v>2026</v>
      </c>
      <c r="D662" t="str">
        <f>IF(PNL!D662="","",PNL!D662)</f>
        <v>ACT</v>
      </c>
      <c r="E662">
        <f t="shared" si="0"/>
        <v>0</v>
      </c>
      <c r="F662">
        <f>IF($A662="","",IF($E662=1,_xlfn.SUMIFS(Comptabilité!$F$1:$F$1446,Comptabilité!$A$1:$A$1446,$A662,Comptabilité!$B$1:$B$1446,$B662,Comptabilité!$C$1:$C$1446,"2026"),0))</f>
        <v>0</v>
      </c>
      <c r="G662">
        <f>IF($A662="","",IF($D662="V01",Cadrage!$C$23,IF($D662="V02",Cadrage!$D$23,Cadrage!$E$23)))</f>
        <v>-0.05</v>
      </c>
      <c r="H662">
        <f>IF($A662="","",IF($D662="V01",Cadrage!$C$24,IF($D662="V02",Cadrage!$D$24,Cadrage!$E$24)))</f>
        <v>-0.05</v>
      </c>
      <c r="I662">
        <f>IF($A662="","",IF($D662="V01",Cadrage!$C$34,IF($D662="V02",Cadrage!$D$34,Cadrage!$E$34)))</f>
        <v>0.03</v>
      </c>
      <c r="J662">
        <f>IF($A662="","",IF($D662="V01",Cadrage!$C$35,IF($D662="V02",Cadrage!$D$35,Cadrage!$E$35)))</f>
        <v>0.03</v>
      </c>
      <c r="K662">
        <f>IF($A662="","",IF($D662="V01",Cadrage!$C$36,IF($D662="V02",Cadrage!$D$36,Cadrage!$E$36)))</f>
        <v>0.05</v>
      </c>
      <c r="L662">
        <f>IF($A662="","",IF($D662="V01",Cadrage!$C$37,IF($D662="V02",Cadrage!$D$37,Cadrage!$E$37)))</f>
        <v>0</v>
      </c>
      <c r="M662">
        <f>IF($A662="","",IF($D662="V01",Cadrage!$C$38,IF($D662="V02",Cadrage!$D$38,Cadrage!$E$38)))</f>
        <v>0.04</v>
      </c>
      <c r="N662">
        <f t="shared" si="1"/>
        <v>0.980622079131853</v>
      </c>
      <c r="O662">
        <f t="shared" si="2"/>
        <v>1.03</v>
      </c>
      <c r="P662">
        <f>IF($A662="","",IF($E662=1,$F662*$O662,PNL!G662))</f>
        <v>61955</v>
      </c>
      <c r="T662">
        <f t="shared" si="3"/>
        <v>0</v>
      </c>
    </row>
    <row r="663" ht="14.25" customHeight="1">
      <c r="A663" t="str">
        <f>IF(PNL!A663="","",PNL!A663)</f>
        <v>IPAC_MTP</v>
      </c>
      <c r="B663" t="str">
        <f>IF(PNL!B663="","",PNL!B663)</f>
        <v>6811</v>
      </c>
      <c r="C663" t="str">
        <f>IF(PNL!C663="","",PNL!C663)</f>
        <v>2026</v>
      </c>
      <c r="D663" t="str">
        <f>IF(PNL!D663="","",PNL!D663)</f>
        <v>ACT</v>
      </c>
      <c r="E663">
        <f t="shared" si="0"/>
        <v>0</v>
      </c>
      <c r="F663">
        <f>IF($A663="","",IF($E663=1,_xlfn.SUMIFS(Comptabilité!$F$1:$F$1446,Comptabilité!$A$1:$A$1446,$A663,Comptabilité!$B$1:$B$1446,$B663,Comptabilité!$C$1:$C$1446,"2026"),0))</f>
        <v>0</v>
      </c>
      <c r="G663">
        <f>IF($A663="","",IF($D663="V01",Cadrage!$C$23,IF($D663="V02",Cadrage!$D$23,Cadrage!$E$23)))</f>
        <v>-0.05</v>
      </c>
      <c r="H663">
        <f>IF($A663="","",IF($D663="V01",Cadrage!$C$24,IF($D663="V02",Cadrage!$D$24,Cadrage!$E$24)))</f>
        <v>-0.05</v>
      </c>
      <c r="I663">
        <f>IF($A663="","",IF($D663="V01",Cadrage!$C$34,IF($D663="V02",Cadrage!$D$34,Cadrage!$E$34)))</f>
        <v>0.03</v>
      </c>
      <c r="J663">
        <f>IF($A663="","",IF($D663="V01",Cadrage!$C$35,IF($D663="V02",Cadrage!$D$35,Cadrage!$E$35)))</f>
        <v>0.03</v>
      </c>
      <c r="K663">
        <f>IF($A663="","",IF($D663="V01",Cadrage!$C$36,IF($D663="V02",Cadrage!$D$36,Cadrage!$E$36)))</f>
        <v>0.05</v>
      </c>
      <c r="L663">
        <f>IF($A663="","",IF($D663="V01",Cadrage!$C$37,IF($D663="V02",Cadrage!$D$37,Cadrage!$E$37)))</f>
        <v>0</v>
      </c>
      <c r="M663">
        <f>IF($A663="","",IF($D663="V01",Cadrage!$C$38,IF($D663="V02",Cadrage!$D$38,Cadrage!$E$38)))</f>
        <v>0.04</v>
      </c>
      <c r="N663">
        <f t="shared" si="1"/>
        <v>0.980622079131853</v>
      </c>
      <c r="O663">
        <f t="shared" si="2"/>
        <v>1.03</v>
      </c>
      <c r="P663">
        <f>IF($A663="","",IF($E663=1,$F663*$O663,PNL!G663))</f>
        <v>61955</v>
      </c>
      <c r="T663">
        <f t="shared" si="3"/>
        <v>0</v>
      </c>
    </row>
    <row r="664" ht="14.25" customHeight="1">
      <c r="A664" t="str">
        <f>IF(PNL!A664="","",PNL!A664)</f>
        <v>PIGIER_LYO</v>
      </c>
      <c r="B664" t="str">
        <f>IF(PNL!B664="","",PNL!B664)</f>
        <v>6811</v>
      </c>
      <c r="C664" t="str">
        <f>IF(PNL!C664="","",PNL!C664)</f>
        <v>2026</v>
      </c>
      <c r="D664" t="str">
        <f>IF(PNL!D664="","",PNL!D664)</f>
        <v>ACT</v>
      </c>
      <c r="E664">
        <f t="shared" si="0"/>
        <v>0</v>
      </c>
      <c r="F664">
        <f>IF($A664="","",IF($E664=1,_xlfn.SUMIFS(Comptabilité!$F$1:$F$1446,Comptabilité!$A$1:$A$1446,$A664,Comptabilité!$B$1:$B$1446,$B664,Comptabilité!$C$1:$C$1446,"2026"),0))</f>
        <v>0</v>
      </c>
      <c r="G664">
        <f>IF($A664="","",IF($D664="V01",Cadrage!$C$23,IF($D664="V02",Cadrage!$D$23,Cadrage!$E$23)))</f>
        <v>-0.05</v>
      </c>
      <c r="H664">
        <f>IF($A664="","",IF($D664="V01",Cadrage!$C$24,IF($D664="V02",Cadrage!$D$24,Cadrage!$E$24)))</f>
        <v>-0.05</v>
      </c>
      <c r="I664">
        <f>IF($A664="","",IF($D664="V01",Cadrage!$C$34,IF($D664="V02",Cadrage!$D$34,Cadrage!$E$34)))</f>
        <v>0.03</v>
      </c>
      <c r="J664">
        <f>IF($A664="","",IF($D664="V01",Cadrage!$C$35,IF($D664="V02",Cadrage!$D$35,Cadrage!$E$35)))</f>
        <v>0.03</v>
      </c>
      <c r="K664">
        <f>IF($A664="","",IF($D664="V01",Cadrage!$C$36,IF($D664="V02",Cadrage!$D$36,Cadrage!$E$36)))</f>
        <v>0.05</v>
      </c>
      <c r="L664">
        <f>IF($A664="","",IF($D664="V01",Cadrage!$C$37,IF($D664="V02",Cadrage!$D$37,Cadrage!$E$37)))</f>
        <v>0</v>
      </c>
      <c r="M664">
        <f>IF($A664="","",IF($D664="V01",Cadrage!$C$38,IF($D664="V02",Cadrage!$D$38,Cadrage!$E$38)))</f>
        <v>0.04</v>
      </c>
      <c r="N664">
        <f t="shared" si="1"/>
        <v>0.980622079131853</v>
      </c>
      <c r="O664">
        <f t="shared" si="2"/>
        <v>1.03</v>
      </c>
      <c r="P664">
        <f>IF($A664="","",IF($E664=1,$F664*$O664,PNL!G664))</f>
        <v>82607</v>
      </c>
      <c r="T664">
        <f t="shared" si="3"/>
        <v>0</v>
      </c>
    </row>
    <row r="665" ht="14.25" customHeight="1">
      <c r="A665" t="str">
        <f>IF(PNL!A665="","",PNL!A665)</f>
        <v>PIGIER_BOR</v>
      </c>
      <c r="B665" t="str">
        <f>IF(PNL!B665="","",PNL!B665)</f>
        <v>6811</v>
      </c>
      <c r="C665" t="str">
        <f>IF(PNL!C665="","",PNL!C665)</f>
        <v>2026</v>
      </c>
      <c r="D665" t="str">
        <f>IF(PNL!D665="","",PNL!D665)</f>
        <v>ACT</v>
      </c>
      <c r="E665">
        <f t="shared" si="0"/>
        <v>0</v>
      </c>
      <c r="F665">
        <f>IF($A665="","",IF($E665=1,_xlfn.SUMIFS(Comptabilité!$F$1:$F$1446,Comptabilité!$A$1:$A$1446,$A665,Comptabilité!$B$1:$B$1446,$B665,Comptabilité!$C$1:$C$1446,"2026"),0))</f>
        <v>0</v>
      </c>
      <c r="G665">
        <f>IF($A665="","",IF($D665="V01",Cadrage!$C$23,IF($D665="V02",Cadrage!$D$23,Cadrage!$E$23)))</f>
        <v>-0.05</v>
      </c>
      <c r="H665">
        <f>IF($A665="","",IF($D665="V01",Cadrage!$C$24,IF($D665="V02",Cadrage!$D$24,Cadrage!$E$24)))</f>
        <v>-0.05</v>
      </c>
      <c r="I665">
        <f>IF($A665="","",IF($D665="V01",Cadrage!$C$34,IF($D665="V02",Cadrage!$D$34,Cadrage!$E$34)))</f>
        <v>0.03</v>
      </c>
      <c r="J665">
        <f>IF($A665="","",IF($D665="V01",Cadrage!$C$35,IF($D665="V02",Cadrage!$D$35,Cadrage!$E$35)))</f>
        <v>0.03</v>
      </c>
      <c r="K665">
        <f>IF($A665="","",IF($D665="V01",Cadrage!$C$36,IF($D665="V02",Cadrage!$D$36,Cadrage!$E$36)))</f>
        <v>0.05</v>
      </c>
      <c r="L665">
        <f>IF($A665="","",IF($D665="V01",Cadrage!$C$37,IF($D665="V02",Cadrage!$D$37,Cadrage!$E$37)))</f>
        <v>0</v>
      </c>
      <c r="M665">
        <f>IF($A665="","",IF($D665="V01",Cadrage!$C$38,IF($D665="V02",Cadrage!$D$38,Cadrage!$E$38)))</f>
        <v>0.04</v>
      </c>
      <c r="N665">
        <f t="shared" si="1"/>
        <v>0.980622079131853</v>
      </c>
      <c r="O665">
        <f t="shared" si="2"/>
        <v>1.03</v>
      </c>
      <c r="P665">
        <f>IF($A665="","",IF($E665=1,$F665*$O665,PNL!G665))</f>
        <v>82607</v>
      </c>
      <c r="T665">
        <f t="shared" si="3"/>
        <v>0</v>
      </c>
    </row>
    <row r="666" ht="14.25" customHeight="1">
      <c r="A666" t="str">
        <f>IF(PNL!A666="","",PNL!A666)</f>
        <v>TUNON_PAR</v>
      </c>
      <c r="B666" t="str">
        <f>IF(PNL!B666="","",PNL!B666)</f>
        <v>6811</v>
      </c>
      <c r="C666" t="str">
        <f>IF(PNL!C666="","",PNL!C666)</f>
        <v>2026</v>
      </c>
      <c r="D666" t="str">
        <f>IF(PNL!D666="","",PNL!D666)</f>
        <v>ACT</v>
      </c>
      <c r="E666">
        <f t="shared" si="0"/>
        <v>0</v>
      </c>
      <c r="F666">
        <f>IF($A666="","",IF($E666=1,_xlfn.SUMIFS(Comptabilité!$F$1:$F$1446,Comptabilité!$A$1:$A$1446,$A666,Comptabilité!$B$1:$B$1446,$B666,Comptabilité!$C$1:$C$1446,"2026"),0))</f>
        <v>0</v>
      </c>
      <c r="G666">
        <f>IF($A666="","",IF($D666="V01",Cadrage!$C$23,IF($D666="V02",Cadrage!$D$23,Cadrage!$E$23)))</f>
        <v>-0.05</v>
      </c>
      <c r="H666">
        <f>IF($A666="","",IF($D666="V01",Cadrage!$C$24,IF($D666="V02",Cadrage!$D$24,Cadrage!$E$24)))</f>
        <v>-0.05</v>
      </c>
      <c r="I666">
        <f>IF($A666="","",IF($D666="V01",Cadrage!$C$34,IF($D666="V02",Cadrage!$D$34,Cadrage!$E$34)))</f>
        <v>0.03</v>
      </c>
      <c r="J666">
        <f>IF($A666="","",IF($D666="V01",Cadrage!$C$35,IF($D666="V02",Cadrage!$D$35,Cadrage!$E$35)))</f>
        <v>0.03</v>
      </c>
      <c r="K666">
        <f>IF($A666="","",IF($D666="V01",Cadrage!$C$36,IF($D666="V02",Cadrage!$D$36,Cadrage!$E$36)))</f>
        <v>0.05</v>
      </c>
      <c r="L666">
        <f>IF($A666="","",IF($D666="V01",Cadrage!$C$37,IF($D666="V02",Cadrage!$D$37,Cadrage!$E$37)))</f>
        <v>0</v>
      </c>
      <c r="M666">
        <f>IF($A666="","",IF($D666="V01",Cadrage!$C$38,IF($D666="V02",Cadrage!$D$38,Cadrage!$E$38)))</f>
        <v>0.04</v>
      </c>
      <c r="N666">
        <f t="shared" si="1"/>
        <v>0.980622079131853</v>
      </c>
      <c r="O666">
        <f t="shared" si="2"/>
        <v>1.03</v>
      </c>
      <c r="P666">
        <f>IF($A666="","",IF($E666=1,$F666*$O666,PNL!G666))</f>
        <v>61955</v>
      </c>
      <c r="T666">
        <f t="shared" si="3"/>
        <v>0</v>
      </c>
    </row>
    <row r="667" ht="14.25" customHeight="1">
      <c r="A667" t="str">
        <f>IF(PNL!A667="","",PNL!A667)</f>
        <v>TUNON_LYO</v>
      </c>
      <c r="B667" t="str">
        <f>IF(PNL!B667="","",PNL!B667)</f>
        <v>6811</v>
      </c>
      <c r="C667" t="str">
        <f>IF(PNL!C667="","",PNL!C667)</f>
        <v>2026</v>
      </c>
      <c r="D667" t="str">
        <f>IF(PNL!D667="","",PNL!D667)</f>
        <v>ACT</v>
      </c>
      <c r="E667">
        <f t="shared" si="0"/>
        <v>0</v>
      </c>
      <c r="F667">
        <f>IF($A667="","",IF($E667=1,_xlfn.SUMIFS(Comptabilité!$F$1:$F$1446,Comptabilité!$A$1:$A$1446,$A667,Comptabilité!$B$1:$B$1446,$B667,Comptabilité!$C$1:$C$1446,"2026"),0))</f>
        <v>0</v>
      </c>
      <c r="G667">
        <f>IF($A667="","",IF($D667="V01",Cadrage!$C$23,IF($D667="V02",Cadrage!$D$23,Cadrage!$E$23)))</f>
        <v>-0.05</v>
      </c>
      <c r="H667">
        <f>IF($A667="","",IF($D667="V01",Cadrage!$C$24,IF($D667="V02",Cadrage!$D$24,Cadrage!$E$24)))</f>
        <v>-0.05</v>
      </c>
      <c r="I667">
        <f>IF($A667="","",IF($D667="V01",Cadrage!$C$34,IF($D667="V02",Cadrage!$D$34,Cadrage!$E$34)))</f>
        <v>0.03</v>
      </c>
      <c r="J667">
        <f>IF($A667="","",IF($D667="V01",Cadrage!$C$35,IF($D667="V02",Cadrage!$D$35,Cadrage!$E$35)))</f>
        <v>0.03</v>
      </c>
      <c r="K667">
        <f>IF($A667="","",IF($D667="V01",Cadrage!$C$36,IF($D667="V02",Cadrage!$D$36,Cadrage!$E$36)))</f>
        <v>0.05</v>
      </c>
      <c r="L667">
        <f>IF($A667="","",IF($D667="V01",Cadrage!$C$37,IF($D667="V02",Cadrage!$D$37,Cadrage!$E$37)))</f>
        <v>0</v>
      </c>
      <c r="M667">
        <f>IF($A667="","",IF($D667="V01",Cadrage!$C$38,IF($D667="V02",Cadrage!$D$38,Cadrage!$E$38)))</f>
        <v>0.04</v>
      </c>
      <c r="N667">
        <f t="shared" si="1"/>
        <v>0.980622079131853</v>
      </c>
      <c r="O667">
        <f t="shared" si="2"/>
        <v>1.03</v>
      </c>
      <c r="P667">
        <f>IF($A667="","",IF($E667=1,$F667*$O667,PNL!G667))</f>
        <v>61955</v>
      </c>
      <c r="T667">
        <f t="shared" si="3"/>
        <v>0</v>
      </c>
    </row>
    <row r="668" ht="14.25" customHeight="1">
      <c r="A668" t="str">
        <f>IF(PNL!A668="","",PNL!A668)</f>
        <v>PIGIER_BOR</v>
      </c>
      <c r="B668" t="str">
        <f>IF(PNL!B668="","",PNL!B668)</f>
        <v>7062</v>
      </c>
      <c r="C668" t="str">
        <f>IF(PNL!C668="","",PNL!C668)</f>
        <v>2024</v>
      </c>
      <c r="D668" t="str">
        <f>IF(PNL!D668="","",PNL!D668)</f>
        <v>ACT</v>
      </c>
      <c r="E668">
        <f t="shared" si="0"/>
        <v>0</v>
      </c>
      <c r="F668">
        <f>IF($A668="","",IF($E668=1,_xlfn.SUMIFS(Comptabilité!$F$1:$F$1446,Comptabilité!$A$1:$A$1446,$A668,Comptabilité!$B$1:$B$1446,$B668,Comptabilité!$C$1:$C$1446,"2026"),0))</f>
        <v>0</v>
      </c>
      <c r="G668">
        <f>IF($A668="","",IF($D668="V01",Cadrage!$C$23,IF($D668="V02",Cadrage!$D$23,Cadrage!$E$23)))</f>
        <v>-0.05</v>
      </c>
      <c r="H668">
        <f>IF($A668="","",IF($D668="V01",Cadrage!$C$24,IF($D668="V02",Cadrage!$D$24,Cadrage!$E$24)))</f>
        <v>-0.05</v>
      </c>
      <c r="I668">
        <f>IF($A668="","",IF($D668="V01",Cadrage!$C$34,IF($D668="V02",Cadrage!$D$34,Cadrage!$E$34)))</f>
        <v>0.03</v>
      </c>
      <c r="J668">
        <f>IF($A668="","",IF($D668="V01",Cadrage!$C$35,IF($D668="V02",Cadrage!$D$35,Cadrage!$E$35)))</f>
        <v>0.03</v>
      </c>
      <c r="K668">
        <f>IF($A668="","",IF($D668="V01",Cadrage!$C$36,IF($D668="V02",Cadrage!$D$36,Cadrage!$E$36)))</f>
        <v>0.05</v>
      </c>
      <c r="L668">
        <f>IF($A668="","",IF($D668="V01",Cadrage!$C$37,IF($D668="V02",Cadrage!$D$37,Cadrage!$E$37)))</f>
        <v>0</v>
      </c>
      <c r="M668">
        <f>IF($A668="","",IF($D668="V01",Cadrage!$C$38,IF($D668="V02",Cadrage!$D$38,Cadrage!$E$38)))</f>
        <v>0.04</v>
      </c>
      <c r="N668">
        <f t="shared" si="1"/>
        <v>0.980622079131853</v>
      </c>
      <c r="O668">
        <f t="shared" si="2"/>
        <v>0.980622079131853</v>
      </c>
      <c r="P668">
        <f>IF($A668="","",IF($E668=1,$F668*$O668,PNL!G668))</f>
        <v>998130</v>
      </c>
      <c r="T668">
        <f t="shared" si="3"/>
        <v>0</v>
      </c>
    </row>
    <row r="669" ht="14.25" customHeight="1">
      <c r="A669" t="str">
        <f>IF(PNL!A669="","",PNL!A669)</f>
        <v>PIGIER_BOR</v>
      </c>
      <c r="B669" t="str">
        <f>IF(PNL!B669="","",PNL!B669)</f>
        <v>7062</v>
      </c>
      <c r="C669" t="str">
        <f>IF(PNL!C669="","",PNL!C669)</f>
        <v>2025</v>
      </c>
      <c r="D669" t="str">
        <f>IF(PNL!D669="","",PNL!D669)</f>
        <v>ACT</v>
      </c>
      <c r="E669">
        <f t="shared" si="0"/>
        <v>0</v>
      </c>
      <c r="F669">
        <f>IF($A669="","",IF($E669=1,_xlfn.SUMIFS(Comptabilité!$F$1:$F$1446,Comptabilité!$A$1:$A$1446,$A669,Comptabilité!$B$1:$B$1446,$B669,Comptabilité!$C$1:$C$1446,"2026"),0))</f>
        <v>0</v>
      </c>
      <c r="G669">
        <f>IF($A669="","",IF($D669="V01",Cadrage!$C$23,IF($D669="V02",Cadrage!$D$23,Cadrage!$E$23)))</f>
        <v>-0.05</v>
      </c>
      <c r="H669">
        <f>IF($A669="","",IF($D669="V01",Cadrage!$C$24,IF($D669="V02",Cadrage!$D$24,Cadrage!$E$24)))</f>
        <v>-0.05</v>
      </c>
      <c r="I669">
        <f>IF($A669="","",IF($D669="V01",Cadrage!$C$34,IF($D669="V02",Cadrage!$D$34,Cadrage!$E$34)))</f>
        <v>0.03</v>
      </c>
      <c r="J669">
        <f>IF($A669="","",IF($D669="V01",Cadrage!$C$35,IF($D669="V02",Cadrage!$D$35,Cadrage!$E$35)))</f>
        <v>0.03</v>
      </c>
      <c r="K669">
        <f>IF($A669="","",IF($D669="V01",Cadrage!$C$36,IF($D669="V02",Cadrage!$D$36,Cadrage!$E$36)))</f>
        <v>0.05</v>
      </c>
      <c r="L669">
        <f>IF($A669="","",IF($D669="V01",Cadrage!$C$37,IF($D669="V02",Cadrage!$D$37,Cadrage!$E$37)))</f>
        <v>0</v>
      </c>
      <c r="M669">
        <f>IF($A669="","",IF($D669="V01",Cadrage!$C$38,IF($D669="V02",Cadrage!$D$38,Cadrage!$E$38)))</f>
        <v>0.04</v>
      </c>
      <c r="N669">
        <f t="shared" si="1"/>
        <v>0.980622079131853</v>
      </c>
      <c r="O669">
        <f t="shared" si="2"/>
        <v>0.980622079131853</v>
      </c>
      <c r="P669">
        <f>IF($A669="","",IF($E669=1,$F669*$O669,PNL!G669))</f>
        <v>1062150</v>
      </c>
      <c r="T669">
        <f t="shared" si="3"/>
        <v>0</v>
      </c>
    </row>
    <row r="670" ht="14.25" customHeight="1">
      <c r="A670" t="str">
        <f>IF(PNL!A670="","",PNL!A670)</f>
        <v>PIGIER_BOR</v>
      </c>
      <c r="B670" t="str">
        <f>IF(PNL!B670="","",PNL!B670)</f>
        <v>7062</v>
      </c>
      <c r="C670" t="str">
        <f>IF(PNL!C670="","",PNL!C670)</f>
        <v>2026</v>
      </c>
      <c r="D670" t="str">
        <f>IF(PNL!D670="","",PNL!D670)</f>
        <v>ACT</v>
      </c>
      <c r="E670">
        <f t="shared" si="0"/>
        <v>0</v>
      </c>
      <c r="F670">
        <f>IF($A670="","",IF($E670=1,_xlfn.SUMIFS(Comptabilité!$F$1:$F$1446,Comptabilité!$A$1:$A$1446,$A670,Comptabilité!$B$1:$B$1446,$B670,Comptabilité!$C$1:$C$1446,"2026"),0))</f>
        <v>0</v>
      </c>
      <c r="G670">
        <f>IF($A670="","",IF($D670="V01",Cadrage!$C$23,IF($D670="V02",Cadrage!$D$23,Cadrage!$E$23)))</f>
        <v>-0.05</v>
      </c>
      <c r="H670">
        <f>IF($A670="","",IF($D670="V01",Cadrage!$C$24,IF($D670="V02",Cadrage!$D$24,Cadrage!$E$24)))</f>
        <v>-0.05</v>
      </c>
      <c r="I670">
        <f>IF($A670="","",IF($D670="V01",Cadrage!$C$34,IF($D670="V02",Cadrage!$D$34,Cadrage!$E$34)))</f>
        <v>0.03</v>
      </c>
      <c r="J670">
        <f>IF($A670="","",IF($D670="V01",Cadrage!$C$35,IF($D670="V02",Cadrage!$D$35,Cadrage!$E$35)))</f>
        <v>0.03</v>
      </c>
      <c r="K670">
        <f>IF($A670="","",IF($D670="V01",Cadrage!$C$36,IF($D670="V02",Cadrage!$D$36,Cadrage!$E$36)))</f>
        <v>0.05</v>
      </c>
      <c r="L670">
        <f>IF($A670="","",IF($D670="V01",Cadrage!$C$37,IF($D670="V02",Cadrage!$D$37,Cadrage!$E$37)))</f>
        <v>0</v>
      </c>
      <c r="M670">
        <f>IF($A670="","",IF($D670="V01",Cadrage!$C$38,IF($D670="V02",Cadrage!$D$38,Cadrage!$E$38)))</f>
        <v>0.04</v>
      </c>
      <c r="N670">
        <f t="shared" si="1"/>
        <v>0.980622079131853</v>
      </c>
      <c r="O670">
        <f t="shared" si="2"/>
        <v>0.980622079131853</v>
      </c>
      <c r="P670">
        <f>IF($A670="","",IF($E670=1,$F670*$O670,PNL!G670))</f>
        <v>1126170</v>
      </c>
      <c r="T670">
        <f t="shared" si="3"/>
        <v>0</v>
      </c>
    </row>
    <row r="671" ht="14.25" customHeight="1">
      <c r="A671" t="str">
        <f>IF(PNL!A671="","",PNL!A671)</f>
        <v>PIGIER_LYO</v>
      </c>
      <c r="B671" t="str">
        <f>IF(PNL!B671="","",PNL!B671)</f>
        <v>7062</v>
      </c>
      <c r="C671" t="str">
        <f>IF(PNL!C671="","",PNL!C671)</f>
        <v>2024</v>
      </c>
      <c r="D671" t="str">
        <f>IF(PNL!D671="","",PNL!D671)</f>
        <v>ACT</v>
      </c>
      <c r="E671">
        <f t="shared" si="0"/>
        <v>0</v>
      </c>
      <c r="F671">
        <f>IF($A671="","",IF($E671=1,_xlfn.SUMIFS(Comptabilité!$F$1:$F$1446,Comptabilité!$A$1:$A$1446,$A671,Comptabilité!$B$1:$B$1446,$B671,Comptabilité!$C$1:$C$1446,"2026"),0))</f>
        <v>0</v>
      </c>
      <c r="G671">
        <f>IF($A671="","",IF($D671="V01",Cadrage!$C$23,IF($D671="V02",Cadrage!$D$23,Cadrage!$E$23)))</f>
        <v>-0.05</v>
      </c>
      <c r="H671">
        <f>IF($A671="","",IF($D671="V01",Cadrage!$C$24,IF($D671="V02",Cadrage!$D$24,Cadrage!$E$24)))</f>
        <v>-0.05</v>
      </c>
      <c r="I671">
        <f>IF($A671="","",IF($D671="V01",Cadrage!$C$34,IF($D671="V02",Cadrage!$D$34,Cadrage!$E$34)))</f>
        <v>0.03</v>
      </c>
      <c r="J671">
        <f>IF($A671="","",IF($D671="V01",Cadrage!$C$35,IF($D671="V02",Cadrage!$D$35,Cadrage!$E$35)))</f>
        <v>0.03</v>
      </c>
      <c r="K671">
        <f>IF($A671="","",IF($D671="V01",Cadrage!$C$36,IF($D671="V02",Cadrage!$D$36,Cadrage!$E$36)))</f>
        <v>0.05</v>
      </c>
      <c r="L671">
        <f>IF($A671="","",IF($D671="V01",Cadrage!$C$37,IF($D671="V02",Cadrage!$D$37,Cadrage!$E$37)))</f>
        <v>0</v>
      </c>
      <c r="M671">
        <f>IF($A671="","",IF($D671="V01",Cadrage!$C$38,IF($D671="V02",Cadrage!$D$38,Cadrage!$E$38)))</f>
        <v>0.04</v>
      </c>
      <c r="N671">
        <f t="shared" si="1"/>
        <v>0.980622079131853</v>
      </c>
      <c r="O671">
        <f t="shared" si="2"/>
        <v>0.980622079131853</v>
      </c>
      <c r="P671">
        <f>IF($A671="","",IF($E671=1,$F671*$O671,PNL!G671))</f>
        <v>1392300</v>
      </c>
      <c r="T671">
        <f t="shared" si="3"/>
        <v>0</v>
      </c>
    </row>
    <row r="672" ht="14.25" customHeight="1">
      <c r="A672" t="str">
        <f>IF(PNL!A672="","",PNL!A672)</f>
        <v>PIGIER_LYO</v>
      </c>
      <c r="B672" t="str">
        <f>IF(PNL!B672="","",PNL!B672)</f>
        <v>7062</v>
      </c>
      <c r="C672" t="str">
        <f>IF(PNL!C672="","",PNL!C672)</f>
        <v>2025</v>
      </c>
      <c r="D672" t="str">
        <f>IF(PNL!D672="","",PNL!D672)</f>
        <v>ACT</v>
      </c>
      <c r="E672">
        <f t="shared" si="0"/>
        <v>0</v>
      </c>
      <c r="F672">
        <f>IF($A672="","",IF($E672=1,_xlfn.SUMIFS(Comptabilité!$F$1:$F$1446,Comptabilité!$A$1:$A$1446,$A672,Comptabilité!$B$1:$B$1446,$B672,Comptabilité!$C$1:$C$1446,"2026"),0))</f>
        <v>0</v>
      </c>
      <c r="G672">
        <f>IF($A672="","",IF($D672="V01",Cadrage!$C$23,IF($D672="V02",Cadrage!$D$23,Cadrage!$E$23)))</f>
        <v>-0.05</v>
      </c>
      <c r="H672">
        <f>IF($A672="","",IF($D672="V01",Cadrage!$C$24,IF($D672="V02",Cadrage!$D$24,Cadrage!$E$24)))</f>
        <v>-0.05</v>
      </c>
      <c r="I672">
        <f>IF($A672="","",IF($D672="V01",Cadrage!$C$34,IF($D672="V02",Cadrage!$D$34,Cadrage!$E$34)))</f>
        <v>0.03</v>
      </c>
      <c r="J672">
        <f>IF($A672="","",IF($D672="V01",Cadrage!$C$35,IF($D672="V02",Cadrage!$D$35,Cadrage!$E$35)))</f>
        <v>0.03</v>
      </c>
      <c r="K672">
        <f>IF($A672="","",IF($D672="V01",Cadrage!$C$36,IF($D672="V02",Cadrage!$D$36,Cadrage!$E$36)))</f>
        <v>0.05</v>
      </c>
      <c r="L672">
        <f>IF($A672="","",IF($D672="V01",Cadrage!$C$37,IF($D672="V02",Cadrage!$D$37,Cadrage!$E$37)))</f>
        <v>0</v>
      </c>
      <c r="M672">
        <f>IF($A672="","",IF($D672="V01",Cadrage!$C$38,IF($D672="V02",Cadrage!$D$38,Cadrage!$E$38)))</f>
        <v>0.04</v>
      </c>
      <c r="N672">
        <f t="shared" si="1"/>
        <v>0.980622079131853</v>
      </c>
      <c r="O672">
        <f t="shared" si="2"/>
        <v>0.980622079131853</v>
      </c>
      <c r="P672">
        <f>IF($A672="","",IF($E672=1,$F672*$O672,PNL!G672))</f>
        <v>1461600</v>
      </c>
      <c r="T672">
        <f t="shared" si="3"/>
        <v>0</v>
      </c>
    </row>
    <row r="673" ht="14.25" customHeight="1">
      <c r="A673" t="str">
        <f>IF(PNL!A673="","",PNL!A673)</f>
        <v>PIGIER_LYO</v>
      </c>
      <c r="B673" t="str">
        <f>IF(PNL!B673="","",PNL!B673)</f>
        <v>7062</v>
      </c>
      <c r="C673" t="str">
        <f>IF(PNL!C673="","",PNL!C673)</f>
        <v>2026</v>
      </c>
      <c r="D673" t="str">
        <f>IF(PNL!D673="","",PNL!D673)</f>
        <v>ACT</v>
      </c>
      <c r="E673">
        <f t="shared" si="0"/>
        <v>0</v>
      </c>
      <c r="F673">
        <f>IF($A673="","",IF($E673=1,_xlfn.SUMIFS(Comptabilité!$F$1:$F$1446,Comptabilité!$A$1:$A$1446,$A673,Comptabilité!$B$1:$B$1446,$B673,Comptabilité!$C$1:$C$1446,"2026"),0))</f>
        <v>0</v>
      </c>
      <c r="G673">
        <f>IF($A673="","",IF($D673="V01",Cadrage!$C$23,IF($D673="V02",Cadrage!$D$23,Cadrage!$E$23)))</f>
        <v>-0.05</v>
      </c>
      <c r="H673">
        <f>IF($A673="","",IF($D673="V01",Cadrage!$C$24,IF($D673="V02",Cadrage!$D$24,Cadrage!$E$24)))</f>
        <v>-0.05</v>
      </c>
      <c r="I673">
        <f>IF($A673="","",IF($D673="V01",Cadrage!$C$34,IF($D673="V02",Cadrage!$D$34,Cadrage!$E$34)))</f>
        <v>0.03</v>
      </c>
      <c r="J673">
        <f>IF($A673="","",IF($D673="V01",Cadrage!$C$35,IF($D673="V02",Cadrage!$D$35,Cadrage!$E$35)))</f>
        <v>0.03</v>
      </c>
      <c r="K673">
        <f>IF($A673="","",IF($D673="V01",Cadrage!$C$36,IF($D673="V02",Cadrage!$D$36,Cadrage!$E$36)))</f>
        <v>0.05</v>
      </c>
      <c r="L673">
        <f>IF($A673="","",IF($D673="V01",Cadrage!$C$37,IF($D673="V02",Cadrage!$D$37,Cadrage!$E$37)))</f>
        <v>0</v>
      </c>
      <c r="M673">
        <f>IF($A673="","",IF($D673="V01",Cadrage!$C$38,IF($D673="V02",Cadrage!$D$38,Cadrage!$E$38)))</f>
        <v>0.04</v>
      </c>
      <c r="N673">
        <f t="shared" si="1"/>
        <v>0.980622079131853</v>
      </c>
      <c r="O673">
        <f t="shared" si="2"/>
        <v>0.980622079131853</v>
      </c>
      <c r="P673">
        <f>IF($A673="","",IF($E673=1,$F673*$O673,PNL!G673))</f>
        <v>1565550</v>
      </c>
      <c r="T673">
        <f t="shared" si="3"/>
        <v>0</v>
      </c>
    </row>
    <row r="674" ht="14.25" customHeight="1">
      <c r="A674" t="str">
        <f>IF(PNL!A674="","",PNL!A674)</f>
        <v>IPAC_MTP</v>
      </c>
      <c r="B674" t="str">
        <f>IF(PNL!B674="","",PNL!B674)</f>
        <v>604</v>
      </c>
      <c r="C674" t="str">
        <f>IF(PNL!C674="","",PNL!C674)</f>
        <v>2027</v>
      </c>
      <c r="D674" t="str">
        <f>IF(PNL!D674="","",PNL!D674)</f>
        <v>V01</v>
      </c>
      <c r="E674">
        <f t="shared" si="0"/>
        <v>1</v>
      </c>
      <c r="F674">
        <f>IF($A674="","",IF($E674=1,_xlfn.SUMIFS(Comptabilité!$F$1:$F$1446,Comptabilité!$A$1:$A$1446,$A674,Comptabilité!$B$1:$B$1446,$B674,Comptabilité!$C$1:$C$1446,"2026"),0))</f>
        <v>26121</v>
      </c>
      <c r="G674">
        <f>IF($A674="","",IF($D674="V01",Cadrage!$C$23,IF($D674="V02",Cadrage!$D$23,Cadrage!$E$23)))</f>
        <v>0.08</v>
      </c>
      <c r="H674">
        <f>IF($A674="","",IF($D674="V01",Cadrage!$C$24,IF($D674="V02",Cadrage!$D$24,Cadrage!$E$24)))</f>
        <v>0.1</v>
      </c>
      <c r="I674">
        <f>IF($A674="","",IF($D674="V01",Cadrage!$C$34,IF($D674="V02",Cadrage!$D$34,Cadrage!$E$34)))</f>
        <v>0.02</v>
      </c>
      <c r="J674">
        <f>IF($A674="","",IF($D674="V01",Cadrage!$C$35,IF($D674="V02",Cadrage!$D$35,Cadrage!$E$35)))</f>
        <v>0.025</v>
      </c>
      <c r="K674">
        <f>IF($A674="","",IF($D674="V01",Cadrage!$C$36,IF($D674="V02",Cadrage!$D$36,Cadrage!$E$36)))</f>
        <v>0.04</v>
      </c>
      <c r="L674">
        <f>IF($A674="","",IF($D674="V01",Cadrage!$C$37,IF($D674="V02",Cadrage!$D$37,Cadrage!$E$37)))</f>
        <v>0.0185</v>
      </c>
      <c r="M674">
        <f>IF($A674="","",IF($D674="V01",Cadrage!$C$38,IF($D674="V02",Cadrage!$D$38,Cadrage!$E$38)))</f>
        <v>0</v>
      </c>
      <c r="N674">
        <f t="shared" si="1"/>
        <v>1.04903758953208</v>
      </c>
      <c r="O674">
        <f t="shared" si="2"/>
        <v>1.02963039412574</v>
      </c>
      <c r="P674">
        <f>IF($A674="","",IF($E674=1,$F674*$O674,PNL!G674))</f>
        <v>26894.9755249585</v>
      </c>
      <c r="T674">
        <f t="shared" si="3"/>
        <v>-26894.9755249585</v>
      </c>
    </row>
    <row r="675" ht="14.25" customHeight="1">
      <c r="A675" t="str">
        <f>IF(PNL!A675="","",PNL!A675)</f>
        <v>IPAC_NAN</v>
      </c>
      <c r="B675" t="str">
        <f>IF(PNL!B675="","",PNL!B675)</f>
        <v>604</v>
      </c>
      <c r="C675" t="str">
        <f>IF(PNL!C675="","",PNL!C675)</f>
        <v>2027</v>
      </c>
      <c r="D675" t="str">
        <f>IF(PNL!D675="","",PNL!D675)</f>
        <v>V01</v>
      </c>
      <c r="E675">
        <f t="shared" si="0"/>
        <v>1</v>
      </c>
      <c r="F675">
        <f>IF($A675="","",IF($E675=1,_xlfn.SUMIFS(Comptabilité!$F$1:$F$1446,Comptabilité!$A$1:$A$1446,$A675,Comptabilité!$B$1:$B$1446,$B675,Comptabilité!$C$1:$C$1446,"2026"),0))</f>
        <v>32372</v>
      </c>
      <c r="G675">
        <f>IF($A675="","",IF($D675="V01",Cadrage!$C$23,IF($D675="V02",Cadrage!$D$23,Cadrage!$E$23)))</f>
        <v>0.08</v>
      </c>
      <c r="H675">
        <f>IF($A675="","",IF($D675="V01",Cadrage!$C$24,IF($D675="V02",Cadrage!$D$24,Cadrage!$E$24)))</f>
        <v>0.1</v>
      </c>
      <c r="I675">
        <f>IF($A675="","",IF($D675="V01",Cadrage!$C$34,IF($D675="V02",Cadrage!$D$34,Cadrage!$E$34)))</f>
        <v>0.02</v>
      </c>
      <c r="J675">
        <f>IF($A675="","",IF($D675="V01",Cadrage!$C$35,IF($D675="V02",Cadrage!$D$35,Cadrage!$E$35)))</f>
        <v>0.025</v>
      </c>
      <c r="K675">
        <f>IF($A675="","",IF($D675="V01",Cadrage!$C$36,IF($D675="V02",Cadrage!$D$36,Cadrage!$E$36)))</f>
        <v>0.04</v>
      </c>
      <c r="L675">
        <f>IF($A675="","",IF($D675="V01",Cadrage!$C$37,IF($D675="V02",Cadrage!$D$37,Cadrage!$E$37)))</f>
        <v>0.0185</v>
      </c>
      <c r="M675">
        <f>IF($A675="","",IF($D675="V01",Cadrage!$C$38,IF($D675="V02",Cadrage!$D$38,Cadrage!$E$38)))</f>
        <v>0</v>
      </c>
      <c r="N675">
        <f t="shared" si="1"/>
        <v>1.04903758953208</v>
      </c>
      <c r="O675">
        <f t="shared" si="2"/>
        <v>1.02963039412574</v>
      </c>
      <c r="P675">
        <f>IF($A675="","",IF($E675=1,$F675*$O675,PNL!G675))</f>
        <v>33331.1951186385</v>
      </c>
      <c r="T675">
        <f t="shared" si="3"/>
        <v>-33331.1951186385</v>
      </c>
    </row>
    <row r="676" ht="14.25" customHeight="1">
      <c r="A676" t="str">
        <f>IF(PNL!A676="","",PNL!A676)</f>
        <v>IPAC_REN</v>
      </c>
      <c r="B676" t="str">
        <f>IF(PNL!B676="","",PNL!B676)</f>
        <v>604</v>
      </c>
      <c r="C676" t="str">
        <f>IF(PNL!C676="","",PNL!C676)</f>
        <v>2027</v>
      </c>
      <c r="D676" t="str">
        <f>IF(PNL!D676="","",PNL!D676)</f>
        <v>V01</v>
      </c>
      <c r="E676">
        <f t="shared" si="0"/>
        <v>1</v>
      </c>
      <c r="F676">
        <f>IF($A676="","",IF($E676=1,_xlfn.SUMIFS(Comptabilité!$F$1:$F$1446,Comptabilité!$A$1:$A$1446,$A676,Comptabilité!$B$1:$B$1446,$B676,Comptabilité!$C$1:$C$1446,"2026"),0))</f>
        <v>26121</v>
      </c>
      <c r="G676">
        <f>IF($A676="","",IF($D676="V01",Cadrage!$C$23,IF($D676="V02",Cadrage!$D$23,Cadrage!$E$23)))</f>
        <v>0.08</v>
      </c>
      <c r="H676">
        <f>IF($A676="","",IF($D676="V01",Cadrage!$C$24,IF($D676="V02",Cadrage!$D$24,Cadrage!$E$24)))</f>
        <v>0.1</v>
      </c>
      <c r="I676">
        <f>IF($A676="","",IF($D676="V01",Cadrage!$C$34,IF($D676="V02",Cadrage!$D$34,Cadrage!$E$34)))</f>
        <v>0.02</v>
      </c>
      <c r="J676">
        <f>IF($A676="","",IF($D676="V01",Cadrage!$C$35,IF($D676="V02",Cadrage!$D$35,Cadrage!$E$35)))</f>
        <v>0.025</v>
      </c>
      <c r="K676">
        <f>IF($A676="","",IF($D676="V01",Cadrage!$C$36,IF($D676="V02",Cadrage!$D$36,Cadrage!$E$36)))</f>
        <v>0.04</v>
      </c>
      <c r="L676">
        <f>IF($A676="","",IF($D676="V01",Cadrage!$C$37,IF($D676="V02",Cadrage!$D$37,Cadrage!$E$37)))</f>
        <v>0.0185</v>
      </c>
      <c r="M676">
        <f>IF($A676="","",IF($D676="V01",Cadrage!$C$38,IF($D676="V02",Cadrage!$D$38,Cadrage!$E$38)))</f>
        <v>0</v>
      </c>
      <c r="N676">
        <f t="shared" si="1"/>
        <v>1.04903758953208</v>
      </c>
      <c r="O676">
        <f t="shared" si="2"/>
        <v>1.02963039412574</v>
      </c>
      <c r="P676">
        <f>IF($A676="","",IF($E676=1,$F676*$O676,PNL!G676))</f>
        <v>26894.9755249585</v>
      </c>
      <c r="T676">
        <f t="shared" si="3"/>
        <v>-26894.9755249585</v>
      </c>
    </row>
    <row r="677" ht="14.25" customHeight="1">
      <c r="A677" t="str">
        <f>IF(PNL!A677="","",PNL!A677)</f>
        <v>ISCOM_LIL</v>
      </c>
      <c r="B677" t="str">
        <f>IF(PNL!B677="","",PNL!B677)</f>
        <v>604</v>
      </c>
      <c r="C677" t="str">
        <f>IF(PNL!C677="","",PNL!C677)</f>
        <v>2027</v>
      </c>
      <c r="D677" t="str">
        <f>IF(PNL!D677="","",PNL!D677)</f>
        <v>V01</v>
      </c>
      <c r="E677">
        <f t="shared" si="0"/>
        <v>1</v>
      </c>
      <c r="F677">
        <f>IF($A677="","",IF($E677=1,_xlfn.SUMIFS(Comptabilité!$F$1:$F$1446,Comptabilité!$A$1:$A$1446,$A677,Comptabilité!$B$1:$B$1446,$B677,Comptabilité!$C$1:$C$1446,"2026"),0))</f>
        <v>54475</v>
      </c>
      <c r="G677">
        <f>IF($A677="","",IF($D677="V01",Cadrage!$C$23,IF($D677="V02",Cadrage!$D$23,Cadrage!$E$23)))</f>
        <v>0.08</v>
      </c>
      <c r="H677">
        <f>IF($A677="","",IF($D677="V01",Cadrage!$C$24,IF($D677="V02",Cadrage!$D$24,Cadrage!$E$24)))</f>
        <v>0.1</v>
      </c>
      <c r="I677">
        <f>IF($A677="","",IF($D677="V01",Cadrage!$C$34,IF($D677="V02",Cadrage!$D$34,Cadrage!$E$34)))</f>
        <v>0.02</v>
      </c>
      <c r="J677">
        <f>IF($A677="","",IF($D677="V01",Cadrage!$C$35,IF($D677="V02",Cadrage!$D$35,Cadrage!$E$35)))</f>
        <v>0.025</v>
      </c>
      <c r="K677">
        <f>IF($A677="","",IF($D677="V01",Cadrage!$C$36,IF($D677="V02",Cadrage!$D$36,Cadrage!$E$36)))</f>
        <v>0.04</v>
      </c>
      <c r="L677">
        <f>IF($A677="","",IF($D677="V01",Cadrage!$C$37,IF($D677="V02",Cadrage!$D$37,Cadrage!$E$37)))</f>
        <v>0.0185</v>
      </c>
      <c r="M677">
        <f>IF($A677="","",IF($D677="V01",Cadrage!$C$38,IF($D677="V02",Cadrage!$D$38,Cadrage!$E$38)))</f>
        <v>0</v>
      </c>
      <c r="N677">
        <f t="shared" si="1"/>
        <v>1.04903758953208</v>
      </c>
      <c r="O677">
        <f t="shared" si="2"/>
        <v>1.02963039412574</v>
      </c>
      <c r="P677">
        <f>IF($A677="","",IF($E677=1,$F677*$O677,PNL!G677))</f>
        <v>56089.1157199997</v>
      </c>
      <c r="T677">
        <f t="shared" si="3"/>
        <v>-56089.1157199997</v>
      </c>
    </row>
    <row r="678" ht="14.25" customHeight="1">
      <c r="A678" t="str">
        <f>IF(PNL!A678="","",PNL!A678)</f>
        <v>ISCOM_PAR</v>
      </c>
      <c r="B678" t="str">
        <f>IF(PNL!B678="","",PNL!B678)</f>
        <v>604</v>
      </c>
      <c r="C678" t="str">
        <f>IF(PNL!C678="","",PNL!C678)</f>
        <v>2027</v>
      </c>
      <c r="D678" t="str">
        <f>IF(PNL!D678="","",PNL!D678)</f>
        <v>V01</v>
      </c>
      <c r="E678">
        <f t="shared" si="0"/>
        <v>1</v>
      </c>
      <c r="F678">
        <f>IF($A678="","",IF($E678=1,_xlfn.SUMIFS(Comptabilité!$F$1:$F$1446,Comptabilité!$A$1:$A$1446,$A678,Comptabilité!$B$1:$B$1446,$B678,Comptabilité!$C$1:$C$1446,"2026"),0))</f>
        <v>79033</v>
      </c>
      <c r="G678">
        <f>IF($A678="","",IF($D678="V01",Cadrage!$C$23,IF($D678="V02",Cadrage!$D$23,Cadrage!$E$23)))</f>
        <v>0.08</v>
      </c>
      <c r="H678">
        <f>IF($A678="","",IF($D678="V01",Cadrage!$C$24,IF($D678="V02",Cadrage!$D$24,Cadrage!$E$24)))</f>
        <v>0.1</v>
      </c>
      <c r="I678">
        <f>IF($A678="","",IF($D678="V01",Cadrage!$C$34,IF($D678="V02",Cadrage!$D$34,Cadrage!$E$34)))</f>
        <v>0.02</v>
      </c>
      <c r="J678">
        <f>IF($A678="","",IF($D678="V01",Cadrage!$C$35,IF($D678="V02",Cadrage!$D$35,Cadrage!$E$35)))</f>
        <v>0.025</v>
      </c>
      <c r="K678">
        <f>IF($A678="","",IF($D678="V01",Cadrage!$C$36,IF($D678="V02",Cadrage!$D$36,Cadrage!$E$36)))</f>
        <v>0.04</v>
      </c>
      <c r="L678">
        <f>IF($A678="","",IF($D678="V01",Cadrage!$C$37,IF($D678="V02",Cadrage!$D$37,Cadrage!$E$37)))</f>
        <v>0.0185</v>
      </c>
      <c r="M678">
        <f>IF($A678="","",IF($D678="V01",Cadrage!$C$38,IF($D678="V02",Cadrage!$D$38,Cadrage!$E$38)))</f>
        <v>0</v>
      </c>
      <c r="N678">
        <f t="shared" si="1"/>
        <v>1.04903758953208</v>
      </c>
      <c r="O678">
        <f t="shared" si="2"/>
        <v>1.02963039412574</v>
      </c>
      <c r="P678">
        <f>IF($A678="","",IF($E678=1,$F678*$O678,PNL!G678))</f>
        <v>81374.7789389396</v>
      </c>
      <c r="T678">
        <f t="shared" si="3"/>
        <v>-81374.7789389396</v>
      </c>
    </row>
    <row r="679" ht="14.25" customHeight="1">
      <c r="A679" t="str">
        <f>IF(PNL!A679="","",PNL!A679)</f>
        <v>ISCOM_TLS</v>
      </c>
      <c r="B679" t="str">
        <f>IF(PNL!B679="","",PNL!B679)</f>
        <v>604</v>
      </c>
      <c r="C679" t="str">
        <f>IF(PNL!C679="","",PNL!C679)</f>
        <v>2027</v>
      </c>
      <c r="D679" t="str">
        <f>IF(PNL!D679="","",PNL!D679)</f>
        <v>V01</v>
      </c>
      <c r="E679">
        <f t="shared" si="0"/>
        <v>1</v>
      </c>
      <c r="F679">
        <f>IF($A679="","",IF($E679=1,_xlfn.SUMIFS(Comptabilité!$F$1:$F$1446,Comptabilité!$A$1:$A$1446,$A679,Comptabilité!$B$1:$B$1446,$B679,Comptabilité!$C$1:$C$1446,"2026"),0))</f>
        <v>51572</v>
      </c>
      <c r="G679">
        <f>IF($A679="","",IF($D679="V01",Cadrage!$C$23,IF($D679="V02",Cadrage!$D$23,Cadrage!$E$23)))</f>
        <v>0.08</v>
      </c>
      <c r="H679">
        <f>IF($A679="","",IF($D679="V01",Cadrage!$C$24,IF($D679="V02",Cadrage!$D$24,Cadrage!$E$24)))</f>
        <v>0.1</v>
      </c>
      <c r="I679">
        <f>IF($A679="","",IF($D679="V01",Cadrage!$C$34,IF($D679="V02",Cadrage!$D$34,Cadrage!$E$34)))</f>
        <v>0.02</v>
      </c>
      <c r="J679">
        <f>IF($A679="","",IF($D679="V01",Cadrage!$C$35,IF($D679="V02",Cadrage!$D$35,Cadrage!$E$35)))</f>
        <v>0.025</v>
      </c>
      <c r="K679">
        <f>IF($A679="","",IF($D679="V01",Cadrage!$C$36,IF($D679="V02",Cadrage!$D$36,Cadrage!$E$36)))</f>
        <v>0.04</v>
      </c>
      <c r="L679">
        <f>IF($A679="","",IF($D679="V01",Cadrage!$C$37,IF($D679="V02",Cadrage!$D$37,Cadrage!$E$37)))</f>
        <v>0.0185</v>
      </c>
      <c r="M679">
        <f>IF($A679="","",IF($D679="V01",Cadrage!$C$38,IF($D679="V02",Cadrage!$D$38,Cadrage!$E$38)))</f>
        <v>0</v>
      </c>
      <c r="N679">
        <f t="shared" si="1"/>
        <v>1.04903758953208</v>
      </c>
      <c r="O679">
        <f t="shared" si="2"/>
        <v>1.02963039412574</v>
      </c>
      <c r="P679">
        <f>IF($A679="","",IF($E679=1,$F679*$O679,PNL!G679))</f>
        <v>53100.0986858527</v>
      </c>
      <c r="T679">
        <f t="shared" si="3"/>
        <v>-53100.0986858527</v>
      </c>
    </row>
    <row r="680" ht="14.25" customHeight="1">
      <c r="A680" t="str">
        <f>IF(PNL!A680="","",PNL!A680)</f>
        <v>MBWAY_BOR</v>
      </c>
      <c r="B680" t="str">
        <f>IF(PNL!B680="","",PNL!B680)</f>
        <v>604</v>
      </c>
      <c r="C680" t="str">
        <f>IF(PNL!C680="","",PNL!C680)</f>
        <v>2027</v>
      </c>
      <c r="D680" t="str">
        <f>IF(PNL!D680="","",PNL!D680)</f>
        <v>V01</v>
      </c>
      <c r="E680">
        <f t="shared" si="0"/>
        <v>1</v>
      </c>
      <c r="F680">
        <f>IF($A680="","",IF($E680=1,_xlfn.SUMIFS(Comptabilité!$F$1:$F$1446,Comptabilité!$A$1:$A$1446,$A680,Comptabilité!$B$1:$B$1446,$B680,Comptabilité!$C$1:$C$1446,"2026"),0))</f>
        <v>55591</v>
      </c>
      <c r="G680">
        <f>IF($A680="","",IF($D680="V01",Cadrage!$C$23,IF($D680="V02",Cadrage!$D$23,Cadrage!$E$23)))</f>
        <v>0.08</v>
      </c>
      <c r="H680">
        <f>IF($A680="","",IF($D680="V01",Cadrage!$C$24,IF($D680="V02",Cadrage!$D$24,Cadrage!$E$24)))</f>
        <v>0.1</v>
      </c>
      <c r="I680">
        <f>IF($A680="","",IF($D680="V01",Cadrage!$C$34,IF($D680="V02",Cadrage!$D$34,Cadrage!$E$34)))</f>
        <v>0.02</v>
      </c>
      <c r="J680">
        <f>IF($A680="","",IF($D680="V01",Cadrage!$C$35,IF($D680="V02",Cadrage!$D$35,Cadrage!$E$35)))</f>
        <v>0.025</v>
      </c>
      <c r="K680">
        <f>IF($A680="","",IF($D680="V01",Cadrage!$C$36,IF($D680="V02",Cadrage!$D$36,Cadrage!$E$36)))</f>
        <v>0.04</v>
      </c>
      <c r="L680">
        <f>IF($A680="","",IF($D680="V01",Cadrage!$C$37,IF($D680="V02",Cadrage!$D$37,Cadrage!$E$37)))</f>
        <v>0.0185</v>
      </c>
      <c r="M680">
        <f>IF($A680="","",IF($D680="V01",Cadrage!$C$38,IF($D680="V02",Cadrage!$D$38,Cadrage!$E$38)))</f>
        <v>0</v>
      </c>
      <c r="N680">
        <f t="shared" si="1"/>
        <v>1.04903758953208</v>
      </c>
      <c r="O680">
        <f t="shared" si="2"/>
        <v>1.02963039412574</v>
      </c>
      <c r="P680">
        <f>IF($A680="","",IF($E680=1,$F680*$O680,PNL!G680))</f>
        <v>57238.183239844</v>
      </c>
      <c r="T680">
        <f t="shared" si="3"/>
        <v>-57238.183239844</v>
      </c>
    </row>
    <row r="681" ht="14.25" customHeight="1">
      <c r="A681" t="str">
        <f>IF(PNL!A681="","",PNL!A681)</f>
        <v>MBWAY_LYO</v>
      </c>
      <c r="B681" t="str">
        <f>IF(PNL!B681="","",PNL!B681)</f>
        <v>604</v>
      </c>
      <c r="C681" t="str">
        <f>IF(PNL!C681="","",PNL!C681)</f>
        <v>2027</v>
      </c>
      <c r="D681" t="str">
        <f>IF(PNL!D681="","",PNL!D681)</f>
        <v>V01</v>
      </c>
      <c r="E681">
        <f t="shared" si="0"/>
        <v>1</v>
      </c>
      <c r="F681">
        <f>IF($A681="","",IF($E681=1,_xlfn.SUMIFS(Comptabilité!$F$1:$F$1446,Comptabilité!$A$1:$A$1446,$A681,Comptabilité!$B$1:$B$1446,$B681,Comptabilité!$C$1:$C$1446,"2026"),0))</f>
        <v>72335</v>
      </c>
      <c r="G681">
        <f>IF($A681="","",IF($D681="V01",Cadrage!$C$23,IF($D681="V02",Cadrage!$D$23,Cadrage!$E$23)))</f>
        <v>0.08</v>
      </c>
      <c r="H681">
        <f>IF($A681="","",IF($D681="V01",Cadrage!$C$24,IF($D681="V02",Cadrage!$D$24,Cadrage!$E$24)))</f>
        <v>0.1</v>
      </c>
      <c r="I681">
        <f>IF($A681="","",IF($D681="V01",Cadrage!$C$34,IF($D681="V02",Cadrage!$D$34,Cadrage!$E$34)))</f>
        <v>0.02</v>
      </c>
      <c r="J681">
        <f>IF($A681="","",IF($D681="V01",Cadrage!$C$35,IF($D681="V02",Cadrage!$D$35,Cadrage!$E$35)))</f>
        <v>0.025</v>
      </c>
      <c r="K681">
        <f>IF($A681="","",IF($D681="V01",Cadrage!$C$36,IF($D681="V02",Cadrage!$D$36,Cadrage!$E$36)))</f>
        <v>0.04</v>
      </c>
      <c r="L681">
        <f>IF($A681="","",IF($D681="V01",Cadrage!$C$37,IF($D681="V02",Cadrage!$D$37,Cadrage!$E$37)))</f>
        <v>0.0185</v>
      </c>
      <c r="M681">
        <f>IF($A681="","",IF($D681="V01",Cadrage!$C$38,IF($D681="V02",Cadrage!$D$38,Cadrage!$E$38)))</f>
        <v>0</v>
      </c>
      <c r="N681">
        <f t="shared" si="1"/>
        <v>1.04903758953208</v>
      </c>
      <c r="O681">
        <f t="shared" si="2"/>
        <v>1.02963039412574</v>
      </c>
      <c r="P681">
        <f>IF($A681="","",IF($E681=1,$F681*$O681,PNL!G681))</f>
        <v>74478.3145590854</v>
      </c>
      <c r="T681">
        <f t="shared" si="3"/>
        <v>-74478.3145590854</v>
      </c>
    </row>
    <row r="682" ht="14.25" customHeight="1">
      <c r="A682" t="str">
        <f>IF(PNL!A682="","",PNL!A682)</f>
        <v>MBWAY_NAN</v>
      </c>
      <c r="B682" t="str">
        <f>IF(PNL!B682="","",PNL!B682)</f>
        <v>604</v>
      </c>
      <c r="C682" t="str">
        <f>IF(PNL!C682="","",PNL!C682)</f>
        <v>2027</v>
      </c>
      <c r="D682" t="str">
        <f>IF(PNL!D682="","",PNL!D682)</f>
        <v>V01</v>
      </c>
      <c r="E682">
        <f t="shared" si="0"/>
        <v>1</v>
      </c>
      <c r="F682">
        <f>IF($A682="","",IF($E682=1,_xlfn.SUMIFS(Comptabilité!$F$1:$F$1446,Comptabilité!$A$1:$A$1446,$A682,Comptabilité!$B$1:$B$1446,$B682,Comptabilité!$C$1:$C$1446,"2026"),0))</f>
        <v>65638</v>
      </c>
      <c r="G682">
        <f>IF($A682="","",IF($D682="V01",Cadrage!$C$23,IF($D682="V02",Cadrage!$D$23,Cadrage!$E$23)))</f>
        <v>0.08</v>
      </c>
      <c r="H682">
        <f>IF($A682="","",IF($D682="V01",Cadrage!$C$24,IF($D682="V02",Cadrage!$D$24,Cadrage!$E$24)))</f>
        <v>0.1</v>
      </c>
      <c r="I682">
        <f>IF($A682="","",IF($D682="V01",Cadrage!$C$34,IF($D682="V02",Cadrage!$D$34,Cadrage!$E$34)))</f>
        <v>0.02</v>
      </c>
      <c r="J682">
        <f>IF($A682="","",IF($D682="V01",Cadrage!$C$35,IF($D682="V02",Cadrage!$D$35,Cadrage!$E$35)))</f>
        <v>0.025</v>
      </c>
      <c r="K682">
        <f>IF($A682="","",IF($D682="V01",Cadrage!$C$36,IF($D682="V02",Cadrage!$D$36,Cadrage!$E$36)))</f>
        <v>0.04</v>
      </c>
      <c r="L682">
        <f>IF($A682="","",IF($D682="V01",Cadrage!$C$37,IF($D682="V02",Cadrage!$D$37,Cadrage!$E$37)))</f>
        <v>0.0185</v>
      </c>
      <c r="M682">
        <f>IF($A682="","",IF($D682="V01",Cadrage!$C$38,IF($D682="V02",Cadrage!$D$38,Cadrage!$E$38)))</f>
        <v>0</v>
      </c>
      <c r="N682">
        <f t="shared" si="1"/>
        <v>1.04903758953208</v>
      </c>
      <c r="O682">
        <f t="shared" si="2"/>
        <v>1.02963039412574</v>
      </c>
      <c r="P682">
        <f>IF($A682="","",IF($E682=1,$F682*$O682,PNL!G682))</f>
        <v>67582.8798096253</v>
      </c>
      <c r="T682">
        <f t="shared" si="3"/>
        <v>-67582.8798096253</v>
      </c>
    </row>
    <row r="683" ht="14.25" customHeight="1">
      <c r="A683" t="str">
        <f>IF(PNL!A683="","",PNL!A683)</f>
        <v>MBWAY_PAR</v>
      </c>
      <c r="B683" t="str">
        <f>IF(PNL!B683="","",PNL!B683)</f>
        <v>604</v>
      </c>
      <c r="C683" t="str">
        <f>IF(PNL!C683="","",PNL!C683)</f>
        <v>2027</v>
      </c>
      <c r="D683" t="str">
        <f>IF(PNL!D683="","",PNL!D683)</f>
        <v>V01</v>
      </c>
      <c r="E683">
        <f t="shared" si="0"/>
        <v>1</v>
      </c>
      <c r="F683">
        <f>IF($A683="","",IF($E683=1,_xlfn.SUMIFS(Comptabilité!$F$1:$F$1446,Comptabilité!$A$1:$A$1446,$A683,Comptabilité!$B$1:$B$1446,$B683,Comptabilité!$C$1:$C$1446,"2026"),0))</f>
        <v>85284</v>
      </c>
      <c r="G683">
        <f>IF($A683="","",IF($D683="V01",Cadrage!$C$23,IF($D683="V02",Cadrage!$D$23,Cadrage!$E$23)))</f>
        <v>0.08</v>
      </c>
      <c r="H683">
        <f>IF($A683="","",IF($D683="V01",Cadrage!$C$24,IF($D683="V02",Cadrage!$D$24,Cadrage!$E$24)))</f>
        <v>0.1</v>
      </c>
      <c r="I683">
        <f>IF($A683="","",IF($D683="V01",Cadrage!$C$34,IF($D683="V02",Cadrage!$D$34,Cadrage!$E$34)))</f>
        <v>0.02</v>
      </c>
      <c r="J683">
        <f>IF($A683="","",IF($D683="V01",Cadrage!$C$35,IF($D683="V02",Cadrage!$D$35,Cadrage!$E$35)))</f>
        <v>0.025</v>
      </c>
      <c r="K683">
        <f>IF($A683="","",IF($D683="V01",Cadrage!$C$36,IF($D683="V02",Cadrage!$D$36,Cadrage!$E$36)))</f>
        <v>0.04</v>
      </c>
      <c r="L683">
        <f>IF($A683="","",IF($D683="V01",Cadrage!$C$37,IF($D683="V02",Cadrage!$D$37,Cadrage!$E$37)))</f>
        <v>0.0185</v>
      </c>
      <c r="M683">
        <f>IF($A683="","",IF($D683="V01",Cadrage!$C$38,IF($D683="V02",Cadrage!$D$38,Cadrage!$E$38)))</f>
        <v>0</v>
      </c>
      <c r="N683">
        <f t="shared" si="1"/>
        <v>1.04903758953208</v>
      </c>
      <c r="O683">
        <f t="shared" si="2"/>
        <v>1.02963039412574</v>
      </c>
      <c r="P683">
        <f>IF($A683="","",IF($E683=1,$F683*$O683,PNL!G683))</f>
        <v>87810.9985326196</v>
      </c>
      <c r="T683">
        <f t="shared" si="3"/>
        <v>-87810.9985326196</v>
      </c>
    </row>
    <row r="684" ht="14.25" customHeight="1">
      <c r="A684" t="str">
        <f>IF(PNL!A684="","",PNL!A684)</f>
        <v>PIGIER_BOR</v>
      </c>
      <c r="B684" t="str">
        <f>IF(PNL!B684="","",PNL!B684)</f>
        <v>604</v>
      </c>
      <c r="C684" t="str">
        <f>IF(PNL!C684="","",PNL!C684)</f>
        <v>2027</v>
      </c>
      <c r="D684" t="str">
        <f>IF(PNL!D684="","",PNL!D684)</f>
        <v>V01</v>
      </c>
      <c r="E684">
        <f t="shared" si="0"/>
        <v>1</v>
      </c>
      <c r="F684">
        <f>IF($A684="","",IF($E684=1,_xlfn.SUMIFS(Comptabilité!$F$1:$F$1446,Comptabilité!$A$1:$A$1446,$A684,Comptabilité!$B$1:$B$1446,$B684,Comptabilité!$C$1:$C$1446,"2026"),0))</f>
        <v>31703</v>
      </c>
      <c r="G684">
        <f>IF($A684="","",IF($D684="V01",Cadrage!$C$23,IF($D684="V02",Cadrage!$D$23,Cadrage!$E$23)))</f>
        <v>0.08</v>
      </c>
      <c r="H684">
        <f>IF($A684="","",IF($D684="V01",Cadrage!$C$24,IF($D684="V02",Cadrage!$D$24,Cadrage!$E$24)))</f>
        <v>0.1</v>
      </c>
      <c r="I684">
        <f>IF($A684="","",IF($D684="V01",Cadrage!$C$34,IF($D684="V02",Cadrage!$D$34,Cadrage!$E$34)))</f>
        <v>0.02</v>
      </c>
      <c r="J684">
        <f>IF($A684="","",IF($D684="V01",Cadrage!$C$35,IF($D684="V02",Cadrage!$D$35,Cadrage!$E$35)))</f>
        <v>0.025</v>
      </c>
      <c r="K684">
        <f>IF($A684="","",IF($D684="V01",Cadrage!$C$36,IF($D684="V02",Cadrage!$D$36,Cadrage!$E$36)))</f>
        <v>0.04</v>
      </c>
      <c r="L684">
        <f>IF($A684="","",IF($D684="V01",Cadrage!$C$37,IF($D684="V02",Cadrage!$D$37,Cadrage!$E$37)))</f>
        <v>0.0185</v>
      </c>
      <c r="M684">
        <f>IF($A684="","",IF($D684="V01",Cadrage!$C$38,IF($D684="V02",Cadrage!$D$38,Cadrage!$E$38)))</f>
        <v>0</v>
      </c>
      <c r="N684">
        <f t="shared" si="1"/>
        <v>1.04903758953208</v>
      </c>
      <c r="O684">
        <f t="shared" si="2"/>
        <v>1.02963039412574</v>
      </c>
      <c r="P684">
        <f>IF($A684="","",IF($E684=1,$F684*$O684,PNL!G684))</f>
        <v>32642.3723849683</v>
      </c>
      <c r="T684">
        <f t="shared" si="3"/>
        <v>-32642.3723849683</v>
      </c>
    </row>
    <row r="685" ht="14.25" customHeight="1">
      <c r="A685" t="str">
        <f>IF(PNL!A685="","",PNL!A685)</f>
        <v>PIGIER_LYO</v>
      </c>
      <c r="B685" t="str">
        <f>IF(PNL!B685="","",PNL!B685)</f>
        <v>604</v>
      </c>
      <c r="C685" t="str">
        <f>IF(PNL!C685="","",PNL!C685)</f>
        <v>2027</v>
      </c>
      <c r="D685" t="str">
        <f>IF(PNL!D685="","",PNL!D685)</f>
        <v>V01</v>
      </c>
      <c r="E685">
        <f t="shared" si="0"/>
        <v>1</v>
      </c>
      <c r="F685">
        <f>IF($A685="","",IF($E685=1,_xlfn.SUMIFS(Comptabilité!$F$1:$F$1446,Comptabilité!$A$1:$A$1446,$A685,Comptabilité!$B$1:$B$1446,$B685,Comptabilité!$C$1:$C$1446,"2026"),0))</f>
        <v>40633</v>
      </c>
      <c r="G685">
        <f>IF($A685="","",IF($D685="V01",Cadrage!$C$23,IF($D685="V02",Cadrage!$D$23,Cadrage!$E$23)))</f>
        <v>0.08</v>
      </c>
      <c r="H685">
        <f>IF($A685="","",IF($D685="V01",Cadrage!$C$24,IF($D685="V02",Cadrage!$D$24,Cadrage!$E$24)))</f>
        <v>0.1</v>
      </c>
      <c r="I685">
        <f>IF($A685="","",IF($D685="V01",Cadrage!$C$34,IF($D685="V02",Cadrage!$D$34,Cadrage!$E$34)))</f>
        <v>0.02</v>
      </c>
      <c r="J685">
        <f>IF($A685="","",IF($D685="V01",Cadrage!$C$35,IF($D685="V02",Cadrage!$D$35,Cadrage!$E$35)))</f>
        <v>0.025</v>
      </c>
      <c r="K685">
        <f>IF($A685="","",IF($D685="V01",Cadrage!$C$36,IF($D685="V02",Cadrage!$D$36,Cadrage!$E$36)))</f>
        <v>0.04</v>
      </c>
      <c r="L685">
        <f>IF($A685="","",IF($D685="V01",Cadrage!$C$37,IF($D685="V02",Cadrage!$D$37,Cadrage!$E$37)))</f>
        <v>0.0185</v>
      </c>
      <c r="M685">
        <f>IF($A685="","",IF($D685="V01",Cadrage!$C$38,IF($D685="V02",Cadrage!$D$38,Cadrage!$E$38)))</f>
        <v>0</v>
      </c>
      <c r="N685">
        <f t="shared" si="1"/>
        <v>1.04903758953208</v>
      </c>
      <c r="O685">
        <f t="shared" si="2"/>
        <v>1.02963039412574</v>
      </c>
      <c r="P685">
        <f>IF($A685="","",IF($E685=1,$F685*$O685,PNL!G685))</f>
        <v>41836.9718045112</v>
      </c>
      <c r="T685">
        <f t="shared" si="3"/>
        <v>-41836.9718045112</v>
      </c>
    </row>
    <row r="686" ht="14.25" customHeight="1">
      <c r="A686" t="str">
        <f>IF(PNL!A686="","",PNL!A686)</f>
        <v>TUNON_LYO</v>
      </c>
      <c r="B686" t="str">
        <f>IF(PNL!B686="","",PNL!B686)</f>
        <v>604</v>
      </c>
      <c r="C686" t="str">
        <f>IF(PNL!C686="","",PNL!C686)</f>
        <v>2027</v>
      </c>
      <c r="D686" t="str">
        <f>IF(PNL!D686="","",PNL!D686)</f>
        <v>V01</v>
      </c>
      <c r="E686">
        <f t="shared" si="0"/>
        <v>1</v>
      </c>
      <c r="F686">
        <f>IF($A686="","",IF($E686=1,_xlfn.SUMIFS(Comptabilité!$F$1:$F$1446,Comptabilité!$A$1:$A$1446,$A686,Comptabilité!$B$1:$B$1446,$B686,Comptabilité!$C$1:$C$1446,"2026"),0))</f>
        <v>26121</v>
      </c>
      <c r="G686">
        <f>IF($A686="","",IF($D686="V01",Cadrage!$C$23,IF($D686="V02",Cadrage!$D$23,Cadrage!$E$23)))</f>
        <v>0.08</v>
      </c>
      <c r="H686">
        <f>IF($A686="","",IF($D686="V01",Cadrage!$C$24,IF($D686="V02",Cadrage!$D$24,Cadrage!$E$24)))</f>
        <v>0.1</v>
      </c>
      <c r="I686">
        <f>IF($A686="","",IF($D686="V01",Cadrage!$C$34,IF($D686="V02",Cadrage!$D$34,Cadrage!$E$34)))</f>
        <v>0.02</v>
      </c>
      <c r="J686">
        <f>IF($A686="","",IF($D686="V01",Cadrage!$C$35,IF($D686="V02",Cadrage!$D$35,Cadrage!$E$35)))</f>
        <v>0.025</v>
      </c>
      <c r="K686">
        <f>IF($A686="","",IF($D686="V01",Cadrage!$C$36,IF($D686="V02",Cadrage!$D$36,Cadrage!$E$36)))</f>
        <v>0.04</v>
      </c>
      <c r="L686">
        <f>IF($A686="","",IF($D686="V01",Cadrage!$C$37,IF($D686="V02",Cadrage!$D$37,Cadrage!$E$37)))</f>
        <v>0.0185</v>
      </c>
      <c r="M686">
        <f>IF($A686="","",IF($D686="V01",Cadrage!$C$38,IF($D686="V02",Cadrage!$D$38,Cadrage!$E$38)))</f>
        <v>0</v>
      </c>
      <c r="N686">
        <f t="shared" si="1"/>
        <v>1.04903758953208</v>
      </c>
      <c r="O686">
        <f t="shared" si="2"/>
        <v>1.02963039412574</v>
      </c>
      <c r="P686">
        <f>IF($A686="","",IF($E686=1,$F686*$O686,PNL!G686))</f>
        <v>26894.9755249585</v>
      </c>
      <c r="T686">
        <f t="shared" si="3"/>
        <v>-26894.9755249585</v>
      </c>
    </row>
    <row r="687" ht="14.25" customHeight="1">
      <c r="A687" t="str">
        <f>IF(PNL!A687="","",PNL!A687)</f>
        <v>TUNON_PAR</v>
      </c>
      <c r="B687" t="str">
        <f>IF(PNL!B687="","",PNL!B687)</f>
        <v>604</v>
      </c>
      <c r="C687" t="str">
        <f>IF(PNL!C687="","",PNL!C687)</f>
        <v>2027</v>
      </c>
      <c r="D687" t="str">
        <f>IF(PNL!D687="","",PNL!D687)</f>
        <v>V01</v>
      </c>
      <c r="E687">
        <f t="shared" si="0"/>
        <v>1</v>
      </c>
      <c r="F687">
        <f>IF($A687="","",IF($E687=1,_xlfn.SUMIFS(Comptabilité!$F$1:$F$1446,Comptabilité!$A$1:$A$1446,$A687,Comptabilité!$B$1:$B$1446,$B687,Comptabilité!$C$1:$C$1446,"2026"),0))</f>
        <v>30809</v>
      </c>
      <c r="G687">
        <f>IF($A687="","",IF($D687="V01",Cadrage!$C$23,IF($D687="V02",Cadrage!$D$23,Cadrage!$E$23)))</f>
        <v>0.08</v>
      </c>
      <c r="H687">
        <f>IF($A687="","",IF($D687="V01",Cadrage!$C$24,IF($D687="V02",Cadrage!$D$24,Cadrage!$E$24)))</f>
        <v>0.1</v>
      </c>
      <c r="I687">
        <f>IF($A687="","",IF($D687="V01",Cadrage!$C$34,IF($D687="V02",Cadrage!$D$34,Cadrage!$E$34)))</f>
        <v>0.02</v>
      </c>
      <c r="J687">
        <f>IF($A687="","",IF($D687="V01",Cadrage!$C$35,IF($D687="V02",Cadrage!$D$35,Cadrage!$E$35)))</f>
        <v>0.025</v>
      </c>
      <c r="K687">
        <f>IF($A687="","",IF($D687="V01",Cadrage!$C$36,IF($D687="V02",Cadrage!$D$36,Cadrage!$E$36)))</f>
        <v>0.04</v>
      </c>
      <c r="L687">
        <f>IF($A687="","",IF($D687="V01",Cadrage!$C$37,IF($D687="V02",Cadrage!$D$37,Cadrage!$E$37)))</f>
        <v>0.0185</v>
      </c>
      <c r="M687">
        <f>IF($A687="","",IF($D687="V01",Cadrage!$C$38,IF($D687="V02",Cadrage!$D$38,Cadrage!$E$38)))</f>
        <v>0</v>
      </c>
      <c r="N687">
        <f t="shared" si="1"/>
        <v>1.04903758953208</v>
      </c>
      <c r="O687">
        <f t="shared" si="2"/>
        <v>1.02963039412574</v>
      </c>
      <c r="P687">
        <f>IF($A687="","",IF($E687=1,$F687*$O687,PNL!G687))</f>
        <v>31721.8828126199</v>
      </c>
      <c r="T687">
        <f t="shared" si="3"/>
        <v>-31721.8828126199</v>
      </c>
    </row>
    <row r="688" ht="14.25" customHeight="1">
      <c r="A688" t="str">
        <f>IF(PNL!A688="","",PNL!A688)</f>
        <v>IPAC_MTP</v>
      </c>
      <c r="B688" t="str">
        <f>IF(PNL!B688="","",PNL!B688)</f>
        <v>6063</v>
      </c>
      <c r="C688" t="str">
        <f>IF(PNL!C688="","",PNL!C688)</f>
        <v>2027</v>
      </c>
      <c r="D688" t="str">
        <f>IF(PNL!D688="","",PNL!D688)</f>
        <v>V01</v>
      </c>
      <c r="E688">
        <f t="shared" si="0"/>
        <v>1</v>
      </c>
      <c r="F688">
        <f>IF($A688="","",IF($E688=1,_xlfn.SUMIFS(Comptabilité!$F$1:$F$1446,Comptabilité!$A$1:$A$1446,$A688,Comptabilité!$B$1:$B$1446,$B688,Comptabilité!$C$1:$C$1446,"2026"),0))</f>
        <v>17414</v>
      </c>
      <c r="G688">
        <f>IF($A688="","",IF($D688="V01",Cadrage!$C$23,IF($D688="V02",Cadrage!$D$23,Cadrage!$E$23)))</f>
        <v>0.08</v>
      </c>
      <c r="H688">
        <f>IF($A688="","",IF($D688="V01",Cadrage!$C$24,IF($D688="V02",Cadrage!$D$24,Cadrage!$E$24)))</f>
        <v>0.1</v>
      </c>
      <c r="I688">
        <f>IF($A688="","",IF($D688="V01",Cadrage!$C$34,IF($D688="V02",Cadrage!$D$34,Cadrage!$E$34)))</f>
        <v>0.02</v>
      </c>
      <c r="J688">
        <f>IF($A688="","",IF($D688="V01",Cadrage!$C$35,IF($D688="V02",Cadrage!$D$35,Cadrage!$E$35)))</f>
        <v>0.025</v>
      </c>
      <c r="K688">
        <f>IF($A688="","",IF($D688="V01",Cadrage!$C$36,IF($D688="V02",Cadrage!$D$36,Cadrage!$E$36)))</f>
        <v>0.04</v>
      </c>
      <c r="L688">
        <f>IF($A688="","",IF($D688="V01",Cadrage!$C$37,IF($D688="V02",Cadrage!$D$37,Cadrage!$E$37)))</f>
        <v>0.0185</v>
      </c>
      <c r="M688">
        <f>IF($A688="","",IF($D688="V01",Cadrage!$C$38,IF($D688="V02",Cadrage!$D$38,Cadrage!$E$38)))</f>
        <v>0</v>
      </c>
      <c r="N688">
        <f t="shared" si="1"/>
        <v>1.04903758953208</v>
      </c>
      <c r="O688">
        <f t="shared" si="2"/>
        <v>1.02963039412574</v>
      </c>
      <c r="P688">
        <f>IF($A688="","",IF($E688=1,$F688*$O688,PNL!G688))</f>
        <v>17929.9836833056</v>
      </c>
      <c r="T688">
        <f t="shared" si="3"/>
        <v>-17929.9836833056</v>
      </c>
    </row>
    <row r="689" ht="14.25" customHeight="1">
      <c r="A689" t="str">
        <f>IF(PNL!A689="","",PNL!A689)</f>
        <v>IPAC_NAN</v>
      </c>
      <c r="B689" t="str">
        <f>IF(PNL!B689="","",PNL!B689)</f>
        <v>6063</v>
      </c>
      <c r="C689" t="str">
        <f>IF(PNL!C689="","",PNL!C689)</f>
        <v>2027</v>
      </c>
      <c r="D689" t="str">
        <f>IF(PNL!D689="","",PNL!D689)</f>
        <v>V01</v>
      </c>
      <c r="E689">
        <f t="shared" si="0"/>
        <v>1</v>
      </c>
      <c r="F689">
        <f>IF($A689="","",IF($E689=1,_xlfn.SUMIFS(Comptabilité!$F$1:$F$1446,Comptabilité!$A$1:$A$1446,$A689,Comptabilité!$B$1:$B$1446,$B689,Comptabilité!$C$1:$C$1446,"2026"),0))</f>
        <v>21582</v>
      </c>
      <c r="G689">
        <f>IF($A689="","",IF($D689="V01",Cadrage!$C$23,IF($D689="V02",Cadrage!$D$23,Cadrage!$E$23)))</f>
        <v>0.08</v>
      </c>
      <c r="H689">
        <f>IF($A689="","",IF($D689="V01",Cadrage!$C$24,IF($D689="V02",Cadrage!$D$24,Cadrage!$E$24)))</f>
        <v>0.1</v>
      </c>
      <c r="I689">
        <f>IF($A689="","",IF($D689="V01",Cadrage!$C$34,IF($D689="V02",Cadrage!$D$34,Cadrage!$E$34)))</f>
        <v>0.02</v>
      </c>
      <c r="J689">
        <f>IF($A689="","",IF($D689="V01",Cadrage!$C$35,IF($D689="V02",Cadrage!$D$35,Cadrage!$E$35)))</f>
        <v>0.025</v>
      </c>
      <c r="K689">
        <f>IF($A689="","",IF($D689="V01",Cadrage!$C$36,IF($D689="V02",Cadrage!$D$36,Cadrage!$E$36)))</f>
        <v>0.04</v>
      </c>
      <c r="L689">
        <f>IF($A689="","",IF($D689="V01",Cadrage!$C$37,IF($D689="V02",Cadrage!$D$37,Cadrage!$E$37)))</f>
        <v>0.0185</v>
      </c>
      <c r="M689">
        <f>IF($A689="","",IF($D689="V01",Cadrage!$C$38,IF($D689="V02",Cadrage!$D$38,Cadrage!$E$38)))</f>
        <v>0</v>
      </c>
      <c r="N689">
        <f t="shared" si="1"/>
        <v>1.04903758953208</v>
      </c>
      <c r="O689">
        <f t="shared" si="2"/>
        <v>1.02963039412574</v>
      </c>
      <c r="P689">
        <f>IF($A689="","",IF($E689=1,$F689*$O689,PNL!G689))</f>
        <v>22221.4831660217</v>
      </c>
      <c r="T689">
        <f t="shared" si="3"/>
        <v>-22221.4831660217</v>
      </c>
    </row>
    <row r="690" ht="14.25" customHeight="1">
      <c r="A690" t="str">
        <f>IF(PNL!A690="","",PNL!A690)</f>
        <v>IPAC_REN</v>
      </c>
      <c r="B690" t="str">
        <f>IF(PNL!B690="","",PNL!B690)</f>
        <v>6063</v>
      </c>
      <c r="C690" t="str">
        <f>IF(PNL!C690="","",PNL!C690)</f>
        <v>2027</v>
      </c>
      <c r="D690" t="str">
        <f>IF(PNL!D690="","",PNL!D690)</f>
        <v>V01</v>
      </c>
      <c r="E690">
        <f t="shared" si="0"/>
        <v>1</v>
      </c>
      <c r="F690">
        <f>IF($A690="","",IF($E690=1,_xlfn.SUMIFS(Comptabilité!$F$1:$F$1446,Comptabilité!$A$1:$A$1446,$A690,Comptabilité!$B$1:$B$1446,$B690,Comptabilité!$C$1:$C$1446,"2026"),0))</f>
        <v>17414</v>
      </c>
      <c r="G690">
        <f>IF($A690="","",IF($D690="V01",Cadrage!$C$23,IF($D690="V02",Cadrage!$D$23,Cadrage!$E$23)))</f>
        <v>0.08</v>
      </c>
      <c r="H690">
        <f>IF($A690="","",IF($D690="V01",Cadrage!$C$24,IF($D690="V02",Cadrage!$D$24,Cadrage!$E$24)))</f>
        <v>0.1</v>
      </c>
      <c r="I690">
        <f>IF($A690="","",IF($D690="V01",Cadrage!$C$34,IF($D690="V02",Cadrage!$D$34,Cadrage!$E$34)))</f>
        <v>0.02</v>
      </c>
      <c r="J690">
        <f>IF($A690="","",IF($D690="V01",Cadrage!$C$35,IF($D690="V02",Cadrage!$D$35,Cadrage!$E$35)))</f>
        <v>0.025</v>
      </c>
      <c r="K690">
        <f>IF($A690="","",IF($D690="V01",Cadrage!$C$36,IF($D690="V02",Cadrage!$D$36,Cadrage!$E$36)))</f>
        <v>0.04</v>
      </c>
      <c r="L690">
        <f>IF($A690="","",IF($D690="V01",Cadrage!$C$37,IF($D690="V02",Cadrage!$D$37,Cadrage!$E$37)))</f>
        <v>0.0185</v>
      </c>
      <c r="M690">
        <f>IF($A690="","",IF($D690="V01",Cadrage!$C$38,IF($D690="V02",Cadrage!$D$38,Cadrage!$E$38)))</f>
        <v>0</v>
      </c>
      <c r="N690">
        <f t="shared" si="1"/>
        <v>1.04903758953208</v>
      </c>
      <c r="O690">
        <f t="shared" si="2"/>
        <v>1.02963039412574</v>
      </c>
      <c r="P690">
        <f>IF($A690="","",IF($E690=1,$F690*$O690,PNL!G690))</f>
        <v>17929.9836833056</v>
      </c>
      <c r="T690">
        <f t="shared" si="3"/>
        <v>-17929.9836833056</v>
      </c>
    </row>
    <row r="691" ht="14.25" customHeight="1">
      <c r="A691" t="str">
        <f>IF(PNL!A691="","",PNL!A691)</f>
        <v>ISCOM_LIL</v>
      </c>
      <c r="B691" t="str">
        <f>IF(PNL!B691="","",PNL!B691)</f>
        <v>6063</v>
      </c>
      <c r="C691" t="str">
        <f>IF(PNL!C691="","",PNL!C691)</f>
        <v>2027</v>
      </c>
      <c r="D691" t="str">
        <f>IF(PNL!D691="","",PNL!D691)</f>
        <v>V01</v>
      </c>
      <c r="E691">
        <f t="shared" si="0"/>
        <v>1</v>
      </c>
      <c r="F691">
        <f>IF($A691="","",IF($E691=1,_xlfn.SUMIFS(Comptabilité!$F$1:$F$1446,Comptabilité!$A$1:$A$1446,$A691,Comptabilité!$B$1:$B$1446,$B691,Comptabilité!$C$1:$C$1446,"2026"),0))</f>
        <v>36316</v>
      </c>
      <c r="G691">
        <f>IF($A691="","",IF($D691="V01",Cadrage!$C$23,IF($D691="V02",Cadrage!$D$23,Cadrage!$E$23)))</f>
        <v>0.08</v>
      </c>
      <c r="H691">
        <f>IF($A691="","",IF($D691="V01",Cadrage!$C$24,IF($D691="V02",Cadrage!$D$24,Cadrage!$E$24)))</f>
        <v>0.1</v>
      </c>
      <c r="I691">
        <f>IF($A691="","",IF($D691="V01",Cadrage!$C$34,IF($D691="V02",Cadrage!$D$34,Cadrage!$E$34)))</f>
        <v>0.02</v>
      </c>
      <c r="J691">
        <f>IF($A691="","",IF($D691="V01",Cadrage!$C$35,IF($D691="V02",Cadrage!$D$35,Cadrage!$E$35)))</f>
        <v>0.025</v>
      </c>
      <c r="K691">
        <f>IF($A691="","",IF($D691="V01",Cadrage!$C$36,IF($D691="V02",Cadrage!$D$36,Cadrage!$E$36)))</f>
        <v>0.04</v>
      </c>
      <c r="L691">
        <f>IF($A691="","",IF($D691="V01",Cadrage!$C$37,IF($D691="V02",Cadrage!$D$37,Cadrage!$E$37)))</f>
        <v>0.0185</v>
      </c>
      <c r="M691">
        <f>IF($A691="","",IF($D691="V01",Cadrage!$C$38,IF($D691="V02",Cadrage!$D$38,Cadrage!$E$38)))</f>
        <v>0</v>
      </c>
      <c r="N691">
        <f t="shared" si="1"/>
        <v>1.04903758953208</v>
      </c>
      <c r="O691">
        <f t="shared" si="2"/>
        <v>1.02963039412574</v>
      </c>
      <c r="P691">
        <f>IF($A691="","",IF($E691=1,$F691*$O691,PNL!G691))</f>
        <v>37392.0573930704</v>
      </c>
      <c r="T691">
        <f t="shared" si="3"/>
        <v>-37392.0573930704</v>
      </c>
    </row>
    <row r="692" ht="14.25" customHeight="1">
      <c r="A692" t="str">
        <f>IF(PNL!A692="","",PNL!A692)</f>
        <v>ISCOM_PAR</v>
      </c>
      <c r="B692" t="str">
        <f>IF(PNL!B692="","",PNL!B692)</f>
        <v>6063</v>
      </c>
      <c r="C692" t="str">
        <f>IF(PNL!C692="","",PNL!C692)</f>
        <v>2027</v>
      </c>
      <c r="D692" t="str">
        <f>IF(PNL!D692="","",PNL!D692)</f>
        <v>V01</v>
      </c>
      <c r="E692">
        <f t="shared" si="0"/>
        <v>1</v>
      </c>
      <c r="F692">
        <f>IF($A692="","",IF($E692=1,_xlfn.SUMIFS(Comptabilité!$F$1:$F$1446,Comptabilité!$A$1:$A$1446,$A692,Comptabilité!$B$1:$B$1446,$B692,Comptabilité!$C$1:$C$1446,"2026"),0))</f>
        <v>52689</v>
      </c>
      <c r="G692">
        <f>IF($A692="","",IF($D692="V01",Cadrage!$C$23,IF($D692="V02",Cadrage!$D$23,Cadrage!$E$23)))</f>
        <v>0.08</v>
      </c>
      <c r="H692">
        <f>IF($A692="","",IF($D692="V01",Cadrage!$C$24,IF($D692="V02",Cadrage!$D$24,Cadrage!$E$24)))</f>
        <v>0.1</v>
      </c>
      <c r="I692">
        <f>IF($A692="","",IF($D692="V01",Cadrage!$C$34,IF($D692="V02",Cadrage!$D$34,Cadrage!$E$34)))</f>
        <v>0.02</v>
      </c>
      <c r="J692">
        <f>IF($A692="","",IF($D692="V01",Cadrage!$C$35,IF($D692="V02",Cadrage!$D$35,Cadrage!$E$35)))</f>
        <v>0.025</v>
      </c>
      <c r="K692">
        <f>IF($A692="","",IF($D692="V01",Cadrage!$C$36,IF($D692="V02",Cadrage!$D$36,Cadrage!$E$36)))</f>
        <v>0.04</v>
      </c>
      <c r="L692">
        <f>IF($A692="","",IF($D692="V01",Cadrage!$C$37,IF($D692="V02",Cadrage!$D$37,Cadrage!$E$37)))</f>
        <v>0.0185</v>
      </c>
      <c r="M692">
        <f>IF($A692="","",IF($D692="V01",Cadrage!$C$38,IF($D692="V02",Cadrage!$D$38,Cadrage!$E$38)))</f>
        <v>0</v>
      </c>
      <c r="N692">
        <f t="shared" si="1"/>
        <v>1.04903758953208</v>
      </c>
      <c r="O692">
        <f t="shared" si="2"/>
        <v>1.02963039412574</v>
      </c>
      <c r="P692">
        <f>IF($A692="","",IF($E692=1,$F692*$O692,PNL!G692))</f>
        <v>54250.1958360911</v>
      </c>
      <c r="T692">
        <f t="shared" si="3"/>
        <v>-54250.1958360911</v>
      </c>
    </row>
    <row r="693" ht="14.25" customHeight="1">
      <c r="A693" t="str">
        <f>IF(PNL!A693="","",PNL!A693)</f>
        <v>ISCOM_TLS</v>
      </c>
      <c r="B693" t="str">
        <f>IF(PNL!B693="","",PNL!B693)</f>
        <v>6063</v>
      </c>
      <c r="C693" t="str">
        <f>IF(PNL!C693="","",PNL!C693)</f>
        <v>2027</v>
      </c>
      <c r="D693" t="str">
        <f>IF(PNL!D693="","",PNL!D693)</f>
        <v>V01</v>
      </c>
      <c r="E693">
        <f t="shared" si="0"/>
        <v>1</v>
      </c>
      <c r="F693">
        <f>IF($A693="","",IF($E693=1,_xlfn.SUMIFS(Comptabilité!$F$1:$F$1446,Comptabilité!$A$1:$A$1446,$A693,Comptabilité!$B$1:$B$1446,$B693,Comptabilité!$C$1:$C$1446,"2026"),0))</f>
        <v>34382</v>
      </c>
      <c r="G693">
        <f>IF($A693="","",IF($D693="V01",Cadrage!$C$23,IF($D693="V02",Cadrage!$D$23,Cadrage!$E$23)))</f>
        <v>0.08</v>
      </c>
      <c r="H693">
        <f>IF($A693="","",IF($D693="V01",Cadrage!$C$24,IF($D693="V02",Cadrage!$D$24,Cadrage!$E$24)))</f>
        <v>0.1</v>
      </c>
      <c r="I693">
        <f>IF($A693="","",IF($D693="V01",Cadrage!$C$34,IF($D693="V02",Cadrage!$D$34,Cadrage!$E$34)))</f>
        <v>0.02</v>
      </c>
      <c r="J693">
        <f>IF($A693="","",IF($D693="V01",Cadrage!$C$35,IF($D693="V02",Cadrage!$D$35,Cadrage!$E$35)))</f>
        <v>0.025</v>
      </c>
      <c r="K693">
        <f>IF($A693="","",IF($D693="V01",Cadrage!$C$36,IF($D693="V02",Cadrage!$D$36,Cadrage!$E$36)))</f>
        <v>0.04</v>
      </c>
      <c r="L693">
        <f>IF($A693="","",IF($D693="V01",Cadrage!$C$37,IF($D693="V02",Cadrage!$D$37,Cadrage!$E$37)))</f>
        <v>0.0185</v>
      </c>
      <c r="M693">
        <f>IF($A693="","",IF($D693="V01",Cadrage!$C$38,IF($D693="V02",Cadrage!$D$38,Cadrage!$E$38)))</f>
        <v>0</v>
      </c>
      <c r="N693">
        <f t="shared" si="1"/>
        <v>1.04903758953208</v>
      </c>
      <c r="O693">
        <f t="shared" si="2"/>
        <v>1.02963039412574</v>
      </c>
      <c r="P693">
        <f>IF($A693="","",IF($E693=1,$F693*$O693,PNL!G693))</f>
        <v>35400.7522108312</v>
      </c>
      <c r="T693">
        <f t="shared" si="3"/>
        <v>-35400.7522108312</v>
      </c>
    </row>
    <row r="694" ht="14.25" customHeight="1">
      <c r="A694" t="str">
        <f>IF(PNL!A694="","",PNL!A694)</f>
        <v>MBWAY_BOR</v>
      </c>
      <c r="B694" t="str">
        <f>IF(PNL!B694="","",PNL!B694)</f>
        <v>6063</v>
      </c>
      <c r="C694" t="str">
        <f>IF(PNL!C694="","",PNL!C694)</f>
        <v>2027</v>
      </c>
      <c r="D694" t="str">
        <f>IF(PNL!D694="","",PNL!D694)</f>
        <v>V01</v>
      </c>
      <c r="E694">
        <f t="shared" si="0"/>
        <v>1</v>
      </c>
      <c r="F694">
        <f>IF($A694="","",IF($E694=1,_xlfn.SUMIFS(Comptabilité!$F$1:$F$1446,Comptabilité!$A$1:$A$1446,$A694,Comptabilité!$B$1:$B$1446,$B694,Comptabilité!$C$1:$C$1446,"2026"),0))</f>
        <v>37061</v>
      </c>
      <c r="G694">
        <f>IF($A694="","",IF($D694="V01",Cadrage!$C$23,IF($D694="V02",Cadrage!$D$23,Cadrage!$E$23)))</f>
        <v>0.08</v>
      </c>
      <c r="H694">
        <f>IF($A694="","",IF($D694="V01",Cadrage!$C$24,IF($D694="V02",Cadrage!$D$24,Cadrage!$E$24)))</f>
        <v>0.1</v>
      </c>
      <c r="I694">
        <f>IF($A694="","",IF($D694="V01",Cadrage!$C$34,IF($D694="V02",Cadrage!$D$34,Cadrage!$E$34)))</f>
        <v>0.02</v>
      </c>
      <c r="J694">
        <f>IF($A694="","",IF($D694="V01",Cadrage!$C$35,IF($D694="V02",Cadrage!$D$35,Cadrage!$E$35)))</f>
        <v>0.025</v>
      </c>
      <c r="K694">
        <f>IF($A694="","",IF($D694="V01",Cadrage!$C$36,IF($D694="V02",Cadrage!$D$36,Cadrage!$E$36)))</f>
        <v>0.04</v>
      </c>
      <c r="L694">
        <f>IF($A694="","",IF($D694="V01",Cadrage!$C$37,IF($D694="V02",Cadrage!$D$37,Cadrage!$E$37)))</f>
        <v>0.0185</v>
      </c>
      <c r="M694">
        <f>IF($A694="","",IF($D694="V01",Cadrage!$C$38,IF($D694="V02",Cadrage!$D$38,Cadrage!$E$38)))</f>
        <v>0</v>
      </c>
      <c r="N694">
        <f t="shared" si="1"/>
        <v>1.04903758953208</v>
      </c>
      <c r="O694">
        <f t="shared" si="2"/>
        <v>1.02963039412574</v>
      </c>
      <c r="P694">
        <f>IF($A694="","",IF($E694=1,$F694*$O694,PNL!G694))</f>
        <v>38159.1320366941</v>
      </c>
      <c r="T694">
        <f t="shared" si="3"/>
        <v>-38159.1320366941</v>
      </c>
    </row>
    <row r="695" ht="14.25" customHeight="1">
      <c r="A695" t="str">
        <f>IF(PNL!A695="","",PNL!A695)</f>
        <v>MBWAY_LYO</v>
      </c>
      <c r="B695" t="str">
        <f>IF(PNL!B695="","",PNL!B695)</f>
        <v>6063</v>
      </c>
      <c r="C695" t="str">
        <f>IF(PNL!C695="","",PNL!C695)</f>
        <v>2027</v>
      </c>
      <c r="D695" t="str">
        <f>IF(PNL!D695="","",PNL!D695)</f>
        <v>V01</v>
      </c>
      <c r="E695">
        <f t="shared" si="0"/>
        <v>1</v>
      </c>
      <c r="F695">
        <f>IF($A695="","",IF($E695=1,_xlfn.SUMIFS(Comptabilité!$F$1:$F$1446,Comptabilité!$A$1:$A$1446,$A695,Comptabilité!$B$1:$B$1446,$B695,Comptabilité!$C$1:$C$1446,"2026"),0))</f>
        <v>48224</v>
      </c>
      <c r="G695">
        <f>IF($A695="","",IF($D695="V01",Cadrage!$C$23,IF($D695="V02",Cadrage!$D$23,Cadrage!$E$23)))</f>
        <v>0.08</v>
      </c>
      <c r="H695">
        <f>IF($A695="","",IF($D695="V01",Cadrage!$C$24,IF($D695="V02",Cadrage!$D$24,Cadrage!$E$24)))</f>
        <v>0.1</v>
      </c>
      <c r="I695">
        <f>IF($A695="","",IF($D695="V01",Cadrage!$C$34,IF($D695="V02",Cadrage!$D$34,Cadrage!$E$34)))</f>
        <v>0.02</v>
      </c>
      <c r="J695">
        <f>IF($A695="","",IF($D695="V01",Cadrage!$C$35,IF($D695="V02",Cadrage!$D$35,Cadrage!$E$35)))</f>
        <v>0.025</v>
      </c>
      <c r="K695">
        <f>IF($A695="","",IF($D695="V01",Cadrage!$C$36,IF($D695="V02",Cadrage!$D$36,Cadrage!$E$36)))</f>
        <v>0.04</v>
      </c>
      <c r="L695">
        <f>IF($A695="","",IF($D695="V01",Cadrage!$C$37,IF($D695="V02",Cadrage!$D$37,Cadrage!$E$37)))</f>
        <v>0.0185</v>
      </c>
      <c r="M695">
        <f>IF($A695="","",IF($D695="V01",Cadrage!$C$38,IF($D695="V02",Cadrage!$D$38,Cadrage!$E$38)))</f>
        <v>0</v>
      </c>
      <c r="N695">
        <f t="shared" si="1"/>
        <v>1.04903758953208</v>
      </c>
      <c r="O695">
        <f t="shared" si="2"/>
        <v>1.02963039412574</v>
      </c>
      <c r="P695">
        <f>IF($A695="","",IF($E695=1,$F695*$O695,PNL!G695))</f>
        <v>49652.8961263197</v>
      </c>
      <c r="T695">
        <f t="shared" si="3"/>
        <v>-49652.8961263197</v>
      </c>
    </row>
    <row r="696" ht="14.25" customHeight="1">
      <c r="A696" t="str">
        <f>IF(PNL!A696="","",PNL!A696)</f>
        <v>MBWAY_NAN</v>
      </c>
      <c r="B696" t="str">
        <f>IF(PNL!B696="","",PNL!B696)</f>
        <v>6063</v>
      </c>
      <c r="C696" t="str">
        <f>IF(PNL!C696="","",PNL!C696)</f>
        <v>2027</v>
      </c>
      <c r="D696" t="str">
        <f>IF(PNL!D696="","",PNL!D696)</f>
        <v>V01</v>
      </c>
      <c r="E696">
        <f t="shared" si="0"/>
        <v>1</v>
      </c>
      <c r="F696">
        <f>IF($A696="","",IF($E696=1,_xlfn.SUMIFS(Comptabilité!$F$1:$F$1446,Comptabilité!$A$1:$A$1446,$A696,Comptabilité!$B$1:$B$1446,$B696,Comptabilité!$C$1:$C$1446,"2026"),0))</f>
        <v>43758</v>
      </c>
      <c r="G696">
        <f>IF($A696="","",IF($D696="V01",Cadrage!$C$23,IF($D696="V02",Cadrage!$D$23,Cadrage!$E$23)))</f>
        <v>0.08</v>
      </c>
      <c r="H696">
        <f>IF($A696="","",IF($D696="V01",Cadrage!$C$24,IF($D696="V02",Cadrage!$D$24,Cadrage!$E$24)))</f>
        <v>0.1</v>
      </c>
      <c r="I696">
        <f>IF($A696="","",IF($D696="V01",Cadrage!$C$34,IF($D696="V02",Cadrage!$D$34,Cadrage!$E$34)))</f>
        <v>0.02</v>
      </c>
      <c r="J696">
        <f>IF($A696="","",IF($D696="V01",Cadrage!$C$35,IF($D696="V02",Cadrage!$D$35,Cadrage!$E$35)))</f>
        <v>0.025</v>
      </c>
      <c r="K696">
        <f>IF($A696="","",IF($D696="V01",Cadrage!$C$36,IF($D696="V02",Cadrage!$D$36,Cadrage!$E$36)))</f>
        <v>0.04</v>
      </c>
      <c r="L696">
        <f>IF($A696="","",IF($D696="V01",Cadrage!$C$37,IF($D696="V02",Cadrage!$D$37,Cadrage!$E$37)))</f>
        <v>0.0185</v>
      </c>
      <c r="M696">
        <f>IF($A696="","",IF($D696="V01",Cadrage!$C$38,IF($D696="V02",Cadrage!$D$38,Cadrage!$E$38)))</f>
        <v>0</v>
      </c>
      <c r="N696">
        <f t="shared" si="1"/>
        <v>1.04903758953208</v>
      </c>
      <c r="O696">
        <f t="shared" si="2"/>
        <v>1.02963039412574</v>
      </c>
      <c r="P696">
        <f>IF($A696="","",IF($E696=1,$F696*$O696,PNL!G696))</f>
        <v>45054.5667861541</v>
      </c>
      <c r="T696">
        <f t="shared" si="3"/>
        <v>-45054.5667861541</v>
      </c>
    </row>
    <row r="697" ht="14.25" customHeight="1">
      <c r="A697" t="str">
        <f>IF(PNL!A697="","",PNL!A697)</f>
        <v>MBWAY_PAR</v>
      </c>
      <c r="B697" t="str">
        <f>IF(PNL!B697="","",PNL!B697)</f>
        <v>6063</v>
      </c>
      <c r="C697" t="str">
        <f>IF(PNL!C697="","",PNL!C697)</f>
        <v>2027</v>
      </c>
      <c r="D697" t="str">
        <f>IF(PNL!D697="","",PNL!D697)</f>
        <v>V01</v>
      </c>
      <c r="E697">
        <f t="shared" si="0"/>
        <v>1</v>
      </c>
      <c r="F697">
        <f>IF($A697="","",IF($E697=1,_xlfn.SUMIFS(Comptabilité!$F$1:$F$1446,Comptabilité!$A$1:$A$1446,$A697,Comptabilité!$B$1:$B$1446,$B697,Comptabilité!$C$1:$C$1446,"2026"),0))</f>
        <v>56856</v>
      </c>
      <c r="G697">
        <f>IF($A697="","",IF($D697="V01",Cadrage!$C$23,IF($D697="V02",Cadrage!$D$23,Cadrage!$E$23)))</f>
        <v>0.08</v>
      </c>
      <c r="H697">
        <f>IF($A697="","",IF($D697="V01",Cadrage!$C$24,IF($D697="V02",Cadrage!$D$24,Cadrage!$E$24)))</f>
        <v>0.1</v>
      </c>
      <c r="I697">
        <f>IF($A697="","",IF($D697="V01",Cadrage!$C$34,IF($D697="V02",Cadrage!$D$34,Cadrage!$E$34)))</f>
        <v>0.02</v>
      </c>
      <c r="J697">
        <f>IF($A697="","",IF($D697="V01",Cadrage!$C$35,IF($D697="V02",Cadrage!$D$35,Cadrage!$E$35)))</f>
        <v>0.025</v>
      </c>
      <c r="K697">
        <f>IF($A697="","",IF($D697="V01",Cadrage!$C$36,IF($D697="V02",Cadrage!$D$36,Cadrage!$E$36)))</f>
        <v>0.04</v>
      </c>
      <c r="L697">
        <f>IF($A697="","",IF($D697="V01",Cadrage!$C$37,IF($D697="V02",Cadrage!$D$37,Cadrage!$E$37)))</f>
        <v>0.0185</v>
      </c>
      <c r="M697">
        <f>IF($A697="","",IF($D697="V01",Cadrage!$C$38,IF($D697="V02",Cadrage!$D$38,Cadrage!$E$38)))</f>
        <v>0</v>
      </c>
      <c r="N697">
        <f t="shared" si="1"/>
        <v>1.04903758953208</v>
      </c>
      <c r="O697">
        <f t="shared" si="2"/>
        <v>1.02963039412574</v>
      </c>
      <c r="P697">
        <f>IF($A697="","",IF($E697=1,$F697*$O697,PNL!G697))</f>
        <v>58540.6656884131</v>
      </c>
      <c r="T697">
        <f t="shared" si="3"/>
        <v>-58540.6656884131</v>
      </c>
    </row>
    <row r="698" ht="14.25" customHeight="1">
      <c r="A698" t="str">
        <f>IF(PNL!A698="","",PNL!A698)</f>
        <v>PIGIER_BOR</v>
      </c>
      <c r="B698" t="str">
        <f>IF(PNL!B698="","",PNL!B698)</f>
        <v>6063</v>
      </c>
      <c r="C698" t="str">
        <f>IF(PNL!C698="","",PNL!C698)</f>
        <v>2027</v>
      </c>
      <c r="D698" t="str">
        <f>IF(PNL!D698="","",PNL!D698)</f>
        <v>V01</v>
      </c>
      <c r="E698">
        <f t="shared" si="0"/>
        <v>1</v>
      </c>
      <c r="F698">
        <f>IF($A698="","",IF($E698=1,_xlfn.SUMIFS(Comptabilité!$F$1:$F$1446,Comptabilité!$A$1:$A$1446,$A698,Comptabilité!$B$1:$B$1446,$B698,Comptabilité!$C$1:$C$1446,"2026"),0))</f>
        <v>21135</v>
      </c>
      <c r="G698">
        <f>IF($A698="","",IF($D698="V01",Cadrage!$C$23,IF($D698="V02",Cadrage!$D$23,Cadrage!$E$23)))</f>
        <v>0.08</v>
      </c>
      <c r="H698">
        <f>IF($A698="","",IF($D698="V01",Cadrage!$C$24,IF($D698="V02",Cadrage!$D$24,Cadrage!$E$24)))</f>
        <v>0.1</v>
      </c>
      <c r="I698">
        <f>IF($A698="","",IF($D698="V01",Cadrage!$C$34,IF($D698="V02",Cadrage!$D$34,Cadrage!$E$34)))</f>
        <v>0.02</v>
      </c>
      <c r="J698">
        <f>IF($A698="","",IF($D698="V01",Cadrage!$C$35,IF($D698="V02",Cadrage!$D$35,Cadrage!$E$35)))</f>
        <v>0.025</v>
      </c>
      <c r="K698">
        <f>IF($A698="","",IF($D698="V01",Cadrage!$C$36,IF($D698="V02",Cadrage!$D$36,Cadrage!$E$36)))</f>
        <v>0.04</v>
      </c>
      <c r="L698">
        <f>IF($A698="","",IF($D698="V01",Cadrage!$C$37,IF($D698="V02",Cadrage!$D$37,Cadrage!$E$37)))</f>
        <v>0.0185</v>
      </c>
      <c r="M698">
        <f>IF($A698="","",IF($D698="V01",Cadrage!$C$38,IF($D698="V02",Cadrage!$D$38,Cadrage!$E$38)))</f>
        <v>0</v>
      </c>
      <c r="N698">
        <f t="shared" si="1"/>
        <v>1.04903758953208</v>
      </c>
      <c r="O698">
        <f t="shared" si="2"/>
        <v>1.02963039412574</v>
      </c>
      <c r="P698">
        <f>IF($A698="","",IF($E698=1,$F698*$O698,PNL!G698))</f>
        <v>21761.2383798475</v>
      </c>
      <c r="T698">
        <f t="shared" si="3"/>
        <v>-21761.2383798475</v>
      </c>
    </row>
    <row r="699" ht="14.25" customHeight="1">
      <c r="A699" t="str">
        <f>IF(PNL!A699="","",PNL!A699)</f>
        <v>PIGIER_LYO</v>
      </c>
      <c r="B699" t="str">
        <f>IF(PNL!B699="","",PNL!B699)</f>
        <v>6063</v>
      </c>
      <c r="C699" t="str">
        <f>IF(PNL!C699="","",PNL!C699)</f>
        <v>2027</v>
      </c>
      <c r="D699" t="str">
        <f>IF(PNL!D699="","",PNL!D699)</f>
        <v>V01</v>
      </c>
      <c r="E699">
        <f t="shared" si="0"/>
        <v>1</v>
      </c>
      <c r="F699">
        <f>IF($A699="","",IF($E699=1,_xlfn.SUMIFS(Comptabilité!$F$1:$F$1446,Comptabilité!$A$1:$A$1446,$A699,Comptabilité!$B$1:$B$1446,$B699,Comptabilité!$C$1:$C$1446,"2026"),0))</f>
        <v>27089</v>
      </c>
      <c r="G699">
        <f>IF($A699="","",IF($D699="V01",Cadrage!$C$23,IF($D699="V02",Cadrage!$D$23,Cadrage!$E$23)))</f>
        <v>0.08</v>
      </c>
      <c r="H699">
        <f>IF($A699="","",IF($D699="V01",Cadrage!$C$24,IF($D699="V02",Cadrage!$D$24,Cadrage!$E$24)))</f>
        <v>0.1</v>
      </c>
      <c r="I699">
        <f>IF($A699="","",IF($D699="V01",Cadrage!$C$34,IF($D699="V02",Cadrage!$D$34,Cadrage!$E$34)))</f>
        <v>0.02</v>
      </c>
      <c r="J699">
        <f>IF($A699="","",IF($D699="V01",Cadrage!$C$35,IF($D699="V02",Cadrage!$D$35,Cadrage!$E$35)))</f>
        <v>0.025</v>
      </c>
      <c r="K699">
        <f>IF($A699="","",IF($D699="V01",Cadrage!$C$36,IF($D699="V02",Cadrage!$D$36,Cadrage!$E$36)))</f>
        <v>0.04</v>
      </c>
      <c r="L699">
        <f>IF($A699="","",IF($D699="V01",Cadrage!$C$37,IF($D699="V02",Cadrage!$D$37,Cadrage!$E$37)))</f>
        <v>0.0185</v>
      </c>
      <c r="M699">
        <f>IF($A699="","",IF($D699="V01",Cadrage!$C$38,IF($D699="V02",Cadrage!$D$38,Cadrage!$E$38)))</f>
        <v>0</v>
      </c>
      <c r="N699">
        <f t="shared" si="1"/>
        <v>1.04903758953208</v>
      </c>
      <c r="O699">
        <f t="shared" si="2"/>
        <v>1.02963039412574</v>
      </c>
      <c r="P699">
        <f>IF($A699="","",IF($E699=1,$F699*$O699,PNL!G699))</f>
        <v>27891.6577464722</v>
      </c>
      <c r="T699">
        <f t="shared" si="3"/>
        <v>-27891.6577464722</v>
      </c>
    </row>
    <row r="700" ht="14.25" customHeight="1">
      <c r="A700" t="str">
        <f>IF(PNL!A700="","",PNL!A700)</f>
        <v>TUNON_LYO</v>
      </c>
      <c r="B700" t="str">
        <f>IF(PNL!B700="","",PNL!B700)</f>
        <v>6063</v>
      </c>
      <c r="C700" t="str">
        <f>IF(PNL!C700="","",PNL!C700)</f>
        <v>2027</v>
      </c>
      <c r="D700" t="str">
        <f>IF(PNL!D700="","",PNL!D700)</f>
        <v>V01</v>
      </c>
      <c r="E700">
        <f t="shared" si="0"/>
        <v>1</v>
      </c>
      <c r="F700">
        <f>IF($A700="","",IF($E700=1,_xlfn.SUMIFS(Comptabilité!$F$1:$F$1446,Comptabilité!$A$1:$A$1446,$A700,Comptabilité!$B$1:$B$1446,$B700,Comptabilité!$C$1:$C$1446,"2026"),0))</f>
        <v>17414</v>
      </c>
      <c r="G700">
        <f>IF($A700="","",IF($D700="V01",Cadrage!$C$23,IF($D700="V02",Cadrage!$D$23,Cadrage!$E$23)))</f>
        <v>0.08</v>
      </c>
      <c r="H700">
        <f>IF($A700="","",IF($D700="V01",Cadrage!$C$24,IF($D700="V02",Cadrage!$D$24,Cadrage!$E$24)))</f>
        <v>0.1</v>
      </c>
      <c r="I700">
        <f>IF($A700="","",IF($D700="V01",Cadrage!$C$34,IF($D700="V02",Cadrage!$D$34,Cadrage!$E$34)))</f>
        <v>0.02</v>
      </c>
      <c r="J700">
        <f>IF($A700="","",IF($D700="V01",Cadrage!$C$35,IF($D700="V02",Cadrage!$D$35,Cadrage!$E$35)))</f>
        <v>0.025</v>
      </c>
      <c r="K700">
        <f>IF($A700="","",IF($D700="V01",Cadrage!$C$36,IF($D700="V02",Cadrage!$D$36,Cadrage!$E$36)))</f>
        <v>0.04</v>
      </c>
      <c r="L700">
        <f>IF($A700="","",IF($D700="V01",Cadrage!$C$37,IF($D700="V02",Cadrage!$D$37,Cadrage!$E$37)))</f>
        <v>0.0185</v>
      </c>
      <c r="M700">
        <f>IF($A700="","",IF($D700="V01",Cadrage!$C$38,IF($D700="V02",Cadrage!$D$38,Cadrage!$E$38)))</f>
        <v>0</v>
      </c>
      <c r="N700">
        <f t="shared" si="1"/>
        <v>1.04903758953208</v>
      </c>
      <c r="O700">
        <f t="shared" si="2"/>
        <v>1.02963039412574</v>
      </c>
      <c r="P700">
        <f>IF($A700="","",IF($E700=1,$F700*$O700,PNL!G700))</f>
        <v>17929.9836833056</v>
      </c>
      <c r="T700">
        <f t="shared" si="3"/>
        <v>-17929.9836833056</v>
      </c>
    </row>
    <row r="701" ht="14.25" customHeight="1">
      <c r="A701" t="str">
        <f>IF(PNL!A701="","",PNL!A701)</f>
        <v>TUNON_PAR</v>
      </c>
      <c r="B701" t="str">
        <f>IF(PNL!B701="","",PNL!B701)</f>
        <v>6063</v>
      </c>
      <c r="C701" t="str">
        <f>IF(PNL!C701="","",PNL!C701)</f>
        <v>2027</v>
      </c>
      <c r="D701" t="str">
        <f>IF(PNL!D701="","",PNL!D701)</f>
        <v>V01</v>
      </c>
      <c r="E701">
        <f t="shared" si="0"/>
        <v>1</v>
      </c>
      <c r="F701">
        <f>IF($A701="","",IF($E701=1,_xlfn.SUMIFS(Comptabilité!$F$1:$F$1446,Comptabilité!$A$1:$A$1446,$A701,Comptabilité!$B$1:$B$1446,$B701,Comptabilité!$C$1:$C$1446,"2026"),0))</f>
        <v>20540</v>
      </c>
      <c r="G701">
        <f>IF($A701="","",IF($D701="V01",Cadrage!$C$23,IF($D701="V02",Cadrage!$D$23,Cadrage!$E$23)))</f>
        <v>0.08</v>
      </c>
      <c r="H701">
        <f>IF($A701="","",IF($D701="V01",Cadrage!$C$24,IF($D701="V02",Cadrage!$D$24,Cadrage!$E$24)))</f>
        <v>0.1</v>
      </c>
      <c r="I701">
        <f>IF($A701="","",IF($D701="V01",Cadrage!$C$34,IF($D701="V02",Cadrage!$D$34,Cadrage!$E$34)))</f>
        <v>0.02</v>
      </c>
      <c r="J701">
        <f>IF($A701="","",IF($D701="V01",Cadrage!$C$35,IF($D701="V02",Cadrage!$D$35,Cadrage!$E$35)))</f>
        <v>0.025</v>
      </c>
      <c r="K701">
        <f>IF($A701="","",IF($D701="V01",Cadrage!$C$36,IF($D701="V02",Cadrage!$D$36,Cadrage!$E$36)))</f>
        <v>0.04</v>
      </c>
      <c r="L701">
        <f>IF($A701="","",IF($D701="V01",Cadrage!$C$37,IF($D701="V02",Cadrage!$D$37,Cadrage!$E$37)))</f>
        <v>0.0185</v>
      </c>
      <c r="M701">
        <f>IF($A701="","",IF($D701="V01",Cadrage!$C$38,IF($D701="V02",Cadrage!$D$38,Cadrage!$E$38)))</f>
        <v>0</v>
      </c>
      <c r="N701">
        <f t="shared" si="1"/>
        <v>1.04903758953208</v>
      </c>
      <c r="O701">
        <f t="shared" si="2"/>
        <v>1.02963039412574</v>
      </c>
      <c r="P701">
        <f>IF($A701="","",IF($E701=1,$F701*$O701,PNL!G701))</f>
        <v>21148.6082953427</v>
      </c>
      <c r="T701">
        <f t="shared" si="3"/>
        <v>-21148.6082953427</v>
      </c>
    </row>
    <row r="702" ht="14.25" customHeight="1">
      <c r="A702" t="str">
        <f>IF(PNL!A702="","",PNL!A702)</f>
        <v>IPAC_MTP</v>
      </c>
      <c r="B702" t="str">
        <f>IF(PNL!B702="","",PNL!B702)</f>
        <v>613</v>
      </c>
      <c r="C702" t="str">
        <f>IF(PNL!C702="","",PNL!C702)</f>
        <v>2027</v>
      </c>
      <c r="D702" t="str">
        <f>IF(PNL!D702="","",PNL!D702)</f>
        <v>V01</v>
      </c>
      <c r="E702">
        <f t="shared" si="0"/>
        <v>1</v>
      </c>
      <c r="F702">
        <f>IF($A702="","",IF($E702=1,_xlfn.SUMIFS(Comptabilité!$F$1:$F$1446,Comptabilité!$A$1:$A$1446,$A702,Comptabilité!$B$1:$B$1446,$B702,Comptabilité!$C$1:$C$1446,"2026"),0))</f>
        <v>84053.79</v>
      </c>
      <c r="G702">
        <f>IF($A702="","",IF($D702="V01",Cadrage!$C$23,IF($D702="V02",Cadrage!$D$23,Cadrage!$E$23)))</f>
        <v>0.08</v>
      </c>
      <c r="H702">
        <f>IF($A702="","",IF($D702="V01",Cadrage!$C$24,IF($D702="V02",Cadrage!$D$24,Cadrage!$E$24)))</f>
        <v>0.1</v>
      </c>
      <c r="I702">
        <f>IF($A702="","",IF($D702="V01",Cadrage!$C$34,IF($D702="V02",Cadrage!$D$34,Cadrage!$E$34)))</f>
        <v>0.02</v>
      </c>
      <c r="J702">
        <f>IF($A702="","",IF($D702="V01",Cadrage!$C$35,IF($D702="V02",Cadrage!$D$35,Cadrage!$E$35)))</f>
        <v>0.025</v>
      </c>
      <c r="K702">
        <f>IF($A702="","",IF($D702="V01",Cadrage!$C$36,IF($D702="V02",Cadrage!$D$36,Cadrage!$E$36)))</f>
        <v>0.04</v>
      </c>
      <c r="L702">
        <f>IF($A702="","",IF($D702="V01",Cadrage!$C$37,IF($D702="V02",Cadrage!$D$37,Cadrage!$E$37)))</f>
        <v>0.0185</v>
      </c>
      <c r="M702">
        <f>IF($A702="","",IF($D702="V01",Cadrage!$C$38,IF($D702="V02",Cadrage!$D$38,Cadrage!$E$38)))</f>
        <v>0</v>
      </c>
      <c r="N702">
        <f t="shared" si="1"/>
        <v>1.04903758953208</v>
      </c>
      <c r="O702">
        <f t="shared" si="2"/>
        <v>1.00113</v>
      </c>
      <c r="P702">
        <f>IF($A702="","",IF($E702=1,$F702*$O702,PNL!G702))</f>
        <v>84148.7707827</v>
      </c>
      <c r="T702">
        <f t="shared" si="3"/>
        <v>-84148.7707827</v>
      </c>
    </row>
    <row r="703" ht="14.25" customHeight="1">
      <c r="A703" t="str">
        <f>IF(PNL!A703="","",PNL!A703)</f>
        <v>IPAC_NAN</v>
      </c>
      <c r="B703" t="str">
        <f>IF(PNL!B703="","",PNL!B703)</f>
        <v>613</v>
      </c>
      <c r="C703" t="str">
        <f>IF(PNL!C703="","",PNL!C703)</f>
        <v>2027</v>
      </c>
      <c r="D703" t="str">
        <f>IF(PNL!D703="","",PNL!D703)</f>
        <v>V01</v>
      </c>
      <c r="E703">
        <f t="shared" si="0"/>
        <v>1</v>
      </c>
      <c r="F703">
        <f>IF($A703="","",IF($E703=1,_xlfn.SUMIFS(Comptabilité!$F$1:$F$1446,Comptabilité!$A$1:$A$1446,$A703,Comptabilité!$B$1:$B$1446,$B703,Comptabilité!$C$1:$C$1446,"2026"),0))</f>
        <v>103877.74</v>
      </c>
      <c r="G703">
        <f>IF($A703="","",IF($D703="V01",Cadrage!$C$23,IF($D703="V02",Cadrage!$D$23,Cadrage!$E$23)))</f>
        <v>0.08</v>
      </c>
      <c r="H703">
        <f>IF($A703="","",IF($D703="V01",Cadrage!$C$24,IF($D703="V02",Cadrage!$D$24,Cadrage!$E$24)))</f>
        <v>0.1</v>
      </c>
      <c r="I703">
        <f>IF($A703="","",IF($D703="V01",Cadrage!$C$34,IF($D703="V02",Cadrage!$D$34,Cadrage!$E$34)))</f>
        <v>0.02</v>
      </c>
      <c r="J703">
        <f>IF($A703="","",IF($D703="V01",Cadrage!$C$35,IF($D703="V02",Cadrage!$D$35,Cadrage!$E$35)))</f>
        <v>0.025</v>
      </c>
      <c r="K703">
        <f>IF($A703="","",IF($D703="V01",Cadrage!$C$36,IF($D703="V02",Cadrage!$D$36,Cadrage!$E$36)))</f>
        <v>0.04</v>
      </c>
      <c r="L703">
        <f>IF($A703="","",IF($D703="V01",Cadrage!$C$37,IF($D703="V02",Cadrage!$D$37,Cadrage!$E$37)))</f>
        <v>0.0185</v>
      </c>
      <c r="M703">
        <f>IF($A703="","",IF($D703="V01",Cadrage!$C$38,IF($D703="V02",Cadrage!$D$38,Cadrage!$E$38)))</f>
        <v>0</v>
      </c>
      <c r="N703">
        <f t="shared" si="1"/>
        <v>1.04903758953208</v>
      </c>
      <c r="O703">
        <f t="shared" si="2"/>
        <v>1.00113</v>
      </c>
      <c r="P703">
        <f>IF($A703="","",IF($E703=1,$F703*$O703,PNL!G703))</f>
        <v>103995.1218462</v>
      </c>
      <c r="T703">
        <f t="shared" si="3"/>
        <v>-103995.1218462</v>
      </c>
    </row>
    <row r="704" ht="14.25" customHeight="1">
      <c r="A704" t="str">
        <f>IF(PNL!A704="","",PNL!A704)</f>
        <v>IPAC_REN</v>
      </c>
      <c r="B704" t="str">
        <f>IF(PNL!B704="","",PNL!B704)</f>
        <v>613</v>
      </c>
      <c r="C704" t="str">
        <f>IF(PNL!C704="","",PNL!C704)</f>
        <v>2027</v>
      </c>
      <c r="D704" t="str">
        <f>IF(PNL!D704="","",PNL!D704)</f>
        <v>V01</v>
      </c>
      <c r="E704">
        <f t="shared" si="0"/>
        <v>1</v>
      </c>
      <c r="F704">
        <f>IF($A704="","",IF($E704=1,_xlfn.SUMIFS(Comptabilité!$F$1:$F$1446,Comptabilité!$A$1:$A$1446,$A704,Comptabilité!$B$1:$B$1446,$B704,Comptabilité!$C$1:$C$1446,"2026"),0))</f>
        <v>84103.94</v>
      </c>
      <c r="G704">
        <f>IF($A704="","",IF($D704="V01",Cadrage!$C$23,IF($D704="V02",Cadrage!$D$23,Cadrage!$E$23)))</f>
        <v>0.08</v>
      </c>
      <c r="H704">
        <f>IF($A704="","",IF($D704="V01",Cadrage!$C$24,IF($D704="V02",Cadrage!$D$24,Cadrage!$E$24)))</f>
        <v>0.1</v>
      </c>
      <c r="I704">
        <f>IF($A704="","",IF($D704="V01",Cadrage!$C$34,IF($D704="V02",Cadrage!$D$34,Cadrage!$E$34)))</f>
        <v>0.02</v>
      </c>
      <c r="J704">
        <f>IF($A704="","",IF($D704="V01",Cadrage!$C$35,IF($D704="V02",Cadrage!$D$35,Cadrage!$E$35)))</f>
        <v>0.025</v>
      </c>
      <c r="K704">
        <f>IF($A704="","",IF($D704="V01",Cadrage!$C$36,IF($D704="V02",Cadrage!$D$36,Cadrage!$E$36)))</f>
        <v>0.04</v>
      </c>
      <c r="L704">
        <f>IF($A704="","",IF($D704="V01",Cadrage!$C$37,IF($D704="V02",Cadrage!$D$37,Cadrage!$E$37)))</f>
        <v>0.0185</v>
      </c>
      <c r="M704">
        <f>IF($A704="","",IF($D704="V01",Cadrage!$C$38,IF($D704="V02",Cadrage!$D$38,Cadrage!$E$38)))</f>
        <v>0</v>
      </c>
      <c r="N704">
        <f t="shared" si="1"/>
        <v>1.04903758953208</v>
      </c>
      <c r="O704">
        <f t="shared" si="2"/>
        <v>1.00113</v>
      </c>
      <c r="P704">
        <f>IF($A704="","",IF($E704=1,$F704*$O704,PNL!G704))</f>
        <v>84198.9774522</v>
      </c>
      <c r="T704">
        <f t="shared" si="3"/>
        <v>-84198.9774522</v>
      </c>
    </row>
    <row r="705" ht="14.25" customHeight="1">
      <c r="A705" t="str">
        <f>IF(PNL!A705="","",PNL!A705)</f>
        <v>ISCOM_LIL</v>
      </c>
      <c r="B705" t="str">
        <f>IF(PNL!B705="","",PNL!B705)</f>
        <v>613</v>
      </c>
      <c r="C705" t="str">
        <f>IF(PNL!C705="","",PNL!C705)</f>
        <v>2027</v>
      </c>
      <c r="D705" t="str">
        <f>IF(PNL!D705="","",PNL!D705)</f>
        <v>V01</v>
      </c>
      <c r="E705">
        <f t="shared" si="0"/>
        <v>1</v>
      </c>
      <c r="F705">
        <f>IF($A705="","",IF($E705=1,_xlfn.SUMIFS(Comptabilité!$F$1:$F$1446,Comptabilité!$A$1:$A$1446,$A705,Comptabilité!$B$1:$B$1446,$B705,Comptabilité!$C$1:$C$1446,"2026"),0))</f>
        <v>175824.49</v>
      </c>
      <c r="G705">
        <f>IF($A705="","",IF($D705="V01",Cadrage!$C$23,IF($D705="V02",Cadrage!$D$23,Cadrage!$E$23)))</f>
        <v>0.08</v>
      </c>
      <c r="H705">
        <f>IF($A705="","",IF($D705="V01",Cadrage!$C$24,IF($D705="V02",Cadrage!$D$24,Cadrage!$E$24)))</f>
        <v>0.1</v>
      </c>
      <c r="I705">
        <f>IF($A705="","",IF($D705="V01",Cadrage!$C$34,IF($D705="V02",Cadrage!$D$34,Cadrage!$E$34)))</f>
        <v>0.02</v>
      </c>
      <c r="J705">
        <f>IF($A705="","",IF($D705="V01",Cadrage!$C$35,IF($D705="V02",Cadrage!$D$35,Cadrage!$E$35)))</f>
        <v>0.025</v>
      </c>
      <c r="K705">
        <f>IF($A705="","",IF($D705="V01",Cadrage!$C$36,IF($D705="V02",Cadrage!$D$36,Cadrage!$E$36)))</f>
        <v>0.04</v>
      </c>
      <c r="L705">
        <f>IF($A705="","",IF($D705="V01",Cadrage!$C$37,IF($D705="V02",Cadrage!$D$37,Cadrage!$E$37)))</f>
        <v>0.0185</v>
      </c>
      <c r="M705">
        <f>IF($A705="","",IF($D705="V01",Cadrage!$C$38,IF($D705="V02",Cadrage!$D$38,Cadrage!$E$38)))</f>
        <v>0</v>
      </c>
      <c r="N705">
        <f t="shared" si="1"/>
        <v>1.04903758953208</v>
      </c>
      <c r="O705">
        <f t="shared" si="2"/>
        <v>1.00113</v>
      </c>
      <c r="P705">
        <f>IF($A705="","",IF($E705=1,$F705*$O705,PNL!G705))</f>
        <v>176023.1716737</v>
      </c>
      <c r="T705">
        <f t="shared" si="3"/>
        <v>-176023.1716737</v>
      </c>
    </row>
    <row r="706" ht="14.25" customHeight="1">
      <c r="A706" t="str">
        <f>IF(PNL!A706="","",PNL!A706)</f>
        <v>ISCOM_PAR</v>
      </c>
      <c r="B706" t="str">
        <f>IF(PNL!B706="","",PNL!B706)</f>
        <v>613</v>
      </c>
      <c r="C706" t="str">
        <f>IF(PNL!C706="","",PNL!C706)</f>
        <v>2027</v>
      </c>
      <c r="D706" t="str">
        <f>IF(PNL!D706="","",PNL!D706)</f>
        <v>V01</v>
      </c>
      <c r="E706">
        <f t="shared" si="0"/>
        <v>1</v>
      </c>
      <c r="F706">
        <f>IF($A706="","",IF($E706=1,_xlfn.SUMIFS(Comptabilité!$F$1:$F$1446,Comptabilité!$A$1:$A$1446,$A706,Comptabilité!$B$1:$B$1446,$B706,Comptabilité!$C$1:$C$1446,"2026"),0))</f>
        <v>301442.76</v>
      </c>
      <c r="G706">
        <f>IF($A706="","",IF($D706="V01",Cadrage!$C$23,IF($D706="V02",Cadrage!$D$23,Cadrage!$E$23)))</f>
        <v>0.08</v>
      </c>
      <c r="H706">
        <f>IF($A706="","",IF($D706="V01",Cadrage!$C$24,IF($D706="V02",Cadrage!$D$24,Cadrage!$E$24)))</f>
        <v>0.1</v>
      </c>
      <c r="I706">
        <f>IF($A706="","",IF($D706="V01",Cadrage!$C$34,IF($D706="V02",Cadrage!$D$34,Cadrage!$E$34)))</f>
        <v>0.02</v>
      </c>
      <c r="J706">
        <f>IF($A706="","",IF($D706="V01",Cadrage!$C$35,IF($D706="V02",Cadrage!$D$35,Cadrage!$E$35)))</f>
        <v>0.025</v>
      </c>
      <c r="K706">
        <f>IF($A706="","",IF($D706="V01",Cadrage!$C$36,IF($D706="V02",Cadrage!$D$36,Cadrage!$E$36)))</f>
        <v>0.04</v>
      </c>
      <c r="L706">
        <f>IF($A706="","",IF($D706="V01",Cadrage!$C$37,IF($D706="V02",Cadrage!$D$37,Cadrage!$E$37)))</f>
        <v>0.0185</v>
      </c>
      <c r="M706">
        <f>IF($A706="","",IF($D706="V01",Cadrage!$C$38,IF($D706="V02",Cadrage!$D$38,Cadrage!$E$38)))</f>
        <v>0</v>
      </c>
      <c r="N706">
        <f t="shared" si="1"/>
        <v>1.04903758953208</v>
      </c>
      <c r="O706">
        <f t="shared" si="2"/>
        <v>1.00113</v>
      </c>
      <c r="P706">
        <f>IF($A706="","",IF($E706=1,$F706*$O706,PNL!G706))</f>
        <v>301783.3903188</v>
      </c>
      <c r="T706">
        <f t="shared" si="3"/>
        <v>-301783.3903188</v>
      </c>
    </row>
    <row r="707" ht="14.25" customHeight="1">
      <c r="A707" t="str">
        <f>IF(PNL!A707="","",PNL!A707)</f>
        <v>ISCOM_TLS</v>
      </c>
      <c r="B707" t="str">
        <f>IF(PNL!B707="","",PNL!B707)</f>
        <v>613</v>
      </c>
      <c r="C707" t="str">
        <f>IF(PNL!C707="","",PNL!C707)</f>
        <v>2027</v>
      </c>
      <c r="D707" t="str">
        <f>IF(PNL!D707="","",PNL!D707)</f>
        <v>V01</v>
      </c>
      <c r="E707">
        <f t="shared" si="0"/>
        <v>1</v>
      </c>
      <c r="F707">
        <f>IF($A707="","",IF($E707=1,_xlfn.SUMIFS(Comptabilité!$F$1:$F$1446,Comptabilité!$A$1:$A$1446,$A707,Comptabilité!$B$1:$B$1446,$B707,Comptabilité!$C$1:$C$1446,"2026"),0))</f>
        <v>165334.19</v>
      </c>
      <c r="G707">
        <f>IF($A707="","",IF($D707="V01",Cadrage!$C$23,IF($D707="V02",Cadrage!$D$23,Cadrage!$E$23)))</f>
        <v>0.08</v>
      </c>
      <c r="H707">
        <f>IF($A707="","",IF($D707="V01",Cadrage!$C$24,IF($D707="V02",Cadrage!$D$24,Cadrage!$E$24)))</f>
        <v>0.1</v>
      </c>
      <c r="I707">
        <f>IF($A707="","",IF($D707="V01",Cadrage!$C$34,IF($D707="V02",Cadrage!$D$34,Cadrage!$E$34)))</f>
        <v>0.02</v>
      </c>
      <c r="J707">
        <f>IF($A707="","",IF($D707="V01",Cadrage!$C$35,IF($D707="V02",Cadrage!$D$35,Cadrage!$E$35)))</f>
        <v>0.025</v>
      </c>
      <c r="K707">
        <f>IF($A707="","",IF($D707="V01",Cadrage!$C$36,IF($D707="V02",Cadrage!$D$36,Cadrage!$E$36)))</f>
        <v>0.04</v>
      </c>
      <c r="L707">
        <f>IF($A707="","",IF($D707="V01",Cadrage!$C$37,IF($D707="V02",Cadrage!$D$37,Cadrage!$E$37)))</f>
        <v>0.0185</v>
      </c>
      <c r="M707">
        <f>IF($A707="","",IF($D707="V01",Cadrage!$C$38,IF($D707="V02",Cadrage!$D$38,Cadrage!$E$38)))</f>
        <v>0</v>
      </c>
      <c r="N707">
        <f t="shared" si="1"/>
        <v>1.04903758953208</v>
      </c>
      <c r="O707">
        <f t="shared" si="2"/>
        <v>1.00113</v>
      </c>
      <c r="P707">
        <f>IF($A707="","",IF($E707=1,$F707*$O707,PNL!G707))</f>
        <v>165521.0176347</v>
      </c>
      <c r="T707">
        <f t="shared" si="3"/>
        <v>-165521.0176347</v>
      </c>
    </row>
    <row r="708" ht="14.25" customHeight="1">
      <c r="A708" t="str">
        <f>IF(PNL!A708="","",PNL!A708)</f>
        <v>MBWAY_BOR</v>
      </c>
      <c r="B708" t="str">
        <f>IF(PNL!B708="","",PNL!B708)</f>
        <v>613</v>
      </c>
      <c r="C708" t="str">
        <f>IF(PNL!C708="","",PNL!C708)</f>
        <v>2027</v>
      </c>
      <c r="D708" t="str">
        <f>IF(PNL!D708="","",PNL!D708)</f>
        <v>V01</v>
      </c>
      <c r="E708">
        <f t="shared" si="0"/>
        <v>1</v>
      </c>
      <c r="F708">
        <f>IF($A708="","",IF($E708=1,_xlfn.SUMIFS(Comptabilité!$F$1:$F$1446,Comptabilité!$A$1:$A$1446,$A708,Comptabilité!$B$1:$B$1446,$B708,Comptabilité!$C$1:$C$1446,"2026"),0))</f>
        <v>173149.35</v>
      </c>
      <c r="G708">
        <f>IF($A708="","",IF($D708="V01",Cadrage!$C$23,IF($D708="V02",Cadrage!$D$23,Cadrage!$E$23)))</f>
        <v>0.08</v>
      </c>
      <c r="H708">
        <f>IF($A708="","",IF($D708="V01",Cadrage!$C$24,IF($D708="V02",Cadrage!$D$24,Cadrage!$E$24)))</f>
        <v>0.1</v>
      </c>
      <c r="I708">
        <f>IF($A708="","",IF($D708="V01",Cadrage!$C$34,IF($D708="V02",Cadrage!$D$34,Cadrage!$E$34)))</f>
        <v>0.02</v>
      </c>
      <c r="J708">
        <f>IF($A708="","",IF($D708="V01",Cadrage!$C$35,IF($D708="V02",Cadrage!$D$35,Cadrage!$E$35)))</f>
        <v>0.025</v>
      </c>
      <c r="K708">
        <f>IF($A708="","",IF($D708="V01",Cadrage!$C$36,IF($D708="V02",Cadrage!$D$36,Cadrage!$E$36)))</f>
        <v>0.04</v>
      </c>
      <c r="L708">
        <f>IF($A708="","",IF($D708="V01",Cadrage!$C$37,IF($D708="V02",Cadrage!$D$37,Cadrage!$E$37)))</f>
        <v>0.0185</v>
      </c>
      <c r="M708">
        <f>IF($A708="","",IF($D708="V01",Cadrage!$C$38,IF($D708="V02",Cadrage!$D$38,Cadrage!$E$38)))</f>
        <v>0</v>
      </c>
      <c r="N708">
        <f t="shared" si="1"/>
        <v>1.04903758953208</v>
      </c>
      <c r="O708">
        <f t="shared" si="2"/>
        <v>1.00113</v>
      </c>
      <c r="P708">
        <f>IF($A708="","",IF($E708=1,$F708*$O708,PNL!G708))</f>
        <v>173345.0087655</v>
      </c>
      <c r="T708">
        <f t="shared" si="3"/>
        <v>-173345.0087655</v>
      </c>
    </row>
    <row r="709" ht="14.25" customHeight="1">
      <c r="A709" t="str">
        <f>IF(PNL!A709="","",PNL!A709)</f>
        <v>MBWAY_LYO</v>
      </c>
      <c r="B709" t="str">
        <f>IF(PNL!B709="","",PNL!B709)</f>
        <v>613</v>
      </c>
      <c r="C709" t="str">
        <f>IF(PNL!C709="","",PNL!C709)</f>
        <v>2027</v>
      </c>
      <c r="D709" t="str">
        <f>IF(PNL!D709="","",PNL!D709)</f>
        <v>V01</v>
      </c>
      <c r="E709">
        <f t="shared" si="0"/>
        <v>1</v>
      </c>
      <c r="F709">
        <f>IF($A709="","",IF($E709=1,_xlfn.SUMIFS(Comptabilité!$F$1:$F$1446,Comptabilité!$A$1:$A$1446,$A709,Comptabilité!$B$1:$B$1446,$B709,Comptabilité!$C$1:$C$1446,"2026"),0))</f>
        <v>247177.87</v>
      </c>
      <c r="G709">
        <f>IF($A709="","",IF($D709="V01",Cadrage!$C$23,IF($D709="V02",Cadrage!$D$23,Cadrage!$E$23)))</f>
        <v>0.08</v>
      </c>
      <c r="H709">
        <f>IF($A709="","",IF($D709="V01",Cadrage!$C$24,IF($D709="V02",Cadrage!$D$24,Cadrage!$E$24)))</f>
        <v>0.1</v>
      </c>
      <c r="I709">
        <f>IF($A709="","",IF($D709="V01",Cadrage!$C$34,IF($D709="V02",Cadrage!$D$34,Cadrage!$E$34)))</f>
        <v>0.02</v>
      </c>
      <c r="J709">
        <f>IF($A709="","",IF($D709="V01",Cadrage!$C$35,IF($D709="V02",Cadrage!$D$35,Cadrage!$E$35)))</f>
        <v>0.025</v>
      </c>
      <c r="K709">
        <f>IF($A709="","",IF($D709="V01",Cadrage!$C$36,IF($D709="V02",Cadrage!$D$36,Cadrage!$E$36)))</f>
        <v>0.04</v>
      </c>
      <c r="L709">
        <f>IF($A709="","",IF($D709="V01",Cadrage!$C$37,IF($D709="V02",Cadrage!$D$37,Cadrage!$E$37)))</f>
        <v>0.0185</v>
      </c>
      <c r="M709">
        <f>IF($A709="","",IF($D709="V01",Cadrage!$C$38,IF($D709="V02",Cadrage!$D$38,Cadrage!$E$38)))</f>
        <v>0</v>
      </c>
      <c r="N709">
        <f t="shared" si="1"/>
        <v>1.04903758953208</v>
      </c>
      <c r="O709">
        <f t="shared" si="2"/>
        <v>1.00113</v>
      </c>
      <c r="P709">
        <f>IF($A709="","",IF($E709=1,$F709*$O709,PNL!G709))</f>
        <v>247457.1809931</v>
      </c>
      <c r="T709">
        <f t="shared" si="3"/>
        <v>-247457.1809931</v>
      </c>
    </row>
    <row r="710" ht="14.25" customHeight="1">
      <c r="A710" t="str">
        <f>IF(PNL!A710="","",PNL!A710)</f>
        <v>MBWAY_NAN</v>
      </c>
      <c r="B710" t="str">
        <f>IF(PNL!B710="","",PNL!B710)</f>
        <v>613</v>
      </c>
      <c r="C710" t="str">
        <f>IF(PNL!C710="","",PNL!C710)</f>
        <v>2027</v>
      </c>
      <c r="D710" t="str">
        <f>IF(PNL!D710="","",PNL!D710)</f>
        <v>V01</v>
      </c>
      <c r="E710">
        <f t="shared" si="0"/>
        <v>1</v>
      </c>
      <c r="F710">
        <f>IF($A710="","",IF($E710=1,_xlfn.SUMIFS(Comptabilité!$F$1:$F$1446,Comptabilité!$A$1:$A$1446,$A710,Comptabilité!$B$1:$B$1446,$B710,Comptabilité!$C$1:$C$1446,"2026"),0))</f>
        <v>212626.38</v>
      </c>
      <c r="G710">
        <f>IF($A710="","",IF($D710="V01",Cadrage!$C$23,IF($D710="V02",Cadrage!$D$23,Cadrage!$E$23)))</f>
        <v>0.08</v>
      </c>
      <c r="H710">
        <f>IF($A710="","",IF($D710="V01",Cadrage!$C$24,IF($D710="V02",Cadrage!$D$24,Cadrage!$E$24)))</f>
        <v>0.1</v>
      </c>
      <c r="I710">
        <f>IF($A710="","",IF($D710="V01",Cadrage!$C$34,IF($D710="V02",Cadrage!$D$34,Cadrage!$E$34)))</f>
        <v>0.02</v>
      </c>
      <c r="J710">
        <f>IF($A710="","",IF($D710="V01",Cadrage!$C$35,IF($D710="V02",Cadrage!$D$35,Cadrage!$E$35)))</f>
        <v>0.025</v>
      </c>
      <c r="K710">
        <f>IF($A710="","",IF($D710="V01",Cadrage!$C$36,IF($D710="V02",Cadrage!$D$36,Cadrage!$E$36)))</f>
        <v>0.04</v>
      </c>
      <c r="L710">
        <f>IF($A710="","",IF($D710="V01",Cadrage!$C$37,IF($D710="V02",Cadrage!$D$37,Cadrage!$E$37)))</f>
        <v>0.0185</v>
      </c>
      <c r="M710">
        <f>IF($A710="","",IF($D710="V01",Cadrage!$C$38,IF($D710="V02",Cadrage!$D$38,Cadrage!$E$38)))</f>
        <v>0</v>
      </c>
      <c r="N710">
        <f t="shared" si="1"/>
        <v>1.04903758953208</v>
      </c>
      <c r="O710">
        <f t="shared" si="2"/>
        <v>1.00113</v>
      </c>
      <c r="P710">
        <f>IF($A710="","",IF($E710=1,$F710*$O710,PNL!G710))</f>
        <v>212866.6478094</v>
      </c>
      <c r="T710">
        <f t="shared" si="3"/>
        <v>-212866.6478094</v>
      </c>
    </row>
    <row r="711" ht="14.25" customHeight="1">
      <c r="A711" t="str">
        <f>IF(PNL!A711="","",PNL!A711)</f>
        <v>MBWAY_PAR</v>
      </c>
      <c r="B711" t="str">
        <f>IF(PNL!B711="","",PNL!B711)</f>
        <v>613</v>
      </c>
      <c r="C711" t="str">
        <f>IF(PNL!C711="","",PNL!C711)</f>
        <v>2027</v>
      </c>
      <c r="D711" t="str">
        <f>IF(PNL!D711="","",PNL!D711)</f>
        <v>V01</v>
      </c>
      <c r="E711">
        <f t="shared" si="0"/>
        <v>1</v>
      </c>
      <c r="F711">
        <f>IF($A711="","",IF($E711=1,_xlfn.SUMIFS(Comptabilité!$F$1:$F$1446,Comptabilité!$A$1:$A$1446,$A711,Comptabilité!$B$1:$B$1446,$B711,Comptabilité!$C$1:$C$1446,"2026"),0))</f>
        <v>310097.52</v>
      </c>
      <c r="G711">
        <f>IF($A711="","",IF($D711="V01",Cadrage!$C$23,IF($D711="V02",Cadrage!$D$23,Cadrage!$E$23)))</f>
        <v>0.08</v>
      </c>
      <c r="H711">
        <f>IF($A711="","",IF($D711="V01",Cadrage!$C$24,IF($D711="V02",Cadrage!$D$24,Cadrage!$E$24)))</f>
        <v>0.1</v>
      </c>
      <c r="I711">
        <f>IF($A711="","",IF($D711="V01",Cadrage!$C$34,IF($D711="V02",Cadrage!$D$34,Cadrage!$E$34)))</f>
        <v>0.02</v>
      </c>
      <c r="J711">
        <f>IF($A711="","",IF($D711="V01",Cadrage!$C$35,IF($D711="V02",Cadrage!$D$35,Cadrage!$E$35)))</f>
        <v>0.025</v>
      </c>
      <c r="K711">
        <f>IF($A711="","",IF($D711="V01",Cadrage!$C$36,IF($D711="V02",Cadrage!$D$36,Cadrage!$E$36)))</f>
        <v>0.04</v>
      </c>
      <c r="L711">
        <f>IF($A711="","",IF($D711="V01",Cadrage!$C$37,IF($D711="V02",Cadrage!$D$37,Cadrage!$E$37)))</f>
        <v>0.0185</v>
      </c>
      <c r="M711">
        <f>IF($A711="","",IF($D711="V01",Cadrage!$C$38,IF($D711="V02",Cadrage!$D$38,Cadrage!$E$38)))</f>
        <v>0</v>
      </c>
      <c r="N711">
        <f t="shared" si="1"/>
        <v>1.04903758953208</v>
      </c>
      <c r="O711">
        <f t="shared" si="2"/>
        <v>1.00113</v>
      </c>
      <c r="P711">
        <f>IF($A711="","",IF($E711=1,$F711*$O711,PNL!G711))</f>
        <v>310447.9301976</v>
      </c>
      <c r="T711">
        <f t="shared" si="3"/>
        <v>-310447.9301976</v>
      </c>
    </row>
    <row r="712" ht="14.25" customHeight="1">
      <c r="A712" t="str">
        <f>IF(PNL!A712="","",PNL!A712)</f>
        <v>PIGIER_BOR</v>
      </c>
      <c r="B712" t="str">
        <f>IF(PNL!B712="","",PNL!B712)</f>
        <v>613</v>
      </c>
      <c r="C712" t="str">
        <f>IF(PNL!C712="","",PNL!C712)</f>
        <v>2027</v>
      </c>
      <c r="D712" t="str">
        <f>IF(PNL!D712="","",PNL!D712)</f>
        <v>V01</v>
      </c>
      <c r="E712">
        <f t="shared" si="0"/>
        <v>1</v>
      </c>
      <c r="F712">
        <f>IF($A712="","",IF($E712=1,_xlfn.SUMIFS(Comptabilité!$F$1:$F$1446,Comptabilité!$A$1:$A$1446,$A712,Comptabilité!$B$1:$B$1446,$B712,Comptabilité!$C$1:$C$1446,"2026"),0))</f>
        <v>112878.51</v>
      </c>
      <c r="G712">
        <f>IF($A712="","",IF($D712="V01",Cadrage!$C$23,IF($D712="V02",Cadrage!$D$23,Cadrage!$E$23)))</f>
        <v>0.08</v>
      </c>
      <c r="H712">
        <f>IF($A712="","",IF($D712="V01",Cadrage!$C$24,IF($D712="V02",Cadrage!$D$24,Cadrage!$E$24)))</f>
        <v>0.1</v>
      </c>
      <c r="I712">
        <f>IF($A712="","",IF($D712="V01",Cadrage!$C$34,IF($D712="V02",Cadrage!$D$34,Cadrage!$E$34)))</f>
        <v>0.02</v>
      </c>
      <c r="J712">
        <f>IF($A712="","",IF($D712="V01",Cadrage!$C$35,IF($D712="V02",Cadrage!$D$35,Cadrage!$E$35)))</f>
        <v>0.025</v>
      </c>
      <c r="K712">
        <f>IF($A712="","",IF($D712="V01",Cadrage!$C$36,IF($D712="V02",Cadrage!$D$36,Cadrage!$E$36)))</f>
        <v>0.04</v>
      </c>
      <c r="L712">
        <f>IF($A712="","",IF($D712="V01",Cadrage!$C$37,IF($D712="V02",Cadrage!$D$37,Cadrage!$E$37)))</f>
        <v>0.0185</v>
      </c>
      <c r="M712">
        <f>IF($A712="","",IF($D712="V01",Cadrage!$C$38,IF($D712="V02",Cadrage!$D$38,Cadrage!$E$38)))</f>
        <v>0</v>
      </c>
      <c r="N712">
        <f t="shared" si="1"/>
        <v>1.04903758953208</v>
      </c>
      <c r="O712">
        <f t="shared" si="2"/>
        <v>1.00113</v>
      </c>
      <c r="P712">
        <f>IF($A712="","",IF($E712=1,$F712*$O712,PNL!G712))</f>
        <v>113006.0627163</v>
      </c>
      <c r="T712">
        <f t="shared" si="3"/>
        <v>-113006.0627163</v>
      </c>
    </row>
    <row r="713" ht="14.25" customHeight="1">
      <c r="A713" t="str">
        <f>IF(PNL!A713="","",PNL!A713)</f>
        <v>PIGIER_LYO</v>
      </c>
      <c r="B713" t="str">
        <f>IF(PNL!B713="","",PNL!B713)</f>
        <v>613</v>
      </c>
      <c r="C713" t="str">
        <f>IF(PNL!C713="","",PNL!C713)</f>
        <v>2027</v>
      </c>
      <c r="D713" t="str">
        <f>IF(PNL!D713="","",PNL!D713)</f>
        <v>V01</v>
      </c>
      <c r="E713">
        <f t="shared" si="0"/>
        <v>1</v>
      </c>
      <c r="F713">
        <f>IF($A713="","",IF($E713=1,_xlfn.SUMIFS(Comptabilité!$F$1:$F$1446,Comptabilité!$A$1:$A$1446,$A713,Comptabilité!$B$1:$B$1446,$B713,Comptabilité!$C$1:$C$1446,"2026"),0))</f>
        <v>149043.83</v>
      </c>
      <c r="G713">
        <f>IF($A713="","",IF($D713="V01",Cadrage!$C$23,IF($D713="V02",Cadrage!$D$23,Cadrage!$E$23)))</f>
        <v>0.08</v>
      </c>
      <c r="H713">
        <f>IF($A713="","",IF($D713="V01",Cadrage!$C$24,IF($D713="V02",Cadrage!$D$24,Cadrage!$E$24)))</f>
        <v>0.1</v>
      </c>
      <c r="I713">
        <f>IF($A713="","",IF($D713="V01",Cadrage!$C$34,IF($D713="V02",Cadrage!$D$34,Cadrage!$E$34)))</f>
        <v>0.02</v>
      </c>
      <c r="J713">
        <f>IF($A713="","",IF($D713="V01",Cadrage!$C$35,IF($D713="V02",Cadrage!$D$35,Cadrage!$E$35)))</f>
        <v>0.025</v>
      </c>
      <c r="K713">
        <f>IF($A713="","",IF($D713="V01",Cadrage!$C$36,IF($D713="V02",Cadrage!$D$36,Cadrage!$E$36)))</f>
        <v>0.04</v>
      </c>
      <c r="L713">
        <f>IF($A713="","",IF($D713="V01",Cadrage!$C$37,IF($D713="V02",Cadrage!$D$37,Cadrage!$E$37)))</f>
        <v>0.0185</v>
      </c>
      <c r="M713">
        <f>IF($A713="","",IF($D713="V01",Cadrage!$C$38,IF($D713="V02",Cadrage!$D$38,Cadrage!$E$38)))</f>
        <v>0</v>
      </c>
      <c r="N713">
        <f t="shared" si="1"/>
        <v>1.04903758953208</v>
      </c>
      <c r="O713">
        <f t="shared" si="2"/>
        <v>1.00113</v>
      </c>
      <c r="P713">
        <f>IF($A713="","",IF($E713=1,$F713*$O713,PNL!G713))</f>
        <v>149212.2495279</v>
      </c>
      <c r="T713">
        <f t="shared" si="3"/>
        <v>-149212.2495279</v>
      </c>
    </row>
    <row r="714" ht="14.25" customHeight="1">
      <c r="A714" t="str">
        <f>IF(PNL!A714="","",PNL!A714)</f>
        <v>TUNON_LYO</v>
      </c>
      <c r="B714" t="str">
        <f>IF(PNL!B714="","",PNL!B714)</f>
        <v>613</v>
      </c>
      <c r="C714" t="str">
        <f>IF(PNL!C714="","",PNL!C714)</f>
        <v>2027</v>
      </c>
      <c r="D714" t="str">
        <f>IF(PNL!D714="","",PNL!D714)</f>
        <v>V01</v>
      </c>
      <c r="E714">
        <f t="shared" si="0"/>
        <v>1</v>
      </c>
      <c r="F714">
        <f>IF($A714="","",IF($E714=1,_xlfn.SUMIFS(Comptabilité!$F$1:$F$1446,Comptabilité!$A$1:$A$1446,$A714,Comptabilité!$B$1:$B$1446,$B714,Comptabilité!$C$1:$C$1446,"2026"),0))</f>
        <v>114850.19</v>
      </c>
      <c r="G714">
        <f>IF($A714="","",IF($D714="V01",Cadrage!$C$23,IF($D714="V02",Cadrage!$D$23,Cadrage!$E$23)))</f>
        <v>0.08</v>
      </c>
      <c r="H714">
        <f>IF($A714="","",IF($D714="V01",Cadrage!$C$24,IF($D714="V02",Cadrage!$D$24,Cadrage!$E$24)))</f>
        <v>0.1</v>
      </c>
      <c r="I714">
        <f>IF($A714="","",IF($D714="V01",Cadrage!$C$34,IF($D714="V02",Cadrage!$D$34,Cadrage!$E$34)))</f>
        <v>0.02</v>
      </c>
      <c r="J714">
        <f>IF($A714="","",IF($D714="V01",Cadrage!$C$35,IF($D714="V02",Cadrage!$D$35,Cadrage!$E$35)))</f>
        <v>0.025</v>
      </c>
      <c r="K714">
        <f>IF($A714="","",IF($D714="V01",Cadrage!$C$36,IF($D714="V02",Cadrage!$D$36,Cadrage!$E$36)))</f>
        <v>0.04</v>
      </c>
      <c r="L714">
        <f>IF($A714="","",IF($D714="V01",Cadrage!$C$37,IF($D714="V02",Cadrage!$D$37,Cadrage!$E$37)))</f>
        <v>0.0185</v>
      </c>
      <c r="M714">
        <f>IF($A714="","",IF($D714="V01",Cadrage!$C$38,IF($D714="V02",Cadrage!$D$38,Cadrage!$E$38)))</f>
        <v>0</v>
      </c>
      <c r="N714">
        <f t="shared" si="1"/>
        <v>1.04903758953208</v>
      </c>
      <c r="O714">
        <f t="shared" si="2"/>
        <v>1.00113</v>
      </c>
      <c r="P714">
        <f>IF($A714="","",IF($E714=1,$F714*$O714,PNL!G714))</f>
        <v>114979.9707147</v>
      </c>
      <c r="T714">
        <f t="shared" si="3"/>
        <v>-114979.9707147</v>
      </c>
    </row>
    <row r="715" ht="14.25" customHeight="1">
      <c r="A715" t="str">
        <f>IF(PNL!A715="","",PNL!A715)</f>
        <v>TUNON_PAR</v>
      </c>
      <c r="B715" t="str">
        <f>IF(PNL!B715="","",PNL!B715)</f>
        <v>613</v>
      </c>
      <c r="C715" t="str">
        <f>IF(PNL!C715="","",PNL!C715)</f>
        <v>2027</v>
      </c>
      <c r="D715" t="str">
        <f>IF(PNL!D715="","",PNL!D715)</f>
        <v>V01</v>
      </c>
      <c r="E715">
        <f t="shared" si="0"/>
        <v>1</v>
      </c>
      <c r="F715">
        <f>IF($A715="","",IF($E715=1,_xlfn.SUMIFS(Comptabilité!$F$1:$F$1446,Comptabilité!$A$1:$A$1446,$A715,Comptabilité!$B$1:$B$1446,$B715,Comptabilité!$C$1:$C$1446,"2026"),0))</f>
        <v>137962.95</v>
      </c>
      <c r="G715">
        <f>IF($A715="","",IF($D715="V01",Cadrage!$C$23,IF($D715="V02",Cadrage!$D$23,Cadrage!$E$23)))</f>
        <v>0.08</v>
      </c>
      <c r="H715">
        <f>IF($A715="","",IF($D715="V01",Cadrage!$C$24,IF($D715="V02",Cadrage!$D$24,Cadrage!$E$24)))</f>
        <v>0.1</v>
      </c>
      <c r="I715">
        <f>IF($A715="","",IF($D715="V01",Cadrage!$C$34,IF($D715="V02",Cadrage!$D$34,Cadrage!$E$34)))</f>
        <v>0.02</v>
      </c>
      <c r="J715">
        <f>IF($A715="","",IF($D715="V01",Cadrage!$C$35,IF($D715="V02",Cadrage!$D$35,Cadrage!$E$35)))</f>
        <v>0.025</v>
      </c>
      <c r="K715">
        <f>IF($A715="","",IF($D715="V01",Cadrage!$C$36,IF($D715="V02",Cadrage!$D$36,Cadrage!$E$36)))</f>
        <v>0.04</v>
      </c>
      <c r="L715">
        <f>IF($A715="","",IF($D715="V01",Cadrage!$C$37,IF($D715="V02",Cadrage!$D$37,Cadrage!$E$37)))</f>
        <v>0.0185</v>
      </c>
      <c r="M715">
        <f>IF($A715="","",IF($D715="V01",Cadrage!$C$38,IF($D715="V02",Cadrage!$D$38,Cadrage!$E$38)))</f>
        <v>0</v>
      </c>
      <c r="N715">
        <f t="shared" si="1"/>
        <v>1.04903758953208</v>
      </c>
      <c r="O715">
        <f t="shared" si="2"/>
        <v>1.00113</v>
      </c>
      <c r="P715">
        <f>IF($A715="","",IF($E715=1,$F715*$O715,PNL!G715))</f>
        <v>138118.8481335</v>
      </c>
      <c r="T715">
        <f t="shared" si="3"/>
        <v>-138118.8481335</v>
      </c>
    </row>
    <row r="716" ht="14.25" customHeight="1">
      <c r="A716" t="str">
        <f>IF(PNL!A716="","",PNL!A716)</f>
        <v>IPAC_MTP</v>
      </c>
      <c r="B716" t="str">
        <f>IF(PNL!B716="","",PNL!B716)</f>
        <v>615</v>
      </c>
      <c r="C716" t="str">
        <f>IF(PNL!C716="","",PNL!C716)</f>
        <v>2027</v>
      </c>
      <c r="D716" t="str">
        <f>IF(PNL!D716="","",PNL!D716)</f>
        <v>V01</v>
      </c>
      <c r="E716">
        <f t="shared" si="0"/>
        <v>1</v>
      </c>
      <c r="F716">
        <f>IF($A716="","",IF($E716=1,_xlfn.SUMIFS(Comptabilité!$F$1:$F$1446,Comptabilité!$A$1:$A$1446,$A716,Comptabilité!$B$1:$B$1446,$B716,Comptabilité!$C$1:$C$1446,"2026"),0))</f>
        <v>12007.68</v>
      </c>
      <c r="G716">
        <f>IF($A716="","",IF($D716="V01",Cadrage!$C$23,IF($D716="V02",Cadrage!$D$23,Cadrage!$E$23)))</f>
        <v>0.08</v>
      </c>
      <c r="H716">
        <f>IF($A716="","",IF($D716="V01",Cadrage!$C$24,IF($D716="V02",Cadrage!$D$24,Cadrage!$E$24)))</f>
        <v>0.1</v>
      </c>
      <c r="I716">
        <f>IF($A716="","",IF($D716="V01",Cadrage!$C$34,IF($D716="V02",Cadrage!$D$34,Cadrage!$E$34)))</f>
        <v>0.02</v>
      </c>
      <c r="J716">
        <f>IF($A716="","",IF($D716="V01",Cadrage!$C$35,IF($D716="V02",Cadrage!$D$35,Cadrage!$E$35)))</f>
        <v>0.025</v>
      </c>
      <c r="K716">
        <f>IF($A716="","",IF($D716="V01",Cadrage!$C$36,IF($D716="V02",Cadrage!$D$36,Cadrage!$E$36)))</f>
        <v>0.04</v>
      </c>
      <c r="L716">
        <f>IF($A716="","",IF($D716="V01",Cadrage!$C$37,IF($D716="V02",Cadrage!$D$37,Cadrage!$E$37)))</f>
        <v>0.0185</v>
      </c>
      <c r="M716">
        <f>IF($A716="","",IF($D716="V01",Cadrage!$C$38,IF($D716="V02",Cadrage!$D$38,Cadrage!$E$38)))</f>
        <v>0</v>
      </c>
      <c r="N716">
        <f t="shared" si="1"/>
        <v>1.04903758953208</v>
      </c>
      <c r="O716">
        <f t="shared" si="2"/>
        <v>1.00113</v>
      </c>
      <c r="P716">
        <f>IF($A716="","",IF($E716=1,$F716*$O716,PNL!G716))</f>
        <v>12021.2486784</v>
      </c>
      <c r="T716">
        <f t="shared" si="3"/>
        <v>-12021.2486784</v>
      </c>
    </row>
    <row r="717" ht="14.25" customHeight="1">
      <c r="A717" t="str">
        <f>IF(PNL!A717="","",PNL!A717)</f>
        <v>IPAC_NAN</v>
      </c>
      <c r="B717" t="str">
        <f>IF(PNL!B717="","",PNL!B717)</f>
        <v>615</v>
      </c>
      <c r="C717" t="str">
        <f>IF(PNL!C717="","",PNL!C717)</f>
        <v>2027</v>
      </c>
      <c r="D717" t="str">
        <f>IF(PNL!D717="","",PNL!D717)</f>
        <v>V01</v>
      </c>
      <c r="E717">
        <f t="shared" si="0"/>
        <v>1</v>
      </c>
      <c r="F717">
        <f>IF($A717="","",IF($E717=1,_xlfn.SUMIFS(Comptabilité!$F$1:$F$1446,Comptabilité!$A$1:$A$1446,$A717,Comptabilité!$B$1:$B$1446,$B717,Comptabilité!$C$1:$C$1446,"2026"),0))</f>
        <v>14839.36</v>
      </c>
      <c r="G717">
        <f>IF($A717="","",IF($D717="V01",Cadrage!$C$23,IF($D717="V02",Cadrage!$D$23,Cadrage!$E$23)))</f>
        <v>0.08</v>
      </c>
      <c r="H717">
        <f>IF($A717="","",IF($D717="V01",Cadrage!$C$24,IF($D717="V02",Cadrage!$D$24,Cadrage!$E$24)))</f>
        <v>0.1</v>
      </c>
      <c r="I717">
        <f>IF($A717="","",IF($D717="V01",Cadrage!$C$34,IF($D717="V02",Cadrage!$D$34,Cadrage!$E$34)))</f>
        <v>0.02</v>
      </c>
      <c r="J717">
        <f>IF($A717="","",IF($D717="V01",Cadrage!$C$35,IF($D717="V02",Cadrage!$D$35,Cadrage!$E$35)))</f>
        <v>0.025</v>
      </c>
      <c r="K717">
        <f>IF($A717="","",IF($D717="V01",Cadrage!$C$36,IF($D717="V02",Cadrage!$D$36,Cadrage!$E$36)))</f>
        <v>0.04</v>
      </c>
      <c r="L717">
        <f>IF($A717="","",IF($D717="V01",Cadrage!$C$37,IF($D717="V02",Cadrage!$D$37,Cadrage!$E$37)))</f>
        <v>0.0185</v>
      </c>
      <c r="M717">
        <f>IF($A717="","",IF($D717="V01",Cadrage!$C$38,IF($D717="V02",Cadrage!$D$38,Cadrage!$E$38)))</f>
        <v>0</v>
      </c>
      <c r="N717">
        <f t="shared" si="1"/>
        <v>1.04903758953208</v>
      </c>
      <c r="O717">
        <f t="shared" si="2"/>
        <v>1.00113</v>
      </c>
      <c r="P717">
        <f>IF($A717="","",IF($E717=1,$F717*$O717,PNL!G717))</f>
        <v>14856.1284768</v>
      </c>
      <c r="T717">
        <f t="shared" si="3"/>
        <v>-14856.1284768</v>
      </c>
    </row>
    <row r="718" ht="14.25" customHeight="1">
      <c r="A718" t="str">
        <f>IF(PNL!A718="","",PNL!A718)</f>
        <v>IPAC_REN</v>
      </c>
      <c r="B718" t="str">
        <f>IF(PNL!B718="","",PNL!B718)</f>
        <v>615</v>
      </c>
      <c r="C718" t="str">
        <f>IF(PNL!C718="","",PNL!C718)</f>
        <v>2027</v>
      </c>
      <c r="D718" t="str">
        <f>IF(PNL!D718="","",PNL!D718)</f>
        <v>V01</v>
      </c>
      <c r="E718">
        <f t="shared" si="0"/>
        <v>1</v>
      </c>
      <c r="F718">
        <f>IF($A718="","",IF($E718=1,_xlfn.SUMIFS(Comptabilité!$F$1:$F$1446,Comptabilité!$A$1:$A$1446,$A718,Comptabilité!$B$1:$B$1446,$B718,Comptabilité!$C$1:$C$1446,"2026"),0))</f>
        <v>12014.85</v>
      </c>
      <c r="G718">
        <f>IF($A718="","",IF($D718="V01",Cadrage!$C$23,IF($D718="V02",Cadrage!$D$23,Cadrage!$E$23)))</f>
        <v>0.08</v>
      </c>
      <c r="H718">
        <f>IF($A718="","",IF($D718="V01",Cadrage!$C$24,IF($D718="V02",Cadrage!$D$24,Cadrage!$E$24)))</f>
        <v>0.1</v>
      </c>
      <c r="I718">
        <f>IF($A718="","",IF($D718="V01",Cadrage!$C$34,IF($D718="V02",Cadrage!$D$34,Cadrage!$E$34)))</f>
        <v>0.02</v>
      </c>
      <c r="J718">
        <f>IF($A718="","",IF($D718="V01",Cadrage!$C$35,IF($D718="V02",Cadrage!$D$35,Cadrage!$E$35)))</f>
        <v>0.025</v>
      </c>
      <c r="K718">
        <f>IF($A718="","",IF($D718="V01",Cadrage!$C$36,IF($D718="V02",Cadrage!$D$36,Cadrage!$E$36)))</f>
        <v>0.04</v>
      </c>
      <c r="L718">
        <f>IF($A718="","",IF($D718="V01",Cadrage!$C$37,IF($D718="V02",Cadrage!$D$37,Cadrage!$E$37)))</f>
        <v>0.0185</v>
      </c>
      <c r="M718">
        <f>IF($A718="","",IF($D718="V01",Cadrage!$C$38,IF($D718="V02",Cadrage!$D$38,Cadrage!$E$38)))</f>
        <v>0</v>
      </c>
      <c r="N718">
        <f t="shared" si="1"/>
        <v>1.04903758953208</v>
      </c>
      <c r="O718">
        <f t="shared" si="2"/>
        <v>1.00113</v>
      </c>
      <c r="P718">
        <f>IF($A718="","",IF($E718=1,$F718*$O718,PNL!G718))</f>
        <v>12028.4267805</v>
      </c>
      <c r="T718">
        <f t="shared" si="3"/>
        <v>-12028.4267805</v>
      </c>
    </row>
    <row r="719" ht="14.25" customHeight="1">
      <c r="A719" t="str">
        <f>IF(PNL!A719="","",PNL!A719)</f>
        <v>ISCOM_LIL</v>
      </c>
      <c r="B719" t="str">
        <f>IF(PNL!B719="","",PNL!B719)</f>
        <v>615</v>
      </c>
      <c r="C719" t="str">
        <f>IF(PNL!C719="","",PNL!C719)</f>
        <v>2027</v>
      </c>
      <c r="D719" t="str">
        <f>IF(PNL!D719="","",PNL!D719)</f>
        <v>V01</v>
      </c>
      <c r="E719">
        <f t="shared" si="0"/>
        <v>1</v>
      </c>
      <c r="F719">
        <f>IF($A719="","",IF($E719=1,_xlfn.SUMIFS(Comptabilité!$F$1:$F$1446,Comptabilité!$A$1:$A$1446,$A719,Comptabilité!$B$1:$B$1446,$B719,Comptabilité!$C$1:$C$1446,"2026"),0))</f>
        <v>25117.43</v>
      </c>
      <c r="G719">
        <f>IF($A719="","",IF($D719="V01",Cadrage!$C$23,IF($D719="V02",Cadrage!$D$23,Cadrage!$E$23)))</f>
        <v>0.08</v>
      </c>
      <c r="H719">
        <f>IF($A719="","",IF($D719="V01",Cadrage!$C$24,IF($D719="V02",Cadrage!$D$24,Cadrage!$E$24)))</f>
        <v>0.1</v>
      </c>
      <c r="I719">
        <f>IF($A719="","",IF($D719="V01",Cadrage!$C$34,IF($D719="V02",Cadrage!$D$34,Cadrage!$E$34)))</f>
        <v>0.02</v>
      </c>
      <c r="J719">
        <f>IF($A719="","",IF($D719="V01",Cadrage!$C$35,IF($D719="V02",Cadrage!$D$35,Cadrage!$E$35)))</f>
        <v>0.025</v>
      </c>
      <c r="K719">
        <f>IF($A719="","",IF($D719="V01",Cadrage!$C$36,IF($D719="V02",Cadrage!$D$36,Cadrage!$E$36)))</f>
        <v>0.04</v>
      </c>
      <c r="L719">
        <f>IF($A719="","",IF($D719="V01",Cadrage!$C$37,IF($D719="V02",Cadrage!$D$37,Cadrage!$E$37)))</f>
        <v>0.0185</v>
      </c>
      <c r="M719">
        <f>IF($A719="","",IF($D719="V01",Cadrage!$C$38,IF($D719="V02",Cadrage!$D$38,Cadrage!$E$38)))</f>
        <v>0</v>
      </c>
      <c r="N719">
        <f t="shared" si="1"/>
        <v>1.04903758953208</v>
      </c>
      <c r="O719">
        <f t="shared" si="2"/>
        <v>1.00113</v>
      </c>
      <c r="P719">
        <f>IF($A719="","",IF($E719=1,$F719*$O719,PNL!G719))</f>
        <v>25145.8126959</v>
      </c>
      <c r="T719">
        <f t="shared" si="3"/>
        <v>-25145.8126959</v>
      </c>
    </row>
    <row r="720" ht="14.25" customHeight="1">
      <c r="A720" t="str">
        <f>IF(PNL!A720="","",PNL!A720)</f>
        <v>ISCOM_PAR</v>
      </c>
      <c r="B720" t="str">
        <f>IF(PNL!B720="","",PNL!B720)</f>
        <v>615</v>
      </c>
      <c r="C720" t="str">
        <f>IF(PNL!C720="","",PNL!C720)</f>
        <v>2027</v>
      </c>
      <c r="D720" t="str">
        <f>IF(PNL!D720="","",PNL!D720)</f>
        <v>V01</v>
      </c>
      <c r="E720">
        <f t="shared" si="0"/>
        <v>1</v>
      </c>
      <c r="F720">
        <f>IF($A720="","",IF($E720=1,_xlfn.SUMIFS(Comptabilité!$F$1:$F$1446,Comptabilité!$A$1:$A$1446,$A720,Comptabilité!$B$1:$B$1446,$B720,Comptabilité!$C$1:$C$1446,"2026"),0))</f>
        <v>43063.14</v>
      </c>
      <c r="G720">
        <f>IF($A720="","",IF($D720="V01",Cadrage!$C$23,IF($D720="V02",Cadrage!$D$23,Cadrage!$E$23)))</f>
        <v>0.08</v>
      </c>
      <c r="H720">
        <f>IF($A720="","",IF($D720="V01",Cadrage!$C$24,IF($D720="V02",Cadrage!$D$24,Cadrage!$E$24)))</f>
        <v>0.1</v>
      </c>
      <c r="I720">
        <f>IF($A720="","",IF($D720="V01",Cadrage!$C$34,IF($D720="V02",Cadrage!$D$34,Cadrage!$E$34)))</f>
        <v>0.02</v>
      </c>
      <c r="J720">
        <f>IF($A720="","",IF($D720="V01",Cadrage!$C$35,IF($D720="V02",Cadrage!$D$35,Cadrage!$E$35)))</f>
        <v>0.025</v>
      </c>
      <c r="K720">
        <f>IF($A720="","",IF($D720="V01",Cadrage!$C$36,IF($D720="V02",Cadrage!$D$36,Cadrage!$E$36)))</f>
        <v>0.04</v>
      </c>
      <c r="L720">
        <f>IF($A720="","",IF($D720="V01",Cadrage!$C$37,IF($D720="V02",Cadrage!$D$37,Cadrage!$E$37)))</f>
        <v>0.0185</v>
      </c>
      <c r="M720">
        <f>IF($A720="","",IF($D720="V01",Cadrage!$C$38,IF($D720="V02",Cadrage!$D$38,Cadrage!$E$38)))</f>
        <v>0</v>
      </c>
      <c r="N720">
        <f t="shared" si="1"/>
        <v>1.04903758953208</v>
      </c>
      <c r="O720">
        <f t="shared" si="2"/>
        <v>1.00113</v>
      </c>
      <c r="P720">
        <f>IF($A720="","",IF($E720=1,$F720*$O720,PNL!G720))</f>
        <v>43111.8013482</v>
      </c>
      <c r="T720">
        <f t="shared" si="3"/>
        <v>-43111.8013482</v>
      </c>
    </row>
    <row r="721" ht="14.25" customHeight="1">
      <c r="A721" t="str">
        <f>IF(PNL!A721="","",PNL!A721)</f>
        <v>ISCOM_TLS</v>
      </c>
      <c r="B721" t="str">
        <f>IF(PNL!B721="","",PNL!B721)</f>
        <v>615</v>
      </c>
      <c r="C721" t="str">
        <f>IF(PNL!C721="","",PNL!C721)</f>
        <v>2027</v>
      </c>
      <c r="D721" t="str">
        <f>IF(PNL!D721="","",PNL!D721)</f>
        <v>V01</v>
      </c>
      <c r="E721">
        <f t="shared" si="0"/>
        <v>1</v>
      </c>
      <c r="F721">
        <f>IF($A721="","",IF($E721=1,_xlfn.SUMIFS(Comptabilité!$F$1:$F$1446,Comptabilité!$A$1:$A$1446,$A721,Comptabilité!$B$1:$B$1446,$B721,Comptabilité!$C$1:$C$1446,"2026"),0))</f>
        <v>23619.34</v>
      </c>
      <c r="G721">
        <f>IF($A721="","",IF($D721="V01",Cadrage!$C$23,IF($D721="V02",Cadrage!$D$23,Cadrage!$E$23)))</f>
        <v>0.08</v>
      </c>
      <c r="H721">
        <f>IF($A721="","",IF($D721="V01",Cadrage!$C$24,IF($D721="V02",Cadrage!$D$24,Cadrage!$E$24)))</f>
        <v>0.1</v>
      </c>
      <c r="I721">
        <f>IF($A721="","",IF($D721="V01",Cadrage!$C$34,IF($D721="V02",Cadrage!$D$34,Cadrage!$E$34)))</f>
        <v>0.02</v>
      </c>
      <c r="J721">
        <f>IF($A721="","",IF($D721="V01",Cadrage!$C$35,IF($D721="V02",Cadrage!$D$35,Cadrage!$E$35)))</f>
        <v>0.025</v>
      </c>
      <c r="K721">
        <f>IF($A721="","",IF($D721="V01",Cadrage!$C$36,IF($D721="V02",Cadrage!$D$36,Cadrage!$E$36)))</f>
        <v>0.04</v>
      </c>
      <c r="L721">
        <f>IF($A721="","",IF($D721="V01",Cadrage!$C$37,IF($D721="V02",Cadrage!$D$37,Cadrage!$E$37)))</f>
        <v>0.0185</v>
      </c>
      <c r="M721">
        <f>IF($A721="","",IF($D721="V01",Cadrage!$C$38,IF($D721="V02",Cadrage!$D$38,Cadrage!$E$38)))</f>
        <v>0</v>
      </c>
      <c r="N721">
        <f t="shared" si="1"/>
        <v>1.04903758953208</v>
      </c>
      <c r="O721">
        <f t="shared" si="2"/>
        <v>1.00113</v>
      </c>
      <c r="P721">
        <f>IF($A721="","",IF($E721=1,$F721*$O721,PNL!G721))</f>
        <v>23646.0298542</v>
      </c>
      <c r="T721">
        <f t="shared" si="3"/>
        <v>-23646.0298542</v>
      </c>
    </row>
    <row r="722" ht="14.25" customHeight="1">
      <c r="A722" t="str">
        <f>IF(PNL!A722="","",PNL!A722)</f>
        <v>MBWAY_BOR</v>
      </c>
      <c r="B722" t="str">
        <f>IF(PNL!B722="","",PNL!B722)</f>
        <v>615</v>
      </c>
      <c r="C722" t="str">
        <f>IF(PNL!C722="","",PNL!C722)</f>
        <v>2027</v>
      </c>
      <c r="D722" t="str">
        <f>IF(PNL!D722="","",PNL!D722)</f>
        <v>V01</v>
      </c>
      <c r="E722">
        <f t="shared" si="0"/>
        <v>1</v>
      </c>
      <c r="F722">
        <f>IF($A722="","",IF($E722=1,_xlfn.SUMIFS(Comptabilité!$F$1:$F$1446,Comptabilité!$A$1:$A$1446,$A722,Comptabilité!$B$1:$B$1446,$B722,Comptabilité!$C$1:$C$1446,"2026"),0))</f>
        <v>24735.47</v>
      </c>
      <c r="G722">
        <f>IF($A722="","",IF($D722="V01",Cadrage!$C$23,IF($D722="V02",Cadrage!$D$23,Cadrage!$E$23)))</f>
        <v>0.08</v>
      </c>
      <c r="H722">
        <f>IF($A722="","",IF($D722="V01",Cadrage!$C$24,IF($D722="V02",Cadrage!$D$24,Cadrage!$E$24)))</f>
        <v>0.1</v>
      </c>
      <c r="I722">
        <f>IF($A722="","",IF($D722="V01",Cadrage!$C$34,IF($D722="V02",Cadrage!$D$34,Cadrage!$E$34)))</f>
        <v>0.02</v>
      </c>
      <c r="J722">
        <f>IF($A722="","",IF($D722="V01",Cadrage!$C$35,IF($D722="V02",Cadrage!$D$35,Cadrage!$E$35)))</f>
        <v>0.025</v>
      </c>
      <c r="K722">
        <f>IF($A722="","",IF($D722="V01",Cadrage!$C$36,IF($D722="V02",Cadrage!$D$36,Cadrage!$E$36)))</f>
        <v>0.04</v>
      </c>
      <c r="L722">
        <f>IF($A722="","",IF($D722="V01",Cadrage!$C$37,IF($D722="V02",Cadrage!$D$37,Cadrage!$E$37)))</f>
        <v>0.0185</v>
      </c>
      <c r="M722">
        <f>IF($A722="","",IF($D722="V01",Cadrage!$C$38,IF($D722="V02",Cadrage!$D$38,Cadrage!$E$38)))</f>
        <v>0</v>
      </c>
      <c r="N722">
        <f t="shared" si="1"/>
        <v>1.04903758953208</v>
      </c>
      <c r="O722">
        <f t="shared" si="2"/>
        <v>1.00113</v>
      </c>
      <c r="P722">
        <f>IF($A722="","",IF($E722=1,$F722*$O722,PNL!G722))</f>
        <v>24763.4210811</v>
      </c>
      <c r="T722">
        <f t="shared" si="3"/>
        <v>-24763.4210811</v>
      </c>
    </row>
    <row r="723" ht="14.25" customHeight="1">
      <c r="A723" t="str">
        <f>IF(PNL!A723="","",PNL!A723)</f>
        <v>MBWAY_LYO</v>
      </c>
      <c r="B723" t="str">
        <f>IF(PNL!B723="","",PNL!B723)</f>
        <v>615</v>
      </c>
      <c r="C723" t="str">
        <f>IF(PNL!C723="","",PNL!C723)</f>
        <v>2027</v>
      </c>
      <c r="D723" t="str">
        <f>IF(PNL!D723="","",PNL!D723)</f>
        <v>V01</v>
      </c>
      <c r="E723">
        <f t="shared" si="0"/>
        <v>1</v>
      </c>
      <c r="F723">
        <f>IF($A723="","",IF($E723=1,_xlfn.SUMIFS(Comptabilité!$F$1:$F$1446,Comptabilité!$A$1:$A$1446,$A723,Comptabilité!$B$1:$B$1446,$B723,Comptabilité!$C$1:$C$1446,"2026"),0))</f>
        <v>35310.97</v>
      </c>
      <c r="G723">
        <f>IF($A723="","",IF($D723="V01",Cadrage!$C$23,IF($D723="V02",Cadrage!$D$23,Cadrage!$E$23)))</f>
        <v>0.08</v>
      </c>
      <c r="H723">
        <f>IF($A723="","",IF($D723="V01",Cadrage!$C$24,IF($D723="V02",Cadrage!$D$24,Cadrage!$E$24)))</f>
        <v>0.1</v>
      </c>
      <c r="I723">
        <f>IF($A723="","",IF($D723="V01",Cadrage!$C$34,IF($D723="V02",Cadrage!$D$34,Cadrage!$E$34)))</f>
        <v>0.02</v>
      </c>
      <c r="J723">
        <f>IF($A723="","",IF($D723="V01",Cadrage!$C$35,IF($D723="V02",Cadrage!$D$35,Cadrage!$E$35)))</f>
        <v>0.025</v>
      </c>
      <c r="K723">
        <f>IF($A723="","",IF($D723="V01",Cadrage!$C$36,IF($D723="V02",Cadrage!$D$36,Cadrage!$E$36)))</f>
        <v>0.04</v>
      </c>
      <c r="L723">
        <f>IF($A723="","",IF($D723="V01",Cadrage!$C$37,IF($D723="V02",Cadrage!$D$37,Cadrage!$E$37)))</f>
        <v>0.0185</v>
      </c>
      <c r="M723">
        <f>IF($A723="","",IF($D723="V01",Cadrage!$C$38,IF($D723="V02",Cadrage!$D$38,Cadrage!$E$38)))</f>
        <v>0</v>
      </c>
      <c r="N723">
        <f t="shared" si="1"/>
        <v>1.04903758953208</v>
      </c>
      <c r="O723">
        <f t="shared" si="2"/>
        <v>1.00113</v>
      </c>
      <c r="P723">
        <f>IF($A723="","",IF($E723=1,$F723*$O723,PNL!G723))</f>
        <v>35350.8713961</v>
      </c>
      <c r="T723">
        <f t="shared" si="3"/>
        <v>-35350.8713961</v>
      </c>
    </row>
    <row r="724" ht="14.25" customHeight="1">
      <c r="A724" t="str">
        <f>IF(PNL!A724="","",PNL!A724)</f>
        <v>MBWAY_NAN</v>
      </c>
      <c r="B724" t="str">
        <f>IF(PNL!B724="","",PNL!B724)</f>
        <v>615</v>
      </c>
      <c r="C724" t="str">
        <f>IF(PNL!C724="","",PNL!C724)</f>
        <v>2027</v>
      </c>
      <c r="D724" t="str">
        <f>IF(PNL!D724="","",PNL!D724)</f>
        <v>V01</v>
      </c>
      <c r="E724">
        <f t="shared" si="0"/>
        <v>1</v>
      </c>
      <c r="F724">
        <f>IF($A724="","",IF($E724=1,_xlfn.SUMIFS(Comptabilité!$F$1:$F$1446,Comptabilité!$A$1:$A$1446,$A724,Comptabilité!$B$1:$B$1446,$B724,Comptabilité!$C$1:$C$1446,"2026"),0))</f>
        <v>30374.7</v>
      </c>
      <c r="G724">
        <f>IF($A724="","",IF($D724="V01",Cadrage!$C$23,IF($D724="V02",Cadrage!$D$23,Cadrage!$E$23)))</f>
        <v>0.08</v>
      </c>
      <c r="H724">
        <f>IF($A724="","",IF($D724="V01",Cadrage!$C$24,IF($D724="V02",Cadrage!$D$24,Cadrage!$E$24)))</f>
        <v>0.1</v>
      </c>
      <c r="I724">
        <f>IF($A724="","",IF($D724="V01",Cadrage!$C$34,IF($D724="V02",Cadrage!$D$34,Cadrage!$E$34)))</f>
        <v>0.02</v>
      </c>
      <c r="J724">
        <f>IF($A724="","",IF($D724="V01",Cadrage!$C$35,IF($D724="V02",Cadrage!$D$35,Cadrage!$E$35)))</f>
        <v>0.025</v>
      </c>
      <c r="K724">
        <f>IF($A724="","",IF($D724="V01",Cadrage!$C$36,IF($D724="V02",Cadrage!$D$36,Cadrage!$E$36)))</f>
        <v>0.04</v>
      </c>
      <c r="L724">
        <f>IF($A724="","",IF($D724="V01",Cadrage!$C$37,IF($D724="V02",Cadrage!$D$37,Cadrage!$E$37)))</f>
        <v>0.0185</v>
      </c>
      <c r="M724">
        <f>IF($A724="","",IF($D724="V01",Cadrage!$C$38,IF($D724="V02",Cadrage!$D$38,Cadrage!$E$38)))</f>
        <v>0</v>
      </c>
      <c r="N724">
        <f t="shared" si="1"/>
        <v>1.04903758953208</v>
      </c>
      <c r="O724">
        <f t="shared" si="2"/>
        <v>1.00113</v>
      </c>
      <c r="P724">
        <f>IF($A724="","",IF($E724=1,$F724*$O724,PNL!G724))</f>
        <v>30409.023411</v>
      </c>
      <c r="T724">
        <f t="shared" si="3"/>
        <v>-30409.023411</v>
      </c>
    </row>
    <row r="725" ht="14.25" customHeight="1">
      <c r="A725" t="str">
        <f>IF(PNL!A725="","",PNL!A725)</f>
        <v>MBWAY_PAR</v>
      </c>
      <c r="B725" t="str">
        <f>IF(PNL!B725="","",PNL!B725)</f>
        <v>615</v>
      </c>
      <c r="C725" t="str">
        <f>IF(PNL!C725="","",PNL!C725)</f>
        <v>2027</v>
      </c>
      <c r="D725" t="str">
        <f>IF(PNL!D725="","",PNL!D725)</f>
        <v>V01</v>
      </c>
      <c r="E725">
        <f t="shared" si="0"/>
        <v>1</v>
      </c>
      <c r="F725">
        <f>IF($A725="","",IF($E725=1,_xlfn.SUMIFS(Comptabilité!$F$1:$F$1446,Comptabilité!$A$1:$A$1446,$A725,Comptabilité!$B$1:$B$1446,$B725,Comptabilité!$C$1:$C$1446,"2026"),0))</f>
        <v>44299.53</v>
      </c>
      <c r="G725">
        <f>IF($A725="","",IF($D725="V01",Cadrage!$C$23,IF($D725="V02",Cadrage!$D$23,Cadrage!$E$23)))</f>
        <v>0.08</v>
      </c>
      <c r="H725">
        <f>IF($A725="","",IF($D725="V01",Cadrage!$C$24,IF($D725="V02",Cadrage!$D$24,Cadrage!$E$24)))</f>
        <v>0.1</v>
      </c>
      <c r="I725">
        <f>IF($A725="","",IF($D725="V01",Cadrage!$C$34,IF($D725="V02",Cadrage!$D$34,Cadrage!$E$34)))</f>
        <v>0.02</v>
      </c>
      <c r="J725">
        <f>IF($A725="","",IF($D725="V01",Cadrage!$C$35,IF($D725="V02",Cadrage!$D$35,Cadrage!$E$35)))</f>
        <v>0.025</v>
      </c>
      <c r="K725">
        <f>IF($A725="","",IF($D725="V01",Cadrage!$C$36,IF($D725="V02",Cadrage!$D$36,Cadrage!$E$36)))</f>
        <v>0.04</v>
      </c>
      <c r="L725">
        <f>IF($A725="","",IF($D725="V01",Cadrage!$C$37,IF($D725="V02",Cadrage!$D$37,Cadrage!$E$37)))</f>
        <v>0.0185</v>
      </c>
      <c r="M725">
        <f>IF($A725="","",IF($D725="V01",Cadrage!$C$38,IF($D725="V02",Cadrage!$D$38,Cadrage!$E$38)))</f>
        <v>0</v>
      </c>
      <c r="N725">
        <f t="shared" si="1"/>
        <v>1.04903758953208</v>
      </c>
      <c r="O725">
        <f t="shared" si="2"/>
        <v>1.00113</v>
      </c>
      <c r="P725">
        <f>IF($A725="","",IF($E725=1,$F725*$O725,PNL!G725))</f>
        <v>44349.5884689</v>
      </c>
      <c r="T725">
        <f t="shared" si="3"/>
        <v>-44349.5884689</v>
      </c>
    </row>
    <row r="726" ht="14.25" customHeight="1">
      <c r="A726" t="str">
        <f>IF(PNL!A726="","",PNL!A726)</f>
        <v>PIGIER_BOR</v>
      </c>
      <c r="B726" t="str">
        <f>IF(PNL!B726="","",PNL!B726)</f>
        <v>615</v>
      </c>
      <c r="C726" t="str">
        <f>IF(PNL!C726="","",PNL!C726)</f>
        <v>2027</v>
      </c>
      <c r="D726" t="str">
        <f>IF(PNL!D726="","",PNL!D726)</f>
        <v>V01</v>
      </c>
      <c r="E726">
        <f t="shared" si="0"/>
        <v>1</v>
      </c>
      <c r="F726">
        <f>IF($A726="","",IF($E726=1,_xlfn.SUMIFS(Comptabilité!$F$1:$F$1446,Comptabilité!$A$1:$A$1446,$A726,Comptabilité!$B$1:$B$1446,$B726,Comptabilité!$C$1:$C$1446,"2026"),0))</f>
        <v>16125.25</v>
      </c>
      <c r="G726">
        <f>IF($A726="","",IF($D726="V01",Cadrage!$C$23,IF($D726="V02",Cadrage!$D$23,Cadrage!$E$23)))</f>
        <v>0.08</v>
      </c>
      <c r="H726">
        <f>IF($A726="","",IF($D726="V01",Cadrage!$C$24,IF($D726="V02",Cadrage!$D$24,Cadrage!$E$24)))</f>
        <v>0.1</v>
      </c>
      <c r="I726">
        <f>IF($A726="","",IF($D726="V01",Cadrage!$C$34,IF($D726="V02",Cadrage!$D$34,Cadrage!$E$34)))</f>
        <v>0.02</v>
      </c>
      <c r="J726">
        <f>IF($A726="","",IF($D726="V01",Cadrage!$C$35,IF($D726="V02",Cadrage!$D$35,Cadrage!$E$35)))</f>
        <v>0.025</v>
      </c>
      <c r="K726">
        <f>IF($A726="","",IF($D726="V01",Cadrage!$C$36,IF($D726="V02",Cadrage!$D$36,Cadrage!$E$36)))</f>
        <v>0.04</v>
      </c>
      <c r="L726">
        <f>IF($A726="","",IF($D726="V01",Cadrage!$C$37,IF($D726="V02",Cadrage!$D$37,Cadrage!$E$37)))</f>
        <v>0.0185</v>
      </c>
      <c r="M726">
        <f>IF($A726="","",IF($D726="V01",Cadrage!$C$38,IF($D726="V02",Cadrage!$D$38,Cadrage!$E$38)))</f>
        <v>0</v>
      </c>
      <c r="N726">
        <f t="shared" si="1"/>
        <v>1.04903758953208</v>
      </c>
      <c r="O726">
        <f t="shared" si="2"/>
        <v>1.00113</v>
      </c>
      <c r="P726">
        <f>IF($A726="","",IF($E726=1,$F726*$O726,PNL!G726))</f>
        <v>16143.4715325</v>
      </c>
      <c r="T726">
        <f t="shared" si="3"/>
        <v>-16143.4715325</v>
      </c>
    </row>
    <row r="727" ht="14.25" customHeight="1">
      <c r="A727" t="str">
        <f>IF(PNL!A727="","",PNL!A727)</f>
        <v>PIGIER_LYO</v>
      </c>
      <c r="B727" t="str">
        <f>IF(PNL!B727="","",PNL!B727)</f>
        <v>615</v>
      </c>
      <c r="C727" t="str">
        <f>IF(PNL!C727="","",PNL!C727)</f>
        <v>2027</v>
      </c>
      <c r="D727" t="str">
        <f>IF(PNL!D727="","",PNL!D727)</f>
        <v>V01</v>
      </c>
      <c r="E727">
        <f t="shared" si="0"/>
        <v>1</v>
      </c>
      <c r="F727">
        <f>IF($A727="","",IF($E727=1,_xlfn.SUMIFS(Comptabilité!$F$1:$F$1446,Comptabilité!$A$1:$A$1446,$A727,Comptabilité!$B$1:$B$1446,$B727,Comptabilité!$C$1:$C$1446,"2026"),0))</f>
        <v>21291.98</v>
      </c>
      <c r="G727">
        <f>IF($A727="","",IF($D727="V01",Cadrage!$C$23,IF($D727="V02",Cadrage!$D$23,Cadrage!$E$23)))</f>
        <v>0.08</v>
      </c>
      <c r="H727">
        <f>IF($A727="","",IF($D727="V01",Cadrage!$C$24,IF($D727="V02",Cadrage!$D$24,Cadrage!$E$24)))</f>
        <v>0.1</v>
      </c>
      <c r="I727">
        <f>IF($A727="","",IF($D727="V01",Cadrage!$C$34,IF($D727="V02",Cadrage!$D$34,Cadrage!$E$34)))</f>
        <v>0.02</v>
      </c>
      <c r="J727">
        <f>IF($A727="","",IF($D727="V01",Cadrage!$C$35,IF($D727="V02",Cadrage!$D$35,Cadrage!$E$35)))</f>
        <v>0.025</v>
      </c>
      <c r="K727">
        <f>IF($A727="","",IF($D727="V01",Cadrage!$C$36,IF($D727="V02",Cadrage!$D$36,Cadrage!$E$36)))</f>
        <v>0.04</v>
      </c>
      <c r="L727">
        <f>IF($A727="","",IF($D727="V01",Cadrage!$C$37,IF($D727="V02",Cadrage!$D$37,Cadrage!$E$37)))</f>
        <v>0.0185</v>
      </c>
      <c r="M727">
        <f>IF($A727="","",IF($D727="V01",Cadrage!$C$38,IF($D727="V02",Cadrage!$D$38,Cadrage!$E$38)))</f>
        <v>0</v>
      </c>
      <c r="N727">
        <f t="shared" si="1"/>
        <v>1.04903758953208</v>
      </c>
      <c r="O727">
        <f t="shared" si="2"/>
        <v>1.00113</v>
      </c>
      <c r="P727">
        <f>IF($A727="","",IF($E727=1,$F727*$O727,PNL!G727))</f>
        <v>21316.0399374</v>
      </c>
      <c r="T727">
        <f t="shared" si="3"/>
        <v>-21316.0399374</v>
      </c>
    </row>
    <row r="728" ht="14.25" customHeight="1">
      <c r="A728" t="str">
        <f>IF(PNL!A728="","",PNL!A728)</f>
        <v>TUNON_LYO</v>
      </c>
      <c r="B728" t="str">
        <f>IF(PNL!B728="","",PNL!B728)</f>
        <v>615</v>
      </c>
      <c r="C728" t="str">
        <f>IF(PNL!C728="","",PNL!C728)</f>
        <v>2027</v>
      </c>
      <c r="D728" t="str">
        <f>IF(PNL!D728="","",PNL!D728)</f>
        <v>V01</v>
      </c>
      <c r="E728">
        <f t="shared" si="0"/>
        <v>1</v>
      </c>
      <c r="F728">
        <f>IF($A728="","",IF($E728=1,_xlfn.SUMIFS(Comptabilité!$F$1:$F$1446,Comptabilité!$A$1:$A$1446,$A728,Comptabilité!$B$1:$B$1446,$B728,Comptabilité!$C$1:$C$1446,"2026"),0))</f>
        <v>16406.69</v>
      </c>
      <c r="G728">
        <f>IF($A728="","",IF($D728="V01",Cadrage!$C$23,IF($D728="V02",Cadrage!$D$23,Cadrage!$E$23)))</f>
        <v>0.08</v>
      </c>
      <c r="H728">
        <f>IF($A728="","",IF($D728="V01",Cadrage!$C$24,IF($D728="V02",Cadrage!$D$24,Cadrage!$E$24)))</f>
        <v>0.1</v>
      </c>
      <c r="I728">
        <f>IF($A728="","",IF($D728="V01",Cadrage!$C$34,IF($D728="V02",Cadrage!$D$34,Cadrage!$E$34)))</f>
        <v>0.02</v>
      </c>
      <c r="J728">
        <f>IF($A728="","",IF($D728="V01",Cadrage!$C$35,IF($D728="V02",Cadrage!$D$35,Cadrage!$E$35)))</f>
        <v>0.025</v>
      </c>
      <c r="K728">
        <f>IF($A728="","",IF($D728="V01",Cadrage!$C$36,IF($D728="V02",Cadrage!$D$36,Cadrage!$E$36)))</f>
        <v>0.04</v>
      </c>
      <c r="L728">
        <f>IF($A728="","",IF($D728="V01",Cadrage!$C$37,IF($D728="V02",Cadrage!$D$37,Cadrage!$E$37)))</f>
        <v>0.0185</v>
      </c>
      <c r="M728">
        <f>IF($A728="","",IF($D728="V01",Cadrage!$C$38,IF($D728="V02",Cadrage!$D$38,Cadrage!$E$38)))</f>
        <v>0</v>
      </c>
      <c r="N728">
        <f t="shared" si="1"/>
        <v>1.04903758953208</v>
      </c>
      <c r="O728">
        <f t="shared" si="2"/>
        <v>1.00113</v>
      </c>
      <c r="P728">
        <f>IF($A728="","",IF($E728=1,$F728*$O728,PNL!G728))</f>
        <v>16425.2295597</v>
      </c>
      <c r="T728">
        <f t="shared" si="3"/>
        <v>-16425.2295597</v>
      </c>
    </row>
    <row r="729" ht="14.25" customHeight="1">
      <c r="A729" t="str">
        <f>IF(PNL!A729="","",PNL!A729)</f>
        <v>TUNON_PAR</v>
      </c>
      <c r="B729" t="str">
        <f>IF(PNL!B729="","",PNL!B729)</f>
        <v>615</v>
      </c>
      <c r="C729" t="str">
        <f>IF(PNL!C729="","",PNL!C729)</f>
        <v>2027</v>
      </c>
      <c r="D729" t="str">
        <f>IF(PNL!D729="","",PNL!D729)</f>
        <v>V01</v>
      </c>
      <c r="E729">
        <f t="shared" si="0"/>
        <v>1</v>
      </c>
      <c r="F729">
        <f>IF($A729="","",IF($E729=1,_xlfn.SUMIFS(Comptabilité!$F$1:$F$1446,Comptabilité!$A$1:$A$1446,$A729,Comptabilité!$B$1:$B$1446,$B729,Comptabilité!$C$1:$C$1446,"2026"),0))</f>
        <v>19708.99</v>
      </c>
      <c r="G729">
        <f>IF($A729="","",IF($D729="V01",Cadrage!$C$23,IF($D729="V02",Cadrage!$D$23,Cadrage!$E$23)))</f>
        <v>0.08</v>
      </c>
      <c r="H729">
        <f>IF($A729="","",IF($D729="V01",Cadrage!$C$24,IF($D729="V02",Cadrage!$D$24,Cadrage!$E$24)))</f>
        <v>0.1</v>
      </c>
      <c r="I729">
        <f>IF($A729="","",IF($D729="V01",Cadrage!$C$34,IF($D729="V02",Cadrage!$D$34,Cadrage!$E$34)))</f>
        <v>0.02</v>
      </c>
      <c r="J729">
        <f>IF($A729="","",IF($D729="V01",Cadrage!$C$35,IF($D729="V02",Cadrage!$D$35,Cadrage!$E$35)))</f>
        <v>0.025</v>
      </c>
      <c r="K729">
        <f>IF($A729="","",IF($D729="V01",Cadrage!$C$36,IF($D729="V02",Cadrage!$D$36,Cadrage!$E$36)))</f>
        <v>0.04</v>
      </c>
      <c r="L729">
        <f>IF($A729="","",IF($D729="V01",Cadrage!$C$37,IF($D729="V02",Cadrage!$D$37,Cadrage!$E$37)))</f>
        <v>0.0185</v>
      </c>
      <c r="M729">
        <f>IF($A729="","",IF($D729="V01",Cadrage!$C$38,IF($D729="V02",Cadrage!$D$38,Cadrage!$E$38)))</f>
        <v>0</v>
      </c>
      <c r="N729">
        <f t="shared" si="1"/>
        <v>1.04903758953208</v>
      </c>
      <c r="O729">
        <f t="shared" si="2"/>
        <v>1.00113</v>
      </c>
      <c r="P729">
        <f>IF($A729="","",IF($E729=1,$F729*$O729,PNL!G729))</f>
        <v>19731.2611587</v>
      </c>
      <c r="T729">
        <f t="shared" si="3"/>
        <v>-19731.2611587</v>
      </c>
    </row>
    <row r="730" ht="14.25" customHeight="1">
      <c r="A730" t="str">
        <f>IF(PNL!A730="","",PNL!A730)</f>
        <v>IPAC_MTP</v>
      </c>
      <c r="B730" t="str">
        <f>IF(PNL!B730="","",PNL!B730)</f>
        <v>616</v>
      </c>
      <c r="C730" t="str">
        <f>IF(PNL!C730="","",PNL!C730)</f>
        <v>2027</v>
      </c>
      <c r="D730" t="str">
        <f>IF(PNL!D730="","",PNL!D730)</f>
        <v>V01</v>
      </c>
      <c r="E730">
        <f t="shared" si="0"/>
        <v>1</v>
      </c>
      <c r="F730">
        <f>IF($A730="","",IF($E730=1,_xlfn.SUMIFS(Comptabilité!$F$1:$F$1446,Comptabilité!$A$1:$A$1446,$A730,Comptabilité!$B$1:$B$1446,$B730,Comptabilité!$C$1:$C$1446,"2026"),0))</f>
        <v>6684.27</v>
      </c>
      <c r="G730">
        <f>IF($A730="","",IF($D730="V01",Cadrage!$C$23,IF($D730="V02",Cadrage!$D$23,Cadrage!$E$23)))</f>
        <v>0.08</v>
      </c>
      <c r="H730">
        <f>IF($A730="","",IF($D730="V01",Cadrage!$C$24,IF($D730="V02",Cadrage!$D$24,Cadrage!$E$24)))</f>
        <v>0.1</v>
      </c>
      <c r="I730">
        <f>IF($A730="","",IF($D730="V01",Cadrage!$C$34,IF($D730="V02",Cadrage!$D$34,Cadrage!$E$34)))</f>
        <v>0.02</v>
      </c>
      <c r="J730">
        <f>IF($A730="","",IF($D730="V01",Cadrage!$C$35,IF($D730="V02",Cadrage!$D$35,Cadrage!$E$35)))</f>
        <v>0.025</v>
      </c>
      <c r="K730">
        <f>IF($A730="","",IF($D730="V01",Cadrage!$C$36,IF($D730="V02",Cadrage!$D$36,Cadrage!$E$36)))</f>
        <v>0.04</v>
      </c>
      <c r="L730">
        <f>IF($A730="","",IF($D730="V01",Cadrage!$C$37,IF($D730="V02",Cadrage!$D$37,Cadrage!$E$37)))</f>
        <v>0.0185</v>
      </c>
      <c r="M730">
        <f>IF($A730="","",IF($D730="V01",Cadrage!$C$38,IF($D730="V02",Cadrage!$D$38,Cadrage!$E$38)))</f>
        <v>0</v>
      </c>
      <c r="N730">
        <f t="shared" si="1"/>
        <v>1.04903758953208</v>
      </c>
      <c r="O730">
        <f t="shared" si="2"/>
        <v>1.00113</v>
      </c>
      <c r="P730">
        <f>IF($A730="","",IF($E730=1,$F730*$O730,PNL!G730))</f>
        <v>6691.8232251</v>
      </c>
      <c r="T730">
        <f t="shared" si="3"/>
        <v>-6691.8232251</v>
      </c>
    </row>
    <row r="731" ht="14.25" customHeight="1">
      <c r="A731" t="str">
        <f>IF(PNL!A731="","",PNL!A731)</f>
        <v>IPAC_NAN</v>
      </c>
      <c r="B731" t="str">
        <f>IF(PNL!B731="","",PNL!B731)</f>
        <v>616</v>
      </c>
      <c r="C731" t="str">
        <f>IF(PNL!C731="","",PNL!C731)</f>
        <v>2027</v>
      </c>
      <c r="D731" t="str">
        <f>IF(PNL!D731="","",PNL!D731)</f>
        <v>V01</v>
      </c>
      <c r="E731">
        <f t="shared" si="0"/>
        <v>1</v>
      </c>
      <c r="F731">
        <f>IF($A731="","",IF($E731=1,_xlfn.SUMIFS(Comptabilité!$F$1:$F$1446,Comptabilité!$A$1:$A$1446,$A731,Comptabilité!$B$1:$B$1446,$B731,Comptabilité!$C$1:$C$1446,"2026"),0))</f>
        <v>10237.3</v>
      </c>
      <c r="G731">
        <f>IF($A731="","",IF($D731="V01",Cadrage!$C$23,IF($D731="V02",Cadrage!$D$23,Cadrage!$E$23)))</f>
        <v>0.08</v>
      </c>
      <c r="H731">
        <f>IF($A731="","",IF($D731="V01",Cadrage!$C$24,IF($D731="V02",Cadrage!$D$24,Cadrage!$E$24)))</f>
        <v>0.1</v>
      </c>
      <c r="I731">
        <f>IF($A731="","",IF($D731="V01",Cadrage!$C$34,IF($D731="V02",Cadrage!$D$34,Cadrage!$E$34)))</f>
        <v>0.02</v>
      </c>
      <c r="J731">
        <f>IF($A731="","",IF($D731="V01",Cadrage!$C$35,IF($D731="V02",Cadrage!$D$35,Cadrage!$E$35)))</f>
        <v>0.025</v>
      </c>
      <c r="K731">
        <f>IF($A731="","",IF($D731="V01",Cadrage!$C$36,IF($D731="V02",Cadrage!$D$36,Cadrage!$E$36)))</f>
        <v>0.04</v>
      </c>
      <c r="L731">
        <f>IF($A731="","",IF($D731="V01",Cadrage!$C$37,IF($D731="V02",Cadrage!$D$37,Cadrage!$E$37)))</f>
        <v>0.0185</v>
      </c>
      <c r="M731">
        <f>IF($A731="","",IF($D731="V01",Cadrage!$C$38,IF($D731="V02",Cadrage!$D$38,Cadrage!$E$38)))</f>
        <v>0</v>
      </c>
      <c r="N731">
        <f t="shared" si="1"/>
        <v>1.04903758953208</v>
      </c>
      <c r="O731">
        <f t="shared" si="2"/>
        <v>1.00113</v>
      </c>
      <c r="P731">
        <f>IF($A731="","",IF($E731=1,$F731*$O731,PNL!G731))</f>
        <v>10248.868149</v>
      </c>
      <c r="T731">
        <f t="shared" si="3"/>
        <v>-10248.868149</v>
      </c>
    </row>
    <row r="732" ht="14.25" customHeight="1">
      <c r="A732" t="str">
        <f>IF(PNL!A732="","",PNL!A732)</f>
        <v>IPAC_REN</v>
      </c>
      <c r="B732" t="str">
        <f>IF(PNL!B732="","",PNL!B732)</f>
        <v>616</v>
      </c>
      <c r="C732" t="str">
        <f>IF(PNL!C732="","",PNL!C732)</f>
        <v>2027</v>
      </c>
      <c r="D732" t="str">
        <f>IF(PNL!D732="","",PNL!D732)</f>
        <v>V01</v>
      </c>
      <c r="E732">
        <f t="shared" si="0"/>
        <v>1</v>
      </c>
      <c r="F732">
        <f>IF($A732="","",IF($E732=1,_xlfn.SUMIFS(Comptabilité!$F$1:$F$1446,Comptabilité!$A$1:$A$1446,$A732,Comptabilité!$B$1:$B$1446,$B732,Comptabilité!$C$1:$C$1446,"2026"),0))</f>
        <v>6688.26</v>
      </c>
      <c r="G732">
        <f>IF($A732="","",IF($D732="V01",Cadrage!$C$23,IF($D732="V02",Cadrage!$D$23,Cadrage!$E$23)))</f>
        <v>0.08</v>
      </c>
      <c r="H732">
        <f>IF($A732="","",IF($D732="V01",Cadrage!$C$24,IF($D732="V02",Cadrage!$D$24,Cadrage!$E$24)))</f>
        <v>0.1</v>
      </c>
      <c r="I732">
        <f>IF($A732="","",IF($D732="V01",Cadrage!$C$34,IF($D732="V02",Cadrage!$D$34,Cadrage!$E$34)))</f>
        <v>0.02</v>
      </c>
      <c r="J732">
        <f>IF($A732="","",IF($D732="V01",Cadrage!$C$35,IF($D732="V02",Cadrage!$D$35,Cadrage!$E$35)))</f>
        <v>0.025</v>
      </c>
      <c r="K732">
        <f>IF($A732="","",IF($D732="V01",Cadrage!$C$36,IF($D732="V02",Cadrage!$D$36,Cadrage!$E$36)))</f>
        <v>0.04</v>
      </c>
      <c r="L732">
        <f>IF($A732="","",IF($D732="V01",Cadrage!$C$37,IF($D732="V02",Cadrage!$D$37,Cadrage!$E$37)))</f>
        <v>0.0185</v>
      </c>
      <c r="M732">
        <f>IF($A732="","",IF($D732="V01",Cadrage!$C$38,IF($D732="V02",Cadrage!$D$38,Cadrage!$E$38)))</f>
        <v>0</v>
      </c>
      <c r="N732">
        <f t="shared" si="1"/>
        <v>1.04903758953208</v>
      </c>
      <c r="O732">
        <f t="shared" si="2"/>
        <v>1.00113</v>
      </c>
      <c r="P732">
        <f>IF($A732="","",IF($E732=1,$F732*$O732,PNL!G732))</f>
        <v>6695.8177338</v>
      </c>
      <c r="T732">
        <f t="shared" si="3"/>
        <v>-6695.8177338</v>
      </c>
    </row>
    <row r="733" ht="14.25" customHeight="1">
      <c r="A733" t="str">
        <f>IF(PNL!A733="","",PNL!A733)</f>
        <v>ISCOM_LIL</v>
      </c>
      <c r="B733" t="str">
        <f>IF(PNL!B733="","",PNL!B733)</f>
        <v>616</v>
      </c>
      <c r="C733" t="str">
        <f>IF(PNL!C733="","",PNL!C733)</f>
        <v>2027</v>
      </c>
      <c r="D733" t="str">
        <f>IF(PNL!D733="","",PNL!D733)</f>
        <v>V01</v>
      </c>
      <c r="E733">
        <f t="shared" si="0"/>
        <v>1</v>
      </c>
      <c r="F733">
        <f>IF($A733="","",IF($E733=1,_xlfn.SUMIFS(Comptabilité!$F$1:$F$1446,Comptabilité!$A$1:$A$1446,$A733,Comptabilité!$B$1:$B$1446,$B733,Comptabilité!$C$1:$C$1446,"2026"),0))</f>
        <v>17496.6</v>
      </c>
      <c r="G733">
        <f>IF($A733="","",IF($D733="V01",Cadrage!$C$23,IF($D733="V02",Cadrage!$D$23,Cadrage!$E$23)))</f>
        <v>0.08</v>
      </c>
      <c r="H733">
        <f>IF($A733="","",IF($D733="V01",Cadrage!$C$24,IF($D733="V02",Cadrage!$D$24,Cadrage!$E$24)))</f>
        <v>0.1</v>
      </c>
      <c r="I733">
        <f>IF($A733="","",IF($D733="V01",Cadrage!$C$34,IF($D733="V02",Cadrage!$D$34,Cadrage!$E$34)))</f>
        <v>0.02</v>
      </c>
      <c r="J733">
        <f>IF($A733="","",IF($D733="V01",Cadrage!$C$35,IF($D733="V02",Cadrage!$D$35,Cadrage!$E$35)))</f>
        <v>0.025</v>
      </c>
      <c r="K733">
        <f>IF($A733="","",IF($D733="V01",Cadrage!$C$36,IF($D733="V02",Cadrage!$D$36,Cadrage!$E$36)))</f>
        <v>0.04</v>
      </c>
      <c r="L733">
        <f>IF($A733="","",IF($D733="V01",Cadrage!$C$37,IF($D733="V02",Cadrage!$D$37,Cadrage!$E$37)))</f>
        <v>0.0185</v>
      </c>
      <c r="M733">
        <f>IF($A733="","",IF($D733="V01",Cadrage!$C$38,IF($D733="V02",Cadrage!$D$38,Cadrage!$E$38)))</f>
        <v>0</v>
      </c>
      <c r="N733">
        <f t="shared" si="1"/>
        <v>1.04903758953208</v>
      </c>
      <c r="O733">
        <f t="shared" si="2"/>
        <v>1.00113</v>
      </c>
      <c r="P733">
        <f>IF($A733="","",IF($E733=1,$F733*$O733,PNL!G733))</f>
        <v>17516.371158</v>
      </c>
      <c r="T733">
        <f t="shared" si="3"/>
        <v>-17516.371158</v>
      </c>
    </row>
    <row r="734" ht="14.25" customHeight="1">
      <c r="A734" t="str">
        <f>IF(PNL!A734="","",PNL!A734)</f>
        <v>ISCOM_PAR</v>
      </c>
      <c r="B734" t="str">
        <f>IF(PNL!B734="","",PNL!B734)</f>
        <v>616</v>
      </c>
      <c r="C734" t="str">
        <f>IF(PNL!C734="","",PNL!C734)</f>
        <v>2027</v>
      </c>
      <c r="D734" t="str">
        <f>IF(PNL!D734="","",PNL!D734)</f>
        <v>V01</v>
      </c>
      <c r="E734">
        <f t="shared" si="0"/>
        <v>1</v>
      </c>
      <c r="F734">
        <f>IF($A734="","",IF($E734=1,_xlfn.SUMIFS(Comptabilité!$F$1:$F$1446,Comptabilité!$A$1:$A$1446,$A734,Comptabilité!$B$1:$B$1446,$B734,Comptabilité!$C$1:$C$1446,"2026"),0))</f>
        <v>29012.78</v>
      </c>
      <c r="G734">
        <f>IF($A734="","",IF($D734="V01",Cadrage!$C$23,IF($D734="V02",Cadrage!$D$23,Cadrage!$E$23)))</f>
        <v>0.08</v>
      </c>
      <c r="H734">
        <f>IF($A734="","",IF($D734="V01",Cadrage!$C$24,IF($D734="V02",Cadrage!$D$24,Cadrage!$E$24)))</f>
        <v>0.1</v>
      </c>
      <c r="I734">
        <f>IF($A734="","",IF($D734="V01",Cadrage!$C$34,IF($D734="V02",Cadrage!$D$34,Cadrage!$E$34)))</f>
        <v>0.02</v>
      </c>
      <c r="J734">
        <f>IF($A734="","",IF($D734="V01",Cadrage!$C$35,IF($D734="V02",Cadrage!$D$35,Cadrage!$E$35)))</f>
        <v>0.025</v>
      </c>
      <c r="K734">
        <f>IF($A734="","",IF($D734="V01",Cadrage!$C$36,IF($D734="V02",Cadrage!$D$36,Cadrage!$E$36)))</f>
        <v>0.04</v>
      </c>
      <c r="L734">
        <f>IF($A734="","",IF($D734="V01",Cadrage!$C$37,IF($D734="V02",Cadrage!$D$37,Cadrage!$E$37)))</f>
        <v>0.0185</v>
      </c>
      <c r="M734">
        <f>IF($A734="","",IF($D734="V01",Cadrage!$C$38,IF($D734="V02",Cadrage!$D$38,Cadrage!$E$38)))</f>
        <v>0</v>
      </c>
      <c r="N734">
        <f t="shared" si="1"/>
        <v>1.04903758953208</v>
      </c>
      <c r="O734">
        <f t="shared" si="2"/>
        <v>1.00113</v>
      </c>
      <c r="P734">
        <f>IF($A734="","",IF($E734=1,$F734*$O734,PNL!G734))</f>
        <v>29045.5644414</v>
      </c>
      <c r="T734">
        <f t="shared" si="3"/>
        <v>-29045.5644414</v>
      </c>
    </row>
    <row r="735" ht="14.25" customHeight="1">
      <c r="A735" t="str">
        <f>IF(PNL!A735="","",PNL!A735)</f>
        <v>ISCOM_TLS</v>
      </c>
      <c r="B735" t="str">
        <f>IF(PNL!B735="","",PNL!B735)</f>
        <v>616</v>
      </c>
      <c r="C735" t="str">
        <f>IF(PNL!C735="","",PNL!C735)</f>
        <v>2027</v>
      </c>
      <c r="D735" t="str">
        <f>IF(PNL!D735="","",PNL!D735)</f>
        <v>V01</v>
      </c>
      <c r="E735">
        <f t="shared" si="0"/>
        <v>1</v>
      </c>
      <c r="F735">
        <f>IF($A735="","",IF($E735=1,_xlfn.SUMIFS(Comptabilité!$F$1:$F$1446,Comptabilité!$A$1:$A$1446,$A735,Comptabilité!$B$1:$B$1446,$B735,Comptabilité!$C$1:$C$1446,"2026"),0))</f>
        <v>15575.06</v>
      </c>
      <c r="G735">
        <f>IF($A735="","",IF($D735="V01",Cadrage!$C$23,IF($D735="V02",Cadrage!$D$23,Cadrage!$E$23)))</f>
        <v>0.08</v>
      </c>
      <c r="H735">
        <f>IF($A735="","",IF($D735="V01",Cadrage!$C$24,IF($D735="V02",Cadrage!$D$24,Cadrage!$E$24)))</f>
        <v>0.1</v>
      </c>
      <c r="I735">
        <f>IF($A735="","",IF($D735="V01",Cadrage!$C$34,IF($D735="V02",Cadrage!$D$34,Cadrage!$E$34)))</f>
        <v>0.02</v>
      </c>
      <c r="J735">
        <f>IF($A735="","",IF($D735="V01",Cadrage!$C$35,IF($D735="V02",Cadrage!$D$35,Cadrage!$E$35)))</f>
        <v>0.025</v>
      </c>
      <c r="K735">
        <f>IF($A735="","",IF($D735="V01",Cadrage!$C$36,IF($D735="V02",Cadrage!$D$36,Cadrage!$E$36)))</f>
        <v>0.04</v>
      </c>
      <c r="L735">
        <f>IF($A735="","",IF($D735="V01",Cadrage!$C$37,IF($D735="V02",Cadrage!$D$37,Cadrage!$E$37)))</f>
        <v>0.0185</v>
      </c>
      <c r="M735">
        <f>IF($A735="","",IF($D735="V01",Cadrage!$C$38,IF($D735="V02",Cadrage!$D$38,Cadrage!$E$38)))</f>
        <v>0</v>
      </c>
      <c r="N735">
        <f t="shared" si="1"/>
        <v>1.04903758953208</v>
      </c>
      <c r="O735">
        <f t="shared" si="2"/>
        <v>1.00113</v>
      </c>
      <c r="P735">
        <f>IF($A735="","",IF($E735=1,$F735*$O735,PNL!G735))</f>
        <v>15592.6598178</v>
      </c>
      <c r="T735">
        <f t="shared" si="3"/>
        <v>-15592.6598178</v>
      </c>
    </row>
    <row r="736" ht="14.25" customHeight="1">
      <c r="A736" t="str">
        <f>IF(PNL!A736="","",PNL!A736)</f>
        <v>MBWAY_BOR</v>
      </c>
      <c r="B736" t="str">
        <f>IF(PNL!B736="","",PNL!B736)</f>
        <v>616</v>
      </c>
      <c r="C736" t="str">
        <f>IF(PNL!C736="","",PNL!C736)</f>
        <v>2027</v>
      </c>
      <c r="D736" t="str">
        <f>IF(PNL!D736="","",PNL!D736)</f>
        <v>V01</v>
      </c>
      <c r="E736">
        <f t="shared" si="0"/>
        <v>1</v>
      </c>
      <c r="F736">
        <f>IF($A736="","",IF($E736=1,_xlfn.SUMIFS(Comptabilité!$F$1:$F$1446,Comptabilité!$A$1:$A$1446,$A736,Comptabilité!$B$1:$B$1446,$B736,Comptabilité!$C$1:$C$1446,"2026"),0))</f>
        <v>17583.04</v>
      </c>
      <c r="G736">
        <f>IF($A736="","",IF($D736="V01",Cadrage!$C$23,IF($D736="V02",Cadrage!$D$23,Cadrage!$E$23)))</f>
        <v>0.08</v>
      </c>
      <c r="H736">
        <f>IF($A736="","",IF($D736="V01",Cadrage!$C$24,IF($D736="V02",Cadrage!$D$24,Cadrage!$E$24)))</f>
        <v>0.1</v>
      </c>
      <c r="I736">
        <f>IF($A736="","",IF($D736="V01",Cadrage!$C$34,IF($D736="V02",Cadrage!$D$34,Cadrage!$E$34)))</f>
        <v>0.02</v>
      </c>
      <c r="J736">
        <f>IF($A736="","",IF($D736="V01",Cadrage!$C$35,IF($D736="V02",Cadrage!$D$35,Cadrage!$E$35)))</f>
        <v>0.025</v>
      </c>
      <c r="K736">
        <f>IF($A736="","",IF($D736="V01",Cadrage!$C$36,IF($D736="V02",Cadrage!$D$36,Cadrage!$E$36)))</f>
        <v>0.04</v>
      </c>
      <c r="L736">
        <f>IF($A736="","",IF($D736="V01",Cadrage!$C$37,IF($D736="V02",Cadrage!$D$37,Cadrage!$E$37)))</f>
        <v>0.0185</v>
      </c>
      <c r="M736">
        <f>IF($A736="","",IF($D736="V01",Cadrage!$C$38,IF($D736="V02",Cadrage!$D$38,Cadrage!$E$38)))</f>
        <v>0</v>
      </c>
      <c r="N736">
        <f t="shared" si="1"/>
        <v>1.04903758953208</v>
      </c>
      <c r="O736">
        <f t="shared" si="2"/>
        <v>1.00113</v>
      </c>
      <c r="P736">
        <f>IF($A736="","",IF($E736=1,$F736*$O736,PNL!G736))</f>
        <v>17602.9088352</v>
      </c>
      <c r="T736">
        <f t="shared" si="3"/>
        <v>-17602.9088352</v>
      </c>
    </row>
    <row r="737" ht="14.25" customHeight="1">
      <c r="A737" t="str">
        <f>IF(PNL!A737="","",PNL!A737)</f>
        <v>MBWAY_LYO</v>
      </c>
      <c r="B737" t="str">
        <f>IF(PNL!B737="","",PNL!B737)</f>
        <v>616</v>
      </c>
      <c r="C737" t="str">
        <f>IF(PNL!C737="","",PNL!C737)</f>
        <v>2027</v>
      </c>
      <c r="D737" t="str">
        <f>IF(PNL!D737="","",PNL!D737)</f>
        <v>V01</v>
      </c>
      <c r="E737">
        <f t="shared" si="0"/>
        <v>1</v>
      </c>
      <c r="F737">
        <f>IF($A737="","",IF($E737=1,_xlfn.SUMIFS(Comptabilité!$F$1:$F$1446,Comptabilité!$A$1:$A$1446,$A737,Comptabilité!$B$1:$B$1446,$B737,Comptabilité!$C$1:$C$1446,"2026"),0))</f>
        <v>25123.58</v>
      </c>
      <c r="G737">
        <f>IF($A737="","",IF($D737="V01",Cadrage!$C$23,IF($D737="V02",Cadrage!$D$23,Cadrage!$E$23)))</f>
        <v>0.08</v>
      </c>
      <c r="H737">
        <f>IF($A737="","",IF($D737="V01",Cadrage!$C$24,IF($D737="V02",Cadrage!$D$24,Cadrage!$E$24)))</f>
        <v>0.1</v>
      </c>
      <c r="I737">
        <f>IF($A737="","",IF($D737="V01",Cadrage!$C$34,IF($D737="V02",Cadrage!$D$34,Cadrage!$E$34)))</f>
        <v>0.02</v>
      </c>
      <c r="J737">
        <f>IF($A737="","",IF($D737="V01",Cadrage!$C$35,IF($D737="V02",Cadrage!$D$35,Cadrage!$E$35)))</f>
        <v>0.025</v>
      </c>
      <c r="K737">
        <f>IF($A737="","",IF($D737="V01",Cadrage!$C$36,IF($D737="V02",Cadrage!$D$36,Cadrage!$E$36)))</f>
        <v>0.04</v>
      </c>
      <c r="L737">
        <f>IF($A737="","",IF($D737="V01",Cadrage!$C$37,IF($D737="V02",Cadrage!$D$37,Cadrage!$E$37)))</f>
        <v>0.0185</v>
      </c>
      <c r="M737">
        <f>IF($A737="","",IF($D737="V01",Cadrage!$C$38,IF($D737="V02",Cadrage!$D$38,Cadrage!$E$38)))</f>
        <v>0</v>
      </c>
      <c r="N737">
        <f t="shared" si="1"/>
        <v>1.04903758953208</v>
      </c>
      <c r="O737">
        <f t="shared" si="2"/>
        <v>1.00113</v>
      </c>
      <c r="P737">
        <f>IF($A737="","",IF($E737=1,$F737*$O737,PNL!G737))</f>
        <v>25151.9696454</v>
      </c>
      <c r="T737">
        <f t="shared" si="3"/>
        <v>-25151.9696454</v>
      </c>
    </row>
    <row r="738" ht="14.25" customHeight="1">
      <c r="A738" t="str">
        <f>IF(PNL!A738="","",PNL!A738)</f>
        <v>MBWAY_NAN</v>
      </c>
      <c r="B738" t="str">
        <f>IF(PNL!B738="","",PNL!B738)</f>
        <v>616</v>
      </c>
      <c r="C738" t="str">
        <f>IF(PNL!C738="","",PNL!C738)</f>
        <v>2027</v>
      </c>
      <c r="D738" t="str">
        <f>IF(PNL!D738="","",PNL!D738)</f>
        <v>V01</v>
      </c>
      <c r="E738">
        <f t="shared" si="0"/>
        <v>1</v>
      </c>
      <c r="F738">
        <f>IF($A738="","",IF($E738=1,_xlfn.SUMIFS(Comptabilité!$F$1:$F$1446,Comptabilité!$A$1:$A$1446,$A738,Comptabilité!$B$1:$B$1446,$B738,Comptabilité!$C$1:$C$1446,"2026"),0))</f>
        <v>21245.01</v>
      </c>
      <c r="G738">
        <f>IF($A738="","",IF($D738="V01",Cadrage!$C$23,IF($D738="V02",Cadrage!$D$23,Cadrage!$E$23)))</f>
        <v>0.08</v>
      </c>
      <c r="H738">
        <f>IF($A738="","",IF($D738="V01",Cadrage!$C$24,IF($D738="V02",Cadrage!$D$24,Cadrage!$E$24)))</f>
        <v>0.1</v>
      </c>
      <c r="I738">
        <f>IF($A738="","",IF($D738="V01",Cadrage!$C$34,IF($D738="V02",Cadrage!$D$34,Cadrage!$E$34)))</f>
        <v>0.02</v>
      </c>
      <c r="J738">
        <f>IF($A738="","",IF($D738="V01",Cadrage!$C$35,IF($D738="V02",Cadrage!$D$35,Cadrage!$E$35)))</f>
        <v>0.025</v>
      </c>
      <c r="K738">
        <f>IF($A738="","",IF($D738="V01",Cadrage!$C$36,IF($D738="V02",Cadrage!$D$36,Cadrage!$E$36)))</f>
        <v>0.04</v>
      </c>
      <c r="L738">
        <f>IF($A738="","",IF($D738="V01",Cadrage!$C$37,IF($D738="V02",Cadrage!$D$37,Cadrage!$E$37)))</f>
        <v>0.0185</v>
      </c>
      <c r="M738">
        <f>IF($A738="","",IF($D738="V01",Cadrage!$C$38,IF($D738="V02",Cadrage!$D$38,Cadrage!$E$38)))</f>
        <v>0</v>
      </c>
      <c r="N738">
        <f t="shared" si="1"/>
        <v>1.04903758953208</v>
      </c>
      <c r="O738">
        <f t="shared" si="2"/>
        <v>1.00113</v>
      </c>
      <c r="P738">
        <f>IF($A738="","",IF($E738=1,$F738*$O738,PNL!G738))</f>
        <v>21269.0168613</v>
      </c>
      <c r="T738">
        <f t="shared" si="3"/>
        <v>-21269.0168613</v>
      </c>
    </row>
    <row r="739" ht="14.25" customHeight="1">
      <c r="A739" t="str">
        <f>IF(PNL!A739="","",PNL!A739)</f>
        <v>MBWAY_PAR</v>
      </c>
      <c r="B739" t="str">
        <f>IF(PNL!B739="","",PNL!B739)</f>
        <v>616</v>
      </c>
      <c r="C739" t="str">
        <f>IF(PNL!C739="","",PNL!C739)</f>
        <v>2027</v>
      </c>
      <c r="D739" t="str">
        <f>IF(PNL!D739="","",PNL!D739)</f>
        <v>V01</v>
      </c>
      <c r="E739">
        <f t="shared" si="0"/>
        <v>1</v>
      </c>
      <c r="F739">
        <f>IF($A739="","",IF($E739=1,_xlfn.SUMIFS(Comptabilité!$F$1:$F$1446,Comptabilité!$A$1:$A$1446,$A739,Comptabilité!$B$1:$B$1446,$B739,Comptabilité!$C$1:$C$1446,"2026"),0))</f>
        <v>32205.92</v>
      </c>
      <c r="G739">
        <f>IF($A739="","",IF($D739="V01",Cadrage!$C$23,IF($D739="V02",Cadrage!$D$23,Cadrage!$E$23)))</f>
        <v>0.08</v>
      </c>
      <c r="H739">
        <f>IF($A739="","",IF($D739="V01",Cadrage!$C$24,IF($D739="V02",Cadrage!$D$24,Cadrage!$E$24)))</f>
        <v>0.1</v>
      </c>
      <c r="I739">
        <f>IF($A739="","",IF($D739="V01",Cadrage!$C$34,IF($D739="V02",Cadrage!$D$34,Cadrage!$E$34)))</f>
        <v>0.02</v>
      </c>
      <c r="J739">
        <f>IF($A739="","",IF($D739="V01",Cadrage!$C$35,IF($D739="V02",Cadrage!$D$35,Cadrage!$E$35)))</f>
        <v>0.025</v>
      </c>
      <c r="K739">
        <f>IF($A739="","",IF($D739="V01",Cadrage!$C$36,IF($D739="V02",Cadrage!$D$36,Cadrage!$E$36)))</f>
        <v>0.04</v>
      </c>
      <c r="L739">
        <f>IF($A739="","",IF($D739="V01",Cadrage!$C$37,IF($D739="V02",Cadrage!$D$37,Cadrage!$E$37)))</f>
        <v>0.0185</v>
      </c>
      <c r="M739">
        <f>IF($A739="","",IF($D739="V01",Cadrage!$C$38,IF($D739="V02",Cadrage!$D$38,Cadrage!$E$38)))</f>
        <v>0</v>
      </c>
      <c r="N739">
        <f t="shared" si="1"/>
        <v>1.04903758953208</v>
      </c>
      <c r="O739">
        <f t="shared" si="2"/>
        <v>1.00113</v>
      </c>
      <c r="P739">
        <f>IF($A739="","",IF($E739=1,$F739*$O739,PNL!G739))</f>
        <v>32242.3126896</v>
      </c>
      <c r="T739">
        <f t="shared" si="3"/>
        <v>-32242.3126896</v>
      </c>
    </row>
    <row r="740" ht="14.25" customHeight="1">
      <c r="A740" t="str">
        <f>IF(PNL!A740="","",PNL!A740)</f>
        <v>PIGIER_BOR</v>
      </c>
      <c r="B740" t="str">
        <f>IF(PNL!B740="","",PNL!B740)</f>
        <v>616</v>
      </c>
      <c r="C740" t="str">
        <f>IF(PNL!C740="","",PNL!C740)</f>
        <v>2027</v>
      </c>
      <c r="D740" t="str">
        <f>IF(PNL!D740="","",PNL!D740)</f>
        <v>V01</v>
      </c>
      <c r="E740">
        <f t="shared" si="0"/>
        <v>1</v>
      </c>
      <c r="F740">
        <f>IF($A740="","",IF($E740=1,_xlfn.SUMIFS(Comptabilité!$F$1:$F$1446,Comptabilité!$A$1:$A$1446,$A740,Comptabilité!$B$1:$B$1446,$B740,Comptabilité!$C$1:$C$1446,"2026"),0))</f>
        <v>8171.39</v>
      </c>
      <c r="G740">
        <f>IF($A740="","",IF($D740="V01",Cadrage!$C$23,IF($D740="V02",Cadrage!$D$23,Cadrage!$E$23)))</f>
        <v>0.08</v>
      </c>
      <c r="H740">
        <f>IF($A740="","",IF($D740="V01",Cadrage!$C$24,IF($D740="V02",Cadrage!$D$24,Cadrage!$E$24)))</f>
        <v>0.1</v>
      </c>
      <c r="I740">
        <f>IF($A740="","",IF($D740="V01",Cadrage!$C$34,IF($D740="V02",Cadrage!$D$34,Cadrage!$E$34)))</f>
        <v>0.02</v>
      </c>
      <c r="J740">
        <f>IF($A740="","",IF($D740="V01",Cadrage!$C$35,IF($D740="V02",Cadrage!$D$35,Cadrage!$E$35)))</f>
        <v>0.025</v>
      </c>
      <c r="K740">
        <f>IF($A740="","",IF($D740="V01",Cadrage!$C$36,IF($D740="V02",Cadrage!$D$36,Cadrage!$E$36)))</f>
        <v>0.04</v>
      </c>
      <c r="L740">
        <f>IF($A740="","",IF($D740="V01",Cadrage!$C$37,IF($D740="V02",Cadrage!$D$37,Cadrage!$E$37)))</f>
        <v>0.0185</v>
      </c>
      <c r="M740">
        <f>IF($A740="","",IF($D740="V01",Cadrage!$C$38,IF($D740="V02",Cadrage!$D$38,Cadrage!$E$38)))</f>
        <v>0</v>
      </c>
      <c r="N740">
        <f t="shared" si="1"/>
        <v>1.04903758953208</v>
      </c>
      <c r="O740">
        <f t="shared" si="2"/>
        <v>1.00113</v>
      </c>
      <c r="P740">
        <f>IF($A740="","",IF($E740=1,$F740*$O740,PNL!G740))</f>
        <v>8180.6236707</v>
      </c>
      <c r="T740">
        <f t="shared" si="3"/>
        <v>-8180.6236707</v>
      </c>
    </row>
    <row r="741" ht="14.25" customHeight="1">
      <c r="A741" t="str">
        <f>IF(PNL!A741="","",PNL!A741)</f>
        <v>PIGIER_LYO</v>
      </c>
      <c r="B741" t="str">
        <f>IF(PNL!B741="","",PNL!B741)</f>
        <v>616</v>
      </c>
      <c r="C741" t="str">
        <f>IF(PNL!C741="","",PNL!C741)</f>
        <v>2027</v>
      </c>
      <c r="D741" t="str">
        <f>IF(PNL!D741="","",PNL!D741)</f>
        <v>V01</v>
      </c>
      <c r="E741">
        <f t="shared" si="0"/>
        <v>1</v>
      </c>
      <c r="F741">
        <f>IF($A741="","",IF($E741=1,_xlfn.SUMIFS(Comptabilité!$F$1:$F$1446,Comptabilité!$A$1:$A$1446,$A741,Comptabilité!$B$1:$B$1446,$B741,Comptabilité!$C$1:$C$1446,"2026"),0))</f>
        <v>13828.43</v>
      </c>
      <c r="G741">
        <f>IF($A741="","",IF($D741="V01",Cadrage!$C$23,IF($D741="V02",Cadrage!$D$23,Cadrage!$E$23)))</f>
        <v>0.08</v>
      </c>
      <c r="H741">
        <f>IF($A741="","",IF($D741="V01",Cadrage!$C$24,IF($D741="V02",Cadrage!$D$24,Cadrage!$E$24)))</f>
        <v>0.1</v>
      </c>
      <c r="I741">
        <f>IF($A741="","",IF($D741="V01",Cadrage!$C$34,IF($D741="V02",Cadrage!$D$34,Cadrage!$E$34)))</f>
        <v>0.02</v>
      </c>
      <c r="J741">
        <f>IF($A741="","",IF($D741="V01",Cadrage!$C$35,IF($D741="V02",Cadrage!$D$35,Cadrage!$E$35)))</f>
        <v>0.025</v>
      </c>
      <c r="K741">
        <f>IF($A741="","",IF($D741="V01",Cadrage!$C$36,IF($D741="V02",Cadrage!$D$36,Cadrage!$E$36)))</f>
        <v>0.04</v>
      </c>
      <c r="L741">
        <f>IF($A741="","",IF($D741="V01",Cadrage!$C$37,IF($D741="V02",Cadrage!$D$37,Cadrage!$E$37)))</f>
        <v>0.0185</v>
      </c>
      <c r="M741">
        <f>IF($A741="","",IF($D741="V01",Cadrage!$C$38,IF($D741="V02",Cadrage!$D$38,Cadrage!$E$38)))</f>
        <v>0</v>
      </c>
      <c r="N741">
        <f t="shared" si="1"/>
        <v>1.04903758953208</v>
      </c>
      <c r="O741">
        <f t="shared" si="2"/>
        <v>1.00113</v>
      </c>
      <c r="P741">
        <f>IF($A741="","",IF($E741=1,$F741*$O741,PNL!G741))</f>
        <v>13844.0561259</v>
      </c>
      <c r="T741">
        <f t="shared" si="3"/>
        <v>-13844.0561259</v>
      </c>
    </row>
    <row r="742" ht="14.25" customHeight="1">
      <c r="A742" t="str">
        <f>IF(PNL!A742="","",PNL!A742)</f>
        <v>TUNON_LYO</v>
      </c>
      <c r="B742" t="str">
        <f>IF(PNL!B742="","",PNL!B742)</f>
        <v>616</v>
      </c>
      <c r="C742" t="str">
        <f>IF(PNL!C742="","",PNL!C742)</f>
        <v>2027</v>
      </c>
      <c r="D742" t="str">
        <f>IF(PNL!D742="","",PNL!D742)</f>
        <v>V01</v>
      </c>
      <c r="E742">
        <f t="shared" si="0"/>
        <v>1</v>
      </c>
      <c r="F742">
        <f>IF($A742="","",IF($E742=1,_xlfn.SUMIFS(Comptabilité!$F$1:$F$1446,Comptabilité!$A$1:$A$1446,$A742,Comptabilité!$B$1:$B$1446,$B742,Comptabilité!$C$1:$C$1446,"2026"),0))</f>
        <v>9133.84</v>
      </c>
      <c r="G742">
        <f>IF($A742="","",IF($D742="V01",Cadrage!$C$23,IF($D742="V02",Cadrage!$D$23,Cadrage!$E$23)))</f>
        <v>0.08</v>
      </c>
      <c r="H742">
        <f>IF($A742="","",IF($D742="V01",Cadrage!$C$24,IF($D742="V02",Cadrage!$D$24,Cadrage!$E$24)))</f>
        <v>0.1</v>
      </c>
      <c r="I742">
        <f>IF($A742="","",IF($D742="V01",Cadrage!$C$34,IF($D742="V02",Cadrage!$D$34,Cadrage!$E$34)))</f>
        <v>0.02</v>
      </c>
      <c r="J742">
        <f>IF($A742="","",IF($D742="V01",Cadrage!$C$35,IF($D742="V02",Cadrage!$D$35,Cadrage!$E$35)))</f>
        <v>0.025</v>
      </c>
      <c r="K742">
        <f>IF($A742="","",IF($D742="V01",Cadrage!$C$36,IF($D742="V02",Cadrage!$D$36,Cadrage!$E$36)))</f>
        <v>0.04</v>
      </c>
      <c r="L742">
        <f>IF($A742="","",IF($D742="V01",Cadrage!$C$37,IF($D742="V02",Cadrage!$D$37,Cadrage!$E$37)))</f>
        <v>0.0185</v>
      </c>
      <c r="M742">
        <f>IF($A742="","",IF($D742="V01",Cadrage!$C$38,IF($D742="V02",Cadrage!$D$38,Cadrage!$E$38)))</f>
        <v>0</v>
      </c>
      <c r="N742">
        <f t="shared" si="1"/>
        <v>1.04903758953208</v>
      </c>
      <c r="O742">
        <f t="shared" si="2"/>
        <v>1.00113</v>
      </c>
      <c r="P742">
        <f>IF($A742="","",IF($E742=1,$F742*$O742,PNL!G742))</f>
        <v>9144.1612392</v>
      </c>
      <c r="T742">
        <f t="shared" si="3"/>
        <v>-9144.1612392</v>
      </c>
    </row>
    <row r="743" ht="14.25" customHeight="1">
      <c r="A743" t="str">
        <f>IF(PNL!A743="","",PNL!A743)</f>
        <v>TUNON_PAR</v>
      </c>
      <c r="B743" t="str">
        <f>IF(PNL!B743="","",PNL!B743)</f>
        <v>616</v>
      </c>
      <c r="C743" t="str">
        <f>IF(PNL!C743="","",PNL!C743)</f>
        <v>2027</v>
      </c>
      <c r="D743" t="str">
        <f>IF(PNL!D743="","",PNL!D743)</f>
        <v>V01</v>
      </c>
      <c r="E743">
        <f t="shared" si="0"/>
        <v>1</v>
      </c>
      <c r="F743">
        <f>IF($A743="","",IF($E743=1,_xlfn.SUMIFS(Comptabilité!$F$1:$F$1446,Comptabilité!$A$1:$A$1446,$A743,Comptabilité!$B$1:$B$1446,$B743,Comptabilité!$C$1:$C$1446,"2026"),0))</f>
        <v>12940.95</v>
      </c>
      <c r="G743">
        <f>IF($A743="","",IF($D743="V01",Cadrage!$C$23,IF($D743="V02",Cadrage!$D$23,Cadrage!$E$23)))</f>
        <v>0.08</v>
      </c>
      <c r="H743">
        <f>IF($A743="","",IF($D743="V01",Cadrage!$C$24,IF($D743="V02",Cadrage!$D$24,Cadrage!$E$24)))</f>
        <v>0.1</v>
      </c>
      <c r="I743">
        <f>IF($A743="","",IF($D743="V01",Cadrage!$C$34,IF($D743="V02",Cadrage!$D$34,Cadrage!$E$34)))</f>
        <v>0.02</v>
      </c>
      <c r="J743">
        <f>IF($A743="","",IF($D743="V01",Cadrage!$C$35,IF($D743="V02",Cadrage!$D$35,Cadrage!$E$35)))</f>
        <v>0.025</v>
      </c>
      <c r="K743">
        <f>IF($A743="","",IF($D743="V01",Cadrage!$C$36,IF($D743="V02",Cadrage!$D$36,Cadrage!$E$36)))</f>
        <v>0.04</v>
      </c>
      <c r="L743">
        <f>IF($A743="","",IF($D743="V01",Cadrage!$C$37,IF($D743="V02",Cadrage!$D$37,Cadrage!$E$37)))</f>
        <v>0.0185</v>
      </c>
      <c r="M743">
        <f>IF($A743="","",IF($D743="V01",Cadrage!$C$38,IF($D743="V02",Cadrage!$D$38,Cadrage!$E$38)))</f>
        <v>0</v>
      </c>
      <c r="N743">
        <f t="shared" si="1"/>
        <v>1.04903758953208</v>
      </c>
      <c r="O743">
        <f t="shared" si="2"/>
        <v>1.00113</v>
      </c>
      <c r="P743">
        <f>IF($A743="","",IF($E743=1,$F743*$O743,PNL!G743))</f>
        <v>12955.5732735</v>
      </c>
      <c r="T743">
        <f t="shared" si="3"/>
        <v>-12955.5732735</v>
      </c>
    </row>
    <row r="744" ht="14.25" customHeight="1">
      <c r="A744" t="str">
        <f>IF(PNL!A744="","",PNL!A744)</f>
        <v>IPAC_MTP</v>
      </c>
      <c r="B744" t="str">
        <f>IF(PNL!B744="","",PNL!B744)</f>
        <v>621</v>
      </c>
      <c r="C744" t="str">
        <f>IF(PNL!C744="","",PNL!C744)</f>
        <v>2027</v>
      </c>
      <c r="D744" t="str">
        <f>IF(PNL!D744="","",PNL!D744)</f>
        <v>V01</v>
      </c>
      <c r="E744">
        <f t="shared" si="0"/>
        <v>1</v>
      </c>
      <c r="F744">
        <f>IF($A744="","",IF($E744=1,_xlfn.SUMIFS(Comptabilité!$F$1:$F$1446,Comptabilité!$A$1:$A$1446,$A744,Comptabilité!$B$1:$B$1446,$B744,Comptabilité!$C$1:$C$1446,"2026"),0))</f>
        <v>72438</v>
      </c>
      <c r="G744">
        <f>IF($A744="","",IF($D744="V01",Cadrage!$C$23,IF($D744="V02",Cadrage!$D$23,Cadrage!$E$23)))</f>
        <v>0.08</v>
      </c>
      <c r="H744">
        <f>IF($A744="","",IF($D744="V01",Cadrage!$C$24,IF($D744="V02",Cadrage!$D$24,Cadrage!$E$24)))</f>
        <v>0.1</v>
      </c>
      <c r="I744">
        <f>IF($A744="","",IF($D744="V01",Cadrage!$C$34,IF($D744="V02",Cadrage!$D$34,Cadrage!$E$34)))</f>
        <v>0.02</v>
      </c>
      <c r="J744">
        <f>IF($A744="","",IF($D744="V01",Cadrage!$C$35,IF($D744="V02",Cadrage!$D$35,Cadrage!$E$35)))</f>
        <v>0.025</v>
      </c>
      <c r="K744">
        <f>IF($A744="","",IF($D744="V01",Cadrage!$C$36,IF($D744="V02",Cadrage!$D$36,Cadrage!$E$36)))</f>
        <v>0.04</v>
      </c>
      <c r="L744">
        <f>IF($A744="","",IF($D744="V01",Cadrage!$C$37,IF($D744="V02",Cadrage!$D$37,Cadrage!$E$37)))</f>
        <v>0.0185</v>
      </c>
      <c r="M744">
        <f>IF($A744="","",IF($D744="V01",Cadrage!$C$38,IF($D744="V02",Cadrage!$D$38,Cadrage!$E$38)))</f>
        <v>0</v>
      </c>
      <c r="N744">
        <f t="shared" si="1"/>
        <v>1.04903758953208</v>
      </c>
      <c r="O744">
        <f t="shared" si="2"/>
        <v>1.02963039412574</v>
      </c>
      <c r="P744">
        <f>IF($A744="","",IF($E744=1,$F744*$O744,PNL!G744))</f>
        <v>74584.3664896804</v>
      </c>
      <c r="T744">
        <f t="shared" si="3"/>
        <v>-74584.3664896804</v>
      </c>
    </row>
    <row r="745" ht="14.25" customHeight="1">
      <c r="A745" t="str">
        <f>IF(PNL!A745="","",PNL!A745)</f>
        <v>IPAC_NAN</v>
      </c>
      <c r="B745" t="str">
        <f>IF(PNL!B745="","",PNL!B745)</f>
        <v>621</v>
      </c>
      <c r="C745" t="str">
        <f>IF(PNL!C745="","",PNL!C745)</f>
        <v>2027</v>
      </c>
      <c r="D745" t="str">
        <f>IF(PNL!D745="","",PNL!D745)</f>
        <v>V01</v>
      </c>
      <c r="E745">
        <f t="shared" si="0"/>
        <v>1</v>
      </c>
      <c r="F745">
        <f>IF($A745="","",IF($E745=1,_xlfn.SUMIFS(Comptabilité!$F$1:$F$1446,Comptabilité!$A$1:$A$1446,$A745,Comptabilité!$B$1:$B$1446,$B745,Comptabilité!$C$1:$C$1446,"2026"),0))</f>
        <v>72438</v>
      </c>
      <c r="G745">
        <f>IF($A745="","",IF($D745="V01",Cadrage!$C$23,IF($D745="V02",Cadrage!$D$23,Cadrage!$E$23)))</f>
        <v>0.08</v>
      </c>
      <c r="H745">
        <f>IF($A745="","",IF($D745="V01",Cadrage!$C$24,IF($D745="V02",Cadrage!$D$24,Cadrage!$E$24)))</f>
        <v>0.1</v>
      </c>
      <c r="I745">
        <f>IF($A745="","",IF($D745="V01",Cadrage!$C$34,IF($D745="V02",Cadrage!$D$34,Cadrage!$E$34)))</f>
        <v>0.02</v>
      </c>
      <c r="J745">
        <f>IF($A745="","",IF($D745="V01",Cadrage!$C$35,IF($D745="V02",Cadrage!$D$35,Cadrage!$E$35)))</f>
        <v>0.025</v>
      </c>
      <c r="K745">
        <f>IF($A745="","",IF($D745="V01",Cadrage!$C$36,IF($D745="V02",Cadrage!$D$36,Cadrage!$E$36)))</f>
        <v>0.04</v>
      </c>
      <c r="L745">
        <f>IF($A745="","",IF($D745="V01",Cadrage!$C$37,IF($D745="V02",Cadrage!$D$37,Cadrage!$E$37)))</f>
        <v>0.0185</v>
      </c>
      <c r="M745">
        <f>IF($A745="","",IF($D745="V01",Cadrage!$C$38,IF($D745="V02",Cadrage!$D$38,Cadrage!$E$38)))</f>
        <v>0</v>
      </c>
      <c r="N745">
        <f t="shared" si="1"/>
        <v>1.04903758953208</v>
      </c>
      <c r="O745">
        <f t="shared" si="2"/>
        <v>1.02963039412574</v>
      </c>
      <c r="P745">
        <f>IF($A745="","",IF($E745=1,$F745*$O745,PNL!G745))</f>
        <v>74584.3664896804</v>
      </c>
      <c r="T745">
        <f t="shared" si="3"/>
        <v>-74584.3664896804</v>
      </c>
    </row>
    <row r="746" ht="14.25" customHeight="1">
      <c r="A746" t="str">
        <f>IF(PNL!A746="","",PNL!A746)</f>
        <v>IPAC_REN</v>
      </c>
      <c r="B746" t="str">
        <f>IF(PNL!B746="","",PNL!B746)</f>
        <v>621</v>
      </c>
      <c r="C746" t="str">
        <f>IF(PNL!C746="","",PNL!C746)</f>
        <v>2027</v>
      </c>
      <c r="D746" t="str">
        <f>IF(PNL!D746="","",PNL!D746)</f>
        <v>V01</v>
      </c>
      <c r="E746">
        <f t="shared" si="0"/>
        <v>1</v>
      </c>
      <c r="F746">
        <f>IF($A746="","",IF($E746=1,_xlfn.SUMIFS(Comptabilité!$F$1:$F$1446,Comptabilité!$A$1:$A$1446,$A746,Comptabilité!$B$1:$B$1446,$B746,Comptabilité!$C$1:$C$1446,"2026"),0))</f>
        <v>72438</v>
      </c>
      <c r="G746">
        <f>IF($A746="","",IF($D746="V01",Cadrage!$C$23,IF($D746="V02",Cadrage!$D$23,Cadrage!$E$23)))</f>
        <v>0.08</v>
      </c>
      <c r="H746">
        <f>IF($A746="","",IF($D746="V01",Cadrage!$C$24,IF($D746="V02",Cadrage!$D$24,Cadrage!$E$24)))</f>
        <v>0.1</v>
      </c>
      <c r="I746">
        <f>IF($A746="","",IF($D746="V01",Cadrage!$C$34,IF($D746="V02",Cadrage!$D$34,Cadrage!$E$34)))</f>
        <v>0.02</v>
      </c>
      <c r="J746">
        <f>IF($A746="","",IF($D746="V01",Cadrage!$C$35,IF($D746="V02",Cadrage!$D$35,Cadrage!$E$35)))</f>
        <v>0.025</v>
      </c>
      <c r="K746">
        <f>IF($A746="","",IF($D746="V01",Cadrage!$C$36,IF($D746="V02",Cadrage!$D$36,Cadrage!$E$36)))</f>
        <v>0.04</v>
      </c>
      <c r="L746">
        <f>IF($A746="","",IF($D746="V01",Cadrage!$C$37,IF($D746="V02",Cadrage!$D$37,Cadrage!$E$37)))</f>
        <v>0.0185</v>
      </c>
      <c r="M746">
        <f>IF($A746="","",IF($D746="V01",Cadrage!$C$38,IF($D746="V02",Cadrage!$D$38,Cadrage!$E$38)))</f>
        <v>0</v>
      </c>
      <c r="N746">
        <f t="shared" si="1"/>
        <v>1.04903758953208</v>
      </c>
      <c r="O746">
        <f t="shared" si="2"/>
        <v>1.02963039412574</v>
      </c>
      <c r="P746">
        <f>IF($A746="","",IF($E746=1,$F746*$O746,PNL!G746))</f>
        <v>74584.3664896804</v>
      </c>
      <c r="T746">
        <f t="shared" si="3"/>
        <v>-74584.3664896804</v>
      </c>
    </row>
    <row r="747" ht="14.25" customHeight="1">
      <c r="A747" t="str">
        <f>IF(PNL!A747="","",PNL!A747)</f>
        <v>ISCOM_LIL</v>
      </c>
      <c r="B747" t="str">
        <f>IF(PNL!B747="","",PNL!B747)</f>
        <v>621</v>
      </c>
      <c r="C747" t="str">
        <f>IF(PNL!C747="","",PNL!C747)</f>
        <v>2027</v>
      </c>
      <c r="D747" t="str">
        <f>IF(PNL!D747="","",PNL!D747)</f>
        <v>V01</v>
      </c>
      <c r="E747">
        <f t="shared" si="0"/>
        <v>1</v>
      </c>
      <c r="F747">
        <f>IF($A747="","",IF($E747=1,_xlfn.SUMIFS(Comptabilité!$F$1:$F$1446,Comptabilité!$A$1:$A$1446,$A747,Comptabilité!$B$1:$B$1446,$B747,Comptabilité!$C$1:$C$1446,"2026"),0))</f>
        <v>120729</v>
      </c>
      <c r="G747">
        <f>IF($A747="","",IF($D747="V01",Cadrage!$C$23,IF($D747="V02",Cadrage!$D$23,Cadrage!$E$23)))</f>
        <v>0.08</v>
      </c>
      <c r="H747">
        <f>IF($A747="","",IF($D747="V01",Cadrage!$C$24,IF($D747="V02",Cadrage!$D$24,Cadrage!$E$24)))</f>
        <v>0.1</v>
      </c>
      <c r="I747">
        <f>IF($A747="","",IF($D747="V01",Cadrage!$C$34,IF($D747="V02",Cadrage!$D$34,Cadrage!$E$34)))</f>
        <v>0.02</v>
      </c>
      <c r="J747">
        <f>IF($A747="","",IF($D747="V01",Cadrage!$C$35,IF($D747="V02",Cadrage!$D$35,Cadrage!$E$35)))</f>
        <v>0.025</v>
      </c>
      <c r="K747">
        <f>IF($A747="","",IF($D747="V01",Cadrage!$C$36,IF($D747="V02",Cadrage!$D$36,Cadrage!$E$36)))</f>
        <v>0.04</v>
      </c>
      <c r="L747">
        <f>IF($A747="","",IF($D747="V01",Cadrage!$C$37,IF($D747="V02",Cadrage!$D$37,Cadrage!$E$37)))</f>
        <v>0.0185</v>
      </c>
      <c r="M747">
        <f>IF($A747="","",IF($D747="V01",Cadrage!$C$38,IF($D747="V02",Cadrage!$D$38,Cadrage!$E$38)))</f>
        <v>0</v>
      </c>
      <c r="N747">
        <f t="shared" si="1"/>
        <v>1.04903758953208</v>
      </c>
      <c r="O747">
        <f t="shared" si="2"/>
        <v>1.02963039412574</v>
      </c>
      <c r="P747">
        <f>IF($A747="","",IF($E747=1,$F747*$O747,PNL!G747))</f>
        <v>124306.247852406</v>
      </c>
      <c r="T747">
        <f t="shared" si="3"/>
        <v>-124306.247852406</v>
      </c>
    </row>
    <row r="748" ht="14.25" customHeight="1">
      <c r="A748" t="str">
        <f>IF(PNL!A748="","",PNL!A748)</f>
        <v>ISCOM_PAR</v>
      </c>
      <c r="B748" t="str">
        <f>IF(PNL!B748="","",PNL!B748)</f>
        <v>621</v>
      </c>
      <c r="C748" t="str">
        <f>IF(PNL!C748="","",PNL!C748)</f>
        <v>2027</v>
      </c>
      <c r="D748" t="str">
        <f>IF(PNL!D748="","",PNL!D748)</f>
        <v>V01</v>
      </c>
      <c r="E748">
        <f t="shared" si="0"/>
        <v>1</v>
      </c>
      <c r="F748">
        <f>IF($A748="","",IF($E748=1,_xlfn.SUMIFS(Comptabilité!$F$1:$F$1446,Comptabilité!$A$1:$A$1446,$A748,Comptabilité!$B$1:$B$1446,$B748,Comptabilité!$C$1:$C$1446,"2026"),0))</f>
        <v>181094</v>
      </c>
      <c r="G748">
        <f>IF($A748="","",IF($D748="V01",Cadrage!$C$23,IF($D748="V02",Cadrage!$D$23,Cadrage!$E$23)))</f>
        <v>0.08</v>
      </c>
      <c r="H748">
        <f>IF($A748="","",IF($D748="V01",Cadrage!$C$24,IF($D748="V02",Cadrage!$D$24,Cadrage!$E$24)))</f>
        <v>0.1</v>
      </c>
      <c r="I748">
        <f>IF($A748="","",IF($D748="V01",Cadrage!$C$34,IF($D748="V02",Cadrage!$D$34,Cadrage!$E$34)))</f>
        <v>0.02</v>
      </c>
      <c r="J748">
        <f>IF($A748="","",IF($D748="V01",Cadrage!$C$35,IF($D748="V02",Cadrage!$D$35,Cadrage!$E$35)))</f>
        <v>0.025</v>
      </c>
      <c r="K748">
        <f>IF($A748="","",IF($D748="V01",Cadrage!$C$36,IF($D748="V02",Cadrage!$D$36,Cadrage!$E$36)))</f>
        <v>0.04</v>
      </c>
      <c r="L748">
        <f>IF($A748="","",IF($D748="V01",Cadrage!$C$37,IF($D748="V02",Cadrage!$D$37,Cadrage!$E$37)))</f>
        <v>0.0185</v>
      </c>
      <c r="M748">
        <f>IF($A748="","",IF($D748="V01",Cadrage!$C$38,IF($D748="V02",Cadrage!$D$38,Cadrage!$E$38)))</f>
        <v>0</v>
      </c>
      <c r="N748">
        <f t="shared" si="1"/>
        <v>1.04903758953208</v>
      </c>
      <c r="O748">
        <f t="shared" si="2"/>
        <v>1.02963039412574</v>
      </c>
      <c r="P748">
        <f>IF($A748="","",IF($E748=1,$F748*$O748,PNL!G748))</f>
        <v>186459.886593807</v>
      </c>
      <c r="T748">
        <f t="shared" si="3"/>
        <v>-186459.886593807</v>
      </c>
    </row>
    <row r="749" ht="14.25" customHeight="1">
      <c r="A749" t="str">
        <f>IF(PNL!A749="","",PNL!A749)</f>
        <v>ISCOM_TLS</v>
      </c>
      <c r="B749" t="str">
        <f>IF(PNL!B749="","",PNL!B749)</f>
        <v>621</v>
      </c>
      <c r="C749" t="str">
        <f>IF(PNL!C749="","",PNL!C749)</f>
        <v>2027</v>
      </c>
      <c r="D749" t="str">
        <f>IF(PNL!D749="","",PNL!D749)</f>
        <v>V01</v>
      </c>
      <c r="E749">
        <f t="shared" si="0"/>
        <v>1</v>
      </c>
      <c r="F749">
        <f>IF($A749="","",IF($E749=1,_xlfn.SUMIFS(Comptabilité!$F$1:$F$1446,Comptabilité!$A$1:$A$1446,$A749,Comptabilité!$B$1:$B$1446,$B749,Comptabilité!$C$1:$C$1446,"2026"),0))</f>
        <v>120729</v>
      </c>
      <c r="G749">
        <f>IF($A749="","",IF($D749="V01",Cadrage!$C$23,IF($D749="V02",Cadrage!$D$23,Cadrage!$E$23)))</f>
        <v>0.08</v>
      </c>
      <c r="H749">
        <f>IF($A749="","",IF($D749="V01",Cadrage!$C$24,IF($D749="V02",Cadrage!$D$24,Cadrage!$E$24)))</f>
        <v>0.1</v>
      </c>
      <c r="I749">
        <f>IF($A749="","",IF($D749="V01",Cadrage!$C$34,IF($D749="V02",Cadrage!$D$34,Cadrage!$E$34)))</f>
        <v>0.02</v>
      </c>
      <c r="J749">
        <f>IF($A749="","",IF($D749="V01",Cadrage!$C$35,IF($D749="V02",Cadrage!$D$35,Cadrage!$E$35)))</f>
        <v>0.025</v>
      </c>
      <c r="K749">
        <f>IF($A749="","",IF($D749="V01",Cadrage!$C$36,IF($D749="V02",Cadrage!$D$36,Cadrage!$E$36)))</f>
        <v>0.04</v>
      </c>
      <c r="L749">
        <f>IF($A749="","",IF($D749="V01",Cadrage!$C$37,IF($D749="V02",Cadrage!$D$37,Cadrage!$E$37)))</f>
        <v>0.0185</v>
      </c>
      <c r="M749">
        <f>IF($A749="","",IF($D749="V01",Cadrage!$C$38,IF($D749="V02",Cadrage!$D$38,Cadrage!$E$38)))</f>
        <v>0</v>
      </c>
      <c r="N749">
        <f t="shared" si="1"/>
        <v>1.04903758953208</v>
      </c>
      <c r="O749">
        <f t="shared" si="2"/>
        <v>1.02963039412574</v>
      </c>
      <c r="P749">
        <f>IF($A749="","",IF($E749=1,$F749*$O749,PNL!G749))</f>
        <v>124306.247852406</v>
      </c>
      <c r="T749">
        <f t="shared" si="3"/>
        <v>-124306.247852406</v>
      </c>
    </row>
    <row r="750" ht="14.25" customHeight="1">
      <c r="A750" t="str">
        <f>IF(PNL!A750="","",PNL!A750)</f>
        <v>MBWAY_BOR</v>
      </c>
      <c r="B750" t="str">
        <f>IF(PNL!B750="","",PNL!B750)</f>
        <v>621</v>
      </c>
      <c r="C750" t="str">
        <f>IF(PNL!C750="","",PNL!C750)</f>
        <v>2027</v>
      </c>
      <c r="D750" t="str">
        <f>IF(PNL!D750="","",PNL!D750)</f>
        <v>V01</v>
      </c>
      <c r="E750">
        <f t="shared" si="0"/>
        <v>1</v>
      </c>
      <c r="F750">
        <f>IF($A750="","",IF($E750=1,_xlfn.SUMIFS(Comptabilité!$F$1:$F$1446,Comptabilité!$A$1:$A$1446,$A750,Comptabilité!$B$1:$B$1446,$B750,Comptabilité!$C$1:$C$1446,"2026"),0))</f>
        <v>120729</v>
      </c>
      <c r="G750">
        <f>IF($A750="","",IF($D750="V01",Cadrage!$C$23,IF($D750="V02",Cadrage!$D$23,Cadrage!$E$23)))</f>
        <v>0.08</v>
      </c>
      <c r="H750">
        <f>IF($A750="","",IF($D750="V01",Cadrage!$C$24,IF($D750="V02",Cadrage!$D$24,Cadrage!$E$24)))</f>
        <v>0.1</v>
      </c>
      <c r="I750">
        <f>IF($A750="","",IF($D750="V01",Cadrage!$C$34,IF($D750="V02",Cadrage!$D$34,Cadrage!$E$34)))</f>
        <v>0.02</v>
      </c>
      <c r="J750">
        <f>IF($A750="","",IF($D750="V01",Cadrage!$C$35,IF($D750="V02",Cadrage!$D$35,Cadrage!$E$35)))</f>
        <v>0.025</v>
      </c>
      <c r="K750">
        <f>IF($A750="","",IF($D750="V01",Cadrage!$C$36,IF($D750="V02",Cadrage!$D$36,Cadrage!$E$36)))</f>
        <v>0.04</v>
      </c>
      <c r="L750">
        <f>IF($A750="","",IF($D750="V01",Cadrage!$C$37,IF($D750="V02",Cadrage!$D$37,Cadrage!$E$37)))</f>
        <v>0.0185</v>
      </c>
      <c r="M750">
        <f>IF($A750="","",IF($D750="V01",Cadrage!$C$38,IF($D750="V02",Cadrage!$D$38,Cadrage!$E$38)))</f>
        <v>0</v>
      </c>
      <c r="N750">
        <f t="shared" si="1"/>
        <v>1.04903758953208</v>
      </c>
      <c r="O750">
        <f t="shared" si="2"/>
        <v>1.02963039412574</v>
      </c>
      <c r="P750">
        <f>IF($A750="","",IF($E750=1,$F750*$O750,PNL!G750))</f>
        <v>124306.247852406</v>
      </c>
      <c r="T750">
        <f t="shared" si="3"/>
        <v>-124306.247852406</v>
      </c>
    </row>
    <row r="751" ht="14.25" customHeight="1">
      <c r="A751" t="str">
        <f>IF(PNL!A751="","",PNL!A751)</f>
        <v>MBWAY_LYO</v>
      </c>
      <c r="B751" t="str">
        <f>IF(PNL!B751="","",PNL!B751)</f>
        <v>621</v>
      </c>
      <c r="C751" t="str">
        <f>IF(PNL!C751="","",PNL!C751)</f>
        <v>2027</v>
      </c>
      <c r="D751" t="str">
        <f>IF(PNL!D751="","",PNL!D751)</f>
        <v>V01</v>
      </c>
      <c r="E751">
        <f t="shared" si="0"/>
        <v>1</v>
      </c>
      <c r="F751">
        <f>IF($A751="","",IF($E751=1,_xlfn.SUMIFS(Comptabilité!$F$1:$F$1446,Comptabilité!$A$1:$A$1446,$A751,Comptabilité!$B$1:$B$1446,$B751,Comptabilité!$C$1:$C$1446,"2026"),0))</f>
        <v>156948</v>
      </c>
      <c r="G751">
        <f>IF($A751="","",IF($D751="V01",Cadrage!$C$23,IF($D751="V02",Cadrage!$D$23,Cadrage!$E$23)))</f>
        <v>0.08</v>
      </c>
      <c r="H751">
        <f>IF($A751="","",IF($D751="V01",Cadrage!$C$24,IF($D751="V02",Cadrage!$D$24,Cadrage!$E$24)))</f>
        <v>0.1</v>
      </c>
      <c r="I751">
        <f>IF($A751="","",IF($D751="V01",Cadrage!$C$34,IF($D751="V02",Cadrage!$D$34,Cadrage!$E$34)))</f>
        <v>0.02</v>
      </c>
      <c r="J751">
        <f>IF($A751="","",IF($D751="V01",Cadrage!$C$35,IF($D751="V02",Cadrage!$D$35,Cadrage!$E$35)))</f>
        <v>0.025</v>
      </c>
      <c r="K751">
        <f>IF($A751="","",IF($D751="V01",Cadrage!$C$36,IF($D751="V02",Cadrage!$D$36,Cadrage!$E$36)))</f>
        <v>0.04</v>
      </c>
      <c r="L751">
        <f>IF($A751="","",IF($D751="V01",Cadrage!$C$37,IF($D751="V02",Cadrage!$D$37,Cadrage!$E$37)))</f>
        <v>0.0185</v>
      </c>
      <c r="M751">
        <f>IF($A751="","",IF($D751="V01",Cadrage!$C$38,IF($D751="V02",Cadrage!$D$38,Cadrage!$E$38)))</f>
        <v>0</v>
      </c>
      <c r="N751">
        <f t="shared" si="1"/>
        <v>1.04903758953208</v>
      </c>
      <c r="O751">
        <f t="shared" si="2"/>
        <v>1.02963039412574</v>
      </c>
      <c r="P751">
        <f>IF($A751="","",IF($E751=1,$F751*$O751,PNL!G751))</f>
        <v>161598.431097247</v>
      </c>
      <c r="T751">
        <f t="shared" si="3"/>
        <v>-161598.431097247</v>
      </c>
    </row>
    <row r="752" ht="14.25" customHeight="1">
      <c r="A752" t="str">
        <f>IF(PNL!A752="","",PNL!A752)</f>
        <v>MBWAY_NAN</v>
      </c>
      <c r="B752" t="str">
        <f>IF(PNL!B752="","",PNL!B752)</f>
        <v>621</v>
      </c>
      <c r="C752" t="str">
        <f>IF(PNL!C752="","",PNL!C752)</f>
        <v>2027</v>
      </c>
      <c r="D752" t="str">
        <f>IF(PNL!D752="","",PNL!D752)</f>
        <v>V01</v>
      </c>
      <c r="E752">
        <f t="shared" si="0"/>
        <v>1</v>
      </c>
      <c r="F752">
        <f>IF($A752="","",IF($E752=1,_xlfn.SUMIFS(Comptabilité!$F$1:$F$1446,Comptabilité!$A$1:$A$1446,$A752,Comptabilité!$B$1:$B$1446,$B752,Comptabilité!$C$1:$C$1446,"2026"),0))</f>
        <v>144875</v>
      </c>
      <c r="G752">
        <f>IF($A752="","",IF($D752="V01",Cadrage!$C$23,IF($D752="V02",Cadrage!$D$23,Cadrage!$E$23)))</f>
        <v>0.08</v>
      </c>
      <c r="H752">
        <f>IF($A752="","",IF($D752="V01",Cadrage!$C$24,IF($D752="V02",Cadrage!$D$24,Cadrage!$E$24)))</f>
        <v>0.1</v>
      </c>
      <c r="I752">
        <f>IF($A752="","",IF($D752="V01",Cadrage!$C$34,IF($D752="V02",Cadrage!$D$34,Cadrage!$E$34)))</f>
        <v>0.02</v>
      </c>
      <c r="J752">
        <f>IF($A752="","",IF($D752="V01",Cadrage!$C$35,IF($D752="V02",Cadrage!$D$35,Cadrage!$E$35)))</f>
        <v>0.025</v>
      </c>
      <c r="K752">
        <f>IF($A752="","",IF($D752="V01",Cadrage!$C$36,IF($D752="V02",Cadrage!$D$36,Cadrage!$E$36)))</f>
        <v>0.04</v>
      </c>
      <c r="L752">
        <f>IF($A752="","",IF($D752="V01",Cadrage!$C$37,IF($D752="V02",Cadrage!$D$37,Cadrage!$E$37)))</f>
        <v>0.0185</v>
      </c>
      <c r="M752">
        <f>IF($A752="","",IF($D752="V01",Cadrage!$C$38,IF($D752="V02",Cadrage!$D$38,Cadrage!$E$38)))</f>
        <v>0</v>
      </c>
      <c r="N752">
        <f t="shared" si="1"/>
        <v>1.04903758953208</v>
      </c>
      <c r="O752">
        <f t="shared" si="2"/>
        <v>1.02963039412574</v>
      </c>
      <c r="P752">
        <f>IF($A752="","",IF($E752=1,$F752*$O752,PNL!G752))</f>
        <v>149167.703348967</v>
      </c>
      <c r="T752">
        <f t="shared" si="3"/>
        <v>-149167.703348967</v>
      </c>
    </row>
    <row r="753" ht="14.25" customHeight="1">
      <c r="A753" t="str">
        <f>IF(PNL!A753="","",PNL!A753)</f>
        <v>MBWAY_PAR</v>
      </c>
      <c r="B753" t="str">
        <f>IF(PNL!B753="","",PNL!B753)</f>
        <v>621</v>
      </c>
      <c r="C753" t="str">
        <f>IF(PNL!C753="","",PNL!C753)</f>
        <v>2027</v>
      </c>
      <c r="D753" t="str">
        <f>IF(PNL!D753="","",PNL!D753)</f>
        <v>V01</v>
      </c>
      <c r="E753">
        <f t="shared" si="0"/>
        <v>1</v>
      </c>
      <c r="F753">
        <f>IF($A753="","",IF($E753=1,_xlfn.SUMIFS(Comptabilité!$F$1:$F$1446,Comptabilité!$A$1:$A$1446,$A753,Comptabilité!$B$1:$B$1446,$B753,Comptabilité!$C$1:$C$1446,"2026"),0))</f>
        <v>181094</v>
      </c>
      <c r="G753">
        <f>IF($A753="","",IF($D753="V01",Cadrage!$C$23,IF($D753="V02",Cadrage!$D$23,Cadrage!$E$23)))</f>
        <v>0.08</v>
      </c>
      <c r="H753">
        <f>IF($A753="","",IF($D753="V01",Cadrage!$C$24,IF($D753="V02",Cadrage!$D$24,Cadrage!$E$24)))</f>
        <v>0.1</v>
      </c>
      <c r="I753">
        <f>IF($A753="","",IF($D753="V01",Cadrage!$C$34,IF($D753="V02",Cadrage!$D$34,Cadrage!$E$34)))</f>
        <v>0.02</v>
      </c>
      <c r="J753">
        <f>IF($A753="","",IF($D753="V01",Cadrage!$C$35,IF($D753="V02",Cadrage!$D$35,Cadrage!$E$35)))</f>
        <v>0.025</v>
      </c>
      <c r="K753">
        <f>IF($A753="","",IF($D753="V01",Cadrage!$C$36,IF($D753="V02",Cadrage!$D$36,Cadrage!$E$36)))</f>
        <v>0.04</v>
      </c>
      <c r="L753">
        <f>IF($A753="","",IF($D753="V01",Cadrage!$C$37,IF($D753="V02",Cadrage!$D$37,Cadrage!$E$37)))</f>
        <v>0.0185</v>
      </c>
      <c r="M753">
        <f>IF($A753="","",IF($D753="V01",Cadrage!$C$38,IF($D753="V02",Cadrage!$D$38,Cadrage!$E$38)))</f>
        <v>0</v>
      </c>
      <c r="N753">
        <f t="shared" si="1"/>
        <v>1.04903758953208</v>
      </c>
      <c r="O753">
        <f t="shared" si="2"/>
        <v>1.02963039412574</v>
      </c>
      <c r="P753">
        <f>IF($A753="","",IF($E753=1,$F753*$O753,PNL!G753))</f>
        <v>186459.886593807</v>
      </c>
      <c r="T753">
        <f t="shared" si="3"/>
        <v>-186459.886593807</v>
      </c>
    </row>
    <row r="754" ht="14.25" customHeight="1">
      <c r="A754" t="str">
        <f>IF(PNL!A754="","",PNL!A754)</f>
        <v>PIGIER_BOR</v>
      </c>
      <c r="B754" t="str">
        <f>IF(PNL!B754="","",PNL!B754)</f>
        <v>621</v>
      </c>
      <c r="C754" t="str">
        <f>IF(PNL!C754="","",PNL!C754)</f>
        <v>2027</v>
      </c>
      <c r="D754" t="str">
        <f>IF(PNL!D754="","",PNL!D754)</f>
        <v>V01</v>
      </c>
      <c r="E754">
        <f t="shared" si="0"/>
        <v>1</v>
      </c>
      <c r="F754">
        <f>IF($A754="","",IF($E754=1,_xlfn.SUMIFS(Comptabilité!$F$1:$F$1446,Comptabilité!$A$1:$A$1446,$A754,Comptabilité!$B$1:$B$1446,$B754,Comptabilité!$C$1:$C$1446,"2026"),0))</f>
        <v>96583</v>
      </c>
      <c r="G754">
        <f>IF($A754="","",IF($D754="V01",Cadrage!$C$23,IF($D754="V02",Cadrage!$D$23,Cadrage!$E$23)))</f>
        <v>0.08</v>
      </c>
      <c r="H754">
        <f>IF($A754="","",IF($D754="V01",Cadrage!$C$24,IF($D754="V02",Cadrage!$D$24,Cadrage!$E$24)))</f>
        <v>0.1</v>
      </c>
      <c r="I754">
        <f>IF($A754="","",IF($D754="V01",Cadrage!$C$34,IF($D754="V02",Cadrage!$D$34,Cadrage!$E$34)))</f>
        <v>0.02</v>
      </c>
      <c r="J754">
        <f>IF($A754="","",IF($D754="V01",Cadrage!$C$35,IF($D754="V02",Cadrage!$D$35,Cadrage!$E$35)))</f>
        <v>0.025</v>
      </c>
      <c r="K754">
        <f>IF($A754="","",IF($D754="V01",Cadrage!$C$36,IF($D754="V02",Cadrage!$D$36,Cadrage!$E$36)))</f>
        <v>0.04</v>
      </c>
      <c r="L754">
        <f>IF($A754="","",IF($D754="V01",Cadrage!$C$37,IF($D754="V02",Cadrage!$D$37,Cadrage!$E$37)))</f>
        <v>0.0185</v>
      </c>
      <c r="M754">
        <f>IF($A754="","",IF($D754="V01",Cadrage!$C$38,IF($D754="V02",Cadrage!$D$38,Cadrage!$E$38)))</f>
        <v>0</v>
      </c>
      <c r="N754">
        <f t="shared" si="1"/>
        <v>1.04903758953208</v>
      </c>
      <c r="O754">
        <f t="shared" si="2"/>
        <v>1.02963039412574</v>
      </c>
      <c r="P754">
        <f>IF($A754="","",IF($E754=1,$F754*$O754,PNL!G754))</f>
        <v>99444.7923558464</v>
      </c>
      <c r="T754">
        <f t="shared" si="3"/>
        <v>-99444.7923558464</v>
      </c>
    </row>
    <row r="755" ht="14.25" customHeight="1">
      <c r="A755" t="str">
        <f>IF(PNL!A755="","",PNL!A755)</f>
        <v>PIGIER_LYO</v>
      </c>
      <c r="B755" t="str">
        <f>IF(PNL!B755="","",PNL!B755)</f>
        <v>621</v>
      </c>
      <c r="C755" t="str">
        <f>IF(PNL!C755="","",PNL!C755)</f>
        <v>2027</v>
      </c>
      <c r="D755" t="str">
        <f>IF(PNL!D755="","",PNL!D755)</f>
        <v>V01</v>
      </c>
      <c r="E755">
        <f t="shared" si="0"/>
        <v>1</v>
      </c>
      <c r="F755">
        <f>IF($A755="","",IF($E755=1,_xlfn.SUMIFS(Comptabilité!$F$1:$F$1446,Comptabilité!$A$1:$A$1446,$A755,Comptabilité!$B$1:$B$1446,$B755,Comptabilité!$C$1:$C$1446,"2026"),0))</f>
        <v>96583</v>
      </c>
      <c r="G755">
        <f>IF($A755="","",IF($D755="V01",Cadrage!$C$23,IF($D755="V02",Cadrage!$D$23,Cadrage!$E$23)))</f>
        <v>0.08</v>
      </c>
      <c r="H755">
        <f>IF($A755="","",IF($D755="V01",Cadrage!$C$24,IF($D755="V02",Cadrage!$D$24,Cadrage!$E$24)))</f>
        <v>0.1</v>
      </c>
      <c r="I755">
        <f>IF($A755="","",IF($D755="V01",Cadrage!$C$34,IF($D755="V02",Cadrage!$D$34,Cadrage!$E$34)))</f>
        <v>0.02</v>
      </c>
      <c r="J755">
        <f>IF($A755="","",IF($D755="V01",Cadrage!$C$35,IF($D755="V02",Cadrage!$D$35,Cadrage!$E$35)))</f>
        <v>0.025</v>
      </c>
      <c r="K755">
        <f>IF($A755="","",IF($D755="V01",Cadrage!$C$36,IF($D755="V02",Cadrage!$D$36,Cadrage!$E$36)))</f>
        <v>0.04</v>
      </c>
      <c r="L755">
        <f>IF($A755="","",IF($D755="V01",Cadrage!$C$37,IF($D755="V02",Cadrage!$D$37,Cadrage!$E$37)))</f>
        <v>0.0185</v>
      </c>
      <c r="M755">
        <f>IF($A755="","",IF($D755="V01",Cadrage!$C$38,IF($D755="V02",Cadrage!$D$38,Cadrage!$E$38)))</f>
        <v>0</v>
      </c>
      <c r="N755">
        <f t="shared" si="1"/>
        <v>1.04903758953208</v>
      </c>
      <c r="O755">
        <f t="shared" si="2"/>
        <v>1.02963039412574</v>
      </c>
      <c r="P755">
        <f>IF($A755="","",IF($E755=1,$F755*$O755,PNL!G755))</f>
        <v>99444.7923558464</v>
      </c>
      <c r="T755">
        <f t="shared" si="3"/>
        <v>-99444.7923558464</v>
      </c>
    </row>
    <row r="756" ht="14.25" customHeight="1">
      <c r="A756" t="str">
        <f>IF(PNL!A756="","",PNL!A756)</f>
        <v>TUNON_LYO</v>
      </c>
      <c r="B756" t="str">
        <f>IF(PNL!B756="","",PNL!B756)</f>
        <v>621</v>
      </c>
      <c r="C756" t="str">
        <f>IF(PNL!C756="","",PNL!C756)</f>
        <v>2027</v>
      </c>
      <c r="D756" t="str">
        <f>IF(PNL!D756="","",PNL!D756)</f>
        <v>V01</v>
      </c>
      <c r="E756">
        <f t="shared" si="0"/>
        <v>1</v>
      </c>
      <c r="F756">
        <f>IF($A756="","",IF($E756=1,_xlfn.SUMIFS(Comptabilité!$F$1:$F$1446,Comptabilité!$A$1:$A$1446,$A756,Comptabilité!$B$1:$B$1446,$B756,Comptabilité!$C$1:$C$1446,"2026"),0))</f>
        <v>72438</v>
      </c>
      <c r="G756">
        <f>IF($A756="","",IF($D756="V01",Cadrage!$C$23,IF($D756="V02",Cadrage!$D$23,Cadrage!$E$23)))</f>
        <v>0.08</v>
      </c>
      <c r="H756">
        <f>IF($A756="","",IF($D756="V01",Cadrage!$C$24,IF($D756="V02",Cadrage!$D$24,Cadrage!$E$24)))</f>
        <v>0.1</v>
      </c>
      <c r="I756">
        <f>IF($A756="","",IF($D756="V01",Cadrage!$C$34,IF($D756="V02",Cadrage!$D$34,Cadrage!$E$34)))</f>
        <v>0.02</v>
      </c>
      <c r="J756">
        <f>IF($A756="","",IF($D756="V01",Cadrage!$C$35,IF($D756="V02",Cadrage!$D$35,Cadrage!$E$35)))</f>
        <v>0.025</v>
      </c>
      <c r="K756">
        <f>IF($A756="","",IF($D756="V01",Cadrage!$C$36,IF($D756="V02",Cadrage!$D$36,Cadrage!$E$36)))</f>
        <v>0.04</v>
      </c>
      <c r="L756">
        <f>IF($A756="","",IF($D756="V01",Cadrage!$C$37,IF($D756="V02",Cadrage!$D$37,Cadrage!$E$37)))</f>
        <v>0.0185</v>
      </c>
      <c r="M756">
        <f>IF($A756="","",IF($D756="V01",Cadrage!$C$38,IF($D756="V02",Cadrage!$D$38,Cadrage!$E$38)))</f>
        <v>0</v>
      </c>
      <c r="N756">
        <f t="shared" si="1"/>
        <v>1.04903758953208</v>
      </c>
      <c r="O756">
        <f t="shared" si="2"/>
        <v>1.02963039412574</v>
      </c>
      <c r="P756">
        <f>IF($A756="","",IF($E756=1,$F756*$O756,PNL!G756))</f>
        <v>74584.3664896804</v>
      </c>
      <c r="T756">
        <f t="shared" si="3"/>
        <v>-74584.3664896804</v>
      </c>
    </row>
    <row r="757" ht="14.25" customHeight="1">
      <c r="A757" t="str">
        <f>IF(PNL!A757="","",PNL!A757)</f>
        <v>TUNON_PAR</v>
      </c>
      <c r="B757" t="str">
        <f>IF(PNL!B757="","",PNL!B757)</f>
        <v>621</v>
      </c>
      <c r="C757" t="str">
        <f>IF(PNL!C757="","",PNL!C757)</f>
        <v>2027</v>
      </c>
      <c r="D757" t="str">
        <f>IF(PNL!D757="","",PNL!D757)</f>
        <v>V01</v>
      </c>
      <c r="E757">
        <f t="shared" si="0"/>
        <v>1</v>
      </c>
      <c r="F757">
        <f>IF($A757="","",IF($E757=1,_xlfn.SUMIFS(Comptabilité!$F$1:$F$1446,Comptabilité!$A$1:$A$1446,$A757,Comptabilité!$B$1:$B$1446,$B757,Comptabilité!$C$1:$C$1446,"2026"),0))</f>
        <v>72438</v>
      </c>
      <c r="G757">
        <f>IF($A757="","",IF($D757="V01",Cadrage!$C$23,IF($D757="V02",Cadrage!$D$23,Cadrage!$E$23)))</f>
        <v>0.08</v>
      </c>
      <c r="H757">
        <f>IF($A757="","",IF($D757="V01",Cadrage!$C$24,IF($D757="V02",Cadrage!$D$24,Cadrage!$E$24)))</f>
        <v>0.1</v>
      </c>
      <c r="I757">
        <f>IF($A757="","",IF($D757="V01",Cadrage!$C$34,IF($D757="V02",Cadrage!$D$34,Cadrage!$E$34)))</f>
        <v>0.02</v>
      </c>
      <c r="J757">
        <f>IF($A757="","",IF($D757="V01",Cadrage!$C$35,IF($D757="V02",Cadrage!$D$35,Cadrage!$E$35)))</f>
        <v>0.025</v>
      </c>
      <c r="K757">
        <f>IF($A757="","",IF($D757="V01",Cadrage!$C$36,IF($D757="V02",Cadrage!$D$36,Cadrage!$E$36)))</f>
        <v>0.04</v>
      </c>
      <c r="L757">
        <f>IF($A757="","",IF($D757="V01",Cadrage!$C$37,IF($D757="V02",Cadrage!$D$37,Cadrage!$E$37)))</f>
        <v>0.0185</v>
      </c>
      <c r="M757">
        <f>IF($A757="","",IF($D757="V01",Cadrage!$C$38,IF($D757="V02",Cadrage!$D$38,Cadrage!$E$38)))</f>
        <v>0</v>
      </c>
      <c r="N757">
        <f t="shared" si="1"/>
        <v>1.04903758953208</v>
      </c>
      <c r="O757">
        <f t="shared" si="2"/>
        <v>1.02963039412574</v>
      </c>
      <c r="P757">
        <f>IF($A757="","",IF($E757=1,$F757*$O757,PNL!G757))</f>
        <v>74584.3664896804</v>
      </c>
      <c r="T757">
        <f t="shared" si="3"/>
        <v>-74584.3664896804</v>
      </c>
    </row>
    <row r="758" ht="14.25" customHeight="1">
      <c r="A758" t="str">
        <f>IF(PNL!A758="","",PNL!A758)</f>
        <v>GRP</v>
      </c>
      <c r="B758" t="str">
        <f>IF(PNL!B758="","",PNL!B758)</f>
        <v>6226</v>
      </c>
      <c r="C758" t="str">
        <f>IF(PNL!C758="","",PNL!C758)</f>
        <v>2027</v>
      </c>
      <c r="D758" t="str">
        <f>IF(PNL!D758="","",PNL!D758)</f>
        <v>V01</v>
      </c>
      <c r="E758">
        <f t="shared" si="0"/>
        <v>1</v>
      </c>
      <c r="F758">
        <f>IF($A758="","",IF($E758=1,_xlfn.SUMIFS(Comptabilité!$F$1:$F$1446,Comptabilité!$A$1:$A$1446,$A758,Comptabilité!$B$1:$B$1446,$B758,Comptabilité!$C$1:$C$1446,"2026"),0))</f>
        <v>564841</v>
      </c>
      <c r="G758">
        <f>IF($A758="","",IF($D758="V01",Cadrage!$C$23,IF($D758="V02",Cadrage!$D$23,Cadrage!$E$23)))</f>
        <v>0.08</v>
      </c>
      <c r="H758">
        <f>IF($A758="","",IF($D758="V01",Cadrage!$C$24,IF($D758="V02",Cadrage!$D$24,Cadrage!$E$24)))</f>
        <v>0.1</v>
      </c>
      <c r="I758">
        <f>IF($A758="","",IF($D758="V01",Cadrage!$C$34,IF($D758="V02",Cadrage!$D$34,Cadrage!$E$34)))</f>
        <v>0.02</v>
      </c>
      <c r="J758">
        <f>IF($A758="","",IF($D758="V01",Cadrage!$C$35,IF($D758="V02",Cadrage!$D$35,Cadrage!$E$35)))</f>
        <v>0.025</v>
      </c>
      <c r="K758">
        <f>IF($A758="","",IF($D758="V01",Cadrage!$C$36,IF($D758="V02",Cadrage!$D$36,Cadrage!$E$36)))</f>
        <v>0.04</v>
      </c>
      <c r="L758">
        <f>IF($A758="","",IF($D758="V01",Cadrage!$C$37,IF($D758="V02",Cadrage!$D$37,Cadrage!$E$37)))</f>
        <v>0.0185</v>
      </c>
      <c r="M758">
        <f>IF($A758="","",IF($D758="V01",Cadrage!$C$38,IF($D758="V02",Cadrage!$D$38,Cadrage!$E$38)))</f>
        <v>0</v>
      </c>
      <c r="N758">
        <f t="shared" si="1"/>
        <v>1.04903758953208</v>
      </c>
      <c r="O758">
        <f t="shared" si="2"/>
        <v>1.00113</v>
      </c>
      <c r="P758">
        <f>IF($A758="","",IF($E758=1,$F758*$O758,PNL!G758))</f>
        <v>565479.27033</v>
      </c>
      <c r="T758">
        <f t="shared" si="3"/>
        <v>-565479.27033</v>
      </c>
    </row>
    <row r="759" ht="14.25" customHeight="1">
      <c r="A759" t="str">
        <f>IF(PNL!A759="","",PNL!A759)</f>
        <v>IPAC_MTP</v>
      </c>
      <c r="B759" t="str">
        <f>IF(PNL!B759="","",PNL!B759)</f>
        <v>6231</v>
      </c>
      <c r="C759" t="str">
        <f>IF(PNL!C759="","",PNL!C759)</f>
        <v>2027</v>
      </c>
      <c r="D759" t="str">
        <f>IF(PNL!D759="","",PNL!D759)</f>
        <v>V01</v>
      </c>
      <c r="E759">
        <f t="shared" si="0"/>
        <v>1</v>
      </c>
      <c r="F759">
        <f>IF($A759="","",IF($E759=1,_xlfn.SUMIFS(Comptabilité!$F$1:$F$1446,Comptabilité!$A$1:$A$1446,$A759,Comptabilité!$B$1:$B$1446,$B759,Comptabilité!$C$1:$C$1446,"2026"),0))</f>
        <v>15178</v>
      </c>
      <c r="G759">
        <f>IF($A759="","",IF($D759="V01",Cadrage!$C$23,IF($D759="V02",Cadrage!$D$23,Cadrage!$E$23)))</f>
        <v>0.08</v>
      </c>
      <c r="H759">
        <f>IF($A759="","",IF($D759="V01",Cadrage!$C$24,IF($D759="V02",Cadrage!$D$24,Cadrage!$E$24)))</f>
        <v>0.1</v>
      </c>
      <c r="I759">
        <f>IF($A759="","",IF($D759="V01",Cadrage!$C$34,IF($D759="V02",Cadrage!$D$34,Cadrage!$E$34)))</f>
        <v>0.02</v>
      </c>
      <c r="J759">
        <f>IF($A759="","",IF($D759="V01",Cadrage!$C$35,IF($D759="V02",Cadrage!$D$35,Cadrage!$E$35)))</f>
        <v>0.025</v>
      </c>
      <c r="K759">
        <f>IF($A759="","",IF($D759="V01",Cadrage!$C$36,IF($D759="V02",Cadrage!$D$36,Cadrage!$E$36)))</f>
        <v>0.04</v>
      </c>
      <c r="L759">
        <f>IF($A759="","",IF($D759="V01",Cadrage!$C$37,IF($D759="V02",Cadrage!$D$37,Cadrage!$E$37)))</f>
        <v>0.0185</v>
      </c>
      <c r="M759">
        <f>IF($A759="","",IF($D759="V01",Cadrage!$C$38,IF($D759="V02",Cadrage!$D$38,Cadrage!$E$38)))</f>
        <v>0</v>
      </c>
      <c r="N759">
        <f t="shared" si="1"/>
        <v>1.04903758953208</v>
      </c>
      <c r="O759">
        <f t="shared" si="2"/>
        <v>1.08</v>
      </c>
      <c r="P759">
        <f>IF($A759="","",IF($E759=1,$F759*$O759,PNL!G759))</f>
        <v>16392.24</v>
      </c>
      <c r="T759">
        <f t="shared" si="3"/>
        <v>-16392.24</v>
      </c>
    </row>
    <row r="760" ht="14.25" customHeight="1">
      <c r="A760" t="str">
        <f>IF(PNL!A760="","",PNL!A760)</f>
        <v>IPAC_NAN</v>
      </c>
      <c r="B760" t="str">
        <f>IF(PNL!B760="","",PNL!B760)</f>
        <v>6231</v>
      </c>
      <c r="C760" t="str">
        <f>IF(PNL!C760="","",PNL!C760)</f>
        <v>2027</v>
      </c>
      <c r="D760" t="str">
        <f>IF(PNL!D760="","",PNL!D760)</f>
        <v>V01</v>
      </c>
      <c r="E760">
        <f t="shared" si="0"/>
        <v>1</v>
      </c>
      <c r="F760">
        <f>IF($A760="","",IF($E760=1,_xlfn.SUMIFS(Comptabilité!$F$1:$F$1446,Comptabilité!$A$1:$A$1446,$A760,Comptabilité!$B$1:$B$1446,$B760,Comptabilité!$C$1:$C$1446,"2026"),0))</f>
        <v>21760</v>
      </c>
      <c r="G760">
        <f>IF($A760="","",IF($D760="V01",Cadrage!$C$23,IF($D760="V02",Cadrage!$D$23,Cadrage!$E$23)))</f>
        <v>0.08</v>
      </c>
      <c r="H760">
        <f>IF($A760="","",IF($D760="V01",Cadrage!$C$24,IF($D760="V02",Cadrage!$D$24,Cadrage!$E$24)))</f>
        <v>0.1</v>
      </c>
      <c r="I760">
        <f>IF($A760="","",IF($D760="V01",Cadrage!$C$34,IF($D760="V02",Cadrage!$D$34,Cadrage!$E$34)))</f>
        <v>0.02</v>
      </c>
      <c r="J760">
        <f>IF($A760="","",IF($D760="V01",Cadrage!$C$35,IF($D760="V02",Cadrage!$D$35,Cadrage!$E$35)))</f>
        <v>0.025</v>
      </c>
      <c r="K760">
        <f>IF($A760="","",IF($D760="V01",Cadrage!$C$36,IF($D760="V02",Cadrage!$D$36,Cadrage!$E$36)))</f>
        <v>0.04</v>
      </c>
      <c r="L760">
        <f>IF($A760="","",IF($D760="V01",Cadrage!$C$37,IF($D760="V02",Cadrage!$D$37,Cadrage!$E$37)))</f>
        <v>0.0185</v>
      </c>
      <c r="M760">
        <f>IF($A760="","",IF($D760="V01",Cadrage!$C$38,IF($D760="V02",Cadrage!$D$38,Cadrage!$E$38)))</f>
        <v>0</v>
      </c>
      <c r="N760">
        <f t="shared" si="1"/>
        <v>1.04903758953208</v>
      </c>
      <c r="O760">
        <f t="shared" si="2"/>
        <v>1.08</v>
      </c>
      <c r="P760">
        <f>IF($A760="","",IF($E760=1,$F760*$O760,PNL!G760))</f>
        <v>23500.8</v>
      </c>
      <c r="T760">
        <f t="shared" si="3"/>
        <v>-23500.8</v>
      </c>
    </row>
    <row r="761" ht="14.25" customHeight="1">
      <c r="A761" t="str">
        <f>IF(PNL!A761="","",PNL!A761)</f>
        <v>IPAC_REN</v>
      </c>
      <c r="B761" t="str">
        <f>IF(PNL!B761="","",PNL!B761)</f>
        <v>6231</v>
      </c>
      <c r="C761" t="str">
        <f>IF(PNL!C761="","",PNL!C761)</f>
        <v>2027</v>
      </c>
      <c r="D761" t="str">
        <f>IF(PNL!D761="","",PNL!D761)</f>
        <v>V01</v>
      </c>
      <c r="E761">
        <f t="shared" si="0"/>
        <v>1</v>
      </c>
      <c r="F761">
        <f>IF($A761="","",IF($E761=1,_xlfn.SUMIFS(Comptabilité!$F$1:$F$1446,Comptabilité!$A$1:$A$1446,$A761,Comptabilité!$B$1:$B$1446,$B761,Comptabilité!$C$1:$C$1446,"2026"),0))</f>
        <v>14933</v>
      </c>
      <c r="G761">
        <f>IF($A761="","",IF($D761="V01",Cadrage!$C$23,IF($D761="V02",Cadrage!$D$23,Cadrage!$E$23)))</f>
        <v>0.08</v>
      </c>
      <c r="H761">
        <f>IF($A761="","",IF($D761="V01",Cadrage!$C$24,IF($D761="V02",Cadrage!$D$24,Cadrage!$E$24)))</f>
        <v>0.1</v>
      </c>
      <c r="I761">
        <f>IF($A761="","",IF($D761="V01",Cadrage!$C$34,IF($D761="V02",Cadrage!$D$34,Cadrage!$E$34)))</f>
        <v>0.02</v>
      </c>
      <c r="J761">
        <f>IF($A761="","",IF($D761="V01",Cadrage!$C$35,IF($D761="V02",Cadrage!$D$35,Cadrage!$E$35)))</f>
        <v>0.025</v>
      </c>
      <c r="K761">
        <f>IF($A761="","",IF($D761="V01",Cadrage!$C$36,IF($D761="V02",Cadrage!$D$36,Cadrage!$E$36)))</f>
        <v>0.04</v>
      </c>
      <c r="L761">
        <f>IF($A761="","",IF($D761="V01",Cadrage!$C$37,IF($D761="V02",Cadrage!$D$37,Cadrage!$E$37)))</f>
        <v>0.0185</v>
      </c>
      <c r="M761">
        <f>IF($A761="","",IF($D761="V01",Cadrage!$C$38,IF($D761="V02",Cadrage!$D$38,Cadrage!$E$38)))</f>
        <v>0</v>
      </c>
      <c r="N761">
        <f t="shared" si="1"/>
        <v>1.04903758953208</v>
      </c>
      <c r="O761">
        <f t="shared" si="2"/>
        <v>1.08</v>
      </c>
      <c r="P761">
        <f>IF($A761="","",IF($E761=1,$F761*$O761,PNL!G761))</f>
        <v>16127.64</v>
      </c>
      <c r="T761">
        <f t="shared" si="3"/>
        <v>-16127.64</v>
      </c>
    </row>
    <row r="762" ht="14.25" customHeight="1">
      <c r="A762" t="str">
        <f>IF(PNL!A762="","",PNL!A762)</f>
        <v>ISCOM_LIL</v>
      </c>
      <c r="B762" t="str">
        <f>IF(PNL!B762="","",PNL!B762)</f>
        <v>6231</v>
      </c>
      <c r="C762" t="str">
        <f>IF(PNL!C762="","",PNL!C762)</f>
        <v>2027</v>
      </c>
      <c r="D762" t="str">
        <f>IF(PNL!D762="","",PNL!D762)</f>
        <v>V01</v>
      </c>
      <c r="E762">
        <f t="shared" si="0"/>
        <v>1</v>
      </c>
      <c r="F762">
        <f>IF($A762="","",IF($E762=1,_xlfn.SUMIFS(Comptabilité!$F$1:$F$1446,Comptabilité!$A$1:$A$1446,$A762,Comptabilité!$B$1:$B$1446,$B762,Comptabilité!$C$1:$C$1446,"2026"),0))</f>
        <v>25220</v>
      </c>
      <c r="G762">
        <f>IF($A762="","",IF($D762="V01",Cadrage!$C$23,IF($D762="V02",Cadrage!$D$23,Cadrage!$E$23)))</f>
        <v>0.08</v>
      </c>
      <c r="H762">
        <f>IF($A762="","",IF($D762="V01",Cadrage!$C$24,IF($D762="V02",Cadrage!$D$24,Cadrage!$E$24)))</f>
        <v>0.1</v>
      </c>
      <c r="I762">
        <f>IF($A762="","",IF($D762="V01",Cadrage!$C$34,IF($D762="V02",Cadrage!$D$34,Cadrage!$E$34)))</f>
        <v>0.02</v>
      </c>
      <c r="J762">
        <f>IF($A762="","",IF($D762="V01",Cadrage!$C$35,IF($D762="V02",Cadrage!$D$35,Cadrage!$E$35)))</f>
        <v>0.025</v>
      </c>
      <c r="K762">
        <f>IF($A762="","",IF($D762="V01",Cadrage!$C$36,IF($D762="V02",Cadrage!$D$36,Cadrage!$E$36)))</f>
        <v>0.04</v>
      </c>
      <c r="L762">
        <f>IF($A762="","",IF($D762="V01",Cadrage!$C$37,IF($D762="V02",Cadrage!$D$37,Cadrage!$E$37)))</f>
        <v>0.0185</v>
      </c>
      <c r="M762">
        <f>IF($A762="","",IF($D762="V01",Cadrage!$C$38,IF($D762="V02",Cadrage!$D$38,Cadrage!$E$38)))</f>
        <v>0</v>
      </c>
      <c r="N762">
        <f t="shared" si="1"/>
        <v>1.04903758953208</v>
      </c>
      <c r="O762">
        <f t="shared" si="2"/>
        <v>1.08</v>
      </c>
      <c r="P762">
        <f>IF($A762="","",IF($E762=1,$F762*$O762,PNL!G762))</f>
        <v>27237.6</v>
      </c>
      <c r="T762">
        <f t="shared" si="3"/>
        <v>-27237.6</v>
      </c>
    </row>
    <row r="763" ht="14.25" customHeight="1">
      <c r="A763" t="str">
        <f>IF(PNL!A763="","",PNL!A763)</f>
        <v>ISCOM_PAR</v>
      </c>
      <c r="B763" t="str">
        <f>IF(PNL!B763="","",PNL!B763)</f>
        <v>6231</v>
      </c>
      <c r="C763" t="str">
        <f>IF(PNL!C763="","",PNL!C763)</f>
        <v>2027</v>
      </c>
      <c r="D763" t="str">
        <f>IF(PNL!D763="","",PNL!D763)</f>
        <v>V01</v>
      </c>
      <c r="E763">
        <f t="shared" si="0"/>
        <v>1</v>
      </c>
      <c r="F763">
        <f>IF($A763="","",IF($E763=1,_xlfn.SUMIFS(Comptabilité!$F$1:$F$1446,Comptabilité!$A$1:$A$1446,$A763,Comptabilité!$B$1:$B$1446,$B763,Comptabilité!$C$1:$C$1446,"2026"),0))</f>
        <v>60800</v>
      </c>
      <c r="G763">
        <f>IF($A763="","",IF($D763="V01",Cadrage!$C$23,IF($D763="V02",Cadrage!$D$23,Cadrage!$E$23)))</f>
        <v>0.08</v>
      </c>
      <c r="H763">
        <f>IF($A763="","",IF($D763="V01",Cadrage!$C$24,IF($D763="V02",Cadrage!$D$24,Cadrage!$E$24)))</f>
        <v>0.1</v>
      </c>
      <c r="I763">
        <f>IF($A763="","",IF($D763="V01",Cadrage!$C$34,IF($D763="V02",Cadrage!$D$34,Cadrage!$E$34)))</f>
        <v>0.02</v>
      </c>
      <c r="J763">
        <f>IF($A763="","",IF($D763="V01",Cadrage!$C$35,IF($D763="V02",Cadrage!$D$35,Cadrage!$E$35)))</f>
        <v>0.025</v>
      </c>
      <c r="K763">
        <f>IF($A763="","",IF($D763="V01",Cadrage!$C$36,IF($D763="V02",Cadrage!$D$36,Cadrage!$E$36)))</f>
        <v>0.04</v>
      </c>
      <c r="L763">
        <f>IF($A763="","",IF($D763="V01",Cadrage!$C$37,IF($D763="V02",Cadrage!$D$37,Cadrage!$E$37)))</f>
        <v>0.0185</v>
      </c>
      <c r="M763">
        <f>IF($A763="","",IF($D763="V01",Cadrage!$C$38,IF($D763="V02",Cadrage!$D$38,Cadrage!$E$38)))</f>
        <v>0</v>
      </c>
      <c r="N763">
        <f t="shared" si="1"/>
        <v>1.04903758953208</v>
      </c>
      <c r="O763">
        <f t="shared" si="2"/>
        <v>1.08</v>
      </c>
      <c r="P763">
        <f>IF($A763="","",IF($E763=1,$F763*$O763,PNL!G763))</f>
        <v>65664</v>
      </c>
      <c r="T763">
        <f t="shared" si="3"/>
        <v>-65664</v>
      </c>
    </row>
    <row r="764" ht="14.25" customHeight="1">
      <c r="A764" t="str">
        <f>IF(PNL!A764="","",PNL!A764)</f>
        <v>ISCOM_TLS</v>
      </c>
      <c r="B764" t="str">
        <f>IF(PNL!B764="","",PNL!B764)</f>
        <v>6231</v>
      </c>
      <c r="C764" t="str">
        <f>IF(PNL!C764="","",PNL!C764)</f>
        <v>2027</v>
      </c>
      <c r="D764" t="str">
        <f>IF(PNL!D764="","",PNL!D764)</f>
        <v>V01</v>
      </c>
      <c r="E764">
        <f t="shared" si="0"/>
        <v>1</v>
      </c>
      <c r="F764">
        <f>IF($A764="","",IF($E764=1,_xlfn.SUMIFS(Comptabilité!$F$1:$F$1446,Comptabilité!$A$1:$A$1446,$A764,Comptabilité!$B$1:$B$1446,$B764,Comptabilité!$C$1:$C$1446,"2026"),0))</f>
        <v>22083</v>
      </c>
      <c r="G764">
        <f>IF($A764="","",IF($D764="V01",Cadrage!$C$23,IF($D764="V02",Cadrage!$D$23,Cadrage!$E$23)))</f>
        <v>0.08</v>
      </c>
      <c r="H764">
        <f>IF($A764="","",IF($D764="V01",Cadrage!$C$24,IF($D764="V02",Cadrage!$D$24,Cadrage!$E$24)))</f>
        <v>0.1</v>
      </c>
      <c r="I764">
        <f>IF($A764="","",IF($D764="V01",Cadrage!$C$34,IF($D764="V02",Cadrage!$D$34,Cadrage!$E$34)))</f>
        <v>0.02</v>
      </c>
      <c r="J764">
        <f>IF($A764="","",IF($D764="V01",Cadrage!$C$35,IF($D764="V02",Cadrage!$D$35,Cadrage!$E$35)))</f>
        <v>0.025</v>
      </c>
      <c r="K764">
        <f>IF($A764="","",IF($D764="V01",Cadrage!$C$36,IF($D764="V02",Cadrage!$D$36,Cadrage!$E$36)))</f>
        <v>0.04</v>
      </c>
      <c r="L764">
        <f>IF($A764="","",IF($D764="V01",Cadrage!$C$37,IF($D764="V02",Cadrage!$D$37,Cadrage!$E$37)))</f>
        <v>0.0185</v>
      </c>
      <c r="M764">
        <f>IF($A764="","",IF($D764="V01",Cadrage!$C$38,IF($D764="V02",Cadrage!$D$38,Cadrage!$E$38)))</f>
        <v>0</v>
      </c>
      <c r="N764">
        <f t="shared" si="1"/>
        <v>1.04903758953208</v>
      </c>
      <c r="O764">
        <f t="shared" si="2"/>
        <v>1.08</v>
      </c>
      <c r="P764">
        <f>IF($A764="","",IF($E764=1,$F764*$O764,PNL!G764))</f>
        <v>23849.64</v>
      </c>
      <c r="T764">
        <f t="shared" si="3"/>
        <v>-23849.64</v>
      </c>
    </row>
    <row r="765" ht="14.25" customHeight="1">
      <c r="A765" t="str">
        <f>IF(PNL!A765="","",PNL!A765)</f>
        <v>MBWAY_BOR</v>
      </c>
      <c r="B765" t="str">
        <f>IF(PNL!B765="","",PNL!B765)</f>
        <v>6231</v>
      </c>
      <c r="C765" t="str">
        <f>IF(PNL!C765="","",PNL!C765)</f>
        <v>2027</v>
      </c>
      <c r="D765" t="str">
        <f>IF(PNL!D765="","",PNL!D765)</f>
        <v>V01</v>
      </c>
      <c r="E765">
        <f t="shared" si="0"/>
        <v>1</v>
      </c>
      <c r="F765">
        <f>IF($A765="","",IF($E765=1,_xlfn.SUMIFS(Comptabilité!$F$1:$F$1446,Comptabilité!$A$1:$A$1446,$A765,Comptabilité!$B$1:$B$1446,$B765,Comptabilité!$C$1:$C$1446,"2026"),0))</f>
        <v>24923</v>
      </c>
      <c r="G765">
        <f>IF($A765="","",IF($D765="V01",Cadrage!$C$23,IF($D765="V02",Cadrage!$D$23,Cadrage!$E$23)))</f>
        <v>0.08</v>
      </c>
      <c r="H765">
        <f>IF($A765="","",IF($D765="V01",Cadrage!$C$24,IF($D765="V02",Cadrage!$D$24,Cadrage!$E$24)))</f>
        <v>0.1</v>
      </c>
      <c r="I765">
        <f>IF($A765="","",IF($D765="V01",Cadrage!$C$34,IF($D765="V02",Cadrage!$D$34,Cadrage!$E$34)))</f>
        <v>0.02</v>
      </c>
      <c r="J765">
        <f>IF($A765="","",IF($D765="V01",Cadrage!$C$35,IF($D765="V02",Cadrage!$D$35,Cadrage!$E$35)))</f>
        <v>0.025</v>
      </c>
      <c r="K765">
        <f>IF($A765="","",IF($D765="V01",Cadrage!$C$36,IF($D765="V02",Cadrage!$D$36,Cadrage!$E$36)))</f>
        <v>0.04</v>
      </c>
      <c r="L765">
        <f>IF($A765="","",IF($D765="V01",Cadrage!$C$37,IF($D765="V02",Cadrage!$D$37,Cadrage!$E$37)))</f>
        <v>0.0185</v>
      </c>
      <c r="M765">
        <f>IF($A765="","",IF($D765="V01",Cadrage!$C$38,IF($D765="V02",Cadrage!$D$38,Cadrage!$E$38)))</f>
        <v>0</v>
      </c>
      <c r="N765">
        <f t="shared" si="1"/>
        <v>1.04903758953208</v>
      </c>
      <c r="O765">
        <f t="shared" si="2"/>
        <v>1.08</v>
      </c>
      <c r="P765">
        <f>IF($A765="","",IF($E765=1,$F765*$O765,PNL!G765))</f>
        <v>26916.84</v>
      </c>
      <c r="T765">
        <f t="shared" si="3"/>
        <v>-26916.84</v>
      </c>
    </row>
    <row r="766" ht="14.25" customHeight="1">
      <c r="A766" t="str">
        <f>IF(PNL!A766="","",PNL!A766)</f>
        <v>MBWAY_LYO</v>
      </c>
      <c r="B766" t="str">
        <f>IF(PNL!B766="","",PNL!B766)</f>
        <v>6231</v>
      </c>
      <c r="C766" t="str">
        <f>IF(PNL!C766="","",PNL!C766)</f>
        <v>2027</v>
      </c>
      <c r="D766" t="str">
        <f>IF(PNL!D766="","",PNL!D766)</f>
        <v>V01</v>
      </c>
      <c r="E766">
        <f t="shared" si="0"/>
        <v>1</v>
      </c>
      <c r="F766">
        <f>IF($A766="","",IF($E766=1,_xlfn.SUMIFS(Comptabilité!$F$1:$F$1446,Comptabilité!$A$1:$A$1446,$A766,Comptabilité!$B$1:$B$1446,$B766,Comptabilité!$C$1:$C$1446,"2026"),0))</f>
        <v>41783</v>
      </c>
      <c r="G766">
        <f>IF($A766="","",IF($D766="V01",Cadrage!$C$23,IF($D766="V02",Cadrage!$D$23,Cadrage!$E$23)))</f>
        <v>0.08</v>
      </c>
      <c r="H766">
        <f>IF($A766="","",IF($D766="V01",Cadrage!$C$24,IF($D766="V02",Cadrage!$D$24,Cadrage!$E$24)))</f>
        <v>0.1</v>
      </c>
      <c r="I766">
        <f>IF($A766="","",IF($D766="V01",Cadrage!$C$34,IF($D766="V02",Cadrage!$D$34,Cadrage!$E$34)))</f>
        <v>0.02</v>
      </c>
      <c r="J766">
        <f>IF($A766="","",IF($D766="V01",Cadrage!$C$35,IF($D766="V02",Cadrage!$D$35,Cadrage!$E$35)))</f>
        <v>0.025</v>
      </c>
      <c r="K766">
        <f>IF($A766="","",IF($D766="V01",Cadrage!$C$36,IF($D766="V02",Cadrage!$D$36,Cadrage!$E$36)))</f>
        <v>0.04</v>
      </c>
      <c r="L766">
        <f>IF($A766="","",IF($D766="V01",Cadrage!$C$37,IF($D766="V02",Cadrage!$D$37,Cadrage!$E$37)))</f>
        <v>0.0185</v>
      </c>
      <c r="M766">
        <f>IF($A766="","",IF($D766="V01",Cadrage!$C$38,IF($D766="V02",Cadrage!$D$38,Cadrage!$E$38)))</f>
        <v>0</v>
      </c>
      <c r="N766">
        <f t="shared" si="1"/>
        <v>1.04903758953208</v>
      </c>
      <c r="O766">
        <f t="shared" si="2"/>
        <v>1.08</v>
      </c>
      <c r="P766">
        <f>IF($A766="","",IF($E766=1,$F766*$O766,PNL!G766))</f>
        <v>45125.64</v>
      </c>
      <c r="T766">
        <f t="shared" si="3"/>
        <v>-45125.64</v>
      </c>
    </row>
    <row r="767" ht="14.25" customHeight="1">
      <c r="A767" t="str">
        <f>IF(PNL!A767="","",PNL!A767)</f>
        <v>MBWAY_NAN</v>
      </c>
      <c r="B767" t="str">
        <f>IF(PNL!B767="","",PNL!B767)</f>
        <v>6231</v>
      </c>
      <c r="C767" t="str">
        <f>IF(PNL!C767="","",PNL!C767)</f>
        <v>2027</v>
      </c>
      <c r="D767" t="str">
        <f>IF(PNL!D767="","",PNL!D767)</f>
        <v>V01</v>
      </c>
      <c r="E767">
        <f t="shared" si="0"/>
        <v>1</v>
      </c>
      <c r="F767">
        <f>IF($A767="","",IF($E767=1,_xlfn.SUMIFS(Comptabilité!$F$1:$F$1446,Comptabilité!$A$1:$A$1446,$A767,Comptabilité!$B$1:$B$1446,$B767,Comptabilité!$C$1:$C$1446,"2026"),0))</f>
        <v>31533</v>
      </c>
      <c r="G767">
        <f>IF($A767="","",IF($D767="V01",Cadrage!$C$23,IF($D767="V02",Cadrage!$D$23,Cadrage!$E$23)))</f>
        <v>0.08</v>
      </c>
      <c r="H767">
        <f>IF($A767="","",IF($D767="V01",Cadrage!$C$24,IF($D767="V02",Cadrage!$D$24,Cadrage!$E$24)))</f>
        <v>0.1</v>
      </c>
      <c r="I767">
        <f>IF($A767="","",IF($D767="V01",Cadrage!$C$34,IF($D767="V02",Cadrage!$D$34,Cadrage!$E$34)))</f>
        <v>0.02</v>
      </c>
      <c r="J767">
        <f>IF($A767="","",IF($D767="V01",Cadrage!$C$35,IF($D767="V02",Cadrage!$D$35,Cadrage!$E$35)))</f>
        <v>0.025</v>
      </c>
      <c r="K767">
        <f>IF($A767="","",IF($D767="V01",Cadrage!$C$36,IF($D767="V02",Cadrage!$D$36,Cadrage!$E$36)))</f>
        <v>0.04</v>
      </c>
      <c r="L767">
        <f>IF($A767="","",IF($D767="V01",Cadrage!$C$37,IF($D767="V02",Cadrage!$D$37,Cadrage!$E$37)))</f>
        <v>0.0185</v>
      </c>
      <c r="M767">
        <f>IF($A767="","",IF($D767="V01",Cadrage!$C$38,IF($D767="V02",Cadrage!$D$38,Cadrage!$E$38)))</f>
        <v>0</v>
      </c>
      <c r="N767">
        <f t="shared" si="1"/>
        <v>1.04903758953208</v>
      </c>
      <c r="O767">
        <f t="shared" si="2"/>
        <v>1.08</v>
      </c>
      <c r="P767">
        <f>IF($A767="","",IF($E767=1,$F767*$O767,PNL!G767))</f>
        <v>34055.64</v>
      </c>
      <c r="T767">
        <f t="shared" si="3"/>
        <v>-34055.64</v>
      </c>
    </row>
    <row r="768" ht="14.25" customHeight="1">
      <c r="A768" t="str">
        <f>IF(PNL!A768="","",PNL!A768)</f>
        <v>MBWAY_PAR</v>
      </c>
      <c r="B768" t="str">
        <f>IF(PNL!B768="","",PNL!B768)</f>
        <v>6231</v>
      </c>
      <c r="C768" t="str">
        <f>IF(PNL!C768="","",PNL!C768)</f>
        <v>2027</v>
      </c>
      <c r="D768" t="str">
        <f>IF(PNL!D768="","",PNL!D768)</f>
        <v>V01</v>
      </c>
      <c r="E768">
        <f t="shared" si="0"/>
        <v>1</v>
      </c>
      <c r="F768">
        <f>IF($A768="","",IF($E768=1,_xlfn.SUMIFS(Comptabilité!$F$1:$F$1446,Comptabilité!$A$1:$A$1446,$A768,Comptabilité!$B$1:$B$1446,$B768,Comptabilité!$C$1:$C$1446,"2026"),0))</f>
        <v>68291</v>
      </c>
      <c r="G768">
        <f>IF($A768="","",IF($D768="V01",Cadrage!$C$23,IF($D768="V02",Cadrage!$D$23,Cadrage!$E$23)))</f>
        <v>0.08</v>
      </c>
      <c r="H768">
        <f>IF($A768="","",IF($D768="V01",Cadrage!$C$24,IF($D768="V02",Cadrage!$D$24,Cadrage!$E$24)))</f>
        <v>0.1</v>
      </c>
      <c r="I768">
        <f>IF($A768="","",IF($D768="V01",Cadrage!$C$34,IF($D768="V02",Cadrage!$D$34,Cadrage!$E$34)))</f>
        <v>0.02</v>
      </c>
      <c r="J768">
        <f>IF($A768="","",IF($D768="V01",Cadrage!$C$35,IF($D768="V02",Cadrage!$D$35,Cadrage!$E$35)))</f>
        <v>0.025</v>
      </c>
      <c r="K768">
        <f>IF($A768="","",IF($D768="V01",Cadrage!$C$36,IF($D768="V02",Cadrage!$D$36,Cadrage!$E$36)))</f>
        <v>0.04</v>
      </c>
      <c r="L768">
        <f>IF($A768="","",IF($D768="V01",Cadrage!$C$37,IF($D768="V02",Cadrage!$D$37,Cadrage!$E$37)))</f>
        <v>0.0185</v>
      </c>
      <c r="M768">
        <f>IF($A768="","",IF($D768="V01",Cadrage!$C$38,IF($D768="V02",Cadrage!$D$38,Cadrage!$E$38)))</f>
        <v>0</v>
      </c>
      <c r="N768">
        <f t="shared" si="1"/>
        <v>1.04903758953208</v>
      </c>
      <c r="O768">
        <f t="shared" si="2"/>
        <v>1.08</v>
      </c>
      <c r="P768">
        <f>IF($A768="","",IF($E768=1,$F768*$O768,PNL!G768))</f>
        <v>73754.28</v>
      </c>
      <c r="T768">
        <f t="shared" si="3"/>
        <v>-73754.28</v>
      </c>
    </row>
    <row r="769" ht="14.25" customHeight="1">
      <c r="A769" t="str">
        <f>IF(PNL!A769="","",PNL!A769)</f>
        <v>PIGIER_BOR</v>
      </c>
      <c r="B769" t="str">
        <f>IF(PNL!B769="","",PNL!B769)</f>
        <v>6231</v>
      </c>
      <c r="C769" t="str">
        <f>IF(PNL!C769="","",PNL!C769)</f>
        <v>2027</v>
      </c>
      <c r="D769" t="str">
        <f>IF(PNL!D769="","",PNL!D769)</f>
        <v>V01</v>
      </c>
      <c r="E769">
        <f t="shared" si="0"/>
        <v>1</v>
      </c>
      <c r="F769">
        <f>IF($A769="","",IF($E769=1,_xlfn.SUMIFS(Comptabilité!$F$1:$F$1446,Comptabilité!$A$1:$A$1446,$A769,Comptabilité!$B$1:$B$1446,$B769,Comptabilité!$C$1:$C$1446,"2026"),0))</f>
        <v>21968</v>
      </c>
      <c r="G769">
        <f>IF($A769="","",IF($D769="V01",Cadrage!$C$23,IF($D769="V02",Cadrage!$D$23,Cadrage!$E$23)))</f>
        <v>0.08</v>
      </c>
      <c r="H769">
        <f>IF($A769="","",IF($D769="V01",Cadrage!$C$24,IF($D769="V02",Cadrage!$D$24,Cadrage!$E$24)))</f>
        <v>0.1</v>
      </c>
      <c r="I769">
        <f>IF($A769="","",IF($D769="V01",Cadrage!$C$34,IF($D769="V02",Cadrage!$D$34,Cadrage!$E$34)))</f>
        <v>0.02</v>
      </c>
      <c r="J769">
        <f>IF($A769="","",IF($D769="V01",Cadrage!$C$35,IF($D769="V02",Cadrage!$D$35,Cadrage!$E$35)))</f>
        <v>0.025</v>
      </c>
      <c r="K769">
        <f>IF($A769="","",IF($D769="V01",Cadrage!$C$36,IF($D769="V02",Cadrage!$D$36,Cadrage!$E$36)))</f>
        <v>0.04</v>
      </c>
      <c r="L769">
        <f>IF($A769="","",IF($D769="V01",Cadrage!$C$37,IF($D769="V02",Cadrage!$D$37,Cadrage!$E$37)))</f>
        <v>0.0185</v>
      </c>
      <c r="M769">
        <f>IF($A769="","",IF($D769="V01",Cadrage!$C$38,IF($D769="V02",Cadrage!$D$38,Cadrage!$E$38)))</f>
        <v>0</v>
      </c>
      <c r="N769">
        <f t="shared" si="1"/>
        <v>1.04903758953208</v>
      </c>
      <c r="O769">
        <f t="shared" si="2"/>
        <v>1.08</v>
      </c>
      <c r="P769">
        <f>IF($A769="","",IF($E769=1,$F769*$O769,PNL!G769))</f>
        <v>23725.44</v>
      </c>
      <c r="T769">
        <f t="shared" si="3"/>
        <v>-23725.44</v>
      </c>
    </row>
    <row r="770" ht="14.25" customHeight="1">
      <c r="A770" t="str">
        <f>IF(PNL!A770="","",PNL!A770)</f>
        <v>PIGIER_LYO</v>
      </c>
      <c r="B770" t="str">
        <f>IF(PNL!B770="","",PNL!B770)</f>
        <v>6231</v>
      </c>
      <c r="C770" t="str">
        <f>IF(PNL!C770="","",PNL!C770)</f>
        <v>2027</v>
      </c>
      <c r="D770" t="str">
        <f>IF(PNL!D770="","",PNL!D770)</f>
        <v>V01</v>
      </c>
      <c r="E770">
        <f t="shared" si="0"/>
        <v>1</v>
      </c>
      <c r="F770">
        <f>IF($A770="","",IF($E770=1,_xlfn.SUMIFS(Comptabilité!$F$1:$F$1446,Comptabilité!$A$1:$A$1446,$A770,Comptabilité!$B$1:$B$1446,$B770,Comptabilité!$C$1:$C$1446,"2026"),0))</f>
        <v>36612</v>
      </c>
      <c r="G770">
        <f>IF($A770="","",IF($D770="V01",Cadrage!$C$23,IF($D770="V02",Cadrage!$D$23,Cadrage!$E$23)))</f>
        <v>0.08</v>
      </c>
      <c r="H770">
        <f>IF($A770="","",IF($D770="V01",Cadrage!$C$24,IF($D770="V02",Cadrage!$D$24,Cadrage!$E$24)))</f>
        <v>0.1</v>
      </c>
      <c r="I770">
        <f>IF($A770="","",IF($D770="V01",Cadrage!$C$34,IF($D770="V02",Cadrage!$D$34,Cadrage!$E$34)))</f>
        <v>0.02</v>
      </c>
      <c r="J770">
        <f>IF($A770="","",IF($D770="V01",Cadrage!$C$35,IF($D770="V02",Cadrage!$D$35,Cadrage!$E$35)))</f>
        <v>0.025</v>
      </c>
      <c r="K770">
        <f>IF($A770="","",IF($D770="V01",Cadrage!$C$36,IF($D770="V02",Cadrage!$D$36,Cadrage!$E$36)))</f>
        <v>0.04</v>
      </c>
      <c r="L770">
        <f>IF($A770="","",IF($D770="V01",Cadrage!$C$37,IF($D770="V02",Cadrage!$D$37,Cadrage!$E$37)))</f>
        <v>0.0185</v>
      </c>
      <c r="M770">
        <f>IF($A770="","",IF($D770="V01",Cadrage!$C$38,IF($D770="V02",Cadrage!$D$38,Cadrage!$E$38)))</f>
        <v>0</v>
      </c>
      <c r="N770">
        <f t="shared" si="1"/>
        <v>1.04903758953208</v>
      </c>
      <c r="O770">
        <f t="shared" si="2"/>
        <v>1.08</v>
      </c>
      <c r="P770">
        <f>IF($A770="","",IF($E770=1,$F770*$O770,PNL!G770))</f>
        <v>39540.96</v>
      </c>
      <c r="T770">
        <f t="shared" si="3"/>
        <v>-39540.96</v>
      </c>
    </row>
    <row r="771" ht="14.25" customHeight="1">
      <c r="A771" t="str">
        <f>IF(PNL!A771="","",PNL!A771)</f>
        <v>TUNON_LYO</v>
      </c>
      <c r="B771" t="str">
        <f>IF(PNL!B771="","",PNL!B771)</f>
        <v>6231</v>
      </c>
      <c r="C771" t="str">
        <f>IF(PNL!C771="","",PNL!C771)</f>
        <v>2027</v>
      </c>
      <c r="D771" t="str">
        <f>IF(PNL!D771="","",PNL!D771)</f>
        <v>V01</v>
      </c>
      <c r="E771">
        <f t="shared" si="0"/>
        <v>1</v>
      </c>
      <c r="F771">
        <f>IF($A771="","",IF($E771=1,_xlfn.SUMIFS(Comptabilité!$F$1:$F$1446,Comptabilité!$A$1:$A$1446,$A771,Comptabilité!$B$1:$B$1446,$B771,Comptabilité!$C$1:$C$1446,"2026"),0))</f>
        <v>18850</v>
      </c>
      <c r="G771">
        <f>IF($A771="","",IF($D771="V01",Cadrage!$C$23,IF($D771="V02",Cadrage!$D$23,Cadrage!$E$23)))</f>
        <v>0.08</v>
      </c>
      <c r="H771">
        <f>IF($A771="","",IF($D771="V01",Cadrage!$C$24,IF($D771="V02",Cadrage!$D$24,Cadrage!$E$24)))</f>
        <v>0.1</v>
      </c>
      <c r="I771">
        <f>IF($A771="","",IF($D771="V01",Cadrage!$C$34,IF($D771="V02",Cadrage!$D$34,Cadrage!$E$34)))</f>
        <v>0.02</v>
      </c>
      <c r="J771">
        <f>IF($A771="","",IF($D771="V01",Cadrage!$C$35,IF($D771="V02",Cadrage!$D$35,Cadrage!$E$35)))</f>
        <v>0.025</v>
      </c>
      <c r="K771">
        <f>IF($A771="","",IF($D771="V01",Cadrage!$C$36,IF($D771="V02",Cadrage!$D$36,Cadrage!$E$36)))</f>
        <v>0.04</v>
      </c>
      <c r="L771">
        <f>IF($A771="","",IF($D771="V01",Cadrage!$C$37,IF($D771="V02",Cadrage!$D$37,Cadrage!$E$37)))</f>
        <v>0.0185</v>
      </c>
      <c r="M771">
        <f>IF($A771="","",IF($D771="V01",Cadrage!$C$38,IF($D771="V02",Cadrage!$D$38,Cadrage!$E$38)))</f>
        <v>0</v>
      </c>
      <c r="N771">
        <f t="shared" si="1"/>
        <v>1.04903758953208</v>
      </c>
      <c r="O771">
        <f t="shared" si="2"/>
        <v>1.08</v>
      </c>
      <c r="P771">
        <f>IF($A771="","",IF($E771=1,$F771*$O771,PNL!G771))</f>
        <v>20358</v>
      </c>
      <c r="T771">
        <f t="shared" si="3"/>
        <v>-20358</v>
      </c>
    </row>
    <row r="772" ht="14.25" customHeight="1">
      <c r="A772" t="str">
        <f>IF(PNL!A772="","",PNL!A772)</f>
        <v>TUNON_PAR</v>
      </c>
      <c r="B772" t="str">
        <f>IF(PNL!B772="","",PNL!B772)</f>
        <v>6231</v>
      </c>
      <c r="C772" t="str">
        <f>IF(PNL!C772="","",PNL!C772)</f>
        <v>2027</v>
      </c>
      <c r="D772" t="str">
        <f>IF(PNL!D772="","",PNL!D772)</f>
        <v>V01</v>
      </c>
      <c r="E772">
        <f t="shared" si="0"/>
        <v>1</v>
      </c>
      <c r="F772">
        <f>IF($A772="","",IF($E772=1,_xlfn.SUMIFS(Comptabilité!$F$1:$F$1446,Comptabilité!$A$1:$A$1446,$A772,Comptabilité!$B$1:$B$1446,$B772,Comptabilité!$C$1:$C$1446,"2026"),0))</f>
        <v>30240</v>
      </c>
      <c r="G772">
        <f>IF($A772="","",IF($D772="V01",Cadrage!$C$23,IF($D772="V02",Cadrage!$D$23,Cadrage!$E$23)))</f>
        <v>0.08</v>
      </c>
      <c r="H772">
        <f>IF($A772="","",IF($D772="V01",Cadrage!$C$24,IF($D772="V02",Cadrage!$D$24,Cadrage!$E$24)))</f>
        <v>0.1</v>
      </c>
      <c r="I772">
        <f>IF($A772="","",IF($D772="V01",Cadrage!$C$34,IF($D772="V02",Cadrage!$D$34,Cadrage!$E$34)))</f>
        <v>0.02</v>
      </c>
      <c r="J772">
        <f>IF($A772="","",IF($D772="V01",Cadrage!$C$35,IF($D772="V02",Cadrage!$D$35,Cadrage!$E$35)))</f>
        <v>0.025</v>
      </c>
      <c r="K772">
        <f>IF($A772="","",IF($D772="V01",Cadrage!$C$36,IF($D772="V02",Cadrage!$D$36,Cadrage!$E$36)))</f>
        <v>0.04</v>
      </c>
      <c r="L772">
        <f>IF($A772="","",IF($D772="V01",Cadrage!$C$37,IF($D772="V02",Cadrage!$D$37,Cadrage!$E$37)))</f>
        <v>0.0185</v>
      </c>
      <c r="M772">
        <f>IF($A772="","",IF($D772="V01",Cadrage!$C$38,IF($D772="V02",Cadrage!$D$38,Cadrage!$E$38)))</f>
        <v>0</v>
      </c>
      <c r="N772">
        <f t="shared" si="1"/>
        <v>1.04903758953208</v>
      </c>
      <c r="O772">
        <f t="shared" si="2"/>
        <v>1.08</v>
      </c>
      <c r="P772">
        <f>IF($A772="","",IF($E772=1,$F772*$O772,PNL!G772))</f>
        <v>32659.2</v>
      </c>
      <c r="T772">
        <f t="shared" si="3"/>
        <v>-32659.2</v>
      </c>
    </row>
    <row r="773" ht="14.25" customHeight="1">
      <c r="A773" t="str">
        <f>IF(PNL!A773="","",PNL!A773)</f>
        <v>GRP</v>
      </c>
      <c r="B773" t="str">
        <f>IF(PNL!B773="","",PNL!B773)</f>
        <v>6236</v>
      </c>
      <c r="C773" t="str">
        <f>IF(PNL!C773="","",PNL!C773)</f>
        <v>2027</v>
      </c>
      <c r="D773" t="str">
        <f>IF(PNL!D773="","",PNL!D773)</f>
        <v>V01</v>
      </c>
      <c r="E773">
        <f t="shared" si="0"/>
        <v>1</v>
      </c>
      <c r="F773">
        <f>IF($A773="","",IF($E773=1,_xlfn.SUMIFS(Comptabilité!$F$1:$F$1446,Comptabilité!$A$1:$A$1446,$A773,Comptabilité!$B$1:$B$1446,$B773,Comptabilité!$C$1:$C$1446,"2026"),0))</f>
        <v>676344</v>
      </c>
      <c r="G773">
        <f>IF($A773="","",IF($D773="V01",Cadrage!$C$23,IF($D773="V02",Cadrage!$D$23,Cadrage!$E$23)))</f>
        <v>0.08</v>
      </c>
      <c r="H773">
        <f>IF($A773="","",IF($D773="V01",Cadrage!$C$24,IF($D773="V02",Cadrage!$D$24,Cadrage!$E$24)))</f>
        <v>0.1</v>
      </c>
      <c r="I773">
        <f>IF($A773="","",IF($D773="V01",Cadrage!$C$34,IF($D773="V02",Cadrage!$D$34,Cadrage!$E$34)))</f>
        <v>0.02</v>
      </c>
      <c r="J773">
        <f>IF($A773="","",IF($D773="V01",Cadrage!$C$35,IF($D773="V02",Cadrage!$D$35,Cadrage!$E$35)))</f>
        <v>0.025</v>
      </c>
      <c r="K773">
        <f>IF($A773="","",IF($D773="V01",Cadrage!$C$36,IF($D773="V02",Cadrage!$D$36,Cadrage!$E$36)))</f>
        <v>0.04</v>
      </c>
      <c r="L773">
        <f>IF($A773="","",IF($D773="V01",Cadrage!$C$37,IF($D773="V02",Cadrage!$D$37,Cadrage!$E$37)))</f>
        <v>0.0185</v>
      </c>
      <c r="M773">
        <f>IF($A773="","",IF($D773="V01",Cadrage!$C$38,IF($D773="V02",Cadrage!$D$38,Cadrage!$E$38)))</f>
        <v>0</v>
      </c>
      <c r="N773">
        <f t="shared" si="1"/>
        <v>1.04903758953208</v>
      </c>
      <c r="O773">
        <f t="shared" si="2"/>
        <v>1.1</v>
      </c>
      <c r="P773">
        <f>IF($A773="","",IF($E773=1,$F773*$O773,PNL!G773))</f>
        <v>743978.4</v>
      </c>
      <c r="T773">
        <f t="shared" si="3"/>
        <v>-743978.4</v>
      </c>
    </row>
    <row r="774" ht="14.25" customHeight="1">
      <c r="A774" t="str">
        <f>IF(PNL!A774="","",PNL!A774)</f>
        <v>IPAC_MTP</v>
      </c>
      <c r="B774" t="str">
        <f>IF(PNL!B774="","",PNL!B774)</f>
        <v>625</v>
      </c>
      <c r="C774" t="str">
        <f>IF(PNL!C774="","",PNL!C774)</f>
        <v>2027</v>
      </c>
      <c r="D774" t="str">
        <f>IF(PNL!D774="","",PNL!D774)</f>
        <v>V01</v>
      </c>
      <c r="E774">
        <f t="shared" si="0"/>
        <v>1</v>
      </c>
      <c r="F774">
        <f>IF($A774="","",IF($E774=1,_xlfn.SUMIFS(Comptabilité!$F$1:$F$1446,Comptabilité!$A$1:$A$1446,$A774,Comptabilité!$B$1:$B$1446,$B774,Comptabilité!$C$1:$C$1446,"2026"),0))</f>
        <v>10026.93</v>
      </c>
      <c r="G774">
        <f>IF($A774="","",IF($D774="V01",Cadrage!$C$23,IF($D774="V02",Cadrage!$D$23,Cadrage!$E$23)))</f>
        <v>0.08</v>
      </c>
      <c r="H774">
        <f>IF($A774="","",IF($D774="V01",Cadrage!$C$24,IF($D774="V02",Cadrage!$D$24,Cadrage!$E$24)))</f>
        <v>0.1</v>
      </c>
      <c r="I774">
        <f>IF($A774="","",IF($D774="V01",Cadrage!$C$34,IF($D774="V02",Cadrage!$D$34,Cadrage!$E$34)))</f>
        <v>0.02</v>
      </c>
      <c r="J774">
        <f>IF($A774="","",IF($D774="V01",Cadrage!$C$35,IF($D774="V02",Cadrage!$D$35,Cadrage!$E$35)))</f>
        <v>0.025</v>
      </c>
      <c r="K774">
        <f>IF($A774="","",IF($D774="V01",Cadrage!$C$36,IF($D774="V02",Cadrage!$D$36,Cadrage!$E$36)))</f>
        <v>0.04</v>
      </c>
      <c r="L774">
        <f>IF($A774="","",IF($D774="V01",Cadrage!$C$37,IF($D774="V02",Cadrage!$D$37,Cadrage!$E$37)))</f>
        <v>0.0185</v>
      </c>
      <c r="M774">
        <f>IF($A774="","",IF($D774="V01",Cadrage!$C$38,IF($D774="V02",Cadrage!$D$38,Cadrage!$E$38)))</f>
        <v>0</v>
      </c>
      <c r="N774">
        <f t="shared" si="1"/>
        <v>1.04903758953208</v>
      </c>
      <c r="O774">
        <f t="shared" si="2"/>
        <v>1.00113</v>
      </c>
      <c r="P774">
        <f>IF($A774="","",IF($E774=1,$F774*$O774,PNL!G774))</f>
        <v>10038.2604309</v>
      </c>
      <c r="T774">
        <f t="shared" si="3"/>
        <v>-10038.2604309</v>
      </c>
    </row>
    <row r="775" ht="14.25" customHeight="1">
      <c r="A775" t="str">
        <f>IF(PNL!A775="","",PNL!A775)</f>
        <v>IPAC_NAN</v>
      </c>
      <c r="B775" t="str">
        <f>IF(PNL!B775="","",PNL!B775)</f>
        <v>625</v>
      </c>
      <c r="C775" t="str">
        <f>IF(PNL!C775="","",PNL!C775)</f>
        <v>2027</v>
      </c>
      <c r="D775" t="str">
        <f>IF(PNL!D775="","",PNL!D775)</f>
        <v>V01</v>
      </c>
      <c r="E775">
        <f t="shared" si="0"/>
        <v>1</v>
      </c>
      <c r="F775">
        <f>IF($A775="","",IF($E775=1,_xlfn.SUMIFS(Comptabilité!$F$1:$F$1446,Comptabilité!$A$1:$A$1446,$A775,Comptabilité!$B$1:$B$1446,$B775,Comptabilité!$C$1:$C$1446,"2026"),0))</f>
        <v>15357.07</v>
      </c>
      <c r="G775">
        <f>IF($A775="","",IF($D775="V01",Cadrage!$C$23,IF($D775="V02",Cadrage!$D$23,Cadrage!$E$23)))</f>
        <v>0.08</v>
      </c>
      <c r="H775">
        <f>IF($A775="","",IF($D775="V01",Cadrage!$C$24,IF($D775="V02",Cadrage!$D$24,Cadrage!$E$24)))</f>
        <v>0.1</v>
      </c>
      <c r="I775">
        <f>IF($A775="","",IF($D775="V01",Cadrage!$C$34,IF($D775="V02",Cadrage!$D$34,Cadrage!$E$34)))</f>
        <v>0.02</v>
      </c>
      <c r="J775">
        <f>IF($A775="","",IF($D775="V01",Cadrage!$C$35,IF($D775="V02",Cadrage!$D$35,Cadrage!$E$35)))</f>
        <v>0.025</v>
      </c>
      <c r="K775">
        <f>IF($A775="","",IF($D775="V01",Cadrage!$C$36,IF($D775="V02",Cadrage!$D$36,Cadrage!$E$36)))</f>
        <v>0.04</v>
      </c>
      <c r="L775">
        <f>IF($A775="","",IF($D775="V01",Cadrage!$C$37,IF($D775="V02",Cadrage!$D$37,Cadrage!$E$37)))</f>
        <v>0.0185</v>
      </c>
      <c r="M775">
        <f>IF($A775="","",IF($D775="V01",Cadrage!$C$38,IF($D775="V02",Cadrage!$D$38,Cadrage!$E$38)))</f>
        <v>0</v>
      </c>
      <c r="N775">
        <f t="shared" si="1"/>
        <v>1.04903758953208</v>
      </c>
      <c r="O775">
        <f t="shared" si="2"/>
        <v>1.00113</v>
      </c>
      <c r="P775">
        <f>IF($A775="","",IF($E775=1,$F775*$O775,PNL!G775))</f>
        <v>15374.4234891</v>
      </c>
      <c r="T775">
        <f t="shared" si="3"/>
        <v>-15374.4234891</v>
      </c>
    </row>
    <row r="776" ht="14.25" customHeight="1">
      <c r="A776" t="str">
        <f>IF(PNL!A776="","",PNL!A776)</f>
        <v>IPAC_REN</v>
      </c>
      <c r="B776" t="str">
        <f>IF(PNL!B776="","",PNL!B776)</f>
        <v>625</v>
      </c>
      <c r="C776" t="str">
        <f>IF(PNL!C776="","",PNL!C776)</f>
        <v>2027</v>
      </c>
      <c r="D776" t="str">
        <f>IF(PNL!D776="","",PNL!D776)</f>
        <v>V01</v>
      </c>
      <c r="E776">
        <f t="shared" si="0"/>
        <v>1</v>
      </c>
      <c r="F776">
        <f>IF($A776="","",IF($E776=1,_xlfn.SUMIFS(Comptabilité!$F$1:$F$1446,Comptabilité!$A$1:$A$1446,$A776,Comptabilité!$B$1:$B$1446,$B776,Comptabilité!$C$1:$C$1446,"2026"),0))</f>
        <v>10032.91</v>
      </c>
      <c r="G776">
        <f>IF($A776="","",IF($D776="V01",Cadrage!$C$23,IF($D776="V02",Cadrage!$D$23,Cadrage!$E$23)))</f>
        <v>0.08</v>
      </c>
      <c r="H776">
        <f>IF($A776="","",IF($D776="V01",Cadrage!$C$24,IF($D776="V02",Cadrage!$D$24,Cadrage!$E$24)))</f>
        <v>0.1</v>
      </c>
      <c r="I776">
        <f>IF($A776="","",IF($D776="V01",Cadrage!$C$34,IF($D776="V02",Cadrage!$D$34,Cadrage!$E$34)))</f>
        <v>0.02</v>
      </c>
      <c r="J776">
        <f>IF($A776="","",IF($D776="V01",Cadrage!$C$35,IF($D776="V02",Cadrage!$D$35,Cadrage!$E$35)))</f>
        <v>0.025</v>
      </c>
      <c r="K776">
        <f>IF($A776="","",IF($D776="V01",Cadrage!$C$36,IF($D776="V02",Cadrage!$D$36,Cadrage!$E$36)))</f>
        <v>0.04</v>
      </c>
      <c r="L776">
        <f>IF($A776="","",IF($D776="V01",Cadrage!$C$37,IF($D776="V02",Cadrage!$D$37,Cadrage!$E$37)))</f>
        <v>0.0185</v>
      </c>
      <c r="M776">
        <f>IF($A776="","",IF($D776="V01",Cadrage!$C$38,IF($D776="V02",Cadrage!$D$38,Cadrage!$E$38)))</f>
        <v>0</v>
      </c>
      <c r="N776">
        <f t="shared" si="1"/>
        <v>1.04903758953208</v>
      </c>
      <c r="O776">
        <f t="shared" si="2"/>
        <v>1.00113</v>
      </c>
      <c r="P776">
        <f>IF($A776="","",IF($E776=1,$F776*$O776,PNL!G776))</f>
        <v>10044.2471883</v>
      </c>
      <c r="T776">
        <f t="shared" si="3"/>
        <v>-10044.2471883</v>
      </c>
    </row>
    <row r="777" ht="14.25" customHeight="1">
      <c r="A777" t="str">
        <f>IF(PNL!A777="","",PNL!A777)</f>
        <v>ISCOM_LIL</v>
      </c>
      <c r="B777" t="str">
        <f>IF(PNL!B777="","",PNL!B777)</f>
        <v>625</v>
      </c>
      <c r="C777" t="str">
        <f>IF(PNL!C777="","",PNL!C777)</f>
        <v>2027</v>
      </c>
      <c r="D777" t="str">
        <f>IF(PNL!D777="","",PNL!D777)</f>
        <v>V01</v>
      </c>
      <c r="E777">
        <f t="shared" si="0"/>
        <v>1</v>
      </c>
      <c r="F777">
        <f>IF($A777="","",IF($E777=1,_xlfn.SUMIFS(Comptabilité!$F$1:$F$1446,Comptabilité!$A$1:$A$1446,$A777,Comptabilité!$B$1:$B$1446,$B777,Comptabilité!$C$1:$C$1446,"2026"),0))</f>
        <v>26244.28</v>
      </c>
      <c r="G777">
        <f>IF($A777="","",IF($D777="V01",Cadrage!$C$23,IF($D777="V02",Cadrage!$D$23,Cadrage!$E$23)))</f>
        <v>0.08</v>
      </c>
      <c r="H777">
        <f>IF($A777="","",IF($D777="V01",Cadrage!$C$24,IF($D777="V02",Cadrage!$D$24,Cadrage!$E$24)))</f>
        <v>0.1</v>
      </c>
      <c r="I777">
        <f>IF($A777="","",IF($D777="V01",Cadrage!$C$34,IF($D777="V02",Cadrage!$D$34,Cadrage!$E$34)))</f>
        <v>0.02</v>
      </c>
      <c r="J777">
        <f>IF($A777="","",IF($D777="V01",Cadrage!$C$35,IF($D777="V02",Cadrage!$D$35,Cadrage!$E$35)))</f>
        <v>0.025</v>
      </c>
      <c r="K777">
        <f>IF($A777="","",IF($D777="V01",Cadrage!$C$36,IF($D777="V02",Cadrage!$D$36,Cadrage!$E$36)))</f>
        <v>0.04</v>
      </c>
      <c r="L777">
        <f>IF($A777="","",IF($D777="V01",Cadrage!$C$37,IF($D777="V02",Cadrage!$D$37,Cadrage!$E$37)))</f>
        <v>0.0185</v>
      </c>
      <c r="M777">
        <f>IF($A777="","",IF($D777="V01",Cadrage!$C$38,IF($D777="V02",Cadrage!$D$38,Cadrage!$E$38)))</f>
        <v>0</v>
      </c>
      <c r="N777">
        <f t="shared" si="1"/>
        <v>1.04903758953208</v>
      </c>
      <c r="O777">
        <f t="shared" si="2"/>
        <v>1.00113</v>
      </c>
      <c r="P777">
        <f>IF($A777="","",IF($E777=1,$F777*$O777,PNL!G777))</f>
        <v>26273.9360364</v>
      </c>
      <c r="T777">
        <f t="shared" si="3"/>
        <v>-26273.9360364</v>
      </c>
    </row>
    <row r="778" ht="14.25" customHeight="1">
      <c r="A778" t="str">
        <f>IF(PNL!A778="","",PNL!A778)</f>
        <v>ISCOM_PAR</v>
      </c>
      <c r="B778" t="str">
        <f>IF(PNL!B778="","",PNL!B778)</f>
        <v>625</v>
      </c>
      <c r="C778" t="str">
        <f>IF(PNL!C778="","",PNL!C778)</f>
        <v>2027</v>
      </c>
      <c r="D778" t="str">
        <f>IF(PNL!D778="","",PNL!D778)</f>
        <v>V01</v>
      </c>
      <c r="E778">
        <f t="shared" si="0"/>
        <v>1</v>
      </c>
      <c r="F778">
        <f>IF($A778="","",IF($E778=1,_xlfn.SUMIFS(Comptabilité!$F$1:$F$1446,Comptabilité!$A$1:$A$1446,$A778,Comptabilité!$B$1:$B$1446,$B778,Comptabilité!$C$1:$C$1446,"2026"),0))</f>
        <v>43518.77</v>
      </c>
      <c r="G778">
        <f>IF($A778="","",IF($D778="V01",Cadrage!$C$23,IF($D778="V02",Cadrage!$D$23,Cadrage!$E$23)))</f>
        <v>0.08</v>
      </c>
      <c r="H778">
        <f>IF($A778="","",IF($D778="V01",Cadrage!$C$24,IF($D778="V02",Cadrage!$D$24,Cadrage!$E$24)))</f>
        <v>0.1</v>
      </c>
      <c r="I778">
        <f>IF($A778="","",IF($D778="V01",Cadrage!$C$34,IF($D778="V02",Cadrage!$D$34,Cadrage!$E$34)))</f>
        <v>0.02</v>
      </c>
      <c r="J778">
        <f>IF($A778="","",IF($D778="V01",Cadrage!$C$35,IF($D778="V02",Cadrage!$D$35,Cadrage!$E$35)))</f>
        <v>0.025</v>
      </c>
      <c r="K778">
        <f>IF($A778="","",IF($D778="V01",Cadrage!$C$36,IF($D778="V02",Cadrage!$D$36,Cadrage!$E$36)))</f>
        <v>0.04</v>
      </c>
      <c r="L778">
        <f>IF($A778="","",IF($D778="V01",Cadrage!$C$37,IF($D778="V02",Cadrage!$D$37,Cadrage!$E$37)))</f>
        <v>0.0185</v>
      </c>
      <c r="M778">
        <f>IF($A778="","",IF($D778="V01",Cadrage!$C$38,IF($D778="V02",Cadrage!$D$38,Cadrage!$E$38)))</f>
        <v>0</v>
      </c>
      <c r="N778">
        <f t="shared" si="1"/>
        <v>1.04903758953208</v>
      </c>
      <c r="O778">
        <f t="shared" si="2"/>
        <v>1.00113</v>
      </c>
      <c r="P778">
        <f>IF($A778="","",IF($E778=1,$F778*$O778,PNL!G778))</f>
        <v>43567.9462101</v>
      </c>
      <c r="T778">
        <f t="shared" si="3"/>
        <v>-43567.9462101</v>
      </c>
    </row>
    <row r="779" ht="14.25" customHeight="1">
      <c r="A779" t="str">
        <f>IF(PNL!A779="","",PNL!A779)</f>
        <v>ISCOM_TLS</v>
      </c>
      <c r="B779" t="str">
        <f>IF(PNL!B779="","",PNL!B779)</f>
        <v>625</v>
      </c>
      <c r="C779" t="str">
        <f>IF(PNL!C779="","",PNL!C779)</f>
        <v>2027</v>
      </c>
      <c r="D779" t="str">
        <f>IF(PNL!D779="","",PNL!D779)</f>
        <v>V01</v>
      </c>
      <c r="E779">
        <f t="shared" si="0"/>
        <v>1</v>
      </c>
      <c r="F779">
        <f>IF($A779="","",IF($E779=1,_xlfn.SUMIFS(Comptabilité!$F$1:$F$1446,Comptabilité!$A$1:$A$1446,$A779,Comptabilité!$B$1:$B$1446,$B779,Comptabilité!$C$1:$C$1446,"2026"),0))</f>
        <v>23363.78</v>
      </c>
      <c r="G779">
        <f>IF($A779="","",IF($D779="V01",Cadrage!$C$23,IF($D779="V02",Cadrage!$D$23,Cadrage!$E$23)))</f>
        <v>0.08</v>
      </c>
      <c r="H779">
        <f>IF($A779="","",IF($D779="V01",Cadrage!$C$24,IF($D779="V02",Cadrage!$D$24,Cadrage!$E$24)))</f>
        <v>0.1</v>
      </c>
      <c r="I779">
        <f>IF($A779="","",IF($D779="V01",Cadrage!$C$34,IF($D779="V02",Cadrage!$D$34,Cadrage!$E$34)))</f>
        <v>0.02</v>
      </c>
      <c r="J779">
        <f>IF($A779="","",IF($D779="V01",Cadrage!$C$35,IF($D779="V02",Cadrage!$D$35,Cadrage!$E$35)))</f>
        <v>0.025</v>
      </c>
      <c r="K779">
        <f>IF($A779="","",IF($D779="V01",Cadrage!$C$36,IF($D779="V02",Cadrage!$D$36,Cadrage!$E$36)))</f>
        <v>0.04</v>
      </c>
      <c r="L779">
        <f>IF($A779="","",IF($D779="V01",Cadrage!$C$37,IF($D779="V02",Cadrage!$D$37,Cadrage!$E$37)))</f>
        <v>0.0185</v>
      </c>
      <c r="M779">
        <f>IF($A779="","",IF($D779="V01",Cadrage!$C$38,IF($D779="V02",Cadrage!$D$38,Cadrage!$E$38)))</f>
        <v>0</v>
      </c>
      <c r="N779">
        <f t="shared" si="1"/>
        <v>1.04903758953208</v>
      </c>
      <c r="O779">
        <f t="shared" si="2"/>
        <v>1.00113</v>
      </c>
      <c r="P779">
        <f>IF($A779="","",IF($E779=1,$F779*$O779,PNL!G779))</f>
        <v>23390.1810714</v>
      </c>
      <c r="T779">
        <f t="shared" si="3"/>
        <v>-23390.1810714</v>
      </c>
    </row>
    <row r="780" ht="14.25" customHeight="1">
      <c r="A780" t="str">
        <f>IF(PNL!A780="","",PNL!A780)</f>
        <v>MBWAY_BOR</v>
      </c>
      <c r="B780" t="str">
        <f>IF(PNL!B780="","",PNL!B780)</f>
        <v>625</v>
      </c>
      <c r="C780" t="str">
        <f>IF(PNL!C780="","",PNL!C780)</f>
        <v>2027</v>
      </c>
      <c r="D780" t="str">
        <f>IF(PNL!D780="","",PNL!D780)</f>
        <v>V01</v>
      </c>
      <c r="E780">
        <f t="shared" si="0"/>
        <v>1</v>
      </c>
      <c r="F780">
        <f>IF($A780="","",IF($E780=1,_xlfn.SUMIFS(Comptabilité!$F$1:$F$1446,Comptabilité!$A$1:$A$1446,$A780,Comptabilité!$B$1:$B$1446,$B780,Comptabilité!$C$1:$C$1446,"2026"),0))</f>
        <v>26374.57</v>
      </c>
      <c r="G780">
        <f>IF($A780="","",IF($D780="V01",Cadrage!$C$23,IF($D780="V02",Cadrage!$D$23,Cadrage!$E$23)))</f>
        <v>0.08</v>
      </c>
      <c r="H780">
        <f>IF($A780="","",IF($D780="V01",Cadrage!$C$24,IF($D780="V02",Cadrage!$D$24,Cadrage!$E$24)))</f>
        <v>0.1</v>
      </c>
      <c r="I780">
        <f>IF($A780="","",IF($D780="V01",Cadrage!$C$34,IF($D780="V02",Cadrage!$D$34,Cadrage!$E$34)))</f>
        <v>0.02</v>
      </c>
      <c r="J780">
        <f>IF($A780="","",IF($D780="V01",Cadrage!$C$35,IF($D780="V02",Cadrage!$D$35,Cadrage!$E$35)))</f>
        <v>0.025</v>
      </c>
      <c r="K780">
        <f>IF($A780="","",IF($D780="V01",Cadrage!$C$36,IF($D780="V02",Cadrage!$D$36,Cadrage!$E$36)))</f>
        <v>0.04</v>
      </c>
      <c r="L780">
        <f>IF($A780="","",IF($D780="V01",Cadrage!$C$37,IF($D780="V02",Cadrage!$D$37,Cadrage!$E$37)))</f>
        <v>0.0185</v>
      </c>
      <c r="M780">
        <f>IF($A780="","",IF($D780="V01",Cadrage!$C$38,IF($D780="V02",Cadrage!$D$38,Cadrage!$E$38)))</f>
        <v>0</v>
      </c>
      <c r="N780">
        <f t="shared" si="1"/>
        <v>1.04903758953208</v>
      </c>
      <c r="O780">
        <f t="shared" si="2"/>
        <v>1.00113</v>
      </c>
      <c r="P780">
        <f>IF($A780="","",IF($E780=1,$F780*$O780,PNL!G780))</f>
        <v>26404.3732641</v>
      </c>
      <c r="T780">
        <f t="shared" si="3"/>
        <v>-26404.3732641</v>
      </c>
    </row>
    <row r="781" ht="14.25" customHeight="1">
      <c r="A781" t="str">
        <f>IF(PNL!A781="","",PNL!A781)</f>
        <v>MBWAY_LYO</v>
      </c>
      <c r="B781" t="str">
        <f>IF(PNL!B781="","",PNL!B781)</f>
        <v>625</v>
      </c>
      <c r="C781" t="str">
        <f>IF(PNL!C781="","",PNL!C781)</f>
        <v>2027</v>
      </c>
      <c r="D781" t="str">
        <f>IF(PNL!D781="","",PNL!D781)</f>
        <v>V01</v>
      </c>
      <c r="E781">
        <f t="shared" si="0"/>
        <v>1</v>
      </c>
      <c r="F781">
        <f>IF($A781="","",IF($E781=1,_xlfn.SUMIFS(Comptabilité!$F$1:$F$1446,Comptabilité!$A$1:$A$1446,$A781,Comptabilité!$B$1:$B$1446,$B781,Comptabilité!$C$1:$C$1446,"2026"),0))</f>
        <v>37684.82</v>
      </c>
      <c r="G781">
        <f>IF($A781="","",IF($D781="V01",Cadrage!$C$23,IF($D781="V02",Cadrage!$D$23,Cadrage!$E$23)))</f>
        <v>0.08</v>
      </c>
      <c r="H781">
        <f>IF($A781="","",IF($D781="V01",Cadrage!$C$24,IF($D781="V02",Cadrage!$D$24,Cadrage!$E$24)))</f>
        <v>0.1</v>
      </c>
      <c r="I781">
        <f>IF($A781="","",IF($D781="V01",Cadrage!$C$34,IF($D781="V02",Cadrage!$D$34,Cadrage!$E$34)))</f>
        <v>0.02</v>
      </c>
      <c r="J781">
        <f>IF($A781="","",IF($D781="V01",Cadrage!$C$35,IF($D781="V02",Cadrage!$D$35,Cadrage!$E$35)))</f>
        <v>0.025</v>
      </c>
      <c r="K781">
        <f>IF($A781="","",IF($D781="V01",Cadrage!$C$36,IF($D781="V02",Cadrage!$D$36,Cadrage!$E$36)))</f>
        <v>0.04</v>
      </c>
      <c r="L781">
        <f>IF($A781="","",IF($D781="V01",Cadrage!$C$37,IF($D781="V02",Cadrage!$D$37,Cadrage!$E$37)))</f>
        <v>0.0185</v>
      </c>
      <c r="M781">
        <f>IF($A781="","",IF($D781="V01",Cadrage!$C$38,IF($D781="V02",Cadrage!$D$38,Cadrage!$E$38)))</f>
        <v>0</v>
      </c>
      <c r="N781">
        <f t="shared" si="1"/>
        <v>1.04903758953208</v>
      </c>
      <c r="O781">
        <f t="shared" si="2"/>
        <v>1.00113</v>
      </c>
      <c r="P781">
        <f>IF($A781="","",IF($E781=1,$F781*$O781,PNL!G781))</f>
        <v>37727.4038466</v>
      </c>
      <c r="T781">
        <f t="shared" si="3"/>
        <v>-37727.4038466</v>
      </c>
    </row>
    <row r="782" ht="14.25" customHeight="1">
      <c r="A782" t="str">
        <f>IF(PNL!A782="","",PNL!A782)</f>
        <v>MBWAY_NAN</v>
      </c>
      <c r="B782" t="str">
        <f>IF(PNL!B782="","",PNL!B782)</f>
        <v>625</v>
      </c>
      <c r="C782" t="str">
        <f>IF(PNL!C782="","",PNL!C782)</f>
        <v>2027</v>
      </c>
      <c r="D782" t="str">
        <f>IF(PNL!D782="","",PNL!D782)</f>
        <v>V01</v>
      </c>
      <c r="E782">
        <f t="shared" si="0"/>
        <v>1</v>
      </c>
      <c r="F782">
        <f>IF($A782="","",IF($E782=1,_xlfn.SUMIFS(Comptabilité!$F$1:$F$1446,Comptabilité!$A$1:$A$1446,$A782,Comptabilité!$B$1:$B$1446,$B782,Comptabilité!$C$1:$C$1446,"2026"),0))</f>
        <v>31867.52</v>
      </c>
      <c r="G782">
        <f>IF($A782="","",IF($D782="V01",Cadrage!$C$23,IF($D782="V02",Cadrage!$D$23,Cadrage!$E$23)))</f>
        <v>0.08</v>
      </c>
      <c r="H782">
        <f>IF($A782="","",IF($D782="V01",Cadrage!$C$24,IF($D782="V02",Cadrage!$D$24,Cadrage!$E$24)))</f>
        <v>0.1</v>
      </c>
      <c r="I782">
        <f>IF($A782="","",IF($D782="V01",Cadrage!$C$34,IF($D782="V02",Cadrage!$D$34,Cadrage!$E$34)))</f>
        <v>0.02</v>
      </c>
      <c r="J782">
        <f>IF($A782="","",IF($D782="V01",Cadrage!$C$35,IF($D782="V02",Cadrage!$D$35,Cadrage!$E$35)))</f>
        <v>0.025</v>
      </c>
      <c r="K782">
        <f>IF($A782="","",IF($D782="V01",Cadrage!$C$36,IF($D782="V02",Cadrage!$D$36,Cadrage!$E$36)))</f>
        <v>0.04</v>
      </c>
      <c r="L782">
        <f>IF($A782="","",IF($D782="V01",Cadrage!$C$37,IF($D782="V02",Cadrage!$D$37,Cadrage!$E$37)))</f>
        <v>0.0185</v>
      </c>
      <c r="M782">
        <f>IF($A782="","",IF($D782="V01",Cadrage!$C$38,IF($D782="V02",Cadrage!$D$38,Cadrage!$E$38)))</f>
        <v>0</v>
      </c>
      <c r="N782">
        <f t="shared" si="1"/>
        <v>1.04903758953208</v>
      </c>
      <c r="O782">
        <f t="shared" si="2"/>
        <v>1.00113</v>
      </c>
      <c r="P782">
        <f>IF($A782="","",IF($E782=1,$F782*$O782,PNL!G782))</f>
        <v>31903.5302976</v>
      </c>
      <c r="T782">
        <f t="shared" si="3"/>
        <v>-31903.5302976</v>
      </c>
    </row>
    <row r="783" ht="14.25" customHeight="1">
      <c r="A783" t="str">
        <f>IF(PNL!A783="","",PNL!A783)</f>
        <v>MBWAY_PAR</v>
      </c>
      <c r="B783" t="str">
        <f>IF(PNL!B783="","",PNL!B783)</f>
        <v>625</v>
      </c>
      <c r="C783" t="str">
        <f>IF(PNL!C783="","",PNL!C783)</f>
        <v>2027</v>
      </c>
      <c r="D783" t="str">
        <f>IF(PNL!D783="","",PNL!D783)</f>
        <v>V01</v>
      </c>
      <c r="E783">
        <f t="shared" si="0"/>
        <v>1</v>
      </c>
      <c r="F783">
        <f>IF($A783="","",IF($E783=1,_xlfn.SUMIFS(Comptabilité!$F$1:$F$1446,Comptabilité!$A$1:$A$1446,$A783,Comptabilité!$B$1:$B$1446,$B783,Comptabilité!$C$1:$C$1446,"2026"),0))</f>
        <v>48309.71</v>
      </c>
      <c r="G783">
        <f>IF($A783="","",IF($D783="V01",Cadrage!$C$23,IF($D783="V02",Cadrage!$D$23,Cadrage!$E$23)))</f>
        <v>0.08</v>
      </c>
      <c r="H783">
        <f>IF($A783="","",IF($D783="V01",Cadrage!$C$24,IF($D783="V02",Cadrage!$D$24,Cadrage!$E$24)))</f>
        <v>0.1</v>
      </c>
      <c r="I783">
        <f>IF($A783="","",IF($D783="V01",Cadrage!$C$34,IF($D783="V02",Cadrage!$D$34,Cadrage!$E$34)))</f>
        <v>0.02</v>
      </c>
      <c r="J783">
        <f>IF($A783="","",IF($D783="V01",Cadrage!$C$35,IF($D783="V02",Cadrage!$D$35,Cadrage!$E$35)))</f>
        <v>0.025</v>
      </c>
      <c r="K783">
        <f>IF($A783="","",IF($D783="V01",Cadrage!$C$36,IF($D783="V02",Cadrage!$D$36,Cadrage!$E$36)))</f>
        <v>0.04</v>
      </c>
      <c r="L783">
        <f>IF($A783="","",IF($D783="V01",Cadrage!$C$37,IF($D783="V02",Cadrage!$D$37,Cadrage!$E$37)))</f>
        <v>0.0185</v>
      </c>
      <c r="M783">
        <f>IF($A783="","",IF($D783="V01",Cadrage!$C$38,IF($D783="V02",Cadrage!$D$38,Cadrage!$E$38)))</f>
        <v>0</v>
      </c>
      <c r="N783">
        <f t="shared" si="1"/>
        <v>1.04903758953208</v>
      </c>
      <c r="O783">
        <f t="shared" si="2"/>
        <v>1.00113</v>
      </c>
      <c r="P783">
        <f>IF($A783="","",IF($E783=1,$F783*$O783,PNL!G783))</f>
        <v>48364.2999723</v>
      </c>
      <c r="T783">
        <f t="shared" si="3"/>
        <v>-48364.2999723</v>
      </c>
    </row>
    <row r="784" ht="14.25" customHeight="1">
      <c r="A784" t="str">
        <f>IF(PNL!A784="","",PNL!A784)</f>
        <v>PIGIER_BOR</v>
      </c>
      <c r="B784" t="str">
        <f>IF(PNL!B784="","",PNL!B784)</f>
        <v>625</v>
      </c>
      <c r="C784" t="str">
        <f>IF(PNL!C784="","",PNL!C784)</f>
        <v>2027</v>
      </c>
      <c r="D784" t="str">
        <f>IF(PNL!D784="","",PNL!D784)</f>
        <v>V01</v>
      </c>
      <c r="E784">
        <f t="shared" si="0"/>
        <v>1</v>
      </c>
      <c r="F784">
        <f>IF($A784="","",IF($E784=1,_xlfn.SUMIFS(Comptabilité!$F$1:$F$1446,Comptabilité!$A$1:$A$1446,$A784,Comptabilité!$B$1:$B$1446,$B784,Comptabilité!$C$1:$C$1446,"2026"),0))</f>
        <v>12256.21</v>
      </c>
      <c r="G784">
        <f>IF($A784="","",IF($D784="V01",Cadrage!$C$23,IF($D784="V02",Cadrage!$D$23,Cadrage!$E$23)))</f>
        <v>0.08</v>
      </c>
      <c r="H784">
        <f>IF($A784="","",IF($D784="V01",Cadrage!$C$24,IF($D784="V02",Cadrage!$D$24,Cadrage!$E$24)))</f>
        <v>0.1</v>
      </c>
      <c r="I784">
        <f>IF($A784="","",IF($D784="V01",Cadrage!$C$34,IF($D784="V02",Cadrage!$D$34,Cadrage!$E$34)))</f>
        <v>0.02</v>
      </c>
      <c r="J784">
        <f>IF($A784="","",IF($D784="V01",Cadrage!$C$35,IF($D784="V02",Cadrage!$D$35,Cadrage!$E$35)))</f>
        <v>0.025</v>
      </c>
      <c r="K784">
        <f>IF($A784="","",IF($D784="V01",Cadrage!$C$36,IF($D784="V02",Cadrage!$D$36,Cadrage!$E$36)))</f>
        <v>0.04</v>
      </c>
      <c r="L784">
        <f>IF($A784="","",IF($D784="V01",Cadrage!$C$37,IF($D784="V02",Cadrage!$D$37,Cadrage!$E$37)))</f>
        <v>0.0185</v>
      </c>
      <c r="M784">
        <f>IF($A784="","",IF($D784="V01",Cadrage!$C$38,IF($D784="V02",Cadrage!$D$38,Cadrage!$E$38)))</f>
        <v>0</v>
      </c>
      <c r="N784">
        <f t="shared" si="1"/>
        <v>1.04903758953208</v>
      </c>
      <c r="O784">
        <f t="shared" si="2"/>
        <v>1.00113</v>
      </c>
      <c r="P784">
        <f>IF($A784="","",IF($E784=1,$F784*$O784,PNL!G784))</f>
        <v>12270.0595173</v>
      </c>
      <c r="T784">
        <f t="shared" si="3"/>
        <v>-12270.0595173</v>
      </c>
    </row>
    <row r="785" ht="14.25" customHeight="1">
      <c r="A785" t="str">
        <f>IF(PNL!A785="","",PNL!A785)</f>
        <v>PIGIER_LYO</v>
      </c>
      <c r="B785" t="str">
        <f>IF(PNL!B785="","",PNL!B785)</f>
        <v>625</v>
      </c>
      <c r="C785" t="str">
        <f>IF(PNL!C785="","",PNL!C785)</f>
        <v>2027</v>
      </c>
      <c r="D785" t="str">
        <f>IF(PNL!D785="","",PNL!D785)</f>
        <v>V01</v>
      </c>
      <c r="E785">
        <f t="shared" si="0"/>
        <v>1</v>
      </c>
      <c r="F785">
        <f>IF($A785="","",IF($E785=1,_xlfn.SUMIFS(Comptabilité!$F$1:$F$1446,Comptabilité!$A$1:$A$1446,$A785,Comptabilité!$B$1:$B$1446,$B785,Comptabilité!$C$1:$C$1446,"2026"),0))</f>
        <v>20742.64</v>
      </c>
      <c r="G785">
        <f>IF($A785="","",IF($D785="V01",Cadrage!$C$23,IF($D785="V02",Cadrage!$D$23,Cadrage!$E$23)))</f>
        <v>0.08</v>
      </c>
      <c r="H785">
        <f>IF($A785="","",IF($D785="V01",Cadrage!$C$24,IF($D785="V02",Cadrage!$D$24,Cadrage!$E$24)))</f>
        <v>0.1</v>
      </c>
      <c r="I785">
        <f>IF($A785="","",IF($D785="V01",Cadrage!$C$34,IF($D785="V02",Cadrage!$D$34,Cadrage!$E$34)))</f>
        <v>0.02</v>
      </c>
      <c r="J785">
        <f>IF($A785="","",IF($D785="V01",Cadrage!$C$35,IF($D785="V02",Cadrage!$D$35,Cadrage!$E$35)))</f>
        <v>0.025</v>
      </c>
      <c r="K785">
        <f>IF($A785="","",IF($D785="V01",Cadrage!$C$36,IF($D785="V02",Cadrage!$D$36,Cadrage!$E$36)))</f>
        <v>0.04</v>
      </c>
      <c r="L785">
        <f>IF($A785="","",IF($D785="V01",Cadrage!$C$37,IF($D785="V02",Cadrage!$D$37,Cadrage!$E$37)))</f>
        <v>0.0185</v>
      </c>
      <c r="M785">
        <f>IF($A785="","",IF($D785="V01",Cadrage!$C$38,IF($D785="V02",Cadrage!$D$38,Cadrage!$E$38)))</f>
        <v>0</v>
      </c>
      <c r="N785">
        <f t="shared" si="1"/>
        <v>1.04903758953208</v>
      </c>
      <c r="O785">
        <f t="shared" si="2"/>
        <v>1.00113</v>
      </c>
      <c r="P785">
        <f>IF($A785="","",IF($E785=1,$F785*$O785,PNL!G785))</f>
        <v>20766.0791832</v>
      </c>
      <c r="T785">
        <f t="shared" si="3"/>
        <v>-20766.0791832</v>
      </c>
    </row>
    <row r="786" ht="14.25" customHeight="1">
      <c r="A786" t="str">
        <f>IF(PNL!A786="","",PNL!A786)</f>
        <v>TUNON_LYO</v>
      </c>
      <c r="B786" t="str">
        <f>IF(PNL!B786="","",PNL!B786)</f>
        <v>625</v>
      </c>
      <c r="C786" t="str">
        <f>IF(PNL!C786="","",PNL!C786)</f>
        <v>2027</v>
      </c>
      <c r="D786" t="str">
        <f>IF(PNL!D786="","",PNL!D786)</f>
        <v>V01</v>
      </c>
      <c r="E786">
        <f t="shared" si="0"/>
        <v>1</v>
      </c>
      <c r="F786">
        <f>IF($A786="","",IF($E786=1,_xlfn.SUMIFS(Comptabilité!$F$1:$F$1446,Comptabilité!$A$1:$A$1446,$A786,Comptabilité!$B$1:$B$1446,$B786,Comptabilité!$C$1:$C$1446,"2026"),0))</f>
        <v>13700.21</v>
      </c>
      <c r="G786">
        <f>IF($A786="","",IF($D786="V01",Cadrage!$C$23,IF($D786="V02",Cadrage!$D$23,Cadrage!$E$23)))</f>
        <v>0.08</v>
      </c>
      <c r="H786">
        <f>IF($A786="","",IF($D786="V01",Cadrage!$C$24,IF($D786="V02",Cadrage!$D$24,Cadrage!$E$24)))</f>
        <v>0.1</v>
      </c>
      <c r="I786">
        <f>IF($A786="","",IF($D786="V01",Cadrage!$C$34,IF($D786="V02",Cadrage!$D$34,Cadrage!$E$34)))</f>
        <v>0.02</v>
      </c>
      <c r="J786">
        <f>IF($A786="","",IF($D786="V01",Cadrage!$C$35,IF($D786="V02",Cadrage!$D$35,Cadrage!$E$35)))</f>
        <v>0.025</v>
      </c>
      <c r="K786">
        <f>IF($A786="","",IF($D786="V01",Cadrage!$C$36,IF($D786="V02",Cadrage!$D$36,Cadrage!$E$36)))</f>
        <v>0.04</v>
      </c>
      <c r="L786">
        <f>IF($A786="","",IF($D786="V01",Cadrage!$C$37,IF($D786="V02",Cadrage!$D$37,Cadrage!$E$37)))</f>
        <v>0.0185</v>
      </c>
      <c r="M786">
        <f>IF($A786="","",IF($D786="V01",Cadrage!$C$38,IF($D786="V02",Cadrage!$D$38,Cadrage!$E$38)))</f>
        <v>0</v>
      </c>
      <c r="N786">
        <f t="shared" si="1"/>
        <v>1.04903758953208</v>
      </c>
      <c r="O786">
        <f t="shared" si="2"/>
        <v>1.00113</v>
      </c>
      <c r="P786">
        <f>IF($A786="","",IF($E786=1,$F786*$O786,PNL!G786))</f>
        <v>13715.6912373</v>
      </c>
      <c r="T786">
        <f t="shared" si="3"/>
        <v>-13715.6912373</v>
      </c>
    </row>
    <row r="787" ht="14.25" customHeight="1">
      <c r="A787" t="str">
        <f>IF(PNL!A787="","",PNL!A787)</f>
        <v>TUNON_PAR</v>
      </c>
      <c r="B787" t="str">
        <f>IF(PNL!B787="","",PNL!B787)</f>
        <v>625</v>
      </c>
      <c r="C787" t="str">
        <f>IF(PNL!C787="","",PNL!C787)</f>
        <v>2027</v>
      </c>
      <c r="D787" t="str">
        <f>IF(PNL!D787="","",PNL!D787)</f>
        <v>V01</v>
      </c>
      <c r="E787">
        <f t="shared" si="0"/>
        <v>1</v>
      </c>
      <c r="F787">
        <f>IF($A787="","",IF($E787=1,_xlfn.SUMIFS(Comptabilité!$F$1:$F$1446,Comptabilité!$A$1:$A$1446,$A787,Comptabilité!$B$1:$B$1446,$B787,Comptabilité!$C$1:$C$1446,"2026"),0))</f>
        <v>19410.96</v>
      </c>
      <c r="G787">
        <f>IF($A787="","",IF($D787="V01",Cadrage!$C$23,IF($D787="V02",Cadrage!$D$23,Cadrage!$E$23)))</f>
        <v>0.08</v>
      </c>
      <c r="H787">
        <f>IF($A787="","",IF($D787="V01",Cadrage!$C$24,IF($D787="V02",Cadrage!$D$24,Cadrage!$E$24)))</f>
        <v>0.1</v>
      </c>
      <c r="I787">
        <f>IF($A787="","",IF($D787="V01",Cadrage!$C$34,IF($D787="V02",Cadrage!$D$34,Cadrage!$E$34)))</f>
        <v>0.02</v>
      </c>
      <c r="J787">
        <f>IF($A787="","",IF($D787="V01",Cadrage!$C$35,IF($D787="V02",Cadrage!$D$35,Cadrage!$E$35)))</f>
        <v>0.025</v>
      </c>
      <c r="K787">
        <f>IF($A787="","",IF($D787="V01",Cadrage!$C$36,IF($D787="V02",Cadrage!$D$36,Cadrage!$E$36)))</f>
        <v>0.04</v>
      </c>
      <c r="L787">
        <f>IF($A787="","",IF($D787="V01",Cadrage!$C$37,IF($D787="V02",Cadrage!$D$37,Cadrage!$E$37)))</f>
        <v>0.0185</v>
      </c>
      <c r="M787">
        <f>IF($A787="","",IF($D787="V01",Cadrage!$C$38,IF($D787="V02",Cadrage!$D$38,Cadrage!$E$38)))</f>
        <v>0</v>
      </c>
      <c r="N787">
        <f t="shared" si="1"/>
        <v>1.04903758953208</v>
      </c>
      <c r="O787">
        <f t="shared" si="2"/>
        <v>1.00113</v>
      </c>
      <c r="P787">
        <f>IF($A787="","",IF($E787=1,$F787*$O787,PNL!G787))</f>
        <v>19432.8943848</v>
      </c>
      <c r="T787">
        <f t="shared" si="3"/>
        <v>-19432.8943848</v>
      </c>
    </row>
    <row r="788" ht="14.25" customHeight="1">
      <c r="A788" t="str">
        <f>IF(PNL!A788="","",PNL!A788)</f>
        <v>GRP</v>
      </c>
      <c r="B788" t="str">
        <f>IF(PNL!B788="","",PNL!B788)</f>
        <v>626</v>
      </c>
      <c r="C788" t="str">
        <f>IF(PNL!C788="","",PNL!C788)</f>
        <v>2027</v>
      </c>
      <c r="D788" t="str">
        <f>IF(PNL!D788="","",PNL!D788)</f>
        <v>V01</v>
      </c>
      <c r="E788">
        <f t="shared" si="0"/>
        <v>1</v>
      </c>
      <c r="F788">
        <f>IF($A788="","",IF($E788=1,_xlfn.SUMIFS(Comptabilité!$F$1:$F$1446,Comptabilité!$A$1:$A$1446,$A788,Comptabilité!$B$1:$B$1446,$B788,Comptabilité!$C$1:$C$1446,"2026"),0))</f>
        <v>451872</v>
      </c>
      <c r="G788">
        <f>IF($A788="","",IF($D788="V01",Cadrage!$C$23,IF($D788="V02",Cadrage!$D$23,Cadrage!$E$23)))</f>
        <v>0.08</v>
      </c>
      <c r="H788">
        <f>IF($A788="","",IF($D788="V01",Cadrage!$C$24,IF($D788="V02",Cadrage!$D$24,Cadrage!$E$24)))</f>
        <v>0.1</v>
      </c>
      <c r="I788">
        <f>IF($A788="","",IF($D788="V01",Cadrage!$C$34,IF($D788="V02",Cadrage!$D$34,Cadrage!$E$34)))</f>
        <v>0.02</v>
      </c>
      <c r="J788">
        <f>IF($A788="","",IF($D788="V01",Cadrage!$C$35,IF($D788="V02",Cadrage!$D$35,Cadrage!$E$35)))</f>
        <v>0.025</v>
      </c>
      <c r="K788">
        <f>IF($A788="","",IF($D788="V01",Cadrage!$C$36,IF($D788="V02",Cadrage!$D$36,Cadrage!$E$36)))</f>
        <v>0.04</v>
      </c>
      <c r="L788">
        <f>IF($A788="","",IF($D788="V01",Cadrage!$C$37,IF($D788="V02",Cadrage!$D$37,Cadrage!$E$37)))</f>
        <v>0.0185</v>
      </c>
      <c r="M788">
        <f>IF($A788="","",IF($D788="V01",Cadrage!$C$38,IF($D788="V02",Cadrage!$D$38,Cadrage!$E$38)))</f>
        <v>0</v>
      </c>
      <c r="N788">
        <f t="shared" si="1"/>
        <v>1.04903758953208</v>
      </c>
      <c r="O788">
        <f t="shared" si="2"/>
        <v>1.00113</v>
      </c>
      <c r="P788">
        <f>IF($A788="","",IF($E788=1,$F788*$O788,PNL!G788))</f>
        <v>452382.61536</v>
      </c>
      <c r="T788">
        <f t="shared" si="3"/>
        <v>-452382.61536</v>
      </c>
    </row>
    <row r="789" ht="14.25" customHeight="1">
      <c r="A789" t="str">
        <f>IF(PNL!A789="","",PNL!A789)</f>
        <v>GRP</v>
      </c>
      <c r="B789" t="str">
        <f>IF(PNL!B789="","",PNL!B789)</f>
        <v>6281</v>
      </c>
      <c r="C789" t="str">
        <f>IF(PNL!C789="","",PNL!C789)</f>
        <v>2027</v>
      </c>
      <c r="D789" t="str">
        <f>IF(PNL!D789="","",PNL!D789)</f>
        <v>V01</v>
      </c>
      <c r="E789">
        <f t="shared" si="0"/>
        <v>1</v>
      </c>
      <c r="F789">
        <f>IF($A789="","",IF($E789=1,_xlfn.SUMIFS(Comptabilité!$F$1:$F$1446,Comptabilité!$A$1:$A$1446,$A789,Comptabilité!$B$1:$B$1446,$B789,Comptabilité!$C$1:$C$1446,"2026"),0))</f>
        <v>180749</v>
      </c>
      <c r="G789">
        <f>IF($A789="","",IF($D789="V01",Cadrage!$C$23,IF($D789="V02",Cadrage!$D$23,Cadrage!$E$23)))</f>
        <v>0.08</v>
      </c>
      <c r="H789">
        <f>IF($A789="","",IF($D789="V01",Cadrage!$C$24,IF($D789="V02",Cadrage!$D$24,Cadrage!$E$24)))</f>
        <v>0.1</v>
      </c>
      <c r="I789">
        <f>IF($A789="","",IF($D789="V01",Cadrage!$C$34,IF($D789="V02",Cadrage!$D$34,Cadrage!$E$34)))</f>
        <v>0.02</v>
      </c>
      <c r="J789">
        <f>IF($A789="","",IF($D789="V01",Cadrage!$C$35,IF($D789="V02",Cadrage!$D$35,Cadrage!$E$35)))</f>
        <v>0.025</v>
      </c>
      <c r="K789">
        <f>IF($A789="","",IF($D789="V01",Cadrage!$C$36,IF($D789="V02",Cadrage!$D$36,Cadrage!$E$36)))</f>
        <v>0.04</v>
      </c>
      <c r="L789">
        <f>IF($A789="","",IF($D789="V01",Cadrage!$C$37,IF($D789="V02",Cadrage!$D$37,Cadrage!$E$37)))</f>
        <v>0.0185</v>
      </c>
      <c r="M789">
        <f>IF($A789="","",IF($D789="V01",Cadrage!$C$38,IF($D789="V02",Cadrage!$D$38,Cadrage!$E$38)))</f>
        <v>0</v>
      </c>
      <c r="N789">
        <f t="shared" si="1"/>
        <v>1.04903758953208</v>
      </c>
      <c r="O789">
        <f t="shared" si="2"/>
        <v>1.00113</v>
      </c>
      <c r="P789">
        <f>IF($A789="","",IF($E789=1,$F789*$O789,PNL!G789))</f>
        <v>180953.24637</v>
      </c>
      <c r="T789">
        <f t="shared" si="3"/>
        <v>-180953.24637</v>
      </c>
    </row>
    <row r="790" ht="14.25" customHeight="1">
      <c r="A790" t="str">
        <f>IF(PNL!A790="","",PNL!A790)</f>
        <v>GRP</v>
      </c>
      <c r="B790" t="str">
        <f>IF(PNL!B790="","",PNL!B790)</f>
        <v>6331</v>
      </c>
      <c r="C790" t="str">
        <f>IF(PNL!C790="","",PNL!C790)</f>
        <v>2027</v>
      </c>
      <c r="D790" t="str">
        <f>IF(PNL!D790="","",PNL!D790)</f>
        <v>V01</v>
      </c>
      <c r="E790">
        <f t="shared" si="0"/>
        <v>1</v>
      </c>
      <c r="F790">
        <f>IF($A790="","",IF($E790=1,_xlfn.SUMIFS(Comptabilité!$F$1:$F$1446,Comptabilité!$A$1:$A$1446,$A790,Comptabilité!$B$1:$B$1446,$B790,Comptabilité!$C$1:$C$1446,"2026"),0))</f>
        <v>338904</v>
      </c>
      <c r="G790">
        <f>IF($A790="","",IF($D790="V01",Cadrage!$C$23,IF($D790="V02",Cadrage!$D$23,Cadrage!$E$23)))</f>
        <v>0.08</v>
      </c>
      <c r="H790">
        <f>IF($A790="","",IF($D790="V01",Cadrage!$C$24,IF($D790="V02",Cadrage!$D$24,Cadrage!$E$24)))</f>
        <v>0.1</v>
      </c>
      <c r="I790">
        <f>IF($A790="","",IF($D790="V01",Cadrage!$C$34,IF($D790="V02",Cadrage!$D$34,Cadrage!$E$34)))</f>
        <v>0.02</v>
      </c>
      <c r="J790">
        <f>IF($A790="","",IF($D790="V01",Cadrage!$C$35,IF($D790="V02",Cadrage!$D$35,Cadrage!$E$35)))</f>
        <v>0.025</v>
      </c>
      <c r="K790">
        <f>IF($A790="","",IF($D790="V01",Cadrage!$C$36,IF($D790="V02",Cadrage!$D$36,Cadrage!$E$36)))</f>
        <v>0.04</v>
      </c>
      <c r="L790">
        <f>IF($A790="","",IF($D790="V01",Cadrage!$C$37,IF($D790="V02",Cadrage!$D$37,Cadrage!$E$37)))</f>
        <v>0.0185</v>
      </c>
      <c r="M790">
        <f>IF($A790="","",IF($D790="V01",Cadrage!$C$38,IF($D790="V02",Cadrage!$D$38,Cadrage!$E$38)))</f>
        <v>0</v>
      </c>
      <c r="N790">
        <f t="shared" si="1"/>
        <v>1.04903758953208</v>
      </c>
      <c r="O790">
        <f t="shared" si="2"/>
        <v>1.00113</v>
      </c>
      <c r="P790">
        <f>IF($A790="","",IF($E790=1,$F790*$O790,PNL!G790))</f>
        <v>339286.96152</v>
      </c>
      <c r="T790">
        <f t="shared" si="3"/>
        <v>-339286.96152</v>
      </c>
    </row>
    <row r="791" ht="14.25" customHeight="1">
      <c r="A791" t="str">
        <f>IF(PNL!A791="","",PNL!A791)</f>
        <v>GRP</v>
      </c>
      <c r="B791" t="str">
        <f>IF(PNL!B791="","",PNL!B791)</f>
        <v>6333</v>
      </c>
      <c r="C791" t="str">
        <f>IF(PNL!C791="","",PNL!C791)</f>
        <v>2027</v>
      </c>
      <c r="D791" t="str">
        <f>IF(PNL!D791="","",PNL!D791)</f>
        <v>V01</v>
      </c>
      <c r="E791">
        <f t="shared" si="0"/>
        <v>1</v>
      </c>
      <c r="F791">
        <f>IF($A791="","",IF($E791=1,_xlfn.SUMIFS(Comptabilité!$F$1:$F$1446,Comptabilité!$A$1:$A$1446,$A791,Comptabilité!$B$1:$B$1446,$B791,Comptabilité!$C$1:$C$1446,"2026"),0))</f>
        <v>112968</v>
      </c>
      <c r="G791">
        <f>IF($A791="","",IF($D791="V01",Cadrage!$C$23,IF($D791="V02",Cadrage!$D$23,Cadrage!$E$23)))</f>
        <v>0.08</v>
      </c>
      <c r="H791">
        <f>IF($A791="","",IF($D791="V01",Cadrage!$C$24,IF($D791="V02",Cadrage!$D$24,Cadrage!$E$24)))</f>
        <v>0.1</v>
      </c>
      <c r="I791">
        <f>IF($A791="","",IF($D791="V01",Cadrage!$C$34,IF($D791="V02",Cadrage!$D$34,Cadrage!$E$34)))</f>
        <v>0.02</v>
      </c>
      <c r="J791">
        <f>IF($A791="","",IF($D791="V01",Cadrage!$C$35,IF($D791="V02",Cadrage!$D$35,Cadrage!$E$35)))</f>
        <v>0.025</v>
      </c>
      <c r="K791">
        <f>IF($A791="","",IF($D791="V01",Cadrage!$C$36,IF($D791="V02",Cadrage!$D$36,Cadrage!$E$36)))</f>
        <v>0.04</v>
      </c>
      <c r="L791">
        <f>IF($A791="","",IF($D791="V01",Cadrage!$C$37,IF($D791="V02",Cadrage!$D$37,Cadrage!$E$37)))</f>
        <v>0.0185</v>
      </c>
      <c r="M791">
        <f>IF($A791="","",IF($D791="V01",Cadrage!$C$38,IF($D791="V02",Cadrage!$D$38,Cadrage!$E$38)))</f>
        <v>0</v>
      </c>
      <c r="N791">
        <f t="shared" si="1"/>
        <v>1.04903758953208</v>
      </c>
      <c r="O791">
        <f t="shared" si="2"/>
        <v>1.00113</v>
      </c>
      <c r="P791">
        <f>IF($A791="","",IF($E791=1,$F791*$O791,PNL!G791))</f>
        <v>113095.65384</v>
      </c>
      <c r="T791">
        <f t="shared" si="3"/>
        <v>-113095.65384</v>
      </c>
    </row>
    <row r="792" ht="14.25" customHeight="1">
      <c r="A792" t="str">
        <f>IF(PNL!A792="","",PNL!A792)</f>
        <v>IPAC_MTP</v>
      </c>
      <c r="B792" t="str">
        <f>IF(PNL!B792="","",PNL!B792)</f>
        <v>63511</v>
      </c>
      <c r="C792" t="str">
        <f>IF(PNL!C792="","",PNL!C792)</f>
        <v>2027</v>
      </c>
      <c r="D792" t="str">
        <f>IF(PNL!D792="","",PNL!D792)</f>
        <v>V01</v>
      </c>
      <c r="E792">
        <f t="shared" si="0"/>
        <v>1</v>
      </c>
      <c r="F792">
        <f>IF($A792="","",IF($E792=1,_xlfn.SUMIFS(Comptabilité!$F$1:$F$1446,Comptabilité!$A$1:$A$1446,$A792,Comptabilité!$B$1:$B$1446,$B792,Comptabilité!$C$1:$C$1446,"2026"),0))</f>
        <v>8004.78</v>
      </c>
      <c r="G792">
        <f>IF($A792="","",IF($D792="V01",Cadrage!$C$23,IF($D792="V02",Cadrage!$D$23,Cadrage!$E$23)))</f>
        <v>0.08</v>
      </c>
      <c r="H792">
        <f>IF($A792="","",IF($D792="V01",Cadrage!$C$24,IF($D792="V02",Cadrage!$D$24,Cadrage!$E$24)))</f>
        <v>0.1</v>
      </c>
      <c r="I792">
        <f>IF($A792="","",IF($D792="V01",Cadrage!$C$34,IF($D792="V02",Cadrage!$D$34,Cadrage!$E$34)))</f>
        <v>0.02</v>
      </c>
      <c r="J792">
        <f>IF($A792="","",IF($D792="V01",Cadrage!$C$35,IF($D792="V02",Cadrage!$D$35,Cadrage!$E$35)))</f>
        <v>0.025</v>
      </c>
      <c r="K792">
        <f>IF($A792="","",IF($D792="V01",Cadrage!$C$36,IF($D792="V02",Cadrage!$D$36,Cadrage!$E$36)))</f>
        <v>0.04</v>
      </c>
      <c r="L792">
        <f>IF($A792="","",IF($D792="V01",Cadrage!$C$37,IF($D792="V02",Cadrage!$D$37,Cadrage!$E$37)))</f>
        <v>0.0185</v>
      </c>
      <c r="M792">
        <f>IF($A792="","",IF($D792="V01",Cadrage!$C$38,IF($D792="V02",Cadrage!$D$38,Cadrage!$E$38)))</f>
        <v>0</v>
      </c>
      <c r="N792">
        <f t="shared" si="1"/>
        <v>1.04903758953208</v>
      </c>
      <c r="O792">
        <f t="shared" si="2"/>
        <v>1.00113</v>
      </c>
      <c r="P792">
        <f>IF($A792="","",IF($E792=1,$F792*$O792,PNL!G792))</f>
        <v>8013.8254014</v>
      </c>
      <c r="T792">
        <f t="shared" si="3"/>
        <v>-8013.8254014</v>
      </c>
    </row>
    <row r="793" ht="14.25" customHeight="1">
      <c r="A793" t="str">
        <f>IF(PNL!A793="","",PNL!A793)</f>
        <v>IPAC_NAN</v>
      </c>
      <c r="B793" t="str">
        <f>IF(PNL!B793="","",PNL!B793)</f>
        <v>63511</v>
      </c>
      <c r="C793" t="str">
        <f>IF(PNL!C793="","",PNL!C793)</f>
        <v>2027</v>
      </c>
      <c r="D793" t="str">
        <f>IF(PNL!D793="","",PNL!D793)</f>
        <v>V01</v>
      </c>
      <c r="E793">
        <f t="shared" si="0"/>
        <v>1</v>
      </c>
      <c r="F793">
        <f>IF($A793="","",IF($E793=1,_xlfn.SUMIFS(Comptabilité!$F$1:$F$1446,Comptabilité!$A$1:$A$1446,$A793,Comptabilité!$B$1:$B$1446,$B793,Comptabilité!$C$1:$C$1446,"2026"),0))</f>
        <v>9892.9</v>
      </c>
      <c r="G793">
        <f>IF($A793="","",IF($D793="V01",Cadrage!$C$23,IF($D793="V02",Cadrage!$D$23,Cadrage!$E$23)))</f>
        <v>0.08</v>
      </c>
      <c r="H793">
        <f>IF($A793="","",IF($D793="V01",Cadrage!$C$24,IF($D793="V02",Cadrage!$D$24,Cadrage!$E$24)))</f>
        <v>0.1</v>
      </c>
      <c r="I793">
        <f>IF($A793="","",IF($D793="V01",Cadrage!$C$34,IF($D793="V02",Cadrage!$D$34,Cadrage!$E$34)))</f>
        <v>0.02</v>
      </c>
      <c r="J793">
        <f>IF($A793="","",IF($D793="V01",Cadrage!$C$35,IF($D793="V02",Cadrage!$D$35,Cadrage!$E$35)))</f>
        <v>0.025</v>
      </c>
      <c r="K793">
        <f>IF($A793="","",IF($D793="V01",Cadrage!$C$36,IF($D793="V02",Cadrage!$D$36,Cadrage!$E$36)))</f>
        <v>0.04</v>
      </c>
      <c r="L793">
        <f>IF($A793="","",IF($D793="V01",Cadrage!$C$37,IF($D793="V02",Cadrage!$D$37,Cadrage!$E$37)))</f>
        <v>0.0185</v>
      </c>
      <c r="M793">
        <f>IF($A793="","",IF($D793="V01",Cadrage!$C$38,IF($D793="V02",Cadrage!$D$38,Cadrage!$E$38)))</f>
        <v>0</v>
      </c>
      <c r="N793">
        <f t="shared" si="1"/>
        <v>1.04903758953208</v>
      </c>
      <c r="O793">
        <f t="shared" si="2"/>
        <v>1.00113</v>
      </c>
      <c r="P793">
        <f>IF($A793="","",IF($E793=1,$F793*$O793,PNL!G793))</f>
        <v>9904.078977</v>
      </c>
      <c r="T793">
        <f t="shared" si="3"/>
        <v>-9904.078977</v>
      </c>
    </row>
    <row r="794" ht="14.25" customHeight="1">
      <c r="A794" t="str">
        <f>IF(PNL!A794="","",PNL!A794)</f>
        <v>IPAC_REN</v>
      </c>
      <c r="B794" t="str">
        <f>IF(PNL!B794="","",PNL!B794)</f>
        <v>63511</v>
      </c>
      <c r="C794" t="str">
        <f>IF(PNL!C794="","",PNL!C794)</f>
        <v>2027</v>
      </c>
      <c r="D794" t="str">
        <f>IF(PNL!D794="","",PNL!D794)</f>
        <v>V01</v>
      </c>
      <c r="E794">
        <f t="shared" si="0"/>
        <v>1</v>
      </c>
      <c r="F794">
        <f>IF($A794="","",IF($E794=1,_xlfn.SUMIFS(Comptabilité!$F$1:$F$1446,Comptabilité!$A$1:$A$1446,$A794,Comptabilité!$B$1:$B$1446,$B794,Comptabilité!$C$1:$C$1446,"2026"),0))</f>
        <v>8009.55</v>
      </c>
      <c r="G794">
        <f>IF($A794="","",IF($D794="V01",Cadrage!$C$23,IF($D794="V02",Cadrage!$D$23,Cadrage!$E$23)))</f>
        <v>0.08</v>
      </c>
      <c r="H794">
        <f>IF($A794="","",IF($D794="V01",Cadrage!$C$24,IF($D794="V02",Cadrage!$D$24,Cadrage!$E$24)))</f>
        <v>0.1</v>
      </c>
      <c r="I794">
        <f>IF($A794="","",IF($D794="V01",Cadrage!$C$34,IF($D794="V02",Cadrage!$D$34,Cadrage!$E$34)))</f>
        <v>0.02</v>
      </c>
      <c r="J794">
        <f>IF($A794="","",IF($D794="V01",Cadrage!$C$35,IF($D794="V02",Cadrage!$D$35,Cadrage!$E$35)))</f>
        <v>0.025</v>
      </c>
      <c r="K794">
        <f>IF($A794="","",IF($D794="V01",Cadrage!$C$36,IF($D794="V02",Cadrage!$D$36,Cadrage!$E$36)))</f>
        <v>0.04</v>
      </c>
      <c r="L794">
        <f>IF($A794="","",IF($D794="V01",Cadrage!$C$37,IF($D794="V02",Cadrage!$D$37,Cadrage!$E$37)))</f>
        <v>0.0185</v>
      </c>
      <c r="M794">
        <f>IF($A794="","",IF($D794="V01",Cadrage!$C$38,IF($D794="V02",Cadrage!$D$38,Cadrage!$E$38)))</f>
        <v>0</v>
      </c>
      <c r="N794">
        <f t="shared" si="1"/>
        <v>1.04903758953208</v>
      </c>
      <c r="O794">
        <f t="shared" si="2"/>
        <v>1.00113</v>
      </c>
      <c r="P794">
        <f>IF($A794="","",IF($E794=1,$F794*$O794,PNL!G794))</f>
        <v>8018.6007915</v>
      </c>
      <c r="T794">
        <f t="shared" si="3"/>
        <v>-8018.6007915</v>
      </c>
    </row>
    <row r="795" ht="14.25" customHeight="1">
      <c r="A795" t="str">
        <f>IF(PNL!A795="","",PNL!A795)</f>
        <v>ISCOM_LIL</v>
      </c>
      <c r="B795" t="str">
        <f>IF(PNL!B795="","",PNL!B795)</f>
        <v>63511</v>
      </c>
      <c r="C795" t="str">
        <f>IF(PNL!C795="","",PNL!C795)</f>
        <v>2027</v>
      </c>
      <c r="D795" t="str">
        <f>IF(PNL!D795="","",PNL!D795)</f>
        <v>V01</v>
      </c>
      <c r="E795">
        <f t="shared" si="0"/>
        <v>1</v>
      </c>
      <c r="F795">
        <f>IF($A795="","",IF($E795=1,_xlfn.SUMIFS(Comptabilité!$F$1:$F$1446,Comptabilité!$A$1:$A$1446,$A795,Comptabilité!$B$1:$B$1446,$B795,Comptabilité!$C$1:$C$1446,"2026"),0))</f>
        <v>16744.95</v>
      </c>
      <c r="G795">
        <f>IF($A795="","",IF($D795="V01",Cadrage!$C$23,IF($D795="V02",Cadrage!$D$23,Cadrage!$E$23)))</f>
        <v>0.08</v>
      </c>
      <c r="H795">
        <f>IF($A795="","",IF($D795="V01",Cadrage!$C$24,IF($D795="V02",Cadrage!$D$24,Cadrage!$E$24)))</f>
        <v>0.1</v>
      </c>
      <c r="I795">
        <f>IF($A795="","",IF($D795="V01",Cadrage!$C$34,IF($D795="V02",Cadrage!$D$34,Cadrage!$E$34)))</f>
        <v>0.02</v>
      </c>
      <c r="J795">
        <f>IF($A795="","",IF($D795="V01",Cadrage!$C$35,IF($D795="V02",Cadrage!$D$35,Cadrage!$E$35)))</f>
        <v>0.025</v>
      </c>
      <c r="K795">
        <f>IF($A795="","",IF($D795="V01",Cadrage!$C$36,IF($D795="V02",Cadrage!$D$36,Cadrage!$E$36)))</f>
        <v>0.04</v>
      </c>
      <c r="L795">
        <f>IF($A795="","",IF($D795="V01",Cadrage!$C$37,IF($D795="V02",Cadrage!$D$37,Cadrage!$E$37)))</f>
        <v>0.0185</v>
      </c>
      <c r="M795">
        <f>IF($A795="","",IF($D795="V01",Cadrage!$C$38,IF($D795="V02",Cadrage!$D$38,Cadrage!$E$38)))</f>
        <v>0</v>
      </c>
      <c r="N795">
        <f t="shared" si="1"/>
        <v>1.04903758953208</v>
      </c>
      <c r="O795">
        <f t="shared" si="2"/>
        <v>1.00113</v>
      </c>
      <c r="P795">
        <f>IF($A795="","",IF($E795=1,$F795*$O795,PNL!G795))</f>
        <v>16763.8717935</v>
      </c>
      <c r="T795">
        <f t="shared" si="3"/>
        <v>-16763.8717935</v>
      </c>
    </row>
    <row r="796" ht="14.25" customHeight="1">
      <c r="A796" t="str">
        <f>IF(PNL!A796="","",PNL!A796)</f>
        <v>ISCOM_PAR</v>
      </c>
      <c r="B796" t="str">
        <f>IF(PNL!B796="","",PNL!B796)</f>
        <v>63511</v>
      </c>
      <c r="C796" t="str">
        <f>IF(PNL!C796="","",PNL!C796)</f>
        <v>2027</v>
      </c>
      <c r="D796" t="str">
        <f>IF(PNL!D796="","",PNL!D796)</f>
        <v>V01</v>
      </c>
      <c r="E796">
        <f t="shared" si="0"/>
        <v>1</v>
      </c>
      <c r="F796">
        <f>IF($A796="","",IF($E796=1,_xlfn.SUMIFS(Comptabilité!$F$1:$F$1446,Comptabilité!$A$1:$A$1446,$A796,Comptabilité!$B$1:$B$1446,$B796,Comptabilité!$C$1:$C$1446,"2026"),0))</f>
        <v>28708.76</v>
      </c>
      <c r="G796">
        <f>IF($A796="","",IF($D796="V01",Cadrage!$C$23,IF($D796="V02",Cadrage!$D$23,Cadrage!$E$23)))</f>
        <v>0.08</v>
      </c>
      <c r="H796">
        <f>IF($A796="","",IF($D796="V01",Cadrage!$C$24,IF($D796="V02",Cadrage!$D$24,Cadrage!$E$24)))</f>
        <v>0.1</v>
      </c>
      <c r="I796">
        <f>IF($A796="","",IF($D796="V01",Cadrage!$C$34,IF($D796="V02",Cadrage!$D$34,Cadrage!$E$34)))</f>
        <v>0.02</v>
      </c>
      <c r="J796">
        <f>IF($A796="","",IF($D796="V01",Cadrage!$C$35,IF($D796="V02",Cadrage!$D$35,Cadrage!$E$35)))</f>
        <v>0.025</v>
      </c>
      <c r="K796">
        <f>IF($A796="","",IF($D796="V01",Cadrage!$C$36,IF($D796="V02",Cadrage!$D$36,Cadrage!$E$36)))</f>
        <v>0.04</v>
      </c>
      <c r="L796">
        <f>IF($A796="","",IF($D796="V01",Cadrage!$C$37,IF($D796="V02",Cadrage!$D$37,Cadrage!$E$37)))</f>
        <v>0.0185</v>
      </c>
      <c r="M796">
        <f>IF($A796="","",IF($D796="V01",Cadrage!$C$38,IF($D796="V02",Cadrage!$D$38,Cadrage!$E$38)))</f>
        <v>0</v>
      </c>
      <c r="N796">
        <f t="shared" si="1"/>
        <v>1.04903758953208</v>
      </c>
      <c r="O796">
        <f t="shared" si="2"/>
        <v>1.00113</v>
      </c>
      <c r="P796">
        <f>IF($A796="","",IF($E796=1,$F796*$O796,PNL!G796))</f>
        <v>28741.2008988</v>
      </c>
      <c r="T796">
        <f t="shared" si="3"/>
        <v>-28741.2008988</v>
      </c>
    </row>
    <row r="797" ht="14.25" customHeight="1">
      <c r="A797" t="str">
        <f>IF(PNL!A797="","",PNL!A797)</f>
        <v>ISCOM_TLS</v>
      </c>
      <c r="B797" t="str">
        <f>IF(PNL!B797="","",PNL!B797)</f>
        <v>63511</v>
      </c>
      <c r="C797" t="str">
        <f>IF(PNL!C797="","",PNL!C797)</f>
        <v>2027</v>
      </c>
      <c r="D797" t="str">
        <f>IF(PNL!D797="","",PNL!D797)</f>
        <v>V01</v>
      </c>
      <c r="E797">
        <f t="shared" si="0"/>
        <v>1</v>
      </c>
      <c r="F797">
        <f>IF($A797="","",IF($E797=1,_xlfn.SUMIFS(Comptabilité!$F$1:$F$1446,Comptabilité!$A$1:$A$1446,$A797,Comptabilité!$B$1:$B$1446,$B797,Comptabilité!$C$1:$C$1446,"2026"),0))</f>
        <v>15745.83</v>
      </c>
      <c r="G797">
        <f>IF($A797="","",IF($D797="V01",Cadrage!$C$23,IF($D797="V02",Cadrage!$D$23,Cadrage!$E$23)))</f>
        <v>0.08</v>
      </c>
      <c r="H797">
        <f>IF($A797="","",IF($D797="V01",Cadrage!$C$24,IF($D797="V02",Cadrage!$D$24,Cadrage!$E$24)))</f>
        <v>0.1</v>
      </c>
      <c r="I797">
        <f>IF($A797="","",IF($D797="V01",Cadrage!$C$34,IF($D797="V02",Cadrage!$D$34,Cadrage!$E$34)))</f>
        <v>0.02</v>
      </c>
      <c r="J797">
        <f>IF($A797="","",IF($D797="V01",Cadrage!$C$35,IF($D797="V02",Cadrage!$D$35,Cadrage!$E$35)))</f>
        <v>0.025</v>
      </c>
      <c r="K797">
        <f>IF($A797="","",IF($D797="V01",Cadrage!$C$36,IF($D797="V02",Cadrage!$D$36,Cadrage!$E$36)))</f>
        <v>0.04</v>
      </c>
      <c r="L797">
        <f>IF($A797="","",IF($D797="V01",Cadrage!$C$37,IF($D797="V02",Cadrage!$D$37,Cadrage!$E$37)))</f>
        <v>0.0185</v>
      </c>
      <c r="M797">
        <f>IF($A797="","",IF($D797="V01",Cadrage!$C$38,IF($D797="V02",Cadrage!$D$38,Cadrage!$E$38)))</f>
        <v>0</v>
      </c>
      <c r="N797">
        <f t="shared" si="1"/>
        <v>1.04903758953208</v>
      </c>
      <c r="O797">
        <f t="shared" si="2"/>
        <v>1.00113</v>
      </c>
      <c r="P797">
        <f>IF($A797="","",IF($E797=1,$F797*$O797,PNL!G797))</f>
        <v>15763.6227879</v>
      </c>
      <c r="T797">
        <f t="shared" si="3"/>
        <v>-15763.6227879</v>
      </c>
    </row>
    <row r="798" ht="14.25" customHeight="1">
      <c r="A798" t="str">
        <f>IF(PNL!A798="","",PNL!A798)</f>
        <v>MBWAY_BOR</v>
      </c>
      <c r="B798" t="str">
        <f>IF(PNL!B798="","",PNL!B798)</f>
        <v>63511</v>
      </c>
      <c r="C798" t="str">
        <f>IF(PNL!C798="","",PNL!C798)</f>
        <v>2027</v>
      </c>
      <c r="D798" t="str">
        <f>IF(PNL!D798="","",PNL!D798)</f>
        <v>V01</v>
      </c>
      <c r="E798">
        <f t="shared" si="0"/>
        <v>1</v>
      </c>
      <c r="F798">
        <f>IF($A798="","",IF($E798=1,_xlfn.SUMIFS(Comptabilité!$F$1:$F$1446,Comptabilité!$A$1:$A$1446,$A798,Comptabilité!$B$1:$B$1446,$B798,Comptabilité!$C$1:$C$1446,"2026"),0))</f>
        <v>16490.67</v>
      </c>
      <c r="G798">
        <f>IF($A798="","",IF($D798="V01",Cadrage!$C$23,IF($D798="V02",Cadrage!$D$23,Cadrage!$E$23)))</f>
        <v>0.08</v>
      </c>
      <c r="H798">
        <f>IF($A798="","",IF($D798="V01",Cadrage!$C$24,IF($D798="V02",Cadrage!$D$24,Cadrage!$E$24)))</f>
        <v>0.1</v>
      </c>
      <c r="I798">
        <f>IF($A798="","",IF($D798="V01",Cadrage!$C$34,IF($D798="V02",Cadrage!$D$34,Cadrage!$E$34)))</f>
        <v>0.02</v>
      </c>
      <c r="J798">
        <f>IF($A798="","",IF($D798="V01",Cadrage!$C$35,IF($D798="V02",Cadrage!$D$35,Cadrage!$E$35)))</f>
        <v>0.025</v>
      </c>
      <c r="K798">
        <f>IF($A798="","",IF($D798="V01",Cadrage!$C$36,IF($D798="V02",Cadrage!$D$36,Cadrage!$E$36)))</f>
        <v>0.04</v>
      </c>
      <c r="L798">
        <f>IF($A798="","",IF($D798="V01",Cadrage!$C$37,IF($D798="V02",Cadrage!$D$37,Cadrage!$E$37)))</f>
        <v>0.0185</v>
      </c>
      <c r="M798">
        <f>IF($A798="","",IF($D798="V01",Cadrage!$C$38,IF($D798="V02",Cadrage!$D$38,Cadrage!$E$38)))</f>
        <v>0</v>
      </c>
      <c r="N798">
        <f t="shared" si="1"/>
        <v>1.04903758953208</v>
      </c>
      <c r="O798">
        <f t="shared" si="2"/>
        <v>1.00113</v>
      </c>
      <c r="P798">
        <f>IF($A798="","",IF($E798=1,$F798*$O798,PNL!G798))</f>
        <v>16509.3044571</v>
      </c>
      <c r="T798">
        <f t="shared" si="3"/>
        <v>-16509.3044571</v>
      </c>
    </row>
    <row r="799" ht="14.25" customHeight="1">
      <c r="A799" t="str">
        <f>IF(PNL!A799="","",PNL!A799)</f>
        <v>MBWAY_LYO</v>
      </c>
      <c r="B799" t="str">
        <f>IF(PNL!B799="","",PNL!B799)</f>
        <v>63511</v>
      </c>
      <c r="C799" t="str">
        <f>IF(PNL!C799="","",PNL!C799)</f>
        <v>2027</v>
      </c>
      <c r="D799" t="str">
        <f>IF(PNL!D799="","",PNL!D799)</f>
        <v>V01</v>
      </c>
      <c r="E799">
        <f t="shared" si="0"/>
        <v>1</v>
      </c>
      <c r="F799">
        <f>IF($A799="","",IF($E799=1,_xlfn.SUMIFS(Comptabilité!$F$1:$F$1446,Comptabilité!$A$1:$A$1446,$A799,Comptabilité!$B$1:$B$1446,$B799,Comptabilité!$C$1:$C$1446,"2026"),0))</f>
        <v>23541.01</v>
      </c>
      <c r="G799">
        <f>IF($A799="","",IF($D799="V01",Cadrage!$C$23,IF($D799="V02",Cadrage!$D$23,Cadrage!$E$23)))</f>
        <v>0.08</v>
      </c>
      <c r="H799">
        <f>IF($A799="","",IF($D799="V01",Cadrage!$C$24,IF($D799="V02",Cadrage!$D$24,Cadrage!$E$24)))</f>
        <v>0.1</v>
      </c>
      <c r="I799">
        <f>IF($A799="","",IF($D799="V01",Cadrage!$C$34,IF($D799="V02",Cadrage!$D$34,Cadrage!$E$34)))</f>
        <v>0.02</v>
      </c>
      <c r="J799">
        <f>IF($A799="","",IF($D799="V01",Cadrage!$C$35,IF($D799="V02",Cadrage!$D$35,Cadrage!$E$35)))</f>
        <v>0.025</v>
      </c>
      <c r="K799">
        <f>IF($A799="","",IF($D799="V01",Cadrage!$C$36,IF($D799="V02",Cadrage!$D$36,Cadrage!$E$36)))</f>
        <v>0.04</v>
      </c>
      <c r="L799">
        <f>IF($A799="","",IF($D799="V01",Cadrage!$C$37,IF($D799="V02",Cadrage!$D$37,Cadrage!$E$37)))</f>
        <v>0.0185</v>
      </c>
      <c r="M799">
        <f>IF($A799="","",IF($D799="V01",Cadrage!$C$38,IF($D799="V02",Cadrage!$D$38,Cadrage!$E$38)))</f>
        <v>0</v>
      </c>
      <c r="N799">
        <f t="shared" si="1"/>
        <v>1.04903758953208</v>
      </c>
      <c r="O799">
        <f t="shared" si="2"/>
        <v>1.00113</v>
      </c>
      <c r="P799">
        <f>IF($A799="","",IF($E799=1,$F799*$O799,PNL!G799))</f>
        <v>23567.6113413</v>
      </c>
      <c r="T799">
        <f t="shared" si="3"/>
        <v>-23567.6113413</v>
      </c>
    </row>
    <row r="800" ht="14.25" customHeight="1">
      <c r="A800" t="str">
        <f>IF(PNL!A800="","",PNL!A800)</f>
        <v>MBWAY_NAN</v>
      </c>
      <c r="B800" t="str">
        <f>IF(PNL!B800="","",PNL!B800)</f>
        <v>63511</v>
      </c>
      <c r="C800" t="str">
        <f>IF(PNL!C800="","",PNL!C800)</f>
        <v>2027</v>
      </c>
      <c r="D800" t="str">
        <f>IF(PNL!D800="","",PNL!D800)</f>
        <v>V01</v>
      </c>
      <c r="E800">
        <f t="shared" si="0"/>
        <v>1</v>
      </c>
      <c r="F800">
        <f>IF($A800="","",IF($E800=1,_xlfn.SUMIFS(Comptabilité!$F$1:$F$1446,Comptabilité!$A$1:$A$1446,$A800,Comptabilité!$B$1:$B$1446,$B800,Comptabilité!$C$1:$C$1446,"2026"),0))</f>
        <v>20249.8</v>
      </c>
      <c r="G800">
        <f>IF($A800="","",IF($D800="V01",Cadrage!$C$23,IF($D800="V02",Cadrage!$D$23,Cadrage!$E$23)))</f>
        <v>0.08</v>
      </c>
      <c r="H800">
        <f>IF($A800="","",IF($D800="V01",Cadrage!$C$24,IF($D800="V02",Cadrage!$D$24,Cadrage!$E$24)))</f>
        <v>0.1</v>
      </c>
      <c r="I800">
        <f>IF($A800="","",IF($D800="V01",Cadrage!$C$34,IF($D800="V02",Cadrage!$D$34,Cadrage!$E$34)))</f>
        <v>0.02</v>
      </c>
      <c r="J800">
        <f>IF($A800="","",IF($D800="V01",Cadrage!$C$35,IF($D800="V02",Cadrage!$D$35,Cadrage!$E$35)))</f>
        <v>0.025</v>
      </c>
      <c r="K800">
        <f>IF($A800="","",IF($D800="V01",Cadrage!$C$36,IF($D800="V02",Cadrage!$D$36,Cadrage!$E$36)))</f>
        <v>0.04</v>
      </c>
      <c r="L800">
        <f>IF($A800="","",IF($D800="V01",Cadrage!$C$37,IF($D800="V02",Cadrage!$D$37,Cadrage!$E$37)))</f>
        <v>0.0185</v>
      </c>
      <c r="M800">
        <f>IF($A800="","",IF($D800="V01",Cadrage!$C$38,IF($D800="V02",Cadrage!$D$38,Cadrage!$E$38)))</f>
        <v>0</v>
      </c>
      <c r="N800">
        <f t="shared" si="1"/>
        <v>1.04903758953208</v>
      </c>
      <c r="O800">
        <f t="shared" si="2"/>
        <v>1.00113</v>
      </c>
      <c r="P800">
        <f>IF($A800="","",IF($E800=1,$F800*$O800,PNL!G800))</f>
        <v>20272.682274</v>
      </c>
      <c r="T800">
        <f t="shared" si="3"/>
        <v>-20272.682274</v>
      </c>
    </row>
    <row r="801" ht="14.25" customHeight="1">
      <c r="A801" t="str">
        <f>IF(PNL!A801="","",PNL!A801)</f>
        <v>MBWAY_PAR</v>
      </c>
      <c r="B801" t="str">
        <f>IF(PNL!B801="","",PNL!B801)</f>
        <v>63511</v>
      </c>
      <c r="C801" t="str">
        <f>IF(PNL!C801="","",PNL!C801)</f>
        <v>2027</v>
      </c>
      <c r="D801" t="str">
        <f>IF(PNL!D801="","",PNL!D801)</f>
        <v>V01</v>
      </c>
      <c r="E801">
        <f t="shared" si="0"/>
        <v>1</v>
      </c>
      <c r="F801">
        <f>IF($A801="","",IF($E801=1,_xlfn.SUMIFS(Comptabilité!$F$1:$F$1446,Comptabilité!$A$1:$A$1446,$A801,Comptabilité!$B$1:$B$1446,$B801,Comptabilité!$C$1:$C$1446,"2026"),0))</f>
        <v>29533.02</v>
      </c>
      <c r="G801">
        <f>IF($A801="","",IF($D801="V01",Cadrage!$C$23,IF($D801="V02",Cadrage!$D$23,Cadrage!$E$23)))</f>
        <v>0.08</v>
      </c>
      <c r="H801">
        <f>IF($A801="","",IF($D801="V01",Cadrage!$C$24,IF($D801="V02",Cadrage!$D$24,Cadrage!$E$24)))</f>
        <v>0.1</v>
      </c>
      <c r="I801">
        <f>IF($A801="","",IF($D801="V01",Cadrage!$C$34,IF($D801="V02",Cadrage!$D$34,Cadrage!$E$34)))</f>
        <v>0.02</v>
      </c>
      <c r="J801">
        <f>IF($A801="","",IF($D801="V01",Cadrage!$C$35,IF($D801="V02",Cadrage!$D$35,Cadrage!$E$35)))</f>
        <v>0.025</v>
      </c>
      <c r="K801">
        <f>IF($A801="","",IF($D801="V01",Cadrage!$C$36,IF($D801="V02",Cadrage!$D$36,Cadrage!$E$36)))</f>
        <v>0.04</v>
      </c>
      <c r="L801">
        <f>IF($A801="","",IF($D801="V01",Cadrage!$C$37,IF($D801="V02",Cadrage!$D$37,Cadrage!$E$37)))</f>
        <v>0.0185</v>
      </c>
      <c r="M801">
        <f>IF($A801="","",IF($D801="V01",Cadrage!$C$38,IF($D801="V02",Cadrage!$D$38,Cadrage!$E$38)))</f>
        <v>0</v>
      </c>
      <c r="N801">
        <f t="shared" si="1"/>
        <v>1.04903758953208</v>
      </c>
      <c r="O801">
        <f t="shared" si="2"/>
        <v>1.00113</v>
      </c>
      <c r="P801">
        <f>IF($A801="","",IF($E801=1,$F801*$O801,PNL!G801))</f>
        <v>29566.3923126</v>
      </c>
      <c r="T801">
        <f t="shared" si="3"/>
        <v>-29566.3923126</v>
      </c>
    </row>
    <row r="802" ht="14.25" customHeight="1">
      <c r="A802" t="str">
        <f>IF(PNL!A802="","",PNL!A802)</f>
        <v>PIGIER_BOR</v>
      </c>
      <c r="B802" t="str">
        <f>IF(PNL!B802="","",PNL!B802)</f>
        <v>63511</v>
      </c>
      <c r="C802" t="str">
        <f>IF(PNL!C802="","",PNL!C802)</f>
        <v>2027</v>
      </c>
      <c r="D802" t="str">
        <f>IF(PNL!D802="","",PNL!D802)</f>
        <v>V01</v>
      </c>
      <c r="E802">
        <f t="shared" si="0"/>
        <v>1</v>
      </c>
      <c r="F802">
        <f>IF($A802="","",IF($E802=1,_xlfn.SUMIFS(Comptabilité!$F$1:$F$1446,Comptabilité!$A$1:$A$1446,$A802,Comptabilité!$B$1:$B$1446,$B802,Comptabilité!$C$1:$C$1446,"2026"),0))</f>
        <v>10750.17</v>
      </c>
      <c r="G802">
        <f>IF($A802="","",IF($D802="V01",Cadrage!$C$23,IF($D802="V02",Cadrage!$D$23,Cadrage!$E$23)))</f>
        <v>0.08</v>
      </c>
      <c r="H802">
        <f>IF($A802="","",IF($D802="V01",Cadrage!$C$24,IF($D802="V02",Cadrage!$D$24,Cadrage!$E$24)))</f>
        <v>0.1</v>
      </c>
      <c r="I802">
        <f>IF($A802="","",IF($D802="V01",Cadrage!$C$34,IF($D802="V02",Cadrage!$D$34,Cadrage!$E$34)))</f>
        <v>0.02</v>
      </c>
      <c r="J802">
        <f>IF($A802="","",IF($D802="V01",Cadrage!$C$35,IF($D802="V02",Cadrage!$D$35,Cadrage!$E$35)))</f>
        <v>0.025</v>
      </c>
      <c r="K802">
        <f>IF($A802="","",IF($D802="V01",Cadrage!$C$36,IF($D802="V02",Cadrage!$D$36,Cadrage!$E$36)))</f>
        <v>0.04</v>
      </c>
      <c r="L802">
        <f>IF($A802="","",IF($D802="V01",Cadrage!$C$37,IF($D802="V02",Cadrage!$D$37,Cadrage!$E$37)))</f>
        <v>0.0185</v>
      </c>
      <c r="M802">
        <f>IF($A802="","",IF($D802="V01",Cadrage!$C$38,IF($D802="V02",Cadrage!$D$38,Cadrage!$E$38)))</f>
        <v>0</v>
      </c>
      <c r="N802">
        <f t="shared" si="1"/>
        <v>1.04903758953208</v>
      </c>
      <c r="O802">
        <f t="shared" si="2"/>
        <v>1.00113</v>
      </c>
      <c r="P802">
        <f>IF($A802="","",IF($E802=1,$F802*$O802,PNL!G802))</f>
        <v>10762.3176921</v>
      </c>
      <c r="T802">
        <f t="shared" si="3"/>
        <v>-10762.3176921</v>
      </c>
    </row>
    <row r="803" ht="14.25" customHeight="1">
      <c r="A803" t="str">
        <f>IF(PNL!A803="","",PNL!A803)</f>
        <v>PIGIER_LYO</v>
      </c>
      <c r="B803" t="str">
        <f>IF(PNL!B803="","",PNL!B803)</f>
        <v>63511</v>
      </c>
      <c r="C803" t="str">
        <f>IF(PNL!C803="","",PNL!C803)</f>
        <v>2027</v>
      </c>
      <c r="D803" t="str">
        <f>IF(PNL!D803="","",PNL!D803)</f>
        <v>V01</v>
      </c>
      <c r="E803">
        <f t="shared" si="0"/>
        <v>1</v>
      </c>
      <c r="F803">
        <f>IF($A803="","",IF($E803=1,_xlfn.SUMIFS(Comptabilité!$F$1:$F$1446,Comptabilité!$A$1:$A$1446,$A803,Comptabilité!$B$1:$B$1446,$B803,Comptabilité!$C$1:$C$1446,"2026"),0))</f>
        <v>14195.01</v>
      </c>
      <c r="G803">
        <f>IF($A803="","",IF($D803="V01",Cadrage!$C$23,IF($D803="V02",Cadrage!$D$23,Cadrage!$E$23)))</f>
        <v>0.08</v>
      </c>
      <c r="H803">
        <f>IF($A803="","",IF($D803="V01",Cadrage!$C$24,IF($D803="V02",Cadrage!$D$24,Cadrage!$E$24)))</f>
        <v>0.1</v>
      </c>
      <c r="I803">
        <f>IF($A803="","",IF($D803="V01",Cadrage!$C$34,IF($D803="V02",Cadrage!$D$34,Cadrage!$E$34)))</f>
        <v>0.02</v>
      </c>
      <c r="J803">
        <f>IF($A803="","",IF($D803="V01",Cadrage!$C$35,IF($D803="V02",Cadrage!$D$35,Cadrage!$E$35)))</f>
        <v>0.025</v>
      </c>
      <c r="K803">
        <f>IF($A803="","",IF($D803="V01",Cadrage!$C$36,IF($D803="V02",Cadrage!$D$36,Cadrage!$E$36)))</f>
        <v>0.04</v>
      </c>
      <c r="L803">
        <f>IF($A803="","",IF($D803="V01",Cadrage!$C$37,IF($D803="V02",Cadrage!$D$37,Cadrage!$E$37)))</f>
        <v>0.0185</v>
      </c>
      <c r="M803">
        <f>IF($A803="","",IF($D803="V01",Cadrage!$C$38,IF($D803="V02",Cadrage!$D$38,Cadrage!$E$38)))</f>
        <v>0</v>
      </c>
      <c r="N803">
        <f t="shared" si="1"/>
        <v>1.04903758953208</v>
      </c>
      <c r="O803">
        <f t="shared" si="2"/>
        <v>1.00113</v>
      </c>
      <c r="P803">
        <f>IF($A803="","",IF($E803=1,$F803*$O803,PNL!G803))</f>
        <v>14211.0503613</v>
      </c>
      <c r="T803">
        <f t="shared" si="3"/>
        <v>-14211.0503613</v>
      </c>
    </row>
    <row r="804" ht="14.25" customHeight="1">
      <c r="A804" t="str">
        <f>IF(PNL!A804="","",PNL!A804)</f>
        <v>TUNON_LYO</v>
      </c>
      <c r="B804" t="str">
        <f>IF(PNL!B804="","",PNL!B804)</f>
        <v>63511</v>
      </c>
      <c r="C804" t="str">
        <f>IF(PNL!C804="","",PNL!C804)</f>
        <v>2027</v>
      </c>
      <c r="D804" t="str">
        <f>IF(PNL!D804="","",PNL!D804)</f>
        <v>V01</v>
      </c>
      <c r="E804">
        <f t="shared" si="0"/>
        <v>1</v>
      </c>
      <c r="F804">
        <f>IF($A804="","",IF($E804=1,_xlfn.SUMIFS(Comptabilité!$F$1:$F$1446,Comptabilité!$A$1:$A$1446,$A804,Comptabilité!$B$1:$B$1446,$B804,Comptabilité!$C$1:$C$1446,"2026"),0))</f>
        <v>10938.17</v>
      </c>
      <c r="G804">
        <f>IF($A804="","",IF($D804="V01",Cadrage!$C$23,IF($D804="V02",Cadrage!$D$23,Cadrage!$E$23)))</f>
        <v>0.08</v>
      </c>
      <c r="H804">
        <f>IF($A804="","",IF($D804="V01",Cadrage!$C$24,IF($D804="V02",Cadrage!$D$24,Cadrage!$E$24)))</f>
        <v>0.1</v>
      </c>
      <c r="I804">
        <f>IF($A804="","",IF($D804="V01",Cadrage!$C$34,IF($D804="V02",Cadrage!$D$34,Cadrage!$E$34)))</f>
        <v>0.02</v>
      </c>
      <c r="J804">
        <f>IF($A804="","",IF($D804="V01",Cadrage!$C$35,IF($D804="V02",Cadrage!$D$35,Cadrage!$E$35)))</f>
        <v>0.025</v>
      </c>
      <c r="K804">
        <f>IF($A804="","",IF($D804="V01",Cadrage!$C$36,IF($D804="V02",Cadrage!$D$36,Cadrage!$E$36)))</f>
        <v>0.04</v>
      </c>
      <c r="L804">
        <f>IF($A804="","",IF($D804="V01",Cadrage!$C$37,IF($D804="V02",Cadrage!$D$37,Cadrage!$E$37)))</f>
        <v>0.0185</v>
      </c>
      <c r="M804">
        <f>IF($A804="","",IF($D804="V01",Cadrage!$C$38,IF($D804="V02",Cadrage!$D$38,Cadrage!$E$38)))</f>
        <v>0</v>
      </c>
      <c r="N804">
        <f t="shared" si="1"/>
        <v>1.04903758953208</v>
      </c>
      <c r="O804">
        <f t="shared" si="2"/>
        <v>1.00113</v>
      </c>
      <c r="P804">
        <f>IF($A804="","",IF($E804=1,$F804*$O804,PNL!G804))</f>
        <v>10950.5301321</v>
      </c>
      <c r="T804">
        <f t="shared" si="3"/>
        <v>-10950.5301321</v>
      </c>
    </row>
    <row r="805" ht="14.25" customHeight="1">
      <c r="A805" t="str">
        <f>IF(PNL!A805="","",PNL!A805)</f>
        <v>TUNON_PAR</v>
      </c>
      <c r="B805" t="str">
        <f>IF(PNL!B805="","",PNL!B805)</f>
        <v>63511</v>
      </c>
      <c r="C805" t="str">
        <f>IF(PNL!C805="","",PNL!C805)</f>
        <v>2027</v>
      </c>
      <c r="D805" t="str">
        <f>IF(PNL!D805="","",PNL!D805)</f>
        <v>V01</v>
      </c>
      <c r="E805">
        <f t="shared" si="0"/>
        <v>1</v>
      </c>
      <c r="F805">
        <f>IF($A805="","",IF($E805=1,_xlfn.SUMIFS(Comptabilité!$F$1:$F$1446,Comptabilité!$A$1:$A$1446,$A805,Comptabilité!$B$1:$B$1446,$B805,Comptabilité!$C$1:$C$1446,"2026"),0))</f>
        <v>13139.33</v>
      </c>
      <c r="G805">
        <f>IF($A805="","",IF($D805="V01",Cadrage!$C$23,IF($D805="V02",Cadrage!$D$23,Cadrage!$E$23)))</f>
        <v>0.08</v>
      </c>
      <c r="H805">
        <f>IF($A805="","",IF($D805="V01",Cadrage!$C$24,IF($D805="V02",Cadrage!$D$24,Cadrage!$E$24)))</f>
        <v>0.1</v>
      </c>
      <c r="I805">
        <f>IF($A805="","",IF($D805="V01",Cadrage!$C$34,IF($D805="V02",Cadrage!$D$34,Cadrage!$E$34)))</f>
        <v>0.02</v>
      </c>
      <c r="J805">
        <f>IF($A805="","",IF($D805="V01",Cadrage!$C$35,IF($D805="V02",Cadrage!$D$35,Cadrage!$E$35)))</f>
        <v>0.025</v>
      </c>
      <c r="K805">
        <f>IF($A805="","",IF($D805="V01",Cadrage!$C$36,IF($D805="V02",Cadrage!$D$36,Cadrage!$E$36)))</f>
        <v>0.04</v>
      </c>
      <c r="L805">
        <f>IF($A805="","",IF($D805="V01",Cadrage!$C$37,IF($D805="V02",Cadrage!$D$37,Cadrage!$E$37)))</f>
        <v>0.0185</v>
      </c>
      <c r="M805">
        <f>IF($A805="","",IF($D805="V01",Cadrage!$C$38,IF($D805="V02",Cadrage!$D$38,Cadrage!$E$38)))</f>
        <v>0</v>
      </c>
      <c r="N805">
        <f t="shared" si="1"/>
        <v>1.04903758953208</v>
      </c>
      <c r="O805">
        <f t="shared" si="2"/>
        <v>1.00113</v>
      </c>
      <c r="P805">
        <f>IF($A805="","",IF($E805=1,$F805*$O805,PNL!G805))</f>
        <v>13154.1774429</v>
      </c>
      <c r="T805">
        <f t="shared" si="3"/>
        <v>-13154.1774429</v>
      </c>
    </row>
    <row r="806" ht="14.25" customHeight="1">
      <c r="A806" t="str">
        <f>IF(PNL!A806="","",PNL!A806)</f>
        <v>IPAC_MTP</v>
      </c>
      <c r="B806" t="str">
        <f>IF(PNL!B806="","",PNL!B806)</f>
        <v>6411</v>
      </c>
      <c r="C806" t="str">
        <f>IF(PNL!C806="","",PNL!C806)</f>
        <v>2027</v>
      </c>
      <c r="D806" t="str">
        <f>IF(PNL!D806="","",PNL!D806)</f>
        <v>V01</v>
      </c>
      <c r="E806">
        <f t="shared" si="0"/>
        <v>1</v>
      </c>
      <c r="F806">
        <f>IF($A806="","",IF($E806=1,_xlfn.SUMIFS(Comptabilité!$F$1:$F$1446,Comptabilité!$A$1:$A$1446,$A806,Comptabilité!$B$1:$B$1446,$B806,Comptabilité!$C$1:$C$1446,"2026"),0))</f>
        <v>136087.43</v>
      </c>
      <c r="G806">
        <f>IF($A806="","",IF($D806="V01",Cadrage!$C$23,IF($D806="V02",Cadrage!$D$23,Cadrage!$E$23)))</f>
        <v>0.08</v>
      </c>
      <c r="H806">
        <f>IF($A806="","",IF($D806="V01",Cadrage!$C$24,IF($D806="V02",Cadrage!$D$24,Cadrage!$E$24)))</f>
        <v>0.1</v>
      </c>
      <c r="I806">
        <f>IF($A806="","",IF($D806="V01",Cadrage!$C$34,IF($D806="V02",Cadrage!$D$34,Cadrage!$E$34)))</f>
        <v>0.02</v>
      </c>
      <c r="J806">
        <f>IF($A806="","",IF($D806="V01",Cadrage!$C$35,IF($D806="V02",Cadrage!$D$35,Cadrage!$E$35)))</f>
        <v>0.025</v>
      </c>
      <c r="K806">
        <f>IF($A806="","",IF($D806="V01",Cadrage!$C$36,IF($D806="V02",Cadrage!$D$36,Cadrage!$E$36)))</f>
        <v>0.04</v>
      </c>
      <c r="L806">
        <f>IF($A806="","",IF($D806="V01",Cadrage!$C$37,IF($D806="V02",Cadrage!$D$37,Cadrage!$E$37)))</f>
        <v>0.0185</v>
      </c>
      <c r="M806">
        <f>IF($A806="","",IF($D806="V01",Cadrage!$C$38,IF($D806="V02",Cadrage!$D$38,Cadrage!$E$38)))</f>
        <v>0</v>
      </c>
      <c r="N806">
        <f t="shared" si="1"/>
        <v>1.04903758953208</v>
      </c>
      <c r="O806">
        <f t="shared" si="2"/>
        <v>1.066</v>
      </c>
      <c r="P806">
        <f>IF($A806="","",IF($E806=1,$F806*$O806,PNL!G806))</f>
        <v>145069.20038</v>
      </c>
      <c r="T806">
        <f t="shared" si="3"/>
        <v>-145069.20038</v>
      </c>
    </row>
    <row r="807" ht="14.25" customHeight="1">
      <c r="A807" t="str">
        <f>IF(PNL!A807="","",PNL!A807)</f>
        <v>IPAC_NAN</v>
      </c>
      <c r="B807" t="str">
        <f>IF(PNL!B807="","",PNL!B807)</f>
        <v>6411</v>
      </c>
      <c r="C807" t="str">
        <f>IF(PNL!C807="","",PNL!C807)</f>
        <v>2027</v>
      </c>
      <c r="D807" t="str">
        <f>IF(PNL!D807="","",PNL!D807)</f>
        <v>V01</v>
      </c>
      <c r="E807">
        <f t="shared" si="0"/>
        <v>1</v>
      </c>
      <c r="F807">
        <f>IF($A807="","",IF($E807=1,_xlfn.SUMIFS(Comptabilité!$F$1:$F$1446,Comptabilité!$A$1:$A$1446,$A807,Comptabilité!$B$1:$B$1446,$B807,Comptabilité!$C$1:$C$1446,"2026"),0))</f>
        <v>168182.73</v>
      </c>
      <c r="G807">
        <f>IF($A807="","",IF($D807="V01",Cadrage!$C$23,IF($D807="V02",Cadrage!$D$23,Cadrage!$E$23)))</f>
        <v>0.08</v>
      </c>
      <c r="H807">
        <f>IF($A807="","",IF($D807="V01",Cadrage!$C$24,IF($D807="V02",Cadrage!$D$24,Cadrage!$E$24)))</f>
        <v>0.1</v>
      </c>
      <c r="I807">
        <f>IF($A807="","",IF($D807="V01",Cadrage!$C$34,IF($D807="V02",Cadrage!$D$34,Cadrage!$E$34)))</f>
        <v>0.02</v>
      </c>
      <c r="J807">
        <f>IF($A807="","",IF($D807="V01",Cadrage!$C$35,IF($D807="V02",Cadrage!$D$35,Cadrage!$E$35)))</f>
        <v>0.025</v>
      </c>
      <c r="K807">
        <f>IF($A807="","",IF($D807="V01",Cadrage!$C$36,IF($D807="V02",Cadrage!$D$36,Cadrage!$E$36)))</f>
        <v>0.04</v>
      </c>
      <c r="L807">
        <f>IF($A807="","",IF($D807="V01",Cadrage!$C$37,IF($D807="V02",Cadrage!$D$37,Cadrage!$E$37)))</f>
        <v>0.0185</v>
      </c>
      <c r="M807">
        <f>IF($A807="","",IF($D807="V01",Cadrage!$C$38,IF($D807="V02",Cadrage!$D$38,Cadrage!$E$38)))</f>
        <v>0</v>
      </c>
      <c r="N807">
        <f t="shared" si="1"/>
        <v>1.04903758953208</v>
      </c>
      <c r="O807">
        <f t="shared" si="2"/>
        <v>1.066</v>
      </c>
      <c r="P807">
        <f>IF($A807="","",IF($E807=1,$F807*$O807,PNL!G807))</f>
        <v>179282.79018</v>
      </c>
      <c r="T807">
        <f t="shared" si="3"/>
        <v>-179282.79018</v>
      </c>
    </row>
    <row r="808" ht="14.25" customHeight="1">
      <c r="A808" t="str">
        <f>IF(PNL!A808="","",PNL!A808)</f>
        <v>IPAC_REN</v>
      </c>
      <c r="B808" t="str">
        <f>IF(PNL!B808="","",PNL!B808)</f>
        <v>6411</v>
      </c>
      <c r="C808" t="str">
        <f>IF(PNL!C808="","",PNL!C808)</f>
        <v>2027</v>
      </c>
      <c r="D808" t="str">
        <f>IF(PNL!D808="","",PNL!D808)</f>
        <v>V01</v>
      </c>
      <c r="E808">
        <f t="shared" si="0"/>
        <v>1</v>
      </c>
      <c r="F808">
        <f>IF($A808="","",IF($E808=1,_xlfn.SUMIFS(Comptabilité!$F$1:$F$1446,Comptabilité!$A$1:$A$1446,$A808,Comptabilité!$B$1:$B$1446,$B808,Comptabilité!$C$1:$C$1446,"2026"),0))</f>
        <v>136168.63</v>
      </c>
      <c r="G808">
        <f>IF($A808="","",IF($D808="V01",Cadrage!$C$23,IF($D808="V02",Cadrage!$D$23,Cadrage!$E$23)))</f>
        <v>0.08</v>
      </c>
      <c r="H808">
        <f>IF($A808="","",IF($D808="V01",Cadrage!$C$24,IF($D808="V02",Cadrage!$D$24,Cadrage!$E$24)))</f>
        <v>0.1</v>
      </c>
      <c r="I808">
        <f>IF($A808="","",IF($D808="V01",Cadrage!$C$34,IF($D808="V02",Cadrage!$D$34,Cadrage!$E$34)))</f>
        <v>0.02</v>
      </c>
      <c r="J808">
        <f>IF($A808="","",IF($D808="V01",Cadrage!$C$35,IF($D808="V02",Cadrage!$D$35,Cadrage!$E$35)))</f>
        <v>0.025</v>
      </c>
      <c r="K808">
        <f>IF($A808="","",IF($D808="V01",Cadrage!$C$36,IF($D808="V02",Cadrage!$D$36,Cadrage!$E$36)))</f>
        <v>0.04</v>
      </c>
      <c r="L808">
        <f>IF($A808="","",IF($D808="V01",Cadrage!$C$37,IF($D808="V02",Cadrage!$D$37,Cadrage!$E$37)))</f>
        <v>0.0185</v>
      </c>
      <c r="M808">
        <f>IF($A808="","",IF($D808="V01",Cadrage!$C$38,IF($D808="V02",Cadrage!$D$38,Cadrage!$E$38)))</f>
        <v>0</v>
      </c>
      <c r="N808">
        <f t="shared" si="1"/>
        <v>1.04903758953208</v>
      </c>
      <c r="O808">
        <f t="shared" si="2"/>
        <v>1.066</v>
      </c>
      <c r="P808">
        <f>IF($A808="","",IF($E808=1,$F808*$O808,PNL!G808))</f>
        <v>145155.75958</v>
      </c>
      <c r="T808">
        <f t="shared" si="3"/>
        <v>-145155.75958</v>
      </c>
    </row>
    <row r="809" ht="14.25" customHeight="1">
      <c r="A809" t="str">
        <f>IF(PNL!A809="","",PNL!A809)</f>
        <v>ISCOM_LIL</v>
      </c>
      <c r="B809" t="str">
        <f>IF(PNL!B809="","",PNL!B809)</f>
        <v>6411</v>
      </c>
      <c r="C809" t="str">
        <f>IF(PNL!C809="","",PNL!C809)</f>
        <v>2027</v>
      </c>
      <c r="D809" t="str">
        <f>IF(PNL!D809="","",PNL!D809)</f>
        <v>V01</v>
      </c>
      <c r="E809">
        <f t="shared" si="0"/>
        <v>1</v>
      </c>
      <c r="F809">
        <f>IF($A809="","",IF($E809=1,_xlfn.SUMIFS(Comptabilité!$F$1:$F$1446,Comptabilité!$A$1:$A$1446,$A809,Comptabilité!$B$1:$B$1446,$B809,Comptabilité!$C$1:$C$1446,"2026"),0))</f>
        <v>284669.17</v>
      </c>
      <c r="G809">
        <f>IF($A809="","",IF($D809="V01",Cadrage!$C$23,IF($D809="V02",Cadrage!$D$23,Cadrage!$E$23)))</f>
        <v>0.08</v>
      </c>
      <c r="H809">
        <f>IF($A809="","",IF($D809="V01",Cadrage!$C$24,IF($D809="V02",Cadrage!$D$24,Cadrage!$E$24)))</f>
        <v>0.1</v>
      </c>
      <c r="I809">
        <f>IF($A809="","",IF($D809="V01",Cadrage!$C$34,IF($D809="V02",Cadrage!$D$34,Cadrage!$E$34)))</f>
        <v>0.02</v>
      </c>
      <c r="J809">
        <f>IF($A809="","",IF($D809="V01",Cadrage!$C$35,IF($D809="V02",Cadrage!$D$35,Cadrage!$E$35)))</f>
        <v>0.025</v>
      </c>
      <c r="K809">
        <f>IF($A809="","",IF($D809="V01",Cadrage!$C$36,IF($D809="V02",Cadrage!$D$36,Cadrage!$E$36)))</f>
        <v>0.04</v>
      </c>
      <c r="L809">
        <f>IF($A809="","",IF($D809="V01",Cadrage!$C$37,IF($D809="V02",Cadrage!$D$37,Cadrage!$E$37)))</f>
        <v>0.0185</v>
      </c>
      <c r="M809">
        <f>IF($A809="","",IF($D809="V01",Cadrage!$C$38,IF($D809="V02",Cadrage!$D$38,Cadrage!$E$38)))</f>
        <v>0</v>
      </c>
      <c r="N809">
        <f t="shared" si="1"/>
        <v>1.04903758953208</v>
      </c>
      <c r="O809">
        <f t="shared" si="2"/>
        <v>1.066</v>
      </c>
      <c r="P809">
        <f>IF($A809="","",IF($E809=1,$F809*$O809,PNL!G809))</f>
        <v>303457.33522</v>
      </c>
      <c r="T809">
        <f t="shared" si="3"/>
        <v>-303457.33522</v>
      </c>
    </row>
    <row r="810" ht="14.25" customHeight="1">
      <c r="A810" t="str">
        <f>IF(PNL!A810="","",PNL!A810)</f>
        <v>ISCOM_PAR</v>
      </c>
      <c r="B810" t="str">
        <f>IF(PNL!B810="","",PNL!B810)</f>
        <v>6411</v>
      </c>
      <c r="C810" t="str">
        <f>IF(PNL!C810="","",PNL!C810)</f>
        <v>2027</v>
      </c>
      <c r="D810" t="str">
        <f>IF(PNL!D810="","",PNL!D810)</f>
        <v>V01</v>
      </c>
      <c r="E810">
        <f t="shared" si="0"/>
        <v>1</v>
      </c>
      <c r="F810">
        <f>IF($A810="","",IF($E810=1,_xlfn.SUMIFS(Comptabilité!$F$1:$F$1446,Comptabilité!$A$1:$A$1446,$A810,Comptabilité!$B$1:$B$1446,$B810,Comptabilité!$C$1:$C$1446,"2026"),0))</f>
        <v>488050.48</v>
      </c>
      <c r="G810">
        <f>IF($A810="","",IF($D810="V01",Cadrage!$C$23,IF($D810="V02",Cadrage!$D$23,Cadrage!$E$23)))</f>
        <v>0.08</v>
      </c>
      <c r="H810">
        <f>IF($A810="","",IF($D810="V01",Cadrage!$C$24,IF($D810="V02",Cadrage!$D$24,Cadrage!$E$24)))</f>
        <v>0.1</v>
      </c>
      <c r="I810">
        <f>IF($A810="","",IF($D810="V01",Cadrage!$C$34,IF($D810="V02",Cadrage!$D$34,Cadrage!$E$34)))</f>
        <v>0.02</v>
      </c>
      <c r="J810">
        <f>IF($A810="","",IF($D810="V01",Cadrage!$C$35,IF($D810="V02",Cadrage!$D$35,Cadrage!$E$35)))</f>
        <v>0.025</v>
      </c>
      <c r="K810">
        <f>IF($A810="","",IF($D810="V01",Cadrage!$C$36,IF($D810="V02",Cadrage!$D$36,Cadrage!$E$36)))</f>
        <v>0.04</v>
      </c>
      <c r="L810">
        <f>IF($A810="","",IF($D810="V01",Cadrage!$C$37,IF($D810="V02",Cadrage!$D$37,Cadrage!$E$37)))</f>
        <v>0.0185</v>
      </c>
      <c r="M810">
        <f>IF($A810="","",IF($D810="V01",Cadrage!$C$38,IF($D810="V02",Cadrage!$D$38,Cadrage!$E$38)))</f>
        <v>0</v>
      </c>
      <c r="N810">
        <f t="shared" si="1"/>
        <v>1.04903758953208</v>
      </c>
      <c r="O810">
        <f t="shared" si="2"/>
        <v>1.066</v>
      </c>
      <c r="P810">
        <f>IF($A810="","",IF($E810=1,$F810*$O810,PNL!G810))</f>
        <v>520261.81168</v>
      </c>
      <c r="T810">
        <f t="shared" si="3"/>
        <v>-520261.81168</v>
      </c>
    </row>
    <row r="811" ht="14.25" customHeight="1">
      <c r="A811" t="str">
        <f>IF(PNL!A811="","",PNL!A811)</f>
        <v>ISCOM_TLS</v>
      </c>
      <c r="B811" t="str">
        <f>IF(PNL!B811="","",PNL!B811)</f>
        <v>6411</v>
      </c>
      <c r="C811" t="str">
        <f>IF(PNL!C811="","",PNL!C811)</f>
        <v>2027</v>
      </c>
      <c r="D811" t="str">
        <f>IF(PNL!D811="","",PNL!D811)</f>
        <v>V01</v>
      </c>
      <c r="E811">
        <f t="shared" si="0"/>
        <v>1</v>
      </c>
      <c r="F811">
        <f>IF($A811="","",IF($E811=1,_xlfn.SUMIFS(Comptabilité!$F$1:$F$1446,Comptabilité!$A$1:$A$1446,$A811,Comptabilité!$B$1:$B$1446,$B811,Comptabilité!$C$1:$C$1446,"2026"),0))</f>
        <v>267683.87</v>
      </c>
      <c r="G811">
        <f>IF($A811="","",IF($D811="V01",Cadrage!$C$23,IF($D811="V02",Cadrage!$D$23,Cadrage!$E$23)))</f>
        <v>0.08</v>
      </c>
      <c r="H811">
        <f>IF($A811="","",IF($D811="V01",Cadrage!$C$24,IF($D811="V02",Cadrage!$D$24,Cadrage!$E$24)))</f>
        <v>0.1</v>
      </c>
      <c r="I811">
        <f>IF($A811="","",IF($D811="V01",Cadrage!$C$34,IF($D811="V02",Cadrage!$D$34,Cadrage!$E$34)))</f>
        <v>0.02</v>
      </c>
      <c r="J811">
        <f>IF($A811="","",IF($D811="V01",Cadrage!$C$35,IF($D811="V02",Cadrage!$D$35,Cadrage!$E$35)))</f>
        <v>0.025</v>
      </c>
      <c r="K811">
        <f>IF($A811="","",IF($D811="V01",Cadrage!$C$36,IF($D811="V02",Cadrage!$D$36,Cadrage!$E$36)))</f>
        <v>0.04</v>
      </c>
      <c r="L811">
        <f>IF($A811="","",IF($D811="V01",Cadrage!$C$37,IF($D811="V02",Cadrage!$D$37,Cadrage!$E$37)))</f>
        <v>0.0185</v>
      </c>
      <c r="M811">
        <f>IF($A811="","",IF($D811="V01",Cadrage!$C$38,IF($D811="V02",Cadrage!$D$38,Cadrage!$E$38)))</f>
        <v>0</v>
      </c>
      <c r="N811">
        <f t="shared" si="1"/>
        <v>1.04903758953208</v>
      </c>
      <c r="O811">
        <f t="shared" si="2"/>
        <v>1.066</v>
      </c>
      <c r="P811">
        <f>IF($A811="","",IF($E811=1,$F811*$O811,PNL!G811))</f>
        <v>285351.00542</v>
      </c>
      <c r="T811">
        <f t="shared" si="3"/>
        <v>-285351.00542</v>
      </c>
    </row>
    <row r="812" ht="14.25" customHeight="1">
      <c r="A812" t="str">
        <f>IF(PNL!A812="","",PNL!A812)</f>
        <v>MBWAY_BOR</v>
      </c>
      <c r="B812" t="str">
        <f>IF(PNL!B812="","",PNL!B812)</f>
        <v>6411</v>
      </c>
      <c r="C812" t="str">
        <f>IF(PNL!C812="","",PNL!C812)</f>
        <v>2027</v>
      </c>
      <c r="D812" t="str">
        <f>IF(PNL!D812="","",PNL!D812)</f>
        <v>V01</v>
      </c>
      <c r="E812">
        <f t="shared" si="0"/>
        <v>1</v>
      </c>
      <c r="F812">
        <f>IF($A812="","",IF($E812=1,_xlfn.SUMIFS(Comptabilité!$F$1:$F$1446,Comptabilité!$A$1:$A$1446,$A812,Comptabilité!$B$1:$B$1446,$B812,Comptabilité!$C$1:$C$1446,"2026"),0))</f>
        <v>280337.09</v>
      </c>
      <c r="G812">
        <f>IF($A812="","",IF($D812="V01",Cadrage!$C$23,IF($D812="V02",Cadrage!$D$23,Cadrage!$E$23)))</f>
        <v>0.08</v>
      </c>
      <c r="H812">
        <f>IF($A812="","",IF($D812="V01",Cadrage!$C$24,IF($D812="V02",Cadrage!$D$24,Cadrage!$E$24)))</f>
        <v>0.1</v>
      </c>
      <c r="I812">
        <f>IF($A812="","",IF($D812="V01",Cadrage!$C$34,IF($D812="V02",Cadrage!$D$34,Cadrage!$E$34)))</f>
        <v>0.02</v>
      </c>
      <c r="J812">
        <f>IF($A812="","",IF($D812="V01",Cadrage!$C$35,IF($D812="V02",Cadrage!$D$35,Cadrage!$E$35)))</f>
        <v>0.025</v>
      </c>
      <c r="K812">
        <f>IF($A812="","",IF($D812="V01",Cadrage!$C$36,IF($D812="V02",Cadrage!$D$36,Cadrage!$E$36)))</f>
        <v>0.04</v>
      </c>
      <c r="L812">
        <f>IF($A812="","",IF($D812="V01",Cadrage!$C$37,IF($D812="V02",Cadrage!$D$37,Cadrage!$E$37)))</f>
        <v>0.0185</v>
      </c>
      <c r="M812">
        <f>IF($A812="","",IF($D812="V01",Cadrage!$C$38,IF($D812="V02",Cadrage!$D$38,Cadrage!$E$38)))</f>
        <v>0</v>
      </c>
      <c r="N812">
        <f t="shared" si="1"/>
        <v>1.04903758953208</v>
      </c>
      <c r="O812">
        <f t="shared" si="2"/>
        <v>1.066</v>
      </c>
      <c r="P812">
        <f>IF($A812="","",IF($E812=1,$F812*$O812,PNL!G812))</f>
        <v>298839.33794</v>
      </c>
      <c r="T812">
        <f t="shared" si="3"/>
        <v>-298839.33794</v>
      </c>
    </row>
    <row r="813" ht="14.25" customHeight="1">
      <c r="A813" t="str">
        <f>IF(PNL!A813="","",PNL!A813)</f>
        <v>MBWAY_LYO</v>
      </c>
      <c r="B813" t="str">
        <f>IF(PNL!B813="","",PNL!B813)</f>
        <v>6411</v>
      </c>
      <c r="C813" t="str">
        <f>IF(PNL!C813="","",PNL!C813)</f>
        <v>2027</v>
      </c>
      <c r="D813" t="str">
        <f>IF(PNL!D813="","",PNL!D813)</f>
        <v>V01</v>
      </c>
      <c r="E813">
        <f t="shared" si="0"/>
        <v>1</v>
      </c>
      <c r="F813">
        <f>IF($A813="","",IF($E813=1,_xlfn.SUMIFS(Comptabilité!$F$1:$F$1446,Comptabilité!$A$1:$A$1446,$A813,Comptabilité!$B$1:$B$1446,$B813,Comptabilité!$C$1:$C$1446,"2026"),0))</f>
        <v>400192.8</v>
      </c>
      <c r="G813">
        <f>IF($A813="","",IF($D813="V01",Cadrage!$C$23,IF($D813="V02",Cadrage!$D$23,Cadrage!$E$23)))</f>
        <v>0.08</v>
      </c>
      <c r="H813">
        <f>IF($A813="","",IF($D813="V01",Cadrage!$C$24,IF($D813="V02",Cadrage!$D$24,Cadrage!$E$24)))</f>
        <v>0.1</v>
      </c>
      <c r="I813">
        <f>IF($A813="","",IF($D813="V01",Cadrage!$C$34,IF($D813="V02",Cadrage!$D$34,Cadrage!$E$34)))</f>
        <v>0.02</v>
      </c>
      <c r="J813">
        <f>IF($A813="","",IF($D813="V01",Cadrage!$C$35,IF($D813="V02",Cadrage!$D$35,Cadrage!$E$35)))</f>
        <v>0.025</v>
      </c>
      <c r="K813">
        <f>IF($A813="","",IF($D813="V01",Cadrage!$C$36,IF($D813="V02",Cadrage!$D$36,Cadrage!$E$36)))</f>
        <v>0.04</v>
      </c>
      <c r="L813">
        <f>IF($A813="","",IF($D813="V01",Cadrage!$C$37,IF($D813="V02",Cadrage!$D$37,Cadrage!$E$37)))</f>
        <v>0.0185</v>
      </c>
      <c r="M813">
        <f>IF($A813="","",IF($D813="V01",Cadrage!$C$38,IF($D813="V02",Cadrage!$D$38,Cadrage!$E$38)))</f>
        <v>0</v>
      </c>
      <c r="N813">
        <f t="shared" si="1"/>
        <v>1.04903758953208</v>
      </c>
      <c r="O813">
        <f t="shared" si="2"/>
        <v>1.066</v>
      </c>
      <c r="P813">
        <f>IF($A813="","",IF($E813=1,$F813*$O813,PNL!G813))</f>
        <v>426605.5248</v>
      </c>
      <c r="T813">
        <f t="shared" si="3"/>
        <v>-426605.5248</v>
      </c>
    </row>
    <row r="814" ht="14.25" customHeight="1">
      <c r="A814" t="str">
        <f>IF(PNL!A814="","",PNL!A814)</f>
        <v>MBWAY_NAN</v>
      </c>
      <c r="B814" t="str">
        <f>IF(PNL!B814="","",PNL!B814)</f>
        <v>6411</v>
      </c>
      <c r="C814" t="str">
        <f>IF(PNL!C814="","",PNL!C814)</f>
        <v>2027</v>
      </c>
      <c r="D814" t="str">
        <f>IF(PNL!D814="","",PNL!D814)</f>
        <v>V01</v>
      </c>
      <c r="E814">
        <f t="shared" si="0"/>
        <v>1</v>
      </c>
      <c r="F814">
        <f>IF($A814="","",IF($E814=1,_xlfn.SUMIFS(Comptabilité!$F$1:$F$1446,Comptabilité!$A$1:$A$1446,$A814,Comptabilité!$B$1:$B$1446,$B814,Comptabilité!$C$1:$C$1446,"2026"),0))</f>
        <v>344252.4</v>
      </c>
      <c r="G814">
        <f>IF($A814="","",IF($D814="V01",Cadrage!$C$23,IF($D814="V02",Cadrage!$D$23,Cadrage!$E$23)))</f>
        <v>0.08</v>
      </c>
      <c r="H814">
        <f>IF($A814="","",IF($D814="V01",Cadrage!$C$24,IF($D814="V02",Cadrage!$D$24,Cadrage!$E$24)))</f>
        <v>0.1</v>
      </c>
      <c r="I814">
        <f>IF($A814="","",IF($D814="V01",Cadrage!$C$34,IF($D814="V02",Cadrage!$D$34,Cadrage!$E$34)))</f>
        <v>0.02</v>
      </c>
      <c r="J814">
        <f>IF($A814="","",IF($D814="V01",Cadrage!$C$35,IF($D814="V02",Cadrage!$D$35,Cadrage!$E$35)))</f>
        <v>0.025</v>
      </c>
      <c r="K814">
        <f>IF($A814="","",IF($D814="V01",Cadrage!$C$36,IF($D814="V02",Cadrage!$D$36,Cadrage!$E$36)))</f>
        <v>0.04</v>
      </c>
      <c r="L814">
        <f>IF($A814="","",IF($D814="V01",Cadrage!$C$37,IF($D814="V02",Cadrage!$D$37,Cadrage!$E$37)))</f>
        <v>0.0185</v>
      </c>
      <c r="M814">
        <f>IF($A814="","",IF($D814="V01",Cadrage!$C$38,IF($D814="V02",Cadrage!$D$38,Cadrage!$E$38)))</f>
        <v>0</v>
      </c>
      <c r="N814">
        <f t="shared" si="1"/>
        <v>1.04903758953208</v>
      </c>
      <c r="O814">
        <f t="shared" si="2"/>
        <v>1.066</v>
      </c>
      <c r="P814">
        <f>IF($A814="","",IF($E814=1,$F814*$O814,PNL!G814))</f>
        <v>366973.0584</v>
      </c>
      <c r="T814">
        <f t="shared" si="3"/>
        <v>-366973.0584</v>
      </c>
    </row>
    <row r="815" ht="14.25" customHeight="1">
      <c r="A815" t="str">
        <f>IF(PNL!A815="","",PNL!A815)</f>
        <v>MBWAY_PAR</v>
      </c>
      <c r="B815" t="str">
        <f>IF(PNL!B815="","",PNL!B815)</f>
        <v>6411</v>
      </c>
      <c r="C815" t="str">
        <f>IF(PNL!C815="","",PNL!C815)</f>
        <v>2027</v>
      </c>
      <c r="D815" t="str">
        <f>IF(PNL!D815="","",PNL!D815)</f>
        <v>V01</v>
      </c>
      <c r="E815">
        <f t="shared" si="0"/>
        <v>1</v>
      </c>
      <c r="F815">
        <f>IF($A815="","",IF($E815=1,_xlfn.SUMIFS(Comptabilité!$F$1:$F$1446,Comptabilité!$A$1:$A$1446,$A815,Comptabilité!$B$1:$B$1446,$B815,Comptabilité!$C$1:$C$1446,"2026"),0))</f>
        <v>502062.96</v>
      </c>
      <c r="G815">
        <f>IF($A815="","",IF($D815="V01",Cadrage!$C$23,IF($D815="V02",Cadrage!$D$23,Cadrage!$E$23)))</f>
        <v>0.08</v>
      </c>
      <c r="H815">
        <f>IF($A815="","",IF($D815="V01",Cadrage!$C$24,IF($D815="V02",Cadrage!$D$24,Cadrage!$E$24)))</f>
        <v>0.1</v>
      </c>
      <c r="I815">
        <f>IF($A815="","",IF($D815="V01",Cadrage!$C$34,IF($D815="V02",Cadrage!$D$34,Cadrage!$E$34)))</f>
        <v>0.02</v>
      </c>
      <c r="J815">
        <f>IF($A815="","",IF($D815="V01",Cadrage!$C$35,IF($D815="V02",Cadrage!$D$35,Cadrage!$E$35)))</f>
        <v>0.025</v>
      </c>
      <c r="K815">
        <f>IF($A815="","",IF($D815="V01",Cadrage!$C$36,IF($D815="V02",Cadrage!$D$36,Cadrage!$E$36)))</f>
        <v>0.04</v>
      </c>
      <c r="L815">
        <f>IF($A815="","",IF($D815="V01",Cadrage!$C$37,IF($D815="V02",Cadrage!$D$37,Cadrage!$E$37)))</f>
        <v>0.0185</v>
      </c>
      <c r="M815">
        <f>IF($A815="","",IF($D815="V01",Cadrage!$C$38,IF($D815="V02",Cadrage!$D$38,Cadrage!$E$38)))</f>
        <v>0</v>
      </c>
      <c r="N815">
        <f t="shared" si="1"/>
        <v>1.04903758953208</v>
      </c>
      <c r="O815">
        <f t="shared" si="2"/>
        <v>1.066</v>
      </c>
      <c r="P815">
        <f>IF($A815="","",IF($E815=1,$F815*$O815,PNL!G815))</f>
        <v>535199.11536</v>
      </c>
      <c r="T815">
        <f t="shared" si="3"/>
        <v>-535199.11536</v>
      </c>
    </row>
    <row r="816" ht="14.25" customHeight="1">
      <c r="A816" t="str">
        <f>IF(PNL!A816="","",PNL!A816)</f>
        <v>PIGIER_BOR</v>
      </c>
      <c r="B816" t="str">
        <f>IF(PNL!B816="","",PNL!B816)</f>
        <v>6411</v>
      </c>
      <c r="C816" t="str">
        <f>IF(PNL!C816="","",PNL!C816)</f>
        <v>2027</v>
      </c>
      <c r="D816" t="str">
        <f>IF(PNL!D816="","",PNL!D816)</f>
        <v>V01</v>
      </c>
      <c r="E816">
        <f t="shared" si="0"/>
        <v>1</v>
      </c>
      <c r="F816">
        <f>IF($A816="","",IF($E816=1,_xlfn.SUMIFS(Comptabilité!$F$1:$F$1446,Comptabilité!$A$1:$A$1446,$A816,Comptabilité!$B$1:$B$1446,$B816,Comptabilité!$C$1:$C$1446,"2026"),0))</f>
        <v>182756.35</v>
      </c>
      <c r="G816">
        <f>IF($A816="","",IF($D816="V01",Cadrage!$C$23,IF($D816="V02",Cadrage!$D$23,Cadrage!$E$23)))</f>
        <v>0.08</v>
      </c>
      <c r="H816">
        <f>IF($A816="","",IF($D816="V01",Cadrage!$C$24,IF($D816="V02",Cadrage!$D$24,Cadrage!$E$24)))</f>
        <v>0.1</v>
      </c>
      <c r="I816">
        <f>IF($A816="","",IF($D816="V01",Cadrage!$C$34,IF($D816="V02",Cadrage!$D$34,Cadrage!$E$34)))</f>
        <v>0.02</v>
      </c>
      <c r="J816">
        <f>IF($A816="","",IF($D816="V01",Cadrage!$C$35,IF($D816="V02",Cadrage!$D$35,Cadrage!$E$35)))</f>
        <v>0.025</v>
      </c>
      <c r="K816">
        <f>IF($A816="","",IF($D816="V01",Cadrage!$C$36,IF($D816="V02",Cadrage!$D$36,Cadrage!$E$36)))</f>
        <v>0.04</v>
      </c>
      <c r="L816">
        <f>IF($A816="","",IF($D816="V01",Cadrage!$C$37,IF($D816="V02",Cadrage!$D$37,Cadrage!$E$37)))</f>
        <v>0.0185</v>
      </c>
      <c r="M816">
        <f>IF($A816="","",IF($D816="V01",Cadrage!$C$38,IF($D816="V02",Cadrage!$D$38,Cadrage!$E$38)))</f>
        <v>0</v>
      </c>
      <c r="N816">
        <f t="shared" si="1"/>
        <v>1.04903758953208</v>
      </c>
      <c r="O816">
        <f t="shared" si="2"/>
        <v>1.066</v>
      </c>
      <c r="P816">
        <f>IF($A816="","",IF($E816=1,$F816*$O816,PNL!G816))</f>
        <v>194818.2691</v>
      </c>
      <c r="T816">
        <f t="shared" si="3"/>
        <v>-194818.2691</v>
      </c>
    </row>
    <row r="817" ht="14.25" customHeight="1">
      <c r="A817" t="str">
        <f>IF(PNL!A817="","",PNL!A817)</f>
        <v>PIGIER_LYO</v>
      </c>
      <c r="B817" t="str">
        <f>IF(PNL!B817="","",PNL!B817)</f>
        <v>6411</v>
      </c>
      <c r="C817" t="str">
        <f>IF(PNL!C817="","",PNL!C817)</f>
        <v>2027</v>
      </c>
      <c r="D817" t="str">
        <f>IF(PNL!D817="","",PNL!D817)</f>
        <v>V01</v>
      </c>
      <c r="E817">
        <f t="shared" si="0"/>
        <v>1</v>
      </c>
      <c r="F817">
        <f>IF($A817="","",IF($E817=1,_xlfn.SUMIFS(Comptabilité!$F$1:$F$1446,Comptabilité!$A$1:$A$1446,$A817,Comptabilité!$B$1:$B$1446,$B817,Comptabilité!$C$1:$C$1446,"2026"),0))</f>
        <v>241308.7</v>
      </c>
      <c r="G817">
        <f>IF($A817="","",IF($D817="V01",Cadrage!$C$23,IF($D817="V02",Cadrage!$D$23,Cadrage!$E$23)))</f>
        <v>0.08</v>
      </c>
      <c r="H817">
        <f>IF($A817="","",IF($D817="V01",Cadrage!$C$24,IF($D817="V02",Cadrage!$D$24,Cadrage!$E$24)))</f>
        <v>0.1</v>
      </c>
      <c r="I817">
        <f>IF($A817="","",IF($D817="V01",Cadrage!$C$34,IF($D817="V02",Cadrage!$D$34,Cadrage!$E$34)))</f>
        <v>0.02</v>
      </c>
      <c r="J817">
        <f>IF($A817="","",IF($D817="V01",Cadrage!$C$35,IF($D817="V02",Cadrage!$D$35,Cadrage!$E$35)))</f>
        <v>0.025</v>
      </c>
      <c r="K817">
        <f>IF($A817="","",IF($D817="V01",Cadrage!$C$36,IF($D817="V02",Cadrage!$D$36,Cadrage!$E$36)))</f>
        <v>0.04</v>
      </c>
      <c r="L817">
        <f>IF($A817="","",IF($D817="V01",Cadrage!$C$37,IF($D817="V02",Cadrage!$D$37,Cadrage!$E$37)))</f>
        <v>0.0185</v>
      </c>
      <c r="M817">
        <f>IF($A817="","",IF($D817="V01",Cadrage!$C$38,IF($D817="V02",Cadrage!$D$38,Cadrage!$E$38)))</f>
        <v>0</v>
      </c>
      <c r="N817">
        <f t="shared" si="1"/>
        <v>1.04903758953208</v>
      </c>
      <c r="O817">
        <f t="shared" si="2"/>
        <v>1.066</v>
      </c>
      <c r="P817">
        <f>IF($A817="","",IF($E817=1,$F817*$O817,PNL!G817))</f>
        <v>257235.0742</v>
      </c>
      <c r="T817">
        <f t="shared" si="3"/>
        <v>-257235.0742</v>
      </c>
    </row>
    <row r="818" ht="14.25" customHeight="1">
      <c r="A818" t="str">
        <f>IF(PNL!A818="","",PNL!A818)</f>
        <v>TUNON_LYO</v>
      </c>
      <c r="B818" t="str">
        <f>IF(PNL!B818="","",PNL!B818)</f>
        <v>6411</v>
      </c>
      <c r="C818" t="str">
        <f>IF(PNL!C818="","",PNL!C818)</f>
        <v>2027</v>
      </c>
      <c r="D818" t="str">
        <f>IF(PNL!D818="","",PNL!D818)</f>
        <v>V01</v>
      </c>
      <c r="E818">
        <f t="shared" si="0"/>
        <v>1</v>
      </c>
      <c r="F818">
        <f>IF($A818="","",IF($E818=1,_xlfn.SUMIFS(Comptabilité!$F$1:$F$1446,Comptabilité!$A$1:$A$1446,$A818,Comptabilité!$B$1:$B$1446,$B818,Comptabilité!$C$1:$C$1446,"2026"),0))</f>
        <v>185947.72</v>
      </c>
      <c r="G818">
        <f>IF($A818="","",IF($D818="V01",Cadrage!$C$23,IF($D818="V02",Cadrage!$D$23,Cadrage!$E$23)))</f>
        <v>0.08</v>
      </c>
      <c r="H818">
        <f>IF($A818="","",IF($D818="V01",Cadrage!$C$24,IF($D818="V02",Cadrage!$D$24,Cadrage!$E$24)))</f>
        <v>0.1</v>
      </c>
      <c r="I818">
        <f>IF($A818="","",IF($D818="V01",Cadrage!$C$34,IF($D818="V02",Cadrage!$D$34,Cadrage!$E$34)))</f>
        <v>0.02</v>
      </c>
      <c r="J818">
        <f>IF($A818="","",IF($D818="V01",Cadrage!$C$35,IF($D818="V02",Cadrage!$D$35,Cadrage!$E$35)))</f>
        <v>0.025</v>
      </c>
      <c r="K818">
        <f>IF($A818="","",IF($D818="V01",Cadrage!$C$36,IF($D818="V02",Cadrage!$D$36,Cadrage!$E$36)))</f>
        <v>0.04</v>
      </c>
      <c r="L818">
        <f>IF($A818="","",IF($D818="V01",Cadrage!$C$37,IF($D818="V02",Cadrage!$D$37,Cadrage!$E$37)))</f>
        <v>0.0185</v>
      </c>
      <c r="M818">
        <f>IF($A818="","",IF($D818="V01",Cadrage!$C$38,IF($D818="V02",Cadrage!$D$38,Cadrage!$E$38)))</f>
        <v>0</v>
      </c>
      <c r="N818">
        <f t="shared" si="1"/>
        <v>1.04903758953208</v>
      </c>
      <c r="O818">
        <f t="shared" si="2"/>
        <v>1.066</v>
      </c>
      <c r="P818">
        <f>IF($A818="","",IF($E818=1,$F818*$O818,PNL!G818))</f>
        <v>198220.26952</v>
      </c>
      <c r="T818">
        <f t="shared" si="3"/>
        <v>-198220.26952</v>
      </c>
    </row>
    <row r="819" ht="14.25" customHeight="1">
      <c r="A819" t="str">
        <f>IF(PNL!A819="","",PNL!A819)</f>
        <v>TUNON_PAR</v>
      </c>
      <c r="B819" t="str">
        <f>IF(PNL!B819="","",PNL!B819)</f>
        <v>6411</v>
      </c>
      <c r="C819" t="str">
        <f>IF(PNL!C819="","",PNL!C819)</f>
        <v>2027</v>
      </c>
      <c r="D819" t="str">
        <f>IF(PNL!D819="","",PNL!D819)</f>
        <v>V01</v>
      </c>
      <c r="E819">
        <f t="shared" si="0"/>
        <v>1</v>
      </c>
      <c r="F819">
        <f>IF($A819="","",IF($E819=1,_xlfn.SUMIFS(Comptabilité!$F$1:$F$1446,Comptabilité!$A$1:$A$1446,$A819,Comptabilité!$B$1:$B$1446,$B819,Comptabilité!$C$1:$C$1446,"2026"),0))</f>
        <v>223369.51</v>
      </c>
      <c r="G819">
        <f>IF($A819="","",IF($D819="V01",Cadrage!$C$23,IF($D819="V02",Cadrage!$D$23,Cadrage!$E$23)))</f>
        <v>0.08</v>
      </c>
      <c r="H819">
        <f>IF($A819="","",IF($D819="V01",Cadrage!$C$24,IF($D819="V02",Cadrage!$D$24,Cadrage!$E$24)))</f>
        <v>0.1</v>
      </c>
      <c r="I819">
        <f>IF($A819="","",IF($D819="V01",Cadrage!$C$34,IF($D819="V02",Cadrage!$D$34,Cadrage!$E$34)))</f>
        <v>0.02</v>
      </c>
      <c r="J819">
        <f>IF($A819="","",IF($D819="V01",Cadrage!$C$35,IF($D819="V02",Cadrage!$D$35,Cadrage!$E$35)))</f>
        <v>0.025</v>
      </c>
      <c r="K819">
        <f>IF($A819="","",IF($D819="V01",Cadrage!$C$36,IF($D819="V02",Cadrage!$D$36,Cadrage!$E$36)))</f>
        <v>0.04</v>
      </c>
      <c r="L819">
        <f>IF($A819="","",IF($D819="V01",Cadrage!$C$37,IF($D819="V02",Cadrage!$D$37,Cadrage!$E$37)))</f>
        <v>0.0185</v>
      </c>
      <c r="M819">
        <f>IF($A819="","",IF($D819="V01",Cadrage!$C$38,IF($D819="V02",Cadrage!$D$38,Cadrage!$E$38)))</f>
        <v>0</v>
      </c>
      <c r="N819">
        <f t="shared" si="1"/>
        <v>1.04903758953208</v>
      </c>
      <c r="O819">
        <f t="shared" si="2"/>
        <v>1.066</v>
      </c>
      <c r="P819">
        <f>IF($A819="","",IF($E819=1,$F819*$O819,PNL!G819))</f>
        <v>238111.89766</v>
      </c>
      <c r="T819">
        <f t="shared" si="3"/>
        <v>-238111.89766</v>
      </c>
    </row>
    <row r="820" ht="14.25" customHeight="1">
      <c r="A820" t="str">
        <f>IF(PNL!A820="","",PNL!A820)</f>
        <v>IPAC_MTP</v>
      </c>
      <c r="B820" t="str">
        <f>IF(PNL!B820="","",PNL!B820)</f>
        <v>6413</v>
      </c>
      <c r="C820" t="str">
        <f>IF(PNL!C820="","",PNL!C820)</f>
        <v>2027</v>
      </c>
      <c r="D820" t="str">
        <f>IF(PNL!D820="","",PNL!D820)</f>
        <v>V01</v>
      </c>
      <c r="E820">
        <f t="shared" si="0"/>
        <v>1</v>
      </c>
      <c r="F820">
        <f>IF($A820="","",IF($E820=1,_xlfn.SUMIFS(Comptabilité!$F$1:$F$1446,Comptabilité!$A$1:$A$1446,$A820,Comptabilité!$B$1:$B$1446,$B820,Comptabilité!$C$1:$C$1446,"2026"),0))</f>
        <v>60159.5</v>
      </c>
      <c r="G820">
        <f>IF($A820="","",IF($D820="V01",Cadrage!$C$23,IF($D820="V02",Cadrage!$D$23,Cadrage!$E$23)))</f>
        <v>0.08</v>
      </c>
      <c r="H820">
        <f>IF($A820="","",IF($D820="V01",Cadrage!$C$24,IF($D820="V02",Cadrage!$D$24,Cadrage!$E$24)))</f>
        <v>0.1</v>
      </c>
      <c r="I820">
        <f>IF($A820="","",IF($D820="V01",Cadrage!$C$34,IF($D820="V02",Cadrage!$D$34,Cadrage!$E$34)))</f>
        <v>0.02</v>
      </c>
      <c r="J820">
        <f>IF($A820="","",IF($D820="V01",Cadrage!$C$35,IF($D820="V02",Cadrage!$D$35,Cadrage!$E$35)))</f>
        <v>0.025</v>
      </c>
      <c r="K820">
        <f>IF($A820="","",IF($D820="V01",Cadrage!$C$36,IF($D820="V02",Cadrage!$D$36,Cadrage!$E$36)))</f>
        <v>0.04</v>
      </c>
      <c r="L820">
        <f>IF($A820="","",IF($D820="V01",Cadrage!$C$37,IF($D820="V02",Cadrage!$D$37,Cadrage!$E$37)))</f>
        <v>0.0185</v>
      </c>
      <c r="M820">
        <f>IF($A820="","",IF($D820="V01",Cadrage!$C$38,IF($D820="V02",Cadrage!$D$38,Cadrage!$E$38)))</f>
        <v>0</v>
      </c>
      <c r="N820">
        <f t="shared" si="1"/>
        <v>1.04903758953208</v>
      </c>
      <c r="O820">
        <f t="shared" si="2"/>
        <v>1.066</v>
      </c>
      <c r="P820">
        <f>IF($A820="","",IF($E820=1,$F820*$O820,PNL!G820))</f>
        <v>64130.027</v>
      </c>
      <c r="T820">
        <f t="shared" si="3"/>
        <v>-64130.027</v>
      </c>
    </row>
    <row r="821" ht="14.25" customHeight="1">
      <c r="A821" t="str">
        <f>IF(PNL!A821="","",PNL!A821)</f>
        <v>IPAC_NAN</v>
      </c>
      <c r="B821" t="str">
        <f>IF(PNL!B821="","",PNL!B821)</f>
        <v>6413</v>
      </c>
      <c r="C821" t="str">
        <f>IF(PNL!C821="","",PNL!C821)</f>
        <v>2027</v>
      </c>
      <c r="D821" t="str">
        <f>IF(PNL!D821="","",PNL!D821)</f>
        <v>V01</v>
      </c>
      <c r="E821">
        <f t="shared" si="0"/>
        <v>1</v>
      </c>
      <c r="F821">
        <f>IF($A821="","",IF($E821=1,_xlfn.SUMIFS(Comptabilité!$F$1:$F$1446,Comptabilité!$A$1:$A$1446,$A821,Comptabilité!$B$1:$B$1446,$B821,Comptabilité!$C$1:$C$1446,"2026"),0))</f>
        <v>92140.18</v>
      </c>
      <c r="G821">
        <f>IF($A821="","",IF($D821="V01",Cadrage!$C$23,IF($D821="V02",Cadrage!$D$23,Cadrage!$E$23)))</f>
        <v>0.08</v>
      </c>
      <c r="H821">
        <f>IF($A821="","",IF($D821="V01",Cadrage!$C$24,IF($D821="V02",Cadrage!$D$24,Cadrage!$E$24)))</f>
        <v>0.1</v>
      </c>
      <c r="I821">
        <f>IF($A821="","",IF($D821="V01",Cadrage!$C$34,IF($D821="V02",Cadrage!$D$34,Cadrage!$E$34)))</f>
        <v>0.02</v>
      </c>
      <c r="J821">
        <f>IF($A821="","",IF($D821="V01",Cadrage!$C$35,IF($D821="V02",Cadrage!$D$35,Cadrage!$E$35)))</f>
        <v>0.025</v>
      </c>
      <c r="K821">
        <f>IF($A821="","",IF($D821="V01",Cadrage!$C$36,IF($D821="V02",Cadrage!$D$36,Cadrage!$E$36)))</f>
        <v>0.04</v>
      </c>
      <c r="L821">
        <f>IF($A821="","",IF($D821="V01",Cadrage!$C$37,IF($D821="V02",Cadrage!$D$37,Cadrage!$E$37)))</f>
        <v>0.0185</v>
      </c>
      <c r="M821">
        <f>IF($A821="","",IF($D821="V01",Cadrage!$C$38,IF($D821="V02",Cadrage!$D$38,Cadrage!$E$38)))</f>
        <v>0</v>
      </c>
      <c r="N821">
        <f t="shared" si="1"/>
        <v>1.04903758953208</v>
      </c>
      <c r="O821">
        <f t="shared" si="2"/>
        <v>1.066</v>
      </c>
      <c r="P821">
        <f>IF($A821="","",IF($E821=1,$F821*$O821,PNL!G821))</f>
        <v>98221.43188</v>
      </c>
      <c r="T821">
        <f t="shared" si="3"/>
        <v>-98221.43188</v>
      </c>
    </row>
    <row r="822" ht="14.25" customHeight="1">
      <c r="A822" t="str">
        <f>IF(PNL!A822="","",PNL!A822)</f>
        <v>IPAC_REN</v>
      </c>
      <c r="B822" t="str">
        <f>IF(PNL!B822="","",PNL!B822)</f>
        <v>6413</v>
      </c>
      <c r="C822" t="str">
        <f>IF(PNL!C822="","",PNL!C822)</f>
        <v>2027</v>
      </c>
      <c r="D822" t="str">
        <f>IF(PNL!D822="","",PNL!D822)</f>
        <v>V01</v>
      </c>
      <c r="E822">
        <f t="shared" si="0"/>
        <v>1</v>
      </c>
      <c r="F822">
        <f>IF($A822="","",IF($E822=1,_xlfn.SUMIFS(Comptabilité!$F$1:$F$1446,Comptabilité!$A$1:$A$1446,$A822,Comptabilité!$B$1:$B$1446,$B822,Comptabilité!$C$1:$C$1446,"2026"),0))</f>
        <v>60195.4</v>
      </c>
      <c r="G822">
        <f>IF($A822="","",IF($D822="V01",Cadrage!$C$23,IF($D822="V02",Cadrage!$D$23,Cadrage!$E$23)))</f>
        <v>0.08</v>
      </c>
      <c r="H822">
        <f>IF($A822="","",IF($D822="V01",Cadrage!$C$24,IF($D822="V02",Cadrage!$D$24,Cadrage!$E$24)))</f>
        <v>0.1</v>
      </c>
      <c r="I822">
        <f>IF($A822="","",IF($D822="V01",Cadrage!$C$34,IF($D822="V02",Cadrage!$D$34,Cadrage!$E$34)))</f>
        <v>0.02</v>
      </c>
      <c r="J822">
        <f>IF($A822="","",IF($D822="V01",Cadrage!$C$35,IF($D822="V02",Cadrage!$D$35,Cadrage!$E$35)))</f>
        <v>0.025</v>
      </c>
      <c r="K822">
        <f>IF($A822="","",IF($D822="V01",Cadrage!$C$36,IF($D822="V02",Cadrage!$D$36,Cadrage!$E$36)))</f>
        <v>0.04</v>
      </c>
      <c r="L822">
        <f>IF($A822="","",IF($D822="V01",Cadrage!$C$37,IF($D822="V02",Cadrage!$D$37,Cadrage!$E$37)))</f>
        <v>0.0185</v>
      </c>
      <c r="M822">
        <f>IF($A822="","",IF($D822="V01",Cadrage!$C$38,IF($D822="V02",Cadrage!$D$38,Cadrage!$E$38)))</f>
        <v>0</v>
      </c>
      <c r="N822">
        <f t="shared" si="1"/>
        <v>1.04903758953208</v>
      </c>
      <c r="O822">
        <f t="shared" si="2"/>
        <v>1.066</v>
      </c>
      <c r="P822">
        <f>IF($A822="","",IF($E822=1,$F822*$O822,PNL!G822))</f>
        <v>64168.2964</v>
      </c>
      <c r="T822">
        <f t="shared" si="3"/>
        <v>-64168.2964</v>
      </c>
    </row>
    <row r="823" ht="14.25" customHeight="1">
      <c r="A823" t="str">
        <f>IF(PNL!A823="","",PNL!A823)</f>
        <v>ISCOM_LIL</v>
      </c>
      <c r="B823" t="str">
        <f>IF(PNL!B823="","",PNL!B823)</f>
        <v>6413</v>
      </c>
      <c r="C823" t="str">
        <f>IF(PNL!C823="","",PNL!C823)</f>
        <v>2027</v>
      </c>
      <c r="D823" t="str">
        <f>IF(PNL!D823="","",PNL!D823)</f>
        <v>V01</v>
      </c>
      <c r="E823">
        <f t="shared" si="0"/>
        <v>1</v>
      </c>
      <c r="F823">
        <f>IF($A823="","",IF($E823=1,_xlfn.SUMIFS(Comptabilité!$F$1:$F$1446,Comptabilité!$A$1:$A$1446,$A823,Comptabilité!$B$1:$B$1446,$B823,Comptabilité!$C$1:$C$1446,"2026"),0))</f>
        <v>157464.43</v>
      </c>
      <c r="G823">
        <f>IF($A823="","",IF($D823="V01",Cadrage!$C$23,IF($D823="V02",Cadrage!$D$23,Cadrage!$E$23)))</f>
        <v>0.08</v>
      </c>
      <c r="H823">
        <f>IF($A823="","",IF($D823="V01",Cadrage!$C$24,IF($D823="V02",Cadrage!$D$24,Cadrage!$E$24)))</f>
        <v>0.1</v>
      </c>
      <c r="I823">
        <f>IF($A823="","",IF($D823="V01",Cadrage!$C$34,IF($D823="V02",Cadrage!$D$34,Cadrage!$E$34)))</f>
        <v>0.02</v>
      </c>
      <c r="J823">
        <f>IF($A823="","",IF($D823="V01",Cadrage!$C$35,IF($D823="V02",Cadrage!$D$35,Cadrage!$E$35)))</f>
        <v>0.025</v>
      </c>
      <c r="K823">
        <f>IF($A823="","",IF($D823="V01",Cadrage!$C$36,IF($D823="V02",Cadrage!$D$36,Cadrage!$E$36)))</f>
        <v>0.04</v>
      </c>
      <c r="L823">
        <f>IF($A823="","",IF($D823="V01",Cadrage!$C$37,IF($D823="V02",Cadrage!$D$37,Cadrage!$E$37)))</f>
        <v>0.0185</v>
      </c>
      <c r="M823">
        <f>IF($A823="","",IF($D823="V01",Cadrage!$C$38,IF($D823="V02",Cadrage!$D$38,Cadrage!$E$38)))</f>
        <v>0</v>
      </c>
      <c r="N823">
        <f t="shared" si="1"/>
        <v>1.04903758953208</v>
      </c>
      <c r="O823">
        <f t="shared" si="2"/>
        <v>1.066</v>
      </c>
      <c r="P823">
        <f>IF($A823="","",IF($E823=1,$F823*$O823,PNL!G823))</f>
        <v>167857.08238</v>
      </c>
      <c r="T823">
        <f t="shared" si="3"/>
        <v>-167857.08238</v>
      </c>
    </row>
    <row r="824" ht="14.25" customHeight="1">
      <c r="A824" t="str">
        <f>IF(PNL!A824="","",PNL!A824)</f>
        <v>ISCOM_PAR</v>
      </c>
      <c r="B824" t="str">
        <f>IF(PNL!B824="","",PNL!B824)</f>
        <v>6413</v>
      </c>
      <c r="C824" t="str">
        <f>IF(PNL!C824="","",PNL!C824)</f>
        <v>2027</v>
      </c>
      <c r="D824" t="str">
        <f>IF(PNL!D824="","",PNL!D824)</f>
        <v>V01</v>
      </c>
      <c r="E824">
        <f t="shared" si="0"/>
        <v>1</v>
      </c>
      <c r="F824">
        <f>IF($A824="","",IF($E824=1,_xlfn.SUMIFS(Comptabilité!$F$1:$F$1446,Comptabilité!$A$1:$A$1446,$A824,Comptabilité!$B$1:$B$1446,$B824,Comptabilité!$C$1:$C$1446,"2026"),0))</f>
        <v>261113.4</v>
      </c>
      <c r="G824">
        <f>IF($A824="","",IF($D824="V01",Cadrage!$C$23,IF($D824="V02",Cadrage!$D$23,Cadrage!$E$23)))</f>
        <v>0.08</v>
      </c>
      <c r="H824">
        <f>IF($A824="","",IF($D824="V01",Cadrage!$C$24,IF($D824="V02",Cadrage!$D$24,Cadrage!$E$24)))</f>
        <v>0.1</v>
      </c>
      <c r="I824">
        <f>IF($A824="","",IF($D824="V01",Cadrage!$C$34,IF($D824="V02",Cadrage!$D$34,Cadrage!$E$34)))</f>
        <v>0.02</v>
      </c>
      <c r="J824">
        <f>IF($A824="","",IF($D824="V01",Cadrage!$C$35,IF($D824="V02",Cadrage!$D$35,Cadrage!$E$35)))</f>
        <v>0.025</v>
      </c>
      <c r="K824">
        <f>IF($A824="","",IF($D824="V01",Cadrage!$C$36,IF($D824="V02",Cadrage!$D$36,Cadrage!$E$36)))</f>
        <v>0.04</v>
      </c>
      <c r="L824">
        <f>IF($A824="","",IF($D824="V01",Cadrage!$C$37,IF($D824="V02",Cadrage!$D$37,Cadrage!$E$37)))</f>
        <v>0.0185</v>
      </c>
      <c r="M824">
        <f>IF($A824="","",IF($D824="V01",Cadrage!$C$38,IF($D824="V02",Cadrage!$D$38,Cadrage!$E$38)))</f>
        <v>0</v>
      </c>
      <c r="N824">
        <f t="shared" si="1"/>
        <v>1.04903758953208</v>
      </c>
      <c r="O824">
        <f t="shared" si="2"/>
        <v>1.066</v>
      </c>
      <c r="P824">
        <f>IF($A824="","",IF($E824=1,$F824*$O824,PNL!G824))</f>
        <v>278346.8844</v>
      </c>
      <c r="T824">
        <f t="shared" si="3"/>
        <v>-278346.8844</v>
      </c>
    </row>
    <row r="825" ht="14.25" customHeight="1">
      <c r="A825" t="str">
        <f>IF(PNL!A825="","",PNL!A825)</f>
        <v>ISCOM_TLS</v>
      </c>
      <c r="B825" t="str">
        <f>IF(PNL!B825="","",PNL!B825)</f>
        <v>6413</v>
      </c>
      <c r="C825" t="str">
        <f>IF(PNL!C825="","",PNL!C825)</f>
        <v>2027</v>
      </c>
      <c r="D825" t="str">
        <f>IF(PNL!D825="","",PNL!D825)</f>
        <v>V01</v>
      </c>
      <c r="E825">
        <f t="shared" si="0"/>
        <v>1</v>
      </c>
      <c r="F825">
        <f>IF($A825="","",IF($E825=1,_xlfn.SUMIFS(Comptabilité!$F$1:$F$1446,Comptabilité!$A$1:$A$1446,$A825,Comptabilité!$B$1:$B$1446,$B825,Comptabilité!$C$1:$C$1446,"2026"),0))</f>
        <v>140180.27</v>
      </c>
      <c r="G825">
        <f>IF($A825="","",IF($D825="V01",Cadrage!$C$23,IF($D825="V02",Cadrage!$D$23,Cadrage!$E$23)))</f>
        <v>0.08</v>
      </c>
      <c r="H825">
        <f>IF($A825="","",IF($D825="V01",Cadrage!$C$24,IF($D825="V02",Cadrage!$D$24,Cadrage!$E$24)))</f>
        <v>0.1</v>
      </c>
      <c r="I825">
        <f>IF($A825="","",IF($D825="V01",Cadrage!$C$34,IF($D825="V02",Cadrage!$D$34,Cadrage!$E$34)))</f>
        <v>0.02</v>
      </c>
      <c r="J825">
        <f>IF($A825="","",IF($D825="V01",Cadrage!$C$35,IF($D825="V02",Cadrage!$D$35,Cadrage!$E$35)))</f>
        <v>0.025</v>
      </c>
      <c r="K825">
        <f>IF($A825="","",IF($D825="V01",Cadrage!$C$36,IF($D825="V02",Cadrage!$D$36,Cadrage!$E$36)))</f>
        <v>0.04</v>
      </c>
      <c r="L825">
        <f>IF($A825="","",IF($D825="V01",Cadrage!$C$37,IF($D825="V02",Cadrage!$D$37,Cadrage!$E$37)))</f>
        <v>0.0185</v>
      </c>
      <c r="M825">
        <f>IF($A825="","",IF($D825="V01",Cadrage!$C$38,IF($D825="V02",Cadrage!$D$38,Cadrage!$E$38)))</f>
        <v>0</v>
      </c>
      <c r="N825">
        <f t="shared" si="1"/>
        <v>1.04903758953208</v>
      </c>
      <c r="O825">
        <f t="shared" si="2"/>
        <v>1.066</v>
      </c>
      <c r="P825">
        <f>IF($A825="","",IF($E825=1,$F825*$O825,PNL!G825))</f>
        <v>149432.16782</v>
      </c>
      <c r="T825">
        <f t="shared" si="3"/>
        <v>-149432.16782</v>
      </c>
    </row>
    <row r="826" ht="14.25" customHeight="1">
      <c r="A826" t="str">
        <f>IF(PNL!A826="","",PNL!A826)</f>
        <v>MBWAY_BOR</v>
      </c>
      <c r="B826" t="str">
        <f>IF(PNL!B826="","",PNL!B826)</f>
        <v>6413</v>
      </c>
      <c r="C826" t="str">
        <f>IF(PNL!C826="","",PNL!C826)</f>
        <v>2027</v>
      </c>
      <c r="D826" t="str">
        <f>IF(PNL!D826="","",PNL!D826)</f>
        <v>V01</v>
      </c>
      <c r="E826">
        <f t="shared" si="0"/>
        <v>1</v>
      </c>
      <c r="F826">
        <f>IF($A826="","",IF($E826=1,_xlfn.SUMIFS(Comptabilité!$F$1:$F$1446,Comptabilité!$A$1:$A$1446,$A826,Comptabilité!$B$1:$B$1446,$B826,Comptabilité!$C$1:$C$1446,"2026"),0))</f>
        <v>158245.25</v>
      </c>
      <c r="G826">
        <f>IF($A826="","",IF($D826="V01",Cadrage!$C$23,IF($D826="V02",Cadrage!$D$23,Cadrage!$E$23)))</f>
        <v>0.08</v>
      </c>
      <c r="H826">
        <f>IF($A826="","",IF($D826="V01",Cadrage!$C$24,IF($D826="V02",Cadrage!$D$24,Cadrage!$E$24)))</f>
        <v>0.1</v>
      </c>
      <c r="I826">
        <f>IF($A826="","",IF($D826="V01",Cadrage!$C$34,IF($D826="V02",Cadrage!$D$34,Cadrage!$E$34)))</f>
        <v>0.02</v>
      </c>
      <c r="J826">
        <f>IF($A826="","",IF($D826="V01",Cadrage!$C$35,IF($D826="V02",Cadrage!$D$35,Cadrage!$E$35)))</f>
        <v>0.025</v>
      </c>
      <c r="K826">
        <f>IF($A826="","",IF($D826="V01",Cadrage!$C$36,IF($D826="V02",Cadrage!$D$36,Cadrage!$E$36)))</f>
        <v>0.04</v>
      </c>
      <c r="L826">
        <f>IF($A826="","",IF($D826="V01",Cadrage!$C$37,IF($D826="V02",Cadrage!$D$37,Cadrage!$E$37)))</f>
        <v>0.0185</v>
      </c>
      <c r="M826">
        <f>IF($A826="","",IF($D826="V01",Cadrage!$C$38,IF($D826="V02",Cadrage!$D$38,Cadrage!$E$38)))</f>
        <v>0</v>
      </c>
      <c r="N826">
        <f t="shared" si="1"/>
        <v>1.04903758953208</v>
      </c>
      <c r="O826">
        <f t="shared" si="2"/>
        <v>1.066</v>
      </c>
      <c r="P826">
        <f>IF($A826="","",IF($E826=1,$F826*$O826,PNL!G826))</f>
        <v>168689.4365</v>
      </c>
      <c r="T826">
        <f t="shared" si="3"/>
        <v>-168689.4365</v>
      </c>
    </row>
    <row r="827" ht="14.25" customHeight="1">
      <c r="A827" t="str">
        <f>IF(PNL!A827="","",PNL!A827)</f>
        <v>MBWAY_LYO</v>
      </c>
      <c r="B827" t="str">
        <f>IF(PNL!B827="","",PNL!B827)</f>
        <v>6413</v>
      </c>
      <c r="C827" t="str">
        <f>IF(PNL!C827="","",PNL!C827)</f>
        <v>2027</v>
      </c>
      <c r="D827" t="str">
        <f>IF(PNL!D827="","",PNL!D827)</f>
        <v>V01</v>
      </c>
      <c r="E827">
        <f t="shared" si="0"/>
        <v>1</v>
      </c>
      <c r="F827">
        <f>IF($A827="","",IF($E827=1,_xlfn.SUMIFS(Comptabilité!$F$1:$F$1446,Comptabilité!$A$1:$A$1446,$A827,Comptabilité!$B$1:$B$1446,$B827,Comptabilité!$C$1:$C$1446,"2026"),0))</f>
        <v>226112.25</v>
      </c>
      <c r="G827">
        <f>IF($A827="","",IF($D827="V01",Cadrage!$C$23,IF($D827="V02",Cadrage!$D$23,Cadrage!$E$23)))</f>
        <v>0.08</v>
      </c>
      <c r="H827">
        <f>IF($A827="","",IF($D827="V01",Cadrage!$C$24,IF($D827="V02",Cadrage!$D$24,Cadrage!$E$24)))</f>
        <v>0.1</v>
      </c>
      <c r="I827">
        <f>IF($A827="","",IF($D827="V01",Cadrage!$C$34,IF($D827="V02",Cadrage!$D$34,Cadrage!$E$34)))</f>
        <v>0.02</v>
      </c>
      <c r="J827">
        <f>IF($A827="","",IF($D827="V01",Cadrage!$C$35,IF($D827="V02",Cadrage!$D$35,Cadrage!$E$35)))</f>
        <v>0.025</v>
      </c>
      <c r="K827">
        <f>IF($A827="","",IF($D827="V01",Cadrage!$C$36,IF($D827="V02",Cadrage!$D$36,Cadrage!$E$36)))</f>
        <v>0.04</v>
      </c>
      <c r="L827">
        <f>IF($A827="","",IF($D827="V01",Cadrage!$C$37,IF($D827="V02",Cadrage!$D$37,Cadrage!$E$37)))</f>
        <v>0.0185</v>
      </c>
      <c r="M827">
        <f>IF($A827="","",IF($D827="V01",Cadrage!$C$38,IF($D827="V02",Cadrage!$D$38,Cadrage!$E$38)))</f>
        <v>0</v>
      </c>
      <c r="N827">
        <f t="shared" si="1"/>
        <v>1.04903758953208</v>
      </c>
      <c r="O827">
        <f t="shared" si="2"/>
        <v>1.066</v>
      </c>
      <c r="P827">
        <f>IF($A827="","",IF($E827=1,$F827*$O827,PNL!G827))</f>
        <v>241035.6585</v>
      </c>
      <c r="T827">
        <f t="shared" si="3"/>
        <v>-241035.6585</v>
      </c>
    </row>
    <row r="828" ht="14.25" customHeight="1">
      <c r="A828" t="str">
        <f>IF(PNL!A828="","",PNL!A828)</f>
        <v>MBWAY_NAN</v>
      </c>
      <c r="B828" t="str">
        <f>IF(PNL!B828="","",PNL!B828)</f>
        <v>6413</v>
      </c>
      <c r="C828" t="str">
        <f>IF(PNL!C828="","",PNL!C828)</f>
        <v>2027</v>
      </c>
      <c r="D828" t="str">
        <f>IF(PNL!D828="","",PNL!D828)</f>
        <v>V01</v>
      </c>
      <c r="E828">
        <f t="shared" si="0"/>
        <v>1</v>
      </c>
      <c r="F828">
        <f>IF($A828="","",IF($E828=1,_xlfn.SUMIFS(Comptabilité!$F$1:$F$1446,Comptabilité!$A$1:$A$1446,$A828,Comptabilité!$B$1:$B$1446,$B828,Comptabilité!$C$1:$C$1446,"2026"),0))</f>
        <v>191202.82</v>
      </c>
      <c r="G828">
        <f>IF($A828="","",IF($D828="V01",Cadrage!$C$23,IF($D828="V02",Cadrage!$D$23,Cadrage!$E$23)))</f>
        <v>0.08</v>
      </c>
      <c r="H828">
        <f>IF($A828="","",IF($D828="V01",Cadrage!$C$24,IF($D828="V02",Cadrage!$D$24,Cadrage!$E$24)))</f>
        <v>0.1</v>
      </c>
      <c r="I828">
        <f>IF($A828="","",IF($D828="V01",Cadrage!$C$34,IF($D828="V02",Cadrage!$D$34,Cadrage!$E$34)))</f>
        <v>0.02</v>
      </c>
      <c r="J828">
        <f>IF($A828="","",IF($D828="V01",Cadrage!$C$35,IF($D828="V02",Cadrage!$D$35,Cadrage!$E$35)))</f>
        <v>0.025</v>
      </c>
      <c r="K828">
        <f>IF($A828="","",IF($D828="V01",Cadrage!$C$36,IF($D828="V02",Cadrage!$D$36,Cadrage!$E$36)))</f>
        <v>0.04</v>
      </c>
      <c r="L828">
        <f>IF($A828="","",IF($D828="V01",Cadrage!$C$37,IF($D828="V02",Cadrage!$D$37,Cadrage!$E$37)))</f>
        <v>0.0185</v>
      </c>
      <c r="M828">
        <f>IF($A828="","",IF($D828="V01",Cadrage!$C$38,IF($D828="V02",Cadrage!$D$38,Cadrage!$E$38)))</f>
        <v>0</v>
      </c>
      <c r="N828">
        <f t="shared" si="1"/>
        <v>1.04903758953208</v>
      </c>
      <c r="O828">
        <f t="shared" si="2"/>
        <v>1.066</v>
      </c>
      <c r="P828">
        <f>IF($A828="","",IF($E828=1,$F828*$O828,PNL!G828))</f>
        <v>203822.20612</v>
      </c>
      <c r="T828">
        <f t="shared" si="3"/>
        <v>-203822.20612</v>
      </c>
    </row>
    <row r="829" ht="14.25" customHeight="1">
      <c r="A829" t="str">
        <f>IF(PNL!A829="","",PNL!A829)</f>
        <v>MBWAY_PAR</v>
      </c>
      <c r="B829" t="str">
        <f>IF(PNL!B829="","",PNL!B829)</f>
        <v>6413</v>
      </c>
      <c r="C829" t="str">
        <f>IF(PNL!C829="","",PNL!C829)</f>
        <v>2027</v>
      </c>
      <c r="D829" t="str">
        <f>IF(PNL!D829="","",PNL!D829)</f>
        <v>V01</v>
      </c>
      <c r="E829">
        <f t="shared" si="0"/>
        <v>1</v>
      </c>
      <c r="F829">
        <f>IF($A829="","",IF($E829=1,_xlfn.SUMIFS(Comptabilité!$F$1:$F$1446,Comptabilité!$A$1:$A$1446,$A829,Comptabilité!$B$1:$B$1446,$B829,Comptabilité!$C$1:$C$1446,"2026"),0))</f>
        <v>289855.78</v>
      </c>
      <c r="G829">
        <f>IF($A829="","",IF($D829="V01",Cadrage!$C$23,IF($D829="V02",Cadrage!$D$23,Cadrage!$E$23)))</f>
        <v>0.08</v>
      </c>
      <c r="H829">
        <f>IF($A829="","",IF($D829="V01",Cadrage!$C$24,IF($D829="V02",Cadrage!$D$24,Cadrage!$E$24)))</f>
        <v>0.1</v>
      </c>
      <c r="I829">
        <f>IF($A829="","",IF($D829="V01",Cadrage!$C$34,IF($D829="V02",Cadrage!$D$34,Cadrage!$E$34)))</f>
        <v>0.02</v>
      </c>
      <c r="J829">
        <f>IF($A829="","",IF($D829="V01",Cadrage!$C$35,IF($D829="V02",Cadrage!$D$35,Cadrage!$E$35)))</f>
        <v>0.025</v>
      </c>
      <c r="K829">
        <f>IF($A829="","",IF($D829="V01",Cadrage!$C$36,IF($D829="V02",Cadrage!$D$36,Cadrage!$E$36)))</f>
        <v>0.04</v>
      </c>
      <c r="L829">
        <f>IF($A829="","",IF($D829="V01",Cadrage!$C$37,IF($D829="V02",Cadrage!$D$37,Cadrage!$E$37)))</f>
        <v>0.0185</v>
      </c>
      <c r="M829">
        <f>IF($A829="","",IF($D829="V01",Cadrage!$C$38,IF($D829="V02",Cadrage!$D$38,Cadrage!$E$38)))</f>
        <v>0</v>
      </c>
      <c r="N829">
        <f t="shared" si="1"/>
        <v>1.04903758953208</v>
      </c>
      <c r="O829">
        <f t="shared" si="2"/>
        <v>1.066</v>
      </c>
      <c r="P829">
        <f>IF($A829="","",IF($E829=1,$F829*$O829,PNL!G829))</f>
        <v>308986.26148</v>
      </c>
      <c r="T829">
        <f t="shared" si="3"/>
        <v>-308986.26148</v>
      </c>
    </row>
    <row r="830" ht="14.25" customHeight="1">
      <c r="A830" t="str">
        <f>IF(PNL!A830="","",PNL!A830)</f>
        <v>PIGIER_BOR</v>
      </c>
      <c r="B830" t="str">
        <f>IF(PNL!B830="","",PNL!B830)</f>
        <v>6413</v>
      </c>
      <c r="C830" t="str">
        <f>IF(PNL!C830="","",PNL!C830)</f>
        <v>2027</v>
      </c>
      <c r="D830" t="str">
        <f>IF(PNL!D830="","",PNL!D830)</f>
        <v>V01</v>
      </c>
      <c r="E830">
        <f t="shared" si="0"/>
        <v>1</v>
      </c>
      <c r="F830">
        <f>IF($A830="","",IF($E830=1,_xlfn.SUMIFS(Comptabilité!$F$1:$F$1446,Comptabilité!$A$1:$A$1446,$A830,Comptabilité!$B$1:$B$1446,$B830,Comptabilité!$C$1:$C$1446,"2026"),0))</f>
        <v>73539.85</v>
      </c>
      <c r="G830">
        <f>IF($A830="","",IF($D830="V01",Cadrage!$C$23,IF($D830="V02",Cadrage!$D$23,Cadrage!$E$23)))</f>
        <v>0.08</v>
      </c>
      <c r="H830">
        <f>IF($A830="","",IF($D830="V01",Cadrage!$C$24,IF($D830="V02",Cadrage!$D$24,Cadrage!$E$24)))</f>
        <v>0.1</v>
      </c>
      <c r="I830">
        <f>IF($A830="","",IF($D830="V01",Cadrage!$C$34,IF($D830="V02",Cadrage!$D$34,Cadrage!$E$34)))</f>
        <v>0.02</v>
      </c>
      <c r="J830">
        <f>IF($A830="","",IF($D830="V01",Cadrage!$C$35,IF($D830="V02",Cadrage!$D$35,Cadrage!$E$35)))</f>
        <v>0.025</v>
      </c>
      <c r="K830">
        <f>IF($A830="","",IF($D830="V01",Cadrage!$C$36,IF($D830="V02",Cadrage!$D$36,Cadrage!$E$36)))</f>
        <v>0.04</v>
      </c>
      <c r="L830">
        <f>IF($A830="","",IF($D830="V01",Cadrage!$C$37,IF($D830="V02",Cadrage!$D$37,Cadrage!$E$37)))</f>
        <v>0.0185</v>
      </c>
      <c r="M830">
        <f>IF($A830="","",IF($D830="V01",Cadrage!$C$38,IF($D830="V02",Cadrage!$D$38,Cadrage!$E$38)))</f>
        <v>0</v>
      </c>
      <c r="N830">
        <f t="shared" si="1"/>
        <v>1.04903758953208</v>
      </c>
      <c r="O830">
        <f t="shared" si="2"/>
        <v>1.066</v>
      </c>
      <c r="P830">
        <f>IF($A830="","",IF($E830=1,$F830*$O830,PNL!G830))</f>
        <v>78393.4801</v>
      </c>
      <c r="T830">
        <f t="shared" si="3"/>
        <v>-78393.4801</v>
      </c>
    </row>
    <row r="831" ht="14.25" customHeight="1">
      <c r="A831" t="str">
        <f>IF(PNL!A831="","",PNL!A831)</f>
        <v>PIGIER_LYO</v>
      </c>
      <c r="B831" t="str">
        <f>IF(PNL!B831="","",PNL!B831)</f>
        <v>6413</v>
      </c>
      <c r="C831" t="str">
        <f>IF(PNL!C831="","",PNL!C831)</f>
        <v>2027</v>
      </c>
      <c r="D831" t="str">
        <f>IF(PNL!D831="","",PNL!D831)</f>
        <v>V01</v>
      </c>
      <c r="E831">
        <f t="shared" si="0"/>
        <v>1</v>
      </c>
      <c r="F831">
        <f>IF($A831="","",IF($E831=1,_xlfn.SUMIFS(Comptabilité!$F$1:$F$1446,Comptabilité!$A$1:$A$1446,$A831,Comptabilité!$B$1:$B$1446,$B831,Comptabilité!$C$1:$C$1446,"2026"),0))</f>
        <v>124452.63</v>
      </c>
      <c r="G831">
        <f>IF($A831="","",IF($D831="V01",Cadrage!$C$23,IF($D831="V02",Cadrage!$D$23,Cadrage!$E$23)))</f>
        <v>0.08</v>
      </c>
      <c r="H831">
        <f>IF($A831="","",IF($D831="V01",Cadrage!$C$24,IF($D831="V02",Cadrage!$D$24,Cadrage!$E$24)))</f>
        <v>0.1</v>
      </c>
      <c r="I831">
        <f>IF($A831="","",IF($D831="V01",Cadrage!$C$34,IF($D831="V02",Cadrage!$D$34,Cadrage!$E$34)))</f>
        <v>0.02</v>
      </c>
      <c r="J831">
        <f>IF($A831="","",IF($D831="V01",Cadrage!$C$35,IF($D831="V02",Cadrage!$D$35,Cadrage!$E$35)))</f>
        <v>0.025</v>
      </c>
      <c r="K831">
        <f>IF($A831="","",IF($D831="V01",Cadrage!$C$36,IF($D831="V02",Cadrage!$D$36,Cadrage!$E$36)))</f>
        <v>0.04</v>
      </c>
      <c r="L831">
        <f>IF($A831="","",IF($D831="V01",Cadrage!$C$37,IF($D831="V02",Cadrage!$D$37,Cadrage!$E$37)))</f>
        <v>0.0185</v>
      </c>
      <c r="M831">
        <f>IF($A831="","",IF($D831="V01",Cadrage!$C$38,IF($D831="V02",Cadrage!$D$38,Cadrage!$E$38)))</f>
        <v>0</v>
      </c>
      <c r="N831">
        <f t="shared" si="1"/>
        <v>1.04903758953208</v>
      </c>
      <c r="O831">
        <f t="shared" si="2"/>
        <v>1.066</v>
      </c>
      <c r="P831">
        <f>IF($A831="","",IF($E831=1,$F831*$O831,PNL!G831))</f>
        <v>132666.50358</v>
      </c>
      <c r="T831">
        <f t="shared" si="3"/>
        <v>-132666.50358</v>
      </c>
    </row>
    <row r="832" ht="14.25" customHeight="1">
      <c r="A832" t="str">
        <f>IF(PNL!A832="","",PNL!A832)</f>
        <v>TUNON_LYO</v>
      </c>
      <c r="B832" t="str">
        <f>IF(PNL!B832="","",PNL!B832)</f>
        <v>6413</v>
      </c>
      <c r="C832" t="str">
        <f>IF(PNL!C832="","",PNL!C832)</f>
        <v>2027</v>
      </c>
      <c r="D832" t="str">
        <f>IF(PNL!D832="","",PNL!D832)</f>
        <v>V01</v>
      </c>
      <c r="E832">
        <f t="shared" si="0"/>
        <v>1</v>
      </c>
      <c r="F832">
        <f>IF($A832="","",IF($E832=1,_xlfn.SUMIFS(Comptabilité!$F$1:$F$1446,Comptabilité!$A$1:$A$1446,$A832,Comptabilité!$B$1:$B$1446,$B832,Comptabilité!$C$1:$C$1446,"2026"),0))</f>
        <v>82201.24</v>
      </c>
      <c r="G832">
        <f>IF($A832="","",IF($D832="V01",Cadrage!$C$23,IF($D832="V02",Cadrage!$D$23,Cadrage!$E$23)))</f>
        <v>0.08</v>
      </c>
      <c r="H832">
        <f>IF($A832="","",IF($D832="V01",Cadrage!$C$24,IF($D832="V02",Cadrage!$D$24,Cadrage!$E$24)))</f>
        <v>0.1</v>
      </c>
      <c r="I832">
        <f>IF($A832="","",IF($D832="V01",Cadrage!$C$34,IF($D832="V02",Cadrage!$D$34,Cadrage!$E$34)))</f>
        <v>0.02</v>
      </c>
      <c r="J832">
        <f>IF($A832="","",IF($D832="V01",Cadrage!$C$35,IF($D832="V02",Cadrage!$D$35,Cadrage!$E$35)))</f>
        <v>0.025</v>
      </c>
      <c r="K832">
        <f>IF($A832="","",IF($D832="V01",Cadrage!$C$36,IF($D832="V02",Cadrage!$D$36,Cadrage!$E$36)))</f>
        <v>0.04</v>
      </c>
      <c r="L832">
        <f>IF($A832="","",IF($D832="V01",Cadrage!$C$37,IF($D832="V02",Cadrage!$D$37,Cadrage!$E$37)))</f>
        <v>0.0185</v>
      </c>
      <c r="M832">
        <f>IF($A832="","",IF($D832="V01",Cadrage!$C$38,IF($D832="V02",Cadrage!$D$38,Cadrage!$E$38)))</f>
        <v>0</v>
      </c>
      <c r="N832">
        <f t="shared" si="1"/>
        <v>1.04903758953208</v>
      </c>
      <c r="O832">
        <f t="shared" si="2"/>
        <v>1.066</v>
      </c>
      <c r="P832">
        <f>IF($A832="","",IF($E832=1,$F832*$O832,PNL!G832))</f>
        <v>87626.52184</v>
      </c>
      <c r="T832">
        <f t="shared" si="3"/>
        <v>-87626.52184</v>
      </c>
    </row>
    <row r="833" ht="14.25" customHeight="1">
      <c r="A833" t="str">
        <f>IF(PNL!A833="","",PNL!A833)</f>
        <v>TUNON_PAR</v>
      </c>
      <c r="B833" t="str">
        <f>IF(PNL!B833="","",PNL!B833)</f>
        <v>6413</v>
      </c>
      <c r="C833" t="str">
        <f>IF(PNL!C833="","",PNL!C833)</f>
        <v>2027</v>
      </c>
      <c r="D833" t="str">
        <f>IF(PNL!D833="","",PNL!D833)</f>
        <v>V01</v>
      </c>
      <c r="E833">
        <f t="shared" si="0"/>
        <v>1</v>
      </c>
      <c r="F833">
        <f>IF($A833="","",IF($E833=1,_xlfn.SUMIFS(Comptabilité!$F$1:$F$1446,Comptabilité!$A$1:$A$1446,$A833,Comptabilité!$B$1:$B$1446,$B833,Comptabilité!$C$1:$C$1446,"2026"),0))</f>
        <v>116467.6</v>
      </c>
      <c r="G833">
        <f>IF($A833="","",IF($D833="V01",Cadrage!$C$23,IF($D833="V02",Cadrage!$D$23,Cadrage!$E$23)))</f>
        <v>0.08</v>
      </c>
      <c r="H833">
        <f>IF($A833="","",IF($D833="V01",Cadrage!$C$24,IF($D833="V02",Cadrage!$D$24,Cadrage!$E$24)))</f>
        <v>0.1</v>
      </c>
      <c r="I833">
        <f>IF($A833="","",IF($D833="V01",Cadrage!$C$34,IF($D833="V02",Cadrage!$D$34,Cadrage!$E$34)))</f>
        <v>0.02</v>
      </c>
      <c r="J833">
        <f>IF($A833="","",IF($D833="V01",Cadrage!$C$35,IF($D833="V02",Cadrage!$D$35,Cadrage!$E$35)))</f>
        <v>0.025</v>
      </c>
      <c r="K833">
        <f>IF($A833="","",IF($D833="V01",Cadrage!$C$36,IF($D833="V02",Cadrage!$D$36,Cadrage!$E$36)))</f>
        <v>0.04</v>
      </c>
      <c r="L833">
        <f>IF($A833="","",IF($D833="V01",Cadrage!$C$37,IF($D833="V02",Cadrage!$D$37,Cadrage!$E$37)))</f>
        <v>0.0185</v>
      </c>
      <c r="M833">
        <f>IF($A833="","",IF($D833="V01",Cadrage!$C$38,IF($D833="V02",Cadrage!$D$38,Cadrage!$E$38)))</f>
        <v>0</v>
      </c>
      <c r="N833">
        <f t="shared" si="1"/>
        <v>1.04903758953208</v>
      </c>
      <c r="O833">
        <f t="shared" si="2"/>
        <v>1.066</v>
      </c>
      <c r="P833">
        <f>IF($A833="","",IF($E833=1,$F833*$O833,PNL!G833))</f>
        <v>124154.4616</v>
      </c>
      <c r="T833">
        <f t="shared" si="3"/>
        <v>-124154.4616</v>
      </c>
    </row>
    <row r="834" ht="14.25" customHeight="1">
      <c r="A834" t="str">
        <f>IF(PNL!A834="","",PNL!A834)</f>
        <v>GRP</v>
      </c>
      <c r="B834" t="str">
        <f>IF(PNL!B834="","",PNL!B834)</f>
        <v>6414</v>
      </c>
      <c r="C834" t="str">
        <f>IF(PNL!C834="","",PNL!C834)</f>
        <v>2027</v>
      </c>
      <c r="D834" t="str">
        <f>IF(PNL!D834="","",PNL!D834)</f>
        <v>V01</v>
      </c>
      <c r="E834">
        <f t="shared" si="0"/>
        <v>1</v>
      </c>
      <c r="F834">
        <f>IF($A834="","",IF($E834=1,_xlfn.SUMIFS(Comptabilité!$F$1:$F$1446,Comptabilité!$A$1:$A$1446,$A834,Comptabilité!$B$1:$B$1446,$B834,Comptabilité!$C$1:$C$1446,"2026"),0))</f>
        <v>1242649</v>
      </c>
      <c r="G834">
        <f>IF($A834="","",IF($D834="V01",Cadrage!$C$23,IF($D834="V02",Cadrage!$D$23,Cadrage!$E$23)))</f>
        <v>0.08</v>
      </c>
      <c r="H834">
        <f>IF($A834="","",IF($D834="V01",Cadrage!$C$24,IF($D834="V02",Cadrage!$D$24,Cadrage!$E$24)))</f>
        <v>0.1</v>
      </c>
      <c r="I834">
        <f>IF($A834="","",IF($D834="V01",Cadrage!$C$34,IF($D834="V02",Cadrage!$D$34,Cadrage!$E$34)))</f>
        <v>0.02</v>
      </c>
      <c r="J834">
        <f>IF($A834="","",IF($D834="V01",Cadrage!$C$35,IF($D834="V02",Cadrage!$D$35,Cadrage!$E$35)))</f>
        <v>0.025</v>
      </c>
      <c r="K834">
        <f>IF($A834="","",IF($D834="V01",Cadrage!$C$36,IF($D834="V02",Cadrage!$D$36,Cadrage!$E$36)))</f>
        <v>0.04</v>
      </c>
      <c r="L834">
        <f>IF($A834="","",IF($D834="V01",Cadrage!$C$37,IF($D834="V02",Cadrage!$D$37,Cadrage!$E$37)))</f>
        <v>0.0185</v>
      </c>
      <c r="M834">
        <f>IF($A834="","",IF($D834="V01",Cadrage!$C$38,IF($D834="V02",Cadrage!$D$38,Cadrage!$E$38)))</f>
        <v>0</v>
      </c>
      <c r="N834">
        <f t="shared" si="1"/>
        <v>1.04903758953208</v>
      </c>
      <c r="O834">
        <f t="shared" si="2"/>
        <v>1.066</v>
      </c>
      <c r="P834">
        <f>IF($A834="","",IF($E834=1,$F834*$O834,PNL!G834))</f>
        <v>1324663.834</v>
      </c>
      <c r="T834">
        <f t="shared" si="3"/>
        <v>-1324663.834</v>
      </c>
    </row>
    <row r="835" ht="14.25" customHeight="1">
      <c r="A835" t="str">
        <f>IF(PNL!A835="","",PNL!A835)</f>
        <v>IPAC_MTP</v>
      </c>
      <c r="B835" t="str">
        <f>IF(PNL!B835="","",PNL!B835)</f>
        <v>645</v>
      </c>
      <c r="C835" t="str">
        <f>IF(PNL!C835="","",PNL!C835)</f>
        <v>2027</v>
      </c>
      <c r="D835" t="str">
        <f>IF(PNL!D835="","",PNL!D835)</f>
        <v>V01</v>
      </c>
      <c r="E835">
        <f t="shared" si="0"/>
        <v>1</v>
      </c>
      <c r="F835">
        <f>IF($A835="","",IF($E835=1,_xlfn.SUMIFS(Comptabilité!$F$1:$F$1446,Comptabilité!$A$1:$A$1446,$A835,Comptabilité!$B$1:$B$1446,$B835,Comptabilité!$C$1:$C$1446,"2026"),0))</f>
        <v>93580.87</v>
      </c>
      <c r="G835">
        <f>IF($A835="","",IF($D835="V01",Cadrage!$C$23,IF($D835="V02",Cadrage!$D$23,Cadrage!$E$23)))</f>
        <v>0.08</v>
      </c>
      <c r="H835">
        <f>IF($A835="","",IF($D835="V01",Cadrage!$C$24,IF($D835="V02",Cadrage!$D$24,Cadrage!$E$24)))</f>
        <v>0.1</v>
      </c>
      <c r="I835">
        <f>IF($A835="","",IF($D835="V01",Cadrage!$C$34,IF($D835="V02",Cadrage!$D$34,Cadrage!$E$34)))</f>
        <v>0.02</v>
      </c>
      <c r="J835">
        <f>IF($A835="","",IF($D835="V01",Cadrage!$C$35,IF($D835="V02",Cadrage!$D$35,Cadrage!$E$35)))</f>
        <v>0.025</v>
      </c>
      <c r="K835">
        <f>IF($A835="","",IF($D835="V01",Cadrage!$C$36,IF($D835="V02",Cadrage!$D$36,Cadrage!$E$36)))</f>
        <v>0.04</v>
      </c>
      <c r="L835">
        <f>IF($A835="","",IF($D835="V01",Cadrage!$C$37,IF($D835="V02",Cadrage!$D$37,Cadrage!$E$37)))</f>
        <v>0.0185</v>
      </c>
      <c r="M835">
        <f>IF($A835="","",IF($D835="V01",Cadrage!$C$38,IF($D835="V02",Cadrage!$D$38,Cadrage!$E$38)))</f>
        <v>0</v>
      </c>
      <c r="N835">
        <f t="shared" si="1"/>
        <v>1.04903758953208</v>
      </c>
      <c r="O835">
        <f t="shared" si="2"/>
        <v>1.066</v>
      </c>
      <c r="P835">
        <f>IF($A835="","",IF($E835=1,$F835*$O835,PNL!G835))</f>
        <v>99757.20742</v>
      </c>
      <c r="T835">
        <f t="shared" si="3"/>
        <v>-99757.20742</v>
      </c>
    </row>
    <row r="836" ht="14.25" customHeight="1">
      <c r="A836" t="str">
        <f>IF(PNL!A836="","",PNL!A836)</f>
        <v>IPAC_NAN</v>
      </c>
      <c r="B836" t="str">
        <f>IF(PNL!B836="","",PNL!B836)</f>
        <v>645</v>
      </c>
      <c r="C836" t="str">
        <f>IF(PNL!C836="","",PNL!C836)</f>
        <v>2027</v>
      </c>
      <c r="D836" t="str">
        <f>IF(PNL!D836="","",PNL!D836)</f>
        <v>V01</v>
      </c>
      <c r="E836">
        <f t="shared" si="0"/>
        <v>1</v>
      </c>
      <c r="F836">
        <f>IF($A836="","",IF($E836=1,_xlfn.SUMIFS(Comptabilité!$F$1:$F$1446,Comptabilité!$A$1:$A$1446,$A836,Comptabilité!$B$1:$B$1446,$B836,Comptabilité!$C$1:$C$1446,"2026"),0))</f>
        <v>143328.92</v>
      </c>
      <c r="G836">
        <f>IF($A836="","",IF($D836="V01",Cadrage!$C$23,IF($D836="V02",Cadrage!$D$23,Cadrage!$E$23)))</f>
        <v>0.08</v>
      </c>
      <c r="H836">
        <f>IF($A836="","",IF($D836="V01",Cadrage!$C$24,IF($D836="V02",Cadrage!$D$24,Cadrage!$E$24)))</f>
        <v>0.1</v>
      </c>
      <c r="I836">
        <f>IF($A836="","",IF($D836="V01",Cadrage!$C$34,IF($D836="V02",Cadrage!$D$34,Cadrage!$E$34)))</f>
        <v>0.02</v>
      </c>
      <c r="J836">
        <f>IF($A836="","",IF($D836="V01",Cadrage!$C$35,IF($D836="V02",Cadrage!$D$35,Cadrage!$E$35)))</f>
        <v>0.025</v>
      </c>
      <c r="K836">
        <f>IF($A836="","",IF($D836="V01",Cadrage!$C$36,IF($D836="V02",Cadrage!$D$36,Cadrage!$E$36)))</f>
        <v>0.04</v>
      </c>
      <c r="L836">
        <f>IF($A836="","",IF($D836="V01",Cadrage!$C$37,IF($D836="V02",Cadrage!$D$37,Cadrage!$E$37)))</f>
        <v>0.0185</v>
      </c>
      <c r="M836">
        <f>IF($A836="","",IF($D836="V01",Cadrage!$C$38,IF($D836="V02",Cadrage!$D$38,Cadrage!$E$38)))</f>
        <v>0</v>
      </c>
      <c r="N836">
        <f t="shared" si="1"/>
        <v>1.04903758953208</v>
      </c>
      <c r="O836">
        <f t="shared" si="2"/>
        <v>1.066</v>
      </c>
      <c r="P836">
        <f>IF($A836="","",IF($E836=1,$F836*$O836,PNL!G836))</f>
        <v>152788.62872</v>
      </c>
      <c r="T836">
        <f t="shared" si="3"/>
        <v>-152788.62872</v>
      </c>
    </row>
    <row r="837" ht="14.25" customHeight="1">
      <c r="A837" t="str">
        <f>IF(PNL!A837="","",PNL!A837)</f>
        <v>IPAC_REN</v>
      </c>
      <c r="B837" t="str">
        <f>IF(PNL!B837="","",PNL!B837)</f>
        <v>645</v>
      </c>
      <c r="C837" t="str">
        <f>IF(PNL!C837="","",PNL!C837)</f>
        <v>2027</v>
      </c>
      <c r="D837" t="str">
        <f>IF(PNL!D837="","",PNL!D837)</f>
        <v>V01</v>
      </c>
      <c r="E837">
        <f t="shared" si="0"/>
        <v>1</v>
      </c>
      <c r="F837">
        <f>IF($A837="","",IF($E837=1,_xlfn.SUMIFS(Comptabilité!$F$1:$F$1446,Comptabilité!$A$1:$A$1446,$A837,Comptabilité!$B$1:$B$1446,$B837,Comptabilité!$C$1:$C$1446,"2026"),0))</f>
        <v>93636.71</v>
      </c>
      <c r="G837">
        <f>IF($A837="","",IF($D837="V01",Cadrage!$C$23,IF($D837="V02",Cadrage!$D$23,Cadrage!$E$23)))</f>
        <v>0.08</v>
      </c>
      <c r="H837">
        <f>IF($A837="","",IF($D837="V01",Cadrage!$C$24,IF($D837="V02",Cadrage!$D$24,Cadrage!$E$24)))</f>
        <v>0.1</v>
      </c>
      <c r="I837">
        <f>IF($A837="","",IF($D837="V01",Cadrage!$C$34,IF($D837="V02",Cadrage!$D$34,Cadrage!$E$34)))</f>
        <v>0.02</v>
      </c>
      <c r="J837">
        <f>IF($A837="","",IF($D837="V01",Cadrage!$C$35,IF($D837="V02",Cadrage!$D$35,Cadrage!$E$35)))</f>
        <v>0.025</v>
      </c>
      <c r="K837">
        <f>IF($A837="","",IF($D837="V01",Cadrage!$C$36,IF($D837="V02",Cadrage!$D$36,Cadrage!$E$36)))</f>
        <v>0.04</v>
      </c>
      <c r="L837">
        <f>IF($A837="","",IF($D837="V01",Cadrage!$C$37,IF($D837="V02",Cadrage!$D$37,Cadrage!$E$37)))</f>
        <v>0.0185</v>
      </c>
      <c r="M837">
        <f>IF($A837="","",IF($D837="V01",Cadrage!$C$38,IF($D837="V02",Cadrage!$D$38,Cadrage!$E$38)))</f>
        <v>0</v>
      </c>
      <c r="N837">
        <f t="shared" si="1"/>
        <v>1.04903758953208</v>
      </c>
      <c r="O837">
        <f t="shared" si="2"/>
        <v>1.066</v>
      </c>
      <c r="P837">
        <f>IF($A837="","",IF($E837=1,$F837*$O837,PNL!G837))</f>
        <v>99816.73286</v>
      </c>
      <c r="T837">
        <f t="shared" si="3"/>
        <v>-99816.73286</v>
      </c>
    </row>
    <row r="838" ht="14.25" customHeight="1">
      <c r="A838" t="str">
        <f>IF(PNL!A838="","",PNL!A838)</f>
        <v>ISCOM_LIL</v>
      </c>
      <c r="B838" t="str">
        <f>IF(PNL!B838="","",PNL!B838)</f>
        <v>645</v>
      </c>
      <c r="C838" t="str">
        <f>IF(PNL!C838="","",PNL!C838)</f>
        <v>2027</v>
      </c>
      <c r="D838" t="str">
        <f>IF(PNL!D838="","",PNL!D838)</f>
        <v>V01</v>
      </c>
      <c r="E838">
        <f t="shared" si="0"/>
        <v>1</v>
      </c>
      <c r="F838">
        <f>IF($A838="","",IF($E838=1,_xlfn.SUMIFS(Comptabilité!$F$1:$F$1446,Comptabilité!$A$1:$A$1446,$A838,Comptabilité!$B$1:$B$1446,$B838,Comptabilité!$C$1:$C$1446,"2026"),0))</f>
        <v>244944.94</v>
      </c>
      <c r="G838">
        <f>IF($A838="","",IF($D838="V01",Cadrage!$C$23,IF($D838="V02",Cadrage!$D$23,Cadrage!$E$23)))</f>
        <v>0.08</v>
      </c>
      <c r="H838">
        <f>IF($A838="","",IF($D838="V01",Cadrage!$C$24,IF($D838="V02",Cadrage!$D$24,Cadrage!$E$24)))</f>
        <v>0.1</v>
      </c>
      <c r="I838">
        <f>IF($A838="","",IF($D838="V01",Cadrage!$C$34,IF($D838="V02",Cadrage!$D$34,Cadrage!$E$34)))</f>
        <v>0.02</v>
      </c>
      <c r="J838">
        <f>IF($A838="","",IF($D838="V01",Cadrage!$C$35,IF($D838="V02",Cadrage!$D$35,Cadrage!$E$35)))</f>
        <v>0.025</v>
      </c>
      <c r="K838">
        <f>IF($A838="","",IF($D838="V01",Cadrage!$C$36,IF($D838="V02",Cadrage!$D$36,Cadrage!$E$36)))</f>
        <v>0.04</v>
      </c>
      <c r="L838">
        <f>IF($A838="","",IF($D838="V01",Cadrage!$C$37,IF($D838="V02",Cadrage!$D$37,Cadrage!$E$37)))</f>
        <v>0.0185</v>
      </c>
      <c r="M838">
        <f>IF($A838="","",IF($D838="V01",Cadrage!$C$38,IF($D838="V02",Cadrage!$D$38,Cadrage!$E$38)))</f>
        <v>0</v>
      </c>
      <c r="N838">
        <f t="shared" si="1"/>
        <v>1.04903758953208</v>
      </c>
      <c r="O838">
        <f t="shared" si="2"/>
        <v>1.066</v>
      </c>
      <c r="P838">
        <f>IF($A838="","",IF($E838=1,$F838*$O838,PNL!G838))</f>
        <v>261111.30604</v>
      </c>
      <c r="T838">
        <f t="shared" si="3"/>
        <v>-261111.30604</v>
      </c>
    </row>
    <row r="839" ht="14.25" customHeight="1">
      <c r="A839" t="str">
        <f>IF(PNL!A839="","",PNL!A839)</f>
        <v>ISCOM_PAR</v>
      </c>
      <c r="B839" t="str">
        <f>IF(PNL!B839="","",PNL!B839)</f>
        <v>645</v>
      </c>
      <c r="C839" t="str">
        <f>IF(PNL!C839="","",PNL!C839)</f>
        <v>2027</v>
      </c>
      <c r="D839" t="str">
        <f>IF(PNL!D839="","",PNL!D839)</f>
        <v>V01</v>
      </c>
      <c r="E839">
        <f t="shared" si="0"/>
        <v>1</v>
      </c>
      <c r="F839">
        <f>IF($A839="","",IF($E839=1,_xlfn.SUMIFS(Comptabilité!$F$1:$F$1446,Comptabilité!$A$1:$A$1446,$A839,Comptabilité!$B$1:$B$1446,$B839,Comptabilité!$C$1:$C$1446,"2026"),0))</f>
        <v>406175.69</v>
      </c>
      <c r="G839">
        <f>IF($A839="","",IF($D839="V01",Cadrage!$C$23,IF($D839="V02",Cadrage!$D$23,Cadrage!$E$23)))</f>
        <v>0.08</v>
      </c>
      <c r="H839">
        <f>IF($A839="","",IF($D839="V01",Cadrage!$C$24,IF($D839="V02",Cadrage!$D$24,Cadrage!$E$24)))</f>
        <v>0.1</v>
      </c>
      <c r="I839">
        <f>IF($A839="","",IF($D839="V01",Cadrage!$C$34,IF($D839="V02",Cadrage!$D$34,Cadrage!$E$34)))</f>
        <v>0.02</v>
      </c>
      <c r="J839">
        <f>IF($A839="","",IF($D839="V01",Cadrage!$C$35,IF($D839="V02",Cadrage!$D$35,Cadrage!$E$35)))</f>
        <v>0.025</v>
      </c>
      <c r="K839">
        <f>IF($A839="","",IF($D839="V01",Cadrage!$C$36,IF($D839="V02",Cadrage!$D$36,Cadrage!$E$36)))</f>
        <v>0.04</v>
      </c>
      <c r="L839">
        <f>IF($A839="","",IF($D839="V01",Cadrage!$C$37,IF($D839="V02",Cadrage!$D$37,Cadrage!$E$37)))</f>
        <v>0.0185</v>
      </c>
      <c r="M839">
        <f>IF($A839="","",IF($D839="V01",Cadrage!$C$38,IF($D839="V02",Cadrage!$D$38,Cadrage!$E$38)))</f>
        <v>0</v>
      </c>
      <c r="N839">
        <f t="shared" si="1"/>
        <v>1.04903758953208</v>
      </c>
      <c r="O839">
        <f t="shared" si="2"/>
        <v>1.066</v>
      </c>
      <c r="P839">
        <f>IF($A839="","",IF($E839=1,$F839*$O839,PNL!G839))</f>
        <v>432983.28554</v>
      </c>
      <c r="T839">
        <f t="shared" si="3"/>
        <v>-432983.28554</v>
      </c>
    </row>
    <row r="840" ht="14.25" customHeight="1">
      <c r="A840" t="str">
        <f>IF(PNL!A840="","",PNL!A840)</f>
        <v>ISCOM_TLS</v>
      </c>
      <c r="B840" t="str">
        <f>IF(PNL!B840="","",PNL!B840)</f>
        <v>645</v>
      </c>
      <c r="C840" t="str">
        <f>IF(PNL!C840="","",PNL!C840)</f>
        <v>2027</v>
      </c>
      <c r="D840" t="str">
        <f>IF(PNL!D840="","",PNL!D840)</f>
        <v>V01</v>
      </c>
      <c r="E840">
        <f t="shared" si="0"/>
        <v>1</v>
      </c>
      <c r="F840">
        <f>IF($A840="","",IF($E840=1,_xlfn.SUMIFS(Comptabilité!$F$1:$F$1446,Comptabilité!$A$1:$A$1446,$A840,Comptabilité!$B$1:$B$1446,$B840,Comptabilité!$C$1:$C$1446,"2026"),0))</f>
        <v>218057.94</v>
      </c>
      <c r="G840">
        <f>IF($A840="","",IF($D840="V01",Cadrage!$C$23,IF($D840="V02",Cadrage!$D$23,Cadrage!$E$23)))</f>
        <v>0.08</v>
      </c>
      <c r="H840">
        <f>IF($A840="","",IF($D840="V01",Cadrage!$C$24,IF($D840="V02",Cadrage!$D$24,Cadrage!$E$24)))</f>
        <v>0.1</v>
      </c>
      <c r="I840">
        <f>IF($A840="","",IF($D840="V01",Cadrage!$C$34,IF($D840="V02",Cadrage!$D$34,Cadrage!$E$34)))</f>
        <v>0.02</v>
      </c>
      <c r="J840">
        <f>IF($A840="","",IF($D840="V01",Cadrage!$C$35,IF($D840="V02",Cadrage!$D$35,Cadrage!$E$35)))</f>
        <v>0.025</v>
      </c>
      <c r="K840">
        <f>IF($A840="","",IF($D840="V01",Cadrage!$C$36,IF($D840="V02",Cadrage!$D$36,Cadrage!$E$36)))</f>
        <v>0.04</v>
      </c>
      <c r="L840">
        <f>IF($A840="","",IF($D840="V01",Cadrage!$C$37,IF($D840="V02",Cadrage!$D$37,Cadrage!$E$37)))</f>
        <v>0.0185</v>
      </c>
      <c r="M840">
        <f>IF($A840="","",IF($D840="V01",Cadrage!$C$38,IF($D840="V02",Cadrage!$D$38,Cadrage!$E$38)))</f>
        <v>0</v>
      </c>
      <c r="N840">
        <f t="shared" si="1"/>
        <v>1.04903758953208</v>
      </c>
      <c r="O840">
        <f t="shared" si="2"/>
        <v>1.066</v>
      </c>
      <c r="P840">
        <f>IF($A840="","",IF($E840=1,$F840*$O840,PNL!G840))</f>
        <v>232449.76404</v>
      </c>
      <c r="T840">
        <f t="shared" si="3"/>
        <v>-232449.76404</v>
      </c>
    </row>
    <row r="841" ht="14.25" customHeight="1">
      <c r="A841" t="str">
        <f>IF(PNL!A841="","",PNL!A841)</f>
        <v>MBWAY_BOR</v>
      </c>
      <c r="B841" t="str">
        <f>IF(PNL!B841="","",PNL!B841)</f>
        <v>645</v>
      </c>
      <c r="C841" t="str">
        <f>IF(PNL!C841="","",PNL!C841)</f>
        <v>2027</v>
      </c>
      <c r="D841" t="str">
        <f>IF(PNL!D841="","",PNL!D841)</f>
        <v>V01</v>
      </c>
      <c r="E841">
        <f t="shared" si="0"/>
        <v>1</v>
      </c>
      <c r="F841">
        <f>IF($A841="","",IF($E841=1,_xlfn.SUMIFS(Comptabilité!$F$1:$F$1446,Comptabilité!$A$1:$A$1446,$A841,Comptabilité!$B$1:$B$1446,$B841,Comptabilité!$C$1:$C$1446,"2026"),0))</f>
        <v>246160.47</v>
      </c>
      <c r="G841">
        <f>IF($A841="","",IF($D841="V01",Cadrage!$C$23,IF($D841="V02",Cadrage!$D$23,Cadrage!$E$23)))</f>
        <v>0.08</v>
      </c>
      <c r="H841">
        <f>IF($A841="","",IF($D841="V01",Cadrage!$C$24,IF($D841="V02",Cadrage!$D$24,Cadrage!$E$24)))</f>
        <v>0.1</v>
      </c>
      <c r="I841">
        <f>IF($A841="","",IF($D841="V01",Cadrage!$C$34,IF($D841="V02",Cadrage!$D$34,Cadrage!$E$34)))</f>
        <v>0.02</v>
      </c>
      <c r="J841">
        <f>IF($A841="","",IF($D841="V01",Cadrage!$C$35,IF($D841="V02",Cadrage!$D$35,Cadrage!$E$35)))</f>
        <v>0.025</v>
      </c>
      <c r="K841">
        <f>IF($A841="","",IF($D841="V01",Cadrage!$C$36,IF($D841="V02",Cadrage!$D$36,Cadrage!$E$36)))</f>
        <v>0.04</v>
      </c>
      <c r="L841">
        <f>IF($A841="","",IF($D841="V01",Cadrage!$C$37,IF($D841="V02",Cadrage!$D$37,Cadrage!$E$37)))</f>
        <v>0.0185</v>
      </c>
      <c r="M841">
        <f>IF($A841="","",IF($D841="V01",Cadrage!$C$38,IF($D841="V02",Cadrage!$D$38,Cadrage!$E$38)))</f>
        <v>0</v>
      </c>
      <c r="N841">
        <f t="shared" si="1"/>
        <v>1.04903758953208</v>
      </c>
      <c r="O841">
        <f t="shared" si="2"/>
        <v>1.066</v>
      </c>
      <c r="P841">
        <f>IF($A841="","",IF($E841=1,$F841*$O841,PNL!G841))</f>
        <v>262407.06102</v>
      </c>
      <c r="T841">
        <f t="shared" si="3"/>
        <v>-262407.06102</v>
      </c>
    </row>
    <row r="842" ht="14.25" customHeight="1">
      <c r="A842" t="str">
        <f>IF(PNL!A842="","",PNL!A842)</f>
        <v>MBWAY_LYO</v>
      </c>
      <c r="B842" t="str">
        <f>IF(PNL!B842="","",PNL!B842)</f>
        <v>645</v>
      </c>
      <c r="C842" t="str">
        <f>IF(PNL!C842="","",PNL!C842)</f>
        <v>2027</v>
      </c>
      <c r="D842" t="str">
        <f>IF(PNL!D842="","",PNL!D842)</f>
        <v>V01</v>
      </c>
      <c r="E842">
        <f t="shared" si="0"/>
        <v>1</v>
      </c>
      <c r="F842">
        <f>IF($A842="","",IF($E842=1,_xlfn.SUMIFS(Comptabilité!$F$1:$F$1446,Comptabilité!$A$1:$A$1446,$A842,Comptabilité!$B$1:$B$1446,$B842,Comptabilité!$C$1:$C$1446,"2026"),0))</f>
        <v>351729.06</v>
      </c>
      <c r="G842">
        <f>IF($A842="","",IF($D842="V01",Cadrage!$C$23,IF($D842="V02",Cadrage!$D$23,Cadrage!$E$23)))</f>
        <v>0.08</v>
      </c>
      <c r="H842">
        <f>IF($A842="","",IF($D842="V01",Cadrage!$C$24,IF($D842="V02",Cadrage!$D$24,Cadrage!$E$24)))</f>
        <v>0.1</v>
      </c>
      <c r="I842">
        <f>IF($A842="","",IF($D842="V01",Cadrage!$C$34,IF($D842="V02",Cadrage!$D$34,Cadrage!$E$34)))</f>
        <v>0.02</v>
      </c>
      <c r="J842">
        <f>IF($A842="","",IF($D842="V01",Cadrage!$C$35,IF($D842="V02",Cadrage!$D$35,Cadrage!$E$35)))</f>
        <v>0.025</v>
      </c>
      <c r="K842">
        <f>IF($A842="","",IF($D842="V01",Cadrage!$C$36,IF($D842="V02",Cadrage!$D$36,Cadrage!$E$36)))</f>
        <v>0.04</v>
      </c>
      <c r="L842">
        <f>IF($A842="","",IF($D842="V01",Cadrage!$C$37,IF($D842="V02",Cadrage!$D$37,Cadrage!$E$37)))</f>
        <v>0.0185</v>
      </c>
      <c r="M842">
        <f>IF($A842="","",IF($D842="V01",Cadrage!$C$38,IF($D842="V02",Cadrage!$D$38,Cadrage!$E$38)))</f>
        <v>0</v>
      </c>
      <c r="N842">
        <f t="shared" si="1"/>
        <v>1.04903758953208</v>
      </c>
      <c r="O842">
        <f t="shared" si="2"/>
        <v>1.066</v>
      </c>
      <c r="P842">
        <f>IF($A842="","",IF($E842=1,$F842*$O842,PNL!G842))</f>
        <v>374943.17796</v>
      </c>
      <c r="T842">
        <f t="shared" si="3"/>
        <v>-374943.17796</v>
      </c>
    </row>
    <row r="843" ht="14.25" customHeight="1">
      <c r="A843" t="str">
        <f>IF(PNL!A843="","",PNL!A843)</f>
        <v>MBWAY_NAN</v>
      </c>
      <c r="B843" t="str">
        <f>IF(PNL!B843="","",PNL!B843)</f>
        <v>645</v>
      </c>
      <c r="C843" t="str">
        <f>IF(PNL!C843="","",PNL!C843)</f>
        <v>2027</v>
      </c>
      <c r="D843" t="str">
        <f>IF(PNL!D843="","",PNL!D843)</f>
        <v>V01</v>
      </c>
      <c r="E843">
        <f t="shared" si="0"/>
        <v>1</v>
      </c>
      <c r="F843">
        <f>IF($A843="","",IF($E843=1,_xlfn.SUMIFS(Comptabilité!$F$1:$F$1446,Comptabilité!$A$1:$A$1446,$A843,Comptabilité!$B$1:$B$1446,$B843,Comptabilité!$C$1:$C$1446,"2026"),0))</f>
        <v>297427.9</v>
      </c>
      <c r="G843">
        <f>IF($A843="","",IF($D843="V01",Cadrage!$C$23,IF($D843="V02",Cadrage!$D$23,Cadrage!$E$23)))</f>
        <v>0.08</v>
      </c>
      <c r="H843">
        <f>IF($A843="","",IF($D843="V01",Cadrage!$C$24,IF($D843="V02",Cadrage!$D$24,Cadrage!$E$24)))</f>
        <v>0.1</v>
      </c>
      <c r="I843">
        <f>IF($A843="","",IF($D843="V01",Cadrage!$C$34,IF($D843="V02",Cadrage!$D$34,Cadrage!$E$34)))</f>
        <v>0.02</v>
      </c>
      <c r="J843">
        <f>IF($A843="","",IF($D843="V01",Cadrage!$C$35,IF($D843="V02",Cadrage!$D$35,Cadrage!$E$35)))</f>
        <v>0.025</v>
      </c>
      <c r="K843">
        <f>IF($A843="","",IF($D843="V01",Cadrage!$C$36,IF($D843="V02",Cadrage!$D$36,Cadrage!$E$36)))</f>
        <v>0.04</v>
      </c>
      <c r="L843">
        <f>IF($A843="","",IF($D843="V01",Cadrage!$C$37,IF($D843="V02",Cadrage!$D$37,Cadrage!$E$37)))</f>
        <v>0.0185</v>
      </c>
      <c r="M843">
        <f>IF($A843="","",IF($D843="V01",Cadrage!$C$38,IF($D843="V02",Cadrage!$D$38,Cadrage!$E$38)))</f>
        <v>0</v>
      </c>
      <c r="N843">
        <f t="shared" si="1"/>
        <v>1.04903758953208</v>
      </c>
      <c r="O843">
        <f t="shared" si="2"/>
        <v>1.066</v>
      </c>
      <c r="P843">
        <f>IF($A843="","",IF($E843=1,$F843*$O843,PNL!G843))</f>
        <v>317058.1414</v>
      </c>
      <c r="T843">
        <f t="shared" si="3"/>
        <v>-317058.1414</v>
      </c>
    </row>
    <row r="844" ht="14.25" customHeight="1">
      <c r="A844" t="str">
        <f>IF(PNL!A844="","",PNL!A844)</f>
        <v>MBWAY_PAR</v>
      </c>
      <c r="B844" t="str">
        <f>IF(PNL!B844="","",PNL!B844)</f>
        <v>645</v>
      </c>
      <c r="C844" t="str">
        <f>IF(PNL!C844="","",PNL!C844)</f>
        <v>2027</v>
      </c>
      <c r="D844" t="str">
        <f>IF(PNL!D844="","",PNL!D844)</f>
        <v>V01</v>
      </c>
      <c r="E844">
        <f t="shared" si="0"/>
        <v>1</v>
      </c>
      <c r="F844">
        <f>IF($A844="","",IF($E844=1,_xlfn.SUMIFS(Comptabilité!$F$1:$F$1446,Comptabilité!$A$1:$A$1446,$A844,Comptabilité!$B$1:$B$1446,$B844,Comptabilité!$C$1:$C$1446,"2026"),0))</f>
        <v>450887.05</v>
      </c>
      <c r="G844">
        <f>IF($A844="","",IF($D844="V01",Cadrage!$C$23,IF($D844="V02",Cadrage!$D$23,Cadrage!$E$23)))</f>
        <v>0.08</v>
      </c>
      <c r="H844">
        <f>IF($A844="","",IF($D844="V01",Cadrage!$C$24,IF($D844="V02",Cadrage!$D$24,Cadrage!$E$24)))</f>
        <v>0.1</v>
      </c>
      <c r="I844">
        <f>IF($A844="","",IF($D844="V01",Cadrage!$C$34,IF($D844="V02",Cadrage!$D$34,Cadrage!$E$34)))</f>
        <v>0.02</v>
      </c>
      <c r="J844">
        <f>IF($A844="","",IF($D844="V01",Cadrage!$C$35,IF($D844="V02",Cadrage!$D$35,Cadrage!$E$35)))</f>
        <v>0.025</v>
      </c>
      <c r="K844">
        <f>IF($A844="","",IF($D844="V01",Cadrage!$C$36,IF($D844="V02",Cadrage!$D$36,Cadrage!$E$36)))</f>
        <v>0.04</v>
      </c>
      <c r="L844">
        <f>IF($A844="","",IF($D844="V01",Cadrage!$C$37,IF($D844="V02",Cadrage!$D$37,Cadrage!$E$37)))</f>
        <v>0.0185</v>
      </c>
      <c r="M844">
        <f>IF($A844="","",IF($D844="V01",Cadrage!$C$38,IF($D844="V02",Cadrage!$D$38,Cadrage!$E$38)))</f>
        <v>0</v>
      </c>
      <c r="N844">
        <f t="shared" si="1"/>
        <v>1.04903758953208</v>
      </c>
      <c r="O844">
        <f t="shared" si="2"/>
        <v>1.066</v>
      </c>
      <c r="P844">
        <f>IF($A844="","",IF($E844=1,$F844*$O844,PNL!G844))</f>
        <v>480645.5953</v>
      </c>
      <c r="T844">
        <f t="shared" si="3"/>
        <v>-480645.5953</v>
      </c>
    </row>
    <row r="845" ht="14.25" customHeight="1">
      <c r="A845" t="str">
        <f>IF(PNL!A845="","",PNL!A845)</f>
        <v>PIGIER_BOR</v>
      </c>
      <c r="B845" t="str">
        <f>IF(PNL!B845="","",PNL!B845)</f>
        <v>645</v>
      </c>
      <c r="C845" t="str">
        <f>IF(PNL!C845="","",PNL!C845)</f>
        <v>2027</v>
      </c>
      <c r="D845" t="str">
        <f>IF(PNL!D845="","",PNL!D845)</f>
        <v>V01</v>
      </c>
      <c r="E845">
        <f t="shared" si="0"/>
        <v>1</v>
      </c>
      <c r="F845">
        <f>IF($A845="","",IF($E845=1,_xlfn.SUMIFS(Comptabilité!$F$1:$F$1446,Comptabilité!$A$1:$A$1446,$A845,Comptabilité!$B$1:$B$1446,$B845,Comptabilité!$C$1:$C$1446,"2026"),0))</f>
        <v>114395.03</v>
      </c>
      <c r="G845">
        <f>IF($A845="","",IF($D845="V01",Cadrage!$C$23,IF($D845="V02",Cadrage!$D$23,Cadrage!$E$23)))</f>
        <v>0.08</v>
      </c>
      <c r="H845">
        <f>IF($A845="","",IF($D845="V01",Cadrage!$C$24,IF($D845="V02",Cadrage!$D$24,Cadrage!$E$24)))</f>
        <v>0.1</v>
      </c>
      <c r="I845">
        <f>IF($A845="","",IF($D845="V01",Cadrage!$C$34,IF($D845="V02",Cadrage!$D$34,Cadrage!$E$34)))</f>
        <v>0.02</v>
      </c>
      <c r="J845">
        <f>IF($A845="","",IF($D845="V01",Cadrage!$C$35,IF($D845="V02",Cadrage!$D$35,Cadrage!$E$35)))</f>
        <v>0.025</v>
      </c>
      <c r="K845">
        <f>IF($A845="","",IF($D845="V01",Cadrage!$C$36,IF($D845="V02",Cadrage!$D$36,Cadrage!$E$36)))</f>
        <v>0.04</v>
      </c>
      <c r="L845">
        <f>IF($A845="","",IF($D845="V01",Cadrage!$C$37,IF($D845="V02",Cadrage!$D$37,Cadrage!$E$37)))</f>
        <v>0.0185</v>
      </c>
      <c r="M845">
        <f>IF($A845="","",IF($D845="V01",Cadrage!$C$38,IF($D845="V02",Cadrage!$D$38,Cadrage!$E$38)))</f>
        <v>0</v>
      </c>
      <c r="N845">
        <f t="shared" si="1"/>
        <v>1.04903758953208</v>
      </c>
      <c r="O845">
        <f t="shared" si="2"/>
        <v>1.066</v>
      </c>
      <c r="P845">
        <f>IF($A845="","",IF($E845=1,$F845*$O845,PNL!G845))</f>
        <v>121945.10198</v>
      </c>
      <c r="T845">
        <f t="shared" si="3"/>
        <v>-121945.10198</v>
      </c>
    </row>
    <row r="846" ht="14.25" customHeight="1">
      <c r="A846" t="str">
        <f>IF(PNL!A846="","",PNL!A846)</f>
        <v>PIGIER_LYO</v>
      </c>
      <c r="B846" t="str">
        <f>IF(PNL!B846="","",PNL!B846)</f>
        <v>645</v>
      </c>
      <c r="C846" t="str">
        <f>IF(PNL!C846="","",PNL!C846)</f>
        <v>2027</v>
      </c>
      <c r="D846" t="str">
        <f>IF(PNL!D846="","",PNL!D846)</f>
        <v>V01</v>
      </c>
      <c r="E846">
        <f t="shared" si="0"/>
        <v>1</v>
      </c>
      <c r="F846">
        <f>IF($A846="","",IF($E846=1,_xlfn.SUMIFS(Comptabilité!$F$1:$F$1446,Comptabilité!$A$1:$A$1446,$A846,Comptabilité!$B$1:$B$1446,$B846,Comptabilité!$C$1:$C$1446,"2026"),0))</f>
        <v>193593.69</v>
      </c>
      <c r="G846">
        <f>IF($A846="","",IF($D846="V01",Cadrage!$C$23,IF($D846="V02",Cadrage!$D$23,Cadrage!$E$23)))</f>
        <v>0.08</v>
      </c>
      <c r="H846">
        <f>IF($A846="","",IF($D846="V01",Cadrage!$C$24,IF($D846="V02",Cadrage!$D$24,Cadrage!$E$24)))</f>
        <v>0.1</v>
      </c>
      <c r="I846">
        <f>IF($A846="","",IF($D846="V01",Cadrage!$C$34,IF($D846="V02",Cadrage!$D$34,Cadrage!$E$34)))</f>
        <v>0.02</v>
      </c>
      <c r="J846">
        <f>IF($A846="","",IF($D846="V01",Cadrage!$C$35,IF($D846="V02",Cadrage!$D$35,Cadrage!$E$35)))</f>
        <v>0.025</v>
      </c>
      <c r="K846">
        <f>IF($A846="","",IF($D846="V01",Cadrage!$C$36,IF($D846="V02",Cadrage!$D$36,Cadrage!$E$36)))</f>
        <v>0.04</v>
      </c>
      <c r="L846">
        <f>IF($A846="","",IF($D846="V01",Cadrage!$C$37,IF($D846="V02",Cadrage!$D$37,Cadrage!$E$37)))</f>
        <v>0.0185</v>
      </c>
      <c r="M846">
        <f>IF($A846="","",IF($D846="V01",Cadrage!$C$38,IF($D846="V02",Cadrage!$D$38,Cadrage!$E$38)))</f>
        <v>0</v>
      </c>
      <c r="N846">
        <f t="shared" si="1"/>
        <v>1.04903758953208</v>
      </c>
      <c r="O846">
        <f t="shared" si="2"/>
        <v>1.066</v>
      </c>
      <c r="P846">
        <f>IF($A846="","",IF($E846=1,$F846*$O846,PNL!G846))</f>
        <v>206370.87354</v>
      </c>
      <c r="T846">
        <f t="shared" si="3"/>
        <v>-206370.87354</v>
      </c>
    </row>
    <row r="847" ht="14.25" customHeight="1">
      <c r="A847" t="str">
        <f>IF(PNL!A847="","",PNL!A847)</f>
        <v>TUNON_LYO</v>
      </c>
      <c r="B847" t="str">
        <f>IF(PNL!B847="","",PNL!B847)</f>
        <v>645</v>
      </c>
      <c r="C847" t="str">
        <f>IF(PNL!C847="","",PNL!C847)</f>
        <v>2027</v>
      </c>
      <c r="D847" t="str">
        <f>IF(PNL!D847="","",PNL!D847)</f>
        <v>V01</v>
      </c>
      <c r="E847">
        <f t="shared" si="0"/>
        <v>1</v>
      </c>
      <c r="F847">
        <f>IF($A847="","",IF($E847=1,_xlfn.SUMIFS(Comptabilité!$F$1:$F$1446,Comptabilité!$A$1:$A$1446,$A847,Comptabilité!$B$1:$B$1446,$B847,Comptabilité!$C$1:$C$1446,"2026"),0))</f>
        <v>127868.22</v>
      </c>
      <c r="G847">
        <f>IF($A847="","",IF($D847="V01",Cadrage!$C$23,IF($D847="V02",Cadrage!$D$23,Cadrage!$E$23)))</f>
        <v>0.08</v>
      </c>
      <c r="H847">
        <f>IF($A847="","",IF($D847="V01",Cadrage!$C$24,IF($D847="V02",Cadrage!$D$24,Cadrage!$E$24)))</f>
        <v>0.1</v>
      </c>
      <c r="I847">
        <f>IF($A847="","",IF($D847="V01",Cadrage!$C$34,IF($D847="V02",Cadrage!$D$34,Cadrage!$E$34)))</f>
        <v>0.02</v>
      </c>
      <c r="J847">
        <f>IF($A847="","",IF($D847="V01",Cadrage!$C$35,IF($D847="V02",Cadrage!$D$35,Cadrage!$E$35)))</f>
        <v>0.025</v>
      </c>
      <c r="K847">
        <f>IF($A847="","",IF($D847="V01",Cadrage!$C$36,IF($D847="V02",Cadrage!$D$36,Cadrage!$E$36)))</f>
        <v>0.04</v>
      </c>
      <c r="L847">
        <f>IF($A847="","",IF($D847="V01",Cadrage!$C$37,IF($D847="V02",Cadrage!$D$37,Cadrage!$E$37)))</f>
        <v>0.0185</v>
      </c>
      <c r="M847">
        <f>IF($A847="","",IF($D847="V01",Cadrage!$C$38,IF($D847="V02",Cadrage!$D$38,Cadrage!$E$38)))</f>
        <v>0</v>
      </c>
      <c r="N847">
        <f t="shared" si="1"/>
        <v>1.04903758953208</v>
      </c>
      <c r="O847">
        <f t="shared" si="2"/>
        <v>1.066</v>
      </c>
      <c r="P847">
        <f>IF($A847="","",IF($E847=1,$F847*$O847,PNL!G847))</f>
        <v>136307.52252</v>
      </c>
      <c r="T847">
        <f t="shared" si="3"/>
        <v>-136307.52252</v>
      </c>
    </row>
    <row r="848" ht="14.25" customHeight="1">
      <c r="A848" t="str">
        <f>IF(PNL!A848="","",PNL!A848)</f>
        <v>TUNON_PAR</v>
      </c>
      <c r="B848" t="str">
        <f>IF(PNL!B848="","",PNL!B848)</f>
        <v>645</v>
      </c>
      <c r="C848" t="str">
        <f>IF(PNL!C848="","",PNL!C848)</f>
        <v>2027</v>
      </c>
      <c r="D848" t="str">
        <f>IF(PNL!D848="","",PNL!D848)</f>
        <v>V01</v>
      </c>
      <c r="E848">
        <f t="shared" si="0"/>
        <v>1</v>
      </c>
      <c r="F848">
        <f>IF($A848="","",IF($E848=1,_xlfn.SUMIFS(Comptabilité!$F$1:$F$1446,Comptabilité!$A$1:$A$1446,$A848,Comptabilité!$B$1:$B$1446,$B848,Comptabilité!$C$1:$C$1446,"2026"),0))</f>
        <v>181171.41</v>
      </c>
      <c r="G848">
        <f>IF($A848="","",IF($D848="V01",Cadrage!$C$23,IF($D848="V02",Cadrage!$D$23,Cadrage!$E$23)))</f>
        <v>0.08</v>
      </c>
      <c r="H848">
        <f>IF($A848="","",IF($D848="V01",Cadrage!$C$24,IF($D848="V02",Cadrage!$D$24,Cadrage!$E$24)))</f>
        <v>0.1</v>
      </c>
      <c r="I848">
        <f>IF($A848="","",IF($D848="V01",Cadrage!$C$34,IF($D848="V02",Cadrage!$D$34,Cadrage!$E$34)))</f>
        <v>0.02</v>
      </c>
      <c r="J848">
        <f>IF($A848="","",IF($D848="V01",Cadrage!$C$35,IF($D848="V02",Cadrage!$D$35,Cadrage!$E$35)))</f>
        <v>0.025</v>
      </c>
      <c r="K848">
        <f>IF($A848="","",IF($D848="V01",Cadrage!$C$36,IF($D848="V02",Cadrage!$D$36,Cadrage!$E$36)))</f>
        <v>0.04</v>
      </c>
      <c r="L848">
        <f>IF($A848="","",IF($D848="V01",Cadrage!$C$37,IF($D848="V02",Cadrage!$D$37,Cadrage!$E$37)))</f>
        <v>0.0185</v>
      </c>
      <c r="M848">
        <f>IF($A848="","",IF($D848="V01",Cadrage!$C$38,IF($D848="V02",Cadrage!$D$38,Cadrage!$E$38)))</f>
        <v>0</v>
      </c>
      <c r="N848">
        <f t="shared" si="1"/>
        <v>1.04903758953208</v>
      </c>
      <c r="O848">
        <f t="shared" si="2"/>
        <v>1.066</v>
      </c>
      <c r="P848">
        <f>IF($A848="","",IF($E848=1,$F848*$O848,PNL!G848))</f>
        <v>193128.72306</v>
      </c>
      <c r="T848">
        <f t="shared" si="3"/>
        <v>-193128.72306</v>
      </c>
    </row>
    <row r="849" ht="14.25" customHeight="1">
      <c r="A849" t="str">
        <f>IF(PNL!A849="","",PNL!A849)</f>
        <v>IPAC_MTP</v>
      </c>
      <c r="B849" t="str">
        <f>IF(PNL!B849="","",PNL!B849)</f>
        <v>6811</v>
      </c>
      <c r="C849" t="str">
        <f>IF(PNL!C849="","",PNL!C849)</f>
        <v>2027</v>
      </c>
      <c r="D849" t="str">
        <f>IF(PNL!D849="","",PNL!D849)</f>
        <v>V01</v>
      </c>
      <c r="E849">
        <f t="shared" si="0"/>
        <v>1</v>
      </c>
      <c r="F849">
        <f>IF($A849="","",IF($E849=1,_xlfn.SUMIFS(Comptabilité!$F$1:$F$1446,Comptabilité!$A$1:$A$1446,$A849,Comptabilité!$B$1:$B$1446,$B849,Comptabilité!$C$1:$C$1446,"2026"),0))</f>
        <v>61955</v>
      </c>
      <c r="G849">
        <f>IF($A849="","",IF($D849="V01",Cadrage!$C$23,IF($D849="V02",Cadrage!$D$23,Cadrage!$E$23)))</f>
        <v>0.08</v>
      </c>
      <c r="H849">
        <f>IF($A849="","",IF($D849="V01",Cadrage!$C$24,IF($D849="V02",Cadrage!$D$24,Cadrage!$E$24)))</f>
        <v>0.1</v>
      </c>
      <c r="I849">
        <f>IF($A849="","",IF($D849="V01",Cadrage!$C$34,IF($D849="V02",Cadrage!$D$34,Cadrage!$E$34)))</f>
        <v>0.02</v>
      </c>
      <c r="J849">
        <f>IF($A849="","",IF($D849="V01",Cadrage!$C$35,IF($D849="V02",Cadrage!$D$35,Cadrage!$E$35)))</f>
        <v>0.025</v>
      </c>
      <c r="K849">
        <f>IF($A849="","",IF($D849="V01",Cadrage!$C$36,IF($D849="V02",Cadrage!$D$36,Cadrage!$E$36)))</f>
        <v>0.04</v>
      </c>
      <c r="L849">
        <f>IF($A849="","",IF($D849="V01",Cadrage!$C$37,IF($D849="V02",Cadrage!$D$37,Cadrage!$E$37)))</f>
        <v>0.0185</v>
      </c>
      <c r="M849">
        <f>IF($A849="","",IF($D849="V01",Cadrage!$C$38,IF($D849="V02",Cadrage!$D$38,Cadrage!$E$38)))</f>
        <v>0</v>
      </c>
      <c r="N849">
        <f t="shared" si="1"/>
        <v>1.04903758953208</v>
      </c>
      <c r="O849">
        <f t="shared" si="2"/>
        <v>1.02</v>
      </c>
      <c r="P849">
        <f>IF($A849="","",IF($E849=1,$F849*$O849,PNL!G849))</f>
        <v>63194.1</v>
      </c>
      <c r="T849">
        <f t="shared" si="3"/>
        <v>0</v>
      </c>
    </row>
    <row r="850" ht="14.25" customHeight="1">
      <c r="A850" t="str">
        <f>IF(PNL!A850="","",PNL!A850)</f>
        <v>IPAC_NAN</v>
      </c>
      <c r="B850" t="str">
        <f>IF(PNL!B850="","",PNL!B850)</f>
        <v>6811</v>
      </c>
      <c r="C850" t="str">
        <f>IF(PNL!C850="","",PNL!C850)</f>
        <v>2027</v>
      </c>
      <c r="D850" t="str">
        <f>IF(PNL!D850="","",PNL!D850)</f>
        <v>V01</v>
      </c>
      <c r="E850">
        <f t="shared" si="0"/>
        <v>1</v>
      </c>
      <c r="F850">
        <f>IF($A850="","",IF($E850=1,_xlfn.SUMIFS(Comptabilité!$F$1:$F$1446,Comptabilité!$A$1:$A$1446,$A850,Comptabilité!$B$1:$B$1446,$B850,Comptabilité!$C$1:$C$1446,"2026"),0))</f>
        <v>61955</v>
      </c>
      <c r="G850">
        <f>IF($A850="","",IF($D850="V01",Cadrage!$C$23,IF($D850="V02",Cadrage!$D$23,Cadrage!$E$23)))</f>
        <v>0.08</v>
      </c>
      <c r="H850">
        <f>IF($A850="","",IF($D850="V01",Cadrage!$C$24,IF($D850="V02",Cadrage!$D$24,Cadrage!$E$24)))</f>
        <v>0.1</v>
      </c>
      <c r="I850">
        <f>IF($A850="","",IF($D850="V01",Cadrage!$C$34,IF($D850="V02",Cadrage!$D$34,Cadrage!$E$34)))</f>
        <v>0.02</v>
      </c>
      <c r="J850">
        <f>IF($A850="","",IF($D850="V01",Cadrage!$C$35,IF($D850="V02",Cadrage!$D$35,Cadrage!$E$35)))</f>
        <v>0.025</v>
      </c>
      <c r="K850">
        <f>IF($A850="","",IF($D850="V01",Cadrage!$C$36,IF($D850="V02",Cadrage!$D$36,Cadrage!$E$36)))</f>
        <v>0.04</v>
      </c>
      <c r="L850">
        <f>IF($A850="","",IF($D850="V01",Cadrage!$C$37,IF($D850="V02",Cadrage!$D$37,Cadrage!$E$37)))</f>
        <v>0.0185</v>
      </c>
      <c r="M850">
        <f>IF($A850="","",IF($D850="V01",Cadrage!$C$38,IF($D850="V02",Cadrage!$D$38,Cadrage!$E$38)))</f>
        <v>0</v>
      </c>
      <c r="N850">
        <f t="shared" si="1"/>
        <v>1.04903758953208</v>
      </c>
      <c r="O850">
        <f t="shared" si="2"/>
        <v>1.02</v>
      </c>
      <c r="P850">
        <f>IF($A850="","",IF($E850=1,$F850*$O850,PNL!G850))</f>
        <v>63194.1</v>
      </c>
      <c r="T850">
        <f t="shared" si="3"/>
        <v>0</v>
      </c>
    </row>
    <row r="851" ht="14.25" customHeight="1">
      <c r="A851" t="str">
        <f>IF(PNL!A851="","",PNL!A851)</f>
        <v>IPAC_REN</v>
      </c>
      <c r="B851" t="str">
        <f>IF(PNL!B851="","",PNL!B851)</f>
        <v>6811</v>
      </c>
      <c r="C851" t="str">
        <f>IF(PNL!C851="","",PNL!C851)</f>
        <v>2027</v>
      </c>
      <c r="D851" t="str">
        <f>IF(PNL!D851="","",PNL!D851)</f>
        <v>V01</v>
      </c>
      <c r="E851">
        <f t="shared" si="0"/>
        <v>1</v>
      </c>
      <c r="F851">
        <f>IF($A851="","",IF($E851=1,_xlfn.SUMIFS(Comptabilité!$F$1:$F$1446,Comptabilité!$A$1:$A$1446,$A851,Comptabilité!$B$1:$B$1446,$B851,Comptabilité!$C$1:$C$1446,"2026"),0))</f>
        <v>61955</v>
      </c>
      <c r="G851">
        <f>IF($A851="","",IF($D851="V01",Cadrage!$C$23,IF($D851="V02",Cadrage!$D$23,Cadrage!$E$23)))</f>
        <v>0.08</v>
      </c>
      <c r="H851">
        <f>IF($A851="","",IF($D851="V01",Cadrage!$C$24,IF($D851="V02",Cadrage!$D$24,Cadrage!$E$24)))</f>
        <v>0.1</v>
      </c>
      <c r="I851">
        <f>IF($A851="","",IF($D851="V01",Cadrage!$C$34,IF($D851="V02",Cadrage!$D$34,Cadrage!$E$34)))</f>
        <v>0.02</v>
      </c>
      <c r="J851">
        <f>IF($A851="","",IF($D851="V01",Cadrage!$C$35,IF($D851="V02",Cadrage!$D$35,Cadrage!$E$35)))</f>
        <v>0.025</v>
      </c>
      <c r="K851">
        <f>IF($A851="","",IF($D851="V01",Cadrage!$C$36,IF($D851="V02",Cadrage!$D$36,Cadrage!$E$36)))</f>
        <v>0.04</v>
      </c>
      <c r="L851">
        <f>IF($A851="","",IF($D851="V01",Cadrage!$C$37,IF($D851="V02",Cadrage!$D$37,Cadrage!$E$37)))</f>
        <v>0.0185</v>
      </c>
      <c r="M851">
        <f>IF($A851="","",IF($D851="V01",Cadrage!$C$38,IF($D851="V02",Cadrage!$D$38,Cadrage!$E$38)))</f>
        <v>0</v>
      </c>
      <c r="N851">
        <f t="shared" si="1"/>
        <v>1.04903758953208</v>
      </c>
      <c r="O851">
        <f t="shared" si="2"/>
        <v>1.02</v>
      </c>
      <c r="P851">
        <f>IF($A851="","",IF($E851=1,$F851*$O851,PNL!G851))</f>
        <v>63194.1</v>
      </c>
      <c r="T851">
        <f t="shared" si="3"/>
        <v>0</v>
      </c>
    </row>
    <row r="852" ht="14.25" customHeight="1">
      <c r="A852" t="str">
        <f>IF(PNL!A852="","",PNL!A852)</f>
        <v>ISCOM_LIL</v>
      </c>
      <c r="B852" t="str">
        <f>IF(PNL!B852="","",PNL!B852)</f>
        <v>6811</v>
      </c>
      <c r="C852" t="str">
        <f>IF(PNL!C852="","",PNL!C852)</f>
        <v>2027</v>
      </c>
      <c r="D852" t="str">
        <f>IF(PNL!D852="","",PNL!D852)</f>
        <v>V01</v>
      </c>
      <c r="E852">
        <f t="shared" si="0"/>
        <v>1</v>
      </c>
      <c r="F852">
        <f>IF($A852="","",IF($E852=1,_xlfn.SUMIFS(Comptabilité!$F$1:$F$1446,Comptabilité!$A$1:$A$1446,$A852,Comptabilité!$B$1:$B$1446,$B852,Comptabilité!$C$1:$C$1446,"2026"),0))</f>
        <v>103258</v>
      </c>
      <c r="G852">
        <f>IF($A852="","",IF($D852="V01",Cadrage!$C$23,IF($D852="V02",Cadrage!$D$23,Cadrage!$E$23)))</f>
        <v>0.08</v>
      </c>
      <c r="H852">
        <f>IF($A852="","",IF($D852="V01",Cadrage!$C$24,IF($D852="V02",Cadrage!$D$24,Cadrage!$E$24)))</f>
        <v>0.1</v>
      </c>
      <c r="I852">
        <f>IF($A852="","",IF($D852="V01",Cadrage!$C$34,IF($D852="V02",Cadrage!$D$34,Cadrage!$E$34)))</f>
        <v>0.02</v>
      </c>
      <c r="J852">
        <f>IF($A852="","",IF($D852="V01",Cadrage!$C$35,IF($D852="V02",Cadrage!$D$35,Cadrage!$E$35)))</f>
        <v>0.025</v>
      </c>
      <c r="K852">
        <f>IF($A852="","",IF($D852="V01",Cadrage!$C$36,IF($D852="V02",Cadrage!$D$36,Cadrage!$E$36)))</f>
        <v>0.04</v>
      </c>
      <c r="L852">
        <f>IF($A852="","",IF($D852="V01",Cadrage!$C$37,IF($D852="V02",Cadrage!$D$37,Cadrage!$E$37)))</f>
        <v>0.0185</v>
      </c>
      <c r="M852">
        <f>IF($A852="","",IF($D852="V01",Cadrage!$C$38,IF($D852="V02",Cadrage!$D$38,Cadrage!$E$38)))</f>
        <v>0</v>
      </c>
      <c r="N852">
        <f t="shared" si="1"/>
        <v>1.04903758953208</v>
      </c>
      <c r="O852">
        <f t="shared" si="2"/>
        <v>1.02</v>
      </c>
      <c r="P852">
        <f>IF($A852="","",IF($E852=1,$F852*$O852,PNL!G852))</f>
        <v>105323.16</v>
      </c>
      <c r="T852">
        <f t="shared" si="3"/>
        <v>0</v>
      </c>
    </row>
    <row r="853" ht="14.25" customHeight="1">
      <c r="A853" t="str">
        <f>IF(PNL!A853="","",PNL!A853)</f>
        <v>ISCOM_PAR</v>
      </c>
      <c r="B853" t="str">
        <f>IF(PNL!B853="","",PNL!B853)</f>
        <v>6811</v>
      </c>
      <c r="C853" t="str">
        <f>IF(PNL!C853="","",PNL!C853)</f>
        <v>2027</v>
      </c>
      <c r="D853" t="str">
        <f>IF(PNL!D853="","",PNL!D853)</f>
        <v>V01</v>
      </c>
      <c r="E853">
        <f t="shared" si="0"/>
        <v>1</v>
      </c>
      <c r="F853">
        <f>IF($A853="","",IF($E853=1,_xlfn.SUMIFS(Comptabilité!$F$1:$F$1446,Comptabilité!$A$1:$A$1446,$A853,Comptabilité!$B$1:$B$1446,$B853,Comptabilité!$C$1:$C$1446,"2026"),0))</f>
        <v>154887</v>
      </c>
      <c r="G853">
        <f>IF($A853="","",IF($D853="V01",Cadrage!$C$23,IF($D853="V02",Cadrage!$D$23,Cadrage!$E$23)))</f>
        <v>0.08</v>
      </c>
      <c r="H853">
        <f>IF($A853="","",IF($D853="V01",Cadrage!$C$24,IF($D853="V02",Cadrage!$D$24,Cadrage!$E$24)))</f>
        <v>0.1</v>
      </c>
      <c r="I853">
        <f>IF($A853="","",IF($D853="V01",Cadrage!$C$34,IF($D853="V02",Cadrage!$D$34,Cadrage!$E$34)))</f>
        <v>0.02</v>
      </c>
      <c r="J853">
        <f>IF($A853="","",IF($D853="V01",Cadrage!$C$35,IF($D853="V02",Cadrage!$D$35,Cadrage!$E$35)))</f>
        <v>0.025</v>
      </c>
      <c r="K853">
        <f>IF($A853="","",IF($D853="V01",Cadrage!$C$36,IF($D853="V02",Cadrage!$D$36,Cadrage!$E$36)))</f>
        <v>0.04</v>
      </c>
      <c r="L853">
        <f>IF($A853="","",IF($D853="V01",Cadrage!$C$37,IF($D853="V02",Cadrage!$D$37,Cadrage!$E$37)))</f>
        <v>0.0185</v>
      </c>
      <c r="M853">
        <f>IF($A853="","",IF($D853="V01",Cadrage!$C$38,IF($D853="V02",Cadrage!$D$38,Cadrage!$E$38)))</f>
        <v>0</v>
      </c>
      <c r="N853">
        <f t="shared" si="1"/>
        <v>1.04903758953208</v>
      </c>
      <c r="O853">
        <f t="shared" si="2"/>
        <v>1.02</v>
      </c>
      <c r="P853">
        <f>IF($A853="","",IF($E853=1,$F853*$O853,PNL!G853))</f>
        <v>157984.74</v>
      </c>
      <c r="T853">
        <f t="shared" si="3"/>
        <v>0</v>
      </c>
    </row>
    <row r="854" ht="14.25" customHeight="1">
      <c r="A854" t="str">
        <f>IF(PNL!A854="","",PNL!A854)</f>
        <v>ISCOM_TLS</v>
      </c>
      <c r="B854" t="str">
        <f>IF(PNL!B854="","",PNL!B854)</f>
        <v>6811</v>
      </c>
      <c r="C854" t="str">
        <f>IF(PNL!C854="","",PNL!C854)</f>
        <v>2027</v>
      </c>
      <c r="D854" t="str">
        <f>IF(PNL!D854="","",PNL!D854)</f>
        <v>V01</v>
      </c>
      <c r="E854">
        <f t="shared" si="0"/>
        <v>1</v>
      </c>
      <c r="F854">
        <f>IF($A854="","",IF($E854=1,_xlfn.SUMIFS(Comptabilité!$F$1:$F$1446,Comptabilité!$A$1:$A$1446,$A854,Comptabilité!$B$1:$B$1446,$B854,Comptabilité!$C$1:$C$1446,"2026"),0))</f>
        <v>103258</v>
      </c>
      <c r="G854">
        <f>IF($A854="","",IF($D854="V01",Cadrage!$C$23,IF($D854="V02",Cadrage!$D$23,Cadrage!$E$23)))</f>
        <v>0.08</v>
      </c>
      <c r="H854">
        <f>IF($A854="","",IF($D854="V01",Cadrage!$C$24,IF($D854="V02",Cadrage!$D$24,Cadrage!$E$24)))</f>
        <v>0.1</v>
      </c>
      <c r="I854">
        <f>IF($A854="","",IF($D854="V01",Cadrage!$C$34,IF($D854="V02",Cadrage!$D$34,Cadrage!$E$34)))</f>
        <v>0.02</v>
      </c>
      <c r="J854">
        <f>IF($A854="","",IF($D854="V01",Cadrage!$C$35,IF($D854="V02",Cadrage!$D$35,Cadrage!$E$35)))</f>
        <v>0.025</v>
      </c>
      <c r="K854">
        <f>IF($A854="","",IF($D854="V01",Cadrage!$C$36,IF($D854="V02",Cadrage!$D$36,Cadrage!$E$36)))</f>
        <v>0.04</v>
      </c>
      <c r="L854">
        <f>IF($A854="","",IF($D854="V01",Cadrage!$C$37,IF($D854="V02",Cadrage!$D$37,Cadrage!$E$37)))</f>
        <v>0.0185</v>
      </c>
      <c r="M854">
        <f>IF($A854="","",IF($D854="V01",Cadrage!$C$38,IF($D854="V02",Cadrage!$D$38,Cadrage!$E$38)))</f>
        <v>0</v>
      </c>
      <c r="N854">
        <f t="shared" si="1"/>
        <v>1.04903758953208</v>
      </c>
      <c r="O854">
        <f t="shared" si="2"/>
        <v>1.02</v>
      </c>
      <c r="P854">
        <f>IF($A854="","",IF($E854=1,$F854*$O854,PNL!G854))</f>
        <v>105323.16</v>
      </c>
      <c r="T854">
        <f t="shared" si="3"/>
        <v>0</v>
      </c>
    </row>
    <row r="855" ht="14.25" customHeight="1">
      <c r="A855" t="str">
        <f>IF(PNL!A855="","",PNL!A855)</f>
        <v>MBWAY_BOR</v>
      </c>
      <c r="B855" t="str">
        <f>IF(PNL!B855="","",PNL!B855)</f>
        <v>6811</v>
      </c>
      <c r="C855" t="str">
        <f>IF(PNL!C855="","",PNL!C855)</f>
        <v>2027</v>
      </c>
      <c r="D855" t="str">
        <f>IF(PNL!D855="","",PNL!D855)</f>
        <v>V01</v>
      </c>
      <c r="E855">
        <f t="shared" si="0"/>
        <v>1</v>
      </c>
      <c r="F855">
        <f>IF($A855="","",IF($E855=1,_xlfn.SUMIFS(Comptabilité!$F$1:$F$1446,Comptabilité!$A$1:$A$1446,$A855,Comptabilité!$B$1:$B$1446,$B855,Comptabilité!$C$1:$C$1446,"2026"),0))</f>
        <v>103258</v>
      </c>
      <c r="G855">
        <f>IF($A855="","",IF($D855="V01",Cadrage!$C$23,IF($D855="V02",Cadrage!$D$23,Cadrage!$E$23)))</f>
        <v>0.08</v>
      </c>
      <c r="H855">
        <f>IF($A855="","",IF($D855="V01",Cadrage!$C$24,IF($D855="V02",Cadrage!$D$24,Cadrage!$E$24)))</f>
        <v>0.1</v>
      </c>
      <c r="I855">
        <f>IF($A855="","",IF($D855="V01",Cadrage!$C$34,IF($D855="V02",Cadrage!$D$34,Cadrage!$E$34)))</f>
        <v>0.02</v>
      </c>
      <c r="J855">
        <f>IF($A855="","",IF($D855="V01",Cadrage!$C$35,IF($D855="V02",Cadrage!$D$35,Cadrage!$E$35)))</f>
        <v>0.025</v>
      </c>
      <c r="K855">
        <f>IF($A855="","",IF($D855="V01",Cadrage!$C$36,IF($D855="V02",Cadrage!$D$36,Cadrage!$E$36)))</f>
        <v>0.04</v>
      </c>
      <c r="L855">
        <f>IF($A855="","",IF($D855="V01",Cadrage!$C$37,IF($D855="V02",Cadrage!$D$37,Cadrage!$E$37)))</f>
        <v>0.0185</v>
      </c>
      <c r="M855">
        <f>IF($A855="","",IF($D855="V01",Cadrage!$C$38,IF($D855="V02",Cadrage!$D$38,Cadrage!$E$38)))</f>
        <v>0</v>
      </c>
      <c r="N855">
        <f t="shared" si="1"/>
        <v>1.04903758953208</v>
      </c>
      <c r="O855">
        <f t="shared" si="2"/>
        <v>1.02</v>
      </c>
      <c r="P855">
        <f>IF($A855="","",IF($E855=1,$F855*$O855,PNL!G855))</f>
        <v>105323.16</v>
      </c>
      <c r="T855">
        <f t="shared" si="3"/>
        <v>0</v>
      </c>
    </row>
    <row r="856" ht="14.25" customHeight="1">
      <c r="A856" t="str">
        <f>IF(PNL!A856="","",PNL!A856)</f>
        <v>MBWAY_LYO</v>
      </c>
      <c r="B856" t="str">
        <f>IF(PNL!B856="","",PNL!B856)</f>
        <v>6811</v>
      </c>
      <c r="C856" t="str">
        <f>IF(PNL!C856="","",PNL!C856)</f>
        <v>2027</v>
      </c>
      <c r="D856" t="str">
        <f>IF(PNL!D856="","",PNL!D856)</f>
        <v>V01</v>
      </c>
      <c r="E856">
        <f t="shared" si="0"/>
        <v>1</v>
      </c>
      <c r="F856">
        <f>IF($A856="","",IF($E856=1,_xlfn.SUMIFS(Comptabilité!$F$1:$F$1446,Comptabilité!$A$1:$A$1446,$A856,Comptabilité!$B$1:$B$1446,$B856,Comptabilité!$C$1:$C$1446,"2026"),0))</f>
        <v>134236</v>
      </c>
      <c r="G856">
        <f>IF($A856="","",IF($D856="V01",Cadrage!$C$23,IF($D856="V02",Cadrage!$D$23,Cadrage!$E$23)))</f>
        <v>0.08</v>
      </c>
      <c r="H856">
        <f>IF($A856="","",IF($D856="V01",Cadrage!$C$24,IF($D856="V02",Cadrage!$D$24,Cadrage!$E$24)))</f>
        <v>0.1</v>
      </c>
      <c r="I856">
        <f>IF($A856="","",IF($D856="V01",Cadrage!$C$34,IF($D856="V02",Cadrage!$D$34,Cadrage!$E$34)))</f>
        <v>0.02</v>
      </c>
      <c r="J856">
        <f>IF($A856="","",IF($D856="V01",Cadrage!$C$35,IF($D856="V02",Cadrage!$D$35,Cadrage!$E$35)))</f>
        <v>0.025</v>
      </c>
      <c r="K856">
        <f>IF($A856="","",IF($D856="V01",Cadrage!$C$36,IF($D856="V02",Cadrage!$D$36,Cadrage!$E$36)))</f>
        <v>0.04</v>
      </c>
      <c r="L856">
        <f>IF($A856="","",IF($D856="V01",Cadrage!$C$37,IF($D856="V02",Cadrage!$D$37,Cadrage!$E$37)))</f>
        <v>0.0185</v>
      </c>
      <c r="M856">
        <f>IF($A856="","",IF($D856="V01",Cadrage!$C$38,IF($D856="V02",Cadrage!$D$38,Cadrage!$E$38)))</f>
        <v>0</v>
      </c>
      <c r="N856">
        <f t="shared" si="1"/>
        <v>1.04903758953208</v>
      </c>
      <c r="O856">
        <f t="shared" si="2"/>
        <v>1.02</v>
      </c>
      <c r="P856">
        <f>IF($A856="","",IF($E856=1,$F856*$O856,PNL!G856))</f>
        <v>136920.72</v>
      </c>
      <c r="T856">
        <f t="shared" si="3"/>
        <v>0</v>
      </c>
    </row>
    <row r="857" ht="14.25" customHeight="1">
      <c r="A857" t="str">
        <f>IF(PNL!A857="","",PNL!A857)</f>
        <v>MBWAY_NAN</v>
      </c>
      <c r="B857" t="str">
        <f>IF(PNL!B857="","",PNL!B857)</f>
        <v>6811</v>
      </c>
      <c r="C857" t="str">
        <f>IF(PNL!C857="","",PNL!C857)</f>
        <v>2027</v>
      </c>
      <c r="D857" t="str">
        <f>IF(PNL!D857="","",PNL!D857)</f>
        <v>V01</v>
      </c>
      <c r="E857">
        <f t="shared" si="0"/>
        <v>1</v>
      </c>
      <c r="F857">
        <f>IF($A857="","",IF($E857=1,_xlfn.SUMIFS(Comptabilité!$F$1:$F$1446,Comptabilité!$A$1:$A$1446,$A857,Comptabilité!$B$1:$B$1446,$B857,Comptabilité!$C$1:$C$1446,"2026"),0))</f>
        <v>123910</v>
      </c>
      <c r="G857">
        <f>IF($A857="","",IF($D857="V01",Cadrage!$C$23,IF($D857="V02",Cadrage!$D$23,Cadrage!$E$23)))</f>
        <v>0.08</v>
      </c>
      <c r="H857">
        <f>IF($A857="","",IF($D857="V01",Cadrage!$C$24,IF($D857="V02",Cadrage!$D$24,Cadrage!$E$24)))</f>
        <v>0.1</v>
      </c>
      <c r="I857">
        <f>IF($A857="","",IF($D857="V01",Cadrage!$C$34,IF($D857="V02",Cadrage!$D$34,Cadrage!$E$34)))</f>
        <v>0.02</v>
      </c>
      <c r="J857">
        <f>IF($A857="","",IF($D857="V01",Cadrage!$C$35,IF($D857="V02",Cadrage!$D$35,Cadrage!$E$35)))</f>
        <v>0.025</v>
      </c>
      <c r="K857">
        <f>IF($A857="","",IF($D857="V01",Cadrage!$C$36,IF($D857="V02",Cadrage!$D$36,Cadrage!$E$36)))</f>
        <v>0.04</v>
      </c>
      <c r="L857">
        <f>IF($A857="","",IF($D857="V01",Cadrage!$C$37,IF($D857="V02",Cadrage!$D$37,Cadrage!$E$37)))</f>
        <v>0.0185</v>
      </c>
      <c r="M857">
        <f>IF($A857="","",IF($D857="V01",Cadrage!$C$38,IF($D857="V02",Cadrage!$D$38,Cadrage!$E$38)))</f>
        <v>0</v>
      </c>
      <c r="N857">
        <f t="shared" si="1"/>
        <v>1.04903758953208</v>
      </c>
      <c r="O857">
        <f t="shared" si="2"/>
        <v>1.02</v>
      </c>
      <c r="P857">
        <f>IF($A857="","",IF($E857=1,$F857*$O857,PNL!G857))</f>
        <v>126388.2</v>
      </c>
      <c r="T857">
        <f t="shared" si="3"/>
        <v>0</v>
      </c>
    </row>
    <row r="858" ht="14.25" customHeight="1">
      <c r="A858" t="str">
        <f>IF(PNL!A858="","",PNL!A858)</f>
        <v>MBWAY_PAR</v>
      </c>
      <c r="B858" t="str">
        <f>IF(PNL!B858="","",PNL!B858)</f>
        <v>6811</v>
      </c>
      <c r="C858" t="str">
        <f>IF(PNL!C858="","",PNL!C858)</f>
        <v>2027</v>
      </c>
      <c r="D858" t="str">
        <f>IF(PNL!D858="","",PNL!D858)</f>
        <v>V01</v>
      </c>
      <c r="E858">
        <f t="shared" si="0"/>
        <v>1</v>
      </c>
      <c r="F858">
        <f>IF($A858="","",IF($E858=1,_xlfn.SUMIFS(Comptabilité!$F$1:$F$1446,Comptabilité!$A$1:$A$1446,$A858,Comptabilité!$B$1:$B$1446,$B858,Comptabilité!$C$1:$C$1446,"2026"),0))</f>
        <v>154887</v>
      </c>
      <c r="G858">
        <f>IF($A858="","",IF($D858="V01",Cadrage!$C$23,IF($D858="V02",Cadrage!$D$23,Cadrage!$E$23)))</f>
        <v>0.08</v>
      </c>
      <c r="H858">
        <f>IF($A858="","",IF($D858="V01",Cadrage!$C$24,IF($D858="V02",Cadrage!$D$24,Cadrage!$E$24)))</f>
        <v>0.1</v>
      </c>
      <c r="I858">
        <f>IF($A858="","",IF($D858="V01",Cadrage!$C$34,IF($D858="V02",Cadrage!$D$34,Cadrage!$E$34)))</f>
        <v>0.02</v>
      </c>
      <c r="J858">
        <f>IF($A858="","",IF($D858="V01",Cadrage!$C$35,IF($D858="V02",Cadrage!$D$35,Cadrage!$E$35)))</f>
        <v>0.025</v>
      </c>
      <c r="K858">
        <f>IF($A858="","",IF($D858="V01",Cadrage!$C$36,IF($D858="V02",Cadrage!$D$36,Cadrage!$E$36)))</f>
        <v>0.04</v>
      </c>
      <c r="L858">
        <f>IF($A858="","",IF($D858="V01",Cadrage!$C$37,IF($D858="V02",Cadrage!$D$37,Cadrage!$E$37)))</f>
        <v>0.0185</v>
      </c>
      <c r="M858">
        <f>IF($A858="","",IF($D858="V01",Cadrage!$C$38,IF($D858="V02",Cadrage!$D$38,Cadrage!$E$38)))</f>
        <v>0</v>
      </c>
      <c r="N858">
        <f t="shared" si="1"/>
        <v>1.04903758953208</v>
      </c>
      <c r="O858">
        <f t="shared" si="2"/>
        <v>1.02</v>
      </c>
      <c r="P858">
        <f>IF($A858="","",IF($E858=1,$F858*$O858,PNL!G858))</f>
        <v>157984.74</v>
      </c>
      <c r="T858">
        <f t="shared" si="3"/>
        <v>0</v>
      </c>
    </row>
    <row r="859" ht="14.25" customHeight="1">
      <c r="A859" t="str">
        <f>IF(PNL!A859="","",PNL!A859)</f>
        <v>PIGIER_BOR</v>
      </c>
      <c r="B859" t="str">
        <f>IF(PNL!B859="","",PNL!B859)</f>
        <v>6811</v>
      </c>
      <c r="C859" t="str">
        <f>IF(PNL!C859="","",PNL!C859)</f>
        <v>2027</v>
      </c>
      <c r="D859" t="str">
        <f>IF(PNL!D859="","",PNL!D859)</f>
        <v>V01</v>
      </c>
      <c r="E859">
        <f t="shared" si="0"/>
        <v>1</v>
      </c>
      <c r="F859">
        <f>IF($A859="","",IF($E859=1,_xlfn.SUMIFS(Comptabilité!$F$1:$F$1446,Comptabilité!$A$1:$A$1446,$A859,Comptabilité!$B$1:$B$1446,$B859,Comptabilité!$C$1:$C$1446,"2026"),0))</f>
        <v>82607</v>
      </c>
      <c r="G859">
        <f>IF($A859="","",IF($D859="V01",Cadrage!$C$23,IF($D859="V02",Cadrage!$D$23,Cadrage!$E$23)))</f>
        <v>0.08</v>
      </c>
      <c r="H859">
        <f>IF($A859="","",IF($D859="V01",Cadrage!$C$24,IF($D859="V02",Cadrage!$D$24,Cadrage!$E$24)))</f>
        <v>0.1</v>
      </c>
      <c r="I859">
        <f>IF($A859="","",IF($D859="V01",Cadrage!$C$34,IF($D859="V02",Cadrage!$D$34,Cadrage!$E$34)))</f>
        <v>0.02</v>
      </c>
      <c r="J859">
        <f>IF($A859="","",IF($D859="V01",Cadrage!$C$35,IF($D859="V02",Cadrage!$D$35,Cadrage!$E$35)))</f>
        <v>0.025</v>
      </c>
      <c r="K859">
        <f>IF($A859="","",IF($D859="V01",Cadrage!$C$36,IF($D859="V02",Cadrage!$D$36,Cadrage!$E$36)))</f>
        <v>0.04</v>
      </c>
      <c r="L859">
        <f>IF($A859="","",IF($D859="V01",Cadrage!$C$37,IF($D859="V02",Cadrage!$D$37,Cadrage!$E$37)))</f>
        <v>0.0185</v>
      </c>
      <c r="M859">
        <f>IF($A859="","",IF($D859="V01",Cadrage!$C$38,IF($D859="V02",Cadrage!$D$38,Cadrage!$E$38)))</f>
        <v>0</v>
      </c>
      <c r="N859">
        <f t="shared" si="1"/>
        <v>1.04903758953208</v>
      </c>
      <c r="O859">
        <f t="shared" si="2"/>
        <v>1.02</v>
      </c>
      <c r="P859">
        <f>IF($A859="","",IF($E859=1,$F859*$O859,PNL!G859))</f>
        <v>84259.14</v>
      </c>
      <c r="T859">
        <f t="shared" si="3"/>
        <v>0</v>
      </c>
    </row>
    <row r="860" ht="14.25" customHeight="1">
      <c r="A860" t="str">
        <f>IF(PNL!A860="","",PNL!A860)</f>
        <v>PIGIER_LYO</v>
      </c>
      <c r="B860" t="str">
        <f>IF(PNL!B860="","",PNL!B860)</f>
        <v>6811</v>
      </c>
      <c r="C860" t="str">
        <f>IF(PNL!C860="","",PNL!C860)</f>
        <v>2027</v>
      </c>
      <c r="D860" t="str">
        <f>IF(PNL!D860="","",PNL!D860)</f>
        <v>V01</v>
      </c>
      <c r="E860">
        <f t="shared" si="0"/>
        <v>1</v>
      </c>
      <c r="F860">
        <f>IF($A860="","",IF($E860=1,_xlfn.SUMIFS(Comptabilité!$F$1:$F$1446,Comptabilité!$A$1:$A$1446,$A860,Comptabilité!$B$1:$B$1446,$B860,Comptabilité!$C$1:$C$1446,"2026"),0))</f>
        <v>82607</v>
      </c>
      <c r="G860">
        <f>IF($A860="","",IF($D860="V01",Cadrage!$C$23,IF($D860="V02",Cadrage!$D$23,Cadrage!$E$23)))</f>
        <v>0.08</v>
      </c>
      <c r="H860">
        <f>IF($A860="","",IF($D860="V01",Cadrage!$C$24,IF($D860="V02",Cadrage!$D$24,Cadrage!$E$24)))</f>
        <v>0.1</v>
      </c>
      <c r="I860">
        <f>IF($A860="","",IF($D860="V01",Cadrage!$C$34,IF($D860="V02",Cadrage!$D$34,Cadrage!$E$34)))</f>
        <v>0.02</v>
      </c>
      <c r="J860">
        <f>IF($A860="","",IF($D860="V01",Cadrage!$C$35,IF($D860="V02",Cadrage!$D$35,Cadrage!$E$35)))</f>
        <v>0.025</v>
      </c>
      <c r="K860">
        <f>IF($A860="","",IF($D860="V01",Cadrage!$C$36,IF($D860="V02",Cadrage!$D$36,Cadrage!$E$36)))</f>
        <v>0.04</v>
      </c>
      <c r="L860">
        <f>IF($A860="","",IF($D860="V01",Cadrage!$C$37,IF($D860="V02",Cadrage!$D$37,Cadrage!$E$37)))</f>
        <v>0.0185</v>
      </c>
      <c r="M860">
        <f>IF($A860="","",IF($D860="V01",Cadrage!$C$38,IF($D860="V02",Cadrage!$D$38,Cadrage!$E$38)))</f>
        <v>0</v>
      </c>
      <c r="N860">
        <f t="shared" si="1"/>
        <v>1.04903758953208</v>
      </c>
      <c r="O860">
        <f t="shared" si="2"/>
        <v>1.02</v>
      </c>
      <c r="P860">
        <f>IF($A860="","",IF($E860=1,$F860*$O860,PNL!G860))</f>
        <v>84259.14</v>
      </c>
      <c r="T860">
        <f t="shared" si="3"/>
        <v>0</v>
      </c>
    </row>
    <row r="861" ht="14.25" customHeight="1">
      <c r="A861" t="str">
        <f>IF(PNL!A861="","",PNL!A861)</f>
        <v>TUNON_LYO</v>
      </c>
      <c r="B861" t="str">
        <f>IF(PNL!B861="","",PNL!B861)</f>
        <v>6811</v>
      </c>
      <c r="C861" t="str">
        <f>IF(PNL!C861="","",PNL!C861)</f>
        <v>2027</v>
      </c>
      <c r="D861" t="str">
        <f>IF(PNL!D861="","",PNL!D861)</f>
        <v>V01</v>
      </c>
      <c r="E861">
        <f t="shared" si="0"/>
        <v>1</v>
      </c>
      <c r="F861">
        <f>IF($A861="","",IF($E861=1,_xlfn.SUMIFS(Comptabilité!$F$1:$F$1446,Comptabilité!$A$1:$A$1446,$A861,Comptabilité!$B$1:$B$1446,$B861,Comptabilité!$C$1:$C$1446,"2026"),0))</f>
        <v>61955</v>
      </c>
      <c r="G861">
        <f>IF($A861="","",IF($D861="V01",Cadrage!$C$23,IF($D861="V02",Cadrage!$D$23,Cadrage!$E$23)))</f>
        <v>0.08</v>
      </c>
      <c r="H861">
        <f>IF($A861="","",IF($D861="V01",Cadrage!$C$24,IF($D861="V02",Cadrage!$D$24,Cadrage!$E$24)))</f>
        <v>0.1</v>
      </c>
      <c r="I861">
        <f>IF($A861="","",IF($D861="V01",Cadrage!$C$34,IF($D861="V02",Cadrage!$D$34,Cadrage!$E$34)))</f>
        <v>0.02</v>
      </c>
      <c r="J861">
        <f>IF($A861="","",IF($D861="V01",Cadrage!$C$35,IF($D861="V02",Cadrage!$D$35,Cadrage!$E$35)))</f>
        <v>0.025</v>
      </c>
      <c r="K861">
        <f>IF($A861="","",IF($D861="V01",Cadrage!$C$36,IF($D861="V02",Cadrage!$D$36,Cadrage!$E$36)))</f>
        <v>0.04</v>
      </c>
      <c r="L861">
        <f>IF($A861="","",IF($D861="V01",Cadrage!$C$37,IF($D861="V02",Cadrage!$D$37,Cadrage!$E$37)))</f>
        <v>0.0185</v>
      </c>
      <c r="M861">
        <f>IF($A861="","",IF($D861="V01",Cadrage!$C$38,IF($D861="V02",Cadrage!$D$38,Cadrage!$E$38)))</f>
        <v>0</v>
      </c>
      <c r="N861">
        <f t="shared" si="1"/>
        <v>1.04903758953208</v>
      </c>
      <c r="O861">
        <f t="shared" si="2"/>
        <v>1.02</v>
      </c>
      <c r="P861">
        <f>IF($A861="","",IF($E861=1,$F861*$O861,PNL!G861))</f>
        <v>63194.1</v>
      </c>
      <c r="T861">
        <f t="shared" si="3"/>
        <v>0</v>
      </c>
    </row>
    <row r="862" ht="14.25" customHeight="1">
      <c r="A862" t="str">
        <f>IF(PNL!A862="","",PNL!A862)</f>
        <v>TUNON_PAR</v>
      </c>
      <c r="B862" t="str">
        <f>IF(PNL!B862="","",PNL!B862)</f>
        <v>6811</v>
      </c>
      <c r="C862" t="str">
        <f>IF(PNL!C862="","",PNL!C862)</f>
        <v>2027</v>
      </c>
      <c r="D862" t="str">
        <f>IF(PNL!D862="","",PNL!D862)</f>
        <v>V01</v>
      </c>
      <c r="E862">
        <f t="shared" si="0"/>
        <v>1</v>
      </c>
      <c r="F862">
        <f>IF($A862="","",IF($E862=1,_xlfn.SUMIFS(Comptabilité!$F$1:$F$1446,Comptabilité!$A$1:$A$1446,$A862,Comptabilité!$B$1:$B$1446,$B862,Comptabilité!$C$1:$C$1446,"2026"),0))</f>
        <v>61955</v>
      </c>
      <c r="G862">
        <f>IF($A862="","",IF($D862="V01",Cadrage!$C$23,IF($D862="V02",Cadrage!$D$23,Cadrage!$E$23)))</f>
        <v>0.08</v>
      </c>
      <c r="H862">
        <f>IF($A862="","",IF($D862="V01",Cadrage!$C$24,IF($D862="V02",Cadrage!$D$24,Cadrage!$E$24)))</f>
        <v>0.1</v>
      </c>
      <c r="I862">
        <f>IF($A862="","",IF($D862="V01",Cadrage!$C$34,IF($D862="V02",Cadrage!$D$34,Cadrage!$E$34)))</f>
        <v>0.02</v>
      </c>
      <c r="J862">
        <f>IF($A862="","",IF($D862="V01",Cadrage!$C$35,IF($D862="V02",Cadrage!$D$35,Cadrage!$E$35)))</f>
        <v>0.025</v>
      </c>
      <c r="K862">
        <f>IF($A862="","",IF($D862="V01",Cadrage!$C$36,IF($D862="V02",Cadrage!$D$36,Cadrage!$E$36)))</f>
        <v>0.04</v>
      </c>
      <c r="L862">
        <f>IF($A862="","",IF($D862="V01",Cadrage!$C$37,IF($D862="V02",Cadrage!$D$37,Cadrage!$E$37)))</f>
        <v>0.0185</v>
      </c>
      <c r="M862">
        <f>IF($A862="","",IF($D862="V01",Cadrage!$C$38,IF($D862="V02",Cadrage!$D$38,Cadrage!$E$38)))</f>
        <v>0</v>
      </c>
      <c r="N862">
        <f t="shared" si="1"/>
        <v>1.04903758953208</v>
      </c>
      <c r="O862">
        <f t="shared" si="2"/>
        <v>1.02</v>
      </c>
      <c r="P862">
        <f>IF($A862="","",IF($E862=1,$F862*$O862,PNL!G862))</f>
        <v>63194.1</v>
      </c>
      <c r="T862">
        <f t="shared" si="3"/>
        <v>0</v>
      </c>
    </row>
    <row r="863" ht="14.25" customHeight="1">
      <c r="A863" t="str">
        <f>IF(PNL!A863="","",PNL!A863)</f>
        <v>ISCOM_LIL</v>
      </c>
      <c r="B863" t="str">
        <f>IF(PNL!B863="","",PNL!B863)</f>
        <v>706</v>
      </c>
      <c r="C863" t="str">
        <f>IF(PNL!C863="","",PNL!C863)</f>
        <v>2027</v>
      </c>
      <c r="D863" t="str">
        <f>IF(PNL!D863="","",PNL!D863)</f>
        <v>V01</v>
      </c>
      <c r="E863">
        <f t="shared" si="0"/>
        <v>1</v>
      </c>
      <c r="F863">
        <f>IF($A863="","",IF($E863=1,_xlfn.SUMIFS(Comptabilité!$F$1:$F$1446,Comptabilité!$A$1:$A$1446,$A863,Comptabilité!$B$1:$B$1446,$B863,Comptabilité!$C$1:$C$1446,"2026"),0))</f>
        <v>367500</v>
      </c>
      <c r="G863">
        <f>IF($A863="","",IF($D863="V01",Cadrage!$C$23,IF($D863="V02",Cadrage!$D$23,Cadrage!$E$23)))</f>
        <v>0.08</v>
      </c>
      <c r="H863">
        <f>IF($A863="","",IF($D863="V01",Cadrage!$C$24,IF($D863="V02",Cadrage!$D$24,Cadrage!$E$24)))</f>
        <v>0.1</v>
      </c>
      <c r="I863">
        <f>IF($A863="","",IF($D863="V01",Cadrage!$C$34,IF($D863="V02",Cadrage!$D$34,Cadrage!$E$34)))</f>
        <v>0.02</v>
      </c>
      <c r="J863">
        <f>IF($A863="","",IF($D863="V01",Cadrage!$C$35,IF($D863="V02",Cadrage!$D$35,Cadrage!$E$35)))</f>
        <v>0.025</v>
      </c>
      <c r="K863">
        <f>IF($A863="","",IF($D863="V01",Cadrage!$C$36,IF($D863="V02",Cadrage!$D$36,Cadrage!$E$36)))</f>
        <v>0.04</v>
      </c>
      <c r="L863">
        <f>IF($A863="","",IF($D863="V01",Cadrage!$C$37,IF($D863="V02",Cadrage!$D$37,Cadrage!$E$37)))</f>
        <v>0.0185</v>
      </c>
      <c r="M863">
        <f>IF($A863="","",IF($D863="V01",Cadrage!$C$38,IF($D863="V02",Cadrage!$D$38,Cadrage!$E$38)))</f>
        <v>0</v>
      </c>
      <c r="N863">
        <f t="shared" si="1"/>
        <v>1.04903758953208</v>
      </c>
      <c r="O863">
        <f t="shared" si="2"/>
        <v>1.04903758953208</v>
      </c>
      <c r="P863">
        <f>IF($A863="","",IF($E863=1,$F863*$O863,PNL!G863))</f>
        <v>385521.314153039</v>
      </c>
      <c r="T863">
        <f t="shared" si="3"/>
        <v>385521.314153039</v>
      </c>
    </row>
    <row r="864" ht="14.25" customHeight="1">
      <c r="A864" t="str">
        <f>IF(PNL!A864="","",PNL!A864)</f>
        <v>ISCOM_PAR</v>
      </c>
      <c r="B864" t="str">
        <f>IF(PNL!B864="","",PNL!B864)</f>
        <v>706</v>
      </c>
      <c r="C864" t="str">
        <f>IF(PNL!C864="","",PNL!C864)</f>
        <v>2027</v>
      </c>
      <c r="D864" t="str">
        <f>IF(PNL!D864="","",PNL!D864)</f>
        <v>V01</v>
      </c>
      <c r="E864">
        <f t="shared" si="0"/>
        <v>1</v>
      </c>
      <c r="F864">
        <f>IF($A864="","",IF($E864=1,_xlfn.SUMIFS(Comptabilité!$F$1:$F$1446,Comptabilité!$A$1:$A$1446,$A864,Comptabilité!$B$1:$B$1446,$B864,Comptabilité!$C$1:$C$1446,"2026"),0))</f>
        <v>604800</v>
      </c>
      <c r="G864">
        <f>IF($A864="","",IF($D864="V01",Cadrage!$C$23,IF($D864="V02",Cadrage!$D$23,Cadrage!$E$23)))</f>
        <v>0.08</v>
      </c>
      <c r="H864">
        <f>IF($A864="","",IF($D864="V01",Cadrage!$C$24,IF($D864="V02",Cadrage!$D$24,Cadrage!$E$24)))</f>
        <v>0.1</v>
      </c>
      <c r="I864">
        <f>IF($A864="","",IF($D864="V01",Cadrage!$C$34,IF($D864="V02",Cadrage!$D$34,Cadrage!$E$34)))</f>
        <v>0.02</v>
      </c>
      <c r="J864">
        <f>IF($A864="","",IF($D864="V01",Cadrage!$C$35,IF($D864="V02",Cadrage!$D$35,Cadrage!$E$35)))</f>
        <v>0.025</v>
      </c>
      <c r="K864">
        <f>IF($A864="","",IF($D864="V01",Cadrage!$C$36,IF($D864="V02",Cadrage!$D$36,Cadrage!$E$36)))</f>
        <v>0.04</v>
      </c>
      <c r="L864">
        <f>IF($A864="","",IF($D864="V01",Cadrage!$C$37,IF($D864="V02",Cadrage!$D$37,Cadrage!$E$37)))</f>
        <v>0.0185</v>
      </c>
      <c r="M864">
        <f>IF($A864="","",IF($D864="V01",Cadrage!$C$38,IF($D864="V02",Cadrage!$D$38,Cadrage!$E$38)))</f>
        <v>0</v>
      </c>
      <c r="N864">
        <f t="shared" si="1"/>
        <v>1.04903758953208</v>
      </c>
      <c r="O864">
        <f t="shared" si="2"/>
        <v>1.04903758953208</v>
      </c>
      <c r="P864">
        <f>IF($A864="","",IF($E864=1,$F864*$O864,PNL!G864))</f>
        <v>634457.934149002</v>
      </c>
      <c r="T864">
        <f t="shared" si="3"/>
        <v>634457.934149002</v>
      </c>
    </row>
    <row r="865" ht="14.25" customHeight="1">
      <c r="A865" t="str">
        <f>IF(PNL!A865="","",PNL!A865)</f>
        <v>ISCOM_TLS</v>
      </c>
      <c r="B865" t="str">
        <f>IF(PNL!B865="","",PNL!B865)</f>
        <v>706</v>
      </c>
      <c r="C865" t="str">
        <f>IF(PNL!C865="","",PNL!C865)</f>
        <v>2027</v>
      </c>
      <c r="D865" t="str">
        <f>IF(PNL!D865="","",PNL!D865)</f>
        <v>V01</v>
      </c>
      <c r="E865">
        <f t="shared" si="0"/>
        <v>1</v>
      </c>
      <c r="F865">
        <f>IF($A865="","",IF($E865=1,_xlfn.SUMIFS(Comptabilité!$F$1:$F$1446,Comptabilité!$A$1:$A$1446,$A865,Comptabilité!$B$1:$B$1446,$B865,Comptabilité!$C$1:$C$1446,"2026"),0))</f>
        <v>338400</v>
      </c>
      <c r="G865">
        <f>IF($A865="","",IF($D865="V01",Cadrage!$C$23,IF($D865="V02",Cadrage!$D$23,Cadrage!$E$23)))</f>
        <v>0.08</v>
      </c>
      <c r="H865">
        <f>IF($A865="","",IF($D865="V01",Cadrage!$C$24,IF($D865="V02",Cadrage!$D$24,Cadrage!$E$24)))</f>
        <v>0.1</v>
      </c>
      <c r="I865">
        <f>IF($A865="","",IF($D865="V01",Cadrage!$C$34,IF($D865="V02",Cadrage!$D$34,Cadrage!$E$34)))</f>
        <v>0.02</v>
      </c>
      <c r="J865">
        <f>IF($A865="","",IF($D865="V01",Cadrage!$C$35,IF($D865="V02",Cadrage!$D$35,Cadrage!$E$35)))</f>
        <v>0.025</v>
      </c>
      <c r="K865">
        <f>IF($A865="","",IF($D865="V01",Cadrage!$C$36,IF($D865="V02",Cadrage!$D$36,Cadrage!$E$36)))</f>
        <v>0.04</v>
      </c>
      <c r="L865">
        <f>IF($A865="","",IF($D865="V01",Cadrage!$C$37,IF($D865="V02",Cadrage!$D$37,Cadrage!$E$37)))</f>
        <v>0.0185</v>
      </c>
      <c r="M865">
        <f>IF($A865="","",IF($D865="V01",Cadrage!$C$38,IF($D865="V02",Cadrage!$D$38,Cadrage!$E$38)))</f>
        <v>0</v>
      </c>
      <c r="N865">
        <f t="shared" si="1"/>
        <v>1.04903758953208</v>
      </c>
      <c r="O865">
        <f t="shared" si="2"/>
        <v>1.04903758953208</v>
      </c>
      <c r="P865">
        <f>IF($A865="","",IF($E865=1,$F865*$O865,PNL!G865))</f>
        <v>354994.320297656</v>
      </c>
      <c r="T865">
        <f t="shared" si="3"/>
        <v>354994.320297656</v>
      </c>
    </row>
    <row r="866" ht="14.25" customHeight="1">
      <c r="A866" t="str">
        <f>IF(PNL!A866="","",PNL!A866)</f>
        <v>MBWAY_BOR</v>
      </c>
      <c r="B866" t="str">
        <f>IF(PNL!B866="","",PNL!B866)</f>
        <v>706</v>
      </c>
      <c r="C866" t="str">
        <f>IF(PNL!C866="","",PNL!C866)</f>
        <v>2027</v>
      </c>
      <c r="D866" t="str">
        <f>IF(PNL!D866="","",PNL!D866)</f>
        <v>V01</v>
      </c>
      <c r="E866">
        <f t="shared" si="0"/>
        <v>1</v>
      </c>
      <c r="F866">
        <f>IF($A866="","",IF($E866=1,_xlfn.SUMIFS(Comptabilité!$F$1:$F$1446,Comptabilité!$A$1:$A$1446,$A866,Comptabilité!$B$1:$B$1446,$B866,Comptabilité!$C$1:$C$1446,"2026"),0))</f>
        <v>371025</v>
      </c>
      <c r="G866">
        <f>IF($A866="","",IF($D866="V01",Cadrage!$C$23,IF($D866="V02",Cadrage!$D$23,Cadrage!$E$23)))</f>
        <v>0.08</v>
      </c>
      <c r="H866">
        <f>IF($A866="","",IF($D866="V01",Cadrage!$C$24,IF($D866="V02",Cadrage!$D$24,Cadrage!$E$24)))</f>
        <v>0.1</v>
      </c>
      <c r="I866">
        <f>IF($A866="","",IF($D866="V01",Cadrage!$C$34,IF($D866="V02",Cadrage!$D$34,Cadrage!$E$34)))</f>
        <v>0.02</v>
      </c>
      <c r="J866">
        <f>IF($A866="","",IF($D866="V01",Cadrage!$C$35,IF($D866="V02",Cadrage!$D$35,Cadrage!$E$35)))</f>
        <v>0.025</v>
      </c>
      <c r="K866">
        <f>IF($A866="","",IF($D866="V01",Cadrage!$C$36,IF($D866="V02",Cadrage!$D$36,Cadrage!$E$36)))</f>
        <v>0.04</v>
      </c>
      <c r="L866">
        <f>IF($A866="","",IF($D866="V01",Cadrage!$C$37,IF($D866="V02",Cadrage!$D$37,Cadrage!$E$37)))</f>
        <v>0.0185</v>
      </c>
      <c r="M866">
        <f>IF($A866="","",IF($D866="V01",Cadrage!$C$38,IF($D866="V02",Cadrage!$D$38,Cadrage!$E$38)))</f>
        <v>0</v>
      </c>
      <c r="N866">
        <f t="shared" si="1"/>
        <v>1.04903758953208</v>
      </c>
      <c r="O866">
        <f t="shared" si="2"/>
        <v>1.04903758953208</v>
      </c>
      <c r="P866">
        <f>IF($A866="","",IF($E866=1,$F866*$O866,PNL!G866))</f>
        <v>389219.17165614</v>
      </c>
      <c r="T866">
        <f t="shared" si="3"/>
        <v>389219.17165614</v>
      </c>
    </row>
    <row r="867" ht="14.25" customHeight="1">
      <c r="A867" t="str">
        <f>IF(PNL!A867="","",PNL!A867)</f>
        <v>MBWAY_LYO</v>
      </c>
      <c r="B867" t="str">
        <f>IF(PNL!B867="","",PNL!B867)</f>
        <v>706</v>
      </c>
      <c r="C867" t="str">
        <f>IF(PNL!C867="","",PNL!C867)</f>
        <v>2027</v>
      </c>
      <c r="D867" t="str">
        <f>IF(PNL!D867="","",PNL!D867)</f>
        <v>V01</v>
      </c>
      <c r="E867">
        <f t="shared" si="0"/>
        <v>1</v>
      </c>
      <c r="F867">
        <f>IF($A867="","",IF($E867=1,_xlfn.SUMIFS(Comptabilité!$F$1:$F$1446,Comptabilité!$A$1:$A$1446,$A867,Comptabilité!$B$1:$B$1446,$B867,Comptabilité!$C$1:$C$1446,"2026"),0))</f>
        <v>519750</v>
      </c>
      <c r="G867">
        <f>IF($A867="","",IF($D867="V01",Cadrage!$C$23,IF($D867="V02",Cadrage!$D$23,Cadrage!$E$23)))</f>
        <v>0.08</v>
      </c>
      <c r="H867">
        <f>IF($A867="","",IF($D867="V01",Cadrage!$C$24,IF($D867="V02",Cadrage!$D$24,Cadrage!$E$24)))</f>
        <v>0.1</v>
      </c>
      <c r="I867">
        <f>IF($A867="","",IF($D867="V01",Cadrage!$C$34,IF($D867="V02",Cadrage!$D$34,Cadrage!$E$34)))</f>
        <v>0.02</v>
      </c>
      <c r="J867">
        <f>IF($A867="","",IF($D867="V01",Cadrage!$C$35,IF($D867="V02",Cadrage!$D$35,Cadrage!$E$35)))</f>
        <v>0.025</v>
      </c>
      <c r="K867">
        <f>IF($A867="","",IF($D867="V01",Cadrage!$C$36,IF($D867="V02",Cadrage!$D$36,Cadrage!$E$36)))</f>
        <v>0.04</v>
      </c>
      <c r="L867">
        <f>IF($A867="","",IF($D867="V01",Cadrage!$C$37,IF($D867="V02",Cadrage!$D$37,Cadrage!$E$37)))</f>
        <v>0.0185</v>
      </c>
      <c r="M867">
        <f>IF($A867="","",IF($D867="V01",Cadrage!$C$38,IF($D867="V02",Cadrage!$D$38,Cadrage!$E$38)))</f>
        <v>0</v>
      </c>
      <c r="N867">
        <f t="shared" si="1"/>
        <v>1.04903758953208</v>
      </c>
      <c r="O867">
        <f t="shared" si="2"/>
        <v>1.04903758953208</v>
      </c>
      <c r="P867">
        <f>IF($A867="","",IF($E867=1,$F867*$O867,PNL!G867))</f>
        <v>545237.287159299</v>
      </c>
      <c r="T867">
        <f t="shared" si="3"/>
        <v>545237.287159299</v>
      </c>
    </row>
    <row r="868" ht="14.25" customHeight="1">
      <c r="A868" t="str">
        <f>IF(PNL!A868="","",PNL!A868)</f>
        <v>MBWAY_NAN</v>
      </c>
      <c r="B868" t="str">
        <f>IF(PNL!B868="","",PNL!B868)</f>
        <v>706</v>
      </c>
      <c r="C868" t="str">
        <f>IF(PNL!C868="","",PNL!C868)</f>
        <v>2027</v>
      </c>
      <c r="D868" t="str">
        <f>IF(PNL!D868="","",PNL!D868)</f>
        <v>V01</v>
      </c>
      <c r="E868">
        <f t="shared" si="0"/>
        <v>1</v>
      </c>
      <c r="F868">
        <f>IF($A868="","",IF($E868=1,_xlfn.SUMIFS(Comptabilité!$F$1:$F$1446,Comptabilité!$A$1:$A$1446,$A868,Comptabilité!$B$1:$B$1446,$B868,Comptabilité!$C$1:$C$1446,"2026"),0))</f>
        <v>450000</v>
      </c>
      <c r="G868">
        <f>IF($A868="","",IF($D868="V01",Cadrage!$C$23,IF($D868="V02",Cadrage!$D$23,Cadrage!$E$23)))</f>
        <v>0.08</v>
      </c>
      <c r="H868">
        <f>IF($A868="","",IF($D868="V01",Cadrage!$C$24,IF($D868="V02",Cadrage!$D$24,Cadrage!$E$24)))</f>
        <v>0.1</v>
      </c>
      <c r="I868">
        <f>IF($A868="","",IF($D868="V01",Cadrage!$C$34,IF($D868="V02",Cadrage!$D$34,Cadrage!$E$34)))</f>
        <v>0.02</v>
      </c>
      <c r="J868">
        <f>IF($A868="","",IF($D868="V01",Cadrage!$C$35,IF($D868="V02",Cadrage!$D$35,Cadrage!$E$35)))</f>
        <v>0.025</v>
      </c>
      <c r="K868">
        <f>IF($A868="","",IF($D868="V01",Cadrage!$C$36,IF($D868="V02",Cadrage!$D$36,Cadrage!$E$36)))</f>
        <v>0.04</v>
      </c>
      <c r="L868">
        <f>IF($A868="","",IF($D868="V01",Cadrage!$C$37,IF($D868="V02",Cadrage!$D$37,Cadrage!$E$37)))</f>
        <v>0.0185</v>
      </c>
      <c r="M868">
        <f>IF($A868="","",IF($D868="V01",Cadrage!$C$38,IF($D868="V02",Cadrage!$D$38,Cadrage!$E$38)))</f>
        <v>0</v>
      </c>
      <c r="N868">
        <f t="shared" si="1"/>
        <v>1.04903758953208</v>
      </c>
      <c r="O868">
        <f t="shared" si="2"/>
        <v>1.04903758953208</v>
      </c>
      <c r="P868">
        <f>IF($A868="","",IF($E868=1,$F868*$O868,PNL!G868))</f>
        <v>472066.915289436</v>
      </c>
      <c r="T868">
        <f t="shared" si="3"/>
        <v>472066.915289436</v>
      </c>
    </row>
    <row r="869" ht="14.25" customHeight="1">
      <c r="A869" t="str">
        <f>IF(PNL!A869="","",PNL!A869)</f>
        <v>MBWAY_PAR</v>
      </c>
      <c r="B869" t="str">
        <f>IF(PNL!B869="","",PNL!B869)</f>
        <v>706</v>
      </c>
      <c r="C869" t="str">
        <f>IF(PNL!C869="","",PNL!C869)</f>
        <v>2027</v>
      </c>
      <c r="D869" t="str">
        <f>IF(PNL!D869="","",PNL!D869)</f>
        <v>V01</v>
      </c>
      <c r="E869">
        <f t="shared" si="0"/>
        <v>1</v>
      </c>
      <c r="F869">
        <f>IF($A869="","",IF($E869=1,_xlfn.SUMIFS(Comptabilité!$F$1:$F$1446,Comptabilité!$A$1:$A$1446,$A869,Comptabilité!$B$1:$B$1446,$B869,Comptabilité!$C$1:$C$1446,"2026"),0))</f>
        <v>655200</v>
      </c>
      <c r="G869">
        <f>IF($A869="","",IF($D869="V01",Cadrage!$C$23,IF($D869="V02",Cadrage!$D$23,Cadrage!$E$23)))</f>
        <v>0.08</v>
      </c>
      <c r="H869">
        <f>IF($A869="","",IF($D869="V01",Cadrage!$C$24,IF($D869="V02",Cadrage!$D$24,Cadrage!$E$24)))</f>
        <v>0.1</v>
      </c>
      <c r="I869">
        <f>IF($A869="","",IF($D869="V01",Cadrage!$C$34,IF($D869="V02",Cadrage!$D$34,Cadrage!$E$34)))</f>
        <v>0.02</v>
      </c>
      <c r="J869">
        <f>IF($A869="","",IF($D869="V01",Cadrage!$C$35,IF($D869="V02",Cadrage!$D$35,Cadrage!$E$35)))</f>
        <v>0.025</v>
      </c>
      <c r="K869">
        <f>IF($A869="","",IF($D869="V01",Cadrage!$C$36,IF($D869="V02",Cadrage!$D$36,Cadrage!$E$36)))</f>
        <v>0.04</v>
      </c>
      <c r="L869">
        <f>IF($A869="","",IF($D869="V01",Cadrage!$C$37,IF($D869="V02",Cadrage!$D$37,Cadrage!$E$37)))</f>
        <v>0.0185</v>
      </c>
      <c r="M869">
        <f>IF($A869="","",IF($D869="V01",Cadrage!$C$38,IF($D869="V02",Cadrage!$D$38,Cadrage!$E$38)))</f>
        <v>0</v>
      </c>
      <c r="N869">
        <f t="shared" si="1"/>
        <v>1.04903758953208</v>
      </c>
      <c r="O869">
        <f t="shared" si="2"/>
        <v>1.04903758953208</v>
      </c>
      <c r="P869">
        <f>IF($A869="","",IF($E869=1,$F869*$O869,PNL!G869))</f>
        <v>687329.428661419</v>
      </c>
      <c r="T869">
        <f t="shared" si="3"/>
        <v>687329.428661419</v>
      </c>
    </row>
    <row r="870" ht="14.25" customHeight="1">
      <c r="A870" t="str">
        <f>IF(PNL!A870="","",PNL!A870)</f>
        <v>IPAC_MTP</v>
      </c>
      <c r="B870" t="str">
        <f>IF(PNL!B870="","",PNL!B870)</f>
        <v>7062</v>
      </c>
      <c r="C870" t="str">
        <f>IF(PNL!C870="","",PNL!C870)</f>
        <v>2027</v>
      </c>
      <c r="D870" t="str">
        <f>IF(PNL!D870="","",PNL!D870)</f>
        <v>V01</v>
      </c>
      <c r="E870">
        <f t="shared" si="0"/>
        <v>1</v>
      </c>
      <c r="F870">
        <f>IF($A870="","",IF($E870=1,_xlfn.SUMIFS(Comptabilité!$F$1:$F$1446,Comptabilité!$A$1:$A$1446,$A870,Comptabilité!$B$1:$B$1446,$B870,Comptabilité!$C$1:$C$1446,"2026"),0))</f>
        <v>778050</v>
      </c>
      <c r="G870">
        <f>IF($A870="","",IF($D870="V01",Cadrage!$C$23,IF($D870="V02",Cadrage!$D$23,Cadrage!$E$23)))</f>
        <v>0.08</v>
      </c>
      <c r="H870">
        <f>IF($A870="","",IF($D870="V01",Cadrage!$C$24,IF($D870="V02",Cadrage!$D$24,Cadrage!$E$24)))</f>
        <v>0.1</v>
      </c>
      <c r="I870">
        <f>IF($A870="","",IF($D870="V01",Cadrage!$C$34,IF($D870="V02",Cadrage!$D$34,Cadrage!$E$34)))</f>
        <v>0.02</v>
      </c>
      <c r="J870">
        <f>IF($A870="","",IF($D870="V01",Cadrage!$C$35,IF($D870="V02",Cadrage!$D$35,Cadrage!$E$35)))</f>
        <v>0.025</v>
      </c>
      <c r="K870">
        <f>IF($A870="","",IF($D870="V01",Cadrage!$C$36,IF($D870="V02",Cadrage!$D$36,Cadrage!$E$36)))</f>
        <v>0.04</v>
      </c>
      <c r="L870">
        <f>IF($A870="","",IF($D870="V01",Cadrage!$C$37,IF($D870="V02",Cadrage!$D$37,Cadrage!$E$37)))</f>
        <v>0.0185</v>
      </c>
      <c r="M870">
        <f>IF($A870="","",IF($D870="V01",Cadrage!$C$38,IF($D870="V02",Cadrage!$D$38,Cadrage!$E$38)))</f>
        <v>0</v>
      </c>
      <c r="N870">
        <f t="shared" si="1"/>
        <v>1.04903758953208</v>
      </c>
      <c r="O870">
        <f t="shared" si="2"/>
        <v>1.04903758953208</v>
      </c>
      <c r="P870">
        <f>IF($A870="","",IF($E870=1,$F870*$O870,PNL!G870))</f>
        <v>816203.696535435</v>
      </c>
      <c r="T870">
        <f t="shared" si="3"/>
        <v>816203.696535435</v>
      </c>
    </row>
    <row r="871" ht="14.25" customHeight="1">
      <c r="A871" t="str">
        <f>IF(PNL!A871="","",PNL!A871)</f>
        <v>IPAC_NAN</v>
      </c>
      <c r="B871" t="str">
        <f>IF(PNL!B871="","",PNL!B871)</f>
        <v>7062</v>
      </c>
      <c r="C871" t="str">
        <f>IF(PNL!C871="","",PNL!C871)</f>
        <v>2027</v>
      </c>
      <c r="D871" t="str">
        <f>IF(PNL!D871="","",PNL!D871)</f>
        <v>V01</v>
      </c>
      <c r="E871">
        <f t="shared" si="0"/>
        <v>1</v>
      </c>
      <c r="F871">
        <f>IF($A871="","",IF($E871=1,_xlfn.SUMIFS(Comptabilité!$F$1:$F$1446,Comptabilité!$A$1:$A$1446,$A871,Comptabilité!$B$1:$B$1446,$B871,Comptabilité!$C$1:$C$1446,"2026"),0))</f>
        <v>1015000</v>
      </c>
      <c r="G871">
        <f>IF($A871="","",IF($D871="V01",Cadrage!$C$23,IF($D871="V02",Cadrage!$D$23,Cadrage!$E$23)))</f>
        <v>0.08</v>
      </c>
      <c r="H871">
        <f>IF($A871="","",IF($D871="V01",Cadrage!$C$24,IF($D871="V02",Cadrage!$D$24,Cadrage!$E$24)))</f>
        <v>0.1</v>
      </c>
      <c r="I871">
        <f>IF($A871="","",IF($D871="V01",Cadrage!$C$34,IF($D871="V02",Cadrage!$D$34,Cadrage!$E$34)))</f>
        <v>0.02</v>
      </c>
      <c r="J871">
        <f>IF($A871="","",IF($D871="V01",Cadrage!$C$35,IF($D871="V02",Cadrage!$D$35,Cadrage!$E$35)))</f>
        <v>0.025</v>
      </c>
      <c r="K871">
        <f>IF($A871="","",IF($D871="V01",Cadrage!$C$36,IF($D871="V02",Cadrage!$D$36,Cadrage!$E$36)))</f>
        <v>0.04</v>
      </c>
      <c r="L871">
        <f>IF($A871="","",IF($D871="V01",Cadrage!$C$37,IF($D871="V02",Cadrage!$D$37,Cadrage!$E$37)))</f>
        <v>0.0185</v>
      </c>
      <c r="M871">
        <f>IF($A871="","",IF($D871="V01",Cadrage!$C$38,IF($D871="V02",Cadrage!$D$38,Cadrage!$E$38)))</f>
        <v>0</v>
      </c>
      <c r="N871">
        <f t="shared" si="1"/>
        <v>1.04903758953208</v>
      </c>
      <c r="O871">
        <f t="shared" si="2"/>
        <v>1.04903758953208</v>
      </c>
      <c r="P871">
        <f>IF($A871="","",IF($E871=1,$F871*$O871,PNL!G871))</f>
        <v>1064773.15337506</v>
      </c>
      <c r="T871">
        <f t="shared" si="3"/>
        <v>1064773.15337506</v>
      </c>
    </row>
    <row r="872" ht="14.25" customHeight="1">
      <c r="A872" t="str">
        <f>IF(PNL!A872="","",PNL!A872)</f>
        <v>IPAC_REN</v>
      </c>
      <c r="B872" t="str">
        <f>IF(PNL!B872="","",PNL!B872)</f>
        <v>7062</v>
      </c>
      <c r="C872" t="str">
        <f>IF(PNL!C872="","",PNL!C872)</f>
        <v>2027</v>
      </c>
      <c r="D872" t="str">
        <f>IF(PNL!D872="","",PNL!D872)</f>
        <v>V01</v>
      </c>
      <c r="E872">
        <f t="shared" si="0"/>
        <v>1</v>
      </c>
      <c r="F872">
        <f>IF($A872="","",IF($E872=1,_xlfn.SUMIFS(Comptabilité!$F$1:$F$1446,Comptabilité!$A$1:$A$1446,$A872,Comptabilité!$B$1:$B$1446,$B872,Comptabilité!$C$1:$C$1446,"2026"),0))</f>
        <v>778050</v>
      </c>
      <c r="G872">
        <f>IF($A872="","",IF($D872="V01",Cadrage!$C$23,IF($D872="V02",Cadrage!$D$23,Cadrage!$E$23)))</f>
        <v>0.08</v>
      </c>
      <c r="H872">
        <f>IF($A872="","",IF($D872="V01",Cadrage!$C$24,IF($D872="V02",Cadrage!$D$24,Cadrage!$E$24)))</f>
        <v>0.1</v>
      </c>
      <c r="I872">
        <f>IF($A872="","",IF($D872="V01",Cadrage!$C$34,IF($D872="V02",Cadrage!$D$34,Cadrage!$E$34)))</f>
        <v>0.02</v>
      </c>
      <c r="J872">
        <f>IF($A872="","",IF($D872="V01",Cadrage!$C$35,IF($D872="V02",Cadrage!$D$35,Cadrage!$E$35)))</f>
        <v>0.025</v>
      </c>
      <c r="K872">
        <f>IF($A872="","",IF($D872="V01",Cadrage!$C$36,IF($D872="V02",Cadrage!$D$36,Cadrage!$E$36)))</f>
        <v>0.04</v>
      </c>
      <c r="L872">
        <f>IF($A872="","",IF($D872="V01",Cadrage!$C$37,IF($D872="V02",Cadrage!$D$37,Cadrage!$E$37)))</f>
        <v>0.0185</v>
      </c>
      <c r="M872">
        <f>IF($A872="","",IF($D872="V01",Cadrage!$C$38,IF($D872="V02",Cadrage!$D$38,Cadrage!$E$38)))</f>
        <v>0</v>
      </c>
      <c r="N872">
        <f t="shared" si="1"/>
        <v>1.04903758953208</v>
      </c>
      <c r="O872">
        <f t="shared" si="2"/>
        <v>1.04903758953208</v>
      </c>
      <c r="P872">
        <f>IF($A872="","",IF($E872=1,$F872*$O872,PNL!G872))</f>
        <v>816203.696535435</v>
      </c>
      <c r="T872">
        <f t="shared" si="3"/>
        <v>816203.696535435</v>
      </c>
    </row>
    <row r="873" ht="14.25" customHeight="1">
      <c r="A873" t="str">
        <f>IF(PNL!A873="","",PNL!A873)</f>
        <v>ISCOM_LIL</v>
      </c>
      <c r="B873" t="str">
        <f>IF(PNL!B873="","",PNL!B873)</f>
        <v>7062</v>
      </c>
      <c r="C873" t="str">
        <f>IF(PNL!C873="","",PNL!C873)</f>
        <v>2027</v>
      </c>
      <c r="D873" t="str">
        <f>IF(PNL!D873="","",PNL!D873)</f>
        <v>V01</v>
      </c>
      <c r="E873">
        <f t="shared" si="0"/>
        <v>1</v>
      </c>
      <c r="F873">
        <f>IF($A873="","",IF($E873=1,_xlfn.SUMIFS(Comptabilité!$F$1:$F$1446,Comptabilité!$A$1:$A$1446,$A873,Comptabilité!$B$1:$B$1446,$B873,Comptabilité!$C$1:$C$1446,"2026"),0))</f>
        <v>1379350</v>
      </c>
      <c r="G873">
        <f>IF($A873="","",IF($D873="V01",Cadrage!$C$23,IF($D873="V02",Cadrage!$D$23,Cadrage!$E$23)))</f>
        <v>0.08</v>
      </c>
      <c r="H873">
        <f>IF($A873="","",IF($D873="V01",Cadrage!$C$24,IF($D873="V02",Cadrage!$D$24,Cadrage!$E$24)))</f>
        <v>0.1</v>
      </c>
      <c r="I873">
        <f>IF($A873="","",IF($D873="V01",Cadrage!$C$34,IF($D873="V02",Cadrage!$D$34,Cadrage!$E$34)))</f>
        <v>0.02</v>
      </c>
      <c r="J873">
        <f>IF($A873="","",IF($D873="V01",Cadrage!$C$35,IF($D873="V02",Cadrage!$D$35,Cadrage!$E$35)))</f>
        <v>0.025</v>
      </c>
      <c r="K873">
        <f>IF($A873="","",IF($D873="V01",Cadrage!$C$36,IF($D873="V02",Cadrage!$D$36,Cadrage!$E$36)))</f>
        <v>0.04</v>
      </c>
      <c r="L873">
        <f>IF($A873="","",IF($D873="V01",Cadrage!$C$37,IF($D873="V02",Cadrage!$D$37,Cadrage!$E$37)))</f>
        <v>0.0185</v>
      </c>
      <c r="M873">
        <f>IF($A873="","",IF($D873="V01",Cadrage!$C$38,IF($D873="V02",Cadrage!$D$38,Cadrage!$E$38)))</f>
        <v>0</v>
      </c>
      <c r="N873">
        <f t="shared" si="1"/>
        <v>1.04903758953208</v>
      </c>
      <c r="O873">
        <f t="shared" si="2"/>
        <v>1.04903758953208</v>
      </c>
      <c r="P873">
        <f>IF($A873="","",IF($E873=1,$F873*$O873,PNL!G873))</f>
        <v>1446989.99912107</v>
      </c>
      <c r="T873">
        <f t="shared" si="3"/>
        <v>1446989.99912107</v>
      </c>
    </row>
    <row r="874" ht="14.25" customHeight="1">
      <c r="A874" t="str">
        <f>IF(PNL!A874="","",PNL!A874)</f>
        <v>ISCOM_PAR</v>
      </c>
      <c r="B874" t="str">
        <f>IF(PNL!B874="","",PNL!B874)</f>
        <v>7062</v>
      </c>
      <c r="C874" t="str">
        <f>IF(PNL!C874="","",PNL!C874)</f>
        <v>2027</v>
      </c>
      <c r="D874" t="str">
        <f>IF(PNL!D874="","",PNL!D874)</f>
        <v>V01</v>
      </c>
      <c r="E874">
        <f t="shared" si="0"/>
        <v>1</v>
      </c>
      <c r="F874">
        <f>IF($A874="","",IF($E874=1,_xlfn.SUMIFS(Comptabilité!$F$1:$F$1446,Comptabilité!$A$1:$A$1446,$A874,Comptabilité!$B$1:$B$1446,$B874,Comptabilité!$C$1:$C$1446,"2026"),0))</f>
        <v>2290960</v>
      </c>
      <c r="G874">
        <f>IF($A874="","",IF($D874="V01",Cadrage!$C$23,IF($D874="V02",Cadrage!$D$23,Cadrage!$E$23)))</f>
        <v>0.08</v>
      </c>
      <c r="H874">
        <f>IF($A874="","",IF($D874="V01",Cadrage!$C$24,IF($D874="V02",Cadrage!$D$24,Cadrage!$E$24)))</f>
        <v>0.1</v>
      </c>
      <c r="I874">
        <f>IF($A874="","",IF($D874="V01",Cadrage!$C$34,IF($D874="V02",Cadrage!$D$34,Cadrage!$E$34)))</f>
        <v>0.02</v>
      </c>
      <c r="J874">
        <f>IF($A874="","",IF($D874="V01",Cadrage!$C$35,IF($D874="V02",Cadrage!$D$35,Cadrage!$E$35)))</f>
        <v>0.025</v>
      </c>
      <c r="K874">
        <f>IF($A874="","",IF($D874="V01",Cadrage!$C$36,IF($D874="V02",Cadrage!$D$36,Cadrage!$E$36)))</f>
        <v>0.04</v>
      </c>
      <c r="L874">
        <f>IF($A874="","",IF($D874="V01",Cadrage!$C$37,IF($D874="V02",Cadrage!$D$37,Cadrage!$E$37)))</f>
        <v>0.0185</v>
      </c>
      <c r="M874">
        <f>IF($A874="","",IF($D874="V01",Cadrage!$C$38,IF($D874="V02",Cadrage!$D$38,Cadrage!$E$38)))</f>
        <v>0</v>
      </c>
      <c r="N874">
        <f t="shared" si="1"/>
        <v>1.04903758953208</v>
      </c>
      <c r="O874">
        <f t="shared" si="2"/>
        <v>1.04903758953208</v>
      </c>
      <c r="P874">
        <f>IF($A874="","",IF($E874=1,$F874*$O874,PNL!G874))</f>
        <v>2403303.15611441</v>
      </c>
      <c r="T874">
        <f t="shared" si="3"/>
        <v>2403303.15611441</v>
      </c>
    </row>
    <row r="875" ht="14.25" customHeight="1">
      <c r="A875" t="str">
        <f>IF(PNL!A875="","",PNL!A875)</f>
        <v>ISCOM_TLS</v>
      </c>
      <c r="B875" t="str">
        <f>IF(PNL!B875="","",PNL!B875)</f>
        <v>7062</v>
      </c>
      <c r="C875" t="str">
        <f>IF(PNL!C875="","",PNL!C875)</f>
        <v>2027</v>
      </c>
      <c r="D875" t="str">
        <f>IF(PNL!D875="","",PNL!D875)</f>
        <v>V01</v>
      </c>
      <c r="E875">
        <f t="shared" si="0"/>
        <v>1</v>
      </c>
      <c r="F875">
        <f>IF($A875="","",IF($E875=1,_xlfn.SUMIFS(Comptabilité!$F$1:$F$1446,Comptabilité!$A$1:$A$1446,$A875,Comptabilité!$B$1:$B$1446,$B875,Comptabilité!$C$1:$C$1446,"2026"),0))</f>
        <v>1281120</v>
      </c>
      <c r="G875">
        <f>IF($A875="","",IF($D875="V01",Cadrage!$C$23,IF($D875="V02",Cadrage!$D$23,Cadrage!$E$23)))</f>
        <v>0.08</v>
      </c>
      <c r="H875">
        <f>IF($A875="","",IF($D875="V01",Cadrage!$C$24,IF($D875="V02",Cadrage!$D$24,Cadrage!$E$24)))</f>
        <v>0.1</v>
      </c>
      <c r="I875">
        <f>IF($A875="","",IF($D875="V01",Cadrage!$C$34,IF($D875="V02",Cadrage!$D$34,Cadrage!$E$34)))</f>
        <v>0.02</v>
      </c>
      <c r="J875">
        <f>IF($A875="","",IF($D875="V01",Cadrage!$C$35,IF($D875="V02",Cadrage!$D$35,Cadrage!$E$35)))</f>
        <v>0.025</v>
      </c>
      <c r="K875">
        <f>IF($A875="","",IF($D875="V01",Cadrage!$C$36,IF($D875="V02",Cadrage!$D$36,Cadrage!$E$36)))</f>
        <v>0.04</v>
      </c>
      <c r="L875">
        <f>IF($A875="","",IF($D875="V01",Cadrage!$C$37,IF($D875="V02",Cadrage!$D$37,Cadrage!$E$37)))</f>
        <v>0.0185</v>
      </c>
      <c r="M875">
        <f>IF($A875="","",IF($D875="V01",Cadrage!$C$38,IF($D875="V02",Cadrage!$D$38,Cadrage!$E$38)))</f>
        <v>0</v>
      </c>
      <c r="N875">
        <f t="shared" si="1"/>
        <v>1.04903758953208</v>
      </c>
      <c r="O875">
        <f t="shared" si="2"/>
        <v>1.04903758953208</v>
      </c>
      <c r="P875">
        <f>IF($A875="","",IF($E875=1,$F875*$O875,PNL!G875))</f>
        <v>1343943.03670134</v>
      </c>
      <c r="T875">
        <f t="shared" si="3"/>
        <v>1343943.03670134</v>
      </c>
    </row>
    <row r="876" ht="14.25" customHeight="1">
      <c r="A876" t="str">
        <f>IF(PNL!A876="","",PNL!A876)</f>
        <v>MBWAY_BOR</v>
      </c>
      <c r="B876" t="str">
        <f>IF(PNL!B876="","",PNL!B876)</f>
        <v>7062</v>
      </c>
      <c r="C876" t="str">
        <f>IF(PNL!C876="","",PNL!C876)</f>
        <v>2027</v>
      </c>
      <c r="D876" t="str">
        <f>IF(PNL!D876="","",PNL!D876)</f>
        <v>V01</v>
      </c>
      <c r="E876">
        <f t="shared" si="0"/>
        <v>1</v>
      </c>
      <c r="F876">
        <f>IF($A876="","",IF($E876=1,_xlfn.SUMIFS(Comptabilité!$F$1:$F$1446,Comptabilité!$A$1:$A$1446,$A876,Comptabilité!$B$1:$B$1446,$B876,Comptabilité!$C$1:$C$1446,"2026"),0))</f>
        <v>1393405</v>
      </c>
      <c r="G876">
        <f>IF($A876="","",IF($D876="V01",Cadrage!$C$23,IF($D876="V02",Cadrage!$D$23,Cadrage!$E$23)))</f>
        <v>0.08</v>
      </c>
      <c r="H876">
        <f>IF($A876="","",IF($D876="V01",Cadrage!$C$24,IF($D876="V02",Cadrage!$D$24,Cadrage!$E$24)))</f>
        <v>0.1</v>
      </c>
      <c r="I876">
        <f>IF($A876="","",IF($D876="V01",Cadrage!$C$34,IF($D876="V02",Cadrage!$D$34,Cadrage!$E$34)))</f>
        <v>0.02</v>
      </c>
      <c r="J876">
        <f>IF($A876="","",IF($D876="V01",Cadrage!$C$35,IF($D876="V02",Cadrage!$D$35,Cadrage!$E$35)))</f>
        <v>0.025</v>
      </c>
      <c r="K876">
        <f>IF($A876="","",IF($D876="V01",Cadrage!$C$36,IF($D876="V02",Cadrage!$D$36,Cadrage!$E$36)))</f>
        <v>0.04</v>
      </c>
      <c r="L876">
        <f>IF($A876="","",IF($D876="V01",Cadrage!$C$37,IF($D876="V02",Cadrage!$D$37,Cadrage!$E$37)))</f>
        <v>0.0185</v>
      </c>
      <c r="M876">
        <f>IF($A876="","",IF($D876="V01",Cadrage!$C$38,IF($D876="V02",Cadrage!$D$38,Cadrage!$E$38)))</f>
        <v>0</v>
      </c>
      <c r="N876">
        <f t="shared" si="1"/>
        <v>1.04903758953208</v>
      </c>
      <c r="O876">
        <f t="shared" si="2"/>
        <v>1.04903758953208</v>
      </c>
      <c r="P876">
        <f>IF($A876="","",IF($E876=1,$F876*$O876,PNL!G876))</f>
        <v>1461734.22244195</v>
      </c>
      <c r="T876">
        <f t="shared" si="3"/>
        <v>1461734.22244195</v>
      </c>
    </row>
    <row r="877" ht="14.25" customHeight="1">
      <c r="A877" t="str">
        <f>IF(PNL!A877="","",PNL!A877)</f>
        <v>MBWAY_LYO</v>
      </c>
      <c r="B877" t="str">
        <f>IF(PNL!B877="","",PNL!B877)</f>
        <v>7062</v>
      </c>
      <c r="C877" t="str">
        <f>IF(PNL!C877="","",PNL!C877)</f>
        <v>2027</v>
      </c>
      <c r="D877" t="str">
        <f>IF(PNL!D877="","",PNL!D877)</f>
        <v>V01</v>
      </c>
      <c r="E877">
        <f t="shared" si="0"/>
        <v>1</v>
      </c>
      <c r="F877">
        <f>IF($A877="","",IF($E877=1,_xlfn.SUMIFS(Comptabilité!$F$1:$F$1446,Comptabilité!$A$1:$A$1446,$A877,Comptabilité!$B$1:$B$1446,$B877,Comptabilité!$C$1:$C$1446,"2026"),0))</f>
        <v>1965075</v>
      </c>
      <c r="G877">
        <f>IF($A877="","",IF($D877="V01",Cadrage!$C$23,IF($D877="V02",Cadrage!$D$23,Cadrage!$E$23)))</f>
        <v>0.08</v>
      </c>
      <c r="H877">
        <f>IF($A877="","",IF($D877="V01",Cadrage!$C$24,IF($D877="V02",Cadrage!$D$24,Cadrage!$E$24)))</f>
        <v>0.1</v>
      </c>
      <c r="I877">
        <f>IF($A877="","",IF($D877="V01",Cadrage!$C$34,IF($D877="V02",Cadrage!$D$34,Cadrage!$E$34)))</f>
        <v>0.02</v>
      </c>
      <c r="J877">
        <f>IF($A877="","",IF($D877="V01",Cadrage!$C$35,IF($D877="V02",Cadrage!$D$35,Cadrage!$E$35)))</f>
        <v>0.025</v>
      </c>
      <c r="K877">
        <f>IF($A877="","",IF($D877="V01",Cadrage!$C$36,IF($D877="V02",Cadrage!$D$36,Cadrage!$E$36)))</f>
        <v>0.04</v>
      </c>
      <c r="L877">
        <f>IF($A877="","",IF($D877="V01",Cadrage!$C$37,IF($D877="V02",Cadrage!$D$37,Cadrage!$E$37)))</f>
        <v>0.0185</v>
      </c>
      <c r="M877">
        <f>IF($A877="","",IF($D877="V01",Cadrage!$C$38,IF($D877="V02",Cadrage!$D$38,Cadrage!$E$38)))</f>
        <v>0</v>
      </c>
      <c r="N877">
        <f t="shared" si="1"/>
        <v>1.04903758953208</v>
      </c>
      <c r="O877">
        <f t="shared" si="2"/>
        <v>1.04903758953208</v>
      </c>
      <c r="P877">
        <f>IF($A877="","",IF($E877=1,$F877*$O877,PNL!G877))</f>
        <v>2061437.54124975</v>
      </c>
      <c r="T877">
        <f t="shared" si="3"/>
        <v>2061437.54124975</v>
      </c>
    </row>
    <row r="878" ht="14.25" customHeight="1">
      <c r="A878" t="str">
        <f>IF(PNL!A878="","",PNL!A878)</f>
        <v>MBWAY_NAN</v>
      </c>
      <c r="B878" t="str">
        <f>IF(PNL!B878="","",PNL!B878)</f>
        <v>7062</v>
      </c>
      <c r="C878" t="str">
        <f>IF(PNL!C878="","",PNL!C878)</f>
        <v>2027</v>
      </c>
      <c r="D878" t="str">
        <f>IF(PNL!D878="","",PNL!D878)</f>
        <v>V01</v>
      </c>
      <c r="E878">
        <f t="shared" si="0"/>
        <v>1</v>
      </c>
      <c r="F878">
        <f>IF($A878="","",IF($E878=1,_xlfn.SUMIFS(Comptabilité!$F$1:$F$1446,Comptabilité!$A$1:$A$1446,$A878,Comptabilité!$B$1:$B$1446,$B878,Comptabilité!$C$1:$C$1446,"2026"),0))</f>
        <v>1697500</v>
      </c>
      <c r="G878">
        <f>IF($A878="","",IF($D878="V01",Cadrage!$C$23,IF($D878="V02",Cadrage!$D$23,Cadrage!$E$23)))</f>
        <v>0.08</v>
      </c>
      <c r="H878">
        <f>IF($A878="","",IF($D878="V01",Cadrage!$C$24,IF($D878="V02",Cadrage!$D$24,Cadrage!$E$24)))</f>
        <v>0.1</v>
      </c>
      <c r="I878">
        <f>IF($A878="","",IF($D878="V01",Cadrage!$C$34,IF($D878="V02",Cadrage!$D$34,Cadrage!$E$34)))</f>
        <v>0.02</v>
      </c>
      <c r="J878">
        <f>IF($A878="","",IF($D878="V01",Cadrage!$C$35,IF($D878="V02",Cadrage!$D$35,Cadrage!$E$35)))</f>
        <v>0.025</v>
      </c>
      <c r="K878">
        <f>IF($A878="","",IF($D878="V01",Cadrage!$C$36,IF($D878="V02",Cadrage!$D$36,Cadrage!$E$36)))</f>
        <v>0.04</v>
      </c>
      <c r="L878">
        <f>IF($A878="","",IF($D878="V01",Cadrage!$C$37,IF($D878="V02",Cadrage!$D$37,Cadrage!$E$37)))</f>
        <v>0.0185</v>
      </c>
      <c r="M878">
        <f>IF($A878="","",IF($D878="V01",Cadrage!$C$38,IF($D878="V02",Cadrage!$D$38,Cadrage!$E$38)))</f>
        <v>0</v>
      </c>
      <c r="N878">
        <f t="shared" si="1"/>
        <v>1.04903758953208</v>
      </c>
      <c r="O878">
        <f t="shared" si="2"/>
        <v>1.04903758953208</v>
      </c>
      <c r="P878">
        <f>IF($A878="","",IF($E878=1,$F878*$O878,PNL!G878))</f>
        <v>1780741.30823071</v>
      </c>
      <c r="T878">
        <f t="shared" si="3"/>
        <v>1780741.30823071</v>
      </c>
    </row>
    <row r="879" ht="14.25" customHeight="1">
      <c r="A879" t="str">
        <f>IF(PNL!A879="","",PNL!A879)</f>
        <v>MBWAY_PAR</v>
      </c>
      <c r="B879" t="str">
        <f>IF(PNL!B879="","",PNL!B879)</f>
        <v>7062</v>
      </c>
      <c r="C879" t="str">
        <f>IF(PNL!C879="","",PNL!C879)</f>
        <v>2027</v>
      </c>
      <c r="D879" t="str">
        <f>IF(PNL!D879="","",PNL!D879)</f>
        <v>V01</v>
      </c>
      <c r="E879">
        <f t="shared" si="0"/>
        <v>1</v>
      </c>
      <c r="F879">
        <f>IF($A879="","",IF($E879=1,_xlfn.SUMIFS(Comptabilité!$F$1:$F$1446,Comptabilité!$A$1:$A$1446,$A879,Comptabilité!$B$1:$B$1446,$B879,Comptabilité!$C$1:$C$1446,"2026"),0))</f>
        <v>2469600</v>
      </c>
      <c r="G879">
        <f>IF($A879="","",IF($D879="V01",Cadrage!$C$23,IF($D879="V02",Cadrage!$D$23,Cadrage!$E$23)))</f>
        <v>0.08</v>
      </c>
      <c r="H879">
        <f>IF($A879="","",IF($D879="V01",Cadrage!$C$24,IF($D879="V02",Cadrage!$D$24,Cadrage!$E$24)))</f>
        <v>0.1</v>
      </c>
      <c r="I879">
        <f>IF($A879="","",IF($D879="V01",Cadrage!$C$34,IF($D879="V02",Cadrage!$D$34,Cadrage!$E$34)))</f>
        <v>0.02</v>
      </c>
      <c r="J879">
        <f>IF($A879="","",IF($D879="V01",Cadrage!$C$35,IF($D879="V02",Cadrage!$D$35,Cadrage!$E$35)))</f>
        <v>0.025</v>
      </c>
      <c r="K879">
        <f>IF($A879="","",IF($D879="V01",Cadrage!$C$36,IF($D879="V02",Cadrage!$D$36,Cadrage!$E$36)))</f>
        <v>0.04</v>
      </c>
      <c r="L879">
        <f>IF($A879="","",IF($D879="V01",Cadrage!$C$37,IF($D879="V02",Cadrage!$D$37,Cadrage!$E$37)))</f>
        <v>0.0185</v>
      </c>
      <c r="M879">
        <f>IF($A879="","",IF($D879="V01",Cadrage!$C$38,IF($D879="V02",Cadrage!$D$38,Cadrage!$E$38)))</f>
        <v>0</v>
      </c>
      <c r="N879">
        <f t="shared" si="1"/>
        <v>1.04903758953208</v>
      </c>
      <c r="O879">
        <f t="shared" si="2"/>
        <v>1.04903758953208</v>
      </c>
      <c r="P879">
        <f>IF($A879="","",IF($E879=1,$F879*$O879,PNL!G879))</f>
        <v>2590703.23110842</v>
      </c>
      <c r="T879">
        <f t="shared" si="3"/>
        <v>2590703.23110842</v>
      </c>
    </row>
    <row r="880" ht="14.25" customHeight="1">
      <c r="A880" t="str">
        <f>IF(PNL!A880="","",PNL!A880)</f>
        <v>PIGIER_BOR</v>
      </c>
      <c r="B880" t="str">
        <f>IF(PNL!B880="","",PNL!B880)</f>
        <v>7062</v>
      </c>
      <c r="C880" t="str">
        <f>IF(PNL!C880="","",PNL!C880)</f>
        <v>2027</v>
      </c>
      <c r="D880" t="str">
        <f>IF(PNL!D880="","",PNL!D880)</f>
        <v>V01</v>
      </c>
      <c r="E880">
        <f t="shared" si="0"/>
        <v>1</v>
      </c>
      <c r="F880">
        <f>IF($A880="","",IF($E880=1,_xlfn.SUMIFS(Comptabilité!$F$1:$F$1446,Comptabilité!$A$1:$A$1446,$A880,Comptabilité!$B$1:$B$1446,$B880,Comptabilité!$C$1:$C$1446,"2026"),0))</f>
        <v>1126170</v>
      </c>
      <c r="G880">
        <f>IF($A880="","",IF($D880="V01",Cadrage!$C$23,IF($D880="V02",Cadrage!$D$23,Cadrage!$E$23)))</f>
        <v>0.08</v>
      </c>
      <c r="H880">
        <f>IF($A880="","",IF($D880="V01",Cadrage!$C$24,IF($D880="V02",Cadrage!$D$24,Cadrage!$E$24)))</f>
        <v>0.1</v>
      </c>
      <c r="I880">
        <f>IF($A880="","",IF($D880="V01",Cadrage!$C$34,IF($D880="V02",Cadrage!$D$34,Cadrage!$E$34)))</f>
        <v>0.02</v>
      </c>
      <c r="J880">
        <f>IF($A880="","",IF($D880="V01",Cadrage!$C$35,IF($D880="V02",Cadrage!$D$35,Cadrage!$E$35)))</f>
        <v>0.025</v>
      </c>
      <c r="K880">
        <f>IF($A880="","",IF($D880="V01",Cadrage!$C$36,IF($D880="V02",Cadrage!$D$36,Cadrage!$E$36)))</f>
        <v>0.04</v>
      </c>
      <c r="L880">
        <f>IF($A880="","",IF($D880="V01",Cadrage!$C$37,IF($D880="V02",Cadrage!$D$37,Cadrage!$E$37)))</f>
        <v>0.0185</v>
      </c>
      <c r="M880">
        <f>IF($A880="","",IF($D880="V01",Cadrage!$C$38,IF($D880="V02",Cadrage!$D$38,Cadrage!$E$38)))</f>
        <v>0</v>
      </c>
      <c r="N880">
        <f t="shared" si="1"/>
        <v>1.04903758953208</v>
      </c>
      <c r="O880">
        <f t="shared" si="2"/>
        <v>1.04903758953208</v>
      </c>
      <c r="P880">
        <f>IF($A880="","",IF($E880=1,$F880*$O880,PNL!G880))</f>
        <v>1181394.66220334</v>
      </c>
      <c r="T880">
        <f t="shared" si="3"/>
        <v>1181394.66220334</v>
      </c>
    </row>
    <row r="881" ht="14.25" customHeight="1">
      <c r="A881" t="str">
        <f>IF(PNL!A881="","",PNL!A881)</f>
        <v>PIGIER_LYO</v>
      </c>
      <c r="B881" t="str">
        <f>IF(PNL!B881="","",PNL!B881)</f>
        <v>7062</v>
      </c>
      <c r="C881" t="str">
        <f>IF(PNL!C881="","",PNL!C881)</f>
        <v>2027</v>
      </c>
      <c r="D881" t="str">
        <f>IF(PNL!D881="","",PNL!D881)</f>
        <v>V01</v>
      </c>
      <c r="E881">
        <f t="shared" si="0"/>
        <v>1</v>
      </c>
      <c r="F881">
        <f>IF($A881="","",IF($E881=1,_xlfn.SUMIFS(Comptabilité!$F$1:$F$1446,Comptabilité!$A$1:$A$1446,$A881,Comptabilité!$B$1:$B$1446,$B881,Comptabilité!$C$1:$C$1446,"2026"),0))</f>
        <v>1565550</v>
      </c>
      <c r="G881">
        <f>IF($A881="","",IF($D881="V01",Cadrage!$C$23,IF($D881="V02",Cadrage!$D$23,Cadrage!$E$23)))</f>
        <v>0.08</v>
      </c>
      <c r="H881">
        <f>IF($A881="","",IF($D881="V01",Cadrage!$C$24,IF($D881="V02",Cadrage!$D$24,Cadrage!$E$24)))</f>
        <v>0.1</v>
      </c>
      <c r="I881">
        <f>IF($A881="","",IF($D881="V01",Cadrage!$C$34,IF($D881="V02",Cadrage!$D$34,Cadrage!$E$34)))</f>
        <v>0.02</v>
      </c>
      <c r="J881">
        <f>IF($A881="","",IF($D881="V01",Cadrage!$C$35,IF($D881="V02",Cadrage!$D$35,Cadrage!$E$35)))</f>
        <v>0.025</v>
      </c>
      <c r="K881">
        <f>IF($A881="","",IF($D881="V01",Cadrage!$C$36,IF($D881="V02",Cadrage!$D$36,Cadrage!$E$36)))</f>
        <v>0.04</v>
      </c>
      <c r="L881">
        <f>IF($A881="","",IF($D881="V01",Cadrage!$C$37,IF($D881="V02",Cadrage!$D$37,Cadrage!$E$37)))</f>
        <v>0.0185</v>
      </c>
      <c r="M881">
        <f>IF($A881="","",IF($D881="V01",Cadrage!$C$38,IF($D881="V02",Cadrage!$D$38,Cadrage!$E$38)))</f>
        <v>0</v>
      </c>
      <c r="N881">
        <f t="shared" si="1"/>
        <v>1.04903758953208</v>
      </c>
      <c r="O881">
        <f t="shared" si="2"/>
        <v>1.04903758953208</v>
      </c>
      <c r="P881">
        <f>IF($A881="","",IF($E881=1,$F881*$O881,PNL!G881))</f>
        <v>1642320.79829195</v>
      </c>
      <c r="T881">
        <f t="shared" si="3"/>
        <v>1642320.79829195</v>
      </c>
    </row>
    <row r="882" ht="14.25" customHeight="1">
      <c r="A882" t="str">
        <f>IF(PNL!A882="","",PNL!A882)</f>
        <v>TUNON_LYO</v>
      </c>
      <c r="B882" t="str">
        <f>IF(PNL!B882="","",PNL!B882)</f>
        <v>7062</v>
      </c>
      <c r="C882" t="str">
        <f>IF(PNL!C882="","",PNL!C882)</f>
        <v>2027</v>
      </c>
      <c r="D882" t="str">
        <f>IF(PNL!D882="","",PNL!D882)</f>
        <v>V01</v>
      </c>
      <c r="E882">
        <f t="shared" si="0"/>
        <v>1</v>
      </c>
      <c r="F882">
        <f>IF($A882="","",IF($E882=1,_xlfn.SUMIFS(Comptabilité!$F$1:$F$1446,Comptabilité!$A$1:$A$1446,$A882,Comptabilité!$B$1:$B$1446,$B882,Comptabilité!$C$1:$C$1446,"2026"),0))</f>
        <v>859950</v>
      </c>
      <c r="G882">
        <f>IF($A882="","",IF($D882="V01",Cadrage!$C$23,IF($D882="V02",Cadrage!$D$23,Cadrage!$E$23)))</f>
        <v>0.08</v>
      </c>
      <c r="H882">
        <f>IF($A882="","",IF($D882="V01",Cadrage!$C$24,IF($D882="V02",Cadrage!$D$24,Cadrage!$E$24)))</f>
        <v>0.1</v>
      </c>
      <c r="I882">
        <f>IF($A882="","",IF($D882="V01",Cadrage!$C$34,IF($D882="V02",Cadrage!$D$34,Cadrage!$E$34)))</f>
        <v>0.02</v>
      </c>
      <c r="J882">
        <f>IF($A882="","",IF($D882="V01",Cadrage!$C$35,IF($D882="V02",Cadrage!$D$35,Cadrage!$E$35)))</f>
        <v>0.025</v>
      </c>
      <c r="K882">
        <f>IF($A882="","",IF($D882="V01",Cadrage!$C$36,IF($D882="V02",Cadrage!$D$36,Cadrage!$E$36)))</f>
        <v>0.04</v>
      </c>
      <c r="L882">
        <f>IF($A882="","",IF($D882="V01",Cadrage!$C$37,IF($D882="V02",Cadrage!$D$37,Cadrage!$E$37)))</f>
        <v>0.0185</v>
      </c>
      <c r="M882">
        <f>IF($A882="","",IF($D882="V01",Cadrage!$C$38,IF($D882="V02",Cadrage!$D$38,Cadrage!$E$38)))</f>
        <v>0</v>
      </c>
      <c r="N882">
        <f t="shared" si="1"/>
        <v>1.04903758953208</v>
      </c>
      <c r="O882">
        <f t="shared" si="2"/>
        <v>1.04903758953208</v>
      </c>
      <c r="P882">
        <f>IF($A882="","",IF($E882=1,$F882*$O882,PNL!G882))</f>
        <v>902119.875118112</v>
      </c>
      <c r="T882">
        <f t="shared" si="3"/>
        <v>902119.875118112</v>
      </c>
    </row>
    <row r="883" ht="14.25" customHeight="1">
      <c r="A883" t="str">
        <f>IF(PNL!A883="","",PNL!A883)</f>
        <v>TUNON_PAR</v>
      </c>
      <c r="B883" t="str">
        <f>IF(PNL!B883="","",PNL!B883)</f>
        <v>7062</v>
      </c>
      <c r="C883" t="str">
        <f>IF(PNL!C883="","",PNL!C883)</f>
        <v>2027</v>
      </c>
      <c r="D883" t="str">
        <f>IF(PNL!D883="","",PNL!D883)</f>
        <v>V01</v>
      </c>
      <c r="E883">
        <f t="shared" si="0"/>
        <v>1</v>
      </c>
      <c r="F883">
        <f>IF($A883="","",IF($E883=1,_xlfn.SUMIFS(Comptabilité!$F$1:$F$1446,Comptabilité!$A$1:$A$1446,$A883,Comptabilité!$B$1:$B$1446,$B883,Comptabilité!$C$1:$C$1446,"2026"),0))</f>
        <v>1081920</v>
      </c>
      <c r="G883">
        <f>IF($A883="","",IF($D883="V01",Cadrage!$C$23,IF($D883="V02",Cadrage!$D$23,Cadrage!$E$23)))</f>
        <v>0.08</v>
      </c>
      <c r="H883">
        <f>IF($A883="","",IF($D883="V01",Cadrage!$C$24,IF($D883="V02",Cadrage!$D$24,Cadrage!$E$24)))</f>
        <v>0.1</v>
      </c>
      <c r="I883">
        <f>IF($A883="","",IF($D883="V01",Cadrage!$C$34,IF($D883="V02",Cadrage!$D$34,Cadrage!$E$34)))</f>
        <v>0.02</v>
      </c>
      <c r="J883">
        <f>IF($A883="","",IF($D883="V01",Cadrage!$C$35,IF($D883="V02",Cadrage!$D$35,Cadrage!$E$35)))</f>
        <v>0.025</v>
      </c>
      <c r="K883">
        <f>IF($A883="","",IF($D883="V01",Cadrage!$C$36,IF($D883="V02",Cadrage!$D$36,Cadrage!$E$36)))</f>
        <v>0.04</v>
      </c>
      <c r="L883">
        <f>IF($A883="","",IF($D883="V01",Cadrage!$C$37,IF($D883="V02",Cadrage!$D$37,Cadrage!$E$37)))</f>
        <v>0.0185</v>
      </c>
      <c r="M883">
        <f>IF($A883="","",IF($D883="V01",Cadrage!$C$38,IF($D883="V02",Cadrage!$D$38,Cadrage!$E$38)))</f>
        <v>0</v>
      </c>
      <c r="N883">
        <f t="shared" si="1"/>
        <v>1.04903758953208</v>
      </c>
      <c r="O883">
        <f t="shared" si="2"/>
        <v>1.04903758953208</v>
      </c>
      <c r="P883">
        <f>IF($A883="","",IF($E883=1,$F883*$O883,PNL!G883))</f>
        <v>1134974.74886655</v>
      </c>
      <c r="T883">
        <f t="shared" si="3"/>
        <v>1134974.74886655</v>
      </c>
    </row>
    <row r="884" ht="14.25" customHeight="1">
      <c r="A884" t="str">
        <f>IF(PNL!A884="","",PNL!A884)</f>
        <v>IPAC_MTP</v>
      </c>
      <c r="B884" t="str">
        <f>IF(PNL!B884="","",PNL!B884)</f>
        <v>708</v>
      </c>
      <c r="C884" t="str">
        <f>IF(PNL!C884="","",PNL!C884)</f>
        <v>2027</v>
      </c>
      <c r="D884" t="str">
        <f>IF(PNL!D884="","",PNL!D884)</f>
        <v>V01</v>
      </c>
      <c r="E884">
        <f t="shared" si="0"/>
        <v>1</v>
      </c>
      <c r="F884">
        <f>IF($A884="","",IF($E884=1,_xlfn.SUMIFS(Comptabilité!$F$1:$F$1446,Comptabilité!$A$1:$A$1446,$A884,Comptabilité!$B$1:$B$1446,$B884,Comptabilité!$C$1:$C$1446,"2026"),0))</f>
        <v>3600</v>
      </c>
      <c r="G884">
        <f>IF($A884="","",IF($D884="V01",Cadrage!$C$23,IF($D884="V02",Cadrage!$D$23,Cadrage!$E$23)))</f>
        <v>0.08</v>
      </c>
      <c r="H884">
        <f>IF($A884="","",IF($D884="V01",Cadrage!$C$24,IF($D884="V02",Cadrage!$D$24,Cadrage!$E$24)))</f>
        <v>0.1</v>
      </c>
      <c r="I884">
        <f>IF($A884="","",IF($D884="V01",Cadrage!$C$34,IF($D884="V02",Cadrage!$D$34,Cadrage!$E$34)))</f>
        <v>0.02</v>
      </c>
      <c r="J884">
        <f>IF($A884="","",IF($D884="V01",Cadrage!$C$35,IF($D884="V02",Cadrage!$D$35,Cadrage!$E$35)))</f>
        <v>0.025</v>
      </c>
      <c r="K884">
        <f>IF($A884="","",IF($D884="V01",Cadrage!$C$36,IF($D884="V02",Cadrage!$D$36,Cadrage!$E$36)))</f>
        <v>0.04</v>
      </c>
      <c r="L884">
        <f>IF($A884="","",IF($D884="V01",Cadrage!$C$37,IF($D884="V02",Cadrage!$D$37,Cadrage!$E$37)))</f>
        <v>0.0185</v>
      </c>
      <c r="M884">
        <f>IF($A884="","",IF($D884="V01",Cadrage!$C$38,IF($D884="V02",Cadrage!$D$38,Cadrage!$E$38)))</f>
        <v>0</v>
      </c>
      <c r="N884">
        <f t="shared" si="1"/>
        <v>1.04903758953208</v>
      </c>
      <c r="O884">
        <f t="shared" si="2"/>
        <v>1.04903758953208</v>
      </c>
      <c r="P884">
        <f>IF($A884="","",IF($E884=1,$F884*$O884,PNL!G884))</f>
        <v>3776.53532231549</v>
      </c>
      <c r="T884">
        <f t="shared" si="3"/>
        <v>3776.53532231549</v>
      </c>
    </row>
    <row r="885" ht="14.25" customHeight="1">
      <c r="A885" t="str">
        <f>IF(PNL!A885="","",PNL!A885)</f>
        <v>IPAC_NAN</v>
      </c>
      <c r="B885" t="str">
        <f>IF(PNL!B885="","",PNL!B885)</f>
        <v>708</v>
      </c>
      <c r="C885" t="str">
        <f>IF(PNL!C885="","",PNL!C885)</f>
        <v>2027</v>
      </c>
      <c r="D885" t="str">
        <f>IF(PNL!D885="","",PNL!D885)</f>
        <v>V01</v>
      </c>
      <c r="E885">
        <f t="shared" si="0"/>
        <v>1</v>
      </c>
      <c r="F885">
        <f>IF($A885="","",IF($E885=1,_xlfn.SUMIFS(Comptabilité!$F$1:$F$1446,Comptabilité!$A$1:$A$1446,$A885,Comptabilité!$B$1:$B$1446,$B885,Comptabilité!$C$1:$C$1446,"2026"),0))</f>
        <v>4500</v>
      </c>
      <c r="G885">
        <f>IF($A885="","",IF($D885="V01",Cadrage!$C$23,IF($D885="V02",Cadrage!$D$23,Cadrage!$E$23)))</f>
        <v>0.08</v>
      </c>
      <c r="H885">
        <f>IF($A885="","",IF($D885="V01",Cadrage!$C$24,IF($D885="V02",Cadrage!$D$24,Cadrage!$E$24)))</f>
        <v>0.1</v>
      </c>
      <c r="I885">
        <f>IF($A885="","",IF($D885="V01",Cadrage!$C$34,IF($D885="V02",Cadrage!$D$34,Cadrage!$E$34)))</f>
        <v>0.02</v>
      </c>
      <c r="J885">
        <f>IF($A885="","",IF($D885="V01",Cadrage!$C$35,IF($D885="V02",Cadrage!$D$35,Cadrage!$E$35)))</f>
        <v>0.025</v>
      </c>
      <c r="K885">
        <f>IF($A885="","",IF($D885="V01",Cadrage!$C$36,IF($D885="V02",Cadrage!$D$36,Cadrage!$E$36)))</f>
        <v>0.04</v>
      </c>
      <c r="L885">
        <f>IF($A885="","",IF($D885="V01",Cadrage!$C$37,IF($D885="V02",Cadrage!$D$37,Cadrage!$E$37)))</f>
        <v>0.0185</v>
      </c>
      <c r="M885">
        <f>IF($A885="","",IF($D885="V01",Cadrage!$C$38,IF($D885="V02",Cadrage!$D$38,Cadrage!$E$38)))</f>
        <v>0</v>
      </c>
      <c r="N885">
        <f t="shared" si="1"/>
        <v>1.04903758953208</v>
      </c>
      <c r="O885">
        <f t="shared" si="2"/>
        <v>1.04903758953208</v>
      </c>
      <c r="P885">
        <f>IF($A885="","",IF($E885=1,$F885*$O885,PNL!G885))</f>
        <v>4720.66915289436</v>
      </c>
      <c r="T885">
        <f t="shared" si="3"/>
        <v>4720.66915289436</v>
      </c>
    </row>
    <row r="886" ht="14.25" customHeight="1">
      <c r="A886" t="str">
        <f>IF(PNL!A886="","",PNL!A886)</f>
        <v>IPAC_REN</v>
      </c>
      <c r="B886" t="str">
        <f>IF(PNL!B886="","",PNL!B886)</f>
        <v>708</v>
      </c>
      <c r="C886" t="str">
        <f>IF(PNL!C886="","",PNL!C886)</f>
        <v>2027</v>
      </c>
      <c r="D886" t="str">
        <f>IF(PNL!D886="","",PNL!D886)</f>
        <v>V01</v>
      </c>
      <c r="E886">
        <f t="shared" si="0"/>
        <v>1</v>
      </c>
      <c r="F886">
        <f>IF($A886="","",IF($E886=1,_xlfn.SUMIFS(Comptabilité!$F$1:$F$1446,Comptabilité!$A$1:$A$1446,$A886,Comptabilité!$B$1:$B$1446,$B886,Comptabilité!$C$1:$C$1446,"2026"),0))</f>
        <v>3600</v>
      </c>
      <c r="G886">
        <f>IF($A886="","",IF($D886="V01",Cadrage!$C$23,IF($D886="V02",Cadrage!$D$23,Cadrage!$E$23)))</f>
        <v>0.08</v>
      </c>
      <c r="H886">
        <f>IF($A886="","",IF($D886="V01",Cadrage!$C$24,IF($D886="V02",Cadrage!$D$24,Cadrage!$E$24)))</f>
        <v>0.1</v>
      </c>
      <c r="I886">
        <f>IF($A886="","",IF($D886="V01",Cadrage!$C$34,IF($D886="V02",Cadrage!$D$34,Cadrage!$E$34)))</f>
        <v>0.02</v>
      </c>
      <c r="J886">
        <f>IF($A886="","",IF($D886="V01",Cadrage!$C$35,IF($D886="V02",Cadrage!$D$35,Cadrage!$E$35)))</f>
        <v>0.025</v>
      </c>
      <c r="K886">
        <f>IF($A886="","",IF($D886="V01",Cadrage!$C$36,IF($D886="V02",Cadrage!$D$36,Cadrage!$E$36)))</f>
        <v>0.04</v>
      </c>
      <c r="L886">
        <f>IF($A886="","",IF($D886="V01",Cadrage!$C$37,IF($D886="V02",Cadrage!$D$37,Cadrage!$E$37)))</f>
        <v>0.0185</v>
      </c>
      <c r="M886">
        <f>IF($A886="","",IF($D886="V01",Cadrage!$C$38,IF($D886="V02",Cadrage!$D$38,Cadrage!$E$38)))</f>
        <v>0</v>
      </c>
      <c r="N886">
        <f t="shared" si="1"/>
        <v>1.04903758953208</v>
      </c>
      <c r="O886">
        <f t="shared" si="2"/>
        <v>1.04903758953208</v>
      </c>
      <c r="P886">
        <f>IF($A886="","",IF($E886=1,$F886*$O886,PNL!G886))</f>
        <v>3776.53532231549</v>
      </c>
      <c r="T886">
        <f t="shared" si="3"/>
        <v>3776.53532231549</v>
      </c>
    </row>
    <row r="887" ht="14.25" customHeight="1">
      <c r="A887" t="str">
        <f>IF(PNL!A887="","",PNL!A887)</f>
        <v>ISCOM_LIL</v>
      </c>
      <c r="B887" t="str">
        <f>IF(PNL!B887="","",PNL!B887)</f>
        <v>708</v>
      </c>
      <c r="C887" t="str">
        <f>IF(PNL!C887="","",PNL!C887)</f>
        <v>2027</v>
      </c>
      <c r="D887" t="str">
        <f>IF(PNL!D887="","",PNL!D887)</f>
        <v>V01</v>
      </c>
      <c r="E887">
        <f t="shared" si="0"/>
        <v>1</v>
      </c>
      <c r="F887">
        <f>IF($A887="","",IF($E887=1,_xlfn.SUMIFS(Comptabilité!$F$1:$F$1446,Comptabilité!$A$1:$A$1446,$A887,Comptabilité!$B$1:$B$1446,$B887,Comptabilité!$C$1:$C$1446,"2026"),0))</f>
        <v>9000</v>
      </c>
      <c r="G887">
        <f>IF($A887="","",IF($D887="V01",Cadrage!$C$23,IF($D887="V02",Cadrage!$D$23,Cadrage!$E$23)))</f>
        <v>0.08</v>
      </c>
      <c r="H887">
        <f>IF($A887="","",IF($D887="V01",Cadrage!$C$24,IF($D887="V02",Cadrage!$D$24,Cadrage!$E$24)))</f>
        <v>0.1</v>
      </c>
      <c r="I887">
        <f>IF($A887="","",IF($D887="V01",Cadrage!$C$34,IF($D887="V02",Cadrage!$D$34,Cadrage!$E$34)))</f>
        <v>0.02</v>
      </c>
      <c r="J887">
        <f>IF($A887="","",IF($D887="V01",Cadrage!$C$35,IF($D887="V02",Cadrage!$D$35,Cadrage!$E$35)))</f>
        <v>0.025</v>
      </c>
      <c r="K887">
        <f>IF($A887="","",IF($D887="V01",Cadrage!$C$36,IF($D887="V02",Cadrage!$D$36,Cadrage!$E$36)))</f>
        <v>0.04</v>
      </c>
      <c r="L887">
        <f>IF($A887="","",IF($D887="V01",Cadrage!$C$37,IF($D887="V02",Cadrage!$D$37,Cadrage!$E$37)))</f>
        <v>0.0185</v>
      </c>
      <c r="M887">
        <f>IF($A887="","",IF($D887="V01",Cadrage!$C$38,IF($D887="V02",Cadrage!$D$38,Cadrage!$E$38)))</f>
        <v>0</v>
      </c>
      <c r="N887">
        <f t="shared" si="1"/>
        <v>1.04903758953208</v>
      </c>
      <c r="O887">
        <f t="shared" si="2"/>
        <v>1.04903758953208</v>
      </c>
      <c r="P887">
        <f>IF($A887="","",IF($E887=1,$F887*$O887,PNL!G887))</f>
        <v>9441.33830578872</v>
      </c>
      <c r="T887">
        <f t="shared" si="3"/>
        <v>9441.33830578872</v>
      </c>
    </row>
    <row r="888" ht="14.25" customHeight="1">
      <c r="A888" t="str">
        <f>IF(PNL!A888="","",PNL!A888)</f>
        <v>ISCOM_PAR</v>
      </c>
      <c r="B888" t="str">
        <f>IF(PNL!B888="","",PNL!B888)</f>
        <v>708</v>
      </c>
      <c r="C888" t="str">
        <f>IF(PNL!C888="","",PNL!C888)</f>
        <v>2027</v>
      </c>
      <c r="D888" t="str">
        <f>IF(PNL!D888="","",PNL!D888)</f>
        <v>V01</v>
      </c>
      <c r="E888">
        <f t="shared" si="0"/>
        <v>1</v>
      </c>
      <c r="F888">
        <f>IF($A888="","",IF($E888=1,_xlfn.SUMIFS(Comptabilité!$F$1:$F$1446,Comptabilité!$A$1:$A$1446,$A888,Comptabilité!$B$1:$B$1446,$B888,Comptabilité!$C$1:$C$1446,"2026"),0))</f>
        <v>12960</v>
      </c>
      <c r="G888">
        <f>IF($A888="","",IF($D888="V01",Cadrage!$C$23,IF($D888="V02",Cadrage!$D$23,Cadrage!$E$23)))</f>
        <v>0.08</v>
      </c>
      <c r="H888">
        <f>IF($A888="","",IF($D888="V01",Cadrage!$C$24,IF($D888="V02",Cadrage!$D$24,Cadrage!$E$24)))</f>
        <v>0.1</v>
      </c>
      <c r="I888">
        <f>IF($A888="","",IF($D888="V01",Cadrage!$C$34,IF($D888="V02",Cadrage!$D$34,Cadrage!$E$34)))</f>
        <v>0.02</v>
      </c>
      <c r="J888">
        <f>IF($A888="","",IF($D888="V01",Cadrage!$C$35,IF($D888="V02",Cadrage!$D$35,Cadrage!$E$35)))</f>
        <v>0.025</v>
      </c>
      <c r="K888">
        <f>IF($A888="","",IF($D888="V01",Cadrage!$C$36,IF($D888="V02",Cadrage!$D$36,Cadrage!$E$36)))</f>
        <v>0.04</v>
      </c>
      <c r="L888">
        <f>IF($A888="","",IF($D888="V01",Cadrage!$C$37,IF($D888="V02",Cadrage!$D$37,Cadrage!$E$37)))</f>
        <v>0.0185</v>
      </c>
      <c r="M888">
        <f>IF($A888="","",IF($D888="V01",Cadrage!$C$38,IF($D888="V02",Cadrage!$D$38,Cadrage!$E$38)))</f>
        <v>0</v>
      </c>
      <c r="N888">
        <f t="shared" si="1"/>
        <v>1.04903758953208</v>
      </c>
      <c r="O888">
        <f t="shared" si="2"/>
        <v>1.04903758953208</v>
      </c>
      <c r="P888">
        <f>IF($A888="","",IF($E888=1,$F888*$O888,PNL!G888))</f>
        <v>13595.5271603358</v>
      </c>
      <c r="T888">
        <f t="shared" si="3"/>
        <v>13595.5271603358</v>
      </c>
    </row>
    <row r="889" ht="14.25" customHeight="1">
      <c r="A889" t="str">
        <f>IF(PNL!A889="","",PNL!A889)</f>
        <v>ISCOM_TLS</v>
      </c>
      <c r="B889" t="str">
        <f>IF(PNL!B889="","",PNL!B889)</f>
        <v>708</v>
      </c>
      <c r="C889" t="str">
        <f>IF(PNL!C889="","",PNL!C889)</f>
        <v>2027</v>
      </c>
      <c r="D889" t="str">
        <f>IF(PNL!D889="","",PNL!D889)</f>
        <v>V01</v>
      </c>
      <c r="E889">
        <f t="shared" si="0"/>
        <v>1</v>
      </c>
      <c r="F889">
        <f>IF($A889="","",IF($E889=1,_xlfn.SUMIFS(Comptabilité!$F$1:$F$1446,Comptabilité!$A$1:$A$1446,$A889,Comptabilité!$B$1:$B$1446,$B889,Comptabilité!$C$1:$C$1446,"2026"),0))</f>
        <v>8460</v>
      </c>
      <c r="G889">
        <f>IF($A889="","",IF($D889="V01",Cadrage!$C$23,IF($D889="V02",Cadrage!$D$23,Cadrage!$E$23)))</f>
        <v>0.08</v>
      </c>
      <c r="H889">
        <f>IF($A889="","",IF($D889="V01",Cadrage!$C$24,IF($D889="V02",Cadrage!$D$24,Cadrage!$E$24)))</f>
        <v>0.1</v>
      </c>
      <c r="I889">
        <f>IF($A889="","",IF($D889="V01",Cadrage!$C$34,IF($D889="V02",Cadrage!$D$34,Cadrage!$E$34)))</f>
        <v>0.02</v>
      </c>
      <c r="J889">
        <f>IF($A889="","",IF($D889="V01",Cadrage!$C$35,IF($D889="V02",Cadrage!$D$35,Cadrage!$E$35)))</f>
        <v>0.025</v>
      </c>
      <c r="K889">
        <f>IF($A889="","",IF($D889="V01",Cadrage!$C$36,IF($D889="V02",Cadrage!$D$36,Cadrage!$E$36)))</f>
        <v>0.04</v>
      </c>
      <c r="L889">
        <f>IF($A889="","",IF($D889="V01",Cadrage!$C$37,IF($D889="V02",Cadrage!$D$37,Cadrage!$E$37)))</f>
        <v>0.0185</v>
      </c>
      <c r="M889">
        <f>IF($A889="","",IF($D889="V01",Cadrage!$C$38,IF($D889="V02",Cadrage!$D$38,Cadrage!$E$38)))</f>
        <v>0</v>
      </c>
      <c r="N889">
        <f t="shared" si="1"/>
        <v>1.04903758953208</v>
      </c>
      <c r="O889">
        <f t="shared" si="2"/>
        <v>1.04903758953208</v>
      </c>
      <c r="P889">
        <f>IF($A889="","",IF($E889=1,$F889*$O889,PNL!G889))</f>
        <v>8874.8580074414</v>
      </c>
      <c r="T889">
        <f t="shared" si="3"/>
        <v>8874.8580074414</v>
      </c>
    </row>
    <row r="890" ht="14.25" customHeight="1">
      <c r="A890" t="str">
        <f>IF(PNL!A890="","",PNL!A890)</f>
        <v>MBWAY_BOR</v>
      </c>
      <c r="B890" t="str">
        <f>IF(PNL!B890="","",PNL!B890)</f>
        <v>708</v>
      </c>
      <c r="C890" t="str">
        <f>IF(PNL!C890="","",PNL!C890)</f>
        <v>2027</v>
      </c>
      <c r="D890" t="str">
        <f>IF(PNL!D890="","",PNL!D890)</f>
        <v>V01</v>
      </c>
      <c r="E890">
        <f t="shared" si="0"/>
        <v>1</v>
      </c>
      <c r="F890">
        <f>IF($A890="","",IF($E890=1,_xlfn.SUMIFS(Comptabilité!$F$1:$F$1446,Comptabilité!$A$1:$A$1446,$A890,Comptabilité!$B$1:$B$1446,$B890,Comptabilité!$C$1:$C$1446,"2026"),0))</f>
        <v>9180</v>
      </c>
      <c r="G890">
        <f>IF($A890="","",IF($D890="V01",Cadrage!$C$23,IF($D890="V02",Cadrage!$D$23,Cadrage!$E$23)))</f>
        <v>0.08</v>
      </c>
      <c r="H890">
        <f>IF($A890="","",IF($D890="V01",Cadrage!$C$24,IF($D890="V02",Cadrage!$D$24,Cadrage!$E$24)))</f>
        <v>0.1</v>
      </c>
      <c r="I890">
        <f>IF($A890="","",IF($D890="V01",Cadrage!$C$34,IF($D890="V02",Cadrage!$D$34,Cadrage!$E$34)))</f>
        <v>0.02</v>
      </c>
      <c r="J890">
        <f>IF($A890="","",IF($D890="V01",Cadrage!$C$35,IF($D890="V02",Cadrage!$D$35,Cadrage!$E$35)))</f>
        <v>0.025</v>
      </c>
      <c r="K890">
        <f>IF($A890="","",IF($D890="V01",Cadrage!$C$36,IF($D890="V02",Cadrage!$D$36,Cadrage!$E$36)))</f>
        <v>0.04</v>
      </c>
      <c r="L890">
        <f>IF($A890="","",IF($D890="V01",Cadrage!$C$37,IF($D890="V02",Cadrage!$D$37,Cadrage!$E$37)))</f>
        <v>0.0185</v>
      </c>
      <c r="M890">
        <f>IF($A890="","",IF($D890="V01",Cadrage!$C$38,IF($D890="V02",Cadrage!$D$38,Cadrage!$E$38)))</f>
        <v>0</v>
      </c>
      <c r="N890">
        <f t="shared" si="1"/>
        <v>1.04903758953208</v>
      </c>
      <c r="O890">
        <f t="shared" si="2"/>
        <v>1.04903758953208</v>
      </c>
      <c r="P890">
        <f>IF($A890="","",IF($E890=1,$F890*$O890,PNL!G890))</f>
        <v>9630.1650719045</v>
      </c>
      <c r="T890">
        <f t="shared" si="3"/>
        <v>9630.1650719045</v>
      </c>
    </row>
    <row r="891" ht="14.25" customHeight="1">
      <c r="A891" t="str">
        <f>IF(PNL!A891="","",PNL!A891)</f>
        <v>MBWAY_LYO</v>
      </c>
      <c r="B891" t="str">
        <f>IF(PNL!B891="","",PNL!B891)</f>
        <v>708</v>
      </c>
      <c r="C891" t="str">
        <f>IF(PNL!C891="","",PNL!C891)</f>
        <v>2027</v>
      </c>
      <c r="D891" t="str">
        <f>IF(PNL!D891="","",PNL!D891)</f>
        <v>V01</v>
      </c>
      <c r="E891">
        <f t="shared" si="0"/>
        <v>1</v>
      </c>
      <c r="F891">
        <f>IF($A891="","",IF($E891=1,_xlfn.SUMIFS(Comptabilité!$F$1:$F$1446,Comptabilité!$A$1:$A$1446,$A891,Comptabilité!$B$1:$B$1446,$B891,Comptabilité!$C$1:$C$1446,"2026"),0))</f>
        <v>11880</v>
      </c>
      <c r="G891">
        <f>IF($A891="","",IF($D891="V01",Cadrage!$C$23,IF($D891="V02",Cadrage!$D$23,Cadrage!$E$23)))</f>
        <v>0.08</v>
      </c>
      <c r="H891">
        <f>IF($A891="","",IF($D891="V01",Cadrage!$C$24,IF($D891="V02",Cadrage!$D$24,Cadrage!$E$24)))</f>
        <v>0.1</v>
      </c>
      <c r="I891">
        <f>IF($A891="","",IF($D891="V01",Cadrage!$C$34,IF($D891="V02",Cadrage!$D$34,Cadrage!$E$34)))</f>
        <v>0.02</v>
      </c>
      <c r="J891">
        <f>IF($A891="","",IF($D891="V01",Cadrage!$C$35,IF($D891="V02",Cadrage!$D$35,Cadrage!$E$35)))</f>
        <v>0.025</v>
      </c>
      <c r="K891">
        <f>IF($A891="","",IF($D891="V01",Cadrage!$C$36,IF($D891="V02",Cadrage!$D$36,Cadrage!$E$36)))</f>
        <v>0.04</v>
      </c>
      <c r="L891">
        <f>IF($A891="","",IF($D891="V01",Cadrage!$C$37,IF($D891="V02",Cadrage!$D$37,Cadrage!$E$37)))</f>
        <v>0.0185</v>
      </c>
      <c r="M891">
        <f>IF($A891="","",IF($D891="V01",Cadrage!$C$38,IF($D891="V02",Cadrage!$D$38,Cadrage!$E$38)))</f>
        <v>0</v>
      </c>
      <c r="N891">
        <f t="shared" si="1"/>
        <v>1.04903758953208</v>
      </c>
      <c r="O891">
        <f t="shared" si="2"/>
        <v>1.04903758953208</v>
      </c>
      <c r="P891">
        <f>IF($A891="","",IF($E891=1,$F891*$O891,PNL!G891))</f>
        <v>12462.5665636411</v>
      </c>
      <c r="T891">
        <f t="shared" si="3"/>
        <v>12462.5665636411</v>
      </c>
    </row>
    <row r="892" ht="14.25" customHeight="1">
      <c r="A892" t="str">
        <f>IF(PNL!A892="","",PNL!A892)</f>
        <v>MBWAY_NAN</v>
      </c>
      <c r="B892" t="str">
        <f>IF(PNL!B892="","",PNL!B892)</f>
        <v>708</v>
      </c>
      <c r="C892" t="str">
        <f>IF(PNL!C892="","",PNL!C892)</f>
        <v>2027</v>
      </c>
      <c r="D892" t="str">
        <f>IF(PNL!D892="","",PNL!D892)</f>
        <v>V01</v>
      </c>
      <c r="E892">
        <f t="shared" si="0"/>
        <v>1</v>
      </c>
      <c r="F892">
        <f>IF($A892="","",IF($E892=1,_xlfn.SUMIFS(Comptabilité!$F$1:$F$1446,Comptabilité!$A$1:$A$1446,$A892,Comptabilité!$B$1:$B$1446,$B892,Comptabilité!$C$1:$C$1446,"2026"),0))</f>
        <v>10800</v>
      </c>
      <c r="G892">
        <f>IF($A892="","",IF($D892="V01",Cadrage!$C$23,IF($D892="V02",Cadrage!$D$23,Cadrage!$E$23)))</f>
        <v>0.08</v>
      </c>
      <c r="H892">
        <f>IF($A892="","",IF($D892="V01",Cadrage!$C$24,IF($D892="V02",Cadrage!$D$24,Cadrage!$E$24)))</f>
        <v>0.1</v>
      </c>
      <c r="I892">
        <f>IF($A892="","",IF($D892="V01",Cadrage!$C$34,IF($D892="V02",Cadrage!$D$34,Cadrage!$E$34)))</f>
        <v>0.02</v>
      </c>
      <c r="J892">
        <f>IF($A892="","",IF($D892="V01",Cadrage!$C$35,IF($D892="V02",Cadrage!$D$35,Cadrage!$E$35)))</f>
        <v>0.025</v>
      </c>
      <c r="K892">
        <f>IF($A892="","",IF($D892="V01",Cadrage!$C$36,IF($D892="V02",Cadrage!$D$36,Cadrage!$E$36)))</f>
        <v>0.04</v>
      </c>
      <c r="L892">
        <f>IF($A892="","",IF($D892="V01",Cadrage!$C$37,IF($D892="V02",Cadrage!$D$37,Cadrage!$E$37)))</f>
        <v>0.0185</v>
      </c>
      <c r="M892">
        <f>IF($A892="","",IF($D892="V01",Cadrage!$C$38,IF($D892="V02",Cadrage!$D$38,Cadrage!$E$38)))</f>
        <v>0</v>
      </c>
      <c r="N892">
        <f t="shared" si="1"/>
        <v>1.04903758953208</v>
      </c>
      <c r="O892">
        <f t="shared" si="2"/>
        <v>1.04903758953208</v>
      </c>
      <c r="P892">
        <f>IF($A892="","",IF($E892=1,$F892*$O892,PNL!G892))</f>
        <v>11329.6059669465</v>
      </c>
      <c r="T892">
        <f t="shared" si="3"/>
        <v>11329.6059669465</v>
      </c>
    </row>
    <row r="893" ht="14.25" customHeight="1">
      <c r="A893" t="str">
        <f>IF(PNL!A893="","",PNL!A893)</f>
        <v>MBWAY_PAR</v>
      </c>
      <c r="B893" t="str">
        <f>IF(PNL!B893="","",PNL!B893)</f>
        <v>708</v>
      </c>
      <c r="C893" t="str">
        <f>IF(PNL!C893="","",PNL!C893)</f>
        <v>2027</v>
      </c>
      <c r="D893" t="str">
        <f>IF(PNL!D893="","",PNL!D893)</f>
        <v>V01</v>
      </c>
      <c r="E893">
        <f t="shared" si="0"/>
        <v>1</v>
      </c>
      <c r="F893">
        <f>IF($A893="","",IF($E893=1,_xlfn.SUMIFS(Comptabilité!$F$1:$F$1446,Comptabilité!$A$1:$A$1446,$A893,Comptabilité!$B$1:$B$1446,$B893,Comptabilité!$C$1:$C$1446,"2026"),0))</f>
        <v>14040</v>
      </c>
      <c r="G893">
        <f>IF($A893="","",IF($D893="V01",Cadrage!$C$23,IF($D893="V02",Cadrage!$D$23,Cadrage!$E$23)))</f>
        <v>0.08</v>
      </c>
      <c r="H893">
        <f>IF($A893="","",IF($D893="V01",Cadrage!$C$24,IF($D893="V02",Cadrage!$D$24,Cadrage!$E$24)))</f>
        <v>0.1</v>
      </c>
      <c r="I893">
        <f>IF($A893="","",IF($D893="V01",Cadrage!$C$34,IF($D893="V02",Cadrage!$D$34,Cadrage!$E$34)))</f>
        <v>0.02</v>
      </c>
      <c r="J893">
        <f>IF($A893="","",IF($D893="V01",Cadrage!$C$35,IF($D893="V02",Cadrage!$D$35,Cadrage!$E$35)))</f>
        <v>0.025</v>
      </c>
      <c r="K893">
        <f>IF($A893="","",IF($D893="V01",Cadrage!$C$36,IF($D893="V02",Cadrage!$D$36,Cadrage!$E$36)))</f>
        <v>0.04</v>
      </c>
      <c r="L893">
        <f>IF($A893="","",IF($D893="V01",Cadrage!$C$37,IF($D893="V02",Cadrage!$D$37,Cadrage!$E$37)))</f>
        <v>0.0185</v>
      </c>
      <c r="M893">
        <f>IF($A893="","",IF($D893="V01",Cadrage!$C$38,IF($D893="V02",Cadrage!$D$38,Cadrage!$E$38)))</f>
        <v>0</v>
      </c>
      <c r="N893">
        <f t="shared" si="1"/>
        <v>1.04903758953208</v>
      </c>
      <c r="O893">
        <f t="shared" si="2"/>
        <v>1.04903758953208</v>
      </c>
      <c r="P893">
        <f>IF($A893="","",IF($E893=1,$F893*$O893,PNL!G893))</f>
        <v>14728.4877570304</v>
      </c>
      <c r="T893">
        <f t="shared" si="3"/>
        <v>14728.4877570304</v>
      </c>
    </row>
    <row r="894" ht="14.25" customHeight="1">
      <c r="A894" t="str">
        <f>IF(PNL!A894="","",PNL!A894)</f>
        <v>PIGIER_BOR</v>
      </c>
      <c r="B894" t="str">
        <f>IF(PNL!B894="","",PNL!B894)</f>
        <v>708</v>
      </c>
      <c r="C894" t="str">
        <f>IF(PNL!C894="","",PNL!C894)</f>
        <v>2027</v>
      </c>
      <c r="D894" t="str">
        <f>IF(PNL!D894="","",PNL!D894)</f>
        <v>V01</v>
      </c>
      <c r="E894">
        <f t="shared" si="0"/>
        <v>1</v>
      </c>
      <c r="F894">
        <f>IF($A894="","",IF($E894=1,_xlfn.SUMIFS(Comptabilité!$F$1:$F$1446,Comptabilité!$A$1:$A$1446,$A894,Comptabilité!$B$1:$B$1446,$B894,Comptabilité!$C$1:$C$1446,"2026"),0))</f>
        <v>6480</v>
      </c>
      <c r="G894">
        <f>IF($A894="","",IF($D894="V01",Cadrage!$C$23,IF($D894="V02",Cadrage!$D$23,Cadrage!$E$23)))</f>
        <v>0.08</v>
      </c>
      <c r="H894">
        <f>IF($A894="","",IF($D894="V01",Cadrage!$C$24,IF($D894="V02",Cadrage!$D$24,Cadrage!$E$24)))</f>
        <v>0.1</v>
      </c>
      <c r="I894">
        <f>IF($A894="","",IF($D894="V01",Cadrage!$C$34,IF($D894="V02",Cadrage!$D$34,Cadrage!$E$34)))</f>
        <v>0.02</v>
      </c>
      <c r="J894">
        <f>IF($A894="","",IF($D894="V01",Cadrage!$C$35,IF($D894="V02",Cadrage!$D$35,Cadrage!$E$35)))</f>
        <v>0.025</v>
      </c>
      <c r="K894">
        <f>IF($A894="","",IF($D894="V01",Cadrage!$C$36,IF($D894="V02",Cadrage!$D$36,Cadrage!$E$36)))</f>
        <v>0.04</v>
      </c>
      <c r="L894">
        <f>IF($A894="","",IF($D894="V01",Cadrage!$C$37,IF($D894="V02",Cadrage!$D$37,Cadrage!$E$37)))</f>
        <v>0.0185</v>
      </c>
      <c r="M894">
        <f>IF($A894="","",IF($D894="V01",Cadrage!$C$38,IF($D894="V02",Cadrage!$D$38,Cadrage!$E$38)))</f>
        <v>0</v>
      </c>
      <c r="N894">
        <f t="shared" si="1"/>
        <v>1.04903758953208</v>
      </c>
      <c r="O894">
        <f t="shared" si="2"/>
        <v>1.04903758953208</v>
      </c>
      <c r="P894">
        <f>IF($A894="","",IF($E894=1,$F894*$O894,PNL!G894))</f>
        <v>6797.76358016788</v>
      </c>
      <c r="T894">
        <f t="shared" si="3"/>
        <v>6797.76358016788</v>
      </c>
    </row>
    <row r="895" ht="14.25" customHeight="1">
      <c r="A895" t="str">
        <f>IF(PNL!A895="","",PNL!A895)</f>
        <v>PIGIER_LYO</v>
      </c>
      <c r="B895" t="str">
        <f>IF(PNL!B895="","",PNL!B895)</f>
        <v>708</v>
      </c>
      <c r="C895" t="str">
        <f>IF(PNL!C895="","",PNL!C895)</f>
        <v>2027</v>
      </c>
      <c r="D895" t="str">
        <f>IF(PNL!D895="","",PNL!D895)</f>
        <v>V01</v>
      </c>
      <c r="E895">
        <f t="shared" si="0"/>
        <v>1</v>
      </c>
      <c r="F895">
        <f>IF($A895="","",IF($E895=1,_xlfn.SUMIFS(Comptabilité!$F$1:$F$1446,Comptabilité!$A$1:$A$1446,$A895,Comptabilité!$B$1:$B$1446,$B895,Comptabilité!$C$1:$C$1446,"2026"),0))</f>
        <v>8280</v>
      </c>
      <c r="G895">
        <f>IF($A895="","",IF($D895="V01",Cadrage!$C$23,IF($D895="V02",Cadrage!$D$23,Cadrage!$E$23)))</f>
        <v>0.08</v>
      </c>
      <c r="H895">
        <f>IF($A895="","",IF($D895="V01",Cadrage!$C$24,IF($D895="V02",Cadrage!$D$24,Cadrage!$E$24)))</f>
        <v>0.1</v>
      </c>
      <c r="I895">
        <f>IF($A895="","",IF($D895="V01",Cadrage!$C$34,IF($D895="V02",Cadrage!$D$34,Cadrage!$E$34)))</f>
        <v>0.02</v>
      </c>
      <c r="J895">
        <f>IF($A895="","",IF($D895="V01",Cadrage!$C$35,IF($D895="V02",Cadrage!$D$35,Cadrage!$E$35)))</f>
        <v>0.025</v>
      </c>
      <c r="K895">
        <f>IF($A895="","",IF($D895="V01",Cadrage!$C$36,IF($D895="V02",Cadrage!$D$36,Cadrage!$E$36)))</f>
        <v>0.04</v>
      </c>
      <c r="L895">
        <f>IF($A895="","",IF($D895="V01",Cadrage!$C$37,IF($D895="V02",Cadrage!$D$37,Cadrage!$E$37)))</f>
        <v>0.0185</v>
      </c>
      <c r="M895">
        <f>IF($A895="","",IF($D895="V01",Cadrage!$C$38,IF($D895="V02",Cadrage!$D$38,Cadrage!$E$38)))</f>
        <v>0</v>
      </c>
      <c r="N895">
        <f t="shared" si="1"/>
        <v>1.04903758953208</v>
      </c>
      <c r="O895">
        <f t="shared" si="2"/>
        <v>1.04903758953208</v>
      </c>
      <c r="P895">
        <f>IF($A895="","",IF($E895=1,$F895*$O895,PNL!G895))</f>
        <v>8686.03124132562</v>
      </c>
      <c r="T895">
        <f t="shared" si="3"/>
        <v>8686.03124132562</v>
      </c>
    </row>
    <row r="896" ht="14.25" customHeight="1">
      <c r="A896" t="str">
        <f>IF(PNL!A896="","",PNL!A896)</f>
        <v>TUNON_LYO</v>
      </c>
      <c r="B896" t="str">
        <f>IF(PNL!B896="","",PNL!B896)</f>
        <v>708</v>
      </c>
      <c r="C896" t="str">
        <f>IF(PNL!C896="","",PNL!C896)</f>
        <v>2027</v>
      </c>
      <c r="D896" t="str">
        <f>IF(PNL!D896="","",PNL!D896)</f>
        <v>V01</v>
      </c>
      <c r="E896">
        <f t="shared" si="0"/>
        <v>1</v>
      </c>
      <c r="F896">
        <f>IF($A896="","",IF($E896=1,_xlfn.SUMIFS(Comptabilité!$F$1:$F$1446,Comptabilité!$A$1:$A$1446,$A896,Comptabilité!$B$1:$B$1446,$B896,Comptabilité!$C$1:$C$1446,"2026"),0))</f>
        <v>3600</v>
      </c>
      <c r="G896">
        <f>IF($A896="","",IF($D896="V01",Cadrage!$C$23,IF($D896="V02",Cadrage!$D$23,Cadrage!$E$23)))</f>
        <v>0.08</v>
      </c>
      <c r="H896">
        <f>IF($A896="","",IF($D896="V01",Cadrage!$C$24,IF($D896="V02",Cadrage!$D$24,Cadrage!$E$24)))</f>
        <v>0.1</v>
      </c>
      <c r="I896">
        <f>IF($A896="","",IF($D896="V01",Cadrage!$C$34,IF($D896="V02",Cadrage!$D$34,Cadrage!$E$34)))</f>
        <v>0.02</v>
      </c>
      <c r="J896">
        <f>IF($A896="","",IF($D896="V01",Cadrage!$C$35,IF($D896="V02",Cadrage!$D$35,Cadrage!$E$35)))</f>
        <v>0.025</v>
      </c>
      <c r="K896">
        <f>IF($A896="","",IF($D896="V01",Cadrage!$C$36,IF($D896="V02",Cadrage!$D$36,Cadrage!$E$36)))</f>
        <v>0.04</v>
      </c>
      <c r="L896">
        <f>IF($A896="","",IF($D896="V01",Cadrage!$C$37,IF($D896="V02",Cadrage!$D$37,Cadrage!$E$37)))</f>
        <v>0.0185</v>
      </c>
      <c r="M896">
        <f>IF($A896="","",IF($D896="V01",Cadrage!$C$38,IF($D896="V02",Cadrage!$D$38,Cadrage!$E$38)))</f>
        <v>0</v>
      </c>
      <c r="N896">
        <f t="shared" si="1"/>
        <v>1.04903758953208</v>
      </c>
      <c r="O896">
        <f t="shared" si="2"/>
        <v>1.04903758953208</v>
      </c>
      <c r="P896">
        <f>IF($A896="","",IF($E896=1,$F896*$O896,PNL!G896))</f>
        <v>3776.53532231549</v>
      </c>
      <c r="T896">
        <f t="shared" si="3"/>
        <v>3776.53532231549</v>
      </c>
    </row>
    <row r="897" ht="14.25" customHeight="1">
      <c r="A897" t="str">
        <f>IF(PNL!A897="","",PNL!A897)</f>
        <v>TUNON_PAR</v>
      </c>
      <c r="B897" t="str">
        <f>IF(PNL!B897="","",PNL!B897)</f>
        <v>708</v>
      </c>
      <c r="C897" t="str">
        <f>IF(PNL!C897="","",PNL!C897)</f>
        <v>2027</v>
      </c>
      <c r="D897" t="str">
        <f>IF(PNL!D897="","",PNL!D897)</f>
        <v>V01</v>
      </c>
      <c r="E897">
        <f t="shared" si="0"/>
        <v>1</v>
      </c>
      <c r="F897">
        <f>IF($A897="","",IF($E897=1,_xlfn.SUMIFS(Comptabilité!$F$1:$F$1446,Comptabilité!$A$1:$A$1446,$A897,Comptabilité!$B$1:$B$1446,$B897,Comptabilité!$C$1:$C$1446,"2026"),0))</f>
        <v>4230</v>
      </c>
      <c r="G897">
        <f>IF($A897="","",IF($D897="V01",Cadrage!$C$23,IF($D897="V02",Cadrage!$D$23,Cadrage!$E$23)))</f>
        <v>0.08</v>
      </c>
      <c r="H897">
        <f>IF($A897="","",IF($D897="V01",Cadrage!$C$24,IF($D897="V02",Cadrage!$D$24,Cadrage!$E$24)))</f>
        <v>0.1</v>
      </c>
      <c r="I897">
        <f>IF($A897="","",IF($D897="V01",Cadrage!$C$34,IF($D897="V02",Cadrage!$D$34,Cadrage!$E$34)))</f>
        <v>0.02</v>
      </c>
      <c r="J897">
        <f>IF($A897="","",IF($D897="V01",Cadrage!$C$35,IF($D897="V02",Cadrage!$D$35,Cadrage!$E$35)))</f>
        <v>0.025</v>
      </c>
      <c r="K897">
        <f>IF($A897="","",IF($D897="V01",Cadrage!$C$36,IF($D897="V02",Cadrage!$D$36,Cadrage!$E$36)))</f>
        <v>0.04</v>
      </c>
      <c r="L897">
        <f>IF($A897="","",IF($D897="V01",Cadrage!$C$37,IF($D897="V02",Cadrage!$D$37,Cadrage!$E$37)))</f>
        <v>0.0185</v>
      </c>
      <c r="M897">
        <f>IF($A897="","",IF($D897="V01",Cadrage!$C$38,IF($D897="V02",Cadrage!$D$38,Cadrage!$E$38)))</f>
        <v>0</v>
      </c>
      <c r="N897">
        <f t="shared" si="1"/>
        <v>1.04903758953208</v>
      </c>
      <c r="O897">
        <f t="shared" si="2"/>
        <v>1.04903758953208</v>
      </c>
      <c r="P897">
        <f>IF($A897="","",IF($E897=1,$F897*$O897,PNL!G897))</f>
        <v>4437.4290037207</v>
      </c>
      <c r="T897">
        <f t="shared" si="3"/>
        <v>4437.4290037207</v>
      </c>
    </row>
    <row r="898" ht="14.25" customHeight="1">
      <c r="A898" t="str">
        <f>IF(PNL!A898="","",PNL!A898)</f>
        <v>IPAC_MTP</v>
      </c>
      <c r="B898" t="str">
        <f>IF(PNL!B898="","",PNL!B898)</f>
        <v>604</v>
      </c>
      <c r="C898" t="str">
        <f>IF(PNL!C898="","",PNL!C898)</f>
        <v>2027</v>
      </c>
      <c r="D898" t="str">
        <f>IF(PNL!D898="","",PNL!D898)</f>
        <v>V02</v>
      </c>
      <c r="E898">
        <f t="shared" si="0"/>
        <v>1</v>
      </c>
      <c r="F898">
        <f>IF($A898="","",IF($E898=1,_xlfn.SUMIFS(Comptabilité!$F$1:$F$1446,Comptabilité!$A$1:$A$1446,$A898,Comptabilité!$B$1:$B$1446,$B898,Comptabilité!$C$1:$C$1446,"2026"),0))</f>
        <v>26121</v>
      </c>
      <c r="G898">
        <f>IF($A898="","",IF($D898="V01",Cadrage!$C$23,IF($D898="V02",Cadrage!$D$23,Cadrage!$E$23)))</f>
        <v>0.15</v>
      </c>
      <c r="H898">
        <f>IF($A898="","",IF($D898="V01",Cadrage!$C$24,IF($D898="V02",Cadrage!$D$24,Cadrage!$E$24)))</f>
        <v>0.15</v>
      </c>
      <c r="I898">
        <f>IF($A898="","",IF($D898="V01",Cadrage!$C$34,IF($D898="V02",Cadrage!$D$34,Cadrage!$E$34)))</f>
        <v>0.015</v>
      </c>
      <c r="J898">
        <f>IF($A898="","",IF($D898="V01",Cadrage!$C$35,IF($D898="V02",Cadrage!$D$35,Cadrage!$E$35)))</f>
        <v>0.02</v>
      </c>
      <c r="K898">
        <f>IF($A898="","",IF($D898="V01",Cadrage!$C$36,IF($D898="V02",Cadrage!$D$36,Cadrage!$E$36)))</f>
        <v>0.03</v>
      </c>
      <c r="L898">
        <f>IF($A898="","",IF($D898="V01",Cadrage!$C$37,IF($D898="V02",Cadrage!$D$37,Cadrage!$E$37)))</f>
        <v>0.03</v>
      </c>
      <c r="M898">
        <f>IF($A898="","",IF($D898="V01",Cadrage!$C$38,IF($D898="V02",Cadrage!$D$38,Cadrage!$E$38)))</f>
        <v>-0.03</v>
      </c>
      <c r="N898">
        <f t="shared" si="1"/>
        <v>1.16083752922642</v>
      </c>
      <c r="O898">
        <f t="shared" si="2"/>
        <v>1.12601240334963</v>
      </c>
      <c r="P898">
        <f>IF($A898="","",IF($E898=1,$F898*$O898,PNL!G898))</f>
        <v>29412.5699878957</v>
      </c>
      <c r="T898">
        <f t="shared" si="3"/>
        <v>-29412.5699878957</v>
      </c>
    </row>
    <row r="899" ht="14.25" customHeight="1">
      <c r="A899" t="str">
        <f>IF(PNL!A899="","",PNL!A899)</f>
        <v>IPAC_NAN</v>
      </c>
      <c r="B899" t="str">
        <f>IF(PNL!B899="","",PNL!B899)</f>
        <v>604</v>
      </c>
      <c r="C899" t="str">
        <f>IF(PNL!C899="","",PNL!C899)</f>
        <v>2027</v>
      </c>
      <c r="D899" t="str">
        <f>IF(PNL!D899="","",PNL!D899)</f>
        <v>V02</v>
      </c>
      <c r="E899">
        <f t="shared" si="0"/>
        <v>1</v>
      </c>
      <c r="F899">
        <f>IF($A899="","",IF($E899=1,_xlfn.SUMIFS(Comptabilité!$F$1:$F$1446,Comptabilité!$A$1:$A$1446,$A899,Comptabilité!$B$1:$B$1446,$B899,Comptabilité!$C$1:$C$1446,"2026"),0))</f>
        <v>32372</v>
      </c>
      <c r="G899">
        <f>IF($A899="","",IF($D899="V01",Cadrage!$C$23,IF($D899="V02",Cadrage!$D$23,Cadrage!$E$23)))</f>
        <v>0.15</v>
      </c>
      <c r="H899">
        <f>IF($A899="","",IF($D899="V01",Cadrage!$C$24,IF($D899="V02",Cadrage!$D$24,Cadrage!$E$24)))</f>
        <v>0.15</v>
      </c>
      <c r="I899">
        <f>IF($A899="","",IF($D899="V01",Cadrage!$C$34,IF($D899="V02",Cadrage!$D$34,Cadrage!$E$34)))</f>
        <v>0.015</v>
      </c>
      <c r="J899">
        <f>IF($A899="","",IF($D899="V01",Cadrage!$C$35,IF($D899="V02",Cadrage!$D$35,Cadrage!$E$35)))</f>
        <v>0.02</v>
      </c>
      <c r="K899">
        <f>IF($A899="","",IF($D899="V01",Cadrage!$C$36,IF($D899="V02",Cadrage!$D$36,Cadrage!$E$36)))</f>
        <v>0.03</v>
      </c>
      <c r="L899">
        <f>IF($A899="","",IF($D899="V01",Cadrage!$C$37,IF($D899="V02",Cadrage!$D$37,Cadrage!$E$37)))</f>
        <v>0.03</v>
      </c>
      <c r="M899">
        <f>IF($A899="","",IF($D899="V01",Cadrage!$C$38,IF($D899="V02",Cadrage!$D$38,Cadrage!$E$38)))</f>
        <v>-0.03</v>
      </c>
      <c r="N899">
        <f t="shared" si="1"/>
        <v>1.16083752922642</v>
      </c>
      <c r="O899">
        <f t="shared" si="2"/>
        <v>1.12601240334963</v>
      </c>
      <c r="P899">
        <f>IF($A899="","",IF($E899=1,$F899*$O899,PNL!G899))</f>
        <v>36451.2735212342</v>
      </c>
      <c r="T899">
        <f t="shared" si="3"/>
        <v>-36451.2735212342</v>
      </c>
    </row>
    <row r="900" ht="14.25" customHeight="1">
      <c r="A900" t="str">
        <f>IF(PNL!A900="","",PNL!A900)</f>
        <v>IPAC_REN</v>
      </c>
      <c r="B900" t="str">
        <f>IF(PNL!B900="","",PNL!B900)</f>
        <v>604</v>
      </c>
      <c r="C900" t="str">
        <f>IF(PNL!C900="","",PNL!C900)</f>
        <v>2027</v>
      </c>
      <c r="D900" t="str">
        <f>IF(PNL!D900="","",PNL!D900)</f>
        <v>V02</v>
      </c>
      <c r="E900">
        <f t="shared" si="0"/>
        <v>1</v>
      </c>
      <c r="F900">
        <f>IF($A900="","",IF($E900=1,_xlfn.SUMIFS(Comptabilité!$F$1:$F$1446,Comptabilité!$A$1:$A$1446,$A900,Comptabilité!$B$1:$B$1446,$B900,Comptabilité!$C$1:$C$1446,"2026"),0))</f>
        <v>26121</v>
      </c>
      <c r="G900">
        <f>IF($A900="","",IF($D900="V01",Cadrage!$C$23,IF($D900="V02",Cadrage!$D$23,Cadrage!$E$23)))</f>
        <v>0.15</v>
      </c>
      <c r="H900">
        <f>IF($A900="","",IF($D900="V01",Cadrage!$C$24,IF($D900="V02",Cadrage!$D$24,Cadrage!$E$24)))</f>
        <v>0.15</v>
      </c>
      <c r="I900">
        <f>IF($A900="","",IF($D900="V01",Cadrage!$C$34,IF($D900="V02",Cadrage!$D$34,Cadrage!$E$34)))</f>
        <v>0.015</v>
      </c>
      <c r="J900">
        <f>IF($A900="","",IF($D900="V01",Cadrage!$C$35,IF($D900="V02",Cadrage!$D$35,Cadrage!$E$35)))</f>
        <v>0.02</v>
      </c>
      <c r="K900">
        <f>IF($A900="","",IF($D900="V01",Cadrage!$C$36,IF($D900="V02",Cadrage!$D$36,Cadrage!$E$36)))</f>
        <v>0.03</v>
      </c>
      <c r="L900">
        <f>IF($A900="","",IF($D900="V01",Cadrage!$C$37,IF($D900="V02",Cadrage!$D$37,Cadrage!$E$37)))</f>
        <v>0.03</v>
      </c>
      <c r="M900">
        <f>IF($A900="","",IF($D900="V01",Cadrage!$C$38,IF($D900="V02",Cadrage!$D$38,Cadrage!$E$38)))</f>
        <v>-0.03</v>
      </c>
      <c r="N900">
        <f t="shared" si="1"/>
        <v>1.16083752922642</v>
      </c>
      <c r="O900">
        <f t="shared" si="2"/>
        <v>1.12601240334963</v>
      </c>
      <c r="P900">
        <f>IF($A900="","",IF($E900=1,$F900*$O900,PNL!G900))</f>
        <v>29412.5699878957</v>
      </c>
      <c r="T900">
        <f t="shared" si="3"/>
        <v>-29412.5699878957</v>
      </c>
    </row>
    <row r="901" ht="14.25" customHeight="1">
      <c r="A901" t="str">
        <f>IF(PNL!A901="","",PNL!A901)</f>
        <v>ISCOM_LIL</v>
      </c>
      <c r="B901" t="str">
        <f>IF(PNL!B901="","",PNL!B901)</f>
        <v>604</v>
      </c>
      <c r="C901" t="str">
        <f>IF(PNL!C901="","",PNL!C901)</f>
        <v>2027</v>
      </c>
      <c r="D901" t="str">
        <f>IF(PNL!D901="","",PNL!D901)</f>
        <v>V02</v>
      </c>
      <c r="E901">
        <f t="shared" si="0"/>
        <v>1</v>
      </c>
      <c r="F901">
        <f>IF($A901="","",IF($E901=1,_xlfn.SUMIFS(Comptabilité!$F$1:$F$1446,Comptabilité!$A$1:$A$1446,$A901,Comptabilité!$B$1:$B$1446,$B901,Comptabilité!$C$1:$C$1446,"2026"),0))</f>
        <v>54475</v>
      </c>
      <c r="G901">
        <f>IF($A901="","",IF($D901="V01",Cadrage!$C$23,IF($D901="V02",Cadrage!$D$23,Cadrage!$E$23)))</f>
        <v>0.15</v>
      </c>
      <c r="H901">
        <f>IF($A901="","",IF($D901="V01",Cadrage!$C$24,IF($D901="V02",Cadrage!$D$24,Cadrage!$E$24)))</f>
        <v>0.15</v>
      </c>
      <c r="I901">
        <f>IF($A901="","",IF($D901="V01",Cadrage!$C$34,IF($D901="V02",Cadrage!$D$34,Cadrage!$E$34)))</f>
        <v>0.015</v>
      </c>
      <c r="J901">
        <f>IF($A901="","",IF($D901="V01",Cadrage!$C$35,IF($D901="V02",Cadrage!$D$35,Cadrage!$E$35)))</f>
        <v>0.02</v>
      </c>
      <c r="K901">
        <f>IF($A901="","",IF($D901="V01",Cadrage!$C$36,IF($D901="V02",Cadrage!$D$36,Cadrage!$E$36)))</f>
        <v>0.03</v>
      </c>
      <c r="L901">
        <f>IF($A901="","",IF($D901="V01",Cadrage!$C$37,IF($D901="V02",Cadrage!$D$37,Cadrage!$E$37)))</f>
        <v>0.03</v>
      </c>
      <c r="M901">
        <f>IF($A901="","",IF($D901="V01",Cadrage!$C$38,IF($D901="V02",Cadrage!$D$38,Cadrage!$E$38)))</f>
        <v>-0.03</v>
      </c>
      <c r="N901">
        <f t="shared" si="1"/>
        <v>1.16083752922642</v>
      </c>
      <c r="O901">
        <f t="shared" si="2"/>
        <v>1.12601240334963</v>
      </c>
      <c r="P901">
        <f>IF($A901="","",IF($E901=1,$F901*$O901,PNL!G901))</f>
        <v>61339.5256724711</v>
      </c>
      <c r="T901">
        <f t="shared" si="3"/>
        <v>-61339.5256724711</v>
      </c>
    </row>
    <row r="902" ht="14.25" customHeight="1">
      <c r="A902" t="str">
        <f>IF(PNL!A902="","",PNL!A902)</f>
        <v>ISCOM_PAR</v>
      </c>
      <c r="B902" t="str">
        <f>IF(PNL!B902="","",PNL!B902)</f>
        <v>604</v>
      </c>
      <c r="C902" t="str">
        <f>IF(PNL!C902="","",PNL!C902)</f>
        <v>2027</v>
      </c>
      <c r="D902" t="str">
        <f>IF(PNL!D902="","",PNL!D902)</f>
        <v>V02</v>
      </c>
      <c r="E902">
        <f t="shared" si="0"/>
        <v>1</v>
      </c>
      <c r="F902">
        <f>IF($A902="","",IF($E902=1,_xlfn.SUMIFS(Comptabilité!$F$1:$F$1446,Comptabilité!$A$1:$A$1446,$A902,Comptabilité!$B$1:$B$1446,$B902,Comptabilité!$C$1:$C$1446,"2026"),0))</f>
        <v>79033</v>
      </c>
      <c r="G902">
        <f>IF($A902="","",IF($D902="V01",Cadrage!$C$23,IF($D902="V02",Cadrage!$D$23,Cadrage!$E$23)))</f>
        <v>0.15</v>
      </c>
      <c r="H902">
        <f>IF($A902="","",IF($D902="V01",Cadrage!$C$24,IF($D902="V02",Cadrage!$D$24,Cadrage!$E$24)))</f>
        <v>0.15</v>
      </c>
      <c r="I902">
        <f>IF($A902="","",IF($D902="V01",Cadrage!$C$34,IF($D902="V02",Cadrage!$D$34,Cadrage!$E$34)))</f>
        <v>0.015</v>
      </c>
      <c r="J902">
        <f>IF($A902="","",IF($D902="V01",Cadrage!$C$35,IF($D902="V02",Cadrage!$D$35,Cadrage!$E$35)))</f>
        <v>0.02</v>
      </c>
      <c r="K902">
        <f>IF($A902="","",IF($D902="V01",Cadrage!$C$36,IF($D902="V02",Cadrage!$D$36,Cadrage!$E$36)))</f>
        <v>0.03</v>
      </c>
      <c r="L902">
        <f>IF($A902="","",IF($D902="V01",Cadrage!$C$37,IF($D902="V02",Cadrage!$D$37,Cadrage!$E$37)))</f>
        <v>0.03</v>
      </c>
      <c r="M902">
        <f>IF($A902="","",IF($D902="V01",Cadrage!$C$38,IF($D902="V02",Cadrage!$D$38,Cadrage!$E$38)))</f>
        <v>-0.03</v>
      </c>
      <c r="N902">
        <f t="shared" si="1"/>
        <v>1.16083752922642</v>
      </c>
      <c r="O902">
        <f t="shared" si="2"/>
        <v>1.12601240334963</v>
      </c>
      <c r="P902">
        <f>IF($A902="","",IF($E902=1,$F902*$O902,PNL!G902))</f>
        <v>88992.1382739313</v>
      </c>
      <c r="T902">
        <f t="shared" si="3"/>
        <v>-88992.1382739313</v>
      </c>
    </row>
    <row r="903" ht="14.25" customHeight="1">
      <c r="A903" t="str">
        <f>IF(PNL!A903="","",PNL!A903)</f>
        <v>ISCOM_TLS</v>
      </c>
      <c r="B903" t="str">
        <f>IF(PNL!B903="","",PNL!B903)</f>
        <v>604</v>
      </c>
      <c r="C903" t="str">
        <f>IF(PNL!C903="","",PNL!C903)</f>
        <v>2027</v>
      </c>
      <c r="D903" t="str">
        <f>IF(PNL!D903="","",PNL!D903)</f>
        <v>V02</v>
      </c>
      <c r="E903">
        <f t="shared" si="0"/>
        <v>1</v>
      </c>
      <c r="F903">
        <f>IF($A903="","",IF($E903=1,_xlfn.SUMIFS(Comptabilité!$F$1:$F$1446,Comptabilité!$A$1:$A$1446,$A903,Comptabilité!$B$1:$B$1446,$B903,Comptabilité!$C$1:$C$1446,"2026"),0))</f>
        <v>51572</v>
      </c>
      <c r="G903">
        <f>IF($A903="","",IF($D903="V01",Cadrage!$C$23,IF($D903="V02",Cadrage!$D$23,Cadrage!$E$23)))</f>
        <v>0.15</v>
      </c>
      <c r="H903">
        <f>IF($A903="","",IF($D903="V01",Cadrage!$C$24,IF($D903="V02",Cadrage!$D$24,Cadrage!$E$24)))</f>
        <v>0.15</v>
      </c>
      <c r="I903">
        <f>IF($A903="","",IF($D903="V01",Cadrage!$C$34,IF($D903="V02",Cadrage!$D$34,Cadrage!$E$34)))</f>
        <v>0.015</v>
      </c>
      <c r="J903">
        <f>IF($A903="","",IF($D903="V01",Cadrage!$C$35,IF($D903="V02",Cadrage!$D$35,Cadrage!$E$35)))</f>
        <v>0.02</v>
      </c>
      <c r="K903">
        <f>IF($A903="","",IF($D903="V01",Cadrage!$C$36,IF($D903="V02",Cadrage!$D$36,Cadrage!$E$36)))</f>
        <v>0.03</v>
      </c>
      <c r="L903">
        <f>IF($A903="","",IF($D903="V01",Cadrage!$C$37,IF($D903="V02",Cadrage!$D$37,Cadrage!$E$37)))</f>
        <v>0.03</v>
      </c>
      <c r="M903">
        <f>IF($A903="","",IF($D903="V01",Cadrage!$C$38,IF($D903="V02",Cadrage!$D$38,Cadrage!$E$38)))</f>
        <v>-0.03</v>
      </c>
      <c r="N903">
        <f t="shared" si="1"/>
        <v>1.16083752922642</v>
      </c>
      <c r="O903">
        <f t="shared" si="2"/>
        <v>1.12601240334963</v>
      </c>
      <c r="P903">
        <f>IF($A903="","",IF($E903=1,$F903*$O903,PNL!G903))</f>
        <v>58070.7116655471</v>
      </c>
      <c r="T903">
        <f t="shared" si="3"/>
        <v>-58070.7116655471</v>
      </c>
    </row>
    <row r="904" ht="14.25" customHeight="1">
      <c r="A904" t="str">
        <f>IF(PNL!A904="","",PNL!A904)</f>
        <v>MBWAY_BOR</v>
      </c>
      <c r="B904" t="str">
        <f>IF(PNL!B904="","",PNL!B904)</f>
        <v>604</v>
      </c>
      <c r="C904" t="str">
        <f>IF(PNL!C904="","",PNL!C904)</f>
        <v>2027</v>
      </c>
      <c r="D904" t="str">
        <f>IF(PNL!D904="","",PNL!D904)</f>
        <v>V02</v>
      </c>
      <c r="E904">
        <f t="shared" si="0"/>
        <v>1</v>
      </c>
      <c r="F904">
        <f>IF($A904="","",IF($E904=1,_xlfn.SUMIFS(Comptabilité!$F$1:$F$1446,Comptabilité!$A$1:$A$1446,$A904,Comptabilité!$B$1:$B$1446,$B904,Comptabilité!$C$1:$C$1446,"2026"),0))</f>
        <v>55591</v>
      </c>
      <c r="G904">
        <f>IF($A904="","",IF($D904="V01",Cadrage!$C$23,IF($D904="V02",Cadrage!$D$23,Cadrage!$E$23)))</f>
        <v>0.15</v>
      </c>
      <c r="H904">
        <f>IF($A904="","",IF($D904="V01",Cadrage!$C$24,IF($D904="V02",Cadrage!$D$24,Cadrage!$E$24)))</f>
        <v>0.15</v>
      </c>
      <c r="I904">
        <f>IF($A904="","",IF($D904="V01",Cadrage!$C$34,IF($D904="V02",Cadrage!$D$34,Cadrage!$E$34)))</f>
        <v>0.015</v>
      </c>
      <c r="J904">
        <f>IF($A904="","",IF($D904="V01",Cadrage!$C$35,IF($D904="V02",Cadrage!$D$35,Cadrage!$E$35)))</f>
        <v>0.02</v>
      </c>
      <c r="K904">
        <f>IF($A904="","",IF($D904="V01",Cadrage!$C$36,IF($D904="V02",Cadrage!$D$36,Cadrage!$E$36)))</f>
        <v>0.03</v>
      </c>
      <c r="L904">
        <f>IF($A904="","",IF($D904="V01",Cadrage!$C$37,IF($D904="V02",Cadrage!$D$37,Cadrage!$E$37)))</f>
        <v>0.03</v>
      </c>
      <c r="M904">
        <f>IF($A904="","",IF($D904="V01",Cadrage!$C$38,IF($D904="V02",Cadrage!$D$38,Cadrage!$E$38)))</f>
        <v>-0.03</v>
      </c>
      <c r="N904">
        <f t="shared" si="1"/>
        <v>1.16083752922642</v>
      </c>
      <c r="O904">
        <f t="shared" si="2"/>
        <v>1.12601240334963</v>
      </c>
      <c r="P904">
        <f>IF($A904="","",IF($E904=1,$F904*$O904,PNL!G904))</f>
        <v>62596.1555146093</v>
      </c>
      <c r="T904">
        <f t="shared" si="3"/>
        <v>-62596.1555146093</v>
      </c>
    </row>
    <row r="905" ht="14.25" customHeight="1">
      <c r="A905" t="str">
        <f>IF(PNL!A905="","",PNL!A905)</f>
        <v>MBWAY_LYO</v>
      </c>
      <c r="B905" t="str">
        <f>IF(PNL!B905="","",PNL!B905)</f>
        <v>604</v>
      </c>
      <c r="C905" t="str">
        <f>IF(PNL!C905="","",PNL!C905)</f>
        <v>2027</v>
      </c>
      <c r="D905" t="str">
        <f>IF(PNL!D905="","",PNL!D905)</f>
        <v>V02</v>
      </c>
      <c r="E905">
        <f t="shared" si="0"/>
        <v>1</v>
      </c>
      <c r="F905">
        <f>IF($A905="","",IF($E905=1,_xlfn.SUMIFS(Comptabilité!$F$1:$F$1446,Comptabilité!$A$1:$A$1446,$A905,Comptabilité!$B$1:$B$1446,$B905,Comptabilité!$C$1:$C$1446,"2026"),0))</f>
        <v>72335</v>
      </c>
      <c r="G905">
        <f>IF($A905="","",IF($D905="V01",Cadrage!$C$23,IF($D905="V02",Cadrage!$D$23,Cadrage!$E$23)))</f>
        <v>0.15</v>
      </c>
      <c r="H905">
        <f>IF($A905="","",IF($D905="V01",Cadrage!$C$24,IF($D905="V02",Cadrage!$D$24,Cadrage!$E$24)))</f>
        <v>0.15</v>
      </c>
      <c r="I905">
        <f>IF($A905="","",IF($D905="V01",Cadrage!$C$34,IF($D905="V02",Cadrage!$D$34,Cadrage!$E$34)))</f>
        <v>0.015</v>
      </c>
      <c r="J905">
        <f>IF($A905="","",IF($D905="V01",Cadrage!$C$35,IF($D905="V02",Cadrage!$D$35,Cadrage!$E$35)))</f>
        <v>0.02</v>
      </c>
      <c r="K905">
        <f>IF($A905="","",IF($D905="V01",Cadrage!$C$36,IF($D905="V02",Cadrage!$D$36,Cadrage!$E$36)))</f>
        <v>0.03</v>
      </c>
      <c r="L905">
        <f>IF($A905="","",IF($D905="V01",Cadrage!$C$37,IF($D905="V02",Cadrage!$D$37,Cadrage!$E$37)))</f>
        <v>0.03</v>
      </c>
      <c r="M905">
        <f>IF($A905="","",IF($D905="V01",Cadrage!$C$38,IF($D905="V02",Cadrage!$D$38,Cadrage!$E$38)))</f>
        <v>-0.03</v>
      </c>
      <c r="N905">
        <f t="shared" si="1"/>
        <v>1.16083752922642</v>
      </c>
      <c r="O905">
        <f t="shared" si="2"/>
        <v>1.12601240334963</v>
      </c>
      <c r="P905">
        <f>IF($A905="","",IF($E905=1,$F905*$O905,PNL!G905))</f>
        <v>81450.1071962955</v>
      </c>
      <c r="T905">
        <f t="shared" si="3"/>
        <v>-81450.1071962955</v>
      </c>
    </row>
    <row r="906" ht="14.25" customHeight="1">
      <c r="A906" t="str">
        <f>IF(PNL!A906="","",PNL!A906)</f>
        <v>MBWAY_NAN</v>
      </c>
      <c r="B906" t="str">
        <f>IF(PNL!B906="","",PNL!B906)</f>
        <v>604</v>
      </c>
      <c r="C906" t="str">
        <f>IF(PNL!C906="","",PNL!C906)</f>
        <v>2027</v>
      </c>
      <c r="D906" t="str">
        <f>IF(PNL!D906="","",PNL!D906)</f>
        <v>V02</v>
      </c>
      <c r="E906">
        <f t="shared" si="0"/>
        <v>1</v>
      </c>
      <c r="F906">
        <f>IF($A906="","",IF($E906=1,_xlfn.SUMIFS(Comptabilité!$F$1:$F$1446,Comptabilité!$A$1:$A$1446,$A906,Comptabilité!$B$1:$B$1446,$B906,Comptabilité!$C$1:$C$1446,"2026"),0))</f>
        <v>65638</v>
      </c>
      <c r="G906">
        <f>IF($A906="","",IF($D906="V01",Cadrage!$C$23,IF($D906="V02",Cadrage!$D$23,Cadrage!$E$23)))</f>
        <v>0.15</v>
      </c>
      <c r="H906">
        <f>IF($A906="","",IF($D906="V01",Cadrage!$C$24,IF($D906="V02",Cadrage!$D$24,Cadrage!$E$24)))</f>
        <v>0.15</v>
      </c>
      <c r="I906">
        <f>IF($A906="","",IF($D906="V01",Cadrage!$C$34,IF($D906="V02",Cadrage!$D$34,Cadrage!$E$34)))</f>
        <v>0.015</v>
      </c>
      <c r="J906">
        <f>IF($A906="","",IF($D906="V01",Cadrage!$C$35,IF($D906="V02",Cadrage!$D$35,Cadrage!$E$35)))</f>
        <v>0.02</v>
      </c>
      <c r="K906">
        <f>IF($A906="","",IF($D906="V01",Cadrage!$C$36,IF($D906="V02",Cadrage!$D$36,Cadrage!$E$36)))</f>
        <v>0.03</v>
      </c>
      <c r="L906">
        <f>IF($A906="","",IF($D906="V01",Cadrage!$C$37,IF($D906="V02",Cadrage!$D$37,Cadrage!$E$37)))</f>
        <v>0.03</v>
      </c>
      <c r="M906">
        <f>IF($A906="","",IF($D906="V01",Cadrage!$C$38,IF($D906="V02",Cadrage!$D$38,Cadrage!$E$38)))</f>
        <v>-0.03</v>
      </c>
      <c r="N906">
        <f t="shared" si="1"/>
        <v>1.16083752922642</v>
      </c>
      <c r="O906">
        <f t="shared" si="2"/>
        <v>1.12601240334963</v>
      </c>
      <c r="P906">
        <f>IF($A906="","",IF($E906=1,$F906*$O906,PNL!G906))</f>
        <v>73909.202131063</v>
      </c>
      <c r="T906">
        <f t="shared" si="3"/>
        <v>-73909.202131063</v>
      </c>
    </row>
    <row r="907" ht="14.25" customHeight="1">
      <c r="A907" t="str">
        <f>IF(PNL!A907="","",PNL!A907)</f>
        <v>MBWAY_PAR</v>
      </c>
      <c r="B907" t="str">
        <f>IF(PNL!B907="","",PNL!B907)</f>
        <v>604</v>
      </c>
      <c r="C907" t="str">
        <f>IF(PNL!C907="","",PNL!C907)</f>
        <v>2027</v>
      </c>
      <c r="D907" t="str">
        <f>IF(PNL!D907="","",PNL!D907)</f>
        <v>V02</v>
      </c>
      <c r="E907">
        <f t="shared" si="0"/>
        <v>1</v>
      </c>
      <c r="F907">
        <f>IF($A907="","",IF($E907=1,_xlfn.SUMIFS(Comptabilité!$F$1:$F$1446,Comptabilité!$A$1:$A$1446,$A907,Comptabilité!$B$1:$B$1446,$B907,Comptabilité!$C$1:$C$1446,"2026"),0))</f>
        <v>85284</v>
      </c>
      <c r="G907">
        <f>IF($A907="","",IF($D907="V01",Cadrage!$C$23,IF($D907="V02",Cadrage!$D$23,Cadrage!$E$23)))</f>
        <v>0.15</v>
      </c>
      <c r="H907">
        <f>IF($A907="","",IF($D907="V01",Cadrage!$C$24,IF($D907="V02",Cadrage!$D$24,Cadrage!$E$24)))</f>
        <v>0.15</v>
      </c>
      <c r="I907">
        <f>IF($A907="","",IF($D907="V01",Cadrage!$C$34,IF($D907="V02",Cadrage!$D$34,Cadrage!$E$34)))</f>
        <v>0.015</v>
      </c>
      <c r="J907">
        <f>IF($A907="","",IF($D907="V01",Cadrage!$C$35,IF($D907="V02",Cadrage!$D$35,Cadrage!$E$35)))</f>
        <v>0.02</v>
      </c>
      <c r="K907">
        <f>IF($A907="","",IF($D907="V01",Cadrage!$C$36,IF($D907="V02",Cadrage!$D$36,Cadrage!$E$36)))</f>
        <v>0.03</v>
      </c>
      <c r="L907">
        <f>IF($A907="","",IF($D907="V01",Cadrage!$C$37,IF($D907="V02",Cadrage!$D$37,Cadrage!$E$37)))</f>
        <v>0.03</v>
      </c>
      <c r="M907">
        <f>IF($A907="","",IF($D907="V01",Cadrage!$C$38,IF($D907="V02",Cadrage!$D$38,Cadrage!$E$38)))</f>
        <v>-0.03</v>
      </c>
      <c r="N907">
        <f t="shared" si="1"/>
        <v>1.16083752922642</v>
      </c>
      <c r="O907">
        <f t="shared" si="2"/>
        <v>1.12601240334963</v>
      </c>
      <c r="P907">
        <f>IF($A907="","",IF($E907=1,$F907*$O907,PNL!G907))</f>
        <v>96030.8418072698</v>
      </c>
      <c r="T907">
        <f t="shared" si="3"/>
        <v>-96030.8418072698</v>
      </c>
    </row>
    <row r="908" ht="14.25" customHeight="1">
      <c r="A908" t="str">
        <f>IF(PNL!A908="","",PNL!A908)</f>
        <v>PIGIER_BOR</v>
      </c>
      <c r="B908" t="str">
        <f>IF(PNL!B908="","",PNL!B908)</f>
        <v>604</v>
      </c>
      <c r="C908" t="str">
        <f>IF(PNL!C908="","",PNL!C908)</f>
        <v>2027</v>
      </c>
      <c r="D908" t="str">
        <f>IF(PNL!D908="","",PNL!D908)</f>
        <v>V02</v>
      </c>
      <c r="E908">
        <f t="shared" si="0"/>
        <v>1</v>
      </c>
      <c r="F908">
        <f>IF($A908="","",IF($E908=1,_xlfn.SUMIFS(Comptabilité!$F$1:$F$1446,Comptabilité!$A$1:$A$1446,$A908,Comptabilité!$B$1:$B$1446,$B908,Comptabilité!$C$1:$C$1446,"2026"),0))</f>
        <v>31703</v>
      </c>
      <c r="G908">
        <f>IF($A908="","",IF($D908="V01",Cadrage!$C$23,IF($D908="V02",Cadrage!$D$23,Cadrage!$E$23)))</f>
        <v>0.15</v>
      </c>
      <c r="H908">
        <f>IF($A908="","",IF($D908="V01",Cadrage!$C$24,IF($D908="V02",Cadrage!$D$24,Cadrage!$E$24)))</f>
        <v>0.15</v>
      </c>
      <c r="I908">
        <f>IF($A908="","",IF($D908="V01",Cadrage!$C$34,IF($D908="V02",Cadrage!$D$34,Cadrage!$E$34)))</f>
        <v>0.015</v>
      </c>
      <c r="J908">
        <f>IF($A908="","",IF($D908="V01",Cadrage!$C$35,IF($D908="V02",Cadrage!$D$35,Cadrage!$E$35)))</f>
        <v>0.02</v>
      </c>
      <c r="K908">
        <f>IF($A908="","",IF($D908="V01",Cadrage!$C$36,IF($D908="V02",Cadrage!$D$36,Cadrage!$E$36)))</f>
        <v>0.03</v>
      </c>
      <c r="L908">
        <f>IF($A908="","",IF($D908="V01",Cadrage!$C$37,IF($D908="V02",Cadrage!$D$37,Cadrage!$E$37)))</f>
        <v>0.03</v>
      </c>
      <c r="M908">
        <f>IF($A908="","",IF($D908="V01",Cadrage!$C$38,IF($D908="V02",Cadrage!$D$38,Cadrage!$E$38)))</f>
        <v>-0.03</v>
      </c>
      <c r="N908">
        <f t="shared" si="1"/>
        <v>1.16083752922642</v>
      </c>
      <c r="O908">
        <f t="shared" si="2"/>
        <v>1.12601240334963</v>
      </c>
      <c r="P908">
        <f>IF($A908="","",IF($E908=1,$F908*$O908,PNL!G908))</f>
        <v>35697.9712233933</v>
      </c>
      <c r="T908">
        <f t="shared" si="3"/>
        <v>-35697.9712233933</v>
      </c>
    </row>
    <row r="909" ht="14.25" customHeight="1">
      <c r="A909" t="str">
        <f>IF(PNL!A909="","",PNL!A909)</f>
        <v>PIGIER_LYO</v>
      </c>
      <c r="B909" t="str">
        <f>IF(PNL!B909="","",PNL!B909)</f>
        <v>604</v>
      </c>
      <c r="C909" t="str">
        <f>IF(PNL!C909="","",PNL!C909)</f>
        <v>2027</v>
      </c>
      <c r="D909" t="str">
        <f>IF(PNL!D909="","",PNL!D909)</f>
        <v>V02</v>
      </c>
      <c r="E909">
        <f t="shared" si="0"/>
        <v>1</v>
      </c>
      <c r="F909">
        <f>IF($A909="","",IF($E909=1,_xlfn.SUMIFS(Comptabilité!$F$1:$F$1446,Comptabilité!$A$1:$A$1446,$A909,Comptabilité!$B$1:$B$1446,$B909,Comptabilité!$C$1:$C$1446,"2026"),0))</f>
        <v>40633</v>
      </c>
      <c r="G909">
        <f>IF($A909="","",IF($D909="V01",Cadrage!$C$23,IF($D909="V02",Cadrage!$D$23,Cadrage!$E$23)))</f>
        <v>0.15</v>
      </c>
      <c r="H909">
        <f>IF($A909="","",IF($D909="V01",Cadrage!$C$24,IF($D909="V02",Cadrage!$D$24,Cadrage!$E$24)))</f>
        <v>0.15</v>
      </c>
      <c r="I909">
        <f>IF($A909="","",IF($D909="V01",Cadrage!$C$34,IF($D909="V02",Cadrage!$D$34,Cadrage!$E$34)))</f>
        <v>0.015</v>
      </c>
      <c r="J909">
        <f>IF($A909="","",IF($D909="V01",Cadrage!$C$35,IF($D909="V02",Cadrage!$D$35,Cadrage!$E$35)))</f>
        <v>0.02</v>
      </c>
      <c r="K909">
        <f>IF($A909="","",IF($D909="V01",Cadrage!$C$36,IF($D909="V02",Cadrage!$D$36,Cadrage!$E$36)))</f>
        <v>0.03</v>
      </c>
      <c r="L909">
        <f>IF($A909="","",IF($D909="V01",Cadrage!$C$37,IF($D909="V02",Cadrage!$D$37,Cadrage!$E$37)))</f>
        <v>0.03</v>
      </c>
      <c r="M909">
        <f>IF($A909="","",IF($D909="V01",Cadrage!$C$38,IF($D909="V02",Cadrage!$D$38,Cadrage!$E$38)))</f>
        <v>-0.03</v>
      </c>
      <c r="N909">
        <f t="shared" si="1"/>
        <v>1.16083752922642</v>
      </c>
      <c r="O909">
        <f t="shared" si="2"/>
        <v>1.12601240334963</v>
      </c>
      <c r="P909">
        <f>IF($A909="","",IF($E909=1,$F909*$O909,PNL!G909))</f>
        <v>45753.2619853055</v>
      </c>
      <c r="T909">
        <f t="shared" si="3"/>
        <v>-45753.2619853055</v>
      </c>
    </row>
    <row r="910" ht="14.25" customHeight="1">
      <c r="A910" t="str">
        <f>IF(PNL!A910="","",PNL!A910)</f>
        <v>TUNON_LYO</v>
      </c>
      <c r="B910" t="str">
        <f>IF(PNL!B910="","",PNL!B910)</f>
        <v>604</v>
      </c>
      <c r="C910" t="str">
        <f>IF(PNL!C910="","",PNL!C910)</f>
        <v>2027</v>
      </c>
      <c r="D910" t="str">
        <f>IF(PNL!D910="","",PNL!D910)</f>
        <v>V02</v>
      </c>
      <c r="E910">
        <f t="shared" si="0"/>
        <v>1</v>
      </c>
      <c r="F910">
        <f>IF($A910="","",IF($E910=1,_xlfn.SUMIFS(Comptabilité!$F$1:$F$1446,Comptabilité!$A$1:$A$1446,$A910,Comptabilité!$B$1:$B$1446,$B910,Comptabilité!$C$1:$C$1446,"2026"),0))</f>
        <v>26121</v>
      </c>
      <c r="G910">
        <f>IF($A910="","",IF($D910="V01",Cadrage!$C$23,IF($D910="V02",Cadrage!$D$23,Cadrage!$E$23)))</f>
        <v>0.15</v>
      </c>
      <c r="H910">
        <f>IF($A910="","",IF($D910="V01",Cadrage!$C$24,IF($D910="V02",Cadrage!$D$24,Cadrage!$E$24)))</f>
        <v>0.15</v>
      </c>
      <c r="I910">
        <f>IF($A910="","",IF($D910="V01",Cadrage!$C$34,IF($D910="V02",Cadrage!$D$34,Cadrage!$E$34)))</f>
        <v>0.015</v>
      </c>
      <c r="J910">
        <f>IF($A910="","",IF($D910="V01",Cadrage!$C$35,IF($D910="V02",Cadrage!$D$35,Cadrage!$E$35)))</f>
        <v>0.02</v>
      </c>
      <c r="K910">
        <f>IF($A910="","",IF($D910="V01",Cadrage!$C$36,IF($D910="V02",Cadrage!$D$36,Cadrage!$E$36)))</f>
        <v>0.03</v>
      </c>
      <c r="L910">
        <f>IF($A910="","",IF($D910="V01",Cadrage!$C$37,IF($D910="V02",Cadrage!$D$37,Cadrage!$E$37)))</f>
        <v>0.03</v>
      </c>
      <c r="M910">
        <f>IF($A910="","",IF($D910="V01",Cadrage!$C$38,IF($D910="V02",Cadrage!$D$38,Cadrage!$E$38)))</f>
        <v>-0.03</v>
      </c>
      <c r="N910">
        <f t="shared" si="1"/>
        <v>1.16083752922642</v>
      </c>
      <c r="O910">
        <f t="shared" si="2"/>
        <v>1.12601240334963</v>
      </c>
      <c r="P910">
        <f>IF($A910="","",IF($E910=1,$F910*$O910,PNL!G910))</f>
        <v>29412.5699878957</v>
      </c>
      <c r="T910">
        <f t="shared" si="3"/>
        <v>-29412.5699878957</v>
      </c>
    </row>
    <row r="911" ht="14.25" customHeight="1">
      <c r="A911" t="str">
        <f>IF(PNL!A911="","",PNL!A911)</f>
        <v>TUNON_PAR</v>
      </c>
      <c r="B911" t="str">
        <f>IF(PNL!B911="","",PNL!B911)</f>
        <v>604</v>
      </c>
      <c r="C911" t="str">
        <f>IF(PNL!C911="","",PNL!C911)</f>
        <v>2027</v>
      </c>
      <c r="D911" t="str">
        <f>IF(PNL!D911="","",PNL!D911)</f>
        <v>V02</v>
      </c>
      <c r="E911">
        <f t="shared" si="0"/>
        <v>1</v>
      </c>
      <c r="F911">
        <f>IF($A911="","",IF($E911=1,_xlfn.SUMIFS(Comptabilité!$F$1:$F$1446,Comptabilité!$A$1:$A$1446,$A911,Comptabilité!$B$1:$B$1446,$B911,Comptabilité!$C$1:$C$1446,"2026"),0))</f>
        <v>30809</v>
      </c>
      <c r="G911">
        <f>IF($A911="","",IF($D911="V01",Cadrage!$C$23,IF($D911="V02",Cadrage!$D$23,Cadrage!$E$23)))</f>
        <v>0.15</v>
      </c>
      <c r="H911">
        <f>IF($A911="","",IF($D911="V01",Cadrage!$C$24,IF($D911="V02",Cadrage!$D$24,Cadrage!$E$24)))</f>
        <v>0.15</v>
      </c>
      <c r="I911">
        <f>IF($A911="","",IF($D911="V01",Cadrage!$C$34,IF($D911="V02",Cadrage!$D$34,Cadrage!$E$34)))</f>
        <v>0.015</v>
      </c>
      <c r="J911">
        <f>IF($A911="","",IF($D911="V01",Cadrage!$C$35,IF($D911="V02",Cadrage!$D$35,Cadrage!$E$35)))</f>
        <v>0.02</v>
      </c>
      <c r="K911">
        <f>IF($A911="","",IF($D911="V01",Cadrage!$C$36,IF($D911="V02",Cadrage!$D$36,Cadrage!$E$36)))</f>
        <v>0.03</v>
      </c>
      <c r="L911">
        <f>IF($A911="","",IF($D911="V01",Cadrage!$C$37,IF($D911="V02",Cadrage!$D$37,Cadrage!$E$37)))</f>
        <v>0.03</v>
      </c>
      <c r="M911">
        <f>IF($A911="","",IF($D911="V01",Cadrage!$C$38,IF($D911="V02",Cadrage!$D$38,Cadrage!$E$38)))</f>
        <v>-0.03</v>
      </c>
      <c r="N911">
        <f t="shared" si="1"/>
        <v>1.16083752922642</v>
      </c>
      <c r="O911">
        <f t="shared" si="2"/>
        <v>1.12601240334963</v>
      </c>
      <c r="P911">
        <f>IF($A911="","",IF($E911=1,$F911*$O911,PNL!G911))</f>
        <v>34691.3161347987</v>
      </c>
      <c r="T911">
        <f t="shared" si="3"/>
        <v>-34691.3161347987</v>
      </c>
    </row>
    <row r="912" ht="14.25" customHeight="1">
      <c r="A912" t="str">
        <f>IF(PNL!A912="","",PNL!A912)</f>
        <v>IPAC_MTP</v>
      </c>
      <c r="B912" t="str">
        <f>IF(PNL!B912="","",PNL!B912)</f>
        <v>6063</v>
      </c>
      <c r="C912" t="str">
        <f>IF(PNL!C912="","",PNL!C912)</f>
        <v>2027</v>
      </c>
      <c r="D912" t="str">
        <f>IF(PNL!D912="","",PNL!D912)</f>
        <v>V02</v>
      </c>
      <c r="E912">
        <f t="shared" si="0"/>
        <v>1</v>
      </c>
      <c r="F912">
        <f>IF($A912="","",IF($E912=1,_xlfn.SUMIFS(Comptabilité!$F$1:$F$1446,Comptabilité!$A$1:$A$1446,$A912,Comptabilité!$B$1:$B$1446,$B912,Comptabilité!$C$1:$C$1446,"2026"),0))</f>
        <v>17414</v>
      </c>
      <c r="G912">
        <f>IF($A912="","",IF($D912="V01",Cadrage!$C$23,IF($D912="V02",Cadrage!$D$23,Cadrage!$E$23)))</f>
        <v>0.15</v>
      </c>
      <c r="H912">
        <f>IF($A912="","",IF($D912="V01",Cadrage!$C$24,IF($D912="V02",Cadrage!$D$24,Cadrage!$E$24)))</f>
        <v>0.15</v>
      </c>
      <c r="I912">
        <f>IF($A912="","",IF($D912="V01",Cadrage!$C$34,IF($D912="V02",Cadrage!$D$34,Cadrage!$E$34)))</f>
        <v>0.015</v>
      </c>
      <c r="J912">
        <f>IF($A912="","",IF($D912="V01",Cadrage!$C$35,IF($D912="V02",Cadrage!$D$35,Cadrage!$E$35)))</f>
        <v>0.02</v>
      </c>
      <c r="K912">
        <f>IF($A912="","",IF($D912="V01",Cadrage!$C$36,IF($D912="V02",Cadrage!$D$36,Cadrage!$E$36)))</f>
        <v>0.03</v>
      </c>
      <c r="L912">
        <f>IF($A912="","",IF($D912="V01",Cadrage!$C$37,IF($D912="V02",Cadrage!$D$37,Cadrage!$E$37)))</f>
        <v>0.03</v>
      </c>
      <c r="M912">
        <f>IF($A912="","",IF($D912="V01",Cadrage!$C$38,IF($D912="V02",Cadrage!$D$38,Cadrage!$E$38)))</f>
        <v>-0.03</v>
      </c>
      <c r="N912">
        <f t="shared" si="1"/>
        <v>1.16083752922642</v>
      </c>
      <c r="O912">
        <f t="shared" si="2"/>
        <v>1.12601240334963</v>
      </c>
      <c r="P912">
        <f>IF($A912="","",IF($E912=1,$F912*$O912,PNL!G912))</f>
        <v>19608.3799919305</v>
      </c>
      <c r="T912">
        <f t="shared" si="3"/>
        <v>-19608.3799919305</v>
      </c>
    </row>
    <row r="913" ht="14.25" customHeight="1">
      <c r="A913" t="str">
        <f>IF(PNL!A913="","",PNL!A913)</f>
        <v>IPAC_NAN</v>
      </c>
      <c r="B913" t="str">
        <f>IF(PNL!B913="","",PNL!B913)</f>
        <v>6063</v>
      </c>
      <c r="C913" t="str">
        <f>IF(PNL!C913="","",PNL!C913)</f>
        <v>2027</v>
      </c>
      <c r="D913" t="str">
        <f>IF(PNL!D913="","",PNL!D913)</f>
        <v>V02</v>
      </c>
      <c r="E913">
        <f t="shared" si="0"/>
        <v>1</v>
      </c>
      <c r="F913">
        <f>IF($A913="","",IF($E913=1,_xlfn.SUMIFS(Comptabilité!$F$1:$F$1446,Comptabilité!$A$1:$A$1446,$A913,Comptabilité!$B$1:$B$1446,$B913,Comptabilité!$C$1:$C$1446,"2026"),0))</f>
        <v>21582</v>
      </c>
      <c r="G913">
        <f>IF($A913="","",IF($D913="V01",Cadrage!$C$23,IF($D913="V02",Cadrage!$D$23,Cadrage!$E$23)))</f>
        <v>0.15</v>
      </c>
      <c r="H913">
        <f>IF($A913="","",IF($D913="V01",Cadrage!$C$24,IF($D913="V02",Cadrage!$D$24,Cadrage!$E$24)))</f>
        <v>0.15</v>
      </c>
      <c r="I913">
        <f>IF($A913="","",IF($D913="V01",Cadrage!$C$34,IF($D913="V02",Cadrage!$D$34,Cadrage!$E$34)))</f>
        <v>0.015</v>
      </c>
      <c r="J913">
        <f>IF($A913="","",IF($D913="V01",Cadrage!$C$35,IF($D913="V02",Cadrage!$D$35,Cadrage!$E$35)))</f>
        <v>0.02</v>
      </c>
      <c r="K913">
        <f>IF($A913="","",IF($D913="V01",Cadrage!$C$36,IF($D913="V02",Cadrage!$D$36,Cadrage!$E$36)))</f>
        <v>0.03</v>
      </c>
      <c r="L913">
        <f>IF($A913="","",IF($D913="V01",Cadrage!$C$37,IF($D913="V02",Cadrage!$D$37,Cadrage!$E$37)))</f>
        <v>0.03</v>
      </c>
      <c r="M913">
        <f>IF($A913="","",IF($D913="V01",Cadrage!$C$38,IF($D913="V02",Cadrage!$D$38,Cadrage!$E$38)))</f>
        <v>-0.03</v>
      </c>
      <c r="N913">
        <f t="shared" si="1"/>
        <v>1.16083752922642</v>
      </c>
      <c r="O913">
        <f t="shared" si="2"/>
        <v>1.12601240334963</v>
      </c>
      <c r="P913">
        <f>IF($A913="","",IF($E913=1,$F913*$O913,PNL!G913))</f>
        <v>24301.5996890917</v>
      </c>
      <c r="T913">
        <f t="shared" si="3"/>
        <v>-24301.5996890917</v>
      </c>
    </row>
    <row r="914" ht="14.25" customHeight="1">
      <c r="A914" t="str">
        <f>IF(PNL!A914="","",PNL!A914)</f>
        <v>IPAC_REN</v>
      </c>
      <c r="B914" t="str">
        <f>IF(PNL!B914="","",PNL!B914)</f>
        <v>6063</v>
      </c>
      <c r="C914" t="str">
        <f>IF(PNL!C914="","",PNL!C914)</f>
        <v>2027</v>
      </c>
      <c r="D914" t="str">
        <f>IF(PNL!D914="","",PNL!D914)</f>
        <v>V02</v>
      </c>
      <c r="E914">
        <f t="shared" si="0"/>
        <v>1</v>
      </c>
      <c r="F914">
        <f>IF($A914="","",IF($E914=1,_xlfn.SUMIFS(Comptabilité!$F$1:$F$1446,Comptabilité!$A$1:$A$1446,$A914,Comptabilité!$B$1:$B$1446,$B914,Comptabilité!$C$1:$C$1446,"2026"),0))</f>
        <v>17414</v>
      </c>
      <c r="G914">
        <f>IF($A914="","",IF($D914="V01",Cadrage!$C$23,IF($D914="V02",Cadrage!$D$23,Cadrage!$E$23)))</f>
        <v>0.15</v>
      </c>
      <c r="H914">
        <f>IF($A914="","",IF($D914="V01",Cadrage!$C$24,IF($D914="V02",Cadrage!$D$24,Cadrage!$E$24)))</f>
        <v>0.15</v>
      </c>
      <c r="I914">
        <f>IF($A914="","",IF($D914="V01",Cadrage!$C$34,IF($D914="V02",Cadrage!$D$34,Cadrage!$E$34)))</f>
        <v>0.015</v>
      </c>
      <c r="J914">
        <f>IF($A914="","",IF($D914="V01",Cadrage!$C$35,IF($D914="V02",Cadrage!$D$35,Cadrage!$E$35)))</f>
        <v>0.02</v>
      </c>
      <c r="K914">
        <f>IF($A914="","",IF($D914="V01",Cadrage!$C$36,IF($D914="V02",Cadrage!$D$36,Cadrage!$E$36)))</f>
        <v>0.03</v>
      </c>
      <c r="L914">
        <f>IF($A914="","",IF($D914="V01",Cadrage!$C$37,IF($D914="V02",Cadrage!$D$37,Cadrage!$E$37)))</f>
        <v>0.03</v>
      </c>
      <c r="M914">
        <f>IF($A914="","",IF($D914="V01",Cadrage!$C$38,IF($D914="V02",Cadrage!$D$38,Cadrage!$E$38)))</f>
        <v>-0.03</v>
      </c>
      <c r="N914">
        <f t="shared" si="1"/>
        <v>1.16083752922642</v>
      </c>
      <c r="O914">
        <f t="shared" si="2"/>
        <v>1.12601240334963</v>
      </c>
      <c r="P914">
        <f>IF($A914="","",IF($E914=1,$F914*$O914,PNL!G914))</f>
        <v>19608.3799919305</v>
      </c>
      <c r="T914">
        <f t="shared" si="3"/>
        <v>-19608.3799919305</v>
      </c>
    </row>
    <row r="915" ht="14.25" customHeight="1">
      <c r="A915" t="str">
        <f>IF(PNL!A915="","",PNL!A915)</f>
        <v>ISCOM_LIL</v>
      </c>
      <c r="B915" t="str">
        <f>IF(PNL!B915="","",PNL!B915)</f>
        <v>6063</v>
      </c>
      <c r="C915" t="str">
        <f>IF(PNL!C915="","",PNL!C915)</f>
        <v>2027</v>
      </c>
      <c r="D915" t="str">
        <f>IF(PNL!D915="","",PNL!D915)</f>
        <v>V02</v>
      </c>
      <c r="E915">
        <f t="shared" si="0"/>
        <v>1</v>
      </c>
      <c r="F915">
        <f>IF($A915="","",IF($E915=1,_xlfn.SUMIFS(Comptabilité!$F$1:$F$1446,Comptabilité!$A$1:$A$1446,$A915,Comptabilité!$B$1:$B$1446,$B915,Comptabilité!$C$1:$C$1446,"2026"),0))</f>
        <v>36316</v>
      </c>
      <c r="G915">
        <f>IF($A915="","",IF($D915="V01",Cadrage!$C$23,IF($D915="V02",Cadrage!$D$23,Cadrage!$E$23)))</f>
        <v>0.15</v>
      </c>
      <c r="H915">
        <f>IF($A915="","",IF($D915="V01",Cadrage!$C$24,IF($D915="V02",Cadrage!$D$24,Cadrage!$E$24)))</f>
        <v>0.15</v>
      </c>
      <c r="I915">
        <f>IF($A915="","",IF($D915="V01",Cadrage!$C$34,IF($D915="V02",Cadrage!$D$34,Cadrage!$E$34)))</f>
        <v>0.015</v>
      </c>
      <c r="J915">
        <f>IF($A915="","",IF($D915="V01",Cadrage!$C$35,IF($D915="V02",Cadrage!$D$35,Cadrage!$E$35)))</f>
        <v>0.02</v>
      </c>
      <c r="K915">
        <f>IF($A915="","",IF($D915="V01",Cadrage!$C$36,IF($D915="V02",Cadrage!$D$36,Cadrage!$E$36)))</f>
        <v>0.03</v>
      </c>
      <c r="L915">
        <f>IF($A915="","",IF($D915="V01",Cadrage!$C$37,IF($D915="V02",Cadrage!$D$37,Cadrage!$E$37)))</f>
        <v>0.03</v>
      </c>
      <c r="M915">
        <f>IF($A915="","",IF($D915="V01",Cadrage!$C$38,IF($D915="V02",Cadrage!$D$38,Cadrage!$E$38)))</f>
        <v>-0.03</v>
      </c>
      <c r="N915">
        <f t="shared" si="1"/>
        <v>1.16083752922642</v>
      </c>
      <c r="O915">
        <f t="shared" si="2"/>
        <v>1.12601240334963</v>
      </c>
      <c r="P915">
        <f>IF($A915="","",IF($E915=1,$F915*$O915,PNL!G915))</f>
        <v>40892.2664400452</v>
      </c>
      <c r="T915">
        <f t="shared" si="3"/>
        <v>-40892.2664400452</v>
      </c>
    </row>
    <row r="916" ht="14.25" customHeight="1">
      <c r="A916" t="str">
        <f>IF(PNL!A916="","",PNL!A916)</f>
        <v>ISCOM_PAR</v>
      </c>
      <c r="B916" t="str">
        <f>IF(PNL!B916="","",PNL!B916)</f>
        <v>6063</v>
      </c>
      <c r="C916" t="str">
        <f>IF(PNL!C916="","",PNL!C916)</f>
        <v>2027</v>
      </c>
      <c r="D916" t="str">
        <f>IF(PNL!D916="","",PNL!D916)</f>
        <v>V02</v>
      </c>
      <c r="E916">
        <f t="shared" si="0"/>
        <v>1</v>
      </c>
      <c r="F916">
        <f>IF($A916="","",IF($E916=1,_xlfn.SUMIFS(Comptabilité!$F$1:$F$1446,Comptabilité!$A$1:$A$1446,$A916,Comptabilité!$B$1:$B$1446,$B916,Comptabilité!$C$1:$C$1446,"2026"),0))</f>
        <v>52689</v>
      </c>
      <c r="G916">
        <f>IF($A916="","",IF($D916="V01",Cadrage!$C$23,IF($D916="V02",Cadrage!$D$23,Cadrage!$E$23)))</f>
        <v>0.15</v>
      </c>
      <c r="H916">
        <f>IF($A916="","",IF($D916="V01",Cadrage!$C$24,IF($D916="V02",Cadrage!$D$24,Cadrage!$E$24)))</f>
        <v>0.15</v>
      </c>
      <c r="I916">
        <f>IF($A916="","",IF($D916="V01",Cadrage!$C$34,IF($D916="V02",Cadrage!$D$34,Cadrage!$E$34)))</f>
        <v>0.015</v>
      </c>
      <c r="J916">
        <f>IF($A916="","",IF($D916="V01",Cadrage!$C$35,IF($D916="V02",Cadrage!$D$35,Cadrage!$E$35)))</f>
        <v>0.02</v>
      </c>
      <c r="K916">
        <f>IF($A916="","",IF($D916="V01",Cadrage!$C$36,IF($D916="V02",Cadrage!$D$36,Cadrage!$E$36)))</f>
        <v>0.03</v>
      </c>
      <c r="L916">
        <f>IF($A916="","",IF($D916="V01",Cadrage!$C$37,IF($D916="V02",Cadrage!$D$37,Cadrage!$E$37)))</f>
        <v>0.03</v>
      </c>
      <c r="M916">
        <f>IF($A916="","",IF($D916="V01",Cadrage!$C$38,IF($D916="V02",Cadrage!$D$38,Cadrage!$E$38)))</f>
        <v>-0.03</v>
      </c>
      <c r="N916">
        <f t="shared" si="1"/>
        <v>1.16083752922642</v>
      </c>
      <c r="O916">
        <f t="shared" si="2"/>
        <v>1.12601240334963</v>
      </c>
      <c r="P916">
        <f>IF($A916="","",IF($E916=1,$F916*$O916,PNL!G916))</f>
        <v>59328.4675200886</v>
      </c>
      <c r="T916">
        <f t="shared" si="3"/>
        <v>-59328.4675200886</v>
      </c>
    </row>
    <row r="917" ht="14.25" customHeight="1">
      <c r="A917" t="str">
        <f>IF(PNL!A917="","",PNL!A917)</f>
        <v>ISCOM_TLS</v>
      </c>
      <c r="B917" t="str">
        <f>IF(PNL!B917="","",PNL!B917)</f>
        <v>6063</v>
      </c>
      <c r="C917" t="str">
        <f>IF(PNL!C917="","",PNL!C917)</f>
        <v>2027</v>
      </c>
      <c r="D917" t="str">
        <f>IF(PNL!D917="","",PNL!D917)</f>
        <v>V02</v>
      </c>
      <c r="E917">
        <f t="shared" si="0"/>
        <v>1</v>
      </c>
      <c r="F917">
        <f>IF($A917="","",IF($E917=1,_xlfn.SUMIFS(Comptabilité!$F$1:$F$1446,Comptabilité!$A$1:$A$1446,$A917,Comptabilité!$B$1:$B$1446,$B917,Comptabilité!$C$1:$C$1446,"2026"),0))</f>
        <v>34382</v>
      </c>
      <c r="G917">
        <f>IF($A917="","",IF($D917="V01",Cadrage!$C$23,IF($D917="V02",Cadrage!$D$23,Cadrage!$E$23)))</f>
        <v>0.15</v>
      </c>
      <c r="H917">
        <f>IF($A917="","",IF($D917="V01",Cadrage!$C$24,IF($D917="V02",Cadrage!$D$24,Cadrage!$E$24)))</f>
        <v>0.15</v>
      </c>
      <c r="I917">
        <f>IF($A917="","",IF($D917="V01",Cadrage!$C$34,IF($D917="V02",Cadrage!$D$34,Cadrage!$E$34)))</f>
        <v>0.015</v>
      </c>
      <c r="J917">
        <f>IF($A917="","",IF($D917="V01",Cadrage!$C$35,IF($D917="V02",Cadrage!$D$35,Cadrage!$E$35)))</f>
        <v>0.02</v>
      </c>
      <c r="K917">
        <f>IF($A917="","",IF($D917="V01",Cadrage!$C$36,IF($D917="V02",Cadrage!$D$36,Cadrage!$E$36)))</f>
        <v>0.03</v>
      </c>
      <c r="L917">
        <f>IF($A917="","",IF($D917="V01",Cadrage!$C$37,IF($D917="V02",Cadrage!$D$37,Cadrage!$E$37)))</f>
        <v>0.03</v>
      </c>
      <c r="M917">
        <f>IF($A917="","",IF($D917="V01",Cadrage!$C$38,IF($D917="V02",Cadrage!$D$38,Cadrage!$E$38)))</f>
        <v>-0.03</v>
      </c>
      <c r="N917">
        <f t="shared" si="1"/>
        <v>1.16083752922642</v>
      </c>
      <c r="O917">
        <f t="shared" si="2"/>
        <v>1.12601240334963</v>
      </c>
      <c r="P917">
        <f>IF($A917="","",IF($E917=1,$F917*$O917,PNL!G917))</f>
        <v>38714.558451967</v>
      </c>
      <c r="T917">
        <f t="shared" si="3"/>
        <v>-38714.558451967</v>
      </c>
    </row>
    <row r="918" ht="14.25" customHeight="1">
      <c r="A918" t="str">
        <f>IF(PNL!A918="","",PNL!A918)</f>
        <v>MBWAY_BOR</v>
      </c>
      <c r="B918" t="str">
        <f>IF(PNL!B918="","",PNL!B918)</f>
        <v>6063</v>
      </c>
      <c r="C918" t="str">
        <f>IF(PNL!C918="","",PNL!C918)</f>
        <v>2027</v>
      </c>
      <c r="D918" t="str">
        <f>IF(PNL!D918="","",PNL!D918)</f>
        <v>V02</v>
      </c>
      <c r="E918">
        <f t="shared" si="0"/>
        <v>1</v>
      </c>
      <c r="F918">
        <f>IF($A918="","",IF($E918=1,_xlfn.SUMIFS(Comptabilité!$F$1:$F$1446,Comptabilité!$A$1:$A$1446,$A918,Comptabilité!$B$1:$B$1446,$B918,Comptabilité!$C$1:$C$1446,"2026"),0))</f>
        <v>37061</v>
      </c>
      <c r="G918">
        <f>IF($A918="","",IF($D918="V01",Cadrage!$C$23,IF($D918="V02",Cadrage!$D$23,Cadrage!$E$23)))</f>
        <v>0.15</v>
      </c>
      <c r="H918">
        <f>IF($A918="","",IF($D918="V01",Cadrage!$C$24,IF($D918="V02",Cadrage!$D$24,Cadrage!$E$24)))</f>
        <v>0.15</v>
      </c>
      <c r="I918">
        <f>IF($A918="","",IF($D918="V01",Cadrage!$C$34,IF($D918="V02",Cadrage!$D$34,Cadrage!$E$34)))</f>
        <v>0.015</v>
      </c>
      <c r="J918">
        <f>IF($A918="","",IF($D918="V01",Cadrage!$C$35,IF($D918="V02",Cadrage!$D$35,Cadrage!$E$35)))</f>
        <v>0.02</v>
      </c>
      <c r="K918">
        <f>IF($A918="","",IF($D918="V01",Cadrage!$C$36,IF($D918="V02",Cadrage!$D$36,Cadrage!$E$36)))</f>
        <v>0.03</v>
      </c>
      <c r="L918">
        <f>IF($A918="","",IF($D918="V01",Cadrage!$C$37,IF($D918="V02",Cadrage!$D$37,Cadrage!$E$37)))</f>
        <v>0.03</v>
      </c>
      <c r="M918">
        <f>IF($A918="","",IF($D918="V01",Cadrage!$C$38,IF($D918="V02",Cadrage!$D$38,Cadrage!$E$38)))</f>
        <v>-0.03</v>
      </c>
      <c r="N918">
        <f t="shared" si="1"/>
        <v>1.16083752922642</v>
      </c>
      <c r="O918">
        <f t="shared" si="2"/>
        <v>1.12601240334963</v>
      </c>
      <c r="P918">
        <f>IF($A918="","",IF($E918=1,$F918*$O918,PNL!G918))</f>
        <v>41731.1456805406</v>
      </c>
      <c r="T918">
        <f t="shared" si="3"/>
        <v>-41731.1456805406</v>
      </c>
    </row>
    <row r="919" ht="14.25" customHeight="1">
      <c r="A919" t="str">
        <f>IF(PNL!A919="","",PNL!A919)</f>
        <v>MBWAY_LYO</v>
      </c>
      <c r="B919" t="str">
        <f>IF(PNL!B919="","",PNL!B919)</f>
        <v>6063</v>
      </c>
      <c r="C919" t="str">
        <f>IF(PNL!C919="","",PNL!C919)</f>
        <v>2027</v>
      </c>
      <c r="D919" t="str">
        <f>IF(PNL!D919="","",PNL!D919)</f>
        <v>V02</v>
      </c>
      <c r="E919">
        <f t="shared" si="0"/>
        <v>1</v>
      </c>
      <c r="F919">
        <f>IF($A919="","",IF($E919=1,_xlfn.SUMIFS(Comptabilité!$F$1:$F$1446,Comptabilité!$A$1:$A$1446,$A919,Comptabilité!$B$1:$B$1446,$B919,Comptabilité!$C$1:$C$1446,"2026"),0))</f>
        <v>48224</v>
      </c>
      <c r="G919">
        <f>IF($A919="","",IF($D919="V01",Cadrage!$C$23,IF($D919="V02",Cadrage!$D$23,Cadrage!$E$23)))</f>
        <v>0.15</v>
      </c>
      <c r="H919">
        <f>IF($A919="","",IF($D919="V01",Cadrage!$C$24,IF($D919="V02",Cadrage!$D$24,Cadrage!$E$24)))</f>
        <v>0.15</v>
      </c>
      <c r="I919">
        <f>IF($A919="","",IF($D919="V01",Cadrage!$C$34,IF($D919="V02",Cadrage!$D$34,Cadrage!$E$34)))</f>
        <v>0.015</v>
      </c>
      <c r="J919">
        <f>IF($A919="","",IF($D919="V01",Cadrage!$C$35,IF($D919="V02",Cadrage!$D$35,Cadrage!$E$35)))</f>
        <v>0.02</v>
      </c>
      <c r="K919">
        <f>IF($A919="","",IF($D919="V01",Cadrage!$C$36,IF($D919="V02",Cadrage!$D$36,Cadrage!$E$36)))</f>
        <v>0.03</v>
      </c>
      <c r="L919">
        <f>IF($A919="","",IF($D919="V01",Cadrage!$C$37,IF($D919="V02",Cadrage!$D$37,Cadrage!$E$37)))</f>
        <v>0.03</v>
      </c>
      <c r="M919">
        <f>IF($A919="","",IF($D919="V01",Cadrage!$C$38,IF($D919="V02",Cadrage!$D$38,Cadrage!$E$38)))</f>
        <v>-0.03</v>
      </c>
      <c r="N919">
        <f t="shared" si="1"/>
        <v>1.16083752922642</v>
      </c>
      <c r="O919">
        <f t="shared" si="2"/>
        <v>1.12601240334963</v>
      </c>
      <c r="P919">
        <f>IF($A919="","",IF($E919=1,$F919*$O919,PNL!G919))</f>
        <v>54300.8221391326</v>
      </c>
      <c r="T919">
        <f t="shared" si="3"/>
        <v>-54300.8221391326</v>
      </c>
    </row>
    <row r="920" ht="14.25" customHeight="1">
      <c r="A920" t="str">
        <f>IF(PNL!A920="","",PNL!A920)</f>
        <v>MBWAY_NAN</v>
      </c>
      <c r="B920" t="str">
        <f>IF(PNL!B920="","",PNL!B920)</f>
        <v>6063</v>
      </c>
      <c r="C920" t="str">
        <f>IF(PNL!C920="","",PNL!C920)</f>
        <v>2027</v>
      </c>
      <c r="D920" t="str">
        <f>IF(PNL!D920="","",PNL!D920)</f>
        <v>V02</v>
      </c>
      <c r="E920">
        <f t="shared" si="0"/>
        <v>1</v>
      </c>
      <c r="F920">
        <f>IF($A920="","",IF($E920=1,_xlfn.SUMIFS(Comptabilité!$F$1:$F$1446,Comptabilité!$A$1:$A$1446,$A920,Comptabilité!$B$1:$B$1446,$B920,Comptabilité!$C$1:$C$1446,"2026"),0))</f>
        <v>43758</v>
      </c>
      <c r="G920">
        <f>IF($A920="","",IF($D920="V01",Cadrage!$C$23,IF($D920="V02",Cadrage!$D$23,Cadrage!$E$23)))</f>
        <v>0.15</v>
      </c>
      <c r="H920">
        <f>IF($A920="","",IF($D920="V01",Cadrage!$C$24,IF($D920="V02",Cadrage!$D$24,Cadrage!$E$24)))</f>
        <v>0.15</v>
      </c>
      <c r="I920">
        <f>IF($A920="","",IF($D920="V01",Cadrage!$C$34,IF($D920="V02",Cadrage!$D$34,Cadrage!$E$34)))</f>
        <v>0.015</v>
      </c>
      <c r="J920">
        <f>IF($A920="","",IF($D920="V01",Cadrage!$C$35,IF($D920="V02",Cadrage!$D$35,Cadrage!$E$35)))</f>
        <v>0.02</v>
      </c>
      <c r="K920">
        <f>IF($A920="","",IF($D920="V01",Cadrage!$C$36,IF($D920="V02",Cadrage!$D$36,Cadrage!$E$36)))</f>
        <v>0.03</v>
      </c>
      <c r="L920">
        <f>IF($A920="","",IF($D920="V01",Cadrage!$C$37,IF($D920="V02",Cadrage!$D$37,Cadrage!$E$37)))</f>
        <v>0.03</v>
      </c>
      <c r="M920">
        <f>IF($A920="","",IF($D920="V01",Cadrage!$C$38,IF($D920="V02",Cadrage!$D$38,Cadrage!$E$38)))</f>
        <v>-0.03</v>
      </c>
      <c r="N920">
        <f t="shared" si="1"/>
        <v>1.16083752922642</v>
      </c>
      <c r="O920">
        <f t="shared" si="2"/>
        <v>1.12601240334963</v>
      </c>
      <c r="P920">
        <f>IF($A920="","",IF($E920=1,$F920*$O920,PNL!G920))</f>
        <v>49272.0507457731</v>
      </c>
      <c r="T920">
        <f t="shared" si="3"/>
        <v>-49272.0507457731</v>
      </c>
    </row>
    <row r="921" ht="14.25" customHeight="1">
      <c r="A921" t="str">
        <f>IF(PNL!A921="","",PNL!A921)</f>
        <v>MBWAY_PAR</v>
      </c>
      <c r="B921" t="str">
        <f>IF(PNL!B921="","",PNL!B921)</f>
        <v>6063</v>
      </c>
      <c r="C921" t="str">
        <f>IF(PNL!C921="","",PNL!C921)</f>
        <v>2027</v>
      </c>
      <c r="D921" t="str">
        <f>IF(PNL!D921="","",PNL!D921)</f>
        <v>V02</v>
      </c>
      <c r="E921">
        <f t="shared" si="0"/>
        <v>1</v>
      </c>
      <c r="F921">
        <f>IF($A921="","",IF($E921=1,_xlfn.SUMIFS(Comptabilité!$F$1:$F$1446,Comptabilité!$A$1:$A$1446,$A921,Comptabilité!$B$1:$B$1446,$B921,Comptabilité!$C$1:$C$1446,"2026"),0))</f>
        <v>56856</v>
      </c>
      <c r="G921">
        <f>IF($A921="","",IF($D921="V01",Cadrage!$C$23,IF($D921="V02",Cadrage!$D$23,Cadrage!$E$23)))</f>
        <v>0.15</v>
      </c>
      <c r="H921">
        <f>IF($A921="","",IF($D921="V01",Cadrage!$C$24,IF($D921="V02",Cadrage!$D$24,Cadrage!$E$24)))</f>
        <v>0.15</v>
      </c>
      <c r="I921">
        <f>IF($A921="","",IF($D921="V01",Cadrage!$C$34,IF($D921="V02",Cadrage!$D$34,Cadrage!$E$34)))</f>
        <v>0.015</v>
      </c>
      <c r="J921">
        <f>IF($A921="","",IF($D921="V01",Cadrage!$C$35,IF($D921="V02",Cadrage!$D$35,Cadrage!$E$35)))</f>
        <v>0.02</v>
      </c>
      <c r="K921">
        <f>IF($A921="","",IF($D921="V01",Cadrage!$C$36,IF($D921="V02",Cadrage!$D$36,Cadrage!$E$36)))</f>
        <v>0.03</v>
      </c>
      <c r="L921">
        <f>IF($A921="","",IF($D921="V01",Cadrage!$C$37,IF($D921="V02",Cadrage!$D$37,Cadrage!$E$37)))</f>
        <v>0.03</v>
      </c>
      <c r="M921">
        <f>IF($A921="","",IF($D921="V01",Cadrage!$C$38,IF($D921="V02",Cadrage!$D$38,Cadrage!$E$38)))</f>
        <v>-0.03</v>
      </c>
      <c r="N921">
        <f t="shared" si="1"/>
        <v>1.16083752922642</v>
      </c>
      <c r="O921">
        <f t="shared" si="2"/>
        <v>1.12601240334963</v>
      </c>
      <c r="P921">
        <f>IF($A921="","",IF($E921=1,$F921*$O921,PNL!G921))</f>
        <v>64020.5612048466</v>
      </c>
      <c r="T921">
        <f t="shared" si="3"/>
        <v>-64020.5612048466</v>
      </c>
    </row>
    <row r="922" ht="14.25" customHeight="1">
      <c r="A922" t="str">
        <f>IF(PNL!A922="","",PNL!A922)</f>
        <v>PIGIER_BOR</v>
      </c>
      <c r="B922" t="str">
        <f>IF(PNL!B922="","",PNL!B922)</f>
        <v>6063</v>
      </c>
      <c r="C922" t="str">
        <f>IF(PNL!C922="","",PNL!C922)</f>
        <v>2027</v>
      </c>
      <c r="D922" t="str">
        <f>IF(PNL!D922="","",PNL!D922)</f>
        <v>V02</v>
      </c>
      <c r="E922">
        <f t="shared" si="0"/>
        <v>1</v>
      </c>
      <c r="F922">
        <f>IF($A922="","",IF($E922=1,_xlfn.SUMIFS(Comptabilité!$F$1:$F$1446,Comptabilité!$A$1:$A$1446,$A922,Comptabilité!$B$1:$B$1446,$B922,Comptabilité!$C$1:$C$1446,"2026"),0))</f>
        <v>21135</v>
      </c>
      <c r="G922">
        <f>IF($A922="","",IF($D922="V01",Cadrage!$C$23,IF($D922="V02",Cadrage!$D$23,Cadrage!$E$23)))</f>
        <v>0.15</v>
      </c>
      <c r="H922">
        <f>IF($A922="","",IF($D922="V01",Cadrage!$C$24,IF($D922="V02",Cadrage!$D$24,Cadrage!$E$24)))</f>
        <v>0.15</v>
      </c>
      <c r="I922">
        <f>IF($A922="","",IF($D922="V01",Cadrage!$C$34,IF($D922="V02",Cadrage!$D$34,Cadrage!$E$34)))</f>
        <v>0.015</v>
      </c>
      <c r="J922">
        <f>IF($A922="","",IF($D922="V01",Cadrage!$C$35,IF($D922="V02",Cadrage!$D$35,Cadrage!$E$35)))</f>
        <v>0.02</v>
      </c>
      <c r="K922">
        <f>IF($A922="","",IF($D922="V01",Cadrage!$C$36,IF($D922="V02",Cadrage!$D$36,Cadrage!$E$36)))</f>
        <v>0.03</v>
      </c>
      <c r="L922">
        <f>IF($A922="","",IF($D922="V01",Cadrage!$C$37,IF($D922="V02",Cadrage!$D$37,Cadrage!$E$37)))</f>
        <v>0.03</v>
      </c>
      <c r="M922">
        <f>IF($A922="","",IF($D922="V01",Cadrage!$C$38,IF($D922="V02",Cadrage!$D$38,Cadrage!$E$38)))</f>
        <v>-0.03</v>
      </c>
      <c r="N922">
        <f t="shared" si="1"/>
        <v>1.16083752922642</v>
      </c>
      <c r="O922">
        <f t="shared" si="2"/>
        <v>1.12601240334963</v>
      </c>
      <c r="P922">
        <f>IF($A922="","",IF($E922=1,$F922*$O922,PNL!G922))</f>
        <v>23798.2721447944</v>
      </c>
      <c r="T922">
        <f t="shared" si="3"/>
        <v>-23798.2721447944</v>
      </c>
    </row>
    <row r="923" ht="14.25" customHeight="1">
      <c r="A923" t="str">
        <f>IF(PNL!A923="","",PNL!A923)</f>
        <v>PIGIER_LYO</v>
      </c>
      <c r="B923" t="str">
        <f>IF(PNL!B923="","",PNL!B923)</f>
        <v>6063</v>
      </c>
      <c r="C923" t="str">
        <f>IF(PNL!C923="","",PNL!C923)</f>
        <v>2027</v>
      </c>
      <c r="D923" t="str">
        <f>IF(PNL!D923="","",PNL!D923)</f>
        <v>V02</v>
      </c>
      <c r="E923">
        <f t="shared" si="0"/>
        <v>1</v>
      </c>
      <c r="F923">
        <f>IF($A923="","",IF($E923=1,_xlfn.SUMIFS(Comptabilité!$F$1:$F$1446,Comptabilité!$A$1:$A$1446,$A923,Comptabilité!$B$1:$B$1446,$B923,Comptabilité!$C$1:$C$1446,"2026"),0))</f>
        <v>27089</v>
      </c>
      <c r="G923">
        <f>IF($A923="","",IF($D923="V01",Cadrage!$C$23,IF($D923="V02",Cadrage!$D$23,Cadrage!$E$23)))</f>
        <v>0.15</v>
      </c>
      <c r="H923">
        <f>IF($A923="","",IF($D923="V01",Cadrage!$C$24,IF($D923="V02",Cadrage!$D$24,Cadrage!$E$24)))</f>
        <v>0.15</v>
      </c>
      <c r="I923">
        <f>IF($A923="","",IF($D923="V01",Cadrage!$C$34,IF($D923="V02",Cadrage!$D$34,Cadrage!$E$34)))</f>
        <v>0.015</v>
      </c>
      <c r="J923">
        <f>IF($A923="","",IF($D923="V01",Cadrage!$C$35,IF($D923="V02",Cadrage!$D$35,Cadrage!$E$35)))</f>
        <v>0.02</v>
      </c>
      <c r="K923">
        <f>IF($A923="","",IF($D923="V01",Cadrage!$C$36,IF($D923="V02",Cadrage!$D$36,Cadrage!$E$36)))</f>
        <v>0.03</v>
      </c>
      <c r="L923">
        <f>IF($A923="","",IF($D923="V01",Cadrage!$C$37,IF($D923="V02",Cadrage!$D$37,Cadrage!$E$37)))</f>
        <v>0.03</v>
      </c>
      <c r="M923">
        <f>IF($A923="","",IF($D923="V01",Cadrage!$C$38,IF($D923="V02",Cadrage!$D$38,Cadrage!$E$38)))</f>
        <v>-0.03</v>
      </c>
      <c r="N923">
        <f t="shared" si="1"/>
        <v>1.16083752922642</v>
      </c>
      <c r="O923">
        <f t="shared" si="2"/>
        <v>1.12601240334963</v>
      </c>
      <c r="P923">
        <f>IF($A923="","",IF($E923=1,$F923*$O923,PNL!G923))</f>
        <v>30502.5499943381</v>
      </c>
      <c r="T923">
        <f t="shared" si="3"/>
        <v>-30502.5499943381</v>
      </c>
    </row>
    <row r="924" ht="14.25" customHeight="1">
      <c r="A924" t="str">
        <f>IF(PNL!A924="","",PNL!A924)</f>
        <v>TUNON_LYO</v>
      </c>
      <c r="B924" t="str">
        <f>IF(PNL!B924="","",PNL!B924)</f>
        <v>6063</v>
      </c>
      <c r="C924" t="str">
        <f>IF(PNL!C924="","",PNL!C924)</f>
        <v>2027</v>
      </c>
      <c r="D924" t="str">
        <f>IF(PNL!D924="","",PNL!D924)</f>
        <v>V02</v>
      </c>
      <c r="E924">
        <f t="shared" si="0"/>
        <v>1</v>
      </c>
      <c r="F924">
        <f>IF($A924="","",IF($E924=1,_xlfn.SUMIFS(Comptabilité!$F$1:$F$1446,Comptabilité!$A$1:$A$1446,$A924,Comptabilité!$B$1:$B$1446,$B924,Comptabilité!$C$1:$C$1446,"2026"),0))</f>
        <v>17414</v>
      </c>
      <c r="G924">
        <f>IF($A924="","",IF($D924="V01",Cadrage!$C$23,IF($D924="V02",Cadrage!$D$23,Cadrage!$E$23)))</f>
        <v>0.15</v>
      </c>
      <c r="H924">
        <f>IF($A924="","",IF($D924="V01",Cadrage!$C$24,IF($D924="V02",Cadrage!$D$24,Cadrage!$E$24)))</f>
        <v>0.15</v>
      </c>
      <c r="I924">
        <f>IF($A924="","",IF($D924="V01",Cadrage!$C$34,IF($D924="V02",Cadrage!$D$34,Cadrage!$E$34)))</f>
        <v>0.015</v>
      </c>
      <c r="J924">
        <f>IF($A924="","",IF($D924="V01",Cadrage!$C$35,IF($D924="V02",Cadrage!$D$35,Cadrage!$E$35)))</f>
        <v>0.02</v>
      </c>
      <c r="K924">
        <f>IF($A924="","",IF($D924="V01",Cadrage!$C$36,IF($D924="V02",Cadrage!$D$36,Cadrage!$E$36)))</f>
        <v>0.03</v>
      </c>
      <c r="L924">
        <f>IF($A924="","",IF($D924="V01",Cadrage!$C$37,IF($D924="V02",Cadrage!$D$37,Cadrage!$E$37)))</f>
        <v>0.03</v>
      </c>
      <c r="M924">
        <f>IF($A924="","",IF($D924="V01",Cadrage!$C$38,IF($D924="V02",Cadrage!$D$38,Cadrage!$E$38)))</f>
        <v>-0.03</v>
      </c>
      <c r="N924">
        <f t="shared" si="1"/>
        <v>1.16083752922642</v>
      </c>
      <c r="O924">
        <f t="shared" si="2"/>
        <v>1.12601240334963</v>
      </c>
      <c r="P924">
        <f>IF($A924="","",IF($E924=1,$F924*$O924,PNL!G924))</f>
        <v>19608.3799919305</v>
      </c>
      <c r="T924">
        <f t="shared" si="3"/>
        <v>-19608.3799919305</v>
      </c>
    </row>
    <row r="925" ht="14.25" customHeight="1">
      <c r="A925" t="str">
        <f>IF(PNL!A925="","",PNL!A925)</f>
        <v>TUNON_PAR</v>
      </c>
      <c r="B925" t="str">
        <f>IF(PNL!B925="","",PNL!B925)</f>
        <v>6063</v>
      </c>
      <c r="C925" t="str">
        <f>IF(PNL!C925="","",PNL!C925)</f>
        <v>2027</v>
      </c>
      <c r="D925" t="str">
        <f>IF(PNL!D925="","",PNL!D925)</f>
        <v>V02</v>
      </c>
      <c r="E925">
        <f t="shared" si="0"/>
        <v>1</v>
      </c>
      <c r="F925">
        <f>IF($A925="","",IF($E925=1,_xlfn.SUMIFS(Comptabilité!$F$1:$F$1446,Comptabilité!$A$1:$A$1446,$A925,Comptabilité!$B$1:$B$1446,$B925,Comptabilité!$C$1:$C$1446,"2026"),0))</f>
        <v>20540</v>
      </c>
      <c r="G925">
        <f>IF($A925="","",IF($D925="V01",Cadrage!$C$23,IF($D925="V02",Cadrage!$D$23,Cadrage!$E$23)))</f>
        <v>0.15</v>
      </c>
      <c r="H925">
        <f>IF($A925="","",IF($D925="V01",Cadrage!$C$24,IF($D925="V02",Cadrage!$D$24,Cadrage!$E$24)))</f>
        <v>0.15</v>
      </c>
      <c r="I925">
        <f>IF($A925="","",IF($D925="V01",Cadrage!$C$34,IF($D925="V02",Cadrage!$D$34,Cadrage!$E$34)))</f>
        <v>0.015</v>
      </c>
      <c r="J925">
        <f>IF($A925="","",IF($D925="V01",Cadrage!$C$35,IF($D925="V02",Cadrage!$D$35,Cadrage!$E$35)))</f>
        <v>0.02</v>
      </c>
      <c r="K925">
        <f>IF($A925="","",IF($D925="V01",Cadrage!$C$36,IF($D925="V02",Cadrage!$D$36,Cadrage!$E$36)))</f>
        <v>0.03</v>
      </c>
      <c r="L925">
        <f>IF($A925="","",IF($D925="V01",Cadrage!$C$37,IF($D925="V02",Cadrage!$D$37,Cadrage!$E$37)))</f>
        <v>0.03</v>
      </c>
      <c r="M925">
        <f>IF($A925="","",IF($D925="V01",Cadrage!$C$38,IF($D925="V02",Cadrage!$D$38,Cadrage!$E$38)))</f>
        <v>-0.03</v>
      </c>
      <c r="N925">
        <f t="shared" si="1"/>
        <v>1.16083752922642</v>
      </c>
      <c r="O925">
        <f t="shared" si="2"/>
        <v>1.12601240334963</v>
      </c>
      <c r="P925">
        <f>IF($A925="","",IF($E925=1,$F925*$O925,PNL!G925))</f>
        <v>23128.2947648014</v>
      </c>
      <c r="T925">
        <f t="shared" si="3"/>
        <v>-23128.2947648014</v>
      </c>
    </row>
    <row r="926" ht="14.25" customHeight="1">
      <c r="A926" t="str">
        <f>IF(PNL!A926="","",PNL!A926)</f>
        <v>IPAC_MTP</v>
      </c>
      <c r="B926" t="str">
        <f>IF(PNL!B926="","",PNL!B926)</f>
        <v>613</v>
      </c>
      <c r="C926" t="str">
        <f>IF(PNL!C926="","",PNL!C926)</f>
        <v>2027</v>
      </c>
      <c r="D926" t="str">
        <f>IF(PNL!D926="","",PNL!D926)</f>
        <v>V02</v>
      </c>
      <c r="E926">
        <f t="shared" si="0"/>
        <v>1</v>
      </c>
      <c r="F926">
        <f>IF($A926="","",IF($E926=1,_xlfn.SUMIFS(Comptabilité!$F$1:$F$1446,Comptabilité!$A$1:$A$1446,$A926,Comptabilité!$B$1:$B$1446,$B926,Comptabilité!$C$1:$C$1446,"2026"),0))</f>
        <v>84053.79</v>
      </c>
      <c r="G926">
        <f>IF($A926="","",IF($D926="V01",Cadrage!$C$23,IF($D926="V02",Cadrage!$D$23,Cadrage!$E$23)))</f>
        <v>0.15</v>
      </c>
      <c r="H926">
        <f>IF($A926="","",IF($D926="V01",Cadrage!$C$24,IF($D926="V02",Cadrage!$D$24,Cadrage!$E$24)))</f>
        <v>0.15</v>
      </c>
      <c r="I926">
        <f>IF($A926="","",IF($D926="V01",Cadrage!$C$34,IF($D926="V02",Cadrage!$D$34,Cadrage!$E$34)))</f>
        <v>0.015</v>
      </c>
      <c r="J926">
        <f>IF($A926="","",IF($D926="V01",Cadrage!$C$35,IF($D926="V02",Cadrage!$D$35,Cadrage!$E$35)))</f>
        <v>0.02</v>
      </c>
      <c r="K926">
        <f>IF($A926="","",IF($D926="V01",Cadrage!$C$36,IF($D926="V02",Cadrage!$D$36,Cadrage!$E$36)))</f>
        <v>0.03</v>
      </c>
      <c r="L926">
        <f>IF($A926="","",IF($D926="V01",Cadrage!$C$37,IF($D926="V02",Cadrage!$D$37,Cadrage!$E$37)))</f>
        <v>0.03</v>
      </c>
      <c r="M926">
        <f>IF($A926="","",IF($D926="V01",Cadrage!$C$38,IF($D926="V02",Cadrage!$D$38,Cadrage!$E$38)))</f>
        <v>-0.03</v>
      </c>
      <c r="N926">
        <f t="shared" si="1"/>
        <v>1.16083752922642</v>
      </c>
      <c r="O926">
        <f t="shared" si="2"/>
        <v>0.9550135</v>
      </c>
      <c r="P926">
        <f>IF($A926="","",IF($E926=1,$F926*$O926,PNL!G926))</f>
        <v>80272.504176165</v>
      </c>
      <c r="T926">
        <f t="shared" si="3"/>
        <v>-80272.504176165</v>
      </c>
    </row>
    <row r="927" ht="14.25" customHeight="1">
      <c r="A927" t="str">
        <f>IF(PNL!A927="","",PNL!A927)</f>
        <v>IPAC_NAN</v>
      </c>
      <c r="B927" t="str">
        <f>IF(PNL!B927="","",PNL!B927)</f>
        <v>613</v>
      </c>
      <c r="C927" t="str">
        <f>IF(PNL!C927="","",PNL!C927)</f>
        <v>2027</v>
      </c>
      <c r="D927" t="str">
        <f>IF(PNL!D927="","",PNL!D927)</f>
        <v>V02</v>
      </c>
      <c r="E927">
        <f t="shared" si="0"/>
        <v>1</v>
      </c>
      <c r="F927">
        <f>IF($A927="","",IF($E927=1,_xlfn.SUMIFS(Comptabilité!$F$1:$F$1446,Comptabilité!$A$1:$A$1446,$A927,Comptabilité!$B$1:$B$1446,$B927,Comptabilité!$C$1:$C$1446,"2026"),0))</f>
        <v>103877.74</v>
      </c>
      <c r="G927">
        <f>IF($A927="","",IF($D927="V01",Cadrage!$C$23,IF($D927="V02",Cadrage!$D$23,Cadrage!$E$23)))</f>
        <v>0.15</v>
      </c>
      <c r="H927">
        <f>IF($A927="","",IF($D927="V01",Cadrage!$C$24,IF($D927="V02",Cadrage!$D$24,Cadrage!$E$24)))</f>
        <v>0.15</v>
      </c>
      <c r="I927">
        <f>IF($A927="","",IF($D927="V01",Cadrage!$C$34,IF($D927="V02",Cadrage!$D$34,Cadrage!$E$34)))</f>
        <v>0.015</v>
      </c>
      <c r="J927">
        <f>IF($A927="","",IF($D927="V01",Cadrage!$C$35,IF($D927="V02",Cadrage!$D$35,Cadrage!$E$35)))</f>
        <v>0.02</v>
      </c>
      <c r="K927">
        <f>IF($A927="","",IF($D927="V01",Cadrage!$C$36,IF($D927="V02",Cadrage!$D$36,Cadrage!$E$36)))</f>
        <v>0.03</v>
      </c>
      <c r="L927">
        <f>IF($A927="","",IF($D927="V01",Cadrage!$C$37,IF($D927="V02",Cadrage!$D$37,Cadrage!$E$37)))</f>
        <v>0.03</v>
      </c>
      <c r="M927">
        <f>IF($A927="","",IF($D927="V01",Cadrage!$C$38,IF($D927="V02",Cadrage!$D$38,Cadrage!$E$38)))</f>
        <v>-0.03</v>
      </c>
      <c r="N927">
        <f t="shared" si="1"/>
        <v>1.16083752922642</v>
      </c>
      <c r="O927">
        <f t="shared" si="2"/>
        <v>0.9550135</v>
      </c>
      <c r="P927">
        <f>IF($A927="","",IF($E927=1,$F927*$O927,PNL!G927))</f>
        <v>99204.64404949</v>
      </c>
      <c r="T927">
        <f t="shared" si="3"/>
        <v>-99204.64404949</v>
      </c>
    </row>
    <row r="928" ht="14.25" customHeight="1">
      <c r="A928" t="str">
        <f>IF(PNL!A928="","",PNL!A928)</f>
        <v>IPAC_REN</v>
      </c>
      <c r="B928" t="str">
        <f>IF(PNL!B928="","",PNL!B928)</f>
        <v>613</v>
      </c>
      <c r="C928" t="str">
        <f>IF(PNL!C928="","",PNL!C928)</f>
        <v>2027</v>
      </c>
      <c r="D928" t="str">
        <f>IF(PNL!D928="","",PNL!D928)</f>
        <v>V02</v>
      </c>
      <c r="E928">
        <f t="shared" si="0"/>
        <v>1</v>
      </c>
      <c r="F928">
        <f>IF($A928="","",IF($E928=1,_xlfn.SUMIFS(Comptabilité!$F$1:$F$1446,Comptabilité!$A$1:$A$1446,$A928,Comptabilité!$B$1:$B$1446,$B928,Comptabilité!$C$1:$C$1446,"2026"),0))</f>
        <v>84103.94</v>
      </c>
      <c r="G928">
        <f>IF($A928="","",IF($D928="V01",Cadrage!$C$23,IF($D928="V02",Cadrage!$D$23,Cadrage!$E$23)))</f>
        <v>0.15</v>
      </c>
      <c r="H928">
        <f>IF($A928="","",IF($D928="V01",Cadrage!$C$24,IF($D928="V02",Cadrage!$D$24,Cadrage!$E$24)))</f>
        <v>0.15</v>
      </c>
      <c r="I928">
        <f>IF($A928="","",IF($D928="V01",Cadrage!$C$34,IF($D928="V02",Cadrage!$D$34,Cadrage!$E$34)))</f>
        <v>0.015</v>
      </c>
      <c r="J928">
        <f>IF($A928="","",IF($D928="V01",Cadrage!$C$35,IF($D928="V02",Cadrage!$D$35,Cadrage!$E$35)))</f>
        <v>0.02</v>
      </c>
      <c r="K928">
        <f>IF($A928="","",IF($D928="V01",Cadrage!$C$36,IF($D928="V02",Cadrage!$D$36,Cadrage!$E$36)))</f>
        <v>0.03</v>
      </c>
      <c r="L928">
        <f>IF($A928="","",IF($D928="V01",Cadrage!$C$37,IF($D928="V02",Cadrage!$D$37,Cadrage!$E$37)))</f>
        <v>0.03</v>
      </c>
      <c r="M928">
        <f>IF($A928="","",IF($D928="V01",Cadrage!$C$38,IF($D928="V02",Cadrage!$D$38,Cadrage!$E$38)))</f>
        <v>-0.03</v>
      </c>
      <c r="N928">
        <f t="shared" si="1"/>
        <v>1.16083752922642</v>
      </c>
      <c r="O928">
        <f t="shared" si="2"/>
        <v>0.9550135</v>
      </c>
      <c r="P928">
        <f>IF($A928="","",IF($E928=1,$F928*$O928,PNL!G928))</f>
        <v>80320.39810319</v>
      </c>
      <c r="T928">
        <f t="shared" si="3"/>
        <v>-80320.39810319</v>
      </c>
    </row>
    <row r="929" ht="14.25" customHeight="1">
      <c r="A929" t="str">
        <f>IF(PNL!A929="","",PNL!A929)</f>
        <v>ISCOM_LIL</v>
      </c>
      <c r="B929" t="str">
        <f>IF(PNL!B929="","",PNL!B929)</f>
        <v>613</v>
      </c>
      <c r="C929" t="str">
        <f>IF(PNL!C929="","",PNL!C929)</f>
        <v>2027</v>
      </c>
      <c r="D929" t="str">
        <f>IF(PNL!D929="","",PNL!D929)</f>
        <v>V02</v>
      </c>
      <c r="E929">
        <f t="shared" si="0"/>
        <v>1</v>
      </c>
      <c r="F929">
        <f>IF($A929="","",IF($E929=1,_xlfn.SUMIFS(Comptabilité!$F$1:$F$1446,Comptabilité!$A$1:$A$1446,$A929,Comptabilité!$B$1:$B$1446,$B929,Comptabilité!$C$1:$C$1446,"2026"),0))</f>
        <v>175824.49</v>
      </c>
      <c r="G929">
        <f>IF($A929="","",IF($D929="V01",Cadrage!$C$23,IF($D929="V02",Cadrage!$D$23,Cadrage!$E$23)))</f>
        <v>0.15</v>
      </c>
      <c r="H929">
        <f>IF($A929="","",IF($D929="V01",Cadrage!$C$24,IF($D929="V02",Cadrage!$D$24,Cadrage!$E$24)))</f>
        <v>0.15</v>
      </c>
      <c r="I929">
        <f>IF($A929="","",IF($D929="V01",Cadrage!$C$34,IF($D929="V02",Cadrage!$D$34,Cadrage!$E$34)))</f>
        <v>0.015</v>
      </c>
      <c r="J929">
        <f>IF($A929="","",IF($D929="V01",Cadrage!$C$35,IF($D929="V02",Cadrage!$D$35,Cadrage!$E$35)))</f>
        <v>0.02</v>
      </c>
      <c r="K929">
        <f>IF($A929="","",IF($D929="V01",Cadrage!$C$36,IF($D929="V02",Cadrage!$D$36,Cadrage!$E$36)))</f>
        <v>0.03</v>
      </c>
      <c r="L929">
        <f>IF($A929="","",IF($D929="V01",Cadrage!$C$37,IF($D929="V02",Cadrage!$D$37,Cadrage!$E$37)))</f>
        <v>0.03</v>
      </c>
      <c r="M929">
        <f>IF($A929="","",IF($D929="V01",Cadrage!$C$38,IF($D929="V02",Cadrage!$D$38,Cadrage!$E$38)))</f>
        <v>-0.03</v>
      </c>
      <c r="N929">
        <f t="shared" si="1"/>
        <v>1.16083752922642</v>
      </c>
      <c r="O929">
        <f t="shared" si="2"/>
        <v>0.9550135</v>
      </c>
      <c r="P929">
        <f>IF($A929="","",IF($E929=1,$F929*$O929,PNL!G929))</f>
        <v>167914.761580615</v>
      </c>
      <c r="T929">
        <f t="shared" si="3"/>
        <v>-167914.761580615</v>
      </c>
    </row>
    <row r="930" ht="14.25" customHeight="1">
      <c r="A930" t="str">
        <f>IF(PNL!A930="","",PNL!A930)</f>
        <v>ISCOM_PAR</v>
      </c>
      <c r="B930" t="str">
        <f>IF(PNL!B930="","",PNL!B930)</f>
        <v>613</v>
      </c>
      <c r="C930" t="str">
        <f>IF(PNL!C930="","",PNL!C930)</f>
        <v>2027</v>
      </c>
      <c r="D930" t="str">
        <f>IF(PNL!D930="","",PNL!D930)</f>
        <v>V02</v>
      </c>
      <c r="E930">
        <f t="shared" si="0"/>
        <v>1</v>
      </c>
      <c r="F930">
        <f>IF($A930="","",IF($E930=1,_xlfn.SUMIFS(Comptabilité!$F$1:$F$1446,Comptabilité!$A$1:$A$1446,$A930,Comptabilité!$B$1:$B$1446,$B930,Comptabilité!$C$1:$C$1446,"2026"),0))</f>
        <v>301442.76</v>
      </c>
      <c r="G930">
        <f>IF($A930="","",IF($D930="V01",Cadrage!$C$23,IF($D930="V02",Cadrage!$D$23,Cadrage!$E$23)))</f>
        <v>0.15</v>
      </c>
      <c r="H930">
        <f>IF($A930="","",IF($D930="V01",Cadrage!$C$24,IF($D930="V02",Cadrage!$D$24,Cadrage!$E$24)))</f>
        <v>0.15</v>
      </c>
      <c r="I930">
        <f>IF($A930="","",IF($D930="V01",Cadrage!$C$34,IF($D930="V02",Cadrage!$D$34,Cadrage!$E$34)))</f>
        <v>0.015</v>
      </c>
      <c r="J930">
        <f>IF($A930="","",IF($D930="V01",Cadrage!$C$35,IF($D930="V02",Cadrage!$D$35,Cadrage!$E$35)))</f>
        <v>0.02</v>
      </c>
      <c r="K930">
        <f>IF($A930="","",IF($D930="V01",Cadrage!$C$36,IF($D930="V02",Cadrage!$D$36,Cadrage!$E$36)))</f>
        <v>0.03</v>
      </c>
      <c r="L930">
        <f>IF($A930="","",IF($D930="V01",Cadrage!$C$37,IF($D930="V02",Cadrage!$D$37,Cadrage!$E$37)))</f>
        <v>0.03</v>
      </c>
      <c r="M930">
        <f>IF($A930="","",IF($D930="V01",Cadrage!$C$38,IF($D930="V02",Cadrage!$D$38,Cadrage!$E$38)))</f>
        <v>-0.03</v>
      </c>
      <c r="N930">
        <f t="shared" si="1"/>
        <v>1.16083752922642</v>
      </c>
      <c r="O930">
        <f t="shared" si="2"/>
        <v>0.9550135</v>
      </c>
      <c r="P930">
        <f>IF($A930="","",IF($E930=1,$F930*$O930,PNL!G930))</f>
        <v>287881.90527726</v>
      </c>
      <c r="T930">
        <f t="shared" si="3"/>
        <v>-287881.90527726</v>
      </c>
    </row>
    <row r="931" ht="14.25" customHeight="1">
      <c r="A931" t="str">
        <f>IF(PNL!A931="","",PNL!A931)</f>
        <v>ISCOM_TLS</v>
      </c>
      <c r="B931" t="str">
        <f>IF(PNL!B931="","",PNL!B931)</f>
        <v>613</v>
      </c>
      <c r="C931" t="str">
        <f>IF(PNL!C931="","",PNL!C931)</f>
        <v>2027</v>
      </c>
      <c r="D931" t="str">
        <f>IF(PNL!D931="","",PNL!D931)</f>
        <v>V02</v>
      </c>
      <c r="E931">
        <f t="shared" si="0"/>
        <v>1</v>
      </c>
      <c r="F931">
        <f>IF($A931="","",IF($E931=1,_xlfn.SUMIFS(Comptabilité!$F$1:$F$1446,Comptabilité!$A$1:$A$1446,$A931,Comptabilité!$B$1:$B$1446,$B931,Comptabilité!$C$1:$C$1446,"2026"),0))</f>
        <v>165334.19</v>
      </c>
      <c r="G931">
        <f>IF($A931="","",IF($D931="V01",Cadrage!$C$23,IF($D931="V02",Cadrage!$D$23,Cadrage!$E$23)))</f>
        <v>0.15</v>
      </c>
      <c r="H931">
        <f>IF($A931="","",IF($D931="V01",Cadrage!$C$24,IF($D931="V02",Cadrage!$D$24,Cadrage!$E$24)))</f>
        <v>0.15</v>
      </c>
      <c r="I931">
        <f>IF($A931="","",IF($D931="V01",Cadrage!$C$34,IF($D931="V02",Cadrage!$D$34,Cadrage!$E$34)))</f>
        <v>0.015</v>
      </c>
      <c r="J931">
        <f>IF($A931="","",IF($D931="V01",Cadrage!$C$35,IF($D931="V02",Cadrage!$D$35,Cadrage!$E$35)))</f>
        <v>0.02</v>
      </c>
      <c r="K931">
        <f>IF($A931="","",IF($D931="V01",Cadrage!$C$36,IF($D931="V02",Cadrage!$D$36,Cadrage!$E$36)))</f>
        <v>0.03</v>
      </c>
      <c r="L931">
        <f>IF($A931="","",IF($D931="V01",Cadrage!$C$37,IF($D931="V02",Cadrage!$D$37,Cadrage!$E$37)))</f>
        <v>0.03</v>
      </c>
      <c r="M931">
        <f>IF($A931="","",IF($D931="V01",Cadrage!$C$38,IF($D931="V02",Cadrage!$D$38,Cadrage!$E$38)))</f>
        <v>-0.03</v>
      </c>
      <c r="N931">
        <f t="shared" si="1"/>
        <v>1.16083752922642</v>
      </c>
      <c r="O931">
        <f t="shared" si="2"/>
        <v>0.9550135</v>
      </c>
      <c r="P931">
        <f>IF($A931="","",IF($E931=1,$F931*$O931,PNL!G931))</f>
        <v>157896.383461565</v>
      </c>
      <c r="T931">
        <f t="shared" si="3"/>
        <v>-157896.383461565</v>
      </c>
    </row>
    <row r="932" ht="14.25" customHeight="1">
      <c r="A932" t="str">
        <f>IF(PNL!A932="","",PNL!A932)</f>
        <v>MBWAY_BOR</v>
      </c>
      <c r="B932" t="str">
        <f>IF(PNL!B932="","",PNL!B932)</f>
        <v>613</v>
      </c>
      <c r="C932" t="str">
        <f>IF(PNL!C932="","",PNL!C932)</f>
        <v>2027</v>
      </c>
      <c r="D932" t="str">
        <f>IF(PNL!D932="","",PNL!D932)</f>
        <v>V02</v>
      </c>
      <c r="E932">
        <f t="shared" si="0"/>
        <v>1</v>
      </c>
      <c r="F932">
        <f>IF($A932="","",IF($E932=1,_xlfn.SUMIFS(Comptabilité!$F$1:$F$1446,Comptabilité!$A$1:$A$1446,$A932,Comptabilité!$B$1:$B$1446,$B932,Comptabilité!$C$1:$C$1446,"2026"),0))</f>
        <v>173149.35</v>
      </c>
      <c r="G932">
        <f>IF($A932="","",IF($D932="V01",Cadrage!$C$23,IF($D932="V02",Cadrage!$D$23,Cadrage!$E$23)))</f>
        <v>0.15</v>
      </c>
      <c r="H932">
        <f>IF($A932="","",IF($D932="V01",Cadrage!$C$24,IF($D932="V02",Cadrage!$D$24,Cadrage!$E$24)))</f>
        <v>0.15</v>
      </c>
      <c r="I932">
        <f>IF($A932="","",IF($D932="V01",Cadrage!$C$34,IF($D932="V02",Cadrage!$D$34,Cadrage!$E$34)))</f>
        <v>0.015</v>
      </c>
      <c r="J932">
        <f>IF($A932="","",IF($D932="V01",Cadrage!$C$35,IF($D932="V02",Cadrage!$D$35,Cadrage!$E$35)))</f>
        <v>0.02</v>
      </c>
      <c r="K932">
        <f>IF($A932="","",IF($D932="V01",Cadrage!$C$36,IF($D932="V02",Cadrage!$D$36,Cadrage!$E$36)))</f>
        <v>0.03</v>
      </c>
      <c r="L932">
        <f>IF($A932="","",IF($D932="V01",Cadrage!$C$37,IF($D932="V02",Cadrage!$D$37,Cadrage!$E$37)))</f>
        <v>0.03</v>
      </c>
      <c r="M932">
        <f>IF($A932="","",IF($D932="V01",Cadrage!$C$38,IF($D932="V02",Cadrage!$D$38,Cadrage!$E$38)))</f>
        <v>-0.03</v>
      </c>
      <c r="N932">
        <f t="shared" si="1"/>
        <v>1.16083752922642</v>
      </c>
      <c r="O932">
        <f t="shared" si="2"/>
        <v>0.9550135</v>
      </c>
      <c r="P932">
        <f>IF($A932="","",IF($E932=1,$F932*$O932,PNL!G932))</f>
        <v>165359.966766225</v>
      </c>
      <c r="T932">
        <f t="shared" si="3"/>
        <v>-165359.966766225</v>
      </c>
    </row>
    <row r="933" ht="14.25" customHeight="1">
      <c r="A933" t="str">
        <f>IF(PNL!A933="","",PNL!A933)</f>
        <v>MBWAY_LYO</v>
      </c>
      <c r="B933" t="str">
        <f>IF(PNL!B933="","",PNL!B933)</f>
        <v>613</v>
      </c>
      <c r="C933" t="str">
        <f>IF(PNL!C933="","",PNL!C933)</f>
        <v>2027</v>
      </c>
      <c r="D933" t="str">
        <f>IF(PNL!D933="","",PNL!D933)</f>
        <v>V02</v>
      </c>
      <c r="E933">
        <f t="shared" si="0"/>
        <v>1</v>
      </c>
      <c r="F933">
        <f>IF($A933="","",IF($E933=1,_xlfn.SUMIFS(Comptabilité!$F$1:$F$1446,Comptabilité!$A$1:$A$1446,$A933,Comptabilité!$B$1:$B$1446,$B933,Comptabilité!$C$1:$C$1446,"2026"),0))</f>
        <v>247177.87</v>
      </c>
      <c r="G933">
        <f>IF($A933="","",IF($D933="V01",Cadrage!$C$23,IF($D933="V02",Cadrage!$D$23,Cadrage!$E$23)))</f>
        <v>0.15</v>
      </c>
      <c r="H933">
        <f>IF($A933="","",IF($D933="V01",Cadrage!$C$24,IF($D933="V02",Cadrage!$D$24,Cadrage!$E$24)))</f>
        <v>0.15</v>
      </c>
      <c r="I933">
        <f>IF($A933="","",IF($D933="V01",Cadrage!$C$34,IF($D933="V02",Cadrage!$D$34,Cadrage!$E$34)))</f>
        <v>0.015</v>
      </c>
      <c r="J933">
        <f>IF($A933="","",IF($D933="V01",Cadrage!$C$35,IF($D933="V02",Cadrage!$D$35,Cadrage!$E$35)))</f>
        <v>0.02</v>
      </c>
      <c r="K933">
        <f>IF($A933="","",IF($D933="V01",Cadrage!$C$36,IF($D933="V02",Cadrage!$D$36,Cadrage!$E$36)))</f>
        <v>0.03</v>
      </c>
      <c r="L933">
        <f>IF($A933="","",IF($D933="V01",Cadrage!$C$37,IF($D933="V02",Cadrage!$D$37,Cadrage!$E$37)))</f>
        <v>0.03</v>
      </c>
      <c r="M933">
        <f>IF($A933="","",IF($D933="V01",Cadrage!$C$38,IF($D933="V02",Cadrage!$D$38,Cadrage!$E$38)))</f>
        <v>-0.03</v>
      </c>
      <c r="N933">
        <f t="shared" si="1"/>
        <v>1.16083752922642</v>
      </c>
      <c r="O933">
        <f t="shared" si="2"/>
        <v>0.9550135</v>
      </c>
      <c r="P933">
        <f>IF($A933="","",IF($E933=1,$F933*$O933,PNL!G933))</f>
        <v>236058.202751245</v>
      </c>
      <c r="T933">
        <f t="shared" si="3"/>
        <v>-236058.202751245</v>
      </c>
    </row>
    <row r="934" ht="14.25" customHeight="1">
      <c r="A934" t="str">
        <f>IF(PNL!A934="","",PNL!A934)</f>
        <v>MBWAY_NAN</v>
      </c>
      <c r="B934" t="str">
        <f>IF(PNL!B934="","",PNL!B934)</f>
        <v>613</v>
      </c>
      <c r="C934" t="str">
        <f>IF(PNL!C934="","",PNL!C934)</f>
        <v>2027</v>
      </c>
      <c r="D934" t="str">
        <f>IF(PNL!D934="","",PNL!D934)</f>
        <v>V02</v>
      </c>
      <c r="E934">
        <f t="shared" si="0"/>
        <v>1</v>
      </c>
      <c r="F934">
        <f>IF($A934="","",IF($E934=1,_xlfn.SUMIFS(Comptabilité!$F$1:$F$1446,Comptabilité!$A$1:$A$1446,$A934,Comptabilité!$B$1:$B$1446,$B934,Comptabilité!$C$1:$C$1446,"2026"),0))</f>
        <v>212626.38</v>
      </c>
      <c r="G934">
        <f>IF($A934="","",IF($D934="V01",Cadrage!$C$23,IF($D934="V02",Cadrage!$D$23,Cadrage!$E$23)))</f>
        <v>0.15</v>
      </c>
      <c r="H934">
        <f>IF($A934="","",IF($D934="V01",Cadrage!$C$24,IF($D934="V02",Cadrage!$D$24,Cadrage!$E$24)))</f>
        <v>0.15</v>
      </c>
      <c r="I934">
        <f>IF($A934="","",IF($D934="V01",Cadrage!$C$34,IF($D934="V02",Cadrage!$D$34,Cadrage!$E$34)))</f>
        <v>0.015</v>
      </c>
      <c r="J934">
        <f>IF($A934="","",IF($D934="V01",Cadrage!$C$35,IF($D934="V02",Cadrage!$D$35,Cadrage!$E$35)))</f>
        <v>0.02</v>
      </c>
      <c r="K934">
        <f>IF($A934="","",IF($D934="V01",Cadrage!$C$36,IF($D934="V02",Cadrage!$D$36,Cadrage!$E$36)))</f>
        <v>0.03</v>
      </c>
      <c r="L934">
        <f>IF($A934="","",IF($D934="V01",Cadrage!$C$37,IF($D934="V02",Cadrage!$D$37,Cadrage!$E$37)))</f>
        <v>0.03</v>
      </c>
      <c r="M934">
        <f>IF($A934="","",IF($D934="V01",Cadrage!$C$38,IF($D934="V02",Cadrage!$D$38,Cadrage!$E$38)))</f>
        <v>-0.03</v>
      </c>
      <c r="N934">
        <f t="shared" si="1"/>
        <v>1.16083752922642</v>
      </c>
      <c r="O934">
        <f t="shared" si="2"/>
        <v>0.9550135</v>
      </c>
      <c r="P934">
        <f>IF($A934="","",IF($E934=1,$F934*$O934,PNL!G934))</f>
        <v>203061.06335613</v>
      </c>
      <c r="T934">
        <f t="shared" si="3"/>
        <v>-203061.06335613</v>
      </c>
    </row>
    <row r="935" ht="14.25" customHeight="1">
      <c r="A935" t="str">
        <f>IF(PNL!A935="","",PNL!A935)</f>
        <v>MBWAY_PAR</v>
      </c>
      <c r="B935" t="str">
        <f>IF(PNL!B935="","",PNL!B935)</f>
        <v>613</v>
      </c>
      <c r="C935" t="str">
        <f>IF(PNL!C935="","",PNL!C935)</f>
        <v>2027</v>
      </c>
      <c r="D935" t="str">
        <f>IF(PNL!D935="","",PNL!D935)</f>
        <v>V02</v>
      </c>
      <c r="E935">
        <f t="shared" si="0"/>
        <v>1</v>
      </c>
      <c r="F935">
        <f>IF($A935="","",IF($E935=1,_xlfn.SUMIFS(Comptabilité!$F$1:$F$1446,Comptabilité!$A$1:$A$1446,$A935,Comptabilité!$B$1:$B$1446,$B935,Comptabilité!$C$1:$C$1446,"2026"),0))</f>
        <v>310097.52</v>
      </c>
      <c r="G935">
        <f>IF($A935="","",IF($D935="V01",Cadrage!$C$23,IF($D935="V02",Cadrage!$D$23,Cadrage!$E$23)))</f>
        <v>0.15</v>
      </c>
      <c r="H935">
        <f>IF($A935="","",IF($D935="V01",Cadrage!$C$24,IF($D935="V02",Cadrage!$D$24,Cadrage!$E$24)))</f>
        <v>0.15</v>
      </c>
      <c r="I935">
        <f>IF($A935="","",IF($D935="V01",Cadrage!$C$34,IF($D935="V02",Cadrage!$D$34,Cadrage!$E$34)))</f>
        <v>0.015</v>
      </c>
      <c r="J935">
        <f>IF($A935="","",IF($D935="V01",Cadrage!$C$35,IF($D935="V02",Cadrage!$D$35,Cadrage!$E$35)))</f>
        <v>0.02</v>
      </c>
      <c r="K935">
        <f>IF($A935="","",IF($D935="V01",Cadrage!$C$36,IF($D935="V02",Cadrage!$D$36,Cadrage!$E$36)))</f>
        <v>0.03</v>
      </c>
      <c r="L935">
        <f>IF($A935="","",IF($D935="V01",Cadrage!$C$37,IF($D935="V02",Cadrage!$D$37,Cadrage!$E$37)))</f>
        <v>0.03</v>
      </c>
      <c r="M935">
        <f>IF($A935="","",IF($D935="V01",Cadrage!$C$38,IF($D935="V02",Cadrage!$D$38,Cadrage!$E$38)))</f>
        <v>-0.03</v>
      </c>
      <c r="N935">
        <f t="shared" si="1"/>
        <v>1.16083752922642</v>
      </c>
      <c r="O935">
        <f t="shared" si="2"/>
        <v>0.9550135</v>
      </c>
      <c r="P935">
        <f>IF($A935="","",IF($E935=1,$F935*$O935,PNL!G935))</f>
        <v>296147.31791652</v>
      </c>
      <c r="T935">
        <f t="shared" si="3"/>
        <v>-296147.31791652</v>
      </c>
    </row>
    <row r="936" ht="14.25" customHeight="1">
      <c r="A936" t="str">
        <f>IF(PNL!A936="","",PNL!A936)</f>
        <v>PIGIER_BOR</v>
      </c>
      <c r="B936" t="str">
        <f>IF(PNL!B936="","",PNL!B936)</f>
        <v>613</v>
      </c>
      <c r="C936" t="str">
        <f>IF(PNL!C936="","",PNL!C936)</f>
        <v>2027</v>
      </c>
      <c r="D936" t="str">
        <f>IF(PNL!D936="","",PNL!D936)</f>
        <v>V02</v>
      </c>
      <c r="E936">
        <f t="shared" si="0"/>
        <v>1</v>
      </c>
      <c r="F936">
        <f>IF($A936="","",IF($E936=1,_xlfn.SUMIFS(Comptabilité!$F$1:$F$1446,Comptabilité!$A$1:$A$1446,$A936,Comptabilité!$B$1:$B$1446,$B936,Comptabilité!$C$1:$C$1446,"2026"),0))</f>
        <v>112878.51</v>
      </c>
      <c r="G936">
        <f>IF($A936="","",IF($D936="V01",Cadrage!$C$23,IF($D936="V02",Cadrage!$D$23,Cadrage!$E$23)))</f>
        <v>0.15</v>
      </c>
      <c r="H936">
        <f>IF($A936="","",IF($D936="V01",Cadrage!$C$24,IF($D936="V02",Cadrage!$D$24,Cadrage!$E$24)))</f>
        <v>0.15</v>
      </c>
      <c r="I936">
        <f>IF($A936="","",IF($D936="V01",Cadrage!$C$34,IF($D936="V02",Cadrage!$D$34,Cadrage!$E$34)))</f>
        <v>0.015</v>
      </c>
      <c r="J936">
        <f>IF($A936="","",IF($D936="V01",Cadrage!$C$35,IF($D936="V02",Cadrage!$D$35,Cadrage!$E$35)))</f>
        <v>0.02</v>
      </c>
      <c r="K936">
        <f>IF($A936="","",IF($D936="V01",Cadrage!$C$36,IF($D936="V02",Cadrage!$D$36,Cadrage!$E$36)))</f>
        <v>0.03</v>
      </c>
      <c r="L936">
        <f>IF($A936="","",IF($D936="V01",Cadrage!$C$37,IF($D936="V02",Cadrage!$D$37,Cadrage!$E$37)))</f>
        <v>0.03</v>
      </c>
      <c r="M936">
        <f>IF($A936="","",IF($D936="V01",Cadrage!$C$38,IF($D936="V02",Cadrage!$D$38,Cadrage!$E$38)))</f>
        <v>-0.03</v>
      </c>
      <c r="N936">
        <f t="shared" si="1"/>
        <v>1.16083752922642</v>
      </c>
      <c r="O936">
        <f t="shared" si="2"/>
        <v>0.9550135</v>
      </c>
      <c r="P936">
        <f>IF($A936="","",IF($E936=1,$F936*$O936,PNL!G936))</f>
        <v>107800.500909885</v>
      </c>
      <c r="T936">
        <f t="shared" si="3"/>
        <v>-107800.500909885</v>
      </c>
    </row>
    <row r="937" ht="14.25" customHeight="1">
      <c r="A937" t="str">
        <f>IF(PNL!A937="","",PNL!A937)</f>
        <v>PIGIER_LYO</v>
      </c>
      <c r="B937" t="str">
        <f>IF(PNL!B937="","",PNL!B937)</f>
        <v>613</v>
      </c>
      <c r="C937" t="str">
        <f>IF(PNL!C937="","",PNL!C937)</f>
        <v>2027</v>
      </c>
      <c r="D937" t="str">
        <f>IF(PNL!D937="","",PNL!D937)</f>
        <v>V02</v>
      </c>
      <c r="E937">
        <f t="shared" si="0"/>
        <v>1</v>
      </c>
      <c r="F937">
        <f>IF($A937="","",IF($E937=1,_xlfn.SUMIFS(Comptabilité!$F$1:$F$1446,Comptabilité!$A$1:$A$1446,$A937,Comptabilité!$B$1:$B$1446,$B937,Comptabilité!$C$1:$C$1446,"2026"),0))</f>
        <v>149043.83</v>
      </c>
      <c r="G937">
        <f>IF($A937="","",IF($D937="V01",Cadrage!$C$23,IF($D937="V02",Cadrage!$D$23,Cadrage!$E$23)))</f>
        <v>0.15</v>
      </c>
      <c r="H937">
        <f>IF($A937="","",IF($D937="V01",Cadrage!$C$24,IF($D937="V02",Cadrage!$D$24,Cadrage!$E$24)))</f>
        <v>0.15</v>
      </c>
      <c r="I937">
        <f>IF($A937="","",IF($D937="V01",Cadrage!$C$34,IF($D937="V02",Cadrage!$D$34,Cadrage!$E$34)))</f>
        <v>0.015</v>
      </c>
      <c r="J937">
        <f>IF($A937="","",IF($D937="V01",Cadrage!$C$35,IF($D937="V02",Cadrage!$D$35,Cadrage!$E$35)))</f>
        <v>0.02</v>
      </c>
      <c r="K937">
        <f>IF($A937="","",IF($D937="V01",Cadrage!$C$36,IF($D937="V02",Cadrage!$D$36,Cadrage!$E$36)))</f>
        <v>0.03</v>
      </c>
      <c r="L937">
        <f>IF($A937="","",IF($D937="V01",Cadrage!$C$37,IF($D937="V02",Cadrage!$D$37,Cadrage!$E$37)))</f>
        <v>0.03</v>
      </c>
      <c r="M937">
        <f>IF($A937="","",IF($D937="V01",Cadrage!$C$38,IF($D937="V02",Cadrage!$D$38,Cadrage!$E$38)))</f>
        <v>-0.03</v>
      </c>
      <c r="N937">
        <f t="shared" si="1"/>
        <v>1.16083752922642</v>
      </c>
      <c r="O937">
        <f t="shared" si="2"/>
        <v>0.9550135</v>
      </c>
      <c r="P937">
        <f>IF($A937="","",IF($E937=1,$F937*$O937,PNL!G937))</f>
        <v>142338.869741705</v>
      </c>
      <c r="T937">
        <f t="shared" si="3"/>
        <v>-142338.869741705</v>
      </c>
    </row>
    <row r="938" ht="14.25" customHeight="1">
      <c r="A938" t="str">
        <f>IF(PNL!A938="","",PNL!A938)</f>
        <v>TUNON_LYO</v>
      </c>
      <c r="B938" t="str">
        <f>IF(PNL!B938="","",PNL!B938)</f>
        <v>613</v>
      </c>
      <c r="C938" t="str">
        <f>IF(PNL!C938="","",PNL!C938)</f>
        <v>2027</v>
      </c>
      <c r="D938" t="str">
        <f>IF(PNL!D938="","",PNL!D938)</f>
        <v>V02</v>
      </c>
      <c r="E938">
        <f t="shared" si="0"/>
        <v>1</v>
      </c>
      <c r="F938">
        <f>IF($A938="","",IF($E938=1,_xlfn.SUMIFS(Comptabilité!$F$1:$F$1446,Comptabilité!$A$1:$A$1446,$A938,Comptabilité!$B$1:$B$1446,$B938,Comptabilité!$C$1:$C$1446,"2026"),0))</f>
        <v>114850.19</v>
      </c>
      <c r="G938">
        <f>IF($A938="","",IF($D938="V01",Cadrage!$C$23,IF($D938="V02",Cadrage!$D$23,Cadrage!$E$23)))</f>
        <v>0.15</v>
      </c>
      <c r="H938">
        <f>IF($A938="","",IF($D938="V01",Cadrage!$C$24,IF($D938="V02",Cadrage!$D$24,Cadrage!$E$24)))</f>
        <v>0.15</v>
      </c>
      <c r="I938">
        <f>IF($A938="","",IF($D938="V01",Cadrage!$C$34,IF($D938="V02",Cadrage!$D$34,Cadrage!$E$34)))</f>
        <v>0.015</v>
      </c>
      <c r="J938">
        <f>IF($A938="","",IF($D938="V01",Cadrage!$C$35,IF($D938="V02",Cadrage!$D$35,Cadrage!$E$35)))</f>
        <v>0.02</v>
      </c>
      <c r="K938">
        <f>IF($A938="","",IF($D938="V01",Cadrage!$C$36,IF($D938="V02",Cadrage!$D$36,Cadrage!$E$36)))</f>
        <v>0.03</v>
      </c>
      <c r="L938">
        <f>IF($A938="","",IF($D938="V01",Cadrage!$C$37,IF($D938="V02",Cadrage!$D$37,Cadrage!$E$37)))</f>
        <v>0.03</v>
      </c>
      <c r="M938">
        <f>IF($A938="","",IF($D938="V01",Cadrage!$C$38,IF($D938="V02",Cadrage!$D$38,Cadrage!$E$38)))</f>
        <v>-0.03</v>
      </c>
      <c r="N938">
        <f t="shared" si="1"/>
        <v>1.16083752922642</v>
      </c>
      <c r="O938">
        <f t="shared" si="2"/>
        <v>0.9550135</v>
      </c>
      <c r="P938">
        <f>IF($A938="","",IF($E938=1,$F938*$O938,PNL!G938))</f>
        <v>109683.481927565</v>
      </c>
      <c r="T938">
        <f t="shared" si="3"/>
        <v>-109683.481927565</v>
      </c>
    </row>
    <row r="939" ht="14.25" customHeight="1">
      <c r="A939" t="str">
        <f>IF(PNL!A939="","",PNL!A939)</f>
        <v>TUNON_PAR</v>
      </c>
      <c r="B939" t="str">
        <f>IF(PNL!B939="","",PNL!B939)</f>
        <v>613</v>
      </c>
      <c r="C939" t="str">
        <f>IF(PNL!C939="","",PNL!C939)</f>
        <v>2027</v>
      </c>
      <c r="D939" t="str">
        <f>IF(PNL!D939="","",PNL!D939)</f>
        <v>V02</v>
      </c>
      <c r="E939">
        <f t="shared" si="0"/>
        <v>1</v>
      </c>
      <c r="F939">
        <f>IF($A939="","",IF($E939=1,_xlfn.SUMIFS(Comptabilité!$F$1:$F$1446,Comptabilité!$A$1:$A$1446,$A939,Comptabilité!$B$1:$B$1446,$B939,Comptabilité!$C$1:$C$1446,"2026"),0))</f>
        <v>137962.95</v>
      </c>
      <c r="G939">
        <f>IF($A939="","",IF($D939="V01",Cadrage!$C$23,IF($D939="V02",Cadrage!$D$23,Cadrage!$E$23)))</f>
        <v>0.15</v>
      </c>
      <c r="H939">
        <f>IF($A939="","",IF($D939="V01",Cadrage!$C$24,IF($D939="V02",Cadrage!$D$24,Cadrage!$E$24)))</f>
        <v>0.15</v>
      </c>
      <c r="I939">
        <f>IF($A939="","",IF($D939="V01",Cadrage!$C$34,IF($D939="V02",Cadrage!$D$34,Cadrage!$E$34)))</f>
        <v>0.015</v>
      </c>
      <c r="J939">
        <f>IF($A939="","",IF($D939="V01",Cadrage!$C$35,IF($D939="V02",Cadrage!$D$35,Cadrage!$E$35)))</f>
        <v>0.02</v>
      </c>
      <c r="K939">
        <f>IF($A939="","",IF($D939="V01",Cadrage!$C$36,IF($D939="V02",Cadrage!$D$36,Cadrage!$E$36)))</f>
        <v>0.03</v>
      </c>
      <c r="L939">
        <f>IF($A939="","",IF($D939="V01",Cadrage!$C$37,IF($D939="V02",Cadrage!$D$37,Cadrage!$E$37)))</f>
        <v>0.03</v>
      </c>
      <c r="M939">
        <f>IF($A939="","",IF($D939="V01",Cadrage!$C$38,IF($D939="V02",Cadrage!$D$38,Cadrage!$E$38)))</f>
        <v>-0.03</v>
      </c>
      <c r="N939">
        <f t="shared" si="1"/>
        <v>1.16083752922642</v>
      </c>
      <c r="O939">
        <f t="shared" si="2"/>
        <v>0.9550135</v>
      </c>
      <c r="P939">
        <f>IF($A939="","",IF($E939=1,$F939*$O939,PNL!G939))</f>
        <v>131756.479749825</v>
      </c>
      <c r="T939">
        <f t="shared" si="3"/>
        <v>-131756.479749825</v>
      </c>
    </row>
    <row r="940" ht="14.25" customHeight="1">
      <c r="A940" t="str">
        <f>IF(PNL!A940="","",PNL!A940)</f>
        <v>IPAC_MTP</v>
      </c>
      <c r="B940" t="str">
        <f>IF(PNL!B940="","",PNL!B940)</f>
        <v>615</v>
      </c>
      <c r="C940" t="str">
        <f>IF(PNL!C940="","",PNL!C940)</f>
        <v>2027</v>
      </c>
      <c r="D940" t="str">
        <f>IF(PNL!D940="","",PNL!D940)</f>
        <v>V02</v>
      </c>
      <c r="E940">
        <f t="shared" si="0"/>
        <v>1</v>
      </c>
      <c r="F940">
        <f>IF($A940="","",IF($E940=1,_xlfn.SUMIFS(Comptabilité!$F$1:$F$1446,Comptabilité!$A$1:$A$1446,$A940,Comptabilité!$B$1:$B$1446,$B940,Comptabilité!$C$1:$C$1446,"2026"),0))</f>
        <v>12007.68</v>
      </c>
      <c r="G940">
        <f>IF($A940="","",IF($D940="V01",Cadrage!$C$23,IF($D940="V02",Cadrage!$D$23,Cadrage!$E$23)))</f>
        <v>0.15</v>
      </c>
      <c r="H940">
        <f>IF($A940="","",IF($D940="V01",Cadrage!$C$24,IF($D940="V02",Cadrage!$D$24,Cadrage!$E$24)))</f>
        <v>0.15</v>
      </c>
      <c r="I940">
        <f>IF($A940="","",IF($D940="V01",Cadrage!$C$34,IF($D940="V02",Cadrage!$D$34,Cadrage!$E$34)))</f>
        <v>0.015</v>
      </c>
      <c r="J940">
        <f>IF($A940="","",IF($D940="V01",Cadrage!$C$35,IF($D940="V02",Cadrage!$D$35,Cadrage!$E$35)))</f>
        <v>0.02</v>
      </c>
      <c r="K940">
        <f>IF($A940="","",IF($D940="V01",Cadrage!$C$36,IF($D940="V02",Cadrage!$D$36,Cadrage!$E$36)))</f>
        <v>0.03</v>
      </c>
      <c r="L940">
        <f>IF($A940="","",IF($D940="V01",Cadrage!$C$37,IF($D940="V02",Cadrage!$D$37,Cadrage!$E$37)))</f>
        <v>0.03</v>
      </c>
      <c r="M940">
        <f>IF($A940="","",IF($D940="V01",Cadrage!$C$38,IF($D940="V02",Cadrage!$D$38,Cadrage!$E$38)))</f>
        <v>-0.03</v>
      </c>
      <c r="N940">
        <f t="shared" si="1"/>
        <v>1.16083752922642</v>
      </c>
      <c r="O940">
        <f t="shared" si="2"/>
        <v>0.9550135</v>
      </c>
      <c r="P940">
        <f>IF($A940="","",IF($E940=1,$F940*$O940,PNL!G940))</f>
        <v>11467.49650368</v>
      </c>
      <c r="T940">
        <f t="shared" si="3"/>
        <v>-11467.49650368</v>
      </c>
    </row>
    <row r="941" ht="14.25" customHeight="1">
      <c r="A941" t="str">
        <f>IF(PNL!A941="","",PNL!A941)</f>
        <v>IPAC_NAN</v>
      </c>
      <c r="B941" t="str">
        <f>IF(PNL!B941="","",PNL!B941)</f>
        <v>615</v>
      </c>
      <c r="C941" t="str">
        <f>IF(PNL!C941="","",PNL!C941)</f>
        <v>2027</v>
      </c>
      <c r="D941" t="str">
        <f>IF(PNL!D941="","",PNL!D941)</f>
        <v>V02</v>
      </c>
      <c r="E941">
        <f t="shared" si="0"/>
        <v>1</v>
      </c>
      <c r="F941">
        <f>IF($A941="","",IF($E941=1,_xlfn.SUMIFS(Comptabilité!$F$1:$F$1446,Comptabilité!$A$1:$A$1446,$A941,Comptabilité!$B$1:$B$1446,$B941,Comptabilité!$C$1:$C$1446,"2026"),0))</f>
        <v>14839.36</v>
      </c>
      <c r="G941">
        <f>IF($A941="","",IF($D941="V01",Cadrage!$C$23,IF($D941="V02",Cadrage!$D$23,Cadrage!$E$23)))</f>
        <v>0.15</v>
      </c>
      <c r="H941">
        <f>IF($A941="","",IF($D941="V01",Cadrage!$C$24,IF($D941="V02",Cadrage!$D$24,Cadrage!$E$24)))</f>
        <v>0.15</v>
      </c>
      <c r="I941">
        <f>IF($A941="","",IF($D941="V01",Cadrage!$C$34,IF($D941="V02",Cadrage!$D$34,Cadrage!$E$34)))</f>
        <v>0.015</v>
      </c>
      <c r="J941">
        <f>IF($A941="","",IF($D941="V01",Cadrage!$C$35,IF($D941="V02",Cadrage!$D$35,Cadrage!$E$35)))</f>
        <v>0.02</v>
      </c>
      <c r="K941">
        <f>IF($A941="","",IF($D941="V01",Cadrage!$C$36,IF($D941="V02",Cadrage!$D$36,Cadrage!$E$36)))</f>
        <v>0.03</v>
      </c>
      <c r="L941">
        <f>IF($A941="","",IF($D941="V01",Cadrage!$C$37,IF($D941="V02",Cadrage!$D$37,Cadrage!$E$37)))</f>
        <v>0.03</v>
      </c>
      <c r="M941">
        <f>IF($A941="","",IF($D941="V01",Cadrage!$C$38,IF($D941="V02",Cadrage!$D$38,Cadrage!$E$38)))</f>
        <v>-0.03</v>
      </c>
      <c r="N941">
        <f t="shared" si="1"/>
        <v>1.16083752922642</v>
      </c>
      <c r="O941">
        <f t="shared" si="2"/>
        <v>0.9550135</v>
      </c>
      <c r="P941">
        <f>IF($A941="","",IF($E941=1,$F941*$O941,PNL!G941))</f>
        <v>14171.78913136</v>
      </c>
      <c r="T941">
        <f t="shared" si="3"/>
        <v>-14171.78913136</v>
      </c>
    </row>
    <row r="942" ht="14.25" customHeight="1">
      <c r="A942" t="str">
        <f>IF(PNL!A942="","",PNL!A942)</f>
        <v>IPAC_REN</v>
      </c>
      <c r="B942" t="str">
        <f>IF(PNL!B942="","",PNL!B942)</f>
        <v>615</v>
      </c>
      <c r="C942" t="str">
        <f>IF(PNL!C942="","",PNL!C942)</f>
        <v>2027</v>
      </c>
      <c r="D942" t="str">
        <f>IF(PNL!D942="","",PNL!D942)</f>
        <v>V02</v>
      </c>
      <c r="E942">
        <f t="shared" si="0"/>
        <v>1</v>
      </c>
      <c r="F942">
        <f>IF($A942="","",IF($E942=1,_xlfn.SUMIFS(Comptabilité!$F$1:$F$1446,Comptabilité!$A$1:$A$1446,$A942,Comptabilité!$B$1:$B$1446,$B942,Comptabilité!$C$1:$C$1446,"2026"),0))</f>
        <v>12014.85</v>
      </c>
      <c r="G942">
        <f>IF($A942="","",IF($D942="V01",Cadrage!$C$23,IF($D942="V02",Cadrage!$D$23,Cadrage!$E$23)))</f>
        <v>0.15</v>
      </c>
      <c r="H942">
        <f>IF($A942="","",IF($D942="V01",Cadrage!$C$24,IF($D942="V02",Cadrage!$D$24,Cadrage!$E$24)))</f>
        <v>0.15</v>
      </c>
      <c r="I942">
        <f>IF($A942="","",IF($D942="V01",Cadrage!$C$34,IF($D942="V02",Cadrage!$D$34,Cadrage!$E$34)))</f>
        <v>0.015</v>
      </c>
      <c r="J942">
        <f>IF($A942="","",IF($D942="V01",Cadrage!$C$35,IF($D942="V02",Cadrage!$D$35,Cadrage!$E$35)))</f>
        <v>0.02</v>
      </c>
      <c r="K942">
        <f>IF($A942="","",IF($D942="V01",Cadrage!$C$36,IF($D942="V02",Cadrage!$D$36,Cadrage!$E$36)))</f>
        <v>0.03</v>
      </c>
      <c r="L942">
        <f>IF($A942="","",IF($D942="V01",Cadrage!$C$37,IF($D942="V02",Cadrage!$D$37,Cadrage!$E$37)))</f>
        <v>0.03</v>
      </c>
      <c r="M942">
        <f>IF($A942="","",IF($D942="V01",Cadrage!$C$38,IF($D942="V02",Cadrage!$D$38,Cadrage!$E$38)))</f>
        <v>-0.03</v>
      </c>
      <c r="N942">
        <f t="shared" si="1"/>
        <v>1.16083752922642</v>
      </c>
      <c r="O942">
        <f t="shared" si="2"/>
        <v>0.9550135</v>
      </c>
      <c r="P942">
        <f>IF($A942="","",IF($E942=1,$F942*$O942,PNL!G942))</f>
        <v>11474.343950475</v>
      </c>
      <c r="T942">
        <f t="shared" si="3"/>
        <v>-11474.343950475</v>
      </c>
    </row>
    <row r="943" ht="14.25" customHeight="1">
      <c r="A943" t="str">
        <f>IF(PNL!A943="","",PNL!A943)</f>
        <v>ISCOM_LIL</v>
      </c>
      <c r="B943" t="str">
        <f>IF(PNL!B943="","",PNL!B943)</f>
        <v>615</v>
      </c>
      <c r="C943" t="str">
        <f>IF(PNL!C943="","",PNL!C943)</f>
        <v>2027</v>
      </c>
      <c r="D943" t="str">
        <f>IF(PNL!D943="","",PNL!D943)</f>
        <v>V02</v>
      </c>
      <c r="E943">
        <f t="shared" si="0"/>
        <v>1</v>
      </c>
      <c r="F943">
        <f>IF($A943="","",IF($E943=1,_xlfn.SUMIFS(Comptabilité!$F$1:$F$1446,Comptabilité!$A$1:$A$1446,$A943,Comptabilité!$B$1:$B$1446,$B943,Comptabilité!$C$1:$C$1446,"2026"),0))</f>
        <v>25117.43</v>
      </c>
      <c r="G943">
        <f>IF($A943="","",IF($D943="V01",Cadrage!$C$23,IF($D943="V02",Cadrage!$D$23,Cadrage!$E$23)))</f>
        <v>0.15</v>
      </c>
      <c r="H943">
        <f>IF($A943="","",IF($D943="V01",Cadrage!$C$24,IF($D943="V02",Cadrage!$D$24,Cadrage!$E$24)))</f>
        <v>0.15</v>
      </c>
      <c r="I943">
        <f>IF($A943="","",IF($D943="V01",Cadrage!$C$34,IF($D943="V02",Cadrage!$D$34,Cadrage!$E$34)))</f>
        <v>0.015</v>
      </c>
      <c r="J943">
        <f>IF($A943="","",IF($D943="V01",Cadrage!$C$35,IF($D943="V02",Cadrage!$D$35,Cadrage!$E$35)))</f>
        <v>0.02</v>
      </c>
      <c r="K943">
        <f>IF($A943="","",IF($D943="V01",Cadrage!$C$36,IF($D943="V02",Cadrage!$D$36,Cadrage!$E$36)))</f>
        <v>0.03</v>
      </c>
      <c r="L943">
        <f>IF($A943="","",IF($D943="V01",Cadrage!$C$37,IF($D943="V02",Cadrage!$D$37,Cadrage!$E$37)))</f>
        <v>0.03</v>
      </c>
      <c r="M943">
        <f>IF($A943="","",IF($D943="V01",Cadrage!$C$38,IF($D943="V02",Cadrage!$D$38,Cadrage!$E$38)))</f>
        <v>-0.03</v>
      </c>
      <c r="N943">
        <f t="shared" si="1"/>
        <v>1.16083752922642</v>
      </c>
      <c r="O943">
        <f t="shared" si="2"/>
        <v>0.9550135</v>
      </c>
      <c r="P943">
        <f>IF($A943="","",IF($E943=1,$F943*$O943,PNL!G943))</f>
        <v>23987.484735305</v>
      </c>
      <c r="T943">
        <f t="shared" si="3"/>
        <v>-23987.484735305</v>
      </c>
    </row>
    <row r="944" ht="14.25" customHeight="1">
      <c r="A944" t="str">
        <f>IF(PNL!A944="","",PNL!A944)</f>
        <v>ISCOM_PAR</v>
      </c>
      <c r="B944" t="str">
        <f>IF(PNL!B944="","",PNL!B944)</f>
        <v>615</v>
      </c>
      <c r="C944" t="str">
        <f>IF(PNL!C944="","",PNL!C944)</f>
        <v>2027</v>
      </c>
      <c r="D944" t="str">
        <f>IF(PNL!D944="","",PNL!D944)</f>
        <v>V02</v>
      </c>
      <c r="E944">
        <f t="shared" si="0"/>
        <v>1</v>
      </c>
      <c r="F944">
        <f>IF($A944="","",IF($E944=1,_xlfn.SUMIFS(Comptabilité!$F$1:$F$1446,Comptabilité!$A$1:$A$1446,$A944,Comptabilité!$B$1:$B$1446,$B944,Comptabilité!$C$1:$C$1446,"2026"),0))</f>
        <v>43063.14</v>
      </c>
      <c r="G944">
        <f>IF($A944="","",IF($D944="V01",Cadrage!$C$23,IF($D944="V02",Cadrage!$D$23,Cadrage!$E$23)))</f>
        <v>0.15</v>
      </c>
      <c r="H944">
        <f>IF($A944="","",IF($D944="V01",Cadrage!$C$24,IF($D944="V02",Cadrage!$D$24,Cadrage!$E$24)))</f>
        <v>0.15</v>
      </c>
      <c r="I944">
        <f>IF($A944="","",IF($D944="V01",Cadrage!$C$34,IF($D944="V02",Cadrage!$D$34,Cadrage!$E$34)))</f>
        <v>0.015</v>
      </c>
      <c r="J944">
        <f>IF($A944="","",IF($D944="V01",Cadrage!$C$35,IF($D944="V02",Cadrage!$D$35,Cadrage!$E$35)))</f>
        <v>0.02</v>
      </c>
      <c r="K944">
        <f>IF($A944="","",IF($D944="V01",Cadrage!$C$36,IF($D944="V02",Cadrage!$D$36,Cadrage!$E$36)))</f>
        <v>0.03</v>
      </c>
      <c r="L944">
        <f>IF($A944="","",IF($D944="V01",Cadrage!$C$37,IF($D944="V02",Cadrage!$D$37,Cadrage!$E$37)))</f>
        <v>0.03</v>
      </c>
      <c r="M944">
        <f>IF($A944="","",IF($D944="V01",Cadrage!$C$38,IF($D944="V02",Cadrage!$D$38,Cadrage!$E$38)))</f>
        <v>-0.03</v>
      </c>
      <c r="N944">
        <f t="shared" si="1"/>
        <v>1.16083752922642</v>
      </c>
      <c r="O944">
        <f t="shared" si="2"/>
        <v>0.9550135</v>
      </c>
      <c r="P944">
        <f>IF($A944="","",IF($E944=1,$F944*$O944,PNL!G944))</f>
        <v>41125.88005239</v>
      </c>
      <c r="T944">
        <f t="shared" si="3"/>
        <v>-41125.88005239</v>
      </c>
    </row>
    <row r="945" ht="14.25" customHeight="1">
      <c r="A945" t="str">
        <f>IF(PNL!A945="","",PNL!A945)</f>
        <v>ISCOM_TLS</v>
      </c>
      <c r="B945" t="str">
        <f>IF(PNL!B945="","",PNL!B945)</f>
        <v>615</v>
      </c>
      <c r="C945" t="str">
        <f>IF(PNL!C945="","",PNL!C945)</f>
        <v>2027</v>
      </c>
      <c r="D945" t="str">
        <f>IF(PNL!D945="","",PNL!D945)</f>
        <v>V02</v>
      </c>
      <c r="E945">
        <f t="shared" si="0"/>
        <v>1</v>
      </c>
      <c r="F945">
        <f>IF($A945="","",IF($E945=1,_xlfn.SUMIFS(Comptabilité!$F$1:$F$1446,Comptabilité!$A$1:$A$1446,$A945,Comptabilité!$B$1:$B$1446,$B945,Comptabilité!$C$1:$C$1446,"2026"),0))</f>
        <v>23619.34</v>
      </c>
      <c r="G945">
        <f>IF($A945="","",IF($D945="V01",Cadrage!$C$23,IF($D945="V02",Cadrage!$D$23,Cadrage!$E$23)))</f>
        <v>0.15</v>
      </c>
      <c r="H945">
        <f>IF($A945="","",IF($D945="V01",Cadrage!$C$24,IF($D945="V02",Cadrage!$D$24,Cadrage!$E$24)))</f>
        <v>0.15</v>
      </c>
      <c r="I945">
        <f>IF($A945="","",IF($D945="V01",Cadrage!$C$34,IF($D945="V02",Cadrage!$D$34,Cadrage!$E$34)))</f>
        <v>0.015</v>
      </c>
      <c r="J945">
        <f>IF($A945="","",IF($D945="V01",Cadrage!$C$35,IF($D945="V02",Cadrage!$D$35,Cadrage!$E$35)))</f>
        <v>0.02</v>
      </c>
      <c r="K945">
        <f>IF($A945="","",IF($D945="V01",Cadrage!$C$36,IF($D945="V02",Cadrage!$D$36,Cadrage!$E$36)))</f>
        <v>0.03</v>
      </c>
      <c r="L945">
        <f>IF($A945="","",IF($D945="V01",Cadrage!$C$37,IF($D945="V02",Cadrage!$D$37,Cadrage!$E$37)))</f>
        <v>0.03</v>
      </c>
      <c r="M945">
        <f>IF($A945="","",IF($D945="V01",Cadrage!$C$38,IF($D945="V02",Cadrage!$D$38,Cadrage!$E$38)))</f>
        <v>-0.03</v>
      </c>
      <c r="N945">
        <f t="shared" si="1"/>
        <v>1.16083752922642</v>
      </c>
      <c r="O945">
        <f t="shared" si="2"/>
        <v>0.9550135</v>
      </c>
      <c r="P945">
        <f>IF($A945="","",IF($E945=1,$F945*$O945,PNL!G945))</f>
        <v>22556.78856109</v>
      </c>
      <c r="T945">
        <f t="shared" si="3"/>
        <v>-22556.78856109</v>
      </c>
    </row>
    <row r="946" ht="14.25" customHeight="1">
      <c r="A946" t="str">
        <f>IF(PNL!A946="","",PNL!A946)</f>
        <v>MBWAY_BOR</v>
      </c>
      <c r="B946" t="str">
        <f>IF(PNL!B946="","",PNL!B946)</f>
        <v>615</v>
      </c>
      <c r="C946" t="str">
        <f>IF(PNL!C946="","",PNL!C946)</f>
        <v>2027</v>
      </c>
      <c r="D946" t="str">
        <f>IF(PNL!D946="","",PNL!D946)</f>
        <v>V02</v>
      </c>
      <c r="E946">
        <f t="shared" si="0"/>
        <v>1</v>
      </c>
      <c r="F946">
        <f>IF($A946="","",IF($E946=1,_xlfn.SUMIFS(Comptabilité!$F$1:$F$1446,Comptabilité!$A$1:$A$1446,$A946,Comptabilité!$B$1:$B$1446,$B946,Comptabilité!$C$1:$C$1446,"2026"),0))</f>
        <v>24735.47</v>
      </c>
      <c r="G946">
        <f>IF($A946="","",IF($D946="V01",Cadrage!$C$23,IF($D946="V02",Cadrage!$D$23,Cadrage!$E$23)))</f>
        <v>0.15</v>
      </c>
      <c r="H946">
        <f>IF($A946="","",IF($D946="V01",Cadrage!$C$24,IF($D946="V02",Cadrage!$D$24,Cadrage!$E$24)))</f>
        <v>0.15</v>
      </c>
      <c r="I946">
        <f>IF($A946="","",IF($D946="V01",Cadrage!$C$34,IF($D946="V02",Cadrage!$D$34,Cadrage!$E$34)))</f>
        <v>0.015</v>
      </c>
      <c r="J946">
        <f>IF($A946="","",IF($D946="V01",Cadrage!$C$35,IF($D946="V02",Cadrage!$D$35,Cadrage!$E$35)))</f>
        <v>0.02</v>
      </c>
      <c r="K946">
        <f>IF($A946="","",IF($D946="V01",Cadrage!$C$36,IF($D946="V02",Cadrage!$D$36,Cadrage!$E$36)))</f>
        <v>0.03</v>
      </c>
      <c r="L946">
        <f>IF($A946="","",IF($D946="V01",Cadrage!$C$37,IF($D946="V02",Cadrage!$D$37,Cadrage!$E$37)))</f>
        <v>0.03</v>
      </c>
      <c r="M946">
        <f>IF($A946="","",IF($D946="V01",Cadrage!$C$38,IF($D946="V02",Cadrage!$D$38,Cadrage!$E$38)))</f>
        <v>-0.03</v>
      </c>
      <c r="N946">
        <f t="shared" si="1"/>
        <v>1.16083752922642</v>
      </c>
      <c r="O946">
        <f t="shared" si="2"/>
        <v>0.9550135</v>
      </c>
      <c r="P946">
        <f>IF($A946="","",IF($E946=1,$F946*$O946,PNL!G946))</f>
        <v>23622.707778845</v>
      </c>
      <c r="T946">
        <f t="shared" si="3"/>
        <v>-23622.707778845</v>
      </c>
    </row>
    <row r="947" ht="14.25" customHeight="1">
      <c r="A947" t="str">
        <f>IF(PNL!A947="","",PNL!A947)</f>
        <v>MBWAY_LYO</v>
      </c>
      <c r="B947" t="str">
        <f>IF(PNL!B947="","",PNL!B947)</f>
        <v>615</v>
      </c>
      <c r="C947" t="str">
        <f>IF(PNL!C947="","",PNL!C947)</f>
        <v>2027</v>
      </c>
      <c r="D947" t="str">
        <f>IF(PNL!D947="","",PNL!D947)</f>
        <v>V02</v>
      </c>
      <c r="E947">
        <f t="shared" si="0"/>
        <v>1</v>
      </c>
      <c r="F947">
        <f>IF($A947="","",IF($E947=1,_xlfn.SUMIFS(Comptabilité!$F$1:$F$1446,Comptabilité!$A$1:$A$1446,$A947,Comptabilité!$B$1:$B$1446,$B947,Comptabilité!$C$1:$C$1446,"2026"),0))</f>
        <v>35310.97</v>
      </c>
      <c r="G947">
        <f>IF($A947="","",IF($D947="V01",Cadrage!$C$23,IF($D947="V02",Cadrage!$D$23,Cadrage!$E$23)))</f>
        <v>0.15</v>
      </c>
      <c r="H947">
        <f>IF($A947="","",IF($D947="V01",Cadrage!$C$24,IF($D947="V02",Cadrage!$D$24,Cadrage!$E$24)))</f>
        <v>0.15</v>
      </c>
      <c r="I947">
        <f>IF($A947="","",IF($D947="V01",Cadrage!$C$34,IF($D947="V02",Cadrage!$D$34,Cadrage!$E$34)))</f>
        <v>0.015</v>
      </c>
      <c r="J947">
        <f>IF($A947="","",IF($D947="V01",Cadrage!$C$35,IF($D947="V02",Cadrage!$D$35,Cadrage!$E$35)))</f>
        <v>0.02</v>
      </c>
      <c r="K947">
        <f>IF($A947="","",IF($D947="V01",Cadrage!$C$36,IF($D947="V02",Cadrage!$D$36,Cadrage!$E$36)))</f>
        <v>0.03</v>
      </c>
      <c r="L947">
        <f>IF($A947="","",IF($D947="V01",Cadrage!$C$37,IF($D947="V02",Cadrage!$D$37,Cadrage!$E$37)))</f>
        <v>0.03</v>
      </c>
      <c r="M947">
        <f>IF($A947="","",IF($D947="V01",Cadrage!$C$38,IF($D947="V02",Cadrage!$D$38,Cadrage!$E$38)))</f>
        <v>-0.03</v>
      </c>
      <c r="N947">
        <f t="shared" si="1"/>
        <v>1.16083752922642</v>
      </c>
      <c r="O947">
        <f t="shared" si="2"/>
        <v>0.9550135</v>
      </c>
      <c r="P947">
        <f>IF($A947="","",IF($E947=1,$F947*$O947,PNL!G947))</f>
        <v>33722.453048095</v>
      </c>
      <c r="T947">
        <f t="shared" si="3"/>
        <v>-33722.453048095</v>
      </c>
    </row>
    <row r="948" ht="14.25" customHeight="1">
      <c r="A948" t="str">
        <f>IF(PNL!A948="","",PNL!A948)</f>
        <v>MBWAY_NAN</v>
      </c>
      <c r="B948" t="str">
        <f>IF(PNL!B948="","",PNL!B948)</f>
        <v>615</v>
      </c>
      <c r="C948" t="str">
        <f>IF(PNL!C948="","",PNL!C948)</f>
        <v>2027</v>
      </c>
      <c r="D948" t="str">
        <f>IF(PNL!D948="","",PNL!D948)</f>
        <v>V02</v>
      </c>
      <c r="E948">
        <f t="shared" si="0"/>
        <v>1</v>
      </c>
      <c r="F948">
        <f>IF($A948="","",IF($E948=1,_xlfn.SUMIFS(Comptabilité!$F$1:$F$1446,Comptabilité!$A$1:$A$1446,$A948,Comptabilité!$B$1:$B$1446,$B948,Comptabilité!$C$1:$C$1446,"2026"),0))</f>
        <v>30374.7</v>
      </c>
      <c r="G948">
        <f>IF($A948="","",IF($D948="V01",Cadrage!$C$23,IF($D948="V02",Cadrage!$D$23,Cadrage!$E$23)))</f>
        <v>0.15</v>
      </c>
      <c r="H948">
        <f>IF($A948="","",IF($D948="V01",Cadrage!$C$24,IF($D948="V02",Cadrage!$D$24,Cadrage!$E$24)))</f>
        <v>0.15</v>
      </c>
      <c r="I948">
        <f>IF($A948="","",IF($D948="V01",Cadrage!$C$34,IF($D948="V02",Cadrage!$D$34,Cadrage!$E$34)))</f>
        <v>0.015</v>
      </c>
      <c r="J948">
        <f>IF($A948="","",IF($D948="V01",Cadrage!$C$35,IF($D948="V02",Cadrage!$D$35,Cadrage!$E$35)))</f>
        <v>0.02</v>
      </c>
      <c r="K948">
        <f>IF($A948="","",IF($D948="V01",Cadrage!$C$36,IF($D948="V02",Cadrage!$D$36,Cadrage!$E$36)))</f>
        <v>0.03</v>
      </c>
      <c r="L948">
        <f>IF($A948="","",IF($D948="V01",Cadrage!$C$37,IF($D948="V02",Cadrage!$D$37,Cadrage!$E$37)))</f>
        <v>0.03</v>
      </c>
      <c r="M948">
        <f>IF($A948="","",IF($D948="V01",Cadrage!$C$38,IF($D948="V02",Cadrage!$D$38,Cadrage!$E$38)))</f>
        <v>-0.03</v>
      </c>
      <c r="N948">
        <f t="shared" si="1"/>
        <v>1.16083752922642</v>
      </c>
      <c r="O948">
        <f t="shared" si="2"/>
        <v>0.9550135</v>
      </c>
      <c r="P948">
        <f>IF($A948="","",IF($E948=1,$F948*$O948,PNL!G948))</f>
        <v>29008.24855845</v>
      </c>
      <c r="T948">
        <f t="shared" si="3"/>
        <v>-29008.24855845</v>
      </c>
    </row>
    <row r="949" ht="14.25" customHeight="1">
      <c r="A949" t="str">
        <f>IF(PNL!A949="","",PNL!A949)</f>
        <v>MBWAY_PAR</v>
      </c>
      <c r="B949" t="str">
        <f>IF(PNL!B949="","",PNL!B949)</f>
        <v>615</v>
      </c>
      <c r="C949" t="str">
        <f>IF(PNL!C949="","",PNL!C949)</f>
        <v>2027</v>
      </c>
      <c r="D949" t="str">
        <f>IF(PNL!D949="","",PNL!D949)</f>
        <v>V02</v>
      </c>
      <c r="E949">
        <f t="shared" si="0"/>
        <v>1</v>
      </c>
      <c r="F949">
        <f>IF($A949="","",IF($E949=1,_xlfn.SUMIFS(Comptabilité!$F$1:$F$1446,Comptabilité!$A$1:$A$1446,$A949,Comptabilité!$B$1:$B$1446,$B949,Comptabilité!$C$1:$C$1446,"2026"),0))</f>
        <v>44299.53</v>
      </c>
      <c r="G949">
        <f>IF($A949="","",IF($D949="V01",Cadrage!$C$23,IF($D949="V02",Cadrage!$D$23,Cadrage!$E$23)))</f>
        <v>0.15</v>
      </c>
      <c r="H949">
        <f>IF($A949="","",IF($D949="V01",Cadrage!$C$24,IF($D949="V02",Cadrage!$D$24,Cadrage!$E$24)))</f>
        <v>0.15</v>
      </c>
      <c r="I949">
        <f>IF($A949="","",IF($D949="V01",Cadrage!$C$34,IF($D949="V02",Cadrage!$D$34,Cadrage!$E$34)))</f>
        <v>0.015</v>
      </c>
      <c r="J949">
        <f>IF($A949="","",IF($D949="V01",Cadrage!$C$35,IF($D949="V02",Cadrage!$D$35,Cadrage!$E$35)))</f>
        <v>0.02</v>
      </c>
      <c r="K949">
        <f>IF($A949="","",IF($D949="V01",Cadrage!$C$36,IF($D949="V02",Cadrage!$D$36,Cadrage!$E$36)))</f>
        <v>0.03</v>
      </c>
      <c r="L949">
        <f>IF($A949="","",IF($D949="V01",Cadrage!$C$37,IF($D949="V02",Cadrage!$D$37,Cadrage!$E$37)))</f>
        <v>0.03</v>
      </c>
      <c r="M949">
        <f>IF($A949="","",IF($D949="V01",Cadrage!$C$38,IF($D949="V02",Cadrage!$D$38,Cadrage!$E$38)))</f>
        <v>-0.03</v>
      </c>
      <c r="N949">
        <f t="shared" si="1"/>
        <v>1.16083752922642</v>
      </c>
      <c r="O949">
        <f t="shared" si="2"/>
        <v>0.9550135</v>
      </c>
      <c r="P949">
        <f>IF($A949="","",IF($E949=1,$F949*$O949,PNL!G949))</f>
        <v>42306.649193655</v>
      </c>
      <c r="T949">
        <f t="shared" si="3"/>
        <v>-42306.649193655</v>
      </c>
    </row>
    <row r="950" ht="14.25" customHeight="1">
      <c r="A950" t="str">
        <f>IF(PNL!A950="","",PNL!A950)</f>
        <v>PIGIER_BOR</v>
      </c>
      <c r="B950" t="str">
        <f>IF(PNL!B950="","",PNL!B950)</f>
        <v>615</v>
      </c>
      <c r="C950" t="str">
        <f>IF(PNL!C950="","",PNL!C950)</f>
        <v>2027</v>
      </c>
      <c r="D950" t="str">
        <f>IF(PNL!D950="","",PNL!D950)</f>
        <v>V02</v>
      </c>
      <c r="E950">
        <f t="shared" si="0"/>
        <v>1</v>
      </c>
      <c r="F950">
        <f>IF($A950="","",IF($E950=1,_xlfn.SUMIFS(Comptabilité!$F$1:$F$1446,Comptabilité!$A$1:$A$1446,$A950,Comptabilité!$B$1:$B$1446,$B950,Comptabilité!$C$1:$C$1446,"2026"),0))</f>
        <v>16125.25</v>
      </c>
      <c r="G950">
        <f>IF($A950="","",IF($D950="V01",Cadrage!$C$23,IF($D950="V02",Cadrage!$D$23,Cadrage!$E$23)))</f>
        <v>0.15</v>
      </c>
      <c r="H950">
        <f>IF($A950="","",IF($D950="V01",Cadrage!$C$24,IF($D950="V02",Cadrage!$D$24,Cadrage!$E$24)))</f>
        <v>0.15</v>
      </c>
      <c r="I950">
        <f>IF($A950="","",IF($D950="V01",Cadrage!$C$34,IF($D950="V02",Cadrage!$D$34,Cadrage!$E$34)))</f>
        <v>0.015</v>
      </c>
      <c r="J950">
        <f>IF($A950="","",IF($D950="V01",Cadrage!$C$35,IF($D950="V02",Cadrage!$D$35,Cadrage!$E$35)))</f>
        <v>0.02</v>
      </c>
      <c r="K950">
        <f>IF($A950="","",IF($D950="V01",Cadrage!$C$36,IF($D950="V02",Cadrage!$D$36,Cadrage!$E$36)))</f>
        <v>0.03</v>
      </c>
      <c r="L950">
        <f>IF($A950="","",IF($D950="V01",Cadrage!$C$37,IF($D950="V02",Cadrage!$D$37,Cadrage!$E$37)))</f>
        <v>0.03</v>
      </c>
      <c r="M950">
        <f>IF($A950="","",IF($D950="V01",Cadrage!$C$38,IF($D950="V02",Cadrage!$D$38,Cadrage!$E$38)))</f>
        <v>-0.03</v>
      </c>
      <c r="N950">
        <f t="shared" si="1"/>
        <v>1.16083752922642</v>
      </c>
      <c r="O950">
        <f t="shared" si="2"/>
        <v>0.9550135</v>
      </c>
      <c r="P950">
        <f>IF($A950="","",IF($E950=1,$F950*$O950,PNL!G950))</f>
        <v>15399.831440875</v>
      </c>
      <c r="T950">
        <f t="shared" si="3"/>
        <v>-15399.831440875</v>
      </c>
    </row>
    <row r="951" ht="14.25" customHeight="1">
      <c r="A951" t="str">
        <f>IF(PNL!A951="","",PNL!A951)</f>
        <v>PIGIER_LYO</v>
      </c>
      <c r="B951" t="str">
        <f>IF(PNL!B951="","",PNL!B951)</f>
        <v>615</v>
      </c>
      <c r="C951" t="str">
        <f>IF(PNL!C951="","",PNL!C951)</f>
        <v>2027</v>
      </c>
      <c r="D951" t="str">
        <f>IF(PNL!D951="","",PNL!D951)</f>
        <v>V02</v>
      </c>
      <c r="E951">
        <f t="shared" si="0"/>
        <v>1</v>
      </c>
      <c r="F951">
        <f>IF($A951="","",IF($E951=1,_xlfn.SUMIFS(Comptabilité!$F$1:$F$1446,Comptabilité!$A$1:$A$1446,$A951,Comptabilité!$B$1:$B$1446,$B951,Comptabilité!$C$1:$C$1446,"2026"),0))</f>
        <v>21291.98</v>
      </c>
      <c r="G951">
        <f>IF($A951="","",IF($D951="V01",Cadrage!$C$23,IF($D951="V02",Cadrage!$D$23,Cadrage!$E$23)))</f>
        <v>0.15</v>
      </c>
      <c r="H951">
        <f>IF($A951="","",IF($D951="V01",Cadrage!$C$24,IF($D951="V02",Cadrage!$D$24,Cadrage!$E$24)))</f>
        <v>0.15</v>
      </c>
      <c r="I951">
        <f>IF($A951="","",IF($D951="V01",Cadrage!$C$34,IF($D951="V02",Cadrage!$D$34,Cadrage!$E$34)))</f>
        <v>0.015</v>
      </c>
      <c r="J951">
        <f>IF($A951="","",IF($D951="V01",Cadrage!$C$35,IF($D951="V02",Cadrage!$D$35,Cadrage!$E$35)))</f>
        <v>0.02</v>
      </c>
      <c r="K951">
        <f>IF($A951="","",IF($D951="V01",Cadrage!$C$36,IF($D951="V02",Cadrage!$D$36,Cadrage!$E$36)))</f>
        <v>0.03</v>
      </c>
      <c r="L951">
        <f>IF($A951="","",IF($D951="V01",Cadrage!$C$37,IF($D951="V02",Cadrage!$D$37,Cadrage!$E$37)))</f>
        <v>0.03</v>
      </c>
      <c r="M951">
        <f>IF($A951="","",IF($D951="V01",Cadrage!$C$38,IF($D951="V02",Cadrage!$D$38,Cadrage!$E$38)))</f>
        <v>-0.03</v>
      </c>
      <c r="N951">
        <f t="shared" si="1"/>
        <v>1.16083752922642</v>
      </c>
      <c r="O951">
        <f t="shared" si="2"/>
        <v>0.9550135</v>
      </c>
      <c r="P951">
        <f>IF($A951="","",IF($E951=1,$F951*$O951,PNL!G951))</f>
        <v>20334.12834173</v>
      </c>
      <c r="T951">
        <f t="shared" si="3"/>
        <v>-20334.12834173</v>
      </c>
    </row>
    <row r="952" ht="14.25" customHeight="1">
      <c r="A952" t="str">
        <f>IF(PNL!A952="","",PNL!A952)</f>
        <v>TUNON_LYO</v>
      </c>
      <c r="B952" t="str">
        <f>IF(PNL!B952="","",PNL!B952)</f>
        <v>615</v>
      </c>
      <c r="C952" t="str">
        <f>IF(PNL!C952="","",PNL!C952)</f>
        <v>2027</v>
      </c>
      <c r="D952" t="str">
        <f>IF(PNL!D952="","",PNL!D952)</f>
        <v>V02</v>
      </c>
      <c r="E952">
        <f t="shared" si="0"/>
        <v>1</v>
      </c>
      <c r="F952">
        <f>IF($A952="","",IF($E952=1,_xlfn.SUMIFS(Comptabilité!$F$1:$F$1446,Comptabilité!$A$1:$A$1446,$A952,Comptabilité!$B$1:$B$1446,$B952,Comptabilité!$C$1:$C$1446,"2026"),0))</f>
        <v>16406.69</v>
      </c>
      <c r="G952">
        <f>IF($A952="","",IF($D952="V01",Cadrage!$C$23,IF($D952="V02",Cadrage!$D$23,Cadrage!$E$23)))</f>
        <v>0.15</v>
      </c>
      <c r="H952">
        <f>IF($A952="","",IF($D952="V01",Cadrage!$C$24,IF($D952="V02",Cadrage!$D$24,Cadrage!$E$24)))</f>
        <v>0.15</v>
      </c>
      <c r="I952">
        <f>IF($A952="","",IF($D952="V01",Cadrage!$C$34,IF($D952="V02",Cadrage!$D$34,Cadrage!$E$34)))</f>
        <v>0.015</v>
      </c>
      <c r="J952">
        <f>IF($A952="","",IF($D952="V01",Cadrage!$C$35,IF($D952="V02",Cadrage!$D$35,Cadrage!$E$35)))</f>
        <v>0.02</v>
      </c>
      <c r="K952">
        <f>IF($A952="","",IF($D952="V01",Cadrage!$C$36,IF($D952="V02",Cadrage!$D$36,Cadrage!$E$36)))</f>
        <v>0.03</v>
      </c>
      <c r="L952">
        <f>IF($A952="","",IF($D952="V01",Cadrage!$C$37,IF($D952="V02",Cadrage!$D$37,Cadrage!$E$37)))</f>
        <v>0.03</v>
      </c>
      <c r="M952">
        <f>IF($A952="","",IF($D952="V01",Cadrage!$C$38,IF($D952="V02",Cadrage!$D$38,Cadrage!$E$38)))</f>
        <v>-0.03</v>
      </c>
      <c r="N952">
        <f t="shared" si="1"/>
        <v>1.16083752922642</v>
      </c>
      <c r="O952">
        <f t="shared" si="2"/>
        <v>0.9550135</v>
      </c>
      <c r="P952">
        <f>IF($A952="","",IF($E952=1,$F952*$O952,PNL!G952))</f>
        <v>15668.610440315</v>
      </c>
      <c r="T952">
        <f t="shared" si="3"/>
        <v>-15668.610440315</v>
      </c>
    </row>
    <row r="953" ht="14.25" customHeight="1">
      <c r="A953" t="str">
        <f>IF(PNL!A953="","",PNL!A953)</f>
        <v>TUNON_PAR</v>
      </c>
      <c r="B953" t="str">
        <f>IF(PNL!B953="","",PNL!B953)</f>
        <v>615</v>
      </c>
      <c r="C953" t="str">
        <f>IF(PNL!C953="","",PNL!C953)</f>
        <v>2027</v>
      </c>
      <c r="D953" t="str">
        <f>IF(PNL!D953="","",PNL!D953)</f>
        <v>V02</v>
      </c>
      <c r="E953">
        <f t="shared" si="0"/>
        <v>1</v>
      </c>
      <c r="F953">
        <f>IF($A953="","",IF($E953=1,_xlfn.SUMIFS(Comptabilité!$F$1:$F$1446,Comptabilité!$A$1:$A$1446,$A953,Comptabilité!$B$1:$B$1446,$B953,Comptabilité!$C$1:$C$1446,"2026"),0))</f>
        <v>19708.99</v>
      </c>
      <c r="G953">
        <f>IF($A953="","",IF($D953="V01",Cadrage!$C$23,IF($D953="V02",Cadrage!$D$23,Cadrage!$E$23)))</f>
        <v>0.15</v>
      </c>
      <c r="H953">
        <f>IF($A953="","",IF($D953="V01",Cadrage!$C$24,IF($D953="V02",Cadrage!$D$24,Cadrage!$E$24)))</f>
        <v>0.15</v>
      </c>
      <c r="I953">
        <f>IF($A953="","",IF($D953="V01",Cadrage!$C$34,IF($D953="V02",Cadrage!$D$34,Cadrage!$E$34)))</f>
        <v>0.015</v>
      </c>
      <c r="J953">
        <f>IF($A953="","",IF($D953="V01",Cadrage!$C$35,IF($D953="V02",Cadrage!$D$35,Cadrage!$E$35)))</f>
        <v>0.02</v>
      </c>
      <c r="K953">
        <f>IF($A953="","",IF($D953="V01",Cadrage!$C$36,IF($D953="V02",Cadrage!$D$36,Cadrage!$E$36)))</f>
        <v>0.03</v>
      </c>
      <c r="L953">
        <f>IF($A953="","",IF($D953="V01",Cadrage!$C$37,IF($D953="V02",Cadrage!$D$37,Cadrage!$E$37)))</f>
        <v>0.03</v>
      </c>
      <c r="M953">
        <f>IF($A953="","",IF($D953="V01",Cadrage!$C$38,IF($D953="V02",Cadrage!$D$38,Cadrage!$E$38)))</f>
        <v>-0.03</v>
      </c>
      <c r="N953">
        <f t="shared" si="1"/>
        <v>1.16083752922642</v>
      </c>
      <c r="O953">
        <f t="shared" si="2"/>
        <v>0.9550135</v>
      </c>
      <c r="P953">
        <f>IF($A953="","",IF($E953=1,$F953*$O953,PNL!G953))</f>
        <v>18822.351521365</v>
      </c>
      <c r="T953">
        <f t="shared" si="3"/>
        <v>-18822.351521365</v>
      </c>
    </row>
    <row r="954" ht="14.25" customHeight="1">
      <c r="A954" t="str">
        <f>IF(PNL!A954="","",PNL!A954)</f>
        <v>IPAC_MTP</v>
      </c>
      <c r="B954" t="str">
        <f>IF(PNL!B954="","",PNL!B954)</f>
        <v>616</v>
      </c>
      <c r="C954" t="str">
        <f>IF(PNL!C954="","",PNL!C954)</f>
        <v>2027</v>
      </c>
      <c r="D954" t="str">
        <f>IF(PNL!D954="","",PNL!D954)</f>
        <v>V02</v>
      </c>
      <c r="E954">
        <f t="shared" si="0"/>
        <v>1</v>
      </c>
      <c r="F954">
        <f>IF($A954="","",IF($E954=1,_xlfn.SUMIFS(Comptabilité!$F$1:$F$1446,Comptabilité!$A$1:$A$1446,$A954,Comptabilité!$B$1:$B$1446,$B954,Comptabilité!$C$1:$C$1446,"2026"),0))</f>
        <v>6684.27</v>
      </c>
      <c r="G954">
        <f>IF($A954="","",IF($D954="V01",Cadrage!$C$23,IF($D954="V02",Cadrage!$D$23,Cadrage!$E$23)))</f>
        <v>0.15</v>
      </c>
      <c r="H954">
        <f>IF($A954="","",IF($D954="V01",Cadrage!$C$24,IF($D954="V02",Cadrage!$D$24,Cadrage!$E$24)))</f>
        <v>0.15</v>
      </c>
      <c r="I954">
        <f>IF($A954="","",IF($D954="V01",Cadrage!$C$34,IF($D954="V02",Cadrage!$D$34,Cadrage!$E$34)))</f>
        <v>0.015</v>
      </c>
      <c r="J954">
        <f>IF($A954="","",IF($D954="V01",Cadrage!$C$35,IF($D954="V02",Cadrage!$D$35,Cadrage!$E$35)))</f>
        <v>0.02</v>
      </c>
      <c r="K954">
        <f>IF($A954="","",IF($D954="V01",Cadrage!$C$36,IF($D954="V02",Cadrage!$D$36,Cadrage!$E$36)))</f>
        <v>0.03</v>
      </c>
      <c r="L954">
        <f>IF($A954="","",IF($D954="V01",Cadrage!$C$37,IF($D954="V02",Cadrage!$D$37,Cadrage!$E$37)))</f>
        <v>0.03</v>
      </c>
      <c r="M954">
        <f>IF($A954="","",IF($D954="V01",Cadrage!$C$38,IF($D954="V02",Cadrage!$D$38,Cadrage!$E$38)))</f>
        <v>-0.03</v>
      </c>
      <c r="N954">
        <f t="shared" si="1"/>
        <v>1.16083752922642</v>
      </c>
      <c r="O954">
        <f t="shared" si="2"/>
        <v>0.9550135</v>
      </c>
      <c r="P954">
        <f>IF($A954="","",IF($E954=1,$F954*$O954,PNL!G954))</f>
        <v>6383.568087645</v>
      </c>
      <c r="T954">
        <f t="shared" si="3"/>
        <v>-6383.568087645</v>
      </c>
    </row>
    <row r="955" ht="14.25" customHeight="1">
      <c r="A955" t="str">
        <f>IF(PNL!A955="","",PNL!A955)</f>
        <v>IPAC_NAN</v>
      </c>
      <c r="B955" t="str">
        <f>IF(PNL!B955="","",PNL!B955)</f>
        <v>616</v>
      </c>
      <c r="C955" t="str">
        <f>IF(PNL!C955="","",PNL!C955)</f>
        <v>2027</v>
      </c>
      <c r="D955" t="str">
        <f>IF(PNL!D955="","",PNL!D955)</f>
        <v>V02</v>
      </c>
      <c r="E955">
        <f t="shared" si="0"/>
        <v>1</v>
      </c>
      <c r="F955">
        <f>IF($A955="","",IF($E955=1,_xlfn.SUMIFS(Comptabilité!$F$1:$F$1446,Comptabilité!$A$1:$A$1446,$A955,Comptabilité!$B$1:$B$1446,$B955,Comptabilité!$C$1:$C$1446,"2026"),0))</f>
        <v>10237.3</v>
      </c>
      <c r="G955">
        <f>IF($A955="","",IF($D955="V01",Cadrage!$C$23,IF($D955="V02",Cadrage!$D$23,Cadrage!$E$23)))</f>
        <v>0.15</v>
      </c>
      <c r="H955">
        <f>IF($A955="","",IF($D955="V01",Cadrage!$C$24,IF($D955="V02",Cadrage!$D$24,Cadrage!$E$24)))</f>
        <v>0.15</v>
      </c>
      <c r="I955">
        <f>IF($A955="","",IF($D955="V01",Cadrage!$C$34,IF($D955="V02",Cadrage!$D$34,Cadrage!$E$34)))</f>
        <v>0.015</v>
      </c>
      <c r="J955">
        <f>IF($A955="","",IF($D955="V01",Cadrage!$C$35,IF($D955="V02",Cadrage!$D$35,Cadrage!$E$35)))</f>
        <v>0.02</v>
      </c>
      <c r="K955">
        <f>IF($A955="","",IF($D955="V01",Cadrage!$C$36,IF($D955="V02",Cadrage!$D$36,Cadrage!$E$36)))</f>
        <v>0.03</v>
      </c>
      <c r="L955">
        <f>IF($A955="","",IF($D955="V01",Cadrage!$C$37,IF($D955="V02",Cadrage!$D$37,Cadrage!$E$37)))</f>
        <v>0.03</v>
      </c>
      <c r="M955">
        <f>IF($A955="","",IF($D955="V01",Cadrage!$C$38,IF($D955="V02",Cadrage!$D$38,Cadrage!$E$38)))</f>
        <v>-0.03</v>
      </c>
      <c r="N955">
        <f t="shared" si="1"/>
        <v>1.16083752922642</v>
      </c>
      <c r="O955">
        <f t="shared" si="2"/>
        <v>0.9550135</v>
      </c>
      <c r="P955">
        <f>IF($A955="","",IF($E955=1,$F955*$O955,PNL!G955))</f>
        <v>9776.75970355</v>
      </c>
      <c r="T955">
        <f t="shared" si="3"/>
        <v>-9776.75970355</v>
      </c>
    </row>
    <row r="956" ht="14.25" customHeight="1">
      <c r="A956" t="str">
        <f>IF(PNL!A956="","",PNL!A956)</f>
        <v>IPAC_REN</v>
      </c>
      <c r="B956" t="str">
        <f>IF(PNL!B956="","",PNL!B956)</f>
        <v>616</v>
      </c>
      <c r="C956" t="str">
        <f>IF(PNL!C956="","",PNL!C956)</f>
        <v>2027</v>
      </c>
      <c r="D956" t="str">
        <f>IF(PNL!D956="","",PNL!D956)</f>
        <v>V02</v>
      </c>
      <c r="E956">
        <f t="shared" si="0"/>
        <v>1</v>
      </c>
      <c r="F956">
        <f>IF($A956="","",IF($E956=1,_xlfn.SUMIFS(Comptabilité!$F$1:$F$1446,Comptabilité!$A$1:$A$1446,$A956,Comptabilité!$B$1:$B$1446,$B956,Comptabilité!$C$1:$C$1446,"2026"),0))</f>
        <v>6688.26</v>
      </c>
      <c r="G956">
        <f>IF($A956="","",IF($D956="V01",Cadrage!$C$23,IF($D956="V02",Cadrage!$D$23,Cadrage!$E$23)))</f>
        <v>0.15</v>
      </c>
      <c r="H956">
        <f>IF($A956="","",IF($D956="V01",Cadrage!$C$24,IF($D956="V02",Cadrage!$D$24,Cadrage!$E$24)))</f>
        <v>0.15</v>
      </c>
      <c r="I956">
        <f>IF($A956="","",IF($D956="V01",Cadrage!$C$34,IF($D956="V02",Cadrage!$D$34,Cadrage!$E$34)))</f>
        <v>0.015</v>
      </c>
      <c r="J956">
        <f>IF($A956="","",IF($D956="V01",Cadrage!$C$35,IF($D956="V02",Cadrage!$D$35,Cadrage!$E$35)))</f>
        <v>0.02</v>
      </c>
      <c r="K956">
        <f>IF($A956="","",IF($D956="V01",Cadrage!$C$36,IF($D956="V02",Cadrage!$D$36,Cadrage!$E$36)))</f>
        <v>0.03</v>
      </c>
      <c r="L956">
        <f>IF($A956="","",IF($D956="V01",Cadrage!$C$37,IF($D956="V02",Cadrage!$D$37,Cadrage!$E$37)))</f>
        <v>0.03</v>
      </c>
      <c r="M956">
        <f>IF($A956="","",IF($D956="V01",Cadrage!$C$38,IF($D956="V02",Cadrage!$D$38,Cadrage!$E$38)))</f>
        <v>-0.03</v>
      </c>
      <c r="N956">
        <f t="shared" si="1"/>
        <v>1.16083752922642</v>
      </c>
      <c r="O956">
        <f t="shared" si="2"/>
        <v>0.9550135</v>
      </c>
      <c r="P956">
        <f>IF($A956="","",IF($E956=1,$F956*$O956,PNL!G956))</f>
        <v>6387.37859151</v>
      </c>
      <c r="T956">
        <f t="shared" si="3"/>
        <v>-6387.37859151</v>
      </c>
    </row>
    <row r="957" ht="14.25" customHeight="1">
      <c r="A957" t="str">
        <f>IF(PNL!A957="","",PNL!A957)</f>
        <v>ISCOM_LIL</v>
      </c>
      <c r="B957" t="str">
        <f>IF(PNL!B957="","",PNL!B957)</f>
        <v>616</v>
      </c>
      <c r="C957" t="str">
        <f>IF(PNL!C957="","",PNL!C957)</f>
        <v>2027</v>
      </c>
      <c r="D957" t="str">
        <f>IF(PNL!D957="","",PNL!D957)</f>
        <v>V02</v>
      </c>
      <c r="E957">
        <f t="shared" si="0"/>
        <v>1</v>
      </c>
      <c r="F957">
        <f>IF($A957="","",IF($E957=1,_xlfn.SUMIFS(Comptabilité!$F$1:$F$1446,Comptabilité!$A$1:$A$1446,$A957,Comptabilité!$B$1:$B$1446,$B957,Comptabilité!$C$1:$C$1446,"2026"),0))</f>
        <v>17496.6</v>
      </c>
      <c r="G957">
        <f>IF($A957="","",IF($D957="V01",Cadrage!$C$23,IF($D957="V02",Cadrage!$D$23,Cadrage!$E$23)))</f>
        <v>0.15</v>
      </c>
      <c r="H957">
        <f>IF($A957="","",IF($D957="V01",Cadrage!$C$24,IF($D957="V02",Cadrage!$D$24,Cadrage!$E$24)))</f>
        <v>0.15</v>
      </c>
      <c r="I957">
        <f>IF($A957="","",IF($D957="V01",Cadrage!$C$34,IF($D957="V02",Cadrage!$D$34,Cadrage!$E$34)))</f>
        <v>0.015</v>
      </c>
      <c r="J957">
        <f>IF($A957="","",IF($D957="V01",Cadrage!$C$35,IF($D957="V02",Cadrage!$D$35,Cadrage!$E$35)))</f>
        <v>0.02</v>
      </c>
      <c r="K957">
        <f>IF($A957="","",IF($D957="V01",Cadrage!$C$36,IF($D957="V02",Cadrage!$D$36,Cadrage!$E$36)))</f>
        <v>0.03</v>
      </c>
      <c r="L957">
        <f>IF($A957="","",IF($D957="V01",Cadrage!$C$37,IF($D957="V02",Cadrage!$D$37,Cadrage!$E$37)))</f>
        <v>0.03</v>
      </c>
      <c r="M957">
        <f>IF($A957="","",IF($D957="V01",Cadrage!$C$38,IF($D957="V02",Cadrage!$D$38,Cadrage!$E$38)))</f>
        <v>-0.03</v>
      </c>
      <c r="N957">
        <f t="shared" si="1"/>
        <v>1.16083752922642</v>
      </c>
      <c r="O957">
        <f t="shared" si="2"/>
        <v>0.9550135</v>
      </c>
      <c r="P957">
        <f>IF($A957="","",IF($E957=1,$F957*$O957,PNL!G957))</f>
        <v>16709.4892041</v>
      </c>
      <c r="T957">
        <f t="shared" si="3"/>
        <v>-16709.4892041</v>
      </c>
    </row>
    <row r="958" ht="14.25" customHeight="1">
      <c r="A958" t="str">
        <f>IF(PNL!A958="","",PNL!A958)</f>
        <v>ISCOM_PAR</v>
      </c>
      <c r="B958" t="str">
        <f>IF(PNL!B958="","",PNL!B958)</f>
        <v>616</v>
      </c>
      <c r="C958" t="str">
        <f>IF(PNL!C958="","",PNL!C958)</f>
        <v>2027</v>
      </c>
      <c r="D958" t="str">
        <f>IF(PNL!D958="","",PNL!D958)</f>
        <v>V02</v>
      </c>
      <c r="E958">
        <f t="shared" si="0"/>
        <v>1</v>
      </c>
      <c r="F958">
        <f>IF($A958="","",IF($E958=1,_xlfn.SUMIFS(Comptabilité!$F$1:$F$1446,Comptabilité!$A$1:$A$1446,$A958,Comptabilité!$B$1:$B$1446,$B958,Comptabilité!$C$1:$C$1446,"2026"),0))</f>
        <v>29012.78</v>
      </c>
      <c r="G958">
        <f>IF($A958="","",IF($D958="V01",Cadrage!$C$23,IF($D958="V02",Cadrage!$D$23,Cadrage!$E$23)))</f>
        <v>0.15</v>
      </c>
      <c r="H958">
        <f>IF($A958="","",IF($D958="V01",Cadrage!$C$24,IF($D958="V02",Cadrage!$D$24,Cadrage!$E$24)))</f>
        <v>0.15</v>
      </c>
      <c r="I958">
        <f>IF($A958="","",IF($D958="V01",Cadrage!$C$34,IF($D958="V02",Cadrage!$D$34,Cadrage!$E$34)))</f>
        <v>0.015</v>
      </c>
      <c r="J958">
        <f>IF($A958="","",IF($D958="V01",Cadrage!$C$35,IF($D958="V02",Cadrage!$D$35,Cadrage!$E$35)))</f>
        <v>0.02</v>
      </c>
      <c r="K958">
        <f>IF($A958="","",IF($D958="V01",Cadrage!$C$36,IF($D958="V02",Cadrage!$D$36,Cadrage!$E$36)))</f>
        <v>0.03</v>
      </c>
      <c r="L958">
        <f>IF($A958="","",IF($D958="V01",Cadrage!$C$37,IF($D958="V02",Cadrage!$D$37,Cadrage!$E$37)))</f>
        <v>0.03</v>
      </c>
      <c r="M958">
        <f>IF($A958="","",IF($D958="V01",Cadrage!$C$38,IF($D958="V02",Cadrage!$D$38,Cadrage!$E$38)))</f>
        <v>-0.03</v>
      </c>
      <c r="N958">
        <f t="shared" si="1"/>
        <v>1.16083752922642</v>
      </c>
      <c r="O958">
        <f t="shared" si="2"/>
        <v>0.9550135</v>
      </c>
      <c r="P958">
        <f>IF($A958="","",IF($E958=1,$F958*$O958,PNL!G958))</f>
        <v>27707.59657253</v>
      </c>
      <c r="T958">
        <f t="shared" si="3"/>
        <v>-27707.59657253</v>
      </c>
    </row>
    <row r="959" ht="14.25" customHeight="1">
      <c r="A959" t="str">
        <f>IF(PNL!A959="","",PNL!A959)</f>
        <v>ISCOM_TLS</v>
      </c>
      <c r="B959" t="str">
        <f>IF(PNL!B959="","",PNL!B959)</f>
        <v>616</v>
      </c>
      <c r="C959" t="str">
        <f>IF(PNL!C959="","",PNL!C959)</f>
        <v>2027</v>
      </c>
      <c r="D959" t="str">
        <f>IF(PNL!D959="","",PNL!D959)</f>
        <v>V02</v>
      </c>
      <c r="E959">
        <f t="shared" si="0"/>
        <v>1</v>
      </c>
      <c r="F959">
        <f>IF($A959="","",IF($E959=1,_xlfn.SUMIFS(Comptabilité!$F$1:$F$1446,Comptabilité!$A$1:$A$1446,$A959,Comptabilité!$B$1:$B$1446,$B959,Comptabilité!$C$1:$C$1446,"2026"),0))</f>
        <v>15575.06</v>
      </c>
      <c r="G959">
        <f>IF($A959="","",IF($D959="V01",Cadrage!$C$23,IF($D959="V02",Cadrage!$D$23,Cadrage!$E$23)))</f>
        <v>0.15</v>
      </c>
      <c r="H959">
        <f>IF($A959="","",IF($D959="V01",Cadrage!$C$24,IF($D959="V02",Cadrage!$D$24,Cadrage!$E$24)))</f>
        <v>0.15</v>
      </c>
      <c r="I959">
        <f>IF($A959="","",IF($D959="V01",Cadrage!$C$34,IF($D959="V02",Cadrage!$D$34,Cadrage!$E$34)))</f>
        <v>0.015</v>
      </c>
      <c r="J959">
        <f>IF($A959="","",IF($D959="V01",Cadrage!$C$35,IF($D959="V02",Cadrage!$D$35,Cadrage!$E$35)))</f>
        <v>0.02</v>
      </c>
      <c r="K959">
        <f>IF($A959="","",IF($D959="V01",Cadrage!$C$36,IF($D959="V02",Cadrage!$D$36,Cadrage!$E$36)))</f>
        <v>0.03</v>
      </c>
      <c r="L959">
        <f>IF($A959="","",IF($D959="V01",Cadrage!$C$37,IF($D959="V02",Cadrage!$D$37,Cadrage!$E$37)))</f>
        <v>0.03</v>
      </c>
      <c r="M959">
        <f>IF($A959="","",IF($D959="V01",Cadrage!$C$38,IF($D959="V02",Cadrage!$D$38,Cadrage!$E$38)))</f>
        <v>-0.03</v>
      </c>
      <c r="N959">
        <f t="shared" si="1"/>
        <v>1.16083752922642</v>
      </c>
      <c r="O959">
        <f t="shared" si="2"/>
        <v>0.9550135</v>
      </c>
      <c r="P959">
        <f>IF($A959="","",IF($E959=1,$F959*$O959,PNL!G959))</f>
        <v>14874.39256331</v>
      </c>
      <c r="T959">
        <f t="shared" si="3"/>
        <v>-14874.39256331</v>
      </c>
    </row>
    <row r="960" ht="14.25" customHeight="1">
      <c r="A960" t="str">
        <f>IF(PNL!A960="","",PNL!A960)</f>
        <v>MBWAY_BOR</v>
      </c>
      <c r="B960" t="str">
        <f>IF(PNL!B960="","",PNL!B960)</f>
        <v>616</v>
      </c>
      <c r="C960" t="str">
        <f>IF(PNL!C960="","",PNL!C960)</f>
        <v>2027</v>
      </c>
      <c r="D960" t="str">
        <f>IF(PNL!D960="","",PNL!D960)</f>
        <v>V02</v>
      </c>
      <c r="E960">
        <f t="shared" si="0"/>
        <v>1</v>
      </c>
      <c r="F960">
        <f>IF($A960="","",IF($E960=1,_xlfn.SUMIFS(Comptabilité!$F$1:$F$1446,Comptabilité!$A$1:$A$1446,$A960,Comptabilité!$B$1:$B$1446,$B960,Comptabilité!$C$1:$C$1446,"2026"),0))</f>
        <v>17583.04</v>
      </c>
      <c r="G960">
        <f>IF($A960="","",IF($D960="V01",Cadrage!$C$23,IF($D960="V02",Cadrage!$D$23,Cadrage!$E$23)))</f>
        <v>0.15</v>
      </c>
      <c r="H960">
        <f>IF($A960="","",IF($D960="V01",Cadrage!$C$24,IF($D960="V02",Cadrage!$D$24,Cadrage!$E$24)))</f>
        <v>0.15</v>
      </c>
      <c r="I960">
        <f>IF($A960="","",IF($D960="V01",Cadrage!$C$34,IF($D960="V02",Cadrage!$D$34,Cadrage!$E$34)))</f>
        <v>0.015</v>
      </c>
      <c r="J960">
        <f>IF($A960="","",IF($D960="V01",Cadrage!$C$35,IF($D960="V02",Cadrage!$D$35,Cadrage!$E$35)))</f>
        <v>0.02</v>
      </c>
      <c r="K960">
        <f>IF($A960="","",IF($D960="V01",Cadrage!$C$36,IF($D960="V02",Cadrage!$D$36,Cadrage!$E$36)))</f>
        <v>0.03</v>
      </c>
      <c r="L960">
        <f>IF($A960="","",IF($D960="V01",Cadrage!$C$37,IF($D960="V02",Cadrage!$D$37,Cadrage!$E$37)))</f>
        <v>0.03</v>
      </c>
      <c r="M960">
        <f>IF($A960="","",IF($D960="V01",Cadrage!$C$38,IF($D960="V02",Cadrage!$D$38,Cadrage!$E$38)))</f>
        <v>-0.03</v>
      </c>
      <c r="N960">
        <f t="shared" si="1"/>
        <v>1.16083752922642</v>
      </c>
      <c r="O960">
        <f t="shared" si="2"/>
        <v>0.9550135</v>
      </c>
      <c r="P960">
        <f>IF($A960="","",IF($E960=1,$F960*$O960,PNL!G960))</f>
        <v>16792.04057104</v>
      </c>
      <c r="T960">
        <f t="shared" si="3"/>
        <v>-16792.04057104</v>
      </c>
    </row>
    <row r="961" ht="14.25" customHeight="1">
      <c r="A961" t="str">
        <f>IF(PNL!A961="","",PNL!A961)</f>
        <v>MBWAY_LYO</v>
      </c>
      <c r="B961" t="str">
        <f>IF(PNL!B961="","",PNL!B961)</f>
        <v>616</v>
      </c>
      <c r="C961" t="str">
        <f>IF(PNL!C961="","",PNL!C961)</f>
        <v>2027</v>
      </c>
      <c r="D961" t="str">
        <f>IF(PNL!D961="","",PNL!D961)</f>
        <v>V02</v>
      </c>
      <c r="E961">
        <f t="shared" si="0"/>
        <v>1</v>
      </c>
      <c r="F961">
        <f>IF($A961="","",IF($E961=1,_xlfn.SUMIFS(Comptabilité!$F$1:$F$1446,Comptabilité!$A$1:$A$1446,$A961,Comptabilité!$B$1:$B$1446,$B961,Comptabilité!$C$1:$C$1446,"2026"),0))</f>
        <v>25123.58</v>
      </c>
      <c r="G961">
        <f>IF($A961="","",IF($D961="V01",Cadrage!$C$23,IF($D961="V02",Cadrage!$D$23,Cadrage!$E$23)))</f>
        <v>0.15</v>
      </c>
      <c r="H961">
        <f>IF($A961="","",IF($D961="V01",Cadrage!$C$24,IF($D961="V02",Cadrage!$D$24,Cadrage!$E$24)))</f>
        <v>0.15</v>
      </c>
      <c r="I961">
        <f>IF($A961="","",IF($D961="V01",Cadrage!$C$34,IF($D961="V02",Cadrage!$D$34,Cadrage!$E$34)))</f>
        <v>0.015</v>
      </c>
      <c r="J961">
        <f>IF($A961="","",IF($D961="V01",Cadrage!$C$35,IF($D961="V02",Cadrage!$D$35,Cadrage!$E$35)))</f>
        <v>0.02</v>
      </c>
      <c r="K961">
        <f>IF($A961="","",IF($D961="V01",Cadrage!$C$36,IF($D961="V02",Cadrage!$D$36,Cadrage!$E$36)))</f>
        <v>0.03</v>
      </c>
      <c r="L961">
        <f>IF($A961="","",IF($D961="V01",Cadrage!$C$37,IF($D961="V02",Cadrage!$D$37,Cadrage!$E$37)))</f>
        <v>0.03</v>
      </c>
      <c r="M961">
        <f>IF($A961="","",IF($D961="V01",Cadrage!$C$38,IF($D961="V02",Cadrage!$D$38,Cadrage!$E$38)))</f>
        <v>-0.03</v>
      </c>
      <c r="N961">
        <f t="shared" si="1"/>
        <v>1.16083752922642</v>
      </c>
      <c r="O961">
        <f t="shared" si="2"/>
        <v>0.9550135</v>
      </c>
      <c r="P961">
        <f>IF($A961="","",IF($E961=1,$F961*$O961,PNL!G961))</f>
        <v>23993.35806833</v>
      </c>
      <c r="T961">
        <f t="shared" si="3"/>
        <v>-23993.35806833</v>
      </c>
    </row>
    <row r="962" ht="14.25" customHeight="1">
      <c r="A962" t="str">
        <f>IF(PNL!A962="","",PNL!A962)</f>
        <v>MBWAY_NAN</v>
      </c>
      <c r="B962" t="str">
        <f>IF(PNL!B962="","",PNL!B962)</f>
        <v>616</v>
      </c>
      <c r="C962" t="str">
        <f>IF(PNL!C962="","",PNL!C962)</f>
        <v>2027</v>
      </c>
      <c r="D962" t="str">
        <f>IF(PNL!D962="","",PNL!D962)</f>
        <v>V02</v>
      </c>
      <c r="E962">
        <f t="shared" si="0"/>
        <v>1</v>
      </c>
      <c r="F962">
        <f>IF($A962="","",IF($E962=1,_xlfn.SUMIFS(Comptabilité!$F$1:$F$1446,Comptabilité!$A$1:$A$1446,$A962,Comptabilité!$B$1:$B$1446,$B962,Comptabilité!$C$1:$C$1446,"2026"),0))</f>
        <v>21245.01</v>
      </c>
      <c r="G962">
        <f>IF($A962="","",IF($D962="V01",Cadrage!$C$23,IF($D962="V02",Cadrage!$D$23,Cadrage!$E$23)))</f>
        <v>0.15</v>
      </c>
      <c r="H962">
        <f>IF($A962="","",IF($D962="V01",Cadrage!$C$24,IF($D962="V02",Cadrage!$D$24,Cadrage!$E$24)))</f>
        <v>0.15</v>
      </c>
      <c r="I962">
        <f>IF($A962="","",IF($D962="V01",Cadrage!$C$34,IF($D962="V02",Cadrage!$D$34,Cadrage!$E$34)))</f>
        <v>0.015</v>
      </c>
      <c r="J962">
        <f>IF($A962="","",IF($D962="V01",Cadrage!$C$35,IF($D962="V02",Cadrage!$D$35,Cadrage!$E$35)))</f>
        <v>0.02</v>
      </c>
      <c r="K962">
        <f>IF($A962="","",IF($D962="V01",Cadrage!$C$36,IF($D962="V02",Cadrage!$D$36,Cadrage!$E$36)))</f>
        <v>0.03</v>
      </c>
      <c r="L962">
        <f>IF($A962="","",IF($D962="V01",Cadrage!$C$37,IF($D962="V02",Cadrage!$D$37,Cadrage!$E$37)))</f>
        <v>0.03</v>
      </c>
      <c r="M962">
        <f>IF($A962="","",IF($D962="V01",Cadrage!$C$38,IF($D962="V02",Cadrage!$D$38,Cadrage!$E$38)))</f>
        <v>-0.03</v>
      </c>
      <c r="N962">
        <f t="shared" si="1"/>
        <v>1.16083752922642</v>
      </c>
      <c r="O962">
        <f t="shared" si="2"/>
        <v>0.9550135</v>
      </c>
      <c r="P962">
        <f>IF($A962="","",IF($E962=1,$F962*$O962,PNL!G962))</f>
        <v>20289.271357635</v>
      </c>
      <c r="T962">
        <f t="shared" si="3"/>
        <v>-20289.271357635</v>
      </c>
    </row>
    <row r="963" ht="14.25" customHeight="1">
      <c r="A963" t="str">
        <f>IF(PNL!A963="","",PNL!A963)</f>
        <v>MBWAY_PAR</v>
      </c>
      <c r="B963" t="str">
        <f>IF(PNL!B963="","",PNL!B963)</f>
        <v>616</v>
      </c>
      <c r="C963" t="str">
        <f>IF(PNL!C963="","",PNL!C963)</f>
        <v>2027</v>
      </c>
      <c r="D963" t="str">
        <f>IF(PNL!D963="","",PNL!D963)</f>
        <v>V02</v>
      </c>
      <c r="E963">
        <f t="shared" si="0"/>
        <v>1</v>
      </c>
      <c r="F963">
        <f>IF($A963="","",IF($E963=1,_xlfn.SUMIFS(Comptabilité!$F$1:$F$1446,Comptabilité!$A$1:$A$1446,$A963,Comptabilité!$B$1:$B$1446,$B963,Comptabilité!$C$1:$C$1446,"2026"),0))</f>
        <v>32205.92</v>
      </c>
      <c r="G963">
        <f>IF($A963="","",IF($D963="V01",Cadrage!$C$23,IF($D963="V02",Cadrage!$D$23,Cadrage!$E$23)))</f>
        <v>0.15</v>
      </c>
      <c r="H963">
        <f>IF($A963="","",IF($D963="V01",Cadrage!$C$24,IF($D963="V02",Cadrage!$D$24,Cadrage!$E$24)))</f>
        <v>0.15</v>
      </c>
      <c r="I963">
        <f>IF($A963="","",IF($D963="V01",Cadrage!$C$34,IF($D963="V02",Cadrage!$D$34,Cadrage!$E$34)))</f>
        <v>0.015</v>
      </c>
      <c r="J963">
        <f>IF($A963="","",IF($D963="V01",Cadrage!$C$35,IF($D963="V02",Cadrage!$D$35,Cadrage!$E$35)))</f>
        <v>0.02</v>
      </c>
      <c r="K963">
        <f>IF($A963="","",IF($D963="V01",Cadrage!$C$36,IF($D963="V02",Cadrage!$D$36,Cadrage!$E$36)))</f>
        <v>0.03</v>
      </c>
      <c r="L963">
        <f>IF($A963="","",IF($D963="V01",Cadrage!$C$37,IF($D963="V02",Cadrage!$D$37,Cadrage!$E$37)))</f>
        <v>0.03</v>
      </c>
      <c r="M963">
        <f>IF($A963="","",IF($D963="V01",Cadrage!$C$38,IF($D963="V02",Cadrage!$D$38,Cadrage!$E$38)))</f>
        <v>-0.03</v>
      </c>
      <c r="N963">
        <f t="shared" si="1"/>
        <v>1.16083752922642</v>
      </c>
      <c r="O963">
        <f t="shared" si="2"/>
        <v>0.9550135</v>
      </c>
      <c r="P963">
        <f>IF($A963="","",IF($E963=1,$F963*$O963,PNL!G963))</f>
        <v>30757.08837992</v>
      </c>
      <c r="T963">
        <f t="shared" si="3"/>
        <v>-30757.08837992</v>
      </c>
    </row>
    <row r="964" ht="14.25" customHeight="1">
      <c r="A964" t="str">
        <f>IF(PNL!A964="","",PNL!A964)</f>
        <v>PIGIER_BOR</v>
      </c>
      <c r="B964" t="str">
        <f>IF(PNL!B964="","",PNL!B964)</f>
        <v>616</v>
      </c>
      <c r="C964" t="str">
        <f>IF(PNL!C964="","",PNL!C964)</f>
        <v>2027</v>
      </c>
      <c r="D964" t="str">
        <f>IF(PNL!D964="","",PNL!D964)</f>
        <v>V02</v>
      </c>
      <c r="E964">
        <f t="shared" si="0"/>
        <v>1</v>
      </c>
      <c r="F964">
        <f>IF($A964="","",IF($E964=1,_xlfn.SUMIFS(Comptabilité!$F$1:$F$1446,Comptabilité!$A$1:$A$1446,$A964,Comptabilité!$B$1:$B$1446,$B964,Comptabilité!$C$1:$C$1446,"2026"),0))</f>
        <v>8171.39</v>
      </c>
      <c r="G964">
        <f>IF($A964="","",IF($D964="V01",Cadrage!$C$23,IF($D964="V02",Cadrage!$D$23,Cadrage!$E$23)))</f>
        <v>0.15</v>
      </c>
      <c r="H964">
        <f>IF($A964="","",IF($D964="V01",Cadrage!$C$24,IF($D964="V02",Cadrage!$D$24,Cadrage!$E$24)))</f>
        <v>0.15</v>
      </c>
      <c r="I964">
        <f>IF($A964="","",IF($D964="V01",Cadrage!$C$34,IF($D964="V02",Cadrage!$D$34,Cadrage!$E$34)))</f>
        <v>0.015</v>
      </c>
      <c r="J964">
        <f>IF($A964="","",IF($D964="V01",Cadrage!$C$35,IF($D964="V02",Cadrage!$D$35,Cadrage!$E$35)))</f>
        <v>0.02</v>
      </c>
      <c r="K964">
        <f>IF($A964="","",IF($D964="V01",Cadrage!$C$36,IF($D964="V02",Cadrage!$D$36,Cadrage!$E$36)))</f>
        <v>0.03</v>
      </c>
      <c r="L964">
        <f>IF($A964="","",IF($D964="V01",Cadrage!$C$37,IF($D964="V02",Cadrage!$D$37,Cadrage!$E$37)))</f>
        <v>0.03</v>
      </c>
      <c r="M964">
        <f>IF($A964="","",IF($D964="V01",Cadrage!$C$38,IF($D964="V02",Cadrage!$D$38,Cadrage!$E$38)))</f>
        <v>-0.03</v>
      </c>
      <c r="N964">
        <f t="shared" si="1"/>
        <v>1.16083752922642</v>
      </c>
      <c r="O964">
        <f t="shared" si="2"/>
        <v>0.9550135</v>
      </c>
      <c r="P964">
        <f>IF($A964="","",IF($E964=1,$F964*$O964,PNL!G964))</f>
        <v>7803.787763765</v>
      </c>
      <c r="T964">
        <f t="shared" si="3"/>
        <v>-7803.787763765</v>
      </c>
    </row>
    <row r="965" ht="14.25" customHeight="1">
      <c r="A965" t="str">
        <f>IF(PNL!A965="","",PNL!A965)</f>
        <v>PIGIER_LYO</v>
      </c>
      <c r="B965" t="str">
        <f>IF(PNL!B965="","",PNL!B965)</f>
        <v>616</v>
      </c>
      <c r="C965" t="str">
        <f>IF(PNL!C965="","",PNL!C965)</f>
        <v>2027</v>
      </c>
      <c r="D965" t="str">
        <f>IF(PNL!D965="","",PNL!D965)</f>
        <v>V02</v>
      </c>
      <c r="E965">
        <f t="shared" si="0"/>
        <v>1</v>
      </c>
      <c r="F965">
        <f>IF($A965="","",IF($E965=1,_xlfn.SUMIFS(Comptabilité!$F$1:$F$1446,Comptabilité!$A$1:$A$1446,$A965,Comptabilité!$B$1:$B$1446,$B965,Comptabilité!$C$1:$C$1446,"2026"),0))</f>
        <v>13828.43</v>
      </c>
      <c r="G965">
        <f>IF($A965="","",IF($D965="V01",Cadrage!$C$23,IF($D965="V02",Cadrage!$D$23,Cadrage!$E$23)))</f>
        <v>0.15</v>
      </c>
      <c r="H965">
        <f>IF($A965="","",IF($D965="V01",Cadrage!$C$24,IF($D965="V02",Cadrage!$D$24,Cadrage!$E$24)))</f>
        <v>0.15</v>
      </c>
      <c r="I965">
        <f>IF($A965="","",IF($D965="V01",Cadrage!$C$34,IF($D965="V02",Cadrage!$D$34,Cadrage!$E$34)))</f>
        <v>0.015</v>
      </c>
      <c r="J965">
        <f>IF($A965="","",IF($D965="V01",Cadrage!$C$35,IF($D965="V02",Cadrage!$D$35,Cadrage!$E$35)))</f>
        <v>0.02</v>
      </c>
      <c r="K965">
        <f>IF($A965="","",IF($D965="V01",Cadrage!$C$36,IF($D965="V02",Cadrage!$D$36,Cadrage!$E$36)))</f>
        <v>0.03</v>
      </c>
      <c r="L965">
        <f>IF($A965="","",IF($D965="V01",Cadrage!$C$37,IF($D965="V02",Cadrage!$D$37,Cadrage!$E$37)))</f>
        <v>0.03</v>
      </c>
      <c r="M965">
        <f>IF($A965="","",IF($D965="V01",Cadrage!$C$38,IF($D965="V02",Cadrage!$D$38,Cadrage!$E$38)))</f>
        <v>-0.03</v>
      </c>
      <c r="N965">
        <f t="shared" si="1"/>
        <v>1.16083752922642</v>
      </c>
      <c r="O965">
        <f t="shared" si="2"/>
        <v>0.9550135</v>
      </c>
      <c r="P965">
        <f>IF($A965="","",IF($E965=1,$F965*$O965,PNL!G965))</f>
        <v>13206.337333805</v>
      </c>
      <c r="T965">
        <f t="shared" si="3"/>
        <v>-13206.337333805</v>
      </c>
    </row>
    <row r="966" ht="14.25" customHeight="1">
      <c r="A966" t="str">
        <f>IF(PNL!A966="","",PNL!A966)</f>
        <v>TUNON_LYO</v>
      </c>
      <c r="B966" t="str">
        <f>IF(PNL!B966="","",PNL!B966)</f>
        <v>616</v>
      </c>
      <c r="C966" t="str">
        <f>IF(PNL!C966="","",PNL!C966)</f>
        <v>2027</v>
      </c>
      <c r="D966" t="str">
        <f>IF(PNL!D966="","",PNL!D966)</f>
        <v>V02</v>
      </c>
      <c r="E966">
        <f t="shared" si="0"/>
        <v>1</v>
      </c>
      <c r="F966">
        <f>IF($A966="","",IF($E966=1,_xlfn.SUMIFS(Comptabilité!$F$1:$F$1446,Comptabilité!$A$1:$A$1446,$A966,Comptabilité!$B$1:$B$1446,$B966,Comptabilité!$C$1:$C$1446,"2026"),0))</f>
        <v>9133.84</v>
      </c>
      <c r="G966">
        <f>IF($A966="","",IF($D966="V01",Cadrage!$C$23,IF($D966="V02",Cadrage!$D$23,Cadrage!$E$23)))</f>
        <v>0.15</v>
      </c>
      <c r="H966">
        <f>IF($A966="","",IF($D966="V01",Cadrage!$C$24,IF($D966="V02",Cadrage!$D$24,Cadrage!$E$24)))</f>
        <v>0.15</v>
      </c>
      <c r="I966">
        <f>IF($A966="","",IF($D966="V01",Cadrage!$C$34,IF($D966="V02",Cadrage!$D$34,Cadrage!$E$34)))</f>
        <v>0.015</v>
      </c>
      <c r="J966">
        <f>IF($A966="","",IF($D966="V01",Cadrage!$C$35,IF($D966="V02",Cadrage!$D$35,Cadrage!$E$35)))</f>
        <v>0.02</v>
      </c>
      <c r="K966">
        <f>IF($A966="","",IF($D966="V01",Cadrage!$C$36,IF($D966="V02",Cadrage!$D$36,Cadrage!$E$36)))</f>
        <v>0.03</v>
      </c>
      <c r="L966">
        <f>IF($A966="","",IF($D966="V01",Cadrage!$C$37,IF($D966="V02",Cadrage!$D$37,Cadrage!$E$37)))</f>
        <v>0.03</v>
      </c>
      <c r="M966">
        <f>IF($A966="","",IF($D966="V01",Cadrage!$C$38,IF($D966="V02",Cadrage!$D$38,Cadrage!$E$38)))</f>
        <v>-0.03</v>
      </c>
      <c r="N966">
        <f t="shared" si="1"/>
        <v>1.16083752922642</v>
      </c>
      <c r="O966">
        <f t="shared" si="2"/>
        <v>0.9550135</v>
      </c>
      <c r="P966">
        <f>IF($A966="","",IF($E966=1,$F966*$O966,PNL!G966))</f>
        <v>8722.94050684</v>
      </c>
      <c r="T966">
        <f t="shared" si="3"/>
        <v>-8722.94050684</v>
      </c>
    </row>
    <row r="967" ht="14.25" customHeight="1">
      <c r="A967" t="str">
        <f>IF(PNL!A967="","",PNL!A967)</f>
        <v>TUNON_PAR</v>
      </c>
      <c r="B967" t="str">
        <f>IF(PNL!B967="","",PNL!B967)</f>
        <v>616</v>
      </c>
      <c r="C967" t="str">
        <f>IF(PNL!C967="","",PNL!C967)</f>
        <v>2027</v>
      </c>
      <c r="D967" t="str">
        <f>IF(PNL!D967="","",PNL!D967)</f>
        <v>V02</v>
      </c>
      <c r="E967">
        <f t="shared" si="0"/>
        <v>1</v>
      </c>
      <c r="F967">
        <f>IF($A967="","",IF($E967=1,_xlfn.SUMIFS(Comptabilité!$F$1:$F$1446,Comptabilité!$A$1:$A$1446,$A967,Comptabilité!$B$1:$B$1446,$B967,Comptabilité!$C$1:$C$1446,"2026"),0))</f>
        <v>12940.95</v>
      </c>
      <c r="G967">
        <f>IF($A967="","",IF($D967="V01",Cadrage!$C$23,IF($D967="V02",Cadrage!$D$23,Cadrage!$E$23)))</f>
        <v>0.15</v>
      </c>
      <c r="H967">
        <f>IF($A967="","",IF($D967="V01",Cadrage!$C$24,IF($D967="V02",Cadrage!$D$24,Cadrage!$E$24)))</f>
        <v>0.15</v>
      </c>
      <c r="I967">
        <f>IF($A967="","",IF($D967="V01",Cadrage!$C$34,IF($D967="V02",Cadrage!$D$34,Cadrage!$E$34)))</f>
        <v>0.015</v>
      </c>
      <c r="J967">
        <f>IF($A967="","",IF($D967="V01",Cadrage!$C$35,IF($D967="V02",Cadrage!$D$35,Cadrage!$E$35)))</f>
        <v>0.02</v>
      </c>
      <c r="K967">
        <f>IF($A967="","",IF($D967="V01",Cadrage!$C$36,IF($D967="V02",Cadrage!$D$36,Cadrage!$E$36)))</f>
        <v>0.03</v>
      </c>
      <c r="L967">
        <f>IF($A967="","",IF($D967="V01",Cadrage!$C$37,IF($D967="V02",Cadrage!$D$37,Cadrage!$E$37)))</f>
        <v>0.03</v>
      </c>
      <c r="M967">
        <f>IF($A967="","",IF($D967="V01",Cadrage!$C$38,IF($D967="V02",Cadrage!$D$38,Cadrage!$E$38)))</f>
        <v>-0.03</v>
      </c>
      <c r="N967">
        <f t="shared" si="1"/>
        <v>1.16083752922642</v>
      </c>
      <c r="O967">
        <f t="shared" si="2"/>
        <v>0.9550135</v>
      </c>
      <c r="P967">
        <f>IF($A967="","",IF($E967=1,$F967*$O967,PNL!G967))</f>
        <v>12358.781952825</v>
      </c>
      <c r="T967">
        <f t="shared" si="3"/>
        <v>-12358.781952825</v>
      </c>
    </row>
    <row r="968" ht="14.25" customHeight="1">
      <c r="A968" t="str">
        <f>IF(PNL!A968="","",PNL!A968)</f>
        <v>IPAC_MTP</v>
      </c>
      <c r="B968" t="str">
        <f>IF(PNL!B968="","",PNL!B968)</f>
        <v>621</v>
      </c>
      <c r="C968" t="str">
        <f>IF(PNL!C968="","",PNL!C968)</f>
        <v>2027</v>
      </c>
      <c r="D968" t="str">
        <f>IF(PNL!D968="","",PNL!D968)</f>
        <v>V02</v>
      </c>
      <c r="E968">
        <f t="shared" si="0"/>
        <v>1</v>
      </c>
      <c r="F968">
        <f>IF($A968="","",IF($E968=1,_xlfn.SUMIFS(Comptabilité!$F$1:$F$1446,Comptabilité!$A$1:$A$1446,$A968,Comptabilité!$B$1:$B$1446,$B968,Comptabilité!$C$1:$C$1446,"2026"),0))</f>
        <v>72438</v>
      </c>
      <c r="G968">
        <f>IF($A968="","",IF($D968="V01",Cadrage!$C$23,IF($D968="V02",Cadrage!$D$23,Cadrage!$E$23)))</f>
        <v>0.15</v>
      </c>
      <c r="H968">
        <f>IF($A968="","",IF($D968="V01",Cadrage!$C$24,IF($D968="V02",Cadrage!$D$24,Cadrage!$E$24)))</f>
        <v>0.15</v>
      </c>
      <c r="I968">
        <f>IF($A968="","",IF($D968="V01",Cadrage!$C$34,IF($D968="V02",Cadrage!$D$34,Cadrage!$E$34)))</f>
        <v>0.015</v>
      </c>
      <c r="J968">
        <f>IF($A968="","",IF($D968="V01",Cadrage!$C$35,IF($D968="V02",Cadrage!$D$35,Cadrage!$E$35)))</f>
        <v>0.02</v>
      </c>
      <c r="K968">
        <f>IF($A968="","",IF($D968="V01",Cadrage!$C$36,IF($D968="V02",Cadrage!$D$36,Cadrage!$E$36)))</f>
        <v>0.03</v>
      </c>
      <c r="L968">
        <f>IF($A968="","",IF($D968="V01",Cadrage!$C$37,IF($D968="V02",Cadrage!$D$37,Cadrage!$E$37)))</f>
        <v>0.03</v>
      </c>
      <c r="M968">
        <f>IF($A968="","",IF($D968="V01",Cadrage!$C$38,IF($D968="V02",Cadrage!$D$38,Cadrage!$E$38)))</f>
        <v>-0.03</v>
      </c>
      <c r="N968">
        <f t="shared" si="1"/>
        <v>1.16083752922642</v>
      </c>
      <c r="O968">
        <f t="shared" si="2"/>
        <v>1.12601240334963</v>
      </c>
      <c r="P968">
        <f>IF($A968="","",IF($E968=1,$F968*$O968,PNL!G968))</f>
        <v>81566.0864738405</v>
      </c>
      <c r="T968">
        <f t="shared" si="3"/>
        <v>-81566.0864738405</v>
      </c>
    </row>
    <row r="969" ht="14.25" customHeight="1">
      <c r="A969" t="str">
        <f>IF(PNL!A969="","",PNL!A969)</f>
        <v>IPAC_NAN</v>
      </c>
      <c r="B969" t="str">
        <f>IF(PNL!B969="","",PNL!B969)</f>
        <v>621</v>
      </c>
      <c r="C969" t="str">
        <f>IF(PNL!C969="","",PNL!C969)</f>
        <v>2027</v>
      </c>
      <c r="D969" t="str">
        <f>IF(PNL!D969="","",PNL!D969)</f>
        <v>V02</v>
      </c>
      <c r="E969">
        <f t="shared" si="0"/>
        <v>1</v>
      </c>
      <c r="F969">
        <f>IF($A969="","",IF($E969=1,_xlfn.SUMIFS(Comptabilité!$F$1:$F$1446,Comptabilité!$A$1:$A$1446,$A969,Comptabilité!$B$1:$B$1446,$B969,Comptabilité!$C$1:$C$1446,"2026"),0))</f>
        <v>72438</v>
      </c>
      <c r="G969">
        <f>IF($A969="","",IF($D969="V01",Cadrage!$C$23,IF($D969="V02",Cadrage!$D$23,Cadrage!$E$23)))</f>
        <v>0.15</v>
      </c>
      <c r="H969">
        <f>IF($A969="","",IF($D969="V01",Cadrage!$C$24,IF($D969="V02",Cadrage!$D$24,Cadrage!$E$24)))</f>
        <v>0.15</v>
      </c>
      <c r="I969">
        <f>IF($A969="","",IF($D969="V01",Cadrage!$C$34,IF($D969="V02",Cadrage!$D$34,Cadrage!$E$34)))</f>
        <v>0.015</v>
      </c>
      <c r="J969">
        <f>IF($A969="","",IF($D969="V01",Cadrage!$C$35,IF($D969="V02",Cadrage!$D$35,Cadrage!$E$35)))</f>
        <v>0.02</v>
      </c>
      <c r="K969">
        <f>IF($A969="","",IF($D969="V01",Cadrage!$C$36,IF($D969="V02",Cadrage!$D$36,Cadrage!$E$36)))</f>
        <v>0.03</v>
      </c>
      <c r="L969">
        <f>IF($A969="","",IF($D969="V01",Cadrage!$C$37,IF($D969="V02",Cadrage!$D$37,Cadrage!$E$37)))</f>
        <v>0.03</v>
      </c>
      <c r="M969">
        <f>IF($A969="","",IF($D969="V01",Cadrage!$C$38,IF($D969="V02",Cadrage!$D$38,Cadrage!$E$38)))</f>
        <v>-0.03</v>
      </c>
      <c r="N969">
        <f t="shared" si="1"/>
        <v>1.16083752922642</v>
      </c>
      <c r="O969">
        <f t="shared" si="2"/>
        <v>1.12601240334963</v>
      </c>
      <c r="P969">
        <f>IF($A969="","",IF($E969=1,$F969*$O969,PNL!G969))</f>
        <v>81566.0864738405</v>
      </c>
      <c r="T969">
        <f t="shared" si="3"/>
        <v>-81566.0864738405</v>
      </c>
    </row>
    <row r="970" ht="14.25" customHeight="1">
      <c r="A970" t="str">
        <f>IF(PNL!A970="","",PNL!A970)</f>
        <v>IPAC_REN</v>
      </c>
      <c r="B970" t="str">
        <f>IF(PNL!B970="","",PNL!B970)</f>
        <v>621</v>
      </c>
      <c r="C970" t="str">
        <f>IF(PNL!C970="","",PNL!C970)</f>
        <v>2027</v>
      </c>
      <c r="D970" t="str">
        <f>IF(PNL!D970="","",PNL!D970)</f>
        <v>V02</v>
      </c>
      <c r="E970">
        <f t="shared" si="0"/>
        <v>1</v>
      </c>
      <c r="F970">
        <f>IF($A970="","",IF($E970=1,_xlfn.SUMIFS(Comptabilité!$F$1:$F$1446,Comptabilité!$A$1:$A$1446,$A970,Comptabilité!$B$1:$B$1446,$B970,Comptabilité!$C$1:$C$1446,"2026"),0))</f>
        <v>72438</v>
      </c>
      <c r="G970">
        <f>IF($A970="","",IF($D970="V01",Cadrage!$C$23,IF($D970="V02",Cadrage!$D$23,Cadrage!$E$23)))</f>
        <v>0.15</v>
      </c>
      <c r="H970">
        <f>IF($A970="","",IF($D970="V01",Cadrage!$C$24,IF($D970="V02",Cadrage!$D$24,Cadrage!$E$24)))</f>
        <v>0.15</v>
      </c>
      <c r="I970">
        <f>IF($A970="","",IF($D970="V01",Cadrage!$C$34,IF($D970="V02",Cadrage!$D$34,Cadrage!$E$34)))</f>
        <v>0.015</v>
      </c>
      <c r="J970">
        <f>IF($A970="","",IF($D970="V01",Cadrage!$C$35,IF($D970="V02",Cadrage!$D$35,Cadrage!$E$35)))</f>
        <v>0.02</v>
      </c>
      <c r="K970">
        <f>IF($A970="","",IF($D970="V01",Cadrage!$C$36,IF($D970="V02",Cadrage!$D$36,Cadrage!$E$36)))</f>
        <v>0.03</v>
      </c>
      <c r="L970">
        <f>IF($A970="","",IF($D970="V01",Cadrage!$C$37,IF($D970="V02",Cadrage!$D$37,Cadrage!$E$37)))</f>
        <v>0.03</v>
      </c>
      <c r="M970">
        <f>IF($A970="","",IF($D970="V01",Cadrage!$C$38,IF($D970="V02",Cadrage!$D$38,Cadrage!$E$38)))</f>
        <v>-0.03</v>
      </c>
      <c r="N970">
        <f t="shared" si="1"/>
        <v>1.16083752922642</v>
      </c>
      <c r="O970">
        <f t="shared" si="2"/>
        <v>1.12601240334963</v>
      </c>
      <c r="P970">
        <f>IF($A970="","",IF($E970=1,$F970*$O970,PNL!G970))</f>
        <v>81566.0864738405</v>
      </c>
      <c r="T970">
        <f t="shared" si="3"/>
        <v>-81566.0864738405</v>
      </c>
    </row>
    <row r="971" ht="14.25" customHeight="1">
      <c r="A971" t="str">
        <f>IF(PNL!A971="","",PNL!A971)</f>
        <v>ISCOM_LIL</v>
      </c>
      <c r="B971" t="str">
        <f>IF(PNL!B971="","",PNL!B971)</f>
        <v>621</v>
      </c>
      <c r="C971" t="str">
        <f>IF(PNL!C971="","",PNL!C971)</f>
        <v>2027</v>
      </c>
      <c r="D971" t="str">
        <f>IF(PNL!D971="","",PNL!D971)</f>
        <v>V02</v>
      </c>
      <c r="E971">
        <f t="shared" si="0"/>
        <v>1</v>
      </c>
      <c r="F971">
        <f>IF($A971="","",IF($E971=1,_xlfn.SUMIFS(Comptabilité!$F$1:$F$1446,Comptabilité!$A$1:$A$1446,$A971,Comptabilité!$B$1:$B$1446,$B971,Comptabilité!$C$1:$C$1446,"2026"),0))</f>
        <v>120729</v>
      </c>
      <c r="G971">
        <f>IF($A971="","",IF($D971="V01",Cadrage!$C$23,IF($D971="V02",Cadrage!$D$23,Cadrage!$E$23)))</f>
        <v>0.15</v>
      </c>
      <c r="H971">
        <f>IF($A971="","",IF($D971="V01",Cadrage!$C$24,IF($D971="V02",Cadrage!$D$24,Cadrage!$E$24)))</f>
        <v>0.15</v>
      </c>
      <c r="I971">
        <f>IF($A971="","",IF($D971="V01",Cadrage!$C$34,IF($D971="V02",Cadrage!$D$34,Cadrage!$E$34)))</f>
        <v>0.015</v>
      </c>
      <c r="J971">
        <f>IF($A971="","",IF($D971="V01",Cadrage!$C$35,IF($D971="V02",Cadrage!$D$35,Cadrage!$E$35)))</f>
        <v>0.02</v>
      </c>
      <c r="K971">
        <f>IF($A971="","",IF($D971="V01",Cadrage!$C$36,IF($D971="V02",Cadrage!$D$36,Cadrage!$E$36)))</f>
        <v>0.03</v>
      </c>
      <c r="L971">
        <f>IF($A971="","",IF($D971="V01",Cadrage!$C$37,IF($D971="V02",Cadrage!$D$37,Cadrage!$E$37)))</f>
        <v>0.03</v>
      </c>
      <c r="M971">
        <f>IF($A971="","",IF($D971="V01",Cadrage!$C$38,IF($D971="V02",Cadrage!$D$38,Cadrage!$E$38)))</f>
        <v>-0.03</v>
      </c>
      <c r="N971">
        <f t="shared" si="1"/>
        <v>1.16083752922642</v>
      </c>
      <c r="O971">
        <f t="shared" si="2"/>
        <v>1.12601240334963</v>
      </c>
      <c r="P971">
        <f>IF($A971="","",IF($E971=1,$F971*$O971,PNL!G971))</f>
        <v>135942.351443997</v>
      </c>
      <c r="T971">
        <f t="shared" si="3"/>
        <v>-135942.351443997</v>
      </c>
    </row>
    <row r="972" ht="14.25" customHeight="1">
      <c r="A972" t="str">
        <f>IF(PNL!A972="","",PNL!A972)</f>
        <v>ISCOM_PAR</v>
      </c>
      <c r="B972" t="str">
        <f>IF(PNL!B972="","",PNL!B972)</f>
        <v>621</v>
      </c>
      <c r="C972" t="str">
        <f>IF(PNL!C972="","",PNL!C972)</f>
        <v>2027</v>
      </c>
      <c r="D972" t="str">
        <f>IF(PNL!D972="","",PNL!D972)</f>
        <v>V02</v>
      </c>
      <c r="E972">
        <f t="shared" si="0"/>
        <v>1</v>
      </c>
      <c r="F972">
        <f>IF($A972="","",IF($E972=1,_xlfn.SUMIFS(Comptabilité!$F$1:$F$1446,Comptabilité!$A$1:$A$1446,$A972,Comptabilité!$B$1:$B$1446,$B972,Comptabilité!$C$1:$C$1446,"2026"),0))</f>
        <v>181094</v>
      </c>
      <c r="G972">
        <f>IF($A972="","",IF($D972="V01",Cadrage!$C$23,IF($D972="V02",Cadrage!$D$23,Cadrage!$E$23)))</f>
        <v>0.15</v>
      </c>
      <c r="H972">
        <f>IF($A972="","",IF($D972="V01",Cadrage!$C$24,IF($D972="V02",Cadrage!$D$24,Cadrage!$E$24)))</f>
        <v>0.15</v>
      </c>
      <c r="I972">
        <f>IF($A972="","",IF($D972="V01",Cadrage!$C$34,IF($D972="V02",Cadrage!$D$34,Cadrage!$E$34)))</f>
        <v>0.015</v>
      </c>
      <c r="J972">
        <f>IF($A972="","",IF($D972="V01",Cadrage!$C$35,IF($D972="V02",Cadrage!$D$35,Cadrage!$E$35)))</f>
        <v>0.02</v>
      </c>
      <c r="K972">
        <f>IF($A972="","",IF($D972="V01",Cadrage!$C$36,IF($D972="V02",Cadrage!$D$36,Cadrage!$E$36)))</f>
        <v>0.03</v>
      </c>
      <c r="L972">
        <f>IF($A972="","",IF($D972="V01",Cadrage!$C$37,IF($D972="V02",Cadrage!$D$37,Cadrage!$E$37)))</f>
        <v>0.03</v>
      </c>
      <c r="M972">
        <f>IF($A972="","",IF($D972="V01",Cadrage!$C$38,IF($D972="V02",Cadrage!$D$38,Cadrage!$E$38)))</f>
        <v>-0.03</v>
      </c>
      <c r="N972">
        <f t="shared" si="1"/>
        <v>1.16083752922642</v>
      </c>
      <c r="O972">
        <f t="shared" si="2"/>
        <v>1.12601240334963</v>
      </c>
      <c r="P972">
        <f>IF($A972="","",IF($E972=1,$F972*$O972,PNL!G972))</f>
        <v>203914.090172198</v>
      </c>
      <c r="T972">
        <f t="shared" si="3"/>
        <v>-203914.090172198</v>
      </c>
    </row>
    <row r="973" ht="14.25" customHeight="1">
      <c r="A973" t="str">
        <f>IF(PNL!A973="","",PNL!A973)</f>
        <v>ISCOM_TLS</v>
      </c>
      <c r="B973" t="str">
        <f>IF(PNL!B973="","",PNL!B973)</f>
        <v>621</v>
      </c>
      <c r="C973" t="str">
        <f>IF(PNL!C973="","",PNL!C973)</f>
        <v>2027</v>
      </c>
      <c r="D973" t="str">
        <f>IF(PNL!D973="","",PNL!D973)</f>
        <v>V02</v>
      </c>
      <c r="E973">
        <f t="shared" si="0"/>
        <v>1</v>
      </c>
      <c r="F973">
        <f>IF($A973="","",IF($E973=1,_xlfn.SUMIFS(Comptabilité!$F$1:$F$1446,Comptabilité!$A$1:$A$1446,$A973,Comptabilité!$B$1:$B$1446,$B973,Comptabilité!$C$1:$C$1446,"2026"),0))</f>
        <v>120729</v>
      </c>
      <c r="G973">
        <f>IF($A973="","",IF($D973="V01",Cadrage!$C$23,IF($D973="V02",Cadrage!$D$23,Cadrage!$E$23)))</f>
        <v>0.15</v>
      </c>
      <c r="H973">
        <f>IF($A973="","",IF($D973="V01",Cadrage!$C$24,IF($D973="V02",Cadrage!$D$24,Cadrage!$E$24)))</f>
        <v>0.15</v>
      </c>
      <c r="I973">
        <f>IF($A973="","",IF($D973="V01",Cadrage!$C$34,IF($D973="V02",Cadrage!$D$34,Cadrage!$E$34)))</f>
        <v>0.015</v>
      </c>
      <c r="J973">
        <f>IF($A973="","",IF($D973="V01",Cadrage!$C$35,IF($D973="V02",Cadrage!$D$35,Cadrage!$E$35)))</f>
        <v>0.02</v>
      </c>
      <c r="K973">
        <f>IF($A973="","",IF($D973="V01",Cadrage!$C$36,IF($D973="V02",Cadrage!$D$36,Cadrage!$E$36)))</f>
        <v>0.03</v>
      </c>
      <c r="L973">
        <f>IF($A973="","",IF($D973="V01",Cadrage!$C$37,IF($D973="V02",Cadrage!$D$37,Cadrage!$E$37)))</f>
        <v>0.03</v>
      </c>
      <c r="M973">
        <f>IF($A973="","",IF($D973="V01",Cadrage!$C$38,IF($D973="V02",Cadrage!$D$38,Cadrage!$E$38)))</f>
        <v>-0.03</v>
      </c>
      <c r="N973">
        <f t="shared" si="1"/>
        <v>1.16083752922642</v>
      </c>
      <c r="O973">
        <f t="shared" si="2"/>
        <v>1.12601240334963</v>
      </c>
      <c r="P973">
        <f>IF($A973="","",IF($E973=1,$F973*$O973,PNL!G973))</f>
        <v>135942.351443997</v>
      </c>
      <c r="T973">
        <f t="shared" si="3"/>
        <v>-135942.351443997</v>
      </c>
    </row>
    <row r="974" ht="14.25" customHeight="1">
      <c r="A974" t="str">
        <f>IF(PNL!A974="","",PNL!A974)</f>
        <v>MBWAY_BOR</v>
      </c>
      <c r="B974" t="str">
        <f>IF(PNL!B974="","",PNL!B974)</f>
        <v>621</v>
      </c>
      <c r="C974" t="str">
        <f>IF(PNL!C974="","",PNL!C974)</f>
        <v>2027</v>
      </c>
      <c r="D974" t="str">
        <f>IF(PNL!D974="","",PNL!D974)</f>
        <v>V02</v>
      </c>
      <c r="E974">
        <f t="shared" si="0"/>
        <v>1</v>
      </c>
      <c r="F974">
        <f>IF($A974="","",IF($E974=1,_xlfn.SUMIFS(Comptabilité!$F$1:$F$1446,Comptabilité!$A$1:$A$1446,$A974,Comptabilité!$B$1:$B$1446,$B974,Comptabilité!$C$1:$C$1446,"2026"),0))</f>
        <v>120729</v>
      </c>
      <c r="G974">
        <f>IF($A974="","",IF($D974="V01",Cadrage!$C$23,IF($D974="V02",Cadrage!$D$23,Cadrage!$E$23)))</f>
        <v>0.15</v>
      </c>
      <c r="H974">
        <f>IF($A974="","",IF($D974="V01",Cadrage!$C$24,IF($D974="V02",Cadrage!$D$24,Cadrage!$E$24)))</f>
        <v>0.15</v>
      </c>
      <c r="I974">
        <f>IF($A974="","",IF($D974="V01",Cadrage!$C$34,IF($D974="V02",Cadrage!$D$34,Cadrage!$E$34)))</f>
        <v>0.015</v>
      </c>
      <c r="J974">
        <f>IF($A974="","",IF($D974="V01",Cadrage!$C$35,IF($D974="V02",Cadrage!$D$35,Cadrage!$E$35)))</f>
        <v>0.02</v>
      </c>
      <c r="K974">
        <f>IF($A974="","",IF($D974="V01",Cadrage!$C$36,IF($D974="V02",Cadrage!$D$36,Cadrage!$E$36)))</f>
        <v>0.03</v>
      </c>
      <c r="L974">
        <f>IF($A974="","",IF($D974="V01",Cadrage!$C$37,IF($D974="V02",Cadrage!$D$37,Cadrage!$E$37)))</f>
        <v>0.03</v>
      </c>
      <c r="M974">
        <f>IF($A974="","",IF($D974="V01",Cadrage!$C$38,IF($D974="V02",Cadrage!$D$38,Cadrage!$E$38)))</f>
        <v>-0.03</v>
      </c>
      <c r="N974">
        <f t="shared" si="1"/>
        <v>1.16083752922642</v>
      </c>
      <c r="O974">
        <f t="shared" si="2"/>
        <v>1.12601240334963</v>
      </c>
      <c r="P974">
        <f>IF($A974="","",IF($E974=1,$F974*$O974,PNL!G974))</f>
        <v>135942.351443997</v>
      </c>
      <c r="T974">
        <f t="shared" si="3"/>
        <v>-135942.351443997</v>
      </c>
    </row>
    <row r="975" ht="14.25" customHeight="1">
      <c r="A975" t="str">
        <f>IF(PNL!A975="","",PNL!A975)</f>
        <v>MBWAY_LYO</v>
      </c>
      <c r="B975" t="str">
        <f>IF(PNL!B975="","",PNL!B975)</f>
        <v>621</v>
      </c>
      <c r="C975" t="str">
        <f>IF(PNL!C975="","",PNL!C975)</f>
        <v>2027</v>
      </c>
      <c r="D975" t="str">
        <f>IF(PNL!D975="","",PNL!D975)</f>
        <v>V02</v>
      </c>
      <c r="E975">
        <f t="shared" si="0"/>
        <v>1</v>
      </c>
      <c r="F975">
        <f>IF($A975="","",IF($E975=1,_xlfn.SUMIFS(Comptabilité!$F$1:$F$1446,Comptabilité!$A$1:$A$1446,$A975,Comptabilité!$B$1:$B$1446,$B975,Comptabilité!$C$1:$C$1446,"2026"),0))</f>
        <v>156948</v>
      </c>
      <c r="G975">
        <f>IF($A975="","",IF($D975="V01",Cadrage!$C$23,IF($D975="V02",Cadrage!$D$23,Cadrage!$E$23)))</f>
        <v>0.15</v>
      </c>
      <c r="H975">
        <f>IF($A975="","",IF($D975="V01",Cadrage!$C$24,IF($D975="V02",Cadrage!$D$24,Cadrage!$E$24)))</f>
        <v>0.15</v>
      </c>
      <c r="I975">
        <f>IF($A975="","",IF($D975="V01",Cadrage!$C$34,IF($D975="V02",Cadrage!$D$34,Cadrage!$E$34)))</f>
        <v>0.015</v>
      </c>
      <c r="J975">
        <f>IF($A975="","",IF($D975="V01",Cadrage!$C$35,IF($D975="V02",Cadrage!$D$35,Cadrage!$E$35)))</f>
        <v>0.02</v>
      </c>
      <c r="K975">
        <f>IF($A975="","",IF($D975="V01",Cadrage!$C$36,IF($D975="V02",Cadrage!$D$36,Cadrage!$E$36)))</f>
        <v>0.03</v>
      </c>
      <c r="L975">
        <f>IF($A975="","",IF($D975="V01",Cadrage!$C$37,IF($D975="V02",Cadrage!$D$37,Cadrage!$E$37)))</f>
        <v>0.03</v>
      </c>
      <c r="M975">
        <f>IF($A975="","",IF($D975="V01",Cadrage!$C$38,IF($D975="V02",Cadrage!$D$38,Cadrage!$E$38)))</f>
        <v>-0.03</v>
      </c>
      <c r="N975">
        <f t="shared" si="1"/>
        <v>1.16083752922642</v>
      </c>
      <c r="O975">
        <f t="shared" si="2"/>
        <v>1.12601240334963</v>
      </c>
      <c r="P975">
        <f>IF($A975="","",IF($E975=1,$F975*$O975,PNL!G975))</f>
        <v>176725.394680918</v>
      </c>
      <c r="T975">
        <f t="shared" si="3"/>
        <v>-176725.394680918</v>
      </c>
    </row>
    <row r="976" ht="14.25" customHeight="1">
      <c r="A976" t="str">
        <f>IF(PNL!A976="","",PNL!A976)</f>
        <v>MBWAY_NAN</v>
      </c>
      <c r="B976" t="str">
        <f>IF(PNL!B976="","",PNL!B976)</f>
        <v>621</v>
      </c>
      <c r="C976" t="str">
        <f>IF(PNL!C976="","",PNL!C976)</f>
        <v>2027</v>
      </c>
      <c r="D976" t="str">
        <f>IF(PNL!D976="","",PNL!D976)</f>
        <v>V02</v>
      </c>
      <c r="E976">
        <f t="shared" si="0"/>
        <v>1</v>
      </c>
      <c r="F976">
        <f>IF($A976="","",IF($E976=1,_xlfn.SUMIFS(Comptabilité!$F$1:$F$1446,Comptabilité!$A$1:$A$1446,$A976,Comptabilité!$B$1:$B$1446,$B976,Comptabilité!$C$1:$C$1446,"2026"),0))</f>
        <v>144875</v>
      </c>
      <c r="G976">
        <f>IF($A976="","",IF($D976="V01",Cadrage!$C$23,IF($D976="V02",Cadrage!$D$23,Cadrage!$E$23)))</f>
        <v>0.15</v>
      </c>
      <c r="H976">
        <f>IF($A976="","",IF($D976="V01",Cadrage!$C$24,IF($D976="V02",Cadrage!$D$24,Cadrage!$E$24)))</f>
        <v>0.15</v>
      </c>
      <c r="I976">
        <f>IF($A976="","",IF($D976="V01",Cadrage!$C$34,IF($D976="V02",Cadrage!$D$34,Cadrage!$E$34)))</f>
        <v>0.015</v>
      </c>
      <c r="J976">
        <f>IF($A976="","",IF($D976="V01",Cadrage!$C$35,IF($D976="V02",Cadrage!$D$35,Cadrage!$E$35)))</f>
        <v>0.02</v>
      </c>
      <c r="K976">
        <f>IF($A976="","",IF($D976="V01",Cadrage!$C$36,IF($D976="V02",Cadrage!$D$36,Cadrage!$E$36)))</f>
        <v>0.03</v>
      </c>
      <c r="L976">
        <f>IF($A976="","",IF($D976="V01",Cadrage!$C$37,IF($D976="V02",Cadrage!$D$37,Cadrage!$E$37)))</f>
        <v>0.03</v>
      </c>
      <c r="M976">
        <f>IF($A976="","",IF($D976="V01",Cadrage!$C$38,IF($D976="V02",Cadrage!$D$38,Cadrage!$E$38)))</f>
        <v>-0.03</v>
      </c>
      <c r="N976">
        <f t="shared" si="1"/>
        <v>1.16083752922642</v>
      </c>
      <c r="O976">
        <f t="shared" si="2"/>
        <v>1.12601240334963</v>
      </c>
      <c r="P976">
        <f>IF($A976="","",IF($E976=1,$F976*$O976,PNL!G976))</f>
        <v>163131.046935278</v>
      </c>
      <c r="T976">
        <f t="shared" si="3"/>
        <v>-163131.046935278</v>
      </c>
    </row>
    <row r="977" ht="14.25" customHeight="1">
      <c r="A977" t="str">
        <f>IF(PNL!A977="","",PNL!A977)</f>
        <v>MBWAY_PAR</v>
      </c>
      <c r="B977" t="str">
        <f>IF(PNL!B977="","",PNL!B977)</f>
        <v>621</v>
      </c>
      <c r="C977" t="str">
        <f>IF(PNL!C977="","",PNL!C977)</f>
        <v>2027</v>
      </c>
      <c r="D977" t="str">
        <f>IF(PNL!D977="","",PNL!D977)</f>
        <v>V02</v>
      </c>
      <c r="E977">
        <f t="shared" si="0"/>
        <v>1</v>
      </c>
      <c r="F977">
        <f>IF($A977="","",IF($E977=1,_xlfn.SUMIFS(Comptabilité!$F$1:$F$1446,Comptabilité!$A$1:$A$1446,$A977,Comptabilité!$B$1:$B$1446,$B977,Comptabilité!$C$1:$C$1446,"2026"),0))</f>
        <v>181094</v>
      </c>
      <c r="G977">
        <f>IF($A977="","",IF($D977="V01",Cadrage!$C$23,IF($D977="V02",Cadrage!$D$23,Cadrage!$E$23)))</f>
        <v>0.15</v>
      </c>
      <c r="H977">
        <f>IF($A977="","",IF($D977="V01",Cadrage!$C$24,IF($D977="V02",Cadrage!$D$24,Cadrage!$E$24)))</f>
        <v>0.15</v>
      </c>
      <c r="I977">
        <f>IF($A977="","",IF($D977="V01",Cadrage!$C$34,IF($D977="V02",Cadrage!$D$34,Cadrage!$E$34)))</f>
        <v>0.015</v>
      </c>
      <c r="J977">
        <f>IF($A977="","",IF($D977="V01",Cadrage!$C$35,IF($D977="V02",Cadrage!$D$35,Cadrage!$E$35)))</f>
        <v>0.02</v>
      </c>
      <c r="K977">
        <f>IF($A977="","",IF($D977="V01",Cadrage!$C$36,IF($D977="V02",Cadrage!$D$36,Cadrage!$E$36)))</f>
        <v>0.03</v>
      </c>
      <c r="L977">
        <f>IF($A977="","",IF($D977="V01",Cadrage!$C$37,IF($D977="V02",Cadrage!$D$37,Cadrage!$E$37)))</f>
        <v>0.03</v>
      </c>
      <c r="M977">
        <f>IF($A977="","",IF($D977="V01",Cadrage!$C$38,IF($D977="V02",Cadrage!$D$38,Cadrage!$E$38)))</f>
        <v>-0.03</v>
      </c>
      <c r="N977">
        <f t="shared" si="1"/>
        <v>1.16083752922642</v>
      </c>
      <c r="O977">
        <f t="shared" si="2"/>
        <v>1.12601240334963</v>
      </c>
      <c r="P977">
        <f>IF($A977="","",IF($E977=1,$F977*$O977,PNL!G977))</f>
        <v>203914.090172198</v>
      </c>
      <c r="T977">
        <f t="shared" si="3"/>
        <v>-203914.090172198</v>
      </c>
    </row>
    <row r="978" ht="14.25" customHeight="1">
      <c r="A978" t="str">
        <f>IF(PNL!A978="","",PNL!A978)</f>
        <v>PIGIER_BOR</v>
      </c>
      <c r="B978" t="str">
        <f>IF(PNL!B978="","",PNL!B978)</f>
        <v>621</v>
      </c>
      <c r="C978" t="str">
        <f>IF(PNL!C978="","",PNL!C978)</f>
        <v>2027</v>
      </c>
      <c r="D978" t="str">
        <f>IF(PNL!D978="","",PNL!D978)</f>
        <v>V02</v>
      </c>
      <c r="E978">
        <f t="shared" si="0"/>
        <v>1</v>
      </c>
      <c r="F978">
        <f>IF($A978="","",IF($E978=1,_xlfn.SUMIFS(Comptabilité!$F$1:$F$1446,Comptabilité!$A$1:$A$1446,$A978,Comptabilité!$B$1:$B$1446,$B978,Comptabilité!$C$1:$C$1446,"2026"),0))</f>
        <v>96583</v>
      </c>
      <c r="G978">
        <f>IF($A978="","",IF($D978="V01",Cadrage!$C$23,IF($D978="V02",Cadrage!$D$23,Cadrage!$E$23)))</f>
        <v>0.15</v>
      </c>
      <c r="H978">
        <f>IF($A978="","",IF($D978="V01",Cadrage!$C$24,IF($D978="V02",Cadrage!$D$24,Cadrage!$E$24)))</f>
        <v>0.15</v>
      </c>
      <c r="I978">
        <f>IF($A978="","",IF($D978="V01",Cadrage!$C$34,IF($D978="V02",Cadrage!$D$34,Cadrage!$E$34)))</f>
        <v>0.015</v>
      </c>
      <c r="J978">
        <f>IF($A978="","",IF($D978="V01",Cadrage!$C$35,IF($D978="V02",Cadrage!$D$35,Cadrage!$E$35)))</f>
        <v>0.02</v>
      </c>
      <c r="K978">
        <f>IF($A978="","",IF($D978="V01",Cadrage!$C$36,IF($D978="V02",Cadrage!$D$36,Cadrage!$E$36)))</f>
        <v>0.03</v>
      </c>
      <c r="L978">
        <f>IF($A978="","",IF($D978="V01",Cadrage!$C$37,IF($D978="V02",Cadrage!$D$37,Cadrage!$E$37)))</f>
        <v>0.03</v>
      </c>
      <c r="M978">
        <f>IF($A978="","",IF($D978="V01",Cadrage!$C$38,IF($D978="V02",Cadrage!$D$38,Cadrage!$E$38)))</f>
        <v>-0.03</v>
      </c>
      <c r="N978">
        <f t="shared" si="1"/>
        <v>1.16083752922642</v>
      </c>
      <c r="O978">
        <f t="shared" si="2"/>
        <v>1.12601240334963</v>
      </c>
      <c r="P978">
        <f>IF($A978="","",IF($E978=1,$F978*$O978,PNL!G978))</f>
        <v>108753.655952717</v>
      </c>
      <c r="T978">
        <f t="shared" si="3"/>
        <v>-108753.655952717</v>
      </c>
    </row>
    <row r="979" ht="14.25" customHeight="1">
      <c r="A979" t="str">
        <f>IF(PNL!A979="","",PNL!A979)</f>
        <v>PIGIER_LYO</v>
      </c>
      <c r="B979" t="str">
        <f>IF(PNL!B979="","",PNL!B979)</f>
        <v>621</v>
      </c>
      <c r="C979" t="str">
        <f>IF(PNL!C979="","",PNL!C979)</f>
        <v>2027</v>
      </c>
      <c r="D979" t="str">
        <f>IF(PNL!D979="","",PNL!D979)</f>
        <v>V02</v>
      </c>
      <c r="E979">
        <f t="shared" si="0"/>
        <v>1</v>
      </c>
      <c r="F979">
        <f>IF($A979="","",IF($E979=1,_xlfn.SUMIFS(Comptabilité!$F$1:$F$1446,Comptabilité!$A$1:$A$1446,$A979,Comptabilité!$B$1:$B$1446,$B979,Comptabilité!$C$1:$C$1446,"2026"),0))</f>
        <v>96583</v>
      </c>
      <c r="G979">
        <f>IF($A979="","",IF($D979="V01",Cadrage!$C$23,IF($D979="V02",Cadrage!$D$23,Cadrage!$E$23)))</f>
        <v>0.15</v>
      </c>
      <c r="H979">
        <f>IF($A979="","",IF($D979="V01",Cadrage!$C$24,IF($D979="V02",Cadrage!$D$24,Cadrage!$E$24)))</f>
        <v>0.15</v>
      </c>
      <c r="I979">
        <f>IF($A979="","",IF($D979="V01",Cadrage!$C$34,IF($D979="V02",Cadrage!$D$34,Cadrage!$E$34)))</f>
        <v>0.015</v>
      </c>
      <c r="J979">
        <f>IF($A979="","",IF($D979="V01",Cadrage!$C$35,IF($D979="V02",Cadrage!$D$35,Cadrage!$E$35)))</f>
        <v>0.02</v>
      </c>
      <c r="K979">
        <f>IF($A979="","",IF($D979="V01",Cadrage!$C$36,IF($D979="V02",Cadrage!$D$36,Cadrage!$E$36)))</f>
        <v>0.03</v>
      </c>
      <c r="L979">
        <f>IF($A979="","",IF($D979="V01",Cadrage!$C$37,IF($D979="V02",Cadrage!$D$37,Cadrage!$E$37)))</f>
        <v>0.03</v>
      </c>
      <c r="M979">
        <f>IF($A979="","",IF($D979="V01",Cadrage!$C$38,IF($D979="V02",Cadrage!$D$38,Cadrage!$E$38)))</f>
        <v>-0.03</v>
      </c>
      <c r="N979">
        <f t="shared" si="1"/>
        <v>1.16083752922642</v>
      </c>
      <c r="O979">
        <f t="shared" si="2"/>
        <v>1.12601240334963</v>
      </c>
      <c r="P979">
        <f>IF($A979="","",IF($E979=1,$F979*$O979,PNL!G979))</f>
        <v>108753.655952717</v>
      </c>
      <c r="T979">
        <f t="shared" si="3"/>
        <v>-108753.655952717</v>
      </c>
    </row>
    <row r="980" ht="14.25" customHeight="1">
      <c r="A980" t="str">
        <f>IF(PNL!A980="","",PNL!A980)</f>
        <v>TUNON_LYO</v>
      </c>
      <c r="B980" t="str">
        <f>IF(PNL!B980="","",PNL!B980)</f>
        <v>621</v>
      </c>
      <c r="C980" t="str">
        <f>IF(PNL!C980="","",PNL!C980)</f>
        <v>2027</v>
      </c>
      <c r="D980" t="str">
        <f>IF(PNL!D980="","",PNL!D980)</f>
        <v>V02</v>
      </c>
      <c r="E980">
        <f t="shared" si="0"/>
        <v>1</v>
      </c>
      <c r="F980">
        <f>IF($A980="","",IF($E980=1,_xlfn.SUMIFS(Comptabilité!$F$1:$F$1446,Comptabilité!$A$1:$A$1446,$A980,Comptabilité!$B$1:$B$1446,$B980,Comptabilité!$C$1:$C$1446,"2026"),0))</f>
        <v>72438</v>
      </c>
      <c r="G980">
        <f>IF($A980="","",IF($D980="V01",Cadrage!$C$23,IF($D980="V02",Cadrage!$D$23,Cadrage!$E$23)))</f>
        <v>0.15</v>
      </c>
      <c r="H980">
        <f>IF($A980="","",IF($D980="V01",Cadrage!$C$24,IF($D980="V02",Cadrage!$D$24,Cadrage!$E$24)))</f>
        <v>0.15</v>
      </c>
      <c r="I980">
        <f>IF($A980="","",IF($D980="V01",Cadrage!$C$34,IF($D980="V02",Cadrage!$D$34,Cadrage!$E$34)))</f>
        <v>0.015</v>
      </c>
      <c r="J980">
        <f>IF($A980="","",IF($D980="V01",Cadrage!$C$35,IF($D980="V02",Cadrage!$D$35,Cadrage!$E$35)))</f>
        <v>0.02</v>
      </c>
      <c r="K980">
        <f>IF($A980="","",IF($D980="V01",Cadrage!$C$36,IF($D980="V02",Cadrage!$D$36,Cadrage!$E$36)))</f>
        <v>0.03</v>
      </c>
      <c r="L980">
        <f>IF($A980="","",IF($D980="V01",Cadrage!$C$37,IF($D980="V02",Cadrage!$D$37,Cadrage!$E$37)))</f>
        <v>0.03</v>
      </c>
      <c r="M980">
        <f>IF($A980="","",IF($D980="V01",Cadrage!$C$38,IF($D980="V02",Cadrage!$D$38,Cadrage!$E$38)))</f>
        <v>-0.03</v>
      </c>
      <c r="N980">
        <f t="shared" si="1"/>
        <v>1.16083752922642</v>
      </c>
      <c r="O980">
        <f t="shared" si="2"/>
        <v>1.12601240334963</v>
      </c>
      <c r="P980">
        <f>IF($A980="","",IF($E980=1,$F980*$O980,PNL!G980))</f>
        <v>81566.0864738405</v>
      </c>
      <c r="T980">
        <f t="shared" si="3"/>
        <v>-81566.0864738405</v>
      </c>
    </row>
    <row r="981" ht="14.25" customHeight="1">
      <c r="A981" t="str">
        <f>IF(PNL!A981="","",PNL!A981)</f>
        <v>TUNON_PAR</v>
      </c>
      <c r="B981" t="str">
        <f>IF(PNL!B981="","",PNL!B981)</f>
        <v>621</v>
      </c>
      <c r="C981" t="str">
        <f>IF(PNL!C981="","",PNL!C981)</f>
        <v>2027</v>
      </c>
      <c r="D981" t="str">
        <f>IF(PNL!D981="","",PNL!D981)</f>
        <v>V02</v>
      </c>
      <c r="E981">
        <f t="shared" si="0"/>
        <v>1</v>
      </c>
      <c r="F981">
        <f>IF($A981="","",IF($E981=1,_xlfn.SUMIFS(Comptabilité!$F$1:$F$1446,Comptabilité!$A$1:$A$1446,$A981,Comptabilité!$B$1:$B$1446,$B981,Comptabilité!$C$1:$C$1446,"2026"),0))</f>
        <v>72438</v>
      </c>
      <c r="G981">
        <f>IF($A981="","",IF($D981="V01",Cadrage!$C$23,IF($D981="V02",Cadrage!$D$23,Cadrage!$E$23)))</f>
        <v>0.15</v>
      </c>
      <c r="H981">
        <f>IF($A981="","",IF($D981="V01",Cadrage!$C$24,IF($D981="V02",Cadrage!$D$24,Cadrage!$E$24)))</f>
        <v>0.15</v>
      </c>
      <c r="I981">
        <f>IF($A981="","",IF($D981="V01",Cadrage!$C$34,IF($D981="V02",Cadrage!$D$34,Cadrage!$E$34)))</f>
        <v>0.015</v>
      </c>
      <c r="J981">
        <f>IF($A981="","",IF($D981="V01",Cadrage!$C$35,IF($D981="V02",Cadrage!$D$35,Cadrage!$E$35)))</f>
        <v>0.02</v>
      </c>
      <c r="K981">
        <f>IF($A981="","",IF($D981="V01",Cadrage!$C$36,IF($D981="V02",Cadrage!$D$36,Cadrage!$E$36)))</f>
        <v>0.03</v>
      </c>
      <c r="L981">
        <f>IF($A981="","",IF($D981="V01",Cadrage!$C$37,IF($D981="V02",Cadrage!$D$37,Cadrage!$E$37)))</f>
        <v>0.03</v>
      </c>
      <c r="M981">
        <f>IF($A981="","",IF($D981="V01",Cadrage!$C$38,IF($D981="V02",Cadrage!$D$38,Cadrage!$E$38)))</f>
        <v>-0.03</v>
      </c>
      <c r="N981">
        <f t="shared" si="1"/>
        <v>1.16083752922642</v>
      </c>
      <c r="O981">
        <f t="shared" si="2"/>
        <v>1.12601240334963</v>
      </c>
      <c r="P981">
        <f>IF($A981="","",IF($E981=1,$F981*$O981,PNL!G981))</f>
        <v>81566.0864738405</v>
      </c>
      <c r="T981">
        <f t="shared" si="3"/>
        <v>-81566.0864738405</v>
      </c>
    </row>
    <row r="982" ht="14.25" customHeight="1">
      <c r="A982" t="str">
        <f>IF(PNL!A982="","",PNL!A982)</f>
        <v>GRP</v>
      </c>
      <c r="B982" t="str">
        <f>IF(PNL!B982="","",PNL!B982)</f>
        <v>6226</v>
      </c>
      <c r="C982" t="str">
        <f>IF(PNL!C982="","",PNL!C982)</f>
        <v>2027</v>
      </c>
      <c r="D982" t="str">
        <f>IF(PNL!D982="","",PNL!D982)</f>
        <v>V02</v>
      </c>
      <c r="E982">
        <f t="shared" si="0"/>
        <v>1</v>
      </c>
      <c r="F982">
        <f>IF($A982="","",IF($E982=1,_xlfn.SUMIFS(Comptabilité!$F$1:$F$1446,Comptabilité!$A$1:$A$1446,$A982,Comptabilité!$B$1:$B$1446,$B982,Comptabilité!$C$1:$C$1446,"2026"),0))</f>
        <v>564841</v>
      </c>
      <c r="G982">
        <f>IF($A982="","",IF($D982="V01",Cadrage!$C$23,IF($D982="V02",Cadrage!$D$23,Cadrage!$E$23)))</f>
        <v>0.15</v>
      </c>
      <c r="H982">
        <f>IF($A982="","",IF($D982="V01",Cadrage!$C$24,IF($D982="V02",Cadrage!$D$24,Cadrage!$E$24)))</f>
        <v>0.15</v>
      </c>
      <c r="I982">
        <f>IF($A982="","",IF($D982="V01",Cadrage!$C$34,IF($D982="V02",Cadrage!$D$34,Cadrage!$E$34)))</f>
        <v>0.015</v>
      </c>
      <c r="J982">
        <f>IF($A982="","",IF($D982="V01",Cadrage!$C$35,IF($D982="V02",Cadrage!$D$35,Cadrage!$E$35)))</f>
        <v>0.02</v>
      </c>
      <c r="K982">
        <f>IF($A982="","",IF($D982="V01",Cadrage!$C$36,IF($D982="V02",Cadrage!$D$36,Cadrage!$E$36)))</f>
        <v>0.03</v>
      </c>
      <c r="L982">
        <f>IF($A982="","",IF($D982="V01",Cadrage!$C$37,IF($D982="V02",Cadrage!$D$37,Cadrage!$E$37)))</f>
        <v>0.03</v>
      </c>
      <c r="M982">
        <f>IF($A982="","",IF($D982="V01",Cadrage!$C$38,IF($D982="V02",Cadrage!$D$38,Cadrage!$E$38)))</f>
        <v>-0.03</v>
      </c>
      <c r="N982">
        <f t="shared" si="1"/>
        <v>1.16083752922642</v>
      </c>
      <c r="O982">
        <f t="shared" si="2"/>
        <v>0.9550135</v>
      </c>
      <c r="P982">
        <f>IF($A982="","",IF($E982=1,$F982*$O982,PNL!G982))</f>
        <v>539430.7803535</v>
      </c>
      <c r="T982">
        <f t="shared" si="3"/>
        <v>-539430.7803535</v>
      </c>
    </row>
    <row r="983" ht="14.25" customHeight="1">
      <c r="A983" t="str">
        <f>IF(PNL!A983="","",PNL!A983)</f>
        <v>IPAC_MTP</v>
      </c>
      <c r="B983" t="str">
        <f>IF(PNL!B983="","",PNL!B983)</f>
        <v>6231</v>
      </c>
      <c r="C983" t="str">
        <f>IF(PNL!C983="","",PNL!C983)</f>
        <v>2027</v>
      </c>
      <c r="D983" t="str">
        <f>IF(PNL!D983="","",PNL!D983)</f>
        <v>V02</v>
      </c>
      <c r="E983">
        <f t="shared" si="0"/>
        <v>1</v>
      </c>
      <c r="F983">
        <f>IF($A983="","",IF($E983=1,_xlfn.SUMIFS(Comptabilité!$F$1:$F$1446,Comptabilité!$A$1:$A$1446,$A983,Comptabilité!$B$1:$B$1446,$B983,Comptabilité!$C$1:$C$1446,"2026"),0))</f>
        <v>15178</v>
      </c>
      <c r="G983">
        <f>IF($A983="","",IF($D983="V01",Cadrage!$C$23,IF($D983="V02",Cadrage!$D$23,Cadrage!$E$23)))</f>
        <v>0.15</v>
      </c>
      <c r="H983">
        <f>IF($A983="","",IF($D983="V01",Cadrage!$C$24,IF($D983="V02",Cadrage!$D$24,Cadrage!$E$24)))</f>
        <v>0.15</v>
      </c>
      <c r="I983">
        <f>IF($A983="","",IF($D983="V01",Cadrage!$C$34,IF($D983="V02",Cadrage!$D$34,Cadrage!$E$34)))</f>
        <v>0.015</v>
      </c>
      <c r="J983">
        <f>IF($A983="","",IF($D983="V01",Cadrage!$C$35,IF($D983="V02",Cadrage!$D$35,Cadrage!$E$35)))</f>
        <v>0.02</v>
      </c>
      <c r="K983">
        <f>IF($A983="","",IF($D983="V01",Cadrage!$C$36,IF($D983="V02",Cadrage!$D$36,Cadrage!$E$36)))</f>
        <v>0.03</v>
      </c>
      <c r="L983">
        <f>IF($A983="","",IF($D983="V01",Cadrage!$C$37,IF($D983="V02",Cadrage!$D$37,Cadrage!$E$37)))</f>
        <v>0.03</v>
      </c>
      <c r="M983">
        <f>IF($A983="","",IF($D983="V01",Cadrage!$C$38,IF($D983="V02",Cadrage!$D$38,Cadrage!$E$38)))</f>
        <v>-0.03</v>
      </c>
      <c r="N983">
        <f t="shared" si="1"/>
        <v>1.16083752922642</v>
      </c>
      <c r="O983">
        <f t="shared" si="2"/>
        <v>1.15</v>
      </c>
      <c r="P983">
        <f>IF($A983="","",IF($E983=1,$F983*$O983,PNL!G983))</f>
        <v>17454.7</v>
      </c>
      <c r="T983">
        <f t="shared" si="3"/>
        <v>-17454.7</v>
      </c>
    </row>
    <row r="984" ht="14.25" customHeight="1">
      <c r="A984" t="str">
        <f>IF(PNL!A984="","",PNL!A984)</f>
        <v>IPAC_NAN</v>
      </c>
      <c r="B984" t="str">
        <f>IF(PNL!B984="","",PNL!B984)</f>
        <v>6231</v>
      </c>
      <c r="C984" t="str">
        <f>IF(PNL!C984="","",PNL!C984)</f>
        <v>2027</v>
      </c>
      <c r="D984" t="str">
        <f>IF(PNL!D984="","",PNL!D984)</f>
        <v>V02</v>
      </c>
      <c r="E984">
        <f t="shared" si="0"/>
        <v>1</v>
      </c>
      <c r="F984">
        <f>IF($A984="","",IF($E984=1,_xlfn.SUMIFS(Comptabilité!$F$1:$F$1446,Comptabilité!$A$1:$A$1446,$A984,Comptabilité!$B$1:$B$1446,$B984,Comptabilité!$C$1:$C$1446,"2026"),0))</f>
        <v>21760</v>
      </c>
      <c r="G984">
        <f>IF($A984="","",IF($D984="V01",Cadrage!$C$23,IF($D984="V02",Cadrage!$D$23,Cadrage!$E$23)))</f>
        <v>0.15</v>
      </c>
      <c r="H984">
        <f>IF($A984="","",IF($D984="V01",Cadrage!$C$24,IF($D984="V02",Cadrage!$D$24,Cadrage!$E$24)))</f>
        <v>0.15</v>
      </c>
      <c r="I984">
        <f>IF($A984="","",IF($D984="V01",Cadrage!$C$34,IF($D984="V02",Cadrage!$D$34,Cadrage!$E$34)))</f>
        <v>0.015</v>
      </c>
      <c r="J984">
        <f>IF($A984="","",IF($D984="V01",Cadrage!$C$35,IF($D984="V02",Cadrage!$D$35,Cadrage!$E$35)))</f>
        <v>0.02</v>
      </c>
      <c r="K984">
        <f>IF($A984="","",IF($D984="V01",Cadrage!$C$36,IF($D984="V02",Cadrage!$D$36,Cadrage!$E$36)))</f>
        <v>0.03</v>
      </c>
      <c r="L984">
        <f>IF($A984="","",IF($D984="V01",Cadrage!$C$37,IF($D984="V02",Cadrage!$D$37,Cadrage!$E$37)))</f>
        <v>0.03</v>
      </c>
      <c r="M984">
        <f>IF($A984="","",IF($D984="V01",Cadrage!$C$38,IF($D984="V02",Cadrage!$D$38,Cadrage!$E$38)))</f>
        <v>-0.03</v>
      </c>
      <c r="N984">
        <f t="shared" si="1"/>
        <v>1.16083752922642</v>
      </c>
      <c r="O984">
        <f t="shared" si="2"/>
        <v>1.15</v>
      </c>
      <c r="P984">
        <f>IF($A984="","",IF($E984=1,$F984*$O984,PNL!G984))</f>
        <v>25024</v>
      </c>
      <c r="T984">
        <f t="shared" si="3"/>
        <v>-25024</v>
      </c>
    </row>
    <row r="985" ht="14.25" customHeight="1">
      <c r="A985" t="str">
        <f>IF(PNL!A985="","",PNL!A985)</f>
        <v>IPAC_REN</v>
      </c>
      <c r="B985" t="str">
        <f>IF(PNL!B985="","",PNL!B985)</f>
        <v>6231</v>
      </c>
      <c r="C985" t="str">
        <f>IF(PNL!C985="","",PNL!C985)</f>
        <v>2027</v>
      </c>
      <c r="D985" t="str">
        <f>IF(PNL!D985="","",PNL!D985)</f>
        <v>V02</v>
      </c>
      <c r="E985">
        <f t="shared" si="0"/>
        <v>1</v>
      </c>
      <c r="F985">
        <f>IF($A985="","",IF($E985=1,_xlfn.SUMIFS(Comptabilité!$F$1:$F$1446,Comptabilité!$A$1:$A$1446,$A985,Comptabilité!$B$1:$B$1446,$B985,Comptabilité!$C$1:$C$1446,"2026"),0))</f>
        <v>14933</v>
      </c>
      <c r="G985">
        <f>IF($A985="","",IF($D985="V01",Cadrage!$C$23,IF($D985="V02",Cadrage!$D$23,Cadrage!$E$23)))</f>
        <v>0.15</v>
      </c>
      <c r="H985">
        <f>IF($A985="","",IF($D985="V01",Cadrage!$C$24,IF($D985="V02",Cadrage!$D$24,Cadrage!$E$24)))</f>
        <v>0.15</v>
      </c>
      <c r="I985">
        <f>IF($A985="","",IF($D985="V01",Cadrage!$C$34,IF($D985="V02",Cadrage!$D$34,Cadrage!$E$34)))</f>
        <v>0.015</v>
      </c>
      <c r="J985">
        <f>IF($A985="","",IF($D985="V01",Cadrage!$C$35,IF($D985="V02",Cadrage!$D$35,Cadrage!$E$35)))</f>
        <v>0.02</v>
      </c>
      <c r="K985">
        <f>IF($A985="","",IF($D985="V01",Cadrage!$C$36,IF($D985="V02",Cadrage!$D$36,Cadrage!$E$36)))</f>
        <v>0.03</v>
      </c>
      <c r="L985">
        <f>IF($A985="","",IF($D985="V01",Cadrage!$C$37,IF($D985="V02",Cadrage!$D$37,Cadrage!$E$37)))</f>
        <v>0.03</v>
      </c>
      <c r="M985">
        <f>IF($A985="","",IF($D985="V01",Cadrage!$C$38,IF($D985="V02",Cadrage!$D$38,Cadrage!$E$38)))</f>
        <v>-0.03</v>
      </c>
      <c r="N985">
        <f t="shared" si="1"/>
        <v>1.16083752922642</v>
      </c>
      <c r="O985">
        <f t="shared" si="2"/>
        <v>1.15</v>
      </c>
      <c r="P985">
        <f>IF($A985="","",IF($E985=1,$F985*$O985,PNL!G985))</f>
        <v>17172.95</v>
      </c>
      <c r="T985">
        <f t="shared" si="3"/>
        <v>-17172.95</v>
      </c>
    </row>
    <row r="986" ht="14.25" customHeight="1">
      <c r="A986" t="str">
        <f>IF(PNL!A986="","",PNL!A986)</f>
        <v>ISCOM_LIL</v>
      </c>
      <c r="B986" t="str">
        <f>IF(PNL!B986="","",PNL!B986)</f>
        <v>6231</v>
      </c>
      <c r="C986" t="str">
        <f>IF(PNL!C986="","",PNL!C986)</f>
        <v>2027</v>
      </c>
      <c r="D986" t="str">
        <f>IF(PNL!D986="","",PNL!D986)</f>
        <v>V02</v>
      </c>
      <c r="E986">
        <f t="shared" si="0"/>
        <v>1</v>
      </c>
      <c r="F986">
        <f>IF($A986="","",IF($E986=1,_xlfn.SUMIFS(Comptabilité!$F$1:$F$1446,Comptabilité!$A$1:$A$1446,$A986,Comptabilité!$B$1:$B$1446,$B986,Comptabilité!$C$1:$C$1446,"2026"),0))</f>
        <v>25220</v>
      </c>
      <c r="G986">
        <f>IF($A986="","",IF($D986="V01",Cadrage!$C$23,IF($D986="V02",Cadrage!$D$23,Cadrage!$E$23)))</f>
        <v>0.15</v>
      </c>
      <c r="H986">
        <f>IF($A986="","",IF($D986="V01",Cadrage!$C$24,IF($D986="V02",Cadrage!$D$24,Cadrage!$E$24)))</f>
        <v>0.15</v>
      </c>
      <c r="I986">
        <f>IF($A986="","",IF($D986="V01",Cadrage!$C$34,IF($D986="V02",Cadrage!$D$34,Cadrage!$E$34)))</f>
        <v>0.015</v>
      </c>
      <c r="J986">
        <f>IF($A986="","",IF($D986="V01",Cadrage!$C$35,IF($D986="V02",Cadrage!$D$35,Cadrage!$E$35)))</f>
        <v>0.02</v>
      </c>
      <c r="K986">
        <f>IF($A986="","",IF($D986="V01",Cadrage!$C$36,IF($D986="V02",Cadrage!$D$36,Cadrage!$E$36)))</f>
        <v>0.03</v>
      </c>
      <c r="L986">
        <f>IF($A986="","",IF($D986="V01",Cadrage!$C$37,IF($D986="V02",Cadrage!$D$37,Cadrage!$E$37)))</f>
        <v>0.03</v>
      </c>
      <c r="M986">
        <f>IF($A986="","",IF($D986="V01",Cadrage!$C$38,IF($D986="V02",Cadrage!$D$38,Cadrage!$E$38)))</f>
        <v>-0.03</v>
      </c>
      <c r="N986">
        <f t="shared" si="1"/>
        <v>1.16083752922642</v>
      </c>
      <c r="O986">
        <f t="shared" si="2"/>
        <v>1.15</v>
      </c>
      <c r="P986">
        <f>IF($A986="","",IF($E986=1,$F986*$O986,PNL!G986))</f>
        <v>29003</v>
      </c>
      <c r="T986">
        <f t="shared" si="3"/>
        <v>-29003</v>
      </c>
    </row>
    <row r="987" ht="14.25" customHeight="1">
      <c r="A987" t="str">
        <f>IF(PNL!A987="","",PNL!A987)</f>
        <v>ISCOM_PAR</v>
      </c>
      <c r="B987" t="str">
        <f>IF(PNL!B987="","",PNL!B987)</f>
        <v>6231</v>
      </c>
      <c r="C987" t="str">
        <f>IF(PNL!C987="","",PNL!C987)</f>
        <v>2027</v>
      </c>
      <c r="D987" t="str">
        <f>IF(PNL!D987="","",PNL!D987)</f>
        <v>V02</v>
      </c>
      <c r="E987">
        <f t="shared" si="0"/>
        <v>1</v>
      </c>
      <c r="F987">
        <f>IF($A987="","",IF($E987=1,_xlfn.SUMIFS(Comptabilité!$F$1:$F$1446,Comptabilité!$A$1:$A$1446,$A987,Comptabilité!$B$1:$B$1446,$B987,Comptabilité!$C$1:$C$1446,"2026"),0))</f>
        <v>60800</v>
      </c>
      <c r="G987">
        <f>IF($A987="","",IF($D987="V01",Cadrage!$C$23,IF($D987="V02",Cadrage!$D$23,Cadrage!$E$23)))</f>
        <v>0.15</v>
      </c>
      <c r="H987">
        <f>IF($A987="","",IF($D987="V01",Cadrage!$C$24,IF($D987="V02",Cadrage!$D$24,Cadrage!$E$24)))</f>
        <v>0.15</v>
      </c>
      <c r="I987">
        <f>IF($A987="","",IF($D987="V01",Cadrage!$C$34,IF($D987="V02",Cadrage!$D$34,Cadrage!$E$34)))</f>
        <v>0.015</v>
      </c>
      <c r="J987">
        <f>IF($A987="","",IF($D987="V01",Cadrage!$C$35,IF($D987="V02",Cadrage!$D$35,Cadrage!$E$35)))</f>
        <v>0.02</v>
      </c>
      <c r="K987">
        <f>IF($A987="","",IF($D987="V01",Cadrage!$C$36,IF($D987="V02",Cadrage!$D$36,Cadrage!$E$36)))</f>
        <v>0.03</v>
      </c>
      <c r="L987">
        <f>IF($A987="","",IF($D987="V01",Cadrage!$C$37,IF($D987="V02",Cadrage!$D$37,Cadrage!$E$37)))</f>
        <v>0.03</v>
      </c>
      <c r="M987">
        <f>IF($A987="","",IF($D987="V01",Cadrage!$C$38,IF($D987="V02",Cadrage!$D$38,Cadrage!$E$38)))</f>
        <v>-0.03</v>
      </c>
      <c r="N987">
        <f t="shared" si="1"/>
        <v>1.16083752922642</v>
      </c>
      <c r="O987">
        <f t="shared" si="2"/>
        <v>1.15</v>
      </c>
      <c r="P987">
        <f>IF($A987="","",IF($E987=1,$F987*$O987,PNL!G987))</f>
        <v>69920</v>
      </c>
      <c r="T987">
        <f t="shared" si="3"/>
        <v>-69920</v>
      </c>
    </row>
    <row r="988" ht="14.25" customHeight="1">
      <c r="A988" t="str">
        <f>IF(PNL!A988="","",PNL!A988)</f>
        <v>ISCOM_TLS</v>
      </c>
      <c r="B988" t="str">
        <f>IF(PNL!B988="","",PNL!B988)</f>
        <v>6231</v>
      </c>
      <c r="C988" t="str">
        <f>IF(PNL!C988="","",PNL!C988)</f>
        <v>2027</v>
      </c>
      <c r="D988" t="str">
        <f>IF(PNL!D988="","",PNL!D988)</f>
        <v>V02</v>
      </c>
      <c r="E988">
        <f t="shared" si="0"/>
        <v>1</v>
      </c>
      <c r="F988">
        <f>IF($A988="","",IF($E988=1,_xlfn.SUMIFS(Comptabilité!$F$1:$F$1446,Comptabilité!$A$1:$A$1446,$A988,Comptabilité!$B$1:$B$1446,$B988,Comptabilité!$C$1:$C$1446,"2026"),0))</f>
        <v>22083</v>
      </c>
      <c r="G988">
        <f>IF($A988="","",IF($D988="V01",Cadrage!$C$23,IF($D988="V02",Cadrage!$D$23,Cadrage!$E$23)))</f>
        <v>0.15</v>
      </c>
      <c r="H988">
        <f>IF($A988="","",IF($D988="V01",Cadrage!$C$24,IF($D988="V02",Cadrage!$D$24,Cadrage!$E$24)))</f>
        <v>0.15</v>
      </c>
      <c r="I988">
        <f>IF($A988="","",IF($D988="V01",Cadrage!$C$34,IF($D988="V02",Cadrage!$D$34,Cadrage!$E$34)))</f>
        <v>0.015</v>
      </c>
      <c r="J988">
        <f>IF($A988="","",IF($D988="V01",Cadrage!$C$35,IF($D988="V02",Cadrage!$D$35,Cadrage!$E$35)))</f>
        <v>0.02</v>
      </c>
      <c r="K988">
        <f>IF($A988="","",IF($D988="V01",Cadrage!$C$36,IF($D988="V02",Cadrage!$D$36,Cadrage!$E$36)))</f>
        <v>0.03</v>
      </c>
      <c r="L988">
        <f>IF($A988="","",IF($D988="V01",Cadrage!$C$37,IF($D988="V02",Cadrage!$D$37,Cadrage!$E$37)))</f>
        <v>0.03</v>
      </c>
      <c r="M988">
        <f>IF($A988="","",IF($D988="V01",Cadrage!$C$38,IF($D988="V02",Cadrage!$D$38,Cadrage!$E$38)))</f>
        <v>-0.03</v>
      </c>
      <c r="N988">
        <f t="shared" si="1"/>
        <v>1.16083752922642</v>
      </c>
      <c r="O988">
        <f t="shared" si="2"/>
        <v>1.15</v>
      </c>
      <c r="P988">
        <f>IF($A988="","",IF($E988=1,$F988*$O988,PNL!G988))</f>
        <v>25395.45</v>
      </c>
      <c r="T988">
        <f t="shared" si="3"/>
        <v>-25395.45</v>
      </c>
    </row>
    <row r="989" ht="14.25" customHeight="1">
      <c r="A989" t="str">
        <f>IF(PNL!A989="","",PNL!A989)</f>
        <v>MBWAY_BOR</v>
      </c>
      <c r="B989" t="str">
        <f>IF(PNL!B989="","",PNL!B989)</f>
        <v>6231</v>
      </c>
      <c r="C989" t="str">
        <f>IF(PNL!C989="","",PNL!C989)</f>
        <v>2027</v>
      </c>
      <c r="D989" t="str">
        <f>IF(PNL!D989="","",PNL!D989)</f>
        <v>V02</v>
      </c>
      <c r="E989">
        <f t="shared" si="0"/>
        <v>1</v>
      </c>
      <c r="F989">
        <f>IF($A989="","",IF($E989=1,_xlfn.SUMIFS(Comptabilité!$F$1:$F$1446,Comptabilité!$A$1:$A$1446,$A989,Comptabilité!$B$1:$B$1446,$B989,Comptabilité!$C$1:$C$1446,"2026"),0))</f>
        <v>24923</v>
      </c>
      <c r="G989">
        <f>IF($A989="","",IF($D989="V01",Cadrage!$C$23,IF($D989="V02",Cadrage!$D$23,Cadrage!$E$23)))</f>
        <v>0.15</v>
      </c>
      <c r="H989">
        <f>IF($A989="","",IF($D989="V01",Cadrage!$C$24,IF($D989="V02",Cadrage!$D$24,Cadrage!$E$24)))</f>
        <v>0.15</v>
      </c>
      <c r="I989">
        <f>IF($A989="","",IF($D989="V01",Cadrage!$C$34,IF($D989="V02",Cadrage!$D$34,Cadrage!$E$34)))</f>
        <v>0.015</v>
      </c>
      <c r="J989">
        <f>IF($A989="","",IF($D989="V01",Cadrage!$C$35,IF($D989="V02",Cadrage!$D$35,Cadrage!$E$35)))</f>
        <v>0.02</v>
      </c>
      <c r="K989">
        <f>IF($A989="","",IF($D989="V01",Cadrage!$C$36,IF($D989="V02",Cadrage!$D$36,Cadrage!$E$36)))</f>
        <v>0.03</v>
      </c>
      <c r="L989">
        <f>IF($A989="","",IF($D989="V01",Cadrage!$C$37,IF($D989="V02",Cadrage!$D$37,Cadrage!$E$37)))</f>
        <v>0.03</v>
      </c>
      <c r="M989">
        <f>IF($A989="","",IF($D989="V01",Cadrage!$C$38,IF($D989="V02",Cadrage!$D$38,Cadrage!$E$38)))</f>
        <v>-0.03</v>
      </c>
      <c r="N989">
        <f t="shared" si="1"/>
        <v>1.16083752922642</v>
      </c>
      <c r="O989">
        <f t="shared" si="2"/>
        <v>1.15</v>
      </c>
      <c r="P989">
        <f>IF($A989="","",IF($E989=1,$F989*$O989,PNL!G989))</f>
        <v>28661.45</v>
      </c>
      <c r="T989">
        <f t="shared" si="3"/>
        <v>-28661.45</v>
      </c>
    </row>
    <row r="990" ht="14.25" customHeight="1">
      <c r="A990" t="str">
        <f>IF(PNL!A990="","",PNL!A990)</f>
        <v>MBWAY_LYO</v>
      </c>
      <c r="B990" t="str">
        <f>IF(PNL!B990="","",PNL!B990)</f>
        <v>6231</v>
      </c>
      <c r="C990" t="str">
        <f>IF(PNL!C990="","",PNL!C990)</f>
        <v>2027</v>
      </c>
      <c r="D990" t="str">
        <f>IF(PNL!D990="","",PNL!D990)</f>
        <v>V02</v>
      </c>
      <c r="E990">
        <f t="shared" si="0"/>
        <v>1</v>
      </c>
      <c r="F990">
        <f>IF($A990="","",IF($E990=1,_xlfn.SUMIFS(Comptabilité!$F$1:$F$1446,Comptabilité!$A$1:$A$1446,$A990,Comptabilité!$B$1:$B$1446,$B990,Comptabilité!$C$1:$C$1446,"2026"),0))</f>
        <v>41783</v>
      </c>
      <c r="G990">
        <f>IF($A990="","",IF($D990="V01",Cadrage!$C$23,IF($D990="V02",Cadrage!$D$23,Cadrage!$E$23)))</f>
        <v>0.15</v>
      </c>
      <c r="H990">
        <f>IF($A990="","",IF($D990="V01",Cadrage!$C$24,IF($D990="V02",Cadrage!$D$24,Cadrage!$E$24)))</f>
        <v>0.15</v>
      </c>
      <c r="I990">
        <f>IF($A990="","",IF($D990="V01",Cadrage!$C$34,IF($D990="V02",Cadrage!$D$34,Cadrage!$E$34)))</f>
        <v>0.015</v>
      </c>
      <c r="J990">
        <f>IF($A990="","",IF($D990="V01",Cadrage!$C$35,IF($D990="V02",Cadrage!$D$35,Cadrage!$E$35)))</f>
        <v>0.02</v>
      </c>
      <c r="K990">
        <f>IF($A990="","",IF($D990="V01",Cadrage!$C$36,IF($D990="V02",Cadrage!$D$36,Cadrage!$E$36)))</f>
        <v>0.03</v>
      </c>
      <c r="L990">
        <f>IF($A990="","",IF($D990="V01",Cadrage!$C$37,IF($D990="V02",Cadrage!$D$37,Cadrage!$E$37)))</f>
        <v>0.03</v>
      </c>
      <c r="M990">
        <f>IF($A990="","",IF($D990="V01",Cadrage!$C$38,IF($D990="V02",Cadrage!$D$38,Cadrage!$E$38)))</f>
        <v>-0.03</v>
      </c>
      <c r="N990">
        <f t="shared" si="1"/>
        <v>1.16083752922642</v>
      </c>
      <c r="O990">
        <f t="shared" si="2"/>
        <v>1.15</v>
      </c>
      <c r="P990">
        <f>IF($A990="","",IF($E990=1,$F990*$O990,PNL!G990))</f>
        <v>48050.45</v>
      </c>
      <c r="T990">
        <f t="shared" si="3"/>
        <v>-48050.45</v>
      </c>
    </row>
    <row r="991" ht="14.25" customHeight="1">
      <c r="A991" t="str">
        <f>IF(PNL!A991="","",PNL!A991)</f>
        <v>MBWAY_NAN</v>
      </c>
      <c r="B991" t="str">
        <f>IF(PNL!B991="","",PNL!B991)</f>
        <v>6231</v>
      </c>
      <c r="C991" t="str">
        <f>IF(PNL!C991="","",PNL!C991)</f>
        <v>2027</v>
      </c>
      <c r="D991" t="str">
        <f>IF(PNL!D991="","",PNL!D991)</f>
        <v>V02</v>
      </c>
      <c r="E991">
        <f t="shared" si="0"/>
        <v>1</v>
      </c>
      <c r="F991">
        <f>IF($A991="","",IF($E991=1,_xlfn.SUMIFS(Comptabilité!$F$1:$F$1446,Comptabilité!$A$1:$A$1446,$A991,Comptabilité!$B$1:$B$1446,$B991,Comptabilité!$C$1:$C$1446,"2026"),0))</f>
        <v>31533</v>
      </c>
      <c r="G991">
        <f>IF($A991="","",IF($D991="V01",Cadrage!$C$23,IF($D991="V02",Cadrage!$D$23,Cadrage!$E$23)))</f>
        <v>0.15</v>
      </c>
      <c r="H991">
        <f>IF($A991="","",IF($D991="V01",Cadrage!$C$24,IF($D991="V02",Cadrage!$D$24,Cadrage!$E$24)))</f>
        <v>0.15</v>
      </c>
      <c r="I991">
        <f>IF($A991="","",IF($D991="V01",Cadrage!$C$34,IF($D991="V02",Cadrage!$D$34,Cadrage!$E$34)))</f>
        <v>0.015</v>
      </c>
      <c r="J991">
        <f>IF($A991="","",IF($D991="V01",Cadrage!$C$35,IF($D991="V02",Cadrage!$D$35,Cadrage!$E$35)))</f>
        <v>0.02</v>
      </c>
      <c r="K991">
        <f>IF($A991="","",IF($D991="V01",Cadrage!$C$36,IF($D991="V02",Cadrage!$D$36,Cadrage!$E$36)))</f>
        <v>0.03</v>
      </c>
      <c r="L991">
        <f>IF($A991="","",IF($D991="V01",Cadrage!$C$37,IF($D991="V02",Cadrage!$D$37,Cadrage!$E$37)))</f>
        <v>0.03</v>
      </c>
      <c r="M991">
        <f>IF($A991="","",IF($D991="V01",Cadrage!$C$38,IF($D991="V02",Cadrage!$D$38,Cadrage!$E$38)))</f>
        <v>-0.03</v>
      </c>
      <c r="N991">
        <f t="shared" si="1"/>
        <v>1.16083752922642</v>
      </c>
      <c r="O991">
        <f t="shared" si="2"/>
        <v>1.15</v>
      </c>
      <c r="P991">
        <f>IF($A991="","",IF($E991=1,$F991*$O991,PNL!G991))</f>
        <v>36262.95</v>
      </c>
      <c r="T991">
        <f t="shared" si="3"/>
        <v>-36262.95</v>
      </c>
    </row>
    <row r="992" ht="14.25" customHeight="1">
      <c r="A992" t="str">
        <f>IF(PNL!A992="","",PNL!A992)</f>
        <v>MBWAY_PAR</v>
      </c>
      <c r="B992" t="str">
        <f>IF(PNL!B992="","",PNL!B992)</f>
        <v>6231</v>
      </c>
      <c r="C992" t="str">
        <f>IF(PNL!C992="","",PNL!C992)</f>
        <v>2027</v>
      </c>
      <c r="D992" t="str">
        <f>IF(PNL!D992="","",PNL!D992)</f>
        <v>V02</v>
      </c>
      <c r="E992">
        <f t="shared" si="0"/>
        <v>1</v>
      </c>
      <c r="F992">
        <f>IF($A992="","",IF($E992=1,_xlfn.SUMIFS(Comptabilité!$F$1:$F$1446,Comptabilité!$A$1:$A$1446,$A992,Comptabilité!$B$1:$B$1446,$B992,Comptabilité!$C$1:$C$1446,"2026"),0))</f>
        <v>68291</v>
      </c>
      <c r="G992">
        <f>IF($A992="","",IF($D992="V01",Cadrage!$C$23,IF($D992="V02",Cadrage!$D$23,Cadrage!$E$23)))</f>
        <v>0.15</v>
      </c>
      <c r="H992">
        <f>IF($A992="","",IF($D992="V01",Cadrage!$C$24,IF($D992="V02",Cadrage!$D$24,Cadrage!$E$24)))</f>
        <v>0.15</v>
      </c>
      <c r="I992">
        <f>IF($A992="","",IF($D992="V01",Cadrage!$C$34,IF($D992="V02",Cadrage!$D$34,Cadrage!$E$34)))</f>
        <v>0.015</v>
      </c>
      <c r="J992">
        <f>IF($A992="","",IF($D992="V01",Cadrage!$C$35,IF($D992="V02",Cadrage!$D$35,Cadrage!$E$35)))</f>
        <v>0.02</v>
      </c>
      <c r="K992">
        <f>IF($A992="","",IF($D992="V01",Cadrage!$C$36,IF($D992="V02",Cadrage!$D$36,Cadrage!$E$36)))</f>
        <v>0.03</v>
      </c>
      <c r="L992">
        <f>IF($A992="","",IF($D992="V01",Cadrage!$C$37,IF($D992="V02",Cadrage!$D$37,Cadrage!$E$37)))</f>
        <v>0.03</v>
      </c>
      <c r="M992">
        <f>IF($A992="","",IF($D992="V01",Cadrage!$C$38,IF($D992="V02",Cadrage!$D$38,Cadrage!$E$38)))</f>
        <v>-0.03</v>
      </c>
      <c r="N992">
        <f t="shared" si="1"/>
        <v>1.16083752922642</v>
      </c>
      <c r="O992">
        <f t="shared" si="2"/>
        <v>1.15</v>
      </c>
      <c r="P992">
        <f>IF($A992="","",IF($E992=1,$F992*$O992,PNL!G992))</f>
        <v>78534.65</v>
      </c>
      <c r="T992">
        <f t="shared" si="3"/>
        <v>-78534.65</v>
      </c>
    </row>
    <row r="993" ht="14.25" customHeight="1">
      <c r="A993" t="str">
        <f>IF(PNL!A993="","",PNL!A993)</f>
        <v>PIGIER_BOR</v>
      </c>
      <c r="B993" t="str">
        <f>IF(PNL!B993="","",PNL!B993)</f>
        <v>6231</v>
      </c>
      <c r="C993" t="str">
        <f>IF(PNL!C993="","",PNL!C993)</f>
        <v>2027</v>
      </c>
      <c r="D993" t="str">
        <f>IF(PNL!D993="","",PNL!D993)</f>
        <v>V02</v>
      </c>
      <c r="E993">
        <f t="shared" si="0"/>
        <v>1</v>
      </c>
      <c r="F993">
        <f>IF($A993="","",IF($E993=1,_xlfn.SUMIFS(Comptabilité!$F$1:$F$1446,Comptabilité!$A$1:$A$1446,$A993,Comptabilité!$B$1:$B$1446,$B993,Comptabilité!$C$1:$C$1446,"2026"),0))</f>
        <v>21968</v>
      </c>
      <c r="G993">
        <f>IF($A993="","",IF($D993="V01",Cadrage!$C$23,IF($D993="V02",Cadrage!$D$23,Cadrage!$E$23)))</f>
        <v>0.15</v>
      </c>
      <c r="H993">
        <f>IF($A993="","",IF($D993="V01",Cadrage!$C$24,IF($D993="V02",Cadrage!$D$24,Cadrage!$E$24)))</f>
        <v>0.15</v>
      </c>
      <c r="I993">
        <f>IF($A993="","",IF($D993="V01",Cadrage!$C$34,IF($D993="V02",Cadrage!$D$34,Cadrage!$E$34)))</f>
        <v>0.015</v>
      </c>
      <c r="J993">
        <f>IF($A993="","",IF($D993="V01",Cadrage!$C$35,IF($D993="V02",Cadrage!$D$35,Cadrage!$E$35)))</f>
        <v>0.02</v>
      </c>
      <c r="K993">
        <f>IF($A993="","",IF($D993="V01",Cadrage!$C$36,IF($D993="V02",Cadrage!$D$36,Cadrage!$E$36)))</f>
        <v>0.03</v>
      </c>
      <c r="L993">
        <f>IF($A993="","",IF($D993="V01",Cadrage!$C$37,IF($D993="V02",Cadrage!$D$37,Cadrage!$E$37)))</f>
        <v>0.03</v>
      </c>
      <c r="M993">
        <f>IF($A993="","",IF($D993="V01",Cadrage!$C$38,IF($D993="V02",Cadrage!$D$38,Cadrage!$E$38)))</f>
        <v>-0.03</v>
      </c>
      <c r="N993">
        <f t="shared" si="1"/>
        <v>1.16083752922642</v>
      </c>
      <c r="O993">
        <f t="shared" si="2"/>
        <v>1.15</v>
      </c>
      <c r="P993">
        <f>IF($A993="","",IF($E993=1,$F993*$O993,PNL!G993))</f>
        <v>25263.2</v>
      </c>
      <c r="T993">
        <f t="shared" si="3"/>
        <v>-25263.2</v>
      </c>
    </row>
    <row r="994" ht="14.25" customHeight="1">
      <c r="A994" t="str">
        <f>IF(PNL!A994="","",PNL!A994)</f>
        <v>PIGIER_LYO</v>
      </c>
      <c r="B994" t="str">
        <f>IF(PNL!B994="","",PNL!B994)</f>
        <v>6231</v>
      </c>
      <c r="C994" t="str">
        <f>IF(PNL!C994="","",PNL!C994)</f>
        <v>2027</v>
      </c>
      <c r="D994" t="str">
        <f>IF(PNL!D994="","",PNL!D994)</f>
        <v>V02</v>
      </c>
      <c r="E994">
        <f t="shared" si="0"/>
        <v>1</v>
      </c>
      <c r="F994">
        <f>IF($A994="","",IF($E994=1,_xlfn.SUMIFS(Comptabilité!$F$1:$F$1446,Comptabilité!$A$1:$A$1446,$A994,Comptabilité!$B$1:$B$1446,$B994,Comptabilité!$C$1:$C$1446,"2026"),0))</f>
        <v>36612</v>
      </c>
      <c r="G994">
        <f>IF($A994="","",IF($D994="V01",Cadrage!$C$23,IF($D994="V02",Cadrage!$D$23,Cadrage!$E$23)))</f>
        <v>0.15</v>
      </c>
      <c r="H994">
        <f>IF($A994="","",IF($D994="V01",Cadrage!$C$24,IF($D994="V02",Cadrage!$D$24,Cadrage!$E$24)))</f>
        <v>0.15</v>
      </c>
      <c r="I994">
        <f>IF($A994="","",IF($D994="V01",Cadrage!$C$34,IF($D994="V02",Cadrage!$D$34,Cadrage!$E$34)))</f>
        <v>0.015</v>
      </c>
      <c r="J994">
        <f>IF($A994="","",IF($D994="V01",Cadrage!$C$35,IF($D994="V02",Cadrage!$D$35,Cadrage!$E$35)))</f>
        <v>0.02</v>
      </c>
      <c r="K994">
        <f>IF($A994="","",IF($D994="V01",Cadrage!$C$36,IF($D994="V02",Cadrage!$D$36,Cadrage!$E$36)))</f>
        <v>0.03</v>
      </c>
      <c r="L994">
        <f>IF($A994="","",IF($D994="V01",Cadrage!$C$37,IF($D994="V02",Cadrage!$D$37,Cadrage!$E$37)))</f>
        <v>0.03</v>
      </c>
      <c r="M994">
        <f>IF($A994="","",IF($D994="V01",Cadrage!$C$38,IF($D994="V02",Cadrage!$D$38,Cadrage!$E$38)))</f>
        <v>-0.03</v>
      </c>
      <c r="N994">
        <f t="shared" si="1"/>
        <v>1.16083752922642</v>
      </c>
      <c r="O994">
        <f t="shared" si="2"/>
        <v>1.15</v>
      </c>
      <c r="P994">
        <f>IF($A994="","",IF($E994=1,$F994*$O994,PNL!G994))</f>
        <v>42103.8</v>
      </c>
      <c r="T994">
        <f t="shared" si="3"/>
        <v>-42103.8</v>
      </c>
    </row>
    <row r="995" ht="14.25" customHeight="1">
      <c r="A995" t="str">
        <f>IF(PNL!A995="","",PNL!A995)</f>
        <v>TUNON_LYO</v>
      </c>
      <c r="B995" t="str">
        <f>IF(PNL!B995="","",PNL!B995)</f>
        <v>6231</v>
      </c>
      <c r="C995" t="str">
        <f>IF(PNL!C995="","",PNL!C995)</f>
        <v>2027</v>
      </c>
      <c r="D995" t="str">
        <f>IF(PNL!D995="","",PNL!D995)</f>
        <v>V02</v>
      </c>
      <c r="E995">
        <f t="shared" si="0"/>
        <v>1</v>
      </c>
      <c r="F995">
        <f>IF($A995="","",IF($E995=1,_xlfn.SUMIFS(Comptabilité!$F$1:$F$1446,Comptabilité!$A$1:$A$1446,$A995,Comptabilité!$B$1:$B$1446,$B995,Comptabilité!$C$1:$C$1446,"2026"),0))</f>
        <v>18850</v>
      </c>
      <c r="G995">
        <f>IF($A995="","",IF($D995="V01",Cadrage!$C$23,IF($D995="V02",Cadrage!$D$23,Cadrage!$E$23)))</f>
        <v>0.15</v>
      </c>
      <c r="H995">
        <f>IF($A995="","",IF($D995="V01",Cadrage!$C$24,IF($D995="V02",Cadrage!$D$24,Cadrage!$E$24)))</f>
        <v>0.15</v>
      </c>
      <c r="I995">
        <f>IF($A995="","",IF($D995="V01",Cadrage!$C$34,IF($D995="V02",Cadrage!$D$34,Cadrage!$E$34)))</f>
        <v>0.015</v>
      </c>
      <c r="J995">
        <f>IF($A995="","",IF($D995="V01",Cadrage!$C$35,IF($D995="V02",Cadrage!$D$35,Cadrage!$E$35)))</f>
        <v>0.02</v>
      </c>
      <c r="K995">
        <f>IF($A995="","",IF($D995="V01",Cadrage!$C$36,IF($D995="V02",Cadrage!$D$36,Cadrage!$E$36)))</f>
        <v>0.03</v>
      </c>
      <c r="L995">
        <f>IF($A995="","",IF($D995="V01",Cadrage!$C$37,IF($D995="V02",Cadrage!$D$37,Cadrage!$E$37)))</f>
        <v>0.03</v>
      </c>
      <c r="M995">
        <f>IF($A995="","",IF($D995="V01",Cadrage!$C$38,IF($D995="V02",Cadrage!$D$38,Cadrage!$E$38)))</f>
        <v>-0.03</v>
      </c>
      <c r="N995">
        <f t="shared" si="1"/>
        <v>1.16083752922642</v>
      </c>
      <c r="O995">
        <f t="shared" si="2"/>
        <v>1.15</v>
      </c>
      <c r="P995">
        <f>IF($A995="","",IF($E995=1,$F995*$O995,PNL!G995))</f>
        <v>21677.5</v>
      </c>
      <c r="T995">
        <f t="shared" si="3"/>
        <v>-21677.5</v>
      </c>
    </row>
    <row r="996" ht="14.25" customHeight="1">
      <c r="A996" t="str">
        <f>IF(PNL!A996="","",PNL!A996)</f>
        <v>TUNON_PAR</v>
      </c>
      <c r="B996" t="str">
        <f>IF(PNL!B996="","",PNL!B996)</f>
        <v>6231</v>
      </c>
      <c r="C996" t="str">
        <f>IF(PNL!C996="","",PNL!C996)</f>
        <v>2027</v>
      </c>
      <c r="D996" t="str">
        <f>IF(PNL!D996="","",PNL!D996)</f>
        <v>V02</v>
      </c>
      <c r="E996">
        <f t="shared" si="0"/>
        <v>1</v>
      </c>
      <c r="F996">
        <f>IF($A996="","",IF($E996=1,_xlfn.SUMIFS(Comptabilité!$F$1:$F$1446,Comptabilité!$A$1:$A$1446,$A996,Comptabilité!$B$1:$B$1446,$B996,Comptabilité!$C$1:$C$1446,"2026"),0))</f>
        <v>30240</v>
      </c>
      <c r="G996">
        <f>IF($A996="","",IF($D996="V01",Cadrage!$C$23,IF($D996="V02",Cadrage!$D$23,Cadrage!$E$23)))</f>
        <v>0.15</v>
      </c>
      <c r="H996">
        <f>IF($A996="","",IF($D996="V01",Cadrage!$C$24,IF($D996="V02",Cadrage!$D$24,Cadrage!$E$24)))</f>
        <v>0.15</v>
      </c>
      <c r="I996">
        <f>IF($A996="","",IF($D996="V01",Cadrage!$C$34,IF($D996="V02",Cadrage!$D$34,Cadrage!$E$34)))</f>
        <v>0.015</v>
      </c>
      <c r="J996">
        <f>IF($A996="","",IF($D996="V01",Cadrage!$C$35,IF($D996="V02",Cadrage!$D$35,Cadrage!$E$35)))</f>
        <v>0.02</v>
      </c>
      <c r="K996">
        <f>IF($A996="","",IF($D996="V01",Cadrage!$C$36,IF($D996="V02",Cadrage!$D$36,Cadrage!$E$36)))</f>
        <v>0.03</v>
      </c>
      <c r="L996">
        <f>IF($A996="","",IF($D996="V01",Cadrage!$C$37,IF($D996="V02",Cadrage!$D$37,Cadrage!$E$37)))</f>
        <v>0.03</v>
      </c>
      <c r="M996">
        <f>IF($A996="","",IF($D996="V01",Cadrage!$C$38,IF($D996="V02",Cadrage!$D$38,Cadrage!$E$38)))</f>
        <v>-0.03</v>
      </c>
      <c r="N996">
        <f t="shared" si="1"/>
        <v>1.16083752922642</v>
      </c>
      <c r="O996">
        <f t="shared" si="2"/>
        <v>1.15</v>
      </c>
      <c r="P996">
        <f>IF($A996="","",IF($E996=1,$F996*$O996,PNL!G996))</f>
        <v>34776</v>
      </c>
      <c r="T996">
        <f t="shared" si="3"/>
        <v>-34776</v>
      </c>
    </row>
    <row r="997" ht="14.25" customHeight="1">
      <c r="A997" t="str">
        <f>IF(PNL!A997="","",PNL!A997)</f>
        <v>GRP</v>
      </c>
      <c r="B997" t="str">
        <f>IF(PNL!B997="","",PNL!B997)</f>
        <v>6236</v>
      </c>
      <c r="C997" t="str">
        <f>IF(PNL!C997="","",PNL!C997)</f>
        <v>2027</v>
      </c>
      <c r="D997" t="str">
        <f>IF(PNL!D997="","",PNL!D997)</f>
        <v>V02</v>
      </c>
      <c r="E997">
        <f t="shared" si="0"/>
        <v>1</v>
      </c>
      <c r="F997">
        <f>IF($A997="","",IF($E997=1,_xlfn.SUMIFS(Comptabilité!$F$1:$F$1446,Comptabilité!$A$1:$A$1446,$A997,Comptabilité!$B$1:$B$1446,$B997,Comptabilité!$C$1:$C$1446,"2026"),0))</f>
        <v>676344</v>
      </c>
      <c r="G997">
        <f>IF($A997="","",IF($D997="V01",Cadrage!$C$23,IF($D997="V02",Cadrage!$D$23,Cadrage!$E$23)))</f>
        <v>0.15</v>
      </c>
      <c r="H997">
        <f>IF($A997="","",IF($D997="V01",Cadrage!$C$24,IF($D997="V02",Cadrage!$D$24,Cadrage!$E$24)))</f>
        <v>0.15</v>
      </c>
      <c r="I997">
        <f>IF($A997="","",IF($D997="V01",Cadrage!$C$34,IF($D997="V02",Cadrage!$D$34,Cadrage!$E$34)))</f>
        <v>0.015</v>
      </c>
      <c r="J997">
        <f>IF($A997="","",IF($D997="V01",Cadrage!$C$35,IF($D997="V02",Cadrage!$D$35,Cadrage!$E$35)))</f>
        <v>0.02</v>
      </c>
      <c r="K997">
        <f>IF($A997="","",IF($D997="V01",Cadrage!$C$36,IF($D997="V02",Cadrage!$D$36,Cadrage!$E$36)))</f>
        <v>0.03</v>
      </c>
      <c r="L997">
        <f>IF($A997="","",IF($D997="V01",Cadrage!$C$37,IF($D997="V02",Cadrage!$D$37,Cadrage!$E$37)))</f>
        <v>0.03</v>
      </c>
      <c r="M997">
        <f>IF($A997="","",IF($D997="V01",Cadrage!$C$38,IF($D997="V02",Cadrage!$D$38,Cadrage!$E$38)))</f>
        <v>-0.03</v>
      </c>
      <c r="N997">
        <f t="shared" si="1"/>
        <v>1.16083752922642</v>
      </c>
      <c r="O997">
        <f t="shared" si="2"/>
        <v>1.15</v>
      </c>
      <c r="P997">
        <f>IF($A997="","",IF($E997=1,$F997*$O997,PNL!G997))</f>
        <v>777795.6</v>
      </c>
      <c r="T997">
        <f t="shared" si="3"/>
        <v>-777795.6</v>
      </c>
    </row>
    <row r="998" ht="14.25" customHeight="1">
      <c r="A998" t="str">
        <f>IF(PNL!A998="","",PNL!A998)</f>
        <v>IPAC_MTP</v>
      </c>
      <c r="B998" t="str">
        <f>IF(PNL!B998="","",PNL!B998)</f>
        <v>625</v>
      </c>
      <c r="C998" t="str">
        <f>IF(PNL!C998="","",PNL!C998)</f>
        <v>2027</v>
      </c>
      <c r="D998" t="str">
        <f>IF(PNL!D998="","",PNL!D998)</f>
        <v>V02</v>
      </c>
      <c r="E998">
        <f t="shared" si="0"/>
        <v>1</v>
      </c>
      <c r="F998">
        <f>IF($A998="","",IF($E998=1,_xlfn.SUMIFS(Comptabilité!$F$1:$F$1446,Comptabilité!$A$1:$A$1446,$A998,Comptabilité!$B$1:$B$1446,$B998,Comptabilité!$C$1:$C$1446,"2026"),0))</f>
        <v>10026.93</v>
      </c>
      <c r="G998">
        <f>IF($A998="","",IF($D998="V01",Cadrage!$C$23,IF($D998="V02",Cadrage!$D$23,Cadrage!$E$23)))</f>
        <v>0.15</v>
      </c>
      <c r="H998">
        <f>IF($A998="","",IF($D998="V01",Cadrage!$C$24,IF($D998="V02",Cadrage!$D$24,Cadrage!$E$24)))</f>
        <v>0.15</v>
      </c>
      <c r="I998">
        <f>IF($A998="","",IF($D998="V01",Cadrage!$C$34,IF($D998="V02",Cadrage!$D$34,Cadrage!$E$34)))</f>
        <v>0.015</v>
      </c>
      <c r="J998">
        <f>IF($A998="","",IF($D998="V01",Cadrage!$C$35,IF($D998="V02",Cadrage!$D$35,Cadrage!$E$35)))</f>
        <v>0.02</v>
      </c>
      <c r="K998">
        <f>IF($A998="","",IF($D998="V01",Cadrage!$C$36,IF($D998="V02",Cadrage!$D$36,Cadrage!$E$36)))</f>
        <v>0.03</v>
      </c>
      <c r="L998">
        <f>IF($A998="","",IF($D998="V01",Cadrage!$C$37,IF($D998="V02",Cadrage!$D$37,Cadrage!$E$37)))</f>
        <v>0.03</v>
      </c>
      <c r="M998">
        <f>IF($A998="","",IF($D998="V01",Cadrage!$C$38,IF($D998="V02",Cadrage!$D$38,Cadrage!$E$38)))</f>
        <v>-0.03</v>
      </c>
      <c r="N998">
        <f t="shared" si="1"/>
        <v>1.16083752922642</v>
      </c>
      <c r="O998">
        <f t="shared" si="2"/>
        <v>0.9550135</v>
      </c>
      <c r="P998">
        <f>IF($A998="","",IF($E998=1,$F998*$O998,PNL!G998))</f>
        <v>9575.853513555</v>
      </c>
      <c r="T998">
        <f t="shared" si="3"/>
        <v>-9575.853513555</v>
      </c>
    </row>
    <row r="999" ht="14.25" customHeight="1">
      <c r="A999" t="str">
        <f>IF(PNL!A999="","",PNL!A999)</f>
        <v>IPAC_NAN</v>
      </c>
      <c r="B999" t="str">
        <f>IF(PNL!B999="","",PNL!B999)</f>
        <v>625</v>
      </c>
      <c r="C999" t="str">
        <f>IF(PNL!C999="","",PNL!C999)</f>
        <v>2027</v>
      </c>
      <c r="D999" t="str">
        <f>IF(PNL!D999="","",PNL!D999)</f>
        <v>V02</v>
      </c>
      <c r="E999">
        <f t="shared" si="0"/>
        <v>1</v>
      </c>
      <c r="F999">
        <f>IF($A999="","",IF($E999=1,_xlfn.SUMIFS(Comptabilité!$F$1:$F$1446,Comptabilité!$A$1:$A$1446,$A999,Comptabilité!$B$1:$B$1446,$B999,Comptabilité!$C$1:$C$1446,"2026"),0))</f>
        <v>15357.07</v>
      </c>
      <c r="G999">
        <f>IF($A999="","",IF($D999="V01",Cadrage!$C$23,IF($D999="V02",Cadrage!$D$23,Cadrage!$E$23)))</f>
        <v>0.15</v>
      </c>
      <c r="H999">
        <f>IF($A999="","",IF($D999="V01",Cadrage!$C$24,IF($D999="V02",Cadrage!$D$24,Cadrage!$E$24)))</f>
        <v>0.15</v>
      </c>
      <c r="I999">
        <f>IF($A999="","",IF($D999="V01",Cadrage!$C$34,IF($D999="V02",Cadrage!$D$34,Cadrage!$E$34)))</f>
        <v>0.015</v>
      </c>
      <c r="J999">
        <f>IF($A999="","",IF($D999="V01",Cadrage!$C$35,IF($D999="V02",Cadrage!$D$35,Cadrage!$E$35)))</f>
        <v>0.02</v>
      </c>
      <c r="K999">
        <f>IF($A999="","",IF($D999="V01",Cadrage!$C$36,IF($D999="V02",Cadrage!$D$36,Cadrage!$E$36)))</f>
        <v>0.03</v>
      </c>
      <c r="L999">
        <f>IF($A999="","",IF($D999="V01",Cadrage!$C$37,IF($D999="V02",Cadrage!$D$37,Cadrage!$E$37)))</f>
        <v>0.03</v>
      </c>
      <c r="M999">
        <f>IF($A999="","",IF($D999="V01",Cadrage!$C$38,IF($D999="V02",Cadrage!$D$38,Cadrage!$E$38)))</f>
        <v>-0.03</v>
      </c>
      <c r="N999">
        <f t="shared" si="1"/>
        <v>1.16083752922642</v>
      </c>
      <c r="O999">
        <f t="shared" si="2"/>
        <v>0.9550135</v>
      </c>
      <c r="P999">
        <f>IF($A999="","",IF($E999=1,$F999*$O999,PNL!G999))</f>
        <v>14666.209170445</v>
      </c>
      <c r="T999">
        <f t="shared" si="3"/>
        <v>-14666.209170445</v>
      </c>
    </row>
    <row r="1000" ht="14.25" customHeight="1">
      <c r="A1000" t="str">
        <f>IF(PNL!A1000="","",PNL!A1000)</f>
        <v>IPAC_REN</v>
      </c>
      <c r="B1000" t="str">
        <f>IF(PNL!B1000="","",PNL!B1000)</f>
        <v>625</v>
      </c>
      <c r="C1000" t="str">
        <f>IF(PNL!C1000="","",PNL!C1000)</f>
        <v>2027</v>
      </c>
      <c r="D1000" t="str">
        <f>IF(PNL!D1000="","",PNL!D1000)</f>
        <v>V02</v>
      </c>
      <c r="E1000">
        <f t="shared" si="0"/>
        <v>1</v>
      </c>
      <c r="F1000">
        <f>IF($A1000="","",IF($E1000=1,_xlfn.SUMIFS(Comptabilité!$F$1:$F$1446,Comptabilité!$A$1:$A$1446,$A1000,Comptabilité!$B$1:$B$1446,$B1000,Comptabilité!$C$1:$C$1446,"2026"),0))</f>
        <v>10032.91</v>
      </c>
      <c r="G1000">
        <f>IF($A1000="","",IF($D1000="V01",Cadrage!$C$23,IF($D1000="V02",Cadrage!$D$23,Cadrage!$E$23)))</f>
        <v>0.15</v>
      </c>
      <c r="H1000">
        <f>IF($A1000="","",IF($D1000="V01",Cadrage!$C$24,IF($D1000="V02",Cadrage!$D$24,Cadrage!$E$24)))</f>
        <v>0.15</v>
      </c>
      <c r="I1000">
        <f>IF($A1000="","",IF($D1000="V01",Cadrage!$C$34,IF($D1000="V02",Cadrage!$D$34,Cadrage!$E$34)))</f>
        <v>0.015</v>
      </c>
      <c r="J1000">
        <f>IF($A1000="","",IF($D1000="V01",Cadrage!$C$35,IF($D1000="V02",Cadrage!$D$35,Cadrage!$E$35)))</f>
        <v>0.02</v>
      </c>
      <c r="K1000">
        <f>IF($A1000="","",IF($D1000="V01",Cadrage!$C$36,IF($D1000="V02",Cadrage!$D$36,Cadrage!$E$36)))</f>
        <v>0.03</v>
      </c>
      <c r="L1000">
        <f>IF($A1000="","",IF($D1000="V01",Cadrage!$C$37,IF($D1000="V02",Cadrage!$D$37,Cadrage!$E$37)))</f>
        <v>0.03</v>
      </c>
      <c r="M1000">
        <f>IF($A1000="","",IF($D1000="V01",Cadrage!$C$38,IF($D1000="V02",Cadrage!$D$38,Cadrage!$E$38)))</f>
        <v>-0.03</v>
      </c>
      <c r="N1000">
        <f t="shared" si="1"/>
        <v>1.16083752922642</v>
      </c>
      <c r="O1000">
        <f t="shared" si="2"/>
        <v>0.9550135</v>
      </c>
      <c r="P1000">
        <f>IF($A1000="","",IF($E1000=1,$F1000*$O1000,PNL!G1000))</f>
        <v>9581.564494285</v>
      </c>
      <c r="T1000">
        <f t="shared" si="3"/>
        <v>-9581.564494285</v>
      </c>
    </row>
    <row r="1001" ht="14.25" customHeight="1">
      <c r="A1001" t="str">
        <f>IF(PNL!A1001="","",PNL!A1001)</f>
        <v>ISCOM_LIL</v>
      </c>
      <c r="B1001" t="str">
        <f>IF(PNL!B1001="","",PNL!B1001)</f>
        <v>625</v>
      </c>
      <c r="C1001" t="str">
        <f>IF(PNL!C1001="","",PNL!C1001)</f>
        <v>2027</v>
      </c>
      <c r="D1001" t="str">
        <f>IF(PNL!D1001="","",PNL!D1001)</f>
        <v>V02</v>
      </c>
      <c r="E1001">
        <f t="shared" si="0"/>
        <v>1</v>
      </c>
      <c r="F1001">
        <f>IF($A1001="","",IF($E1001=1,_xlfn.SUMIFS(Comptabilité!$F$1:$F$1446,Comptabilité!$A$1:$A$1446,$A1001,Comptabilité!$B$1:$B$1446,$B1001,Comptabilité!$C$1:$C$1446,"2026"),0))</f>
        <v>26244.28</v>
      </c>
      <c r="G1001">
        <f>IF($A1001="","",IF($D1001="V01",Cadrage!$C$23,IF($D1001="V02",Cadrage!$D$23,Cadrage!$E$23)))</f>
        <v>0.15</v>
      </c>
      <c r="H1001">
        <f>IF($A1001="","",IF($D1001="V01",Cadrage!$C$24,IF($D1001="V02",Cadrage!$D$24,Cadrage!$E$24)))</f>
        <v>0.15</v>
      </c>
      <c r="I1001">
        <f>IF($A1001="","",IF($D1001="V01",Cadrage!$C$34,IF($D1001="V02",Cadrage!$D$34,Cadrage!$E$34)))</f>
        <v>0.015</v>
      </c>
      <c r="J1001">
        <f>IF($A1001="","",IF($D1001="V01",Cadrage!$C$35,IF($D1001="V02",Cadrage!$D$35,Cadrage!$E$35)))</f>
        <v>0.02</v>
      </c>
      <c r="K1001">
        <f>IF($A1001="","",IF($D1001="V01",Cadrage!$C$36,IF($D1001="V02",Cadrage!$D$36,Cadrage!$E$36)))</f>
        <v>0.03</v>
      </c>
      <c r="L1001">
        <f>IF($A1001="","",IF($D1001="V01",Cadrage!$C$37,IF($D1001="V02",Cadrage!$D$37,Cadrage!$E$37)))</f>
        <v>0.03</v>
      </c>
      <c r="M1001">
        <f>IF($A1001="","",IF($D1001="V01",Cadrage!$C$38,IF($D1001="V02",Cadrage!$D$38,Cadrage!$E$38)))</f>
        <v>-0.03</v>
      </c>
      <c r="N1001">
        <f t="shared" si="1"/>
        <v>1.16083752922642</v>
      </c>
      <c r="O1001">
        <f t="shared" si="2"/>
        <v>0.9550135</v>
      </c>
      <c r="P1001">
        <f>IF($A1001="","",IF($E1001=1,$F1001*$O1001,PNL!G1001))</f>
        <v>25063.64169778</v>
      </c>
      <c r="T1001">
        <f t="shared" si="3"/>
        <v>-25063.64169778</v>
      </c>
    </row>
    <row r="1002" ht="14.25" customHeight="1">
      <c r="A1002" t="str">
        <f>IF(PNL!A1002="","",PNL!A1002)</f>
        <v>ISCOM_PAR</v>
      </c>
      <c r="B1002" t="str">
        <f>IF(PNL!B1002="","",PNL!B1002)</f>
        <v>625</v>
      </c>
      <c r="C1002" t="str">
        <f>IF(PNL!C1002="","",PNL!C1002)</f>
        <v>2027</v>
      </c>
      <c r="D1002" t="str">
        <f>IF(PNL!D1002="","",PNL!D1002)</f>
        <v>V02</v>
      </c>
      <c r="E1002">
        <f t="shared" si="0"/>
        <v>1</v>
      </c>
      <c r="F1002">
        <f>IF($A1002="","",IF($E1002=1,_xlfn.SUMIFS(Comptabilité!$F$1:$F$1446,Comptabilité!$A$1:$A$1446,$A1002,Comptabilité!$B$1:$B$1446,$B1002,Comptabilité!$C$1:$C$1446,"2026"),0))</f>
        <v>43518.77</v>
      </c>
      <c r="G1002">
        <f>IF($A1002="","",IF($D1002="V01",Cadrage!$C$23,IF($D1002="V02",Cadrage!$D$23,Cadrage!$E$23)))</f>
        <v>0.15</v>
      </c>
      <c r="H1002">
        <f>IF($A1002="","",IF($D1002="V01",Cadrage!$C$24,IF($D1002="V02",Cadrage!$D$24,Cadrage!$E$24)))</f>
        <v>0.15</v>
      </c>
      <c r="I1002">
        <f>IF($A1002="","",IF($D1002="V01",Cadrage!$C$34,IF($D1002="V02",Cadrage!$D$34,Cadrage!$E$34)))</f>
        <v>0.015</v>
      </c>
      <c r="J1002">
        <f>IF($A1002="","",IF($D1002="V01",Cadrage!$C$35,IF($D1002="V02",Cadrage!$D$35,Cadrage!$E$35)))</f>
        <v>0.02</v>
      </c>
      <c r="K1002">
        <f>IF($A1002="","",IF($D1002="V01",Cadrage!$C$36,IF($D1002="V02",Cadrage!$D$36,Cadrage!$E$36)))</f>
        <v>0.03</v>
      </c>
      <c r="L1002">
        <f>IF($A1002="","",IF($D1002="V01",Cadrage!$C$37,IF($D1002="V02",Cadrage!$D$37,Cadrage!$E$37)))</f>
        <v>0.03</v>
      </c>
      <c r="M1002">
        <f>IF($A1002="","",IF($D1002="V01",Cadrage!$C$38,IF($D1002="V02",Cadrage!$D$38,Cadrage!$E$38)))</f>
        <v>-0.03</v>
      </c>
      <c r="N1002">
        <f t="shared" si="1"/>
        <v>1.16083752922642</v>
      </c>
      <c r="O1002">
        <f t="shared" si="2"/>
        <v>0.9550135</v>
      </c>
      <c r="P1002">
        <f>IF($A1002="","",IF($E1002=1,$F1002*$O1002,PNL!G1002))</f>
        <v>41561.012853395</v>
      </c>
      <c r="T1002">
        <f t="shared" si="3"/>
        <v>-41561.012853395</v>
      </c>
    </row>
    <row r="1003" ht="14.25" customHeight="1">
      <c r="A1003" t="str">
        <f>IF(PNL!A1003="","",PNL!A1003)</f>
        <v>ISCOM_TLS</v>
      </c>
      <c r="B1003" t="str">
        <f>IF(PNL!B1003="","",PNL!B1003)</f>
        <v>625</v>
      </c>
      <c r="C1003" t="str">
        <f>IF(PNL!C1003="","",PNL!C1003)</f>
        <v>2027</v>
      </c>
      <c r="D1003" t="str">
        <f>IF(PNL!D1003="","",PNL!D1003)</f>
        <v>V02</v>
      </c>
      <c r="E1003">
        <f t="shared" si="0"/>
        <v>1</v>
      </c>
      <c r="F1003">
        <f>IF($A1003="","",IF($E1003=1,_xlfn.SUMIFS(Comptabilité!$F$1:$F$1446,Comptabilité!$A$1:$A$1446,$A1003,Comptabilité!$B$1:$B$1446,$B1003,Comptabilité!$C$1:$C$1446,"2026"),0))</f>
        <v>23363.78</v>
      </c>
      <c r="G1003">
        <f>IF($A1003="","",IF($D1003="V01",Cadrage!$C$23,IF($D1003="V02",Cadrage!$D$23,Cadrage!$E$23)))</f>
        <v>0.15</v>
      </c>
      <c r="H1003">
        <f>IF($A1003="","",IF($D1003="V01",Cadrage!$C$24,IF($D1003="V02",Cadrage!$D$24,Cadrage!$E$24)))</f>
        <v>0.15</v>
      </c>
      <c r="I1003">
        <f>IF($A1003="","",IF($D1003="V01",Cadrage!$C$34,IF($D1003="V02",Cadrage!$D$34,Cadrage!$E$34)))</f>
        <v>0.015</v>
      </c>
      <c r="J1003">
        <f>IF($A1003="","",IF($D1003="V01",Cadrage!$C$35,IF($D1003="V02",Cadrage!$D$35,Cadrage!$E$35)))</f>
        <v>0.02</v>
      </c>
      <c r="K1003">
        <f>IF($A1003="","",IF($D1003="V01",Cadrage!$C$36,IF($D1003="V02",Cadrage!$D$36,Cadrage!$E$36)))</f>
        <v>0.03</v>
      </c>
      <c r="L1003">
        <f>IF($A1003="","",IF($D1003="V01",Cadrage!$C$37,IF($D1003="V02",Cadrage!$D$37,Cadrage!$E$37)))</f>
        <v>0.03</v>
      </c>
      <c r="M1003">
        <f>IF($A1003="","",IF($D1003="V01",Cadrage!$C$38,IF($D1003="V02",Cadrage!$D$38,Cadrage!$E$38)))</f>
        <v>-0.03</v>
      </c>
      <c r="N1003">
        <f t="shared" si="1"/>
        <v>1.16083752922642</v>
      </c>
      <c r="O1003">
        <f t="shared" si="2"/>
        <v>0.9550135</v>
      </c>
      <c r="P1003">
        <f>IF($A1003="","",IF($E1003=1,$F1003*$O1003,PNL!G1003))</f>
        <v>22312.72531103</v>
      </c>
      <c r="T1003">
        <f t="shared" si="3"/>
        <v>-22312.72531103</v>
      </c>
    </row>
    <row r="1004" ht="14.25" customHeight="1">
      <c r="A1004" t="str">
        <f>IF(PNL!A1004="","",PNL!A1004)</f>
        <v>MBWAY_BOR</v>
      </c>
      <c r="B1004" t="str">
        <f>IF(PNL!B1004="","",PNL!B1004)</f>
        <v>625</v>
      </c>
      <c r="C1004" t="str">
        <f>IF(PNL!C1004="","",PNL!C1004)</f>
        <v>2027</v>
      </c>
      <c r="D1004" t="str">
        <f>IF(PNL!D1004="","",PNL!D1004)</f>
        <v>V02</v>
      </c>
      <c r="E1004">
        <f t="shared" si="0"/>
        <v>1</v>
      </c>
      <c r="F1004">
        <f>IF($A1004="","",IF($E1004=1,_xlfn.SUMIFS(Comptabilité!$F$1:$F$1446,Comptabilité!$A$1:$A$1446,$A1004,Comptabilité!$B$1:$B$1446,$B1004,Comptabilité!$C$1:$C$1446,"2026"),0))</f>
        <v>26374.57</v>
      </c>
      <c r="G1004">
        <f>IF($A1004="","",IF($D1004="V01",Cadrage!$C$23,IF($D1004="V02",Cadrage!$D$23,Cadrage!$E$23)))</f>
        <v>0.15</v>
      </c>
      <c r="H1004">
        <f>IF($A1004="","",IF($D1004="V01",Cadrage!$C$24,IF($D1004="V02",Cadrage!$D$24,Cadrage!$E$24)))</f>
        <v>0.15</v>
      </c>
      <c r="I1004">
        <f>IF($A1004="","",IF($D1004="V01",Cadrage!$C$34,IF($D1004="V02",Cadrage!$D$34,Cadrage!$E$34)))</f>
        <v>0.015</v>
      </c>
      <c r="J1004">
        <f>IF($A1004="","",IF($D1004="V01",Cadrage!$C$35,IF($D1004="V02",Cadrage!$D$35,Cadrage!$E$35)))</f>
        <v>0.02</v>
      </c>
      <c r="K1004">
        <f>IF($A1004="","",IF($D1004="V01",Cadrage!$C$36,IF($D1004="V02",Cadrage!$D$36,Cadrage!$E$36)))</f>
        <v>0.03</v>
      </c>
      <c r="L1004">
        <f>IF($A1004="","",IF($D1004="V01",Cadrage!$C$37,IF($D1004="V02",Cadrage!$D$37,Cadrage!$E$37)))</f>
        <v>0.03</v>
      </c>
      <c r="M1004">
        <f>IF($A1004="","",IF($D1004="V01",Cadrage!$C$38,IF($D1004="V02",Cadrage!$D$38,Cadrage!$E$38)))</f>
        <v>-0.03</v>
      </c>
      <c r="N1004">
        <f t="shared" si="1"/>
        <v>1.16083752922642</v>
      </c>
      <c r="O1004">
        <f t="shared" si="2"/>
        <v>0.9550135</v>
      </c>
      <c r="P1004">
        <f>IF($A1004="","",IF($E1004=1,$F1004*$O1004,PNL!G1004))</f>
        <v>25188.070406695</v>
      </c>
      <c r="T1004">
        <f t="shared" si="3"/>
        <v>-25188.070406695</v>
      </c>
    </row>
    <row r="1005" ht="14.25" customHeight="1">
      <c r="A1005" t="str">
        <f>IF(PNL!A1005="","",PNL!A1005)</f>
        <v>MBWAY_LYO</v>
      </c>
      <c r="B1005" t="str">
        <f>IF(PNL!B1005="","",PNL!B1005)</f>
        <v>625</v>
      </c>
      <c r="C1005" t="str">
        <f>IF(PNL!C1005="","",PNL!C1005)</f>
        <v>2027</v>
      </c>
      <c r="D1005" t="str">
        <f>IF(PNL!D1005="","",PNL!D1005)</f>
        <v>V02</v>
      </c>
      <c r="E1005">
        <f t="shared" si="0"/>
        <v>1</v>
      </c>
      <c r="F1005">
        <f>IF($A1005="","",IF($E1005=1,_xlfn.SUMIFS(Comptabilité!$F$1:$F$1446,Comptabilité!$A$1:$A$1446,$A1005,Comptabilité!$B$1:$B$1446,$B1005,Comptabilité!$C$1:$C$1446,"2026"),0))</f>
        <v>37684.82</v>
      </c>
      <c r="G1005">
        <f>IF($A1005="","",IF($D1005="V01",Cadrage!$C$23,IF($D1005="V02",Cadrage!$D$23,Cadrage!$E$23)))</f>
        <v>0.15</v>
      </c>
      <c r="H1005">
        <f>IF($A1005="","",IF($D1005="V01",Cadrage!$C$24,IF($D1005="V02",Cadrage!$D$24,Cadrage!$E$24)))</f>
        <v>0.15</v>
      </c>
      <c r="I1005">
        <f>IF($A1005="","",IF($D1005="V01",Cadrage!$C$34,IF($D1005="V02",Cadrage!$D$34,Cadrage!$E$34)))</f>
        <v>0.015</v>
      </c>
      <c r="J1005">
        <f>IF($A1005="","",IF($D1005="V01",Cadrage!$C$35,IF($D1005="V02",Cadrage!$D$35,Cadrage!$E$35)))</f>
        <v>0.02</v>
      </c>
      <c r="K1005">
        <f>IF($A1005="","",IF($D1005="V01",Cadrage!$C$36,IF($D1005="V02",Cadrage!$D$36,Cadrage!$E$36)))</f>
        <v>0.03</v>
      </c>
      <c r="L1005">
        <f>IF($A1005="","",IF($D1005="V01",Cadrage!$C$37,IF($D1005="V02",Cadrage!$D$37,Cadrage!$E$37)))</f>
        <v>0.03</v>
      </c>
      <c r="M1005">
        <f>IF($A1005="","",IF($D1005="V01",Cadrage!$C$38,IF($D1005="V02",Cadrage!$D$38,Cadrage!$E$38)))</f>
        <v>-0.03</v>
      </c>
      <c r="N1005">
        <f t="shared" si="1"/>
        <v>1.16083752922642</v>
      </c>
      <c r="O1005">
        <f t="shared" si="2"/>
        <v>0.9550135</v>
      </c>
      <c r="P1005">
        <f>IF($A1005="","",IF($E1005=1,$F1005*$O1005,PNL!G1005))</f>
        <v>35989.51184507</v>
      </c>
      <c r="T1005">
        <f t="shared" si="3"/>
        <v>-35989.51184507</v>
      </c>
    </row>
    <row r="1006" ht="14.25" customHeight="1">
      <c r="A1006" t="str">
        <f>IF(PNL!A1006="","",PNL!A1006)</f>
        <v>MBWAY_NAN</v>
      </c>
      <c r="B1006" t="str">
        <f>IF(PNL!B1006="","",PNL!B1006)</f>
        <v>625</v>
      </c>
      <c r="C1006" t="str">
        <f>IF(PNL!C1006="","",PNL!C1006)</f>
        <v>2027</v>
      </c>
      <c r="D1006" t="str">
        <f>IF(PNL!D1006="","",PNL!D1006)</f>
        <v>V02</v>
      </c>
      <c r="E1006">
        <f t="shared" si="0"/>
        <v>1</v>
      </c>
      <c r="F1006">
        <f>IF($A1006="","",IF($E1006=1,_xlfn.SUMIFS(Comptabilité!$F$1:$F$1446,Comptabilité!$A$1:$A$1446,$A1006,Comptabilité!$B$1:$B$1446,$B1006,Comptabilité!$C$1:$C$1446,"2026"),0))</f>
        <v>31867.52</v>
      </c>
      <c r="G1006">
        <f>IF($A1006="","",IF($D1006="V01",Cadrage!$C$23,IF($D1006="V02",Cadrage!$D$23,Cadrage!$E$23)))</f>
        <v>0.15</v>
      </c>
      <c r="H1006">
        <f>IF($A1006="","",IF($D1006="V01",Cadrage!$C$24,IF($D1006="V02",Cadrage!$D$24,Cadrage!$E$24)))</f>
        <v>0.15</v>
      </c>
      <c r="I1006">
        <f>IF($A1006="","",IF($D1006="V01",Cadrage!$C$34,IF($D1006="V02",Cadrage!$D$34,Cadrage!$E$34)))</f>
        <v>0.015</v>
      </c>
      <c r="J1006">
        <f>IF($A1006="","",IF($D1006="V01",Cadrage!$C$35,IF($D1006="V02",Cadrage!$D$35,Cadrage!$E$35)))</f>
        <v>0.02</v>
      </c>
      <c r="K1006">
        <f>IF($A1006="","",IF($D1006="V01",Cadrage!$C$36,IF($D1006="V02",Cadrage!$D$36,Cadrage!$E$36)))</f>
        <v>0.03</v>
      </c>
      <c r="L1006">
        <f>IF($A1006="","",IF($D1006="V01",Cadrage!$C$37,IF($D1006="V02",Cadrage!$D$37,Cadrage!$E$37)))</f>
        <v>0.03</v>
      </c>
      <c r="M1006">
        <f>IF($A1006="","",IF($D1006="V01",Cadrage!$C$38,IF($D1006="V02",Cadrage!$D$38,Cadrage!$E$38)))</f>
        <v>-0.03</v>
      </c>
      <c r="N1006">
        <f t="shared" si="1"/>
        <v>1.16083752922642</v>
      </c>
      <c r="O1006">
        <f t="shared" si="2"/>
        <v>0.9550135</v>
      </c>
      <c r="P1006">
        <f>IF($A1006="","",IF($E1006=1,$F1006*$O1006,PNL!G1006))</f>
        <v>30433.91181152</v>
      </c>
      <c r="T1006">
        <f t="shared" si="3"/>
        <v>-30433.91181152</v>
      </c>
    </row>
    <row r="1007" ht="14.25" customHeight="1">
      <c r="A1007" t="str">
        <f>IF(PNL!A1007="","",PNL!A1007)</f>
        <v>MBWAY_PAR</v>
      </c>
      <c r="B1007" t="str">
        <f>IF(PNL!B1007="","",PNL!B1007)</f>
        <v>625</v>
      </c>
      <c r="C1007" t="str">
        <f>IF(PNL!C1007="","",PNL!C1007)</f>
        <v>2027</v>
      </c>
      <c r="D1007" t="str">
        <f>IF(PNL!D1007="","",PNL!D1007)</f>
        <v>V02</v>
      </c>
      <c r="E1007">
        <f t="shared" si="0"/>
        <v>1</v>
      </c>
      <c r="F1007">
        <f>IF($A1007="","",IF($E1007=1,_xlfn.SUMIFS(Comptabilité!$F$1:$F$1446,Comptabilité!$A$1:$A$1446,$A1007,Comptabilité!$B$1:$B$1446,$B1007,Comptabilité!$C$1:$C$1446,"2026"),0))</f>
        <v>48309.71</v>
      </c>
      <c r="G1007">
        <f>IF($A1007="","",IF($D1007="V01",Cadrage!$C$23,IF($D1007="V02",Cadrage!$D$23,Cadrage!$E$23)))</f>
        <v>0.15</v>
      </c>
      <c r="H1007">
        <f>IF($A1007="","",IF($D1007="V01",Cadrage!$C$24,IF($D1007="V02",Cadrage!$D$24,Cadrage!$E$24)))</f>
        <v>0.15</v>
      </c>
      <c r="I1007">
        <f>IF($A1007="","",IF($D1007="V01",Cadrage!$C$34,IF($D1007="V02",Cadrage!$D$34,Cadrage!$E$34)))</f>
        <v>0.015</v>
      </c>
      <c r="J1007">
        <f>IF($A1007="","",IF($D1007="V01",Cadrage!$C$35,IF($D1007="V02",Cadrage!$D$35,Cadrage!$E$35)))</f>
        <v>0.02</v>
      </c>
      <c r="K1007">
        <f>IF($A1007="","",IF($D1007="V01",Cadrage!$C$36,IF($D1007="V02",Cadrage!$D$36,Cadrage!$E$36)))</f>
        <v>0.03</v>
      </c>
      <c r="L1007">
        <f>IF($A1007="","",IF($D1007="V01",Cadrage!$C$37,IF($D1007="V02",Cadrage!$D$37,Cadrage!$E$37)))</f>
        <v>0.03</v>
      </c>
      <c r="M1007">
        <f>IF($A1007="","",IF($D1007="V01",Cadrage!$C$38,IF($D1007="V02",Cadrage!$D$38,Cadrage!$E$38)))</f>
        <v>-0.03</v>
      </c>
      <c r="N1007">
        <f t="shared" si="1"/>
        <v>1.16083752922642</v>
      </c>
      <c r="O1007">
        <f t="shared" si="2"/>
        <v>0.9550135</v>
      </c>
      <c r="P1007">
        <f>IF($A1007="","",IF($E1007=1,$F1007*$O1007,PNL!G1007))</f>
        <v>46136.425231085</v>
      </c>
      <c r="T1007">
        <f t="shared" si="3"/>
        <v>-46136.425231085</v>
      </c>
    </row>
    <row r="1008" ht="14.25" customHeight="1">
      <c r="A1008" t="str">
        <f>IF(PNL!A1008="","",PNL!A1008)</f>
        <v>PIGIER_BOR</v>
      </c>
      <c r="B1008" t="str">
        <f>IF(PNL!B1008="","",PNL!B1008)</f>
        <v>625</v>
      </c>
      <c r="C1008" t="str">
        <f>IF(PNL!C1008="","",PNL!C1008)</f>
        <v>2027</v>
      </c>
      <c r="D1008" t="str">
        <f>IF(PNL!D1008="","",PNL!D1008)</f>
        <v>V02</v>
      </c>
      <c r="E1008">
        <f t="shared" si="0"/>
        <v>1</v>
      </c>
      <c r="F1008">
        <f>IF($A1008="","",IF($E1008=1,_xlfn.SUMIFS(Comptabilité!$F$1:$F$1446,Comptabilité!$A$1:$A$1446,$A1008,Comptabilité!$B$1:$B$1446,$B1008,Comptabilité!$C$1:$C$1446,"2026"),0))</f>
        <v>12256.21</v>
      </c>
      <c r="G1008">
        <f>IF($A1008="","",IF($D1008="V01",Cadrage!$C$23,IF($D1008="V02",Cadrage!$D$23,Cadrage!$E$23)))</f>
        <v>0.15</v>
      </c>
      <c r="H1008">
        <f>IF($A1008="","",IF($D1008="V01",Cadrage!$C$24,IF($D1008="V02",Cadrage!$D$24,Cadrage!$E$24)))</f>
        <v>0.15</v>
      </c>
      <c r="I1008">
        <f>IF($A1008="","",IF($D1008="V01",Cadrage!$C$34,IF($D1008="V02",Cadrage!$D$34,Cadrage!$E$34)))</f>
        <v>0.015</v>
      </c>
      <c r="J1008">
        <f>IF($A1008="","",IF($D1008="V01",Cadrage!$C$35,IF($D1008="V02",Cadrage!$D$35,Cadrage!$E$35)))</f>
        <v>0.02</v>
      </c>
      <c r="K1008">
        <f>IF($A1008="","",IF($D1008="V01",Cadrage!$C$36,IF($D1008="V02",Cadrage!$D$36,Cadrage!$E$36)))</f>
        <v>0.03</v>
      </c>
      <c r="L1008">
        <f>IF($A1008="","",IF($D1008="V01",Cadrage!$C$37,IF($D1008="V02",Cadrage!$D$37,Cadrage!$E$37)))</f>
        <v>0.03</v>
      </c>
      <c r="M1008">
        <f>IF($A1008="","",IF($D1008="V01",Cadrage!$C$38,IF($D1008="V02",Cadrage!$D$38,Cadrage!$E$38)))</f>
        <v>-0.03</v>
      </c>
      <c r="N1008">
        <f t="shared" si="1"/>
        <v>1.16083752922642</v>
      </c>
      <c r="O1008">
        <f t="shared" si="2"/>
        <v>0.9550135</v>
      </c>
      <c r="P1008">
        <f>IF($A1008="","",IF($E1008=1,$F1008*$O1008,PNL!G1008))</f>
        <v>11704.846008835</v>
      </c>
      <c r="T1008">
        <f t="shared" si="3"/>
        <v>-11704.846008835</v>
      </c>
    </row>
    <row r="1009" ht="14.25" customHeight="1">
      <c r="A1009" t="str">
        <f>IF(PNL!A1009="","",PNL!A1009)</f>
        <v>PIGIER_LYO</v>
      </c>
      <c r="B1009" t="str">
        <f>IF(PNL!B1009="","",PNL!B1009)</f>
        <v>625</v>
      </c>
      <c r="C1009" t="str">
        <f>IF(PNL!C1009="","",PNL!C1009)</f>
        <v>2027</v>
      </c>
      <c r="D1009" t="str">
        <f>IF(PNL!D1009="","",PNL!D1009)</f>
        <v>V02</v>
      </c>
      <c r="E1009">
        <f t="shared" si="0"/>
        <v>1</v>
      </c>
      <c r="F1009">
        <f>IF($A1009="","",IF($E1009=1,_xlfn.SUMIFS(Comptabilité!$F$1:$F$1446,Comptabilité!$A$1:$A$1446,$A1009,Comptabilité!$B$1:$B$1446,$B1009,Comptabilité!$C$1:$C$1446,"2026"),0))</f>
        <v>20742.64</v>
      </c>
      <c r="G1009">
        <f>IF($A1009="","",IF($D1009="V01",Cadrage!$C$23,IF($D1009="V02",Cadrage!$D$23,Cadrage!$E$23)))</f>
        <v>0.15</v>
      </c>
      <c r="H1009">
        <f>IF($A1009="","",IF($D1009="V01",Cadrage!$C$24,IF($D1009="V02",Cadrage!$D$24,Cadrage!$E$24)))</f>
        <v>0.15</v>
      </c>
      <c r="I1009">
        <f>IF($A1009="","",IF($D1009="V01",Cadrage!$C$34,IF($D1009="V02",Cadrage!$D$34,Cadrage!$E$34)))</f>
        <v>0.015</v>
      </c>
      <c r="J1009">
        <f>IF($A1009="","",IF($D1009="V01",Cadrage!$C$35,IF($D1009="V02",Cadrage!$D$35,Cadrage!$E$35)))</f>
        <v>0.02</v>
      </c>
      <c r="K1009">
        <f>IF($A1009="","",IF($D1009="V01",Cadrage!$C$36,IF($D1009="V02",Cadrage!$D$36,Cadrage!$E$36)))</f>
        <v>0.03</v>
      </c>
      <c r="L1009">
        <f>IF($A1009="","",IF($D1009="V01",Cadrage!$C$37,IF($D1009="V02",Cadrage!$D$37,Cadrage!$E$37)))</f>
        <v>0.03</v>
      </c>
      <c r="M1009">
        <f>IF($A1009="","",IF($D1009="V01",Cadrage!$C$38,IF($D1009="V02",Cadrage!$D$38,Cadrage!$E$38)))</f>
        <v>-0.03</v>
      </c>
      <c r="N1009">
        <f t="shared" si="1"/>
        <v>1.16083752922642</v>
      </c>
      <c r="O1009">
        <f t="shared" si="2"/>
        <v>0.9550135</v>
      </c>
      <c r="P1009">
        <f>IF($A1009="","",IF($E1009=1,$F1009*$O1009,PNL!G1009))</f>
        <v>19809.50122564</v>
      </c>
      <c r="T1009">
        <f t="shared" si="3"/>
        <v>-19809.50122564</v>
      </c>
    </row>
    <row r="1010" ht="14.25" customHeight="1">
      <c r="A1010" t="str">
        <f>IF(PNL!A1010="","",PNL!A1010)</f>
        <v>TUNON_LYO</v>
      </c>
      <c r="B1010" t="str">
        <f>IF(PNL!B1010="","",PNL!B1010)</f>
        <v>625</v>
      </c>
      <c r="C1010" t="str">
        <f>IF(PNL!C1010="","",PNL!C1010)</f>
        <v>2027</v>
      </c>
      <c r="D1010" t="str">
        <f>IF(PNL!D1010="","",PNL!D1010)</f>
        <v>V02</v>
      </c>
      <c r="E1010">
        <f t="shared" si="0"/>
        <v>1</v>
      </c>
      <c r="F1010">
        <f>IF($A1010="","",IF($E1010=1,_xlfn.SUMIFS(Comptabilité!$F$1:$F$1446,Comptabilité!$A$1:$A$1446,$A1010,Comptabilité!$B$1:$B$1446,$B1010,Comptabilité!$C$1:$C$1446,"2026"),0))</f>
        <v>13700.21</v>
      </c>
      <c r="G1010">
        <f>IF($A1010="","",IF($D1010="V01",Cadrage!$C$23,IF($D1010="V02",Cadrage!$D$23,Cadrage!$E$23)))</f>
        <v>0.15</v>
      </c>
      <c r="H1010">
        <f>IF($A1010="","",IF($D1010="V01",Cadrage!$C$24,IF($D1010="V02",Cadrage!$D$24,Cadrage!$E$24)))</f>
        <v>0.15</v>
      </c>
      <c r="I1010">
        <f>IF($A1010="","",IF($D1010="V01",Cadrage!$C$34,IF($D1010="V02",Cadrage!$D$34,Cadrage!$E$34)))</f>
        <v>0.015</v>
      </c>
      <c r="J1010">
        <f>IF($A1010="","",IF($D1010="V01",Cadrage!$C$35,IF($D1010="V02",Cadrage!$D$35,Cadrage!$E$35)))</f>
        <v>0.02</v>
      </c>
      <c r="K1010">
        <f>IF($A1010="","",IF($D1010="V01",Cadrage!$C$36,IF($D1010="V02",Cadrage!$D$36,Cadrage!$E$36)))</f>
        <v>0.03</v>
      </c>
      <c r="L1010">
        <f>IF($A1010="","",IF($D1010="V01",Cadrage!$C$37,IF($D1010="V02",Cadrage!$D$37,Cadrage!$E$37)))</f>
        <v>0.03</v>
      </c>
      <c r="M1010">
        <f>IF($A1010="","",IF($D1010="V01",Cadrage!$C$38,IF($D1010="V02",Cadrage!$D$38,Cadrage!$E$38)))</f>
        <v>-0.03</v>
      </c>
      <c r="N1010">
        <f t="shared" si="1"/>
        <v>1.16083752922642</v>
      </c>
      <c r="O1010">
        <f t="shared" si="2"/>
        <v>0.9550135</v>
      </c>
      <c r="P1010">
        <f>IF($A1010="","",IF($E1010=1,$F1010*$O1010,PNL!G1010))</f>
        <v>13083.885502835</v>
      </c>
      <c r="T1010">
        <f t="shared" si="3"/>
        <v>-13083.885502835</v>
      </c>
    </row>
    <row r="1011" ht="14.25" customHeight="1">
      <c r="A1011" t="str">
        <f>IF(PNL!A1011="","",PNL!A1011)</f>
        <v>TUNON_PAR</v>
      </c>
      <c r="B1011" t="str">
        <f>IF(PNL!B1011="","",PNL!B1011)</f>
        <v>625</v>
      </c>
      <c r="C1011" t="str">
        <f>IF(PNL!C1011="","",PNL!C1011)</f>
        <v>2027</v>
      </c>
      <c r="D1011" t="str">
        <f>IF(PNL!D1011="","",PNL!D1011)</f>
        <v>V02</v>
      </c>
      <c r="E1011">
        <f t="shared" si="0"/>
        <v>1</v>
      </c>
      <c r="F1011">
        <f>IF($A1011="","",IF($E1011=1,_xlfn.SUMIFS(Comptabilité!$F$1:$F$1446,Comptabilité!$A$1:$A$1446,$A1011,Comptabilité!$B$1:$B$1446,$B1011,Comptabilité!$C$1:$C$1446,"2026"),0))</f>
        <v>19410.96</v>
      </c>
      <c r="G1011">
        <f>IF($A1011="","",IF($D1011="V01",Cadrage!$C$23,IF($D1011="V02",Cadrage!$D$23,Cadrage!$E$23)))</f>
        <v>0.15</v>
      </c>
      <c r="H1011">
        <f>IF($A1011="","",IF($D1011="V01",Cadrage!$C$24,IF($D1011="V02",Cadrage!$D$24,Cadrage!$E$24)))</f>
        <v>0.15</v>
      </c>
      <c r="I1011">
        <f>IF($A1011="","",IF($D1011="V01",Cadrage!$C$34,IF($D1011="V02",Cadrage!$D$34,Cadrage!$E$34)))</f>
        <v>0.015</v>
      </c>
      <c r="J1011">
        <f>IF($A1011="","",IF($D1011="V01",Cadrage!$C$35,IF($D1011="V02",Cadrage!$D$35,Cadrage!$E$35)))</f>
        <v>0.02</v>
      </c>
      <c r="K1011">
        <f>IF($A1011="","",IF($D1011="V01",Cadrage!$C$36,IF($D1011="V02",Cadrage!$D$36,Cadrage!$E$36)))</f>
        <v>0.03</v>
      </c>
      <c r="L1011">
        <f>IF($A1011="","",IF($D1011="V01",Cadrage!$C$37,IF($D1011="V02",Cadrage!$D$37,Cadrage!$E$37)))</f>
        <v>0.03</v>
      </c>
      <c r="M1011">
        <f>IF($A1011="","",IF($D1011="V01",Cadrage!$C$38,IF($D1011="V02",Cadrage!$D$38,Cadrage!$E$38)))</f>
        <v>-0.03</v>
      </c>
      <c r="N1011">
        <f t="shared" si="1"/>
        <v>1.16083752922642</v>
      </c>
      <c r="O1011">
        <f t="shared" si="2"/>
        <v>0.9550135</v>
      </c>
      <c r="P1011">
        <f>IF($A1011="","",IF($E1011=1,$F1011*$O1011,PNL!G1011))</f>
        <v>18537.72884796</v>
      </c>
      <c r="T1011">
        <f t="shared" si="3"/>
        <v>-18537.72884796</v>
      </c>
    </row>
    <row r="1012" ht="14.25" customHeight="1">
      <c r="A1012" t="str">
        <f>IF(PNL!A1012="","",PNL!A1012)</f>
        <v>GRP</v>
      </c>
      <c r="B1012" t="str">
        <f>IF(PNL!B1012="","",PNL!B1012)</f>
        <v>626</v>
      </c>
      <c r="C1012" t="str">
        <f>IF(PNL!C1012="","",PNL!C1012)</f>
        <v>2027</v>
      </c>
      <c r="D1012" t="str">
        <f>IF(PNL!D1012="","",PNL!D1012)</f>
        <v>V02</v>
      </c>
      <c r="E1012">
        <f t="shared" si="0"/>
        <v>1</v>
      </c>
      <c r="F1012">
        <f>IF($A1012="","",IF($E1012=1,_xlfn.SUMIFS(Comptabilité!$F$1:$F$1446,Comptabilité!$A$1:$A$1446,$A1012,Comptabilité!$B$1:$B$1446,$B1012,Comptabilité!$C$1:$C$1446,"2026"),0))</f>
        <v>451872</v>
      </c>
      <c r="G1012">
        <f>IF($A1012="","",IF($D1012="V01",Cadrage!$C$23,IF($D1012="V02",Cadrage!$D$23,Cadrage!$E$23)))</f>
        <v>0.15</v>
      </c>
      <c r="H1012">
        <f>IF($A1012="","",IF($D1012="V01",Cadrage!$C$24,IF($D1012="V02",Cadrage!$D$24,Cadrage!$E$24)))</f>
        <v>0.15</v>
      </c>
      <c r="I1012">
        <f>IF($A1012="","",IF($D1012="V01",Cadrage!$C$34,IF($D1012="V02",Cadrage!$D$34,Cadrage!$E$34)))</f>
        <v>0.015</v>
      </c>
      <c r="J1012">
        <f>IF($A1012="","",IF($D1012="V01",Cadrage!$C$35,IF($D1012="V02",Cadrage!$D$35,Cadrage!$E$35)))</f>
        <v>0.02</v>
      </c>
      <c r="K1012">
        <f>IF($A1012="","",IF($D1012="V01",Cadrage!$C$36,IF($D1012="V02",Cadrage!$D$36,Cadrage!$E$36)))</f>
        <v>0.03</v>
      </c>
      <c r="L1012">
        <f>IF($A1012="","",IF($D1012="V01",Cadrage!$C$37,IF($D1012="V02",Cadrage!$D$37,Cadrage!$E$37)))</f>
        <v>0.03</v>
      </c>
      <c r="M1012">
        <f>IF($A1012="","",IF($D1012="V01",Cadrage!$C$38,IF($D1012="V02",Cadrage!$D$38,Cadrage!$E$38)))</f>
        <v>-0.03</v>
      </c>
      <c r="N1012">
        <f t="shared" si="1"/>
        <v>1.16083752922642</v>
      </c>
      <c r="O1012">
        <f t="shared" si="2"/>
        <v>0.9550135</v>
      </c>
      <c r="P1012">
        <f>IF($A1012="","",IF($E1012=1,$F1012*$O1012,PNL!G1012))</f>
        <v>431543.860272</v>
      </c>
      <c r="T1012">
        <f t="shared" si="3"/>
        <v>-431543.860272</v>
      </c>
    </row>
    <row r="1013" ht="14.25" customHeight="1">
      <c r="A1013" t="str">
        <f>IF(PNL!A1013="","",PNL!A1013)</f>
        <v>GRP</v>
      </c>
      <c r="B1013" t="str">
        <f>IF(PNL!B1013="","",PNL!B1013)</f>
        <v>6281</v>
      </c>
      <c r="C1013" t="str">
        <f>IF(PNL!C1013="","",PNL!C1013)</f>
        <v>2027</v>
      </c>
      <c r="D1013" t="str">
        <f>IF(PNL!D1013="","",PNL!D1013)</f>
        <v>V02</v>
      </c>
      <c r="E1013">
        <f t="shared" si="0"/>
        <v>1</v>
      </c>
      <c r="F1013">
        <f>IF($A1013="","",IF($E1013=1,_xlfn.SUMIFS(Comptabilité!$F$1:$F$1446,Comptabilité!$A$1:$A$1446,$A1013,Comptabilité!$B$1:$B$1446,$B1013,Comptabilité!$C$1:$C$1446,"2026"),0))</f>
        <v>180749</v>
      </c>
      <c r="G1013">
        <f>IF($A1013="","",IF($D1013="V01",Cadrage!$C$23,IF($D1013="V02",Cadrage!$D$23,Cadrage!$E$23)))</f>
        <v>0.15</v>
      </c>
      <c r="H1013">
        <f>IF($A1013="","",IF($D1013="V01",Cadrage!$C$24,IF($D1013="V02",Cadrage!$D$24,Cadrage!$E$24)))</f>
        <v>0.15</v>
      </c>
      <c r="I1013">
        <f>IF($A1013="","",IF($D1013="V01",Cadrage!$C$34,IF($D1013="V02",Cadrage!$D$34,Cadrage!$E$34)))</f>
        <v>0.015</v>
      </c>
      <c r="J1013">
        <f>IF($A1013="","",IF($D1013="V01",Cadrage!$C$35,IF($D1013="V02",Cadrage!$D$35,Cadrage!$E$35)))</f>
        <v>0.02</v>
      </c>
      <c r="K1013">
        <f>IF($A1013="","",IF($D1013="V01",Cadrage!$C$36,IF($D1013="V02",Cadrage!$D$36,Cadrage!$E$36)))</f>
        <v>0.03</v>
      </c>
      <c r="L1013">
        <f>IF($A1013="","",IF($D1013="V01",Cadrage!$C$37,IF($D1013="V02",Cadrage!$D$37,Cadrage!$E$37)))</f>
        <v>0.03</v>
      </c>
      <c r="M1013">
        <f>IF($A1013="","",IF($D1013="V01",Cadrage!$C$38,IF($D1013="V02",Cadrage!$D$38,Cadrage!$E$38)))</f>
        <v>-0.03</v>
      </c>
      <c r="N1013">
        <f t="shared" si="1"/>
        <v>1.16083752922642</v>
      </c>
      <c r="O1013">
        <f t="shared" si="2"/>
        <v>0.9550135</v>
      </c>
      <c r="P1013">
        <f>IF($A1013="","",IF($E1013=1,$F1013*$O1013,PNL!G1013))</f>
        <v>172617.7351115</v>
      </c>
      <c r="T1013">
        <f t="shared" si="3"/>
        <v>-172617.7351115</v>
      </c>
    </row>
    <row r="1014" ht="14.25" customHeight="1">
      <c r="A1014" t="str">
        <f>IF(PNL!A1014="","",PNL!A1014)</f>
        <v>GRP</v>
      </c>
      <c r="B1014" t="str">
        <f>IF(PNL!B1014="","",PNL!B1014)</f>
        <v>6331</v>
      </c>
      <c r="C1014" t="str">
        <f>IF(PNL!C1014="","",PNL!C1014)</f>
        <v>2027</v>
      </c>
      <c r="D1014" t="str">
        <f>IF(PNL!D1014="","",PNL!D1014)</f>
        <v>V02</v>
      </c>
      <c r="E1014">
        <f t="shared" si="0"/>
        <v>1</v>
      </c>
      <c r="F1014">
        <f>IF($A1014="","",IF($E1014=1,_xlfn.SUMIFS(Comptabilité!$F$1:$F$1446,Comptabilité!$A$1:$A$1446,$A1014,Comptabilité!$B$1:$B$1446,$B1014,Comptabilité!$C$1:$C$1446,"2026"),0))</f>
        <v>338904</v>
      </c>
      <c r="G1014">
        <f>IF($A1014="","",IF($D1014="V01",Cadrage!$C$23,IF($D1014="V02",Cadrage!$D$23,Cadrage!$E$23)))</f>
        <v>0.15</v>
      </c>
      <c r="H1014">
        <f>IF($A1014="","",IF($D1014="V01",Cadrage!$C$24,IF($D1014="V02",Cadrage!$D$24,Cadrage!$E$24)))</f>
        <v>0.15</v>
      </c>
      <c r="I1014">
        <f>IF($A1014="","",IF($D1014="V01",Cadrage!$C$34,IF($D1014="V02",Cadrage!$D$34,Cadrage!$E$34)))</f>
        <v>0.015</v>
      </c>
      <c r="J1014">
        <f>IF($A1014="","",IF($D1014="V01",Cadrage!$C$35,IF($D1014="V02",Cadrage!$D$35,Cadrage!$E$35)))</f>
        <v>0.02</v>
      </c>
      <c r="K1014">
        <f>IF($A1014="","",IF($D1014="V01",Cadrage!$C$36,IF($D1014="V02",Cadrage!$D$36,Cadrage!$E$36)))</f>
        <v>0.03</v>
      </c>
      <c r="L1014">
        <f>IF($A1014="","",IF($D1014="V01",Cadrage!$C$37,IF($D1014="V02",Cadrage!$D$37,Cadrage!$E$37)))</f>
        <v>0.03</v>
      </c>
      <c r="M1014">
        <f>IF($A1014="","",IF($D1014="V01",Cadrage!$C$38,IF($D1014="V02",Cadrage!$D$38,Cadrage!$E$38)))</f>
        <v>-0.03</v>
      </c>
      <c r="N1014">
        <f t="shared" si="1"/>
        <v>1.16083752922642</v>
      </c>
      <c r="O1014">
        <f t="shared" si="2"/>
        <v>0.98455</v>
      </c>
      <c r="P1014">
        <f>IF($A1014="","",IF($E1014=1,$F1014*$O1014,PNL!G1014))</f>
        <v>333667.9332</v>
      </c>
      <c r="T1014">
        <f t="shared" si="3"/>
        <v>-333667.9332</v>
      </c>
    </row>
    <row r="1015" ht="14.25" customHeight="1">
      <c r="A1015" t="str">
        <f>IF(PNL!A1015="","",PNL!A1015)</f>
        <v>GRP</v>
      </c>
      <c r="B1015" t="str">
        <f>IF(PNL!B1015="","",PNL!B1015)</f>
        <v>6333</v>
      </c>
      <c r="C1015" t="str">
        <f>IF(PNL!C1015="","",PNL!C1015)</f>
        <v>2027</v>
      </c>
      <c r="D1015" t="str">
        <f>IF(PNL!D1015="","",PNL!D1015)</f>
        <v>V02</v>
      </c>
      <c r="E1015">
        <f t="shared" si="0"/>
        <v>1</v>
      </c>
      <c r="F1015">
        <f>IF($A1015="","",IF($E1015=1,_xlfn.SUMIFS(Comptabilité!$F$1:$F$1446,Comptabilité!$A$1:$A$1446,$A1015,Comptabilité!$B$1:$B$1446,$B1015,Comptabilité!$C$1:$C$1446,"2026"),0))</f>
        <v>112968</v>
      </c>
      <c r="G1015">
        <f>IF($A1015="","",IF($D1015="V01",Cadrage!$C$23,IF($D1015="V02",Cadrage!$D$23,Cadrage!$E$23)))</f>
        <v>0.15</v>
      </c>
      <c r="H1015">
        <f>IF($A1015="","",IF($D1015="V01",Cadrage!$C$24,IF($D1015="V02",Cadrage!$D$24,Cadrage!$E$24)))</f>
        <v>0.15</v>
      </c>
      <c r="I1015">
        <f>IF($A1015="","",IF($D1015="V01",Cadrage!$C$34,IF($D1015="V02",Cadrage!$D$34,Cadrage!$E$34)))</f>
        <v>0.015</v>
      </c>
      <c r="J1015">
        <f>IF($A1015="","",IF($D1015="V01",Cadrage!$C$35,IF($D1015="V02",Cadrage!$D$35,Cadrage!$E$35)))</f>
        <v>0.02</v>
      </c>
      <c r="K1015">
        <f>IF($A1015="","",IF($D1015="V01",Cadrage!$C$36,IF($D1015="V02",Cadrage!$D$36,Cadrage!$E$36)))</f>
        <v>0.03</v>
      </c>
      <c r="L1015">
        <f>IF($A1015="","",IF($D1015="V01",Cadrage!$C$37,IF($D1015="V02",Cadrage!$D$37,Cadrage!$E$37)))</f>
        <v>0.03</v>
      </c>
      <c r="M1015">
        <f>IF($A1015="","",IF($D1015="V01",Cadrage!$C$38,IF($D1015="V02",Cadrage!$D$38,Cadrage!$E$38)))</f>
        <v>-0.03</v>
      </c>
      <c r="N1015">
        <f t="shared" si="1"/>
        <v>1.16083752922642</v>
      </c>
      <c r="O1015">
        <f t="shared" si="2"/>
        <v>0.98455</v>
      </c>
      <c r="P1015">
        <f>IF($A1015="","",IF($E1015=1,$F1015*$O1015,PNL!G1015))</f>
        <v>111222.6444</v>
      </c>
      <c r="T1015">
        <f t="shared" si="3"/>
        <v>-111222.6444</v>
      </c>
    </row>
    <row r="1016" ht="14.25" customHeight="1">
      <c r="A1016" t="str">
        <f>IF(PNL!A1016="","",PNL!A1016)</f>
        <v>IPAC_MTP</v>
      </c>
      <c r="B1016" t="str">
        <f>IF(PNL!B1016="","",PNL!B1016)</f>
        <v>63511</v>
      </c>
      <c r="C1016" t="str">
        <f>IF(PNL!C1016="","",PNL!C1016)</f>
        <v>2027</v>
      </c>
      <c r="D1016" t="str">
        <f>IF(PNL!D1016="","",PNL!D1016)</f>
        <v>V02</v>
      </c>
      <c r="E1016">
        <f t="shared" si="0"/>
        <v>1</v>
      </c>
      <c r="F1016">
        <f>IF($A1016="","",IF($E1016=1,_xlfn.SUMIFS(Comptabilité!$F$1:$F$1446,Comptabilité!$A$1:$A$1446,$A1016,Comptabilité!$B$1:$B$1446,$B1016,Comptabilité!$C$1:$C$1446,"2026"),0))</f>
        <v>8004.78</v>
      </c>
      <c r="G1016">
        <f>IF($A1016="","",IF($D1016="V01",Cadrage!$C$23,IF($D1016="V02",Cadrage!$D$23,Cadrage!$E$23)))</f>
        <v>0.15</v>
      </c>
      <c r="H1016">
        <f>IF($A1016="","",IF($D1016="V01",Cadrage!$C$24,IF($D1016="V02",Cadrage!$D$24,Cadrage!$E$24)))</f>
        <v>0.15</v>
      </c>
      <c r="I1016">
        <f>IF($A1016="","",IF($D1016="V01",Cadrage!$C$34,IF($D1016="V02",Cadrage!$D$34,Cadrage!$E$34)))</f>
        <v>0.015</v>
      </c>
      <c r="J1016">
        <f>IF($A1016="","",IF($D1016="V01",Cadrage!$C$35,IF($D1016="V02",Cadrage!$D$35,Cadrage!$E$35)))</f>
        <v>0.02</v>
      </c>
      <c r="K1016">
        <f>IF($A1016="","",IF($D1016="V01",Cadrage!$C$36,IF($D1016="V02",Cadrage!$D$36,Cadrage!$E$36)))</f>
        <v>0.03</v>
      </c>
      <c r="L1016">
        <f>IF($A1016="","",IF($D1016="V01",Cadrage!$C$37,IF($D1016="V02",Cadrage!$D$37,Cadrage!$E$37)))</f>
        <v>0.03</v>
      </c>
      <c r="M1016">
        <f>IF($A1016="","",IF($D1016="V01",Cadrage!$C$38,IF($D1016="V02",Cadrage!$D$38,Cadrage!$E$38)))</f>
        <v>-0.03</v>
      </c>
      <c r="N1016">
        <f t="shared" si="1"/>
        <v>1.16083752922642</v>
      </c>
      <c r="O1016">
        <f t="shared" si="2"/>
        <v>0.98455</v>
      </c>
      <c r="P1016">
        <f>IF($A1016="","",IF($E1016=1,$F1016*$O1016,PNL!G1016))</f>
        <v>7881.106149</v>
      </c>
      <c r="T1016">
        <f t="shared" si="3"/>
        <v>-7881.106149</v>
      </c>
    </row>
    <row r="1017" ht="14.25" customHeight="1">
      <c r="A1017" t="str">
        <f>IF(PNL!A1017="","",PNL!A1017)</f>
        <v>IPAC_NAN</v>
      </c>
      <c r="B1017" t="str">
        <f>IF(PNL!B1017="","",PNL!B1017)</f>
        <v>63511</v>
      </c>
      <c r="C1017" t="str">
        <f>IF(PNL!C1017="","",PNL!C1017)</f>
        <v>2027</v>
      </c>
      <c r="D1017" t="str">
        <f>IF(PNL!D1017="","",PNL!D1017)</f>
        <v>V02</v>
      </c>
      <c r="E1017">
        <f t="shared" si="0"/>
        <v>1</v>
      </c>
      <c r="F1017">
        <f>IF($A1017="","",IF($E1017=1,_xlfn.SUMIFS(Comptabilité!$F$1:$F$1446,Comptabilité!$A$1:$A$1446,$A1017,Comptabilité!$B$1:$B$1446,$B1017,Comptabilité!$C$1:$C$1446,"2026"),0))</f>
        <v>9892.9</v>
      </c>
      <c r="G1017">
        <f>IF($A1017="","",IF($D1017="V01",Cadrage!$C$23,IF($D1017="V02",Cadrage!$D$23,Cadrage!$E$23)))</f>
        <v>0.15</v>
      </c>
      <c r="H1017">
        <f>IF($A1017="","",IF($D1017="V01",Cadrage!$C$24,IF($D1017="V02",Cadrage!$D$24,Cadrage!$E$24)))</f>
        <v>0.15</v>
      </c>
      <c r="I1017">
        <f>IF($A1017="","",IF($D1017="V01",Cadrage!$C$34,IF($D1017="V02",Cadrage!$D$34,Cadrage!$E$34)))</f>
        <v>0.015</v>
      </c>
      <c r="J1017">
        <f>IF($A1017="","",IF($D1017="V01",Cadrage!$C$35,IF($D1017="V02",Cadrage!$D$35,Cadrage!$E$35)))</f>
        <v>0.02</v>
      </c>
      <c r="K1017">
        <f>IF($A1017="","",IF($D1017="V01",Cadrage!$C$36,IF($D1017="V02",Cadrage!$D$36,Cadrage!$E$36)))</f>
        <v>0.03</v>
      </c>
      <c r="L1017">
        <f>IF($A1017="","",IF($D1017="V01",Cadrage!$C$37,IF($D1017="V02",Cadrage!$D$37,Cadrage!$E$37)))</f>
        <v>0.03</v>
      </c>
      <c r="M1017">
        <f>IF($A1017="","",IF($D1017="V01",Cadrage!$C$38,IF($D1017="V02",Cadrage!$D$38,Cadrage!$E$38)))</f>
        <v>-0.03</v>
      </c>
      <c r="N1017">
        <f t="shared" si="1"/>
        <v>1.16083752922642</v>
      </c>
      <c r="O1017">
        <f t="shared" si="2"/>
        <v>0.98455</v>
      </c>
      <c r="P1017">
        <f>IF($A1017="","",IF($E1017=1,$F1017*$O1017,PNL!G1017))</f>
        <v>9740.054695</v>
      </c>
      <c r="T1017">
        <f t="shared" si="3"/>
        <v>-9740.054695</v>
      </c>
    </row>
    <row r="1018" ht="14.25" customHeight="1">
      <c r="A1018" t="str">
        <f>IF(PNL!A1018="","",PNL!A1018)</f>
        <v>IPAC_REN</v>
      </c>
      <c r="B1018" t="str">
        <f>IF(PNL!B1018="","",PNL!B1018)</f>
        <v>63511</v>
      </c>
      <c r="C1018" t="str">
        <f>IF(PNL!C1018="","",PNL!C1018)</f>
        <v>2027</v>
      </c>
      <c r="D1018" t="str">
        <f>IF(PNL!D1018="","",PNL!D1018)</f>
        <v>V02</v>
      </c>
      <c r="E1018">
        <f t="shared" si="0"/>
        <v>1</v>
      </c>
      <c r="F1018">
        <f>IF($A1018="","",IF($E1018=1,_xlfn.SUMIFS(Comptabilité!$F$1:$F$1446,Comptabilité!$A$1:$A$1446,$A1018,Comptabilité!$B$1:$B$1446,$B1018,Comptabilité!$C$1:$C$1446,"2026"),0))</f>
        <v>8009.55</v>
      </c>
      <c r="G1018">
        <f>IF($A1018="","",IF($D1018="V01",Cadrage!$C$23,IF($D1018="V02",Cadrage!$D$23,Cadrage!$E$23)))</f>
        <v>0.15</v>
      </c>
      <c r="H1018">
        <f>IF($A1018="","",IF($D1018="V01",Cadrage!$C$24,IF($D1018="V02",Cadrage!$D$24,Cadrage!$E$24)))</f>
        <v>0.15</v>
      </c>
      <c r="I1018">
        <f>IF($A1018="","",IF($D1018="V01",Cadrage!$C$34,IF($D1018="V02",Cadrage!$D$34,Cadrage!$E$34)))</f>
        <v>0.015</v>
      </c>
      <c r="J1018">
        <f>IF($A1018="","",IF($D1018="V01",Cadrage!$C$35,IF($D1018="V02",Cadrage!$D$35,Cadrage!$E$35)))</f>
        <v>0.02</v>
      </c>
      <c r="K1018">
        <f>IF($A1018="","",IF($D1018="V01",Cadrage!$C$36,IF($D1018="V02",Cadrage!$D$36,Cadrage!$E$36)))</f>
        <v>0.03</v>
      </c>
      <c r="L1018">
        <f>IF($A1018="","",IF($D1018="V01",Cadrage!$C$37,IF($D1018="V02",Cadrage!$D$37,Cadrage!$E$37)))</f>
        <v>0.03</v>
      </c>
      <c r="M1018">
        <f>IF($A1018="","",IF($D1018="V01",Cadrage!$C$38,IF($D1018="V02",Cadrage!$D$38,Cadrage!$E$38)))</f>
        <v>-0.03</v>
      </c>
      <c r="N1018">
        <f t="shared" si="1"/>
        <v>1.16083752922642</v>
      </c>
      <c r="O1018">
        <f t="shared" si="2"/>
        <v>0.98455</v>
      </c>
      <c r="P1018">
        <f>IF($A1018="","",IF($E1018=1,$F1018*$O1018,PNL!G1018))</f>
        <v>7885.8024525</v>
      </c>
      <c r="T1018">
        <f t="shared" si="3"/>
        <v>-7885.8024525</v>
      </c>
    </row>
    <row r="1019" ht="14.25" customHeight="1">
      <c r="A1019" t="str">
        <f>IF(PNL!A1019="","",PNL!A1019)</f>
        <v>ISCOM_LIL</v>
      </c>
      <c r="B1019" t="str">
        <f>IF(PNL!B1019="","",PNL!B1019)</f>
        <v>63511</v>
      </c>
      <c r="C1019" t="str">
        <f>IF(PNL!C1019="","",PNL!C1019)</f>
        <v>2027</v>
      </c>
      <c r="D1019" t="str">
        <f>IF(PNL!D1019="","",PNL!D1019)</f>
        <v>V02</v>
      </c>
      <c r="E1019">
        <f t="shared" si="0"/>
        <v>1</v>
      </c>
      <c r="F1019">
        <f>IF($A1019="","",IF($E1019=1,_xlfn.SUMIFS(Comptabilité!$F$1:$F$1446,Comptabilité!$A$1:$A$1446,$A1019,Comptabilité!$B$1:$B$1446,$B1019,Comptabilité!$C$1:$C$1446,"2026"),0))</f>
        <v>16744.95</v>
      </c>
      <c r="G1019">
        <f>IF($A1019="","",IF($D1019="V01",Cadrage!$C$23,IF($D1019="V02",Cadrage!$D$23,Cadrage!$E$23)))</f>
        <v>0.15</v>
      </c>
      <c r="H1019">
        <f>IF($A1019="","",IF($D1019="V01",Cadrage!$C$24,IF($D1019="V02",Cadrage!$D$24,Cadrage!$E$24)))</f>
        <v>0.15</v>
      </c>
      <c r="I1019">
        <f>IF($A1019="","",IF($D1019="V01",Cadrage!$C$34,IF($D1019="V02",Cadrage!$D$34,Cadrage!$E$34)))</f>
        <v>0.015</v>
      </c>
      <c r="J1019">
        <f>IF($A1019="","",IF($D1019="V01",Cadrage!$C$35,IF($D1019="V02",Cadrage!$D$35,Cadrage!$E$35)))</f>
        <v>0.02</v>
      </c>
      <c r="K1019">
        <f>IF($A1019="","",IF($D1019="V01",Cadrage!$C$36,IF($D1019="V02",Cadrage!$D$36,Cadrage!$E$36)))</f>
        <v>0.03</v>
      </c>
      <c r="L1019">
        <f>IF($A1019="","",IF($D1019="V01",Cadrage!$C$37,IF($D1019="V02",Cadrage!$D$37,Cadrage!$E$37)))</f>
        <v>0.03</v>
      </c>
      <c r="M1019">
        <f>IF($A1019="","",IF($D1019="V01",Cadrage!$C$38,IF($D1019="V02",Cadrage!$D$38,Cadrage!$E$38)))</f>
        <v>-0.03</v>
      </c>
      <c r="N1019">
        <f t="shared" si="1"/>
        <v>1.16083752922642</v>
      </c>
      <c r="O1019">
        <f t="shared" si="2"/>
        <v>0.98455</v>
      </c>
      <c r="P1019">
        <f>IF($A1019="","",IF($E1019=1,$F1019*$O1019,PNL!G1019))</f>
        <v>16486.2405225</v>
      </c>
      <c r="T1019">
        <f t="shared" si="3"/>
        <v>-16486.2405225</v>
      </c>
    </row>
    <row r="1020" ht="14.25" customHeight="1">
      <c r="A1020" t="str">
        <f>IF(PNL!A1020="","",PNL!A1020)</f>
        <v>ISCOM_PAR</v>
      </c>
      <c r="B1020" t="str">
        <f>IF(PNL!B1020="","",PNL!B1020)</f>
        <v>63511</v>
      </c>
      <c r="C1020" t="str">
        <f>IF(PNL!C1020="","",PNL!C1020)</f>
        <v>2027</v>
      </c>
      <c r="D1020" t="str">
        <f>IF(PNL!D1020="","",PNL!D1020)</f>
        <v>V02</v>
      </c>
      <c r="E1020">
        <f t="shared" si="0"/>
        <v>1</v>
      </c>
      <c r="F1020">
        <f>IF($A1020="","",IF($E1020=1,_xlfn.SUMIFS(Comptabilité!$F$1:$F$1446,Comptabilité!$A$1:$A$1446,$A1020,Comptabilité!$B$1:$B$1446,$B1020,Comptabilité!$C$1:$C$1446,"2026"),0))</f>
        <v>28708.76</v>
      </c>
      <c r="G1020">
        <f>IF($A1020="","",IF($D1020="V01",Cadrage!$C$23,IF($D1020="V02",Cadrage!$D$23,Cadrage!$E$23)))</f>
        <v>0.15</v>
      </c>
      <c r="H1020">
        <f>IF($A1020="","",IF($D1020="V01",Cadrage!$C$24,IF($D1020="V02",Cadrage!$D$24,Cadrage!$E$24)))</f>
        <v>0.15</v>
      </c>
      <c r="I1020">
        <f>IF($A1020="","",IF($D1020="V01",Cadrage!$C$34,IF($D1020="V02",Cadrage!$D$34,Cadrage!$E$34)))</f>
        <v>0.015</v>
      </c>
      <c r="J1020">
        <f>IF($A1020="","",IF($D1020="V01",Cadrage!$C$35,IF($D1020="V02",Cadrage!$D$35,Cadrage!$E$35)))</f>
        <v>0.02</v>
      </c>
      <c r="K1020">
        <f>IF($A1020="","",IF($D1020="V01",Cadrage!$C$36,IF($D1020="V02",Cadrage!$D$36,Cadrage!$E$36)))</f>
        <v>0.03</v>
      </c>
      <c r="L1020">
        <f>IF($A1020="","",IF($D1020="V01",Cadrage!$C$37,IF($D1020="V02",Cadrage!$D$37,Cadrage!$E$37)))</f>
        <v>0.03</v>
      </c>
      <c r="M1020">
        <f>IF($A1020="","",IF($D1020="V01",Cadrage!$C$38,IF($D1020="V02",Cadrage!$D$38,Cadrage!$E$38)))</f>
        <v>-0.03</v>
      </c>
      <c r="N1020">
        <f t="shared" si="1"/>
        <v>1.16083752922642</v>
      </c>
      <c r="O1020">
        <f t="shared" si="2"/>
        <v>0.98455</v>
      </c>
      <c r="P1020">
        <f>IF($A1020="","",IF($E1020=1,$F1020*$O1020,PNL!G1020))</f>
        <v>28265.209658</v>
      </c>
      <c r="T1020">
        <f t="shared" si="3"/>
        <v>-28265.209658</v>
      </c>
    </row>
    <row r="1021" ht="14.25" customHeight="1">
      <c r="A1021" t="str">
        <f>IF(PNL!A1021="","",PNL!A1021)</f>
        <v>ISCOM_TLS</v>
      </c>
      <c r="B1021" t="str">
        <f>IF(PNL!B1021="","",PNL!B1021)</f>
        <v>63511</v>
      </c>
      <c r="C1021" t="str">
        <f>IF(PNL!C1021="","",PNL!C1021)</f>
        <v>2027</v>
      </c>
      <c r="D1021" t="str">
        <f>IF(PNL!D1021="","",PNL!D1021)</f>
        <v>V02</v>
      </c>
      <c r="E1021">
        <f t="shared" si="0"/>
        <v>1</v>
      </c>
      <c r="F1021">
        <f>IF($A1021="","",IF($E1021=1,_xlfn.SUMIFS(Comptabilité!$F$1:$F$1446,Comptabilité!$A$1:$A$1446,$A1021,Comptabilité!$B$1:$B$1446,$B1021,Comptabilité!$C$1:$C$1446,"2026"),0))</f>
        <v>15745.83</v>
      </c>
      <c r="G1021">
        <f>IF($A1021="","",IF($D1021="V01",Cadrage!$C$23,IF($D1021="V02",Cadrage!$D$23,Cadrage!$E$23)))</f>
        <v>0.15</v>
      </c>
      <c r="H1021">
        <f>IF($A1021="","",IF($D1021="V01",Cadrage!$C$24,IF($D1021="V02",Cadrage!$D$24,Cadrage!$E$24)))</f>
        <v>0.15</v>
      </c>
      <c r="I1021">
        <f>IF($A1021="","",IF($D1021="V01",Cadrage!$C$34,IF($D1021="V02",Cadrage!$D$34,Cadrage!$E$34)))</f>
        <v>0.015</v>
      </c>
      <c r="J1021">
        <f>IF($A1021="","",IF($D1021="V01",Cadrage!$C$35,IF($D1021="V02",Cadrage!$D$35,Cadrage!$E$35)))</f>
        <v>0.02</v>
      </c>
      <c r="K1021">
        <f>IF($A1021="","",IF($D1021="V01",Cadrage!$C$36,IF($D1021="V02",Cadrage!$D$36,Cadrage!$E$36)))</f>
        <v>0.03</v>
      </c>
      <c r="L1021">
        <f>IF($A1021="","",IF($D1021="V01",Cadrage!$C$37,IF($D1021="V02",Cadrage!$D$37,Cadrage!$E$37)))</f>
        <v>0.03</v>
      </c>
      <c r="M1021">
        <f>IF($A1021="","",IF($D1021="V01",Cadrage!$C$38,IF($D1021="V02",Cadrage!$D$38,Cadrage!$E$38)))</f>
        <v>-0.03</v>
      </c>
      <c r="N1021">
        <f t="shared" si="1"/>
        <v>1.16083752922642</v>
      </c>
      <c r="O1021">
        <f t="shared" si="2"/>
        <v>0.98455</v>
      </c>
      <c r="P1021">
        <f>IF($A1021="","",IF($E1021=1,$F1021*$O1021,PNL!G1021))</f>
        <v>15502.5569265</v>
      </c>
      <c r="T1021">
        <f t="shared" si="3"/>
        <v>-15502.5569265</v>
      </c>
    </row>
    <row r="1022" ht="14.25" customHeight="1">
      <c r="A1022" t="str">
        <f>IF(PNL!A1022="","",PNL!A1022)</f>
        <v>MBWAY_BOR</v>
      </c>
      <c r="B1022" t="str">
        <f>IF(PNL!B1022="","",PNL!B1022)</f>
        <v>63511</v>
      </c>
      <c r="C1022" t="str">
        <f>IF(PNL!C1022="","",PNL!C1022)</f>
        <v>2027</v>
      </c>
      <c r="D1022" t="str">
        <f>IF(PNL!D1022="","",PNL!D1022)</f>
        <v>V02</v>
      </c>
      <c r="E1022">
        <f t="shared" si="0"/>
        <v>1</v>
      </c>
      <c r="F1022">
        <f>IF($A1022="","",IF($E1022=1,_xlfn.SUMIFS(Comptabilité!$F$1:$F$1446,Comptabilité!$A$1:$A$1446,$A1022,Comptabilité!$B$1:$B$1446,$B1022,Comptabilité!$C$1:$C$1446,"2026"),0))</f>
        <v>16490.67</v>
      </c>
      <c r="G1022">
        <f>IF($A1022="","",IF($D1022="V01",Cadrage!$C$23,IF($D1022="V02",Cadrage!$D$23,Cadrage!$E$23)))</f>
        <v>0.15</v>
      </c>
      <c r="H1022">
        <f>IF($A1022="","",IF($D1022="V01",Cadrage!$C$24,IF($D1022="V02",Cadrage!$D$24,Cadrage!$E$24)))</f>
        <v>0.15</v>
      </c>
      <c r="I1022">
        <f>IF($A1022="","",IF($D1022="V01",Cadrage!$C$34,IF($D1022="V02",Cadrage!$D$34,Cadrage!$E$34)))</f>
        <v>0.015</v>
      </c>
      <c r="J1022">
        <f>IF($A1022="","",IF($D1022="V01",Cadrage!$C$35,IF($D1022="V02",Cadrage!$D$35,Cadrage!$E$35)))</f>
        <v>0.02</v>
      </c>
      <c r="K1022">
        <f>IF($A1022="","",IF($D1022="V01",Cadrage!$C$36,IF($D1022="V02",Cadrage!$D$36,Cadrage!$E$36)))</f>
        <v>0.03</v>
      </c>
      <c r="L1022">
        <f>IF($A1022="","",IF($D1022="V01",Cadrage!$C$37,IF($D1022="V02",Cadrage!$D$37,Cadrage!$E$37)))</f>
        <v>0.03</v>
      </c>
      <c r="M1022">
        <f>IF($A1022="","",IF($D1022="V01",Cadrage!$C$38,IF($D1022="V02",Cadrage!$D$38,Cadrage!$E$38)))</f>
        <v>-0.03</v>
      </c>
      <c r="N1022">
        <f t="shared" si="1"/>
        <v>1.16083752922642</v>
      </c>
      <c r="O1022">
        <f t="shared" si="2"/>
        <v>0.98455</v>
      </c>
      <c r="P1022">
        <f>IF($A1022="","",IF($E1022=1,$F1022*$O1022,PNL!G1022))</f>
        <v>16235.8891485</v>
      </c>
      <c r="T1022">
        <f t="shared" si="3"/>
        <v>-16235.8891485</v>
      </c>
    </row>
    <row r="1023" ht="14.25" customHeight="1">
      <c r="A1023" t="str">
        <f>IF(PNL!A1023="","",PNL!A1023)</f>
        <v>MBWAY_LYO</v>
      </c>
      <c r="B1023" t="str">
        <f>IF(PNL!B1023="","",PNL!B1023)</f>
        <v>63511</v>
      </c>
      <c r="C1023" t="str">
        <f>IF(PNL!C1023="","",PNL!C1023)</f>
        <v>2027</v>
      </c>
      <c r="D1023" t="str">
        <f>IF(PNL!D1023="","",PNL!D1023)</f>
        <v>V02</v>
      </c>
      <c r="E1023">
        <f t="shared" si="0"/>
        <v>1</v>
      </c>
      <c r="F1023">
        <f>IF($A1023="","",IF($E1023=1,_xlfn.SUMIFS(Comptabilité!$F$1:$F$1446,Comptabilité!$A$1:$A$1446,$A1023,Comptabilité!$B$1:$B$1446,$B1023,Comptabilité!$C$1:$C$1446,"2026"),0))</f>
        <v>23541.01</v>
      </c>
      <c r="G1023">
        <f>IF($A1023="","",IF($D1023="V01",Cadrage!$C$23,IF($D1023="V02",Cadrage!$D$23,Cadrage!$E$23)))</f>
        <v>0.15</v>
      </c>
      <c r="H1023">
        <f>IF($A1023="","",IF($D1023="V01",Cadrage!$C$24,IF($D1023="V02",Cadrage!$D$24,Cadrage!$E$24)))</f>
        <v>0.15</v>
      </c>
      <c r="I1023">
        <f>IF($A1023="","",IF($D1023="V01",Cadrage!$C$34,IF($D1023="V02",Cadrage!$D$34,Cadrage!$E$34)))</f>
        <v>0.015</v>
      </c>
      <c r="J1023">
        <f>IF($A1023="","",IF($D1023="V01",Cadrage!$C$35,IF($D1023="V02",Cadrage!$D$35,Cadrage!$E$35)))</f>
        <v>0.02</v>
      </c>
      <c r="K1023">
        <f>IF($A1023="","",IF($D1023="V01",Cadrage!$C$36,IF($D1023="V02",Cadrage!$D$36,Cadrage!$E$36)))</f>
        <v>0.03</v>
      </c>
      <c r="L1023">
        <f>IF($A1023="","",IF($D1023="V01",Cadrage!$C$37,IF($D1023="V02",Cadrage!$D$37,Cadrage!$E$37)))</f>
        <v>0.03</v>
      </c>
      <c r="M1023">
        <f>IF($A1023="","",IF($D1023="V01",Cadrage!$C$38,IF($D1023="V02",Cadrage!$D$38,Cadrage!$E$38)))</f>
        <v>-0.03</v>
      </c>
      <c r="N1023">
        <f t="shared" si="1"/>
        <v>1.16083752922642</v>
      </c>
      <c r="O1023">
        <f t="shared" si="2"/>
        <v>0.98455</v>
      </c>
      <c r="P1023">
        <f>IF($A1023="","",IF($E1023=1,$F1023*$O1023,PNL!G1023))</f>
        <v>23177.3013955</v>
      </c>
      <c r="T1023">
        <f t="shared" si="3"/>
        <v>-23177.3013955</v>
      </c>
    </row>
    <row r="1024" ht="14.25" customHeight="1">
      <c r="A1024" t="str">
        <f>IF(PNL!A1024="","",PNL!A1024)</f>
        <v>MBWAY_NAN</v>
      </c>
      <c r="B1024" t="str">
        <f>IF(PNL!B1024="","",PNL!B1024)</f>
        <v>63511</v>
      </c>
      <c r="C1024" t="str">
        <f>IF(PNL!C1024="","",PNL!C1024)</f>
        <v>2027</v>
      </c>
      <c r="D1024" t="str">
        <f>IF(PNL!D1024="","",PNL!D1024)</f>
        <v>V02</v>
      </c>
      <c r="E1024">
        <f t="shared" si="0"/>
        <v>1</v>
      </c>
      <c r="F1024">
        <f>IF($A1024="","",IF($E1024=1,_xlfn.SUMIFS(Comptabilité!$F$1:$F$1446,Comptabilité!$A$1:$A$1446,$A1024,Comptabilité!$B$1:$B$1446,$B1024,Comptabilité!$C$1:$C$1446,"2026"),0))</f>
        <v>20249.8</v>
      </c>
      <c r="G1024">
        <f>IF($A1024="","",IF($D1024="V01",Cadrage!$C$23,IF($D1024="V02",Cadrage!$D$23,Cadrage!$E$23)))</f>
        <v>0.15</v>
      </c>
      <c r="H1024">
        <f>IF($A1024="","",IF($D1024="V01",Cadrage!$C$24,IF($D1024="V02",Cadrage!$D$24,Cadrage!$E$24)))</f>
        <v>0.15</v>
      </c>
      <c r="I1024">
        <f>IF($A1024="","",IF($D1024="V01",Cadrage!$C$34,IF($D1024="V02",Cadrage!$D$34,Cadrage!$E$34)))</f>
        <v>0.015</v>
      </c>
      <c r="J1024">
        <f>IF($A1024="","",IF($D1024="V01",Cadrage!$C$35,IF($D1024="V02",Cadrage!$D$35,Cadrage!$E$35)))</f>
        <v>0.02</v>
      </c>
      <c r="K1024">
        <f>IF($A1024="","",IF($D1024="V01",Cadrage!$C$36,IF($D1024="V02",Cadrage!$D$36,Cadrage!$E$36)))</f>
        <v>0.03</v>
      </c>
      <c r="L1024">
        <f>IF($A1024="","",IF($D1024="V01",Cadrage!$C$37,IF($D1024="V02",Cadrage!$D$37,Cadrage!$E$37)))</f>
        <v>0.03</v>
      </c>
      <c r="M1024">
        <f>IF($A1024="","",IF($D1024="V01",Cadrage!$C$38,IF($D1024="V02",Cadrage!$D$38,Cadrage!$E$38)))</f>
        <v>-0.03</v>
      </c>
      <c r="N1024">
        <f t="shared" si="1"/>
        <v>1.16083752922642</v>
      </c>
      <c r="O1024">
        <f t="shared" si="2"/>
        <v>0.98455</v>
      </c>
      <c r="P1024">
        <f>IF($A1024="","",IF($E1024=1,$F1024*$O1024,PNL!G1024))</f>
        <v>19936.94059</v>
      </c>
      <c r="T1024">
        <f t="shared" si="3"/>
        <v>-19936.94059</v>
      </c>
    </row>
    <row r="1025" ht="14.25" customHeight="1">
      <c r="A1025" t="str">
        <f>IF(PNL!A1025="","",PNL!A1025)</f>
        <v>MBWAY_PAR</v>
      </c>
      <c r="B1025" t="str">
        <f>IF(PNL!B1025="","",PNL!B1025)</f>
        <v>63511</v>
      </c>
      <c r="C1025" t="str">
        <f>IF(PNL!C1025="","",PNL!C1025)</f>
        <v>2027</v>
      </c>
      <c r="D1025" t="str">
        <f>IF(PNL!D1025="","",PNL!D1025)</f>
        <v>V02</v>
      </c>
      <c r="E1025">
        <f t="shared" si="0"/>
        <v>1</v>
      </c>
      <c r="F1025">
        <f>IF($A1025="","",IF($E1025=1,_xlfn.SUMIFS(Comptabilité!$F$1:$F$1446,Comptabilité!$A$1:$A$1446,$A1025,Comptabilité!$B$1:$B$1446,$B1025,Comptabilité!$C$1:$C$1446,"2026"),0))</f>
        <v>29533.02</v>
      </c>
      <c r="G1025">
        <f>IF($A1025="","",IF($D1025="V01",Cadrage!$C$23,IF($D1025="V02",Cadrage!$D$23,Cadrage!$E$23)))</f>
        <v>0.15</v>
      </c>
      <c r="H1025">
        <f>IF($A1025="","",IF($D1025="V01",Cadrage!$C$24,IF($D1025="V02",Cadrage!$D$24,Cadrage!$E$24)))</f>
        <v>0.15</v>
      </c>
      <c r="I1025">
        <f>IF($A1025="","",IF($D1025="V01",Cadrage!$C$34,IF($D1025="V02",Cadrage!$D$34,Cadrage!$E$34)))</f>
        <v>0.015</v>
      </c>
      <c r="J1025">
        <f>IF($A1025="","",IF($D1025="V01",Cadrage!$C$35,IF($D1025="V02",Cadrage!$D$35,Cadrage!$E$35)))</f>
        <v>0.02</v>
      </c>
      <c r="K1025">
        <f>IF($A1025="","",IF($D1025="V01",Cadrage!$C$36,IF($D1025="V02",Cadrage!$D$36,Cadrage!$E$36)))</f>
        <v>0.03</v>
      </c>
      <c r="L1025">
        <f>IF($A1025="","",IF($D1025="V01",Cadrage!$C$37,IF($D1025="V02",Cadrage!$D$37,Cadrage!$E$37)))</f>
        <v>0.03</v>
      </c>
      <c r="M1025">
        <f>IF($A1025="","",IF($D1025="V01",Cadrage!$C$38,IF($D1025="V02",Cadrage!$D$38,Cadrage!$E$38)))</f>
        <v>-0.03</v>
      </c>
      <c r="N1025">
        <f t="shared" si="1"/>
        <v>1.16083752922642</v>
      </c>
      <c r="O1025">
        <f t="shared" si="2"/>
        <v>0.98455</v>
      </c>
      <c r="P1025">
        <f>IF($A1025="","",IF($E1025=1,$F1025*$O1025,PNL!G1025))</f>
        <v>29076.734841</v>
      </c>
      <c r="T1025">
        <f t="shared" si="3"/>
        <v>-29076.734841</v>
      </c>
    </row>
    <row r="1026" ht="14.25" customHeight="1">
      <c r="A1026" t="str">
        <f>IF(PNL!A1026="","",PNL!A1026)</f>
        <v>PIGIER_BOR</v>
      </c>
      <c r="B1026" t="str">
        <f>IF(PNL!B1026="","",PNL!B1026)</f>
        <v>63511</v>
      </c>
      <c r="C1026" t="str">
        <f>IF(PNL!C1026="","",PNL!C1026)</f>
        <v>2027</v>
      </c>
      <c r="D1026" t="str">
        <f>IF(PNL!D1026="","",PNL!D1026)</f>
        <v>V02</v>
      </c>
      <c r="E1026">
        <f t="shared" si="0"/>
        <v>1</v>
      </c>
      <c r="F1026">
        <f>IF($A1026="","",IF($E1026=1,_xlfn.SUMIFS(Comptabilité!$F$1:$F$1446,Comptabilité!$A$1:$A$1446,$A1026,Comptabilité!$B$1:$B$1446,$B1026,Comptabilité!$C$1:$C$1446,"2026"),0))</f>
        <v>10750.17</v>
      </c>
      <c r="G1026">
        <f>IF($A1026="","",IF($D1026="V01",Cadrage!$C$23,IF($D1026="V02",Cadrage!$D$23,Cadrage!$E$23)))</f>
        <v>0.15</v>
      </c>
      <c r="H1026">
        <f>IF($A1026="","",IF($D1026="V01",Cadrage!$C$24,IF($D1026="V02",Cadrage!$D$24,Cadrage!$E$24)))</f>
        <v>0.15</v>
      </c>
      <c r="I1026">
        <f>IF($A1026="","",IF($D1026="V01",Cadrage!$C$34,IF($D1026="V02",Cadrage!$D$34,Cadrage!$E$34)))</f>
        <v>0.015</v>
      </c>
      <c r="J1026">
        <f>IF($A1026="","",IF($D1026="V01",Cadrage!$C$35,IF($D1026="V02",Cadrage!$D$35,Cadrage!$E$35)))</f>
        <v>0.02</v>
      </c>
      <c r="K1026">
        <f>IF($A1026="","",IF($D1026="V01",Cadrage!$C$36,IF($D1026="V02",Cadrage!$D$36,Cadrage!$E$36)))</f>
        <v>0.03</v>
      </c>
      <c r="L1026">
        <f>IF($A1026="","",IF($D1026="V01",Cadrage!$C$37,IF($D1026="V02",Cadrage!$D$37,Cadrage!$E$37)))</f>
        <v>0.03</v>
      </c>
      <c r="M1026">
        <f>IF($A1026="","",IF($D1026="V01",Cadrage!$C$38,IF($D1026="V02",Cadrage!$D$38,Cadrage!$E$38)))</f>
        <v>-0.03</v>
      </c>
      <c r="N1026">
        <f t="shared" si="1"/>
        <v>1.16083752922642</v>
      </c>
      <c r="O1026">
        <f t="shared" si="2"/>
        <v>0.98455</v>
      </c>
      <c r="P1026">
        <f>IF($A1026="","",IF($E1026=1,$F1026*$O1026,PNL!G1026))</f>
        <v>10584.0798735</v>
      </c>
      <c r="T1026">
        <f t="shared" si="3"/>
        <v>-10584.0798735</v>
      </c>
    </row>
    <row r="1027" ht="14.25" customHeight="1">
      <c r="A1027" t="str">
        <f>IF(PNL!A1027="","",PNL!A1027)</f>
        <v>PIGIER_LYO</v>
      </c>
      <c r="B1027" t="str">
        <f>IF(PNL!B1027="","",PNL!B1027)</f>
        <v>63511</v>
      </c>
      <c r="C1027" t="str">
        <f>IF(PNL!C1027="","",PNL!C1027)</f>
        <v>2027</v>
      </c>
      <c r="D1027" t="str">
        <f>IF(PNL!D1027="","",PNL!D1027)</f>
        <v>V02</v>
      </c>
      <c r="E1027">
        <f t="shared" si="0"/>
        <v>1</v>
      </c>
      <c r="F1027">
        <f>IF($A1027="","",IF($E1027=1,_xlfn.SUMIFS(Comptabilité!$F$1:$F$1446,Comptabilité!$A$1:$A$1446,$A1027,Comptabilité!$B$1:$B$1446,$B1027,Comptabilité!$C$1:$C$1446,"2026"),0))</f>
        <v>14195.01</v>
      </c>
      <c r="G1027">
        <f>IF($A1027="","",IF($D1027="V01",Cadrage!$C$23,IF($D1027="V02",Cadrage!$D$23,Cadrage!$E$23)))</f>
        <v>0.15</v>
      </c>
      <c r="H1027">
        <f>IF($A1027="","",IF($D1027="V01",Cadrage!$C$24,IF($D1027="V02",Cadrage!$D$24,Cadrage!$E$24)))</f>
        <v>0.15</v>
      </c>
      <c r="I1027">
        <f>IF($A1027="","",IF($D1027="V01",Cadrage!$C$34,IF($D1027="V02",Cadrage!$D$34,Cadrage!$E$34)))</f>
        <v>0.015</v>
      </c>
      <c r="J1027">
        <f>IF($A1027="","",IF($D1027="V01",Cadrage!$C$35,IF($D1027="V02",Cadrage!$D$35,Cadrage!$E$35)))</f>
        <v>0.02</v>
      </c>
      <c r="K1027">
        <f>IF($A1027="","",IF($D1027="V01",Cadrage!$C$36,IF($D1027="V02",Cadrage!$D$36,Cadrage!$E$36)))</f>
        <v>0.03</v>
      </c>
      <c r="L1027">
        <f>IF($A1027="","",IF($D1027="V01",Cadrage!$C$37,IF($D1027="V02",Cadrage!$D$37,Cadrage!$E$37)))</f>
        <v>0.03</v>
      </c>
      <c r="M1027">
        <f>IF($A1027="","",IF($D1027="V01",Cadrage!$C$38,IF($D1027="V02",Cadrage!$D$38,Cadrage!$E$38)))</f>
        <v>-0.03</v>
      </c>
      <c r="N1027">
        <f t="shared" si="1"/>
        <v>1.16083752922642</v>
      </c>
      <c r="O1027">
        <f t="shared" si="2"/>
        <v>0.98455</v>
      </c>
      <c r="P1027">
        <f>IF($A1027="","",IF($E1027=1,$F1027*$O1027,PNL!G1027))</f>
        <v>13975.6970955</v>
      </c>
      <c r="T1027">
        <f t="shared" si="3"/>
        <v>-13975.6970955</v>
      </c>
    </row>
    <row r="1028" ht="14.25" customHeight="1">
      <c r="A1028" t="str">
        <f>IF(PNL!A1028="","",PNL!A1028)</f>
        <v>TUNON_LYO</v>
      </c>
      <c r="B1028" t="str">
        <f>IF(PNL!B1028="","",PNL!B1028)</f>
        <v>63511</v>
      </c>
      <c r="C1028" t="str">
        <f>IF(PNL!C1028="","",PNL!C1028)</f>
        <v>2027</v>
      </c>
      <c r="D1028" t="str">
        <f>IF(PNL!D1028="","",PNL!D1028)</f>
        <v>V02</v>
      </c>
      <c r="E1028">
        <f t="shared" si="0"/>
        <v>1</v>
      </c>
      <c r="F1028">
        <f>IF($A1028="","",IF($E1028=1,_xlfn.SUMIFS(Comptabilité!$F$1:$F$1446,Comptabilité!$A$1:$A$1446,$A1028,Comptabilité!$B$1:$B$1446,$B1028,Comptabilité!$C$1:$C$1446,"2026"),0))</f>
        <v>10938.17</v>
      </c>
      <c r="G1028">
        <f>IF($A1028="","",IF($D1028="V01",Cadrage!$C$23,IF($D1028="V02",Cadrage!$D$23,Cadrage!$E$23)))</f>
        <v>0.15</v>
      </c>
      <c r="H1028">
        <f>IF($A1028="","",IF($D1028="V01",Cadrage!$C$24,IF($D1028="V02",Cadrage!$D$24,Cadrage!$E$24)))</f>
        <v>0.15</v>
      </c>
      <c r="I1028">
        <f>IF($A1028="","",IF($D1028="V01",Cadrage!$C$34,IF($D1028="V02",Cadrage!$D$34,Cadrage!$E$34)))</f>
        <v>0.015</v>
      </c>
      <c r="J1028">
        <f>IF($A1028="","",IF($D1028="V01",Cadrage!$C$35,IF($D1028="V02",Cadrage!$D$35,Cadrage!$E$35)))</f>
        <v>0.02</v>
      </c>
      <c r="K1028">
        <f>IF($A1028="","",IF($D1028="V01",Cadrage!$C$36,IF($D1028="V02",Cadrage!$D$36,Cadrage!$E$36)))</f>
        <v>0.03</v>
      </c>
      <c r="L1028">
        <f>IF($A1028="","",IF($D1028="V01",Cadrage!$C$37,IF($D1028="V02",Cadrage!$D$37,Cadrage!$E$37)))</f>
        <v>0.03</v>
      </c>
      <c r="M1028">
        <f>IF($A1028="","",IF($D1028="V01",Cadrage!$C$38,IF($D1028="V02",Cadrage!$D$38,Cadrage!$E$38)))</f>
        <v>-0.03</v>
      </c>
      <c r="N1028">
        <f t="shared" si="1"/>
        <v>1.16083752922642</v>
      </c>
      <c r="O1028">
        <f t="shared" si="2"/>
        <v>0.98455</v>
      </c>
      <c r="P1028">
        <f>IF($A1028="","",IF($E1028=1,$F1028*$O1028,PNL!G1028))</f>
        <v>10769.1752735</v>
      </c>
      <c r="T1028">
        <f t="shared" si="3"/>
        <v>-10769.1752735</v>
      </c>
    </row>
    <row r="1029" ht="14.25" customHeight="1">
      <c r="A1029" t="str">
        <f>IF(PNL!A1029="","",PNL!A1029)</f>
        <v>TUNON_PAR</v>
      </c>
      <c r="B1029" t="str">
        <f>IF(PNL!B1029="","",PNL!B1029)</f>
        <v>63511</v>
      </c>
      <c r="C1029" t="str">
        <f>IF(PNL!C1029="","",PNL!C1029)</f>
        <v>2027</v>
      </c>
      <c r="D1029" t="str">
        <f>IF(PNL!D1029="","",PNL!D1029)</f>
        <v>V02</v>
      </c>
      <c r="E1029">
        <f t="shared" si="0"/>
        <v>1</v>
      </c>
      <c r="F1029">
        <f>IF($A1029="","",IF($E1029=1,_xlfn.SUMIFS(Comptabilité!$F$1:$F$1446,Comptabilité!$A$1:$A$1446,$A1029,Comptabilité!$B$1:$B$1446,$B1029,Comptabilité!$C$1:$C$1446,"2026"),0))</f>
        <v>13139.33</v>
      </c>
      <c r="G1029">
        <f>IF($A1029="","",IF($D1029="V01",Cadrage!$C$23,IF($D1029="V02",Cadrage!$D$23,Cadrage!$E$23)))</f>
        <v>0.15</v>
      </c>
      <c r="H1029">
        <f>IF($A1029="","",IF($D1029="V01",Cadrage!$C$24,IF($D1029="V02",Cadrage!$D$24,Cadrage!$E$24)))</f>
        <v>0.15</v>
      </c>
      <c r="I1029">
        <f>IF($A1029="","",IF($D1029="V01",Cadrage!$C$34,IF($D1029="V02",Cadrage!$D$34,Cadrage!$E$34)))</f>
        <v>0.015</v>
      </c>
      <c r="J1029">
        <f>IF($A1029="","",IF($D1029="V01",Cadrage!$C$35,IF($D1029="V02",Cadrage!$D$35,Cadrage!$E$35)))</f>
        <v>0.02</v>
      </c>
      <c r="K1029">
        <f>IF($A1029="","",IF($D1029="V01",Cadrage!$C$36,IF($D1029="V02",Cadrage!$D$36,Cadrage!$E$36)))</f>
        <v>0.03</v>
      </c>
      <c r="L1029">
        <f>IF($A1029="","",IF($D1029="V01",Cadrage!$C$37,IF($D1029="V02",Cadrage!$D$37,Cadrage!$E$37)))</f>
        <v>0.03</v>
      </c>
      <c r="M1029">
        <f>IF($A1029="","",IF($D1029="V01",Cadrage!$C$38,IF($D1029="V02",Cadrage!$D$38,Cadrage!$E$38)))</f>
        <v>-0.03</v>
      </c>
      <c r="N1029">
        <f t="shared" si="1"/>
        <v>1.16083752922642</v>
      </c>
      <c r="O1029">
        <f t="shared" si="2"/>
        <v>0.98455</v>
      </c>
      <c r="P1029">
        <f>IF($A1029="","",IF($E1029=1,$F1029*$O1029,PNL!G1029))</f>
        <v>12936.3273515</v>
      </c>
      <c r="T1029">
        <f t="shared" si="3"/>
        <v>-12936.3273515</v>
      </c>
    </row>
    <row r="1030" ht="14.25" customHeight="1">
      <c r="A1030" t="str">
        <f>IF(PNL!A1030="","",PNL!A1030)</f>
        <v>IPAC_MTP</v>
      </c>
      <c r="B1030" t="str">
        <f>IF(PNL!B1030="","",PNL!B1030)</f>
        <v>6411</v>
      </c>
      <c r="C1030" t="str">
        <f>IF(PNL!C1030="","",PNL!C1030)</f>
        <v>2027</v>
      </c>
      <c r="D1030" t="str">
        <f>IF(PNL!D1030="","",PNL!D1030)</f>
        <v>V02</v>
      </c>
      <c r="E1030">
        <f t="shared" si="0"/>
        <v>1</v>
      </c>
      <c r="F1030">
        <f>IF($A1030="","",IF($E1030=1,_xlfn.SUMIFS(Comptabilité!$F$1:$F$1446,Comptabilité!$A$1:$A$1446,$A1030,Comptabilité!$B$1:$B$1446,$B1030,Comptabilité!$C$1:$C$1446,"2026"),0))</f>
        <v>136087.43</v>
      </c>
      <c r="G1030">
        <f>IF($A1030="","",IF($D1030="V01",Cadrage!$C$23,IF($D1030="V02",Cadrage!$D$23,Cadrage!$E$23)))</f>
        <v>0.15</v>
      </c>
      <c r="H1030">
        <f>IF($A1030="","",IF($D1030="V01",Cadrage!$C$24,IF($D1030="V02",Cadrage!$D$24,Cadrage!$E$24)))</f>
        <v>0.15</v>
      </c>
      <c r="I1030">
        <f>IF($A1030="","",IF($D1030="V01",Cadrage!$C$34,IF($D1030="V02",Cadrage!$D$34,Cadrage!$E$34)))</f>
        <v>0.015</v>
      </c>
      <c r="J1030">
        <f>IF($A1030="","",IF($D1030="V01",Cadrage!$C$35,IF($D1030="V02",Cadrage!$D$35,Cadrage!$E$35)))</f>
        <v>0.02</v>
      </c>
      <c r="K1030">
        <f>IF($A1030="","",IF($D1030="V01",Cadrage!$C$36,IF($D1030="V02",Cadrage!$D$36,Cadrage!$E$36)))</f>
        <v>0.03</v>
      </c>
      <c r="L1030">
        <f>IF($A1030="","",IF($D1030="V01",Cadrage!$C$37,IF($D1030="V02",Cadrage!$D$37,Cadrage!$E$37)))</f>
        <v>0.03</v>
      </c>
      <c r="M1030">
        <f>IF($A1030="","",IF($D1030="V01",Cadrage!$C$38,IF($D1030="V02",Cadrage!$D$38,Cadrage!$E$38)))</f>
        <v>-0.03</v>
      </c>
      <c r="N1030">
        <f t="shared" si="1"/>
        <v>1.16083752922642</v>
      </c>
      <c r="O1030">
        <f t="shared" si="2"/>
        <v>1.0506</v>
      </c>
      <c r="P1030">
        <f>IF($A1030="","",IF($E1030=1,$F1030*$O1030,PNL!G1030))</f>
        <v>142973.453958</v>
      </c>
      <c r="T1030">
        <f t="shared" si="3"/>
        <v>-142973.453958</v>
      </c>
    </row>
    <row r="1031" ht="14.25" customHeight="1">
      <c r="A1031" t="str">
        <f>IF(PNL!A1031="","",PNL!A1031)</f>
        <v>IPAC_NAN</v>
      </c>
      <c r="B1031" t="str">
        <f>IF(PNL!B1031="","",PNL!B1031)</f>
        <v>6411</v>
      </c>
      <c r="C1031" t="str">
        <f>IF(PNL!C1031="","",PNL!C1031)</f>
        <v>2027</v>
      </c>
      <c r="D1031" t="str">
        <f>IF(PNL!D1031="","",PNL!D1031)</f>
        <v>V02</v>
      </c>
      <c r="E1031">
        <f t="shared" si="0"/>
        <v>1</v>
      </c>
      <c r="F1031">
        <f>IF($A1031="","",IF($E1031=1,_xlfn.SUMIFS(Comptabilité!$F$1:$F$1446,Comptabilité!$A$1:$A$1446,$A1031,Comptabilité!$B$1:$B$1446,$B1031,Comptabilité!$C$1:$C$1446,"2026"),0))</f>
        <v>168182.73</v>
      </c>
      <c r="G1031">
        <f>IF($A1031="","",IF($D1031="V01",Cadrage!$C$23,IF($D1031="V02",Cadrage!$D$23,Cadrage!$E$23)))</f>
        <v>0.15</v>
      </c>
      <c r="H1031">
        <f>IF($A1031="","",IF($D1031="V01",Cadrage!$C$24,IF($D1031="V02",Cadrage!$D$24,Cadrage!$E$24)))</f>
        <v>0.15</v>
      </c>
      <c r="I1031">
        <f>IF($A1031="","",IF($D1031="V01",Cadrage!$C$34,IF($D1031="V02",Cadrage!$D$34,Cadrage!$E$34)))</f>
        <v>0.015</v>
      </c>
      <c r="J1031">
        <f>IF($A1031="","",IF($D1031="V01",Cadrage!$C$35,IF($D1031="V02",Cadrage!$D$35,Cadrage!$E$35)))</f>
        <v>0.02</v>
      </c>
      <c r="K1031">
        <f>IF($A1031="","",IF($D1031="V01",Cadrage!$C$36,IF($D1031="V02",Cadrage!$D$36,Cadrage!$E$36)))</f>
        <v>0.03</v>
      </c>
      <c r="L1031">
        <f>IF($A1031="","",IF($D1031="V01",Cadrage!$C$37,IF($D1031="V02",Cadrage!$D$37,Cadrage!$E$37)))</f>
        <v>0.03</v>
      </c>
      <c r="M1031">
        <f>IF($A1031="","",IF($D1031="V01",Cadrage!$C$38,IF($D1031="V02",Cadrage!$D$38,Cadrage!$E$38)))</f>
        <v>-0.03</v>
      </c>
      <c r="N1031">
        <f t="shared" si="1"/>
        <v>1.16083752922642</v>
      </c>
      <c r="O1031">
        <f t="shared" si="2"/>
        <v>1.0506</v>
      </c>
      <c r="P1031">
        <f>IF($A1031="","",IF($E1031=1,$F1031*$O1031,PNL!G1031))</f>
        <v>176692.776138</v>
      </c>
      <c r="T1031">
        <f t="shared" si="3"/>
        <v>-176692.776138</v>
      </c>
    </row>
    <row r="1032" ht="14.25" customHeight="1">
      <c r="A1032" t="str">
        <f>IF(PNL!A1032="","",PNL!A1032)</f>
        <v>IPAC_REN</v>
      </c>
      <c r="B1032" t="str">
        <f>IF(PNL!B1032="","",PNL!B1032)</f>
        <v>6411</v>
      </c>
      <c r="C1032" t="str">
        <f>IF(PNL!C1032="","",PNL!C1032)</f>
        <v>2027</v>
      </c>
      <c r="D1032" t="str">
        <f>IF(PNL!D1032="","",PNL!D1032)</f>
        <v>V02</v>
      </c>
      <c r="E1032">
        <f t="shared" si="0"/>
        <v>1</v>
      </c>
      <c r="F1032">
        <f>IF($A1032="","",IF($E1032=1,_xlfn.SUMIFS(Comptabilité!$F$1:$F$1446,Comptabilité!$A$1:$A$1446,$A1032,Comptabilité!$B$1:$B$1446,$B1032,Comptabilité!$C$1:$C$1446,"2026"),0))</f>
        <v>136168.63</v>
      </c>
      <c r="G1032">
        <f>IF($A1032="","",IF($D1032="V01",Cadrage!$C$23,IF($D1032="V02",Cadrage!$D$23,Cadrage!$E$23)))</f>
        <v>0.15</v>
      </c>
      <c r="H1032">
        <f>IF($A1032="","",IF($D1032="V01",Cadrage!$C$24,IF($D1032="V02",Cadrage!$D$24,Cadrage!$E$24)))</f>
        <v>0.15</v>
      </c>
      <c r="I1032">
        <f>IF($A1032="","",IF($D1032="V01",Cadrage!$C$34,IF($D1032="V02",Cadrage!$D$34,Cadrage!$E$34)))</f>
        <v>0.015</v>
      </c>
      <c r="J1032">
        <f>IF($A1032="","",IF($D1032="V01",Cadrage!$C$35,IF($D1032="V02",Cadrage!$D$35,Cadrage!$E$35)))</f>
        <v>0.02</v>
      </c>
      <c r="K1032">
        <f>IF($A1032="","",IF($D1032="V01",Cadrage!$C$36,IF($D1032="V02",Cadrage!$D$36,Cadrage!$E$36)))</f>
        <v>0.03</v>
      </c>
      <c r="L1032">
        <f>IF($A1032="","",IF($D1032="V01",Cadrage!$C$37,IF($D1032="V02",Cadrage!$D$37,Cadrage!$E$37)))</f>
        <v>0.03</v>
      </c>
      <c r="M1032">
        <f>IF($A1032="","",IF($D1032="V01",Cadrage!$C$38,IF($D1032="V02",Cadrage!$D$38,Cadrage!$E$38)))</f>
        <v>-0.03</v>
      </c>
      <c r="N1032">
        <f t="shared" si="1"/>
        <v>1.16083752922642</v>
      </c>
      <c r="O1032">
        <f t="shared" si="2"/>
        <v>1.0506</v>
      </c>
      <c r="P1032">
        <f>IF($A1032="","",IF($E1032=1,$F1032*$O1032,PNL!G1032))</f>
        <v>143058.762678</v>
      </c>
      <c r="T1032">
        <f t="shared" si="3"/>
        <v>-143058.762678</v>
      </c>
    </row>
    <row r="1033" ht="14.25" customHeight="1">
      <c r="A1033" t="str">
        <f>IF(PNL!A1033="","",PNL!A1033)</f>
        <v>ISCOM_LIL</v>
      </c>
      <c r="B1033" t="str">
        <f>IF(PNL!B1033="","",PNL!B1033)</f>
        <v>6411</v>
      </c>
      <c r="C1033" t="str">
        <f>IF(PNL!C1033="","",PNL!C1033)</f>
        <v>2027</v>
      </c>
      <c r="D1033" t="str">
        <f>IF(PNL!D1033="","",PNL!D1033)</f>
        <v>V02</v>
      </c>
      <c r="E1033">
        <f t="shared" si="0"/>
        <v>1</v>
      </c>
      <c r="F1033">
        <f>IF($A1033="","",IF($E1033=1,_xlfn.SUMIFS(Comptabilité!$F$1:$F$1446,Comptabilité!$A$1:$A$1446,$A1033,Comptabilité!$B$1:$B$1446,$B1033,Comptabilité!$C$1:$C$1446,"2026"),0))</f>
        <v>284669.17</v>
      </c>
      <c r="G1033">
        <f>IF($A1033="","",IF($D1033="V01",Cadrage!$C$23,IF($D1033="V02",Cadrage!$D$23,Cadrage!$E$23)))</f>
        <v>0.15</v>
      </c>
      <c r="H1033">
        <f>IF($A1033="","",IF($D1033="V01",Cadrage!$C$24,IF($D1033="V02",Cadrage!$D$24,Cadrage!$E$24)))</f>
        <v>0.15</v>
      </c>
      <c r="I1033">
        <f>IF($A1033="","",IF($D1033="V01",Cadrage!$C$34,IF($D1033="V02",Cadrage!$D$34,Cadrage!$E$34)))</f>
        <v>0.015</v>
      </c>
      <c r="J1033">
        <f>IF($A1033="","",IF($D1033="V01",Cadrage!$C$35,IF($D1033="V02",Cadrage!$D$35,Cadrage!$E$35)))</f>
        <v>0.02</v>
      </c>
      <c r="K1033">
        <f>IF($A1033="","",IF($D1033="V01",Cadrage!$C$36,IF($D1033="V02",Cadrage!$D$36,Cadrage!$E$36)))</f>
        <v>0.03</v>
      </c>
      <c r="L1033">
        <f>IF($A1033="","",IF($D1033="V01",Cadrage!$C$37,IF($D1033="V02",Cadrage!$D$37,Cadrage!$E$37)))</f>
        <v>0.03</v>
      </c>
      <c r="M1033">
        <f>IF($A1033="","",IF($D1033="V01",Cadrage!$C$38,IF($D1033="V02",Cadrage!$D$38,Cadrage!$E$38)))</f>
        <v>-0.03</v>
      </c>
      <c r="N1033">
        <f t="shared" si="1"/>
        <v>1.16083752922642</v>
      </c>
      <c r="O1033">
        <f t="shared" si="2"/>
        <v>1.0506</v>
      </c>
      <c r="P1033">
        <f>IF($A1033="","",IF($E1033=1,$F1033*$O1033,PNL!G1033))</f>
        <v>299073.430002</v>
      </c>
      <c r="T1033">
        <f t="shared" si="3"/>
        <v>-299073.430002</v>
      </c>
    </row>
    <row r="1034" ht="14.25" customHeight="1">
      <c r="A1034" t="str">
        <f>IF(PNL!A1034="","",PNL!A1034)</f>
        <v>ISCOM_PAR</v>
      </c>
      <c r="B1034" t="str">
        <f>IF(PNL!B1034="","",PNL!B1034)</f>
        <v>6411</v>
      </c>
      <c r="C1034" t="str">
        <f>IF(PNL!C1034="","",PNL!C1034)</f>
        <v>2027</v>
      </c>
      <c r="D1034" t="str">
        <f>IF(PNL!D1034="","",PNL!D1034)</f>
        <v>V02</v>
      </c>
      <c r="E1034">
        <f t="shared" si="0"/>
        <v>1</v>
      </c>
      <c r="F1034">
        <f>IF($A1034="","",IF($E1034=1,_xlfn.SUMIFS(Comptabilité!$F$1:$F$1446,Comptabilité!$A$1:$A$1446,$A1034,Comptabilité!$B$1:$B$1446,$B1034,Comptabilité!$C$1:$C$1446,"2026"),0))</f>
        <v>488050.48</v>
      </c>
      <c r="G1034">
        <f>IF($A1034="","",IF($D1034="V01",Cadrage!$C$23,IF($D1034="V02",Cadrage!$D$23,Cadrage!$E$23)))</f>
        <v>0.15</v>
      </c>
      <c r="H1034">
        <f>IF($A1034="","",IF($D1034="V01",Cadrage!$C$24,IF($D1034="V02",Cadrage!$D$24,Cadrage!$E$24)))</f>
        <v>0.15</v>
      </c>
      <c r="I1034">
        <f>IF($A1034="","",IF($D1034="V01",Cadrage!$C$34,IF($D1034="V02",Cadrage!$D$34,Cadrage!$E$34)))</f>
        <v>0.015</v>
      </c>
      <c r="J1034">
        <f>IF($A1034="","",IF($D1034="V01",Cadrage!$C$35,IF($D1034="V02",Cadrage!$D$35,Cadrage!$E$35)))</f>
        <v>0.02</v>
      </c>
      <c r="K1034">
        <f>IF($A1034="","",IF($D1034="V01",Cadrage!$C$36,IF($D1034="V02",Cadrage!$D$36,Cadrage!$E$36)))</f>
        <v>0.03</v>
      </c>
      <c r="L1034">
        <f>IF($A1034="","",IF($D1034="V01",Cadrage!$C$37,IF($D1034="V02",Cadrage!$D$37,Cadrage!$E$37)))</f>
        <v>0.03</v>
      </c>
      <c r="M1034">
        <f>IF($A1034="","",IF($D1034="V01",Cadrage!$C$38,IF($D1034="V02",Cadrage!$D$38,Cadrage!$E$38)))</f>
        <v>-0.03</v>
      </c>
      <c r="N1034">
        <f t="shared" si="1"/>
        <v>1.16083752922642</v>
      </c>
      <c r="O1034">
        <f t="shared" si="2"/>
        <v>1.0506</v>
      </c>
      <c r="P1034">
        <f>IF($A1034="","",IF($E1034=1,$F1034*$O1034,PNL!G1034))</f>
        <v>512745.834288</v>
      </c>
      <c r="T1034">
        <f t="shared" si="3"/>
        <v>-512745.834288</v>
      </c>
    </row>
    <row r="1035" ht="14.25" customHeight="1">
      <c r="A1035" t="str">
        <f>IF(PNL!A1035="","",PNL!A1035)</f>
        <v>ISCOM_TLS</v>
      </c>
      <c r="B1035" t="str">
        <f>IF(PNL!B1035="","",PNL!B1035)</f>
        <v>6411</v>
      </c>
      <c r="C1035" t="str">
        <f>IF(PNL!C1035="","",PNL!C1035)</f>
        <v>2027</v>
      </c>
      <c r="D1035" t="str">
        <f>IF(PNL!D1035="","",PNL!D1035)</f>
        <v>V02</v>
      </c>
      <c r="E1035">
        <f t="shared" si="0"/>
        <v>1</v>
      </c>
      <c r="F1035">
        <f>IF($A1035="","",IF($E1035=1,_xlfn.SUMIFS(Comptabilité!$F$1:$F$1446,Comptabilité!$A$1:$A$1446,$A1035,Comptabilité!$B$1:$B$1446,$B1035,Comptabilité!$C$1:$C$1446,"2026"),0))</f>
        <v>267683.87</v>
      </c>
      <c r="G1035">
        <f>IF($A1035="","",IF($D1035="V01",Cadrage!$C$23,IF($D1035="V02",Cadrage!$D$23,Cadrage!$E$23)))</f>
        <v>0.15</v>
      </c>
      <c r="H1035">
        <f>IF($A1035="","",IF($D1035="V01",Cadrage!$C$24,IF($D1035="V02",Cadrage!$D$24,Cadrage!$E$24)))</f>
        <v>0.15</v>
      </c>
      <c r="I1035">
        <f>IF($A1035="","",IF($D1035="V01",Cadrage!$C$34,IF($D1035="V02",Cadrage!$D$34,Cadrage!$E$34)))</f>
        <v>0.015</v>
      </c>
      <c r="J1035">
        <f>IF($A1035="","",IF($D1035="V01",Cadrage!$C$35,IF($D1035="V02",Cadrage!$D$35,Cadrage!$E$35)))</f>
        <v>0.02</v>
      </c>
      <c r="K1035">
        <f>IF($A1035="","",IF($D1035="V01",Cadrage!$C$36,IF($D1035="V02",Cadrage!$D$36,Cadrage!$E$36)))</f>
        <v>0.03</v>
      </c>
      <c r="L1035">
        <f>IF($A1035="","",IF($D1035="V01",Cadrage!$C$37,IF($D1035="V02",Cadrage!$D$37,Cadrage!$E$37)))</f>
        <v>0.03</v>
      </c>
      <c r="M1035">
        <f>IF($A1035="","",IF($D1035="V01",Cadrage!$C$38,IF($D1035="V02",Cadrage!$D$38,Cadrage!$E$38)))</f>
        <v>-0.03</v>
      </c>
      <c r="N1035">
        <f t="shared" si="1"/>
        <v>1.16083752922642</v>
      </c>
      <c r="O1035">
        <f t="shared" si="2"/>
        <v>1.0506</v>
      </c>
      <c r="P1035">
        <f>IF($A1035="","",IF($E1035=1,$F1035*$O1035,PNL!G1035))</f>
        <v>281228.673822</v>
      </c>
      <c r="T1035">
        <f t="shared" si="3"/>
        <v>-281228.673822</v>
      </c>
    </row>
    <row r="1036" ht="14.25" customHeight="1">
      <c r="A1036" t="str">
        <f>IF(PNL!A1036="","",PNL!A1036)</f>
        <v>MBWAY_BOR</v>
      </c>
      <c r="B1036" t="str">
        <f>IF(PNL!B1036="","",PNL!B1036)</f>
        <v>6411</v>
      </c>
      <c r="C1036" t="str">
        <f>IF(PNL!C1036="","",PNL!C1036)</f>
        <v>2027</v>
      </c>
      <c r="D1036" t="str">
        <f>IF(PNL!D1036="","",PNL!D1036)</f>
        <v>V02</v>
      </c>
      <c r="E1036">
        <f t="shared" si="0"/>
        <v>1</v>
      </c>
      <c r="F1036">
        <f>IF($A1036="","",IF($E1036=1,_xlfn.SUMIFS(Comptabilité!$F$1:$F$1446,Comptabilité!$A$1:$A$1446,$A1036,Comptabilité!$B$1:$B$1446,$B1036,Comptabilité!$C$1:$C$1446,"2026"),0))</f>
        <v>280337.09</v>
      </c>
      <c r="G1036">
        <f>IF($A1036="","",IF($D1036="V01",Cadrage!$C$23,IF($D1036="V02",Cadrage!$D$23,Cadrage!$E$23)))</f>
        <v>0.15</v>
      </c>
      <c r="H1036">
        <f>IF($A1036="","",IF($D1036="V01",Cadrage!$C$24,IF($D1036="V02",Cadrage!$D$24,Cadrage!$E$24)))</f>
        <v>0.15</v>
      </c>
      <c r="I1036">
        <f>IF($A1036="","",IF($D1036="V01",Cadrage!$C$34,IF($D1036="V02",Cadrage!$D$34,Cadrage!$E$34)))</f>
        <v>0.015</v>
      </c>
      <c r="J1036">
        <f>IF($A1036="","",IF($D1036="V01",Cadrage!$C$35,IF($D1036="V02",Cadrage!$D$35,Cadrage!$E$35)))</f>
        <v>0.02</v>
      </c>
      <c r="K1036">
        <f>IF($A1036="","",IF($D1036="V01",Cadrage!$C$36,IF($D1036="V02",Cadrage!$D$36,Cadrage!$E$36)))</f>
        <v>0.03</v>
      </c>
      <c r="L1036">
        <f>IF($A1036="","",IF($D1036="V01",Cadrage!$C$37,IF($D1036="V02",Cadrage!$D$37,Cadrage!$E$37)))</f>
        <v>0.03</v>
      </c>
      <c r="M1036">
        <f>IF($A1036="","",IF($D1036="V01",Cadrage!$C$38,IF($D1036="V02",Cadrage!$D$38,Cadrage!$E$38)))</f>
        <v>-0.03</v>
      </c>
      <c r="N1036">
        <f t="shared" si="1"/>
        <v>1.16083752922642</v>
      </c>
      <c r="O1036">
        <f t="shared" si="2"/>
        <v>1.0506</v>
      </c>
      <c r="P1036">
        <f>IF($A1036="","",IF($E1036=1,$F1036*$O1036,PNL!G1036))</f>
        <v>294522.146754</v>
      </c>
      <c r="T1036">
        <f t="shared" si="3"/>
        <v>-294522.146754</v>
      </c>
    </row>
    <row r="1037" ht="14.25" customHeight="1">
      <c r="A1037" t="str">
        <f>IF(PNL!A1037="","",PNL!A1037)</f>
        <v>MBWAY_LYO</v>
      </c>
      <c r="B1037" t="str">
        <f>IF(PNL!B1037="","",PNL!B1037)</f>
        <v>6411</v>
      </c>
      <c r="C1037" t="str">
        <f>IF(PNL!C1037="","",PNL!C1037)</f>
        <v>2027</v>
      </c>
      <c r="D1037" t="str">
        <f>IF(PNL!D1037="","",PNL!D1037)</f>
        <v>V02</v>
      </c>
      <c r="E1037">
        <f t="shared" si="0"/>
        <v>1</v>
      </c>
      <c r="F1037">
        <f>IF($A1037="","",IF($E1037=1,_xlfn.SUMIFS(Comptabilité!$F$1:$F$1446,Comptabilité!$A$1:$A$1446,$A1037,Comptabilité!$B$1:$B$1446,$B1037,Comptabilité!$C$1:$C$1446,"2026"),0))</f>
        <v>400192.8</v>
      </c>
      <c r="G1037">
        <f>IF($A1037="","",IF($D1037="V01",Cadrage!$C$23,IF($D1037="V02",Cadrage!$D$23,Cadrage!$E$23)))</f>
        <v>0.15</v>
      </c>
      <c r="H1037">
        <f>IF($A1037="","",IF($D1037="V01",Cadrage!$C$24,IF($D1037="V02",Cadrage!$D$24,Cadrage!$E$24)))</f>
        <v>0.15</v>
      </c>
      <c r="I1037">
        <f>IF($A1037="","",IF($D1037="V01",Cadrage!$C$34,IF($D1037="V02",Cadrage!$D$34,Cadrage!$E$34)))</f>
        <v>0.015</v>
      </c>
      <c r="J1037">
        <f>IF($A1037="","",IF($D1037="V01",Cadrage!$C$35,IF($D1037="V02",Cadrage!$D$35,Cadrage!$E$35)))</f>
        <v>0.02</v>
      </c>
      <c r="K1037">
        <f>IF($A1037="","",IF($D1037="V01",Cadrage!$C$36,IF($D1037="V02",Cadrage!$D$36,Cadrage!$E$36)))</f>
        <v>0.03</v>
      </c>
      <c r="L1037">
        <f>IF($A1037="","",IF($D1037="V01",Cadrage!$C$37,IF($D1037="V02",Cadrage!$D$37,Cadrage!$E$37)))</f>
        <v>0.03</v>
      </c>
      <c r="M1037">
        <f>IF($A1037="","",IF($D1037="V01",Cadrage!$C$38,IF($D1037="V02",Cadrage!$D$38,Cadrage!$E$38)))</f>
        <v>-0.03</v>
      </c>
      <c r="N1037">
        <f t="shared" si="1"/>
        <v>1.16083752922642</v>
      </c>
      <c r="O1037">
        <f t="shared" si="2"/>
        <v>1.0506</v>
      </c>
      <c r="P1037">
        <f>IF($A1037="","",IF($E1037=1,$F1037*$O1037,PNL!G1037))</f>
        <v>420442.55568</v>
      </c>
      <c r="T1037">
        <f t="shared" si="3"/>
        <v>-420442.55568</v>
      </c>
    </row>
    <row r="1038" ht="14.25" customHeight="1">
      <c r="A1038" t="str">
        <f>IF(PNL!A1038="","",PNL!A1038)</f>
        <v>MBWAY_NAN</v>
      </c>
      <c r="B1038" t="str">
        <f>IF(PNL!B1038="","",PNL!B1038)</f>
        <v>6411</v>
      </c>
      <c r="C1038" t="str">
        <f>IF(PNL!C1038="","",PNL!C1038)</f>
        <v>2027</v>
      </c>
      <c r="D1038" t="str">
        <f>IF(PNL!D1038="","",PNL!D1038)</f>
        <v>V02</v>
      </c>
      <c r="E1038">
        <f t="shared" si="0"/>
        <v>1</v>
      </c>
      <c r="F1038">
        <f>IF($A1038="","",IF($E1038=1,_xlfn.SUMIFS(Comptabilité!$F$1:$F$1446,Comptabilité!$A$1:$A$1446,$A1038,Comptabilité!$B$1:$B$1446,$B1038,Comptabilité!$C$1:$C$1446,"2026"),0))</f>
        <v>344252.4</v>
      </c>
      <c r="G1038">
        <f>IF($A1038="","",IF($D1038="V01",Cadrage!$C$23,IF($D1038="V02",Cadrage!$D$23,Cadrage!$E$23)))</f>
        <v>0.15</v>
      </c>
      <c r="H1038">
        <f>IF($A1038="","",IF($D1038="V01",Cadrage!$C$24,IF($D1038="V02",Cadrage!$D$24,Cadrage!$E$24)))</f>
        <v>0.15</v>
      </c>
      <c r="I1038">
        <f>IF($A1038="","",IF($D1038="V01",Cadrage!$C$34,IF($D1038="V02",Cadrage!$D$34,Cadrage!$E$34)))</f>
        <v>0.015</v>
      </c>
      <c r="J1038">
        <f>IF($A1038="","",IF($D1038="V01",Cadrage!$C$35,IF($D1038="V02",Cadrage!$D$35,Cadrage!$E$35)))</f>
        <v>0.02</v>
      </c>
      <c r="K1038">
        <f>IF($A1038="","",IF($D1038="V01",Cadrage!$C$36,IF($D1038="V02",Cadrage!$D$36,Cadrage!$E$36)))</f>
        <v>0.03</v>
      </c>
      <c r="L1038">
        <f>IF($A1038="","",IF($D1038="V01",Cadrage!$C$37,IF($D1038="V02",Cadrage!$D$37,Cadrage!$E$37)))</f>
        <v>0.03</v>
      </c>
      <c r="M1038">
        <f>IF($A1038="","",IF($D1038="V01",Cadrage!$C$38,IF($D1038="V02",Cadrage!$D$38,Cadrage!$E$38)))</f>
        <v>-0.03</v>
      </c>
      <c r="N1038">
        <f t="shared" si="1"/>
        <v>1.16083752922642</v>
      </c>
      <c r="O1038">
        <f t="shared" si="2"/>
        <v>1.0506</v>
      </c>
      <c r="P1038">
        <f>IF($A1038="","",IF($E1038=1,$F1038*$O1038,PNL!G1038))</f>
        <v>361671.57144</v>
      </c>
      <c r="T1038">
        <f t="shared" si="3"/>
        <v>-361671.57144</v>
      </c>
    </row>
    <row r="1039" ht="14.25" customHeight="1">
      <c r="A1039" t="str">
        <f>IF(PNL!A1039="","",PNL!A1039)</f>
        <v>MBWAY_PAR</v>
      </c>
      <c r="B1039" t="str">
        <f>IF(PNL!B1039="","",PNL!B1039)</f>
        <v>6411</v>
      </c>
      <c r="C1039" t="str">
        <f>IF(PNL!C1039="","",PNL!C1039)</f>
        <v>2027</v>
      </c>
      <c r="D1039" t="str">
        <f>IF(PNL!D1039="","",PNL!D1039)</f>
        <v>V02</v>
      </c>
      <c r="E1039">
        <f t="shared" si="0"/>
        <v>1</v>
      </c>
      <c r="F1039">
        <f>IF($A1039="","",IF($E1039=1,_xlfn.SUMIFS(Comptabilité!$F$1:$F$1446,Comptabilité!$A$1:$A$1446,$A1039,Comptabilité!$B$1:$B$1446,$B1039,Comptabilité!$C$1:$C$1446,"2026"),0))</f>
        <v>502062.96</v>
      </c>
      <c r="G1039">
        <f>IF($A1039="","",IF($D1039="V01",Cadrage!$C$23,IF($D1039="V02",Cadrage!$D$23,Cadrage!$E$23)))</f>
        <v>0.15</v>
      </c>
      <c r="H1039">
        <f>IF($A1039="","",IF($D1039="V01",Cadrage!$C$24,IF($D1039="V02",Cadrage!$D$24,Cadrage!$E$24)))</f>
        <v>0.15</v>
      </c>
      <c r="I1039">
        <f>IF($A1039="","",IF($D1039="V01",Cadrage!$C$34,IF($D1039="V02",Cadrage!$D$34,Cadrage!$E$34)))</f>
        <v>0.015</v>
      </c>
      <c r="J1039">
        <f>IF($A1039="","",IF($D1039="V01",Cadrage!$C$35,IF($D1039="V02",Cadrage!$D$35,Cadrage!$E$35)))</f>
        <v>0.02</v>
      </c>
      <c r="K1039">
        <f>IF($A1039="","",IF($D1039="V01",Cadrage!$C$36,IF($D1039="V02",Cadrage!$D$36,Cadrage!$E$36)))</f>
        <v>0.03</v>
      </c>
      <c r="L1039">
        <f>IF($A1039="","",IF($D1039="V01",Cadrage!$C$37,IF($D1039="V02",Cadrage!$D$37,Cadrage!$E$37)))</f>
        <v>0.03</v>
      </c>
      <c r="M1039">
        <f>IF($A1039="","",IF($D1039="V01",Cadrage!$C$38,IF($D1039="V02",Cadrage!$D$38,Cadrage!$E$38)))</f>
        <v>-0.03</v>
      </c>
      <c r="N1039">
        <f t="shared" si="1"/>
        <v>1.16083752922642</v>
      </c>
      <c r="O1039">
        <f t="shared" si="2"/>
        <v>1.0506</v>
      </c>
      <c r="P1039">
        <f>IF($A1039="","",IF($E1039=1,$F1039*$O1039,PNL!G1039))</f>
        <v>527467.345776</v>
      </c>
      <c r="T1039">
        <f t="shared" si="3"/>
        <v>-527467.345776</v>
      </c>
    </row>
    <row r="1040" ht="14.25" customHeight="1">
      <c r="A1040" t="str">
        <f>IF(PNL!A1040="","",PNL!A1040)</f>
        <v>PIGIER_BOR</v>
      </c>
      <c r="B1040" t="str">
        <f>IF(PNL!B1040="","",PNL!B1040)</f>
        <v>6411</v>
      </c>
      <c r="C1040" t="str">
        <f>IF(PNL!C1040="","",PNL!C1040)</f>
        <v>2027</v>
      </c>
      <c r="D1040" t="str">
        <f>IF(PNL!D1040="","",PNL!D1040)</f>
        <v>V02</v>
      </c>
      <c r="E1040">
        <f t="shared" si="0"/>
        <v>1</v>
      </c>
      <c r="F1040">
        <f>IF($A1040="","",IF($E1040=1,_xlfn.SUMIFS(Comptabilité!$F$1:$F$1446,Comptabilité!$A$1:$A$1446,$A1040,Comptabilité!$B$1:$B$1446,$B1040,Comptabilité!$C$1:$C$1446,"2026"),0))</f>
        <v>182756.35</v>
      </c>
      <c r="G1040">
        <f>IF($A1040="","",IF($D1040="V01",Cadrage!$C$23,IF($D1040="V02",Cadrage!$D$23,Cadrage!$E$23)))</f>
        <v>0.15</v>
      </c>
      <c r="H1040">
        <f>IF($A1040="","",IF($D1040="V01",Cadrage!$C$24,IF($D1040="V02",Cadrage!$D$24,Cadrage!$E$24)))</f>
        <v>0.15</v>
      </c>
      <c r="I1040">
        <f>IF($A1040="","",IF($D1040="V01",Cadrage!$C$34,IF($D1040="V02",Cadrage!$D$34,Cadrage!$E$34)))</f>
        <v>0.015</v>
      </c>
      <c r="J1040">
        <f>IF($A1040="","",IF($D1040="V01",Cadrage!$C$35,IF($D1040="V02",Cadrage!$D$35,Cadrage!$E$35)))</f>
        <v>0.02</v>
      </c>
      <c r="K1040">
        <f>IF($A1040="","",IF($D1040="V01",Cadrage!$C$36,IF($D1040="V02",Cadrage!$D$36,Cadrage!$E$36)))</f>
        <v>0.03</v>
      </c>
      <c r="L1040">
        <f>IF($A1040="","",IF($D1040="V01",Cadrage!$C$37,IF($D1040="V02",Cadrage!$D$37,Cadrage!$E$37)))</f>
        <v>0.03</v>
      </c>
      <c r="M1040">
        <f>IF($A1040="","",IF($D1040="V01",Cadrage!$C$38,IF($D1040="V02",Cadrage!$D$38,Cadrage!$E$38)))</f>
        <v>-0.03</v>
      </c>
      <c r="N1040">
        <f t="shared" si="1"/>
        <v>1.16083752922642</v>
      </c>
      <c r="O1040">
        <f t="shared" si="2"/>
        <v>1.0506</v>
      </c>
      <c r="P1040">
        <f>IF($A1040="","",IF($E1040=1,$F1040*$O1040,PNL!G1040))</f>
        <v>192003.82131</v>
      </c>
      <c r="T1040">
        <f t="shared" si="3"/>
        <v>-192003.82131</v>
      </c>
    </row>
    <row r="1041" ht="14.25" customHeight="1">
      <c r="A1041" t="str">
        <f>IF(PNL!A1041="","",PNL!A1041)</f>
        <v>PIGIER_LYO</v>
      </c>
      <c r="B1041" t="str">
        <f>IF(PNL!B1041="","",PNL!B1041)</f>
        <v>6411</v>
      </c>
      <c r="C1041" t="str">
        <f>IF(PNL!C1041="","",PNL!C1041)</f>
        <v>2027</v>
      </c>
      <c r="D1041" t="str">
        <f>IF(PNL!D1041="","",PNL!D1041)</f>
        <v>V02</v>
      </c>
      <c r="E1041">
        <f t="shared" si="0"/>
        <v>1</v>
      </c>
      <c r="F1041">
        <f>IF($A1041="","",IF($E1041=1,_xlfn.SUMIFS(Comptabilité!$F$1:$F$1446,Comptabilité!$A$1:$A$1446,$A1041,Comptabilité!$B$1:$B$1446,$B1041,Comptabilité!$C$1:$C$1446,"2026"),0))</f>
        <v>241308.7</v>
      </c>
      <c r="G1041">
        <f>IF($A1041="","",IF($D1041="V01",Cadrage!$C$23,IF($D1041="V02",Cadrage!$D$23,Cadrage!$E$23)))</f>
        <v>0.15</v>
      </c>
      <c r="H1041">
        <f>IF($A1041="","",IF($D1041="V01",Cadrage!$C$24,IF($D1041="V02",Cadrage!$D$24,Cadrage!$E$24)))</f>
        <v>0.15</v>
      </c>
      <c r="I1041">
        <f>IF($A1041="","",IF($D1041="V01",Cadrage!$C$34,IF($D1041="V02",Cadrage!$D$34,Cadrage!$E$34)))</f>
        <v>0.015</v>
      </c>
      <c r="J1041">
        <f>IF($A1041="","",IF($D1041="V01",Cadrage!$C$35,IF($D1041="V02",Cadrage!$D$35,Cadrage!$E$35)))</f>
        <v>0.02</v>
      </c>
      <c r="K1041">
        <f>IF($A1041="","",IF($D1041="V01",Cadrage!$C$36,IF($D1041="V02",Cadrage!$D$36,Cadrage!$E$36)))</f>
        <v>0.03</v>
      </c>
      <c r="L1041">
        <f>IF($A1041="","",IF($D1041="V01",Cadrage!$C$37,IF($D1041="V02",Cadrage!$D$37,Cadrage!$E$37)))</f>
        <v>0.03</v>
      </c>
      <c r="M1041">
        <f>IF($A1041="","",IF($D1041="V01",Cadrage!$C$38,IF($D1041="V02",Cadrage!$D$38,Cadrage!$E$38)))</f>
        <v>-0.03</v>
      </c>
      <c r="N1041">
        <f t="shared" si="1"/>
        <v>1.16083752922642</v>
      </c>
      <c r="O1041">
        <f t="shared" si="2"/>
        <v>1.0506</v>
      </c>
      <c r="P1041">
        <f>IF($A1041="","",IF($E1041=1,$F1041*$O1041,PNL!G1041))</f>
        <v>253518.92022</v>
      </c>
      <c r="T1041">
        <f t="shared" si="3"/>
        <v>-253518.92022</v>
      </c>
    </row>
    <row r="1042" ht="14.25" customHeight="1">
      <c r="A1042" t="str">
        <f>IF(PNL!A1042="","",PNL!A1042)</f>
        <v>TUNON_LYO</v>
      </c>
      <c r="B1042" t="str">
        <f>IF(PNL!B1042="","",PNL!B1042)</f>
        <v>6411</v>
      </c>
      <c r="C1042" t="str">
        <f>IF(PNL!C1042="","",PNL!C1042)</f>
        <v>2027</v>
      </c>
      <c r="D1042" t="str">
        <f>IF(PNL!D1042="","",PNL!D1042)</f>
        <v>V02</v>
      </c>
      <c r="E1042">
        <f t="shared" si="0"/>
        <v>1</v>
      </c>
      <c r="F1042">
        <f>IF($A1042="","",IF($E1042=1,_xlfn.SUMIFS(Comptabilité!$F$1:$F$1446,Comptabilité!$A$1:$A$1446,$A1042,Comptabilité!$B$1:$B$1446,$B1042,Comptabilité!$C$1:$C$1446,"2026"),0))</f>
        <v>185947.72</v>
      </c>
      <c r="G1042">
        <f>IF($A1042="","",IF($D1042="V01",Cadrage!$C$23,IF($D1042="V02",Cadrage!$D$23,Cadrage!$E$23)))</f>
        <v>0.15</v>
      </c>
      <c r="H1042">
        <f>IF($A1042="","",IF($D1042="V01",Cadrage!$C$24,IF($D1042="V02",Cadrage!$D$24,Cadrage!$E$24)))</f>
        <v>0.15</v>
      </c>
      <c r="I1042">
        <f>IF($A1042="","",IF($D1042="V01",Cadrage!$C$34,IF($D1042="V02",Cadrage!$D$34,Cadrage!$E$34)))</f>
        <v>0.015</v>
      </c>
      <c r="J1042">
        <f>IF($A1042="","",IF($D1042="V01",Cadrage!$C$35,IF($D1042="V02",Cadrage!$D$35,Cadrage!$E$35)))</f>
        <v>0.02</v>
      </c>
      <c r="K1042">
        <f>IF($A1042="","",IF($D1042="V01",Cadrage!$C$36,IF($D1042="V02",Cadrage!$D$36,Cadrage!$E$36)))</f>
        <v>0.03</v>
      </c>
      <c r="L1042">
        <f>IF($A1042="","",IF($D1042="V01",Cadrage!$C$37,IF($D1042="V02",Cadrage!$D$37,Cadrage!$E$37)))</f>
        <v>0.03</v>
      </c>
      <c r="M1042">
        <f>IF($A1042="","",IF($D1042="V01",Cadrage!$C$38,IF($D1042="V02",Cadrage!$D$38,Cadrage!$E$38)))</f>
        <v>-0.03</v>
      </c>
      <c r="N1042">
        <f t="shared" si="1"/>
        <v>1.16083752922642</v>
      </c>
      <c r="O1042">
        <f t="shared" si="2"/>
        <v>1.0506</v>
      </c>
      <c r="P1042">
        <f>IF($A1042="","",IF($E1042=1,$F1042*$O1042,PNL!G1042))</f>
        <v>195356.674632</v>
      </c>
      <c r="T1042">
        <f t="shared" si="3"/>
        <v>-195356.674632</v>
      </c>
    </row>
    <row r="1043" ht="14.25" customHeight="1">
      <c r="A1043" t="str">
        <f>IF(PNL!A1043="","",PNL!A1043)</f>
        <v>TUNON_PAR</v>
      </c>
      <c r="B1043" t="str">
        <f>IF(PNL!B1043="","",PNL!B1043)</f>
        <v>6411</v>
      </c>
      <c r="C1043" t="str">
        <f>IF(PNL!C1043="","",PNL!C1043)</f>
        <v>2027</v>
      </c>
      <c r="D1043" t="str">
        <f>IF(PNL!D1043="","",PNL!D1043)</f>
        <v>V02</v>
      </c>
      <c r="E1043">
        <f t="shared" si="0"/>
        <v>1</v>
      </c>
      <c r="F1043">
        <f>IF($A1043="","",IF($E1043=1,_xlfn.SUMIFS(Comptabilité!$F$1:$F$1446,Comptabilité!$A$1:$A$1446,$A1043,Comptabilité!$B$1:$B$1446,$B1043,Comptabilité!$C$1:$C$1446,"2026"),0))</f>
        <v>223369.51</v>
      </c>
      <c r="G1043">
        <f>IF($A1043="","",IF($D1043="V01",Cadrage!$C$23,IF($D1043="V02",Cadrage!$D$23,Cadrage!$E$23)))</f>
        <v>0.15</v>
      </c>
      <c r="H1043">
        <f>IF($A1043="","",IF($D1043="V01",Cadrage!$C$24,IF($D1043="V02",Cadrage!$D$24,Cadrage!$E$24)))</f>
        <v>0.15</v>
      </c>
      <c r="I1043">
        <f>IF($A1043="","",IF($D1043="V01",Cadrage!$C$34,IF($D1043="V02",Cadrage!$D$34,Cadrage!$E$34)))</f>
        <v>0.015</v>
      </c>
      <c r="J1043">
        <f>IF($A1043="","",IF($D1043="V01",Cadrage!$C$35,IF($D1043="V02",Cadrage!$D$35,Cadrage!$E$35)))</f>
        <v>0.02</v>
      </c>
      <c r="K1043">
        <f>IF($A1043="","",IF($D1043="V01",Cadrage!$C$36,IF($D1043="V02",Cadrage!$D$36,Cadrage!$E$36)))</f>
        <v>0.03</v>
      </c>
      <c r="L1043">
        <f>IF($A1043="","",IF($D1043="V01",Cadrage!$C$37,IF($D1043="V02",Cadrage!$D$37,Cadrage!$E$37)))</f>
        <v>0.03</v>
      </c>
      <c r="M1043">
        <f>IF($A1043="","",IF($D1043="V01",Cadrage!$C$38,IF($D1043="V02",Cadrage!$D$38,Cadrage!$E$38)))</f>
        <v>-0.03</v>
      </c>
      <c r="N1043">
        <f t="shared" si="1"/>
        <v>1.16083752922642</v>
      </c>
      <c r="O1043">
        <f t="shared" si="2"/>
        <v>1.0506</v>
      </c>
      <c r="P1043">
        <f>IF($A1043="","",IF($E1043=1,$F1043*$O1043,PNL!G1043))</f>
        <v>234672.007206</v>
      </c>
      <c r="T1043">
        <f t="shared" si="3"/>
        <v>-234672.007206</v>
      </c>
    </row>
    <row r="1044" ht="14.25" customHeight="1">
      <c r="A1044" t="str">
        <f>IF(PNL!A1044="","",PNL!A1044)</f>
        <v>IPAC_MTP</v>
      </c>
      <c r="B1044" t="str">
        <f>IF(PNL!B1044="","",PNL!B1044)</f>
        <v>6413</v>
      </c>
      <c r="C1044" t="str">
        <f>IF(PNL!C1044="","",PNL!C1044)</f>
        <v>2027</v>
      </c>
      <c r="D1044" t="str">
        <f>IF(PNL!D1044="","",PNL!D1044)</f>
        <v>V02</v>
      </c>
      <c r="E1044">
        <f t="shared" si="0"/>
        <v>1</v>
      </c>
      <c r="F1044">
        <f>IF($A1044="","",IF($E1044=1,_xlfn.SUMIFS(Comptabilité!$F$1:$F$1446,Comptabilité!$A$1:$A$1446,$A1044,Comptabilité!$B$1:$B$1446,$B1044,Comptabilité!$C$1:$C$1446,"2026"),0))</f>
        <v>60159.5</v>
      </c>
      <c r="G1044">
        <f>IF($A1044="","",IF($D1044="V01",Cadrage!$C$23,IF($D1044="V02",Cadrage!$D$23,Cadrage!$E$23)))</f>
        <v>0.15</v>
      </c>
      <c r="H1044">
        <f>IF($A1044="","",IF($D1044="V01",Cadrage!$C$24,IF($D1044="V02",Cadrage!$D$24,Cadrage!$E$24)))</f>
        <v>0.15</v>
      </c>
      <c r="I1044">
        <f>IF($A1044="","",IF($D1044="V01",Cadrage!$C$34,IF($D1044="V02",Cadrage!$D$34,Cadrage!$E$34)))</f>
        <v>0.015</v>
      </c>
      <c r="J1044">
        <f>IF($A1044="","",IF($D1044="V01",Cadrage!$C$35,IF($D1044="V02",Cadrage!$D$35,Cadrage!$E$35)))</f>
        <v>0.02</v>
      </c>
      <c r="K1044">
        <f>IF($A1044="","",IF($D1044="V01",Cadrage!$C$36,IF($D1044="V02",Cadrage!$D$36,Cadrage!$E$36)))</f>
        <v>0.03</v>
      </c>
      <c r="L1044">
        <f>IF($A1044="","",IF($D1044="V01",Cadrage!$C$37,IF($D1044="V02",Cadrage!$D$37,Cadrage!$E$37)))</f>
        <v>0.03</v>
      </c>
      <c r="M1044">
        <f>IF($A1044="","",IF($D1044="V01",Cadrage!$C$38,IF($D1044="V02",Cadrage!$D$38,Cadrage!$E$38)))</f>
        <v>-0.03</v>
      </c>
      <c r="N1044">
        <f t="shared" si="1"/>
        <v>1.16083752922642</v>
      </c>
      <c r="O1044">
        <f t="shared" si="2"/>
        <v>1.0506</v>
      </c>
      <c r="P1044">
        <f>IF($A1044="","",IF($E1044=1,$F1044*$O1044,PNL!G1044))</f>
        <v>63203.5707</v>
      </c>
      <c r="T1044">
        <f t="shared" si="3"/>
        <v>-63203.5707</v>
      </c>
    </row>
    <row r="1045" ht="14.25" customHeight="1">
      <c r="A1045" t="str">
        <f>IF(PNL!A1045="","",PNL!A1045)</f>
        <v>IPAC_NAN</v>
      </c>
      <c r="B1045" t="str">
        <f>IF(PNL!B1045="","",PNL!B1045)</f>
        <v>6413</v>
      </c>
      <c r="C1045" t="str">
        <f>IF(PNL!C1045="","",PNL!C1045)</f>
        <v>2027</v>
      </c>
      <c r="D1045" t="str">
        <f>IF(PNL!D1045="","",PNL!D1045)</f>
        <v>V02</v>
      </c>
      <c r="E1045">
        <f t="shared" si="0"/>
        <v>1</v>
      </c>
      <c r="F1045">
        <f>IF($A1045="","",IF($E1045=1,_xlfn.SUMIFS(Comptabilité!$F$1:$F$1446,Comptabilité!$A$1:$A$1446,$A1045,Comptabilité!$B$1:$B$1446,$B1045,Comptabilité!$C$1:$C$1446,"2026"),0))</f>
        <v>92140.18</v>
      </c>
      <c r="G1045">
        <f>IF($A1045="","",IF($D1045="V01",Cadrage!$C$23,IF($D1045="V02",Cadrage!$D$23,Cadrage!$E$23)))</f>
        <v>0.15</v>
      </c>
      <c r="H1045">
        <f>IF($A1045="","",IF($D1045="V01",Cadrage!$C$24,IF($D1045="V02",Cadrage!$D$24,Cadrage!$E$24)))</f>
        <v>0.15</v>
      </c>
      <c r="I1045">
        <f>IF($A1045="","",IF($D1045="V01",Cadrage!$C$34,IF($D1045="V02",Cadrage!$D$34,Cadrage!$E$34)))</f>
        <v>0.015</v>
      </c>
      <c r="J1045">
        <f>IF($A1045="","",IF($D1045="V01",Cadrage!$C$35,IF($D1045="V02",Cadrage!$D$35,Cadrage!$E$35)))</f>
        <v>0.02</v>
      </c>
      <c r="K1045">
        <f>IF($A1045="","",IF($D1045="V01",Cadrage!$C$36,IF($D1045="V02",Cadrage!$D$36,Cadrage!$E$36)))</f>
        <v>0.03</v>
      </c>
      <c r="L1045">
        <f>IF($A1045="","",IF($D1045="V01",Cadrage!$C$37,IF($D1045="V02",Cadrage!$D$37,Cadrage!$E$37)))</f>
        <v>0.03</v>
      </c>
      <c r="M1045">
        <f>IF($A1045="","",IF($D1045="V01",Cadrage!$C$38,IF($D1045="V02",Cadrage!$D$38,Cadrage!$E$38)))</f>
        <v>-0.03</v>
      </c>
      <c r="N1045">
        <f t="shared" si="1"/>
        <v>1.16083752922642</v>
      </c>
      <c r="O1045">
        <f t="shared" si="2"/>
        <v>1.0506</v>
      </c>
      <c r="P1045">
        <f>IF($A1045="","",IF($E1045=1,$F1045*$O1045,PNL!G1045))</f>
        <v>96802.473108</v>
      </c>
      <c r="T1045">
        <f t="shared" si="3"/>
        <v>-96802.473108</v>
      </c>
    </row>
    <row r="1046" ht="14.25" customHeight="1">
      <c r="A1046" t="str">
        <f>IF(PNL!A1046="","",PNL!A1046)</f>
        <v>IPAC_REN</v>
      </c>
      <c r="B1046" t="str">
        <f>IF(PNL!B1046="","",PNL!B1046)</f>
        <v>6413</v>
      </c>
      <c r="C1046" t="str">
        <f>IF(PNL!C1046="","",PNL!C1046)</f>
        <v>2027</v>
      </c>
      <c r="D1046" t="str">
        <f>IF(PNL!D1046="","",PNL!D1046)</f>
        <v>V02</v>
      </c>
      <c r="E1046">
        <f t="shared" si="0"/>
        <v>1</v>
      </c>
      <c r="F1046">
        <f>IF($A1046="","",IF($E1046=1,_xlfn.SUMIFS(Comptabilité!$F$1:$F$1446,Comptabilité!$A$1:$A$1446,$A1046,Comptabilité!$B$1:$B$1446,$B1046,Comptabilité!$C$1:$C$1446,"2026"),0))</f>
        <v>60195.4</v>
      </c>
      <c r="G1046">
        <f>IF($A1046="","",IF($D1046="V01",Cadrage!$C$23,IF($D1046="V02",Cadrage!$D$23,Cadrage!$E$23)))</f>
        <v>0.15</v>
      </c>
      <c r="H1046">
        <f>IF($A1046="","",IF($D1046="V01",Cadrage!$C$24,IF($D1046="V02",Cadrage!$D$24,Cadrage!$E$24)))</f>
        <v>0.15</v>
      </c>
      <c r="I1046">
        <f>IF($A1046="","",IF($D1046="V01",Cadrage!$C$34,IF($D1046="V02",Cadrage!$D$34,Cadrage!$E$34)))</f>
        <v>0.015</v>
      </c>
      <c r="J1046">
        <f>IF($A1046="","",IF($D1046="V01",Cadrage!$C$35,IF($D1046="V02",Cadrage!$D$35,Cadrage!$E$35)))</f>
        <v>0.02</v>
      </c>
      <c r="K1046">
        <f>IF($A1046="","",IF($D1046="V01",Cadrage!$C$36,IF($D1046="V02",Cadrage!$D$36,Cadrage!$E$36)))</f>
        <v>0.03</v>
      </c>
      <c r="L1046">
        <f>IF($A1046="","",IF($D1046="V01",Cadrage!$C$37,IF($D1046="V02",Cadrage!$D$37,Cadrage!$E$37)))</f>
        <v>0.03</v>
      </c>
      <c r="M1046">
        <f>IF($A1046="","",IF($D1046="V01",Cadrage!$C$38,IF($D1046="V02",Cadrage!$D$38,Cadrage!$E$38)))</f>
        <v>-0.03</v>
      </c>
      <c r="N1046">
        <f t="shared" si="1"/>
        <v>1.16083752922642</v>
      </c>
      <c r="O1046">
        <f t="shared" si="2"/>
        <v>1.0506</v>
      </c>
      <c r="P1046">
        <f>IF($A1046="","",IF($E1046=1,$F1046*$O1046,PNL!G1046))</f>
        <v>63241.28724</v>
      </c>
      <c r="T1046">
        <f t="shared" si="3"/>
        <v>-63241.28724</v>
      </c>
    </row>
    <row r="1047" ht="14.25" customHeight="1">
      <c r="A1047" t="str">
        <f>IF(PNL!A1047="","",PNL!A1047)</f>
        <v>ISCOM_LIL</v>
      </c>
      <c r="B1047" t="str">
        <f>IF(PNL!B1047="","",PNL!B1047)</f>
        <v>6413</v>
      </c>
      <c r="C1047" t="str">
        <f>IF(PNL!C1047="","",PNL!C1047)</f>
        <v>2027</v>
      </c>
      <c r="D1047" t="str">
        <f>IF(PNL!D1047="","",PNL!D1047)</f>
        <v>V02</v>
      </c>
      <c r="E1047">
        <f t="shared" si="0"/>
        <v>1</v>
      </c>
      <c r="F1047">
        <f>IF($A1047="","",IF($E1047=1,_xlfn.SUMIFS(Comptabilité!$F$1:$F$1446,Comptabilité!$A$1:$A$1446,$A1047,Comptabilité!$B$1:$B$1446,$B1047,Comptabilité!$C$1:$C$1446,"2026"),0))</f>
        <v>157464.43</v>
      </c>
      <c r="G1047">
        <f>IF($A1047="","",IF($D1047="V01",Cadrage!$C$23,IF($D1047="V02",Cadrage!$D$23,Cadrage!$E$23)))</f>
        <v>0.15</v>
      </c>
      <c r="H1047">
        <f>IF($A1047="","",IF($D1047="V01",Cadrage!$C$24,IF($D1047="V02",Cadrage!$D$24,Cadrage!$E$24)))</f>
        <v>0.15</v>
      </c>
      <c r="I1047">
        <f>IF($A1047="","",IF($D1047="V01",Cadrage!$C$34,IF($D1047="V02",Cadrage!$D$34,Cadrage!$E$34)))</f>
        <v>0.015</v>
      </c>
      <c r="J1047">
        <f>IF($A1047="","",IF($D1047="V01",Cadrage!$C$35,IF($D1047="V02",Cadrage!$D$35,Cadrage!$E$35)))</f>
        <v>0.02</v>
      </c>
      <c r="K1047">
        <f>IF($A1047="","",IF($D1047="V01",Cadrage!$C$36,IF($D1047="V02",Cadrage!$D$36,Cadrage!$E$36)))</f>
        <v>0.03</v>
      </c>
      <c r="L1047">
        <f>IF($A1047="","",IF($D1047="V01",Cadrage!$C$37,IF($D1047="V02",Cadrage!$D$37,Cadrage!$E$37)))</f>
        <v>0.03</v>
      </c>
      <c r="M1047">
        <f>IF($A1047="","",IF($D1047="V01",Cadrage!$C$38,IF($D1047="V02",Cadrage!$D$38,Cadrage!$E$38)))</f>
        <v>-0.03</v>
      </c>
      <c r="N1047">
        <f t="shared" si="1"/>
        <v>1.16083752922642</v>
      </c>
      <c r="O1047">
        <f t="shared" si="2"/>
        <v>1.0506</v>
      </c>
      <c r="P1047">
        <f>IF($A1047="","",IF($E1047=1,$F1047*$O1047,PNL!G1047))</f>
        <v>165432.130158</v>
      </c>
      <c r="T1047">
        <f t="shared" si="3"/>
        <v>-165432.130158</v>
      </c>
    </row>
    <row r="1048" ht="14.25" customHeight="1">
      <c r="A1048" t="str">
        <f>IF(PNL!A1048="","",PNL!A1048)</f>
        <v>ISCOM_PAR</v>
      </c>
      <c r="B1048" t="str">
        <f>IF(PNL!B1048="","",PNL!B1048)</f>
        <v>6413</v>
      </c>
      <c r="C1048" t="str">
        <f>IF(PNL!C1048="","",PNL!C1048)</f>
        <v>2027</v>
      </c>
      <c r="D1048" t="str">
        <f>IF(PNL!D1048="","",PNL!D1048)</f>
        <v>V02</v>
      </c>
      <c r="E1048">
        <f t="shared" si="0"/>
        <v>1</v>
      </c>
      <c r="F1048">
        <f>IF($A1048="","",IF($E1048=1,_xlfn.SUMIFS(Comptabilité!$F$1:$F$1446,Comptabilité!$A$1:$A$1446,$A1048,Comptabilité!$B$1:$B$1446,$B1048,Comptabilité!$C$1:$C$1446,"2026"),0))</f>
        <v>261113.4</v>
      </c>
      <c r="G1048">
        <f>IF($A1048="","",IF($D1048="V01",Cadrage!$C$23,IF($D1048="V02",Cadrage!$D$23,Cadrage!$E$23)))</f>
        <v>0.15</v>
      </c>
      <c r="H1048">
        <f>IF($A1048="","",IF($D1048="V01",Cadrage!$C$24,IF($D1048="V02",Cadrage!$D$24,Cadrage!$E$24)))</f>
        <v>0.15</v>
      </c>
      <c r="I1048">
        <f>IF($A1048="","",IF($D1048="V01",Cadrage!$C$34,IF($D1048="V02",Cadrage!$D$34,Cadrage!$E$34)))</f>
        <v>0.015</v>
      </c>
      <c r="J1048">
        <f>IF($A1048="","",IF($D1048="V01",Cadrage!$C$35,IF($D1048="V02",Cadrage!$D$35,Cadrage!$E$35)))</f>
        <v>0.02</v>
      </c>
      <c r="K1048">
        <f>IF($A1048="","",IF($D1048="V01",Cadrage!$C$36,IF($D1048="V02",Cadrage!$D$36,Cadrage!$E$36)))</f>
        <v>0.03</v>
      </c>
      <c r="L1048">
        <f>IF($A1048="","",IF($D1048="V01",Cadrage!$C$37,IF($D1048="V02",Cadrage!$D$37,Cadrage!$E$37)))</f>
        <v>0.03</v>
      </c>
      <c r="M1048">
        <f>IF($A1048="","",IF($D1048="V01",Cadrage!$C$38,IF($D1048="V02",Cadrage!$D$38,Cadrage!$E$38)))</f>
        <v>-0.03</v>
      </c>
      <c r="N1048">
        <f t="shared" si="1"/>
        <v>1.16083752922642</v>
      </c>
      <c r="O1048">
        <f t="shared" si="2"/>
        <v>1.0506</v>
      </c>
      <c r="P1048">
        <f>IF($A1048="","",IF($E1048=1,$F1048*$O1048,PNL!G1048))</f>
        <v>274325.73804</v>
      </c>
      <c r="T1048">
        <f t="shared" si="3"/>
        <v>-274325.73804</v>
      </c>
    </row>
    <row r="1049" ht="14.25" customHeight="1">
      <c r="A1049" t="str">
        <f>IF(PNL!A1049="","",PNL!A1049)</f>
        <v>ISCOM_TLS</v>
      </c>
      <c r="B1049" t="str">
        <f>IF(PNL!B1049="","",PNL!B1049)</f>
        <v>6413</v>
      </c>
      <c r="C1049" t="str">
        <f>IF(PNL!C1049="","",PNL!C1049)</f>
        <v>2027</v>
      </c>
      <c r="D1049" t="str">
        <f>IF(PNL!D1049="","",PNL!D1049)</f>
        <v>V02</v>
      </c>
      <c r="E1049">
        <f t="shared" si="0"/>
        <v>1</v>
      </c>
      <c r="F1049">
        <f>IF($A1049="","",IF($E1049=1,_xlfn.SUMIFS(Comptabilité!$F$1:$F$1446,Comptabilité!$A$1:$A$1446,$A1049,Comptabilité!$B$1:$B$1446,$B1049,Comptabilité!$C$1:$C$1446,"2026"),0))</f>
        <v>140180.27</v>
      </c>
      <c r="G1049">
        <f>IF($A1049="","",IF($D1049="V01",Cadrage!$C$23,IF($D1049="V02",Cadrage!$D$23,Cadrage!$E$23)))</f>
        <v>0.15</v>
      </c>
      <c r="H1049">
        <f>IF($A1049="","",IF($D1049="V01",Cadrage!$C$24,IF($D1049="V02",Cadrage!$D$24,Cadrage!$E$24)))</f>
        <v>0.15</v>
      </c>
      <c r="I1049">
        <f>IF($A1049="","",IF($D1049="V01",Cadrage!$C$34,IF($D1049="V02",Cadrage!$D$34,Cadrage!$E$34)))</f>
        <v>0.015</v>
      </c>
      <c r="J1049">
        <f>IF($A1049="","",IF($D1049="V01",Cadrage!$C$35,IF($D1049="V02",Cadrage!$D$35,Cadrage!$E$35)))</f>
        <v>0.02</v>
      </c>
      <c r="K1049">
        <f>IF($A1049="","",IF($D1049="V01",Cadrage!$C$36,IF($D1049="V02",Cadrage!$D$36,Cadrage!$E$36)))</f>
        <v>0.03</v>
      </c>
      <c r="L1049">
        <f>IF($A1049="","",IF($D1049="V01",Cadrage!$C$37,IF($D1049="V02",Cadrage!$D$37,Cadrage!$E$37)))</f>
        <v>0.03</v>
      </c>
      <c r="M1049">
        <f>IF($A1049="","",IF($D1049="V01",Cadrage!$C$38,IF($D1049="V02",Cadrage!$D$38,Cadrage!$E$38)))</f>
        <v>-0.03</v>
      </c>
      <c r="N1049">
        <f t="shared" si="1"/>
        <v>1.16083752922642</v>
      </c>
      <c r="O1049">
        <f t="shared" si="2"/>
        <v>1.0506</v>
      </c>
      <c r="P1049">
        <f>IF($A1049="","",IF($E1049=1,$F1049*$O1049,PNL!G1049))</f>
        <v>147273.391662</v>
      </c>
      <c r="T1049">
        <f t="shared" si="3"/>
        <v>-147273.391662</v>
      </c>
    </row>
    <row r="1050" ht="14.25" customHeight="1">
      <c r="A1050" t="str">
        <f>IF(PNL!A1050="","",PNL!A1050)</f>
        <v>MBWAY_BOR</v>
      </c>
      <c r="B1050" t="str">
        <f>IF(PNL!B1050="","",PNL!B1050)</f>
        <v>6413</v>
      </c>
      <c r="C1050" t="str">
        <f>IF(PNL!C1050="","",PNL!C1050)</f>
        <v>2027</v>
      </c>
      <c r="D1050" t="str">
        <f>IF(PNL!D1050="","",PNL!D1050)</f>
        <v>V02</v>
      </c>
      <c r="E1050">
        <f t="shared" si="0"/>
        <v>1</v>
      </c>
      <c r="F1050">
        <f>IF($A1050="","",IF($E1050=1,_xlfn.SUMIFS(Comptabilité!$F$1:$F$1446,Comptabilité!$A$1:$A$1446,$A1050,Comptabilité!$B$1:$B$1446,$B1050,Comptabilité!$C$1:$C$1446,"2026"),0))</f>
        <v>158245.25</v>
      </c>
      <c r="G1050">
        <f>IF($A1050="","",IF($D1050="V01",Cadrage!$C$23,IF($D1050="V02",Cadrage!$D$23,Cadrage!$E$23)))</f>
        <v>0.15</v>
      </c>
      <c r="H1050">
        <f>IF($A1050="","",IF($D1050="V01",Cadrage!$C$24,IF($D1050="V02",Cadrage!$D$24,Cadrage!$E$24)))</f>
        <v>0.15</v>
      </c>
      <c r="I1050">
        <f>IF($A1050="","",IF($D1050="V01",Cadrage!$C$34,IF($D1050="V02",Cadrage!$D$34,Cadrage!$E$34)))</f>
        <v>0.015</v>
      </c>
      <c r="J1050">
        <f>IF($A1050="","",IF($D1050="V01",Cadrage!$C$35,IF($D1050="V02",Cadrage!$D$35,Cadrage!$E$35)))</f>
        <v>0.02</v>
      </c>
      <c r="K1050">
        <f>IF($A1050="","",IF($D1050="V01",Cadrage!$C$36,IF($D1050="V02",Cadrage!$D$36,Cadrage!$E$36)))</f>
        <v>0.03</v>
      </c>
      <c r="L1050">
        <f>IF($A1050="","",IF($D1050="V01",Cadrage!$C$37,IF($D1050="V02",Cadrage!$D$37,Cadrage!$E$37)))</f>
        <v>0.03</v>
      </c>
      <c r="M1050">
        <f>IF($A1050="","",IF($D1050="V01",Cadrage!$C$38,IF($D1050="V02",Cadrage!$D$38,Cadrage!$E$38)))</f>
        <v>-0.03</v>
      </c>
      <c r="N1050">
        <f t="shared" si="1"/>
        <v>1.16083752922642</v>
      </c>
      <c r="O1050">
        <f t="shared" si="2"/>
        <v>1.0506</v>
      </c>
      <c r="P1050">
        <f>IF($A1050="","",IF($E1050=1,$F1050*$O1050,PNL!G1050))</f>
        <v>166252.45965</v>
      </c>
      <c r="T1050">
        <f t="shared" si="3"/>
        <v>-166252.45965</v>
      </c>
    </row>
    <row r="1051" ht="14.25" customHeight="1">
      <c r="A1051" t="str">
        <f>IF(PNL!A1051="","",PNL!A1051)</f>
        <v>MBWAY_LYO</v>
      </c>
      <c r="B1051" t="str">
        <f>IF(PNL!B1051="","",PNL!B1051)</f>
        <v>6413</v>
      </c>
      <c r="C1051" t="str">
        <f>IF(PNL!C1051="","",PNL!C1051)</f>
        <v>2027</v>
      </c>
      <c r="D1051" t="str">
        <f>IF(PNL!D1051="","",PNL!D1051)</f>
        <v>V02</v>
      </c>
      <c r="E1051">
        <f t="shared" si="0"/>
        <v>1</v>
      </c>
      <c r="F1051">
        <f>IF($A1051="","",IF($E1051=1,_xlfn.SUMIFS(Comptabilité!$F$1:$F$1446,Comptabilité!$A$1:$A$1446,$A1051,Comptabilité!$B$1:$B$1446,$B1051,Comptabilité!$C$1:$C$1446,"2026"),0))</f>
        <v>226112.25</v>
      </c>
      <c r="G1051">
        <f>IF($A1051="","",IF($D1051="V01",Cadrage!$C$23,IF($D1051="V02",Cadrage!$D$23,Cadrage!$E$23)))</f>
        <v>0.15</v>
      </c>
      <c r="H1051">
        <f>IF($A1051="","",IF($D1051="V01",Cadrage!$C$24,IF($D1051="V02",Cadrage!$D$24,Cadrage!$E$24)))</f>
        <v>0.15</v>
      </c>
      <c r="I1051">
        <f>IF($A1051="","",IF($D1051="V01",Cadrage!$C$34,IF($D1051="V02",Cadrage!$D$34,Cadrage!$E$34)))</f>
        <v>0.015</v>
      </c>
      <c r="J1051">
        <f>IF($A1051="","",IF($D1051="V01",Cadrage!$C$35,IF($D1051="V02",Cadrage!$D$35,Cadrage!$E$35)))</f>
        <v>0.02</v>
      </c>
      <c r="K1051">
        <f>IF($A1051="","",IF($D1051="V01",Cadrage!$C$36,IF($D1051="V02",Cadrage!$D$36,Cadrage!$E$36)))</f>
        <v>0.03</v>
      </c>
      <c r="L1051">
        <f>IF($A1051="","",IF($D1051="V01",Cadrage!$C$37,IF($D1051="V02",Cadrage!$D$37,Cadrage!$E$37)))</f>
        <v>0.03</v>
      </c>
      <c r="M1051">
        <f>IF($A1051="","",IF($D1051="V01",Cadrage!$C$38,IF($D1051="V02",Cadrage!$D$38,Cadrage!$E$38)))</f>
        <v>-0.03</v>
      </c>
      <c r="N1051">
        <f t="shared" si="1"/>
        <v>1.16083752922642</v>
      </c>
      <c r="O1051">
        <f t="shared" si="2"/>
        <v>1.0506</v>
      </c>
      <c r="P1051">
        <f>IF($A1051="","",IF($E1051=1,$F1051*$O1051,PNL!G1051))</f>
        <v>237553.52985</v>
      </c>
      <c r="T1051">
        <f t="shared" si="3"/>
        <v>-237553.52985</v>
      </c>
    </row>
    <row r="1052" ht="14.25" customHeight="1">
      <c r="A1052" t="str">
        <f>IF(PNL!A1052="","",PNL!A1052)</f>
        <v>MBWAY_NAN</v>
      </c>
      <c r="B1052" t="str">
        <f>IF(PNL!B1052="","",PNL!B1052)</f>
        <v>6413</v>
      </c>
      <c r="C1052" t="str">
        <f>IF(PNL!C1052="","",PNL!C1052)</f>
        <v>2027</v>
      </c>
      <c r="D1052" t="str">
        <f>IF(PNL!D1052="","",PNL!D1052)</f>
        <v>V02</v>
      </c>
      <c r="E1052">
        <f t="shared" si="0"/>
        <v>1</v>
      </c>
      <c r="F1052">
        <f>IF($A1052="","",IF($E1052=1,_xlfn.SUMIFS(Comptabilité!$F$1:$F$1446,Comptabilité!$A$1:$A$1446,$A1052,Comptabilité!$B$1:$B$1446,$B1052,Comptabilité!$C$1:$C$1446,"2026"),0))</f>
        <v>191202.82</v>
      </c>
      <c r="G1052">
        <f>IF($A1052="","",IF($D1052="V01",Cadrage!$C$23,IF($D1052="V02",Cadrage!$D$23,Cadrage!$E$23)))</f>
        <v>0.15</v>
      </c>
      <c r="H1052">
        <f>IF($A1052="","",IF($D1052="V01",Cadrage!$C$24,IF($D1052="V02",Cadrage!$D$24,Cadrage!$E$24)))</f>
        <v>0.15</v>
      </c>
      <c r="I1052">
        <f>IF($A1052="","",IF($D1052="V01",Cadrage!$C$34,IF($D1052="V02",Cadrage!$D$34,Cadrage!$E$34)))</f>
        <v>0.015</v>
      </c>
      <c r="J1052">
        <f>IF($A1052="","",IF($D1052="V01",Cadrage!$C$35,IF($D1052="V02",Cadrage!$D$35,Cadrage!$E$35)))</f>
        <v>0.02</v>
      </c>
      <c r="K1052">
        <f>IF($A1052="","",IF($D1052="V01",Cadrage!$C$36,IF($D1052="V02",Cadrage!$D$36,Cadrage!$E$36)))</f>
        <v>0.03</v>
      </c>
      <c r="L1052">
        <f>IF($A1052="","",IF($D1052="V01",Cadrage!$C$37,IF($D1052="V02",Cadrage!$D$37,Cadrage!$E$37)))</f>
        <v>0.03</v>
      </c>
      <c r="M1052">
        <f>IF($A1052="","",IF($D1052="V01",Cadrage!$C$38,IF($D1052="V02",Cadrage!$D$38,Cadrage!$E$38)))</f>
        <v>-0.03</v>
      </c>
      <c r="N1052">
        <f t="shared" si="1"/>
        <v>1.16083752922642</v>
      </c>
      <c r="O1052">
        <f t="shared" si="2"/>
        <v>1.0506</v>
      </c>
      <c r="P1052">
        <f>IF($A1052="","",IF($E1052=1,$F1052*$O1052,PNL!G1052))</f>
        <v>200877.682692</v>
      </c>
      <c r="T1052">
        <f t="shared" si="3"/>
        <v>-200877.682692</v>
      </c>
    </row>
    <row r="1053" ht="14.25" customHeight="1">
      <c r="A1053" t="str">
        <f>IF(PNL!A1053="","",PNL!A1053)</f>
        <v>MBWAY_PAR</v>
      </c>
      <c r="B1053" t="str">
        <f>IF(PNL!B1053="","",PNL!B1053)</f>
        <v>6413</v>
      </c>
      <c r="C1053" t="str">
        <f>IF(PNL!C1053="","",PNL!C1053)</f>
        <v>2027</v>
      </c>
      <c r="D1053" t="str">
        <f>IF(PNL!D1053="","",PNL!D1053)</f>
        <v>V02</v>
      </c>
      <c r="E1053">
        <f t="shared" si="0"/>
        <v>1</v>
      </c>
      <c r="F1053">
        <f>IF($A1053="","",IF($E1053=1,_xlfn.SUMIFS(Comptabilité!$F$1:$F$1446,Comptabilité!$A$1:$A$1446,$A1053,Comptabilité!$B$1:$B$1446,$B1053,Comptabilité!$C$1:$C$1446,"2026"),0))</f>
        <v>289855.78</v>
      </c>
      <c r="G1053">
        <f>IF($A1053="","",IF($D1053="V01",Cadrage!$C$23,IF($D1053="V02",Cadrage!$D$23,Cadrage!$E$23)))</f>
        <v>0.15</v>
      </c>
      <c r="H1053">
        <f>IF($A1053="","",IF($D1053="V01",Cadrage!$C$24,IF($D1053="V02",Cadrage!$D$24,Cadrage!$E$24)))</f>
        <v>0.15</v>
      </c>
      <c r="I1053">
        <f>IF($A1053="","",IF($D1053="V01",Cadrage!$C$34,IF($D1053="V02",Cadrage!$D$34,Cadrage!$E$34)))</f>
        <v>0.015</v>
      </c>
      <c r="J1053">
        <f>IF($A1053="","",IF($D1053="V01",Cadrage!$C$35,IF($D1053="V02",Cadrage!$D$35,Cadrage!$E$35)))</f>
        <v>0.02</v>
      </c>
      <c r="K1053">
        <f>IF($A1053="","",IF($D1053="V01",Cadrage!$C$36,IF($D1053="V02",Cadrage!$D$36,Cadrage!$E$36)))</f>
        <v>0.03</v>
      </c>
      <c r="L1053">
        <f>IF($A1053="","",IF($D1053="V01",Cadrage!$C$37,IF($D1053="V02",Cadrage!$D$37,Cadrage!$E$37)))</f>
        <v>0.03</v>
      </c>
      <c r="M1053">
        <f>IF($A1053="","",IF($D1053="V01",Cadrage!$C$38,IF($D1053="V02",Cadrage!$D$38,Cadrage!$E$38)))</f>
        <v>-0.03</v>
      </c>
      <c r="N1053">
        <f t="shared" si="1"/>
        <v>1.16083752922642</v>
      </c>
      <c r="O1053">
        <f t="shared" si="2"/>
        <v>1.0506</v>
      </c>
      <c r="P1053">
        <f>IF($A1053="","",IF($E1053=1,$F1053*$O1053,PNL!G1053))</f>
        <v>304522.482468</v>
      </c>
      <c r="T1053">
        <f t="shared" si="3"/>
        <v>-304522.482468</v>
      </c>
    </row>
    <row r="1054" ht="14.25" customHeight="1">
      <c r="A1054" t="str">
        <f>IF(PNL!A1054="","",PNL!A1054)</f>
        <v>PIGIER_BOR</v>
      </c>
      <c r="B1054" t="str">
        <f>IF(PNL!B1054="","",PNL!B1054)</f>
        <v>6413</v>
      </c>
      <c r="C1054" t="str">
        <f>IF(PNL!C1054="","",PNL!C1054)</f>
        <v>2027</v>
      </c>
      <c r="D1054" t="str">
        <f>IF(PNL!D1054="","",PNL!D1054)</f>
        <v>V02</v>
      </c>
      <c r="E1054">
        <f t="shared" si="0"/>
        <v>1</v>
      </c>
      <c r="F1054">
        <f>IF($A1054="","",IF($E1054=1,_xlfn.SUMIFS(Comptabilité!$F$1:$F$1446,Comptabilité!$A$1:$A$1446,$A1054,Comptabilité!$B$1:$B$1446,$B1054,Comptabilité!$C$1:$C$1446,"2026"),0))</f>
        <v>73539.85</v>
      </c>
      <c r="G1054">
        <f>IF($A1054="","",IF($D1054="V01",Cadrage!$C$23,IF($D1054="V02",Cadrage!$D$23,Cadrage!$E$23)))</f>
        <v>0.15</v>
      </c>
      <c r="H1054">
        <f>IF($A1054="","",IF($D1054="V01",Cadrage!$C$24,IF($D1054="V02",Cadrage!$D$24,Cadrage!$E$24)))</f>
        <v>0.15</v>
      </c>
      <c r="I1054">
        <f>IF($A1054="","",IF($D1054="V01",Cadrage!$C$34,IF($D1054="V02",Cadrage!$D$34,Cadrage!$E$34)))</f>
        <v>0.015</v>
      </c>
      <c r="J1054">
        <f>IF($A1054="","",IF($D1054="V01",Cadrage!$C$35,IF($D1054="V02",Cadrage!$D$35,Cadrage!$E$35)))</f>
        <v>0.02</v>
      </c>
      <c r="K1054">
        <f>IF($A1054="","",IF($D1054="V01",Cadrage!$C$36,IF($D1054="V02",Cadrage!$D$36,Cadrage!$E$36)))</f>
        <v>0.03</v>
      </c>
      <c r="L1054">
        <f>IF($A1054="","",IF($D1054="V01",Cadrage!$C$37,IF($D1054="V02",Cadrage!$D$37,Cadrage!$E$37)))</f>
        <v>0.03</v>
      </c>
      <c r="M1054">
        <f>IF($A1054="","",IF($D1054="V01",Cadrage!$C$38,IF($D1054="V02",Cadrage!$D$38,Cadrage!$E$38)))</f>
        <v>-0.03</v>
      </c>
      <c r="N1054">
        <f t="shared" si="1"/>
        <v>1.16083752922642</v>
      </c>
      <c r="O1054">
        <f t="shared" si="2"/>
        <v>1.0506</v>
      </c>
      <c r="P1054">
        <f>IF($A1054="","",IF($E1054=1,$F1054*$O1054,PNL!G1054))</f>
        <v>77260.96641</v>
      </c>
      <c r="T1054">
        <f t="shared" si="3"/>
        <v>-77260.96641</v>
      </c>
    </row>
    <row r="1055" ht="14.25" customHeight="1">
      <c r="A1055" t="str">
        <f>IF(PNL!A1055="","",PNL!A1055)</f>
        <v>PIGIER_LYO</v>
      </c>
      <c r="B1055" t="str">
        <f>IF(PNL!B1055="","",PNL!B1055)</f>
        <v>6413</v>
      </c>
      <c r="C1055" t="str">
        <f>IF(PNL!C1055="","",PNL!C1055)</f>
        <v>2027</v>
      </c>
      <c r="D1055" t="str">
        <f>IF(PNL!D1055="","",PNL!D1055)</f>
        <v>V02</v>
      </c>
      <c r="E1055">
        <f t="shared" si="0"/>
        <v>1</v>
      </c>
      <c r="F1055">
        <f>IF($A1055="","",IF($E1055=1,_xlfn.SUMIFS(Comptabilité!$F$1:$F$1446,Comptabilité!$A$1:$A$1446,$A1055,Comptabilité!$B$1:$B$1446,$B1055,Comptabilité!$C$1:$C$1446,"2026"),0))</f>
        <v>124452.63</v>
      </c>
      <c r="G1055">
        <f>IF($A1055="","",IF($D1055="V01",Cadrage!$C$23,IF($D1055="V02",Cadrage!$D$23,Cadrage!$E$23)))</f>
        <v>0.15</v>
      </c>
      <c r="H1055">
        <f>IF($A1055="","",IF($D1055="V01",Cadrage!$C$24,IF($D1055="V02",Cadrage!$D$24,Cadrage!$E$24)))</f>
        <v>0.15</v>
      </c>
      <c r="I1055">
        <f>IF($A1055="","",IF($D1055="V01",Cadrage!$C$34,IF($D1055="V02",Cadrage!$D$34,Cadrage!$E$34)))</f>
        <v>0.015</v>
      </c>
      <c r="J1055">
        <f>IF($A1055="","",IF($D1055="V01",Cadrage!$C$35,IF($D1055="V02",Cadrage!$D$35,Cadrage!$E$35)))</f>
        <v>0.02</v>
      </c>
      <c r="K1055">
        <f>IF($A1055="","",IF($D1055="V01",Cadrage!$C$36,IF($D1055="V02",Cadrage!$D$36,Cadrage!$E$36)))</f>
        <v>0.03</v>
      </c>
      <c r="L1055">
        <f>IF($A1055="","",IF($D1055="V01",Cadrage!$C$37,IF($D1055="V02",Cadrage!$D$37,Cadrage!$E$37)))</f>
        <v>0.03</v>
      </c>
      <c r="M1055">
        <f>IF($A1055="","",IF($D1055="V01",Cadrage!$C$38,IF($D1055="V02",Cadrage!$D$38,Cadrage!$E$38)))</f>
        <v>-0.03</v>
      </c>
      <c r="N1055">
        <f t="shared" si="1"/>
        <v>1.16083752922642</v>
      </c>
      <c r="O1055">
        <f t="shared" si="2"/>
        <v>1.0506</v>
      </c>
      <c r="P1055">
        <f>IF($A1055="","",IF($E1055=1,$F1055*$O1055,PNL!G1055))</f>
        <v>130749.933078</v>
      </c>
      <c r="T1055">
        <f t="shared" si="3"/>
        <v>-130749.933078</v>
      </c>
    </row>
    <row r="1056" ht="14.25" customHeight="1">
      <c r="A1056" t="str">
        <f>IF(PNL!A1056="","",PNL!A1056)</f>
        <v>TUNON_LYO</v>
      </c>
      <c r="B1056" t="str">
        <f>IF(PNL!B1056="","",PNL!B1056)</f>
        <v>6413</v>
      </c>
      <c r="C1056" t="str">
        <f>IF(PNL!C1056="","",PNL!C1056)</f>
        <v>2027</v>
      </c>
      <c r="D1056" t="str">
        <f>IF(PNL!D1056="","",PNL!D1056)</f>
        <v>V02</v>
      </c>
      <c r="E1056">
        <f t="shared" si="0"/>
        <v>1</v>
      </c>
      <c r="F1056">
        <f>IF($A1056="","",IF($E1056=1,_xlfn.SUMIFS(Comptabilité!$F$1:$F$1446,Comptabilité!$A$1:$A$1446,$A1056,Comptabilité!$B$1:$B$1446,$B1056,Comptabilité!$C$1:$C$1446,"2026"),0))</f>
        <v>82201.24</v>
      </c>
      <c r="G1056">
        <f>IF($A1056="","",IF($D1056="V01",Cadrage!$C$23,IF($D1056="V02",Cadrage!$D$23,Cadrage!$E$23)))</f>
        <v>0.15</v>
      </c>
      <c r="H1056">
        <f>IF($A1056="","",IF($D1056="V01",Cadrage!$C$24,IF($D1056="V02",Cadrage!$D$24,Cadrage!$E$24)))</f>
        <v>0.15</v>
      </c>
      <c r="I1056">
        <f>IF($A1056="","",IF($D1056="V01",Cadrage!$C$34,IF($D1056="V02",Cadrage!$D$34,Cadrage!$E$34)))</f>
        <v>0.015</v>
      </c>
      <c r="J1056">
        <f>IF($A1056="","",IF($D1056="V01",Cadrage!$C$35,IF($D1056="V02",Cadrage!$D$35,Cadrage!$E$35)))</f>
        <v>0.02</v>
      </c>
      <c r="K1056">
        <f>IF($A1056="","",IF($D1056="V01",Cadrage!$C$36,IF($D1056="V02",Cadrage!$D$36,Cadrage!$E$36)))</f>
        <v>0.03</v>
      </c>
      <c r="L1056">
        <f>IF($A1056="","",IF($D1056="V01",Cadrage!$C$37,IF($D1056="V02",Cadrage!$D$37,Cadrage!$E$37)))</f>
        <v>0.03</v>
      </c>
      <c r="M1056">
        <f>IF($A1056="","",IF($D1056="V01",Cadrage!$C$38,IF($D1056="V02",Cadrage!$D$38,Cadrage!$E$38)))</f>
        <v>-0.03</v>
      </c>
      <c r="N1056">
        <f t="shared" si="1"/>
        <v>1.16083752922642</v>
      </c>
      <c r="O1056">
        <f t="shared" si="2"/>
        <v>1.0506</v>
      </c>
      <c r="P1056">
        <f>IF($A1056="","",IF($E1056=1,$F1056*$O1056,PNL!G1056))</f>
        <v>86360.622744</v>
      </c>
      <c r="T1056">
        <f t="shared" si="3"/>
        <v>-86360.622744</v>
      </c>
    </row>
    <row r="1057" ht="14.25" customHeight="1">
      <c r="A1057" t="str">
        <f>IF(PNL!A1057="","",PNL!A1057)</f>
        <v>TUNON_PAR</v>
      </c>
      <c r="B1057" t="str">
        <f>IF(PNL!B1057="","",PNL!B1057)</f>
        <v>6413</v>
      </c>
      <c r="C1057" t="str">
        <f>IF(PNL!C1057="","",PNL!C1057)</f>
        <v>2027</v>
      </c>
      <c r="D1057" t="str">
        <f>IF(PNL!D1057="","",PNL!D1057)</f>
        <v>V02</v>
      </c>
      <c r="E1057">
        <f t="shared" si="0"/>
        <v>1</v>
      </c>
      <c r="F1057">
        <f>IF($A1057="","",IF($E1057=1,_xlfn.SUMIFS(Comptabilité!$F$1:$F$1446,Comptabilité!$A$1:$A$1446,$A1057,Comptabilité!$B$1:$B$1446,$B1057,Comptabilité!$C$1:$C$1446,"2026"),0))</f>
        <v>116467.6</v>
      </c>
      <c r="G1057">
        <f>IF($A1057="","",IF($D1057="V01",Cadrage!$C$23,IF($D1057="V02",Cadrage!$D$23,Cadrage!$E$23)))</f>
        <v>0.15</v>
      </c>
      <c r="H1057">
        <f>IF($A1057="","",IF($D1057="V01",Cadrage!$C$24,IF($D1057="V02",Cadrage!$D$24,Cadrage!$E$24)))</f>
        <v>0.15</v>
      </c>
      <c r="I1057">
        <f>IF($A1057="","",IF($D1057="V01",Cadrage!$C$34,IF($D1057="V02",Cadrage!$D$34,Cadrage!$E$34)))</f>
        <v>0.015</v>
      </c>
      <c r="J1057">
        <f>IF($A1057="","",IF($D1057="V01",Cadrage!$C$35,IF($D1057="V02",Cadrage!$D$35,Cadrage!$E$35)))</f>
        <v>0.02</v>
      </c>
      <c r="K1057">
        <f>IF($A1057="","",IF($D1057="V01",Cadrage!$C$36,IF($D1057="V02",Cadrage!$D$36,Cadrage!$E$36)))</f>
        <v>0.03</v>
      </c>
      <c r="L1057">
        <f>IF($A1057="","",IF($D1057="V01",Cadrage!$C$37,IF($D1057="V02",Cadrage!$D$37,Cadrage!$E$37)))</f>
        <v>0.03</v>
      </c>
      <c r="M1057">
        <f>IF($A1057="","",IF($D1057="V01",Cadrage!$C$38,IF($D1057="V02",Cadrage!$D$38,Cadrage!$E$38)))</f>
        <v>-0.03</v>
      </c>
      <c r="N1057">
        <f t="shared" si="1"/>
        <v>1.16083752922642</v>
      </c>
      <c r="O1057">
        <f t="shared" si="2"/>
        <v>1.0506</v>
      </c>
      <c r="P1057">
        <f>IF($A1057="","",IF($E1057=1,$F1057*$O1057,PNL!G1057))</f>
        <v>122360.86056</v>
      </c>
      <c r="T1057">
        <f t="shared" si="3"/>
        <v>-122360.86056</v>
      </c>
    </row>
    <row r="1058" ht="14.25" customHeight="1">
      <c r="A1058" t="str">
        <f>IF(PNL!A1058="","",PNL!A1058)</f>
        <v>GRP</v>
      </c>
      <c r="B1058" t="str">
        <f>IF(PNL!B1058="","",PNL!B1058)</f>
        <v>6414</v>
      </c>
      <c r="C1058" t="str">
        <f>IF(PNL!C1058="","",PNL!C1058)</f>
        <v>2027</v>
      </c>
      <c r="D1058" t="str">
        <f>IF(PNL!D1058="","",PNL!D1058)</f>
        <v>V02</v>
      </c>
      <c r="E1058">
        <f t="shared" si="0"/>
        <v>1</v>
      </c>
      <c r="F1058">
        <f>IF($A1058="","",IF($E1058=1,_xlfn.SUMIFS(Comptabilité!$F$1:$F$1446,Comptabilité!$A$1:$A$1446,$A1058,Comptabilité!$B$1:$B$1446,$B1058,Comptabilité!$C$1:$C$1446,"2026"),0))</f>
        <v>1242649</v>
      </c>
      <c r="G1058">
        <f>IF($A1058="","",IF($D1058="V01",Cadrage!$C$23,IF($D1058="V02",Cadrage!$D$23,Cadrage!$E$23)))</f>
        <v>0.15</v>
      </c>
      <c r="H1058">
        <f>IF($A1058="","",IF($D1058="V01",Cadrage!$C$24,IF($D1058="V02",Cadrage!$D$24,Cadrage!$E$24)))</f>
        <v>0.15</v>
      </c>
      <c r="I1058">
        <f>IF($A1058="","",IF($D1058="V01",Cadrage!$C$34,IF($D1058="V02",Cadrage!$D$34,Cadrage!$E$34)))</f>
        <v>0.015</v>
      </c>
      <c r="J1058">
        <f>IF($A1058="","",IF($D1058="V01",Cadrage!$C$35,IF($D1058="V02",Cadrage!$D$35,Cadrage!$E$35)))</f>
        <v>0.02</v>
      </c>
      <c r="K1058">
        <f>IF($A1058="","",IF($D1058="V01",Cadrage!$C$36,IF($D1058="V02",Cadrage!$D$36,Cadrage!$E$36)))</f>
        <v>0.03</v>
      </c>
      <c r="L1058">
        <f>IF($A1058="","",IF($D1058="V01",Cadrage!$C$37,IF($D1058="V02",Cadrage!$D$37,Cadrage!$E$37)))</f>
        <v>0.03</v>
      </c>
      <c r="M1058">
        <f>IF($A1058="","",IF($D1058="V01",Cadrage!$C$38,IF($D1058="V02",Cadrage!$D$38,Cadrage!$E$38)))</f>
        <v>-0.03</v>
      </c>
      <c r="N1058">
        <f t="shared" si="1"/>
        <v>1.16083752922642</v>
      </c>
      <c r="O1058">
        <f t="shared" si="2"/>
        <v>1.0506</v>
      </c>
      <c r="P1058">
        <f>IF($A1058="","",IF($E1058=1,$F1058*$O1058,PNL!G1058))</f>
        <v>1305527.0394</v>
      </c>
      <c r="T1058">
        <f t="shared" si="3"/>
        <v>-1305527.0394</v>
      </c>
    </row>
    <row r="1059" ht="14.25" customHeight="1">
      <c r="A1059" t="str">
        <f>IF(PNL!A1059="","",PNL!A1059)</f>
        <v>IPAC_MTP</v>
      </c>
      <c r="B1059" t="str">
        <f>IF(PNL!B1059="","",PNL!B1059)</f>
        <v>645</v>
      </c>
      <c r="C1059" t="str">
        <f>IF(PNL!C1059="","",PNL!C1059)</f>
        <v>2027</v>
      </c>
      <c r="D1059" t="str">
        <f>IF(PNL!D1059="","",PNL!D1059)</f>
        <v>V02</v>
      </c>
      <c r="E1059">
        <f t="shared" si="0"/>
        <v>1</v>
      </c>
      <c r="F1059">
        <f>IF($A1059="","",IF($E1059=1,_xlfn.SUMIFS(Comptabilité!$F$1:$F$1446,Comptabilité!$A$1:$A$1446,$A1059,Comptabilité!$B$1:$B$1446,$B1059,Comptabilité!$C$1:$C$1446,"2026"),0))</f>
        <v>93580.87</v>
      </c>
      <c r="G1059">
        <f>IF($A1059="","",IF($D1059="V01",Cadrage!$C$23,IF($D1059="V02",Cadrage!$D$23,Cadrage!$E$23)))</f>
        <v>0.15</v>
      </c>
      <c r="H1059">
        <f>IF($A1059="","",IF($D1059="V01",Cadrage!$C$24,IF($D1059="V02",Cadrage!$D$24,Cadrage!$E$24)))</f>
        <v>0.15</v>
      </c>
      <c r="I1059">
        <f>IF($A1059="","",IF($D1059="V01",Cadrage!$C$34,IF($D1059="V02",Cadrage!$D$34,Cadrage!$E$34)))</f>
        <v>0.015</v>
      </c>
      <c r="J1059">
        <f>IF($A1059="","",IF($D1059="V01",Cadrage!$C$35,IF($D1059="V02",Cadrage!$D$35,Cadrage!$E$35)))</f>
        <v>0.02</v>
      </c>
      <c r="K1059">
        <f>IF($A1059="","",IF($D1059="V01",Cadrage!$C$36,IF($D1059="V02",Cadrage!$D$36,Cadrage!$E$36)))</f>
        <v>0.03</v>
      </c>
      <c r="L1059">
        <f>IF($A1059="","",IF($D1059="V01",Cadrage!$C$37,IF($D1059="V02",Cadrage!$D$37,Cadrage!$E$37)))</f>
        <v>0.03</v>
      </c>
      <c r="M1059">
        <f>IF($A1059="","",IF($D1059="V01",Cadrage!$C$38,IF($D1059="V02",Cadrage!$D$38,Cadrage!$E$38)))</f>
        <v>-0.03</v>
      </c>
      <c r="N1059">
        <f t="shared" si="1"/>
        <v>1.16083752922642</v>
      </c>
      <c r="O1059">
        <f t="shared" si="2"/>
        <v>1.0506</v>
      </c>
      <c r="P1059">
        <f>IF($A1059="","",IF($E1059=1,$F1059*$O1059,PNL!G1059))</f>
        <v>98316.062022</v>
      </c>
      <c r="T1059">
        <f t="shared" si="3"/>
        <v>-98316.062022</v>
      </c>
    </row>
    <row r="1060" ht="14.25" customHeight="1">
      <c r="A1060" t="str">
        <f>IF(PNL!A1060="","",PNL!A1060)</f>
        <v>IPAC_NAN</v>
      </c>
      <c r="B1060" t="str">
        <f>IF(PNL!B1060="","",PNL!B1060)</f>
        <v>645</v>
      </c>
      <c r="C1060" t="str">
        <f>IF(PNL!C1060="","",PNL!C1060)</f>
        <v>2027</v>
      </c>
      <c r="D1060" t="str">
        <f>IF(PNL!D1060="","",PNL!D1060)</f>
        <v>V02</v>
      </c>
      <c r="E1060">
        <f t="shared" si="0"/>
        <v>1</v>
      </c>
      <c r="F1060">
        <f>IF($A1060="","",IF($E1060=1,_xlfn.SUMIFS(Comptabilité!$F$1:$F$1446,Comptabilité!$A$1:$A$1446,$A1060,Comptabilité!$B$1:$B$1446,$B1060,Comptabilité!$C$1:$C$1446,"2026"),0))</f>
        <v>143328.92</v>
      </c>
      <c r="G1060">
        <f>IF($A1060="","",IF($D1060="V01",Cadrage!$C$23,IF($D1060="V02",Cadrage!$D$23,Cadrage!$E$23)))</f>
        <v>0.15</v>
      </c>
      <c r="H1060">
        <f>IF($A1060="","",IF($D1060="V01",Cadrage!$C$24,IF($D1060="V02",Cadrage!$D$24,Cadrage!$E$24)))</f>
        <v>0.15</v>
      </c>
      <c r="I1060">
        <f>IF($A1060="","",IF($D1060="V01",Cadrage!$C$34,IF($D1060="V02",Cadrage!$D$34,Cadrage!$E$34)))</f>
        <v>0.015</v>
      </c>
      <c r="J1060">
        <f>IF($A1060="","",IF($D1060="V01",Cadrage!$C$35,IF($D1060="V02",Cadrage!$D$35,Cadrage!$E$35)))</f>
        <v>0.02</v>
      </c>
      <c r="K1060">
        <f>IF($A1060="","",IF($D1060="V01",Cadrage!$C$36,IF($D1060="V02",Cadrage!$D$36,Cadrage!$E$36)))</f>
        <v>0.03</v>
      </c>
      <c r="L1060">
        <f>IF($A1060="","",IF($D1060="V01",Cadrage!$C$37,IF($D1060="V02",Cadrage!$D$37,Cadrage!$E$37)))</f>
        <v>0.03</v>
      </c>
      <c r="M1060">
        <f>IF($A1060="","",IF($D1060="V01",Cadrage!$C$38,IF($D1060="V02",Cadrage!$D$38,Cadrage!$E$38)))</f>
        <v>-0.03</v>
      </c>
      <c r="N1060">
        <f t="shared" si="1"/>
        <v>1.16083752922642</v>
      </c>
      <c r="O1060">
        <f t="shared" si="2"/>
        <v>1.0506</v>
      </c>
      <c r="P1060">
        <f>IF($A1060="","",IF($E1060=1,$F1060*$O1060,PNL!G1060))</f>
        <v>150581.363352</v>
      </c>
      <c r="T1060">
        <f t="shared" si="3"/>
        <v>-150581.363352</v>
      </c>
    </row>
    <row r="1061" ht="14.25" customHeight="1">
      <c r="A1061" t="str">
        <f>IF(PNL!A1061="","",PNL!A1061)</f>
        <v>IPAC_REN</v>
      </c>
      <c r="B1061" t="str">
        <f>IF(PNL!B1061="","",PNL!B1061)</f>
        <v>645</v>
      </c>
      <c r="C1061" t="str">
        <f>IF(PNL!C1061="","",PNL!C1061)</f>
        <v>2027</v>
      </c>
      <c r="D1061" t="str">
        <f>IF(PNL!D1061="","",PNL!D1061)</f>
        <v>V02</v>
      </c>
      <c r="E1061">
        <f t="shared" si="0"/>
        <v>1</v>
      </c>
      <c r="F1061">
        <f>IF($A1061="","",IF($E1061=1,_xlfn.SUMIFS(Comptabilité!$F$1:$F$1446,Comptabilité!$A$1:$A$1446,$A1061,Comptabilité!$B$1:$B$1446,$B1061,Comptabilité!$C$1:$C$1446,"2026"),0))</f>
        <v>93636.71</v>
      </c>
      <c r="G1061">
        <f>IF($A1061="","",IF($D1061="V01",Cadrage!$C$23,IF($D1061="V02",Cadrage!$D$23,Cadrage!$E$23)))</f>
        <v>0.15</v>
      </c>
      <c r="H1061">
        <f>IF($A1061="","",IF($D1061="V01",Cadrage!$C$24,IF($D1061="V02",Cadrage!$D$24,Cadrage!$E$24)))</f>
        <v>0.15</v>
      </c>
      <c r="I1061">
        <f>IF($A1061="","",IF($D1061="V01",Cadrage!$C$34,IF($D1061="V02",Cadrage!$D$34,Cadrage!$E$34)))</f>
        <v>0.015</v>
      </c>
      <c r="J1061">
        <f>IF($A1061="","",IF($D1061="V01",Cadrage!$C$35,IF($D1061="V02",Cadrage!$D$35,Cadrage!$E$35)))</f>
        <v>0.02</v>
      </c>
      <c r="K1061">
        <f>IF($A1061="","",IF($D1061="V01",Cadrage!$C$36,IF($D1061="V02",Cadrage!$D$36,Cadrage!$E$36)))</f>
        <v>0.03</v>
      </c>
      <c r="L1061">
        <f>IF($A1061="","",IF($D1061="V01",Cadrage!$C$37,IF($D1061="V02",Cadrage!$D$37,Cadrage!$E$37)))</f>
        <v>0.03</v>
      </c>
      <c r="M1061">
        <f>IF($A1061="","",IF($D1061="V01",Cadrage!$C$38,IF($D1061="V02",Cadrage!$D$38,Cadrage!$E$38)))</f>
        <v>-0.03</v>
      </c>
      <c r="N1061">
        <f t="shared" si="1"/>
        <v>1.16083752922642</v>
      </c>
      <c r="O1061">
        <f t="shared" si="2"/>
        <v>1.0506</v>
      </c>
      <c r="P1061">
        <f>IF($A1061="","",IF($E1061=1,$F1061*$O1061,PNL!G1061))</f>
        <v>98374.727526</v>
      </c>
      <c r="T1061">
        <f t="shared" si="3"/>
        <v>-98374.727526</v>
      </c>
    </row>
    <row r="1062" ht="14.25" customHeight="1">
      <c r="A1062" t="str">
        <f>IF(PNL!A1062="","",PNL!A1062)</f>
        <v>ISCOM_LIL</v>
      </c>
      <c r="B1062" t="str">
        <f>IF(PNL!B1062="","",PNL!B1062)</f>
        <v>645</v>
      </c>
      <c r="C1062" t="str">
        <f>IF(PNL!C1062="","",PNL!C1062)</f>
        <v>2027</v>
      </c>
      <c r="D1062" t="str">
        <f>IF(PNL!D1062="","",PNL!D1062)</f>
        <v>V02</v>
      </c>
      <c r="E1062">
        <f t="shared" si="0"/>
        <v>1</v>
      </c>
      <c r="F1062">
        <f>IF($A1062="","",IF($E1062=1,_xlfn.SUMIFS(Comptabilité!$F$1:$F$1446,Comptabilité!$A$1:$A$1446,$A1062,Comptabilité!$B$1:$B$1446,$B1062,Comptabilité!$C$1:$C$1446,"2026"),0))</f>
        <v>244944.94</v>
      </c>
      <c r="G1062">
        <f>IF($A1062="","",IF($D1062="V01",Cadrage!$C$23,IF($D1062="V02",Cadrage!$D$23,Cadrage!$E$23)))</f>
        <v>0.15</v>
      </c>
      <c r="H1062">
        <f>IF($A1062="","",IF($D1062="V01",Cadrage!$C$24,IF($D1062="V02",Cadrage!$D$24,Cadrage!$E$24)))</f>
        <v>0.15</v>
      </c>
      <c r="I1062">
        <f>IF($A1062="","",IF($D1062="V01",Cadrage!$C$34,IF($D1062="V02",Cadrage!$D$34,Cadrage!$E$34)))</f>
        <v>0.015</v>
      </c>
      <c r="J1062">
        <f>IF($A1062="","",IF($D1062="V01",Cadrage!$C$35,IF($D1062="V02",Cadrage!$D$35,Cadrage!$E$35)))</f>
        <v>0.02</v>
      </c>
      <c r="K1062">
        <f>IF($A1062="","",IF($D1062="V01",Cadrage!$C$36,IF($D1062="V02",Cadrage!$D$36,Cadrage!$E$36)))</f>
        <v>0.03</v>
      </c>
      <c r="L1062">
        <f>IF($A1062="","",IF($D1062="V01",Cadrage!$C$37,IF($D1062="V02",Cadrage!$D$37,Cadrage!$E$37)))</f>
        <v>0.03</v>
      </c>
      <c r="M1062">
        <f>IF($A1062="","",IF($D1062="V01",Cadrage!$C$38,IF($D1062="V02",Cadrage!$D$38,Cadrage!$E$38)))</f>
        <v>-0.03</v>
      </c>
      <c r="N1062">
        <f t="shared" si="1"/>
        <v>1.16083752922642</v>
      </c>
      <c r="O1062">
        <f t="shared" si="2"/>
        <v>1.0506</v>
      </c>
      <c r="P1062">
        <f>IF($A1062="","",IF($E1062=1,$F1062*$O1062,PNL!G1062))</f>
        <v>257339.153964</v>
      </c>
      <c r="T1062">
        <f t="shared" si="3"/>
        <v>-257339.153964</v>
      </c>
    </row>
    <row r="1063" ht="14.25" customHeight="1">
      <c r="A1063" t="str">
        <f>IF(PNL!A1063="","",PNL!A1063)</f>
        <v>ISCOM_PAR</v>
      </c>
      <c r="B1063" t="str">
        <f>IF(PNL!B1063="","",PNL!B1063)</f>
        <v>645</v>
      </c>
      <c r="C1063" t="str">
        <f>IF(PNL!C1063="","",PNL!C1063)</f>
        <v>2027</v>
      </c>
      <c r="D1063" t="str">
        <f>IF(PNL!D1063="","",PNL!D1063)</f>
        <v>V02</v>
      </c>
      <c r="E1063">
        <f t="shared" si="0"/>
        <v>1</v>
      </c>
      <c r="F1063">
        <f>IF($A1063="","",IF($E1063=1,_xlfn.SUMIFS(Comptabilité!$F$1:$F$1446,Comptabilité!$A$1:$A$1446,$A1063,Comptabilité!$B$1:$B$1446,$B1063,Comptabilité!$C$1:$C$1446,"2026"),0))</f>
        <v>406175.69</v>
      </c>
      <c r="G1063">
        <f>IF($A1063="","",IF($D1063="V01",Cadrage!$C$23,IF($D1063="V02",Cadrage!$D$23,Cadrage!$E$23)))</f>
        <v>0.15</v>
      </c>
      <c r="H1063">
        <f>IF($A1063="","",IF($D1063="V01",Cadrage!$C$24,IF($D1063="V02",Cadrage!$D$24,Cadrage!$E$24)))</f>
        <v>0.15</v>
      </c>
      <c r="I1063">
        <f>IF($A1063="","",IF($D1063="V01",Cadrage!$C$34,IF($D1063="V02",Cadrage!$D$34,Cadrage!$E$34)))</f>
        <v>0.015</v>
      </c>
      <c r="J1063">
        <f>IF($A1063="","",IF($D1063="V01",Cadrage!$C$35,IF($D1063="V02",Cadrage!$D$35,Cadrage!$E$35)))</f>
        <v>0.02</v>
      </c>
      <c r="K1063">
        <f>IF($A1063="","",IF($D1063="V01",Cadrage!$C$36,IF($D1063="V02",Cadrage!$D$36,Cadrage!$E$36)))</f>
        <v>0.03</v>
      </c>
      <c r="L1063">
        <f>IF($A1063="","",IF($D1063="V01",Cadrage!$C$37,IF($D1063="V02",Cadrage!$D$37,Cadrage!$E$37)))</f>
        <v>0.03</v>
      </c>
      <c r="M1063">
        <f>IF($A1063="","",IF($D1063="V01",Cadrage!$C$38,IF($D1063="V02",Cadrage!$D$38,Cadrage!$E$38)))</f>
        <v>-0.03</v>
      </c>
      <c r="N1063">
        <f t="shared" si="1"/>
        <v>1.16083752922642</v>
      </c>
      <c r="O1063">
        <f t="shared" si="2"/>
        <v>1.0506</v>
      </c>
      <c r="P1063">
        <f>IF($A1063="","",IF($E1063=1,$F1063*$O1063,PNL!G1063))</f>
        <v>426728.179914</v>
      </c>
      <c r="T1063">
        <f t="shared" si="3"/>
        <v>-426728.179914</v>
      </c>
    </row>
    <row r="1064" ht="14.25" customHeight="1">
      <c r="A1064" t="str">
        <f>IF(PNL!A1064="","",PNL!A1064)</f>
        <v>ISCOM_TLS</v>
      </c>
      <c r="B1064" t="str">
        <f>IF(PNL!B1064="","",PNL!B1064)</f>
        <v>645</v>
      </c>
      <c r="C1064" t="str">
        <f>IF(PNL!C1064="","",PNL!C1064)</f>
        <v>2027</v>
      </c>
      <c r="D1064" t="str">
        <f>IF(PNL!D1064="","",PNL!D1064)</f>
        <v>V02</v>
      </c>
      <c r="E1064">
        <f t="shared" si="0"/>
        <v>1</v>
      </c>
      <c r="F1064">
        <f>IF($A1064="","",IF($E1064=1,_xlfn.SUMIFS(Comptabilité!$F$1:$F$1446,Comptabilité!$A$1:$A$1446,$A1064,Comptabilité!$B$1:$B$1446,$B1064,Comptabilité!$C$1:$C$1446,"2026"),0))</f>
        <v>218057.94</v>
      </c>
      <c r="G1064">
        <f>IF($A1064="","",IF($D1064="V01",Cadrage!$C$23,IF($D1064="V02",Cadrage!$D$23,Cadrage!$E$23)))</f>
        <v>0.15</v>
      </c>
      <c r="H1064">
        <f>IF($A1064="","",IF($D1064="V01",Cadrage!$C$24,IF($D1064="V02",Cadrage!$D$24,Cadrage!$E$24)))</f>
        <v>0.15</v>
      </c>
      <c r="I1064">
        <f>IF($A1064="","",IF($D1064="V01",Cadrage!$C$34,IF($D1064="V02",Cadrage!$D$34,Cadrage!$E$34)))</f>
        <v>0.015</v>
      </c>
      <c r="J1064">
        <f>IF($A1064="","",IF($D1064="V01",Cadrage!$C$35,IF($D1064="V02",Cadrage!$D$35,Cadrage!$E$35)))</f>
        <v>0.02</v>
      </c>
      <c r="K1064">
        <f>IF($A1064="","",IF($D1064="V01",Cadrage!$C$36,IF($D1064="V02",Cadrage!$D$36,Cadrage!$E$36)))</f>
        <v>0.03</v>
      </c>
      <c r="L1064">
        <f>IF($A1064="","",IF($D1064="V01",Cadrage!$C$37,IF($D1064="V02",Cadrage!$D$37,Cadrage!$E$37)))</f>
        <v>0.03</v>
      </c>
      <c r="M1064">
        <f>IF($A1064="","",IF($D1064="V01",Cadrage!$C$38,IF($D1064="V02",Cadrage!$D$38,Cadrage!$E$38)))</f>
        <v>-0.03</v>
      </c>
      <c r="N1064">
        <f t="shared" si="1"/>
        <v>1.16083752922642</v>
      </c>
      <c r="O1064">
        <f t="shared" si="2"/>
        <v>1.0506</v>
      </c>
      <c r="P1064">
        <f>IF($A1064="","",IF($E1064=1,$F1064*$O1064,PNL!G1064))</f>
        <v>229091.671764</v>
      </c>
      <c r="T1064">
        <f t="shared" si="3"/>
        <v>-229091.671764</v>
      </c>
    </row>
    <row r="1065" ht="14.25" customHeight="1">
      <c r="A1065" t="str">
        <f>IF(PNL!A1065="","",PNL!A1065)</f>
        <v>MBWAY_BOR</v>
      </c>
      <c r="B1065" t="str">
        <f>IF(PNL!B1065="","",PNL!B1065)</f>
        <v>645</v>
      </c>
      <c r="C1065" t="str">
        <f>IF(PNL!C1065="","",PNL!C1065)</f>
        <v>2027</v>
      </c>
      <c r="D1065" t="str">
        <f>IF(PNL!D1065="","",PNL!D1065)</f>
        <v>V02</v>
      </c>
      <c r="E1065">
        <f t="shared" si="0"/>
        <v>1</v>
      </c>
      <c r="F1065">
        <f>IF($A1065="","",IF($E1065=1,_xlfn.SUMIFS(Comptabilité!$F$1:$F$1446,Comptabilité!$A$1:$A$1446,$A1065,Comptabilité!$B$1:$B$1446,$B1065,Comptabilité!$C$1:$C$1446,"2026"),0))</f>
        <v>246160.47</v>
      </c>
      <c r="G1065">
        <f>IF($A1065="","",IF($D1065="V01",Cadrage!$C$23,IF($D1065="V02",Cadrage!$D$23,Cadrage!$E$23)))</f>
        <v>0.15</v>
      </c>
      <c r="H1065">
        <f>IF($A1065="","",IF($D1065="V01",Cadrage!$C$24,IF($D1065="V02",Cadrage!$D$24,Cadrage!$E$24)))</f>
        <v>0.15</v>
      </c>
      <c r="I1065">
        <f>IF($A1065="","",IF($D1065="V01",Cadrage!$C$34,IF($D1065="V02",Cadrage!$D$34,Cadrage!$E$34)))</f>
        <v>0.015</v>
      </c>
      <c r="J1065">
        <f>IF($A1065="","",IF($D1065="V01",Cadrage!$C$35,IF($D1065="V02",Cadrage!$D$35,Cadrage!$E$35)))</f>
        <v>0.02</v>
      </c>
      <c r="K1065">
        <f>IF($A1065="","",IF($D1065="V01",Cadrage!$C$36,IF($D1065="V02",Cadrage!$D$36,Cadrage!$E$36)))</f>
        <v>0.03</v>
      </c>
      <c r="L1065">
        <f>IF($A1065="","",IF($D1065="V01",Cadrage!$C$37,IF($D1065="V02",Cadrage!$D$37,Cadrage!$E$37)))</f>
        <v>0.03</v>
      </c>
      <c r="M1065">
        <f>IF($A1065="","",IF($D1065="V01",Cadrage!$C$38,IF($D1065="V02",Cadrage!$D$38,Cadrage!$E$38)))</f>
        <v>-0.03</v>
      </c>
      <c r="N1065">
        <f t="shared" si="1"/>
        <v>1.16083752922642</v>
      </c>
      <c r="O1065">
        <f t="shared" si="2"/>
        <v>1.0506</v>
      </c>
      <c r="P1065">
        <f>IF($A1065="","",IF($E1065=1,$F1065*$O1065,PNL!G1065))</f>
        <v>258616.189782</v>
      </c>
      <c r="T1065">
        <f t="shared" si="3"/>
        <v>-258616.189782</v>
      </c>
    </row>
    <row r="1066" ht="14.25" customHeight="1">
      <c r="A1066" t="str">
        <f>IF(PNL!A1066="","",PNL!A1066)</f>
        <v>MBWAY_LYO</v>
      </c>
      <c r="B1066" t="str">
        <f>IF(PNL!B1066="","",PNL!B1066)</f>
        <v>645</v>
      </c>
      <c r="C1066" t="str">
        <f>IF(PNL!C1066="","",PNL!C1066)</f>
        <v>2027</v>
      </c>
      <c r="D1066" t="str">
        <f>IF(PNL!D1066="","",PNL!D1066)</f>
        <v>V02</v>
      </c>
      <c r="E1066">
        <f t="shared" si="0"/>
        <v>1</v>
      </c>
      <c r="F1066">
        <f>IF($A1066="","",IF($E1066=1,_xlfn.SUMIFS(Comptabilité!$F$1:$F$1446,Comptabilité!$A$1:$A$1446,$A1066,Comptabilité!$B$1:$B$1446,$B1066,Comptabilité!$C$1:$C$1446,"2026"),0))</f>
        <v>351729.06</v>
      </c>
      <c r="G1066">
        <f>IF($A1066="","",IF($D1066="V01",Cadrage!$C$23,IF($D1066="V02",Cadrage!$D$23,Cadrage!$E$23)))</f>
        <v>0.15</v>
      </c>
      <c r="H1066">
        <f>IF($A1066="","",IF($D1066="V01",Cadrage!$C$24,IF($D1066="V02",Cadrage!$D$24,Cadrage!$E$24)))</f>
        <v>0.15</v>
      </c>
      <c r="I1066">
        <f>IF($A1066="","",IF($D1066="V01",Cadrage!$C$34,IF($D1066="V02",Cadrage!$D$34,Cadrage!$E$34)))</f>
        <v>0.015</v>
      </c>
      <c r="J1066">
        <f>IF($A1066="","",IF($D1066="V01",Cadrage!$C$35,IF($D1066="V02",Cadrage!$D$35,Cadrage!$E$35)))</f>
        <v>0.02</v>
      </c>
      <c r="K1066">
        <f>IF($A1066="","",IF($D1066="V01",Cadrage!$C$36,IF($D1066="V02",Cadrage!$D$36,Cadrage!$E$36)))</f>
        <v>0.03</v>
      </c>
      <c r="L1066">
        <f>IF($A1066="","",IF($D1066="V01",Cadrage!$C$37,IF($D1066="V02",Cadrage!$D$37,Cadrage!$E$37)))</f>
        <v>0.03</v>
      </c>
      <c r="M1066">
        <f>IF($A1066="","",IF($D1066="V01",Cadrage!$C$38,IF($D1066="V02",Cadrage!$D$38,Cadrage!$E$38)))</f>
        <v>-0.03</v>
      </c>
      <c r="N1066">
        <f t="shared" si="1"/>
        <v>1.16083752922642</v>
      </c>
      <c r="O1066">
        <f t="shared" si="2"/>
        <v>1.0506</v>
      </c>
      <c r="P1066">
        <f>IF($A1066="","",IF($E1066=1,$F1066*$O1066,PNL!G1066))</f>
        <v>369526.550436</v>
      </c>
      <c r="T1066">
        <f t="shared" si="3"/>
        <v>-369526.550436</v>
      </c>
    </row>
    <row r="1067" ht="14.25" customHeight="1">
      <c r="A1067" t="str">
        <f>IF(PNL!A1067="","",PNL!A1067)</f>
        <v>MBWAY_NAN</v>
      </c>
      <c r="B1067" t="str">
        <f>IF(PNL!B1067="","",PNL!B1067)</f>
        <v>645</v>
      </c>
      <c r="C1067" t="str">
        <f>IF(PNL!C1067="","",PNL!C1067)</f>
        <v>2027</v>
      </c>
      <c r="D1067" t="str">
        <f>IF(PNL!D1067="","",PNL!D1067)</f>
        <v>V02</v>
      </c>
      <c r="E1067">
        <f t="shared" si="0"/>
        <v>1</v>
      </c>
      <c r="F1067">
        <f>IF($A1067="","",IF($E1067=1,_xlfn.SUMIFS(Comptabilité!$F$1:$F$1446,Comptabilité!$A$1:$A$1446,$A1067,Comptabilité!$B$1:$B$1446,$B1067,Comptabilité!$C$1:$C$1446,"2026"),0))</f>
        <v>297427.9</v>
      </c>
      <c r="G1067">
        <f>IF($A1067="","",IF($D1067="V01",Cadrage!$C$23,IF($D1067="V02",Cadrage!$D$23,Cadrage!$E$23)))</f>
        <v>0.15</v>
      </c>
      <c r="H1067">
        <f>IF($A1067="","",IF($D1067="V01",Cadrage!$C$24,IF($D1067="V02",Cadrage!$D$24,Cadrage!$E$24)))</f>
        <v>0.15</v>
      </c>
      <c r="I1067">
        <f>IF($A1067="","",IF($D1067="V01",Cadrage!$C$34,IF($D1067="V02",Cadrage!$D$34,Cadrage!$E$34)))</f>
        <v>0.015</v>
      </c>
      <c r="J1067">
        <f>IF($A1067="","",IF($D1067="V01",Cadrage!$C$35,IF($D1067="V02",Cadrage!$D$35,Cadrage!$E$35)))</f>
        <v>0.02</v>
      </c>
      <c r="K1067">
        <f>IF($A1067="","",IF($D1067="V01",Cadrage!$C$36,IF($D1067="V02",Cadrage!$D$36,Cadrage!$E$36)))</f>
        <v>0.03</v>
      </c>
      <c r="L1067">
        <f>IF($A1067="","",IF($D1067="V01",Cadrage!$C$37,IF($D1067="V02",Cadrage!$D$37,Cadrage!$E$37)))</f>
        <v>0.03</v>
      </c>
      <c r="M1067">
        <f>IF($A1067="","",IF($D1067="V01",Cadrage!$C$38,IF($D1067="V02",Cadrage!$D$38,Cadrage!$E$38)))</f>
        <v>-0.03</v>
      </c>
      <c r="N1067">
        <f t="shared" si="1"/>
        <v>1.16083752922642</v>
      </c>
      <c r="O1067">
        <f t="shared" si="2"/>
        <v>1.0506</v>
      </c>
      <c r="P1067">
        <f>IF($A1067="","",IF($E1067=1,$F1067*$O1067,PNL!G1067))</f>
        <v>312477.75174</v>
      </c>
      <c r="T1067">
        <f t="shared" si="3"/>
        <v>-312477.75174</v>
      </c>
    </row>
    <row r="1068" ht="14.25" customHeight="1">
      <c r="A1068" t="str">
        <f>IF(PNL!A1068="","",PNL!A1068)</f>
        <v>MBWAY_PAR</v>
      </c>
      <c r="B1068" t="str">
        <f>IF(PNL!B1068="","",PNL!B1068)</f>
        <v>645</v>
      </c>
      <c r="C1068" t="str">
        <f>IF(PNL!C1068="","",PNL!C1068)</f>
        <v>2027</v>
      </c>
      <c r="D1068" t="str">
        <f>IF(PNL!D1068="","",PNL!D1068)</f>
        <v>V02</v>
      </c>
      <c r="E1068">
        <f t="shared" si="0"/>
        <v>1</v>
      </c>
      <c r="F1068">
        <f>IF($A1068="","",IF($E1068=1,_xlfn.SUMIFS(Comptabilité!$F$1:$F$1446,Comptabilité!$A$1:$A$1446,$A1068,Comptabilité!$B$1:$B$1446,$B1068,Comptabilité!$C$1:$C$1446,"2026"),0))</f>
        <v>450887.05</v>
      </c>
      <c r="G1068">
        <f>IF($A1068="","",IF($D1068="V01",Cadrage!$C$23,IF($D1068="V02",Cadrage!$D$23,Cadrage!$E$23)))</f>
        <v>0.15</v>
      </c>
      <c r="H1068">
        <f>IF($A1068="","",IF($D1068="V01",Cadrage!$C$24,IF($D1068="V02",Cadrage!$D$24,Cadrage!$E$24)))</f>
        <v>0.15</v>
      </c>
      <c r="I1068">
        <f>IF($A1068="","",IF($D1068="V01",Cadrage!$C$34,IF($D1068="V02",Cadrage!$D$34,Cadrage!$E$34)))</f>
        <v>0.015</v>
      </c>
      <c r="J1068">
        <f>IF($A1068="","",IF($D1068="V01",Cadrage!$C$35,IF($D1068="V02",Cadrage!$D$35,Cadrage!$E$35)))</f>
        <v>0.02</v>
      </c>
      <c r="K1068">
        <f>IF($A1068="","",IF($D1068="V01",Cadrage!$C$36,IF($D1068="V02",Cadrage!$D$36,Cadrage!$E$36)))</f>
        <v>0.03</v>
      </c>
      <c r="L1068">
        <f>IF($A1068="","",IF($D1068="V01",Cadrage!$C$37,IF($D1068="V02",Cadrage!$D$37,Cadrage!$E$37)))</f>
        <v>0.03</v>
      </c>
      <c r="M1068">
        <f>IF($A1068="","",IF($D1068="V01",Cadrage!$C$38,IF($D1068="V02",Cadrage!$D$38,Cadrage!$E$38)))</f>
        <v>-0.03</v>
      </c>
      <c r="N1068">
        <f t="shared" si="1"/>
        <v>1.16083752922642</v>
      </c>
      <c r="O1068">
        <f t="shared" si="2"/>
        <v>1.0506</v>
      </c>
      <c r="P1068">
        <f>IF($A1068="","",IF($E1068=1,$F1068*$O1068,PNL!G1068))</f>
        <v>473701.93473</v>
      </c>
      <c r="T1068">
        <f t="shared" si="3"/>
        <v>-473701.93473</v>
      </c>
    </row>
    <row r="1069" ht="14.25" customHeight="1">
      <c r="A1069" t="str">
        <f>IF(PNL!A1069="","",PNL!A1069)</f>
        <v>PIGIER_BOR</v>
      </c>
      <c r="B1069" t="str">
        <f>IF(PNL!B1069="","",PNL!B1069)</f>
        <v>645</v>
      </c>
      <c r="C1069" t="str">
        <f>IF(PNL!C1069="","",PNL!C1069)</f>
        <v>2027</v>
      </c>
      <c r="D1069" t="str">
        <f>IF(PNL!D1069="","",PNL!D1069)</f>
        <v>V02</v>
      </c>
      <c r="E1069">
        <f t="shared" si="0"/>
        <v>1</v>
      </c>
      <c r="F1069">
        <f>IF($A1069="","",IF($E1069=1,_xlfn.SUMIFS(Comptabilité!$F$1:$F$1446,Comptabilité!$A$1:$A$1446,$A1069,Comptabilité!$B$1:$B$1446,$B1069,Comptabilité!$C$1:$C$1446,"2026"),0))</f>
        <v>114395.03</v>
      </c>
      <c r="G1069">
        <f>IF($A1069="","",IF($D1069="V01",Cadrage!$C$23,IF($D1069="V02",Cadrage!$D$23,Cadrage!$E$23)))</f>
        <v>0.15</v>
      </c>
      <c r="H1069">
        <f>IF($A1069="","",IF($D1069="V01",Cadrage!$C$24,IF($D1069="V02",Cadrage!$D$24,Cadrage!$E$24)))</f>
        <v>0.15</v>
      </c>
      <c r="I1069">
        <f>IF($A1069="","",IF($D1069="V01",Cadrage!$C$34,IF($D1069="V02",Cadrage!$D$34,Cadrage!$E$34)))</f>
        <v>0.015</v>
      </c>
      <c r="J1069">
        <f>IF($A1069="","",IF($D1069="V01",Cadrage!$C$35,IF($D1069="V02",Cadrage!$D$35,Cadrage!$E$35)))</f>
        <v>0.02</v>
      </c>
      <c r="K1069">
        <f>IF($A1069="","",IF($D1069="V01",Cadrage!$C$36,IF($D1069="V02",Cadrage!$D$36,Cadrage!$E$36)))</f>
        <v>0.03</v>
      </c>
      <c r="L1069">
        <f>IF($A1069="","",IF($D1069="V01",Cadrage!$C$37,IF($D1069="V02",Cadrage!$D$37,Cadrage!$E$37)))</f>
        <v>0.03</v>
      </c>
      <c r="M1069">
        <f>IF($A1069="","",IF($D1069="V01",Cadrage!$C$38,IF($D1069="V02",Cadrage!$D$38,Cadrage!$E$38)))</f>
        <v>-0.03</v>
      </c>
      <c r="N1069">
        <f t="shared" si="1"/>
        <v>1.16083752922642</v>
      </c>
      <c r="O1069">
        <f t="shared" si="2"/>
        <v>1.0506</v>
      </c>
      <c r="P1069">
        <f>IF($A1069="","",IF($E1069=1,$F1069*$O1069,PNL!G1069))</f>
        <v>120183.418518</v>
      </c>
      <c r="T1069">
        <f t="shared" si="3"/>
        <v>-120183.418518</v>
      </c>
    </row>
    <row r="1070" ht="14.25" customHeight="1">
      <c r="A1070" t="str">
        <f>IF(PNL!A1070="","",PNL!A1070)</f>
        <v>PIGIER_LYO</v>
      </c>
      <c r="B1070" t="str">
        <f>IF(PNL!B1070="","",PNL!B1070)</f>
        <v>645</v>
      </c>
      <c r="C1070" t="str">
        <f>IF(PNL!C1070="","",PNL!C1070)</f>
        <v>2027</v>
      </c>
      <c r="D1070" t="str">
        <f>IF(PNL!D1070="","",PNL!D1070)</f>
        <v>V02</v>
      </c>
      <c r="E1070">
        <f t="shared" si="0"/>
        <v>1</v>
      </c>
      <c r="F1070">
        <f>IF($A1070="","",IF($E1070=1,_xlfn.SUMIFS(Comptabilité!$F$1:$F$1446,Comptabilité!$A$1:$A$1446,$A1070,Comptabilité!$B$1:$B$1446,$B1070,Comptabilité!$C$1:$C$1446,"2026"),0))</f>
        <v>193593.69</v>
      </c>
      <c r="G1070">
        <f>IF($A1070="","",IF($D1070="V01",Cadrage!$C$23,IF($D1070="V02",Cadrage!$D$23,Cadrage!$E$23)))</f>
        <v>0.15</v>
      </c>
      <c r="H1070">
        <f>IF($A1070="","",IF($D1070="V01",Cadrage!$C$24,IF($D1070="V02",Cadrage!$D$24,Cadrage!$E$24)))</f>
        <v>0.15</v>
      </c>
      <c r="I1070">
        <f>IF($A1070="","",IF($D1070="V01",Cadrage!$C$34,IF($D1070="V02",Cadrage!$D$34,Cadrage!$E$34)))</f>
        <v>0.015</v>
      </c>
      <c r="J1070">
        <f>IF($A1070="","",IF($D1070="V01",Cadrage!$C$35,IF($D1070="V02",Cadrage!$D$35,Cadrage!$E$35)))</f>
        <v>0.02</v>
      </c>
      <c r="K1070">
        <f>IF($A1070="","",IF($D1070="V01",Cadrage!$C$36,IF($D1070="V02",Cadrage!$D$36,Cadrage!$E$36)))</f>
        <v>0.03</v>
      </c>
      <c r="L1070">
        <f>IF($A1070="","",IF($D1070="V01",Cadrage!$C$37,IF($D1070="V02",Cadrage!$D$37,Cadrage!$E$37)))</f>
        <v>0.03</v>
      </c>
      <c r="M1070">
        <f>IF($A1070="","",IF($D1070="V01",Cadrage!$C$38,IF($D1070="V02",Cadrage!$D$38,Cadrage!$E$38)))</f>
        <v>-0.03</v>
      </c>
      <c r="N1070">
        <f t="shared" si="1"/>
        <v>1.16083752922642</v>
      </c>
      <c r="O1070">
        <f t="shared" si="2"/>
        <v>1.0506</v>
      </c>
      <c r="P1070">
        <f>IF($A1070="","",IF($E1070=1,$F1070*$O1070,PNL!G1070))</f>
        <v>203389.530714</v>
      </c>
      <c r="T1070">
        <f t="shared" si="3"/>
        <v>-203389.530714</v>
      </c>
    </row>
    <row r="1071" ht="14.25" customHeight="1">
      <c r="A1071" t="str">
        <f>IF(PNL!A1071="","",PNL!A1071)</f>
        <v>TUNON_LYO</v>
      </c>
      <c r="B1071" t="str">
        <f>IF(PNL!B1071="","",PNL!B1071)</f>
        <v>645</v>
      </c>
      <c r="C1071" t="str">
        <f>IF(PNL!C1071="","",PNL!C1071)</f>
        <v>2027</v>
      </c>
      <c r="D1071" t="str">
        <f>IF(PNL!D1071="","",PNL!D1071)</f>
        <v>V02</v>
      </c>
      <c r="E1071">
        <f t="shared" si="0"/>
        <v>1</v>
      </c>
      <c r="F1071">
        <f>IF($A1071="","",IF($E1071=1,_xlfn.SUMIFS(Comptabilité!$F$1:$F$1446,Comptabilité!$A$1:$A$1446,$A1071,Comptabilité!$B$1:$B$1446,$B1071,Comptabilité!$C$1:$C$1446,"2026"),0))</f>
        <v>127868.22</v>
      </c>
      <c r="G1071">
        <f>IF($A1071="","",IF($D1071="V01",Cadrage!$C$23,IF($D1071="V02",Cadrage!$D$23,Cadrage!$E$23)))</f>
        <v>0.15</v>
      </c>
      <c r="H1071">
        <f>IF($A1071="","",IF($D1071="V01",Cadrage!$C$24,IF($D1071="V02",Cadrage!$D$24,Cadrage!$E$24)))</f>
        <v>0.15</v>
      </c>
      <c r="I1071">
        <f>IF($A1071="","",IF($D1071="V01",Cadrage!$C$34,IF($D1071="V02",Cadrage!$D$34,Cadrage!$E$34)))</f>
        <v>0.015</v>
      </c>
      <c r="J1071">
        <f>IF($A1071="","",IF($D1071="V01",Cadrage!$C$35,IF($D1071="V02",Cadrage!$D$35,Cadrage!$E$35)))</f>
        <v>0.02</v>
      </c>
      <c r="K1071">
        <f>IF($A1071="","",IF($D1071="V01",Cadrage!$C$36,IF($D1071="V02",Cadrage!$D$36,Cadrage!$E$36)))</f>
        <v>0.03</v>
      </c>
      <c r="L1071">
        <f>IF($A1071="","",IF($D1071="V01",Cadrage!$C$37,IF($D1071="V02",Cadrage!$D$37,Cadrage!$E$37)))</f>
        <v>0.03</v>
      </c>
      <c r="M1071">
        <f>IF($A1071="","",IF($D1071="V01",Cadrage!$C$38,IF($D1071="V02",Cadrage!$D$38,Cadrage!$E$38)))</f>
        <v>-0.03</v>
      </c>
      <c r="N1071">
        <f t="shared" si="1"/>
        <v>1.16083752922642</v>
      </c>
      <c r="O1071">
        <f t="shared" si="2"/>
        <v>1.0506</v>
      </c>
      <c r="P1071">
        <f>IF($A1071="","",IF($E1071=1,$F1071*$O1071,PNL!G1071))</f>
        <v>134338.351932</v>
      </c>
      <c r="T1071">
        <f t="shared" si="3"/>
        <v>-134338.351932</v>
      </c>
    </row>
    <row r="1072" ht="14.25" customHeight="1">
      <c r="A1072" t="str">
        <f>IF(PNL!A1072="","",PNL!A1072)</f>
        <v>TUNON_PAR</v>
      </c>
      <c r="B1072" t="str">
        <f>IF(PNL!B1072="","",PNL!B1072)</f>
        <v>645</v>
      </c>
      <c r="C1072" t="str">
        <f>IF(PNL!C1072="","",PNL!C1072)</f>
        <v>2027</v>
      </c>
      <c r="D1072" t="str">
        <f>IF(PNL!D1072="","",PNL!D1072)</f>
        <v>V02</v>
      </c>
      <c r="E1072">
        <f t="shared" si="0"/>
        <v>1</v>
      </c>
      <c r="F1072">
        <f>IF($A1072="","",IF($E1072=1,_xlfn.SUMIFS(Comptabilité!$F$1:$F$1446,Comptabilité!$A$1:$A$1446,$A1072,Comptabilité!$B$1:$B$1446,$B1072,Comptabilité!$C$1:$C$1446,"2026"),0))</f>
        <v>181171.41</v>
      </c>
      <c r="G1072">
        <f>IF($A1072="","",IF($D1072="V01",Cadrage!$C$23,IF($D1072="V02",Cadrage!$D$23,Cadrage!$E$23)))</f>
        <v>0.15</v>
      </c>
      <c r="H1072">
        <f>IF($A1072="","",IF($D1072="V01",Cadrage!$C$24,IF($D1072="V02",Cadrage!$D$24,Cadrage!$E$24)))</f>
        <v>0.15</v>
      </c>
      <c r="I1072">
        <f>IF($A1072="","",IF($D1072="V01",Cadrage!$C$34,IF($D1072="V02",Cadrage!$D$34,Cadrage!$E$34)))</f>
        <v>0.015</v>
      </c>
      <c r="J1072">
        <f>IF($A1072="","",IF($D1072="V01",Cadrage!$C$35,IF($D1072="V02",Cadrage!$D$35,Cadrage!$E$35)))</f>
        <v>0.02</v>
      </c>
      <c r="K1072">
        <f>IF($A1072="","",IF($D1072="V01",Cadrage!$C$36,IF($D1072="V02",Cadrage!$D$36,Cadrage!$E$36)))</f>
        <v>0.03</v>
      </c>
      <c r="L1072">
        <f>IF($A1072="","",IF($D1072="V01",Cadrage!$C$37,IF($D1072="V02",Cadrage!$D$37,Cadrage!$E$37)))</f>
        <v>0.03</v>
      </c>
      <c r="M1072">
        <f>IF($A1072="","",IF($D1072="V01",Cadrage!$C$38,IF($D1072="V02",Cadrage!$D$38,Cadrage!$E$38)))</f>
        <v>-0.03</v>
      </c>
      <c r="N1072">
        <f t="shared" si="1"/>
        <v>1.16083752922642</v>
      </c>
      <c r="O1072">
        <f t="shared" si="2"/>
        <v>1.0506</v>
      </c>
      <c r="P1072">
        <f>IF($A1072="","",IF($E1072=1,$F1072*$O1072,PNL!G1072))</f>
        <v>190338.683346</v>
      </c>
      <c r="T1072">
        <f t="shared" si="3"/>
        <v>-190338.683346</v>
      </c>
    </row>
    <row r="1073" ht="14.25" customHeight="1">
      <c r="A1073" t="str">
        <f>IF(PNL!A1073="","",PNL!A1073)</f>
        <v>IPAC_MTP</v>
      </c>
      <c r="B1073" t="str">
        <f>IF(PNL!B1073="","",PNL!B1073)</f>
        <v>6811</v>
      </c>
      <c r="C1073" t="str">
        <f>IF(PNL!C1073="","",PNL!C1073)</f>
        <v>2027</v>
      </c>
      <c r="D1073" t="str">
        <f>IF(PNL!D1073="","",PNL!D1073)</f>
        <v>V02</v>
      </c>
      <c r="E1073">
        <f t="shared" si="0"/>
        <v>1</v>
      </c>
      <c r="F1073">
        <f>IF($A1073="","",IF($E1073=1,_xlfn.SUMIFS(Comptabilité!$F$1:$F$1446,Comptabilité!$A$1:$A$1446,$A1073,Comptabilité!$B$1:$B$1446,$B1073,Comptabilité!$C$1:$C$1446,"2026"),0))</f>
        <v>61955</v>
      </c>
      <c r="G1073">
        <f>IF($A1073="","",IF($D1073="V01",Cadrage!$C$23,IF($D1073="V02",Cadrage!$D$23,Cadrage!$E$23)))</f>
        <v>0.15</v>
      </c>
      <c r="H1073">
        <f>IF($A1073="","",IF($D1073="V01",Cadrage!$C$24,IF($D1073="V02",Cadrage!$D$24,Cadrage!$E$24)))</f>
        <v>0.15</v>
      </c>
      <c r="I1073">
        <f>IF($A1073="","",IF($D1073="V01",Cadrage!$C$34,IF($D1073="V02",Cadrage!$D$34,Cadrage!$E$34)))</f>
        <v>0.015</v>
      </c>
      <c r="J1073">
        <f>IF($A1073="","",IF($D1073="V01",Cadrage!$C$35,IF($D1073="V02",Cadrage!$D$35,Cadrage!$E$35)))</f>
        <v>0.02</v>
      </c>
      <c r="K1073">
        <f>IF($A1073="","",IF($D1073="V01",Cadrage!$C$36,IF($D1073="V02",Cadrage!$D$36,Cadrage!$E$36)))</f>
        <v>0.03</v>
      </c>
      <c r="L1073">
        <f>IF($A1073="","",IF($D1073="V01",Cadrage!$C$37,IF($D1073="V02",Cadrage!$D$37,Cadrage!$E$37)))</f>
        <v>0.03</v>
      </c>
      <c r="M1073">
        <f>IF($A1073="","",IF($D1073="V01",Cadrage!$C$38,IF($D1073="V02",Cadrage!$D$38,Cadrage!$E$38)))</f>
        <v>-0.03</v>
      </c>
      <c r="N1073">
        <f t="shared" si="1"/>
        <v>1.16083752922642</v>
      </c>
      <c r="O1073">
        <f t="shared" si="2"/>
        <v>1.015</v>
      </c>
      <c r="P1073">
        <f>IF($A1073="","",IF($E1073=1,$F1073*$O1073,PNL!G1073))</f>
        <v>62884.325</v>
      </c>
      <c r="T1073">
        <f t="shared" si="3"/>
        <v>0</v>
      </c>
    </row>
    <row r="1074" ht="14.25" customHeight="1">
      <c r="A1074" t="str">
        <f>IF(PNL!A1074="","",PNL!A1074)</f>
        <v>IPAC_NAN</v>
      </c>
      <c r="B1074" t="str">
        <f>IF(PNL!B1074="","",PNL!B1074)</f>
        <v>6811</v>
      </c>
      <c r="C1074" t="str">
        <f>IF(PNL!C1074="","",PNL!C1074)</f>
        <v>2027</v>
      </c>
      <c r="D1074" t="str">
        <f>IF(PNL!D1074="","",PNL!D1074)</f>
        <v>V02</v>
      </c>
      <c r="E1074">
        <f t="shared" si="0"/>
        <v>1</v>
      </c>
      <c r="F1074">
        <f>IF($A1074="","",IF($E1074=1,_xlfn.SUMIFS(Comptabilité!$F$1:$F$1446,Comptabilité!$A$1:$A$1446,$A1074,Comptabilité!$B$1:$B$1446,$B1074,Comptabilité!$C$1:$C$1446,"2026"),0))</f>
        <v>61955</v>
      </c>
      <c r="G1074">
        <f>IF($A1074="","",IF($D1074="V01",Cadrage!$C$23,IF($D1074="V02",Cadrage!$D$23,Cadrage!$E$23)))</f>
        <v>0.15</v>
      </c>
      <c r="H1074">
        <f>IF($A1074="","",IF($D1074="V01",Cadrage!$C$24,IF($D1074="V02",Cadrage!$D$24,Cadrage!$E$24)))</f>
        <v>0.15</v>
      </c>
      <c r="I1074">
        <f>IF($A1074="","",IF($D1074="V01",Cadrage!$C$34,IF($D1074="V02",Cadrage!$D$34,Cadrage!$E$34)))</f>
        <v>0.015</v>
      </c>
      <c r="J1074">
        <f>IF($A1074="","",IF($D1074="V01",Cadrage!$C$35,IF($D1074="V02",Cadrage!$D$35,Cadrage!$E$35)))</f>
        <v>0.02</v>
      </c>
      <c r="K1074">
        <f>IF($A1074="","",IF($D1074="V01",Cadrage!$C$36,IF($D1074="V02",Cadrage!$D$36,Cadrage!$E$36)))</f>
        <v>0.03</v>
      </c>
      <c r="L1074">
        <f>IF($A1074="","",IF($D1074="V01",Cadrage!$C$37,IF($D1074="V02",Cadrage!$D$37,Cadrage!$E$37)))</f>
        <v>0.03</v>
      </c>
      <c r="M1074">
        <f>IF($A1074="","",IF($D1074="V01",Cadrage!$C$38,IF($D1074="V02",Cadrage!$D$38,Cadrage!$E$38)))</f>
        <v>-0.03</v>
      </c>
      <c r="N1074">
        <f t="shared" si="1"/>
        <v>1.16083752922642</v>
      </c>
      <c r="O1074">
        <f t="shared" si="2"/>
        <v>1.015</v>
      </c>
      <c r="P1074">
        <f>IF($A1074="","",IF($E1074=1,$F1074*$O1074,PNL!G1074))</f>
        <v>62884.325</v>
      </c>
      <c r="T1074">
        <f t="shared" si="3"/>
        <v>0</v>
      </c>
    </row>
    <row r="1075" ht="14.25" customHeight="1">
      <c r="A1075" t="str">
        <f>IF(PNL!A1075="","",PNL!A1075)</f>
        <v>IPAC_REN</v>
      </c>
      <c r="B1075" t="str">
        <f>IF(PNL!B1075="","",PNL!B1075)</f>
        <v>6811</v>
      </c>
      <c r="C1075" t="str">
        <f>IF(PNL!C1075="","",PNL!C1075)</f>
        <v>2027</v>
      </c>
      <c r="D1075" t="str">
        <f>IF(PNL!D1075="","",PNL!D1075)</f>
        <v>V02</v>
      </c>
      <c r="E1075">
        <f t="shared" si="0"/>
        <v>1</v>
      </c>
      <c r="F1075">
        <f>IF($A1075="","",IF($E1075=1,_xlfn.SUMIFS(Comptabilité!$F$1:$F$1446,Comptabilité!$A$1:$A$1446,$A1075,Comptabilité!$B$1:$B$1446,$B1075,Comptabilité!$C$1:$C$1446,"2026"),0))</f>
        <v>61955</v>
      </c>
      <c r="G1075">
        <f>IF($A1075="","",IF($D1075="V01",Cadrage!$C$23,IF($D1075="V02",Cadrage!$D$23,Cadrage!$E$23)))</f>
        <v>0.15</v>
      </c>
      <c r="H1075">
        <f>IF($A1075="","",IF($D1075="V01",Cadrage!$C$24,IF($D1075="V02",Cadrage!$D$24,Cadrage!$E$24)))</f>
        <v>0.15</v>
      </c>
      <c r="I1075">
        <f>IF($A1075="","",IF($D1075="V01",Cadrage!$C$34,IF($D1075="V02",Cadrage!$D$34,Cadrage!$E$34)))</f>
        <v>0.015</v>
      </c>
      <c r="J1075">
        <f>IF($A1075="","",IF($D1075="V01",Cadrage!$C$35,IF($D1075="V02",Cadrage!$D$35,Cadrage!$E$35)))</f>
        <v>0.02</v>
      </c>
      <c r="K1075">
        <f>IF($A1075="","",IF($D1075="V01",Cadrage!$C$36,IF($D1075="V02",Cadrage!$D$36,Cadrage!$E$36)))</f>
        <v>0.03</v>
      </c>
      <c r="L1075">
        <f>IF($A1075="","",IF($D1075="V01",Cadrage!$C$37,IF($D1075="V02",Cadrage!$D$37,Cadrage!$E$37)))</f>
        <v>0.03</v>
      </c>
      <c r="M1075">
        <f>IF($A1075="","",IF($D1075="V01",Cadrage!$C$38,IF($D1075="V02",Cadrage!$D$38,Cadrage!$E$38)))</f>
        <v>-0.03</v>
      </c>
      <c r="N1075">
        <f t="shared" si="1"/>
        <v>1.16083752922642</v>
      </c>
      <c r="O1075">
        <f t="shared" si="2"/>
        <v>1.015</v>
      </c>
      <c r="P1075">
        <f>IF($A1075="","",IF($E1075=1,$F1075*$O1075,PNL!G1075))</f>
        <v>62884.325</v>
      </c>
      <c r="T1075">
        <f t="shared" si="3"/>
        <v>0</v>
      </c>
    </row>
    <row r="1076" ht="14.25" customHeight="1">
      <c r="A1076" t="str">
        <f>IF(PNL!A1076="","",PNL!A1076)</f>
        <v>ISCOM_LIL</v>
      </c>
      <c r="B1076" t="str">
        <f>IF(PNL!B1076="","",PNL!B1076)</f>
        <v>6811</v>
      </c>
      <c r="C1076" t="str">
        <f>IF(PNL!C1076="","",PNL!C1076)</f>
        <v>2027</v>
      </c>
      <c r="D1076" t="str">
        <f>IF(PNL!D1076="","",PNL!D1076)</f>
        <v>V02</v>
      </c>
      <c r="E1076">
        <f t="shared" si="0"/>
        <v>1</v>
      </c>
      <c r="F1076">
        <f>IF($A1076="","",IF($E1076=1,_xlfn.SUMIFS(Comptabilité!$F$1:$F$1446,Comptabilité!$A$1:$A$1446,$A1076,Comptabilité!$B$1:$B$1446,$B1076,Comptabilité!$C$1:$C$1446,"2026"),0))</f>
        <v>103258</v>
      </c>
      <c r="G1076">
        <f>IF($A1076="","",IF($D1076="V01",Cadrage!$C$23,IF($D1076="V02",Cadrage!$D$23,Cadrage!$E$23)))</f>
        <v>0.15</v>
      </c>
      <c r="H1076">
        <f>IF($A1076="","",IF($D1076="V01",Cadrage!$C$24,IF($D1076="V02",Cadrage!$D$24,Cadrage!$E$24)))</f>
        <v>0.15</v>
      </c>
      <c r="I1076">
        <f>IF($A1076="","",IF($D1076="V01",Cadrage!$C$34,IF($D1076="V02",Cadrage!$D$34,Cadrage!$E$34)))</f>
        <v>0.015</v>
      </c>
      <c r="J1076">
        <f>IF($A1076="","",IF($D1076="V01",Cadrage!$C$35,IF($D1076="V02",Cadrage!$D$35,Cadrage!$E$35)))</f>
        <v>0.02</v>
      </c>
      <c r="K1076">
        <f>IF($A1076="","",IF($D1076="V01",Cadrage!$C$36,IF($D1076="V02",Cadrage!$D$36,Cadrage!$E$36)))</f>
        <v>0.03</v>
      </c>
      <c r="L1076">
        <f>IF($A1076="","",IF($D1076="V01",Cadrage!$C$37,IF($D1076="V02",Cadrage!$D$37,Cadrage!$E$37)))</f>
        <v>0.03</v>
      </c>
      <c r="M1076">
        <f>IF($A1076="","",IF($D1076="V01",Cadrage!$C$38,IF($D1076="V02",Cadrage!$D$38,Cadrage!$E$38)))</f>
        <v>-0.03</v>
      </c>
      <c r="N1076">
        <f t="shared" si="1"/>
        <v>1.16083752922642</v>
      </c>
      <c r="O1076">
        <f t="shared" si="2"/>
        <v>1.015</v>
      </c>
      <c r="P1076">
        <f>IF($A1076="","",IF($E1076=1,$F1076*$O1076,PNL!G1076))</f>
        <v>104806.87</v>
      </c>
      <c r="T1076">
        <f t="shared" si="3"/>
        <v>0</v>
      </c>
    </row>
    <row r="1077" ht="14.25" customHeight="1">
      <c r="A1077" t="str">
        <f>IF(PNL!A1077="","",PNL!A1077)</f>
        <v>ISCOM_PAR</v>
      </c>
      <c r="B1077" t="str">
        <f>IF(PNL!B1077="","",PNL!B1077)</f>
        <v>6811</v>
      </c>
      <c r="C1077" t="str">
        <f>IF(PNL!C1077="","",PNL!C1077)</f>
        <v>2027</v>
      </c>
      <c r="D1077" t="str">
        <f>IF(PNL!D1077="","",PNL!D1077)</f>
        <v>V02</v>
      </c>
      <c r="E1077">
        <f t="shared" si="0"/>
        <v>1</v>
      </c>
      <c r="F1077">
        <f>IF($A1077="","",IF($E1077=1,_xlfn.SUMIFS(Comptabilité!$F$1:$F$1446,Comptabilité!$A$1:$A$1446,$A1077,Comptabilité!$B$1:$B$1446,$B1077,Comptabilité!$C$1:$C$1446,"2026"),0))</f>
        <v>154887</v>
      </c>
      <c r="G1077">
        <f>IF($A1077="","",IF($D1077="V01",Cadrage!$C$23,IF($D1077="V02",Cadrage!$D$23,Cadrage!$E$23)))</f>
        <v>0.15</v>
      </c>
      <c r="H1077">
        <f>IF($A1077="","",IF($D1077="V01",Cadrage!$C$24,IF($D1077="V02",Cadrage!$D$24,Cadrage!$E$24)))</f>
        <v>0.15</v>
      </c>
      <c r="I1077">
        <f>IF($A1077="","",IF($D1077="V01",Cadrage!$C$34,IF($D1077="V02",Cadrage!$D$34,Cadrage!$E$34)))</f>
        <v>0.015</v>
      </c>
      <c r="J1077">
        <f>IF($A1077="","",IF($D1077="V01",Cadrage!$C$35,IF($D1077="V02",Cadrage!$D$35,Cadrage!$E$35)))</f>
        <v>0.02</v>
      </c>
      <c r="K1077">
        <f>IF($A1077="","",IF($D1077="V01",Cadrage!$C$36,IF($D1077="V02",Cadrage!$D$36,Cadrage!$E$36)))</f>
        <v>0.03</v>
      </c>
      <c r="L1077">
        <f>IF($A1077="","",IF($D1077="V01",Cadrage!$C$37,IF($D1077="V02",Cadrage!$D$37,Cadrage!$E$37)))</f>
        <v>0.03</v>
      </c>
      <c r="M1077">
        <f>IF($A1077="","",IF($D1077="V01",Cadrage!$C$38,IF($D1077="V02",Cadrage!$D$38,Cadrage!$E$38)))</f>
        <v>-0.03</v>
      </c>
      <c r="N1077">
        <f t="shared" si="1"/>
        <v>1.16083752922642</v>
      </c>
      <c r="O1077">
        <f t="shared" si="2"/>
        <v>1.015</v>
      </c>
      <c r="P1077">
        <f>IF($A1077="","",IF($E1077=1,$F1077*$O1077,PNL!G1077))</f>
        <v>157210.305</v>
      </c>
      <c r="T1077">
        <f t="shared" si="3"/>
        <v>0</v>
      </c>
    </row>
    <row r="1078" ht="14.25" customHeight="1">
      <c r="A1078" t="str">
        <f>IF(PNL!A1078="","",PNL!A1078)</f>
        <v>ISCOM_TLS</v>
      </c>
      <c r="B1078" t="str">
        <f>IF(PNL!B1078="","",PNL!B1078)</f>
        <v>6811</v>
      </c>
      <c r="C1078" t="str">
        <f>IF(PNL!C1078="","",PNL!C1078)</f>
        <v>2027</v>
      </c>
      <c r="D1078" t="str">
        <f>IF(PNL!D1078="","",PNL!D1078)</f>
        <v>V02</v>
      </c>
      <c r="E1078">
        <f t="shared" si="0"/>
        <v>1</v>
      </c>
      <c r="F1078">
        <f>IF($A1078="","",IF($E1078=1,_xlfn.SUMIFS(Comptabilité!$F$1:$F$1446,Comptabilité!$A$1:$A$1446,$A1078,Comptabilité!$B$1:$B$1446,$B1078,Comptabilité!$C$1:$C$1446,"2026"),0))</f>
        <v>103258</v>
      </c>
      <c r="G1078">
        <f>IF($A1078="","",IF($D1078="V01",Cadrage!$C$23,IF($D1078="V02",Cadrage!$D$23,Cadrage!$E$23)))</f>
        <v>0.15</v>
      </c>
      <c r="H1078">
        <f>IF($A1078="","",IF($D1078="V01",Cadrage!$C$24,IF($D1078="V02",Cadrage!$D$24,Cadrage!$E$24)))</f>
        <v>0.15</v>
      </c>
      <c r="I1078">
        <f>IF($A1078="","",IF($D1078="V01",Cadrage!$C$34,IF($D1078="V02",Cadrage!$D$34,Cadrage!$E$34)))</f>
        <v>0.015</v>
      </c>
      <c r="J1078">
        <f>IF($A1078="","",IF($D1078="V01",Cadrage!$C$35,IF($D1078="V02",Cadrage!$D$35,Cadrage!$E$35)))</f>
        <v>0.02</v>
      </c>
      <c r="K1078">
        <f>IF($A1078="","",IF($D1078="V01",Cadrage!$C$36,IF($D1078="V02",Cadrage!$D$36,Cadrage!$E$36)))</f>
        <v>0.03</v>
      </c>
      <c r="L1078">
        <f>IF($A1078="","",IF($D1078="V01",Cadrage!$C$37,IF($D1078="V02",Cadrage!$D$37,Cadrage!$E$37)))</f>
        <v>0.03</v>
      </c>
      <c r="M1078">
        <f>IF($A1078="","",IF($D1078="V01",Cadrage!$C$38,IF($D1078="V02",Cadrage!$D$38,Cadrage!$E$38)))</f>
        <v>-0.03</v>
      </c>
      <c r="N1078">
        <f t="shared" si="1"/>
        <v>1.16083752922642</v>
      </c>
      <c r="O1078">
        <f t="shared" si="2"/>
        <v>1.015</v>
      </c>
      <c r="P1078">
        <f>IF($A1078="","",IF($E1078=1,$F1078*$O1078,PNL!G1078))</f>
        <v>104806.87</v>
      </c>
      <c r="T1078">
        <f t="shared" si="3"/>
        <v>0</v>
      </c>
    </row>
    <row r="1079" ht="14.25" customHeight="1">
      <c r="A1079" t="str">
        <f>IF(PNL!A1079="","",PNL!A1079)</f>
        <v>MBWAY_BOR</v>
      </c>
      <c r="B1079" t="str">
        <f>IF(PNL!B1079="","",PNL!B1079)</f>
        <v>6811</v>
      </c>
      <c r="C1079" t="str">
        <f>IF(PNL!C1079="","",PNL!C1079)</f>
        <v>2027</v>
      </c>
      <c r="D1079" t="str">
        <f>IF(PNL!D1079="","",PNL!D1079)</f>
        <v>V02</v>
      </c>
      <c r="E1079">
        <f t="shared" si="0"/>
        <v>1</v>
      </c>
      <c r="F1079">
        <f>IF($A1079="","",IF($E1079=1,_xlfn.SUMIFS(Comptabilité!$F$1:$F$1446,Comptabilité!$A$1:$A$1446,$A1079,Comptabilité!$B$1:$B$1446,$B1079,Comptabilité!$C$1:$C$1446,"2026"),0))</f>
        <v>103258</v>
      </c>
      <c r="G1079">
        <f>IF($A1079="","",IF($D1079="V01",Cadrage!$C$23,IF($D1079="V02",Cadrage!$D$23,Cadrage!$E$23)))</f>
        <v>0.15</v>
      </c>
      <c r="H1079">
        <f>IF($A1079="","",IF($D1079="V01",Cadrage!$C$24,IF($D1079="V02",Cadrage!$D$24,Cadrage!$E$24)))</f>
        <v>0.15</v>
      </c>
      <c r="I1079">
        <f>IF($A1079="","",IF($D1079="V01",Cadrage!$C$34,IF($D1079="V02",Cadrage!$D$34,Cadrage!$E$34)))</f>
        <v>0.015</v>
      </c>
      <c r="J1079">
        <f>IF($A1079="","",IF($D1079="V01",Cadrage!$C$35,IF($D1079="V02",Cadrage!$D$35,Cadrage!$E$35)))</f>
        <v>0.02</v>
      </c>
      <c r="K1079">
        <f>IF($A1079="","",IF($D1079="V01",Cadrage!$C$36,IF($D1079="V02",Cadrage!$D$36,Cadrage!$E$36)))</f>
        <v>0.03</v>
      </c>
      <c r="L1079">
        <f>IF($A1079="","",IF($D1079="V01",Cadrage!$C$37,IF($D1079="V02",Cadrage!$D$37,Cadrage!$E$37)))</f>
        <v>0.03</v>
      </c>
      <c r="M1079">
        <f>IF($A1079="","",IF($D1079="V01",Cadrage!$C$38,IF($D1079="V02",Cadrage!$D$38,Cadrage!$E$38)))</f>
        <v>-0.03</v>
      </c>
      <c r="N1079">
        <f t="shared" si="1"/>
        <v>1.16083752922642</v>
      </c>
      <c r="O1079">
        <f t="shared" si="2"/>
        <v>1.015</v>
      </c>
      <c r="P1079">
        <f>IF($A1079="","",IF($E1079=1,$F1079*$O1079,PNL!G1079))</f>
        <v>104806.87</v>
      </c>
      <c r="T1079">
        <f t="shared" si="3"/>
        <v>0</v>
      </c>
    </row>
    <row r="1080" ht="14.25" customHeight="1">
      <c r="A1080" t="str">
        <f>IF(PNL!A1080="","",PNL!A1080)</f>
        <v>MBWAY_LYO</v>
      </c>
      <c r="B1080" t="str">
        <f>IF(PNL!B1080="","",PNL!B1080)</f>
        <v>6811</v>
      </c>
      <c r="C1080" t="str">
        <f>IF(PNL!C1080="","",PNL!C1080)</f>
        <v>2027</v>
      </c>
      <c r="D1080" t="str">
        <f>IF(PNL!D1080="","",PNL!D1080)</f>
        <v>V02</v>
      </c>
      <c r="E1080">
        <f t="shared" si="0"/>
        <v>1</v>
      </c>
      <c r="F1080">
        <f>IF($A1080="","",IF($E1080=1,_xlfn.SUMIFS(Comptabilité!$F$1:$F$1446,Comptabilité!$A$1:$A$1446,$A1080,Comptabilité!$B$1:$B$1446,$B1080,Comptabilité!$C$1:$C$1446,"2026"),0))</f>
        <v>134236</v>
      </c>
      <c r="G1080">
        <f>IF($A1080="","",IF($D1080="V01",Cadrage!$C$23,IF($D1080="V02",Cadrage!$D$23,Cadrage!$E$23)))</f>
        <v>0.15</v>
      </c>
      <c r="H1080">
        <f>IF($A1080="","",IF($D1080="V01",Cadrage!$C$24,IF($D1080="V02",Cadrage!$D$24,Cadrage!$E$24)))</f>
        <v>0.15</v>
      </c>
      <c r="I1080">
        <f>IF($A1080="","",IF($D1080="V01",Cadrage!$C$34,IF($D1080="V02",Cadrage!$D$34,Cadrage!$E$34)))</f>
        <v>0.015</v>
      </c>
      <c r="J1080">
        <f>IF($A1080="","",IF($D1080="V01",Cadrage!$C$35,IF($D1080="V02",Cadrage!$D$35,Cadrage!$E$35)))</f>
        <v>0.02</v>
      </c>
      <c r="K1080">
        <f>IF($A1080="","",IF($D1080="V01",Cadrage!$C$36,IF($D1080="V02",Cadrage!$D$36,Cadrage!$E$36)))</f>
        <v>0.03</v>
      </c>
      <c r="L1080">
        <f>IF($A1080="","",IF($D1080="V01",Cadrage!$C$37,IF($D1080="V02",Cadrage!$D$37,Cadrage!$E$37)))</f>
        <v>0.03</v>
      </c>
      <c r="M1080">
        <f>IF($A1080="","",IF($D1080="V01",Cadrage!$C$38,IF($D1080="V02",Cadrage!$D$38,Cadrage!$E$38)))</f>
        <v>-0.03</v>
      </c>
      <c r="N1080">
        <f t="shared" si="1"/>
        <v>1.16083752922642</v>
      </c>
      <c r="O1080">
        <f t="shared" si="2"/>
        <v>1.015</v>
      </c>
      <c r="P1080">
        <f>IF($A1080="","",IF($E1080=1,$F1080*$O1080,PNL!G1080))</f>
        <v>136249.54</v>
      </c>
      <c r="T1080">
        <f t="shared" si="3"/>
        <v>0</v>
      </c>
    </row>
    <row r="1081" ht="14.25" customHeight="1">
      <c r="A1081" t="str">
        <f>IF(PNL!A1081="","",PNL!A1081)</f>
        <v>MBWAY_NAN</v>
      </c>
      <c r="B1081" t="str">
        <f>IF(PNL!B1081="","",PNL!B1081)</f>
        <v>6811</v>
      </c>
      <c r="C1081" t="str">
        <f>IF(PNL!C1081="","",PNL!C1081)</f>
        <v>2027</v>
      </c>
      <c r="D1081" t="str">
        <f>IF(PNL!D1081="","",PNL!D1081)</f>
        <v>V02</v>
      </c>
      <c r="E1081">
        <f t="shared" si="0"/>
        <v>1</v>
      </c>
      <c r="F1081">
        <f>IF($A1081="","",IF($E1081=1,_xlfn.SUMIFS(Comptabilité!$F$1:$F$1446,Comptabilité!$A$1:$A$1446,$A1081,Comptabilité!$B$1:$B$1446,$B1081,Comptabilité!$C$1:$C$1446,"2026"),0))</f>
        <v>123910</v>
      </c>
      <c r="G1081">
        <f>IF($A1081="","",IF($D1081="V01",Cadrage!$C$23,IF($D1081="V02",Cadrage!$D$23,Cadrage!$E$23)))</f>
        <v>0.15</v>
      </c>
      <c r="H1081">
        <f>IF($A1081="","",IF($D1081="V01",Cadrage!$C$24,IF($D1081="V02",Cadrage!$D$24,Cadrage!$E$24)))</f>
        <v>0.15</v>
      </c>
      <c r="I1081">
        <f>IF($A1081="","",IF($D1081="V01",Cadrage!$C$34,IF($D1081="V02",Cadrage!$D$34,Cadrage!$E$34)))</f>
        <v>0.015</v>
      </c>
      <c r="J1081">
        <f>IF($A1081="","",IF($D1081="V01",Cadrage!$C$35,IF($D1081="V02",Cadrage!$D$35,Cadrage!$E$35)))</f>
        <v>0.02</v>
      </c>
      <c r="K1081">
        <f>IF($A1081="","",IF($D1081="V01",Cadrage!$C$36,IF($D1081="V02",Cadrage!$D$36,Cadrage!$E$36)))</f>
        <v>0.03</v>
      </c>
      <c r="L1081">
        <f>IF($A1081="","",IF($D1081="V01",Cadrage!$C$37,IF($D1081="V02",Cadrage!$D$37,Cadrage!$E$37)))</f>
        <v>0.03</v>
      </c>
      <c r="M1081">
        <f>IF($A1081="","",IF($D1081="V01",Cadrage!$C$38,IF($D1081="V02",Cadrage!$D$38,Cadrage!$E$38)))</f>
        <v>-0.03</v>
      </c>
      <c r="N1081">
        <f t="shared" si="1"/>
        <v>1.16083752922642</v>
      </c>
      <c r="O1081">
        <f t="shared" si="2"/>
        <v>1.015</v>
      </c>
      <c r="P1081">
        <f>IF($A1081="","",IF($E1081=1,$F1081*$O1081,PNL!G1081))</f>
        <v>125768.65</v>
      </c>
      <c r="T1081">
        <f t="shared" si="3"/>
        <v>0</v>
      </c>
    </row>
    <row r="1082" ht="14.25" customHeight="1">
      <c r="A1082" t="str">
        <f>IF(PNL!A1082="","",PNL!A1082)</f>
        <v>MBWAY_PAR</v>
      </c>
      <c r="B1082" t="str">
        <f>IF(PNL!B1082="","",PNL!B1082)</f>
        <v>6811</v>
      </c>
      <c r="C1082" t="str">
        <f>IF(PNL!C1082="","",PNL!C1082)</f>
        <v>2027</v>
      </c>
      <c r="D1082" t="str">
        <f>IF(PNL!D1082="","",PNL!D1082)</f>
        <v>V02</v>
      </c>
      <c r="E1082">
        <f t="shared" si="0"/>
        <v>1</v>
      </c>
      <c r="F1082">
        <f>IF($A1082="","",IF($E1082=1,_xlfn.SUMIFS(Comptabilité!$F$1:$F$1446,Comptabilité!$A$1:$A$1446,$A1082,Comptabilité!$B$1:$B$1446,$B1082,Comptabilité!$C$1:$C$1446,"2026"),0))</f>
        <v>154887</v>
      </c>
      <c r="G1082">
        <f>IF($A1082="","",IF($D1082="V01",Cadrage!$C$23,IF($D1082="V02",Cadrage!$D$23,Cadrage!$E$23)))</f>
        <v>0.15</v>
      </c>
      <c r="H1082">
        <f>IF($A1082="","",IF($D1082="V01",Cadrage!$C$24,IF($D1082="V02",Cadrage!$D$24,Cadrage!$E$24)))</f>
        <v>0.15</v>
      </c>
      <c r="I1082">
        <f>IF($A1082="","",IF($D1082="V01",Cadrage!$C$34,IF($D1082="V02",Cadrage!$D$34,Cadrage!$E$34)))</f>
        <v>0.015</v>
      </c>
      <c r="J1082">
        <f>IF($A1082="","",IF($D1082="V01",Cadrage!$C$35,IF($D1082="V02",Cadrage!$D$35,Cadrage!$E$35)))</f>
        <v>0.02</v>
      </c>
      <c r="K1082">
        <f>IF($A1082="","",IF($D1082="V01",Cadrage!$C$36,IF($D1082="V02",Cadrage!$D$36,Cadrage!$E$36)))</f>
        <v>0.03</v>
      </c>
      <c r="L1082">
        <f>IF($A1082="","",IF($D1082="V01",Cadrage!$C$37,IF($D1082="V02",Cadrage!$D$37,Cadrage!$E$37)))</f>
        <v>0.03</v>
      </c>
      <c r="M1082">
        <f>IF($A1082="","",IF($D1082="V01",Cadrage!$C$38,IF($D1082="V02",Cadrage!$D$38,Cadrage!$E$38)))</f>
        <v>-0.03</v>
      </c>
      <c r="N1082">
        <f t="shared" si="1"/>
        <v>1.16083752922642</v>
      </c>
      <c r="O1082">
        <f t="shared" si="2"/>
        <v>1.015</v>
      </c>
      <c r="P1082">
        <f>IF($A1082="","",IF($E1082=1,$F1082*$O1082,PNL!G1082))</f>
        <v>157210.305</v>
      </c>
      <c r="T1082">
        <f t="shared" si="3"/>
        <v>0</v>
      </c>
    </row>
    <row r="1083" ht="14.25" customHeight="1">
      <c r="A1083" t="str">
        <f>IF(PNL!A1083="","",PNL!A1083)</f>
        <v>PIGIER_BOR</v>
      </c>
      <c r="B1083" t="str">
        <f>IF(PNL!B1083="","",PNL!B1083)</f>
        <v>6811</v>
      </c>
      <c r="C1083" t="str">
        <f>IF(PNL!C1083="","",PNL!C1083)</f>
        <v>2027</v>
      </c>
      <c r="D1083" t="str">
        <f>IF(PNL!D1083="","",PNL!D1083)</f>
        <v>V02</v>
      </c>
      <c r="E1083">
        <f t="shared" si="0"/>
        <v>1</v>
      </c>
      <c r="F1083">
        <f>IF($A1083="","",IF($E1083=1,_xlfn.SUMIFS(Comptabilité!$F$1:$F$1446,Comptabilité!$A$1:$A$1446,$A1083,Comptabilité!$B$1:$B$1446,$B1083,Comptabilité!$C$1:$C$1446,"2026"),0))</f>
        <v>82607</v>
      </c>
      <c r="G1083">
        <f>IF($A1083="","",IF($D1083="V01",Cadrage!$C$23,IF($D1083="V02",Cadrage!$D$23,Cadrage!$E$23)))</f>
        <v>0.15</v>
      </c>
      <c r="H1083">
        <f>IF($A1083="","",IF($D1083="V01",Cadrage!$C$24,IF($D1083="V02",Cadrage!$D$24,Cadrage!$E$24)))</f>
        <v>0.15</v>
      </c>
      <c r="I1083">
        <f>IF($A1083="","",IF($D1083="V01",Cadrage!$C$34,IF($D1083="V02",Cadrage!$D$34,Cadrage!$E$34)))</f>
        <v>0.015</v>
      </c>
      <c r="J1083">
        <f>IF($A1083="","",IF($D1083="V01",Cadrage!$C$35,IF($D1083="V02",Cadrage!$D$35,Cadrage!$E$35)))</f>
        <v>0.02</v>
      </c>
      <c r="K1083">
        <f>IF($A1083="","",IF($D1083="V01",Cadrage!$C$36,IF($D1083="V02",Cadrage!$D$36,Cadrage!$E$36)))</f>
        <v>0.03</v>
      </c>
      <c r="L1083">
        <f>IF($A1083="","",IF($D1083="V01",Cadrage!$C$37,IF($D1083="V02",Cadrage!$D$37,Cadrage!$E$37)))</f>
        <v>0.03</v>
      </c>
      <c r="M1083">
        <f>IF($A1083="","",IF($D1083="V01",Cadrage!$C$38,IF($D1083="V02",Cadrage!$D$38,Cadrage!$E$38)))</f>
        <v>-0.03</v>
      </c>
      <c r="N1083">
        <f t="shared" si="1"/>
        <v>1.16083752922642</v>
      </c>
      <c r="O1083">
        <f t="shared" si="2"/>
        <v>1.015</v>
      </c>
      <c r="P1083">
        <f>IF($A1083="","",IF($E1083=1,$F1083*$O1083,PNL!G1083))</f>
        <v>83846.105</v>
      </c>
      <c r="T1083">
        <f t="shared" si="3"/>
        <v>0</v>
      </c>
    </row>
    <row r="1084" ht="14.25" customHeight="1">
      <c r="A1084" t="str">
        <f>IF(PNL!A1084="","",PNL!A1084)</f>
        <v>PIGIER_LYO</v>
      </c>
      <c r="B1084" t="str">
        <f>IF(PNL!B1084="","",PNL!B1084)</f>
        <v>6811</v>
      </c>
      <c r="C1084" t="str">
        <f>IF(PNL!C1084="","",PNL!C1084)</f>
        <v>2027</v>
      </c>
      <c r="D1084" t="str">
        <f>IF(PNL!D1084="","",PNL!D1084)</f>
        <v>V02</v>
      </c>
      <c r="E1084">
        <f t="shared" si="0"/>
        <v>1</v>
      </c>
      <c r="F1084">
        <f>IF($A1084="","",IF($E1084=1,_xlfn.SUMIFS(Comptabilité!$F$1:$F$1446,Comptabilité!$A$1:$A$1446,$A1084,Comptabilité!$B$1:$B$1446,$B1084,Comptabilité!$C$1:$C$1446,"2026"),0))</f>
        <v>82607</v>
      </c>
      <c r="G1084">
        <f>IF($A1084="","",IF($D1084="V01",Cadrage!$C$23,IF($D1084="V02",Cadrage!$D$23,Cadrage!$E$23)))</f>
        <v>0.15</v>
      </c>
      <c r="H1084">
        <f>IF($A1084="","",IF($D1084="V01",Cadrage!$C$24,IF($D1084="V02",Cadrage!$D$24,Cadrage!$E$24)))</f>
        <v>0.15</v>
      </c>
      <c r="I1084">
        <f>IF($A1084="","",IF($D1084="V01",Cadrage!$C$34,IF($D1084="V02",Cadrage!$D$34,Cadrage!$E$34)))</f>
        <v>0.015</v>
      </c>
      <c r="J1084">
        <f>IF($A1084="","",IF($D1084="V01",Cadrage!$C$35,IF($D1084="V02",Cadrage!$D$35,Cadrage!$E$35)))</f>
        <v>0.02</v>
      </c>
      <c r="K1084">
        <f>IF($A1084="","",IF($D1084="V01",Cadrage!$C$36,IF($D1084="V02",Cadrage!$D$36,Cadrage!$E$36)))</f>
        <v>0.03</v>
      </c>
      <c r="L1084">
        <f>IF($A1084="","",IF($D1084="V01",Cadrage!$C$37,IF($D1084="V02",Cadrage!$D$37,Cadrage!$E$37)))</f>
        <v>0.03</v>
      </c>
      <c r="M1084">
        <f>IF($A1084="","",IF($D1084="V01",Cadrage!$C$38,IF($D1084="V02",Cadrage!$D$38,Cadrage!$E$38)))</f>
        <v>-0.03</v>
      </c>
      <c r="N1084">
        <f t="shared" si="1"/>
        <v>1.16083752922642</v>
      </c>
      <c r="O1084">
        <f t="shared" si="2"/>
        <v>1.015</v>
      </c>
      <c r="P1084">
        <f>IF($A1084="","",IF($E1084=1,$F1084*$O1084,PNL!G1084))</f>
        <v>83846.105</v>
      </c>
      <c r="T1084">
        <f t="shared" si="3"/>
        <v>0</v>
      </c>
    </row>
    <row r="1085" ht="14.25" customHeight="1">
      <c r="A1085" t="str">
        <f>IF(PNL!A1085="","",PNL!A1085)</f>
        <v>TUNON_LYO</v>
      </c>
      <c r="B1085" t="str">
        <f>IF(PNL!B1085="","",PNL!B1085)</f>
        <v>6811</v>
      </c>
      <c r="C1085" t="str">
        <f>IF(PNL!C1085="","",PNL!C1085)</f>
        <v>2027</v>
      </c>
      <c r="D1085" t="str">
        <f>IF(PNL!D1085="","",PNL!D1085)</f>
        <v>V02</v>
      </c>
      <c r="E1085">
        <f t="shared" si="0"/>
        <v>1</v>
      </c>
      <c r="F1085">
        <f>IF($A1085="","",IF($E1085=1,_xlfn.SUMIFS(Comptabilité!$F$1:$F$1446,Comptabilité!$A$1:$A$1446,$A1085,Comptabilité!$B$1:$B$1446,$B1085,Comptabilité!$C$1:$C$1446,"2026"),0))</f>
        <v>61955</v>
      </c>
      <c r="G1085">
        <f>IF($A1085="","",IF($D1085="V01",Cadrage!$C$23,IF($D1085="V02",Cadrage!$D$23,Cadrage!$E$23)))</f>
        <v>0.15</v>
      </c>
      <c r="H1085">
        <f>IF($A1085="","",IF($D1085="V01",Cadrage!$C$24,IF($D1085="V02",Cadrage!$D$24,Cadrage!$E$24)))</f>
        <v>0.15</v>
      </c>
      <c r="I1085">
        <f>IF($A1085="","",IF($D1085="V01",Cadrage!$C$34,IF($D1085="V02",Cadrage!$D$34,Cadrage!$E$34)))</f>
        <v>0.015</v>
      </c>
      <c r="J1085">
        <f>IF($A1085="","",IF($D1085="V01",Cadrage!$C$35,IF($D1085="V02",Cadrage!$D$35,Cadrage!$E$35)))</f>
        <v>0.02</v>
      </c>
      <c r="K1085">
        <f>IF($A1085="","",IF($D1085="V01",Cadrage!$C$36,IF($D1085="V02",Cadrage!$D$36,Cadrage!$E$36)))</f>
        <v>0.03</v>
      </c>
      <c r="L1085">
        <f>IF($A1085="","",IF($D1085="V01",Cadrage!$C$37,IF($D1085="V02",Cadrage!$D$37,Cadrage!$E$37)))</f>
        <v>0.03</v>
      </c>
      <c r="M1085">
        <f>IF($A1085="","",IF($D1085="V01",Cadrage!$C$38,IF($D1085="V02",Cadrage!$D$38,Cadrage!$E$38)))</f>
        <v>-0.03</v>
      </c>
      <c r="N1085">
        <f t="shared" si="1"/>
        <v>1.16083752922642</v>
      </c>
      <c r="O1085">
        <f t="shared" si="2"/>
        <v>1.015</v>
      </c>
      <c r="P1085">
        <f>IF($A1085="","",IF($E1085=1,$F1085*$O1085,PNL!G1085))</f>
        <v>62884.325</v>
      </c>
      <c r="T1085">
        <f t="shared" si="3"/>
        <v>0</v>
      </c>
    </row>
    <row r="1086" ht="14.25" customHeight="1">
      <c r="A1086" t="str">
        <f>IF(PNL!A1086="","",PNL!A1086)</f>
        <v>TUNON_PAR</v>
      </c>
      <c r="B1086" t="str">
        <f>IF(PNL!B1086="","",PNL!B1086)</f>
        <v>6811</v>
      </c>
      <c r="C1086" t="str">
        <f>IF(PNL!C1086="","",PNL!C1086)</f>
        <v>2027</v>
      </c>
      <c r="D1086" t="str">
        <f>IF(PNL!D1086="","",PNL!D1086)</f>
        <v>V02</v>
      </c>
      <c r="E1086">
        <f t="shared" si="0"/>
        <v>1</v>
      </c>
      <c r="F1086">
        <f>IF($A1086="","",IF($E1086=1,_xlfn.SUMIFS(Comptabilité!$F$1:$F$1446,Comptabilité!$A$1:$A$1446,$A1086,Comptabilité!$B$1:$B$1446,$B1086,Comptabilité!$C$1:$C$1446,"2026"),0))</f>
        <v>61955</v>
      </c>
      <c r="G1086">
        <f>IF($A1086="","",IF($D1086="V01",Cadrage!$C$23,IF($D1086="V02",Cadrage!$D$23,Cadrage!$E$23)))</f>
        <v>0.15</v>
      </c>
      <c r="H1086">
        <f>IF($A1086="","",IF($D1086="V01",Cadrage!$C$24,IF($D1086="V02",Cadrage!$D$24,Cadrage!$E$24)))</f>
        <v>0.15</v>
      </c>
      <c r="I1086">
        <f>IF($A1086="","",IF($D1086="V01",Cadrage!$C$34,IF($D1086="V02",Cadrage!$D$34,Cadrage!$E$34)))</f>
        <v>0.015</v>
      </c>
      <c r="J1086">
        <f>IF($A1086="","",IF($D1086="V01",Cadrage!$C$35,IF($D1086="V02",Cadrage!$D$35,Cadrage!$E$35)))</f>
        <v>0.02</v>
      </c>
      <c r="K1086">
        <f>IF($A1086="","",IF($D1086="V01",Cadrage!$C$36,IF($D1086="V02",Cadrage!$D$36,Cadrage!$E$36)))</f>
        <v>0.03</v>
      </c>
      <c r="L1086">
        <f>IF($A1086="","",IF($D1086="V01",Cadrage!$C$37,IF($D1086="V02",Cadrage!$D$37,Cadrage!$E$37)))</f>
        <v>0.03</v>
      </c>
      <c r="M1086">
        <f>IF($A1086="","",IF($D1086="V01",Cadrage!$C$38,IF($D1086="V02",Cadrage!$D$38,Cadrage!$E$38)))</f>
        <v>-0.03</v>
      </c>
      <c r="N1086">
        <f t="shared" si="1"/>
        <v>1.16083752922642</v>
      </c>
      <c r="O1086">
        <f t="shared" si="2"/>
        <v>1.015</v>
      </c>
      <c r="P1086">
        <f>IF($A1086="","",IF($E1086=1,$F1086*$O1086,PNL!G1086))</f>
        <v>62884.325</v>
      </c>
      <c r="T1086">
        <f t="shared" si="3"/>
        <v>0</v>
      </c>
    </row>
    <row r="1087" ht="14.25" customHeight="1">
      <c r="A1087" t="str">
        <f>IF(PNL!A1087="","",PNL!A1087)</f>
        <v>ISCOM_LIL</v>
      </c>
      <c r="B1087" t="str">
        <f>IF(PNL!B1087="","",PNL!B1087)</f>
        <v>706</v>
      </c>
      <c r="C1087" t="str">
        <f>IF(PNL!C1087="","",PNL!C1087)</f>
        <v>2027</v>
      </c>
      <c r="D1087" t="str">
        <f>IF(PNL!D1087="","",PNL!D1087)</f>
        <v>V02</v>
      </c>
      <c r="E1087">
        <f t="shared" si="0"/>
        <v>1</v>
      </c>
      <c r="F1087">
        <f>IF($A1087="","",IF($E1087=1,_xlfn.SUMIFS(Comptabilité!$F$1:$F$1446,Comptabilité!$A$1:$A$1446,$A1087,Comptabilité!$B$1:$B$1446,$B1087,Comptabilité!$C$1:$C$1446,"2026"),0))</f>
        <v>367500</v>
      </c>
      <c r="G1087">
        <f>IF($A1087="","",IF($D1087="V01",Cadrage!$C$23,IF($D1087="V02",Cadrage!$D$23,Cadrage!$E$23)))</f>
        <v>0.15</v>
      </c>
      <c r="H1087">
        <f>IF($A1087="","",IF($D1087="V01",Cadrage!$C$24,IF($D1087="V02",Cadrage!$D$24,Cadrage!$E$24)))</f>
        <v>0.15</v>
      </c>
      <c r="I1087">
        <f>IF($A1087="","",IF($D1087="V01",Cadrage!$C$34,IF($D1087="V02",Cadrage!$D$34,Cadrage!$E$34)))</f>
        <v>0.015</v>
      </c>
      <c r="J1087">
        <f>IF($A1087="","",IF($D1087="V01",Cadrage!$C$35,IF($D1087="V02",Cadrage!$D$35,Cadrage!$E$35)))</f>
        <v>0.02</v>
      </c>
      <c r="K1087">
        <f>IF($A1087="","",IF($D1087="V01",Cadrage!$C$36,IF($D1087="V02",Cadrage!$D$36,Cadrage!$E$36)))</f>
        <v>0.03</v>
      </c>
      <c r="L1087">
        <f>IF($A1087="","",IF($D1087="V01",Cadrage!$C$37,IF($D1087="V02",Cadrage!$D$37,Cadrage!$E$37)))</f>
        <v>0.03</v>
      </c>
      <c r="M1087">
        <f>IF($A1087="","",IF($D1087="V01",Cadrage!$C$38,IF($D1087="V02",Cadrage!$D$38,Cadrage!$E$38)))</f>
        <v>-0.03</v>
      </c>
      <c r="N1087">
        <f t="shared" si="1"/>
        <v>1.16083752922642</v>
      </c>
      <c r="O1087">
        <f t="shared" si="2"/>
        <v>1.16083752922642</v>
      </c>
      <c r="P1087">
        <f>IF($A1087="","",IF($E1087=1,$F1087*$O1087,PNL!G1087))</f>
        <v>426607.791990709</v>
      </c>
      <c r="T1087">
        <f t="shared" si="3"/>
        <v>426607.791990709</v>
      </c>
    </row>
    <row r="1088" ht="14.25" customHeight="1">
      <c r="A1088" t="str">
        <f>IF(PNL!A1088="","",PNL!A1088)</f>
        <v>ISCOM_PAR</v>
      </c>
      <c r="B1088" t="str">
        <f>IF(PNL!B1088="","",PNL!B1088)</f>
        <v>706</v>
      </c>
      <c r="C1088" t="str">
        <f>IF(PNL!C1088="","",PNL!C1088)</f>
        <v>2027</v>
      </c>
      <c r="D1088" t="str">
        <f>IF(PNL!D1088="","",PNL!D1088)</f>
        <v>V02</v>
      </c>
      <c r="E1088">
        <f t="shared" si="0"/>
        <v>1</v>
      </c>
      <c r="F1088">
        <f>IF($A1088="","",IF($E1088=1,_xlfn.SUMIFS(Comptabilité!$F$1:$F$1446,Comptabilité!$A$1:$A$1446,$A1088,Comptabilité!$B$1:$B$1446,$B1088,Comptabilité!$C$1:$C$1446,"2026"),0))</f>
        <v>604800</v>
      </c>
      <c r="G1088">
        <f>IF($A1088="","",IF($D1088="V01",Cadrage!$C$23,IF($D1088="V02",Cadrage!$D$23,Cadrage!$E$23)))</f>
        <v>0.15</v>
      </c>
      <c r="H1088">
        <f>IF($A1088="","",IF($D1088="V01",Cadrage!$C$24,IF($D1088="V02",Cadrage!$D$24,Cadrage!$E$24)))</f>
        <v>0.15</v>
      </c>
      <c r="I1088">
        <f>IF($A1088="","",IF($D1088="V01",Cadrage!$C$34,IF($D1088="V02",Cadrage!$D$34,Cadrage!$E$34)))</f>
        <v>0.015</v>
      </c>
      <c r="J1088">
        <f>IF($A1088="","",IF($D1088="V01",Cadrage!$C$35,IF($D1088="V02",Cadrage!$D$35,Cadrage!$E$35)))</f>
        <v>0.02</v>
      </c>
      <c r="K1088">
        <f>IF($A1088="","",IF($D1088="V01",Cadrage!$C$36,IF($D1088="V02",Cadrage!$D$36,Cadrage!$E$36)))</f>
        <v>0.03</v>
      </c>
      <c r="L1088">
        <f>IF($A1088="","",IF($D1088="V01",Cadrage!$C$37,IF($D1088="V02",Cadrage!$D$37,Cadrage!$E$37)))</f>
        <v>0.03</v>
      </c>
      <c r="M1088">
        <f>IF($A1088="","",IF($D1088="V01",Cadrage!$C$38,IF($D1088="V02",Cadrage!$D$38,Cadrage!$E$38)))</f>
        <v>-0.03</v>
      </c>
      <c r="N1088">
        <f t="shared" si="1"/>
        <v>1.16083752922642</v>
      </c>
      <c r="O1088">
        <f t="shared" si="2"/>
        <v>1.16083752922642</v>
      </c>
      <c r="P1088">
        <f>IF($A1088="","",IF($E1088=1,$F1088*$O1088,PNL!G1088))</f>
        <v>702074.537676139</v>
      </c>
      <c r="T1088">
        <f t="shared" si="3"/>
        <v>702074.537676139</v>
      </c>
    </row>
    <row r="1089" ht="14.25" customHeight="1">
      <c r="A1089" t="str">
        <f>IF(PNL!A1089="","",PNL!A1089)</f>
        <v>ISCOM_TLS</v>
      </c>
      <c r="B1089" t="str">
        <f>IF(PNL!B1089="","",PNL!B1089)</f>
        <v>706</v>
      </c>
      <c r="C1089" t="str">
        <f>IF(PNL!C1089="","",PNL!C1089)</f>
        <v>2027</v>
      </c>
      <c r="D1089" t="str">
        <f>IF(PNL!D1089="","",PNL!D1089)</f>
        <v>V02</v>
      </c>
      <c r="E1089">
        <f t="shared" si="0"/>
        <v>1</v>
      </c>
      <c r="F1089">
        <f>IF($A1089="","",IF($E1089=1,_xlfn.SUMIFS(Comptabilité!$F$1:$F$1446,Comptabilité!$A$1:$A$1446,$A1089,Comptabilité!$B$1:$B$1446,$B1089,Comptabilité!$C$1:$C$1446,"2026"),0))</f>
        <v>338400</v>
      </c>
      <c r="G1089">
        <f>IF($A1089="","",IF($D1089="V01",Cadrage!$C$23,IF($D1089="V02",Cadrage!$D$23,Cadrage!$E$23)))</f>
        <v>0.15</v>
      </c>
      <c r="H1089">
        <f>IF($A1089="","",IF($D1089="V01",Cadrage!$C$24,IF($D1089="V02",Cadrage!$D$24,Cadrage!$E$24)))</f>
        <v>0.15</v>
      </c>
      <c r="I1089">
        <f>IF($A1089="","",IF($D1089="V01",Cadrage!$C$34,IF($D1089="V02",Cadrage!$D$34,Cadrage!$E$34)))</f>
        <v>0.015</v>
      </c>
      <c r="J1089">
        <f>IF($A1089="","",IF($D1089="V01",Cadrage!$C$35,IF($D1089="V02",Cadrage!$D$35,Cadrage!$E$35)))</f>
        <v>0.02</v>
      </c>
      <c r="K1089">
        <f>IF($A1089="","",IF($D1089="V01",Cadrage!$C$36,IF($D1089="V02",Cadrage!$D$36,Cadrage!$E$36)))</f>
        <v>0.03</v>
      </c>
      <c r="L1089">
        <f>IF($A1089="","",IF($D1089="V01",Cadrage!$C$37,IF($D1089="V02",Cadrage!$D$37,Cadrage!$E$37)))</f>
        <v>0.03</v>
      </c>
      <c r="M1089">
        <f>IF($A1089="","",IF($D1089="V01",Cadrage!$C$38,IF($D1089="V02",Cadrage!$D$38,Cadrage!$E$38)))</f>
        <v>-0.03</v>
      </c>
      <c r="N1089">
        <f t="shared" si="1"/>
        <v>1.16083752922642</v>
      </c>
      <c r="O1089">
        <f t="shared" si="2"/>
        <v>1.16083752922642</v>
      </c>
      <c r="P1089">
        <f>IF($A1089="","",IF($E1089=1,$F1089*$O1089,PNL!G1089))</f>
        <v>392827.419890221</v>
      </c>
      <c r="T1089">
        <f t="shared" si="3"/>
        <v>392827.419890221</v>
      </c>
    </row>
    <row r="1090" ht="14.25" customHeight="1">
      <c r="A1090" t="str">
        <f>IF(PNL!A1090="","",PNL!A1090)</f>
        <v>MBWAY_BOR</v>
      </c>
      <c r="B1090" t="str">
        <f>IF(PNL!B1090="","",PNL!B1090)</f>
        <v>706</v>
      </c>
      <c r="C1090" t="str">
        <f>IF(PNL!C1090="","",PNL!C1090)</f>
        <v>2027</v>
      </c>
      <c r="D1090" t="str">
        <f>IF(PNL!D1090="","",PNL!D1090)</f>
        <v>V02</v>
      </c>
      <c r="E1090">
        <f t="shared" si="0"/>
        <v>1</v>
      </c>
      <c r="F1090">
        <f>IF($A1090="","",IF($E1090=1,_xlfn.SUMIFS(Comptabilité!$F$1:$F$1446,Comptabilité!$A$1:$A$1446,$A1090,Comptabilité!$B$1:$B$1446,$B1090,Comptabilité!$C$1:$C$1446,"2026"),0))</f>
        <v>371025</v>
      </c>
      <c r="G1090">
        <f>IF($A1090="","",IF($D1090="V01",Cadrage!$C$23,IF($D1090="V02",Cadrage!$D$23,Cadrage!$E$23)))</f>
        <v>0.15</v>
      </c>
      <c r="H1090">
        <f>IF($A1090="","",IF($D1090="V01",Cadrage!$C$24,IF($D1090="V02",Cadrage!$D$24,Cadrage!$E$24)))</f>
        <v>0.15</v>
      </c>
      <c r="I1090">
        <f>IF($A1090="","",IF($D1090="V01",Cadrage!$C$34,IF($D1090="V02",Cadrage!$D$34,Cadrage!$E$34)))</f>
        <v>0.015</v>
      </c>
      <c r="J1090">
        <f>IF($A1090="","",IF($D1090="V01",Cadrage!$C$35,IF($D1090="V02",Cadrage!$D$35,Cadrage!$E$35)))</f>
        <v>0.02</v>
      </c>
      <c r="K1090">
        <f>IF($A1090="","",IF($D1090="V01",Cadrage!$C$36,IF($D1090="V02",Cadrage!$D$36,Cadrage!$E$36)))</f>
        <v>0.03</v>
      </c>
      <c r="L1090">
        <f>IF($A1090="","",IF($D1090="V01",Cadrage!$C$37,IF($D1090="V02",Cadrage!$D$37,Cadrage!$E$37)))</f>
        <v>0.03</v>
      </c>
      <c r="M1090">
        <f>IF($A1090="","",IF($D1090="V01",Cadrage!$C$38,IF($D1090="V02",Cadrage!$D$38,Cadrage!$E$38)))</f>
        <v>-0.03</v>
      </c>
      <c r="N1090">
        <f t="shared" si="1"/>
        <v>1.16083752922642</v>
      </c>
      <c r="O1090">
        <f t="shared" si="2"/>
        <v>1.16083752922642</v>
      </c>
      <c r="P1090">
        <f>IF($A1090="","",IF($E1090=1,$F1090*$O1090,PNL!G1090))</f>
        <v>430699.744281232</v>
      </c>
      <c r="T1090">
        <f t="shared" si="3"/>
        <v>430699.744281232</v>
      </c>
    </row>
    <row r="1091" ht="14.25" customHeight="1">
      <c r="A1091" t="str">
        <f>IF(PNL!A1091="","",PNL!A1091)</f>
        <v>MBWAY_LYO</v>
      </c>
      <c r="B1091" t="str">
        <f>IF(PNL!B1091="","",PNL!B1091)</f>
        <v>706</v>
      </c>
      <c r="C1091" t="str">
        <f>IF(PNL!C1091="","",PNL!C1091)</f>
        <v>2027</v>
      </c>
      <c r="D1091" t="str">
        <f>IF(PNL!D1091="","",PNL!D1091)</f>
        <v>V02</v>
      </c>
      <c r="E1091">
        <f t="shared" si="0"/>
        <v>1</v>
      </c>
      <c r="F1091">
        <f>IF($A1091="","",IF($E1091=1,_xlfn.SUMIFS(Comptabilité!$F$1:$F$1446,Comptabilité!$A$1:$A$1446,$A1091,Comptabilité!$B$1:$B$1446,$B1091,Comptabilité!$C$1:$C$1446,"2026"),0))</f>
        <v>519750</v>
      </c>
      <c r="G1091">
        <f>IF($A1091="","",IF($D1091="V01",Cadrage!$C$23,IF($D1091="V02",Cadrage!$D$23,Cadrage!$E$23)))</f>
        <v>0.15</v>
      </c>
      <c r="H1091">
        <f>IF($A1091="","",IF($D1091="V01",Cadrage!$C$24,IF($D1091="V02",Cadrage!$D$24,Cadrage!$E$24)))</f>
        <v>0.15</v>
      </c>
      <c r="I1091">
        <f>IF($A1091="","",IF($D1091="V01",Cadrage!$C$34,IF($D1091="V02",Cadrage!$D$34,Cadrage!$E$34)))</f>
        <v>0.015</v>
      </c>
      <c r="J1091">
        <f>IF($A1091="","",IF($D1091="V01",Cadrage!$C$35,IF($D1091="V02",Cadrage!$D$35,Cadrage!$E$35)))</f>
        <v>0.02</v>
      </c>
      <c r="K1091">
        <f>IF($A1091="","",IF($D1091="V01",Cadrage!$C$36,IF($D1091="V02",Cadrage!$D$36,Cadrage!$E$36)))</f>
        <v>0.03</v>
      </c>
      <c r="L1091">
        <f>IF($A1091="","",IF($D1091="V01",Cadrage!$C$37,IF($D1091="V02",Cadrage!$D$37,Cadrage!$E$37)))</f>
        <v>0.03</v>
      </c>
      <c r="M1091">
        <f>IF($A1091="","",IF($D1091="V01",Cadrage!$C$38,IF($D1091="V02",Cadrage!$D$38,Cadrage!$E$38)))</f>
        <v>-0.03</v>
      </c>
      <c r="N1091">
        <f t="shared" si="1"/>
        <v>1.16083752922642</v>
      </c>
      <c r="O1091">
        <f t="shared" si="2"/>
        <v>1.16083752922642</v>
      </c>
      <c r="P1091">
        <f>IF($A1091="","",IF($E1091=1,$F1091*$O1091,PNL!G1091))</f>
        <v>603345.305815432</v>
      </c>
      <c r="T1091">
        <f t="shared" si="3"/>
        <v>603345.305815432</v>
      </c>
    </row>
    <row r="1092" ht="14.25" customHeight="1">
      <c r="A1092" t="str">
        <f>IF(PNL!A1092="","",PNL!A1092)</f>
        <v>MBWAY_NAN</v>
      </c>
      <c r="B1092" t="str">
        <f>IF(PNL!B1092="","",PNL!B1092)</f>
        <v>706</v>
      </c>
      <c r="C1092" t="str">
        <f>IF(PNL!C1092="","",PNL!C1092)</f>
        <v>2027</v>
      </c>
      <c r="D1092" t="str">
        <f>IF(PNL!D1092="","",PNL!D1092)</f>
        <v>V02</v>
      </c>
      <c r="E1092">
        <f t="shared" si="0"/>
        <v>1</v>
      </c>
      <c r="F1092">
        <f>IF($A1092="","",IF($E1092=1,_xlfn.SUMIFS(Comptabilité!$F$1:$F$1446,Comptabilité!$A$1:$A$1446,$A1092,Comptabilité!$B$1:$B$1446,$B1092,Comptabilité!$C$1:$C$1446,"2026"),0))</f>
        <v>450000</v>
      </c>
      <c r="G1092">
        <f>IF($A1092="","",IF($D1092="V01",Cadrage!$C$23,IF($D1092="V02",Cadrage!$D$23,Cadrage!$E$23)))</f>
        <v>0.15</v>
      </c>
      <c r="H1092">
        <f>IF($A1092="","",IF($D1092="V01",Cadrage!$C$24,IF($D1092="V02",Cadrage!$D$24,Cadrage!$E$24)))</f>
        <v>0.15</v>
      </c>
      <c r="I1092">
        <f>IF($A1092="","",IF($D1092="V01",Cadrage!$C$34,IF($D1092="V02",Cadrage!$D$34,Cadrage!$E$34)))</f>
        <v>0.015</v>
      </c>
      <c r="J1092">
        <f>IF($A1092="","",IF($D1092="V01",Cadrage!$C$35,IF($D1092="V02",Cadrage!$D$35,Cadrage!$E$35)))</f>
        <v>0.02</v>
      </c>
      <c r="K1092">
        <f>IF($A1092="","",IF($D1092="V01",Cadrage!$C$36,IF($D1092="V02",Cadrage!$D$36,Cadrage!$E$36)))</f>
        <v>0.03</v>
      </c>
      <c r="L1092">
        <f>IF($A1092="","",IF($D1092="V01",Cadrage!$C$37,IF($D1092="V02",Cadrage!$D$37,Cadrage!$E$37)))</f>
        <v>0.03</v>
      </c>
      <c r="M1092">
        <f>IF($A1092="","",IF($D1092="V01",Cadrage!$C$38,IF($D1092="V02",Cadrage!$D$38,Cadrage!$E$38)))</f>
        <v>-0.03</v>
      </c>
      <c r="N1092">
        <f t="shared" si="1"/>
        <v>1.16083752922642</v>
      </c>
      <c r="O1092">
        <f t="shared" si="2"/>
        <v>1.16083752922642</v>
      </c>
      <c r="P1092">
        <f>IF($A1092="","",IF($E1092=1,$F1092*$O1092,PNL!G1092))</f>
        <v>522376.888151889</v>
      </c>
      <c r="T1092">
        <f t="shared" si="3"/>
        <v>522376.888151889</v>
      </c>
    </row>
    <row r="1093" ht="14.25" customHeight="1">
      <c r="A1093" t="str">
        <f>IF(PNL!A1093="","",PNL!A1093)</f>
        <v>MBWAY_PAR</v>
      </c>
      <c r="B1093" t="str">
        <f>IF(PNL!B1093="","",PNL!B1093)</f>
        <v>706</v>
      </c>
      <c r="C1093" t="str">
        <f>IF(PNL!C1093="","",PNL!C1093)</f>
        <v>2027</v>
      </c>
      <c r="D1093" t="str">
        <f>IF(PNL!D1093="","",PNL!D1093)</f>
        <v>V02</v>
      </c>
      <c r="E1093">
        <f t="shared" si="0"/>
        <v>1</v>
      </c>
      <c r="F1093">
        <f>IF($A1093="","",IF($E1093=1,_xlfn.SUMIFS(Comptabilité!$F$1:$F$1446,Comptabilité!$A$1:$A$1446,$A1093,Comptabilité!$B$1:$B$1446,$B1093,Comptabilité!$C$1:$C$1446,"2026"),0))</f>
        <v>655200</v>
      </c>
      <c r="G1093">
        <f>IF($A1093="","",IF($D1093="V01",Cadrage!$C$23,IF($D1093="V02",Cadrage!$D$23,Cadrage!$E$23)))</f>
        <v>0.15</v>
      </c>
      <c r="H1093">
        <f>IF($A1093="","",IF($D1093="V01",Cadrage!$C$24,IF($D1093="V02",Cadrage!$D$24,Cadrage!$E$24)))</f>
        <v>0.15</v>
      </c>
      <c r="I1093">
        <f>IF($A1093="","",IF($D1093="V01",Cadrage!$C$34,IF($D1093="V02",Cadrage!$D$34,Cadrage!$E$34)))</f>
        <v>0.015</v>
      </c>
      <c r="J1093">
        <f>IF($A1093="","",IF($D1093="V01",Cadrage!$C$35,IF($D1093="V02",Cadrage!$D$35,Cadrage!$E$35)))</f>
        <v>0.02</v>
      </c>
      <c r="K1093">
        <f>IF($A1093="","",IF($D1093="V01",Cadrage!$C$36,IF($D1093="V02",Cadrage!$D$36,Cadrage!$E$36)))</f>
        <v>0.03</v>
      </c>
      <c r="L1093">
        <f>IF($A1093="","",IF($D1093="V01",Cadrage!$C$37,IF($D1093="V02",Cadrage!$D$37,Cadrage!$E$37)))</f>
        <v>0.03</v>
      </c>
      <c r="M1093">
        <f>IF($A1093="","",IF($D1093="V01",Cadrage!$C$38,IF($D1093="V02",Cadrage!$D$38,Cadrage!$E$38)))</f>
        <v>-0.03</v>
      </c>
      <c r="N1093">
        <f t="shared" si="1"/>
        <v>1.16083752922642</v>
      </c>
      <c r="O1093">
        <f t="shared" si="2"/>
        <v>1.16083752922642</v>
      </c>
      <c r="P1093">
        <f>IF($A1093="","",IF($E1093=1,$F1093*$O1093,PNL!G1093))</f>
        <v>760580.74914915</v>
      </c>
      <c r="T1093">
        <f t="shared" si="3"/>
        <v>760580.74914915</v>
      </c>
    </row>
    <row r="1094" ht="14.25" customHeight="1">
      <c r="A1094" t="str">
        <f>IF(PNL!A1094="","",PNL!A1094)</f>
        <v>IPAC_MTP</v>
      </c>
      <c r="B1094" t="str">
        <f>IF(PNL!B1094="","",PNL!B1094)</f>
        <v>7062</v>
      </c>
      <c r="C1094" t="str">
        <f>IF(PNL!C1094="","",PNL!C1094)</f>
        <v>2027</v>
      </c>
      <c r="D1094" t="str">
        <f>IF(PNL!D1094="","",PNL!D1094)</f>
        <v>V02</v>
      </c>
      <c r="E1094">
        <f t="shared" si="0"/>
        <v>1</v>
      </c>
      <c r="F1094">
        <f>IF($A1094="","",IF($E1094=1,_xlfn.SUMIFS(Comptabilité!$F$1:$F$1446,Comptabilité!$A$1:$A$1446,$A1094,Comptabilité!$B$1:$B$1446,$B1094,Comptabilité!$C$1:$C$1446,"2026"),0))</f>
        <v>778050</v>
      </c>
      <c r="G1094">
        <f>IF($A1094="","",IF($D1094="V01",Cadrage!$C$23,IF($D1094="V02",Cadrage!$D$23,Cadrage!$E$23)))</f>
        <v>0.15</v>
      </c>
      <c r="H1094">
        <f>IF($A1094="","",IF($D1094="V01",Cadrage!$C$24,IF($D1094="V02",Cadrage!$D$24,Cadrage!$E$24)))</f>
        <v>0.15</v>
      </c>
      <c r="I1094">
        <f>IF($A1094="","",IF($D1094="V01",Cadrage!$C$34,IF($D1094="V02",Cadrage!$D$34,Cadrage!$E$34)))</f>
        <v>0.015</v>
      </c>
      <c r="J1094">
        <f>IF($A1094="","",IF($D1094="V01",Cadrage!$C$35,IF($D1094="V02",Cadrage!$D$35,Cadrage!$E$35)))</f>
        <v>0.02</v>
      </c>
      <c r="K1094">
        <f>IF($A1094="","",IF($D1094="V01",Cadrage!$C$36,IF($D1094="V02",Cadrage!$D$36,Cadrage!$E$36)))</f>
        <v>0.03</v>
      </c>
      <c r="L1094">
        <f>IF($A1094="","",IF($D1094="V01",Cadrage!$C$37,IF($D1094="V02",Cadrage!$D$37,Cadrage!$E$37)))</f>
        <v>0.03</v>
      </c>
      <c r="M1094">
        <f>IF($A1094="","",IF($D1094="V01",Cadrage!$C$38,IF($D1094="V02",Cadrage!$D$38,Cadrage!$E$38)))</f>
        <v>-0.03</v>
      </c>
      <c r="N1094">
        <f t="shared" si="1"/>
        <v>1.16083752922642</v>
      </c>
      <c r="O1094">
        <f t="shared" si="2"/>
        <v>1.16083752922642</v>
      </c>
      <c r="P1094">
        <f>IF($A1094="","",IF($E1094=1,$F1094*$O1094,PNL!G1094))</f>
        <v>903189.639614616</v>
      </c>
      <c r="T1094">
        <f t="shared" si="3"/>
        <v>903189.639614616</v>
      </c>
    </row>
    <row r="1095" ht="14.25" customHeight="1">
      <c r="A1095" t="str">
        <f>IF(PNL!A1095="","",PNL!A1095)</f>
        <v>IPAC_NAN</v>
      </c>
      <c r="B1095" t="str">
        <f>IF(PNL!B1095="","",PNL!B1095)</f>
        <v>7062</v>
      </c>
      <c r="C1095" t="str">
        <f>IF(PNL!C1095="","",PNL!C1095)</f>
        <v>2027</v>
      </c>
      <c r="D1095" t="str">
        <f>IF(PNL!D1095="","",PNL!D1095)</f>
        <v>V02</v>
      </c>
      <c r="E1095">
        <f t="shared" si="0"/>
        <v>1</v>
      </c>
      <c r="F1095">
        <f>IF($A1095="","",IF($E1095=1,_xlfn.SUMIFS(Comptabilité!$F$1:$F$1446,Comptabilité!$A$1:$A$1446,$A1095,Comptabilité!$B$1:$B$1446,$B1095,Comptabilité!$C$1:$C$1446,"2026"),0))</f>
        <v>1015000</v>
      </c>
      <c r="G1095">
        <f>IF($A1095="","",IF($D1095="V01",Cadrage!$C$23,IF($D1095="V02",Cadrage!$D$23,Cadrage!$E$23)))</f>
        <v>0.15</v>
      </c>
      <c r="H1095">
        <f>IF($A1095="","",IF($D1095="V01",Cadrage!$C$24,IF($D1095="V02",Cadrage!$D$24,Cadrage!$E$24)))</f>
        <v>0.15</v>
      </c>
      <c r="I1095">
        <f>IF($A1095="","",IF($D1095="V01",Cadrage!$C$34,IF($D1095="V02",Cadrage!$D$34,Cadrage!$E$34)))</f>
        <v>0.015</v>
      </c>
      <c r="J1095">
        <f>IF($A1095="","",IF($D1095="V01",Cadrage!$C$35,IF($D1095="V02",Cadrage!$D$35,Cadrage!$E$35)))</f>
        <v>0.02</v>
      </c>
      <c r="K1095">
        <f>IF($A1095="","",IF($D1095="V01",Cadrage!$C$36,IF($D1095="V02",Cadrage!$D$36,Cadrage!$E$36)))</f>
        <v>0.03</v>
      </c>
      <c r="L1095">
        <f>IF($A1095="","",IF($D1095="V01",Cadrage!$C$37,IF($D1095="V02",Cadrage!$D$37,Cadrage!$E$37)))</f>
        <v>0.03</v>
      </c>
      <c r="M1095">
        <f>IF($A1095="","",IF($D1095="V01",Cadrage!$C$38,IF($D1095="V02",Cadrage!$D$38,Cadrage!$E$38)))</f>
        <v>-0.03</v>
      </c>
      <c r="N1095">
        <f t="shared" si="1"/>
        <v>1.16083752922642</v>
      </c>
      <c r="O1095">
        <f t="shared" si="2"/>
        <v>1.16083752922642</v>
      </c>
      <c r="P1095">
        <f>IF($A1095="","",IF($E1095=1,$F1095*$O1095,PNL!G1095))</f>
        <v>1178250.09216482</v>
      </c>
      <c r="T1095">
        <f t="shared" si="3"/>
        <v>1178250.09216482</v>
      </c>
    </row>
    <row r="1096" ht="14.25" customHeight="1">
      <c r="A1096" t="str">
        <f>IF(PNL!A1096="","",PNL!A1096)</f>
        <v>IPAC_REN</v>
      </c>
      <c r="B1096" t="str">
        <f>IF(PNL!B1096="","",PNL!B1096)</f>
        <v>7062</v>
      </c>
      <c r="C1096" t="str">
        <f>IF(PNL!C1096="","",PNL!C1096)</f>
        <v>2027</v>
      </c>
      <c r="D1096" t="str">
        <f>IF(PNL!D1096="","",PNL!D1096)</f>
        <v>V02</v>
      </c>
      <c r="E1096">
        <f t="shared" si="0"/>
        <v>1</v>
      </c>
      <c r="F1096">
        <f>IF($A1096="","",IF($E1096=1,_xlfn.SUMIFS(Comptabilité!$F$1:$F$1446,Comptabilité!$A$1:$A$1446,$A1096,Comptabilité!$B$1:$B$1446,$B1096,Comptabilité!$C$1:$C$1446,"2026"),0))</f>
        <v>778050</v>
      </c>
      <c r="G1096">
        <f>IF($A1096="","",IF($D1096="V01",Cadrage!$C$23,IF($D1096="V02",Cadrage!$D$23,Cadrage!$E$23)))</f>
        <v>0.15</v>
      </c>
      <c r="H1096">
        <f>IF($A1096="","",IF($D1096="V01",Cadrage!$C$24,IF($D1096="V02",Cadrage!$D$24,Cadrage!$E$24)))</f>
        <v>0.15</v>
      </c>
      <c r="I1096">
        <f>IF($A1096="","",IF($D1096="V01",Cadrage!$C$34,IF($D1096="V02",Cadrage!$D$34,Cadrage!$E$34)))</f>
        <v>0.015</v>
      </c>
      <c r="J1096">
        <f>IF($A1096="","",IF($D1096="V01",Cadrage!$C$35,IF($D1096="V02",Cadrage!$D$35,Cadrage!$E$35)))</f>
        <v>0.02</v>
      </c>
      <c r="K1096">
        <f>IF($A1096="","",IF($D1096="V01",Cadrage!$C$36,IF($D1096="V02",Cadrage!$D$36,Cadrage!$E$36)))</f>
        <v>0.03</v>
      </c>
      <c r="L1096">
        <f>IF($A1096="","",IF($D1096="V01",Cadrage!$C$37,IF($D1096="V02",Cadrage!$D$37,Cadrage!$E$37)))</f>
        <v>0.03</v>
      </c>
      <c r="M1096">
        <f>IF($A1096="","",IF($D1096="V01",Cadrage!$C$38,IF($D1096="V02",Cadrage!$D$38,Cadrage!$E$38)))</f>
        <v>-0.03</v>
      </c>
      <c r="N1096">
        <f t="shared" si="1"/>
        <v>1.16083752922642</v>
      </c>
      <c r="O1096">
        <f t="shared" si="2"/>
        <v>1.16083752922642</v>
      </c>
      <c r="P1096">
        <f>IF($A1096="","",IF($E1096=1,$F1096*$O1096,PNL!G1096))</f>
        <v>903189.639614616</v>
      </c>
      <c r="T1096">
        <f t="shared" si="3"/>
        <v>903189.639614616</v>
      </c>
    </row>
    <row r="1097" ht="14.25" customHeight="1">
      <c r="A1097" t="str">
        <f>IF(PNL!A1097="","",PNL!A1097)</f>
        <v>ISCOM_LIL</v>
      </c>
      <c r="B1097" t="str">
        <f>IF(PNL!B1097="","",PNL!B1097)</f>
        <v>7062</v>
      </c>
      <c r="C1097" t="str">
        <f>IF(PNL!C1097="","",PNL!C1097)</f>
        <v>2027</v>
      </c>
      <c r="D1097" t="str">
        <f>IF(PNL!D1097="","",PNL!D1097)</f>
        <v>V02</v>
      </c>
      <c r="E1097">
        <f t="shared" si="0"/>
        <v>1</v>
      </c>
      <c r="F1097">
        <f>IF($A1097="","",IF($E1097=1,_xlfn.SUMIFS(Comptabilité!$F$1:$F$1446,Comptabilité!$A$1:$A$1446,$A1097,Comptabilité!$B$1:$B$1446,$B1097,Comptabilité!$C$1:$C$1446,"2026"),0))</f>
        <v>1379350</v>
      </c>
      <c r="G1097">
        <f>IF($A1097="","",IF($D1097="V01",Cadrage!$C$23,IF($D1097="V02",Cadrage!$D$23,Cadrage!$E$23)))</f>
        <v>0.15</v>
      </c>
      <c r="H1097">
        <f>IF($A1097="","",IF($D1097="V01",Cadrage!$C$24,IF($D1097="V02",Cadrage!$D$24,Cadrage!$E$24)))</f>
        <v>0.15</v>
      </c>
      <c r="I1097">
        <f>IF($A1097="","",IF($D1097="V01",Cadrage!$C$34,IF($D1097="V02",Cadrage!$D$34,Cadrage!$E$34)))</f>
        <v>0.015</v>
      </c>
      <c r="J1097">
        <f>IF($A1097="","",IF($D1097="V01",Cadrage!$C$35,IF($D1097="V02",Cadrage!$D$35,Cadrage!$E$35)))</f>
        <v>0.02</v>
      </c>
      <c r="K1097">
        <f>IF($A1097="","",IF($D1097="V01",Cadrage!$C$36,IF($D1097="V02",Cadrage!$D$36,Cadrage!$E$36)))</f>
        <v>0.03</v>
      </c>
      <c r="L1097">
        <f>IF($A1097="","",IF($D1097="V01",Cadrage!$C$37,IF($D1097="V02",Cadrage!$D$37,Cadrage!$E$37)))</f>
        <v>0.03</v>
      </c>
      <c r="M1097">
        <f>IF($A1097="","",IF($D1097="V01",Cadrage!$C$38,IF($D1097="V02",Cadrage!$D$38,Cadrage!$E$38)))</f>
        <v>-0.03</v>
      </c>
      <c r="N1097">
        <f t="shared" si="1"/>
        <v>1.16083752922642</v>
      </c>
      <c r="O1097">
        <f t="shared" si="2"/>
        <v>1.16083752922642</v>
      </c>
      <c r="P1097">
        <f>IF($A1097="","",IF($E1097=1,$F1097*$O1097,PNL!G1097))</f>
        <v>1601201.24593846</v>
      </c>
      <c r="T1097">
        <f t="shared" si="3"/>
        <v>1601201.24593846</v>
      </c>
    </row>
    <row r="1098" ht="14.25" customHeight="1">
      <c r="A1098" t="str">
        <f>IF(PNL!A1098="","",PNL!A1098)</f>
        <v>ISCOM_PAR</v>
      </c>
      <c r="B1098" t="str">
        <f>IF(PNL!B1098="","",PNL!B1098)</f>
        <v>7062</v>
      </c>
      <c r="C1098" t="str">
        <f>IF(PNL!C1098="","",PNL!C1098)</f>
        <v>2027</v>
      </c>
      <c r="D1098" t="str">
        <f>IF(PNL!D1098="","",PNL!D1098)</f>
        <v>V02</v>
      </c>
      <c r="E1098">
        <f t="shared" si="0"/>
        <v>1</v>
      </c>
      <c r="F1098">
        <f>IF($A1098="","",IF($E1098=1,_xlfn.SUMIFS(Comptabilité!$F$1:$F$1446,Comptabilité!$A$1:$A$1446,$A1098,Comptabilité!$B$1:$B$1446,$B1098,Comptabilité!$C$1:$C$1446,"2026"),0))</f>
        <v>2290960</v>
      </c>
      <c r="G1098">
        <f>IF($A1098="","",IF($D1098="V01",Cadrage!$C$23,IF($D1098="V02",Cadrage!$D$23,Cadrage!$E$23)))</f>
        <v>0.15</v>
      </c>
      <c r="H1098">
        <f>IF($A1098="","",IF($D1098="V01",Cadrage!$C$24,IF($D1098="V02",Cadrage!$D$24,Cadrage!$E$24)))</f>
        <v>0.15</v>
      </c>
      <c r="I1098">
        <f>IF($A1098="","",IF($D1098="V01",Cadrage!$C$34,IF($D1098="V02",Cadrage!$D$34,Cadrage!$E$34)))</f>
        <v>0.015</v>
      </c>
      <c r="J1098">
        <f>IF($A1098="","",IF($D1098="V01",Cadrage!$C$35,IF($D1098="V02",Cadrage!$D$35,Cadrage!$E$35)))</f>
        <v>0.02</v>
      </c>
      <c r="K1098">
        <f>IF($A1098="","",IF($D1098="V01",Cadrage!$C$36,IF($D1098="V02",Cadrage!$D$36,Cadrage!$E$36)))</f>
        <v>0.03</v>
      </c>
      <c r="L1098">
        <f>IF($A1098="","",IF($D1098="V01",Cadrage!$C$37,IF($D1098="V02",Cadrage!$D$37,Cadrage!$E$37)))</f>
        <v>0.03</v>
      </c>
      <c r="M1098">
        <f>IF($A1098="","",IF($D1098="V01",Cadrage!$C$38,IF($D1098="V02",Cadrage!$D$38,Cadrage!$E$38)))</f>
        <v>-0.03</v>
      </c>
      <c r="N1098">
        <f t="shared" si="1"/>
        <v>1.16083752922642</v>
      </c>
      <c r="O1098">
        <f t="shared" si="2"/>
        <v>1.16083752922642</v>
      </c>
      <c r="P1098">
        <f>IF($A1098="","",IF($E1098=1,$F1098*$O1098,PNL!G1098))</f>
        <v>2659432.34595656</v>
      </c>
      <c r="T1098">
        <f t="shared" si="3"/>
        <v>2659432.34595656</v>
      </c>
    </row>
    <row r="1099" ht="14.25" customHeight="1">
      <c r="A1099" t="str">
        <f>IF(PNL!A1099="","",PNL!A1099)</f>
        <v>ISCOM_TLS</v>
      </c>
      <c r="B1099" t="str">
        <f>IF(PNL!B1099="","",PNL!B1099)</f>
        <v>7062</v>
      </c>
      <c r="C1099" t="str">
        <f>IF(PNL!C1099="","",PNL!C1099)</f>
        <v>2027</v>
      </c>
      <c r="D1099" t="str">
        <f>IF(PNL!D1099="","",PNL!D1099)</f>
        <v>V02</v>
      </c>
      <c r="E1099">
        <f t="shared" si="0"/>
        <v>1</v>
      </c>
      <c r="F1099">
        <f>IF($A1099="","",IF($E1099=1,_xlfn.SUMIFS(Comptabilité!$F$1:$F$1446,Comptabilité!$A$1:$A$1446,$A1099,Comptabilité!$B$1:$B$1446,$B1099,Comptabilité!$C$1:$C$1446,"2026"),0))</f>
        <v>1281120</v>
      </c>
      <c r="G1099">
        <f>IF($A1099="","",IF($D1099="V01",Cadrage!$C$23,IF($D1099="V02",Cadrage!$D$23,Cadrage!$E$23)))</f>
        <v>0.15</v>
      </c>
      <c r="H1099">
        <f>IF($A1099="","",IF($D1099="V01",Cadrage!$C$24,IF($D1099="V02",Cadrage!$D$24,Cadrage!$E$24)))</f>
        <v>0.15</v>
      </c>
      <c r="I1099">
        <f>IF($A1099="","",IF($D1099="V01",Cadrage!$C$34,IF($D1099="V02",Cadrage!$D$34,Cadrage!$E$34)))</f>
        <v>0.015</v>
      </c>
      <c r="J1099">
        <f>IF($A1099="","",IF($D1099="V01",Cadrage!$C$35,IF($D1099="V02",Cadrage!$D$35,Cadrage!$E$35)))</f>
        <v>0.02</v>
      </c>
      <c r="K1099">
        <f>IF($A1099="","",IF($D1099="V01",Cadrage!$C$36,IF($D1099="V02",Cadrage!$D$36,Cadrage!$E$36)))</f>
        <v>0.03</v>
      </c>
      <c r="L1099">
        <f>IF($A1099="","",IF($D1099="V01",Cadrage!$C$37,IF($D1099="V02",Cadrage!$D$37,Cadrage!$E$37)))</f>
        <v>0.03</v>
      </c>
      <c r="M1099">
        <f>IF($A1099="","",IF($D1099="V01",Cadrage!$C$38,IF($D1099="V02",Cadrage!$D$38,Cadrage!$E$38)))</f>
        <v>-0.03</v>
      </c>
      <c r="N1099">
        <f t="shared" si="1"/>
        <v>1.16083752922642</v>
      </c>
      <c r="O1099">
        <f t="shared" si="2"/>
        <v>1.16083752922642</v>
      </c>
      <c r="P1099">
        <f>IF($A1099="","",IF($E1099=1,$F1099*$O1099,PNL!G1099))</f>
        <v>1487172.17544255</v>
      </c>
      <c r="T1099">
        <f t="shared" si="3"/>
        <v>1487172.17544255</v>
      </c>
    </row>
    <row r="1100" ht="14.25" customHeight="1">
      <c r="A1100" t="str">
        <f>IF(PNL!A1100="","",PNL!A1100)</f>
        <v>MBWAY_BOR</v>
      </c>
      <c r="B1100" t="str">
        <f>IF(PNL!B1100="","",PNL!B1100)</f>
        <v>7062</v>
      </c>
      <c r="C1100" t="str">
        <f>IF(PNL!C1100="","",PNL!C1100)</f>
        <v>2027</v>
      </c>
      <c r="D1100" t="str">
        <f>IF(PNL!D1100="","",PNL!D1100)</f>
        <v>V02</v>
      </c>
      <c r="E1100">
        <f t="shared" si="0"/>
        <v>1</v>
      </c>
      <c r="F1100">
        <f>IF($A1100="","",IF($E1100=1,_xlfn.SUMIFS(Comptabilité!$F$1:$F$1446,Comptabilité!$A$1:$A$1446,$A1100,Comptabilité!$B$1:$B$1446,$B1100,Comptabilité!$C$1:$C$1446,"2026"),0))</f>
        <v>1393405</v>
      </c>
      <c r="G1100">
        <f>IF($A1100="","",IF($D1100="V01",Cadrage!$C$23,IF($D1100="V02",Cadrage!$D$23,Cadrage!$E$23)))</f>
        <v>0.15</v>
      </c>
      <c r="H1100">
        <f>IF($A1100="","",IF($D1100="V01",Cadrage!$C$24,IF($D1100="V02",Cadrage!$D$24,Cadrage!$E$24)))</f>
        <v>0.15</v>
      </c>
      <c r="I1100">
        <f>IF($A1100="","",IF($D1100="V01",Cadrage!$C$34,IF($D1100="V02",Cadrage!$D$34,Cadrage!$E$34)))</f>
        <v>0.015</v>
      </c>
      <c r="J1100">
        <f>IF($A1100="","",IF($D1100="V01",Cadrage!$C$35,IF($D1100="V02",Cadrage!$D$35,Cadrage!$E$35)))</f>
        <v>0.02</v>
      </c>
      <c r="K1100">
        <f>IF($A1100="","",IF($D1100="V01",Cadrage!$C$36,IF($D1100="V02",Cadrage!$D$36,Cadrage!$E$36)))</f>
        <v>0.03</v>
      </c>
      <c r="L1100">
        <f>IF($A1100="","",IF($D1100="V01",Cadrage!$C$37,IF($D1100="V02",Cadrage!$D$37,Cadrage!$E$37)))</f>
        <v>0.03</v>
      </c>
      <c r="M1100">
        <f>IF($A1100="","",IF($D1100="V01",Cadrage!$C$38,IF($D1100="V02",Cadrage!$D$38,Cadrage!$E$38)))</f>
        <v>-0.03</v>
      </c>
      <c r="N1100">
        <f t="shared" si="1"/>
        <v>1.16083752922642</v>
      </c>
      <c r="O1100">
        <f t="shared" si="2"/>
        <v>1.16083752922642</v>
      </c>
      <c r="P1100">
        <f>IF($A1100="","",IF($E1100=1,$F1100*$O1100,PNL!G1100))</f>
        <v>1617516.81741174</v>
      </c>
      <c r="T1100">
        <f t="shared" si="3"/>
        <v>1617516.81741174</v>
      </c>
    </row>
    <row r="1101" ht="14.25" customHeight="1">
      <c r="A1101" t="str">
        <f>IF(PNL!A1101="","",PNL!A1101)</f>
        <v>MBWAY_LYO</v>
      </c>
      <c r="B1101" t="str">
        <f>IF(PNL!B1101="","",PNL!B1101)</f>
        <v>7062</v>
      </c>
      <c r="C1101" t="str">
        <f>IF(PNL!C1101="","",PNL!C1101)</f>
        <v>2027</v>
      </c>
      <c r="D1101" t="str">
        <f>IF(PNL!D1101="","",PNL!D1101)</f>
        <v>V02</v>
      </c>
      <c r="E1101">
        <f t="shared" si="0"/>
        <v>1</v>
      </c>
      <c r="F1101">
        <f>IF($A1101="","",IF($E1101=1,_xlfn.SUMIFS(Comptabilité!$F$1:$F$1446,Comptabilité!$A$1:$A$1446,$A1101,Comptabilité!$B$1:$B$1446,$B1101,Comptabilité!$C$1:$C$1446,"2026"),0))</f>
        <v>1965075</v>
      </c>
      <c r="G1101">
        <f>IF($A1101="","",IF($D1101="V01",Cadrage!$C$23,IF($D1101="V02",Cadrage!$D$23,Cadrage!$E$23)))</f>
        <v>0.15</v>
      </c>
      <c r="H1101">
        <f>IF($A1101="","",IF($D1101="V01",Cadrage!$C$24,IF($D1101="V02",Cadrage!$D$24,Cadrage!$E$24)))</f>
        <v>0.15</v>
      </c>
      <c r="I1101">
        <f>IF($A1101="","",IF($D1101="V01",Cadrage!$C$34,IF($D1101="V02",Cadrage!$D$34,Cadrage!$E$34)))</f>
        <v>0.015</v>
      </c>
      <c r="J1101">
        <f>IF($A1101="","",IF($D1101="V01",Cadrage!$C$35,IF($D1101="V02",Cadrage!$D$35,Cadrage!$E$35)))</f>
        <v>0.02</v>
      </c>
      <c r="K1101">
        <f>IF($A1101="","",IF($D1101="V01",Cadrage!$C$36,IF($D1101="V02",Cadrage!$D$36,Cadrage!$E$36)))</f>
        <v>0.03</v>
      </c>
      <c r="L1101">
        <f>IF($A1101="","",IF($D1101="V01",Cadrage!$C$37,IF($D1101="V02",Cadrage!$D$37,Cadrage!$E$37)))</f>
        <v>0.03</v>
      </c>
      <c r="M1101">
        <f>IF($A1101="","",IF($D1101="V01",Cadrage!$C$38,IF($D1101="V02",Cadrage!$D$38,Cadrage!$E$38)))</f>
        <v>-0.03</v>
      </c>
      <c r="N1101">
        <f t="shared" si="1"/>
        <v>1.16083752922642</v>
      </c>
      <c r="O1101">
        <f t="shared" si="2"/>
        <v>1.16083752922642</v>
      </c>
      <c r="P1101">
        <f>IF($A1101="","",IF($E1101=1,$F1101*$O1101,PNL!G1101))</f>
        <v>2281132.80774461</v>
      </c>
      <c r="T1101">
        <f t="shared" si="3"/>
        <v>2281132.80774461</v>
      </c>
    </row>
    <row r="1102" ht="14.25" customHeight="1">
      <c r="A1102" t="str">
        <f>IF(PNL!A1102="","",PNL!A1102)</f>
        <v>MBWAY_NAN</v>
      </c>
      <c r="B1102" t="str">
        <f>IF(PNL!B1102="","",PNL!B1102)</f>
        <v>7062</v>
      </c>
      <c r="C1102" t="str">
        <f>IF(PNL!C1102="","",PNL!C1102)</f>
        <v>2027</v>
      </c>
      <c r="D1102" t="str">
        <f>IF(PNL!D1102="","",PNL!D1102)</f>
        <v>V02</v>
      </c>
      <c r="E1102">
        <f t="shared" si="0"/>
        <v>1</v>
      </c>
      <c r="F1102">
        <f>IF($A1102="","",IF($E1102=1,_xlfn.SUMIFS(Comptabilité!$F$1:$F$1446,Comptabilité!$A$1:$A$1446,$A1102,Comptabilité!$B$1:$B$1446,$B1102,Comptabilité!$C$1:$C$1446,"2026"),0))</f>
        <v>1697500</v>
      </c>
      <c r="G1102">
        <f>IF($A1102="","",IF($D1102="V01",Cadrage!$C$23,IF($D1102="V02",Cadrage!$D$23,Cadrage!$E$23)))</f>
        <v>0.15</v>
      </c>
      <c r="H1102">
        <f>IF($A1102="","",IF($D1102="V01",Cadrage!$C$24,IF($D1102="V02",Cadrage!$D$24,Cadrage!$E$24)))</f>
        <v>0.15</v>
      </c>
      <c r="I1102">
        <f>IF($A1102="","",IF($D1102="V01",Cadrage!$C$34,IF($D1102="V02",Cadrage!$D$34,Cadrage!$E$34)))</f>
        <v>0.015</v>
      </c>
      <c r="J1102">
        <f>IF($A1102="","",IF($D1102="V01",Cadrage!$C$35,IF($D1102="V02",Cadrage!$D$35,Cadrage!$E$35)))</f>
        <v>0.02</v>
      </c>
      <c r="K1102">
        <f>IF($A1102="","",IF($D1102="V01",Cadrage!$C$36,IF($D1102="V02",Cadrage!$D$36,Cadrage!$E$36)))</f>
        <v>0.03</v>
      </c>
      <c r="L1102">
        <f>IF($A1102="","",IF($D1102="V01",Cadrage!$C$37,IF($D1102="V02",Cadrage!$D$37,Cadrage!$E$37)))</f>
        <v>0.03</v>
      </c>
      <c r="M1102">
        <f>IF($A1102="","",IF($D1102="V01",Cadrage!$C$38,IF($D1102="V02",Cadrage!$D$38,Cadrage!$E$38)))</f>
        <v>-0.03</v>
      </c>
      <c r="N1102">
        <f t="shared" si="1"/>
        <v>1.16083752922642</v>
      </c>
      <c r="O1102">
        <f t="shared" si="2"/>
        <v>1.16083752922642</v>
      </c>
      <c r="P1102">
        <f>IF($A1102="","",IF($E1102=1,$F1102*$O1102,PNL!G1102))</f>
        <v>1970521.70586185</v>
      </c>
      <c r="T1102">
        <f t="shared" si="3"/>
        <v>1970521.70586185</v>
      </c>
    </row>
    <row r="1103" ht="14.25" customHeight="1">
      <c r="A1103" t="str">
        <f>IF(PNL!A1103="","",PNL!A1103)</f>
        <v>MBWAY_PAR</v>
      </c>
      <c r="B1103" t="str">
        <f>IF(PNL!B1103="","",PNL!B1103)</f>
        <v>7062</v>
      </c>
      <c r="C1103" t="str">
        <f>IF(PNL!C1103="","",PNL!C1103)</f>
        <v>2027</v>
      </c>
      <c r="D1103" t="str">
        <f>IF(PNL!D1103="","",PNL!D1103)</f>
        <v>V02</v>
      </c>
      <c r="E1103">
        <f t="shared" si="0"/>
        <v>1</v>
      </c>
      <c r="F1103">
        <f>IF($A1103="","",IF($E1103=1,_xlfn.SUMIFS(Comptabilité!$F$1:$F$1446,Comptabilité!$A$1:$A$1446,$A1103,Comptabilité!$B$1:$B$1446,$B1103,Comptabilité!$C$1:$C$1446,"2026"),0))</f>
        <v>2469600</v>
      </c>
      <c r="G1103">
        <f>IF($A1103="","",IF($D1103="V01",Cadrage!$C$23,IF($D1103="V02",Cadrage!$D$23,Cadrage!$E$23)))</f>
        <v>0.15</v>
      </c>
      <c r="H1103">
        <f>IF($A1103="","",IF($D1103="V01",Cadrage!$C$24,IF($D1103="V02",Cadrage!$D$24,Cadrage!$E$24)))</f>
        <v>0.15</v>
      </c>
      <c r="I1103">
        <f>IF($A1103="","",IF($D1103="V01",Cadrage!$C$34,IF($D1103="V02",Cadrage!$D$34,Cadrage!$E$34)))</f>
        <v>0.015</v>
      </c>
      <c r="J1103">
        <f>IF($A1103="","",IF($D1103="V01",Cadrage!$C$35,IF($D1103="V02",Cadrage!$D$35,Cadrage!$E$35)))</f>
        <v>0.02</v>
      </c>
      <c r="K1103">
        <f>IF($A1103="","",IF($D1103="V01",Cadrage!$C$36,IF($D1103="V02",Cadrage!$D$36,Cadrage!$E$36)))</f>
        <v>0.03</v>
      </c>
      <c r="L1103">
        <f>IF($A1103="","",IF($D1103="V01",Cadrage!$C$37,IF($D1103="V02",Cadrage!$D$37,Cadrage!$E$37)))</f>
        <v>0.03</v>
      </c>
      <c r="M1103">
        <f>IF($A1103="","",IF($D1103="V01",Cadrage!$C$38,IF($D1103="V02",Cadrage!$D$38,Cadrage!$E$38)))</f>
        <v>-0.03</v>
      </c>
      <c r="N1103">
        <f t="shared" si="1"/>
        <v>1.16083752922642</v>
      </c>
      <c r="O1103">
        <f t="shared" si="2"/>
        <v>1.16083752922642</v>
      </c>
      <c r="P1103">
        <f>IF($A1103="","",IF($E1103=1,$F1103*$O1103,PNL!G1103))</f>
        <v>2866804.36217757</v>
      </c>
      <c r="T1103">
        <f t="shared" si="3"/>
        <v>2866804.36217757</v>
      </c>
    </row>
    <row r="1104" ht="14.25" customHeight="1">
      <c r="A1104" t="str">
        <f>IF(PNL!A1104="","",PNL!A1104)</f>
        <v>PIGIER_BOR</v>
      </c>
      <c r="B1104" t="str">
        <f>IF(PNL!B1104="","",PNL!B1104)</f>
        <v>7062</v>
      </c>
      <c r="C1104" t="str">
        <f>IF(PNL!C1104="","",PNL!C1104)</f>
        <v>2027</v>
      </c>
      <c r="D1104" t="str">
        <f>IF(PNL!D1104="","",PNL!D1104)</f>
        <v>V02</v>
      </c>
      <c r="E1104">
        <f t="shared" si="0"/>
        <v>1</v>
      </c>
      <c r="F1104">
        <f>IF($A1104="","",IF($E1104=1,_xlfn.SUMIFS(Comptabilité!$F$1:$F$1446,Comptabilité!$A$1:$A$1446,$A1104,Comptabilité!$B$1:$B$1446,$B1104,Comptabilité!$C$1:$C$1446,"2026"),0))</f>
        <v>1126170</v>
      </c>
      <c r="G1104">
        <f>IF($A1104="","",IF($D1104="V01",Cadrage!$C$23,IF($D1104="V02",Cadrage!$D$23,Cadrage!$E$23)))</f>
        <v>0.15</v>
      </c>
      <c r="H1104">
        <f>IF($A1104="","",IF($D1104="V01",Cadrage!$C$24,IF($D1104="V02",Cadrage!$D$24,Cadrage!$E$24)))</f>
        <v>0.15</v>
      </c>
      <c r="I1104">
        <f>IF($A1104="","",IF($D1104="V01",Cadrage!$C$34,IF($D1104="V02",Cadrage!$D$34,Cadrage!$E$34)))</f>
        <v>0.015</v>
      </c>
      <c r="J1104">
        <f>IF($A1104="","",IF($D1104="V01",Cadrage!$C$35,IF($D1104="V02",Cadrage!$D$35,Cadrage!$E$35)))</f>
        <v>0.02</v>
      </c>
      <c r="K1104">
        <f>IF($A1104="","",IF($D1104="V01",Cadrage!$C$36,IF($D1104="V02",Cadrage!$D$36,Cadrage!$E$36)))</f>
        <v>0.03</v>
      </c>
      <c r="L1104">
        <f>IF($A1104="","",IF($D1104="V01",Cadrage!$C$37,IF($D1104="V02",Cadrage!$D$37,Cadrage!$E$37)))</f>
        <v>0.03</v>
      </c>
      <c r="M1104">
        <f>IF($A1104="","",IF($D1104="V01",Cadrage!$C$38,IF($D1104="V02",Cadrage!$D$38,Cadrage!$E$38)))</f>
        <v>-0.03</v>
      </c>
      <c r="N1104">
        <f t="shared" si="1"/>
        <v>1.16083752922642</v>
      </c>
      <c r="O1104">
        <f t="shared" si="2"/>
        <v>1.16083752922642</v>
      </c>
      <c r="P1104">
        <f>IF($A1104="","",IF($E1104=1,$F1104*$O1104,PNL!G1104))</f>
        <v>1307300.40028892</v>
      </c>
      <c r="T1104">
        <f t="shared" si="3"/>
        <v>1307300.40028892</v>
      </c>
    </row>
    <row r="1105" ht="14.25" customHeight="1">
      <c r="A1105" t="str">
        <f>IF(PNL!A1105="","",PNL!A1105)</f>
        <v>PIGIER_LYO</v>
      </c>
      <c r="B1105" t="str">
        <f>IF(PNL!B1105="","",PNL!B1105)</f>
        <v>7062</v>
      </c>
      <c r="C1105" t="str">
        <f>IF(PNL!C1105="","",PNL!C1105)</f>
        <v>2027</v>
      </c>
      <c r="D1105" t="str">
        <f>IF(PNL!D1105="","",PNL!D1105)</f>
        <v>V02</v>
      </c>
      <c r="E1105">
        <f t="shared" si="0"/>
        <v>1</v>
      </c>
      <c r="F1105">
        <f>IF($A1105="","",IF($E1105=1,_xlfn.SUMIFS(Comptabilité!$F$1:$F$1446,Comptabilité!$A$1:$A$1446,$A1105,Comptabilité!$B$1:$B$1446,$B1105,Comptabilité!$C$1:$C$1446,"2026"),0))</f>
        <v>1565550</v>
      </c>
      <c r="G1105">
        <f>IF($A1105="","",IF($D1105="V01",Cadrage!$C$23,IF($D1105="V02",Cadrage!$D$23,Cadrage!$E$23)))</f>
        <v>0.15</v>
      </c>
      <c r="H1105">
        <f>IF($A1105="","",IF($D1105="V01",Cadrage!$C$24,IF($D1105="V02",Cadrage!$D$24,Cadrage!$E$24)))</f>
        <v>0.15</v>
      </c>
      <c r="I1105">
        <f>IF($A1105="","",IF($D1105="V01",Cadrage!$C$34,IF($D1105="V02",Cadrage!$D$34,Cadrage!$E$34)))</f>
        <v>0.015</v>
      </c>
      <c r="J1105">
        <f>IF($A1105="","",IF($D1105="V01",Cadrage!$C$35,IF($D1105="V02",Cadrage!$D$35,Cadrage!$E$35)))</f>
        <v>0.02</v>
      </c>
      <c r="K1105">
        <f>IF($A1105="","",IF($D1105="V01",Cadrage!$C$36,IF($D1105="V02",Cadrage!$D$36,Cadrage!$E$36)))</f>
        <v>0.03</v>
      </c>
      <c r="L1105">
        <f>IF($A1105="","",IF($D1105="V01",Cadrage!$C$37,IF($D1105="V02",Cadrage!$D$37,Cadrage!$E$37)))</f>
        <v>0.03</v>
      </c>
      <c r="M1105">
        <f>IF($A1105="","",IF($D1105="V01",Cadrage!$C$38,IF($D1105="V02",Cadrage!$D$38,Cadrage!$E$38)))</f>
        <v>-0.03</v>
      </c>
      <c r="N1105">
        <f t="shared" si="1"/>
        <v>1.16083752922642</v>
      </c>
      <c r="O1105">
        <f t="shared" si="2"/>
        <v>1.16083752922642</v>
      </c>
      <c r="P1105">
        <f>IF($A1105="","",IF($E1105=1,$F1105*$O1105,PNL!G1105))</f>
        <v>1817349.19388042</v>
      </c>
      <c r="T1105">
        <f t="shared" si="3"/>
        <v>1817349.19388042</v>
      </c>
    </row>
    <row r="1106" ht="14.25" customHeight="1">
      <c r="A1106" t="str">
        <f>IF(PNL!A1106="","",PNL!A1106)</f>
        <v>TUNON_LYO</v>
      </c>
      <c r="B1106" t="str">
        <f>IF(PNL!B1106="","",PNL!B1106)</f>
        <v>7062</v>
      </c>
      <c r="C1106" t="str">
        <f>IF(PNL!C1106="","",PNL!C1106)</f>
        <v>2027</v>
      </c>
      <c r="D1106" t="str">
        <f>IF(PNL!D1106="","",PNL!D1106)</f>
        <v>V02</v>
      </c>
      <c r="E1106">
        <f t="shared" si="0"/>
        <v>1</v>
      </c>
      <c r="F1106">
        <f>IF($A1106="","",IF($E1106=1,_xlfn.SUMIFS(Comptabilité!$F$1:$F$1446,Comptabilité!$A$1:$A$1446,$A1106,Comptabilité!$B$1:$B$1446,$B1106,Comptabilité!$C$1:$C$1446,"2026"),0))</f>
        <v>859950</v>
      </c>
      <c r="G1106">
        <f>IF($A1106="","",IF($D1106="V01",Cadrage!$C$23,IF($D1106="V02",Cadrage!$D$23,Cadrage!$E$23)))</f>
        <v>0.15</v>
      </c>
      <c r="H1106">
        <f>IF($A1106="","",IF($D1106="V01",Cadrage!$C$24,IF($D1106="V02",Cadrage!$D$24,Cadrage!$E$24)))</f>
        <v>0.15</v>
      </c>
      <c r="I1106">
        <f>IF($A1106="","",IF($D1106="V01",Cadrage!$C$34,IF($D1106="V02",Cadrage!$D$34,Cadrage!$E$34)))</f>
        <v>0.015</v>
      </c>
      <c r="J1106">
        <f>IF($A1106="","",IF($D1106="V01",Cadrage!$C$35,IF($D1106="V02",Cadrage!$D$35,Cadrage!$E$35)))</f>
        <v>0.02</v>
      </c>
      <c r="K1106">
        <f>IF($A1106="","",IF($D1106="V01",Cadrage!$C$36,IF($D1106="V02",Cadrage!$D$36,Cadrage!$E$36)))</f>
        <v>0.03</v>
      </c>
      <c r="L1106">
        <f>IF($A1106="","",IF($D1106="V01",Cadrage!$C$37,IF($D1106="V02",Cadrage!$D$37,Cadrage!$E$37)))</f>
        <v>0.03</v>
      </c>
      <c r="M1106">
        <f>IF($A1106="","",IF($D1106="V01",Cadrage!$C$38,IF($D1106="V02",Cadrage!$D$38,Cadrage!$E$38)))</f>
        <v>-0.03</v>
      </c>
      <c r="N1106">
        <f t="shared" si="1"/>
        <v>1.16083752922642</v>
      </c>
      <c r="O1106">
        <f t="shared" si="2"/>
        <v>1.16083752922642</v>
      </c>
      <c r="P1106">
        <f>IF($A1106="","",IF($E1106=1,$F1106*$O1106,PNL!G1106))</f>
        <v>998262.23325826</v>
      </c>
      <c r="T1106">
        <f t="shared" si="3"/>
        <v>998262.23325826</v>
      </c>
    </row>
    <row r="1107" ht="14.25" customHeight="1">
      <c r="A1107" t="str">
        <f>IF(PNL!A1107="","",PNL!A1107)</f>
        <v>TUNON_PAR</v>
      </c>
      <c r="B1107" t="str">
        <f>IF(PNL!B1107="","",PNL!B1107)</f>
        <v>7062</v>
      </c>
      <c r="C1107" t="str">
        <f>IF(PNL!C1107="","",PNL!C1107)</f>
        <v>2027</v>
      </c>
      <c r="D1107" t="str">
        <f>IF(PNL!D1107="","",PNL!D1107)</f>
        <v>V02</v>
      </c>
      <c r="E1107">
        <f t="shared" si="0"/>
        <v>1</v>
      </c>
      <c r="F1107">
        <f>IF($A1107="","",IF($E1107=1,_xlfn.SUMIFS(Comptabilité!$F$1:$F$1446,Comptabilité!$A$1:$A$1446,$A1107,Comptabilité!$B$1:$B$1446,$B1107,Comptabilité!$C$1:$C$1446,"2026"),0))</f>
        <v>1081920</v>
      </c>
      <c r="G1107">
        <f>IF($A1107="","",IF($D1107="V01",Cadrage!$C$23,IF($D1107="V02",Cadrage!$D$23,Cadrage!$E$23)))</f>
        <v>0.15</v>
      </c>
      <c r="H1107">
        <f>IF($A1107="","",IF($D1107="V01",Cadrage!$C$24,IF($D1107="V02",Cadrage!$D$24,Cadrage!$E$24)))</f>
        <v>0.15</v>
      </c>
      <c r="I1107">
        <f>IF($A1107="","",IF($D1107="V01",Cadrage!$C$34,IF($D1107="V02",Cadrage!$D$34,Cadrage!$E$34)))</f>
        <v>0.015</v>
      </c>
      <c r="J1107">
        <f>IF($A1107="","",IF($D1107="V01",Cadrage!$C$35,IF($D1107="V02",Cadrage!$D$35,Cadrage!$E$35)))</f>
        <v>0.02</v>
      </c>
      <c r="K1107">
        <f>IF($A1107="","",IF($D1107="V01",Cadrage!$C$36,IF($D1107="V02",Cadrage!$D$36,Cadrage!$E$36)))</f>
        <v>0.03</v>
      </c>
      <c r="L1107">
        <f>IF($A1107="","",IF($D1107="V01",Cadrage!$C$37,IF($D1107="V02",Cadrage!$D$37,Cadrage!$E$37)))</f>
        <v>0.03</v>
      </c>
      <c r="M1107">
        <f>IF($A1107="","",IF($D1107="V01",Cadrage!$C$38,IF($D1107="V02",Cadrage!$D$38,Cadrage!$E$38)))</f>
        <v>-0.03</v>
      </c>
      <c r="N1107">
        <f t="shared" si="1"/>
        <v>1.16083752922642</v>
      </c>
      <c r="O1107">
        <f t="shared" si="2"/>
        <v>1.16083752922642</v>
      </c>
      <c r="P1107">
        <f>IF($A1107="","",IF($E1107=1,$F1107*$O1107,PNL!G1107))</f>
        <v>1255933.33962065</v>
      </c>
      <c r="T1107">
        <f t="shared" si="3"/>
        <v>1255933.33962065</v>
      </c>
    </row>
    <row r="1108" ht="14.25" customHeight="1">
      <c r="A1108" t="str">
        <f>IF(PNL!A1108="","",PNL!A1108)</f>
        <v>IPAC_MTP</v>
      </c>
      <c r="B1108" t="str">
        <f>IF(PNL!B1108="","",PNL!B1108)</f>
        <v>708</v>
      </c>
      <c r="C1108" t="str">
        <f>IF(PNL!C1108="","",PNL!C1108)</f>
        <v>2027</v>
      </c>
      <c r="D1108" t="str">
        <f>IF(PNL!D1108="","",PNL!D1108)</f>
        <v>V02</v>
      </c>
      <c r="E1108">
        <f t="shared" si="0"/>
        <v>1</v>
      </c>
      <c r="F1108">
        <f>IF($A1108="","",IF($E1108=1,_xlfn.SUMIFS(Comptabilité!$F$1:$F$1446,Comptabilité!$A$1:$A$1446,$A1108,Comptabilité!$B$1:$B$1446,$B1108,Comptabilité!$C$1:$C$1446,"2026"),0))</f>
        <v>3600</v>
      </c>
      <c r="G1108">
        <f>IF($A1108="","",IF($D1108="V01",Cadrage!$C$23,IF($D1108="V02",Cadrage!$D$23,Cadrage!$E$23)))</f>
        <v>0.15</v>
      </c>
      <c r="H1108">
        <f>IF($A1108="","",IF($D1108="V01",Cadrage!$C$24,IF($D1108="V02",Cadrage!$D$24,Cadrage!$E$24)))</f>
        <v>0.15</v>
      </c>
      <c r="I1108">
        <f>IF($A1108="","",IF($D1108="V01",Cadrage!$C$34,IF($D1108="V02",Cadrage!$D$34,Cadrage!$E$34)))</f>
        <v>0.015</v>
      </c>
      <c r="J1108">
        <f>IF($A1108="","",IF($D1108="V01",Cadrage!$C$35,IF($D1108="V02",Cadrage!$D$35,Cadrage!$E$35)))</f>
        <v>0.02</v>
      </c>
      <c r="K1108">
        <f>IF($A1108="","",IF($D1108="V01",Cadrage!$C$36,IF($D1108="V02",Cadrage!$D$36,Cadrage!$E$36)))</f>
        <v>0.03</v>
      </c>
      <c r="L1108">
        <f>IF($A1108="","",IF($D1108="V01",Cadrage!$C$37,IF($D1108="V02",Cadrage!$D$37,Cadrage!$E$37)))</f>
        <v>0.03</v>
      </c>
      <c r="M1108">
        <f>IF($A1108="","",IF($D1108="V01",Cadrage!$C$38,IF($D1108="V02",Cadrage!$D$38,Cadrage!$E$38)))</f>
        <v>-0.03</v>
      </c>
      <c r="N1108">
        <f t="shared" si="1"/>
        <v>1.16083752922642</v>
      </c>
      <c r="O1108">
        <f t="shared" si="2"/>
        <v>1.16083752922642</v>
      </c>
      <c r="P1108">
        <f>IF($A1108="","",IF($E1108=1,$F1108*$O1108,PNL!G1108))</f>
        <v>4179.01510521511</v>
      </c>
      <c r="T1108">
        <f t="shared" si="3"/>
        <v>4179.01510521511</v>
      </c>
    </row>
    <row r="1109" ht="14.25" customHeight="1">
      <c r="A1109" t="str">
        <f>IF(PNL!A1109="","",PNL!A1109)</f>
        <v>IPAC_NAN</v>
      </c>
      <c r="B1109" t="str">
        <f>IF(PNL!B1109="","",PNL!B1109)</f>
        <v>708</v>
      </c>
      <c r="C1109" t="str">
        <f>IF(PNL!C1109="","",PNL!C1109)</f>
        <v>2027</v>
      </c>
      <c r="D1109" t="str">
        <f>IF(PNL!D1109="","",PNL!D1109)</f>
        <v>V02</v>
      </c>
      <c r="E1109">
        <f t="shared" si="0"/>
        <v>1</v>
      </c>
      <c r="F1109">
        <f>IF($A1109="","",IF($E1109=1,_xlfn.SUMIFS(Comptabilité!$F$1:$F$1446,Comptabilité!$A$1:$A$1446,$A1109,Comptabilité!$B$1:$B$1446,$B1109,Comptabilité!$C$1:$C$1446,"2026"),0))</f>
        <v>4500</v>
      </c>
      <c r="G1109">
        <f>IF($A1109="","",IF($D1109="V01",Cadrage!$C$23,IF($D1109="V02",Cadrage!$D$23,Cadrage!$E$23)))</f>
        <v>0.15</v>
      </c>
      <c r="H1109">
        <f>IF($A1109="","",IF($D1109="V01",Cadrage!$C$24,IF($D1109="V02",Cadrage!$D$24,Cadrage!$E$24)))</f>
        <v>0.15</v>
      </c>
      <c r="I1109">
        <f>IF($A1109="","",IF($D1109="V01",Cadrage!$C$34,IF($D1109="V02",Cadrage!$D$34,Cadrage!$E$34)))</f>
        <v>0.015</v>
      </c>
      <c r="J1109">
        <f>IF($A1109="","",IF($D1109="V01",Cadrage!$C$35,IF($D1109="V02",Cadrage!$D$35,Cadrage!$E$35)))</f>
        <v>0.02</v>
      </c>
      <c r="K1109">
        <f>IF($A1109="","",IF($D1109="V01",Cadrage!$C$36,IF($D1109="V02",Cadrage!$D$36,Cadrage!$E$36)))</f>
        <v>0.03</v>
      </c>
      <c r="L1109">
        <f>IF($A1109="","",IF($D1109="V01",Cadrage!$C$37,IF($D1109="V02",Cadrage!$D$37,Cadrage!$E$37)))</f>
        <v>0.03</v>
      </c>
      <c r="M1109">
        <f>IF($A1109="","",IF($D1109="V01",Cadrage!$C$38,IF($D1109="V02",Cadrage!$D$38,Cadrage!$E$38)))</f>
        <v>-0.03</v>
      </c>
      <c r="N1109">
        <f t="shared" si="1"/>
        <v>1.16083752922642</v>
      </c>
      <c r="O1109">
        <f t="shared" si="2"/>
        <v>1.16083752922642</v>
      </c>
      <c r="P1109">
        <f>IF($A1109="","",IF($E1109=1,$F1109*$O1109,PNL!G1109))</f>
        <v>5223.76888151889</v>
      </c>
      <c r="T1109">
        <f t="shared" si="3"/>
        <v>5223.76888151889</v>
      </c>
    </row>
    <row r="1110" ht="14.25" customHeight="1">
      <c r="A1110" t="str">
        <f>IF(PNL!A1110="","",PNL!A1110)</f>
        <v>IPAC_REN</v>
      </c>
      <c r="B1110" t="str">
        <f>IF(PNL!B1110="","",PNL!B1110)</f>
        <v>708</v>
      </c>
      <c r="C1110" t="str">
        <f>IF(PNL!C1110="","",PNL!C1110)</f>
        <v>2027</v>
      </c>
      <c r="D1110" t="str">
        <f>IF(PNL!D1110="","",PNL!D1110)</f>
        <v>V02</v>
      </c>
      <c r="E1110">
        <f t="shared" si="0"/>
        <v>1</v>
      </c>
      <c r="F1110">
        <f>IF($A1110="","",IF($E1110=1,_xlfn.SUMIFS(Comptabilité!$F$1:$F$1446,Comptabilité!$A$1:$A$1446,$A1110,Comptabilité!$B$1:$B$1446,$B1110,Comptabilité!$C$1:$C$1446,"2026"),0))</f>
        <v>3600</v>
      </c>
      <c r="G1110">
        <f>IF($A1110="","",IF($D1110="V01",Cadrage!$C$23,IF($D1110="V02",Cadrage!$D$23,Cadrage!$E$23)))</f>
        <v>0.15</v>
      </c>
      <c r="H1110">
        <f>IF($A1110="","",IF($D1110="V01",Cadrage!$C$24,IF($D1110="V02",Cadrage!$D$24,Cadrage!$E$24)))</f>
        <v>0.15</v>
      </c>
      <c r="I1110">
        <f>IF($A1110="","",IF($D1110="V01",Cadrage!$C$34,IF($D1110="V02",Cadrage!$D$34,Cadrage!$E$34)))</f>
        <v>0.015</v>
      </c>
      <c r="J1110">
        <f>IF($A1110="","",IF($D1110="V01",Cadrage!$C$35,IF($D1110="V02",Cadrage!$D$35,Cadrage!$E$35)))</f>
        <v>0.02</v>
      </c>
      <c r="K1110">
        <f>IF($A1110="","",IF($D1110="V01",Cadrage!$C$36,IF($D1110="V02",Cadrage!$D$36,Cadrage!$E$36)))</f>
        <v>0.03</v>
      </c>
      <c r="L1110">
        <f>IF($A1110="","",IF($D1110="V01",Cadrage!$C$37,IF($D1110="V02",Cadrage!$D$37,Cadrage!$E$37)))</f>
        <v>0.03</v>
      </c>
      <c r="M1110">
        <f>IF($A1110="","",IF($D1110="V01",Cadrage!$C$38,IF($D1110="V02",Cadrage!$D$38,Cadrage!$E$38)))</f>
        <v>-0.03</v>
      </c>
      <c r="N1110">
        <f t="shared" si="1"/>
        <v>1.16083752922642</v>
      </c>
      <c r="O1110">
        <f t="shared" si="2"/>
        <v>1.16083752922642</v>
      </c>
      <c r="P1110">
        <f>IF($A1110="","",IF($E1110=1,$F1110*$O1110,PNL!G1110))</f>
        <v>4179.01510521511</v>
      </c>
      <c r="T1110">
        <f t="shared" si="3"/>
        <v>4179.01510521511</v>
      </c>
    </row>
    <row r="1111" ht="14.25" customHeight="1">
      <c r="A1111" t="str">
        <f>IF(PNL!A1111="","",PNL!A1111)</f>
        <v>ISCOM_LIL</v>
      </c>
      <c r="B1111" t="str">
        <f>IF(PNL!B1111="","",PNL!B1111)</f>
        <v>708</v>
      </c>
      <c r="C1111" t="str">
        <f>IF(PNL!C1111="","",PNL!C1111)</f>
        <v>2027</v>
      </c>
      <c r="D1111" t="str">
        <f>IF(PNL!D1111="","",PNL!D1111)</f>
        <v>V02</v>
      </c>
      <c r="E1111">
        <f t="shared" si="0"/>
        <v>1</v>
      </c>
      <c r="F1111">
        <f>IF($A1111="","",IF($E1111=1,_xlfn.SUMIFS(Comptabilité!$F$1:$F$1446,Comptabilité!$A$1:$A$1446,$A1111,Comptabilité!$B$1:$B$1446,$B1111,Comptabilité!$C$1:$C$1446,"2026"),0))</f>
        <v>9000</v>
      </c>
      <c r="G1111">
        <f>IF($A1111="","",IF($D1111="V01",Cadrage!$C$23,IF($D1111="V02",Cadrage!$D$23,Cadrage!$E$23)))</f>
        <v>0.15</v>
      </c>
      <c r="H1111">
        <f>IF($A1111="","",IF($D1111="V01",Cadrage!$C$24,IF($D1111="V02",Cadrage!$D$24,Cadrage!$E$24)))</f>
        <v>0.15</v>
      </c>
      <c r="I1111">
        <f>IF($A1111="","",IF($D1111="V01",Cadrage!$C$34,IF($D1111="V02",Cadrage!$D$34,Cadrage!$E$34)))</f>
        <v>0.015</v>
      </c>
      <c r="J1111">
        <f>IF($A1111="","",IF($D1111="V01",Cadrage!$C$35,IF($D1111="V02",Cadrage!$D$35,Cadrage!$E$35)))</f>
        <v>0.02</v>
      </c>
      <c r="K1111">
        <f>IF($A1111="","",IF($D1111="V01",Cadrage!$C$36,IF($D1111="V02",Cadrage!$D$36,Cadrage!$E$36)))</f>
        <v>0.03</v>
      </c>
      <c r="L1111">
        <f>IF($A1111="","",IF($D1111="V01",Cadrage!$C$37,IF($D1111="V02",Cadrage!$D$37,Cadrage!$E$37)))</f>
        <v>0.03</v>
      </c>
      <c r="M1111">
        <f>IF($A1111="","",IF($D1111="V01",Cadrage!$C$38,IF($D1111="V02",Cadrage!$D$38,Cadrage!$E$38)))</f>
        <v>-0.03</v>
      </c>
      <c r="N1111">
        <f t="shared" si="1"/>
        <v>1.16083752922642</v>
      </c>
      <c r="O1111">
        <f t="shared" si="2"/>
        <v>1.16083752922642</v>
      </c>
      <c r="P1111">
        <f>IF($A1111="","",IF($E1111=1,$F1111*$O1111,PNL!G1111))</f>
        <v>10447.5377630378</v>
      </c>
      <c r="T1111">
        <f t="shared" si="3"/>
        <v>10447.5377630378</v>
      </c>
    </row>
    <row r="1112" ht="14.25" customHeight="1">
      <c r="A1112" t="str">
        <f>IF(PNL!A1112="","",PNL!A1112)</f>
        <v>ISCOM_PAR</v>
      </c>
      <c r="B1112" t="str">
        <f>IF(PNL!B1112="","",PNL!B1112)</f>
        <v>708</v>
      </c>
      <c r="C1112" t="str">
        <f>IF(PNL!C1112="","",PNL!C1112)</f>
        <v>2027</v>
      </c>
      <c r="D1112" t="str">
        <f>IF(PNL!D1112="","",PNL!D1112)</f>
        <v>V02</v>
      </c>
      <c r="E1112">
        <f t="shared" si="0"/>
        <v>1</v>
      </c>
      <c r="F1112">
        <f>IF($A1112="","",IF($E1112=1,_xlfn.SUMIFS(Comptabilité!$F$1:$F$1446,Comptabilité!$A$1:$A$1446,$A1112,Comptabilité!$B$1:$B$1446,$B1112,Comptabilité!$C$1:$C$1446,"2026"),0))</f>
        <v>12960</v>
      </c>
      <c r="G1112">
        <f>IF($A1112="","",IF($D1112="V01",Cadrage!$C$23,IF($D1112="V02",Cadrage!$D$23,Cadrage!$E$23)))</f>
        <v>0.15</v>
      </c>
      <c r="H1112">
        <f>IF($A1112="","",IF($D1112="V01",Cadrage!$C$24,IF($D1112="V02",Cadrage!$D$24,Cadrage!$E$24)))</f>
        <v>0.15</v>
      </c>
      <c r="I1112">
        <f>IF($A1112="","",IF($D1112="V01",Cadrage!$C$34,IF($D1112="V02",Cadrage!$D$34,Cadrage!$E$34)))</f>
        <v>0.015</v>
      </c>
      <c r="J1112">
        <f>IF($A1112="","",IF($D1112="V01",Cadrage!$C$35,IF($D1112="V02",Cadrage!$D$35,Cadrage!$E$35)))</f>
        <v>0.02</v>
      </c>
      <c r="K1112">
        <f>IF($A1112="","",IF($D1112="V01",Cadrage!$C$36,IF($D1112="V02",Cadrage!$D$36,Cadrage!$E$36)))</f>
        <v>0.03</v>
      </c>
      <c r="L1112">
        <f>IF($A1112="","",IF($D1112="V01",Cadrage!$C$37,IF($D1112="V02",Cadrage!$D$37,Cadrage!$E$37)))</f>
        <v>0.03</v>
      </c>
      <c r="M1112">
        <f>IF($A1112="","",IF($D1112="V01",Cadrage!$C$38,IF($D1112="V02",Cadrage!$D$38,Cadrage!$E$38)))</f>
        <v>-0.03</v>
      </c>
      <c r="N1112">
        <f t="shared" si="1"/>
        <v>1.16083752922642</v>
      </c>
      <c r="O1112">
        <f t="shared" si="2"/>
        <v>1.16083752922642</v>
      </c>
      <c r="P1112">
        <f>IF($A1112="","",IF($E1112=1,$F1112*$O1112,PNL!G1112))</f>
        <v>15044.4543787744</v>
      </c>
      <c r="T1112">
        <f t="shared" si="3"/>
        <v>15044.4543787744</v>
      </c>
    </row>
    <row r="1113" ht="14.25" customHeight="1">
      <c r="A1113" t="str">
        <f>IF(PNL!A1113="","",PNL!A1113)</f>
        <v>ISCOM_TLS</v>
      </c>
      <c r="B1113" t="str">
        <f>IF(PNL!B1113="","",PNL!B1113)</f>
        <v>708</v>
      </c>
      <c r="C1113" t="str">
        <f>IF(PNL!C1113="","",PNL!C1113)</f>
        <v>2027</v>
      </c>
      <c r="D1113" t="str">
        <f>IF(PNL!D1113="","",PNL!D1113)</f>
        <v>V02</v>
      </c>
      <c r="E1113">
        <f t="shared" si="0"/>
        <v>1</v>
      </c>
      <c r="F1113">
        <f>IF($A1113="","",IF($E1113=1,_xlfn.SUMIFS(Comptabilité!$F$1:$F$1446,Comptabilité!$A$1:$A$1446,$A1113,Comptabilité!$B$1:$B$1446,$B1113,Comptabilité!$C$1:$C$1446,"2026"),0))</f>
        <v>8460</v>
      </c>
      <c r="G1113">
        <f>IF($A1113="","",IF($D1113="V01",Cadrage!$C$23,IF($D1113="V02",Cadrage!$D$23,Cadrage!$E$23)))</f>
        <v>0.15</v>
      </c>
      <c r="H1113">
        <f>IF($A1113="","",IF($D1113="V01",Cadrage!$C$24,IF($D1113="V02",Cadrage!$D$24,Cadrage!$E$24)))</f>
        <v>0.15</v>
      </c>
      <c r="I1113">
        <f>IF($A1113="","",IF($D1113="V01",Cadrage!$C$34,IF($D1113="V02",Cadrage!$D$34,Cadrage!$E$34)))</f>
        <v>0.015</v>
      </c>
      <c r="J1113">
        <f>IF($A1113="","",IF($D1113="V01",Cadrage!$C$35,IF($D1113="V02",Cadrage!$D$35,Cadrage!$E$35)))</f>
        <v>0.02</v>
      </c>
      <c r="K1113">
        <f>IF($A1113="","",IF($D1113="V01",Cadrage!$C$36,IF($D1113="V02",Cadrage!$D$36,Cadrage!$E$36)))</f>
        <v>0.03</v>
      </c>
      <c r="L1113">
        <f>IF($A1113="","",IF($D1113="V01",Cadrage!$C$37,IF($D1113="V02",Cadrage!$D$37,Cadrage!$E$37)))</f>
        <v>0.03</v>
      </c>
      <c r="M1113">
        <f>IF($A1113="","",IF($D1113="V01",Cadrage!$C$38,IF($D1113="V02",Cadrage!$D$38,Cadrage!$E$38)))</f>
        <v>-0.03</v>
      </c>
      <c r="N1113">
        <f t="shared" si="1"/>
        <v>1.16083752922642</v>
      </c>
      <c r="O1113">
        <f t="shared" si="2"/>
        <v>1.16083752922642</v>
      </c>
      <c r="P1113">
        <f>IF($A1113="","",IF($E1113=1,$F1113*$O1113,PNL!G1113))</f>
        <v>9820.68549725551</v>
      </c>
      <c r="T1113">
        <f t="shared" si="3"/>
        <v>9820.68549725551</v>
      </c>
    </row>
    <row r="1114" ht="14.25" customHeight="1">
      <c r="A1114" t="str">
        <f>IF(PNL!A1114="","",PNL!A1114)</f>
        <v>MBWAY_BOR</v>
      </c>
      <c r="B1114" t="str">
        <f>IF(PNL!B1114="","",PNL!B1114)</f>
        <v>708</v>
      </c>
      <c r="C1114" t="str">
        <f>IF(PNL!C1114="","",PNL!C1114)</f>
        <v>2027</v>
      </c>
      <c r="D1114" t="str">
        <f>IF(PNL!D1114="","",PNL!D1114)</f>
        <v>V02</v>
      </c>
      <c r="E1114">
        <f t="shared" si="0"/>
        <v>1</v>
      </c>
      <c r="F1114">
        <f>IF($A1114="","",IF($E1114=1,_xlfn.SUMIFS(Comptabilité!$F$1:$F$1446,Comptabilité!$A$1:$A$1446,$A1114,Comptabilité!$B$1:$B$1446,$B1114,Comptabilité!$C$1:$C$1446,"2026"),0))</f>
        <v>9180</v>
      </c>
      <c r="G1114">
        <f>IF($A1114="","",IF($D1114="V01",Cadrage!$C$23,IF($D1114="V02",Cadrage!$D$23,Cadrage!$E$23)))</f>
        <v>0.15</v>
      </c>
      <c r="H1114">
        <f>IF($A1114="","",IF($D1114="V01",Cadrage!$C$24,IF($D1114="V02",Cadrage!$D$24,Cadrage!$E$24)))</f>
        <v>0.15</v>
      </c>
      <c r="I1114">
        <f>IF($A1114="","",IF($D1114="V01",Cadrage!$C$34,IF($D1114="V02",Cadrage!$D$34,Cadrage!$E$34)))</f>
        <v>0.015</v>
      </c>
      <c r="J1114">
        <f>IF($A1114="","",IF($D1114="V01",Cadrage!$C$35,IF($D1114="V02",Cadrage!$D$35,Cadrage!$E$35)))</f>
        <v>0.02</v>
      </c>
      <c r="K1114">
        <f>IF($A1114="","",IF($D1114="V01",Cadrage!$C$36,IF($D1114="V02",Cadrage!$D$36,Cadrage!$E$36)))</f>
        <v>0.03</v>
      </c>
      <c r="L1114">
        <f>IF($A1114="","",IF($D1114="V01",Cadrage!$C$37,IF($D1114="V02",Cadrage!$D$37,Cadrage!$E$37)))</f>
        <v>0.03</v>
      </c>
      <c r="M1114">
        <f>IF($A1114="","",IF($D1114="V01",Cadrage!$C$38,IF($D1114="V02",Cadrage!$D$38,Cadrage!$E$38)))</f>
        <v>-0.03</v>
      </c>
      <c r="N1114">
        <f t="shared" si="1"/>
        <v>1.16083752922642</v>
      </c>
      <c r="O1114">
        <f t="shared" si="2"/>
        <v>1.16083752922642</v>
      </c>
      <c r="P1114">
        <f>IF($A1114="","",IF($E1114=1,$F1114*$O1114,PNL!G1114))</f>
        <v>10656.4885182985</v>
      </c>
      <c r="T1114">
        <f t="shared" si="3"/>
        <v>10656.4885182985</v>
      </c>
    </row>
    <row r="1115" ht="14.25" customHeight="1">
      <c r="A1115" t="str">
        <f>IF(PNL!A1115="","",PNL!A1115)</f>
        <v>MBWAY_LYO</v>
      </c>
      <c r="B1115" t="str">
        <f>IF(PNL!B1115="","",PNL!B1115)</f>
        <v>708</v>
      </c>
      <c r="C1115" t="str">
        <f>IF(PNL!C1115="","",PNL!C1115)</f>
        <v>2027</v>
      </c>
      <c r="D1115" t="str">
        <f>IF(PNL!D1115="","",PNL!D1115)</f>
        <v>V02</v>
      </c>
      <c r="E1115">
        <f t="shared" si="0"/>
        <v>1</v>
      </c>
      <c r="F1115">
        <f>IF($A1115="","",IF($E1115=1,_xlfn.SUMIFS(Comptabilité!$F$1:$F$1446,Comptabilité!$A$1:$A$1446,$A1115,Comptabilité!$B$1:$B$1446,$B1115,Comptabilité!$C$1:$C$1446,"2026"),0))</f>
        <v>11880</v>
      </c>
      <c r="G1115">
        <f>IF($A1115="","",IF($D1115="V01",Cadrage!$C$23,IF($D1115="V02",Cadrage!$D$23,Cadrage!$E$23)))</f>
        <v>0.15</v>
      </c>
      <c r="H1115">
        <f>IF($A1115="","",IF($D1115="V01",Cadrage!$C$24,IF($D1115="V02",Cadrage!$D$24,Cadrage!$E$24)))</f>
        <v>0.15</v>
      </c>
      <c r="I1115">
        <f>IF($A1115="","",IF($D1115="V01",Cadrage!$C$34,IF($D1115="V02",Cadrage!$D$34,Cadrage!$E$34)))</f>
        <v>0.015</v>
      </c>
      <c r="J1115">
        <f>IF($A1115="","",IF($D1115="V01",Cadrage!$C$35,IF($D1115="V02",Cadrage!$D$35,Cadrage!$E$35)))</f>
        <v>0.02</v>
      </c>
      <c r="K1115">
        <f>IF($A1115="","",IF($D1115="V01",Cadrage!$C$36,IF($D1115="V02",Cadrage!$D$36,Cadrage!$E$36)))</f>
        <v>0.03</v>
      </c>
      <c r="L1115">
        <f>IF($A1115="","",IF($D1115="V01",Cadrage!$C$37,IF($D1115="V02",Cadrage!$D$37,Cadrage!$E$37)))</f>
        <v>0.03</v>
      </c>
      <c r="M1115">
        <f>IF($A1115="","",IF($D1115="V01",Cadrage!$C$38,IF($D1115="V02",Cadrage!$D$38,Cadrage!$E$38)))</f>
        <v>-0.03</v>
      </c>
      <c r="N1115">
        <f t="shared" si="1"/>
        <v>1.16083752922642</v>
      </c>
      <c r="O1115">
        <f t="shared" si="2"/>
        <v>1.16083752922642</v>
      </c>
      <c r="P1115">
        <f>IF($A1115="","",IF($E1115=1,$F1115*$O1115,PNL!G1115))</f>
        <v>13790.7498472099</v>
      </c>
      <c r="T1115">
        <f t="shared" si="3"/>
        <v>13790.7498472099</v>
      </c>
    </row>
    <row r="1116" ht="14.25" customHeight="1">
      <c r="A1116" t="str">
        <f>IF(PNL!A1116="","",PNL!A1116)</f>
        <v>MBWAY_NAN</v>
      </c>
      <c r="B1116" t="str">
        <f>IF(PNL!B1116="","",PNL!B1116)</f>
        <v>708</v>
      </c>
      <c r="C1116" t="str">
        <f>IF(PNL!C1116="","",PNL!C1116)</f>
        <v>2027</v>
      </c>
      <c r="D1116" t="str">
        <f>IF(PNL!D1116="","",PNL!D1116)</f>
        <v>V02</v>
      </c>
      <c r="E1116">
        <f t="shared" si="0"/>
        <v>1</v>
      </c>
      <c r="F1116">
        <f>IF($A1116="","",IF($E1116=1,_xlfn.SUMIFS(Comptabilité!$F$1:$F$1446,Comptabilité!$A$1:$A$1446,$A1116,Comptabilité!$B$1:$B$1446,$B1116,Comptabilité!$C$1:$C$1446,"2026"),0))</f>
        <v>10800</v>
      </c>
      <c r="G1116">
        <f>IF($A1116="","",IF($D1116="V01",Cadrage!$C$23,IF($D1116="V02",Cadrage!$D$23,Cadrage!$E$23)))</f>
        <v>0.15</v>
      </c>
      <c r="H1116">
        <f>IF($A1116="","",IF($D1116="V01",Cadrage!$C$24,IF($D1116="V02",Cadrage!$D$24,Cadrage!$E$24)))</f>
        <v>0.15</v>
      </c>
      <c r="I1116">
        <f>IF($A1116="","",IF($D1116="V01",Cadrage!$C$34,IF($D1116="V02",Cadrage!$D$34,Cadrage!$E$34)))</f>
        <v>0.015</v>
      </c>
      <c r="J1116">
        <f>IF($A1116="","",IF($D1116="V01",Cadrage!$C$35,IF($D1116="V02",Cadrage!$D$35,Cadrage!$E$35)))</f>
        <v>0.02</v>
      </c>
      <c r="K1116">
        <f>IF($A1116="","",IF($D1116="V01",Cadrage!$C$36,IF($D1116="V02",Cadrage!$D$36,Cadrage!$E$36)))</f>
        <v>0.03</v>
      </c>
      <c r="L1116">
        <f>IF($A1116="","",IF($D1116="V01",Cadrage!$C$37,IF($D1116="V02",Cadrage!$D$37,Cadrage!$E$37)))</f>
        <v>0.03</v>
      </c>
      <c r="M1116">
        <f>IF($A1116="","",IF($D1116="V01",Cadrage!$C$38,IF($D1116="V02",Cadrage!$D$38,Cadrage!$E$38)))</f>
        <v>-0.03</v>
      </c>
      <c r="N1116">
        <f t="shared" si="1"/>
        <v>1.16083752922642</v>
      </c>
      <c r="O1116">
        <f t="shared" si="2"/>
        <v>1.16083752922642</v>
      </c>
      <c r="P1116">
        <f>IF($A1116="","",IF($E1116=1,$F1116*$O1116,PNL!G1116))</f>
        <v>12537.0453156453</v>
      </c>
      <c r="T1116">
        <f t="shared" si="3"/>
        <v>12537.0453156453</v>
      </c>
    </row>
    <row r="1117" ht="14.25" customHeight="1">
      <c r="A1117" t="str">
        <f>IF(PNL!A1117="","",PNL!A1117)</f>
        <v>MBWAY_PAR</v>
      </c>
      <c r="B1117" t="str">
        <f>IF(PNL!B1117="","",PNL!B1117)</f>
        <v>708</v>
      </c>
      <c r="C1117" t="str">
        <f>IF(PNL!C1117="","",PNL!C1117)</f>
        <v>2027</v>
      </c>
      <c r="D1117" t="str">
        <f>IF(PNL!D1117="","",PNL!D1117)</f>
        <v>V02</v>
      </c>
      <c r="E1117">
        <f t="shared" si="0"/>
        <v>1</v>
      </c>
      <c r="F1117">
        <f>IF($A1117="","",IF($E1117=1,_xlfn.SUMIFS(Comptabilité!$F$1:$F$1446,Comptabilité!$A$1:$A$1446,$A1117,Comptabilité!$B$1:$B$1446,$B1117,Comptabilité!$C$1:$C$1446,"2026"),0))</f>
        <v>14040</v>
      </c>
      <c r="G1117">
        <f>IF($A1117="","",IF($D1117="V01",Cadrage!$C$23,IF($D1117="V02",Cadrage!$D$23,Cadrage!$E$23)))</f>
        <v>0.15</v>
      </c>
      <c r="H1117">
        <f>IF($A1117="","",IF($D1117="V01",Cadrage!$C$24,IF($D1117="V02",Cadrage!$D$24,Cadrage!$E$24)))</f>
        <v>0.15</v>
      </c>
      <c r="I1117">
        <f>IF($A1117="","",IF($D1117="V01",Cadrage!$C$34,IF($D1117="V02",Cadrage!$D$34,Cadrage!$E$34)))</f>
        <v>0.015</v>
      </c>
      <c r="J1117">
        <f>IF($A1117="","",IF($D1117="V01",Cadrage!$C$35,IF($D1117="V02",Cadrage!$D$35,Cadrage!$E$35)))</f>
        <v>0.02</v>
      </c>
      <c r="K1117">
        <f>IF($A1117="","",IF($D1117="V01",Cadrage!$C$36,IF($D1117="V02",Cadrage!$D$36,Cadrage!$E$36)))</f>
        <v>0.03</v>
      </c>
      <c r="L1117">
        <f>IF($A1117="","",IF($D1117="V01",Cadrage!$C$37,IF($D1117="V02",Cadrage!$D$37,Cadrage!$E$37)))</f>
        <v>0.03</v>
      </c>
      <c r="M1117">
        <f>IF($A1117="","",IF($D1117="V01",Cadrage!$C$38,IF($D1117="V02",Cadrage!$D$38,Cadrage!$E$38)))</f>
        <v>-0.03</v>
      </c>
      <c r="N1117">
        <f t="shared" si="1"/>
        <v>1.16083752922642</v>
      </c>
      <c r="O1117">
        <f t="shared" si="2"/>
        <v>1.16083752922642</v>
      </c>
      <c r="P1117">
        <f>IF($A1117="","",IF($E1117=1,$F1117*$O1117,PNL!G1117))</f>
        <v>16298.1589103389</v>
      </c>
      <c r="T1117">
        <f t="shared" si="3"/>
        <v>16298.1589103389</v>
      </c>
    </row>
    <row r="1118" ht="14.25" customHeight="1">
      <c r="A1118" t="str">
        <f>IF(PNL!A1118="","",PNL!A1118)</f>
        <v>PIGIER_BOR</v>
      </c>
      <c r="B1118" t="str">
        <f>IF(PNL!B1118="","",PNL!B1118)</f>
        <v>708</v>
      </c>
      <c r="C1118" t="str">
        <f>IF(PNL!C1118="","",PNL!C1118)</f>
        <v>2027</v>
      </c>
      <c r="D1118" t="str">
        <f>IF(PNL!D1118="","",PNL!D1118)</f>
        <v>V02</v>
      </c>
      <c r="E1118">
        <f t="shared" si="0"/>
        <v>1</v>
      </c>
      <c r="F1118">
        <f>IF($A1118="","",IF($E1118=1,_xlfn.SUMIFS(Comptabilité!$F$1:$F$1446,Comptabilité!$A$1:$A$1446,$A1118,Comptabilité!$B$1:$B$1446,$B1118,Comptabilité!$C$1:$C$1446,"2026"),0))</f>
        <v>6480</v>
      </c>
      <c r="G1118">
        <f>IF($A1118="","",IF($D1118="V01",Cadrage!$C$23,IF($D1118="V02",Cadrage!$D$23,Cadrage!$E$23)))</f>
        <v>0.15</v>
      </c>
      <c r="H1118">
        <f>IF($A1118="","",IF($D1118="V01",Cadrage!$C$24,IF($D1118="V02",Cadrage!$D$24,Cadrage!$E$24)))</f>
        <v>0.15</v>
      </c>
      <c r="I1118">
        <f>IF($A1118="","",IF($D1118="V01",Cadrage!$C$34,IF($D1118="V02",Cadrage!$D$34,Cadrage!$E$34)))</f>
        <v>0.015</v>
      </c>
      <c r="J1118">
        <f>IF($A1118="","",IF($D1118="V01",Cadrage!$C$35,IF($D1118="V02",Cadrage!$D$35,Cadrage!$E$35)))</f>
        <v>0.02</v>
      </c>
      <c r="K1118">
        <f>IF($A1118="","",IF($D1118="V01",Cadrage!$C$36,IF($D1118="V02",Cadrage!$D$36,Cadrage!$E$36)))</f>
        <v>0.03</v>
      </c>
      <c r="L1118">
        <f>IF($A1118="","",IF($D1118="V01",Cadrage!$C$37,IF($D1118="V02",Cadrage!$D$37,Cadrage!$E$37)))</f>
        <v>0.03</v>
      </c>
      <c r="M1118">
        <f>IF($A1118="","",IF($D1118="V01",Cadrage!$C$38,IF($D1118="V02",Cadrage!$D$38,Cadrage!$E$38)))</f>
        <v>-0.03</v>
      </c>
      <c r="N1118">
        <f t="shared" si="1"/>
        <v>1.16083752922642</v>
      </c>
      <c r="O1118">
        <f t="shared" si="2"/>
        <v>1.16083752922642</v>
      </c>
      <c r="P1118">
        <f>IF($A1118="","",IF($E1118=1,$F1118*$O1118,PNL!G1118))</f>
        <v>7522.2271893872</v>
      </c>
      <c r="T1118">
        <f t="shared" si="3"/>
        <v>7522.2271893872</v>
      </c>
    </row>
    <row r="1119" ht="14.25" customHeight="1">
      <c r="A1119" t="str">
        <f>IF(PNL!A1119="","",PNL!A1119)</f>
        <v>PIGIER_LYO</v>
      </c>
      <c r="B1119" t="str">
        <f>IF(PNL!B1119="","",PNL!B1119)</f>
        <v>708</v>
      </c>
      <c r="C1119" t="str">
        <f>IF(PNL!C1119="","",PNL!C1119)</f>
        <v>2027</v>
      </c>
      <c r="D1119" t="str">
        <f>IF(PNL!D1119="","",PNL!D1119)</f>
        <v>V02</v>
      </c>
      <c r="E1119">
        <f t="shared" si="0"/>
        <v>1</v>
      </c>
      <c r="F1119">
        <f>IF($A1119="","",IF($E1119=1,_xlfn.SUMIFS(Comptabilité!$F$1:$F$1446,Comptabilité!$A$1:$A$1446,$A1119,Comptabilité!$B$1:$B$1446,$B1119,Comptabilité!$C$1:$C$1446,"2026"),0))</f>
        <v>8280</v>
      </c>
      <c r="G1119">
        <f>IF($A1119="","",IF($D1119="V01",Cadrage!$C$23,IF($D1119="V02",Cadrage!$D$23,Cadrage!$E$23)))</f>
        <v>0.15</v>
      </c>
      <c r="H1119">
        <f>IF($A1119="","",IF($D1119="V01",Cadrage!$C$24,IF($D1119="V02",Cadrage!$D$24,Cadrage!$E$24)))</f>
        <v>0.15</v>
      </c>
      <c r="I1119">
        <f>IF($A1119="","",IF($D1119="V01",Cadrage!$C$34,IF($D1119="V02",Cadrage!$D$34,Cadrage!$E$34)))</f>
        <v>0.015</v>
      </c>
      <c r="J1119">
        <f>IF($A1119="","",IF($D1119="V01",Cadrage!$C$35,IF($D1119="V02",Cadrage!$D$35,Cadrage!$E$35)))</f>
        <v>0.02</v>
      </c>
      <c r="K1119">
        <f>IF($A1119="","",IF($D1119="V01",Cadrage!$C$36,IF($D1119="V02",Cadrage!$D$36,Cadrage!$E$36)))</f>
        <v>0.03</v>
      </c>
      <c r="L1119">
        <f>IF($A1119="","",IF($D1119="V01",Cadrage!$C$37,IF($D1119="V02",Cadrage!$D$37,Cadrage!$E$37)))</f>
        <v>0.03</v>
      </c>
      <c r="M1119">
        <f>IF($A1119="","",IF($D1119="V01",Cadrage!$C$38,IF($D1119="V02",Cadrage!$D$38,Cadrage!$E$38)))</f>
        <v>-0.03</v>
      </c>
      <c r="N1119">
        <f t="shared" si="1"/>
        <v>1.16083752922642</v>
      </c>
      <c r="O1119">
        <f t="shared" si="2"/>
        <v>1.16083752922642</v>
      </c>
      <c r="P1119">
        <f>IF($A1119="","",IF($E1119=1,$F1119*$O1119,PNL!G1119))</f>
        <v>9611.73474199476</v>
      </c>
      <c r="T1119">
        <f t="shared" si="3"/>
        <v>9611.73474199476</v>
      </c>
    </row>
    <row r="1120" ht="14.25" customHeight="1">
      <c r="A1120" t="str">
        <f>IF(PNL!A1120="","",PNL!A1120)</f>
        <v>TUNON_LYO</v>
      </c>
      <c r="B1120" t="str">
        <f>IF(PNL!B1120="","",PNL!B1120)</f>
        <v>708</v>
      </c>
      <c r="C1120" t="str">
        <f>IF(PNL!C1120="","",PNL!C1120)</f>
        <v>2027</v>
      </c>
      <c r="D1120" t="str">
        <f>IF(PNL!D1120="","",PNL!D1120)</f>
        <v>V02</v>
      </c>
      <c r="E1120">
        <f t="shared" si="0"/>
        <v>1</v>
      </c>
      <c r="F1120">
        <f>IF($A1120="","",IF($E1120=1,_xlfn.SUMIFS(Comptabilité!$F$1:$F$1446,Comptabilité!$A$1:$A$1446,$A1120,Comptabilité!$B$1:$B$1446,$B1120,Comptabilité!$C$1:$C$1446,"2026"),0))</f>
        <v>3600</v>
      </c>
      <c r="G1120">
        <f>IF($A1120="","",IF($D1120="V01",Cadrage!$C$23,IF($D1120="V02",Cadrage!$D$23,Cadrage!$E$23)))</f>
        <v>0.15</v>
      </c>
      <c r="H1120">
        <f>IF($A1120="","",IF($D1120="V01",Cadrage!$C$24,IF($D1120="V02",Cadrage!$D$24,Cadrage!$E$24)))</f>
        <v>0.15</v>
      </c>
      <c r="I1120">
        <f>IF($A1120="","",IF($D1120="V01",Cadrage!$C$34,IF($D1120="V02",Cadrage!$D$34,Cadrage!$E$34)))</f>
        <v>0.015</v>
      </c>
      <c r="J1120">
        <f>IF($A1120="","",IF($D1120="V01",Cadrage!$C$35,IF($D1120="V02",Cadrage!$D$35,Cadrage!$E$35)))</f>
        <v>0.02</v>
      </c>
      <c r="K1120">
        <f>IF($A1120="","",IF($D1120="V01",Cadrage!$C$36,IF($D1120="V02",Cadrage!$D$36,Cadrage!$E$36)))</f>
        <v>0.03</v>
      </c>
      <c r="L1120">
        <f>IF($A1120="","",IF($D1120="V01",Cadrage!$C$37,IF($D1120="V02",Cadrage!$D$37,Cadrage!$E$37)))</f>
        <v>0.03</v>
      </c>
      <c r="M1120">
        <f>IF($A1120="","",IF($D1120="V01",Cadrage!$C$38,IF($D1120="V02",Cadrage!$D$38,Cadrage!$E$38)))</f>
        <v>-0.03</v>
      </c>
      <c r="N1120">
        <f t="shared" si="1"/>
        <v>1.16083752922642</v>
      </c>
      <c r="O1120">
        <f t="shared" si="2"/>
        <v>1.16083752922642</v>
      </c>
      <c r="P1120">
        <f>IF($A1120="","",IF($E1120=1,$F1120*$O1120,PNL!G1120))</f>
        <v>4179.01510521511</v>
      </c>
      <c r="T1120">
        <f t="shared" si="3"/>
        <v>4179.01510521511</v>
      </c>
    </row>
    <row r="1121" ht="14.25" customHeight="1">
      <c r="A1121" t="str">
        <f>IF(PNL!A1121="","",PNL!A1121)</f>
        <v>TUNON_PAR</v>
      </c>
      <c r="B1121" t="str">
        <f>IF(PNL!B1121="","",PNL!B1121)</f>
        <v>708</v>
      </c>
      <c r="C1121" t="str">
        <f>IF(PNL!C1121="","",PNL!C1121)</f>
        <v>2027</v>
      </c>
      <c r="D1121" t="str">
        <f>IF(PNL!D1121="","",PNL!D1121)</f>
        <v>V02</v>
      </c>
      <c r="E1121">
        <f t="shared" si="0"/>
        <v>1</v>
      </c>
      <c r="F1121">
        <f>IF($A1121="","",IF($E1121=1,_xlfn.SUMIFS(Comptabilité!$F$1:$F$1446,Comptabilité!$A$1:$A$1446,$A1121,Comptabilité!$B$1:$B$1446,$B1121,Comptabilité!$C$1:$C$1446,"2026"),0))</f>
        <v>4230</v>
      </c>
      <c r="G1121">
        <f>IF($A1121="","",IF($D1121="V01",Cadrage!$C$23,IF($D1121="V02",Cadrage!$D$23,Cadrage!$E$23)))</f>
        <v>0.15</v>
      </c>
      <c r="H1121">
        <f>IF($A1121="","",IF($D1121="V01",Cadrage!$C$24,IF($D1121="V02",Cadrage!$D$24,Cadrage!$E$24)))</f>
        <v>0.15</v>
      </c>
      <c r="I1121">
        <f>IF($A1121="","",IF($D1121="V01",Cadrage!$C$34,IF($D1121="V02",Cadrage!$D$34,Cadrage!$E$34)))</f>
        <v>0.015</v>
      </c>
      <c r="J1121">
        <f>IF($A1121="","",IF($D1121="V01",Cadrage!$C$35,IF($D1121="V02",Cadrage!$D$35,Cadrage!$E$35)))</f>
        <v>0.02</v>
      </c>
      <c r="K1121">
        <f>IF($A1121="","",IF($D1121="V01",Cadrage!$C$36,IF($D1121="V02",Cadrage!$D$36,Cadrage!$E$36)))</f>
        <v>0.03</v>
      </c>
      <c r="L1121">
        <f>IF($A1121="","",IF($D1121="V01",Cadrage!$C$37,IF($D1121="V02",Cadrage!$D$37,Cadrage!$E$37)))</f>
        <v>0.03</v>
      </c>
      <c r="M1121">
        <f>IF($A1121="","",IF($D1121="V01",Cadrage!$C$38,IF($D1121="V02",Cadrage!$D$38,Cadrage!$E$38)))</f>
        <v>-0.03</v>
      </c>
      <c r="N1121">
        <f t="shared" si="1"/>
        <v>1.16083752922642</v>
      </c>
      <c r="O1121">
        <f t="shared" si="2"/>
        <v>1.16083752922642</v>
      </c>
      <c r="P1121">
        <f>IF($A1121="","",IF($E1121=1,$F1121*$O1121,PNL!G1121))</f>
        <v>4910.34274862776</v>
      </c>
      <c r="T1121">
        <f t="shared" si="3"/>
        <v>4910.34274862776</v>
      </c>
    </row>
    <row r="1122" ht="14.25" customHeight="1">
      <c r="A1122" t="str">
        <f>IF(PNL!A1122="","",PNL!A1122)</f>
        <v>IPAC_MTP</v>
      </c>
      <c r="B1122" t="str">
        <f>IF(PNL!B1122="","",PNL!B1122)</f>
        <v>604</v>
      </c>
      <c r="C1122" t="str">
        <f>IF(PNL!C1122="","",PNL!C1122)</f>
        <v>2027</v>
      </c>
      <c r="D1122" t="str">
        <f>IF(PNL!D1122="","",PNL!D1122)</f>
        <v>V03</v>
      </c>
      <c r="E1122">
        <f t="shared" si="0"/>
        <v>1</v>
      </c>
      <c r="F1122">
        <f>IF($A1122="","",IF($E1122=1,_xlfn.SUMIFS(Comptabilité!$F$1:$F$1446,Comptabilité!$A$1:$A$1446,$A1122,Comptabilité!$B$1:$B$1446,$B1122,Comptabilité!$C$1:$C$1446,"2026"),0))</f>
        <v>26121</v>
      </c>
      <c r="G1122">
        <f>IF($A1122="","",IF($D1122="V01",Cadrage!$C$23,IF($D1122="V02",Cadrage!$D$23,Cadrage!$E$23)))</f>
        <v>-0.05</v>
      </c>
      <c r="H1122">
        <f>IF($A1122="","",IF($D1122="V01",Cadrage!$C$24,IF($D1122="V02",Cadrage!$D$24,Cadrage!$E$24)))</f>
        <v>-0.05</v>
      </c>
      <c r="I1122">
        <f>IF($A1122="","",IF($D1122="V01",Cadrage!$C$34,IF($D1122="V02",Cadrage!$D$34,Cadrage!$E$34)))</f>
        <v>0.03</v>
      </c>
      <c r="J1122">
        <f>IF($A1122="","",IF($D1122="V01",Cadrage!$C$35,IF($D1122="V02",Cadrage!$D$35,Cadrage!$E$35)))</f>
        <v>0.03</v>
      </c>
      <c r="K1122">
        <f>IF($A1122="","",IF($D1122="V01",Cadrage!$C$36,IF($D1122="V02",Cadrage!$D$36,Cadrage!$E$36)))</f>
        <v>0.05</v>
      </c>
      <c r="L1122">
        <f>IF($A1122="","",IF($D1122="V01",Cadrage!$C$37,IF($D1122="V02",Cadrage!$D$37,Cadrage!$E$37)))</f>
        <v>0</v>
      </c>
      <c r="M1122">
        <f>IF($A1122="","",IF($D1122="V01",Cadrage!$C$38,IF($D1122="V02",Cadrage!$D$38,Cadrage!$E$38)))</f>
        <v>0.04</v>
      </c>
      <c r="N1122">
        <f t="shared" si="1"/>
        <v>0.980622079131853</v>
      </c>
      <c r="O1122">
        <f t="shared" si="2"/>
        <v>0.980622079131853</v>
      </c>
      <c r="P1122">
        <f>IF($A1122="","",IF($E1122=1,$F1122*$O1122,PNL!G1122))</f>
        <v>25614.8293290031</v>
      </c>
      <c r="T1122">
        <f t="shared" si="3"/>
        <v>-25614.8293290031</v>
      </c>
    </row>
    <row r="1123" ht="14.25" customHeight="1">
      <c r="A1123" t="str">
        <f>IF(PNL!A1123="","",PNL!A1123)</f>
        <v>IPAC_NAN</v>
      </c>
      <c r="B1123" t="str">
        <f>IF(PNL!B1123="","",PNL!B1123)</f>
        <v>604</v>
      </c>
      <c r="C1123" t="str">
        <f>IF(PNL!C1123="","",PNL!C1123)</f>
        <v>2027</v>
      </c>
      <c r="D1123" t="str">
        <f>IF(PNL!D1123="","",PNL!D1123)</f>
        <v>V03</v>
      </c>
      <c r="E1123">
        <f t="shared" si="0"/>
        <v>1</v>
      </c>
      <c r="F1123">
        <f>IF($A1123="","",IF($E1123=1,_xlfn.SUMIFS(Comptabilité!$F$1:$F$1446,Comptabilité!$A$1:$A$1446,$A1123,Comptabilité!$B$1:$B$1446,$B1123,Comptabilité!$C$1:$C$1446,"2026"),0))</f>
        <v>32372</v>
      </c>
      <c r="G1123">
        <f>IF($A1123="","",IF($D1123="V01",Cadrage!$C$23,IF($D1123="V02",Cadrage!$D$23,Cadrage!$E$23)))</f>
        <v>-0.05</v>
      </c>
      <c r="H1123">
        <f>IF($A1123="","",IF($D1123="V01",Cadrage!$C$24,IF($D1123="V02",Cadrage!$D$24,Cadrage!$E$24)))</f>
        <v>-0.05</v>
      </c>
      <c r="I1123">
        <f>IF($A1123="","",IF($D1123="V01",Cadrage!$C$34,IF($D1123="V02",Cadrage!$D$34,Cadrage!$E$34)))</f>
        <v>0.03</v>
      </c>
      <c r="J1123">
        <f>IF($A1123="","",IF($D1123="V01",Cadrage!$C$35,IF($D1123="V02",Cadrage!$D$35,Cadrage!$E$35)))</f>
        <v>0.03</v>
      </c>
      <c r="K1123">
        <f>IF($A1123="","",IF($D1123="V01",Cadrage!$C$36,IF($D1123="V02",Cadrage!$D$36,Cadrage!$E$36)))</f>
        <v>0.05</v>
      </c>
      <c r="L1123">
        <f>IF($A1123="","",IF($D1123="V01",Cadrage!$C$37,IF($D1123="V02",Cadrage!$D$37,Cadrage!$E$37)))</f>
        <v>0</v>
      </c>
      <c r="M1123">
        <f>IF($A1123="","",IF($D1123="V01",Cadrage!$C$38,IF($D1123="V02",Cadrage!$D$38,Cadrage!$E$38)))</f>
        <v>0.04</v>
      </c>
      <c r="N1123">
        <f t="shared" si="1"/>
        <v>0.980622079131853</v>
      </c>
      <c r="O1123">
        <f t="shared" si="2"/>
        <v>0.980622079131853</v>
      </c>
      <c r="P1123">
        <f>IF($A1123="","",IF($E1123=1,$F1123*$O1123,PNL!G1123))</f>
        <v>31744.6979456563</v>
      </c>
      <c r="T1123">
        <f t="shared" si="3"/>
        <v>-31744.6979456563</v>
      </c>
    </row>
    <row r="1124" ht="14.25" customHeight="1">
      <c r="A1124" t="str">
        <f>IF(PNL!A1124="","",PNL!A1124)</f>
        <v>IPAC_REN</v>
      </c>
      <c r="B1124" t="str">
        <f>IF(PNL!B1124="","",PNL!B1124)</f>
        <v>604</v>
      </c>
      <c r="C1124" t="str">
        <f>IF(PNL!C1124="","",PNL!C1124)</f>
        <v>2027</v>
      </c>
      <c r="D1124" t="str">
        <f>IF(PNL!D1124="","",PNL!D1124)</f>
        <v>V03</v>
      </c>
      <c r="E1124">
        <f t="shared" si="0"/>
        <v>1</v>
      </c>
      <c r="F1124">
        <f>IF($A1124="","",IF($E1124=1,_xlfn.SUMIFS(Comptabilité!$F$1:$F$1446,Comptabilité!$A$1:$A$1446,$A1124,Comptabilité!$B$1:$B$1446,$B1124,Comptabilité!$C$1:$C$1446,"2026"),0))</f>
        <v>26121</v>
      </c>
      <c r="G1124">
        <f>IF($A1124="","",IF($D1124="V01",Cadrage!$C$23,IF($D1124="V02",Cadrage!$D$23,Cadrage!$E$23)))</f>
        <v>-0.05</v>
      </c>
      <c r="H1124">
        <f>IF($A1124="","",IF($D1124="V01",Cadrage!$C$24,IF($D1124="V02",Cadrage!$D$24,Cadrage!$E$24)))</f>
        <v>-0.05</v>
      </c>
      <c r="I1124">
        <f>IF($A1124="","",IF($D1124="V01",Cadrage!$C$34,IF($D1124="V02",Cadrage!$D$34,Cadrage!$E$34)))</f>
        <v>0.03</v>
      </c>
      <c r="J1124">
        <f>IF($A1124="","",IF($D1124="V01",Cadrage!$C$35,IF($D1124="V02",Cadrage!$D$35,Cadrage!$E$35)))</f>
        <v>0.03</v>
      </c>
      <c r="K1124">
        <f>IF($A1124="","",IF($D1124="V01",Cadrage!$C$36,IF($D1124="V02",Cadrage!$D$36,Cadrage!$E$36)))</f>
        <v>0.05</v>
      </c>
      <c r="L1124">
        <f>IF($A1124="","",IF($D1124="V01",Cadrage!$C$37,IF($D1124="V02",Cadrage!$D$37,Cadrage!$E$37)))</f>
        <v>0</v>
      </c>
      <c r="M1124">
        <f>IF($A1124="","",IF($D1124="V01",Cadrage!$C$38,IF($D1124="V02",Cadrage!$D$38,Cadrage!$E$38)))</f>
        <v>0.04</v>
      </c>
      <c r="N1124">
        <f t="shared" si="1"/>
        <v>0.980622079131853</v>
      </c>
      <c r="O1124">
        <f t="shared" si="2"/>
        <v>0.980622079131853</v>
      </c>
      <c r="P1124">
        <f>IF($A1124="","",IF($E1124=1,$F1124*$O1124,PNL!G1124))</f>
        <v>25614.8293290031</v>
      </c>
      <c r="T1124">
        <f t="shared" si="3"/>
        <v>-25614.8293290031</v>
      </c>
    </row>
    <row r="1125" ht="14.25" customHeight="1">
      <c r="A1125" t="str">
        <f>IF(PNL!A1125="","",PNL!A1125)</f>
        <v>ISCOM_LIL</v>
      </c>
      <c r="B1125" t="str">
        <f>IF(PNL!B1125="","",PNL!B1125)</f>
        <v>604</v>
      </c>
      <c r="C1125" t="str">
        <f>IF(PNL!C1125="","",PNL!C1125)</f>
        <v>2027</v>
      </c>
      <c r="D1125" t="str">
        <f>IF(PNL!D1125="","",PNL!D1125)</f>
        <v>V03</v>
      </c>
      <c r="E1125">
        <f t="shared" si="0"/>
        <v>1</v>
      </c>
      <c r="F1125">
        <f>IF($A1125="","",IF($E1125=1,_xlfn.SUMIFS(Comptabilité!$F$1:$F$1446,Comptabilité!$A$1:$A$1446,$A1125,Comptabilité!$B$1:$B$1446,$B1125,Comptabilité!$C$1:$C$1446,"2026"),0))</f>
        <v>54475</v>
      </c>
      <c r="G1125">
        <f>IF($A1125="","",IF($D1125="V01",Cadrage!$C$23,IF($D1125="V02",Cadrage!$D$23,Cadrage!$E$23)))</f>
        <v>-0.05</v>
      </c>
      <c r="H1125">
        <f>IF($A1125="","",IF($D1125="V01",Cadrage!$C$24,IF($D1125="V02",Cadrage!$D$24,Cadrage!$E$24)))</f>
        <v>-0.05</v>
      </c>
      <c r="I1125">
        <f>IF($A1125="","",IF($D1125="V01",Cadrage!$C$34,IF($D1125="V02",Cadrage!$D$34,Cadrage!$E$34)))</f>
        <v>0.03</v>
      </c>
      <c r="J1125">
        <f>IF($A1125="","",IF($D1125="V01",Cadrage!$C$35,IF($D1125="V02",Cadrage!$D$35,Cadrage!$E$35)))</f>
        <v>0.03</v>
      </c>
      <c r="K1125">
        <f>IF($A1125="","",IF($D1125="V01",Cadrage!$C$36,IF($D1125="V02",Cadrage!$D$36,Cadrage!$E$36)))</f>
        <v>0.05</v>
      </c>
      <c r="L1125">
        <f>IF($A1125="","",IF($D1125="V01",Cadrage!$C$37,IF($D1125="V02",Cadrage!$D$37,Cadrage!$E$37)))</f>
        <v>0</v>
      </c>
      <c r="M1125">
        <f>IF($A1125="","",IF($D1125="V01",Cadrage!$C$38,IF($D1125="V02",Cadrage!$D$38,Cadrage!$E$38)))</f>
        <v>0.04</v>
      </c>
      <c r="N1125">
        <f t="shared" si="1"/>
        <v>0.980622079131853</v>
      </c>
      <c r="O1125">
        <f t="shared" si="2"/>
        <v>0.980622079131853</v>
      </c>
      <c r="P1125">
        <f>IF($A1125="","",IF($E1125=1,$F1125*$O1125,PNL!G1125))</f>
        <v>53419.3877607077</v>
      </c>
      <c r="T1125">
        <f t="shared" si="3"/>
        <v>-53419.3877607077</v>
      </c>
    </row>
    <row r="1126" ht="14.25" customHeight="1">
      <c r="A1126" t="str">
        <f>IF(PNL!A1126="","",PNL!A1126)</f>
        <v>ISCOM_PAR</v>
      </c>
      <c r="B1126" t="str">
        <f>IF(PNL!B1126="","",PNL!B1126)</f>
        <v>604</v>
      </c>
      <c r="C1126" t="str">
        <f>IF(PNL!C1126="","",PNL!C1126)</f>
        <v>2027</v>
      </c>
      <c r="D1126" t="str">
        <f>IF(PNL!D1126="","",PNL!D1126)</f>
        <v>V03</v>
      </c>
      <c r="E1126">
        <f t="shared" si="0"/>
        <v>1</v>
      </c>
      <c r="F1126">
        <f>IF($A1126="","",IF($E1126=1,_xlfn.SUMIFS(Comptabilité!$F$1:$F$1446,Comptabilité!$A$1:$A$1446,$A1126,Comptabilité!$B$1:$B$1446,$B1126,Comptabilité!$C$1:$C$1446,"2026"),0))</f>
        <v>79033</v>
      </c>
      <c r="G1126">
        <f>IF($A1126="","",IF($D1126="V01",Cadrage!$C$23,IF($D1126="V02",Cadrage!$D$23,Cadrage!$E$23)))</f>
        <v>-0.05</v>
      </c>
      <c r="H1126">
        <f>IF($A1126="","",IF($D1126="V01",Cadrage!$C$24,IF($D1126="V02",Cadrage!$D$24,Cadrage!$E$24)))</f>
        <v>-0.05</v>
      </c>
      <c r="I1126">
        <f>IF($A1126="","",IF($D1126="V01",Cadrage!$C$34,IF($D1126="V02",Cadrage!$D$34,Cadrage!$E$34)))</f>
        <v>0.03</v>
      </c>
      <c r="J1126">
        <f>IF($A1126="","",IF($D1126="V01",Cadrage!$C$35,IF($D1126="V02",Cadrage!$D$35,Cadrage!$E$35)))</f>
        <v>0.03</v>
      </c>
      <c r="K1126">
        <f>IF($A1126="","",IF($D1126="V01",Cadrage!$C$36,IF($D1126="V02",Cadrage!$D$36,Cadrage!$E$36)))</f>
        <v>0.05</v>
      </c>
      <c r="L1126">
        <f>IF($A1126="","",IF($D1126="V01",Cadrage!$C$37,IF($D1126="V02",Cadrage!$D$37,Cadrage!$E$37)))</f>
        <v>0</v>
      </c>
      <c r="M1126">
        <f>IF($A1126="","",IF($D1126="V01",Cadrage!$C$38,IF($D1126="V02",Cadrage!$D$38,Cadrage!$E$38)))</f>
        <v>0.04</v>
      </c>
      <c r="N1126">
        <f t="shared" si="1"/>
        <v>0.980622079131853</v>
      </c>
      <c r="O1126">
        <f t="shared" si="2"/>
        <v>0.980622079131853</v>
      </c>
      <c r="P1126">
        <f>IF($A1126="","",IF($E1126=1,$F1126*$O1126,PNL!G1126))</f>
        <v>77501.5047800277</v>
      </c>
      <c r="T1126">
        <f t="shared" si="3"/>
        <v>-77501.5047800277</v>
      </c>
    </row>
    <row r="1127" ht="14.25" customHeight="1">
      <c r="A1127" t="str">
        <f>IF(PNL!A1127="","",PNL!A1127)</f>
        <v>ISCOM_TLS</v>
      </c>
      <c r="B1127" t="str">
        <f>IF(PNL!B1127="","",PNL!B1127)</f>
        <v>604</v>
      </c>
      <c r="C1127" t="str">
        <f>IF(PNL!C1127="","",PNL!C1127)</f>
        <v>2027</v>
      </c>
      <c r="D1127" t="str">
        <f>IF(PNL!D1127="","",PNL!D1127)</f>
        <v>V03</v>
      </c>
      <c r="E1127">
        <f t="shared" si="0"/>
        <v>1</v>
      </c>
      <c r="F1127">
        <f>IF($A1127="","",IF($E1127=1,_xlfn.SUMIFS(Comptabilité!$F$1:$F$1446,Comptabilité!$A$1:$A$1446,$A1127,Comptabilité!$B$1:$B$1446,$B1127,Comptabilité!$C$1:$C$1446,"2026"),0))</f>
        <v>51572</v>
      </c>
      <c r="G1127">
        <f>IF($A1127="","",IF($D1127="V01",Cadrage!$C$23,IF($D1127="V02",Cadrage!$D$23,Cadrage!$E$23)))</f>
        <v>-0.05</v>
      </c>
      <c r="H1127">
        <f>IF($A1127="","",IF($D1127="V01",Cadrage!$C$24,IF($D1127="V02",Cadrage!$D$24,Cadrage!$E$24)))</f>
        <v>-0.05</v>
      </c>
      <c r="I1127">
        <f>IF($A1127="","",IF($D1127="V01",Cadrage!$C$34,IF($D1127="V02",Cadrage!$D$34,Cadrage!$E$34)))</f>
        <v>0.03</v>
      </c>
      <c r="J1127">
        <f>IF($A1127="","",IF($D1127="V01",Cadrage!$C$35,IF($D1127="V02",Cadrage!$D$35,Cadrage!$E$35)))</f>
        <v>0.03</v>
      </c>
      <c r="K1127">
        <f>IF($A1127="","",IF($D1127="V01",Cadrage!$C$36,IF($D1127="V02",Cadrage!$D$36,Cadrage!$E$36)))</f>
        <v>0.05</v>
      </c>
      <c r="L1127">
        <f>IF($A1127="","",IF($D1127="V01",Cadrage!$C$37,IF($D1127="V02",Cadrage!$D$37,Cadrage!$E$37)))</f>
        <v>0</v>
      </c>
      <c r="M1127">
        <f>IF($A1127="","",IF($D1127="V01",Cadrage!$C$38,IF($D1127="V02",Cadrage!$D$38,Cadrage!$E$38)))</f>
        <v>0.04</v>
      </c>
      <c r="N1127">
        <f t="shared" si="1"/>
        <v>0.980622079131853</v>
      </c>
      <c r="O1127">
        <f t="shared" si="2"/>
        <v>0.980622079131853</v>
      </c>
      <c r="P1127">
        <f>IF($A1127="","",IF($E1127=1,$F1127*$O1127,PNL!G1127))</f>
        <v>50572.6418649879</v>
      </c>
      <c r="T1127">
        <f t="shared" si="3"/>
        <v>-50572.6418649879</v>
      </c>
    </row>
    <row r="1128" ht="14.25" customHeight="1">
      <c r="A1128" t="str">
        <f>IF(PNL!A1128="","",PNL!A1128)</f>
        <v>MBWAY_BOR</v>
      </c>
      <c r="B1128" t="str">
        <f>IF(PNL!B1128="","",PNL!B1128)</f>
        <v>604</v>
      </c>
      <c r="C1128" t="str">
        <f>IF(PNL!C1128="","",PNL!C1128)</f>
        <v>2027</v>
      </c>
      <c r="D1128" t="str">
        <f>IF(PNL!D1128="","",PNL!D1128)</f>
        <v>V03</v>
      </c>
      <c r="E1128">
        <f t="shared" si="0"/>
        <v>1</v>
      </c>
      <c r="F1128">
        <f>IF($A1128="","",IF($E1128=1,_xlfn.SUMIFS(Comptabilité!$F$1:$F$1446,Comptabilité!$A$1:$A$1446,$A1128,Comptabilité!$B$1:$B$1446,$B1128,Comptabilité!$C$1:$C$1446,"2026"),0))</f>
        <v>55591</v>
      </c>
      <c r="G1128">
        <f>IF($A1128="","",IF($D1128="V01",Cadrage!$C$23,IF($D1128="V02",Cadrage!$D$23,Cadrage!$E$23)))</f>
        <v>-0.05</v>
      </c>
      <c r="H1128">
        <f>IF($A1128="","",IF($D1128="V01",Cadrage!$C$24,IF($D1128="V02",Cadrage!$D$24,Cadrage!$E$24)))</f>
        <v>-0.05</v>
      </c>
      <c r="I1128">
        <f>IF($A1128="","",IF($D1128="V01",Cadrage!$C$34,IF($D1128="V02",Cadrage!$D$34,Cadrage!$E$34)))</f>
        <v>0.03</v>
      </c>
      <c r="J1128">
        <f>IF($A1128="","",IF($D1128="V01",Cadrage!$C$35,IF($D1128="V02",Cadrage!$D$35,Cadrage!$E$35)))</f>
        <v>0.03</v>
      </c>
      <c r="K1128">
        <f>IF($A1128="","",IF($D1128="V01",Cadrage!$C$36,IF($D1128="V02",Cadrage!$D$36,Cadrage!$E$36)))</f>
        <v>0.05</v>
      </c>
      <c r="L1128">
        <f>IF($A1128="","",IF($D1128="V01",Cadrage!$C$37,IF($D1128="V02",Cadrage!$D$37,Cadrage!$E$37)))</f>
        <v>0</v>
      </c>
      <c r="M1128">
        <f>IF($A1128="","",IF($D1128="V01",Cadrage!$C$38,IF($D1128="V02",Cadrage!$D$38,Cadrage!$E$38)))</f>
        <v>0.04</v>
      </c>
      <c r="N1128">
        <f t="shared" si="1"/>
        <v>0.980622079131853</v>
      </c>
      <c r="O1128">
        <f t="shared" si="2"/>
        <v>0.980622079131853</v>
      </c>
      <c r="P1128">
        <f>IF($A1128="","",IF($E1128=1,$F1128*$O1128,PNL!G1128))</f>
        <v>54513.7620010188</v>
      </c>
      <c r="T1128">
        <f t="shared" si="3"/>
        <v>-54513.7620010188</v>
      </c>
    </row>
    <row r="1129" ht="14.25" customHeight="1">
      <c r="A1129" t="str">
        <f>IF(PNL!A1129="","",PNL!A1129)</f>
        <v>MBWAY_LYO</v>
      </c>
      <c r="B1129" t="str">
        <f>IF(PNL!B1129="","",PNL!B1129)</f>
        <v>604</v>
      </c>
      <c r="C1129" t="str">
        <f>IF(PNL!C1129="","",PNL!C1129)</f>
        <v>2027</v>
      </c>
      <c r="D1129" t="str">
        <f>IF(PNL!D1129="","",PNL!D1129)</f>
        <v>V03</v>
      </c>
      <c r="E1129">
        <f t="shared" si="0"/>
        <v>1</v>
      </c>
      <c r="F1129">
        <f>IF($A1129="","",IF($E1129=1,_xlfn.SUMIFS(Comptabilité!$F$1:$F$1446,Comptabilité!$A$1:$A$1446,$A1129,Comptabilité!$B$1:$B$1446,$B1129,Comptabilité!$C$1:$C$1446,"2026"),0))</f>
        <v>72335</v>
      </c>
      <c r="G1129">
        <f>IF($A1129="","",IF($D1129="V01",Cadrage!$C$23,IF($D1129="V02",Cadrage!$D$23,Cadrage!$E$23)))</f>
        <v>-0.05</v>
      </c>
      <c r="H1129">
        <f>IF($A1129="","",IF($D1129="V01",Cadrage!$C$24,IF($D1129="V02",Cadrage!$D$24,Cadrage!$E$24)))</f>
        <v>-0.05</v>
      </c>
      <c r="I1129">
        <f>IF($A1129="","",IF($D1129="V01",Cadrage!$C$34,IF($D1129="V02",Cadrage!$D$34,Cadrage!$E$34)))</f>
        <v>0.03</v>
      </c>
      <c r="J1129">
        <f>IF($A1129="","",IF($D1129="V01",Cadrage!$C$35,IF($D1129="V02",Cadrage!$D$35,Cadrage!$E$35)))</f>
        <v>0.03</v>
      </c>
      <c r="K1129">
        <f>IF($A1129="","",IF($D1129="V01",Cadrage!$C$36,IF($D1129="V02",Cadrage!$D$36,Cadrage!$E$36)))</f>
        <v>0.05</v>
      </c>
      <c r="L1129">
        <f>IF($A1129="","",IF($D1129="V01",Cadrage!$C$37,IF($D1129="V02",Cadrage!$D$37,Cadrage!$E$37)))</f>
        <v>0</v>
      </c>
      <c r="M1129">
        <f>IF($A1129="","",IF($D1129="V01",Cadrage!$C$38,IF($D1129="V02",Cadrage!$D$38,Cadrage!$E$38)))</f>
        <v>0.04</v>
      </c>
      <c r="N1129">
        <f t="shared" si="1"/>
        <v>0.980622079131853</v>
      </c>
      <c r="O1129">
        <f t="shared" si="2"/>
        <v>0.980622079131853</v>
      </c>
      <c r="P1129">
        <f>IF($A1129="","",IF($E1129=1,$F1129*$O1129,PNL!G1129))</f>
        <v>70933.2980940026</v>
      </c>
      <c r="T1129">
        <f t="shared" si="3"/>
        <v>-70933.2980940026</v>
      </c>
    </row>
    <row r="1130" ht="14.25" customHeight="1">
      <c r="A1130" t="str">
        <f>IF(PNL!A1130="","",PNL!A1130)</f>
        <v>MBWAY_NAN</v>
      </c>
      <c r="B1130" t="str">
        <f>IF(PNL!B1130="","",PNL!B1130)</f>
        <v>604</v>
      </c>
      <c r="C1130" t="str">
        <f>IF(PNL!C1130="","",PNL!C1130)</f>
        <v>2027</v>
      </c>
      <c r="D1130" t="str">
        <f>IF(PNL!D1130="","",PNL!D1130)</f>
        <v>V03</v>
      </c>
      <c r="E1130">
        <f t="shared" si="0"/>
        <v>1</v>
      </c>
      <c r="F1130">
        <f>IF($A1130="","",IF($E1130=1,_xlfn.SUMIFS(Comptabilité!$F$1:$F$1446,Comptabilité!$A$1:$A$1446,$A1130,Comptabilité!$B$1:$B$1446,$B1130,Comptabilité!$C$1:$C$1446,"2026"),0))</f>
        <v>65638</v>
      </c>
      <c r="G1130">
        <f>IF($A1130="","",IF($D1130="V01",Cadrage!$C$23,IF($D1130="V02",Cadrage!$D$23,Cadrage!$E$23)))</f>
        <v>-0.05</v>
      </c>
      <c r="H1130">
        <f>IF($A1130="","",IF($D1130="V01",Cadrage!$C$24,IF($D1130="V02",Cadrage!$D$24,Cadrage!$E$24)))</f>
        <v>-0.05</v>
      </c>
      <c r="I1130">
        <f>IF($A1130="","",IF($D1130="V01",Cadrage!$C$34,IF($D1130="V02",Cadrage!$D$34,Cadrage!$E$34)))</f>
        <v>0.03</v>
      </c>
      <c r="J1130">
        <f>IF($A1130="","",IF($D1130="V01",Cadrage!$C$35,IF($D1130="V02",Cadrage!$D$35,Cadrage!$E$35)))</f>
        <v>0.03</v>
      </c>
      <c r="K1130">
        <f>IF($A1130="","",IF($D1130="V01",Cadrage!$C$36,IF($D1130="V02",Cadrage!$D$36,Cadrage!$E$36)))</f>
        <v>0.05</v>
      </c>
      <c r="L1130">
        <f>IF($A1130="","",IF($D1130="V01",Cadrage!$C$37,IF($D1130="V02",Cadrage!$D$37,Cadrage!$E$37)))</f>
        <v>0</v>
      </c>
      <c r="M1130">
        <f>IF($A1130="","",IF($D1130="V01",Cadrage!$C$38,IF($D1130="V02",Cadrage!$D$38,Cadrage!$E$38)))</f>
        <v>0.04</v>
      </c>
      <c r="N1130">
        <f t="shared" si="1"/>
        <v>0.980622079131853</v>
      </c>
      <c r="O1130">
        <f t="shared" si="2"/>
        <v>0.980622079131853</v>
      </c>
      <c r="P1130">
        <f>IF($A1130="","",IF($E1130=1,$F1130*$O1130,PNL!G1130))</f>
        <v>64366.0720300566</v>
      </c>
      <c r="T1130">
        <f t="shared" si="3"/>
        <v>-64366.0720300566</v>
      </c>
    </row>
    <row r="1131" ht="14.25" customHeight="1">
      <c r="A1131" t="str">
        <f>IF(PNL!A1131="","",PNL!A1131)</f>
        <v>MBWAY_PAR</v>
      </c>
      <c r="B1131" t="str">
        <f>IF(PNL!B1131="","",PNL!B1131)</f>
        <v>604</v>
      </c>
      <c r="C1131" t="str">
        <f>IF(PNL!C1131="","",PNL!C1131)</f>
        <v>2027</v>
      </c>
      <c r="D1131" t="str">
        <f>IF(PNL!D1131="","",PNL!D1131)</f>
        <v>V03</v>
      </c>
      <c r="E1131">
        <f t="shared" si="0"/>
        <v>1</v>
      </c>
      <c r="F1131">
        <f>IF($A1131="","",IF($E1131=1,_xlfn.SUMIFS(Comptabilité!$F$1:$F$1446,Comptabilité!$A$1:$A$1446,$A1131,Comptabilité!$B$1:$B$1446,$B1131,Comptabilité!$C$1:$C$1446,"2026"),0))</f>
        <v>85284</v>
      </c>
      <c r="G1131">
        <f>IF($A1131="","",IF($D1131="V01",Cadrage!$C$23,IF($D1131="V02",Cadrage!$D$23,Cadrage!$E$23)))</f>
        <v>-0.05</v>
      </c>
      <c r="H1131">
        <f>IF($A1131="","",IF($D1131="V01",Cadrage!$C$24,IF($D1131="V02",Cadrage!$D$24,Cadrage!$E$24)))</f>
        <v>-0.05</v>
      </c>
      <c r="I1131">
        <f>IF($A1131="","",IF($D1131="V01",Cadrage!$C$34,IF($D1131="V02",Cadrage!$D$34,Cadrage!$E$34)))</f>
        <v>0.03</v>
      </c>
      <c r="J1131">
        <f>IF($A1131="","",IF($D1131="V01",Cadrage!$C$35,IF($D1131="V02",Cadrage!$D$35,Cadrage!$E$35)))</f>
        <v>0.03</v>
      </c>
      <c r="K1131">
        <f>IF($A1131="","",IF($D1131="V01",Cadrage!$C$36,IF($D1131="V02",Cadrage!$D$36,Cadrage!$E$36)))</f>
        <v>0.05</v>
      </c>
      <c r="L1131">
        <f>IF($A1131="","",IF($D1131="V01",Cadrage!$C$37,IF($D1131="V02",Cadrage!$D$37,Cadrage!$E$37)))</f>
        <v>0</v>
      </c>
      <c r="M1131">
        <f>IF($A1131="","",IF($D1131="V01",Cadrage!$C$38,IF($D1131="V02",Cadrage!$D$38,Cadrage!$E$38)))</f>
        <v>0.04</v>
      </c>
      <c r="N1131">
        <f t="shared" si="1"/>
        <v>0.980622079131853</v>
      </c>
      <c r="O1131">
        <f t="shared" si="2"/>
        <v>0.980622079131853</v>
      </c>
      <c r="P1131">
        <f>IF($A1131="","",IF($E1131=1,$F1131*$O1131,PNL!G1131))</f>
        <v>83631.373396681</v>
      </c>
      <c r="T1131">
        <f t="shared" si="3"/>
        <v>-83631.373396681</v>
      </c>
    </row>
    <row r="1132" ht="14.25" customHeight="1">
      <c r="A1132" t="str">
        <f>IF(PNL!A1132="","",PNL!A1132)</f>
        <v>PIGIER_BOR</v>
      </c>
      <c r="B1132" t="str">
        <f>IF(PNL!B1132="","",PNL!B1132)</f>
        <v>604</v>
      </c>
      <c r="C1132" t="str">
        <f>IF(PNL!C1132="","",PNL!C1132)</f>
        <v>2027</v>
      </c>
      <c r="D1132" t="str">
        <f>IF(PNL!D1132="","",PNL!D1132)</f>
        <v>V03</v>
      </c>
      <c r="E1132">
        <f t="shared" si="0"/>
        <v>1</v>
      </c>
      <c r="F1132">
        <f>IF($A1132="","",IF($E1132=1,_xlfn.SUMIFS(Comptabilité!$F$1:$F$1446,Comptabilité!$A$1:$A$1446,$A1132,Comptabilité!$B$1:$B$1446,$B1132,Comptabilité!$C$1:$C$1446,"2026"),0))</f>
        <v>31703</v>
      </c>
      <c r="G1132">
        <f>IF($A1132="","",IF($D1132="V01",Cadrage!$C$23,IF($D1132="V02",Cadrage!$D$23,Cadrage!$E$23)))</f>
        <v>-0.05</v>
      </c>
      <c r="H1132">
        <f>IF($A1132="","",IF($D1132="V01",Cadrage!$C$24,IF($D1132="V02",Cadrage!$D$24,Cadrage!$E$24)))</f>
        <v>-0.05</v>
      </c>
      <c r="I1132">
        <f>IF($A1132="","",IF($D1132="V01",Cadrage!$C$34,IF($D1132="V02",Cadrage!$D$34,Cadrage!$E$34)))</f>
        <v>0.03</v>
      </c>
      <c r="J1132">
        <f>IF($A1132="","",IF($D1132="V01",Cadrage!$C$35,IF($D1132="V02",Cadrage!$D$35,Cadrage!$E$35)))</f>
        <v>0.03</v>
      </c>
      <c r="K1132">
        <f>IF($A1132="","",IF($D1132="V01",Cadrage!$C$36,IF($D1132="V02",Cadrage!$D$36,Cadrage!$E$36)))</f>
        <v>0.05</v>
      </c>
      <c r="L1132">
        <f>IF($A1132="","",IF($D1132="V01",Cadrage!$C$37,IF($D1132="V02",Cadrage!$D$37,Cadrage!$E$37)))</f>
        <v>0</v>
      </c>
      <c r="M1132">
        <f>IF($A1132="","",IF($D1132="V01",Cadrage!$C$38,IF($D1132="V02",Cadrage!$D$38,Cadrage!$E$38)))</f>
        <v>0.04</v>
      </c>
      <c r="N1132">
        <f t="shared" si="1"/>
        <v>0.980622079131853</v>
      </c>
      <c r="O1132">
        <f t="shared" si="2"/>
        <v>0.980622079131853</v>
      </c>
      <c r="P1132">
        <f>IF($A1132="","",IF($E1132=1,$F1132*$O1132,PNL!G1132))</f>
        <v>31088.6617747171</v>
      </c>
      <c r="T1132">
        <f t="shared" si="3"/>
        <v>-31088.6617747171</v>
      </c>
    </row>
    <row r="1133" ht="14.25" customHeight="1">
      <c r="A1133" t="str">
        <f>IF(PNL!A1133="","",PNL!A1133)</f>
        <v>PIGIER_LYO</v>
      </c>
      <c r="B1133" t="str">
        <f>IF(PNL!B1133="","",PNL!B1133)</f>
        <v>604</v>
      </c>
      <c r="C1133" t="str">
        <f>IF(PNL!C1133="","",PNL!C1133)</f>
        <v>2027</v>
      </c>
      <c r="D1133" t="str">
        <f>IF(PNL!D1133="","",PNL!D1133)</f>
        <v>V03</v>
      </c>
      <c r="E1133">
        <f t="shared" si="0"/>
        <v>1</v>
      </c>
      <c r="F1133">
        <f>IF($A1133="","",IF($E1133=1,_xlfn.SUMIFS(Comptabilité!$F$1:$F$1446,Comptabilité!$A$1:$A$1446,$A1133,Comptabilité!$B$1:$B$1446,$B1133,Comptabilité!$C$1:$C$1446,"2026"),0))</f>
        <v>40633</v>
      </c>
      <c r="G1133">
        <f>IF($A1133="","",IF($D1133="V01",Cadrage!$C$23,IF($D1133="V02",Cadrage!$D$23,Cadrage!$E$23)))</f>
        <v>-0.05</v>
      </c>
      <c r="H1133">
        <f>IF($A1133="","",IF($D1133="V01",Cadrage!$C$24,IF($D1133="V02",Cadrage!$D$24,Cadrage!$E$24)))</f>
        <v>-0.05</v>
      </c>
      <c r="I1133">
        <f>IF($A1133="","",IF($D1133="V01",Cadrage!$C$34,IF($D1133="V02",Cadrage!$D$34,Cadrage!$E$34)))</f>
        <v>0.03</v>
      </c>
      <c r="J1133">
        <f>IF($A1133="","",IF($D1133="V01",Cadrage!$C$35,IF($D1133="V02",Cadrage!$D$35,Cadrage!$E$35)))</f>
        <v>0.03</v>
      </c>
      <c r="K1133">
        <f>IF($A1133="","",IF($D1133="V01",Cadrage!$C$36,IF($D1133="V02",Cadrage!$D$36,Cadrage!$E$36)))</f>
        <v>0.05</v>
      </c>
      <c r="L1133">
        <f>IF($A1133="","",IF($D1133="V01",Cadrage!$C$37,IF($D1133="V02",Cadrage!$D$37,Cadrage!$E$37)))</f>
        <v>0</v>
      </c>
      <c r="M1133">
        <f>IF($A1133="","",IF($D1133="V01",Cadrage!$C$38,IF($D1133="V02",Cadrage!$D$38,Cadrage!$E$38)))</f>
        <v>0.04</v>
      </c>
      <c r="N1133">
        <f t="shared" si="1"/>
        <v>0.980622079131853</v>
      </c>
      <c r="O1133">
        <f t="shared" si="2"/>
        <v>0.980622079131853</v>
      </c>
      <c r="P1133">
        <f>IF($A1133="","",IF($E1133=1,$F1133*$O1133,PNL!G1133))</f>
        <v>39845.6169413646</v>
      </c>
      <c r="T1133">
        <f t="shared" si="3"/>
        <v>-39845.6169413646</v>
      </c>
    </row>
    <row r="1134" ht="14.25" customHeight="1">
      <c r="A1134" t="str">
        <f>IF(PNL!A1134="","",PNL!A1134)</f>
        <v>TUNON_LYO</v>
      </c>
      <c r="B1134" t="str">
        <f>IF(PNL!B1134="","",PNL!B1134)</f>
        <v>604</v>
      </c>
      <c r="C1134" t="str">
        <f>IF(PNL!C1134="","",PNL!C1134)</f>
        <v>2027</v>
      </c>
      <c r="D1134" t="str">
        <f>IF(PNL!D1134="","",PNL!D1134)</f>
        <v>V03</v>
      </c>
      <c r="E1134">
        <f t="shared" si="0"/>
        <v>1</v>
      </c>
      <c r="F1134">
        <f>IF($A1134="","",IF($E1134=1,_xlfn.SUMIFS(Comptabilité!$F$1:$F$1446,Comptabilité!$A$1:$A$1446,$A1134,Comptabilité!$B$1:$B$1446,$B1134,Comptabilité!$C$1:$C$1446,"2026"),0))</f>
        <v>26121</v>
      </c>
      <c r="G1134">
        <f>IF($A1134="","",IF($D1134="V01",Cadrage!$C$23,IF($D1134="V02",Cadrage!$D$23,Cadrage!$E$23)))</f>
        <v>-0.05</v>
      </c>
      <c r="H1134">
        <f>IF($A1134="","",IF($D1134="V01",Cadrage!$C$24,IF($D1134="V02",Cadrage!$D$24,Cadrage!$E$24)))</f>
        <v>-0.05</v>
      </c>
      <c r="I1134">
        <f>IF($A1134="","",IF($D1134="V01",Cadrage!$C$34,IF($D1134="V02",Cadrage!$D$34,Cadrage!$E$34)))</f>
        <v>0.03</v>
      </c>
      <c r="J1134">
        <f>IF($A1134="","",IF($D1134="V01",Cadrage!$C$35,IF($D1134="V02",Cadrage!$D$35,Cadrage!$E$35)))</f>
        <v>0.03</v>
      </c>
      <c r="K1134">
        <f>IF($A1134="","",IF($D1134="V01",Cadrage!$C$36,IF($D1134="V02",Cadrage!$D$36,Cadrage!$E$36)))</f>
        <v>0.05</v>
      </c>
      <c r="L1134">
        <f>IF($A1134="","",IF($D1134="V01",Cadrage!$C$37,IF($D1134="V02",Cadrage!$D$37,Cadrage!$E$37)))</f>
        <v>0</v>
      </c>
      <c r="M1134">
        <f>IF($A1134="","",IF($D1134="V01",Cadrage!$C$38,IF($D1134="V02",Cadrage!$D$38,Cadrage!$E$38)))</f>
        <v>0.04</v>
      </c>
      <c r="N1134">
        <f t="shared" si="1"/>
        <v>0.980622079131853</v>
      </c>
      <c r="O1134">
        <f t="shared" si="2"/>
        <v>0.980622079131853</v>
      </c>
      <c r="P1134">
        <f>IF($A1134="","",IF($E1134=1,$F1134*$O1134,PNL!G1134))</f>
        <v>25614.8293290031</v>
      </c>
      <c r="T1134">
        <f t="shared" si="3"/>
        <v>-25614.8293290031</v>
      </c>
    </row>
    <row r="1135" ht="14.25" customHeight="1">
      <c r="A1135" t="str">
        <f>IF(PNL!A1135="","",PNL!A1135)</f>
        <v>TUNON_PAR</v>
      </c>
      <c r="B1135" t="str">
        <f>IF(PNL!B1135="","",PNL!B1135)</f>
        <v>604</v>
      </c>
      <c r="C1135" t="str">
        <f>IF(PNL!C1135="","",PNL!C1135)</f>
        <v>2027</v>
      </c>
      <c r="D1135" t="str">
        <f>IF(PNL!D1135="","",PNL!D1135)</f>
        <v>V03</v>
      </c>
      <c r="E1135">
        <f t="shared" si="0"/>
        <v>1</v>
      </c>
      <c r="F1135">
        <f>IF($A1135="","",IF($E1135=1,_xlfn.SUMIFS(Comptabilité!$F$1:$F$1446,Comptabilité!$A$1:$A$1446,$A1135,Comptabilité!$B$1:$B$1446,$B1135,Comptabilité!$C$1:$C$1446,"2026"),0))</f>
        <v>30809</v>
      </c>
      <c r="G1135">
        <f>IF($A1135="","",IF($D1135="V01",Cadrage!$C$23,IF($D1135="V02",Cadrage!$D$23,Cadrage!$E$23)))</f>
        <v>-0.05</v>
      </c>
      <c r="H1135">
        <f>IF($A1135="","",IF($D1135="V01",Cadrage!$C$24,IF($D1135="V02",Cadrage!$D$24,Cadrage!$E$24)))</f>
        <v>-0.05</v>
      </c>
      <c r="I1135">
        <f>IF($A1135="","",IF($D1135="V01",Cadrage!$C$34,IF($D1135="V02",Cadrage!$D$34,Cadrage!$E$34)))</f>
        <v>0.03</v>
      </c>
      <c r="J1135">
        <f>IF($A1135="","",IF($D1135="V01",Cadrage!$C$35,IF($D1135="V02",Cadrage!$D$35,Cadrage!$E$35)))</f>
        <v>0.03</v>
      </c>
      <c r="K1135">
        <f>IF($A1135="","",IF($D1135="V01",Cadrage!$C$36,IF($D1135="V02",Cadrage!$D$36,Cadrage!$E$36)))</f>
        <v>0.05</v>
      </c>
      <c r="L1135">
        <f>IF($A1135="","",IF($D1135="V01",Cadrage!$C$37,IF($D1135="V02",Cadrage!$D$37,Cadrage!$E$37)))</f>
        <v>0</v>
      </c>
      <c r="M1135">
        <f>IF($A1135="","",IF($D1135="V01",Cadrage!$C$38,IF($D1135="V02",Cadrage!$D$38,Cadrage!$E$38)))</f>
        <v>0.04</v>
      </c>
      <c r="N1135">
        <f t="shared" si="1"/>
        <v>0.980622079131853</v>
      </c>
      <c r="O1135">
        <f t="shared" si="2"/>
        <v>0.980622079131853</v>
      </c>
      <c r="P1135">
        <f>IF($A1135="","",IF($E1135=1,$F1135*$O1135,PNL!G1135))</f>
        <v>30211.9856359733</v>
      </c>
      <c r="T1135">
        <f t="shared" si="3"/>
        <v>-30211.9856359733</v>
      </c>
    </row>
    <row r="1136" ht="14.25" customHeight="1">
      <c r="A1136" t="str">
        <f>IF(PNL!A1136="","",PNL!A1136)</f>
        <v>IPAC_MTP</v>
      </c>
      <c r="B1136" t="str">
        <f>IF(PNL!B1136="","",PNL!B1136)</f>
        <v>6063</v>
      </c>
      <c r="C1136" t="str">
        <f>IF(PNL!C1136="","",PNL!C1136)</f>
        <v>2027</v>
      </c>
      <c r="D1136" t="str">
        <f>IF(PNL!D1136="","",PNL!D1136)</f>
        <v>V03</v>
      </c>
      <c r="E1136">
        <f t="shared" si="0"/>
        <v>1</v>
      </c>
      <c r="F1136">
        <f>IF($A1136="","",IF($E1136=1,_xlfn.SUMIFS(Comptabilité!$F$1:$F$1446,Comptabilité!$A$1:$A$1446,$A1136,Comptabilité!$B$1:$B$1446,$B1136,Comptabilité!$C$1:$C$1446,"2026"),0))</f>
        <v>17414</v>
      </c>
      <c r="G1136">
        <f>IF($A1136="","",IF($D1136="V01",Cadrage!$C$23,IF($D1136="V02",Cadrage!$D$23,Cadrage!$E$23)))</f>
        <v>-0.05</v>
      </c>
      <c r="H1136">
        <f>IF($A1136="","",IF($D1136="V01",Cadrage!$C$24,IF($D1136="V02",Cadrage!$D$24,Cadrage!$E$24)))</f>
        <v>-0.05</v>
      </c>
      <c r="I1136">
        <f>IF($A1136="","",IF($D1136="V01",Cadrage!$C$34,IF($D1136="V02",Cadrage!$D$34,Cadrage!$E$34)))</f>
        <v>0.03</v>
      </c>
      <c r="J1136">
        <f>IF($A1136="","",IF($D1136="V01",Cadrage!$C$35,IF($D1136="V02",Cadrage!$D$35,Cadrage!$E$35)))</f>
        <v>0.03</v>
      </c>
      <c r="K1136">
        <f>IF($A1136="","",IF($D1136="V01",Cadrage!$C$36,IF($D1136="V02",Cadrage!$D$36,Cadrage!$E$36)))</f>
        <v>0.05</v>
      </c>
      <c r="L1136">
        <f>IF($A1136="","",IF($D1136="V01",Cadrage!$C$37,IF($D1136="V02",Cadrage!$D$37,Cadrage!$E$37)))</f>
        <v>0</v>
      </c>
      <c r="M1136">
        <f>IF($A1136="","",IF($D1136="V01",Cadrage!$C$38,IF($D1136="V02",Cadrage!$D$38,Cadrage!$E$38)))</f>
        <v>0.04</v>
      </c>
      <c r="N1136">
        <f t="shared" si="1"/>
        <v>0.980622079131853</v>
      </c>
      <c r="O1136">
        <f t="shared" si="2"/>
        <v>0.980622079131853</v>
      </c>
      <c r="P1136">
        <f>IF($A1136="","",IF($E1136=1,$F1136*$O1136,PNL!G1136))</f>
        <v>17076.5528860021</v>
      </c>
      <c r="T1136">
        <f t="shared" si="3"/>
        <v>-17076.5528860021</v>
      </c>
    </row>
    <row r="1137" ht="14.25" customHeight="1">
      <c r="A1137" t="str">
        <f>IF(PNL!A1137="","",PNL!A1137)</f>
        <v>IPAC_NAN</v>
      </c>
      <c r="B1137" t="str">
        <f>IF(PNL!B1137="","",PNL!B1137)</f>
        <v>6063</v>
      </c>
      <c r="C1137" t="str">
        <f>IF(PNL!C1137="","",PNL!C1137)</f>
        <v>2027</v>
      </c>
      <c r="D1137" t="str">
        <f>IF(PNL!D1137="","",PNL!D1137)</f>
        <v>V03</v>
      </c>
      <c r="E1137">
        <f t="shared" si="0"/>
        <v>1</v>
      </c>
      <c r="F1137">
        <f>IF($A1137="","",IF($E1137=1,_xlfn.SUMIFS(Comptabilité!$F$1:$F$1446,Comptabilité!$A$1:$A$1446,$A1137,Comptabilité!$B$1:$B$1446,$B1137,Comptabilité!$C$1:$C$1446,"2026"),0))</f>
        <v>21582</v>
      </c>
      <c r="G1137">
        <f>IF($A1137="","",IF($D1137="V01",Cadrage!$C$23,IF($D1137="V02",Cadrage!$D$23,Cadrage!$E$23)))</f>
        <v>-0.05</v>
      </c>
      <c r="H1137">
        <f>IF($A1137="","",IF($D1137="V01",Cadrage!$C$24,IF($D1137="V02",Cadrage!$D$24,Cadrage!$E$24)))</f>
        <v>-0.05</v>
      </c>
      <c r="I1137">
        <f>IF($A1137="","",IF($D1137="V01",Cadrage!$C$34,IF($D1137="V02",Cadrage!$D$34,Cadrage!$E$34)))</f>
        <v>0.03</v>
      </c>
      <c r="J1137">
        <f>IF($A1137="","",IF($D1137="V01",Cadrage!$C$35,IF($D1137="V02",Cadrage!$D$35,Cadrage!$E$35)))</f>
        <v>0.03</v>
      </c>
      <c r="K1137">
        <f>IF($A1137="","",IF($D1137="V01",Cadrage!$C$36,IF($D1137="V02",Cadrage!$D$36,Cadrage!$E$36)))</f>
        <v>0.05</v>
      </c>
      <c r="L1137">
        <f>IF($A1137="","",IF($D1137="V01",Cadrage!$C$37,IF($D1137="V02",Cadrage!$D$37,Cadrage!$E$37)))</f>
        <v>0</v>
      </c>
      <c r="M1137">
        <f>IF($A1137="","",IF($D1137="V01",Cadrage!$C$38,IF($D1137="V02",Cadrage!$D$38,Cadrage!$E$38)))</f>
        <v>0.04</v>
      </c>
      <c r="N1137">
        <f t="shared" si="1"/>
        <v>0.980622079131853</v>
      </c>
      <c r="O1137">
        <f t="shared" si="2"/>
        <v>0.980622079131853</v>
      </c>
      <c r="P1137">
        <f>IF($A1137="","",IF($E1137=1,$F1137*$O1137,PNL!G1137))</f>
        <v>21163.7857118236</v>
      </c>
      <c r="T1137">
        <f t="shared" si="3"/>
        <v>-21163.7857118236</v>
      </c>
    </row>
    <row r="1138" ht="14.25" customHeight="1">
      <c r="A1138" t="str">
        <f>IF(PNL!A1138="","",PNL!A1138)</f>
        <v>IPAC_REN</v>
      </c>
      <c r="B1138" t="str">
        <f>IF(PNL!B1138="","",PNL!B1138)</f>
        <v>6063</v>
      </c>
      <c r="C1138" t="str">
        <f>IF(PNL!C1138="","",PNL!C1138)</f>
        <v>2027</v>
      </c>
      <c r="D1138" t="str">
        <f>IF(PNL!D1138="","",PNL!D1138)</f>
        <v>V03</v>
      </c>
      <c r="E1138">
        <f t="shared" si="0"/>
        <v>1</v>
      </c>
      <c r="F1138">
        <f>IF($A1138="","",IF($E1138=1,_xlfn.SUMIFS(Comptabilité!$F$1:$F$1446,Comptabilité!$A$1:$A$1446,$A1138,Comptabilité!$B$1:$B$1446,$B1138,Comptabilité!$C$1:$C$1446,"2026"),0))</f>
        <v>17414</v>
      </c>
      <c r="G1138">
        <f>IF($A1138="","",IF($D1138="V01",Cadrage!$C$23,IF($D1138="V02",Cadrage!$D$23,Cadrage!$E$23)))</f>
        <v>-0.05</v>
      </c>
      <c r="H1138">
        <f>IF($A1138="","",IF($D1138="V01",Cadrage!$C$24,IF($D1138="V02",Cadrage!$D$24,Cadrage!$E$24)))</f>
        <v>-0.05</v>
      </c>
      <c r="I1138">
        <f>IF($A1138="","",IF($D1138="V01",Cadrage!$C$34,IF($D1138="V02",Cadrage!$D$34,Cadrage!$E$34)))</f>
        <v>0.03</v>
      </c>
      <c r="J1138">
        <f>IF($A1138="","",IF($D1138="V01",Cadrage!$C$35,IF($D1138="V02",Cadrage!$D$35,Cadrage!$E$35)))</f>
        <v>0.03</v>
      </c>
      <c r="K1138">
        <f>IF($A1138="","",IF($D1138="V01",Cadrage!$C$36,IF($D1138="V02",Cadrage!$D$36,Cadrage!$E$36)))</f>
        <v>0.05</v>
      </c>
      <c r="L1138">
        <f>IF($A1138="","",IF($D1138="V01",Cadrage!$C$37,IF($D1138="V02",Cadrage!$D$37,Cadrage!$E$37)))</f>
        <v>0</v>
      </c>
      <c r="M1138">
        <f>IF($A1138="","",IF($D1138="V01",Cadrage!$C$38,IF($D1138="V02",Cadrage!$D$38,Cadrage!$E$38)))</f>
        <v>0.04</v>
      </c>
      <c r="N1138">
        <f t="shared" si="1"/>
        <v>0.980622079131853</v>
      </c>
      <c r="O1138">
        <f t="shared" si="2"/>
        <v>0.980622079131853</v>
      </c>
      <c r="P1138">
        <f>IF($A1138="","",IF($E1138=1,$F1138*$O1138,PNL!G1138))</f>
        <v>17076.5528860021</v>
      </c>
      <c r="T1138">
        <f t="shared" si="3"/>
        <v>-17076.5528860021</v>
      </c>
    </row>
    <row r="1139" ht="14.25" customHeight="1">
      <c r="A1139" t="str">
        <f>IF(PNL!A1139="","",PNL!A1139)</f>
        <v>ISCOM_LIL</v>
      </c>
      <c r="B1139" t="str">
        <f>IF(PNL!B1139="","",PNL!B1139)</f>
        <v>6063</v>
      </c>
      <c r="C1139" t="str">
        <f>IF(PNL!C1139="","",PNL!C1139)</f>
        <v>2027</v>
      </c>
      <c r="D1139" t="str">
        <f>IF(PNL!D1139="","",PNL!D1139)</f>
        <v>V03</v>
      </c>
      <c r="E1139">
        <f t="shared" si="0"/>
        <v>1</v>
      </c>
      <c r="F1139">
        <f>IF($A1139="","",IF($E1139=1,_xlfn.SUMIFS(Comptabilité!$F$1:$F$1446,Comptabilité!$A$1:$A$1446,$A1139,Comptabilité!$B$1:$B$1446,$B1139,Comptabilité!$C$1:$C$1446,"2026"),0))</f>
        <v>36316</v>
      </c>
      <c r="G1139">
        <f>IF($A1139="","",IF($D1139="V01",Cadrage!$C$23,IF($D1139="V02",Cadrage!$D$23,Cadrage!$E$23)))</f>
        <v>-0.05</v>
      </c>
      <c r="H1139">
        <f>IF($A1139="","",IF($D1139="V01",Cadrage!$C$24,IF($D1139="V02",Cadrage!$D$24,Cadrage!$E$24)))</f>
        <v>-0.05</v>
      </c>
      <c r="I1139">
        <f>IF($A1139="","",IF($D1139="V01",Cadrage!$C$34,IF($D1139="V02",Cadrage!$D$34,Cadrage!$E$34)))</f>
        <v>0.03</v>
      </c>
      <c r="J1139">
        <f>IF($A1139="","",IF($D1139="V01",Cadrage!$C$35,IF($D1139="V02",Cadrage!$D$35,Cadrage!$E$35)))</f>
        <v>0.03</v>
      </c>
      <c r="K1139">
        <f>IF($A1139="","",IF($D1139="V01",Cadrage!$C$36,IF($D1139="V02",Cadrage!$D$36,Cadrage!$E$36)))</f>
        <v>0.05</v>
      </c>
      <c r="L1139">
        <f>IF($A1139="","",IF($D1139="V01",Cadrage!$C$37,IF($D1139="V02",Cadrage!$D$37,Cadrage!$E$37)))</f>
        <v>0</v>
      </c>
      <c r="M1139">
        <f>IF($A1139="","",IF($D1139="V01",Cadrage!$C$38,IF($D1139="V02",Cadrage!$D$38,Cadrage!$E$38)))</f>
        <v>0.04</v>
      </c>
      <c r="N1139">
        <f t="shared" si="1"/>
        <v>0.980622079131853</v>
      </c>
      <c r="O1139">
        <f t="shared" si="2"/>
        <v>0.980622079131853</v>
      </c>
      <c r="P1139">
        <f>IF($A1139="","",IF($E1139=1,$F1139*$O1139,PNL!G1139))</f>
        <v>35612.2714257524</v>
      </c>
      <c r="T1139">
        <f t="shared" si="3"/>
        <v>-35612.2714257524</v>
      </c>
    </row>
    <row r="1140" ht="14.25" customHeight="1">
      <c r="A1140" t="str">
        <f>IF(PNL!A1140="","",PNL!A1140)</f>
        <v>ISCOM_PAR</v>
      </c>
      <c r="B1140" t="str">
        <f>IF(PNL!B1140="","",PNL!B1140)</f>
        <v>6063</v>
      </c>
      <c r="C1140" t="str">
        <f>IF(PNL!C1140="","",PNL!C1140)</f>
        <v>2027</v>
      </c>
      <c r="D1140" t="str">
        <f>IF(PNL!D1140="","",PNL!D1140)</f>
        <v>V03</v>
      </c>
      <c r="E1140">
        <f t="shared" si="0"/>
        <v>1</v>
      </c>
      <c r="F1140">
        <f>IF($A1140="","",IF($E1140=1,_xlfn.SUMIFS(Comptabilité!$F$1:$F$1446,Comptabilité!$A$1:$A$1446,$A1140,Comptabilité!$B$1:$B$1446,$B1140,Comptabilité!$C$1:$C$1446,"2026"),0))</f>
        <v>52689</v>
      </c>
      <c r="G1140">
        <f>IF($A1140="","",IF($D1140="V01",Cadrage!$C$23,IF($D1140="V02",Cadrage!$D$23,Cadrage!$E$23)))</f>
        <v>-0.05</v>
      </c>
      <c r="H1140">
        <f>IF($A1140="","",IF($D1140="V01",Cadrage!$C$24,IF($D1140="V02",Cadrage!$D$24,Cadrage!$E$24)))</f>
        <v>-0.05</v>
      </c>
      <c r="I1140">
        <f>IF($A1140="","",IF($D1140="V01",Cadrage!$C$34,IF($D1140="V02",Cadrage!$D$34,Cadrage!$E$34)))</f>
        <v>0.03</v>
      </c>
      <c r="J1140">
        <f>IF($A1140="","",IF($D1140="V01",Cadrage!$C$35,IF($D1140="V02",Cadrage!$D$35,Cadrage!$E$35)))</f>
        <v>0.03</v>
      </c>
      <c r="K1140">
        <f>IF($A1140="","",IF($D1140="V01",Cadrage!$C$36,IF($D1140="V02",Cadrage!$D$36,Cadrage!$E$36)))</f>
        <v>0.05</v>
      </c>
      <c r="L1140">
        <f>IF($A1140="","",IF($D1140="V01",Cadrage!$C$37,IF($D1140="V02",Cadrage!$D$37,Cadrage!$E$37)))</f>
        <v>0</v>
      </c>
      <c r="M1140">
        <f>IF($A1140="","",IF($D1140="V01",Cadrage!$C$38,IF($D1140="V02",Cadrage!$D$38,Cadrage!$E$38)))</f>
        <v>0.04</v>
      </c>
      <c r="N1140">
        <f t="shared" si="1"/>
        <v>0.980622079131853</v>
      </c>
      <c r="O1140">
        <f t="shared" si="2"/>
        <v>0.980622079131853</v>
      </c>
      <c r="P1140">
        <f>IF($A1140="","",IF($E1140=1,$F1140*$O1140,PNL!G1140))</f>
        <v>51667.9967273782</v>
      </c>
      <c r="T1140">
        <f t="shared" si="3"/>
        <v>-51667.9967273782</v>
      </c>
    </row>
    <row r="1141" ht="14.25" customHeight="1">
      <c r="A1141" t="str">
        <f>IF(PNL!A1141="","",PNL!A1141)</f>
        <v>ISCOM_TLS</v>
      </c>
      <c r="B1141" t="str">
        <f>IF(PNL!B1141="","",PNL!B1141)</f>
        <v>6063</v>
      </c>
      <c r="C1141" t="str">
        <f>IF(PNL!C1141="","",PNL!C1141)</f>
        <v>2027</v>
      </c>
      <c r="D1141" t="str">
        <f>IF(PNL!D1141="","",PNL!D1141)</f>
        <v>V03</v>
      </c>
      <c r="E1141">
        <f t="shared" si="0"/>
        <v>1</v>
      </c>
      <c r="F1141">
        <f>IF($A1141="","",IF($E1141=1,_xlfn.SUMIFS(Comptabilité!$F$1:$F$1446,Comptabilité!$A$1:$A$1446,$A1141,Comptabilité!$B$1:$B$1446,$B1141,Comptabilité!$C$1:$C$1446,"2026"),0))</f>
        <v>34382</v>
      </c>
      <c r="G1141">
        <f>IF($A1141="","",IF($D1141="V01",Cadrage!$C$23,IF($D1141="V02",Cadrage!$D$23,Cadrage!$E$23)))</f>
        <v>-0.05</v>
      </c>
      <c r="H1141">
        <f>IF($A1141="","",IF($D1141="V01",Cadrage!$C$24,IF($D1141="V02",Cadrage!$D$24,Cadrage!$E$24)))</f>
        <v>-0.05</v>
      </c>
      <c r="I1141">
        <f>IF($A1141="","",IF($D1141="V01",Cadrage!$C$34,IF($D1141="V02",Cadrage!$D$34,Cadrage!$E$34)))</f>
        <v>0.03</v>
      </c>
      <c r="J1141">
        <f>IF($A1141="","",IF($D1141="V01",Cadrage!$C$35,IF($D1141="V02",Cadrage!$D$35,Cadrage!$E$35)))</f>
        <v>0.03</v>
      </c>
      <c r="K1141">
        <f>IF($A1141="","",IF($D1141="V01",Cadrage!$C$36,IF($D1141="V02",Cadrage!$D$36,Cadrage!$E$36)))</f>
        <v>0.05</v>
      </c>
      <c r="L1141">
        <f>IF($A1141="","",IF($D1141="V01",Cadrage!$C$37,IF($D1141="V02",Cadrage!$D$37,Cadrage!$E$37)))</f>
        <v>0</v>
      </c>
      <c r="M1141">
        <f>IF($A1141="","",IF($D1141="V01",Cadrage!$C$38,IF($D1141="V02",Cadrage!$D$38,Cadrage!$E$38)))</f>
        <v>0.04</v>
      </c>
      <c r="N1141">
        <f t="shared" si="1"/>
        <v>0.980622079131853</v>
      </c>
      <c r="O1141">
        <f t="shared" si="2"/>
        <v>0.980622079131853</v>
      </c>
      <c r="P1141">
        <f>IF($A1141="","",IF($E1141=1,$F1141*$O1141,PNL!G1141))</f>
        <v>33715.7483247114</v>
      </c>
      <c r="T1141">
        <f t="shared" si="3"/>
        <v>-33715.7483247114</v>
      </c>
    </row>
    <row r="1142" ht="14.25" customHeight="1">
      <c r="A1142" t="str">
        <f>IF(PNL!A1142="","",PNL!A1142)</f>
        <v>MBWAY_BOR</v>
      </c>
      <c r="B1142" t="str">
        <f>IF(PNL!B1142="","",PNL!B1142)</f>
        <v>6063</v>
      </c>
      <c r="C1142" t="str">
        <f>IF(PNL!C1142="","",PNL!C1142)</f>
        <v>2027</v>
      </c>
      <c r="D1142" t="str">
        <f>IF(PNL!D1142="","",PNL!D1142)</f>
        <v>V03</v>
      </c>
      <c r="E1142">
        <f t="shared" si="0"/>
        <v>1</v>
      </c>
      <c r="F1142">
        <f>IF($A1142="","",IF($E1142=1,_xlfn.SUMIFS(Comptabilité!$F$1:$F$1446,Comptabilité!$A$1:$A$1446,$A1142,Comptabilité!$B$1:$B$1446,$B1142,Comptabilité!$C$1:$C$1446,"2026"),0))</f>
        <v>37061</v>
      </c>
      <c r="G1142">
        <f>IF($A1142="","",IF($D1142="V01",Cadrage!$C$23,IF($D1142="V02",Cadrage!$D$23,Cadrage!$E$23)))</f>
        <v>-0.05</v>
      </c>
      <c r="H1142">
        <f>IF($A1142="","",IF($D1142="V01",Cadrage!$C$24,IF($D1142="V02",Cadrage!$D$24,Cadrage!$E$24)))</f>
        <v>-0.05</v>
      </c>
      <c r="I1142">
        <f>IF($A1142="","",IF($D1142="V01",Cadrage!$C$34,IF($D1142="V02",Cadrage!$D$34,Cadrage!$E$34)))</f>
        <v>0.03</v>
      </c>
      <c r="J1142">
        <f>IF($A1142="","",IF($D1142="V01",Cadrage!$C$35,IF($D1142="V02",Cadrage!$D$35,Cadrage!$E$35)))</f>
        <v>0.03</v>
      </c>
      <c r="K1142">
        <f>IF($A1142="","",IF($D1142="V01",Cadrage!$C$36,IF($D1142="V02",Cadrage!$D$36,Cadrage!$E$36)))</f>
        <v>0.05</v>
      </c>
      <c r="L1142">
        <f>IF($A1142="","",IF($D1142="V01",Cadrage!$C$37,IF($D1142="V02",Cadrage!$D$37,Cadrage!$E$37)))</f>
        <v>0</v>
      </c>
      <c r="M1142">
        <f>IF($A1142="","",IF($D1142="V01",Cadrage!$C$38,IF($D1142="V02",Cadrage!$D$38,Cadrage!$E$38)))</f>
        <v>0.04</v>
      </c>
      <c r="N1142">
        <f t="shared" si="1"/>
        <v>0.980622079131853</v>
      </c>
      <c r="O1142">
        <f t="shared" si="2"/>
        <v>0.980622079131853</v>
      </c>
      <c r="P1142">
        <f>IF($A1142="","",IF($E1142=1,$F1142*$O1142,PNL!G1142))</f>
        <v>36342.8348747056</v>
      </c>
      <c r="T1142">
        <f t="shared" si="3"/>
        <v>-36342.8348747056</v>
      </c>
    </row>
    <row r="1143" ht="14.25" customHeight="1">
      <c r="A1143" t="str">
        <f>IF(PNL!A1143="","",PNL!A1143)</f>
        <v>MBWAY_LYO</v>
      </c>
      <c r="B1143" t="str">
        <f>IF(PNL!B1143="","",PNL!B1143)</f>
        <v>6063</v>
      </c>
      <c r="C1143" t="str">
        <f>IF(PNL!C1143="","",PNL!C1143)</f>
        <v>2027</v>
      </c>
      <c r="D1143" t="str">
        <f>IF(PNL!D1143="","",PNL!D1143)</f>
        <v>V03</v>
      </c>
      <c r="E1143">
        <f t="shared" si="0"/>
        <v>1</v>
      </c>
      <c r="F1143">
        <f>IF($A1143="","",IF($E1143=1,_xlfn.SUMIFS(Comptabilité!$F$1:$F$1446,Comptabilité!$A$1:$A$1446,$A1143,Comptabilité!$B$1:$B$1446,$B1143,Comptabilité!$C$1:$C$1446,"2026"),0))</f>
        <v>48224</v>
      </c>
      <c r="G1143">
        <f>IF($A1143="","",IF($D1143="V01",Cadrage!$C$23,IF($D1143="V02",Cadrage!$D$23,Cadrage!$E$23)))</f>
        <v>-0.05</v>
      </c>
      <c r="H1143">
        <f>IF($A1143="","",IF($D1143="V01",Cadrage!$C$24,IF($D1143="V02",Cadrage!$D$24,Cadrage!$E$24)))</f>
        <v>-0.05</v>
      </c>
      <c r="I1143">
        <f>IF($A1143="","",IF($D1143="V01",Cadrage!$C$34,IF($D1143="V02",Cadrage!$D$34,Cadrage!$E$34)))</f>
        <v>0.03</v>
      </c>
      <c r="J1143">
        <f>IF($A1143="","",IF($D1143="V01",Cadrage!$C$35,IF($D1143="V02",Cadrage!$D$35,Cadrage!$E$35)))</f>
        <v>0.03</v>
      </c>
      <c r="K1143">
        <f>IF($A1143="","",IF($D1143="V01",Cadrage!$C$36,IF($D1143="V02",Cadrage!$D$36,Cadrage!$E$36)))</f>
        <v>0.05</v>
      </c>
      <c r="L1143">
        <f>IF($A1143="","",IF($D1143="V01",Cadrage!$C$37,IF($D1143="V02",Cadrage!$D$37,Cadrage!$E$37)))</f>
        <v>0</v>
      </c>
      <c r="M1143">
        <f>IF($A1143="","",IF($D1143="V01",Cadrage!$C$38,IF($D1143="V02",Cadrage!$D$38,Cadrage!$E$38)))</f>
        <v>0.04</v>
      </c>
      <c r="N1143">
        <f t="shared" si="1"/>
        <v>0.980622079131853</v>
      </c>
      <c r="O1143">
        <f t="shared" si="2"/>
        <v>0.980622079131853</v>
      </c>
      <c r="P1143">
        <f>IF($A1143="","",IF($E1143=1,$F1143*$O1143,PNL!G1143))</f>
        <v>47289.5191440545</v>
      </c>
      <c r="T1143">
        <f t="shared" si="3"/>
        <v>-47289.5191440545</v>
      </c>
    </row>
    <row r="1144" ht="14.25" customHeight="1">
      <c r="A1144" t="str">
        <f>IF(PNL!A1144="","",PNL!A1144)</f>
        <v>MBWAY_NAN</v>
      </c>
      <c r="B1144" t="str">
        <f>IF(PNL!B1144="","",PNL!B1144)</f>
        <v>6063</v>
      </c>
      <c r="C1144" t="str">
        <f>IF(PNL!C1144="","",PNL!C1144)</f>
        <v>2027</v>
      </c>
      <c r="D1144" t="str">
        <f>IF(PNL!D1144="","",PNL!D1144)</f>
        <v>V03</v>
      </c>
      <c r="E1144">
        <f t="shared" si="0"/>
        <v>1</v>
      </c>
      <c r="F1144">
        <f>IF($A1144="","",IF($E1144=1,_xlfn.SUMIFS(Comptabilité!$F$1:$F$1446,Comptabilité!$A$1:$A$1446,$A1144,Comptabilité!$B$1:$B$1446,$B1144,Comptabilité!$C$1:$C$1446,"2026"),0))</f>
        <v>43758</v>
      </c>
      <c r="G1144">
        <f>IF($A1144="","",IF($D1144="V01",Cadrage!$C$23,IF($D1144="V02",Cadrage!$D$23,Cadrage!$E$23)))</f>
        <v>-0.05</v>
      </c>
      <c r="H1144">
        <f>IF($A1144="","",IF($D1144="V01",Cadrage!$C$24,IF($D1144="V02",Cadrage!$D$24,Cadrage!$E$24)))</f>
        <v>-0.05</v>
      </c>
      <c r="I1144">
        <f>IF($A1144="","",IF($D1144="V01",Cadrage!$C$34,IF($D1144="V02",Cadrage!$D$34,Cadrage!$E$34)))</f>
        <v>0.03</v>
      </c>
      <c r="J1144">
        <f>IF($A1144="","",IF($D1144="V01",Cadrage!$C$35,IF($D1144="V02",Cadrage!$D$35,Cadrage!$E$35)))</f>
        <v>0.03</v>
      </c>
      <c r="K1144">
        <f>IF($A1144="","",IF($D1144="V01",Cadrage!$C$36,IF($D1144="V02",Cadrage!$D$36,Cadrage!$E$36)))</f>
        <v>0.05</v>
      </c>
      <c r="L1144">
        <f>IF($A1144="","",IF($D1144="V01",Cadrage!$C$37,IF($D1144="V02",Cadrage!$D$37,Cadrage!$E$37)))</f>
        <v>0</v>
      </c>
      <c r="M1144">
        <f>IF($A1144="","",IF($D1144="V01",Cadrage!$C$38,IF($D1144="V02",Cadrage!$D$38,Cadrage!$E$38)))</f>
        <v>0.04</v>
      </c>
      <c r="N1144">
        <f t="shared" si="1"/>
        <v>0.980622079131853</v>
      </c>
      <c r="O1144">
        <f t="shared" si="2"/>
        <v>0.980622079131853</v>
      </c>
      <c r="P1144">
        <f>IF($A1144="","",IF($E1144=1,$F1144*$O1144,PNL!G1144))</f>
        <v>42910.0609386516</v>
      </c>
      <c r="T1144">
        <f t="shared" si="3"/>
        <v>-42910.0609386516</v>
      </c>
    </row>
    <row r="1145" ht="14.25" customHeight="1">
      <c r="A1145" t="str">
        <f>IF(PNL!A1145="","",PNL!A1145)</f>
        <v>MBWAY_PAR</v>
      </c>
      <c r="B1145" t="str">
        <f>IF(PNL!B1145="","",PNL!B1145)</f>
        <v>6063</v>
      </c>
      <c r="C1145" t="str">
        <f>IF(PNL!C1145="","",PNL!C1145)</f>
        <v>2027</v>
      </c>
      <c r="D1145" t="str">
        <f>IF(PNL!D1145="","",PNL!D1145)</f>
        <v>V03</v>
      </c>
      <c r="E1145">
        <f t="shared" si="0"/>
        <v>1</v>
      </c>
      <c r="F1145">
        <f>IF($A1145="","",IF($E1145=1,_xlfn.SUMIFS(Comptabilité!$F$1:$F$1446,Comptabilité!$A$1:$A$1446,$A1145,Comptabilité!$B$1:$B$1446,$B1145,Comptabilité!$C$1:$C$1446,"2026"),0))</f>
        <v>56856</v>
      </c>
      <c r="G1145">
        <f>IF($A1145="","",IF($D1145="V01",Cadrage!$C$23,IF($D1145="V02",Cadrage!$D$23,Cadrage!$E$23)))</f>
        <v>-0.05</v>
      </c>
      <c r="H1145">
        <f>IF($A1145="","",IF($D1145="V01",Cadrage!$C$24,IF($D1145="V02",Cadrage!$D$24,Cadrage!$E$24)))</f>
        <v>-0.05</v>
      </c>
      <c r="I1145">
        <f>IF($A1145="","",IF($D1145="V01",Cadrage!$C$34,IF($D1145="V02",Cadrage!$D$34,Cadrage!$E$34)))</f>
        <v>0.03</v>
      </c>
      <c r="J1145">
        <f>IF($A1145="","",IF($D1145="V01",Cadrage!$C$35,IF($D1145="V02",Cadrage!$D$35,Cadrage!$E$35)))</f>
        <v>0.03</v>
      </c>
      <c r="K1145">
        <f>IF($A1145="","",IF($D1145="V01",Cadrage!$C$36,IF($D1145="V02",Cadrage!$D$36,Cadrage!$E$36)))</f>
        <v>0.05</v>
      </c>
      <c r="L1145">
        <f>IF($A1145="","",IF($D1145="V01",Cadrage!$C$37,IF($D1145="V02",Cadrage!$D$37,Cadrage!$E$37)))</f>
        <v>0</v>
      </c>
      <c r="M1145">
        <f>IF($A1145="","",IF($D1145="V01",Cadrage!$C$38,IF($D1145="V02",Cadrage!$D$38,Cadrage!$E$38)))</f>
        <v>0.04</v>
      </c>
      <c r="N1145">
        <f t="shared" si="1"/>
        <v>0.980622079131853</v>
      </c>
      <c r="O1145">
        <f t="shared" si="2"/>
        <v>0.980622079131853</v>
      </c>
      <c r="P1145">
        <f>IF($A1145="","",IF($E1145=1,$F1145*$O1145,PNL!G1145))</f>
        <v>55754.2489311206</v>
      </c>
      <c r="T1145">
        <f t="shared" si="3"/>
        <v>-55754.2489311206</v>
      </c>
    </row>
    <row r="1146" ht="14.25" customHeight="1">
      <c r="A1146" t="str">
        <f>IF(PNL!A1146="","",PNL!A1146)</f>
        <v>PIGIER_BOR</v>
      </c>
      <c r="B1146" t="str">
        <f>IF(PNL!B1146="","",PNL!B1146)</f>
        <v>6063</v>
      </c>
      <c r="C1146" t="str">
        <f>IF(PNL!C1146="","",PNL!C1146)</f>
        <v>2027</v>
      </c>
      <c r="D1146" t="str">
        <f>IF(PNL!D1146="","",PNL!D1146)</f>
        <v>V03</v>
      </c>
      <c r="E1146">
        <f t="shared" si="0"/>
        <v>1</v>
      </c>
      <c r="F1146">
        <f>IF($A1146="","",IF($E1146=1,_xlfn.SUMIFS(Comptabilité!$F$1:$F$1446,Comptabilité!$A$1:$A$1446,$A1146,Comptabilité!$B$1:$B$1446,$B1146,Comptabilité!$C$1:$C$1446,"2026"),0))</f>
        <v>21135</v>
      </c>
      <c r="G1146">
        <f>IF($A1146="","",IF($D1146="V01",Cadrage!$C$23,IF($D1146="V02",Cadrage!$D$23,Cadrage!$E$23)))</f>
        <v>-0.05</v>
      </c>
      <c r="H1146">
        <f>IF($A1146="","",IF($D1146="V01",Cadrage!$C$24,IF($D1146="V02",Cadrage!$D$24,Cadrage!$E$24)))</f>
        <v>-0.05</v>
      </c>
      <c r="I1146">
        <f>IF($A1146="","",IF($D1146="V01",Cadrage!$C$34,IF($D1146="V02",Cadrage!$D$34,Cadrage!$E$34)))</f>
        <v>0.03</v>
      </c>
      <c r="J1146">
        <f>IF($A1146="","",IF($D1146="V01",Cadrage!$C$35,IF($D1146="V02",Cadrage!$D$35,Cadrage!$E$35)))</f>
        <v>0.03</v>
      </c>
      <c r="K1146">
        <f>IF($A1146="","",IF($D1146="V01",Cadrage!$C$36,IF($D1146="V02",Cadrage!$D$36,Cadrage!$E$36)))</f>
        <v>0.05</v>
      </c>
      <c r="L1146">
        <f>IF($A1146="","",IF($D1146="V01",Cadrage!$C$37,IF($D1146="V02",Cadrage!$D$37,Cadrage!$E$37)))</f>
        <v>0</v>
      </c>
      <c r="M1146">
        <f>IF($A1146="","",IF($D1146="V01",Cadrage!$C$38,IF($D1146="V02",Cadrage!$D$38,Cadrage!$E$38)))</f>
        <v>0.04</v>
      </c>
      <c r="N1146">
        <f t="shared" si="1"/>
        <v>0.980622079131853</v>
      </c>
      <c r="O1146">
        <f t="shared" si="2"/>
        <v>0.980622079131853</v>
      </c>
      <c r="P1146">
        <f>IF($A1146="","",IF($E1146=1,$F1146*$O1146,PNL!G1146))</f>
        <v>20725.4476424517</v>
      </c>
      <c r="T1146">
        <f t="shared" si="3"/>
        <v>-20725.4476424517</v>
      </c>
    </row>
    <row r="1147" ht="14.25" customHeight="1">
      <c r="A1147" t="str">
        <f>IF(PNL!A1147="","",PNL!A1147)</f>
        <v>PIGIER_LYO</v>
      </c>
      <c r="B1147" t="str">
        <f>IF(PNL!B1147="","",PNL!B1147)</f>
        <v>6063</v>
      </c>
      <c r="C1147" t="str">
        <f>IF(PNL!C1147="","",PNL!C1147)</f>
        <v>2027</v>
      </c>
      <c r="D1147" t="str">
        <f>IF(PNL!D1147="","",PNL!D1147)</f>
        <v>V03</v>
      </c>
      <c r="E1147">
        <f t="shared" si="0"/>
        <v>1</v>
      </c>
      <c r="F1147">
        <f>IF($A1147="","",IF($E1147=1,_xlfn.SUMIFS(Comptabilité!$F$1:$F$1446,Comptabilité!$A$1:$A$1446,$A1147,Comptabilité!$B$1:$B$1446,$B1147,Comptabilité!$C$1:$C$1446,"2026"),0))</f>
        <v>27089</v>
      </c>
      <c r="G1147">
        <f>IF($A1147="","",IF($D1147="V01",Cadrage!$C$23,IF($D1147="V02",Cadrage!$D$23,Cadrage!$E$23)))</f>
        <v>-0.05</v>
      </c>
      <c r="H1147">
        <f>IF($A1147="","",IF($D1147="V01",Cadrage!$C$24,IF($D1147="V02",Cadrage!$D$24,Cadrage!$E$24)))</f>
        <v>-0.05</v>
      </c>
      <c r="I1147">
        <f>IF($A1147="","",IF($D1147="V01",Cadrage!$C$34,IF($D1147="V02",Cadrage!$D$34,Cadrage!$E$34)))</f>
        <v>0.03</v>
      </c>
      <c r="J1147">
        <f>IF($A1147="","",IF($D1147="V01",Cadrage!$C$35,IF($D1147="V02",Cadrage!$D$35,Cadrage!$E$35)))</f>
        <v>0.03</v>
      </c>
      <c r="K1147">
        <f>IF($A1147="","",IF($D1147="V01",Cadrage!$C$36,IF($D1147="V02",Cadrage!$D$36,Cadrage!$E$36)))</f>
        <v>0.05</v>
      </c>
      <c r="L1147">
        <f>IF($A1147="","",IF($D1147="V01",Cadrage!$C$37,IF($D1147="V02",Cadrage!$D$37,Cadrage!$E$37)))</f>
        <v>0</v>
      </c>
      <c r="M1147">
        <f>IF($A1147="","",IF($D1147="V01",Cadrage!$C$38,IF($D1147="V02",Cadrage!$D$38,Cadrage!$E$38)))</f>
        <v>0.04</v>
      </c>
      <c r="N1147">
        <f t="shared" si="1"/>
        <v>0.980622079131853</v>
      </c>
      <c r="O1147">
        <f t="shared" si="2"/>
        <v>0.980622079131853</v>
      </c>
      <c r="P1147">
        <f>IF($A1147="","",IF($E1147=1,$F1147*$O1147,PNL!G1147))</f>
        <v>26564.0715016028</v>
      </c>
      <c r="T1147">
        <f t="shared" si="3"/>
        <v>-26564.0715016028</v>
      </c>
    </row>
    <row r="1148" ht="14.25" customHeight="1">
      <c r="A1148" t="str">
        <f>IF(PNL!A1148="","",PNL!A1148)</f>
        <v>TUNON_LYO</v>
      </c>
      <c r="B1148" t="str">
        <f>IF(PNL!B1148="","",PNL!B1148)</f>
        <v>6063</v>
      </c>
      <c r="C1148" t="str">
        <f>IF(PNL!C1148="","",PNL!C1148)</f>
        <v>2027</v>
      </c>
      <c r="D1148" t="str">
        <f>IF(PNL!D1148="","",PNL!D1148)</f>
        <v>V03</v>
      </c>
      <c r="E1148">
        <f t="shared" si="0"/>
        <v>1</v>
      </c>
      <c r="F1148">
        <f>IF($A1148="","",IF($E1148=1,_xlfn.SUMIFS(Comptabilité!$F$1:$F$1446,Comptabilité!$A$1:$A$1446,$A1148,Comptabilité!$B$1:$B$1446,$B1148,Comptabilité!$C$1:$C$1446,"2026"),0))</f>
        <v>17414</v>
      </c>
      <c r="G1148">
        <f>IF($A1148="","",IF($D1148="V01",Cadrage!$C$23,IF($D1148="V02",Cadrage!$D$23,Cadrage!$E$23)))</f>
        <v>-0.05</v>
      </c>
      <c r="H1148">
        <f>IF($A1148="","",IF($D1148="V01",Cadrage!$C$24,IF($D1148="V02",Cadrage!$D$24,Cadrage!$E$24)))</f>
        <v>-0.05</v>
      </c>
      <c r="I1148">
        <f>IF($A1148="","",IF($D1148="V01",Cadrage!$C$34,IF($D1148="V02",Cadrage!$D$34,Cadrage!$E$34)))</f>
        <v>0.03</v>
      </c>
      <c r="J1148">
        <f>IF($A1148="","",IF($D1148="V01",Cadrage!$C$35,IF($D1148="V02",Cadrage!$D$35,Cadrage!$E$35)))</f>
        <v>0.03</v>
      </c>
      <c r="K1148">
        <f>IF($A1148="","",IF($D1148="V01",Cadrage!$C$36,IF($D1148="V02",Cadrage!$D$36,Cadrage!$E$36)))</f>
        <v>0.05</v>
      </c>
      <c r="L1148">
        <f>IF($A1148="","",IF($D1148="V01",Cadrage!$C$37,IF($D1148="V02",Cadrage!$D$37,Cadrage!$E$37)))</f>
        <v>0</v>
      </c>
      <c r="M1148">
        <f>IF($A1148="","",IF($D1148="V01",Cadrage!$C$38,IF($D1148="V02",Cadrage!$D$38,Cadrage!$E$38)))</f>
        <v>0.04</v>
      </c>
      <c r="N1148">
        <f t="shared" si="1"/>
        <v>0.980622079131853</v>
      </c>
      <c r="O1148">
        <f t="shared" si="2"/>
        <v>0.980622079131853</v>
      </c>
      <c r="P1148">
        <f>IF($A1148="","",IF($E1148=1,$F1148*$O1148,PNL!G1148))</f>
        <v>17076.5528860021</v>
      </c>
      <c r="T1148">
        <f t="shared" si="3"/>
        <v>-17076.5528860021</v>
      </c>
    </row>
    <row r="1149" ht="14.25" customHeight="1">
      <c r="A1149" t="str">
        <f>IF(PNL!A1149="","",PNL!A1149)</f>
        <v>TUNON_PAR</v>
      </c>
      <c r="B1149" t="str">
        <f>IF(PNL!B1149="","",PNL!B1149)</f>
        <v>6063</v>
      </c>
      <c r="C1149" t="str">
        <f>IF(PNL!C1149="","",PNL!C1149)</f>
        <v>2027</v>
      </c>
      <c r="D1149" t="str">
        <f>IF(PNL!D1149="","",PNL!D1149)</f>
        <v>V03</v>
      </c>
      <c r="E1149">
        <f t="shared" si="0"/>
        <v>1</v>
      </c>
      <c r="F1149">
        <f>IF($A1149="","",IF($E1149=1,_xlfn.SUMIFS(Comptabilité!$F$1:$F$1446,Comptabilité!$A$1:$A$1446,$A1149,Comptabilité!$B$1:$B$1446,$B1149,Comptabilité!$C$1:$C$1446,"2026"),0))</f>
        <v>20540</v>
      </c>
      <c r="G1149">
        <f>IF($A1149="","",IF($D1149="V01",Cadrage!$C$23,IF($D1149="V02",Cadrage!$D$23,Cadrage!$E$23)))</f>
        <v>-0.05</v>
      </c>
      <c r="H1149">
        <f>IF($A1149="","",IF($D1149="V01",Cadrage!$C$24,IF($D1149="V02",Cadrage!$D$24,Cadrage!$E$24)))</f>
        <v>-0.05</v>
      </c>
      <c r="I1149">
        <f>IF($A1149="","",IF($D1149="V01",Cadrage!$C$34,IF($D1149="V02",Cadrage!$D$34,Cadrage!$E$34)))</f>
        <v>0.03</v>
      </c>
      <c r="J1149">
        <f>IF($A1149="","",IF($D1149="V01",Cadrage!$C$35,IF($D1149="V02",Cadrage!$D$35,Cadrage!$E$35)))</f>
        <v>0.03</v>
      </c>
      <c r="K1149">
        <f>IF($A1149="","",IF($D1149="V01",Cadrage!$C$36,IF($D1149="V02",Cadrage!$D$36,Cadrage!$E$36)))</f>
        <v>0.05</v>
      </c>
      <c r="L1149">
        <f>IF($A1149="","",IF($D1149="V01",Cadrage!$C$37,IF($D1149="V02",Cadrage!$D$37,Cadrage!$E$37)))</f>
        <v>0</v>
      </c>
      <c r="M1149">
        <f>IF($A1149="","",IF($D1149="V01",Cadrage!$C$38,IF($D1149="V02",Cadrage!$D$38,Cadrage!$E$38)))</f>
        <v>0.04</v>
      </c>
      <c r="N1149">
        <f t="shared" si="1"/>
        <v>0.980622079131853</v>
      </c>
      <c r="O1149">
        <f t="shared" si="2"/>
        <v>0.980622079131853</v>
      </c>
      <c r="P1149">
        <f>IF($A1149="","",IF($E1149=1,$F1149*$O1149,PNL!G1149))</f>
        <v>20141.9775053683</v>
      </c>
      <c r="T1149">
        <f t="shared" si="3"/>
        <v>-20141.9775053683</v>
      </c>
    </row>
    <row r="1150" ht="14.25" customHeight="1">
      <c r="A1150" t="str">
        <f>IF(PNL!A1150="","",PNL!A1150)</f>
        <v>IPAC_MTP</v>
      </c>
      <c r="B1150" t="str">
        <f>IF(PNL!B1150="","",PNL!B1150)</f>
        <v>613</v>
      </c>
      <c r="C1150" t="str">
        <f>IF(PNL!C1150="","",PNL!C1150)</f>
        <v>2027</v>
      </c>
      <c r="D1150" t="str">
        <f>IF(PNL!D1150="","",PNL!D1150)</f>
        <v>V03</v>
      </c>
      <c r="E1150">
        <f t="shared" si="0"/>
        <v>1</v>
      </c>
      <c r="F1150">
        <f>IF($A1150="","",IF($E1150=1,_xlfn.SUMIFS(Comptabilité!$F$1:$F$1446,Comptabilité!$A$1:$A$1446,$A1150,Comptabilité!$B$1:$B$1446,$B1150,Comptabilité!$C$1:$C$1446,"2026"),0))</f>
        <v>84053.79</v>
      </c>
      <c r="G1150">
        <f>IF($A1150="","",IF($D1150="V01",Cadrage!$C$23,IF($D1150="V02",Cadrage!$D$23,Cadrage!$E$23)))</f>
        <v>-0.05</v>
      </c>
      <c r="H1150">
        <f>IF($A1150="","",IF($D1150="V01",Cadrage!$C$24,IF($D1150="V02",Cadrage!$D$24,Cadrage!$E$24)))</f>
        <v>-0.05</v>
      </c>
      <c r="I1150">
        <f>IF($A1150="","",IF($D1150="V01",Cadrage!$C$34,IF($D1150="V02",Cadrage!$D$34,Cadrage!$E$34)))</f>
        <v>0.03</v>
      </c>
      <c r="J1150">
        <f>IF($A1150="","",IF($D1150="V01",Cadrage!$C$35,IF($D1150="V02",Cadrage!$D$35,Cadrage!$E$35)))</f>
        <v>0.03</v>
      </c>
      <c r="K1150">
        <f>IF($A1150="","",IF($D1150="V01",Cadrage!$C$36,IF($D1150="V02",Cadrage!$D$36,Cadrage!$E$36)))</f>
        <v>0.05</v>
      </c>
      <c r="L1150">
        <f>IF($A1150="","",IF($D1150="V01",Cadrage!$C$37,IF($D1150="V02",Cadrage!$D$37,Cadrage!$E$37)))</f>
        <v>0</v>
      </c>
      <c r="M1150">
        <f>IF($A1150="","",IF($D1150="V01",Cadrage!$C$38,IF($D1150="V02",Cadrage!$D$38,Cadrage!$E$38)))</f>
        <v>0.04</v>
      </c>
      <c r="N1150">
        <f t="shared" si="1"/>
        <v>0.980622079131853</v>
      </c>
      <c r="O1150">
        <f t="shared" si="2"/>
        <v>1.0712</v>
      </c>
      <c r="P1150">
        <f>IF($A1150="","",IF($E1150=1,$F1150*$O1150,PNL!G1150))</f>
        <v>90038.419848</v>
      </c>
      <c r="T1150">
        <f t="shared" si="3"/>
        <v>-90038.419848</v>
      </c>
    </row>
    <row r="1151" ht="14.25" customHeight="1">
      <c r="A1151" t="str">
        <f>IF(PNL!A1151="","",PNL!A1151)</f>
        <v>IPAC_NAN</v>
      </c>
      <c r="B1151" t="str">
        <f>IF(PNL!B1151="","",PNL!B1151)</f>
        <v>613</v>
      </c>
      <c r="C1151" t="str">
        <f>IF(PNL!C1151="","",PNL!C1151)</f>
        <v>2027</v>
      </c>
      <c r="D1151" t="str">
        <f>IF(PNL!D1151="","",PNL!D1151)</f>
        <v>V03</v>
      </c>
      <c r="E1151">
        <f t="shared" si="0"/>
        <v>1</v>
      </c>
      <c r="F1151">
        <f>IF($A1151="","",IF($E1151=1,_xlfn.SUMIFS(Comptabilité!$F$1:$F$1446,Comptabilité!$A$1:$A$1446,$A1151,Comptabilité!$B$1:$B$1446,$B1151,Comptabilité!$C$1:$C$1446,"2026"),0))</f>
        <v>103877.74</v>
      </c>
      <c r="G1151">
        <f>IF($A1151="","",IF($D1151="V01",Cadrage!$C$23,IF($D1151="V02",Cadrage!$D$23,Cadrage!$E$23)))</f>
        <v>-0.05</v>
      </c>
      <c r="H1151">
        <f>IF($A1151="","",IF($D1151="V01",Cadrage!$C$24,IF($D1151="V02",Cadrage!$D$24,Cadrage!$E$24)))</f>
        <v>-0.05</v>
      </c>
      <c r="I1151">
        <f>IF($A1151="","",IF($D1151="V01",Cadrage!$C$34,IF($D1151="V02",Cadrage!$D$34,Cadrage!$E$34)))</f>
        <v>0.03</v>
      </c>
      <c r="J1151">
        <f>IF($A1151="","",IF($D1151="V01",Cadrage!$C$35,IF($D1151="V02",Cadrage!$D$35,Cadrage!$E$35)))</f>
        <v>0.03</v>
      </c>
      <c r="K1151">
        <f>IF($A1151="","",IF($D1151="V01",Cadrage!$C$36,IF($D1151="V02",Cadrage!$D$36,Cadrage!$E$36)))</f>
        <v>0.05</v>
      </c>
      <c r="L1151">
        <f>IF($A1151="","",IF($D1151="V01",Cadrage!$C$37,IF($D1151="V02",Cadrage!$D$37,Cadrage!$E$37)))</f>
        <v>0</v>
      </c>
      <c r="M1151">
        <f>IF($A1151="","",IF($D1151="V01",Cadrage!$C$38,IF($D1151="V02",Cadrage!$D$38,Cadrage!$E$38)))</f>
        <v>0.04</v>
      </c>
      <c r="N1151">
        <f t="shared" si="1"/>
        <v>0.980622079131853</v>
      </c>
      <c r="O1151">
        <f t="shared" si="2"/>
        <v>1.0712</v>
      </c>
      <c r="P1151">
        <f>IF($A1151="","",IF($E1151=1,$F1151*$O1151,PNL!G1151))</f>
        <v>111273.835088</v>
      </c>
      <c r="T1151">
        <f t="shared" si="3"/>
        <v>-111273.835088</v>
      </c>
    </row>
    <row r="1152" ht="14.25" customHeight="1">
      <c r="A1152" t="str">
        <f>IF(PNL!A1152="","",PNL!A1152)</f>
        <v>IPAC_REN</v>
      </c>
      <c r="B1152" t="str">
        <f>IF(PNL!B1152="","",PNL!B1152)</f>
        <v>613</v>
      </c>
      <c r="C1152" t="str">
        <f>IF(PNL!C1152="","",PNL!C1152)</f>
        <v>2027</v>
      </c>
      <c r="D1152" t="str">
        <f>IF(PNL!D1152="","",PNL!D1152)</f>
        <v>V03</v>
      </c>
      <c r="E1152">
        <f t="shared" si="0"/>
        <v>1</v>
      </c>
      <c r="F1152">
        <f>IF($A1152="","",IF($E1152=1,_xlfn.SUMIFS(Comptabilité!$F$1:$F$1446,Comptabilité!$A$1:$A$1446,$A1152,Comptabilité!$B$1:$B$1446,$B1152,Comptabilité!$C$1:$C$1446,"2026"),0))</f>
        <v>84103.94</v>
      </c>
      <c r="G1152">
        <f>IF($A1152="","",IF($D1152="V01",Cadrage!$C$23,IF($D1152="V02",Cadrage!$D$23,Cadrage!$E$23)))</f>
        <v>-0.05</v>
      </c>
      <c r="H1152">
        <f>IF($A1152="","",IF($D1152="V01",Cadrage!$C$24,IF($D1152="V02",Cadrage!$D$24,Cadrage!$E$24)))</f>
        <v>-0.05</v>
      </c>
      <c r="I1152">
        <f>IF($A1152="","",IF($D1152="V01",Cadrage!$C$34,IF($D1152="V02",Cadrage!$D$34,Cadrage!$E$34)))</f>
        <v>0.03</v>
      </c>
      <c r="J1152">
        <f>IF($A1152="","",IF($D1152="V01",Cadrage!$C$35,IF($D1152="V02",Cadrage!$D$35,Cadrage!$E$35)))</f>
        <v>0.03</v>
      </c>
      <c r="K1152">
        <f>IF($A1152="","",IF($D1152="V01",Cadrage!$C$36,IF($D1152="V02",Cadrage!$D$36,Cadrage!$E$36)))</f>
        <v>0.05</v>
      </c>
      <c r="L1152">
        <f>IF($A1152="","",IF($D1152="V01",Cadrage!$C$37,IF($D1152="V02",Cadrage!$D$37,Cadrage!$E$37)))</f>
        <v>0</v>
      </c>
      <c r="M1152">
        <f>IF($A1152="","",IF($D1152="V01",Cadrage!$C$38,IF($D1152="V02",Cadrage!$D$38,Cadrage!$E$38)))</f>
        <v>0.04</v>
      </c>
      <c r="N1152">
        <f t="shared" si="1"/>
        <v>0.980622079131853</v>
      </c>
      <c r="O1152">
        <f t="shared" si="2"/>
        <v>1.0712</v>
      </c>
      <c r="P1152">
        <f>IF($A1152="","",IF($E1152=1,$F1152*$O1152,PNL!G1152))</f>
        <v>90092.140528</v>
      </c>
      <c r="T1152">
        <f t="shared" si="3"/>
        <v>-90092.140528</v>
      </c>
    </row>
    <row r="1153" ht="14.25" customHeight="1">
      <c r="A1153" t="str">
        <f>IF(PNL!A1153="","",PNL!A1153)</f>
        <v>ISCOM_LIL</v>
      </c>
      <c r="B1153" t="str">
        <f>IF(PNL!B1153="","",PNL!B1153)</f>
        <v>613</v>
      </c>
      <c r="C1153" t="str">
        <f>IF(PNL!C1153="","",PNL!C1153)</f>
        <v>2027</v>
      </c>
      <c r="D1153" t="str">
        <f>IF(PNL!D1153="","",PNL!D1153)</f>
        <v>V03</v>
      </c>
      <c r="E1153">
        <f t="shared" si="0"/>
        <v>1</v>
      </c>
      <c r="F1153">
        <f>IF($A1153="","",IF($E1153=1,_xlfn.SUMIFS(Comptabilité!$F$1:$F$1446,Comptabilité!$A$1:$A$1446,$A1153,Comptabilité!$B$1:$B$1446,$B1153,Comptabilité!$C$1:$C$1446,"2026"),0))</f>
        <v>175824.49</v>
      </c>
      <c r="G1153">
        <f>IF($A1153="","",IF($D1153="V01",Cadrage!$C$23,IF($D1153="V02",Cadrage!$D$23,Cadrage!$E$23)))</f>
        <v>-0.05</v>
      </c>
      <c r="H1153">
        <f>IF($A1153="","",IF($D1153="V01",Cadrage!$C$24,IF($D1153="V02",Cadrage!$D$24,Cadrage!$E$24)))</f>
        <v>-0.05</v>
      </c>
      <c r="I1153">
        <f>IF($A1153="","",IF($D1153="V01",Cadrage!$C$34,IF($D1153="V02",Cadrage!$D$34,Cadrage!$E$34)))</f>
        <v>0.03</v>
      </c>
      <c r="J1153">
        <f>IF($A1153="","",IF($D1153="V01",Cadrage!$C$35,IF($D1153="V02",Cadrage!$D$35,Cadrage!$E$35)))</f>
        <v>0.03</v>
      </c>
      <c r="K1153">
        <f>IF($A1153="","",IF($D1153="V01",Cadrage!$C$36,IF($D1153="V02",Cadrage!$D$36,Cadrage!$E$36)))</f>
        <v>0.05</v>
      </c>
      <c r="L1153">
        <f>IF($A1153="","",IF($D1153="V01",Cadrage!$C$37,IF($D1153="V02",Cadrage!$D$37,Cadrage!$E$37)))</f>
        <v>0</v>
      </c>
      <c r="M1153">
        <f>IF($A1153="","",IF($D1153="V01",Cadrage!$C$38,IF($D1153="V02",Cadrage!$D$38,Cadrage!$E$38)))</f>
        <v>0.04</v>
      </c>
      <c r="N1153">
        <f t="shared" si="1"/>
        <v>0.980622079131853</v>
      </c>
      <c r="O1153">
        <f t="shared" si="2"/>
        <v>1.0712</v>
      </c>
      <c r="P1153">
        <f>IF($A1153="","",IF($E1153=1,$F1153*$O1153,PNL!G1153))</f>
        <v>188343.193688</v>
      </c>
      <c r="T1153">
        <f t="shared" si="3"/>
        <v>-188343.193688</v>
      </c>
    </row>
    <row r="1154" ht="14.25" customHeight="1">
      <c r="A1154" t="str">
        <f>IF(PNL!A1154="","",PNL!A1154)</f>
        <v>ISCOM_PAR</v>
      </c>
      <c r="B1154" t="str">
        <f>IF(PNL!B1154="","",PNL!B1154)</f>
        <v>613</v>
      </c>
      <c r="C1154" t="str">
        <f>IF(PNL!C1154="","",PNL!C1154)</f>
        <v>2027</v>
      </c>
      <c r="D1154" t="str">
        <f>IF(PNL!D1154="","",PNL!D1154)</f>
        <v>V03</v>
      </c>
      <c r="E1154">
        <f t="shared" si="0"/>
        <v>1</v>
      </c>
      <c r="F1154">
        <f>IF($A1154="","",IF($E1154=1,_xlfn.SUMIFS(Comptabilité!$F$1:$F$1446,Comptabilité!$A$1:$A$1446,$A1154,Comptabilité!$B$1:$B$1446,$B1154,Comptabilité!$C$1:$C$1446,"2026"),0))</f>
        <v>301442.76</v>
      </c>
      <c r="G1154">
        <f>IF($A1154="","",IF($D1154="V01",Cadrage!$C$23,IF($D1154="V02",Cadrage!$D$23,Cadrage!$E$23)))</f>
        <v>-0.05</v>
      </c>
      <c r="H1154">
        <f>IF($A1154="","",IF($D1154="V01",Cadrage!$C$24,IF($D1154="V02",Cadrage!$D$24,Cadrage!$E$24)))</f>
        <v>-0.05</v>
      </c>
      <c r="I1154">
        <f>IF($A1154="","",IF($D1154="V01",Cadrage!$C$34,IF($D1154="V02",Cadrage!$D$34,Cadrage!$E$34)))</f>
        <v>0.03</v>
      </c>
      <c r="J1154">
        <f>IF($A1154="","",IF($D1154="V01",Cadrage!$C$35,IF($D1154="V02",Cadrage!$D$35,Cadrage!$E$35)))</f>
        <v>0.03</v>
      </c>
      <c r="K1154">
        <f>IF($A1154="","",IF($D1154="V01",Cadrage!$C$36,IF($D1154="V02",Cadrage!$D$36,Cadrage!$E$36)))</f>
        <v>0.05</v>
      </c>
      <c r="L1154">
        <f>IF($A1154="","",IF($D1154="V01",Cadrage!$C$37,IF($D1154="V02",Cadrage!$D$37,Cadrage!$E$37)))</f>
        <v>0</v>
      </c>
      <c r="M1154">
        <f>IF($A1154="","",IF($D1154="V01",Cadrage!$C$38,IF($D1154="V02",Cadrage!$D$38,Cadrage!$E$38)))</f>
        <v>0.04</v>
      </c>
      <c r="N1154">
        <f t="shared" si="1"/>
        <v>0.980622079131853</v>
      </c>
      <c r="O1154">
        <f t="shared" si="2"/>
        <v>1.0712</v>
      </c>
      <c r="P1154">
        <f>IF($A1154="","",IF($E1154=1,$F1154*$O1154,PNL!G1154))</f>
        <v>322905.484512</v>
      </c>
      <c r="T1154">
        <f t="shared" si="3"/>
        <v>-322905.484512</v>
      </c>
    </row>
    <row r="1155" ht="14.25" customHeight="1">
      <c r="A1155" t="str">
        <f>IF(PNL!A1155="","",PNL!A1155)</f>
        <v>ISCOM_TLS</v>
      </c>
      <c r="B1155" t="str">
        <f>IF(PNL!B1155="","",PNL!B1155)</f>
        <v>613</v>
      </c>
      <c r="C1155" t="str">
        <f>IF(PNL!C1155="","",PNL!C1155)</f>
        <v>2027</v>
      </c>
      <c r="D1155" t="str">
        <f>IF(PNL!D1155="","",PNL!D1155)</f>
        <v>V03</v>
      </c>
      <c r="E1155">
        <f t="shared" si="0"/>
        <v>1</v>
      </c>
      <c r="F1155">
        <f>IF($A1155="","",IF($E1155=1,_xlfn.SUMIFS(Comptabilité!$F$1:$F$1446,Comptabilité!$A$1:$A$1446,$A1155,Comptabilité!$B$1:$B$1446,$B1155,Comptabilité!$C$1:$C$1446,"2026"),0))</f>
        <v>165334.19</v>
      </c>
      <c r="G1155">
        <f>IF($A1155="","",IF($D1155="V01",Cadrage!$C$23,IF($D1155="V02",Cadrage!$D$23,Cadrage!$E$23)))</f>
        <v>-0.05</v>
      </c>
      <c r="H1155">
        <f>IF($A1155="","",IF($D1155="V01",Cadrage!$C$24,IF($D1155="V02",Cadrage!$D$24,Cadrage!$E$24)))</f>
        <v>-0.05</v>
      </c>
      <c r="I1155">
        <f>IF($A1155="","",IF($D1155="V01",Cadrage!$C$34,IF($D1155="V02",Cadrage!$D$34,Cadrage!$E$34)))</f>
        <v>0.03</v>
      </c>
      <c r="J1155">
        <f>IF($A1155="","",IF($D1155="V01",Cadrage!$C$35,IF($D1155="V02",Cadrage!$D$35,Cadrage!$E$35)))</f>
        <v>0.03</v>
      </c>
      <c r="K1155">
        <f>IF($A1155="","",IF($D1155="V01",Cadrage!$C$36,IF($D1155="V02",Cadrage!$D$36,Cadrage!$E$36)))</f>
        <v>0.05</v>
      </c>
      <c r="L1155">
        <f>IF($A1155="","",IF($D1155="V01",Cadrage!$C$37,IF($D1155="V02",Cadrage!$D$37,Cadrage!$E$37)))</f>
        <v>0</v>
      </c>
      <c r="M1155">
        <f>IF($A1155="","",IF($D1155="V01",Cadrage!$C$38,IF($D1155="V02",Cadrage!$D$38,Cadrage!$E$38)))</f>
        <v>0.04</v>
      </c>
      <c r="N1155">
        <f t="shared" si="1"/>
        <v>0.980622079131853</v>
      </c>
      <c r="O1155">
        <f t="shared" si="2"/>
        <v>1.0712</v>
      </c>
      <c r="P1155">
        <f>IF($A1155="","",IF($E1155=1,$F1155*$O1155,PNL!G1155))</f>
        <v>177105.984328</v>
      </c>
      <c r="T1155">
        <f t="shared" si="3"/>
        <v>-177105.984328</v>
      </c>
    </row>
    <row r="1156" ht="14.25" customHeight="1">
      <c r="A1156" t="str">
        <f>IF(PNL!A1156="","",PNL!A1156)</f>
        <v>MBWAY_BOR</v>
      </c>
      <c r="B1156" t="str">
        <f>IF(PNL!B1156="","",PNL!B1156)</f>
        <v>613</v>
      </c>
      <c r="C1156" t="str">
        <f>IF(PNL!C1156="","",PNL!C1156)</f>
        <v>2027</v>
      </c>
      <c r="D1156" t="str">
        <f>IF(PNL!D1156="","",PNL!D1156)</f>
        <v>V03</v>
      </c>
      <c r="E1156">
        <f t="shared" si="0"/>
        <v>1</v>
      </c>
      <c r="F1156">
        <f>IF($A1156="","",IF($E1156=1,_xlfn.SUMIFS(Comptabilité!$F$1:$F$1446,Comptabilité!$A$1:$A$1446,$A1156,Comptabilité!$B$1:$B$1446,$B1156,Comptabilité!$C$1:$C$1446,"2026"),0))</f>
        <v>173149.35</v>
      </c>
      <c r="G1156">
        <f>IF($A1156="","",IF($D1156="V01",Cadrage!$C$23,IF($D1156="V02",Cadrage!$D$23,Cadrage!$E$23)))</f>
        <v>-0.05</v>
      </c>
      <c r="H1156">
        <f>IF($A1156="","",IF($D1156="V01",Cadrage!$C$24,IF($D1156="V02",Cadrage!$D$24,Cadrage!$E$24)))</f>
        <v>-0.05</v>
      </c>
      <c r="I1156">
        <f>IF($A1156="","",IF($D1156="V01",Cadrage!$C$34,IF($D1156="V02",Cadrage!$D$34,Cadrage!$E$34)))</f>
        <v>0.03</v>
      </c>
      <c r="J1156">
        <f>IF($A1156="","",IF($D1156="V01",Cadrage!$C$35,IF($D1156="V02",Cadrage!$D$35,Cadrage!$E$35)))</f>
        <v>0.03</v>
      </c>
      <c r="K1156">
        <f>IF($A1156="","",IF($D1156="V01",Cadrage!$C$36,IF($D1156="V02",Cadrage!$D$36,Cadrage!$E$36)))</f>
        <v>0.05</v>
      </c>
      <c r="L1156">
        <f>IF($A1156="","",IF($D1156="V01",Cadrage!$C$37,IF($D1156="V02",Cadrage!$D$37,Cadrage!$E$37)))</f>
        <v>0</v>
      </c>
      <c r="M1156">
        <f>IF($A1156="","",IF($D1156="V01",Cadrage!$C$38,IF($D1156="V02",Cadrage!$D$38,Cadrage!$E$38)))</f>
        <v>0.04</v>
      </c>
      <c r="N1156">
        <f t="shared" si="1"/>
        <v>0.980622079131853</v>
      </c>
      <c r="O1156">
        <f t="shared" si="2"/>
        <v>1.0712</v>
      </c>
      <c r="P1156">
        <f>IF($A1156="","",IF($E1156=1,$F1156*$O1156,PNL!G1156))</f>
        <v>185477.58372</v>
      </c>
      <c r="T1156">
        <f t="shared" si="3"/>
        <v>-185477.58372</v>
      </c>
    </row>
    <row r="1157" ht="14.25" customHeight="1">
      <c r="A1157" t="str">
        <f>IF(PNL!A1157="","",PNL!A1157)</f>
        <v>MBWAY_LYO</v>
      </c>
      <c r="B1157" t="str">
        <f>IF(PNL!B1157="","",PNL!B1157)</f>
        <v>613</v>
      </c>
      <c r="C1157" t="str">
        <f>IF(PNL!C1157="","",PNL!C1157)</f>
        <v>2027</v>
      </c>
      <c r="D1157" t="str">
        <f>IF(PNL!D1157="","",PNL!D1157)</f>
        <v>V03</v>
      </c>
      <c r="E1157">
        <f t="shared" si="0"/>
        <v>1</v>
      </c>
      <c r="F1157">
        <f>IF($A1157="","",IF($E1157=1,_xlfn.SUMIFS(Comptabilité!$F$1:$F$1446,Comptabilité!$A$1:$A$1446,$A1157,Comptabilité!$B$1:$B$1446,$B1157,Comptabilité!$C$1:$C$1446,"2026"),0))</f>
        <v>247177.87</v>
      </c>
      <c r="G1157">
        <f>IF($A1157="","",IF($D1157="V01",Cadrage!$C$23,IF($D1157="V02",Cadrage!$D$23,Cadrage!$E$23)))</f>
        <v>-0.05</v>
      </c>
      <c r="H1157">
        <f>IF($A1157="","",IF($D1157="V01",Cadrage!$C$24,IF($D1157="V02",Cadrage!$D$24,Cadrage!$E$24)))</f>
        <v>-0.05</v>
      </c>
      <c r="I1157">
        <f>IF($A1157="","",IF($D1157="V01",Cadrage!$C$34,IF($D1157="V02",Cadrage!$D$34,Cadrage!$E$34)))</f>
        <v>0.03</v>
      </c>
      <c r="J1157">
        <f>IF($A1157="","",IF($D1157="V01",Cadrage!$C$35,IF($D1157="V02",Cadrage!$D$35,Cadrage!$E$35)))</f>
        <v>0.03</v>
      </c>
      <c r="K1157">
        <f>IF($A1157="","",IF($D1157="V01",Cadrage!$C$36,IF($D1157="V02",Cadrage!$D$36,Cadrage!$E$36)))</f>
        <v>0.05</v>
      </c>
      <c r="L1157">
        <f>IF($A1157="","",IF($D1157="V01",Cadrage!$C$37,IF($D1157="V02",Cadrage!$D$37,Cadrage!$E$37)))</f>
        <v>0</v>
      </c>
      <c r="M1157">
        <f>IF($A1157="","",IF($D1157="V01",Cadrage!$C$38,IF($D1157="V02",Cadrage!$D$38,Cadrage!$E$38)))</f>
        <v>0.04</v>
      </c>
      <c r="N1157">
        <f t="shared" si="1"/>
        <v>0.980622079131853</v>
      </c>
      <c r="O1157">
        <f t="shared" si="2"/>
        <v>1.0712</v>
      </c>
      <c r="P1157">
        <f>IF($A1157="","",IF($E1157=1,$F1157*$O1157,PNL!G1157))</f>
        <v>264776.934344</v>
      </c>
      <c r="T1157">
        <f t="shared" si="3"/>
        <v>-264776.934344</v>
      </c>
    </row>
    <row r="1158" ht="14.25" customHeight="1">
      <c r="A1158" t="str">
        <f>IF(PNL!A1158="","",PNL!A1158)</f>
        <v>MBWAY_NAN</v>
      </c>
      <c r="B1158" t="str">
        <f>IF(PNL!B1158="","",PNL!B1158)</f>
        <v>613</v>
      </c>
      <c r="C1158" t="str">
        <f>IF(PNL!C1158="","",PNL!C1158)</f>
        <v>2027</v>
      </c>
      <c r="D1158" t="str">
        <f>IF(PNL!D1158="","",PNL!D1158)</f>
        <v>V03</v>
      </c>
      <c r="E1158">
        <f t="shared" si="0"/>
        <v>1</v>
      </c>
      <c r="F1158">
        <f>IF($A1158="","",IF($E1158=1,_xlfn.SUMIFS(Comptabilité!$F$1:$F$1446,Comptabilité!$A$1:$A$1446,$A1158,Comptabilité!$B$1:$B$1446,$B1158,Comptabilité!$C$1:$C$1446,"2026"),0))</f>
        <v>212626.38</v>
      </c>
      <c r="G1158">
        <f>IF($A1158="","",IF($D1158="V01",Cadrage!$C$23,IF($D1158="V02",Cadrage!$D$23,Cadrage!$E$23)))</f>
        <v>-0.05</v>
      </c>
      <c r="H1158">
        <f>IF($A1158="","",IF($D1158="V01",Cadrage!$C$24,IF($D1158="V02",Cadrage!$D$24,Cadrage!$E$24)))</f>
        <v>-0.05</v>
      </c>
      <c r="I1158">
        <f>IF($A1158="","",IF($D1158="V01",Cadrage!$C$34,IF($D1158="V02",Cadrage!$D$34,Cadrage!$E$34)))</f>
        <v>0.03</v>
      </c>
      <c r="J1158">
        <f>IF($A1158="","",IF($D1158="V01",Cadrage!$C$35,IF($D1158="V02",Cadrage!$D$35,Cadrage!$E$35)))</f>
        <v>0.03</v>
      </c>
      <c r="K1158">
        <f>IF($A1158="","",IF($D1158="V01",Cadrage!$C$36,IF($D1158="V02",Cadrage!$D$36,Cadrage!$E$36)))</f>
        <v>0.05</v>
      </c>
      <c r="L1158">
        <f>IF($A1158="","",IF($D1158="V01",Cadrage!$C$37,IF($D1158="V02",Cadrage!$D$37,Cadrage!$E$37)))</f>
        <v>0</v>
      </c>
      <c r="M1158">
        <f>IF($A1158="","",IF($D1158="V01",Cadrage!$C$38,IF($D1158="V02",Cadrage!$D$38,Cadrage!$E$38)))</f>
        <v>0.04</v>
      </c>
      <c r="N1158">
        <f t="shared" si="1"/>
        <v>0.980622079131853</v>
      </c>
      <c r="O1158">
        <f t="shared" si="2"/>
        <v>1.0712</v>
      </c>
      <c r="P1158">
        <f>IF($A1158="","",IF($E1158=1,$F1158*$O1158,PNL!G1158))</f>
        <v>227765.378256</v>
      </c>
      <c r="T1158">
        <f t="shared" si="3"/>
        <v>-227765.378256</v>
      </c>
    </row>
    <row r="1159" ht="14.25" customHeight="1">
      <c r="A1159" t="str">
        <f>IF(PNL!A1159="","",PNL!A1159)</f>
        <v>MBWAY_PAR</v>
      </c>
      <c r="B1159" t="str">
        <f>IF(PNL!B1159="","",PNL!B1159)</f>
        <v>613</v>
      </c>
      <c r="C1159" t="str">
        <f>IF(PNL!C1159="","",PNL!C1159)</f>
        <v>2027</v>
      </c>
      <c r="D1159" t="str">
        <f>IF(PNL!D1159="","",PNL!D1159)</f>
        <v>V03</v>
      </c>
      <c r="E1159">
        <f t="shared" si="0"/>
        <v>1</v>
      </c>
      <c r="F1159">
        <f>IF($A1159="","",IF($E1159=1,_xlfn.SUMIFS(Comptabilité!$F$1:$F$1446,Comptabilité!$A$1:$A$1446,$A1159,Comptabilité!$B$1:$B$1446,$B1159,Comptabilité!$C$1:$C$1446,"2026"),0))</f>
        <v>310097.52</v>
      </c>
      <c r="G1159">
        <f>IF($A1159="","",IF($D1159="V01",Cadrage!$C$23,IF($D1159="V02",Cadrage!$D$23,Cadrage!$E$23)))</f>
        <v>-0.05</v>
      </c>
      <c r="H1159">
        <f>IF($A1159="","",IF($D1159="V01",Cadrage!$C$24,IF($D1159="V02",Cadrage!$D$24,Cadrage!$E$24)))</f>
        <v>-0.05</v>
      </c>
      <c r="I1159">
        <f>IF($A1159="","",IF($D1159="V01",Cadrage!$C$34,IF($D1159="V02",Cadrage!$D$34,Cadrage!$E$34)))</f>
        <v>0.03</v>
      </c>
      <c r="J1159">
        <f>IF($A1159="","",IF($D1159="V01",Cadrage!$C$35,IF($D1159="V02",Cadrage!$D$35,Cadrage!$E$35)))</f>
        <v>0.03</v>
      </c>
      <c r="K1159">
        <f>IF($A1159="","",IF($D1159="V01",Cadrage!$C$36,IF($D1159="V02",Cadrage!$D$36,Cadrage!$E$36)))</f>
        <v>0.05</v>
      </c>
      <c r="L1159">
        <f>IF($A1159="","",IF($D1159="V01",Cadrage!$C$37,IF($D1159="V02",Cadrage!$D$37,Cadrage!$E$37)))</f>
        <v>0</v>
      </c>
      <c r="M1159">
        <f>IF($A1159="","",IF($D1159="V01",Cadrage!$C$38,IF($D1159="V02",Cadrage!$D$38,Cadrage!$E$38)))</f>
        <v>0.04</v>
      </c>
      <c r="N1159">
        <f t="shared" si="1"/>
        <v>0.980622079131853</v>
      </c>
      <c r="O1159">
        <f t="shared" si="2"/>
        <v>1.0712</v>
      </c>
      <c r="P1159">
        <f>IF($A1159="","",IF($E1159=1,$F1159*$O1159,PNL!G1159))</f>
        <v>332176.463424</v>
      </c>
      <c r="T1159">
        <f t="shared" si="3"/>
        <v>-332176.463424</v>
      </c>
    </row>
    <row r="1160" ht="14.25" customHeight="1">
      <c r="A1160" t="str">
        <f>IF(PNL!A1160="","",PNL!A1160)</f>
        <v>PIGIER_BOR</v>
      </c>
      <c r="B1160" t="str">
        <f>IF(PNL!B1160="","",PNL!B1160)</f>
        <v>613</v>
      </c>
      <c r="C1160" t="str">
        <f>IF(PNL!C1160="","",PNL!C1160)</f>
        <v>2027</v>
      </c>
      <c r="D1160" t="str">
        <f>IF(PNL!D1160="","",PNL!D1160)</f>
        <v>V03</v>
      </c>
      <c r="E1160">
        <f t="shared" si="0"/>
        <v>1</v>
      </c>
      <c r="F1160">
        <f>IF($A1160="","",IF($E1160=1,_xlfn.SUMIFS(Comptabilité!$F$1:$F$1446,Comptabilité!$A$1:$A$1446,$A1160,Comptabilité!$B$1:$B$1446,$B1160,Comptabilité!$C$1:$C$1446,"2026"),0))</f>
        <v>112878.51</v>
      </c>
      <c r="G1160">
        <f>IF($A1160="","",IF($D1160="V01",Cadrage!$C$23,IF($D1160="V02",Cadrage!$D$23,Cadrage!$E$23)))</f>
        <v>-0.05</v>
      </c>
      <c r="H1160">
        <f>IF($A1160="","",IF($D1160="V01",Cadrage!$C$24,IF($D1160="V02",Cadrage!$D$24,Cadrage!$E$24)))</f>
        <v>-0.05</v>
      </c>
      <c r="I1160">
        <f>IF($A1160="","",IF($D1160="V01",Cadrage!$C$34,IF($D1160="V02",Cadrage!$D$34,Cadrage!$E$34)))</f>
        <v>0.03</v>
      </c>
      <c r="J1160">
        <f>IF($A1160="","",IF($D1160="V01",Cadrage!$C$35,IF($D1160="V02",Cadrage!$D$35,Cadrage!$E$35)))</f>
        <v>0.03</v>
      </c>
      <c r="K1160">
        <f>IF($A1160="","",IF($D1160="V01",Cadrage!$C$36,IF($D1160="V02",Cadrage!$D$36,Cadrage!$E$36)))</f>
        <v>0.05</v>
      </c>
      <c r="L1160">
        <f>IF($A1160="","",IF($D1160="V01",Cadrage!$C$37,IF($D1160="V02",Cadrage!$D$37,Cadrage!$E$37)))</f>
        <v>0</v>
      </c>
      <c r="M1160">
        <f>IF($A1160="","",IF($D1160="V01",Cadrage!$C$38,IF($D1160="V02",Cadrage!$D$38,Cadrage!$E$38)))</f>
        <v>0.04</v>
      </c>
      <c r="N1160">
        <f t="shared" si="1"/>
        <v>0.980622079131853</v>
      </c>
      <c r="O1160">
        <f t="shared" si="2"/>
        <v>1.0712</v>
      </c>
      <c r="P1160">
        <f>IF($A1160="","",IF($E1160=1,$F1160*$O1160,PNL!G1160))</f>
        <v>120915.459912</v>
      </c>
      <c r="T1160">
        <f t="shared" si="3"/>
        <v>-120915.459912</v>
      </c>
    </row>
    <row r="1161" ht="14.25" customHeight="1">
      <c r="A1161" t="str">
        <f>IF(PNL!A1161="","",PNL!A1161)</f>
        <v>PIGIER_LYO</v>
      </c>
      <c r="B1161" t="str">
        <f>IF(PNL!B1161="","",PNL!B1161)</f>
        <v>613</v>
      </c>
      <c r="C1161" t="str">
        <f>IF(PNL!C1161="","",PNL!C1161)</f>
        <v>2027</v>
      </c>
      <c r="D1161" t="str">
        <f>IF(PNL!D1161="","",PNL!D1161)</f>
        <v>V03</v>
      </c>
      <c r="E1161">
        <f t="shared" si="0"/>
        <v>1</v>
      </c>
      <c r="F1161">
        <f>IF($A1161="","",IF($E1161=1,_xlfn.SUMIFS(Comptabilité!$F$1:$F$1446,Comptabilité!$A$1:$A$1446,$A1161,Comptabilité!$B$1:$B$1446,$B1161,Comptabilité!$C$1:$C$1446,"2026"),0))</f>
        <v>149043.83</v>
      </c>
      <c r="G1161">
        <f>IF($A1161="","",IF($D1161="V01",Cadrage!$C$23,IF($D1161="V02",Cadrage!$D$23,Cadrage!$E$23)))</f>
        <v>-0.05</v>
      </c>
      <c r="H1161">
        <f>IF($A1161="","",IF($D1161="V01",Cadrage!$C$24,IF($D1161="V02",Cadrage!$D$24,Cadrage!$E$24)))</f>
        <v>-0.05</v>
      </c>
      <c r="I1161">
        <f>IF($A1161="","",IF($D1161="V01",Cadrage!$C$34,IF($D1161="V02",Cadrage!$D$34,Cadrage!$E$34)))</f>
        <v>0.03</v>
      </c>
      <c r="J1161">
        <f>IF($A1161="","",IF($D1161="V01",Cadrage!$C$35,IF($D1161="V02",Cadrage!$D$35,Cadrage!$E$35)))</f>
        <v>0.03</v>
      </c>
      <c r="K1161">
        <f>IF($A1161="","",IF($D1161="V01",Cadrage!$C$36,IF($D1161="V02",Cadrage!$D$36,Cadrage!$E$36)))</f>
        <v>0.05</v>
      </c>
      <c r="L1161">
        <f>IF($A1161="","",IF($D1161="V01",Cadrage!$C$37,IF($D1161="V02",Cadrage!$D$37,Cadrage!$E$37)))</f>
        <v>0</v>
      </c>
      <c r="M1161">
        <f>IF($A1161="","",IF($D1161="V01",Cadrage!$C$38,IF($D1161="V02",Cadrage!$D$38,Cadrage!$E$38)))</f>
        <v>0.04</v>
      </c>
      <c r="N1161">
        <f t="shared" si="1"/>
        <v>0.980622079131853</v>
      </c>
      <c r="O1161">
        <f t="shared" si="2"/>
        <v>1.0712</v>
      </c>
      <c r="P1161">
        <f>IF($A1161="","",IF($E1161=1,$F1161*$O1161,PNL!G1161))</f>
        <v>159655.750696</v>
      </c>
      <c r="T1161">
        <f t="shared" si="3"/>
        <v>-159655.750696</v>
      </c>
    </row>
    <row r="1162" ht="14.25" customHeight="1">
      <c r="A1162" t="str">
        <f>IF(PNL!A1162="","",PNL!A1162)</f>
        <v>TUNON_LYO</v>
      </c>
      <c r="B1162" t="str">
        <f>IF(PNL!B1162="","",PNL!B1162)</f>
        <v>613</v>
      </c>
      <c r="C1162" t="str">
        <f>IF(PNL!C1162="","",PNL!C1162)</f>
        <v>2027</v>
      </c>
      <c r="D1162" t="str">
        <f>IF(PNL!D1162="","",PNL!D1162)</f>
        <v>V03</v>
      </c>
      <c r="E1162">
        <f t="shared" si="0"/>
        <v>1</v>
      </c>
      <c r="F1162">
        <f>IF($A1162="","",IF($E1162=1,_xlfn.SUMIFS(Comptabilité!$F$1:$F$1446,Comptabilité!$A$1:$A$1446,$A1162,Comptabilité!$B$1:$B$1446,$B1162,Comptabilité!$C$1:$C$1446,"2026"),0))</f>
        <v>114850.19</v>
      </c>
      <c r="G1162">
        <f>IF($A1162="","",IF($D1162="V01",Cadrage!$C$23,IF($D1162="V02",Cadrage!$D$23,Cadrage!$E$23)))</f>
        <v>-0.05</v>
      </c>
      <c r="H1162">
        <f>IF($A1162="","",IF($D1162="V01",Cadrage!$C$24,IF($D1162="V02",Cadrage!$D$24,Cadrage!$E$24)))</f>
        <v>-0.05</v>
      </c>
      <c r="I1162">
        <f>IF($A1162="","",IF($D1162="V01",Cadrage!$C$34,IF($D1162="V02",Cadrage!$D$34,Cadrage!$E$34)))</f>
        <v>0.03</v>
      </c>
      <c r="J1162">
        <f>IF($A1162="","",IF($D1162="V01",Cadrage!$C$35,IF($D1162="V02",Cadrage!$D$35,Cadrage!$E$35)))</f>
        <v>0.03</v>
      </c>
      <c r="K1162">
        <f>IF($A1162="","",IF($D1162="V01",Cadrage!$C$36,IF($D1162="V02",Cadrage!$D$36,Cadrage!$E$36)))</f>
        <v>0.05</v>
      </c>
      <c r="L1162">
        <f>IF($A1162="","",IF($D1162="V01",Cadrage!$C$37,IF($D1162="V02",Cadrage!$D$37,Cadrage!$E$37)))</f>
        <v>0</v>
      </c>
      <c r="M1162">
        <f>IF($A1162="","",IF($D1162="V01",Cadrage!$C$38,IF($D1162="V02",Cadrage!$D$38,Cadrage!$E$38)))</f>
        <v>0.04</v>
      </c>
      <c r="N1162">
        <f t="shared" si="1"/>
        <v>0.980622079131853</v>
      </c>
      <c r="O1162">
        <f t="shared" si="2"/>
        <v>1.0712</v>
      </c>
      <c r="P1162">
        <f>IF($A1162="","",IF($E1162=1,$F1162*$O1162,PNL!G1162))</f>
        <v>123027.523528</v>
      </c>
      <c r="T1162">
        <f t="shared" si="3"/>
        <v>-123027.523528</v>
      </c>
    </row>
    <row r="1163" ht="14.25" customHeight="1">
      <c r="A1163" t="str">
        <f>IF(PNL!A1163="","",PNL!A1163)</f>
        <v>TUNON_PAR</v>
      </c>
      <c r="B1163" t="str">
        <f>IF(PNL!B1163="","",PNL!B1163)</f>
        <v>613</v>
      </c>
      <c r="C1163" t="str">
        <f>IF(PNL!C1163="","",PNL!C1163)</f>
        <v>2027</v>
      </c>
      <c r="D1163" t="str">
        <f>IF(PNL!D1163="","",PNL!D1163)</f>
        <v>V03</v>
      </c>
      <c r="E1163">
        <f t="shared" si="0"/>
        <v>1</v>
      </c>
      <c r="F1163">
        <f>IF($A1163="","",IF($E1163=1,_xlfn.SUMIFS(Comptabilité!$F$1:$F$1446,Comptabilité!$A$1:$A$1446,$A1163,Comptabilité!$B$1:$B$1446,$B1163,Comptabilité!$C$1:$C$1446,"2026"),0))</f>
        <v>137962.95</v>
      </c>
      <c r="G1163">
        <f>IF($A1163="","",IF($D1163="V01",Cadrage!$C$23,IF($D1163="V02",Cadrage!$D$23,Cadrage!$E$23)))</f>
        <v>-0.05</v>
      </c>
      <c r="H1163">
        <f>IF($A1163="","",IF($D1163="V01",Cadrage!$C$24,IF($D1163="V02",Cadrage!$D$24,Cadrage!$E$24)))</f>
        <v>-0.05</v>
      </c>
      <c r="I1163">
        <f>IF($A1163="","",IF($D1163="V01",Cadrage!$C$34,IF($D1163="V02",Cadrage!$D$34,Cadrage!$E$34)))</f>
        <v>0.03</v>
      </c>
      <c r="J1163">
        <f>IF($A1163="","",IF($D1163="V01",Cadrage!$C$35,IF($D1163="V02",Cadrage!$D$35,Cadrage!$E$35)))</f>
        <v>0.03</v>
      </c>
      <c r="K1163">
        <f>IF($A1163="","",IF($D1163="V01",Cadrage!$C$36,IF($D1163="V02",Cadrage!$D$36,Cadrage!$E$36)))</f>
        <v>0.05</v>
      </c>
      <c r="L1163">
        <f>IF($A1163="","",IF($D1163="V01",Cadrage!$C$37,IF($D1163="V02",Cadrage!$D$37,Cadrage!$E$37)))</f>
        <v>0</v>
      </c>
      <c r="M1163">
        <f>IF($A1163="","",IF($D1163="V01",Cadrage!$C$38,IF($D1163="V02",Cadrage!$D$38,Cadrage!$E$38)))</f>
        <v>0.04</v>
      </c>
      <c r="N1163">
        <f t="shared" si="1"/>
        <v>0.980622079131853</v>
      </c>
      <c r="O1163">
        <f t="shared" si="2"/>
        <v>1.0712</v>
      </c>
      <c r="P1163">
        <f>IF($A1163="","",IF($E1163=1,$F1163*$O1163,PNL!G1163))</f>
        <v>147785.91204</v>
      </c>
      <c r="T1163">
        <f t="shared" si="3"/>
        <v>-147785.91204</v>
      </c>
    </row>
    <row r="1164" ht="14.25" customHeight="1">
      <c r="A1164" t="str">
        <f>IF(PNL!A1164="","",PNL!A1164)</f>
        <v>IPAC_MTP</v>
      </c>
      <c r="B1164" t="str">
        <f>IF(PNL!B1164="","",PNL!B1164)</f>
        <v>615</v>
      </c>
      <c r="C1164" t="str">
        <f>IF(PNL!C1164="","",PNL!C1164)</f>
        <v>2027</v>
      </c>
      <c r="D1164" t="str">
        <f>IF(PNL!D1164="","",PNL!D1164)</f>
        <v>V03</v>
      </c>
      <c r="E1164">
        <f t="shared" si="0"/>
        <v>1</v>
      </c>
      <c r="F1164">
        <f>IF($A1164="","",IF($E1164=1,_xlfn.SUMIFS(Comptabilité!$F$1:$F$1446,Comptabilité!$A$1:$A$1446,$A1164,Comptabilité!$B$1:$B$1446,$B1164,Comptabilité!$C$1:$C$1446,"2026"),0))</f>
        <v>12007.68</v>
      </c>
      <c r="G1164">
        <f>IF($A1164="","",IF($D1164="V01",Cadrage!$C$23,IF($D1164="V02",Cadrage!$D$23,Cadrage!$E$23)))</f>
        <v>-0.05</v>
      </c>
      <c r="H1164">
        <f>IF($A1164="","",IF($D1164="V01",Cadrage!$C$24,IF($D1164="V02",Cadrage!$D$24,Cadrage!$E$24)))</f>
        <v>-0.05</v>
      </c>
      <c r="I1164">
        <f>IF($A1164="","",IF($D1164="V01",Cadrage!$C$34,IF($D1164="V02",Cadrage!$D$34,Cadrage!$E$34)))</f>
        <v>0.03</v>
      </c>
      <c r="J1164">
        <f>IF($A1164="","",IF($D1164="V01",Cadrage!$C$35,IF($D1164="V02",Cadrage!$D$35,Cadrage!$E$35)))</f>
        <v>0.03</v>
      </c>
      <c r="K1164">
        <f>IF($A1164="","",IF($D1164="V01",Cadrage!$C$36,IF($D1164="V02",Cadrage!$D$36,Cadrage!$E$36)))</f>
        <v>0.05</v>
      </c>
      <c r="L1164">
        <f>IF($A1164="","",IF($D1164="V01",Cadrage!$C$37,IF($D1164="V02",Cadrage!$D$37,Cadrage!$E$37)))</f>
        <v>0</v>
      </c>
      <c r="M1164">
        <f>IF($A1164="","",IF($D1164="V01",Cadrage!$C$38,IF($D1164="V02",Cadrage!$D$38,Cadrage!$E$38)))</f>
        <v>0.04</v>
      </c>
      <c r="N1164">
        <f t="shared" si="1"/>
        <v>0.980622079131853</v>
      </c>
      <c r="O1164">
        <f t="shared" si="2"/>
        <v>1.0712</v>
      </c>
      <c r="P1164">
        <f>IF($A1164="","",IF($E1164=1,$F1164*$O1164,PNL!G1164))</f>
        <v>12862.626816</v>
      </c>
      <c r="T1164">
        <f t="shared" si="3"/>
        <v>-12862.626816</v>
      </c>
    </row>
    <row r="1165" ht="14.25" customHeight="1">
      <c r="A1165" t="str">
        <f>IF(PNL!A1165="","",PNL!A1165)</f>
        <v>IPAC_NAN</v>
      </c>
      <c r="B1165" t="str">
        <f>IF(PNL!B1165="","",PNL!B1165)</f>
        <v>615</v>
      </c>
      <c r="C1165" t="str">
        <f>IF(PNL!C1165="","",PNL!C1165)</f>
        <v>2027</v>
      </c>
      <c r="D1165" t="str">
        <f>IF(PNL!D1165="","",PNL!D1165)</f>
        <v>V03</v>
      </c>
      <c r="E1165">
        <f t="shared" si="0"/>
        <v>1</v>
      </c>
      <c r="F1165">
        <f>IF($A1165="","",IF($E1165=1,_xlfn.SUMIFS(Comptabilité!$F$1:$F$1446,Comptabilité!$A$1:$A$1446,$A1165,Comptabilité!$B$1:$B$1446,$B1165,Comptabilité!$C$1:$C$1446,"2026"),0))</f>
        <v>14839.36</v>
      </c>
      <c r="G1165">
        <f>IF($A1165="","",IF($D1165="V01",Cadrage!$C$23,IF($D1165="V02",Cadrage!$D$23,Cadrage!$E$23)))</f>
        <v>-0.05</v>
      </c>
      <c r="H1165">
        <f>IF($A1165="","",IF($D1165="V01",Cadrage!$C$24,IF($D1165="V02",Cadrage!$D$24,Cadrage!$E$24)))</f>
        <v>-0.05</v>
      </c>
      <c r="I1165">
        <f>IF($A1165="","",IF($D1165="V01",Cadrage!$C$34,IF($D1165="V02",Cadrage!$D$34,Cadrage!$E$34)))</f>
        <v>0.03</v>
      </c>
      <c r="J1165">
        <f>IF($A1165="","",IF($D1165="V01",Cadrage!$C$35,IF($D1165="V02",Cadrage!$D$35,Cadrage!$E$35)))</f>
        <v>0.03</v>
      </c>
      <c r="K1165">
        <f>IF($A1165="","",IF($D1165="V01",Cadrage!$C$36,IF($D1165="V02",Cadrage!$D$36,Cadrage!$E$36)))</f>
        <v>0.05</v>
      </c>
      <c r="L1165">
        <f>IF($A1165="","",IF($D1165="V01",Cadrage!$C$37,IF($D1165="V02",Cadrage!$D$37,Cadrage!$E$37)))</f>
        <v>0</v>
      </c>
      <c r="M1165">
        <f>IF($A1165="","",IF($D1165="V01",Cadrage!$C$38,IF($D1165="V02",Cadrage!$D$38,Cadrage!$E$38)))</f>
        <v>0.04</v>
      </c>
      <c r="N1165">
        <f t="shared" si="1"/>
        <v>0.980622079131853</v>
      </c>
      <c r="O1165">
        <f t="shared" si="2"/>
        <v>1.0712</v>
      </c>
      <c r="P1165">
        <f>IF($A1165="","",IF($E1165=1,$F1165*$O1165,PNL!G1165))</f>
        <v>15895.922432</v>
      </c>
      <c r="T1165">
        <f t="shared" si="3"/>
        <v>-15895.922432</v>
      </c>
    </row>
    <row r="1166" ht="14.25" customHeight="1">
      <c r="A1166" t="str">
        <f>IF(PNL!A1166="","",PNL!A1166)</f>
        <v>IPAC_REN</v>
      </c>
      <c r="B1166" t="str">
        <f>IF(PNL!B1166="","",PNL!B1166)</f>
        <v>615</v>
      </c>
      <c r="C1166" t="str">
        <f>IF(PNL!C1166="","",PNL!C1166)</f>
        <v>2027</v>
      </c>
      <c r="D1166" t="str">
        <f>IF(PNL!D1166="","",PNL!D1166)</f>
        <v>V03</v>
      </c>
      <c r="E1166">
        <f t="shared" si="0"/>
        <v>1</v>
      </c>
      <c r="F1166">
        <f>IF($A1166="","",IF($E1166=1,_xlfn.SUMIFS(Comptabilité!$F$1:$F$1446,Comptabilité!$A$1:$A$1446,$A1166,Comptabilité!$B$1:$B$1446,$B1166,Comptabilité!$C$1:$C$1446,"2026"),0))</f>
        <v>12014.85</v>
      </c>
      <c r="G1166">
        <f>IF($A1166="","",IF($D1166="V01",Cadrage!$C$23,IF($D1166="V02",Cadrage!$D$23,Cadrage!$E$23)))</f>
        <v>-0.05</v>
      </c>
      <c r="H1166">
        <f>IF($A1166="","",IF($D1166="V01",Cadrage!$C$24,IF($D1166="V02",Cadrage!$D$24,Cadrage!$E$24)))</f>
        <v>-0.05</v>
      </c>
      <c r="I1166">
        <f>IF($A1166="","",IF($D1166="V01",Cadrage!$C$34,IF($D1166="V02",Cadrage!$D$34,Cadrage!$E$34)))</f>
        <v>0.03</v>
      </c>
      <c r="J1166">
        <f>IF($A1166="","",IF($D1166="V01",Cadrage!$C$35,IF($D1166="V02",Cadrage!$D$35,Cadrage!$E$35)))</f>
        <v>0.03</v>
      </c>
      <c r="K1166">
        <f>IF($A1166="","",IF($D1166="V01",Cadrage!$C$36,IF($D1166="V02",Cadrage!$D$36,Cadrage!$E$36)))</f>
        <v>0.05</v>
      </c>
      <c r="L1166">
        <f>IF($A1166="","",IF($D1166="V01",Cadrage!$C$37,IF($D1166="V02",Cadrage!$D$37,Cadrage!$E$37)))</f>
        <v>0</v>
      </c>
      <c r="M1166">
        <f>IF($A1166="","",IF($D1166="V01",Cadrage!$C$38,IF($D1166="V02",Cadrage!$D$38,Cadrage!$E$38)))</f>
        <v>0.04</v>
      </c>
      <c r="N1166">
        <f t="shared" si="1"/>
        <v>0.980622079131853</v>
      </c>
      <c r="O1166">
        <f t="shared" si="2"/>
        <v>1.0712</v>
      </c>
      <c r="P1166">
        <f>IF($A1166="","",IF($E1166=1,$F1166*$O1166,PNL!G1166))</f>
        <v>12870.30732</v>
      </c>
      <c r="T1166">
        <f t="shared" si="3"/>
        <v>-12870.30732</v>
      </c>
    </row>
    <row r="1167" ht="14.25" customHeight="1">
      <c r="A1167" t="str">
        <f>IF(PNL!A1167="","",PNL!A1167)</f>
        <v>ISCOM_LIL</v>
      </c>
      <c r="B1167" t="str">
        <f>IF(PNL!B1167="","",PNL!B1167)</f>
        <v>615</v>
      </c>
      <c r="C1167" t="str">
        <f>IF(PNL!C1167="","",PNL!C1167)</f>
        <v>2027</v>
      </c>
      <c r="D1167" t="str">
        <f>IF(PNL!D1167="","",PNL!D1167)</f>
        <v>V03</v>
      </c>
      <c r="E1167">
        <f t="shared" si="0"/>
        <v>1</v>
      </c>
      <c r="F1167">
        <f>IF($A1167="","",IF($E1167=1,_xlfn.SUMIFS(Comptabilité!$F$1:$F$1446,Comptabilité!$A$1:$A$1446,$A1167,Comptabilité!$B$1:$B$1446,$B1167,Comptabilité!$C$1:$C$1446,"2026"),0))</f>
        <v>25117.43</v>
      </c>
      <c r="G1167">
        <f>IF($A1167="","",IF($D1167="V01",Cadrage!$C$23,IF($D1167="V02",Cadrage!$D$23,Cadrage!$E$23)))</f>
        <v>-0.05</v>
      </c>
      <c r="H1167">
        <f>IF($A1167="","",IF($D1167="V01",Cadrage!$C$24,IF($D1167="V02",Cadrage!$D$24,Cadrage!$E$24)))</f>
        <v>-0.05</v>
      </c>
      <c r="I1167">
        <f>IF($A1167="","",IF($D1167="V01",Cadrage!$C$34,IF($D1167="V02",Cadrage!$D$34,Cadrage!$E$34)))</f>
        <v>0.03</v>
      </c>
      <c r="J1167">
        <f>IF($A1167="","",IF($D1167="V01",Cadrage!$C$35,IF($D1167="V02",Cadrage!$D$35,Cadrage!$E$35)))</f>
        <v>0.03</v>
      </c>
      <c r="K1167">
        <f>IF($A1167="","",IF($D1167="V01",Cadrage!$C$36,IF($D1167="V02",Cadrage!$D$36,Cadrage!$E$36)))</f>
        <v>0.05</v>
      </c>
      <c r="L1167">
        <f>IF($A1167="","",IF($D1167="V01",Cadrage!$C$37,IF($D1167="V02",Cadrage!$D$37,Cadrage!$E$37)))</f>
        <v>0</v>
      </c>
      <c r="M1167">
        <f>IF($A1167="","",IF($D1167="V01",Cadrage!$C$38,IF($D1167="V02",Cadrage!$D$38,Cadrage!$E$38)))</f>
        <v>0.04</v>
      </c>
      <c r="N1167">
        <f t="shared" si="1"/>
        <v>0.980622079131853</v>
      </c>
      <c r="O1167">
        <f t="shared" si="2"/>
        <v>1.0712</v>
      </c>
      <c r="P1167">
        <f>IF($A1167="","",IF($E1167=1,$F1167*$O1167,PNL!G1167))</f>
        <v>26905.791016</v>
      </c>
      <c r="T1167">
        <f t="shared" si="3"/>
        <v>-26905.791016</v>
      </c>
    </row>
    <row r="1168" ht="14.25" customHeight="1">
      <c r="A1168" t="str">
        <f>IF(PNL!A1168="","",PNL!A1168)</f>
        <v>ISCOM_PAR</v>
      </c>
      <c r="B1168" t="str">
        <f>IF(PNL!B1168="","",PNL!B1168)</f>
        <v>615</v>
      </c>
      <c r="C1168" t="str">
        <f>IF(PNL!C1168="","",PNL!C1168)</f>
        <v>2027</v>
      </c>
      <c r="D1168" t="str">
        <f>IF(PNL!D1168="","",PNL!D1168)</f>
        <v>V03</v>
      </c>
      <c r="E1168">
        <f t="shared" si="0"/>
        <v>1</v>
      </c>
      <c r="F1168">
        <f>IF($A1168="","",IF($E1168=1,_xlfn.SUMIFS(Comptabilité!$F$1:$F$1446,Comptabilité!$A$1:$A$1446,$A1168,Comptabilité!$B$1:$B$1446,$B1168,Comptabilité!$C$1:$C$1446,"2026"),0))</f>
        <v>43063.14</v>
      </c>
      <c r="G1168">
        <f>IF($A1168="","",IF($D1168="V01",Cadrage!$C$23,IF($D1168="V02",Cadrage!$D$23,Cadrage!$E$23)))</f>
        <v>-0.05</v>
      </c>
      <c r="H1168">
        <f>IF($A1168="","",IF($D1168="V01",Cadrage!$C$24,IF($D1168="V02",Cadrage!$D$24,Cadrage!$E$24)))</f>
        <v>-0.05</v>
      </c>
      <c r="I1168">
        <f>IF($A1168="","",IF($D1168="V01",Cadrage!$C$34,IF($D1168="V02",Cadrage!$D$34,Cadrage!$E$34)))</f>
        <v>0.03</v>
      </c>
      <c r="J1168">
        <f>IF($A1168="","",IF($D1168="V01",Cadrage!$C$35,IF($D1168="V02",Cadrage!$D$35,Cadrage!$E$35)))</f>
        <v>0.03</v>
      </c>
      <c r="K1168">
        <f>IF($A1168="","",IF($D1168="V01",Cadrage!$C$36,IF($D1168="V02",Cadrage!$D$36,Cadrage!$E$36)))</f>
        <v>0.05</v>
      </c>
      <c r="L1168">
        <f>IF($A1168="","",IF($D1168="V01",Cadrage!$C$37,IF($D1168="V02",Cadrage!$D$37,Cadrage!$E$37)))</f>
        <v>0</v>
      </c>
      <c r="M1168">
        <f>IF($A1168="","",IF($D1168="V01",Cadrage!$C$38,IF($D1168="V02",Cadrage!$D$38,Cadrage!$E$38)))</f>
        <v>0.04</v>
      </c>
      <c r="N1168">
        <f t="shared" si="1"/>
        <v>0.980622079131853</v>
      </c>
      <c r="O1168">
        <f t="shared" si="2"/>
        <v>1.0712</v>
      </c>
      <c r="P1168">
        <f>IF($A1168="","",IF($E1168=1,$F1168*$O1168,PNL!G1168))</f>
        <v>46129.235568</v>
      </c>
      <c r="T1168">
        <f t="shared" si="3"/>
        <v>-46129.235568</v>
      </c>
    </row>
    <row r="1169" ht="14.25" customHeight="1">
      <c r="A1169" t="str">
        <f>IF(PNL!A1169="","",PNL!A1169)</f>
        <v>ISCOM_TLS</v>
      </c>
      <c r="B1169" t="str">
        <f>IF(PNL!B1169="","",PNL!B1169)</f>
        <v>615</v>
      </c>
      <c r="C1169" t="str">
        <f>IF(PNL!C1169="","",PNL!C1169)</f>
        <v>2027</v>
      </c>
      <c r="D1169" t="str">
        <f>IF(PNL!D1169="","",PNL!D1169)</f>
        <v>V03</v>
      </c>
      <c r="E1169">
        <f t="shared" si="0"/>
        <v>1</v>
      </c>
      <c r="F1169">
        <f>IF($A1169="","",IF($E1169=1,_xlfn.SUMIFS(Comptabilité!$F$1:$F$1446,Comptabilité!$A$1:$A$1446,$A1169,Comptabilité!$B$1:$B$1446,$B1169,Comptabilité!$C$1:$C$1446,"2026"),0))</f>
        <v>23619.34</v>
      </c>
      <c r="G1169">
        <f>IF($A1169="","",IF($D1169="V01",Cadrage!$C$23,IF($D1169="V02",Cadrage!$D$23,Cadrage!$E$23)))</f>
        <v>-0.05</v>
      </c>
      <c r="H1169">
        <f>IF($A1169="","",IF($D1169="V01",Cadrage!$C$24,IF($D1169="V02",Cadrage!$D$24,Cadrage!$E$24)))</f>
        <v>-0.05</v>
      </c>
      <c r="I1169">
        <f>IF($A1169="","",IF($D1169="V01",Cadrage!$C$34,IF($D1169="V02",Cadrage!$D$34,Cadrage!$E$34)))</f>
        <v>0.03</v>
      </c>
      <c r="J1169">
        <f>IF($A1169="","",IF($D1169="V01",Cadrage!$C$35,IF($D1169="V02",Cadrage!$D$35,Cadrage!$E$35)))</f>
        <v>0.03</v>
      </c>
      <c r="K1169">
        <f>IF($A1169="","",IF($D1169="V01",Cadrage!$C$36,IF($D1169="V02",Cadrage!$D$36,Cadrage!$E$36)))</f>
        <v>0.05</v>
      </c>
      <c r="L1169">
        <f>IF($A1169="","",IF($D1169="V01",Cadrage!$C$37,IF($D1169="V02",Cadrage!$D$37,Cadrage!$E$37)))</f>
        <v>0</v>
      </c>
      <c r="M1169">
        <f>IF($A1169="","",IF($D1169="V01",Cadrage!$C$38,IF($D1169="V02",Cadrage!$D$38,Cadrage!$E$38)))</f>
        <v>0.04</v>
      </c>
      <c r="N1169">
        <f t="shared" si="1"/>
        <v>0.980622079131853</v>
      </c>
      <c r="O1169">
        <f t="shared" si="2"/>
        <v>1.0712</v>
      </c>
      <c r="P1169">
        <f>IF($A1169="","",IF($E1169=1,$F1169*$O1169,PNL!G1169))</f>
        <v>25301.037008</v>
      </c>
      <c r="T1169">
        <f t="shared" si="3"/>
        <v>-25301.037008</v>
      </c>
    </row>
    <row r="1170" ht="14.25" customHeight="1">
      <c r="A1170" t="str">
        <f>IF(PNL!A1170="","",PNL!A1170)</f>
        <v>MBWAY_BOR</v>
      </c>
      <c r="B1170" t="str">
        <f>IF(PNL!B1170="","",PNL!B1170)</f>
        <v>615</v>
      </c>
      <c r="C1170" t="str">
        <f>IF(PNL!C1170="","",PNL!C1170)</f>
        <v>2027</v>
      </c>
      <c r="D1170" t="str">
        <f>IF(PNL!D1170="","",PNL!D1170)</f>
        <v>V03</v>
      </c>
      <c r="E1170">
        <f t="shared" si="0"/>
        <v>1</v>
      </c>
      <c r="F1170">
        <f>IF($A1170="","",IF($E1170=1,_xlfn.SUMIFS(Comptabilité!$F$1:$F$1446,Comptabilité!$A$1:$A$1446,$A1170,Comptabilité!$B$1:$B$1446,$B1170,Comptabilité!$C$1:$C$1446,"2026"),0))</f>
        <v>24735.47</v>
      </c>
      <c r="G1170">
        <f>IF($A1170="","",IF($D1170="V01",Cadrage!$C$23,IF($D1170="V02",Cadrage!$D$23,Cadrage!$E$23)))</f>
        <v>-0.05</v>
      </c>
      <c r="H1170">
        <f>IF($A1170="","",IF($D1170="V01",Cadrage!$C$24,IF($D1170="V02",Cadrage!$D$24,Cadrage!$E$24)))</f>
        <v>-0.05</v>
      </c>
      <c r="I1170">
        <f>IF($A1170="","",IF($D1170="V01",Cadrage!$C$34,IF($D1170="V02",Cadrage!$D$34,Cadrage!$E$34)))</f>
        <v>0.03</v>
      </c>
      <c r="J1170">
        <f>IF($A1170="","",IF($D1170="V01",Cadrage!$C$35,IF($D1170="V02",Cadrage!$D$35,Cadrage!$E$35)))</f>
        <v>0.03</v>
      </c>
      <c r="K1170">
        <f>IF($A1170="","",IF($D1170="V01",Cadrage!$C$36,IF($D1170="V02",Cadrage!$D$36,Cadrage!$E$36)))</f>
        <v>0.05</v>
      </c>
      <c r="L1170">
        <f>IF($A1170="","",IF($D1170="V01",Cadrage!$C$37,IF($D1170="V02",Cadrage!$D$37,Cadrage!$E$37)))</f>
        <v>0</v>
      </c>
      <c r="M1170">
        <f>IF($A1170="","",IF($D1170="V01",Cadrage!$C$38,IF($D1170="V02",Cadrage!$D$38,Cadrage!$E$38)))</f>
        <v>0.04</v>
      </c>
      <c r="N1170">
        <f t="shared" si="1"/>
        <v>0.980622079131853</v>
      </c>
      <c r="O1170">
        <f t="shared" si="2"/>
        <v>1.0712</v>
      </c>
      <c r="P1170">
        <f>IF($A1170="","",IF($E1170=1,$F1170*$O1170,PNL!G1170))</f>
        <v>26496.635464</v>
      </c>
      <c r="T1170">
        <f t="shared" si="3"/>
        <v>-26496.635464</v>
      </c>
    </row>
    <row r="1171" ht="14.25" customHeight="1">
      <c r="A1171" t="str">
        <f>IF(PNL!A1171="","",PNL!A1171)</f>
        <v>MBWAY_LYO</v>
      </c>
      <c r="B1171" t="str">
        <f>IF(PNL!B1171="","",PNL!B1171)</f>
        <v>615</v>
      </c>
      <c r="C1171" t="str">
        <f>IF(PNL!C1171="","",PNL!C1171)</f>
        <v>2027</v>
      </c>
      <c r="D1171" t="str">
        <f>IF(PNL!D1171="","",PNL!D1171)</f>
        <v>V03</v>
      </c>
      <c r="E1171">
        <f t="shared" si="0"/>
        <v>1</v>
      </c>
      <c r="F1171">
        <f>IF($A1171="","",IF($E1171=1,_xlfn.SUMIFS(Comptabilité!$F$1:$F$1446,Comptabilité!$A$1:$A$1446,$A1171,Comptabilité!$B$1:$B$1446,$B1171,Comptabilité!$C$1:$C$1446,"2026"),0))</f>
        <v>35310.97</v>
      </c>
      <c r="G1171">
        <f>IF($A1171="","",IF($D1171="V01",Cadrage!$C$23,IF($D1171="V02",Cadrage!$D$23,Cadrage!$E$23)))</f>
        <v>-0.05</v>
      </c>
      <c r="H1171">
        <f>IF($A1171="","",IF($D1171="V01",Cadrage!$C$24,IF($D1171="V02",Cadrage!$D$24,Cadrage!$E$24)))</f>
        <v>-0.05</v>
      </c>
      <c r="I1171">
        <f>IF($A1171="","",IF($D1171="V01",Cadrage!$C$34,IF($D1171="V02",Cadrage!$D$34,Cadrage!$E$34)))</f>
        <v>0.03</v>
      </c>
      <c r="J1171">
        <f>IF($A1171="","",IF($D1171="V01",Cadrage!$C$35,IF($D1171="V02",Cadrage!$D$35,Cadrage!$E$35)))</f>
        <v>0.03</v>
      </c>
      <c r="K1171">
        <f>IF($A1171="","",IF($D1171="V01",Cadrage!$C$36,IF($D1171="V02",Cadrage!$D$36,Cadrage!$E$36)))</f>
        <v>0.05</v>
      </c>
      <c r="L1171">
        <f>IF($A1171="","",IF($D1171="V01",Cadrage!$C$37,IF($D1171="V02",Cadrage!$D$37,Cadrage!$E$37)))</f>
        <v>0</v>
      </c>
      <c r="M1171">
        <f>IF($A1171="","",IF($D1171="V01",Cadrage!$C$38,IF($D1171="V02",Cadrage!$D$38,Cadrage!$E$38)))</f>
        <v>0.04</v>
      </c>
      <c r="N1171">
        <f t="shared" si="1"/>
        <v>0.980622079131853</v>
      </c>
      <c r="O1171">
        <f t="shared" si="2"/>
        <v>1.0712</v>
      </c>
      <c r="P1171">
        <f>IF($A1171="","",IF($E1171=1,$F1171*$O1171,PNL!G1171))</f>
        <v>37825.111064</v>
      </c>
      <c r="T1171">
        <f t="shared" si="3"/>
        <v>-37825.111064</v>
      </c>
    </row>
    <row r="1172" ht="14.25" customHeight="1">
      <c r="A1172" t="str">
        <f>IF(PNL!A1172="","",PNL!A1172)</f>
        <v>MBWAY_NAN</v>
      </c>
      <c r="B1172" t="str">
        <f>IF(PNL!B1172="","",PNL!B1172)</f>
        <v>615</v>
      </c>
      <c r="C1172" t="str">
        <f>IF(PNL!C1172="","",PNL!C1172)</f>
        <v>2027</v>
      </c>
      <c r="D1172" t="str">
        <f>IF(PNL!D1172="","",PNL!D1172)</f>
        <v>V03</v>
      </c>
      <c r="E1172">
        <f t="shared" si="0"/>
        <v>1</v>
      </c>
      <c r="F1172">
        <f>IF($A1172="","",IF($E1172=1,_xlfn.SUMIFS(Comptabilité!$F$1:$F$1446,Comptabilité!$A$1:$A$1446,$A1172,Comptabilité!$B$1:$B$1446,$B1172,Comptabilité!$C$1:$C$1446,"2026"),0))</f>
        <v>30374.7</v>
      </c>
      <c r="G1172">
        <f>IF($A1172="","",IF($D1172="V01",Cadrage!$C$23,IF($D1172="V02",Cadrage!$D$23,Cadrage!$E$23)))</f>
        <v>-0.05</v>
      </c>
      <c r="H1172">
        <f>IF($A1172="","",IF($D1172="V01",Cadrage!$C$24,IF($D1172="V02",Cadrage!$D$24,Cadrage!$E$24)))</f>
        <v>-0.05</v>
      </c>
      <c r="I1172">
        <f>IF($A1172="","",IF($D1172="V01",Cadrage!$C$34,IF($D1172="V02",Cadrage!$D$34,Cadrage!$E$34)))</f>
        <v>0.03</v>
      </c>
      <c r="J1172">
        <f>IF($A1172="","",IF($D1172="V01",Cadrage!$C$35,IF($D1172="V02",Cadrage!$D$35,Cadrage!$E$35)))</f>
        <v>0.03</v>
      </c>
      <c r="K1172">
        <f>IF($A1172="","",IF($D1172="V01",Cadrage!$C$36,IF($D1172="V02",Cadrage!$D$36,Cadrage!$E$36)))</f>
        <v>0.05</v>
      </c>
      <c r="L1172">
        <f>IF($A1172="","",IF($D1172="V01",Cadrage!$C$37,IF($D1172="V02",Cadrage!$D$37,Cadrage!$E$37)))</f>
        <v>0</v>
      </c>
      <c r="M1172">
        <f>IF($A1172="","",IF($D1172="V01",Cadrage!$C$38,IF($D1172="V02",Cadrage!$D$38,Cadrage!$E$38)))</f>
        <v>0.04</v>
      </c>
      <c r="N1172">
        <f t="shared" si="1"/>
        <v>0.980622079131853</v>
      </c>
      <c r="O1172">
        <f t="shared" si="2"/>
        <v>1.0712</v>
      </c>
      <c r="P1172">
        <f>IF($A1172="","",IF($E1172=1,$F1172*$O1172,PNL!G1172))</f>
        <v>32537.37864</v>
      </c>
      <c r="T1172">
        <f t="shared" si="3"/>
        <v>-32537.37864</v>
      </c>
    </row>
    <row r="1173" ht="14.25" customHeight="1">
      <c r="A1173" t="str">
        <f>IF(PNL!A1173="","",PNL!A1173)</f>
        <v>MBWAY_PAR</v>
      </c>
      <c r="B1173" t="str">
        <f>IF(PNL!B1173="","",PNL!B1173)</f>
        <v>615</v>
      </c>
      <c r="C1173" t="str">
        <f>IF(PNL!C1173="","",PNL!C1173)</f>
        <v>2027</v>
      </c>
      <c r="D1173" t="str">
        <f>IF(PNL!D1173="","",PNL!D1173)</f>
        <v>V03</v>
      </c>
      <c r="E1173">
        <f t="shared" si="0"/>
        <v>1</v>
      </c>
      <c r="F1173">
        <f>IF($A1173="","",IF($E1173=1,_xlfn.SUMIFS(Comptabilité!$F$1:$F$1446,Comptabilité!$A$1:$A$1446,$A1173,Comptabilité!$B$1:$B$1446,$B1173,Comptabilité!$C$1:$C$1446,"2026"),0))</f>
        <v>44299.53</v>
      </c>
      <c r="G1173">
        <f>IF($A1173="","",IF($D1173="V01",Cadrage!$C$23,IF($D1173="V02",Cadrage!$D$23,Cadrage!$E$23)))</f>
        <v>-0.05</v>
      </c>
      <c r="H1173">
        <f>IF($A1173="","",IF($D1173="V01",Cadrage!$C$24,IF($D1173="V02",Cadrage!$D$24,Cadrage!$E$24)))</f>
        <v>-0.05</v>
      </c>
      <c r="I1173">
        <f>IF($A1173="","",IF($D1173="V01",Cadrage!$C$34,IF($D1173="V02",Cadrage!$D$34,Cadrage!$E$34)))</f>
        <v>0.03</v>
      </c>
      <c r="J1173">
        <f>IF($A1173="","",IF($D1173="V01",Cadrage!$C$35,IF($D1173="V02",Cadrage!$D$35,Cadrage!$E$35)))</f>
        <v>0.03</v>
      </c>
      <c r="K1173">
        <f>IF($A1173="","",IF($D1173="V01",Cadrage!$C$36,IF($D1173="V02",Cadrage!$D$36,Cadrage!$E$36)))</f>
        <v>0.05</v>
      </c>
      <c r="L1173">
        <f>IF($A1173="","",IF($D1173="V01",Cadrage!$C$37,IF($D1173="V02",Cadrage!$D$37,Cadrage!$E$37)))</f>
        <v>0</v>
      </c>
      <c r="M1173">
        <f>IF($A1173="","",IF($D1173="V01",Cadrage!$C$38,IF($D1173="V02",Cadrage!$D$38,Cadrage!$E$38)))</f>
        <v>0.04</v>
      </c>
      <c r="N1173">
        <f t="shared" si="1"/>
        <v>0.980622079131853</v>
      </c>
      <c r="O1173">
        <f t="shared" si="2"/>
        <v>1.0712</v>
      </c>
      <c r="P1173">
        <f>IF($A1173="","",IF($E1173=1,$F1173*$O1173,PNL!G1173))</f>
        <v>47453.656536</v>
      </c>
      <c r="T1173">
        <f t="shared" si="3"/>
        <v>-47453.656536</v>
      </c>
    </row>
    <row r="1174" ht="14.25" customHeight="1">
      <c r="A1174" t="str">
        <f>IF(PNL!A1174="","",PNL!A1174)</f>
        <v>PIGIER_BOR</v>
      </c>
      <c r="B1174" t="str">
        <f>IF(PNL!B1174="","",PNL!B1174)</f>
        <v>615</v>
      </c>
      <c r="C1174" t="str">
        <f>IF(PNL!C1174="","",PNL!C1174)</f>
        <v>2027</v>
      </c>
      <c r="D1174" t="str">
        <f>IF(PNL!D1174="","",PNL!D1174)</f>
        <v>V03</v>
      </c>
      <c r="E1174">
        <f t="shared" si="0"/>
        <v>1</v>
      </c>
      <c r="F1174">
        <f>IF($A1174="","",IF($E1174=1,_xlfn.SUMIFS(Comptabilité!$F$1:$F$1446,Comptabilité!$A$1:$A$1446,$A1174,Comptabilité!$B$1:$B$1446,$B1174,Comptabilité!$C$1:$C$1446,"2026"),0))</f>
        <v>16125.25</v>
      </c>
      <c r="G1174">
        <f>IF($A1174="","",IF($D1174="V01",Cadrage!$C$23,IF($D1174="V02",Cadrage!$D$23,Cadrage!$E$23)))</f>
        <v>-0.05</v>
      </c>
      <c r="H1174">
        <f>IF($A1174="","",IF($D1174="V01",Cadrage!$C$24,IF($D1174="V02",Cadrage!$D$24,Cadrage!$E$24)))</f>
        <v>-0.05</v>
      </c>
      <c r="I1174">
        <f>IF($A1174="","",IF($D1174="V01",Cadrage!$C$34,IF($D1174="V02",Cadrage!$D$34,Cadrage!$E$34)))</f>
        <v>0.03</v>
      </c>
      <c r="J1174">
        <f>IF($A1174="","",IF($D1174="V01",Cadrage!$C$35,IF($D1174="V02",Cadrage!$D$35,Cadrage!$E$35)))</f>
        <v>0.03</v>
      </c>
      <c r="K1174">
        <f>IF($A1174="","",IF($D1174="V01",Cadrage!$C$36,IF($D1174="V02",Cadrage!$D$36,Cadrage!$E$36)))</f>
        <v>0.05</v>
      </c>
      <c r="L1174">
        <f>IF($A1174="","",IF($D1174="V01",Cadrage!$C$37,IF($D1174="V02",Cadrage!$D$37,Cadrage!$E$37)))</f>
        <v>0</v>
      </c>
      <c r="M1174">
        <f>IF($A1174="","",IF($D1174="V01",Cadrage!$C$38,IF($D1174="V02",Cadrage!$D$38,Cadrage!$E$38)))</f>
        <v>0.04</v>
      </c>
      <c r="N1174">
        <f t="shared" si="1"/>
        <v>0.980622079131853</v>
      </c>
      <c r="O1174">
        <f t="shared" si="2"/>
        <v>1.0712</v>
      </c>
      <c r="P1174">
        <f>IF($A1174="","",IF($E1174=1,$F1174*$O1174,PNL!G1174))</f>
        <v>17273.3678</v>
      </c>
      <c r="T1174">
        <f t="shared" si="3"/>
        <v>-17273.3678</v>
      </c>
    </row>
    <row r="1175" ht="14.25" customHeight="1">
      <c r="A1175" t="str">
        <f>IF(PNL!A1175="","",PNL!A1175)</f>
        <v>PIGIER_LYO</v>
      </c>
      <c r="B1175" t="str">
        <f>IF(PNL!B1175="","",PNL!B1175)</f>
        <v>615</v>
      </c>
      <c r="C1175" t="str">
        <f>IF(PNL!C1175="","",PNL!C1175)</f>
        <v>2027</v>
      </c>
      <c r="D1175" t="str">
        <f>IF(PNL!D1175="","",PNL!D1175)</f>
        <v>V03</v>
      </c>
      <c r="E1175">
        <f t="shared" si="0"/>
        <v>1</v>
      </c>
      <c r="F1175">
        <f>IF($A1175="","",IF($E1175=1,_xlfn.SUMIFS(Comptabilité!$F$1:$F$1446,Comptabilité!$A$1:$A$1446,$A1175,Comptabilité!$B$1:$B$1446,$B1175,Comptabilité!$C$1:$C$1446,"2026"),0))</f>
        <v>21291.98</v>
      </c>
      <c r="G1175">
        <f>IF($A1175="","",IF($D1175="V01",Cadrage!$C$23,IF($D1175="V02",Cadrage!$D$23,Cadrage!$E$23)))</f>
        <v>-0.05</v>
      </c>
      <c r="H1175">
        <f>IF($A1175="","",IF($D1175="V01",Cadrage!$C$24,IF($D1175="V02",Cadrage!$D$24,Cadrage!$E$24)))</f>
        <v>-0.05</v>
      </c>
      <c r="I1175">
        <f>IF($A1175="","",IF($D1175="V01",Cadrage!$C$34,IF($D1175="V02",Cadrage!$D$34,Cadrage!$E$34)))</f>
        <v>0.03</v>
      </c>
      <c r="J1175">
        <f>IF($A1175="","",IF($D1175="V01",Cadrage!$C$35,IF($D1175="V02",Cadrage!$D$35,Cadrage!$E$35)))</f>
        <v>0.03</v>
      </c>
      <c r="K1175">
        <f>IF($A1175="","",IF($D1175="V01",Cadrage!$C$36,IF($D1175="V02",Cadrage!$D$36,Cadrage!$E$36)))</f>
        <v>0.05</v>
      </c>
      <c r="L1175">
        <f>IF($A1175="","",IF($D1175="V01",Cadrage!$C$37,IF($D1175="V02",Cadrage!$D$37,Cadrage!$E$37)))</f>
        <v>0</v>
      </c>
      <c r="M1175">
        <f>IF($A1175="","",IF($D1175="V01",Cadrage!$C$38,IF($D1175="V02",Cadrage!$D$38,Cadrage!$E$38)))</f>
        <v>0.04</v>
      </c>
      <c r="N1175">
        <f t="shared" si="1"/>
        <v>0.980622079131853</v>
      </c>
      <c r="O1175">
        <f t="shared" si="2"/>
        <v>1.0712</v>
      </c>
      <c r="P1175">
        <f>IF($A1175="","",IF($E1175=1,$F1175*$O1175,PNL!G1175))</f>
        <v>22807.968976</v>
      </c>
      <c r="T1175">
        <f t="shared" si="3"/>
        <v>-22807.968976</v>
      </c>
    </row>
    <row r="1176" ht="14.25" customHeight="1">
      <c r="A1176" t="str">
        <f>IF(PNL!A1176="","",PNL!A1176)</f>
        <v>TUNON_LYO</v>
      </c>
      <c r="B1176" t="str">
        <f>IF(PNL!B1176="","",PNL!B1176)</f>
        <v>615</v>
      </c>
      <c r="C1176" t="str">
        <f>IF(PNL!C1176="","",PNL!C1176)</f>
        <v>2027</v>
      </c>
      <c r="D1176" t="str">
        <f>IF(PNL!D1176="","",PNL!D1176)</f>
        <v>V03</v>
      </c>
      <c r="E1176">
        <f t="shared" si="0"/>
        <v>1</v>
      </c>
      <c r="F1176">
        <f>IF($A1176="","",IF($E1176=1,_xlfn.SUMIFS(Comptabilité!$F$1:$F$1446,Comptabilité!$A$1:$A$1446,$A1176,Comptabilité!$B$1:$B$1446,$B1176,Comptabilité!$C$1:$C$1446,"2026"),0))</f>
        <v>16406.69</v>
      </c>
      <c r="G1176">
        <f>IF($A1176="","",IF($D1176="V01",Cadrage!$C$23,IF($D1176="V02",Cadrage!$D$23,Cadrage!$E$23)))</f>
        <v>-0.05</v>
      </c>
      <c r="H1176">
        <f>IF($A1176="","",IF($D1176="V01",Cadrage!$C$24,IF($D1176="V02",Cadrage!$D$24,Cadrage!$E$24)))</f>
        <v>-0.05</v>
      </c>
      <c r="I1176">
        <f>IF($A1176="","",IF($D1176="V01",Cadrage!$C$34,IF($D1176="V02",Cadrage!$D$34,Cadrage!$E$34)))</f>
        <v>0.03</v>
      </c>
      <c r="J1176">
        <f>IF($A1176="","",IF($D1176="V01",Cadrage!$C$35,IF($D1176="V02",Cadrage!$D$35,Cadrage!$E$35)))</f>
        <v>0.03</v>
      </c>
      <c r="K1176">
        <f>IF($A1176="","",IF($D1176="V01",Cadrage!$C$36,IF($D1176="V02",Cadrage!$D$36,Cadrage!$E$36)))</f>
        <v>0.05</v>
      </c>
      <c r="L1176">
        <f>IF($A1176="","",IF($D1176="V01",Cadrage!$C$37,IF($D1176="V02",Cadrage!$D$37,Cadrage!$E$37)))</f>
        <v>0</v>
      </c>
      <c r="M1176">
        <f>IF($A1176="","",IF($D1176="V01",Cadrage!$C$38,IF($D1176="V02",Cadrage!$D$38,Cadrage!$E$38)))</f>
        <v>0.04</v>
      </c>
      <c r="N1176">
        <f t="shared" si="1"/>
        <v>0.980622079131853</v>
      </c>
      <c r="O1176">
        <f t="shared" si="2"/>
        <v>1.0712</v>
      </c>
      <c r="P1176">
        <f>IF($A1176="","",IF($E1176=1,$F1176*$O1176,PNL!G1176))</f>
        <v>17574.846328</v>
      </c>
      <c r="T1176">
        <f t="shared" si="3"/>
        <v>-17574.846328</v>
      </c>
    </row>
    <row r="1177" ht="14.25" customHeight="1">
      <c r="A1177" t="str">
        <f>IF(PNL!A1177="","",PNL!A1177)</f>
        <v>TUNON_PAR</v>
      </c>
      <c r="B1177" t="str">
        <f>IF(PNL!B1177="","",PNL!B1177)</f>
        <v>615</v>
      </c>
      <c r="C1177" t="str">
        <f>IF(PNL!C1177="","",PNL!C1177)</f>
        <v>2027</v>
      </c>
      <c r="D1177" t="str">
        <f>IF(PNL!D1177="","",PNL!D1177)</f>
        <v>V03</v>
      </c>
      <c r="E1177">
        <f t="shared" si="0"/>
        <v>1</v>
      </c>
      <c r="F1177">
        <f>IF($A1177="","",IF($E1177=1,_xlfn.SUMIFS(Comptabilité!$F$1:$F$1446,Comptabilité!$A$1:$A$1446,$A1177,Comptabilité!$B$1:$B$1446,$B1177,Comptabilité!$C$1:$C$1446,"2026"),0))</f>
        <v>19708.99</v>
      </c>
      <c r="G1177">
        <f>IF($A1177="","",IF($D1177="V01",Cadrage!$C$23,IF($D1177="V02",Cadrage!$D$23,Cadrage!$E$23)))</f>
        <v>-0.05</v>
      </c>
      <c r="H1177">
        <f>IF($A1177="","",IF($D1177="V01",Cadrage!$C$24,IF($D1177="V02",Cadrage!$D$24,Cadrage!$E$24)))</f>
        <v>-0.05</v>
      </c>
      <c r="I1177">
        <f>IF($A1177="","",IF($D1177="V01",Cadrage!$C$34,IF($D1177="V02",Cadrage!$D$34,Cadrage!$E$34)))</f>
        <v>0.03</v>
      </c>
      <c r="J1177">
        <f>IF($A1177="","",IF($D1177="V01",Cadrage!$C$35,IF($D1177="V02",Cadrage!$D$35,Cadrage!$E$35)))</f>
        <v>0.03</v>
      </c>
      <c r="K1177">
        <f>IF($A1177="","",IF($D1177="V01",Cadrage!$C$36,IF($D1177="V02",Cadrage!$D$36,Cadrage!$E$36)))</f>
        <v>0.05</v>
      </c>
      <c r="L1177">
        <f>IF($A1177="","",IF($D1177="V01",Cadrage!$C$37,IF($D1177="V02",Cadrage!$D$37,Cadrage!$E$37)))</f>
        <v>0</v>
      </c>
      <c r="M1177">
        <f>IF($A1177="","",IF($D1177="V01",Cadrage!$C$38,IF($D1177="V02",Cadrage!$D$38,Cadrage!$E$38)))</f>
        <v>0.04</v>
      </c>
      <c r="N1177">
        <f t="shared" si="1"/>
        <v>0.980622079131853</v>
      </c>
      <c r="O1177">
        <f t="shared" si="2"/>
        <v>1.0712</v>
      </c>
      <c r="P1177">
        <f>IF($A1177="","",IF($E1177=1,$F1177*$O1177,PNL!G1177))</f>
        <v>21112.270088</v>
      </c>
      <c r="T1177">
        <f t="shared" si="3"/>
        <v>-21112.270088</v>
      </c>
    </row>
    <row r="1178" ht="14.25" customHeight="1">
      <c r="A1178" t="str">
        <f>IF(PNL!A1178="","",PNL!A1178)</f>
        <v>IPAC_MTP</v>
      </c>
      <c r="B1178" t="str">
        <f>IF(PNL!B1178="","",PNL!B1178)</f>
        <v>616</v>
      </c>
      <c r="C1178" t="str">
        <f>IF(PNL!C1178="","",PNL!C1178)</f>
        <v>2027</v>
      </c>
      <c r="D1178" t="str">
        <f>IF(PNL!D1178="","",PNL!D1178)</f>
        <v>V03</v>
      </c>
      <c r="E1178">
        <f t="shared" si="0"/>
        <v>1</v>
      </c>
      <c r="F1178">
        <f>IF($A1178="","",IF($E1178=1,_xlfn.SUMIFS(Comptabilité!$F$1:$F$1446,Comptabilité!$A$1:$A$1446,$A1178,Comptabilité!$B$1:$B$1446,$B1178,Comptabilité!$C$1:$C$1446,"2026"),0))</f>
        <v>6684.27</v>
      </c>
      <c r="G1178">
        <f>IF($A1178="","",IF($D1178="V01",Cadrage!$C$23,IF($D1178="V02",Cadrage!$D$23,Cadrage!$E$23)))</f>
        <v>-0.05</v>
      </c>
      <c r="H1178">
        <f>IF($A1178="","",IF($D1178="V01",Cadrage!$C$24,IF($D1178="V02",Cadrage!$D$24,Cadrage!$E$24)))</f>
        <v>-0.05</v>
      </c>
      <c r="I1178">
        <f>IF($A1178="","",IF($D1178="V01",Cadrage!$C$34,IF($D1178="V02",Cadrage!$D$34,Cadrage!$E$34)))</f>
        <v>0.03</v>
      </c>
      <c r="J1178">
        <f>IF($A1178="","",IF($D1178="V01",Cadrage!$C$35,IF($D1178="V02",Cadrage!$D$35,Cadrage!$E$35)))</f>
        <v>0.03</v>
      </c>
      <c r="K1178">
        <f>IF($A1178="","",IF($D1178="V01",Cadrage!$C$36,IF($D1178="V02",Cadrage!$D$36,Cadrage!$E$36)))</f>
        <v>0.05</v>
      </c>
      <c r="L1178">
        <f>IF($A1178="","",IF($D1178="V01",Cadrage!$C$37,IF($D1178="V02",Cadrage!$D$37,Cadrage!$E$37)))</f>
        <v>0</v>
      </c>
      <c r="M1178">
        <f>IF($A1178="","",IF($D1178="V01",Cadrage!$C$38,IF($D1178="V02",Cadrage!$D$38,Cadrage!$E$38)))</f>
        <v>0.04</v>
      </c>
      <c r="N1178">
        <f t="shared" si="1"/>
        <v>0.980622079131853</v>
      </c>
      <c r="O1178">
        <f t="shared" si="2"/>
        <v>1.0712</v>
      </c>
      <c r="P1178">
        <f>IF($A1178="","",IF($E1178=1,$F1178*$O1178,PNL!G1178))</f>
        <v>7160.190024</v>
      </c>
      <c r="T1178">
        <f t="shared" si="3"/>
        <v>-7160.190024</v>
      </c>
    </row>
    <row r="1179" ht="14.25" customHeight="1">
      <c r="A1179" t="str">
        <f>IF(PNL!A1179="","",PNL!A1179)</f>
        <v>IPAC_NAN</v>
      </c>
      <c r="B1179" t="str">
        <f>IF(PNL!B1179="","",PNL!B1179)</f>
        <v>616</v>
      </c>
      <c r="C1179" t="str">
        <f>IF(PNL!C1179="","",PNL!C1179)</f>
        <v>2027</v>
      </c>
      <c r="D1179" t="str">
        <f>IF(PNL!D1179="","",PNL!D1179)</f>
        <v>V03</v>
      </c>
      <c r="E1179">
        <f t="shared" si="0"/>
        <v>1</v>
      </c>
      <c r="F1179">
        <f>IF($A1179="","",IF($E1179=1,_xlfn.SUMIFS(Comptabilité!$F$1:$F$1446,Comptabilité!$A$1:$A$1446,$A1179,Comptabilité!$B$1:$B$1446,$B1179,Comptabilité!$C$1:$C$1446,"2026"),0))</f>
        <v>10237.3</v>
      </c>
      <c r="G1179">
        <f>IF($A1179="","",IF($D1179="V01",Cadrage!$C$23,IF($D1179="V02",Cadrage!$D$23,Cadrage!$E$23)))</f>
        <v>-0.05</v>
      </c>
      <c r="H1179">
        <f>IF($A1179="","",IF($D1179="V01",Cadrage!$C$24,IF($D1179="V02",Cadrage!$D$24,Cadrage!$E$24)))</f>
        <v>-0.05</v>
      </c>
      <c r="I1179">
        <f>IF($A1179="","",IF($D1179="V01",Cadrage!$C$34,IF($D1179="V02",Cadrage!$D$34,Cadrage!$E$34)))</f>
        <v>0.03</v>
      </c>
      <c r="J1179">
        <f>IF($A1179="","",IF($D1179="V01",Cadrage!$C$35,IF($D1179="V02",Cadrage!$D$35,Cadrage!$E$35)))</f>
        <v>0.03</v>
      </c>
      <c r="K1179">
        <f>IF($A1179="","",IF($D1179="V01",Cadrage!$C$36,IF($D1179="V02",Cadrage!$D$36,Cadrage!$E$36)))</f>
        <v>0.05</v>
      </c>
      <c r="L1179">
        <f>IF($A1179="","",IF($D1179="V01",Cadrage!$C$37,IF($D1179="V02",Cadrage!$D$37,Cadrage!$E$37)))</f>
        <v>0</v>
      </c>
      <c r="M1179">
        <f>IF($A1179="","",IF($D1179="V01",Cadrage!$C$38,IF($D1179="V02",Cadrage!$D$38,Cadrage!$E$38)))</f>
        <v>0.04</v>
      </c>
      <c r="N1179">
        <f t="shared" si="1"/>
        <v>0.980622079131853</v>
      </c>
      <c r="O1179">
        <f t="shared" si="2"/>
        <v>1.0712</v>
      </c>
      <c r="P1179">
        <f>IF($A1179="","",IF($E1179=1,$F1179*$O1179,PNL!G1179))</f>
        <v>10966.19576</v>
      </c>
      <c r="T1179">
        <f t="shared" si="3"/>
        <v>-10966.19576</v>
      </c>
    </row>
    <row r="1180" ht="14.25" customHeight="1">
      <c r="A1180" t="str">
        <f>IF(PNL!A1180="","",PNL!A1180)</f>
        <v>IPAC_REN</v>
      </c>
      <c r="B1180" t="str">
        <f>IF(PNL!B1180="","",PNL!B1180)</f>
        <v>616</v>
      </c>
      <c r="C1180" t="str">
        <f>IF(PNL!C1180="","",PNL!C1180)</f>
        <v>2027</v>
      </c>
      <c r="D1180" t="str">
        <f>IF(PNL!D1180="","",PNL!D1180)</f>
        <v>V03</v>
      </c>
      <c r="E1180">
        <f t="shared" si="0"/>
        <v>1</v>
      </c>
      <c r="F1180">
        <f>IF($A1180="","",IF($E1180=1,_xlfn.SUMIFS(Comptabilité!$F$1:$F$1446,Comptabilité!$A$1:$A$1446,$A1180,Comptabilité!$B$1:$B$1446,$B1180,Comptabilité!$C$1:$C$1446,"2026"),0))</f>
        <v>6688.26</v>
      </c>
      <c r="G1180">
        <f>IF($A1180="","",IF($D1180="V01",Cadrage!$C$23,IF($D1180="V02",Cadrage!$D$23,Cadrage!$E$23)))</f>
        <v>-0.05</v>
      </c>
      <c r="H1180">
        <f>IF($A1180="","",IF($D1180="V01",Cadrage!$C$24,IF($D1180="V02",Cadrage!$D$24,Cadrage!$E$24)))</f>
        <v>-0.05</v>
      </c>
      <c r="I1180">
        <f>IF($A1180="","",IF($D1180="V01",Cadrage!$C$34,IF($D1180="V02",Cadrage!$D$34,Cadrage!$E$34)))</f>
        <v>0.03</v>
      </c>
      <c r="J1180">
        <f>IF($A1180="","",IF($D1180="V01",Cadrage!$C$35,IF($D1180="V02",Cadrage!$D$35,Cadrage!$E$35)))</f>
        <v>0.03</v>
      </c>
      <c r="K1180">
        <f>IF($A1180="","",IF($D1180="V01",Cadrage!$C$36,IF($D1180="V02",Cadrage!$D$36,Cadrage!$E$36)))</f>
        <v>0.05</v>
      </c>
      <c r="L1180">
        <f>IF($A1180="","",IF($D1180="V01",Cadrage!$C$37,IF($D1180="V02",Cadrage!$D$37,Cadrage!$E$37)))</f>
        <v>0</v>
      </c>
      <c r="M1180">
        <f>IF($A1180="","",IF($D1180="V01",Cadrage!$C$38,IF($D1180="V02",Cadrage!$D$38,Cadrage!$E$38)))</f>
        <v>0.04</v>
      </c>
      <c r="N1180">
        <f t="shared" si="1"/>
        <v>0.980622079131853</v>
      </c>
      <c r="O1180">
        <f t="shared" si="2"/>
        <v>1.0712</v>
      </c>
      <c r="P1180">
        <f>IF($A1180="","",IF($E1180=1,$F1180*$O1180,PNL!G1180))</f>
        <v>7164.464112</v>
      </c>
      <c r="T1180">
        <f t="shared" si="3"/>
        <v>-7164.464112</v>
      </c>
    </row>
    <row r="1181" ht="14.25" customHeight="1">
      <c r="A1181" t="str">
        <f>IF(PNL!A1181="","",PNL!A1181)</f>
        <v>ISCOM_LIL</v>
      </c>
      <c r="B1181" t="str">
        <f>IF(PNL!B1181="","",PNL!B1181)</f>
        <v>616</v>
      </c>
      <c r="C1181" t="str">
        <f>IF(PNL!C1181="","",PNL!C1181)</f>
        <v>2027</v>
      </c>
      <c r="D1181" t="str">
        <f>IF(PNL!D1181="","",PNL!D1181)</f>
        <v>V03</v>
      </c>
      <c r="E1181">
        <f t="shared" si="0"/>
        <v>1</v>
      </c>
      <c r="F1181">
        <f>IF($A1181="","",IF($E1181=1,_xlfn.SUMIFS(Comptabilité!$F$1:$F$1446,Comptabilité!$A$1:$A$1446,$A1181,Comptabilité!$B$1:$B$1446,$B1181,Comptabilité!$C$1:$C$1446,"2026"),0))</f>
        <v>17496.6</v>
      </c>
      <c r="G1181">
        <f>IF($A1181="","",IF($D1181="V01",Cadrage!$C$23,IF($D1181="V02",Cadrage!$D$23,Cadrage!$E$23)))</f>
        <v>-0.05</v>
      </c>
      <c r="H1181">
        <f>IF($A1181="","",IF($D1181="V01",Cadrage!$C$24,IF($D1181="V02",Cadrage!$D$24,Cadrage!$E$24)))</f>
        <v>-0.05</v>
      </c>
      <c r="I1181">
        <f>IF($A1181="","",IF($D1181="V01",Cadrage!$C$34,IF($D1181="V02",Cadrage!$D$34,Cadrage!$E$34)))</f>
        <v>0.03</v>
      </c>
      <c r="J1181">
        <f>IF($A1181="","",IF($D1181="V01",Cadrage!$C$35,IF($D1181="V02",Cadrage!$D$35,Cadrage!$E$35)))</f>
        <v>0.03</v>
      </c>
      <c r="K1181">
        <f>IF($A1181="","",IF($D1181="V01",Cadrage!$C$36,IF($D1181="V02",Cadrage!$D$36,Cadrage!$E$36)))</f>
        <v>0.05</v>
      </c>
      <c r="L1181">
        <f>IF($A1181="","",IF($D1181="V01",Cadrage!$C$37,IF($D1181="V02",Cadrage!$D$37,Cadrage!$E$37)))</f>
        <v>0</v>
      </c>
      <c r="M1181">
        <f>IF($A1181="","",IF($D1181="V01",Cadrage!$C$38,IF($D1181="V02",Cadrage!$D$38,Cadrage!$E$38)))</f>
        <v>0.04</v>
      </c>
      <c r="N1181">
        <f t="shared" si="1"/>
        <v>0.980622079131853</v>
      </c>
      <c r="O1181">
        <f t="shared" si="2"/>
        <v>1.0712</v>
      </c>
      <c r="P1181">
        <f>IF($A1181="","",IF($E1181=1,$F1181*$O1181,PNL!G1181))</f>
        <v>18742.35792</v>
      </c>
      <c r="T1181">
        <f t="shared" si="3"/>
        <v>-18742.35792</v>
      </c>
    </row>
    <row r="1182" ht="14.25" customHeight="1">
      <c r="A1182" t="str">
        <f>IF(PNL!A1182="","",PNL!A1182)</f>
        <v>ISCOM_PAR</v>
      </c>
      <c r="B1182" t="str">
        <f>IF(PNL!B1182="","",PNL!B1182)</f>
        <v>616</v>
      </c>
      <c r="C1182" t="str">
        <f>IF(PNL!C1182="","",PNL!C1182)</f>
        <v>2027</v>
      </c>
      <c r="D1182" t="str">
        <f>IF(PNL!D1182="","",PNL!D1182)</f>
        <v>V03</v>
      </c>
      <c r="E1182">
        <f t="shared" si="0"/>
        <v>1</v>
      </c>
      <c r="F1182">
        <f>IF($A1182="","",IF($E1182=1,_xlfn.SUMIFS(Comptabilité!$F$1:$F$1446,Comptabilité!$A$1:$A$1446,$A1182,Comptabilité!$B$1:$B$1446,$B1182,Comptabilité!$C$1:$C$1446,"2026"),0))</f>
        <v>29012.78</v>
      </c>
      <c r="G1182">
        <f>IF($A1182="","",IF($D1182="V01",Cadrage!$C$23,IF($D1182="V02",Cadrage!$D$23,Cadrage!$E$23)))</f>
        <v>-0.05</v>
      </c>
      <c r="H1182">
        <f>IF($A1182="","",IF($D1182="V01",Cadrage!$C$24,IF($D1182="V02",Cadrage!$D$24,Cadrage!$E$24)))</f>
        <v>-0.05</v>
      </c>
      <c r="I1182">
        <f>IF($A1182="","",IF($D1182="V01",Cadrage!$C$34,IF($D1182="V02",Cadrage!$D$34,Cadrage!$E$34)))</f>
        <v>0.03</v>
      </c>
      <c r="J1182">
        <f>IF($A1182="","",IF($D1182="V01",Cadrage!$C$35,IF($D1182="V02",Cadrage!$D$35,Cadrage!$E$35)))</f>
        <v>0.03</v>
      </c>
      <c r="K1182">
        <f>IF($A1182="","",IF($D1182="V01",Cadrage!$C$36,IF($D1182="V02",Cadrage!$D$36,Cadrage!$E$36)))</f>
        <v>0.05</v>
      </c>
      <c r="L1182">
        <f>IF($A1182="","",IF($D1182="V01",Cadrage!$C$37,IF($D1182="V02",Cadrage!$D$37,Cadrage!$E$37)))</f>
        <v>0</v>
      </c>
      <c r="M1182">
        <f>IF($A1182="","",IF($D1182="V01",Cadrage!$C$38,IF($D1182="V02",Cadrage!$D$38,Cadrage!$E$38)))</f>
        <v>0.04</v>
      </c>
      <c r="N1182">
        <f t="shared" si="1"/>
        <v>0.980622079131853</v>
      </c>
      <c r="O1182">
        <f t="shared" si="2"/>
        <v>1.0712</v>
      </c>
      <c r="P1182">
        <f>IF($A1182="","",IF($E1182=1,$F1182*$O1182,PNL!G1182))</f>
        <v>31078.489936</v>
      </c>
      <c r="T1182">
        <f t="shared" si="3"/>
        <v>-31078.489936</v>
      </c>
    </row>
    <row r="1183" ht="14.25" customHeight="1">
      <c r="A1183" t="str">
        <f>IF(PNL!A1183="","",PNL!A1183)</f>
        <v>ISCOM_TLS</v>
      </c>
      <c r="B1183" t="str">
        <f>IF(PNL!B1183="","",PNL!B1183)</f>
        <v>616</v>
      </c>
      <c r="C1183" t="str">
        <f>IF(PNL!C1183="","",PNL!C1183)</f>
        <v>2027</v>
      </c>
      <c r="D1183" t="str">
        <f>IF(PNL!D1183="","",PNL!D1183)</f>
        <v>V03</v>
      </c>
      <c r="E1183">
        <f t="shared" si="0"/>
        <v>1</v>
      </c>
      <c r="F1183">
        <f>IF($A1183="","",IF($E1183=1,_xlfn.SUMIFS(Comptabilité!$F$1:$F$1446,Comptabilité!$A$1:$A$1446,$A1183,Comptabilité!$B$1:$B$1446,$B1183,Comptabilité!$C$1:$C$1446,"2026"),0))</f>
        <v>15575.06</v>
      </c>
      <c r="G1183">
        <f>IF($A1183="","",IF($D1183="V01",Cadrage!$C$23,IF($D1183="V02",Cadrage!$D$23,Cadrage!$E$23)))</f>
        <v>-0.05</v>
      </c>
      <c r="H1183">
        <f>IF($A1183="","",IF($D1183="V01",Cadrage!$C$24,IF($D1183="V02",Cadrage!$D$24,Cadrage!$E$24)))</f>
        <v>-0.05</v>
      </c>
      <c r="I1183">
        <f>IF($A1183="","",IF($D1183="V01",Cadrage!$C$34,IF($D1183="V02",Cadrage!$D$34,Cadrage!$E$34)))</f>
        <v>0.03</v>
      </c>
      <c r="J1183">
        <f>IF($A1183="","",IF($D1183="V01",Cadrage!$C$35,IF($D1183="V02",Cadrage!$D$35,Cadrage!$E$35)))</f>
        <v>0.03</v>
      </c>
      <c r="K1183">
        <f>IF($A1183="","",IF($D1183="V01",Cadrage!$C$36,IF($D1183="V02",Cadrage!$D$36,Cadrage!$E$36)))</f>
        <v>0.05</v>
      </c>
      <c r="L1183">
        <f>IF($A1183="","",IF($D1183="V01",Cadrage!$C$37,IF($D1183="V02",Cadrage!$D$37,Cadrage!$E$37)))</f>
        <v>0</v>
      </c>
      <c r="M1183">
        <f>IF($A1183="","",IF($D1183="V01",Cadrage!$C$38,IF($D1183="V02",Cadrage!$D$38,Cadrage!$E$38)))</f>
        <v>0.04</v>
      </c>
      <c r="N1183">
        <f t="shared" si="1"/>
        <v>0.980622079131853</v>
      </c>
      <c r="O1183">
        <f t="shared" si="2"/>
        <v>1.0712</v>
      </c>
      <c r="P1183">
        <f>IF($A1183="","",IF($E1183=1,$F1183*$O1183,PNL!G1183))</f>
        <v>16684.004272</v>
      </c>
      <c r="T1183">
        <f t="shared" si="3"/>
        <v>-16684.004272</v>
      </c>
    </row>
    <row r="1184" ht="14.25" customHeight="1">
      <c r="A1184" t="str">
        <f>IF(PNL!A1184="","",PNL!A1184)</f>
        <v>MBWAY_BOR</v>
      </c>
      <c r="B1184" t="str">
        <f>IF(PNL!B1184="","",PNL!B1184)</f>
        <v>616</v>
      </c>
      <c r="C1184" t="str">
        <f>IF(PNL!C1184="","",PNL!C1184)</f>
        <v>2027</v>
      </c>
      <c r="D1184" t="str">
        <f>IF(PNL!D1184="","",PNL!D1184)</f>
        <v>V03</v>
      </c>
      <c r="E1184">
        <f t="shared" si="0"/>
        <v>1</v>
      </c>
      <c r="F1184">
        <f>IF($A1184="","",IF($E1184=1,_xlfn.SUMIFS(Comptabilité!$F$1:$F$1446,Comptabilité!$A$1:$A$1446,$A1184,Comptabilité!$B$1:$B$1446,$B1184,Comptabilité!$C$1:$C$1446,"2026"),0))</f>
        <v>17583.04</v>
      </c>
      <c r="G1184">
        <f>IF($A1184="","",IF($D1184="V01",Cadrage!$C$23,IF($D1184="V02",Cadrage!$D$23,Cadrage!$E$23)))</f>
        <v>-0.05</v>
      </c>
      <c r="H1184">
        <f>IF($A1184="","",IF($D1184="V01",Cadrage!$C$24,IF($D1184="V02",Cadrage!$D$24,Cadrage!$E$24)))</f>
        <v>-0.05</v>
      </c>
      <c r="I1184">
        <f>IF($A1184="","",IF($D1184="V01",Cadrage!$C$34,IF($D1184="V02",Cadrage!$D$34,Cadrage!$E$34)))</f>
        <v>0.03</v>
      </c>
      <c r="J1184">
        <f>IF($A1184="","",IF($D1184="V01",Cadrage!$C$35,IF($D1184="V02",Cadrage!$D$35,Cadrage!$E$35)))</f>
        <v>0.03</v>
      </c>
      <c r="K1184">
        <f>IF($A1184="","",IF($D1184="V01",Cadrage!$C$36,IF($D1184="V02",Cadrage!$D$36,Cadrage!$E$36)))</f>
        <v>0.05</v>
      </c>
      <c r="L1184">
        <f>IF($A1184="","",IF($D1184="V01",Cadrage!$C$37,IF($D1184="V02",Cadrage!$D$37,Cadrage!$E$37)))</f>
        <v>0</v>
      </c>
      <c r="M1184">
        <f>IF($A1184="","",IF($D1184="V01",Cadrage!$C$38,IF($D1184="V02",Cadrage!$D$38,Cadrage!$E$38)))</f>
        <v>0.04</v>
      </c>
      <c r="N1184">
        <f t="shared" si="1"/>
        <v>0.980622079131853</v>
      </c>
      <c r="O1184">
        <f t="shared" si="2"/>
        <v>1.0712</v>
      </c>
      <c r="P1184">
        <f>IF($A1184="","",IF($E1184=1,$F1184*$O1184,PNL!G1184))</f>
        <v>18834.952448</v>
      </c>
      <c r="T1184">
        <f t="shared" si="3"/>
        <v>-18834.952448</v>
      </c>
    </row>
    <row r="1185" ht="14.25" customHeight="1">
      <c r="A1185" t="str">
        <f>IF(PNL!A1185="","",PNL!A1185)</f>
        <v>MBWAY_LYO</v>
      </c>
      <c r="B1185" t="str">
        <f>IF(PNL!B1185="","",PNL!B1185)</f>
        <v>616</v>
      </c>
      <c r="C1185" t="str">
        <f>IF(PNL!C1185="","",PNL!C1185)</f>
        <v>2027</v>
      </c>
      <c r="D1185" t="str">
        <f>IF(PNL!D1185="","",PNL!D1185)</f>
        <v>V03</v>
      </c>
      <c r="E1185">
        <f t="shared" si="0"/>
        <v>1</v>
      </c>
      <c r="F1185">
        <f>IF($A1185="","",IF($E1185=1,_xlfn.SUMIFS(Comptabilité!$F$1:$F$1446,Comptabilité!$A$1:$A$1446,$A1185,Comptabilité!$B$1:$B$1446,$B1185,Comptabilité!$C$1:$C$1446,"2026"),0))</f>
        <v>25123.58</v>
      </c>
      <c r="G1185">
        <f>IF($A1185="","",IF($D1185="V01",Cadrage!$C$23,IF($D1185="V02",Cadrage!$D$23,Cadrage!$E$23)))</f>
        <v>-0.05</v>
      </c>
      <c r="H1185">
        <f>IF($A1185="","",IF($D1185="V01",Cadrage!$C$24,IF($D1185="V02",Cadrage!$D$24,Cadrage!$E$24)))</f>
        <v>-0.05</v>
      </c>
      <c r="I1185">
        <f>IF($A1185="","",IF($D1185="V01",Cadrage!$C$34,IF($D1185="V02",Cadrage!$D$34,Cadrage!$E$34)))</f>
        <v>0.03</v>
      </c>
      <c r="J1185">
        <f>IF($A1185="","",IF($D1185="V01",Cadrage!$C$35,IF($D1185="V02",Cadrage!$D$35,Cadrage!$E$35)))</f>
        <v>0.03</v>
      </c>
      <c r="K1185">
        <f>IF($A1185="","",IF($D1185="V01",Cadrage!$C$36,IF($D1185="V02",Cadrage!$D$36,Cadrage!$E$36)))</f>
        <v>0.05</v>
      </c>
      <c r="L1185">
        <f>IF($A1185="","",IF($D1185="V01",Cadrage!$C$37,IF($D1185="V02",Cadrage!$D$37,Cadrage!$E$37)))</f>
        <v>0</v>
      </c>
      <c r="M1185">
        <f>IF($A1185="","",IF($D1185="V01",Cadrage!$C$38,IF($D1185="V02",Cadrage!$D$38,Cadrage!$E$38)))</f>
        <v>0.04</v>
      </c>
      <c r="N1185">
        <f t="shared" si="1"/>
        <v>0.980622079131853</v>
      </c>
      <c r="O1185">
        <f t="shared" si="2"/>
        <v>1.0712</v>
      </c>
      <c r="P1185">
        <f>IF($A1185="","",IF($E1185=1,$F1185*$O1185,PNL!G1185))</f>
        <v>26912.378896</v>
      </c>
      <c r="T1185">
        <f t="shared" si="3"/>
        <v>-26912.378896</v>
      </c>
    </row>
    <row r="1186" ht="14.25" customHeight="1">
      <c r="A1186" t="str">
        <f>IF(PNL!A1186="","",PNL!A1186)</f>
        <v>MBWAY_NAN</v>
      </c>
      <c r="B1186" t="str">
        <f>IF(PNL!B1186="","",PNL!B1186)</f>
        <v>616</v>
      </c>
      <c r="C1186" t="str">
        <f>IF(PNL!C1186="","",PNL!C1186)</f>
        <v>2027</v>
      </c>
      <c r="D1186" t="str">
        <f>IF(PNL!D1186="","",PNL!D1186)</f>
        <v>V03</v>
      </c>
      <c r="E1186">
        <f t="shared" si="0"/>
        <v>1</v>
      </c>
      <c r="F1186">
        <f>IF($A1186="","",IF($E1186=1,_xlfn.SUMIFS(Comptabilité!$F$1:$F$1446,Comptabilité!$A$1:$A$1446,$A1186,Comptabilité!$B$1:$B$1446,$B1186,Comptabilité!$C$1:$C$1446,"2026"),0))</f>
        <v>21245.01</v>
      </c>
      <c r="G1186">
        <f>IF($A1186="","",IF($D1186="V01",Cadrage!$C$23,IF($D1186="V02",Cadrage!$D$23,Cadrage!$E$23)))</f>
        <v>-0.05</v>
      </c>
      <c r="H1186">
        <f>IF($A1186="","",IF($D1186="V01",Cadrage!$C$24,IF($D1186="V02",Cadrage!$D$24,Cadrage!$E$24)))</f>
        <v>-0.05</v>
      </c>
      <c r="I1186">
        <f>IF($A1186="","",IF($D1186="V01",Cadrage!$C$34,IF($D1186="V02",Cadrage!$D$34,Cadrage!$E$34)))</f>
        <v>0.03</v>
      </c>
      <c r="J1186">
        <f>IF($A1186="","",IF($D1186="V01",Cadrage!$C$35,IF($D1186="V02",Cadrage!$D$35,Cadrage!$E$35)))</f>
        <v>0.03</v>
      </c>
      <c r="K1186">
        <f>IF($A1186="","",IF($D1186="V01",Cadrage!$C$36,IF($D1186="V02",Cadrage!$D$36,Cadrage!$E$36)))</f>
        <v>0.05</v>
      </c>
      <c r="L1186">
        <f>IF($A1186="","",IF($D1186="V01",Cadrage!$C$37,IF($D1186="V02",Cadrage!$D$37,Cadrage!$E$37)))</f>
        <v>0</v>
      </c>
      <c r="M1186">
        <f>IF($A1186="","",IF($D1186="V01",Cadrage!$C$38,IF($D1186="V02",Cadrage!$D$38,Cadrage!$E$38)))</f>
        <v>0.04</v>
      </c>
      <c r="N1186">
        <f t="shared" si="1"/>
        <v>0.980622079131853</v>
      </c>
      <c r="O1186">
        <f t="shared" si="2"/>
        <v>1.0712</v>
      </c>
      <c r="P1186">
        <f>IF($A1186="","",IF($E1186=1,$F1186*$O1186,PNL!G1186))</f>
        <v>22757.654712</v>
      </c>
      <c r="T1186">
        <f t="shared" si="3"/>
        <v>-22757.654712</v>
      </c>
    </row>
    <row r="1187" ht="14.25" customHeight="1">
      <c r="A1187" t="str">
        <f>IF(PNL!A1187="","",PNL!A1187)</f>
        <v>MBWAY_PAR</v>
      </c>
      <c r="B1187" t="str">
        <f>IF(PNL!B1187="","",PNL!B1187)</f>
        <v>616</v>
      </c>
      <c r="C1187" t="str">
        <f>IF(PNL!C1187="","",PNL!C1187)</f>
        <v>2027</v>
      </c>
      <c r="D1187" t="str">
        <f>IF(PNL!D1187="","",PNL!D1187)</f>
        <v>V03</v>
      </c>
      <c r="E1187">
        <f t="shared" si="0"/>
        <v>1</v>
      </c>
      <c r="F1187">
        <f>IF($A1187="","",IF($E1187=1,_xlfn.SUMIFS(Comptabilité!$F$1:$F$1446,Comptabilité!$A$1:$A$1446,$A1187,Comptabilité!$B$1:$B$1446,$B1187,Comptabilité!$C$1:$C$1446,"2026"),0))</f>
        <v>32205.92</v>
      </c>
      <c r="G1187">
        <f>IF($A1187="","",IF($D1187="V01",Cadrage!$C$23,IF($D1187="V02",Cadrage!$D$23,Cadrage!$E$23)))</f>
        <v>-0.05</v>
      </c>
      <c r="H1187">
        <f>IF($A1187="","",IF($D1187="V01",Cadrage!$C$24,IF($D1187="V02",Cadrage!$D$24,Cadrage!$E$24)))</f>
        <v>-0.05</v>
      </c>
      <c r="I1187">
        <f>IF($A1187="","",IF($D1187="V01",Cadrage!$C$34,IF($D1187="V02",Cadrage!$D$34,Cadrage!$E$34)))</f>
        <v>0.03</v>
      </c>
      <c r="J1187">
        <f>IF($A1187="","",IF($D1187="V01",Cadrage!$C$35,IF($D1187="V02",Cadrage!$D$35,Cadrage!$E$35)))</f>
        <v>0.03</v>
      </c>
      <c r="K1187">
        <f>IF($A1187="","",IF($D1187="V01",Cadrage!$C$36,IF($D1187="V02",Cadrage!$D$36,Cadrage!$E$36)))</f>
        <v>0.05</v>
      </c>
      <c r="L1187">
        <f>IF($A1187="","",IF($D1187="V01",Cadrage!$C$37,IF($D1187="V02",Cadrage!$D$37,Cadrage!$E$37)))</f>
        <v>0</v>
      </c>
      <c r="M1187">
        <f>IF($A1187="","",IF($D1187="V01",Cadrage!$C$38,IF($D1187="V02",Cadrage!$D$38,Cadrage!$E$38)))</f>
        <v>0.04</v>
      </c>
      <c r="N1187">
        <f t="shared" si="1"/>
        <v>0.980622079131853</v>
      </c>
      <c r="O1187">
        <f t="shared" si="2"/>
        <v>1.0712</v>
      </c>
      <c r="P1187">
        <f>IF($A1187="","",IF($E1187=1,$F1187*$O1187,PNL!G1187))</f>
        <v>34498.981504</v>
      </c>
      <c r="T1187">
        <f t="shared" si="3"/>
        <v>-34498.981504</v>
      </c>
    </row>
    <row r="1188" ht="14.25" customHeight="1">
      <c r="A1188" t="str">
        <f>IF(PNL!A1188="","",PNL!A1188)</f>
        <v>PIGIER_BOR</v>
      </c>
      <c r="B1188" t="str">
        <f>IF(PNL!B1188="","",PNL!B1188)</f>
        <v>616</v>
      </c>
      <c r="C1188" t="str">
        <f>IF(PNL!C1188="","",PNL!C1188)</f>
        <v>2027</v>
      </c>
      <c r="D1188" t="str">
        <f>IF(PNL!D1188="","",PNL!D1188)</f>
        <v>V03</v>
      </c>
      <c r="E1188">
        <f t="shared" si="0"/>
        <v>1</v>
      </c>
      <c r="F1188">
        <f>IF($A1188="","",IF($E1188=1,_xlfn.SUMIFS(Comptabilité!$F$1:$F$1446,Comptabilité!$A$1:$A$1446,$A1188,Comptabilité!$B$1:$B$1446,$B1188,Comptabilité!$C$1:$C$1446,"2026"),0))</f>
        <v>8171.39</v>
      </c>
      <c r="G1188">
        <f>IF($A1188="","",IF($D1188="V01",Cadrage!$C$23,IF($D1188="V02",Cadrage!$D$23,Cadrage!$E$23)))</f>
        <v>-0.05</v>
      </c>
      <c r="H1188">
        <f>IF($A1188="","",IF($D1188="V01",Cadrage!$C$24,IF($D1188="V02",Cadrage!$D$24,Cadrage!$E$24)))</f>
        <v>-0.05</v>
      </c>
      <c r="I1188">
        <f>IF($A1188="","",IF($D1188="V01",Cadrage!$C$34,IF($D1188="V02",Cadrage!$D$34,Cadrage!$E$34)))</f>
        <v>0.03</v>
      </c>
      <c r="J1188">
        <f>IF($A1188="","",IF($D1188="V01",Cadrage!$C$35,IF($D1188="V02",Cadrage!$D$35,Cadrage!$E$35)))</f>
        <v>0.03</v>
      </c>
      <c r="K1188">
        <f>IF($A1188="","",IF($D1188="V01",Cadrage!$C$36,IF($D1188="V02",Cadrage!$D$36,Cadrage!$E$36)))</f>
        <v>0.05</v>
      </c>
      <c r="L1188">
        <f>IF($A1188="","",IF($D1188="V01",Cadrage!$C$37,IF($D1188="V02",Cadrage!$D$37,Cadrage!$E$37)))</f>
        <v>0</v>
      </c>
      <c r="M1188">
        <f>IF($A1188="","",IF($D1188="V01",Cadrage!$C$38,IF($D1188="V02",Cadrage!$D$38,Cadrage!$E$38)))</f>
        <v>0.04</v>
      </c>
      <c r="N1188">
        <f t="shared" si="1"/>
        <v>0.980622079131853</v>
      </c>
      <c r="O1188">
        <f t="shared" si="2"/>
        <v>1.0712</v>
      </c>
      <c r="P1188">
        <f>IF($A1188="","",IF($E1188=1,$F1188*$O1188,PNL!G1188))</f>
        <v>8753.192968</v>
      </c>
      <c r="T1188">
        <f t="shared" si="3"/>
        <v>-8753.192968</v>
      </c>
    </row>
    <row r="1189" ht="14.25" customHeight="1">
      <c r="A1189" t="str">
        <f>IF(PNL!A1189="","",PNL!A1189)</f>
        <v>PIGIER_LYO</v>
      </c>
      <c r="B1189" t="str">
        <f>IF(PNL!B1189="","",PNL!B1189)</f>
        <v>616</v>
      </c>
      <c r="C1189" t="str">
        <f>IF(PNL!C1189="","",PNL!C1189)</f>
        <v>2027</v>
      </c>
      <c r="D1189" t="str">
        <f>IF(PNL!D1189="","",PNL!D1189)</f>
        <v>V03</v>
      </c>
      <c r="E1189">
        <f t="shared" si="0"/>
        <v>1</v>
      </c>
      <c r="F1189">
        <f>IF($A1189="","",IF($E1189=1,_xlfn.SUMIFS(Comptabilité!$F$1:$F$1446,Comptabilité!$A$1:$A$1446,$A1189,Comptabilité!$B$1:$B$1446,$B1189,Comptabilité!$C$1:$C$1446,"2026"),0))</f>
        <v>13828.43</v>
      </c>
      <c r="G1189">
        <f>IF($A1189="","",IF($D1189="V01",Cadrage!$C$23,IF($D1189="V02",Cadrage!$D$23,Cadrage!$E$23)))</f>
        <v>-0.05</v>
      </c>
      <c r="H1189">
        <f>IF($A1189="","",IF($D1189="V01",Cadrage!$C$24,IF($D1189="V02",Cadrage!$D$24,Cadrage!$E$24)))</f>
        <v>-0.05</v>
      </c>
      <c r="I1189">
        <f>IF($A1189="","",IF($D1189="V01",Cadrage!$C$34,IF($D1189="V02",Cadrage!$D$34,Cadrage!$E$34)))</f>
        <v>0.03</v>
      </c>
      <c r="J1189">
        <f>IF($A1189="","",IF($D1189="V01",Cadrage!$C$35,IF($D1189="V02",Cadrage!$D$35,Cadrage!$E$35)))</f>
        <v>0.03</v>
      </c>
      <c r="K1189">
        <f>IF($A1189="","",IF($D1189="V01",Cadrage!$C$36,IF($D1189="V02",Cadrage!$D$36,Cadrage!$E$36)))</f>
        <v>0.05</v>
      </c>
      <c r="L1189">
        <f>IF($A1189="","",IF($D1189="V01",Cadrage!$C$37,IF($D1189="V02",Cadrage!$D$37,Cadrage!$E$37)))</f>
        <v>0</v>
      </c>
      <c r="M1189">
        <f>IF($A1189="","",IF($D1189="V01",Cadrage!$C$38,IF($D1189="V02",Cadrage!$D$38,Cadrage!$E$38)))</f>
        <v>0.04</v>
      </c>
      <c r="N1189">
        <f t="shared" si="1"/>
        <v>0.980622079131853</v>
      </c>
      <c r="O1189">
        <f t="shared" si="2"/>
        <v>1.0712</v>
      </c>
      <c r="P1189">
        <f>IF($A1189="","",IF($E1189=1,$F1189*$O1189,PNL!G1189))</f>
        <v>14813.014216</v>
      </c>
      <c r="T1189">
        <f t="shared" si="3"/>
        <v>-14813.014216</v>
      </c>
    </row>
    <row r="1190" ht="14.25" customHeight="1">
      <c r="A1190" t="str">
        <f>IF(PNL!A1190="","",PNL!A1190)</f>
        <v>TUNON_LYO</v>
      </c>
      <c r="B1190" t="str">
        <f>IF(PNL!B1190="","",PNL!B1190)</f>
        <v>616</v>
      </c>
      <c r="C1190" t="str">
        <f>IF(PNL!C1190="","",PNL!C1190)</f>
        <v>2027</v>
      </c>
      <c r="D1190" t="str">
        <f>IF(PNL!D1190="","",PNL!D1190)</f>
        <v>V03</v>
      </c>
      <c r="E1190">
        <f t="shared" si="0"/>
        <v>1</v>
      </c>
      <c r="F1190">
        <f>IF($A1190="","",IF($E1190=1,_xlfn.SUMIFS(Comptabilité!$F$1:$F$1446,Comptabilité!$A$1:$A$1446,$A1190,Comptabilité!$B$1:$B$1446,$B1190,Comptabilité!$C$1:$C$1446,"2026"),0))</f>
        <v>9133.84</v>
      </c>
      <c r="G1190">
        <f>IF($A1190="","",IF($D1190="V01",Cadrage!$C$23,IF($D1190="V02",Cadrage!$D$23,Cadrage!$E$23)))</f>
        <v>-0.05</v>
      </c>
      <c r="H1190">
        <f>IF($A1190="","",IF($D1190="V01",Cadrage!$C$24,IF($D1190="V02",Cadrage!$D$24,Cadrage!$E$24)))</f>
        <v>-0.05</v>
      </c>
      <c r="I1190">
        <f>IF($A1190="","",IF($D1190="V01",Cadrage!$C$34,IF($D1190="V02",Cadrage!$D$34,Cadrage!$E$34)))</f>
        <v>0.03</v>
      </c>
      <c r="J1190">
        <f>IF($A1190="","",IF($D1190="V01",Cadrage!$C$35,IF($D1190="V02",Cadrage!$D$35,Cadrage!$E$35)))</f>
        <v>0.03</v>
      </c>
      <c r="K1190">
        <f>IF($A1190="","",IF($D1190="V01",Cadrage!$C$36,IF($D1190="V02",Cadrage!$D$36,Cadrage!$E$36)))</f>
        <v>0.05</v>
      </c>
      <c r="L1190">
        <f>IF($A1190="","",IF($D1190="V01",Cadrage!$C$37,IF($D1190="V02",Cadrage!$D$37,Cadrage!$E$37)))</f>
        <v>0</v>
      </c>
      <c r="M1190">
        <f>IF($A1190="","",IF($D1190="V01",Cadrage!$C$38,IF($D1190="V02",Cadrage!$D$38,Cadrage!$E$38)))</f>
        <v>0.04</v>
      </c>
      <c r="N1190">
        <f t="shared" si="1"/>
        <v>0.980622079131853</v>
      </c>
      <c r="O1190">
        <f t="shared" si="2"/>
        <v>1.0712</v>
      </c>
      <c r="P1190">
        <f>IF($A1190="","",IF($E1190=1,$F1190*$O1190,PNL!G1190))</f>
        <v>9784.169408</v>
      </c>
      <c r="T1190">
        <f t="shared" si="3"/>
        <v>-9784.169408</v>
      </c>
    </row>
    <row r="1191" ht="14.25" customHeight="1">
      <c r="A1191" t="str">
        <f>IF(PNL!A1191="","",PNL!A1191)</f>
        <v>TUNON_PAR</v>
      </c>
      <c r="B1191" t="str">
        <f>IF(PNL!B1191="","",PNL!B1191)</f>
        <v>616</v>
      </c>
      <c r="C1191" t="str">
        <f>IF(PNL!C1191="","",PNL!C1191)</f>
        <v>2027</v>
      </c>
      <c r="D1191" t="str">
        <f>IF(PNL!D1191="","",PNL!D1191)</f>
        <v>V03</v>
      </c>
      <c r="E1191">
        <f t="shared" si="0"/>
        <v>1</v>
      </c>
      <c r="F1191">
        <f>IF($A1191="","",IF($E1191=1,_xlfn.SUMIFS(Comptabilité!$F$1:$F$1446,Comptabilité!$A$1:$A$1446,$A1191,Comptabilité!$B$1:$B$1446,$B1191,Comptabilité!$C$1:$C$1446,"2026"),0))</f>
        <v>12940.95</v>
      </c>
      <c r="G1191">
        <f>IF($A1191="","",IF($D1191="V01",Cadrage!$C$23,IF($D1191="V02",Cadrage!$D$23,Cadrage!$E$23)))</f>
        <v>-0.05</v>
      </c>
      <c r="H1191">
        <f>IF($A1191="","",IF($D1191="V01",Cadrage!$C$24,IF($D1191="V02",Cadrage!$D$24,Cadrage!$E$24)))</f>
        <v>-0.05</v>
      </c>
      <c r="I1191">
        <f>IF($A1191="","",IF($D1191="V01",Cadrage!$C$34,IF($D1191="V02",Cadrage!$D$34,Cadrage!$E$34)))</f>
        <v>0.03</v>
      </c>
      <c r="J1191">
        <f>IF($A1191="","",IF($D1191="V01",Cadrage!$C$35,IF($D1191="V02",Cadrage!$D$35,Cadrage!$E$35)))</f>
        <v>0.03</v>
      </c>
      <c r="K1191">
        <f>IF($A1191="","",IF($D1191="V01",Cadrage!$C$36,IF($D1191="V02",Cadrage!$D$36,Cadrage!$E$36)))</f>
        <v>0.05</v>
      </c>
      <c r="L1191">
        <f>IF($A1191="","",IF($D1191="V01",Cadrage!$C$37,IF($D1191="V02",Cadrage!$D$37,Cadrage!$E$37)))</f>
        <v>0</v>
      </c>
      <c r="M1191">
        <f>IF($A1191="","",IF($D1191="V01",Cadrage!$C$38,IF($D1191="V02",Cadrage!$D$38,Cadrage!$E$38)))</f>
        <v>0.04</v>
      </c>
      <c r="N1191">
        <f t="shared" si="1"/>
        <v>0.980622079131853</v>
      </c>
      <c r="O1191">
        <f t="shared" si="2"/>
        <v>1.0712</v>
      </c>
      <c r="P1191">
        <f>IF($A1191="","",IF($E1191=1,$F1191*$O1191,PNL!G1191))</f>
        <v>13862.34564</v>
      </c>
      <c r="T1191">
        <f t="shared" si="3"/>
        <v>-13862.34564</v>
      </c>
    </row>
    <row r="1192" ht="14.25" customHeight="1">
      <c r="A1192" t="str">
        <f>IF(PNL!A1192="","",PNL!A1192)</f>
        <v>IPAC_MTP</v>
      </c>
      <c r="B1192" t="str">
        <f>IF(PNL!B1192="","",PNL!B1192)</f>
        <v>621</v>
      </c>
      <c r="C1192" t="str">
        <f>IF(PNL!C1192="","",PNL!C1192)</f>
        <v>2027</v>
      </c>
      <c r="D1192" t="str">
        <f>IF(PNL!D1192="","",PNL!D1192)</f>
        <v>V03</v>
      </c>
      <c r="E1192">
        <f t="shared" si="0"/>
        <v>1</v>
      </c>
      <c r="F1192">
        <f>IF($A1192="","",IF($E1192=1,_xlfn.SUMIFS(Comptabilité!$F$1:$F$1446,Comptabilité!$A$1:$A$1446,$A1192,Comptabilité!$B$1:$B$1446,$B1192,Comptabilité!$C$1:$C$1446,"2026"),0))</f>
        <v>72438</v>
      </c>
      <c r="G1192">
        <f>IF($A1192="","",IF($D1192="V01",Cadrage!$C$23,IF($D1192="V02",Cadrage!$D$23,Cadrage!$E$23)))</f>
        <v>-0.05</v>
      </c>
      <c r="H1192">
        <f>IF($A1192="","",IF($D1192="V01",Cadrage!$C$24,IF($D1192="V02",Cadrage!$D$24,Cadrage!$E$24)))</f>
        <v>-0.05</v>
      </c>
      <c r="I1192">
        <f>IF($A1192="","",IF($D1192="V01",Cadrage!$C$34,IF($D1192="V02",Cadrage!$D$34,Cadrage!$E$34)))</f>
        <v>0.03</v>
      </c>
      <c r="J1192">
        <f>IF($A1192="","",IF($D1192="V01",Cadrage!$C$35,IF($D1192="V02",Cadrage!$D$35,Cadrage!$E$35)))</f>
        <v>0.03</v>
      </c>
      <c r="K1192">
        <f>IF($A1192="","",IF($D1192="V01",Cadrage!$C$36,IF($D1192="V02",Cadrage!$D$36,Cadrage!$E$36)))</f>
        <v>0.05</v>
      </c>
      <c r="L1192">
        <f>IF($A1192="","",IF($D1192="V01",Cadrage!$C$37,IF($D1192="V02",Cadrage!$D$37,Cadrage!$E$37)))</f>
        <v>0</v>
      </c>
      <c r="M1192">
        <f>IF($A1192="","",IF($D1192="V01",Cadrage!$C$38,IF($D1192="V02",Cadrage!$D$38,Cadrage!$E$38)))</f>
        <v>0.04</v>
      </c>
      <c r="N1192">
        <f t="shared" si="1"/>
        <v>0.980622079131853</v>
      </c>
      <c r="O1192">
        <f t="shared" si="2"/>
        <v>0.980622079131853</v>
      </c>
      <c r="P1192">
        <f>IF($A1192="","",IF($E1192=1,$F1192*$O1192,PNL!G1192))</f>
        <v>71034.3021681532</v>
      </c>
      <c r="T1192">
        <f t="shared" si="3"/>
        <v>-71034.3021681532</v>
      </c>
    </row>
    <row r="1193" ht="14.25" customHeight="1">
      <c r="A1193" t="str">
        <f>IF(PNL!A1193="","",PNL!A1193)</f>
        <v>IPAC_NAN</v>
      </c>
      <c r="B1193" t="str">
        <f>IF(PNL!B1193="","",PNL!B1193)</f>
        <v>621</v>
      </c>
      <c r="C1193" t="str">
        <f>IF(PNL!C1193="","",PNL!C1193)</f>
        <v>2027</v>
      </c>
      <c r="D1193" t="str">
        <f>IF(PNL!D1193="","",PNL!D1193)</f>
        <v>V03</v>
      </c>
      <c r="E1193">
        <f t="shared" si="0"/>
        <v>1</v>
      </c>
      <c r="F1193">
        <f>IF($A1193="","",IF($E1193=1,_xlfn.SUMIFS(Comptabilité!$F$1:$F$1446,Comptabilité!$A$1:$A$1446,$A1193,Comptabilité!$B$1:$B$1446,$B1193,Comptabilité!$C$1:$C$1446,"2026"),0))</f>
        <v>72438</v>
      </c>
      <c r="G1193">
        <f>IF($A1193="","",IF($D1193="V01",Cadrage!$C$23,IF($D1193="V02",Cadrage!$D$23,Cadrage!$E$23)))</f>
        <v>-0.05</v>
      </c>
      <c r="H1193">
        <f>IF($A1193="","",IF($D1193="V01",Cadrage!$C$24,IF($D1193="V02",Cadrage!$D$24,Cadrage!$E$24)))</f>
        <v>-0.05</v>
      </c>
      <c r="I1193">
        <f>IF($A1193="","",IF($D1193="V01",Cadrage!$C$34,IF($D1193="V02",Cadrage!$D$34,Cadrage!$E$34)))</f>
        <v>0.03</v>
      </c>
      <c r="J1193">
        <f>IF($A1193="","",IF($D1193="V01",Cadrage!$C$35,IF($D1193="V02",Cadrage!$D$35,Cadrage!$E$35)))</f>
        <v>0.03</v>
      </c>
      <c r="K1193">
        <f>IF($A1193="","",IF($D1193="V01",Cadrage!$C$36,IF($D1193="V02",Cadrage!$D$36,Cadrage!$E$36)))</f>
        <v>0.05</v>
      </c>
      <c r="L1193">
        <f>IF($A1193="","",IF($D1193="V01",Cadrage!$C$37,IF($D1193="V02",Cadrage!$D$37,Cadrage!$E$37)))</f>
        <v>0</v>
      </c>
      <c r="M1193">
        <f>IF($A1193="","",IF($D1193="V01",Cadrage!$C$38,IF($D1193="V02",Cadrage!$D$38,Cadrage!$E$38)))</f>
        <v>0.04</v>
      </c>
      <c r="N1193">
        <f t="shared" si="1"/>
        <v>0.980622079131853</v>
      </c>
      <c r="O1193">
        <f t="shared" si="2"/>
        <v>0.980622079131853</v>
      </c>
      <c r="P1193">
        <f>IF($A1193="","",IF($E1193=1,$F1193*$O1193,PNL!G1193))</f>
        <v>71034.3021681532</v>
      </c>
      <c r="T1193">
        <f t="shared" si="3"/>
        <v>-71034.3021681532</v>
      </c>
    </row>
    <row r="1194" ht="14.25" customHeight="1">
      <c r="A1194" t="str">
        <f>IF(PNL!A1194="","",PNL!A1194)</f>
        <v>IPAC_REN</v>
      </c>
      <c r="B1194" t="str">
        <f>IF(PNL!B1194="","",PNL!B1194)</f>
        <v>621</v>
      </c>
      <c r="C1194" t="str">
        <f>IF(PNL!C1194="","",PNL!C1194)</f>
        <v>2027</v>
      </c>
      <c r="D1194" t="str">
        <f>IF(PNL!D1194="","",PNL!D1194)</f>
        <v>V03</v>
      </c>
      <c r="E1194">
        <f t="shared" si="0"/>
        <v>1</v>
      </c>
      <c r="F1194">
        <f>IF($A1194="","",IF($E1194=1,_xlfn.SUMIFS(Comptabilité!$F$1:$F$1446,Comptabilité!$A$1:$A$1446,$A1194,Comptabilité!$B$1:$B$1446,$B1194,Comptabilité!$C$1:$C$1446,"2026"),0))</f>
        <v>72438</v>
      </c>
      <c r="G1194">
        <f>IF($A1194="","",IF($D1194="V01",Cadrage!$C$23,IF($D1194="V02",Cadrage!$D$23,Cadrage!$E$23)))</f>
        <v>-0.05</v>
      </c>
      <c r="H1194">
        <f>IF($A1194="","",IF($D1194="V01",Cadrage!$C$24,IF($D1194="V02",Cadrage!$D$24,Cadrage!$E$24)))</f>
        <v>-0.05</v>
      </c>
      <c r="I1194">
        <f>IF($A1194="","",IF($D1194="V01",Cadrage!$C$34,IF($D1194="V02",Cadrage!$D$34,Cadrage!$E$34)))</f>
        <v>0.03</v>
      </c>
      <c r="J1194">
        <f>IF($A1194="","",IF($D1194="V01",Cadrage!$C$35,IF($D1194="V02",Cadrage!$D$35,Cadrage!$E$35)))</f>
        <v>0.03</v>
      </c>
      <c r="K1194">
        <f>IF($A1194="","",IF($D1194="V01",Cadrage!$C$36,IF($D1194="V02",Cadrage!$D$36,Cadrage!$E$36)))</f>
        <v>0.05</v>
      </c>
      <c r="L1194">
        <f>IF($A1194="","",IF($D1194="V01",Cadrage!$C$37,IF($D1194="V02",Cadrage!$D$37,Cadrage!$E$37)))</f>
        <v>0</v>
      </c>
      <c r="M1194">
        <f>IF($A1194="","",IF($D1194="V01",Cadrage!$C$38,IF($D1194="V02",Cadrage!$D$38,Cadrage!$E$38)))</f>
        <v>0.04</v>
      </c>
      <c r="N1194">
        <f t="shared" si="1"/>
        <v>0.980622079131853</v>
      </c>
      <c r="O1194">
        <f t="shared" si="2"/>
        <v>0.980622079131853</v>
      </c>
      <c r="P1194">
        <f>IF($A1194="","",IF($E1194=1,$F1194*$O1194,PNL!G1194))</f>
        <v>71034.3021681532</v>
      </c>
      <c r="T1194">
        <f t="shared" si="3"/>
        <v>-71034.3021681532</v>
      </c>
    </row>
    <row r="1195" ht="14.25" customHeight="1">
      <c r="A1195" t="str">
        <f>IF(PNL!A1195="","",PNL!A1195)</f>
        <v>ISCOM_LIL</v>
      </c>
      <c r="B1195" t="str">
        <f>IF(PNL!B1195="","",PNL!B1195)</f>
        <v>621</v>
      </c>
      <c r="C1195" t="str">
        <f>IF(PNL!C1195="","",PNL!C1195)</f>
        <v>2027</v>
      </c>
      <c r="D1195" t="str">
        <f>IF(PNL!D1195="","",PNL!D1195)</f>
        <v>V03</v>
      </c>
      <c r="E1195">
        <f t="shared" si="0"/>
        <v>1</v>
      </c>
      <c r="F1195">
        <f>IF($A1195="","",IF($E1195=1,_xlfn.SUMIFS(Comptabilité!$F$1:$F$1446,Comptabilité!$A$1:$A$1446,$A1195,Comptabilité!$B$1:$B$1446,$B1195,Comptabilité!$C$1:$C$1446,"2026"),0))</f>
        <v>120729</v>
      </c>
      <c r="G1195">
        <f>IF($A1195="","",IF($D1195="V01",Cadrage!$C$23,IF($D1195="V02",Cadrage!$D$23,Cadrage!$E$23)))</f>
        <v>-0.05</v>
      </c>
      <c r="H1195">
        <f>IF($A1195="","",IF($D1195="V01",Cadrage!$C$24,IF($D1195="V02",Cadrage!$D$24,Cadrage!$E$24)))</f>
        <v>-0.05</v>
      </c>
      <c r="I1195">
        <f>IF($A1195="","",IF($D1195="V01",Cadrage!$C$34,IF($D1195="V02",Cadrage!$D$34,Cadrage!$E$34)))</f>
        <v>0.03</v>
      </c>
      <c r="J1195">
        <f>IF($A1195="","",IF($D1195="V01",Cadrage!$C$35,IF($D1195="V02",Cadrage!$D$35,Cadrage!$E$35)))</f>
        <v>0.03</v>
      </c>
      <c r="K1195">
        <f>IF($A1195="","",IF($D1195="V01",Cadrage!$C$36,IF($D1195="V02",Cadrage!$D$36,Cadrage!$E$36)))</f>
        <v>0.05</v>
      </c>
      <c r="L1195">
        <f>IF($A1195="","",IF($D1195="V01",Cadrage!$C$37,IF($D1195="V02",Cadrage!$D$37,Cadrage!$E$37)))</f>
        <v>0</v>
      </c>
      <c r="M1195">
        <f>IF($A1195="","",IF($D1195="V01",Cadrage!$C$38,IF($D1195="V02",Cadrage!$D$38,Cadrage!$E$38)))</f>
        <v>0.04</v>
      </c>
      <c r="N1195">
        <f t="shared" si="1"/>
        <v>0.980622079131853</v>
      </c>
      <c r="O1195">
        <f t="shared" si="2"/>
        <v>0.980622079131853</v>
      </c>
      <c r="P1195">
        <f>IF($A1195="","",IF($E1195=1,$F1195*$O1195,PNL!G1195))</f>
        <v>118389.522991509</v>
      </c>
      <c r="T1195">
        <f t="shared" si="3"/>
        <v>-118389.522991509</v>
      </c>
    </row>
    <row r="1196" ht="14.25" customHeight="1">
      <c r="A1196" t="str">
        <f>IF(PNL!A1196="","",PNL!A1196)</f>
        <v>ISCOM_PAR</v>
      </c>
      <c r="B1196" t="str">
        <f>IF(PNL!B1196="","",PNL!B1196)</f>
        <v>621</v>
      </c>
      <c r="C1196" t="str">
        <f>IF(PNL!C1196="","",PNL!C1196)</f>
        <v>2027</v>
      </c>
      <c r="D1196" t="str">
        <f>IF(PNL!D1196="","",PNL!D1196)</f>
        <v>V03</v>
      </c>
      <c r="E1196">
        <f t="shared" si="0"/>
        <v>1</v>
      </c>
      <c r="F1196">
        <f>IF($A1196="","",IF($E1196=1,_xlfn.SUMIFS(Comptabilité!$F$1:$F$1446,Comptabilité!$A$1:$A$1446,$A1196,Comptabilité!$B$1:$B$1446,$B1196,Comptabilité!$C$1:$C$1446,"2026"),0))</f>
        <v>181094</v>
      </c>
      <c r="G1196">
        <f>IF($A1196="","",IF($D1196="V01",Cadrage!$C$23,IF($D1196="V02",Cadrage!$D$23,Cadrage!$E$23)))</f>
        <v>-0.05</v>
      </c>
      <c r="H1196">
        <f>IF($A1196="","",IF($D1196="V01",Cadrage!$C$24,IF($D1196="V02",Cadrage!$D$24,Cadrage!$E$24)))</f>
        <v>-0.05</v>
      </c>
      <c r="I1196">
        <f>IF($A1196="","",IF($D1196="V01",Cadrage!$C$34,IF($D1196="V02",Cadrage!$D$34,Cadrage!$E$34)))</f>
        <v>0.03</v>
      </c>
      <c r="J1196">
        <f>IF($A1196="","",IF($D1196="V01",Cadrage!$C$35,IF($D1196="V02",Cadrage!$D$35,Cadrage!$E$35)))</f>
        <v>0.03</v>
      </c>
      <c r="K1196">
        <f>IF($A1196="","",IF($D1196="V01",Cadrage!$C$36,IF($D1196="V02",Cadrage!$D$36,Cadrage!$E$36)))</f>
        <v>0.05</v>
      </c>
      <c r="L1196">
        <f>IF($A1196="","",IF($D1196="V01",Cadrage!$C$37,IF($D1196="V02",Cadrage!$D$37,Cadrage!$E$37)))</f>
        <v>0</v>
      </c>
      <c r="M1196">
        <f>IF($A1196="","",IF($D1196="V01",Cadrage!$C$38,IF($D1196="V02",Cadrage!$D$38,Cadrage!$E$38)))</f>
        <v>0.04</v>
      </c>
      <c r="N1196">
        <f t="shared" si="1"/>
        <v>0.980622079131853</v>
      </c>
      <c r="O1196">
        <f t="shared" si="2"/>
        <v>0.980622079131853</v>
      </c>
      <c r="P1196">
        <f>IF($A1196="","",IF($E1196=1,$F1196*$O1196,PNL!G1196))</f>
        <v>177584.774798304</v>
      </c>
      <c r="T1196">
        <f t="shared" si="3"/>
        <v>-177584.774798304</v>
      </c>
    </row>
    <row r="1197" ht="14.25" customHeight="1">
      <c r="A1197" t="str">
        <f>IF(PNL!A1197="","",PNL!A1197)</f>
        <v>ISCOM_TLS</v>
      </c>
      <c r="B1197" t="str">
        <f>IF(PNL!B1197="","",PNL!B1197)</f>
        <v>621</v>
      </c>
      <c r="C1197" t="str">
        <f>IF(PNL!C1197="","",PNL!C1197)</f>
        <v>2027</v>
      </c>
      <c r="D1197" t="str">
        <f>IF(PNL!D1197="","",PNL!D1197)</f>
        <v>V03</v>
      </c>
      <c r="E1197">
        <f t="shared" si="0"/>
        <v>1</v>
      </c>
      <c r="F1197">
        <f>IF($A1197="","",IF($E1197=1,_xlfn.SUMIFS(Comptabilité!$F$1:$F$1446,Comptabilité!$A$1:$A$1446,$A1197,Comptabilité!$B$1:$B$1446,$B1197,Comptabilité!$C$1:$C$1446,"2026"),0))</f>
        <v>120729</v>
      </c>
      <c r="G1197">
        <f>IF($A1197="","",IF($D1197="V01",Cadrage!$C$23,IF($D1197="V02",Cadrage!$D$23,Cadrage!$E$23)))</f>
        <v>-0.05</v>
      </c>
      <c r="H1197">
        <f>IF($A1197="","",IF($D1197="V01",Cadrage!$C$24,IF($D1197="V02",Cadrage!$D$24,Cadrage!$E$24)))</f>
        <v>-0.05</v>
      </c>
      <c r="I1197">
        <f>IF($A1197="","",IF($D1197="V01",Cadrage!$C$34,IF($D1197="V02",Cadrage!$D$34,Cadrage!$E$34)))</f>
        <v>0.03</v>
      </c>
      <c r="J1197">
        <f>IF($A1197="","",IF($D1197="V01",Cadrage!$C$35,IF($D1197="V02",Cadrage!$D$35,Cadrage!$E$35)))</f>
        <v>0.03</v>
      </c>
      <c r="K1197">
        <f>IF($A1197="","",IF($D1197="V01",Cadrage!$C$36,IF($D1197="V02",Cadrage!$D$36,Cadrage!$E$36)))</f>
        <v>0.05</v>
      </c>
      <c r="L1197">
        <f>IF($A1197="","",IF($D1197="V01",Cadrage!$C$37,IF($D1197="V02",Cadrage!$D$37,Cadrage!$E$37)))</f>
        <v>0</v>
      </c>
      <c r="M1197">
        <f>IF($A1197="","",IF($D1197="V01",Cadrage!$C$38,IF($D1197="V02",Cadrage!$D$38,Cadrage!$E$38)))</f>
        <v>0.04</v>
      </c>
      <c r="N1197">
        <f t="shared" si="1"/>
        <v>0.980622079131853</v>
      </c>
      <c r="O1197">
        <f t="shared" si="2"/>
        <v>0.980622079131853</v>
      </c>
      <c r="P1197">
        <f>IF($A1197="","",IF($E1197=1,$F1197*$O1197,PNL!G1197))</f>
        <v>118389.522991509</v>
      </c>
      <c r="T1197">
        <f t="shared" si="3"/>
        <v>-118389.522991509</v>
      </c>
    </row>
    <row r="1198" ht="14.25" customHeight="1">
      <c r="A1198" t="str">
        <f>IF(PNL!A1198="","",PNL!A1198)</f>
        <v>MBWAY_BOR</v>
      </c>
      <c r="B1198" t="str">
        <f>IF(PNL!B1198="","",PNL!B1198)</f>
        <v>621</v>
      </c>
      <c r="C1198" t="str">
        <f>IF(PNL!C1198="","",PNL!C1198)</f>
        <v>2027</v>
      </c>
      <c r="D1198" t="str">
        <f>IF(PNL!D1198="","",PNL!D1198)</f>
        <v>V03</v>
      </c>
      <c r="E1198">
        <f t="shared" si="0"/>
        <v>1</v>
      </c>
      <c r="F1198">
        <f>IF($A1198="","",IF($E1198=1,_xlfn.SUMIFS(Comptabilité!$F$1:$F$1446,Comptabilité!$A$1:$A$1446,$A1198,Comptabilité!$B$1:$B$1446,$B1198,Comptabilité!$C$1:$C$1446,"2026"),0))</f>
        <v>120729</v>
      </c>
      <c r="G1198">
        <f>IF($A1198="","",IF($D1198="V01",Cadrage!$C$23,IF($D1198="V02",Cadrage!$D$23,Cadrage!$E$23)))</f>
        <v>-0.05</v>
      </c>
      <c r="H1198">
        <f>IF($A1198="","",IF($D1198="V01",Cadrage!$C$24,IF($D1198="V02",Cadrage!$D$24,Cadrage!$E$24)))</f>
        <v>-0.05</v>
      </c>
      <c r="I1198">
        <f>IF($A1198="","",IF($D1198="V01",Cadrage!$C$34,IF($D1198="V02",Cadrage!$D$34,Cadrage!$E$34)))</f>
        <v>0.03</v>
      </c>
      <c r="J1198">
        <f>IF($A1198="","",IF($D1198="V01",Cadrage!$C$35,IF($D1198="V02",Cadrage!$D$35,Cadrage!$E$35)))</f>
        <v>0.03</v>
      </c>
      <c r="K1198">
        <f>IF($A1198="","",IF($D1198="V01",Cadrage!$C$36,IF($D1198="V02",Cadrage!$D$36,Cadrage!$E$36)))</f>
        <v>0.05</v>
      </c>
      <c r="L1198">
        <f>IF($A1198="","",IF($D1198="V01",Cadrage!$C$37,IF($D1198="V02",Cadrage!$D$37,Cadrage!$E$37)))</f>
        <v>0</v>
      </c>
      <c r="M1198">
        <f>IF($A1198="","",IF($D1198="V01",Cadrage!$C$38,IF($D1198="V02",Cadrage!$D$38,Cadrage!$E$38)))</f>
        <v>0.04</v>
      </c>
      <c r="N1198">
        <f t="shared" si="1"/>
        <v>0.980622079131853</v>
      </c>
      <c r="O1198">
        <f t="shared" si="2"/>
        <v>0.980622079131853</v>
      </c>
      <c r="P1198">
        <f>IF($A1198="","",IF($E1198=1,$F1198*$O1198,PNL!G1198))</f>
        <v>118389.522991509</v>
      </c>
      <c r="T1198">
        <f t="shared" si="3"/>
        <v>-118389.522991509</v>
      </c>
    </row>
    <row r="1199" ht="14.25" customHeight="1">
      <c r="A1199" t="str">
        <f>IF(PNL!A1199="","",PNL!A1199)</f>
        <v>MBWAY_LYO</v>
      </c>
      <c r="B1199" t="str">
        <f>IF(PNL!B1199="","",PNL!B1199)</f>
        <v>621</v>
      </c>
      <c r="C1199" t="str">
        <f>IF(PNL!C1199="","",PNL!C1199)</f>
        <v>2027</v>
      </c>
      <c r="D1199" t="str">
        <f>IF(PNL!D1199="","",PNL!D1199)</f>
        <v>V03</v>
      </c>
      <c r="E1199">
        <f t="shared" si="0"/>
        <v>1</v>
      </c>
      <c r="F1199">
        <f>IF($A1199="","",IF($E1199=1,_xlfn.SUMIFS(Comptabilité!$F$1:$F$1446,Comptabilité!$A$1:$A$1446,$A1199,Comptabilité!$B$1:$B$1446,$B1199,Comptabilité!$C$1:$C$1446,"2026"),0))</f>
        <v>156948</v>
      </c>
      <c r="G1199">
        <f>IF($A1199="","",IF($D1199="V01",Cadrage!$C$23,IF($D1199="V02",Cadrage!$D$23,Cadrage!$E$23)))</f>
        <v>-0.05</v>
      </c>
      <c r="H1199">
        <f>IF($A1199="","",IF($D1199="V01",Cadrage!$C$24,IF($D1199="V02",Cadrage!$D$24,Cadrage!$E$24)))</f>
        <v>-0.05</v>
      </c>
      <c r="I1199">
        <f>IF($A1199="","",IF($D1199="V01",Cadrage!$C$34,IF($D1199="V02",Cadrage!$D$34,Cadrage!$E$34)))</f>
        <v>0.03</v>
      </c>
      <c r="J1199">
        <f>IF($A1199="","",IF($D1199="V01",Cadrage!$C$35,IF($D1199="V02",Cadrage!$D$35,Cadrage!$E$35)))</f>
        <v>0.03</v>
      </c>
      <c r="K1199">
        <f>IF($A1199="","",IF($D1199="V01",Cadrage!$C$36,IF($D1199="V02",Cadrage!$D$36,Cadrage!$E$36)))</f>
        <v>0.05</v>
      </c>
      <c r="L1199">
        <f>IF($A1199="","",IF($D1199="V01",Cadrage!$C$37,IF($D1199="V02",Cadrage!$D$37,Cadrage!$E$37)))</f>
        <v>0</v>
      </c>
      <c r="M1199">
        <f>IF($A1199="","",IF($D1199="V01",Cadrage!$C$38,IF($D1199="V02",Cadrage!$D$38,Cadrage!$E$38)))</f>
        <v>0.04</v>
      </c>
      <c r="N1199">
        <f t="shared" si="1"/>
        <v>0.980622079131853</v>
      </c>
      <c r="O1199">
        <f t="shared" si="2"/>
        <v>0.980622079131853</v>
      </c>
      <c r="P1199">
        <f>IF($A1199="","",IF($E1199=1,$F1199*$O1199,PNL!G1199))</f>
        <v>153906.674075586</v>
      </c>
      <c r="T1199">
        <f t="shared" si="3"/>
        <v>-153906.674075586</v>
      </c>
    </row>
    <row r="1200" ht="14.25" customHeight="1">
      <c r="A1200" t="str">
        <f>IF(PNL!A1200="","",PNL!A1200)</f>
        <v>MBWAY_NAN</v>
      </c>
      <c r="B1200" t="str">
        <f>IF(PNL!B1200="","",PNL!B1200)</f>
        <v>621</v>
      </c>
      <c r="C1200" t="str">
        <f>IF(PNL!C1200="","",PNL!C1200)</f>
        <v>2027</v>
      </c>
      <c r="D1200" t="str">
        <f>IF(PNL!D1200="","",PNL!D1200)</f>
        <v>V03</v>
      </c>
      <c r="E1200">
        <f t="shared" si="0"/>
        <v>1</v>
      </c>
      <c r="F1200">
        <f>IF($A1200="","",IF($E1200=1,_xlfn.SUMIFS(Comptabilité!$F$1:$F$1446,Comptabilité!$A$1:$A$1446,$A1200,Comptabilité!$B$1:$B$1446,$B1200,Comptabilité!$C$1:$C$1446,"2026"),0))</f>
        <v>144875</v>
      </c>
      <c r="G1200">
        <f>IF($A1200="","",IF($D1200="V01",Cadrage!$C$23,IF($D1200="V02",Cadrage!$D$23,Cadrage!$E$23)))</f>
        <v>-0.05</v>
      </c>
      <c r="H1200">
        <f>IF($A1200="","",IF($D1200="V01",Cadrage!$C$24,IF($D1200="V02",Cadrage!$D$24,Cadrage!$E$24)))</f>
        <v>-0.05</v>
      </c>
      <c r="I1200">
        <f>IF($A1200="","",IF($D1200="V01",Cadrage!$C$34,IF($D1200="V02",Cadrage!$D$34,Cadrage!$E$34)))</f>
        <v>0.03</v>
      </c>
      <c r="J1200">
        <f>IF($A1200="","",IF($D1200="V01",Cadrage!$C$35,IF($D1200="V02",Cadrage!$D$35,Cadrage!$E$35)))</f>
        <v>0.03</v>
      </c>
      <c r="K1200">
        <f>IF($A1200="","",IF($D1200="V01",Cadrage!$C$36,IF($D1200="V02",Cadrage!$D$36,Cadrage!$E$36)))</f>
        <v>0.05</v>
      </c>
      <c r="L1200">
        <f>IF($A1200="","",IF($D1200="V01",Cadrage!$C$37,IF($D1200="V02",Cadrage!$D$37,Cadrage!$E$37)))</f>
        <v>0</v>
      </c>
      <c r="M1200">
        <f>IF($A1200="","",IF($D1200="V01",Cadrage!$C$38,IF($D1200="V02",Cadrage!$D$38,Cadrage!$E$38)))</f>
        <v>0.04</v>
      </c>
      <c r="N1200">
        <f t="shared" si="1"/>
        <v>0.980622079131853</v>
      </c>
      <c r="O1200">
        <f t="shared" si="2"/>
        <v>0.980622079131853</v>
      </c>
      <c r="P1200">
        <f>IF($A1200="","",IF($E1200=1,$F1200*$O1200,PNL!G1200))</f>
        <v>142067.623714227</v>
      </c>
      <c r="T1200">
        <f t="shared" si="3"/>
        <v>-142067.623714227</v>
      </c>
    </row>
    <row r="1201" ht="14.25" customHeight="1">
      <c r="A1201" t="str">
        <f>IF(PNL!A1201="","",PNL!A1201)</f>
        <v>MBWAY_PAR</v>
      </c>
      <c r="B1201" t="str">
        <f>IF(PNL!B1201="","",PNL!B1201)</f>
        <v>621</v>
      </c>
      <c r="C1201" t="str">
        <f>IF(PNL!C1201="","",PNL!C1201)</f>
        <v>2027</v>
      </c>
      <c r="D1201" t="str">
        <f>IF(PNL!D1201="","",PNL!D1201)</f>
        <v>V03</v>
      </c>
      <c r="E1201">
        <f t="shared" si="0"/>
        <v>1</v>
      </c>
      <c r="F1201">
        <f>IF($A1201="","",IF($E1201=1,_xlfn.SUMIFS(Comptabilité!$F$1:$F$1446,Comptabilité!$A$1:$A$1446,$A1201,Comptabilité!$B$1:$B$1446,$B1201,Comptabilité!$C$1:$C$1446,"2026"),0))</f>
        <v>181094</v>
      </c>
      <c r="G1201">
        <f>IF($A1201="","",IF($D1201="V01",Cadrage!$C$23,IF($D1201="V02",Cadrage!$D$23,Cadrage!$E$23)))</f>
        <v>-0.05</v>
      </c>
      <c r="H1201">
        <f>IF($A1201="","",IF($D1201="V01",Cadrage!$C$24,IF($D1201="V02",Cadrage!$D$24,Cadrage!$E$24)))</f>
        <v>-0.05</v>
      </c>
      <c r="I1201">
        <f>IF($A1201="","",IF($D1201="V01",Cadrage!$C$34,IF($D1201="V02",Cadrage!$D$34,Cadrage!$E$34)))</f>
        <v>0.03</v>
      </c>
      <c r="J1201">
        <f>IF($A1201="","",IF($D1201="V01",Cadrage!$C$35,IF($D1201="V02",Cadrage!$D$35,Cadrage!$E$35)))</f>
        <v>0.03</v>
      </c>
      <c r="K1201">
        <f>IF($A1201="","",IF($D1201="V01",Cadrage!$C$36,IF($D1201="V02",Cadrage!$D$36,Cadrage!$E$36)))</f>
        <v>0.05</v>
      </c>
      <c r="L1201">
        <f>IF($A1201="","",IF($D1201="V01",Cadrage!$C$37,IF($D1201="V02",Cadrage!$D$37,Cadrage!$E$37)))</f>
        <v>0</v>
      </c>
      <c r="M1201">
        <f>IF($A1201="","",IF($D1201="V01",Cadrage!$C$38,IF($D1201="V02",Cadrage!$D$38,Cadrage!$E$38)))</f>
        <v>0.04</v>
      </c>
      <c r="N1201">
        <f t="shared" si="1"/>
        <v>0.980622079131853</v>
      </c>
      <c r="O1201">
        <f t="shared" si="2"/>
        <v>0.980622079131853</v>
      </c>
      <c r="P1201">
        <f>IF($A1201="","",IF($E1201=1,$F1201*$O1201,PNL!G1201))</f>
        <v>177584.774798304</v>
      </c>
      <c r="T1201">
        <f t="shared" si="3"/>
        <v>-177584.774798304</v>
      </c>
    </row>
    <row r="1202" ht="14.25" customHeight="1">
      <c r="A1202" t="str">
        <f>IF(PNL!A1202="","",PNL!A1202)</f>
        <v>PIGIER_BOR</v>
      </c>
      <c r="B1202" t="str">
        <f>IF(PNL!B1202="","",PNL!B1202)</f>
        <v>621</v>
      </c>
      <c r="C1202" t="str">
        <f>IF(PNL!C1202="","",PNL!C1202)</f>
        <v>2027</v>
      </c>
      <c r="D1202" t="str">
        <f>IF(PNL!D1202="","",PNL!D1202)</f>
        <v>V03</v>
      </c>
      <c r="E1202">
        <f t="shared" si="0"/>
        <v>1</v>
      </c>
      <c r="F1202">
        <f>IF($A1202="","",IF($E1202=1,_xlfn.SUMIFS(Comptabilité!$F$1:$F$1446,Comptabilité!$A$1:$A$1446,$A1202,Comptabilité!$B$1:$B$1446,$B1202,Comptabilité!$C$1:$C$1446,"2026"),0))</f>
        <v>96583</v>
      </c>
      <c r="G1202">
        <f>IF($A1202="","",IF($D1202="V01",Cadrage!$C$23,IF($D1202="V02",Cadrage!$D$23,Cadrage!$E$23)))</f>
        <v>-0.05</v>
      </c>
      <c r="H1202">
        <f>IF($A1202="","",IF($D1202="V01",Cadrage!$C$24,IF($D1202="V02",Cadrage!$D$24,Cadrage!$E$24)))</f>
        <v>-0.05</v>
      </c>
      <c r="I1202">
        <f>IF($A1202="","",IF($D1202="V01",Cadrage!$C$34,IF($D1202="V02",Cadrage!$D$34,Cadrage!$E$34)))</f>
        <v>0.03</v>
      </c>
      <c r="J1202">
        <f>IF($A1202="","",IF($D1202="V01",Cadrage!$C$35,IF($D1202="V02",Cadrage!$D$35,Cadrage!$E$35)))</f>
        <v>0.03</v>
      </c>
      <c r="K1202">
        <f>IF($A1202="","",IF($D1202="V01",Cadrage!$C$36,IF($D1202="V02",Cadrage!$D$36,Cadrage!$E$36)))</f>
        <v>0.05</v>
      </c>
      <c r="L1202">
        <f>IF($A1202="","",IF($D1202="V01",Cadrage!$C$37,IF($D1202="V02",Cadrage!$D$37,Cadrage!$E$37)))</f>
        <v>0</v>
      </c>
      <c r="M1202">
        <f>IF($A1202="","",IF($D1202="V01",Cadrage!$C$38,IF($D1202="V02",Cadrage!$D$38,Cadrage!$E$38)))</f>
        <v>0.04</v>
      </c>
      <c r="N1202">
        <f t="shared" si="1"/>
        <v>0.980622079131853</v>
      </c>
      <c r="O1202">
        <f t="shared" si="2"/>
        <v>0.980622079131853</v>
      </c>
      <c r="P1202">
        <f>IF($A1202="","",IF($E1202=1,$F1202*$O1202,PNL!G1202))</f>
        <v>94711.4222687917</v>
      </c>
      <c r="T1202">
        <f t="shared" si="3"/>
        <v>-94711.4222687917</v>
      </c>
    </row>
    <row r="1203" ht="14.25" customHeight="1">
      <c r="A1203" t="str">
        <f>IF(PNL!A1203="","",PNL!A1203)</f>
        <v>PIGIER_LYO</v>
      </c>
      <c r="B1203" t="str">
        <f>IF(PNL!B1203="","",PNL!B1203)</f>
        <v>621</v>
      </c>
      <c r="C1203" t="str">
        <f>IF(PNL!C1203="","",PNL!C1203)</f>
        <v>2027</v>
      </c>
      <c r="D1203" t="str">
        <f>IF(PNL!D1203="","",PNL!D1203)</f>
        <v>V03</v>
      </c>
      <c r="E1203">
        <f t="shared" si="0"/>
        <v>1</v>
      </c>
      <c r="F1203">
        <f>IF($A1203="","",IF($E1203=1,_xlfn.SUMIFS(Comptabilité!$F$1:$F$1446,Comptabilité!$A$1:$A$1446,$A1203,Comptabilité!$B$1:$B$1446,$B1203,Comptabilité!$C$1:$C$1446,"2026"),0))</f>
        <v>96583</v>
      </c>
      <c r="G1203">
        <f>IF($A1203="","",IF($D1203="V01",Cadrage!$C$23,IF($D1203="V02",Cadrage!$D$23,Cadrage!$E$23)))</f>
        <v>-0.05</v>
      </c>
      <c r="H1203">
        <f>IF($A1203="","",IF($D1203="V01",Cadrage!$C$24,IF($D1203="V02",Cadrage!$D$24,Cadrage!$E$24)))</f>
        <v>-0.05</v>
      </c>
      <c r="I1203">
        <f>IF($A1203="","",IF($D1203="V01",Cadrage!$C$34,IF($D1203="V02",Cadrage!$D$34,Cadrage!$E$34)))</f>
        <v>0.03</v>
      </c>
      <c r="J1203">
        <f>IF($A1203="","",IF($D1203="V01",Cadrage!$C$35,IF($D1203="V02",Cadrage!$D$35,Cadrage!$E$35)))</f>
        <v>0.03</v>
      </c>
      <c r="K1203">
        <f>IF($A1203="","",IF($D1203="V01",Cadrage!$C$36,IF($D1203="V02",Cadrage!$D$36,Cadrage!$E$36)))</f>
        <v>0.05</v>
      </c>
      <c r="L1203">
        <f>IF($A1203="","",IF($D1203="V01",Cadrage!$C$37,IF($D1203="V02",Cadrage!$D$37,Cadrage!$E$37)))</f>
        <v>0</v>
      </c>
      <c r="M1203">
        <f>IF($A1203="","",IF($D1203="V01",Cadrage!$C$38,IF($D1203="V02",Cadrage!$D$38,Cadrage!$E$38)))</f>
        <v>0.04</v>
      </c>
      <c r="N1203">
        <f t="shared" si="1"/>
        <v>0.980622079131853</v>
      </c>
      <c r="O1203">
        <f t="shared" si="2"/>
        <v>0.980622079131853</v>
      </c>
      <c r="P1203">
        <f>IF($A1203="","",IF($E1203=1,$F1203*$O1203,PNL!G1203))</f>
        <v>94711.4222687917</v>
      </c>
      <c r="T1203">
        <f t="shared" si="3"/>
        <v>-94711.4222687917</v>
      </c>
    </row>
    <row r="1204" ht="14.25" customHeight="1">
      <c r="A1204" t="str">
        <f>IF(PNL!A1204="","",PNL!A1204)</f>
        <v>TUNON_LYO</v>
      </c>
      <c r="B1204" t="str">
        <f>IF(PNL!B1204="","",PNL!B1204)</f>
        <v>621</v>
      </c>
      <c r="C1204" t="str">
        <f>IF(PNL!C1204="","",PNL!C1204)</f>
        <v>2027</v>
      </c>
      <c r="D1204" t="str">
        <f>IF(PNL!D1204="","",PNL!D1204)</f>
        <v>V03</v>
      </c>
      <c r="E1204">
        <f t="shared" si="0"/>
        <v>1</v>
      </c>
      <c r="F1204">
        <f>IF($A1204="","",IF($E1204=1,_xlfn.SUMIFS(Comptabilité!$F$1:$F$1446,Comptabilité!$A$1:$A$1446,$A1204,Comptabilité!$B$1:$B$1446,$B1204,Comptabilité!$C$1:$C$1446,"2026"),0))</f>
        <v>72438</v>
      </c>
      <c r="G1204">
        <f>IF($A1204="","",IF($D1204="V01",Cadrage!$C$23,IF($D1204="V02",Cadrage!$D$23,Cadrage!$E$23)))</f>
        <v>-0.05</v>
      </c>
      <c r="H1204">
        <f>IF($A1204="","",IF($D1204="V01",Cadrage!$C$24,IF($D1204="V02",Cadrage!$D$24,Cadrage!$E$24)))</f>
        <v>-0.05</v>
      </c>
      <c r="I1204">
        <f>IF($A1204="","",IF($D1204="V01",Cadrage!$C$34,IF($D1204="V02",Cadrage!$D$34,Cadrage!$E$34)))</f>
        <v>0.03</v>
      </c>
      <c r="J1204">
        <f>IF($A1204="","",IF($D1204="V01",Cadrage!$C$35,IF($D1204="V02",Cadrage!$D$35,Cadrage!$E$35)))</f>
        <v>0.03</v>
      </c>
      <c r="K1204">
        <f>IF($A1204="","",IF($D1204="V01",Cadrage!$C$36,IF($D1204="V02",Cadrage!$D$36,Cadrage!$E$36)))</f>
        <v>0.05</v>
      </c>
      <c r="L1204">
        <f>IF($A1204="","",IF($D1204="V01",Cadrage!$C$37,IF($D1204="V02",Cadrage!$D$37,Cadrage!$E$37)))</f>
        <v>0</v>
      </c>
      <c r="M1204">
        <f>IF($A1204="","",IF($D1204="V01",Cadrage!$C$38,IF($D1204="V02",Cadrage!$D$38,Cadrage!$E$38)))</f>
        <v>0.04</v>
      </c>
      <c r="N1204">
        <f t="shared" si="1"/>
        <v>0.980622079131853</v>
      </c>
      <c r="O1204">
        <f t="shared" si="2"/>
        <v>0.980622079131853</v>
      </c>
      <c r="P1204">
        <f>IF($A1204="","",IF($E1204=1,$F1204*$O1204,PNL!G1204))</f>
        <v>71034.3021681532</v>
      </c>
      <c r="T1204">
        <f t="shared" si="3"/>
        <v>-71034.3021681532</v>
      </c>
    </row>
    <row r="1205" ht="14.25" customHeight="1">
      <c r="A1205" t="str">
        <f>IF(PNL!A1205="","",PNL!A1205)</f>
        <v>TUNON_PAR</v>
      </c>
      <c r="B1205" t="str">
        <f>IF(PNL!B1205="","",PNL!B1205)</f>
        <v>621</v>
      </c>
      <c r="C1205" t="str">
        <f>IF(PNL!C1205="","",PNL!C1205)</f>
        <v>2027</v>
      </c>
      <c r="D1205" t="str">
        <f>IF(PNL!D1205="","",PNL!D1205)</f>
        <v>V03</v>
      </c>
      <c r="E1205">
        <f t="shared" si="0"/>
        <v>1</v>
      </c>
      <c r="F1205">
        <f>IF($A1205="","",IF($E1205=1,_xlfn.SUMIFS(Comptabilité!$F$1:$F$1446,Comptabilité!$A$1:$A$1446,$A1205,Comptabilité!$B$1:$B$1446,$B1205,Comptabilité!$C$1:$C$1446,"2026"),0))</f>
        <v>72438</v>
      </c>
      <c r="G1205">
        <f>IF($A1205="","",IF($D1205="V01",Cadrage!$C$23,IF($D1205="V02",Cadrage!$D$23,Cadrage!$E$23)))</f>
        <v>-0.05</v>
      </c>
      <c r="H1205">
        <f>IF($A1205="","",IF($D1205="V01",Cadrage!$C$24,IF($D1205="V02",Cadrage!$D$24,Cadrage!$E$24)))</f>
        <v>-0.05</v>
      </c>
      <c r="I1205">
        <f>IF($A1205="","",IF($D1205="V01",Cadrage!$C$34,IF($D1205="V02",Cadrage!$D$34,Cadrage!$E$34)))</f>
        <v>0.03</v>
      </c>
      <c r="J1205">
        <f>IF($A1205="","",IF($D1205="V01",Cadrage!$C$35,IF($D1205="V02",Cadrage!$D$35,Cadrage!$E$35)))</f>
        <v>0.03</v>
      </c>
      <c r="K1205">
        <f>IF($A1205="","",IF($D1205="V01",Cadrage!$C$36,IF($D1205="V02",Cadrage!$D$36,Cadrage!$E$36)))</f>
        <v>0.05</v>
      </c>
      <c r="L1205">
        <f>IF($A1205="","",IF($D1205="V01",Cadrage!$C$37,IF($D1205="V02",Cadrage!$D$37,Cadrage!$E$37)))</f>
        <v>0</v>
      </c>
      <c r="M1205">
        <f>IF($A1205="","",IF($D1205="V01",Cadrage!$C$38,IF($D1205="V02",Cadrage!$D$38,Cadrage!$E$38)))</f>
        <v>0.04</v>
      </c>
      <c r="N1205">
        <f t="shared" si="1"/>
        <v>0.980622079131853</v>
      </c>
      <c r="O1205">
        <f t="shared" si="2"/>
        <v>0.980622079131853</v>
      </c>
      <c r="P1205">
        <f>IF($A1205="","",IF($E1205=1,$F1205*$O1205,PNL!G1205))</f>
        <v>71034.3021681532</v>
      </c>
      <c r="T1205">
        <f t="shared" si="3"/>
        <v>-71034.3021681532</v>
      </c>
    </row>
    <row r="1206" ht="14.25" customHeight="1">
      <c r="A1206" t="str">
        <f>IF(PNL!A1206="","",PNL!A1206)</f>
        <v>GRP</v>
      </c>
      <c r="B1206" t="str">
        <f>IF(PNL!B1206="","",PNL!B1206)</f>
        <v>6226</v>
      </c>
      <c r="C1206" t="str">
        <f>IF(PNL!C1206="","",PNL!C1206)</f>
        <v>2027</v>
      </c>
      <c r="D1206" t="str">
        <f>IF(PNL!D1206="","",PNL!D1206)</f>
        <v>V03</v>
      </c>
      <c r="E1206">
        <f t="shared" si="0"/>
        <v>1</v>
      </c>
      <c r="F1206">
        <f>IF($A1206="","",IF($E1206=1,_xlfn.SUMIFS(Comptabilité!$F$1:$F$1446,Comptabilité!$A$1:$A$1446,$A1206,Comptabilité!$B$1:$B$1446,$B1206,Comptabilité!$C$1:$C$1446,"2026"),0))</f>
        <v>564841</v>
      </c>
      <c r="G1206">
        <f>IF($A1206="","",IF($D1206="V01",Cadrage!$C$23,IF($D1206="V02",Cadrage!$D$23,Cadrage!$E$23)))</f>
        <v>-0.05</v>
      </c>
      <c r="H1206">
        <f>IF($A1206="","",IF($D1206="V01",Cadrage!$C$24,IF($D1206="V02",Cadrage!$D$24,Cadrage!$E$24)))</f>
        <v>-0.05</v>
      </c>
      <c r="I1206">
        <f>IF($A1206="","",IF($D1206="V01",Cadrage!$C$34,IF($D1206="V02",Cadrage!$D$34,Cadrage!$E$34)))</f>
        <v>0.03</v>
      </c>
      <c r="J1206">
        <f>IF($A1206="","",IF($D1206="V01",Cadrage!$C$35,IF($D1206="V02",Cadrage!$D$35,Cadrage!$E$35)))</f>
        <v>0.03</v>
      </c>
      <c r="K1206">
        <f>IF($A1206="","",IF($D1206="V01",Cadrage!$C$36,IF($D1206="V02",Cadrage!$D$36,Cadrage!$E$36)))</f>
        <v>0.05</v>
      </c>
      <c r="L1206">
        <f>IF($A1206="","",IF($D1206="V01",Cadrage!$C$37,IF($D1206="V02",Cadrage!$D$37,Cadrage!$E$37)))</f>
        <v>0</v>
      </c>
      <c r="M1206">
        <f>IF($A1206="","",IF($D1206="V01",Cadrage!$C$38,IF($D1206="V02",Cadrage!$D$38,Cadrage!$E$38)))</f>
        <v>0.04</v>
      </c>
      <c r="N1206">
        <f t="shared" si="1"/>
        <v>0.980622079131853</v>
      </c>
      <c r="O1206">
        <f t="shared" si="2"/>
        <v>1.0712</v>
      </c>
      <c r="P1206">
        <f>IF($A1206="","",IF($E1206=1,$F1206*$O1206,PNL!G1206))</f>
        <v>605057.6792</v>
      </c>
      <c r="T1206">
        <f t="shared" si="3"/>
        <v>-605057.6792</v>
      </c>
    </row>
    <row r="1207" ht="14.25" customHeight="1">
      <c r="A1207" t="str">
        <f>IF(PNL!A1207="","",PNL!A1207)</f>
        <v>IPAC_MTP</v>
      </c>
      <c r="B1207" t="str">
        <f>IF(PNL!B1207="","",PNL!B1207)</f>
        <v>6231</v>
      </c>
      <c r="C1207" t="str">
        <f>IF(PNL!C1207="","",PNL!C1207)</f>
        <v>2027</v>
      </c>
      <c r="D1207" t="str">
        <f>IF(PNL!D1207="","",PNL!D1207)</f>
        <v>V03</v>
      </c>
      <c r="E1207">
        <f t="shared" si="0"/>
        <v>1</v>
      </c>
      <c r="F1207">
        <f>IF($A1207="","",IF($E1207=1,_xlfn.SUMIFS(Comptabilité!$F$1:$F$1446,Comptabilité!$A$1:$A$1446,$A1207,Comptabilité!$B$1:$B$1446,$B1207,Comptabilité!$C$1:$C$1446,"2026"),0))</f>
        <v>15178</v>
      </c>
      <c r="G1207">
        <f>IF($A1207="","",IF($D1207="V01",Cadrage!$C$23,IF($D1207="V02",Cadrage!$D$23,Cadrage!$E$23)))</f>
        <v>-0.05</v>
      </c>
      <c r="H1207">
        <f>IF($A1207="","",IF($D1207="V01",Cadrage!$C$24,IF($D1207="V02",Cadrage!$D$24,Cadrage!$E$24)))</f>
        <v>-0.05</v>
      </c>
      <c r="I1207">
        <f>IF($A1207="","",IF($D1207="V01",Cadrage!$C$34,IF($D1207="V02",Cadrage!$D$34,Cadrage!$E$34)))</f>
        <v>0.03</v>
      </c>
      <c r="J1207">
        <f>IF($A1207="","",IF($D1207="V01",Cadrage!$C$35,IF($D1207="V02",Cadrage!$D$35,Cadrage!$E$35)))</f>
        <v>0.03</v>
      </c>
      <c r="K1207">
        <f>IF($A1207="","",IF($D1207="V01",Cadrage!$C$36,IF($D1207="V02",Cadrage!$D$36,Cadrage!$E$36)))</f>
        <v>0.05</v>
      </c>
      <c r="L1207">
        <f>IF($A1207="","",IF($D1207="V01",Cadrage!$C$37,IF($D1207="V02",Cadrage!$D$37,Cadrage!$E$37)))</f>
        <v>0</v>
      </c>
      <c r="M1207">
        <f>IF($A1207="","",IF($D1207="V01",Cadrage!$C$38,IF($D1207="V02",Cadrage!$D$38,Cadrage!$E$38)))</f>
        <v>0.04</v>
      </c>
      <c r="N1207">
        <f t="shared" si="1"/>
        <v>0.980622079131853</v>
      </c>
      <c r="O1207">
        <f t="shared" si="2"/>
        <v>0.95</v>
      </c>
      <c r="P1207">
        <f>IF($A1207="","",IF($E1207=1,$F1207*$O1207,PNL!G1207))</f>
        <v>14419.1</v>
      </c>
      <c r="T1207">
        <f t="shared" si="3"/>
        <v>-14419.1</v>
      </c>
    </row>
    <row r="1208" ht="14.25" customHeight="1">
      <c r="A1208" t="str">
        <f>IF(PNL!A1208="","",PNL!A1208)</f>
        <v>IPAC_NAN</v>
      </c>
      <c r="B1208" t="str">
        <f>IF(PNL!B1208="","",PNL!B1208)</f>
        <v>6231</v>
      </c>
      <c r="C1208" t="str">
        <f>IF(PNL!C1208="","",PNL!C1208)</f>
        <v>2027</v>
      </c>
      <c r="D1208" t="str">
        <f>IF(PNL!D1208="","",PNL!D1208)</f>
        <v>V03</v>
      </c>
      <c r="E1208">
        <f t="shared" si="0"/>
        <v>1</v>
      </c>
      <c r="F1208">
        <f>IF($A1208="","",IF($E1208=1,_xlfn.SUMIFS(Comptabilité!$F$1:$F$1446,Comptabilité!$A$1:$A$1446,$A1208,Comptabilité!$B$1:$B$1446,$B1208,Comptabilité!$C$1:$C$1446,"2026"),0))</f>
        <v>21760</v>
      </c>
      <c r="G1208">
        <f>IF($A1208="","",IF($D1208="V01",Cadrage!$C$23,IF($D1208="V02",Cadrage!$D$23,Cadrage!$E$23)))</f>
        <v>-0.05</v>
      </c>
      <c r="H1208">
        <f>IF($A1208="","",IF($D1208="V01",Cadrage!$C$24,IF($D1208="V02",Cadrage!$D$24,Cadrage!$E$24)))</f>
        <v>-0.05</v>
      </c>
      <c r="I1208">
        <f>IF($A1208="","",IF($D1208="V01",Cadrage!$C$34,IF($D1208="V02",Cadrage!$D$34,Cadrage!$E$34)))</f>
        <v>0.03</v>
      </c>
      <c r="J1208">
        <f>IF($A1208="","",IF($D1208="V01",Cadrage!$C$35,IF($D1208="V02",Cadrage!$D$35,Cadrage!$E$35)))</f>
        <v>0.03</v>
      </c>
      <c r="K1208">
        <f>IF($A1208="","",IF($D1208="V01",Cadrage!$C$36,IF($D1208="V02",Cadrage!$D$36,Cadrage!$E$36)))</f>
        <v>0.05</v>
      </c>
      <c r="L1208">
        <f>IF($A1208="","",IF($D1208="V01",Cadrage!$C$37,IF($D1208="V02",Cadrage!$D$37,Cadrage!$E$37)))</f>
        <v>0</v>
      </c>
      <c r="M1208">
        <f>IF($A1208="","",IF($D1208="V01",Cadrage!$C$38,IF($D1208="V02",Cadrage!$D$38,Cadrage!$E$38)))</f>
        <v>0.04</v>
      </c>
      <c r="N1208">
        <f t="shared" si="1"/>
        <v>0.980622079131853</v>
      </c>
      <c r="O1208">
        <f t="shared" si="2"/>
        <v>0.95</v>
      </c>
      <c r="P1208">
        <f>IF($A1208="","",IF($E1208=1,$F1208*$O1208,PNL!G1208))</f>
        <v>20672</v>
      </c>
      <c r="T1208">
        <f t="shared" si="3"/>
        <v>-20672</v>
      </c>
    </row>
    <row r="1209" ht="14.25" customHeight="1">
      <c r="A1209" t="str">
        <f>IF(PNL!A1209="","",PNL!A1209)</f>
        <v>IPAC_REN</v>
      </c>
      <c r="B1209" t="str">
        <f>IF(PNL!B1209="","",PNL!B1209)</f>
        <v>6231</v>
      </c>
      <c r="C1209" t="str">
        <f>IF(PNL!C1209="","",PNL!C1209)</f>
        <v>2027</v>
      </c>
      <c r="D1209" t="str">
        <f>IF(PNL!D1209="","",PNL!D1209)</f>
        <v>V03</v>
      </c>
      <c r="E1209">
        <f t="shared" si="0"/>
        <v>1</v>
      </c>
      <c r="F1209">
        <f>IF($A1209="","",IF($E1209=1,_xlfn.SUMIFS(Comptabilité!$F$1:$F$1446,Comptabilité!$A$1:$A$1446,$A1209,Comptabilité!$B$1:$B$1446,$B1209,Comptabilité!$C$1:$C$1446,"2026"),0))</f>
        <v>14933</v>
      </c>
      <c r="G1209">
        <f>IF($A1209="","",IF($D1209="V01",Cadrage!$C$23,IF($D1209="V02",Cadrage!$D$23,Cadrage!$E$23)))</f>
        <v>-0.05</v>
      </c>
      <c r="H1209">
        <f>IF($A1209="","",IF($D1209="V01",Cadrage!$C$24,IF($D1209="V02",Cadrage!$D$24,Cadrage!$E$24)))</f>
        <v>-0.05</v>
      </c>
      <c r="I1209">
        <f>IF($A1209="","",IF($D1209="V01",Cadrage!$C$34,IF($D1209="V02",Cadrage!$D$34,Cadrage!$E$34)))</f>
        <v>0.03</v>
      </c>
      <c r="J1209">
        <f>IF($A1209="","",IF($D1209="V01",Cadrage!$C$35,IF($D1209="V02",Cadrage!$D$35,Cadrage!$E$35)))</f>
        <v>0.03</v>
      </c>
      <c r="K1209">
        <f>IF($A1209="","",IF($D1209="V01",Cadrage!$C$36,IF($D1209="V02",Cadrage!$D$36,Cadrage!$E$36)))</f>
        <v>0.05</v>
      </c>
      <c r="L1209">
        <f>IF($A1209="","",IF($D1209="V01",Cadrage!$C$37,IF($D1209="V02",Cadrage!$D$37,Cadrage!$E$37)))</f>
        <v>0</v>
      </c>
      <c r="M1209">
        <f>IF($A1209="","",IF($D1209="V01",Cadrage!$C$38,IF($D1209="V02",Cadrage!$D$38,Cadrage!$E$38)))</f>
        <v>0.04</v>
      </c>
      <c r="N1209">
        <f t="shared" si="1"/>
        <v>0.980622079131853</v>
      </c>
      <c r="O1209">
        <f t="shared" si="2"/>
        <v>0.95</v>
      </c>
      <c r="P1209">
        <f>IF($A1209="","",IF($E1209=1,$F1209*$O1209,PNL!G1209))</f>
        <v>14186.35</v>
      </c>
      <c r="T1209">
        <f t="shared" si="3"/>
        <v>-14186.35</v>
      </c>
    </row>
    <row r="1210" ht="14.25" customHeight="1">
      <c r="A1210" t="str">
        <f>IF(PNL!A1210="","",PNL!A1210)</f>
        <v>ISCOM_LIL</v>
      </c>
      <c r="B1210" t="str">
        <f>IF(PNL!B1210="","",PNL!B1210)</f>
        <v>6231</v>
      </c>
      <c r="C1210" t="str">
        <f>IF(PNL!C1210="","",PNL!C1210)</f>
        <v>2027</v>
      </c>
      <c r="D1210" t="str">
        <f>IF(PNL!D1210="","",PNL!D1210)</f>
        <v>V03</v>
      </c>
      <c r="E1210">
        <f t="shared" si="0"/>
        <v>1</v>
      </c>
      <c r="F1210">
        <f>IF($A1210="","",IF($E1210=1,_xlfn.SUMIFS(Comptabilité!$F$1:$F$1446,Comptabilité!$A$1:$A$1446,$A1210,Comptabilité!$B$1:$B$1446,$B1210,Comptabilité!$C$1:$C$1446,"2026"),0))</f>
        <v>25220</v>
      </c>
      <c r="G1210">
        <f>IF($A1210="","",IF($D1210="V01",Cadrage!$C$23,IF($D1210="V02",Cadrage!$D$23,Cadrage!$E$23)))</f>
        <v>-0.05</v>
      </c>
      <c r="H1210">
        <f>IF($A1210="","",IF($D1210="V01",Cadrage!$C$24,IF($D1210="V02",Cadrage!$D$24,Cadrage!$E$24)))</f>
        <v>-0.05</v>
      </c>
      <c r="I1210">
        <f>IF($A1210="","",IF($D1210="V01",Cadrage!$C$34,IF($D1210="V02",Cadrage!$D$34,Cadrage!$E$34)))</f>
        <v>0.03</v>
      </c>
      <c r="J1210">
        <f>IF($A1210="","",IF($D1210="V01",Cadrage!$C$35,IF($D1210="V02",Cadrage!$D$35,Cadrage!$E$35)))</f>
        <v>0.03</v>
      </c>
      <c r="K1210">
        <f>IF($A1210="","",IF($D1210="V01",Cadrage!$C$36,IF($D1210="V02",Cadrage!$D$36,Cadrage!$E$36)))</f>
        <v>0.05</v>
      </c>
      <c r="L1210">
        <f>IF($A1210="","",IF($D1210="V01",Cadrage!$C$37,IF($D1210="V02",Cadrage!$D$37,Cadrage!$E$37)))</f>
        <v>0</v>
      </c>
      <c r="M1210">
        <f>IF($A1210="","",IF($D1210="V01",Cadrage!$C$38,IF($D1210="V02",Cadrage!$D$38,Cadrage!$E$38)))</f>
        <v>0.04</v>
      </c>
      <c r="N1210">
        <f t="shared" si="1"/>
        <v>0.980622079131853</v>
      </c>
      <c r="O1210">
        <f t="shared" si="2"/>
        <v>0.95</v>
      </c>
      <c r="P1210">
        <f>IF($A1210="","",IF($E1210=1,$F1210*$O1210,PNL!G1210))</f>
        <v>23959</v>
      </c>
      <c r="T1210">
        <f t="shared" si="3"/>
        <v>-23959</v>
      </c>
    </row>
    <row r="1211" ht="14.25" customHeight="1">
      <c r="A1211" t="str">
        <f>IF(PNL!A1211="","",PNL!A1211)</f>
        <v>ISCOM_PAR</v>
      </c>
      <c r="B1211" t="str">
        <f>IF(PNL!B1211="","",PNL!B1211)</f>
        <v>6231</v>
      </c>
      <c r="C1211" t="str">
        <f>IF(PNL!C1211="","",PNL!C1211)</f>
        <v>2027</v>
      </c>
      <c r="D1211" t="str">
        <f>IF(PNL!D1211="","",PNL!D1211)</f>
        <v>V03</v>
      </c>
      <c r="E1211">
        <f t="shared" si="0"/>
        <v>1</v>
      </c>
      <c r="F1211">
        <f>IF($A1211="","",IF($E1211=1,_xlfn.SUMIFS(Comptabilité!$F$1:$F$1446,Comptabilité!$A$1:$A$1446,$A1211,Comptabilité!$B$1:$B$1446,$B1211,Comptabilité!$C$1:$C$1446,"2026"),0))</f>
        <v>60800</v>
      </c>
      <c r="G1211">
        <f>IF($A1211="","",IF($D1211="V01",Cadrage!$C$23,IF($D1211="V02",Cadrage!$D$23,Cadrage!$E$23)))</f>
        <v>-0.05</v>
      </c>
      <c r="H1211">
        <f>IF($A1211="","",IF($D1211="V01",Cadrage!$C$24,IF($D1211="V02",Cadrage!$D$24,Cadrage!$E$24)))</f>
        <v>-0.05</v>
      </c>
      <c r="I1211">
        <f>IF($A1211="","",IF($D1211="V01",Cadrage!$C$34,IF($D1211="V02",Cadrage!$D$34,Cadrage!$E$34)))</f>
        <v>0.03</v>
      </c>
      <c r="J1211">
        <f>IF($A1211="","",IF($D1211="V01",Cadrage!$C$35,IF($D1211="V02",Cadrage!$D$35,Cadrage!$E$35)))</f>
        <v>0.03</v>
      </c>
      <c r="K1211">
        <f>IF($A1211="","",IF($D1211="V01",Cadrage!$C$36,IF($D1211="V02",Cadrage!$D$36,Cadrage!$E$36)))</f>
        <v>0.05</v>
      </c>
      <c r="L1211">
        <f>IF($A1211="","",IF($D1211="V01",Cadrage!$C$37,IF($D1211="V02",Cadrage!$D$37,Cadrage!$E$37)))</f>
        <v>0</v>
      </c>
      <c r="M1211">
        <f>IF($A1211="","",IF($D1211="V01",Cadrage!$C$38,IF($D1211="V02",Cadrage!$D$38,Cadrage!$E$38)))</f>
        <v>0.04</v>
      </c>
      <c r="N1211">
        <f t="shared" si="1"/>
        <v>0.980622079131853</v>
      </c>
      <c r="O1211">
        <f t="shared" si="2"/>
        <v>0.95</v>
      </c>
      <c r="P1211">
        <f>IF($A1211="","",IF($E1211=1,$F1211*$O1211,PNL!G1211))</f>
        <v>57760</v>
      </c>
      <c r="T1211">
        <f t="shared" si="3"/>
        <v>-57760</v>
      </c>
    </row>
    <row r="1212" ht="14.25" customHeight="1">
      <c r="A1212" t="str">
        <f>IF(PNL!A1212="","",PNL!A1212)</f>
        <v>ISCOM_TLS</v>
      </c>
      <c r="B1212" t="str">
        <f>IF(PNL!B1212="","",PNL!B1212)</f>
        <v>6231</v>
      </c>
      <c r="C1212" t="str">
        <f>IF(PNL!C1212="","",PNL!C1212)</f>
        <v>2027</v>
      </c>
      <c r="D1212" t="str">
        <f>IF(PNL!D1212="","",PNL!D1212)</f>
        <v>V03</v>
      </c>
      <c r="E1212">
        <f t="shared" si="0"/>
        <v>1</v>
      </c>
      <c r="F1212">
        <f>IF($A1212="","",IF($E1212=1,_xlfn.SUMIFS(Comptabilité!$F$1:$F$1446,Comptabilité!$A$1:$A$1446,$A1212,Comptabilité!$B$1:$B$1446,$B1212,Comptabilité!$C$1:$C$1446,"2026"),0))</f>
        <v>22083</v>
      </c>
      <c r="G1212">
        <f>IF($A1212="","",IF($D1212="V01",Cadrage!$C$23,IF($D1212="V02",Cadrage!$D$23,Cadrage!$E$23)))</f>
        <v>-0.05</v>
      </c>
      <c r="H1212">
        <f>IF($A1212="","",IF($D1212="V01",Cadrage!$C$24,IF($D1212="V02",Cadrage!$D$24,Cadrage!$E$24)))</f>
        <v>-0.05</v>
      </c>
      <c r="I1212">
        <f>IF($A1212="","",IF($D1212="V01",Cadrage!$C$34,IF($D1212="V02",Cadrage!$D$34,Cadrage!$E$34)))</f>
        <v>0.03</v>
      </c>
      <c r="J1212">
        <f>IF($A1212="","",IF($D1212="V01",Cadrage!$C$35,IF($D1212="V02",Cadrage!$D$35,Cadrage!$E$35)))</f>
        <v>0.03</v>
      </c>
      <c r="K1212">
        <f>IF($A1212="","",IF($D1212="V01",Cadrage!$C$36,IF($D1212="V02",Cadrage!$D$36,Cadrage!$E$36)))</f>
        <v>0.05</v>
      </c>
      <c r="L1212">
        <f>IF($A1212="","",IF($D1212="V01",Cadrage!$C$37,IF($D1212="V02",Cadrage!$D$37,Cadrage!$E$37)))</f>
        <v>0</v>
      </c>
      <c r="M1212">
        <f>IF($A1212="","",IF($D1212="V01",Cadrage!$C$38,IF($D1212="V02",Cadrage!$D$38,Cadrage!$E$38)))</f>
        <v>0.04</v>
      </c>
      <c r="N1212">
        <f t="shared" si="1"/>
        <v>0.980622079131853</v>
      </c>
      <c r="O1212">
        <f t="shared" si="2"/>
        <v>0.95</v>
      </c>
      <c r="P1212">
        <f>IF($A1212="","",IF($E1212=1,$F1212*$O1212,PNL!G1212))</f>
        <v>20978.85</v>
      </c>
      <c r="T1212">
        <f t="shared" si="3"/>
        <v>-20978.85</v>
      </c>
    </row>
    <row r="1213" ht="14.25" customHeight="1">
      <c r="A1213" t="str">
        <f>IF(PNL!A1213="","",PNL!A1213)</f>
        <v>MBWAY_BOR</v>
      </c>
      <c r="B1213" t="str">
        <f>IF(PNL!B1213="","",PNL!B1213)</f>
        <v>6231</v>
      </c>
      <c r="C1213" t="str">
        <f>IF(PNL!C1213="","",PNL!C1213)</f>
        <v>2027</v>
      </c>
      <c r="D1213" t="str">
        <f>IF(PNL!D1213="","",PNL!D1213)</f>
        <v>V03</v>
      </c>
      <c r="E1213">
        <f t="shared" si="0"/>
        <v>1</v>
      </c>
      <c r="F1213">
        <f>IF($A1213="","",IF($E1213=1,_xlfn.SUMIFS(Comptabilité!$F$1:$F$1446,Comptabilité!$A$1:$A$1446,$A1213,Comptabilité!$B$1:$B$1446,$B1213,Comptabilité!$C$1:$C$1446,"2026"),0))</f>
        <v>24923</v>
      </c>
      <c r="G1213">
        <f>IF($A1213="","",IF($D1213="V01",Cadrage!$C$23,IF($D1213="V02",Cadrage!$D$23,Cadrage!$E$23)))</f>
        <v>-0.05</v>
      </c>
      <c r="H1213">
        <f>IF($A1213="","",IF($D1213="V01",Cadrage!$C$24,IF($D1213="V02",Cadrage!$D$24,Cadrage!$E$24)))</f>
        <v>-0.05</v>
      </c>
      <c r="I1213">
        <f>IF($A1213="","",IF($D1213="V01",Cadrage!$C$34,IF($D1213="V02",Cadrage!$D$34,Cadrage!$E$34)))</f>
        <v>0.03</v>
      </c>
      <c r="J1213">
        <f>IF($A1213="","",IF($D1213="V01",Cadrage!$C$35,IF($D1213="V02",Cadrage!$D$35,Cadrage!$E$35)))</f>
        <v>0.03</v>
      </c>
      <c r="K1213">
        <f>IF($A1213="","",IF($D1213="V01",Cadrage!$C$36,IF($D1213="V02",Cadrage!$D$36,Cadrage!$E$36)))</f>
        <v>0.05</v>
      </c>
      <c r="L1213">
        <f>IF($A1213="","",IF($D1213="V01",Cadrage!$C$37,IF($D1213="V02",Cadrage!$D$37,Cadrage!$E$37)))</f>
        <v>0</v>
      </c>
      <c r="M1213">
        <f>IF($A1213="","",IF($D1213="V01",Cadrage!$C$38,IF($D1213="V02",Cadrage!$D$38,Cadrage!$E$38)))</f>
        <v>0.04</v>
      </c>
      <c r="N1213">
        <f t="shared" si="1"/>
        <v>0.980622079131853</v>
      </c>
      <c r="O1213">
        <f t="shared" si="2"/>
        <v>0.95</v>
      </c>
      <c r="P1213">
        <f>IF($A1213="","",IF($E1213=1,$F1213*$O1213,PNL!G1213))</f>
        <v>23676.85</v>
      </c>
      <c r="T1213">
        <f t="shared" si="3"/>
        <v>-23676.85</v>
      </c>
    </row>
    <row r="1214" ht="14.25" customHeight="1">
      <c r="A1214" t="str">
        <f>IF(PNL!A1214="","",PNL!A1214)</f>
        <v>MBWAY_LYO</v>
      </c>
      <c r="B1214" t="str">
        <f>IF(PNL!B1214="","",PNL!B1214)</f>
        <v>6231</v>
      </c>
      <c r="C1214" t="str">
        <f>IF(PNL!C1214="","",PNL!C1214)</f>
        <v>2027</v>
      </c>
      <c r="D1214" t="str">
        <f>IF(PNL!D1214="","",PNL!D1214)</f>
        <v>V03</v>
      </c>
      <c r="E1214">
        <f t="shared" si="0"/>
        <v>1</v>
      </c>
      <c r="F1214">
        <f>IF($A1214="","",IF($E1214=1,_xlfn.SUMIFS(Comptabilité!$F$1:$F$1446,Comptabilité!$A$1:$A$1446,$A1214,Comptabilité!$B$1:$B$1446,$B1214,Comptabilité!$C$1:$C$1446,"2026"),0))</f>
        <v>41783</v>
      </c>
      <c r="G1214">
        <f>IF($A1214="","",IF($D1214="V01",Cadrage!$C$23,IF($D1214="V02",Cadrage!$D$23,Cadrage!$E$23)))</f>
        <v>-0.05</v>
      </c>
      <c r="H1214">
        <f>IF($A1214="","",IF($D1214="V01",Cadrage!$C$24,IF($D1214="V02",Cadrage!$D$24,Cadrage!$E$24)))</f>
        <v>-0.05</v>
      </c>
      <c r="I1214">
        <f>IF($A1214="","",IF($D1214="V01",Cadrage!$C$34,IF($D1214="V02",Cadrage!$D$34,Cadrage!$E$34)))</f>
        <v>0.03</v>
      </c>
      <c r="J1214">
        <f>IF($A1214="","",IF($D1214="V01",Cadrage!$C$35,IF($D1214="V02",Cadrage!$D$35,Cadrage!$E$35)))</f>
        <v>0.03</v>
      </c>
      <c r="K1214">
        <f>IF($A1214="","",IF($D1214="V01",Cadrage!$C$36,IF($D1214="V02",Cadrage!$D$36,Cadrage!$E$36)))</f>
        <v>0.05</v>
      </c>
      <c r="L1214">
        <f>IF($A1214="","",IF($D1214="V01",Cadrage!$C$37,IF($D1214="V02",Cadrage!$D$37,Cadrage!$E$37)))</f>
        <v>0</v>
      </c>
      <c r="M1214">
        <f>IF($A1214="","",IF($D1214="V01",Cadrage!$C$38,IF($D1214="V02",Cadrage!$D$38,Cadrage!$E$38)))</f>
        <v>0.04</v>
      </c>
      <c r="N1214">
        <f t="shared" si="1"/>
        <v>0.980622079131853</v>
      </c>
      <c r="O1214">
        <f t="shared" si="2"/>
        <v>0.95</v>
      </c>
      <c r="P1214">
        <f>IF($A1214="","",IF($E1214=1,$F1214*$O1214,PNL!G1214))</f>
        <v>39693.85</v>
      </c>
      <c r="T1214">
        <f t="shared" si="3"/>
        <v>-39693.85</v>
      </c>
    </row>
    <row r="1215" ht="14.25" customHeight="1">
      <c r="A1215" t="str">
        <f>IF(PNL!A1215="","",PNL!A1215)</f>
        <v>MBWAY_NAN</v>
      </c>
      <c r="B1215" t="str">
        <f>IF(PNL!B1215="","",PNL!B1215)</f>
        <v>6231</v>
      </c>
      <c r="C1215" t="str">
        <f>IF(PNL!C1215="","",PNL!C1215)</f>
        <v>2027</v>
      </c>
      <c r="D1215" t="str">
        <f>IF(PNL!D1215="","",PNL!D1215)</f>
        <v>V03</v>
      </c>
      <c r="E1215">
        <f t="shared" si="0"/>
        <v>1</v>
      </c>
      <c r="F1215">
        <f>IF($A1215="","",IF($E1215=1,_xlfn.SUMIFS(Comptabilité!$F$1:$F$1446,Comptabilité!$A$1:$A$1446,$A1215,Comptabilité!$B$1:$B$1446,$B1215,Comptabilité!$C$1:$C$1446,"2026"),0))</f>
        <v>31533</v>
      </c>
      <c r="G1215">
        <f>IF($A1215="","",IF($D1215="V01",Cadrage!$C$23,IF($D1215="V02",Cadrage!$D$23,Cadrage!$E$23)))</f>
        <v>-0.05</v>
      </c>
      <c r="H1215">
        <f>IF($A1215="","",IF($D1215="V01",Cadrage!$C$24,IF($D1215="V02",Cadrage!$D$24,Cadrage!$E$24)))</f>
        <v>-0.05</v>
      </c>
      <c r="I1215">
        <f>IF($A1215="","",IF($D1215="V01",Cadrage!$C$34,IF($D1215="V02",Cadrage!$D$34,Cadrage!$E$34)))</f>
        <v>0.03</v>
      </c>
      <c r="J1215">
        <f>IF($A1215="","",IF($D1215="V01",Cadrage!$C$35,IF($D1215="V02",Cadrage!$D$35,Cadrage!$E$35)))</f>
        <v>0.03</v>
      </c>
      <c r="K1215">
        <f>IF($A1215="","",IF($D1215="V01",Cadrage!$C$36,IF($D1215="V02",Cadrage!$D$36,Cadrage!$E$36)))</f>
        <v>0.05</v>
      </c>
      <c r="L1215">
        <f>IF($A1215="","",IF($D1215="V01",Cadrage!$C$37,IF($D1215="V02",Cadrage!$D$37,Cadrage!$E$37)))</f>
        <v>0</v>
      </c>
      <c r="M1215">
        <f>IF($A1215="","",IF($D1215="V01",Cadrage!$C$38,IF($D1215="V02",Cadrage!$D$38,Cadrage!$E$38)))</f>
        <v>0.04</v>
      </c>
      <c r="N1215">
        <f t="shared" si="1"/>
        <v>0.980622079131853</v>
      </c>
      <c r="O1215">
        <f t="shared" si="2"/>
        <v>0.95</v>
      </c>
      <c r="P1215">
        <f>IF($A1215="","",IF($E1215=1,$F1215*$O1215,PNL!G1215))</f>
        <v>29956.35</v>
      </c>
      <c r="T1215">
        <f t="shared" si="3"/>
        <v>-29956.35</v>
      </c>
    </row>
    <row r="1216" ht="14.25" customHeight="1">
      <c r="A1216" t="str">
        <f>IF(PNL!A1216="","",PNL!A1216)</f>
        <v>MBWAY_PAR</v>
      </c>
      <c r="B1216" t="str">
        <f>IF(PNL!B1216="","",PNL!B1216)</f>
        <v>6231</v>
      </c>
      <c r="C1216" t="str">
        <f>IF(PNL!C1216="","",PNL!C1216)</f>
        <v>2027</v>
      </c>
      <c r="D1216" t="str">
        <f>IF(PNL!D1216="","",PNL!D1216)</f>
        <v>V03</v>
      </c>
      <c r="E1216">
        <f t="shared" si="0"/>
        <v>1</v>
      </c>
      <c r="F1216">
        <f>IF($A1216="","",IF($E1216=1,_xlfn.SUMIFS(Comptabilité!$F$1:$F$1446,Comptabilité!$A$1:$A$1446,$A1216,Comptabilité!$B$1:$B$1446,$B1216,Comptabilité!$C$1:$C$1446,"2026"),0))</f>
        <v>68291</v>
      </c>
      <c r="G1216">
        <f>IF($A1216="","",IF($D1216="V01",Cadrage!$C$23,IF($D1216="V02",Cadrage!$D$23,Cadrage!$E$23)))</f>
        <v>-0.05</v>
      </c>
      <c r="H1216">
        <f>IF($A1216="","",IF($D1216="V01",Cadrage!$C$24,IF($D1216="V02",Cadrage!$D$24,Cadrage!$E$24)))</f>
        <v>-0.05</v>
      </c>
      <c r="I1216">
        <f>IF($A1216="","",IF($D1216="V01",Cadrage!$C$34,IF($D1216="V02",Cadrage!$D$34,Cadrage!$E$34)))</f>
        <v>0.03</v>
      </c>
      <c r="J1216">
        <f>IF($A1216="","",IF($D1216="V01",Cadrage!$C$35,IF($D1216="V02",Cadrage!$D$35,Cadrage!$E$35)))</f>
        <v>0.03</v>
      </c>
      <c r="K1216">
        <f>IF($A1216="","",IF($D1216="V01",Cadrage!$C$36,IF($D1216="V02",Cadrage!$D$36,Cadrage!$E$36)))</f>
        <v>0.05</v>
      </c>
      <c r="L1216">
        <f>IF($A1216="","",IF($D1216="V01",Cadrage!$C$37,IF($D1216="V02",Cadrage!$D$37,Cadrage!$E$37)))</f>
        <v>0</v>
      </c>
      <c r="M1216">
        <f>IF($A1216="","",IF($D1216="V01",Cadrage!$C$38,IF($D1216="V02",Cadrage!$D$38,Cadrage!$E$38)))</f>
        <v>0.04</v>
      </c>
      <c r="N1216">
        <f t="shared" si="1"/>
        <v>0.980622079131853</v>
      </c>
      <c r="O1216">
        <f t="shared" si="2"/>
        <v>0.95</v>
      </c>
      <c r="P1216">
        <f>IF($A1216="","",IF($E1216=1,$F1216*$O1216,PNL!G1216))</f>
        <v>64876.45</v>
      </c>
      <c r="T1216">
        <f t="shared" si="3"/>
        <v>-64876.45</v>
      </c>
    </row>
    <row r="1217" ht="14.25" customHeight="1">
      <c r="A1217" t="str">
        <f>IF(PNL!A1217="","",PNL!A1217)</f>
        <v>PIGIER_BOR</v>
      </c>
      <c r="B1217" t="str">
        <f>IF(PNL!B1217="","",PNL!B1217)</f>
        <v>6231</v>
      </c>
      <c r="C1217" t="str">
        <f>IF(PNL!C1217="","",PNL!C1217)</f>
        <v>2027</v>
      </c>
      <c r="D1217" t="str">
        <f>IF(PNL!D1217="","",PNL!D1217)</f>
        <v>V03</v>
      </c>
      <c r="E1217">
        <f t="shared" si="0"/>
        <v>1</v>
      </c>
      <c r="F1217">
        <f>IF($A1217="","",IF($E1217=1,_xlfn.SUMIFS(Comptabilité!$F$1:$F$1446,Comptabilité!$A$1:$A$1446,$A1217,Comptabilité!$B$1:$B$1446,$B1217,Comptabilité!$C$1:$C$1446,"2026"),0))</f>
        <v>21968</v>
      </c>
      <c r="G1217">
        <f>IF($A1217="","",IF($D1217="V01",Cadrage!$C$23,IF($D1217="V02",Cadrage!$D$23,Cadrage!$E$23)))</f>
        <v>-0.05</v>
      </c>
      <c r="H1217">
        <f>IF($A1217="","",IF($D1217="V01",Cadrage!$C$24,IF($D1217="V02",Cadrage!$D$24,Cadrage!$E$24)))</f>
        <v>-0.05</v>
      </c>
      <c r="I1217">
        <f>IF($A1217="","",IF($D1217="V01",Cadrage!$C$34,IF($D1217="V02",Cadrage!$D$34,Cadrage!$E$34)))</f>
        <v>0.03</v>
      </c>
      <c r="J1217">
        <f>IF($A1217="","",IF($D1217="V01",Cadrage!$C$35,IF($D1217="V02",Cadrage!$D$35,Cadrage!$E$35)))</f>
        <v>0.03</v>
      </c>
      <c r="K1217">
        <f>IF($A1217="","",IF($D1217="V01",Cadrage!$C$36,IF($D1217="V02",Cadrage!$D$36,Cadrage!$E$36)))</f>
        <v>0.05</v>
      </c>
      <c r="L1217">
        <f>IF($A1217="","",IF($D1217="V01",Cadrage!$C$37,IF($D1217="V02",Cadrage!$D$37,Cadrage!$E$37)))</f>
        <v>0</v>
      </c>
      <c r="M1217">
        <f>IF($A1217="","",IF($D1217="V01",Cadrage!$C$38,IF($D1217="V02",Cadrage!$D$38,Cadrage!$E$38)))</f>
        <v>0.04</v>
      </c>
      <c r="N1217">
        <f t="shared" si="1"/>
        <v>0.980622079131853</v>
      </c>
      <c r="O1217">
        <f t="shared" si="2"/>
        <v>0.95</v>
      </c>
      <c r="P1217">
        <f>IF($A1217="","",IF($E1217=1,$F1217*$O1217,PNL!G1217))</f>
        <v>20869.6</v>
      </c>
      <c r="T1217">
        <f t="shared" si="3"/>
        <v>-20869.6</v>
      </c>
    </row>
    <row r="1218" ht="14.25" customHeight="1">
      <c r="A1218" t="str">
        <f>IF(PNL!A1218="","",PNL!A1218)</f>
        <v>PIGIER_LYO</v>
      </c>
      <c r="B1218" t="str">
        <f>IF(PNL!B1218="","",PNL!B1218)</f>
        <v>6231</v>
      </c>
      <c r="C1218" t="str">
        <f>IF(PNL!C1218="","",PNL!C1218)</f>
        <v>2027</v>
      </c>
      <c r="D1218" t="str">
        <f>IF(PNL!D1218="","",PNL!D1218)</f>
        <v>V03</v>
      </c>
      <c r="E1218">
        <f t="shared" si="0"/>
        <v>1</v>
      </c>
      <c r="F1218">
        <f>IF($A1218="","",IF($E1218=1,_xlfn.SUMIFS(Comptabilité!$F$1:$F$1446,Comptabilité!$A$1:$A$1446,$A1218,Comptabilité!$B$1:$B$1446,$B1218,Comptabilité!$C$1:$C$1446,"2026"),0))</f>
        <v>36612</v>
      </c>
      <c r="G1218">
        <f>IF($A1218="","",IF($D1218="V01",Cadrage!$C$23,IF($D1218="V02",Cadrage!$D$23,Cadrage!$E$23)))</f>
        <v>-0.05</v>
      </c>
      <c r="H1218">
        <f>IF($A1218="","",IF($D1218="V01",Cadrage!$C$24,IF($D1218="V02",Cadrage!$D$24,Cadrage!$E$24)))</f>
        <v>-0.05</v>
      </c>
      <c r="I1218">
        <f>IF($A1218="","",IF($D1218="V01",Cadrage!$C$34,IF($D1218="V02",Cadrage!$D$34,Cadrage!$E$34)))</f>
        <v>0.03</v>
      </c>
      <c r="J1218">
        <f>IF($A1218="","",IF($D1218="V01",Cadrage!$C$35,IF($D1218="V02",Cadrage!$D$35,Cadrage!$E$35)))</f>
        <v>0.03</v>
      </c>
      <c r="K1218">
        <f>IF($A1218="","",IF($D1218="V01",Cadrage!$C$36,IF($D1218="V02",Cadrage!$D$36,Cadrage!$E$36)))</f>
        <v>0.05</v>
      </c>
      <c r="L1218">
        <f>IF($A1218="","",IF($D1218="V01",Cadrage!$C$37,IF($D1218="V02",Cadrage!$D$37,Cadrage!$E$37)))</f>
        <v>0</v>
      </c>
      <c r="M1218">
        <f>IF($A1218="","",IF($D1218="V01",Cadrage!$C$38,IF($D1218="V02",Cadrage!$D$38,Cadrage!$E$38)))</f>
        <v>0.04</v>
      </c>
      <c r="N1218">
        <f t="shared" si="1"/>
        <v>0.980622079131853</v>
      </c>
      <c r="O1218">
        <f t="shared" si="2"/>
        <v>0.95</v>
      </c>
      <c r="P1218">
        <f>IF($A1218="","",IF($E1218=1,$F1218*$O1218,PNL!G1218))</f>
        <v>34781.4</v>
      </c>
      <c r="T1218">
        <f t="shared" si="3"/>
        <v>-34781.4</v>
      </c>
    </row>
    <row r="1219" ht="14.25" customHeight="1">
      <c r="A1219" t="str">
        <f>IF(PNL!A1219="","",PNL!A1219)</f>
        <v>TUNON_LYO</v>
      </c>
      <c r="B1219" t="str">
        <f>IF(PNL!B1219="","",PNL!B1219)</f>
        <v>6231</v>
      </c>
      <c r="C1219" t="str">
        <f>IF(PNL!C1219="","",PNL!C1219)</f>
        <v>2027</v>
      </c>
      <c r="D1219" t="str">
        <f>IF(PNL!D1219="","",PNL!D1219)</f>
        <v>V03</v>
      </c>
      <c r="E1219">
        <f t="shared" si="0"/>
        <v>1</v>
      </c>
      <c r="F1219">
        <f>IF($A1219="","",IF($E1219=1,_xlfn.SUMIFS(Comptabilité!$F$1:$F$1446,Comptabilité!$A$1:$A$1446,$A1219,Comptabilité!$B$1:$B$1446,$B1219,Comptabilité!$C$1:$C$1446,"2026"),0))</f>
        <v>18850</v>
      </c>
      <c r="G1219">
        <f>IF($A1219="","",IF($D1219="V01",Cadrage!$C$23,IF($D1219="V02",Cadrage!$D$23,Cadrage!$E$23)))</f>
        <v>-0.05</v>
      </c>
      <c r="H1219">
        <f>IF($A1219="","",IF($D1219="V01",Cadrage!$C$24,IF($D1219="V02",Cadrage!$D$24,Cadrage!$E$24)))</f>
        <v>-0.05</v>
      </c>
      <c r="I1219">
        <f>IF($A1219="","",IF($D1219="V01",Cadrage!$C$34,IF($D1219="V02",Cadrage!$D$34,Cadrage!$E$34)))</f>
        <v>0.03</v>
      </c>
      <c r="J1219">
        <f>IF($A1219="","",IF($D1219="V01",Cadrage!$C$35,IF($D1219="V02",Cadrage!$D$35,Cadrage!$E$35)))</f>
        <v>0.03</v>
      </c>
      <c r="K1219">
        <f>IF($A1219="","",IF($D1219="V01",Cadrage!$C$36,IF($D1219="V02",Cadrage!$D$36,Cadrage!$E$36)))</f>
        <v>0.05</v>
      </c>
      <c r="L1219">
        <f>IF($A1219="","",IF($D1219="V01",Cadrage!$C$37,IF($D1219="V02",Cadrage!$D$37,Cadrage!$E$37)))</f>
        <v>0</v>
      </c>
      <c r="M1219">
        <f>IF($A1219="","",IF($D1219="V01",Cadrage!$C$38,IF($D1219="V02",Cadrage!$D$38,Cadrage!$E$38)))</f>
        <v>0.04</v>
      </c>
      <c r="N1219">
        <f t="shared" si="1"/>
        <v>0.980622079131853</v>
      </c>
      <c r="O1219">
        <f t="shared" si="2"/>
        <v>0.95</v>
      </c>
      <c r="P1219">
        <f>IF($A1219="","",IF($E1219=1,$F1219*$O1219,PNL!G1219))</f>
        <v>17907.5</v>
      </c>
      <c r="T1219">
        <f t="shared" si="3"/>
        <v>-17907.5</v>
      </c>
    </row>
    <row r="1220" ht="14.25" customHeight="1">
      <c r="A1220" t="str">
        <f>IF(PNL!A1220="","",PNL!A1220)</f>
        <v>TUNON_PAR</v>
      </c>
      <c r="B1220" t="str">
        <f>IF(PNL!B1220="","",PNL!B1220)</f>
        <v>6231</v>
      </c>
      <c r="C1220" t="str">
        <f>IF(PNL!C1220="","",PNL!C1220)</f>
        <v>2027</v>
      </c>
      <c r="D1220" t="str">
        <f>IF(PNL!D1220="","",PNL!D1220)</f>
        <v>V03</v>
      </c>
      <c r="E1220">
        <f t="shared" si="0"/>
        <v>1</v>
      </c>
      <c r="F1220">
        <f>IF($A1220="","",IF($E1220=1,_xlfn.SUMIFS(Comptabilité!$F$1:$F$1446,Comptabilité!$A$1:$A$1446,$A1220,Comptabilité!$B$1:$B$1446,$B1220,Comptabilité!$C$1:$C$1446,"2026"),0))</f>
        <v>30240</v>
      </c>
      <c r="G1220">
        <f>IF($A1220="","",IF($D1220="V01",Cadrage!$C$23,IF($D1220="V02",Cadrage!$D$23,Cadrage!$E$23)))</f>
        <v>-0.05</v>
      </c>
      <c r="H1220">
        <f>IF($A1220="","",IF($D1220="V01",Cadrage!$C$24,IF($D1220="V02",Cadrage!$D$24,Cadrage!$E$24)))</f>
        <v>-0.05</v>
      </c>
      <c r="I1220">
        <f>IF($A1220="","",IF($D1220="V01",Cadrage!$C$34,IF($D1220="V02",Cadrage!$D$34,Cadrage!$E$34)))</f>
        <v>0.03</v>
      </c>
      <c r="J1220">
        <f>IF($A1220="","",IF($D1220="V01",Cadrage!$C$35,IF($D1220="V02",Cadrage!$D$35,Cadrage!$E$35)))</f>
        <v>0.03</v>
      </c>
      <c r="K1220">
        <f>IF($A1220="","",IF($D1220="V01",Cadrage!$C$36,IF($D1220="V02",Cadrage!$D$36,Cadrage!$E$36)))</f>
        <v>0.05</v>
      </c>
      <c r="L1220">
        <f>IF($A1220="","",IF($D1220="V01",Cadrage!$C$37,IF($D1220="V02",Cadrage!$D$37,Cadrage!$E$37)))</f>
        <v>0</v>
      </c>
      <c r="M1220">
        <f>IF($A1220="","",IF($D1220="V01",Cadrage!$C$38,IF($D1220="V02",Cadrage!$D$38,Cadrage!$E$38)))</f>
        <v>0.04</v>
      </c>
      <c r="N1220">
        <f t="shared" si="1"/>
        <v>0.980622079131853</v>
      </c>
      <c r="O1220">
        <f t="shared" si="2"/>
        <v>0.95</v>
      </c>
      <c r="P1220">
        <f>IF($A1220="","",IF($E1220=1,$F1220*$O1220,PNL!G1220))</f>
        <v>28728</v>
      </c>
      <c r="T1220">
        <f t="shared" si="3"/>
        <v>-28728</v>
      </c>
    </row>
    <row r="1221" ht="14.25" customHeight="1">
      <c r="A1221" t="str">
        <f>IF(PNL!A1221="","",PNL!A1221)</f>
        <v>GRP</v>
      </c>
      <c r="B1221" t="str">
        <f>IF(PNL!B1221="","",PNL!B1221)</f>
        <v>6236</v>
      </c>
      <c r="C1221" t="str">
        <f>IF(PNL!C1221="","",PNL!C1221)</f>
        <v>2027</v>
      </c>
      <c r="D1221" t="str">
        <f>IF(PNL!D1221="","",PNL!D1221)</f>
        <v>V03</v>
      </c>
      <c r="E1221">
        <f t="shared" si="0"/>
        <v>1</v>
      </c>
      <c r="F1221">
        <f>IF($A1221="","",IF($E1221=1,_xlfn.SUMIFS(Comptabilité!$F$1:$F$1446,Comptabilité!$A$1:$A$1446,$A1221,Comptabilité!$B$1:$B$1446,$B1221,Comptabilité!$C$1:$C$1446,"2026"),0))</f>
        <v>676344</v>
      </c>
      <c r="G1221">
        <f>IF($A1221="","",IF($D1221="V01",Cadrage!$C$23,IF($D1221="V02",Cadrage!$D$23,Cadrage!$E$23)))</f>
        <v>-0.05</v>
      </c>
      <c r="H1221">
        <f>IF($A1221="","",IF($D1221="V01",Cadrage!$C$24,IF($D1221="V02",Cadrage!$D$24,Cadrage!$E$24)))</f>
        <v>-0.05</v>
      </c>
      <c r="I1221">
        <f>IF($A1221="","",IF($D1221="V01",Cadrage!$C$34,IF($D1221="V02",Cadrage!$D$34,Cadrage!$E$34)))</f>
        <v>0.03</v>
      </c>
      <c r="J1221">
        <f>IF($A1221="","",IF($D1221="V01",Cadrage!$C$35,IF($D1221="V02",Cadrage!$D$35,Cadrage!$E$35)))</f>
        <v>0.03</v>
      </c>
      <c r="K1221">
        <f>IF($A1221="","",IF($D1221="V01",Cadrage!$C$36,IF($D1221="V02",Cadrage!$D$36,Cadrage!$E$36)))</f>
        <v>0.05</v>
      </c>
      <c r="L1221">
        <f>IF($A1221="","",IF($D1221="V01",Cadrage!$C$37,IF($D1221="V02",Cadrage!$D$37,Cadrage!$E$37)))</f>
        <v>0</v>
      </c>
      <c r="M1221">
        <f>IF($A1221="","",IF($D1221="V01",Cadrage!$C$38,IF($D1221="V02",Cadrage!$D$38,Cadrage!$E$38)))</f>
        <v>0.04</v>
      </c>
      <c r="N1221">
        <f t="shared" si="1"/>
        <v>0.980622079131853</v>
      </c>
      <c r="O1221">
        <f t="shared" si="2"/>
        <v>0.95</v>
      </c>
      <c r="P1221">
        <f>IF($A1221="","",IF($E1221=1,$F1221*$O1221,PNL!G1221))</f>
        <v>642526.8</v>
      </c>
      <c r="T1221">
        <f t="shared" si="3"/>
        <v>-642526.8</v>
      </c>
    </row>
    <row r="1222" ht="14.25" customHeight="1">
      <c r="A1222" t="str">
        <f>IF(PNL!A1222="","",PNL!A1222)</f>
        <v>IPAC_MTP</v>
      </c>
      <c r="B1222" t="str">
        <f>IF(PNL!B1222="","",PNL!B1222)</f>
        <v>625</v>
      </c>
      <c r="C1222" t="str">
        <f>IF(PNL!C1222="","",PNL!C1222)</f>
        <v>2027</v>
      </c>
      <c r="D1222" t="str">
        <f>IF(PNL!D1222="","",PNL!D1222)</f>
        <v>V03</v>
      </c>
      <c r="E1222">
        <f t="shared" si="0"/>
        <v>1</v>
      </c>
      <c r="F1222">
        <f>IF($A1222="","",IF($E1222=1,_xlfn.SUMIFS(Comptabilité!$F$1:$F$1446,Comptabilité!$A$1:$A$1446,$A1222,Comptabilité!$B$1:$B$1446,$B1222,Comptabilité!$C$1:$C$1446,"2026"),0))</f>
        <v>10026.93</v>
      </c>
      <c r="G1222">
        <f>IF($A1222="","",IF($D1222="V01",Cadrage!$C$23,IF($D1222="V02",Cadrage!$D$23,Cadrage!$E$23)))</f>
        <v>-0.05</v>
      </c>
      <c r="H1222">
        <f>IF($A1222="","",IF($D1222="V01",Cadrage!$C$24,IF($D1222="V02",Cadrage!$D$24,Cadrage!$E$24)))</f>
        <v>-0.05</v>
      </c>
      <c r="I1222">
        <f>IF($A1222="","",IF($D1222="V01",Cadrage!$C$34,IF($D1222="V02",Cadrage!$D$34,Cadrage!$E$34)))</f>
        <v>0.03</v>
      </c>
      <c r="J1222">
        <f>IF($A1222="","",IF($D1222="V01",Cadrage!$C$35,IF($D1222="V02",Cadrage!$D$35,Cadrage!$E$35)))</f>
        <v>0.03</v>
      </c>
      <c r="K1222">
        <f>IF($A1222="","",IF($D1222="V01",Cadrage!$C$36,IF($D1222="V02",Cadrage!$D$36,Cadrage!$E$36)))</f>
        <v>0.05</v>
      </c>
      <c r="L1222">
        <f>IF($A1222="","",IF($D1222="V01",Cadrage!$C$37,IF($D1222="V02",Cadrage!$D$37,Cadrage!$E$37)))</f>
        <v>0</v>
      </c>
      <c r="M1222">
        <f>IF($A1222="","",IF($D1222="V01",Cadrage!$C$38,IF($D1222="V02",Cadrage!$D$38,Cadrage!$E$38)))</f>
        <v>0.04</v>
      </c>
      <c r="N1222">
        <f t="shared" si="1"/>
        <v>0.980622079131853</v>
      </c>
      <c r="O1222">
        <f t="shared" si="2"/>
        <v>1.0712</v>
      </c>
      <c r="P1222">
        <f>IF($A1222="","",IF($E1222=1,$F1222*$O1222,PNL!G1222))</f>
        <v>10740.847416</v>
      </c>
      <c r="T1222">
        <f t="shared" si="3"/>
        <v>-10740.847416</v>
      </c>
    </row>
    <row r="1223" ht="14.25" customHeight="1">
      <c r="A1223" t="str">
        <f>IF(PNL!A1223="","",PNL!A1223)</f>
        <v>IPAC_NAN</v>
      </c>
      <c r="B1223" t="str">
        <f>IF(PNL!B1223="","",PNL!B1223)</f>
        <v>625</v>
      </c>
      <c r="C1223" t="str">
        <f>IF(PNL!C1223="","",PNL!C1223)</f>
        <v>2027</v>
      </c>
      <c r="D1223" t="str">
        <f>IF(PNL!D1223="","",PNL!D1223)</f>
        <v>V03</v>
      </c>
      <c r="E1223">
        <f t="shared" si="0"/>
        <v>1</v>
      </c>
      <c r="F1223">
        <f>IF($A1223="","",IF($E1223=1,_xlfn.SUMIFS(Comptabilité!$F$1:$F$1446,Comptabilité!$A$1:$A$1446,$A1223,Comptabilité!$B$1:$B$1446,$B1223,Comptabilité!$C$1:$C$1446,"2026"),0))</f>
        <v>15357.07</v>
      </c>
      <c r="G1223">
        <f>IF($A1223="","",IF($D1223="V01",Cadrage!$C$23,IF($D1223="V02",Cadrage!$D$23,Cadrage!$E$23)))</f>
        <v>-0.05</v>
      </c>
      <c r="H1223">
        <f>IF($A1223="","",IF($D1223="V01",Cadrage!$C$24,IF($D1223="V02",Cadrage!$D$24,Cadrage!$E$24)))</f>
        <v>-0.05</v>
      </c>
      <c r="I1223">
        <f>IF($A1223="","",IF($D1223="V01",Cadrage!$C$34,IF($D1223="V02",Cadrage!$D$34,Cadrage!$E$34)))</f>
        <v>0.03</v>
      </c>
      <c r="J1223">
        <f>IF($A1223="","",IF($D1223="V01",Cadrage!$C$35,IF($D1223="V02",Cadrage!$D$35,Cadrage!$E$35)))</f>
        <v>0.03</v>
      </c>
      <c r="K1223">
        <f>IF($A1223="","",IF($D1223="V01",Cadrage!$C$36,IF($D1223="V02",Cadrage!$D$36,Cadrage!$E$36)))</f>
        <v>0.05</v>
      </c>
      <c r="L1223">
        <f>IF($A1223="","",IF($D1223="V01",Cadrage!$C$37,IF($D1223="V02",Cadrage!$D$37,Cadrage!$E$37)))</f>
        <v>0</v>
      </c>
      <c r="M1223">
        <f>IF($A1223="","",IF($D1223="V01",Cadrage!$C$38,IF($D1223="V02",Cadrage!$D$38,Cadrage!$E$38)))</f>
        <v>0.04</v>
      </c>
      <c r="N1223">
        <f t="shared" si="1"/>
        <v>0.980622079131853</v>
      </c>
      <c r="O1223">
        <f t="shared" si="2"/>
        <v>1.0712</v>
      </c>
      <c r="P1223">
        <f>IF($A1223="","",IF($E1223=1,$F1223*$O1223,PNL!G1223))</f>
        <v>16450.493384</v>
      </c>
      <c r="T1223">
        <f t="shared" si="3"/>
        <v>-16450.493384</v>
      </c>
    </row>
    <row r="1224" ht="14.25" customHeight="1">
      <c r="A1224" t="str">
        <f>IF(PNL!A1224="","",PNL!A1224)</f>
        <v>IPAC_REN</v>
      </c>
      <c r="B1224" t="str">
        <f>IF(PNL!B1224="","",PNL!B1224)</f>
        <v>625</v>
      </c>
      <c r="C1224" t="str">
        <f>IF(PNL!C1224="","",PNL!C1224)</f>
        <v>2027</v>
      </c>
      <c r="D1224" t="str">
        <f>IF(PNL!D1224="","",PNL!D1224)</f>
        <v>V03</v>
      </c>
      <c r="E1224">
        <f t="shared" si="0"/>
        <v>1</v>
      </c>
      <c r="F1224">
        <f>IF($A1224="","",IF($E1224=1,_xlfn.SUMIFS(Comptabilité!$F$1:$F$1446,Comptabilité!$A$1:$A$1446,$A1224,Comptabilité!$B$1:$B$1446,$B1224,Comptabilité!$C$1:$C$1446,"2026"),0))</f>
        <v>10032.91</v>
      </c>
      <c r="G1224">
        <f>IF($A1224="","",IF($D1224="V01",Cadrage!$C$23,IF($D1224="V02",Cadrage!$D$23,Cadrage!$E$23)))</f>
        <v>-0.05</v>
      </c>
      <c r="H1224">
        <f>IF($A1224="","",IF($D1224="V01",Cadrage!$C$24,IF($D1224="V02",Cadrage!$D$24,Cadrage!$E$24)))</f>
        <v>-0.05</v>
      </c>
      <c r="I1224">
        <f>IF($A1224="","",IF($D1224="V01",Cadrage!$C$34,IF($D1224="V02",Cadrage!$D$34,Cadrage!$E$34)))</f>
        <v>0.03</v>
      </c>
      <c r="J1224">
        <f>IF($A1224="","",IF($D1224="V01",Cadrage!$C$35,IF($D1224="V02",Cadrage!$D$35,Cadrage!$E$35)))</f>
        <v>0.03</v>
      </c>
      <c r="K1224">
        <f>IF($A1224="","",IF($D1224="V01",Cadrage!$C$36,IF($D1224="V02",Cadrage!$D$36,Cadrage!$E$36)))</f>
        <v>0.05</v>
      </c>
      <c r="L1224">
        <f>IF($A1224="","",IF($D1224="V01",Cadrage!$C$37,IF($D1224="V02",Cadrage!$D$37,Cadrage!$E$37)))</f>
        <v>0</v>
      </c>
      <c r="M1224">
        <f>IF($A1224="","",IF($D1224="V01",Cadrage!$C$38,IF($D1224="V02",Cadrage!$D$38,Cadrage!$E$38)))</f>
        <v>0.04</v>
      </c>
      <c r="N1224">
        <f t="shared" si="1"/>
        <v>0.980622079131853</v>
      </c>
      <c r="O1224">
        <f t="shared" si="2"/>
        <v>1.0712</v>
      </c>
      <c r="P1224">
        <f>IF($A1224="","",IF($E1224=1,$F1224*$O1224,PNL!G1224))</f>
        <v>10747.253192</v>
      </c>
      <c r="T1224">
        <f t="shared" si="3"/>
        <v>-10747.253192</v>
      </c>
    </row>
    <row r="1225" ht="14.25" customHeight="1">
      <c r="A1225" t="str">
        <f>IF(PNL!A1225="","",PNL!A1225)</f>
        <v>ISCOM_LIL</v>
      </c>
      <c r="B1225" t="str">
        <f>IF(PNL!B1225="","",PNL!B1225)</f>
        <v>625</v>
      </c>
      <c r="C1225" t="str">
        <f>IF(PNL!C1225="","",PNL!C1225)</f>
        <v>2027</v>
      </c>
      <c r="D1225" t="str">
        <f>IF(PNL!D1225="","",PNL!D1225)</f>
        <v>V03</v>
      </c>
      <c r="E1225">
        <f t="shared" si="0"/>
        <v>1</v>
      </c>
      <c r="F1225">
        <f>IF($A1225="","",IF($E1225=1,_xlfn.SUMIFS(Comptabilité!$F$1:$F$1446,Comptabilité!$A$1:$A$1446,$A1225,Comptabilité!$B$1:$B$1446,$B1225,Comptabilité!$C$1:$C$1446,"2026"),0))</f>
        <v>26244.28</v>
      </c>
      <c r="G1225">
        <f>IF($A1225="","",IF($D1225="V01",Cadrage!$C$23,IF($D1225="V02",Cadrage!$D$23,Cadrage!$E$23)))</f>
        <v>-0.05</v>
      </c>
      <c r="H1225">
        <f>IF($A1225="","",IF($D1225="V01",Cadrage!$C$24,IF($D1225="V02",Cadrage!$D$24,Cadrage!$E$24)))</f>
        <v>-0.05</v>
      </c>
      <c r="I1225">
        <f>IF($A1225="","",IF($D1225="V01",Cadrage!$C$34,IF($D1225="V02",Cadrage!$D$34,Cadrage!$E$34)))</f>
        <v>0.03</v>
      </c>
      <c r="J1225">
        <f>IF($A1225="","",IF($D1225="V01",Cadrage!$C$35,IF($D1225="V02",Cadrage!$D$35,Cadrage!$E$35)))</f>
        <v>0.03</v>
      </c>
      <c r="K1225">
        <f>IF($A1225="","",IF($D1225="V01",Cadrage!$C$36,IF($D1225="V02",Cadrage!$D$36,Cadrage!$E$36)))</f>
        <v>0.05</v>
      </c>
      <c r="L1225">
        <f>IF($A1225="","",IF($D1225="V01",Cadrage!$C$37,IF($D1225="V02",Cadrage!$D$37,Cadrage!$E$37)))</f>
        <v>0</v>
      </c>
      <c r="M1225">
        <f>IF($A1225="","",IF($D1225="V01",Cadrage!$C$38,IF($D1225="V02",Cadrage!$D$38,Cadrage!$E$38)))</f>
        <v>0.04</v>
      </c>
      <c r="N1225">
        <f t="shared" si="1"/>
        <v>0.980622079131853</v>
      </c>
      <c r="O1225">
        <f t="shared" si="2"/>
        <v>1.0712</v>
      </c>
      <c r="P1225">
        <f>IF($A1225="","",IF($E1225=1,$F1225*$O1225,PNL!G1225))</f>
        <v>28112.872736</v>
      </c>
      <c r="T1225">
        <f t="shared" si="3"/>
        <v>-28112.872736</v>
      </c>
    </row>
    <row r="1226" ht="14.25" customHeight="1">
      <c r="A1226" t="str">
        <f>IF(PNL!A1226="","",PNL!A1226)</f>
        <v>ISCOM_PAR</v>
      </c>
      <c r="B1226" t="str">
        <f>IF(PNL!B1226="","",PNL!B1226)</f>
        <v>625</v>
      </c>
      <c r="C1226" t="str">
        <f>IF(PNL!C1226="","",PNL!C1226)</f>
        <v>2027</v>
      </c>
      <c r="D1226" t="str">
        <f>IF(PNL!D1226="","",PNL!D1226)</f>
        <v>V03</v>
      </c>
      <c r="E1226">
        <f t="shared" si="0"/>
        <v>1</v>
      </c>
      <c r="F1226">
        <f>IF($A1226="","",IF($E1226=1,_xlfn.SUMIFS(Comptabilité!$F$1:$F$1446,Comptabilité!$A$1:$A$1446,$A1226,Comptabilité!$B$1:$B$1446,$B1226,Comptabilité!$C$1:$C$1446,"2026"),0))</f>
        <v>43518.77</v>
      </c>
      <c r="G1226">
        <f>IF($A1226="","",IF($D1226="V01",Cadrage!$C$23,IF($D1226="V02",Cadrage!$D$23,Cadrage!$E$23)))</f>
        <v>-0.05</v>
      </c>
      <c r="H1226">
        <f>IF($A1226="","",IF($D1226="V01",Cadrage!$C$24,IF($D1226="V02",Cadrage!$D$24,Cadrage!$E$24)))</f>
        <v>-0.05</v>
      </c>
      <c r="I1226">
        <f>IF($A1226="","",IF($D1226="V01",Cadrage!$C$34,IF($D1226="V02",Cadrage!$D$34,Cadrage!$E$34)))</f>
        <v>0.03</v>
      </c>
      <c r="J1226">
        <f>IF($A1226="","",IF($D1226="V01",Cadrage!$C$35,IF($D1226="V02",Cadrage!$D$35,Cadrage!$E$35)))</f>
        <v>0.03</v>
      </c>
      <c r="K1226">
        <f>IF($A1226="","",IF($D1226="V01",Cadrage!$C$36,IF($D1226="V02",Cadrage!$D$36,Cadrage!$E$36)))</f>
        <v>0.05</v>
      </c>
      <c r="L1226">
        <f>IF($A1226="","",IF($D1226="V01",Cadrage!$C$37,IF($D1226="V02",Cadrage!$D$37,Cadrage!$E$37)))</f>
        <v>0</v>
      </c>
      <c r="M1226">
        <f>IF($A1226="","",IF($D1226="V01",Cadrage!$C$38,IF($D1226="V02",Cadrage!$D$38,Cadrage!$E$38)))</f>
        <v>0.04</v>
      </c>
      <c r="N1226">
        <f t="shared" si="1"/>
        <v>0.980622079131853</v>
      </c>
      <c r="O1226">
        <f t="shared" si="2"/>
        <v>1.0712</v>
      </c>
      <c r="P1226">
        <f>IF($A1226="","",IF($E1226=1,$F1226*$O1226,PNL!G1226))</f>
        <v>46617.306424</v>
      </c>
      <c r="T1226">
        <f t="shared" si="3"/>
        <v>-46617.306424</v>
      </c>
    </row>
    <row r="1227" ht="14.25" customHeight="1">
      <c r="A1227" t="str">
        <f>IF(PNL!A1227="","",PNL!A1227)</f>
        <v>ISCOM_TLS</v>
      </c>
      <c r="B1227" t="str">
        <f>IF(PNL!B1227="","",PNL!B1227)</f>
        <v>625</v>
      </c>
      <c r="C1227" t="str">
        <f>IF(PNL!C1227="","",PNL!C1227)</f>
        <v>2027</v>
      </c>
      <c r="D1227" t="str">
        <f>IF(PNL!D1227="","",PNL!D1227)</f>
        <v>V03</v>
      </c>
      <c r="E1227">
        <f t="shared" si="0"/>
        <v>1</v>
      </c>
      <c r="F1227">
        <f>IF($A1227="","",IF($E1227=1,_xlfn.SUMIFS(Comptabilité!$F$1:$F$1446,Comptabilité!$A$1:$A$1446,$A1227,Comptabilité!$B$1:$B$1446,$B1227,Comptabilité!$C$1:$C$1446,"2026"),0))</f>
        <v>23363.78</v>
      </c>
      <c r="G1227">
        <f>IF($A1227="","",IF($D1227="V01",Cadrage!$C$23,IF($D1227="V02",Cadrage!$D$23,Cadrage!$E$23)))</f>
        <v>-0.05</v>
      </c>
      <c r="H1227">
        <f>IF($A1227="","",IF($D1227="V01",Cadrage!$C$24,IF($D1227="V02",Cadrage!$D$24,Cadrage!$E$24)))</f>
        <v>-0.05</v>
      </c>
      <c r="I1227">
        <f>IF($A1227="","",IF($D1227="V01",Cadrage!$C$34,IF($D1227="V02",Cadrage!$D$34,Cadrage!$E$34)))</f>
        <v>0.03</v>
      </c>
      <c r="J1227">
        <f>IF($A1227="","",IF($D1227="V01",Cadrage!$C$35,IF($D1227="V02",Cadrage!$D$35,Cadrage!$E$35)))</f>
        <v>0.03</v>
      </c>
      <c r="K1227">
        <f>IF($A1227="","",IF($D1227="V01",Cadrage!$C$36,IF($D1227="V02",Cadrage!$D$36,Cadrage!$E$36)))</f>
        <v>0.05</v>
      </c>
      <c r="L1227">
        <f>IF($A1227="","",IF($D1227="V01",Cadrage!$C$37,IF($D1227="V02",Cadrage!$D$37,Cadrage!$E$37)))</f>
        <v>0</v>
      </c>
      <c r="M1227">
        <f>IF($A1227="","",IF($D1227="V01",Cadrage!$C$38,IF($D1227="V02",Cadrage!$D$38,Cadrage!$E$38)))</f>
        <v>0.04</v>
      </c>
      <c r="N1227">
        <f t="shared" si="1"/>
        <v>0.980622079131853</v>
      </c>
      <c r="O1227">
        <f t="shared" si="2"/>
        <v>1.0712</v>
      </c>
      <c r="P1227">
        <f>IF($A1227="","",IF($E1227=1,$F1227*$O1227,PNL!G1227))</f>
        <v>25027.281136</v>
      </c>
      <c r="T1227">
        <f t="shared" si="3"/>
        <v>-25027.281136</v>
      </c>
    </row>
    <row r="1228" ht="14.25" customHeight="1">
      <c r="A1228" t="str">
        <f>IF(PNL!A1228="","",PNL!A1228)</f>
        <v>MBWAY_BOR</v>
      </c>
      <c r="B1228" t="str">
        <f>IF(PNL!B1228="","",PNL!B1228)</f>
        <v>625</v>
      </c>
      <c r="C1228" t="str">
        <f>IF(PNL!C1228="","",PNL!C1228)</f>
        <v>2027</v>
      </c>
      <c r="D1228" t="str">
        <f>IF(PNL!D1228="","",PNL!D1228)</f>
        <v>V03</v>
      </c>
      <c r="E1228">
        <f t="shared" si="0"/>
        <v>1</v>
      </c>
      <c r="F1228">
        <f>IF($A1228="","",IF($E1228=1,_xlfn.SUMIFS(Comptabilité!$F$1:$F$1446,Comptabilité!$A$1:$A$1446,$A1228,Comptabilité!$B$1:$B$1446,$B1228,Comptabilité!$C$1:$C$1446,"2026"),0))</f>
        <v>26374.57</v>
      </c>
      <c r="G1228">
        <f>IF($A1228="","",IF($D1228="V01",Cadrage!$C$23,IF($D1228="V02",Cadrage!$D$23,Cadrage!$E$23)))</f>
        <v>-0.05</v>
      </c>
      <c r="H1228">
        <f>IF($A1228="","",IF($D1228="V01",Cadrage!$C$24,IF($D1228="V02",Cadrage!$D$24,Cadrage!$E$24)))</f>
        <v>-0.05</v>
      </c>
      <c r="I1228">
        <f>IF($A1228="","",IF($D1228="V01",Cadrage!$C$34,IF($D1228="V02",Cadrage!$D$34,Cadrage!$E$34)))</f>
        <v>0.03</v>
      </c>
      <c r="J1228">
        <f>IF($A1228="","",IF($D1228="V01",Cadrage!$C$35,IF($D1228="V02",Cadrage!$D$35,Cadrage!$E$35)))</f>
        <v>0.03</v>
      </c>
      <c r="K1228">
        <f>IF($A1228="","",IF($D1228="V01",Cadrage!$C$36,IF($D1228="V02",Cadrage!$D$36,Cadrage!$E$36)))</f>
        <v>0.05</v>
      </c>
      <c r="L1228">
        <f>IF($A1228="","",IF($D1228="V01",Cadrage!$C$37,IF($D1228="V02",Cadrage!$D$37,Cadrage!$E$37)))</f>
        <v>0</v>
      </c>
      <c r="M1228">
        <f>IF($A1228="","",IF($D1228="V01",Cadrage!$C$38,IF($D1228="V02",Cadrage!$D$38,Cadrage!$E$38)))</f>
        <v>0.04</v>
      </c>
      <c r="N1228">
        <f t="shared" si="1"/>
        <v>0.980622079131853</v>
      </c>
      <c r="O1228">
        <f t="shared" si="2"/>
        <v>1.0712</v>
      </c>
      <c r="P1228">
        <f>IF($A1228="","",IF($E1228=1,$F1228*$O1228,PNL!G1228))</f>
        <v>28252.439384</v>
      </c>
      <c r="T1228">
        <f t="shared" si="3"/>
        <v>-28252.439384</v>
      </c>
    </row>
    <row r="1229" ht="14.25" customHeight="1">
      <c r="A1229" t="str">
        <f>IF(PNL!A1229="","",PNL!A1229)</f>
        <v>MBWAY_LYO</v>
      </c>
      <c r="B1229" t="str">
        <f>IF(PNL!B1229="","",PNL!B1229)</f>
        <v>625</v>
      </c>
      <c r="C1229" t="str">
        <f>IF(PNL!C1229="","",PNL!C1229)</f>
        <v>2027</v>
      </c>
      <c r="D1229" t="str">
        <f>IF(PNL!D1229="","",PNL!D1229)</f>
        <v>V03</v>
      </c>
      <c r="E1229">
        <f t="shared" si="0"/>
        <v>1</v>
      </c>
      <c r="F1229">
        <f>IF($A1229="","",IF($E1229=1,_xlfn.SUMIFS(Comptabilité!$F$1:$F$1446,Comptabilité!$A$1:$A$1446,$A1229,Comptabilité!$B$1:$B$1446,$B1229,Comptabilité!$C$1:$C$1446,"2026"),0))</f>
        <v>37684.82</v>
      </c>
      <c r="G1229">
        <f>IF($A1229="","",IF($D1229="V01",Cadrage!$C$23,IF($D1229="V02",Cadrage!$D$23,Cadrage!$E$23)))</f>
        <v>-0.05</v>
      </c>
      <c r="H1229">
        <f>IF($A1229="","",IF($D1229="V01",Cadrage!$C$24,IF($D1229="V02",Cadrage!$D$24,Cadrage!$E$24)))</f>
        <v>-0.05</v>
      </c>
      <c r="I1229">
        <f>IF($A1229="","",IF($D1229="V01",Cadrage!$C$34,IF($D1229="V02",Cadrage!$D$34,Cadrage!$E$34)))</f>
        <v>0.03</v>
      </c>
      <c r="J1229">
        <f>IF($A1229="","",IF($D1229="V01",Cadrage!$C$35,IF($D1229="V02",Cadrage!$D$35,Cadrage!$E$35)))</f>
        <v>0.03</v>
      </c>
      <c r="K1229">
        <f>IF($A1229="","",IF($D1229="V01",Cadrage!$C$36,IF($D1229="V02",Cadrage!$D$36,Cadrage!$E$36)))</f>
        <v>0.05</v>
      </c>
      <c r="L1229">
        <f>IF($A1229="","",IF($D1229="V01",Cadrage!$C$37,IF($D1229="V02",Cadrage!$D$37,Cadrage!$E$37)))</f>
        <v>0</v>
      </c>
      <c r="M1229">
        <f>IF($A1229="","",IF($D1229="V01",Cadrage!$C$38,IF($D1229="V02",Cadrage!$D$38,Cadrage!$E$38)))</f>
        <v>0.04</v>
      </c>
      <c r="N1229">
        <f t="shared" si="1"/>
        <v>0.980622079131853</v>
      </c>
      <c r="O1229">
        <f t="shared" si="2"/>
        <v>1.0712</v>
      </c>
      <c r="P1229">
        <f>IF($A1229="","",IF($E1229=1,$F1229*$O1229,PNL!G1229))</f>
        <v>40367.979184</v>
      </c>
      <c r="T1229">
        <f t="shared" si="3"/>
        <v>-40367.979184</v>
      </c>
    </row>
    <row r="1230" ht="14.25" customHeight="1">
      <c r="A1230" t="str">
        <f>IF(PNL!A1230="","",PNL!A1230)</f>
        <v>MBWAY_NAN</v>
      </c>
      <c r="B1230" t="str">
        <f>IF(PNL!B1230="","",PNL!B1230)</f>
        <v>625</v>
      </c>
      <c r="C1230" t="str">
        <f>IF(PNL!C1230="","",PNL!C1230)</f>
        <v>2027</v>
      </c>
      <c r="D1230" t="str">
        <f>IF(PNL!D1230="","",PNL!D1230)</f>
        <v>V03</v>
      </c>
      <c r="E1230">
        <f t="shared" si="0"/>
        <v>1</v>
      </c>
      <c r="F1230">
        <f>IF($A1230="","",IF($E1230=1,_xlfn.SUMIFS(Comptabilité!$F$1:$F$1446,Comptabilité!$A$1:$A$1446,$A1230,Comptabilité!$B$1:$B$1446,$B1230,Comptabilité!$C$1:$C$1446,"2026"),0))</f>
        <v>31867.52</v>
      </c>
      <c r="G1230">
        <f>IF($A1230="","",IF($D1230="V01",Cadrage!$C$23,IF($D1230="V02",Cadrage!$D$23,Cadrage!$E$23)))</f>
        <v>-0.05</v>
      </c>
      <c r="H1230">
        <f>IF($A1230="","",IF($D1230="V01",Cadrage!$C$24,IF($D1230="V02",Cadrage!$D$24,Cadrage!$E$24)))</f>
        <v>-0.05</v>
      </c>
      <c r="I1230">
        <f>IF($A1230="","",IF($D1230="V01",Cadrage!$C$34,IF($D1230="V02",Cadrage!$D$34,Cadrage!$E$34)))</f>
        <v>0.03</v>
      </c>
      <c r="J1230">
        <f>IF($A1230="","",IF($D1230="V01",Cadrage!$C$35,IF($D1230="V02",Cadrage!$D$35,Cadrage!$E$35)))</f>
        <v>0.03</v>
      </c>
      <c r="K1230">
        <f>IF($A1230="","",IF($D1230="V01",Cadrage!$C$36,IF($D1230="V02",Cadrage!$D$36,Cadrage!$E$36)))</f>
        <v>0.05</v>
      </c>
      <c r="L1230">
        <f>IF($A1230="","",IF($D1230="V01",Cadrage!$C$37,IF($D1230="V02",Cadrage!$D$37,Cadrage!$E$37)))</f>
        <v>0</v>
      </c>
      <c r="M1230">
        <f>IF($A1230="","",IF($D1230="V01",Cadrage!$C$38,IF($D1230="V02",Cadrage!$D$38,Cadrage!$E$38)))</f>
        <v>0.04</v>
      </c>
      <c r="N1230">
        <f t="shared" si="1"/>
        <v>0.980622079131853</v>
      </c>
      <c r="O1230">
        <f t="shared" si="2"/>
        <v>1.0712</v>
      </c>
      <c r="P1230">
        <f>IF($A1230="","",IF($E1230=1,$F1230*$O1230,PNL!G1230))</f>
        <v>34136.487424</v>
      </c>
      <c r="T1230">
        <f t="shared" si="3"/>
        <v>-34136.487424</v>
      </c>
    </row>
    <row r="1231" ht="14.25" customHeight="1">
      <c r="A1231" t="str">
        <f>IF(PNL!A1231="","",PNL!A1231)</f>
        <v>MBWAY_PAR</v>
      </c>
      <c r="B1231" t="str">
        <f>IF(PNL!B1231="","",PNL!B1231)</f>
        <v>625</v>
      </c>
      <c r="C1231" t="str">
        <f>IF(PNL!C1231="","",PNL!C1231)</f>
        <v>2027</v>
      </c>
      <c r="D1231" t="str">
        <f>IF(PNL!D1231="","",PNL!D1231)</f>
        <v>V03</v>
      </c>
      <c r="E1231">
        <f t="shared" si="0"/>
        <v>1</v>
      </c>
      <c r="F1231">
        <f>IF($A1231="","",IF($E1231=1,_xlfn.SUMIFS(Comptabilité!$F$1:$F$1446,Comptabilité!$A$1:$A$1446,$A1231,Comptabilité!$B$1:$B$1446,$B1231,Comptabilité!$C$1:$C$1446,"2026"),0))</f>
        <v>48309.71</v>
      </c>
      <c r="G1231">
        <f>IF($A1231="","",IF($D1231="V01",Cadrage!$C$23,IF($D1231="V02",Cadrage!$D$23,Cadrage!$E$23)))</f>
        <v>-0.05</v>
      </c>
      <c r="H1231">
        <f>IF($A1231="","",IF($D1231="V01",Cadrage!$C$24,IF($D1231="V02",Cadrage!$D$24,Cadrage!$E$24)))</f>
        <v>-0.05</v>
      </c>
      <c r="I1231">
        <f>IF($A1231="","",IF($D1231="V01",Cadrage!$C$34,IF($D1231="V02",Cadrage!$D$34,Cadrage!$E$34)))</f>
        <v>0.03</v>
      </c>
      <c r="J1231">
        <f>IF($A1231="","",IF($D1231="V01",Cadrage!$C$35,IF($D1231="V02",Cadrage!$D$35,Cadrage!$E$35)))</f>
        <v>0.03</v>
      </c>
      <c r="K1231">
        <f>IF($A1231="","",IF($D1231="V01",Cadrage!$C$36,IF($D1231="V02",Cadrage!$D$36,Cadrage!$E$36)))</f>
        <v>0.05</v>
      </c>
      <c r="L1231">
        <f>IF($A1231="","",IF($D1231="V01",Cadrage!$C$37,IF($D1231="V02",Cadrage!$D$37,Cadrage!$E$37)))</f>
        <v>0</v>
      </c>
      <c r="M1231">
        <f>IF($A1231="","",IF($D1231="V01",Cadrage!$C$38,IF($D1231="V02",Cadrage!$D$38,Cadrage!$E$38)))</f>
        <v>0.04</v>
      </c>
      <c r="N1231">
        <f t="shared" si="1"/>
        <v>0.980622079131853</v>
      </c>
      <c r="O1231">
        <f t="shared" si="2"/>
        <v>1.0712</v>
      </c>
      <c r="P1231">
        <f>IF($A1231="","",IF($E1231=1,$F1231*$O1231,PNL!G1231))</f>
        <v>51749.361352</v>
      </c>
      <c r="T1231">
        <f t="shared" si="3"/>
        <v>-51749.361352</v>
      </c>
    </row>
    <row r="1232" ht="14.25" customHeight="1">
      <c r="A1232" t="str">
        <f>IF(PNL!A1232="","",PNL!A1232)</f>
        <v>PIGIER_BOR</v>
      </c>
      <c r="B1232" t="str">
        <f>IF(PNL!B1232="","",PNL!B1232)</f>
        <v>625</v>
      </c>
      <c r="C1232" t="str">
        <f>IF(PNL!C1232="","",PNL!C1232)</f>
        <v>2027</v>
      </c>
      <c r="D1232" t="str">
        <f>IF(PNL!D1232="","",PNL!D1232)</f>
        <v>V03</v>
      </c>
      <c r="E1232">
        <f t="shared" si="0"/>
        <v>1</v>
      </c>
      <c r="F1232">
        <f>IF($A1232="","",IF($E1232=1,_xlfn.SUMIFS(Comptabilité!$F$1:$F$1446,Comptabilité!$A$1:$A$1446,$A1232,Comptabilité!$B$1:$B$1446,$B1232,Comptabilité!$C$1:$C$1446,"2026"),0))</f>
        <v>12256.21</v>
      </c>
      <c r="G1232">
        <f>IF($A1232="","",IF($D1232="V01",Cadrage!$C$23,IF($D1232="V02",Cadrage!$D$23,Cadrage!$E$23)))</f>
        <v>-0.05</v>
      </c>
      <c r="H1232">
        <f>IF($A1232="","",IF($D1232="V01",Cadrage!$C$24,IF($D1232="V02",Cadrage!$D$24,Cadrage!$E$24)))</f>
        <v>-0.05</v>
      </c>
      <c r="I1232">
        <f>IF($A1232="","",IF($D1232="V01",Cadrage!$C$34,IF($D1232="V02",Cadrage!$D$34,Cadrage!$E$34)))</f>
        <v>0.03</v>
      </c>
      <c r="J1232">
        <f>IF($A1232="","",IF($D1232="V01",Cadrage!$C$35,IF($D1232="V02",Cadrage!$D$35,Cadrage!$E$35)))</f>
        <v>0.03</v>
      </c>
      <c r="K1232">
        <f>IF($A1232="","",IF($D1232="V01",Cadrage!$C$36,IF($D1232="V02",Cadrage!$D$36,Cadrage!$E$36)))</f>
        <v>0.05</v>
      </c>
      <c r="L1232">
        <f>IF($A1232="","",IF($D1232="V01",Cadrage!$C$37,IF($D1232="V02",Cadrage!$D$37,Cadrage!$E$37)))</f>
        <v>0</v>
      </c>
      <c r="M1232">
        <f>IF($A1232="","",IF($D1232="V01",Cadrage!$C$38,IF($D1232="V02",Cadrage!$D$38,Cadrage!$E$38)))</f>
        <v>0.04</v>
      </c>
      <c r="N1232">
        <f t="shared" si="1"/>
        <v>0.980622079131853</v>
      </c>
      <c r="O1232">
        <f t="shared" si="2"/>
        <v>1.0712</v>
      </c>
      <c r="P1232">
        <f>IF($A1232="","",IF($E1232=1,$F1232*$O1232,PNL!G1232))</f>
        <v>13128.852152</v>
      </c>
      <c r="T1232">
        <f t="shared" si="3"/>
        <v>-13128.852152</v>
      </c>
    </row>
    <row r="1233" ht="14.25" customHeight="1">
      <c r="A1233" t="str">
        <f>IF(PNL!A1233="","",PNL!A1233)</f>
        <v>PIGIER_LYO</v>
      </c>
      <c r="B1233" t="str">
        <f>IF(PNL!B1233="","",PNL!B1233)</f>
        <v>625</v>
      </c>
      <c r="C1233" t="str">
        <f>IF(PNL!C1233="","",PNL!C1233)</f>
        <v>2027</v>
      </c>
      <c r="D1233" t="str">
        <f>IF(PNL!D1233="","",PNL!D1233)</f>
        <v>V03</v>
      </c>
      <c r="E1233">
        <f t="shared" si="0"/>
        <v>1</v>
      </c>
      <c r="F1233">
        <f>IF($A1233="","",IF($E1233=1,_xlfn.SUMIFS(Comptabilité!$F$1:$F$1446,Comptabilité!$A$1:$A$1446,$A1233,Comptabilité!$B$1:$B$1446,$B1233,Comptabilité!$C$1:$C$1446,"2026"),0))</f>
        <v>20742.64</v>
      </c>
      <c r="G1233">
        <f>IF($A1233="","",IF($D1233="V01",Cadrage!$C$23,IF($D1233="V02",Cadrage!$D$23,Cadrage!$E$23)))</f>
        <v>-0.05</v>
      </c>
      <c r="H1233">
        <f>IF($A1233="","",IF($D1233="V01",Cadrage!$C$24,IF($D1233="V02",Cadrage!$D$24,Cadrage!$E$24)))</f>
        <v>-0.05</v>
      </c>
      <c r="I1233">
        <f>IF($A1233="","",IF($D1233="V01",Cadrage!$C$34,IF($D1233="V02",Cadrage!$D$34,Cadrage!$E$34)))</f>
        <v>0.03</v>
      </c>
      <c r="J1233">
        <f>IF($A1233="","",IF($D1233="V01",Cadrage!$C$35,IF($D1233="V02",Cadrage!$D$35,Cadrage!$E$35)))</f>
        <v>0.03</v>
      </c>
      <c r="K1233">
        <f>IF($A1233="","",IF($D1233="V01",Cadrage!$C$36,IF($D1233="V02",Cadrage!$D$36,Cadrage!$E$36)))</f>
        <v>0.05</v>
      </c>
      <c r="L1233">
        <f>IF($A1233="","",IF($D1233="V01",Cadrage!$C$37,IF($D1233="V02",Cadrage!$D$37,Cadrage!$E$37)))</f>
        <v>0</v>
      </c>
      <c r="M1233">
        <f>IF($A1233="","",IF($D1233="V01",Cadrage!$C$38,IF($D1233="V02",Cadrage!$D$38,Cadrage!$E$38)))</f>
        <v>0.04</v>
      </c>
      <c r="N1233">
        <f t="shared" si="1"/>
        <v>0.980622079131853</v>
      </c>
      <c r="O1233">
        <f t="shared" si="2"/>
        <v>1.0712</v>
      </c>
      <c r="P1233">
        <f>IF($A1233="","",IF($E1233=1,$F1233*$O1233,PNL!G1233))</f>
        <v>22219.515968</v>
      </c>
      <c r="T1233">
        <f t="shared" si="3"/>
        <v>-22219.515968</v>
      </c>
    </row>
    <row r="1234" ht="14.25" customHeight="1">
      <c r="A1234" t="str">
        <f>IF(PNL!A1234="","",PNL!A1234)</f>
        <v>TUNON_LYO</v>
      </c>
      <c r="B1234" t="str">
        <f>IF(PNL!B1234="","",PNL!B1234)</f>
        <v>625</v>
      </c>
      <c r="C1234" t="str">
        <f>IF(PNL!C1234="","",PNL!C1234)</f>
        <v>2027</v>
      </c>
      <c r="D1234" t="str">
        <f>IF(PNL!D1234="","",PNL!D1234)</f>
        <v>V03</v>
      </c>
      <c r="E1234">
        <f t="shared" si="0"/>
        <v>1</v>
      </c>
      <c r="F1234">
        <f>IF($A1234="","",IF($E1234=1,_xlfn.SUMIFS(Comptabilité!$F$1:$F$1446,Comptabilité!$A$1:$A$1446,$A1234,Comptabilité!$B$1:$B$1446,$B1234,Comptabilité!$C$1:$C$1446,"2026"),0))</f>
        <v>13700.21</v>
      </c>
      <c r="G1234">
        <f>IF($A1234="","",IF($D1234="V01",Cadrage!$C$23,IF($D1234="V02",Cadrage!$D$23,Cadrage!$E$23)))</f>
        <v>-0.05</v>
      </c>
      <c r="H1234">
        <f>IF($A1234="","",IF($D1234="V01",Cadrage!$C$24,IF($D1234="V02",Cadrage!$D$24,Cadrage!$E$24)))</f>
        <v>-0.05</v>
      </c>
      <c r="I1234">
        <f>IF($A1234="","",IF($D1234="V01",Cadrage!$C$34,IF($D1234="V02",Cadrage!$D$34,Cadrage!$E$34)))</f>
        <v>0.03</v>
      </c>
      <c r="J1234">
        <f>IF($A1234="","",IF($D1234="V01",Cadrage!$C$35,IF($D1234="V02",Cadrage!$D$35,Cadrage!$E$35)))</f>
        <v>0.03</v>
      </c>
      <c r="K1234">
        <f>IF($A1234="","",IF($D1234="V01",Cadrage!$C$36,IF($D1234="V02",Cadrage!$D$36,Cadrage!$E$36)))</f>
        <v>0.05</v>
      </c>
      <c r="L1234">
        <f>IF($A1234="","",IF($D1234="V01",Cadrage!$C$37,IF($D1234="V02",Cadrage!$D$37,Cadrage!$E$37)))</f>
        <v>0</v>
      </c>
      <c r="M1234">
        <f>IF($A1234="","",IF($D1234="V01",Cadrage!$C$38,IF($D1234="V02",Cadrage!$D$38,Cadrage!$E$38)))</f>
        <v>0.04</v>
      </c>
      <c r="N1234">
        <f t="shared" si="1"/>
        <v>0.980622079131853</v>
      </c>
      <c r="O1234">
        <f t="shared" si="2"/>
        <v>1.0712</v>
      </c>
      <c r="P1234">
        <f>IF($A1234="","",IF($E1234=1,$F1234*$O1234,PNL!G1234))</f>
        <v>14675.664952</v>
      </c>
      <c r="T1234">
        <f t="shared" si="3"/>
        <v>-14675.664952</v>
      </c>
    </row>
    <row r="1235" ht="14.25" customHeight="1">
      <c r="A1235" t="str">
        <f>IF(PNL!A1235="","",PNL!A1235)</f>
        <v>TUNON_PAR</v>
      </c>
      <c r="B1235" t="str">
        <f>IF(PNL!B1235="","",PNL!B1235)</f>
        <v>625</v>
      </c>
      <c r="C1235" t="str">
        <f>IF(PNL!C1235="","",PNL!C1235)</f>
        <v>2027</v>
      </c>
      <c r="D1235" t="str">
        <f>IF(PNL!D1235="","",PNL!D1235)</f>
        <v>V03</v>
      </c>
      <c r="E1235">
        <f t="shared" si="0"/>
        <v>1</v>
      </c>
      <c r="F1235">
        <f>IF($A1235="","",IF($E1235=1,_xlfn.SUMIFS(Comptabilité!$F$1:$F$1446,Comptabilité!$A$1:$A$1446,$A1235,Comptabilité!$B$1:$B$1446,$B1235,Comptabilité!$C$1:$C$1446,"2026"),0))</f>
        <v>19410.96</v>
      </c>
      <c r="G1235">
        <f>IF($A1235="","",IF($D1235="V01",Cadrage!$C$23,IF($D1235="V02",Cadrage!$D$23,Cadrage!$E$23)))</f>
        <v>-0.05</v>
      </c>
      <c r="H1235">
        <f>IF($A1235="","",IF($D1235="V01",Cadrage!$C$24,IF($D1235="V02",Cadrage!$D$24,Cadrage!$E$24)))</f>
        <v>-0.05</v>
      </c>
      <c r="I1235">
        <f>IF($A1235="","",IF($D1235="V01",Cadrage!$C$34,IF($D1235="V02",Cadrage!$D$34,Cadrage!$E$34)))</f>
        <v>0.03</v>
      </c>
      <c r="J1235">
        <f>IF($A1235="","",IF($D1235="V01",Cadrage!$C$35,IF($D1235="V02",Cadrage!$D$35,Cadrage!$E$35)))</f>
        <v>0.03</v>
      </c>
      <c r="K1235">
        <f>IF($A1235="","",IF($D1235="V01",Cadrage!$C$36,IF($D1235="V02",Cadrage!$D$36,Cadrage!$E$36)))</f>
        <v>0.05</v>
      </c>
      <c r="L1235">
        <f>IF($A1235="","",IF($D1235="V01",Cadrage!$C$37,IF($D1235="V02",Cadrage!$D$37,Cadrage!$E$37)))</f>
        <v>0</v>
      </c>
      <c r="M1235">
        <f>IF($A1235="","",IF($D1235="V01",Cadrage!$C$38,IF($D1235="V02",Cadrage!$D$38,Cadrage!$E$38)))</f>
        <v>0.04</v>
      </c>
      <c r="N1235">
        <f t="shared" si="1"/>
        <v>0.980622079131853</v>
      </c>
      <c r="O1235">
        <f t="shared" si="2"/>
        <v>1.0712</v>
      </c>
      <c r="P1235">
        <f>IF($A1235="","",IF($E1235=1,$F1235*$O1235,PNL!G1235))</f>
        <v>20793.020352</v>
      </c>
      <c r="T1235">
        <f t="shared" si="3"/>
        <v>-20793.020352</v>
      </c>
    </row>
    <row r="1236" ht="14.25" customHeight="1">
      <c r="A1236" t="str">
        <f>IF(PNL!A1236="","",PNL!A1236)</f>
        <v>GRP</v>
      </c>
      <c r="B1236" t="str">
        <f>IF(PNL!B1236="","",PNL!B1236)</f>
        <v>626</v>
      </c>
      <c r="C1236" t="str">
        <f>IF(PNL!C1236="","",PNL!C1236)</f>
        <v>2027</v>
      </c>
      <c r="D1236" t="str">
        <f>IF(PNL!D1236="","",PNL!D1236)</f>
        <v>V03</v>
      </c>
      <c r="E1236">
        <f t="shared" si="0"/>
        <v>1</v>
      </c>
      <c r="F1236">
        <f>IF($A1236="","",IF($E1236=1,_xlfn.SUMIFS(Comptabilité!$F$1:$F$1446,Comptabilité!$A$1:$A$1446,$A1236,Comptabilité!$B$1:$B$1446,$B1236,Comptabilité!$C$1:$C$1446,"2026"),0))</f>
        <v>451872</v>
      </c>
      <c r="G1236">
        <f>IF($A1236="","",IF($D1236="V01",Cadrage!$C$23,IF($D1236="V02",Cadrage!$D$23,Cadrage!$E$23)))</f>
        <v>-0.05</v>
      </c>
      <c r="H1236">
        <f>IF($A1236="","",IF($D1236="V01",Cadrage!$C$24,IF($D1236="V02",Cadrage!$D$24,Cadrage!$E$24)))</f>
        <v>-0.05</v>
      </c>
      <c r="I1236">
        <f>IF($A1236="","",IF($D1236="V01",Cadrage!$C$34,IF($D1236="V02",Cadrage!$D$34,Cadrage!$E$34)))</f>
        <v>0.03</v>
      </c>
      <c r="J1236">
        <f>IF($A1236="","",IF($D1236="V01",Cadrage!$C$35,IF($D1236="V02",Cadrage!$D$35,Cadrage!$E$35)))</f>
        <v>0.03</v>
      </c>
      <c r="K1236">
        <f>IF($A1236="","",IF($D1236="V01",Cadrage!$C$36,IF($D1236="V02",Cadrage!$D$36,Cadrage!$E$36)))</f>
        <v>0.05</v>
      </c>
      <c r="L1236">
        <f>IF($A1236="","",IF($D1236="V01",Cadrage!$C$37,IF($D1236="V02",Cadrage!$D$37,Cadrage!$E$37)))</f>
        <v>0</v>
      </c>
      <c r="M1236">
        <f>IF($A1236="","",IF($D1236="V01",Cadrage!$C$38,IF($D1236="V02",Cadrage!$D$38,Cadrage!$E$38)))</f>
        <v>0.04</v>
      </c>
      <c r="N1236">
        <f t="shared" si="1"/>
        <v>0.980622079131853</v>
      </c>
      <c r="O1236">
        <f t="shared" si="2"/>
        <v>1.0712</v>
      </c>
      <c r="P1236">
        <f>IF($A1236="","",IF($E1236=1,$F1236*$O1236,PNL!G1236))</f>
        <v>484045.2864</v>
      </c>
      <c r="T1236">
        <f t="shared" si="3"/>
        <v>-484045.2864</v>
      </c>
    </row>
    <row r="1237" ht="14.25" customHeight="1">
      <c r="A1237" t="str">
        <f>IF(PNL!A1237="","",PNL!A1237)</f>
        <v>GRP</v>
      </c>
      <c r="B1237" t="str">
        <f>IF(PNL!B1237="","",PNL!B1237)</f>
        <v>6281</v>
      </c>
      <c r="C1237" t="str">
        <f>IF(PNL!C1237="","",PNL!C1237)</f>
        <v>2027</v>
      </c>
      <c r="D1237" t="str">
        <f>IF(PNL!D1237="","",PNL!D1237)</f>
        <v>V03</v>
      </c>
      <c r="E1237">
        <f t="shared" si="0"/>
        <v>1</v>
      </c>
      <c r="F1237">
        <f>IF($A1237="","",IF($E1237=1,_xlfn.SUMIFS(Comptabilité!$F$1:$F$1446,Comptabilité!$A$1:$A$1446,$A1237,Comptabilité!$B$1:$B$1446,$B1237,Comptabilité!$C$1:$C$1446,"2026"),0))</f>
        <v>180749</v>
      </c>
      <c r="G1237">
        <f>IF($A1237="","",IF($D1237="V01",Cadrage!$C$23,IF($D1237="V02",Cadrage!$D$23,Cadrage!$E$23)))</f>
        <v>-0.05</v>
      </c>
      <c r="H1237">
        <f>IF($A1237="","",IF($D1237="V01",Cadrage!$C$24,IF($D1237="V02",Cadrage!$D$24,Cadrage!$E$24)))</f>
        <v>-0.05</v>
      </c>
      <c r="I1237">
        <f>IF($A1237="","",IF($D1237="V01",Cadrage!$C$34,IF($D1237="V02",Cadrage!$D$34,Cadrage!$E$34)))</f>
        <v>0.03</v>
      </c>
      <c r="J1237">
        <f>IF($A1237="","",IF($D1237="V01",Cadrage!$C$35,IF($D1237="V02",Cadrage!$D$35,Cadrage!$E$35)))</f>
        <v>0.03</v>
      </c>
      <c r="K1237">
        <f>IF($A1237="","",IF($D1237="V01",Cadrage!$C$36,IF($D1237="V02",Cadrage!$D$36,Cadrage!$E$36)))</f>
        <v>0.05</v>
      </c>
      <c r="L1237">
        <f>IF($A1237="","",IF($D1237="V01",Cadrage!$C$37,IF($D1237="V02",Cadrage!$D$37,Cadrage!$E$37)))</f>
        <v>0</v>
      </c>
      <c r="M1237">
        <f>IF($A1237="","",IF($D1237="V01",Cadrage!$C$38,IF($D1237="V02",Cadrage!$D$38,Cadrage!$E$38)))</f>
        <v>0.04</v>
      </c>
      <c r="N1237">
        <f t="shared" si="1"/>
        <v>0.980622079131853</v>
      </c>
      <c r="O1237">
        <f t="shared" si="2"/>
        <v>1.0712</v>
      </c>
      <c r="P1237">
        <f>IF($A1237="","",IF($E1237=1,$F1237*$O1237,PNL!G1237))</f>
        <v>193618.3288</v>
      </c>
      <c r="T1237">
        <f t="shared" si="3"/>
        <v>-193618.3288</v>
      </c>
    </row>
    <row r="1238" ht="14.25" customHeight="1">
      <c r="A1238" t="str">
        <f>IF(PNL!A1238="","",PNL!A1238)</f>
        <v>GRP</v>
      </c>
      <c r="B1238" t="str">
        <f>IF(PNL!B1238="","",PNL!B1238)</f>
        <v>6331</v>
      </c>
      <c r="C1238" t="str">
        <f>IF(PNL!C1238="","",PNL!C1238)</f>
        <v>2027</v>
      </c>
      <c r="D1238" t="str">
        <f>IF(PNL!D1238="","",PNL!D1238)</f>
        <v>V03</v>
      </c>
      <c r="E1238">
        <f t="shared" si="0"/>
        <v>1</v>
      </c>
      <c r="F1238">
        <f>IF($A1238="","",IF($E1238=1,_xlfn.SUMIFS(Comptabilité!$F$1:$F$1446,Comptabilité!$A$1:$A$1446,$A1238,Comptabilité!$B$1:$B$1446,$B1238,Comptabilité!$C$1:$C$1446,"2026"),0))</f>
        <v>338904</v>
      </c>
      <c r="G1238">
        <f>IF($A1238="","",IF($D1238="V01",Cadrage!$C$23,IF($D1238="V02",Cadrage!$D$23,Cadrage!$E$23)))</f>
        <v>-0.05</v>
      </c>
      <c r="H1238">
        <f>IF($A1238="","",IF($D1238="V01",Cadrage!$C$24,IF($D1238="V02",Cadrage!$D$24,Cadrage!$E$24)))</f>
        <v>-0.05</v>
      </c>
      <c r="I1238">
        <f>IF($A1238="","",IF($D1238="V01",Cadrage!$C$34,IF($D1238="V02",Cadrage!$D$34,Cadrage!$E$34)))</f>
        <v>0.03</v>
      </c>
      <c r="J1238">
        <f>IF($A1238="","",IF($D1238="V01",Cadrage!$C$35,IF($D1238="V02",Cadrage!$D$35,Cadrage!$E$35)))</f>
        <v>0.03</v>
      </c>
      <c r="K1238">
        <f>IF($A1238="","",IF($D1238="V01",Cadrage!$C$36,IF($D1238="V02",Cadrage!$D$36,Cadrage!$E$36)))</f>
        <v>0.05</v>
      </c>
      <c r="L1238">
        <f>IF($A1238="","",IF($D1238="V01",Cadrage!$C$37,IF($D1238="V02",Cadrage!$D$37,Cadrage!$E$37)))</f>
        <v>0</v>
      </c>
      <c r="M1238">
        <f>IF($A1238="","",IF($D1238="V01",Cadrage!$C$38,IF($D1238="V02",Cadrage!$D$38,Cadrage!$E$38)))</f>
        <v>0.04</v>
      </c>
      <c r="N1238">
        <f t="shared" si="1"/>
        <v>0.980622079131853</v>
      </c>
      <c r="O1238">
        <f t="shared" si="2"/>
        <v>1.03</v>
      </c>
      <c r="P1238">
        <f>IF($A1238="","",IF($E1238=1,$F1238*$O1238,PNL!G1238))</f>
        <v>349071.12</v>
      </c>
      <c r="T1238">
        <f t="shared" si="3"/>
        <v>-349071.12</v>
      </c>
    </row>
    <row r="1239" ht="14.25" customHeight="1">
      <c r="A1239" t="str">
        <f>IF(PNL!A1239="","",PNL!A1239)</f>
        <v>GRP</v>
      </c>
      <c r="B1239" t="str">
        <f>IF(PNL!B1239="","",PNL!B1239)</f>
        <v>6333</v>
      </c>
      <c r="C1239" t="str">
        <f>IF(PNL!C1239="","",PNL!C1239)</f>
        <v>2027</v>
      </c>
      <c r="D1239" t="str">
        <f>IF(PNL!D1239="","",PNL!D1239)</f>
        <v>V03</v>
      </c>
      <c r="E1239">
        <f t="shared" si="0"/>
        <v>1</v>
      </c>
      <c r="F1239">
        <f>IF($A1239="","",IF($E1239=1,_xlfn.SUMIFS(Comptabilité!$F$1:$F$1446,Comptabilité!$A$1:$A$1446,$A1239,Comptabilité!$B$1:$B$1446,$B1239,Comptabilité!$C$1:$C$1446,"2026"),0))</f>
        <v>112968</v>
      </c>
      <c r="G1239">
        <f>IF($A1239="","",IF($D1239="V01",Cadrage!$C$23,IF($D1239="V02",Cadrage!$D$23,Cadrage!$E$23)))</f>
        <v>-0.05</v>
      </c>
      <c r="H1239">
        <f>IF($A1239="","",IF($D1239="V01",Cadrage!$C$24,IF($D1239="V02",Cadrage!$D$24,Cadrage!$E$24)))</f>
        <v>-0.05</v>
      </c>
      <c r="I1239">
        <f>IF($A1239="","",IF($D1239="V01",Cadrage!$C$34,IF($D1239="V02",Cadrage!$D$34,Cadrage!$E$34)))</f>
        <v>0.03</v>
      </c>
      <c r="J1239">
        <f>IF($A1239="","",IF($D1239="V01",Cadrage!$C$35,IF($D1239="V02",Cadrage!$D$35,Cadrage!$E$35)))</f>
        <v>0.03</v>
      </c>
      <c r="K1239">
        <f>IF($A1239="","",IF($D1239="V01",Cadrage!$C$36,IF($D1239="V02",Cadrage!$D$36,Cadrage!$E$36)))</f>
        <v>0.05</v>
      </c>
      <c r="L1239">
        <f>IF($A1239="","",IF($D1239="V01",Cadrage!$C$37,IF($D1239="V02",Cadrage!$D$37,Cadrage!$E$37)))</f>
        <v>0</v>
      </c>
      <c r="M1239">
        <f>IF($A1239="","",IF($D1239="V01",Cadrage!$C$38,IF($D1239="V02",Cadrage!$D$38,Cadrage!$E$38)))</f>
        <v>0.04</v>
      </c>
      <c r="N1239">
        <f t="shared" si="1"/>
        <v>0.980622079131853</v>
      </c>
      <c r="O1239">
        <f t="shared" si="2"/>
        <v>1.03</v>
      </c>
      <c r="P1239">
        <f>IF($A1239="","",IF($E1239=1,$F1239*$O1239,PNL!G1239))</f>
        <v>116357.04</v>
      </c>
      <c r="T1239">
        <f t="shared" si="3"/>
        <v>-116357.04</v>
      </c>
    </row>
    <row r="1240" ht="14.25" customHeight="1">
      <c r="A1240" t="str">
        <f>IF(PNL!A1240="","",PNL!A1240)</f>
        <v>IPAC_MTP</v>
      </c>
      <c r="B1240" t="str">
        <f>IF(PNL!B1240="","",PNL!B1240)</f>
        <v>63511</v>
      </c>
      <c r="C1240" t="str">
        <f>IF(PNL!C1240="","",PNL!C1240)</f>
        <v>2027</v>
      </c>
      <c r="D1240" t="str">
        <f>IF(PNL!D1240="","",PNL!D1240)</f>
        <v>V03</v>
      </c>
      <c r="E1240">
        <f t="shared" si="0"/>
        <v>1</v>
      </c>
      <c r="F1240">
        <f>IF($A1240="","",IF($E1240=1,_xlfn.SUMIFS(Comptabilité!$F$1:$F$1446,Comptabilité!$A$1:$A$1446,$A1240,Comptabilité!$B$1:$B$1446,$B1240,Comptabilité!$C$1:$C$1446,"2026"),0))</f>
        <v>8004.78</v>
      </c>
      <c r="G1240">
        <f>IF($A1240="","",IF($D1240="V01",Cadrage!$C$23,IF($D1240="V02",Cadrage!$D$23,Cadrage!$E$23)))</f>
        <v>-0.05</v>
      </c>
      <c r="H1240">
        <f>IF($A1240="","",IF($D1240="V01",Cadrage!$C$24,IF($D1240="V02",Cadrage!$D$24,Cadrage!$E$24)))</f>
        <v>-0.05</v>
      </c>
      <c r="I1240">
        <f>IF($A1240="","",IF($D1240="V01",Cadrage!$C$34,IF($D1240="V02",Cadrage!$D$34,Cadrage!$E$34)))</f>
        <v>0.03</v>
      </c>
      <c r="J1240">
        <f>IF($A1240="","",IF($D1240="V01",Cadrage!$C$35,IF($D1240="V02",Cadrage!$D$35,Cadrage!$E$35)))</f>
        <v>0.03</v>
      </c>
      <c r="K1240">
        <f>IF($A1240="","",IF($D1240="V01",Cadrage!$C$36,IF($D1240="V02",Cadrage!$D$36,Cadrage!$E$36)))</f>
        <v>0.05</v>
      </c>
      <c r="L1240">
        <f>IF($A1240="","",IF($D1240="V01",Cadrage!$C$37,IF($D1240="V02",Cadrage!$D$37,Cadrage!$E$37)))</f>
        <v>0</v>
      </c>
      <c r="M1240">
        <f>IF($A1240="","",IF($D1240="V01",Cadrage!$C$38,IF($D1240="V02",Cadrage!$D$38,Cadrage!$E$38)))</f>
        <v>0.04</v>
      </c>
      <c r="N1240">
        <f t="shared" si="1"/>
        <v>0.980622079131853</v>
      </c>
      <c r="O1240">
        <f t="shared" si="2"/>
        <v>1.03</v>
      </c>
      <c r="P1240">
        <f>IF($A1240="","",IF($E1240=1,$F1240*$O1240,PNL!G1240))</f>
        <v>8244.9234</v>
      </c>
      <c r="T1240">
        <f t="shared" si="3"/>
        <v>-8244.9234</v>
      </c>
    </row>
    <row r="1241" ht="14.25" customHeight="1">
      <c r="A1241" t="str">
        <f>IF(PNL!A1241="","",PNL!A1241)</f>
        <v>IPAC_NAN</v>
      </c>
      <c r="B1241" t="str">
        <f>IF(PNL!B1241="","",PNL!B1241)</f>
        <v>63511</v>
      </c>
      <c r="C1241" t="str">
        <f>IF(PNL!C1241="","",PNL!C1241)</f>
        <v>2027</v>
      </c>
      <c r="D1241" t="str">
        <f>IF(PNL!D1241="","",PNL!D1241)</f>
        <v>V03</v>
      </c>
      <c r="E1241">
        <f t="shared" si="0"/>
        <v>1</v>
      </c>
      <c r="F1241">
        <f>IF($A1241="","",IF($E1241=1,_xlfn.SUMIFS(Comptabilité!$F$1:$F$1446,Comptabilité!$A$1:$A$1446,$A1241,Comptabilité!$B$1:$B$1446,$B1241,Comptabilité!$C$1:$C$1446,"2026"),0))</f>
        <v>9892.9</v>
      </c>
      <c r="G1241">
        <f>IF($A1241="","",IF($D1241="V01",Cadrage!$C$23,IF($D1241="V02",Cadrage!$D$23,Cadrage!$E$23)))</f>
        <v>-0.05</v>
      </c>
      <c r="H1241">
        <f>IF($A1241="","",IF($D1241="V01",Cadrage!$C$24,IF($D1241="V02",Cadrage!$D$24,Cadrage!$E$24)))</f>
        <v>-0.05</v>
      </c>
      <c r="I1241">
        <f>IF($A1241="","",IF($D1241="V01",Cadrage!$C$34,IF($D1241="V02",Cadrage!$D$34,Cadrage!$E$34)))</f>
        <v>0.03</v>
      </c>
      <c r="J1241">
        <f>IF($A1241="","",IF($D1241="V01",Cadrage!$C$35,IF($D1241="V02",Cadrage!$D$35,Cadrage!$E$35)))</f>
        <v>0.03</v>
      </c>
      <c r="K1241">
        <f>IF($A1241="","",IF($D1241="V01",Cadrage!$C$36,IF($D1241="V02",Cadrage!$D$36,Cadrage!$E$36)))</f>
        <v>0.05</v>
      </c>
      <c r="L1241">
        <f>IF($A1241="","",IF($D1241="V01",Cadrage!$C$37,IF($D1241="V02",Cadrage!$D$37,Cadrage!$E$37)))</f>
        <v>0</v>
      </c>
      <c r="M1241">
        <f>IF($A1241="","",IF($D1241="V01",Cadrage!$C$38,IF($D1241="V02",Cadrage!$D$38,Cadrage!$E$38)))</f>
        <v>0.04</v>
      </c>
      <c r="N1241">
        <f t="shared" si="1"/>
        <v>0.980622079131853</v>
      </c>
      <c r="O1241">
        <f t="shared" si="2"/>
        <v>1.03</v>
      </c>
      <c r="P1241">
        <f>IF($A1241="","",IF($E1241=1,$F1241*$O1241,PNL!G1241))</f>
        <v>10189.687</v>
      </c>
      <c r="T1241">
        <f t="shared" si="3"/>
        <v>-10189.687</v>
      </c>
    </row>
    <row r="1242" ht="14.25" customHeight="1">
      <c r="A1242" t="str">
        <f>IF(PNL!A1242="","",PNL!A1242)</f>
        <v>IPAC_REN</v>
      </c>
      <c r="B1242" t="str">
        <f>IF(PNL!B1242="","",PNL!B1242)</f>
        <v>63511</v>
      </c>
      <c r="C1242" t="str">
        <f>IF(PNL!C1242="","",PNL!C1242)</f>
        <v>2027</v>
      </c>
      <c r="D1242" t="str">
        <f>IF(PNL!D1242="","",PNL!D1242)</f>
        <v>V03</v>
      </c>
      <c r="E1242">
        <f t="shared" si="0"/>
        <v>1</v>
      </c>
      <c r="F1242">
        <f>IF($A1242="","",IF($E1242=1,_xlfn.SUMIFS(Comptabilité!$F$1:$F$1446,Comptabilité!$A$1:$A$1446,$A1242,Comptabilité!$B$1:$B$1446,$B1242,Comptabilité!$C$1:$C$1446,"2026"),0))</f>
        <v>8009.55</v>
      </c>
      <c r="G1242">
        <f>IF($A1242="","",IF($D1242="V01",Cadrage!$C$23,IF($D1242="V02",Cadrage!$D$23,Cadrage!$E$23)))</f>
        <v>-0.05</v>
      </c>
      <c r="H1242">
        <f>IF($A1242="","",IF($D1242="V01",Cadrage!$C$24,IF($D1242="V02",Cadrage!$D$24,Cadrage!$E$24)))</f>
        <v>-0.05</v>
      </c>
      <c r="I1242">
        <f>IF($A1242="","",IF($D1242="V01",Cadrage!$C$34,IF($D1242="V02",Cadrage!$D$34,Cadrage!$E$34)))</f>
        <v>0.03</v>
      </c>
      <c r="J1242">
        <f>IF($A1242="","",IF($D1242="V01",Cadrage!$C$35,IF($D1242="V02",Cadrage!$D$35,Cadrage!$E$35)))</f>
        <v>0.03</v>
      </c>
      <c r="K1242">
        <f>IF($A1242="","",IF($D1242="V01",Cadrage!$C$36,IF($D1242="V02",Cadrage!$D$36,Cadrage!$E$36)))</f>
        <v>0.05</v>
      </c>
      <c r="L1242">
        <f>IF($A1242="","",IF($D1242="V01",Cadrage!$C$37,IF($D1242="V02",Cadrage!$D$37,Cadrage!$E$37)))</f>
        <v>0</v>
      </c>
      <c r="M1242">
        <f>IF($A1242="","",IF($D1242="V01",Cadrage!$C$38,IF($D1242="V02",Cadrage!$D$38,Cadrage!$E$38)))</f>
        <v>0.04</v>
      </c>
      <c r="N1242">
        <f t="shared" si="1"/>
        <v>0.980622079131853</v>
      </c>
      <c r="O1242">
        <f t="shared" si="2"/>
        <v>1.03</v>
      </c>
      <c r="P1242">
        <f>IF($A1242="","",IF($E1242=1,$F1242*$O1242,PNL!G1242))</f>
        <v>8249.8365</v>
      </c>
      <c r="T1242">
        <f t="shared" si="3"/>
        <v>-8249.8365</v>
      </c>
    </row>
    <row r="1243" ht="14.25" customHeight="1">
      <c r="A1243" t="str">
        <f>IF(PNL!A1243="","",PNL!A1243)</f>
        <v>ISCOM_LIL</v>
      </c>
      <c r="B1243" t="str">
        <f>IF(PNL!B1243="","",PNL!B1243)</f>
        <v>63511</v>
      </c>
      <c r="C1243" t="str">
        <f>IF(PNL!C1243="","",PNL!C1243)</f>
        <v>2027</v>
      </c>
      <c r="D1243" t="str">
        <f>IF(PNL!D1243="","",PNL!D1243)</f>
        <v>V03</v>
      </c>
      <c r="E1243">
        <f t="shared" si="0"/>
        <v>1</v>
      </c>
      <c r="F1243">
        <f>IF($A1243="","",IF($E1243=1,_xlfn.SUMIFS(Comptabilité!$F$1:$F$1446,Comptabilité!$A$1:$A$1446,$A1243,Comptabilité!$B$1:$B$1446,$B1243,Comptabilité!$C$1:$C$1446,"2026"),0))</f>
        <v>16744.95</v>
      </c>
      <c r="G1243">
        <f>IF($A1243="","",IF($D1243="V01",Cadrage!$C$23,IF($D1243="V02",Cadrage!$D$23,Cadrage!$E$23)))</f>
        <v>-0.05</v>
      </c>
      <c r="H1243">
        <f>IF($A1243="","",IF($D1243="V01",Cadrage!$C$24,IF($D1243="V02",Cadrage!$D$24,Cadrage!$E$24)))</f>
        <v>-0.05</v>
      </c>
      <c r="I1243">
        <f>IF($A1243="","",IF($D1243="V01",Cadrage!$C$34,IF($D1243="V02",Cadrage!$D$34,Cadrage!$E$34)))</f>
        <v>0.03</v>
      </c>
      <c r="J1243">
        <f>IF($A1243="","",IF($D1243="V01",Cadrage!$C$35,IF($D1243="V02",Cadrage!$D$35,Cadrage!$E$35)))</f>
        <v>0.03</v>
      </c>
      <c r="K1243">
        <f>IF($A1243="","",IF($D1243="V01",Cadrage!$C$36,IF($D1243="V02",Cadrage!$D$36,Cadrage!$E$36)))</f>
        <v>0.05</v>
      </c>
      <c r="L1243">
        <f>IF($A1243="","",IF($D1243="V01",Cadrage!$C$37,IF($D1243="V02",Cadrage!$D$37,Cadrage!$E$37)))</f>
        <v>0</v>
      </c>
      <c r="M1243">
        <f>IF($A1243="","",IF($D1243="V01",Cadrage!$C$38,IF($D1243="V02",Cadrage!$D$38,Cadrage!$E$38)))</f>
        <v>0.04</v>
      </c>
      <c r="N1243">
        <f t="shared" si="1"/>
        <v>0.980622079131853</v>
      </c>
      <c r="O1243">
        <f t="shared" si="2"/>
        <v>1.03</v>
      </c>
      <c r="P1243">
        <f>IF($A1243="","",IF($E1243=1,$F1243*$O1243,PNL!G1243))</f>
        <v>17247.2985</v>
      </c>
      <c r="T1243">
        <f t="shared" si="3"/>
        <v>-17247.2985</v>
      </c>
    </row>
    <row r="1244" ht="14.25" customHeight="1">
      <c r="A1244" t="str">
        <f>IF(PNL!A1244="","",PNL!A1244)</f>
        <v>ISCOM_PAR</v>
      </c>
      <c r="B1244" t="str">
        <f>IF(PNL!B1244="","",PNL!B1244)</f>
        <v>63511</v>
      </c>
      <c r="C1244" t="str">
        <f>IF(PNL!C1244="","",PNL!C1244)</f>
        <v>2027</v>
      </c>
      <c r="D1244" t="str">
        <f>IF(PNL!D1244="","",PNL!D1244)</f>
        <v>V03</v>
      </c>
      <c r="E1244">
        <f t="shared" si="0"/>
        <v>1</v>
      </c>
      <c r="F1244">
        <f>IF($A1244="","",IF($E1244=1,_xlfn.SUMIFS(Comptabilité!$F$1:$F$1446,Comptabilité!$A$1:$A$1446,$A1244,Comptabilité!$B$1:$B$1446,$B1244,Comptabilité!$C$1:$C$1446,"2026"),0))</f>
        <v>28708.76</v>
      </c>
      <c r="G1244">
        <f>IF($A1244="","",IF($D1244="V01",Cadrage!$C$23,IF($D1244="V02",Cadrage!$D$23,Cadrage!$E$23)))</f>
        <v>-0.05</v>
      </c>
      <c r="H1244">
        <f>IF($A1244="","",IF($D1244="V01",Cadrage!$C$24,IF($D1244="V02",Cadrage!$D$24,Cadrage!$E$24)))</f>
        <v>-0.05</v>
      </c>
      <c r="I1244">
        <f>IF($A1244="","",IF($D1244="V01",Cadrage!$C$34,IF($D1244="V02",Cadrage!$D$34,Cadrage!$E$34)))</f>
        <v>0.03</v>
      </c>
      <c r="J1244">
        <f>IF($A1244="","",IF($D1244="V01",Cadrage!$C$35,IF($D1244="V02",Cadrage!$D$35,Cadrage!$E$35)))</f>
        <v>0.03</v>
      </c>
      <c r="K1244">
        <f>IF($A1244="","",IF($D1244="V01",Cadrage!$C$36,IF($D1244="V02",Cadrage!$D$36,Cadrage!$E$36)))</f>
        <v>0.05</v>
      </c>
      <c r="L1244">
        <f>IF($A1244="","",IF($D1244="V01",Cadrage!$C$37,IF($D1244="V02",Cadrage!$D$37,Cadrage!$E$37)))</f>
        <v>0</v>
      </c>
      <c r="M1244">
        <f>IF($A1244="","",IF($D1244="V01",Cadrage!$C$38,IF($D1244="V02",Cadrage!$D$38,Cadrage!$E$38)))</f>
        <v>0.04</v>
      </c>
      <c r="N1244">
        <f t="shared" si="1"/>
        <v>0.980622079131853</v>
      </c>
      <c r="O1244">
        <f t="shared" si="2"/>
        <v>1.03</v>
      </c>
      <c r="P1244">
        <f>IF($A1244="","",IF($E1244=1,$F1244*$O1244,PNL!G1244))</f>
        <v>29570.0228</v>
      </c>
      <c r="T1244">
        <f t="shared" si="3"/>
        <v>-29570.0228</v>
      </c>
    </row>
    <row r="1245" ht="14.25" customHeight="1">
      <c r="A1245" t="str">
        <f>IF(PNL!A1245="","",PNL!A1245)</f>
        <v>ISCOM_TLS</v>
      </c>
      <c r="B1245" t="str">
        <f>IF(PNL!B1245="","",PNL!B1245)</f>
        <v>63511</v>
      </c>
      <c r="C1245" t="str">
        <f>IF(PNL!C1245="","",PNL!C1245)</f>
        <v>2027</v>
      </c>
      <c r="D1245" t="str">
        <f>IF(PNL!D1245="","",PNL!D1245)</f>
        <v>V03</v>
      </c>
      <c r="E1245">
        <f t="shared" si="0"/>
        <v>1</v>
      </c>
      <c r="F1245">
        <f>IF($A1245="","",IF($E1245=1,_xlfn.SUMIFS(Comptabilité!$F$1:$F$1446,Comptabilité!$A$1:$A$1446,$A1245,Comptabilité!$B$1:$B$1446,$B1245,Comptabilité!$C$1:$C$1446,"2026"),0))</f>
        <v>15745.83</v>
      </c>
      <c r="G1245">
        <f>IF($A1245="","",IF($D1245="V01",Cadrage!$C$23,IF($D1245="V02",Cadrage!$D$23,Cadrage!$E$23)))</f>
        <v>-0.05</v>
      </c>
      <c r="H1245">
        <f>IF($A1245="","",IF($D1245="V01",Cadrage!$C$24,IF($D1245="V02",Cadrage!$D$24,Cadrage!$E$24)))</f>
        <v>-0.05</v>
      </c>
      <c r="I1245">
        <f>IF($A1245="","",IF($D1245="V01",Cadrage!$C$34,IF($D1245="V02",Cadrage!$D$34,Cadrage!$E$34)))</f>
        <v>0.03</v>
      </c>
      <c r="J1245">
        <f>IF($A1245="","",IF($D1245="V01",Cadrage!$C$35,IF($D1245="V02",Cadrage!$D$35,Cadrage!$E$35)))</f>
        <v>0.03</v>
      </c>
      <c r="K1245">
        <f>IF($A1245="","",IF($D1245="V01",Cadrage!$C$36,IF($D1245="V02",Cadrage!$D$36,Cadrage!$E$36)))</f>
        <v>0.05</v>
      </c>
      <c r="L1245">
        <f>IF($A1245="","",IF($D1245="V01",Cadrage!$C$37,IF($D1245="V02",Cadrage!$D$37,Cadrage!$E$37)))</f>
        <v>0</v>
      </c>
      <c r="M1245">
        <f>IF($A1245="","",IF($D1245="V01",Cadrage!$C$38,IF($D1245="V02",Cadrage!$D$38,Cadrage!$E$38)))</f>
        <v>0.04</v>
      </c>
      <c r="N1245">
        <f t="shared" si="1"/>
        <v>0.980622079131853</v>
      </c>
      <c r="O1245">
        <f t="shared" si="2"/>
        <v>1.03</v>
      </c>
      <c r="P1245">
        <f>IF($A1245="","",IF($E1245=1,$F1245*$O1245,PNL!G1245))</f>
        <v>16218.2049</v>
      </c>
      <c r="T1245">
        <f t="shared" si="3"/>
        <v>-16218.2049</v>
      </c>
    </row>
    <row r="1246" ht="14.25" customHeight="1">
      <c r="A1246" t="str">
        <f>IF(PNL!A1246="","",PNL!A1246)</f>
        <v>MBWAY_BOR</v>
      </c>
      <c r="B1246" t="str">
        <f>IF(PNL!B1246="","",PNL!B1246)</f>
        <v>63511</v>
      </c>
      <c r="C1246" t="str">
        <f>IF(PNL!C1246="","",PNL!C1246)</f>
        <v>2027</v>
      </c>
      <c r="D1246" t="str">
        <f>IF(PNL!D1246="","",PNL!D1246)</f>
        <v>V03</v>
      </c>
      <c r="E1246">
        <f t="shared" si="0"/>
        <v>1</v>
      </c>
      <c r="F1246">
        <f>IF($A1246="","",IF($E1246=1,_xlfn.SUMIFS(Comptabilité!$F$1:$F$1446,Comptabilité!$A$1:$A$1446,$A1246,Comptabilité!$B$1:$B$1446,$B1246,Comptabilité!$C$1:$C$1446,"2026"),0))</f>
        <v>16490.67</v>
      </c>
      <c r="G1246">
        <f>IF($A1246="","",IF($D1246="V01",Cadrage!$C$23,IF($D1246="V02",Cadrage!$D$23,Cadrage!$E$23)))</f>
        <v>-0.05</v>
      </c>
      <c r="H1246">
        <f>IF($A1246="","",IF($D1246="V01",Cadrage!$C$24,IF($D1246="V02",Cadrage!$D$24,Cadrage!$E$24)))</f>
        <v>-0.05</v>
      </c>
      <c r="I1246">
        <f>IF($A1246="","",IF($D1246="V01",Cadrage!$C$34,IF($D1246="V02",Cadrage!$D$34,Cadrage!$E$34)))</f>
        <v>0.03</v>
      </c>
      <c r="J1246">
        <f>IF($A1246="","",IF($D1246="V01",Cadrage!$C$35,IF($D1246="V02",Cadrage!$D$35,Cadrage!$E$35)))</f>
        <v>0.03</v>
      </c>
      <c r="K1246">
        <f>IF($A1246="","",IF($D1246="V01",Cadrage!$C$36,IF($D1246="V02",Cadrage!$D$36,Cadrage!$E$36)))</f>
        <v>0.05</v>
      </c>
      <c r="L1246">
        <f>IF($A1246="","",IF($D1246="V01",Cadrage!$C$37,IF($D1246="V02",Cadrage!$D$37,Cadrage!$E$37)))</f>
        <v>0</v>
      </c>
      <c r="M1246">
        <f>IF($A1246="","",IF($D1246="V01",Cadrage!$C$38,IF($D1246="V02",Cadrage!$D$38,Cadrage!$E$38)))</f>
        <v>0.04</v>
      </c>
      <c r="N1246">
        <f t="shared" si="1"/>
        <v>0.980622079131853</v>
      </c>
      <c r="O1246">
        <f t="shared" si="2"/>
        <v>1.03</v>
      </c>
      <c r="P1246">
        <f>IF($A1246="","",IF($E1246=1,$F1246*$O1246,PNL!G1246))</f>
        <v>16985.3901</v>
      </c>
      <c r="T1246">
        <f t="shared" si="3"/>
        <v>-16985.3901</v>
      </c>
    </row>
    <row r="1247" ht="14.25" customHeight="1">
      <c r="A1247" t="str">
        <f>IF(PNL!A1247="","",PNL!A1247)</f>
        <v>MBWAY_LYO</v>
      </c>
      <c r="B1247" t="str">
        <f>IF(PNL!B1247="","",PNL!B1247)</f>
        <v>63511</v>
      </c>
      <c r="C1247" t="str">
        <f>IF(PNL!C1247="","",PNL!C1247)</f>
        <v>2027</v>
      </c>
      <c r="D1247" t="str">
        <f>IF(PNL!D1247="","",PNL!D1247)</f>
        <v>V03</v>
      </c>
      <c r="E1247">
        <f t="shared" si="0"/>
        <v>1</v>
      </c>
      <c r="F1247">
        <f>IF($A1247="","",IF($E1247=1,_xlfn.SUMIFS(Comptabilité!$F$1:$F$1446,Comptabilité!$A$1:$A$1446,$A1247,Comptabilité!$B$1:$B$1446,$B1247,Comptabilité!$C$1:$C$1446,"2026"),0))</f>
        <v>23541.01</v>
      </c>
      <c r="G1247">
        <f>IF($A1247="","",IF($D1247="V01",Cadrage!$C$23,IF($D1247="V02",Cadrage!$D$23,Cadrage!$E$23)))</f>
        <v>-0.05</v>
      </c>
      <c r="H1247">
        <f>IF($A1247="","",IF($D1247="V01",Cadrage!$C$24,IF($D1247="V02",Cadrage!$D$24,Cadrage!$E$24)))</f>
        <v>-0.05</v>
      </c>
      <c r="I1247">
        <f>IF($A1247="","",IF($D1247="V01",Cadrage!$C$34,IF($D1247="V02",Cadrage!$D$34,Cadrage!$E$34)))</f>
        <v>0.03</v>
      </c>
      <c r="J1247">
        <f>IF($A1247="","",IF($D1247="V01",Cadrage!$C$35,IF($D1247="V02",Cadrage!$D$35,Cadrage!$E$35)))</f>
        <v>0.03</v>
      </c>
      <c r="K1247">
        <f>IF($A1247="","",IF($D1247="V01",Cadrage!$C$36,IF($D1247="V02",Cadrage!$D$36,Cadrage!$E$36)))</f>
        <v>0.05</v>
      </c>
      <c r="L1247">
        <f>IF($A1247="","",IF($D1247="V01",Cadrage!$C$37,IF($D1247="V02",Cadrage!$D$37,Cadrage!$E$37)))</f>
        <v>0</v>
      </c>
      <c r="M1247">
        <f>IF($A1247="","",IF($D1247="V01",Cadrage!$C$38,IF($D1247="V02",Cadrage!$D$38,Cadrage!$E$38)))</f>
        <v>0.04</v>
      </c>
      <c r="N1247">
        <f t="shared" si="1"/>
        <v>0.980622079131853</v>
      </c>
      <c r="O1247">
        <f t="shared" si="2"/>
        <v>1.03</v>
      </c>
      <c r="P1247">
        <f>IF($A1247="","",IF($E1247=1,$F1247*$O1247,PNL!G1247))</f>
        <v>24247.2403</v>
      </c>
      <c r="T1247">
        <f t="shared" si="3"/>
        <v>-24247.2403</v>
      </c>
    </row>
    <row r="1248" ht="14.25" customHeight="1">
      <c r="A1248" t="str">
        <f>IF(PNL!A1248="","",PNL!A1248)</f>
        <v>MBWAY_NAN</v>
      </c>
      <c r="B1248" t="str">
        <f>IF(PNL!B1248="","",PNL!B1248)</f>
        <v>63511</v>
      </c>
      <c r="C1248" t="str">
        <f>IF(PNL!C1248="","",PNL!C1248)</f>
        <v>2027</v>
      </c>
      <c r="D1248" t="str">
        <f>IF(PNL!D1248="","",PNL!D1248)</f>
        <v>V03</v>
      </c>
      <c r="E1248">
        <f t="shared" si="0"/>
        <v>1</v>
      </c>
      <c r="F1248">
        <f>IF($A1248="","",IF($E1248=1,_xlfn.SUMIFS(Comptabilité!$F$1:$F$1446,Comptabilité!$A$1:$A$1446,$A1248,Comptabilité!$B$1:$B$1446,$B1248,Comptabilité!$C$1:$C$1446,"2026"),0))</f>
        <v>20249.8</v>
      </c>
      <c r="G1248">
        <f>IF($A1248="","",IF($D1248="V01",Cadrage!$C$23,IF($D1248="V02",Cadrage!$D$23,Cadrage!$E$23)))</f>
        <v>-0.05</v>
      </c>
      <c r="H1248">
        <f>IF($A1248="","",IF($D1248="V01",Cadrage!$C$24,IF($D1248="V02",Cadrage!$D$24,Cadrage!$E$24)))</f>
        <v>-0.05</v>
      </c>
      <c r="I1248">
        <f>IF($A1248="","",IF($D1248="V01",Cadrage!$C$34,IF($D1248="V02",Cadrage!$D$34,Cadrage!$E$34)))</f>
        <v>0.03</v>
      </c>
      <c r="J1248">
        <f>IF($A1248="","",IF($D1248="V01",Cadrage!$C$35,IF($D1248="V02",Cadrage!$D$35,Cadrage!$E$35)))</f>
        <v>0.03</v>
      </c>
      <c r="K1248">
        <f>IF($A1248="","",IF($D1248="V01",Cadrage!$C$36,IF($D1248="V02",Cadrage!$D$36,Cadrage!$E$36)))</f>
        <v>0.05</v>
      </c>
      <c r="L1248">
        <f>IF($A1248="","",IF($D1248="V01",Cadrage!$C$37,IF($D1248="V02",Cadrage!$D$37,Cadrage!$E$37)))</f>
        <v>0</v>
      </c>
      <c r="M1248">
        <f>IF($A1248="","",IF($D1248="V01",Cadrage!$C$38,IF($D1248="V02",Cadrage!$D$38,Cadrage!$E$38)))</f>
        <v>0.04</v>
      </c>
      <c r="N1248">
        <f t="shared" si="1"/>
        <v>0.980622079131853</v>
      </c>
      <c r="O1248">
        <f t="shared" si="2"/>
        <v>1.03</v>
      </c>
      <c r="P1248">
        <f>IF($A1248="","",IF($E1248=1,$F1248*$O1248,PNL!G1248))</f>
        <v>20857.294</v>
      </c>
      <c r="T1248">
        <f t="shared" si="3"/>
        <v>-20857.294</v>
      </c>
    </row>
    <row r="1249" ht="14.25" customHeight="1">
      <c r="A1249" t="str">
        <f>IF(PNL!A1249="","",PNL!A1249)</f>
        <v>MBWAY_PAR</v>
      </c>
      <c r="B1249" t="str">
        <f>IF(PNL!B1249="","",PNL!B1249)</f>
        <v>63511</v>
      </c>
      <c r="C1249" t="str">
        <f>IF(PNL!C1249="","",PNL!C1249)</f>
        <v>2027</v>
      </c>
      <c r="D1249" t="str">
        <f>IF(PNL!D1249="","",PNL!D1249)</f>
        <v>V03</v>
      </c>
      <c r="E1249">
        <f t="shared" si="0"/>
        <v>1</v>
      </c>
      <c r="F1249">
        <f>IF($A1249="","",IF($E1249=1,_xlfn.SUMIFS(Comptabilité!$F$1:$F$1446,Comptabilité!$A$1:$A$1446,$A1249,Comptabilité!$B$1:$B$1446,$B1249,Comptabilité!$C$1:$C$1446,"2026"),0))</f>
        <v>29533.02</v>
      </c>
      <c r="G1249">
        <f>IF($A1249="","",IF($D1249="V01",Cadrage!$C$23,IF($D1249="V02",Cadrage!$D$23,Cadrage!$E$23)))</f>
        <v>-0.05</v>
      </c>
      <c r="H1249">
        <f>IF($A1249="","",IF($D1249="V01",Cadrage!$C$24,IF($D1249="V02",Cadrage!$D$24,Cadrage!$E$24)))</f>
        <v>-0.05</v>
      </c>
      <c r="I1249">
        <f>IF($A1249="","",IF($D1249="V01",Cadrage!$C$34,IF($D1249="V02",Cadrage!$D$34,Cadrage!$E$34)))</f>
        <v>0.03</v>
      </c>
      <c r="J1249">
        <f>IF($A1249="","",IF($D1249="V01",Cadrage!$C$35,IF($D1249="V02",Cadrage!$D$35,Cadrage!$E$35)))</f>
        <v>0.03</v>
      </c>
      <c r="K1249">
        <f>IF($A1249="","",IF($D1249="V01",Cadrage!$C$36,IF($D1249="V02",Cadrage!$D$36,Cadrage!$E$36)))</f>
        <v>0.05</v>
      </c>
      <c r="L1249">
        <f>IF($A1249="","",IF($D1249="V01",Cadrage!$C$37,IF($D1249="V02",Cadrage!$D$37,Cadrage!$E$37)))</f>
        <v>0</v>
      </c>
      <c r="M1249">
        <f>IF($A1249="","",IF($D1249="V01",Cadrage!$C$38,IF($D1249="V02",Cadrage!$D$38,Cadrage!$E$38)))</f>
        <v>0.04</v>
      </c>
      <c r="N1249">
        <f t="shared" si="1"/>
        <v>0.980622079131853</v>
      </c>
      <c r="O1249">
        <f t="shared" si="2"/>
        <v>1.03</v>
      </c>
      <c r="P1249">
        <f>IF($A1249="","",IF($E1249=1,$F1249*$O1249,PNL!G1249))</f>
        <v>30419.0106</v>
      </c>
      <c r="T1249">
        <f t="shared" si="3"/>
        <v>-30419.0106</v>
      </c>
    </row>
    <row r="1250" ht="14.25" customHeight="1">
      <c r="A1250" t="str">
        <f>IF(PNL!A1250="","",PNL!A1250)</f>
        <v>PIGIER_BOR</v>
      </c>
      <c r="B1250" t="str">
        <f>IF(PNL!B1250="","",PNL!B1250)</f>
        <v>63511</v>
      </c>
      <c r="C1250" t="str">
        <f>IF(PNL!C1250="","",PNL!C1250)</f>
        <v>2027</v>
      </c>
      <c r="D1250" t="str">
        <f>IF(PNL!D1250="","",PNL!D1250)</f>
        <v>V03</v>
      </c>
      <c r="E1250">
        <f t="shared" si="0"/>
        <v>1</v>
      </c>
      <c r="F1250">
        <f>IF($A1250="","",IF($E1250=1,_xlfn.SUMIFS(Comptabilité!$F$1:$F$1446,Comptabilité!$A$1:$A$1446,$A1250,Comptabilité!$B$1:$B$1446,$B1250,Comptabilité!$C$1:$C$1446,"2026"),0))</f>
        <v>10750.17</v>
      </c>
      <c r="G1250">
        <f>IF($A1250="","",IF($D1250="V01",Cadrage!$C$23,IF($D1250="V02",Cadrage!$D$23,Cadrage!$E$23)))</f>
        <v>-0.05</v>
      </c>
      <c r="H1250">
        <f>IF($A1250="","",IF($D1250="V01",Cadrage!$C$24,IF($D1250="V02",Cadrage!$D$24,Cadrage!$E$24)))</f>
        <v>-0.05</v>
      </c>
      <c r="I1250">
        <f>IF($A1250="","",IF($D1250="V01",Cadrage!$C$34,IF($D1250="V02",Cadrage!$D$34,Cadrage!$E$34)))</f>
        <v>0.03</v>
      </c>
      <c r="J1250">
        <f>IF($A1250="","",IF($D1250="V01",Cadrage!$C$35,IF($D1250="V02",Cadrage!$D$35,Cadrage!$E$35)))</f>
        <v>0.03</v>
      </c>
      <c r="K1250">
        <f>IF($A1250="","",IF($D1250="V01",Cadrage!$C$36,IF($D1250="V02",Cadrage!$D$36,Cadrage!$E$36)))</f>
        <v>0.05</v>
      </c>
      <c r="L1250">
        <f>IF($A1250="","",IF($D1250="V01",Cadrage!$C$37,IF($D1250="V02",Cadrage!$D$37,Cadrage!$E$37)))</f>
        <v>0</v>
      </c>
      <c r="M1250">
        <f>IF($A1250="","",IF($D1250="V01",Cadrage!$C$38,IF($D1250="V02",Cadrage!$D$38,Cadrage!$E$38)))</f>
        <v>0.04</v>
      </c>
      <c r="N1250">
        <f t="shared" si="1"/>
        <v>0.980622079131853</v>
      </c>
      <c r="O1250">
        <f t="shared" si="2"/>
        <v>1.03</v>
      </c>
      <c r="P1250">
        <f>IF($A1250="","",IF($E1250=1,$F1250*$O1250,PNL!G1250))</f>
        <v>11072.6751</v>
      </c>
      <c r="T1250">
        <f t="shared" si="3"/>
        <v>-11072.6751</v>
      </c>
    </row>
    <row r="1251" ht="14.25" customHeight="1">
      <c r="A1251" t="str">
        <f>IF(PNL!A1251="","",PNL!A1251)</f>
        <v>PIGIER_LYO</v>
      </c>
      <c r="B1251" t="str">
        <f>IF(PNL!B1251="","",PNL!B1251)</f>
        <v>63511</v>
      </c>
      <c r="C1251" t="str">
        <f>IF(PNL!C1251="","",PNL!C1251)</f>
        <v>2027</v>
      </c>
      <c r="D1251" t="str">
        <f>IF(PNL!D1251="","",PNL!D1251)</f>
        <v>V03</v>
      </c>
      <c r="E1251">
        <f t="shared" si="0"/>
        <v>1</v>
      </c>
      <c r="F1251">
        <f>IF($A1251="","",IF($E1251=1,_xlfn.SUMIFS(Comptabilité!$F$1:$F$1446,Comptabilité!$A$1:$A$1446,$A1251,Comptabilité!$B$1:$B$1446,$B1251,Comptabilité!$C$1:$C$1446,"2026"),0))</f>
        <v>14195.01</v>
      </c>
      <c r="G1251">
        <f>IF($A1251="","",IF($D1251="V01",Cadrage!$C$23,IF($D1251="V02",Cadrage!$D$23,Cadrage!$E$23)))</f>
        <v>-0.05</v>
      </c>
      <c r="H1251">
        <f>IF($A1251="","",IF($D1251="V01",Cadrage!$C$24,IF($D1251="V02",Cadrage!$D$24,Cadrage!$E$24)))</f>
        <v>-0.05</v>
      </c>
      <c r="I1251">
        <f>IF($A1251="","",IF($D1251="V01",Cadrage!$C$34,IF($D1251="V02",Cadrage!$D$34,Cadrage!$E$34)))</f>
        <v>0.03</v>
      </c>
      <c r="J1251">
        <f>IF($A1251="","",IF($D1251="V01",Cadrage!$C$35,IF($D1251="V02",Cadrage!$D$35,Cadrage!$E$35)))</f>
        <v>0.03</v>
      </c>
      <c r="K1251">
        <f>IF($A1251="","",IF($D1251="V01",Cadrage!$C$36,IF($D1251="V02",Cadrage!$D$36,Cadrage!$E$36)))</f>
        <v>0.05</v>
      </c>
      <c r="L1251">
        <f>IF($A1251="","",IF($D1251="V01",Cadrage!$C$37,IF($D1251="V02",Cadrage!$D$37,Cadrage!$E$37)))</f>
        <v>0</v>
      </c>
      <c r="M1251">
        <f>IF($A1251="","",IF($D1251="V01",Cadrage!$C$38,IF($D1251="V02",Cadrage!$D$38,Cadrage!$E$38)))</f>
        <v>0.04</v>
      </c>
      <c r="N1251">
        <f t="shared" si="1"/>
        <v>0.980622079131853</v>
      </c>
      <c r="O1251">
        <f t="shared" si="2"/>
        <v>1.03</v>
      </c>
      <c r="P1251">
        <f>IF($A1251="","",IF($E1251=1,$F1251*$O1251,PNL!G1251))</f>
        <v>14620.8603</v>
      </c>
      <c r="T1251">
        <f t="shared" si="3"/>
        <v>-14620.8603</v>
      </c>
    </row>
    <row r="1252" ht="14.25" customHeight="1">
      <c r="A1252" t="str">
        <f>IF(PNL!A1252="","",PNL!A1252)</f>
        <v>TUNON_LYO</v>
      </c>
      <c r="B1252" t="str">
        <f>IF(PNL!B1252="","",PNL!B1252)</f>
        <v>63511</v>
      </c>
      <c r="C1252" t="str">
        <f>IF(PNL!C1252="","",PNL!C1252)</f>
        <v>2027</v>
      </c>
      <c r="D1252" t="str">
        <f>IF(PNL!D1252="","",PNL!D1252)</f>
        <v>V03</v>
      </c>
      <c r="E1252">
        <f t="shared" si="0"/>
        <v>1</v>
      </c>
      <c r="F1252">
        <f>IF($A1252="","",IF($E1252=1,_xlfn.SUMIFS(Comptabilité!$F$1:$F$1446,Comptabilité!$A$1:$A$1446,$A1252,Comptabilité!$B$1:$B$1446,$B1252,Comptabilité!$C$1:$C$1446,"2026"),0))</f>
        <v>10938.17</v>
      </c>
      <c r="G1252">
        <f>IF($A1252="","",IF($D1252="V01",Cadrage!$C$23,IF($D1252="V02",Cadrage!$D$23,Cadrage!$E$23)))</f>
        <v>-0.05</v>
      </c>
      <c r="H1252">
        <f>IF($A1252="","",IF($D1252="V01",Cadrage!$C$24,IF($D1252="V02",Cadrage!$D$24,Cadrage!$E$24)))</f>
        <v>-0.05</v>
      </c>
      <c r="I1252">
        <f>IF($A1252="","",IF($D1252="V01",Cadrage!$C$34,IF($D1252="V02",Cadrage!$D$34,Cadrage!$E$34)))</f>
        <v>0.03</v>
      </c>
      <c r="J1252">
        <f>IF($A1252="","",IF($D1252="V01",Cadrage!$C$35,IF($D1252="V02",Cadrage!$D$35,Cadrage!$E$35)))</f>
        <v>0.03</v>
      </c>
      <c r="K1252">
        <f>IF($A1252="","",IF($D1252="V01",Cadrage!$C$36,IF($D1252="V02",Cadrage!$D$36,Cadrage!$E$36)))</f>
        <v>0.05</v>
      </c>
      <c r="L1252">
        <f>IF($A1252="","",IF($D1252="V01",Cadrage!$C$37,IF($D1252="V02",Cadrage!$D$37,Cadrage!$E$37)))</f>
        <v>0</v>
      </c>
      <c r="M1252">
        <f>IF($A1252="","",IF($D1252="V01",Cadrage!$C$38,IF($D1252="V02",Cadrage!$D$38,Cadrage!$E$38)))</f>
        <v>0.04</v>
      </c>
      <c r="N1252">
        <f t="shared" si="1"/>
        <v>0.980622079131853</v>
      </c>
      <c r="O1252">
        <f t="shared" si="2"/>
        <v>1.03</v>
      </c>
      <c r="P1252">
        <f>IF($A1252="","",IF($E1252=1,$F1252*$O1252,PNL!G1252))</f>
        <v>11266.3151</v>
      </c>
      <c r="T1252">
        <f t="shared" si="3"/>
        <v>-11266.3151</v>
      </c>
    </row>
    <row r="1253" ht="14.25" customHeight="1">
      <c r="A1253" t="str">
        <f>IF(PNL!A1253="","",PNL!A1253)</f>
        <v>TUNON_PAR</v>
      </c>
      <c r="B1253" t="str">
        <f>IF(PNL!B1253="","",PNL!B1253)</f>
        <v>63511</v>
      </c>
      <c r="C1253" t="str">
        <f>IF(PNL!C1253="","",PNL!C1253)</f>
        <v>2027</v>
      </c>
      <c r="D1253" t="str">
        <f>IF(PNL!D1253="","",PNL!D1253)</f>
        <v>V03</v>
      </c>
      <c r="E1253">
        <f t="shared" si="0"/>
        <v>1</v>
      </c>
      <c r="F1253">
        <f>IF($A1253="","",IF($E1253=1,_xlfn.SUMIFS(Comptabilité!$F$1:$F$1446,Comptabilité!$A$1:$A$1446,$A1253,Comptabilité!$B$1:$B$1446,$B1253,Comptabilité!$C$1:$C$1446,"2026"),0))</f>
        <v>13139.33</v>
      </c>
      <c r="G1253">
        <f>IF($A1253="","",IF($D1253="V01",Cadrage!$C$23,IF($D1253="V02",Cadrage!$D$23,Cadrage!$E$23)))</f>
        <v>-0.05</v>
      </c>
      <c r="H1253">
        <f>IF($A1253="","",IF($D1253="V01",Cadrage!$C$24,IF($D1253="V02",Cadrage!$D$24,Cadrage!$E$24)))</f>
        <v>-0.05</v>
      </c>
      <c r="I1253">
        <f>IF($A1253="","",IF($D1253="V01",Cadrage!$C$34,IF($D1253="V02",Cadrage!$D$34,Cadrage!$E$34)))</f>
        <v>0.03</v>
      </c>
      <c r="J1253">
        <f>IF($A1253="","",IF($D1253="V01",Cadrage!$C$35,IF($D1253="V02",Cadrage!$D$35,Cadrage!$E$35)))</f>
        <v>0.03</v>
      </c>
      <c r="K1253">
        <f>IF($A1253="","",IF($D1253="V01",Cadrage!$C$36,IF($D1253="V02",Cadrage!$D$36,Cadrage!$E$36)))</f>
        <v>0.05</v>
      </c>
      <c r="L1253">
        <f>IF($A1253="","",IF($D1253="V01",Cadrage!$C$37,IF($D1253="V02",Cadrage!$D$37,Cadrage!$E$37)))</f>
        <v>0</v>
      </c>
      <c r="M1253">
        <f>IF($A1253="","",IF($D1253="V01",Cadrage!$C$38,IF($D1253="V02",Cadrage!$D$38,Cadrage!$E$38)))</f>
        <v>0.04</v>
      </c>
      <c r="N1253">
        <f t="shared" si="1"/>
        <v>0.980622079131853</v>
      </c>
      <c r="O1253">
        <f t="shared" si="2"/>
        <v>1.03</v>
      </c>
      <c r="P1253">
        <f>IF($A1253="","",IF($E1253=1,$F1253*$O1253,PNL!G1253))</f>
        <v>13533.5099</v>
      </c>
      <c r="T1253">
        <f t="shared" si="3"/>
        <v>-13533.5099</v>
      </c>
    </row>
    <row r="1254" ht="14.25" customHeight="1">
      <c r="A1254" t="str">
        <f>IF(PNL!A1254="","",PNL!A1254)</f>
        <v>IPAC_MTP</v>
      </c>
      <c r="B1254" t="str">
        <f>IF(PNL!B1254="","",PNL!B1254)</f>
        <v>6411</v>
      </c>
      <c r="C1254" t="str">
        <f>IF(PNL!C1254="","",PNL!C1254)</f>
        <v>2027</v>
      </c>
      <c r="D1254" t="str">
        <f>IF(PNL!D1254="","",PNL!D1254)</f>
        <v>V03</v>
      </c>
      <c r="E1254">
        <f t="shared" si="0"/>
        <v>1</v>
      </c>
      <c r="F1254">
        <f>IF($A1254="","",IF($E1254=1,_xlfn.SUMIFS(Comptabilité!$F$1:$F$1446,Comptabilité!$A$1:$A$1446,$A1254,Comptabilité!$B$1:$B$1446,$B1254,Comptabilité!$C$1:$C$1446,"2026"),0))</f>
        <v>136087.43</v>
      </c>
      <c r="G1254">
        <f>IF($A1254="","",IF($D1254="V01",Cadrage!$C$23,IF($D1254="V02",Cadrage!$D$23,Cadrage!$E$23)))</f>
        <v>-0.05</v>
      </c>
      <c r="H1254">
        <f>IF($A1254="","",IF($D1254="V01",Cadrage!$C$24,IF($D1254="V02",Cadrage!$D$24,Cadrage!$E$24)))</f>
        <v>-0.05</v>
      </c>
      <c r="I1254">
        <f>IF($A1254="","",IF($D1254="V01",Cadrage!$C$34,IF($D1254="V02",Cadrage!$D$34,Cadrage!$E$34)))</f>
        <v>0.03</v>
      </c>
      <c r="J1254">
        <f>IF($A1254="","",IF($D1254="V01",Cadrage!$C$35,IF($D1254="V02",Cadrage!$D$35,Cadrage!$E$35)))</f>
        <v>0.03</v>
      </c>
      <c r="K1254">
        <f>IF($A1254="","",IF($D1254="V01",Cadrage!$C$36,IF($D1254="V02",Cadrage!$D$36,Cadrage!$E$36)))</f>
        <v>0.05</v>
      </c>
      <c r="L1254">
        <f>IF($A1254="","",IF($D1254="V01",Cadrage!$C$37,IF($D1254="V02",Cadrage!$D$37,Cadrage!$E$37)))</f>
        <v>0</v>
      </c>
      <c r="M1254">
        <f>IF($A1254="","",IF($D1254="V01",Cadrage!$C$38,IF($D1254="V02",Cadrage!$D$38,Cadrage!$E$38)))</f>
        <v>0.04</v>
      </c>
      <c r="N1254">
        <f t="shared" si="1"/>
        <v>0.980622079131853</v>
      </c>
      <c r="O1254">
        <f t="shared" si="2"/>
        <v>1.0815</v>
      </c>
      <c r="P1254">
        <f>IF($A1254="","",IF($E1254=1,$F1254*$O1254,PNL!G1254))</f>
        <v>147178.555545</v>
      </c>
      <c r="T1254">
        <f t="shared" si="3"/>
        <v>-147178.555545</v>
      </c>
    </row>
    <row r="1255" ht="14.25" customHeight="1">
      <c r="A1255" t="str">
        <f>IF(PNL!A1255="","",PNL!A1255)</f>
        <v>IPAC_NAN</v>
      </c>
      <c r="B1255" t="str">
        <f>IF(PNL!B1255="","",PNL!B1255)</f>
        <v>6411</v>
      </c>
      <c r="C1255" t="str">
        <f>IF(PNL!C1255="","",PNL!C1255)</f>
        <v>2027</v>
      </c>
      <c r="D1255" t="str">
        <f>IF(PNL!D1255="","",PNL!D1255)</f>
        <v>V03</v>
      </c>
      <c r="E1255">
        <f t="shared" si="0"/>
        <v>1</v>
      </c>
      <c r="F1255">
        <f>IF($A1255="","",IF($E1255=1,_xlfn.SUMIFS(Comptabilité!$F$1:$F$1446,Comptabilité!$A$1:$A$1446,$A1255,Comptabilité!$B$1:$B$1446,$B1255,Comptabilité!$C$1:$C$1446,"2026"),0))</f>
        <v>168182.73</v>
      </c>
      <c r="G1255">
        <f>IF($A1255="","",IF($D1255="V01",Cadrage!$C$23,IF($D1255="V02",Cadrage!$D$23,Cadrage!$E$23)))</f>
        <v>-0.05</v>
      </c>
      <c r="H1255">
        <f>IF($A1255="","",IF($D1255="V01",Cadrage!$C$24,IF($D1255="V02",Cadrage!$D$24,Cadrage!$E$24)))</f>
        <v>-0.05</v>
      </c>
      <c r="I1255">
        <f>IF($A1255="","",IF($D1255="V01",Cadrage!$C$34,IF($D1255="V02",Cadrage!$D$34,Cadrage!$E$34)))</f>
        <v>0.03</v>
      </c>
      <c r="J1255">
        <f>IF($A1255="","",IF($D1255="V01",Cadrage!$C$35,IF($D1255="V02",Cadrage!$D$35,Cadrage!$E$35)))</f>
        <v>0.03</v>
      </c>
      <c r="K1255">
        <f>IF($A1255="","",IF($D1255="V01",Cadrage!$C$36,IF($D1255="V02",Cadrage!$D$36,Cadrage!$E$36)))</f>
        <v>0.05</v>
      </c>
      <c r="L1255">
        <f>IF($A1255="","",IF($D1255="V01",Cadrage!$C$37,IF($D1255="V02",Cadrage!$D$37,Cadrage!$E$37)))</f>
        <v>0</v>
      </c>
      <c r="M1255">
        <f>IF($A1255="","",IF($D1255="V01",Cadrage!$C$38,IF($D1255="V02",Cadrage!$D$38,Cadrage!$E$38)))</f>
        <v>0.04</v>
      </c>
      <c r="N1255">
        <f t="shared" si="1"/>
        <v>0.980622079131853</v>
      </c>
      <c r="O1255">
        <f t="shared" si="2"/>
        <v>1.0815</v>
      </c>
      <c r="P1255">
        <f>IF($A1255="","",IF($E1255=1,$F1255*$O1255,PNL!G1255))</f>
        <v>181889.622495</v>
      </c>
      <c r="T1255">
        <f t="shared" si="3"/>
        <v>-181889.622495</v>
      </c>
    </row>
    <row r="1256" ht="14.25" customHeight="1">
      <c r="A1256" t="str">
        <f>IF(PNL!A1256="","",PNL!A1256)</f>
        <v>IPAC_REN</v>
      </c>
      <c r="B1256" t="str">
        <f>IF(PNL!B1256="","",PNL!B1256)</f>
        <v>6411</v>
      </c>
      <c r="C1256" t="str">
        <f>IF(PNL!C1256="","",PNL!C1256)</f>
        <v>2027</v>
      </c>
      <c r="D1256" t="str">
        <f>IF(PNL!D1256="","",PNL!D1256)</f>
        <v>V03</v>
      </c>
      <c r="E1256">
        <f t="shared" si="0"/>
        <v>1</v>
      </c>
      <c r="F1256">
        <f>IF($A1256="","",IF($E1256=1,_xlfn.SUMIFS(Comptabilité!$F$1:$F$1446,Comptabilité!$A$1:$A$1446,$A1256,Comptabilité!$B$1:$B$1446,$B1256,Comptabilité!$C$1:$C$1446,"2026"),0))</f>
        <v>136168.63</v>
      </c>
      <c r="G1256">
        <f>IF($A1256="","",IF($D1256="V01",Cadrage!$C$23,IF($D1256="V02",Cadrage!$D$23,Cadrage!$E$23)))</f>
        <v>-0.05</v>
      </c>
      <c r="H1256">
        <f>IF($A1256="","",IF($D1256="V01",Cadrage!$C$24,IF($D1256="V02",Cadrage!$D$24,Cadrage!$E$24)))</f>
        <v>-0.05</v>
      </c>
      <c r="I1256">
        <f>IF($A1256="","",IF($D1256="V01",Cadrage!$C$34,IF($D1256="V02",Cadrage!$D$34,Cadrage!$E$34)))</f>
        <v>0.03</v>
      </c>
      <c r="J1256">
        <f>IF($A1256="","",IF($D1256="V01",Cadrage!$C$35,IF($D1256="V02",Cadrage!$D$35,Cadrage!$E$35)))</f>
        <v>0.03</v>
      </c>
      <c r="K1256">
        <f>IF($A1256="","",IF($D1256="V01",Cadrage!$C$36,IF($D1256="V02",Cadrage!$D$36,Cadrage!$E$36)))</f>
        <v>0.05</v>
      </c>
      <c r="L1256">
        <f>IF($A1256="","",IF($D1256="V01",Cadrage!$C$37,IF($D1256="V02",Cadrage!$D$37,Cadrage!$E$37)))</f>
        <v>0</v>
      </c>
      <c r="M1256">
        <f>IF($A1256="","",IF($D1256="V01",Cadrage!$C$38,IF($D1256="V02",Cadrage!$D$38,Cadrage!$E$38)))</f>
        <v>0.04</v>
      </c>
      <c r="N1256">
        <f t="shared" si="1"/>
        <v>0.980622079131853</v>
      </c>
      <c r="O1256">
        <f t="shared" si="2"/>
        <v>1.0815</v>
      </c>
      <c r="P1256">
        <f>IF($A1256="","",IF($E1256=1,$F1256*$O1256,PNL!G1256))</f>
        <v>147266.373345</v>
      </c>
      <c r="T1256">
        <f t="shared" si="3"/>
        <v>-147266.373345</v>
      </c>
    </row>
    <row r="1257" ht="14.25" customHeight="1">
      <c r="A1257" t="str">
        <f>IF(PNL!A1257="","",PNL!A1257)</f>
        <v>ISCOM_LIL</v>
      </c>
      <c r="B1257" t="str">
        <f>IF(PNL!B1257="","",PNL!B1257)</f>
        <v>6411</v>
      </c>
      <c r="C1257" t="str">
        <f>IF(PNL!C1257="","",PNL!C1257)</f>
        <v>2027</v>
      </c>
      <c r="D1257" t="str">
        <f>IF(PNL!D1257="","",PNL!D1257)</f>
        <v>V03</v>
      </c>
      <c r="E1257">
        <f t="shared" si="0"/>
        <v>1</v>
      </c>
      <c r="F1257">
        <f>IF($A1257="","",IF($E1257=1,_xlfn.SUMIFS(Comptabilité!$F$1:$F$1446,Comptabilité!$A$1:$A$1446,$A1257,Comptabilité!$B$1:$B$1446,$B1257,Comptabilité!$C$1:$C$1446,"2026"),0))</f>
        <v>284669.17</v>
      </c>
      <c r="G1257">
        <f>IF($A1257="","",IF($D1257="V01",Cadrage!$C$23,IF($D1257="V02",Cadrage!$D$23,Cadrage!$E$23)))</f>
        <v>-0.05</v>
      </c>
      <c r="H1257">
        <f>IF($A1257="","",IF($D1257="V01",Cadrage!$C$24,IF($D1257="V02",Cadrage!$D$24,Cadrage!$E$24)))</f>
        <v>-0.05</v>
      </c>
      <c r="I1257">
        <f>IF($A1257="","",IF($D1257="V01",Cadrage!$C$34,IF($D1257="V02",Cadrage!$D$34,Cadrage!$E$34)))</f>
        <v>0.03</v>
      </c>
      <c r="J1257">
        <f>IF($A1257="","",IF($D1257="V01",Cadrage!$C$35,IF($D1257="V02",Cadrage!$D$35,Cadrage!$E$35)))</f>
        <v>0.03</v>
      </c>
      <c r="K1257">
        <f>IF($A1257="","",IF($D1257="V01",Cadrage!$C$36,IF($D1257="V02",Cadrage!$D$36,Cadrage!$E$36)))</f>
        <v>0.05</v>
      </c>
      <c r="L1257">
        <f>IF($A1257="","",IF($D1257="V01",Cadrage!$C$37,IF($D1257="V02",Cadrage!$D$37,Cadrage!$E$37)))</f>
        <v>0</v>
      </c>
      <c r="M1257">
        <f>IF($A1257="","",IF($D1257="V01",Cadrage!$C$38,IF($D1257="V02",Cadrage!$D$38,Cadrage!$E$38)))</f>
        <v>0.04</v>
      </c>
      <c r="N1257">
        <f t="shared" si="1"/>
        <v>0.980622079131853</v>
      </c>
      <c r="O1257">
        <f t="shared" si="2"/>
        <v>1.0815</v>
      </c>
      <c r="P1257">
        <f>IF($A1257="","",IF($E1257=1,$F1257*$O1257,PNL!G1257))</f>
        <v>307869.707355</v>
      </c>
      <c r="T1257">
        <f t="shared" si="3"/>
        <v>-307869.707355</v>
      </c>
    </row>
    <row r="1258" ht="14.25" customHeight="1">
      <c r="A1258" t="str">
        <f>IF(PNL!A1258="","",PNL!A1258)</f>
        <v>ISCOM_PAR</v>
      </c>
      <c r="B1258" t="str">
        <f>IF(PNL!B1258="","",PNL!B1258)</f>
        <v>6411</v>
      </c>
      <c r="C1258" t="str">
        <f>IF(PNL!C1258="","",PNL!C1258)</f>
        <v>2027</v>
      </c>
      <c r="D1258" t="str">
        <f>IF(PNL!D1258="","",PNL!D1258)</f>
        <v>V03</v>
      </c>
      <c r="E1258">
        <f t="shared" si="0"/>
        <v>1</v>
      </c>
      <c r="F1258">
        <f>IF($A1258="","",IF($E1258=1,_xlfn.SUMIFS(Comptabilité!$F$1:$F$1446,Comptabilité!$A$1:$A$1446,$A1258,Comptabilité!$B$1:$B$1446,$B1258,Comptabilité!$C$1:$C$1446,"2026"),0))</f>
        <v>488050.48</v>
      </c>
      <c r="G1258">
        <f>IF($A1258="","",IF($D1258="V01",Cadrage!$C$23,IF($D1258="V02",Cadrage!$D$23,Cadrage!$E$23)))</f>
        <v>-0.05</v>
      </c>
      <c r="H1258">
        <f>IF($A1258="","",IF($D1258="V01",Cadrage!$C$24,IF($D1258="V02",Cadrage!$D$24,Cadrage!$E$24)))</f>
        <v>-0.05</v>
      </c>
      <c r="I1258">
        <f>IF($A1258="","",IF($D1258="V01",Cadrage!$C$34,IF($D1258="V02",Cadrage!$D$34,Cadrage!$E$34)))</f>
        <v>0.03</v>
      </c>
      <c r="J1258">
        <f>IF($A1258="","",IF($D1258="V01",Cadrage!$C$35,IF($D1258="V02",Cadrage!$D$35,Cadrage!$E$35)))</f>
        <v>0.03</v>
      </c>
      <c r="K1258">
        <f>IF($A1258="","",IF($D1258="V01",Cadrage!$C$36,IF($D1258="V02",Cadrage!$D$36,Cadrage!$E$36)))</f>
        <v>0.05</v>
      </c>
      <c r="L1258">
        <f>IF($A1258="","",IF($D1258="V01",Cadrage!$C$37,IF($D1258="V02",Cadrage!$D$37,Cadrage!$E$37)))</f>
        <v>0</v>
      </c>
      <c r="M1258">
        <f>IF($A1258="","",IF($D1258="V01",Cadrage!$C$38,IF($D1258="V02",Cadrage!$D$38,Cadrage!$E$38)))</f>
        <v>0.04</v>
      </c>
      <c r="N1258">
        <f t="shared" si="1"/>
        <v>0.980622079131853</v>
      </c>
      <c r="O1258">
        <f t="shared" si="2"/>
        <v>1.0815</v>
      </c>
      <c r="P1258">
        <f>IF($A1258="","",IF($E1258=1,$F1258*$O1258,PNL!G1258))</f>
        <v>527826.59412</v>
      </c>
      <c r="T1258">
        <f t="shared" si="3"/>
        <v>-527826.59412</v>
      </c>
    </row>
    <row r="1259" ht="14.25" customHeight="1">
      <c r="A1259" t="str">
        <f>IF(PNL!A1259="","",PNL!A1259)</f>
        <v>ISCOM_TLS</v>
      </c>
      <c r="B1259" t="str">
        <f>IF(PNL!B1259="","",PNL!B1259)</f>
        <v>6411</v>
      </c>
      <c r="C1259" t="str">
        <f>IF(PNL!C1259="","",PNL!C1259)</f>
        <v>2027</v>
      </c>
      <c r="D1259" t="str">
        <f>IF(PNL!D1259="","",PNL!D1259)</f>
        <v>V03</v>
      </c>
      <c r="E1259">
        <f t="shared" si="0"/>
        <v>1</v>
      </c>
      <c r="F1259">
        <f>IF($A1259="","",IF($E1259=1,_xlfn.SUMIFS(Comptabilité!$F$1:$F$1446,Comptabilité!$A$1:$A$1446,$A1259,Comptabilité!$B$1:$B$1446,$B1259,Comptabilité!$C$1:$C$1446,"2026"),0))</f>
        <v>267683.87</v>
      </c>
      <c r="G1259">
        <f>IF($A1259="","",IF($D1259="V01",Cadrage!$C$23,IF($D1259="V02",Cadrage!$D$23,Cadrage!$E$23)))</f>
        <v>-0.05</v>
      </c>
      <c r="H1259">
        <f>IF($A1259="","",IF($D1259="V01",Cadrage!$C$24,IF($D1259="V02",Cadrage!$D$24,Cadrage!$E$24)))</f>
        <v>-0.05</v>
      </c>
      <c r="I1259">
        <f>IF($A1259="","",IF($D1259="V01",Cadrage!$C$34,IF($D1259="V02",Cadrage!$D$34,Cadrage!$E$34)))</f>
        <v>0.03</v>
      </c>
      <c r="J1259">
        <f>IF($A1259="","",IF($D1259="V01",Cadrage!$C$35,IF($D1259="V02",Cadrage!$D$35,Cadrage!$E$35)))</f>
        <v>0.03</v>
      </c>
      <c r="K1259">
        <f>IF($A1259="","",IF($D1259="V01",Cadrage!$C$36,IF($D1259="V02",Cadrage!$D$36,Cadrage!$E$36)))</f>
        <v>0.05</v>
      </c>
      <c r="L1259">
        <f>IF($A1259="","",IF($D1259="V01",Cadrage!$C$37,IF($D1259="V02",Cadrage!$D$37,Cadrage!$E$37)))</f>
        <v>0</v>
      </c>
      <c r="M1259">
        <f>IF($A1259="","",IF($D1259="V01",Cadrage!$C$38,IF($D1259="V02",Cadrage!$D$38,Cadrage!$E$38)))</f>
        <v>0.04</v>
      </c>
      <c r="N1259">
        <f t="shared" si="1"/>
        <v>0.980622079131853</v>
      </c>
      <c r="O1259">
        <f t="shared" si="2"/>
        <v>1.0815</v>
      </c>
      <c r="P1259">
        <f>IF($A1259="","",IF($E1259=1,$F1259*$O1259,PNL!G1259))</f>
        <v>289500.105405</v>
      </c>
      <c r="T1259">
        <f t="shared" si="3"/>
        <v>-289500.105405</v>
      </c>
    </row>
    <row r="1260" ht="14.25" customHeight="1">
      <c r="A1260" t="str">
        <f>IF(PNL!A1260="","",PNL!A1260)</f>
        <v>MBWAY_BOR</v>
      </c>
      <c r="B1260" t="str">
        <f>IF(PNL!B1260="","",PNL!B1260)</f>
        <v>6411</v>
      </c>
      <c r="C1260" t="str">
        <f>IF(PNL!C1260="","",PNL!C1260)</f>
        <v>2027</v>
      </c>
      <c r="D1260" t="str">
        <f>IF(PNL!D1260="","",PNL!D1260)</f>
        <v>V03</v>
      </c>
      <c r="E1260">
        <f t="shared" si="0"/>
        <v>1</v>
      </c>
      <c r="F1260">
        <f>IF($A1260="","",IF($E1260=1,_xlfn.SUMIFS(Comptabilité!$F$1:$F$1446,Comptabilité!$A$1:$A$1446,$A1260,Comptabilité!$B$1:$B$1446,$B1260,Comptabilité!$C$1:$C$1446,"2026"),0))</f>
        <v>280337.09</v>
      </c>
      <c r="G1260">
        <f>IF($A1260="","",IF($D1260="V01",Cadrage!$C$23,IF($D1260="V02",Cadrage!$D$23,Cadrage!$E$23)))</f>
        <v>-0.05</v>
      </c>
      <c r="H1260">
        <f>IF($A1260="","",IF($D1260="V01",Cadrage!$C$24,IF($D1260="V02",Cadrage!$D$24,Cadrage!$E$24)))</f>
        <v>-0.05</v>
      </c>
      <c r="I1260">
        <f>IF($A1260="","",IF($D1260="V01",Cadrage!$C$34,IF($D1260="V02",Cadrage!$D$34,Cadrage!$E$34)))</f>
        <v>0.03</v>
      </c>
      <c r="J1260">
        <f>IF($A1260="","",IF($D1260="V01",Cadrage!$C$35,IF($D1260="V02",Cadrage!$D$35,Cadrage!$E$35)))</f>
        <v>0.03</v>
      </c>
      <c r="K1260">
        <f>IF($A1260="","",IF($D1260="V01",Cadrage!$C$36,IF($D1260="V02",Cadrage!$D$36,Cadrage!$E$36)))</f>
        <v>0.05</v>
      </c>
      <c r="L1260">
        <f>IF($A1260="","",IF($D1260="V01",Cadrage!$C$37,IF($D1260="V02",Cadrage!$D$37,Cadrage!$E$37)))</f>
        <v>0</v>
      </c>
      <c r="M1260">
        <f>IF($A1260="","",IF($D1260="V01",Cadrage!$C$38,IF($D1260="V02",Cadrage!$D$38,Cadrage!$E$38)))</f>
        <v>0.04</v>
      </c>
      <c r="N1260">
        <f t="shared" si="1"/>
        <v>0.980622079131853</v>
      </c>
      <c r="O1260">
        <f t="shared" si="2"/>
        <v>1.0815</v>
      </c>
      <c r="P1260">
        <f>IF($A1260="","",IF($E1260=1,$F1260*$O1260,PNL!G1260))</f>
        <v>303184.562835</v>
      </c>
      <c r="T1260">
        <f t="shared" si="3"/>
        <v>-303184.562835</v>
      </c>
    </row>
    <row r="1261" ht="14.25" customHeight="1">
      <c r="A1261" t="str">
        <f>IF(PNL!A1261="","",PNL!A1261)</f>
        <v>MBWAY_LYO</v>
      </c>
      <c r="B1261" t="str">
        <f>IF(PNL!B1261="","",PNL!B1261)</f>
        <v>6411</v>
      </c>
      <c r="C1261" t="str">
        <f>IF(PNL!C1261="","",PNL!C1261)</f>
        <v>2027</v>
      </c>
      <c r="D1261" t="str">
        <f>IF(PNL!D1261="","",PNL!D1261)</f>
        <v>V03</v>
      </c>
      <c r="E1261">
        <f t="shared" si="0"/>
        <v>1</v>
      </c>
      <c r="F1261">
        <f>IF($A1261="","",IF($E1261=1,_xlfn.SUMIFS(Comptabilité!$F$1:$F$1446,Comptabilité!$A$1:$A$1446,$A1261,Comptabilité!$B$1:$B$1446,$B1261,Comptabilité!$C$1:$C$1446,"2026"),0))</f>
        <v>400192.8</v>
      </c>
      <c r="G1261">
        <f>IF($A1261="","",IF($D1261="V01",Cadrage!$C$23,IF($D1261="V02",Cadrage!$D$23,Cadrage!$E$23)))</f>
        <v>-0.05</v>
      </c>
      <c r="H1261">
        <f>IF($A1261="","",IF($D1261="V01",Cadrage!$C$24,IF($D1261="V02",Cadrage!$D$24,Cadrage!$E$24)))</f>
        <v>-0.05</v>
      </c>
      <c r="I1261">
        <f>IF($A1261="","",IF($D1261="V01",Cadrage!$C$34,IF($D1261="V02",Cadrage!$D$34,Cadrage!$E$34)))</f>
        <v>0.03</v>
      </c>
      <c r="J1261">
        <f>IF($A1261="","",IF($D1261="V01",Cadrage!$C$35,IF($D1261="V02",Cadrage!$D$35,Cadrage!$E$35)))</f>
        <v>0.03</v>
      </c>
      <c r="K1261">
        <f>IF($A1261="","",IF($D1261="V01",Cadrage!$C$36,IF($D1261="V02",Cadrage!$D$36,Cadrage!$E$36)))</f>
        <v>0.05</v>
      </c>
      <c r="L1261">
        <f>IF($A1261="","",IF($D1261="V01",Cadrage!$C$37,IF($D1261="V02",Cadrage!$D$37,Cadrage!$E$37)))</f>
        <v>0</v>
      </c>
      <c r="M1261">
        <f>IF($A1261="","",IF($D1261="V01",Cadrage!$C$38,IF($D1261="V02",Cadrage!$D$38,Cadrage!$E$38)))</f>
        <v>0.04</v>
      </c>
      <c r="N1261">
        <f t="shared" si="1"/>
        <v>0.980622079131853</v>
      </c>
      <c r="O1261">
        <f t="shared" si="2"/>
        <v>1.0815</v>
      </c>
      <c r="P1261">
        <f>IF($A1261="","",IF($E1261=1,$F1261*$O1261,PNL!G1261))</f>
        <v>432808.5132</v>
      </c>
      <c r="T1261">
        <f t="shared" si="3"/>
        <v>-432808.5132</v>
      </c>
    </row>
    <row r="1262" ht="14.25" customHeight="1">
      <c r="A1262" t="str">
        <f>IF(PNL!A1262="","",PNL!A1262)</f>
        <v>MBWAY_NAN</v>
      </c>
      <c r="B1262" t="str">
        <f>IF(PNL!B1262="","",PNL!B1262)</f>
        <v>6411</v>
      </c>
      <c r="C1262" t="str">
        <f>IF(PNL!C1262="","",PNL!C1262)</f>
        <v>2027</v>
      </c>
      <c r="D1262" t="str">
        <f>IF(PNL!D1262="","",PNL!D1262)</f>
        <v>V03</v>
      </c>
      <c r="E1262">
        <f t="shared" si="0"/>
        <v>1</v>
      </c>
      <c r="F1262">
        <f>IF($A1262="","",IF($E1262=1,_xlfn.SUMIFS(Comptabilité!$F$1:$F$1446,Comptabilité!$A$1:$A$1446,$A1262,Comptabilité!$B$1:$B$1446,$B1262,Comptabilité!$C$1:$C$1446,"2026"),0))</f>
        <v>344252.4</v>
      </c>
      <c r="G1262">
        <f>IF($A1262="","",IF($D1262="V01",Cadrage!$C$23,IF($D1262="V02",Cadrage!$D$23,Cadrage!$E$23)))</f>
        <v>-0.05</v>
      </c>
      <c r="H1262">
        <f>IF($A1262="","",IF($D1262="V01",Cadrage!$C$24,IF($D1262="V02",Cadrage!$D$24,Cadrage!$E$24)))</f>
        <v>-0.05</v>
      </c>
      <c r="I1262">
        <f>IF($A1262="","",IF($D1262="V01",Cadrage!$C$34,IF($D1262="V02",Cadrage!$D$34,Cadrage!$E$34)))</f>
        <v>0.03</v>
      </c>
      <c r="J1262">
        <f>IF($A1262="","",IF($D1262="V01",Cadrage!$C$35,IF($D1262="V02",Cadrage!$D$35,Cadrage!$E$35)))</f>
        <v>0.03</v>
      </c>
      <c r="K1262">
        <f>IF($A1262="","",IF($D1262="V01",Cadrage!$C$36,IF($D1262="V02",Cadrage!$D$36,Cadrage!$E$36)))</f>
        <v>0.05</v>
      </c>
      <c r="L1262">
        <f>IF($A1262="","",IF($D1262="V01",Cadrage!$C$37,IF($D1262="V02",Cadrage!$D$37,Cadrage!$E$37)))</f>
        <v>0</v>
      </c>
      <c r="M1262">
        <f>IF($A1262="","",IF($D1262="V01",Cadrage!$C$38,IF($D1262="V02",Cadrage!$D$38,Cadrage!$E$38)))</f>
        <v>0.04</v>
      </c>
      <c r="N1262">
        <f t="shared" si="1"/>
        <v>0.980622079131853</v>
      </c>
      <c r="O1262">
        <f t="shared" si="2"/>
        <v>1.0815</v>
      </c>
      <c r="P1262">
        <f>IF($A1262="","",IF($E1262=1,$F1262*$O1262,PNL!G1262))</f>
        <v>372308.9706</v>
      </c>
      <c r="T1262">
        <f t="shared" si="3"/>
        <v>-372308.9706</v>
      </c>
    </row>
    <row r="1263" ht="14.25" customHeight="1">
      <c r="A1263" t="str">
        <f>IF(PNL!A1263="","",PNL!A1263)</f>
        <v>MBWAY_PAR</v>
      </c>
      <c r="B1263" t="str">
        <f>IF(PNL!B1263="","",PNL!B1263)</f>
        <v>6411</v>
      </c>
      <c r="C1263" t="str">
        <f>IF(PNL!C1263="","",PNL!C1263)</f>
        <v>2027</v>
      </c>
      <c r="D1263" t="str">
        <f>IF(PNL!D1263="","",PNL!D1263)</f>
        <v>V03</v>
      </c>
      <c r="E1263">
        <f t="shared" si="0"/>
        <v>1</v>
      </c>
      <c r="F1263">
        <f>IF($A1263="","",IF($E1263=1,_xlfn.SUMIFS(Comptabilité!$F$1:$F$1446,Comptabilité!$A$1:$A$1446,$A1263,Comptabilité!$B$1:$B$1446,$B1263,Comptabilité!$C$1:$C$1446,"2026"),0))</f>
        <v>502062.96</v>
      </c>
      <c r="G1263">
        <f>IF($A1263="","",IF($D1263="V01",Cadrage!$C$23,IF($D1263="V02",Cadrage!$D$23,Cadrage!$E$23)))</f>
        <v>-0.05</v>
      </c>
      <c r="H1263">
        <f>IF($A1263="","",IF($D1263="V01",Cadrage!$C$24,IF($D1263="V02",Cadrage!$D$24,Cadrage!$E$24)))</f>
        <v>-0.05</v>
      </c>
      <c r="I1263">
        <f>IF($A1263="","",IF($D1263="V01",Cadrage!$C$34,IF($D1263="V02",Cadrage!$D$34,Cadrage!$E$34)))</f>
        <v>0.03</v>
      </c>
      <c r="J1263">
        <f>IF($A1263="","",IF($D1263="V01",Cadrage!$C$35,IF($D1263="V02",Cadrage!$D$35,Cadrage!$E$35)))</f>
        <v>0.03</v>
      </c>
      <c r="K1263">
        <f>IF($A1263="","",IF($D1263="V01",Cadrage!$C$36,IF($D1263="V02",Cadrage!$D$36,Cadrage!$E$36)))</f>
        <v>0.05</v>
      </c>
      <c r="L1263">
        <f>IF($A1263="","",IF($D1263="V01",Cadrage!$C$37,IF($D1263="V02",Cadrage!$D$37,Cadrage!$E$37)))</f>
        <v>0</v>
      </c>
      <c r="M1263">
        <f>IF($A1263="","",IF($D1263="V01",Cadrage!$C$38,IF($D1263="V02",Cadrage!$D$38,Cadrage!$E$38)))</f>
        <v>0.04</v>
      </c>
      <c r="N1263">
        <f t="shared" si="1"/>
        <v>0.980622079131853</v>
      </c>
      <c r="O1263">
        <f t="shared" si="2"/>
        <v>1.0815</v>
      </c>
      <c r="P1263">
        <f>IF($A1263="","",IF($E1263=1,$F1263*$O1263,PNL!G1263))</f>
        <v>542981.09124</v>
      </c>
      <c r="T1263">
        <f t="shared" si="3"/>
        <v>-542981.09124</v>
      </c>
    </row>
    <row r="1264" ht="14.25" customHeight="1">
      <c r="A1264" t="str">
        <f>IF(PNL!A1264="","",PNL!A1264)</f>
        <v>PIGIER_BOR</v>
      </c>
      <c r="B1264" t="str">
        <f>IF(PNL!B1264="","",PNL!B1264)</f>
        <v>6411</v>
      </c>
      <c r="C1264" t="str">
        <f>IF(PNL!C1264="","",PNL!C1264)</f>
        <v>2027</v>
      </c>
      <c r="D1264" t="str">
        <f>IF(PNL!D1264="","",PNL!D1264)</f>
        <v>V03</v>
      </c>
      <c r="E1264">
        <f t="shared" si="0"/>
        <v>1</v>
      </c>
      <c r="F1264">
        <f>IF($A1264="","",IF($E1264=1,_xlfn.SUMIFS(Comptabilité!$F$1:$F$1446,Comptabilité!$A$1:$A$1446,$A1264,Comptabilité!$B$1:$B$1446,$B1264,Comptabilité!$C$1:$C$1446,"2026"),0))</f>
        <v>182756.35</v>
      </c>
      <c r="G1264">
        <f>IF($A1264="","",IF($D1264="V01",Cadrage!$C$23,IF($D1264="V02",Cadrage!$D$23,Cadrage!$E$23)))</f>
        <v>-0.05</v>
      </c>
      <c r="H1264">
        <f>IF($A1264="","",IF($D1264="V01",Cadrage!$C$24,IF($D1264="V02",Cadrage!$D$24,Cadrage!$E$24)))</f>
        <v>-0.05</v>
      </c>
      <c r="I1264">
        <f>IF($A1264="","",IF($D1264="V01",Cadrage!$C$34,IF($D1264="V02",Cadrage!$D$34,Cadrage!$E$34)))</f>
        <v>0.03</v>
      </c>
      <c r="J1264">
        <f>IF($A1264="","",IF($D1264="V01",Cadrage!$C$35,IF($D1264="V02",Cadrage!$D$35,Cadrage!$E$35)))</f>
        <v>0.03</v>
      </c>
      <c r="K1264">
        <f>IF($A1264="","",IF($D1264="V01",Cadrage!$C$36,IF($D1264="V02",Cadrage!$D$36,Cadrage!$E$36)))</f>
        <v>0.05</v>
      </c>
      <c r="L1264">
        <f>IF($A1264="","",IF($D1264="V01",Cadrage!$C$37,IF($D1264="V02",Cadrage!$D$37,Cadrage!$E$37)))</f>
        <v>0</v>
      </c>
      <c r="M1264">
        <f>IF($A1264="","",IF($D1264="V01",Cadrage!$C$38,IF($D1264="V02",Cadrage!$D$38,Cadrage!$E$38)))</f>
        <v>0.04</v>
      </c>
      <c r="N1264">
        <f t="shared" si="1"/>
        <v>0.980622079131853</v>
      </c>
      <c r="O1264">
        <f t="shared" si="2"/>
        <v>1.0815</v>
      </c>
      <c r="P1264">
        <f>IF($A1264="","",IF($E1264=1,$F1264*$O1264,PNL!G1264))</f>
        <v>197650.992525</v>
      </c>
      <c r="T1264">
        <f t="shared" si="3"/>
        <v>-197650.992525</v>
      </c>
    </row>
    <row r="1265" ht="14.25" customHeight="1">
      <c r="A1265" t="str">
        <f>IF(PNL!A1265="","",PNL!A1265)</f>
        <v>PIGIER_LYO</v>
      </c>
      <c r="B1265" t="str">
        <f>IF(PNL!B1265="","",PNL!B1265)</f>
        <v>6411</v>
      </c>
      <c r="C1265" t="str">
        <f>IF(PNL!C1265="","",PNL!C1265)</f>
        <v>2027</v>
      </c>
      <c r="D1265" t="str">
        <f>IF(PNL!D1265="","",PNL!D1265)</f>
        <v>V03</v>
      </c>
      <c r="E1265">
        <f t="shared" si="0"/>
        <v>1</v>
      </c>
      <c r="F1265">
        <f>IF($A1265="","",IF($E1265=1,_xlfn.SUMIFS(Comptabilité!$F$1:$F$1446,Comptabilité!$A$1:$A$1446,$A1265,Comptabilité!$B$1:$B$1446,$B1265,Comptabilité!$C$1:$C$1446,"2026"),0))</f>
        <v>241308.7</v>
      </c>
      <c r="G1265">
        <f>IF($A1265="","",IF($D1265="V01",Cadrage!$C$23,IF($D1265="V02",Cadrage!$D$23,Cadrage!$E$23)))</f>
        <v>-0.05</v>
      </c>
      <c r="H1265">
        <f>IF($A1265="","",IF($D1265="V01",Cadrage!$C$24,IF($D1265="V02",Cadrage!$D$24,Cadrage!$E$24)))</f>
        <v>-0.05</v>
      </c>
      <c r="I1265">
        <f>IF($A1265="","",IF($D1265="V01",Cadrage!$C$34,IF($D1265="V02",Cadrage!$D$34,Cadrage!$E$34)))</f>
        <v>0.03</v>
      </c>
      <c r="J1265">
        <f>IF($A1265="","",IF($D1265="V01",Cadrage!$C$35,IF($D1265="V02",Cadrage!$D$35,Cadrage!$E$35)))</f>
        <v>0.03</v>
      </c>
      <c r="K1265">
        <f>IF($A1265="","",IF($D1265="V01",Cadrage!$C$36,IF($D1265="V02",Cadrage!$D$36,Cadrage!$E$36)))</f>
        <v>0.05</v>
      </c>
      <c r="L1265">
        <f>IF($A1265="","",IF($D1265="V01",Cadrage!$C$37,IF($D1265="V02",Cadrage!$D$37,Cadrage!$E$37)))</f>
        <v>0</v>
      </c>
      <c r="M1265">
        <f>IF($A1265="","",IF($D1265="V01",Cadrage!$C$38,IF($D1265="V02",Cadrage!$D$38,Cadrage!$E$38)))</f>
        <v>0.04</v>
      </c>
      <c r="N1265">
        <f t="shared" si="1"/>
        <v>0.980622079131853</v>
      </c>
      <c r="O1265">
        <f t="shared" si="2"/>
        <v>1.0815</v>
      </c>
      <c r="P1265">
        <f>IF($A1265="","",IF($E1265=1,$F1265*$O1265,PNL!G1265))</f>
        <v>260975.35905</v>
      </c>
      <c r="T1265">
        <f t="shared" si="3"/>
        <v>-260975.35905</v>
      </c>
    </row>
    <row r="1266" ht="14.25" customHeight="1">
      <c r="A1266" t="str">
        <f>IF(PNL!A1266="","",PNL!A1266)</f>
        <v>TUNON_LYO</v>
      </c>
      <c r="B1266" t="str">
        <f>IF(PNL!B1266="","",PNL!B1266)</f>
        <v>6411</v>
      </c>
      <c r="C1266" t="str">
        <f>IF(PNL!C1266="","",PNL!C1266)</f>
        <v>2027</v>
      </c>
      <c r="D1266" t="str">
        <f>IF(PNL!D1266="","",PNL!D1266)</f>
        <v>V03</v>
      </c>
      <c r="E1266">
        <f t="shared" si="0"/>
        <v>1</v>
      </c>
      <c r="F1266">
        <f>IF($A1266="","",IF($E1266=1,_xlfn.SUMIFS(Comptabilité!$F$1:$F$1446,Comptabilité!$A$1:$A$1446,$A1266,Comptabilité!$B$1:$B$1446,$B1266,Comptabilité!$C$1:$C$1446,"2026"),0))</f>
        <v>185947.72</v>
      </c>
      <c r="G1266">
        <f>IF($A1266="","",IF($D1266="V01",Cadrage!$C$23,IF($D1266="V02",Cadrage!$D$23,Cadrage!$E$23)))</f>
        <v>-0.05</v>
      </c>
      <c r="H1266">
        <f>IF($A1266="","",IF($D1266="V01",Cadrage!$C$24,IF($D1266="V02",Cadrage!$D$24,Cadrage!$E$24)))</f>
        <v>-0.05</v>
      </c>
      <c r="I1266">
        <f>IF($A1266="","",IF($D1266="V01",Cadrage!$C$34,IF($D1266="V02",Cadrage!$D$34,Cadrage!$E$34)))</f>
        <v>0.03</v>
      </c>
      <c r="J1266">
        <f>IF($A1266="","",IF($D1266="V01",Cadrage!$C$35,IF($D1266="V02",Cadrage!$D$35,Cadrage!$E$35)))</f>
        <v>0.03</v>
      </c>
      <c r="K1266">
        <f>IF($A1266="","",IF($D1266="V01",Cadrage!$C$36,IF($D1266="V02",Cadrage!$D$36,Cadrage!$E$36)))</f>
        <v>0.05</v>
      </c>
      <c r="L1266">
        <f>IF($A1266="","",IF($D1266="V01",Cadrage!$C$37,IF($D1266="V02",Cadrage!$D$37,Cadrage!$E$37)))</f>
        <v>0</v>
      </c>
      <c r="M1266">
        <f>IF($A1266="","",IF($D1266="V01",Cadrage!$C$38,IF($D1266="V02",Cadrage!$D$38,Cadrage!$E$38)))</f>
        <v>0.04</v>
      </c>
      <c r="N1266">
        <f t="shared" si="1"/>
        <v>0.980622079131853</v>
      </c>
      <c r="O1266">
        <f t="shared" si="2"/>
        <v>1.0815</v>
      </c>
      <c r="P1266">
        <f>IF($A1266="","",IF($E1266=1,$F1266*$O1266,PNL!G1266))</f>
        <v>201102.45918</v>
      </c>
      <c r="T1266">
        <f t="shared" si="3"/>
        <v>-201102.45918</v>
      </c>
    </row>
    <row r="1267" ht="14.25" customHeight="1">
      <c r="A1267" t="str">
        <f>IF(PNL!A1267="","",PNL!A1267)</f>
        <v>TUNON_PAR</v>
      </c>
      <c r="B1267" t="str">
        <f>IF(PNL!B1267="","",PNL!B1267)</f>
        <v>6411</v>
      </c>
      <c r="C1267" t="str">
        <f>IF(PNL!C1267="","",PNL!C1267)</f>
        <v>2027</v>
      </c>
      <c r="D1267" t="str">
        <f>IF(PNL!D1267="","",PNL!D1267)</f>
        <v>V03</v>
      </c>
      <c r="E1267">
        <f t="shared" si="0"/>
        <v>1</v>
      </c>
      <c r="F1267">
        <f>IF($A1267="","",IF($E1267=1,_xlfn.SUMIFS(Comptabilité!$F$1:$F$1446,Comptabilité!$A$1:$A$1446,$A1267,Comptabilité!$B$1:$B$1446,$B1267,Comptabilité!$C$1:$C$1446,"2026"),0))</f>
        <v>223369.51</v>
      </c>
      <c r="G1267">
        <f>IF($A1267="","",IF($D1267="V01",Cadrage!$C$23,IF($D1267="V02",Cadrage!$D$23,Cadrage!$E$23)))</f>
        <v>-0.05</v>
      </c>
      <c r="H1267">
        <f>IF($A1267="","",IF($D1267="V01",Cadrage!$C$24,IF($D1267="V02",Cadrage!$D$24,Cadrage!$E$24)))</f>
        <v>-0.05</v>
      </c>
      <c r="I1267">
        <f>IF($A1267="","",IF($D1267="V01",Cadrage!$C$34,IF($D1267="V02",Cadrage!$D$34,Cadrage!$E$34)))</f>
        <v>0.03</v>
      </c>
      <c r="J1267">
        <f>IF($A1267="","",IF($D1267="V01",Cadrage!$C$35,IF($D1267="V02",Cadrage!$D$35,Cadrage!$E$35)))</f>
        <v>0.03</v>
      </c>
      <c r="K1267">
        <f>IF($A1267="","",IF($D1267="V01",Cadrage!$C$36,IF($D1267="V02",Cadrage!$D$36,Cadrage!$E$36)))</f>
        <v>0.05</v>
      </c>
      <c r="L1267">
        <f>IF($A1267="","",IF($D1267="V01",Cadrage!$C$37,IF($D1267="V02",Cadrage!$D$37,Cadrage!$E$37)))</f>
        <v>0</v>
      </c>
      <c r="M1267">
        <f>IF($A1267="","",IF($D1267="V01",Cadrage!$C$38,IF($D1267="V02",Cadrage!$D$38,Cadrage!$E$38)))</f>
        <v>0.04</v>
      </c>
      <c r="N1267">
        <f t="shared" si="1"/>
        <v>0.980622079131853</v>
      </c>
      <c r="O1267">
        <f t="shared" si="2"/>
        <v>1.0815</v>
      </c>
      <c r="P1267">
        <f>IF($A1267="","",IF($E1267=1,$F1267*$O1267,PNL!G1267))</f>
        <v>241574.125065</v>
      </c>
      <c r="T1267">
        <f t="shared" si="3"/>
        <v>-241574.125065</v>
      </c>
    </row>
    <row r="1268" ht="14.25" customHeight="1">
      <c r="A1268" t="str">
        <f>IF(PNL!A1268="","",PNL!A1268)</f>
        <v>IPAC_MTP</v>
      </c>
      <c r="B1268" t="str">
        <f>IF(PNL!B1268="","",PNL!B1268)</f>
        <v>6413</v>
      </c>
      <c r="C1268" t="str">
        <f>IF(PNL!C1268="","",PNL!C1268)</f>
        <v>2027</v>
      </c>
      <c r="D1268" t="str">
        <f>IF(PNL!D1268="","",PNL!D1268)</f>
        <v>V03</v>
      </c>
      <c r="E1268">
        <f t="shared" si="0"/>
        <v>1</v>
      </c>
      <c r="F1268">
        <f>IF($A1268="","",IF($E1268=1,_xlfn.SUMIFS(Comptabilité!$F$1:$F$1446,Comptabilité!$A$1:$A$1446,$A1268,Comptabilité!$B$1:$B$1446,$B1268,Comptabilité!$C$1:$C$1446,"2026"),0))</f>
        <v>60159.5</v>
      </c>
      <c r="G1268">
        <f>IF($A1268="","",IF($D1268="V01",Cadrage!$C$23,IF($D1268="V02",Cadrage!$D$23,Cadrage!$E$23)))</f>
        <v>-0.05</v>
      </c>
      <c r="H1268">
        <f>IF($A1268="","",IF($D1268="V01",Cadrage!$C$24,IF($D1268="V02",Cadrage!$D$24,Cadrage!$E$24)))</f>
        <v>-0.05</v>
      </c>
      <c r="I1268">
        <f>IF($A1268="","",IF($D1268="V01",Cadrage!$C$34,IF($D1268="V02",Cadrage!$D$34,Cadrage!$E$34)))</f>
        <v>0.03</v>
      </c>
      <c r="J1268">
        <f>IF($A1268="","",IF($D1268="V01",Cadrage!$C$35,IF($D1268="V02",Cadrage!$D$35,Cadrage!$E$35)))</f>
        <v>0.03</v>
      </c>
      <c r="K1268">
        <f>IF($A1268="","",IF($D1268="V01",Cadrage!$C$36,IF($D1268="V02",Cadrage!$D$36,Cadrage!$E$36)))</f>
        <v>0.05</v>
      </c>
      <c r="L1268">
        <f>IF($A1268="","",IF($D1268="V01",Cadrage!$C$37,IF($D1268="V02",Cadrage!$D$37,Cadrage!$E$37)))</f>
        <v>0</v>
      </c>
      <c r="M1268">
        <f>IF($A1268="","",IF($D1268="V01",Cadrage!$C$38,IF($D1268="V02",Cadrage!$D$38,Cadrage!$E$38)))</f>
        <v>0.04</v>
      </c>
      <c r="N1268">
        <f t="shared" si="1"/>
        <v>0.980622079131853</v>
      </c>
      <c r="O1268">
        <f t="shared" si="2"/>
        <v>1.0815</v>
      </c>
      <c r="P1268">
        <f>IF($A1268="","",IF($E1268=1,$F1268*$O1268,PNL!G1268))</f>
        <v>65062.49925</v>
      </c>
      <c r="T1268">
        <f t="shared" si="3"/>
        <v>-65062.49925</v>
      </c>
    </row>
    <row r="1269" ht="14.25" customHeight="1">
      <c r="A1269" t="str">
        <f>IF(PNL!A1269="","",PNL!A1269)</f>
        <v>IPAC_NAN</v>
      </c>
      <c r="B1269" t="str">
        <f>IF(PNL!B1269="","",PNL!B1269)</f>
        <v>6413</v>
      </c>
      <c r="C1269" t="str">
        <f>IF(PNL!C1269="","",PNL!C1269)</f>
        <v>2027</v>
      </c>
      <c r="D1269" t="str">
        <f>IF(PNL!D1269="","",PNL!D1269)</f>
        <v>V03</v>
      </c>
      <c r="E1269">
        <f t="shared" si="0"/>
        <v>1</v>
      </c>
      <c r="F1269">
        <f>IF($A1269="","",IF($E1269=1,_xlfn.SUMIFS(Comptabilité!$F$1:$F$1446,Comptabilité!$A$1:$A$1446,$A1269,Comptabilité!$B$1:$B$1446,$B1269,Comptabilité!$C$1:$C$1446,"2026"),0))</f>
        <v>92140.18</v>
      </c>
      <c r="G1269">
        <f>IF($A1269="","",IF($D1269="V01",Cadrage!$C$23,IF($D1269="V02",Cadrage!$D$23,Cadrage!$E$23)))</f>
        <v>-0.05</v>
      </c>
      <c r="H1269">
        <f>IF($A1269="","",IF($D1269="V01",Cadrage!$C$24,IF($D1269="V02",Cadrage!$D$24,Cadrage!$E$24)))</f>
        <v>-0.05</v>
      </c>
      <c r="I1269">
        <f>IF($A1269="","",IF($D1269="V01",Cadrage!$C$34,IF($D1269="V02",Cadrage!$D$34,Cadrage!$E$34)))</f>
        <v>0.03</v>
      </c>
      <c r="J1269">
        <f>IF($A1269="","",IF($D1269="V01",Cadrage!$C$35,IF($D1269="V02",Cadrage!$D$35,Cadrage!$E$35)))</f>
        <v>0.03</v>
      </c>
      <c r="K1269">
        <f>IF($A1269="","",IF($D1269="V01",Cadrage!$C$36,IF($D1269="V02",Cadrage!$D$36,Cadrage!$E$36)))</f>
        <v>0.05</v>
      </c>
      <c r="L1269">
        <f>IF($A1269="","",IF($D1269="V01",Cadrage!$C$37,IF($D1269="V02",Cadrage!$D$37,Cadrage!$E$37)))</f>
        <v>0</v>
      </c>
      <c r="M1269">
        <f>IF($A1269="","",IF($D1269="V01",Cadrage!$C$38,IF($D1269="V02",Cadrage!$D$38,Cadrage!$E$38)))</f>
        <v>0.04</v>
      </c>
      <c r="N1269">
        <f t="shared" si="1"/>
        <v>0.980622079131853</v>
      </c>
      <c r="O1269">
        <f t="shared" si="2"/>
        <v>1.0815</v>
      </c>
      <c r="P1269">
        <f>IF($A1269="","",IF($E1269=1,$F1269*$O1269,PNL!G1269))</f>
        <v>99649.60467</v>
      </c>
      <c r="T1269">
        <f t="shared" si="3"/>
        <v>-99649.60467</v>
      </c>
    </row>
    <row r="1270" ht="14.25" customHeight="1">
      <c r="A1270" t="str">
        <f>IF(PNL!A1270="","",PNL!A1270)</f>
        <v>IPAC_REN</v>
      </c>
      <c r="B1270" t="str">
        <f>IF(PNL!B1270="","",PNL!B1270)</f>
        <v>6413</v>
      </c>
      <c r="C1270" t="str">
        <f>IF(PNL!C1270="","",PNL!C1270)</f>
        <v>2027</v>
      </c>
      <c r="D1270" t="str">
        <f>IF(PNL!D1270="","",PNL!D1270)</f>
        <v>V03</v>
      </c>
      <c r="E1270">
        <f t="shared" si="0"/>
        <v>1</v>
      </c>
      <c r="F1270">
        <f>IF($A1270="","",IF($E1270=1,_xlfn.SUMIFS(Comptabilité!$F$1:$F$1446,Comptabilité!$A$1:$A$1446,$A1270,Comptabilité!$B$1:$B$1446,$B1270,Comptabilité!$C$1:$C$1446,"2026"),0))</f>
        <v>60195.4</v>
      </c>
      <c r="G1270">
        <f>IF($A1270="","",IF($D1270="V01",Cadrage!$C$23,IF($D1270="V02",Cadrage!$D$23,Cadrage!$E$23)))</f>
        <v>-0.05</v>
      </c>
      <c r="H1270">
        <f>IF($A1270="","",IF($D1270="V01",Cadrage!$C$24,IF($D1270="V02",Cadrage!$D$24,Cadrage!$E$24)))</f>
        <v>-0.05</v>
      </c>
      <c r="I1270">
        <f>IF($A1270="","",IF($D1270="V01",Cadrage!$C$34,IF($D1270="V02",Cadrage!$D$34,Cadrage!$E$34)))</f>
        <v>0.03</v>
      </c>
      <c r="J1270">
        <f>IF($A1270="","",IF($D1270="V01",Cadrage!$C$35,IF($D1270="V02",Cadrage!$D$35,Cadrage!$E$35)))</f>
        <v>0.03</v>
      </c>
      <c r="K1270">
        <f>IF($A1270="","",IF($D1270="V01",Cadrage!$C$36,IF($D1270="V02",Cadrage!$D$36,Cadrage!$E$36)))</f>
        <v>0.05</v>
      </c>
      <c r="L1270">
        <f>IF($A1270="","",IF($D1270="V01",Cadrage!$C$37,IF($D1270="V02",Cadrage!$D$37,Cadrage!$E$37)))</f>
        <v>0</v>
      </c>
      <c r="M1270">
        <f>IF($A1270="","",IF($D1270="V01",Cadrage!$C$38,IF($D1270="V02",Cadrage!$D$38,Cadrage!$E$38)))</f>
        <v>0.04</v>
      </c>
      <c r="N1270">
        <f t="shared" si="1"/>
        <v>0.980622079131853</v>
      </c>
      <c r="O1270">
        <f t="shared" si="2"/>
        <v>1.0815</v>
      </c>
      <c r="P1270">
        <f>IF($A1270="","",IF($E1270=1,$F1270*$O1270,PNL!G1270))</f>
        <v>65101.3251</v>
      </c>
      <c r="T1270">
        <f t="shared" si="3"/>
        <v>-65101.3251</v>
      </c>
    </row>
    <row r="1271" ht="14.25" customHeight="1">
      <c r="A1271" t="str">
        <f>IF(PNL!A1271="","",PNL!A1271)</f>
        <v>ISCOM_LIL</v>
      </c>
      <c r="B1271" t="str">
        <f>IF(PNL!B1271="","",PNL!B1271)</f>
        <v>6413</v>
      </c>
      <c r="C1271" t="str">
        <f>IF(PNL!C1271="","",PNL!C1271)</f>
        <v>2027</v>
      </c>
      <c r="D1271" t="str">
        <f>IF(PNL!D1271="","",PNL!D1271)</f>
        <v>V03</v>
      </c>
      <c r="E1271">
        <f t="shared" si="0"/>
        <v>1</v>
      </c>
      <c r="F1271">
        <f>IF($A1271="","",IF($E1271=1,_xlfn.SUMIFS(Comptabilité!$F$1:$F$1446,Comptabilité!$A$1:$A$1446,$A1271,Comptabilité!$B$1:$B$1446,$B1271,Comptabilité!$C$1:$C$1446,"2026"),0))</f>
        <v>157464.43</v>
      </c>
      <c r="G1271">
        <f>IF($A1271="","",IF($D1271="V01",Cadrage!$C$23,IF($D1271="V02",Cadrage!$D$23,Cadrage!$E$23)))</f>
        <v>-0.05</v>
      </c>
      <c r="H1271">
        <f>IF($A1271="","",IF($D1271="V01",Cadrage!$C$24,IF($D1271="V02",Cadrage!$D$24,Cadrage!$E$24)))</f>
        <v>-0.05</v>
      </c>
      <c r="I1271">
        <f>IF($A1271="","",IF($D1271="V01",Cadrage!$C$34,IF($D1271="V02",Cadrage!$D$34,Cadrage!$E$34)))</f>
        <v>0.03</v>
      </c>
      <c r="J1271">
        <f>IF($A1271="","",IF($D1271="V01",Cadrage!$C$35,IF($D1271="V02",Cadrage!$D$35,Cadrage!$E$35)))</f>
        <v>0.03</v>
      </c>
      <c r="K1271">
        <f>IF($A1271="","",IF($D1271="V01",Cadrage!$C$36,IF($D1271="V02",Cadrage!$D$36,Cadrage!$E$36)))</f>
        <v>0.05</v>
      </c>
      <c r="L1271">
        <f>IF($A1271="","",IF($D1271="V01",Cadrage!$C$37,IF($D1271="V02",Cadrage!$D$37,Cadrage!$E$37)))</f>
        <v>0</v>
      </c>
      <c r="M1271">
        <f>IF($A1271="","",IF($D1271="V01",Cadrage!$C$38,IF($D1271="V02",Cadrage!$D$38,Cadrage!$E$38)))</f>
        <v>0.04</v>
      </c>
      <c r="N1271">
        <f t="shared" si="1"/>
        <v>0.980622079131853</v>
      </c>
      <c r="O1271">
        <f t="shared" si="2"/>
        <v>1.0815</v>
      </c>
      <c r="P1271">
        <f>IF($A1271="","",IF($E1271=1,$F1271*$O1271,PNL!G1271))</f>
        <v>170297.781045</v>
      </c>
      <c r="T1271">
        <f t="shared" si="3"/>
        <v>-170297.781045</v>
      </c>
    </row>
    <row r="1272" ht="14.25" customHeight="1">
      <c r="A1272" t="str">
        <f>IF(PNL!A1272="","",PNL!A1272)</f>
        <v>ISCOM_PAR</v>
      </c>
      <c r="B1272" t="str">
        <f>IF(PNL!B1272="","",PNL!B1272)</f>
        <v>6413</v>
      </c>
      <c r="C1272" t="str">
        <f>IF(PNL!C1272="","",PNL!C1272)</f>
        <v>2027</v>
      </c>
      <c r="D1272" t="str">
        <f>IF(PNL!D1272="","",PNL!D1272)</f>
        <v>V03</v>
      </c>
      <c r="E1272">
        <f t="shared" si="0"/>
        <v>1</v>
      </c>
      <c r="F1272">
        <f>IF($A1272="","",IF($E1272=1,_xlfn.SUMIFS(Comptabilité!$F$1:$F$1446,Comptabilité!$A$1:$A$1446,$A1272,Comptabilité!$B$1:$B$1446,$B1272,Comptabilité!$C$1:$C$1446,"2026"),0))</f>
        <v>261113.4</v>
      </c>
      <c r="G1272">
        <f>IF($A1272="","",IF($D1272="V01",Cadrage!$C$23,IF($D1272="V02",Cadrage!$D$23,Cadrage!$E$23)))</f>
        <v>-0.05</v>
      </c>
      <c r="H1272">
        <f>IF($A1272="","",IF($D1272="V01",Cadrage!$C$24,IF($D1272="V02",Cadrage!$D$24,Cadrage!$E$24)))</f>
        <v>-0.05</v>
      </c>
      <c r="I1272">
        <f>IF($A1272="","",IF($D1272="V01",Cadrage!$C$34,IF($D1272="V02",Cadrage!$D$34,Cadrage!$E$34)))</f>
        <v>0.03</v>
      </c>
      <c r="J1272">
        <f>IF($A1272="","",IF($D1272="V01",Cadrage!$C$35,IF($D1272="V02",Cadrage!$D$35,Cadrage!$E$35)))</f>
        <v>0.03</v>
      </c>
      <c r="K1272">
        <f>IF($A1272="","",IF($D1272="V01",Cadrage!$C$36,IF($D1272="V02",Cadrage!$D$36,Cadrage!$E$36)))</f>
        <v>0.05</v>
      </c>
      <c r="L1272">
        <f>IF($A1272="","",IF($D1272="V01",Cadrage!$C$37,IF($D1272="V02",Cadrage!$D$37,Cadrage!$E$37)))</f>
        <v>0</v>
      </c>
      <c r="M1272">
        <f>IF($A1272="","",IF($D1272="V01",Cadrage!$C$38,IF($D1272="V02",Cadrage!$D$38,Cadrage!$E$38)))</f>
        <v>0.04</v>
      </c>
      <c r="N1272">
        <f t="shared" si="1"/>
        <v>0.980622079131853</v>
      </c>
      <c r="O1272">
        <f t="shared" si="2"/>
        <v>1.0815</v>
      </c>
      <c r="P1272">
        <f>IF($A1272="","",IF($E1272=1,$F1272*$O1272,PNL!G1272))</f>
        <v>282394.1421</v>
      </c>
      <c r="T1272">
        <f t="shared" si="3"/>
        <v>-282394.1421</v>
      </c>
    </row>
    <row r="1273" ht="14.25" customHeight="1">
      <c r="A1273" t="str">
        <f>IF(PNL!A1273="","",PNL!A1273)</f>
        <v>ISCOM_TLS</v>
      </c>
      <c r="B1273" t="str">
        <f>IF(PNL!B1273="","",PNL!B1273)</f>
        <v>6413</v>
      </c>
      <c r="C1273" t="str">
        <f>IF(PNL!C1273="","",PNL!C1273)</f>
        <v>2027</v>
      </c>
      <c r="D1273" t="str">
        <f>IF(PNL!D1273="","",PNL!D1273)</f>
        <v>V03</v>
      </c>
      <c r="E1273">
        <f t="shared" si="0"/>
        <v>1</v>
      </c>
      <c r="F1273">
        <f>IF($A1273="","",IF($E1273=1,_xlfn.SUMIFS(Comptabilité!$F$1:$F$1446,Comptabilité!$A$1:$A$1446,$A1273,Comptabilité!$B$1:$B$1446,$B1273,Comptabilité!$C$1:$C$1446,"2026"),0))</f>
        <v>140180.27</v>
      </c>
      <c r="G1273">
        <f>IF($A1273="","",IF($D1273="V01",Cadrage!$C$23,IF($D1273="V02",Cadrage!$D$23,Cadrage!$E$23)))</f>
        <v>-0.05</v>
      </c>
      <c r="H1273">
        <f>IF($A1273="","",IF($D1273="V01",Cadrage!$C$24,IF($D1273="V02",Cadrage!$D$24,Cadrage!$E$24)))</f>
        <v>-0.05</v>
      </c>
      <c r="I1273">
        <f>IF($A1273="","",IF($D1273="V01",Cadrage!$C$34,IF($D1273="V02",Cadrage!$D$34,Cadrage!$E$34)))</f>
        <v>0.03</v>
      </c>
      <c r="J1273">
        <f>IF($A1273="","",IF($D1273="V01",Cadrage!$C$35,IF($D1273="V02",Cadrage!$D$35,Cadrage!$E$35)))</f>
        <v>0.03</v>
      </c>
      <c r="K1273">
        <f>IF($A1273="","",IF($D1273="V01",Cadrage!$C$36,IF($D1273="V02",Cadrage!$D$36,Cadrage!$E$36)))</f>
        <v>0.05</v>
      </c>
      <c r="L1273">
        <f>IF($A1273="","",IF($D1273="V01",Cadrage!$C$37,IF($D1273="V02",Cadrage!$D$37,Cadrage!$E$37)))</f>
        <v>0</v>
      </c>
      <c r="M1273">
        <f>IF($A1273="","",IF($D1273="V01",Cadrage!$C$38,IF($D1273="V02",Cadrage!$D$38,Cadrage!$E$38)))</f>
        <v>0.04</v>
      </c>
      <c r="N1273">
        <f t="shared" si="1"/>
        <v>0.980622079131853</v>
      </c>
      <c r="O1273">
        <f t="shared" si="2"/>
        <v>1.0815</v>
      </c>
      <c r="P1273">
        <f>IF($A1273="","",IF($E1273=1,$F1273*$O1273,PNL!G1273))</f>
        <v>151604.962005</v>
      </c>
      <c r="T1273">
        <f t="shared" si="3"/>
        <v>-151604.962005</v>
      </c>
    </row>
    <row r="1274" ht="14.25" customHeight="1">
      <c r="A1274" t="str">
        <f>IF(PNL!A1274="","",PNL!A1274)</f>
        <v>MBWAY_BOR</v>
      </c>
      <c r="B1274" t="str">
        <f>IF(PNL!B1274="","",PNL!B1274)</f>
        <v>6413</v>
      </c>
      <c r="C1274" t="str">
        <f>IF(PNL!C1274="","",PNL!C1274)</f>
        <v>2027</v>
      </c>
      <c r="D1274" t="str">
        <f>IF(PNL!D1274="","",PNL!D1274)</f>
        <v>V03</v>
      </c>
      <c r="E1274">
        <f t="shared" si="0"/>
        <v>1</v>
      </c>
      <c r="F1274">
        <f>IF($A1274="","",IF($E1274=1,_xlfn.SUMIFS(Comptabilité!$F$1:$F$1446,Comptabilité!$A$1:$A$1446,$A1274,Comptabilité!$B$1:$B$1446,$B1274,Comptabilité!$C$1:$C$1446,"2026"),0))</f>
        <v>158245.25</v>
      </c>
      <c r="G1274">
        <f>IF($A1274="","",IF($D1274="V01",Cadrage!$C$23,IF($D1274="V02",Cadrage!$D$23,Cadrage!$E$23)))</f>
        <v>-0.05</v>
      </c>
      <c r="H1274">
        <f>IF($A1274="","",IF($D1274="V01",Cadrage!$C$24,IF($D1274="V02",Cadrage!$D$24,Cadrage!$E$24)))</f>
        <v>-0.05</v>
      </c>
      <c r="I1274">
        <f>IF($A1274="","",IF($D1274="V01",Cadrage!$C$34,IF($D1274="V02",Cadrage!$D$34,Cadrage!$E$34)))</f>
        <v>0.03</v>
      </c>
      <c r="J1274">
        <f>IF($A1274="","",IF($D1274="V01",Cadrage!$C$35,IF($D1274="V02",Cadrage!$D$35,Cadrage!$E$35)))</f>
        <v>0.03</v>
      </c>
      <c r="K1274">
        <f>IF($A1274="","",IF($D1274="V01",Cadrage!$C$36,IF($D1274="V02",Cadrage!$D$36,Cadrage!$E$36)))</f>
        <v>0.05</v>
      </c>
      <c r="L1274">
        <f>IF($A1274="","",IF($D1274="V01",Cadrage!$C$37,IF($D1274="V02",Cadrage!$D$37,Cadrage!$E$37)))</f>
        <v>0</v>
      </c>
      <c r="M1274">
        <f>IF($A1274="","",IF($D1274="V01",Cadrage!$C$38,IF($D1274="V02",Cadrage!$D$38,Cadrage!$E$38)))</f>
        <v>0.04</v>
      </c>
      <c r="N1274">
        <f t="shared" si="1"/>
        <v>0.980622079131853</v>
      </c>
      <c r="O1274">
        <f t="shared" si="2"/>
        <v>1.0815</v>
      </c>
      <c r="P1274">
        <f>IF($A1274="","",IF($E1274=1,$F1274*$O1274,PNL!G1274))</f>
        <v>171142.237875</v>
      </c>
      <c r="T1274">
        <f t="shared" si="3"/>
        <v>-171142.237875</v>
      </c>
    </row>
    <row r="1275" ht="14.25" customHeight="1">
      <c r="A1275" t="str">
        <f>IF(PNL!A1275="","",PNL!A1275)</f>
        <v>MBWAY_LYO</v>
      </c>
      <c r="B1275" t="str">
        <f>IF(PNL!B1275="","",PNL!B1275)</f>
        <v>6413</v>
      </c>
      <c r="C1275" t="str">
        <f>IF(PNL!C1275="","",PNL!C1275)</f>
        <v>2027</v>
      </c>
      <c r="D1275" t="str">
        <f>IF(PNL!D1275="","",PNL!D1275)</f>
        <v>V03</v>
      </c>
      <c r="E1275">
        <f t="shared" si="0"/>
        <v>1</v>
      </c>
      <c r="F1275">
        <f>IF($A1275="","",IF($E1275=1,_xlfn.SUMIFS(Comptabilité!$F$1:$F$1446,Comptabilité!$A$1:$A$1446,$A1275,Comptabilité!$B$1:$B$1446,$B1275,Comptabilité!$C$1:$C$1446,"2026"),0))</f>
        <v>226112.25</v>
      </c>
      <c r="G1275">
        <f>IF($A1275="","",IF($D1275="V01",Cadrage!$C$23,IF($D1275="V02",Cadrage!$D$23,Cadrage!$E$23)))</f>
        <v>-0.05</v>
      </c>
      <c r="H1275">
        <f>IF($A1275="","",IF($D1275="V01",Cadrage!$C$24,IF($D1275="V02",Cadrage!$D$24,Cadrage!$E$24)))</f>
        <v>-0.05</v>
      </c>
      <c r="I1275">
        <f>IF($A1275="","",IF($D1275="V01",Cadrage!$C$34,IF($D1275="V02",Cadrage!$D$34,Cadrage!$E$34)))</f>
        <v>0.03</v>
      </c>
      <c r="J1275">
        <f>IF($A1275="","",IF($D1275="V01",Cadrage!$C$35,IF($D1275="V02",Cadrage!$D$35,Cadrage!$E$35)))</f>
        <v>0.03</v>
      </c>
      <c r="K1275">
        <f>IF($A1275="","",IF($D1275="V01",Cadrage!$C$36,IF($D1275="V02",Cadrage!$D$36,Cadrage!$E$36)))</f>
        <v>0.05</v>
      </c>
      <c r="L1275">
        <f>IF($A1275="","",IF($D1275="V01",Cadrage!$C$37,IF($D1275="V02",Cadrage!$D$37,Cadrage!$E$37)))</f>
        <v>0</v>
      </c>
      <c r="M1275">
        <f>IF($A1275="","",IF($D1275="V01",Cadrage!$C$38,IF($D1275="V02",Cadrage!$D$38,Cadrage!$E$38)))</f>
        <v>0.04</v>
      </c>
      <c r="N1275">
        <f t="shared" si="1"/>
        <v>0.980622079131853</v>
      </c>
      <c r="O1275">
        <f t="shared" si="2"/>
        <v>1.0815</v>
      </c>
      <c r="P1275">
        <f>IF($A1275="","",IF($E1275=1,$F1275*$O1275,PNL!G1275))</f>
        <v>244540.398375</v>
      </c>
      <c r="T1275">
        <f t="shared" si="3"/>
        <v>-244540.398375</v>
      </c>
    </row>
    <row r="1276" ht="14.25" customHeight="1">
      <c r="A1276" t="str">
        <f>IF(PNL!A1276="","",PNL!A1276)</f>
        <v>MBWAY_NAN</v>
      </c>
      <c r="B1276" t="str">
        <f>IF(PNL!B1276="","",PNL!B1276)</f>
        <v>6413</v>
      </c>
      <c r="C1276" t="str">
        <f>IF(PNL!C1276="","",PNL!C1276)</f>
        <v>2027</v>
      </c>
      <c r="D1276" t="str">
        <f>IF(PNL!D1276="","",PNL!D1276)</f>
        <v>V03</v>
      </c>
      <c r="E1276">
        <f t="shared" si="0"/>
        <v>1</v>
      </c>
      <c r="F1276">
        <f>IF($A1276="","",IF($E1276=1,_xlfn.SUMIFS(Comptabilité!$F$1:$F$1446,Comptabilité!$A$1:$A$1446,$A1276,Comptabilité!$B$1:$B$1446,$B1276,Comptabilité!$C$1:$C$1446,"2026"),0))</f>
        <v>191202.82</v>
      </c>
      <c r="G1276">
        <f>IF($A1276="","",IF($D1276="V01",Cadrage!$C$23,IF($D1276="V02",Cadrage!$D$23,Cadrage!$E$23)))</f>
        <v>-0.05</v>
      </c>
      <c r="H1276">
        <f>IF($A1276="","",IF($D1276="V01",Cadrage!$C$24,IF($D1276="V02",Cadrage!$D$24,Cadrage!$E$24)))</f>
        <v>-0.05</v>
      </c>
      <c r="I1276">
        <f>IF($A1276="","",IF($D1276="V01",Cadrage!$C$34,IF($D1276="V02",Cadrage!$D$34,Cadrage!$E$34)))</f>
        <v>0.03</v>
      </c>
      <c r="J1276">
        <f>IF($A1276="","",IF($D1276="V01",Cadrage!$C$35,IF($D1276="V02",Cadrage!$D$35,Cadrage!$E$35)))</f>
        <v>0.03</v>
      </c>
      <c r="K1276">
        <f>IF($A1276="","",IF($D1276="V01",Cadrage!$C$36,IF($D1276="V02",Cadrage!$D$36,Cadrage!$E$36)))</f>
        <v>0.05</v>
      </c>
      <c r="L1276">
        <f>IF($A1276="","",IF($D1276="V01",Cadrage!$C$37,IF($D1276="V02",Cadrage!$D$37,Cadrage!$E$37)))</f>
        <v>0</v>
      </c>
      <c r="M1276">
        <f>IF($A1276="","",IF($D1276="V01",Cadrage!$C$38,IF($D1276="V02",Cadrage!$D$38,Cadrage!$E$38)))</f>
        <v>0.04</v>
      </c>
      <c r="N1276">
        <f t="shared" si="1"/>
        <v>0.980622079131853</v>
      </c>
      <c r="O1276">
        <f t="shared" si="2"/>
        <v>1.0815</v>
      </c>
      <c r="P1276">
        <f>IF($A1276="","",IF($E1276=1,$F1276*$O1276,PNL!G1276))</f>
        <v>206785.84983</v>
      </c>
      <c r="T1276">
        <f t="shared" si="3"/>
        <v>-206785.84983</v>
      </c>
    </row>
    <row r="1277" ht="14.25" customHeight="1">
      <c r="A1277" t="str">
        <f>IF(PNL!A1277="","",PNL!A1277)</f>
        <v>MBWAY_PAR</v>
      </c>
      <c r="B1277" t="str">
        <f>IF(PNL!B1277="","",PNL!B1277)</f>
        <v>6413</v>
      </c>
      <c r="C1277" t="str">
        <f>IF(PNL!C1277="","",PNL!C1277)</f>
        <v>2027</v>
      </c>
      <c r="D1277" t="str">
        <f>IF(PNL!D1277="","",PNL!D1277)</f>
        <v>V03</v>
      </c>
      <c r="E1277">
        <f t="shared" si="0"/>
        <v>1</v>
      </c>
      <c r="F1277">
        <f>IF($A1277="","",IF($E1277=1,_xlfn.SUMIFS(Comptabilité!$F$1:$F$1446,Comptabilité!$A$1:$A$1446,$A1277,Comptabilité!$B$1:$B$1446,$B1277,Comptabilité!$C$1:$C$1446,"2026"),0))</f>
        <v>289855.78</v>
      </c>
      <c r="G1277">
        <f>IF($A1277="","",IF($D1277="V01",Cadrage!$C$23,IF($D1277="V02",Cadrage!$D$23,Cadrage!$E$23)))</f>
        <v>-0.05</v>
      </c>
      <c r="H1277">
        <f>IF($A1277="","",IF($D1277="V01",Cadrage!$C$24,IF($D1277="V02",Cadrage!$D$24,Cadrage!$E$24)))</f>
        <v>-0.05</v>
      </c>
      <c r="I1277">
        <f>IF($A1277="","",IF($D1277="V01",Cadrage!$C$34,IF($D1277="V02",Cadrage!$D$34,Cadrage!$E$34)))</f>
        <v>0.03</v>
      </c>
      <c r="J1277">
        <f>IF($A1277="","",IF($D1277="V01",Cadrage!$C$35,IF($D1277="V02",Cadrage!$D$35,Cadrage!$E$35)))</f>
        <v>0.03</v>
      </c>
      <c r="K1277">
        <f>IF($A1277="","",IF($D1277="V01",Cadrage!$C$36,IF($D1277="V02",Cadrage!$D$36,Cadrage!$E$36)))</f>
        <v>0.05</v>
      </c>
      <c r="L1277">
        <f>IF($A1277="","",IF($D1277="V01",Cadrage!$C$37,IF($D1277="V02",Cadrage!$D$37,Cadrage!$E$37)))</f>
        <v>0</v>
      </c>
      <c r="M1277">
        <f>IF($A1277="","",IF($D1277="V01",Cadrage!$C$38,IF($D1277="V02",Cadrage!$D$38,Cadrage!$E$38)))</f>
        <v>0.04</v>
      </c>
      <c r="N1277">
        <f t="shared" si="1"/>
        <v>0.980622079131853</v>
      </c>
      <c r="O1277">
        <f t="shared" si="2"/>
        <v>1.0815</v>
      </c>
      <c r="P1277">
        <f>IF($A1277="","",IF($E1277=1,$F1277*$O1277,PNL!G1277))</f>
        <v>313479.02607</v>
      </c>
      <c r="T1277">
        <f t="shared" si="3"/>
        <v>-313479.02607</v>
      </c>
    </row>
    <row r="1278" ht="14.25" customHeight="1">
      <c r="A1278" t="str">
        <f>IF(PNL!A1278="","",PNL!A1278)</f>
        <v>PIGIER_BOR</v>
      </c>
      <c r="B1278" t="str">
        <f>IF(PNL!B1278="","",PNL!B1278)</f>
        <v>6413</v>
      </c>
      <c r="C1278" t="str">
        <f>IF(PNL!C1278="","",PNL!C1278)</f>
        <v>2027</v>
      </c>
      <c r="D1278" t="str">
        <f>IF(PNL!D1278="","",PNL!D1278)</f>
        <v>V03</v>
      </c>
      <c r="E1278">
        <f t="shared" si="0"/>
        <v>1</v>
      </c>
      <c r="F1278">
        <f>IF($A1278="","",IF($E1278=1,_xlfn.SUMIFS(Comptabilité!$F$1:$F$1446,Comptabilité!$A$1:$A$1446,$A1278,Comptabilité!$B$1:$B$1446,$B1278,Comptabilité!$C$1:$C$1446,"2026"),0))</f>
        <v>73539.85</v>
      </c>
      <c r="G1278">
        <f>IF($A1278="","",IF($D1278="V01",Cadrage!$C$23,IF($D1278="V02",Cadrage!$D$23,Cadrage!$E$23)))</f>
        <v>-0.05</v>
      </c>
      <c r="H1278">
        <f>IF($A1278="","",IF($D1278="V01",Cadrage!$C$24,IF($D1278="V02",Cadrage!$D$24,Cadrage!$E$24)))</f>
        <v>-0.05</v>
      </c>
      <c r="I1278">
        <f>IF($A1278="","",IF($D1278="V01",Cadrage!$C$34,IF($D1278="V02",Cadrage!$D$34,Cadrage!$E$34)))</f>
        <v>0.03</v>
      </c>
      <c r="J1278">
        <f>IF($A1278="","",IF($D1278="V01",Cadrage!$C$35,IF($D1278="V02",Cadrage!$D$35,Cadrage!$E$35)))</f>
        <v>0.03</v>
      </c>
      <c r="K1278">
        <f>IF($A1278="","",IF($D1278="V01",Cadrage!$C$36,IF($D1278="V02",Cadrage!$D$36,Cadrage!$E$36)))</f>
        <v>0.05</v>
      </c>
      <c r="L1278">
        <f>IF($A1278="","",IF($D1278="V01",Cadrage!$C$37,IF($D1278="V02",Cadrage!$D$37,Cadrage!$E$37)))</f>
        <v>0</v>
      </c>
      <c r="M1278">
        <f>IF($A1278="","",IF($D1278="V01",Cadrage!$C$38,IF($D1278="V02",Cadrage!$D$38,Cadrage!$E$38)))</f>
        <v>0.04</v>
      </c>
      <c r="N1278">
        <f t="shared" si="1"/>
        <v>0.980622079131853</v>
      </c>
      <c r="O1278">
        <f t="shared" si="2"/>
        <v>1.0815</v>
      </c>
      <c r="P1278">
        <f>IF($A1278="","",IF($E1278=1,$F1278*$O1278,PNL!G1278))</f>
        <v>79533.347775</v>
      </c>
      <c r="T1278">
        <f t="shared" si="3"/>
        <v>-79533.347775</v>
      </c>
    </row>
    <row r="1279" ht="14.25" customHeight="1">
      <c r="A1279" t="str">
        <f>IF(PNL!A1279="","",PNL!A1279)</f>
        <v>PIGIER_LYO</v>
      </c>
      <c r="B1279" t="str">
        <f>IF(PNL!B1279="","",PNL!B1279)</f>
        <v>6413</v>
      </c>
      <c r="C1279" t="str">
        <f>IF(PNL!C1279="","",PNL!C1279)</f>
        <v>2027</v>
      </c>
      <c r="D1279" t="str">
        <f>IF(PNL!D1279="","",PNL!D1279)</f>
        <v>V03</v>
      </c>
      <c r="E1279">
        <f t="shared" si="0"/>
        <v>1</v>
      </c>
      <c r="F1279">
        <f>IF($A1279="","",IF($E1279=1,_xlfn.SUMIFS(Comptabilité!$F$1:$F$1446,Comptabilité!$A$1:$A$1446,$A1279,Comptabilité!$B$1:$B$1446,$B1279,Comptabilité!$C$1:$C$1446,"2026"),0))</f>
        <v>124452.63</v>
      </c>
      <c r="G1279">
        <f>IF($A1279="","",IF($D1279="V01",Cadrage!$C$23,IF($D1279="V02",Cadrage!$D$23,Cadrage!$E$23)))</f>
        <v>-0.05</v>
      </c>
      <c r="H1279">
        <f>IF($A1279="","",IF($D1279="V01",Cadrage!$C$24,IF($D1279="V02",Cadrage!$D$24,Cadrage!$E$24)))</f>
        <v>-0.05</v>
      </c>
      <c r="I1279">
        <f>IF($A1279="","",IF($D1279="V01",Cadrage!$C$34,IF($D1279="V02",Cadrage!$D$34,Cadrage!$E$34)))</f>
        <v>0.03</v>
      </c>
      <c r="J1279">
        <f>IF($A1279="","",IF($D1279="V01",Cadrage!$C$35,IF($D1279="V02",Cadrage!$D$35,Cadrage!$E$35)))</f>
        <v>0.03</v>
      </c>
      <c r="K1279">
        <f>IF($A1279="","",IF($D1279="V01",Cadrage!$C$36,IF($D1279="V02",Cadrage!$D$36,Cadrage!$E$36)))</f>
        <v>0.05</v>
      </c>
      <c r="L1279">
        <f>IF($A1279="","",IF($D1279="V01",Cadrage!$C$37,IF($D1279="V02",Cadrage!$D$37,Cadrage!$E$37)))</f>
        <v>0</v>
      </c>
      <c r="M1279">
        <f>IF($A1279="","",IF($D1279="V01",Cadrage!$C$38,IF($D1279="V02",Cadrage!$D$38,Cadrage!$E$38)))</f>
        <v>0.04</v>
      </c>
      <c r="N1279">
        <f t="shared" si="1"/>
        <v>0.980622079131853</v>
      </c>
      <c r="O1279">
        <f t="shared" si="2"/>
        <v>1.0815</v>
      </c>
      <c r="P1279">
        <f>IF($A1279="","",IF($E1279=1,$F1279*$O1279,PNL!G1279))</f>
        <v>134595.519345</v>
      </c>
      <c r="T1279">
        <f t="shared" si="3"/>
        <v>-134595.519345</v>
      </c>
    </row>
    <row r="1280" ht="14.25" customHeight="1">
      <c r="A1280" t="str">
        <f>IF(PNL!A1280="","",PNL!A1280)</f>
        <v>TUNON_LYO</v>
      </c>
      <c r="B1280" t="str">
        <f>IF(PNL!B1280="","",PNL!B1280)</f>
        <v>6413</v>
      </c>
      <c r="C1280" t="str">
        <f>IF(PNL!C1280="","",PNL!C1280)</f>
        <v>2027</v>
      </c>
      <c r="D1280" t="str">
        <f>IF(PNL!D1280="","",PNL!D1280)</f>
        <v>V03</v>
      </c>
      <c r="E1280">
        <f t="shared" si="0"/>
        <v>1</v>
      </c>
      <c r="F1280">
        <f>IF($A1280="","",IF($E1280=1,_xlfn.SUMIFS(Comptabilité!$F$1:$F$1446,Comptabilité!$A$1:$A$1446,$A1280,Comptabilité!$B$1:$B$1446,$B1280,Comptabilité!$C$1:$C$1446,"2026"),0))</f>
        <v>82201.24</v>
      </c>
      <c r="G1280">
        <f>IF($A1280="","",IF($D1280="V01",Cadrage!$C$23,IF($D1280="V02",Cadrage!$D$23,Cadrage!$E$23)))</f>
        <v>-0.05</v>
      </c>
      <c r="H1280">
        <f>IF($A1280="","",IF($D1280="V01",Cadrage!$C$24,IF($D1280="V02",Cadrage!$D$24,Cadrage!$E$24)))</f>
        <v>-0.05</v>
      </c>
      <c r="I1280">
        <f>IF($A1280="","",IF($D1280="V01",Cadrage!$C$34,IF($D1280="V02",Cadrage!$D$34,Cadrage!$E$34)))</f>
        <v>0.03</v>
      </c>
      <c r="J1280">
        <f>IF($A1280="","",IF($D1280="V01",Cadrage!$C$35,IF($D1280="V02",Cadrage!$D$35,Cadrage!$E$35)))</f>
        <v>0.03</v>
      </c>
      <c r="K1280">
        <f>IF($A1280="","",IF($D1280="V01",Cadrage!$C$36,IF($D1280="V02",Cadrage!$D$36,Cadrage!$E$36)))</f>
        <v>0.05</v>
      </c>
      <c r="L1280">
        <f>IF($A1280="","",IF($D1280="V01",Cadrage!$C$37,IF($D1280="V02",Cadrage!$D$37,Cadrage!$E$37)))</f>
        <v>0</v>
      </c>
      <c r="M1280">
        <f>IF($A1280="","",IF($D1280="V01",Cadrage!$C$38,IF($D1280="V02",Cadrage!$D$38,Cadrage!$E$38)))</f>
        <v>0.04</v>
      </c>
      <c r="N1280">
        <f t="shared" si="1"/>
        <v>0.980622079131853</v>
      </c>
      <c r="O1280">
        <f t="shared" si="2"/>
        <v>1.0815</v>
      </c>
      <c r="P1280">
        <f>IF($A1280="","",IF($E1280=1,$F1280*$O1280,PNL!G1280))</f>
        <v>88900.64106</v>
      </c>
      <c r="T1280">
        <f t="shared" si="3"/>
        <v>-88900.64106</v>
      </c>
    </row>
    <row r="1281" ht="14.25" customHeight="1">
      <c r="A1281" t="str">
        <f>IF(PNL!A1281="","",PNL!A1281)</f>
        <v>TUNON_PAR</v>
      </c>
      <c r="B1281" t="str">
        <f>IF(PNL!B1281="","",PNL!B1281)</f>
        <v>6413</v>
      </c>
      <c r="C1281" t="str">
        <f>IF(PNL!C1281="","",PNL!C1281)</f>
        <v>2027</v>
      </c>
      <c r="D1281" t="str">
        <f>IF(PNL!D1281="","",PNL!D1281)</f>
        <v>V03</v>
      </c>
      <c r="E1281">
        <f t="shared" si="0"/>
        <v>1</v>
      </c>
      <c r="F1281">
        <f>IF($A1281="","",IF($E1281=1,_xlfn.SUMIFS(Comptabilité!$F$1:$F$1446,Comptabilité!$A$1:$A$1446,$A1281,Comptabilité!$B$1:$B$1446,$B1281,Comptabilité!$C$1:$C$1446,"2026"),0))</f>
        <v>116467.6</v>
      </c>
      <c r="G1281">
        <f>IF($A1281="","",IF($D1281="V01",Cadrage!$C$23,IF($D1281="V02",Cadrage!$D$23,Cadrage!$E$23)))</f>
        <v>-0.05</v>
      </c>
      <c r="H1281">
        <f>IF($A1281="","",IF($D1281="V01",Cadrage!$C$24,IF($D1281="V02",Cadrage!$D$24,Cadrage!$E$24)))</f>
        <v>-0.05</v>
      </c>
      <c r="I1281">
        <f>IF($A1281="","",IF($D1281="V01",Cadrage!$C$34,IF($D1281="V02",Cadrage!$D$34,Cadrage!$E$34)))</f>
        <v>0.03</v>
      </c>
      <c r="J1281">
        <f>IF($A1281="","",IF($D1281="V01",Cadrage!$C$35,IF($D1281="V02",Cadrage!$D$35,Cadrage!$E$35)))</f>
        <v>0.03</v>
      </c>
      <c r="K1281">
        <f>IF($A1281="","",IF($D1281="V01",Cadrage!$C$36,IF($D1281="V02",Cadrage!$D$36,Cadrage!$E$36)))</f>
        <v>0.05</v>
      </c>
      <c r="L1281">
        <f>IF($A1281="","",IF($D1281="V01",Cadrage!$C$37,IF($D1281="V02",Cadrage!$D$37,Cadrage!$E$37)))</f>
        <v>0</v>
      </c>
      <c r="M1281">
        <f>IF($A1281="","",IF($D1281="V01",Cadrage!$C$38,IF($D1281="V02",Cadrage!$D$38,Cadrage!$E$38)))</f>
        <v>0.04</v>
      </c>
      <c r="N1281">
        <f t="shared" si="1"/>
        <v>0.980622079131853</v>
      </c>
      <c r="O1281">
        <f t="shared" si="2"/>
        <v>1.0815</v>
      </c>
      <c r="P1281">
        <f>IF($A1281="","",IF($E1281=1,$F1281*$O1281,PNL!G1281))</f>
        <v>125959.7094</v>
      </c>
      <c r="T1281">
        <f t="shared" si="3"/>
        <v>-125959.7094</v>
      </c>
    </row>
    <row r="1282" ht="14.25" customHeight="1">
      <c r="A1282" t="str">
        <f>IF(PNL!A1282="","",PNL!A1282)</f>
        <v>GRP</v>
      </c>
      <c r="B1282" t="str">
        <f>IF(PNL!B1282="","",PNL!B1282)</f>
        <v>6414</v>
      </c>
      <c r="C1282" t="str">
        <f>IF(PNL!C1282="","",PNL!C1282)</f>
        <v>2027</v>
      </c>
      <c r="D1282" t="str">
        <f>IF(PNL!D1282="","",PNL!D1282)</f>
        <v>V03</v>
      </c>
      <c r="E1282">
        <f t="shared" si="0"/>
        <v>1</v>
      </c>
      <c r="F1282">
        <f>IF($A1282="","",IF($E1282=1,_xlfn.SUMIFS(Comptabilité!$F$1:$F$1446,Comptabilité!$A$1:$A$1446,$A1282,Comptabilité!$B$1:$B$1446,$B1282,Comptabilité!$C$1:$C$1446,"2026"),0))</f>
        <v>1242649</v>
      </c>
      <c r="G1282">
        <f>IF($A1282="","",IF($D1282="V01",Cadrage!$C$23,IF($D1282="V02",Cadrage!$D$23,Cadrage!$E$23)))</f>
        <v>-0.05</v>
      </c>
      <c r="H1282">
        <f>IF($A1282="","",IF($D1282="V01",Cadrage!$C$24,IF($D1282="V02",Cadrage!$D$24,Cadrage!$E$24)))</f>
        <v>-0.05</v>
      </c>
      <c r="I1282">
        <f>IF($A1282="","",IF($D1282="V01",Cadrage!$C$34,IF($D1282="V02",Cadrage!$D$34,Cadrage!$E$34)))</f>
        <v>0.03</v>
      </c>
      <c r="J1282">
        <f>IF($A1282="","",IF($D1282="V01",Cadrage!$C$35,IF($D1282="V02",Cadrage!$D$35,Cadrage!$E$35)))</f>
        <v>0.03</v>
      </c>
      <c r="K1282">
        <f>IF($A1282="","",IF($D1282="V01",Cadrage!$C$36,IF($D1282="V02",Cadrage!$D$36,Cadrage!$E$36)))</f>
        <v>0.05</v>
      </c>
      <c r="L1282">
        <f>IF($A1282="","",IF($D1282="V01",Cadrage!$C$37,IF($D1282="V02",Cadrage!$D$37,Cadrage!$E$37)))</f>
        <v>0</v>
      </c>
      <c r="M1282">
        <f>IF($A1282="","",IF($D1282="V01",Cadrage!$C$38,IF($D1282="V02",Cadrage!$D$38,Cadrage!$E$38)))</f>
        <v>0.04</v>
      </c>
      <c r="N1282">
        <f t="shared" si="1"/>
        <v>0.980622079131853</v>
      </c>
      <c r="O1282">
        <f t="shared" si="2"/>
        <v>1.0815</v>
      </c>
      <c r="P1282">
        <f>IF($A1282="","",IF($E1282=1,$F1282*$O1282,PNL!G1282))</f>
        <v>1343924.8935</v>
      </c>
      <c r="T1282">
        <f t="shared" si="3"/>
        <v>-1343924.8935</v>
      </c>
    </row>
    <row r="1283" ht="14.25" customHeight="1">
      <c r="A1283" t="str">
        <f>IF(PNL!A1283="","",PNL!A1283)</f>
        <v>IPAC_MTP</v>
      </c>
      <c r="B1283" t="str">
        <f>IF(PNL!B1283="","",PNL!B1283)</f>
        <v>645</v>
      </c>
      <c r="C1283" t="str">
        <f>IF(PNL!C1283="","",PNL!C1283)</f>
        <v>2027</v>
      </c>
      <c r="D1283" t="str">
        <f>IF(PNL!D1283="","",PNL!D1283)</f>
        <v>V03</v>
      </c>
      <c r="E1283">
        <f t="shared" si="0"/>
        <v>1</v>
      </c>
      <c r="F1283">
        <f>IF($A1283="","",IF($E1283=1,_xlfn.SUMIFS(Comptabilité!$F$1:$F$1446,Comptabilité!$A$1:$A$1446,$A1283,Comptabilité!$B$1:$B$1446,$B1283,Comptabilité!$C$1:$C$1446,"2026"),0))</f>
        <v>93580.87</v>
      </c>
      <c r="G1283">
        <f>IF($A1283="","",IF($D1283="V01",Cadrage!$C$23,IF($D1283="V02",Cadrage!$D$23,Cadrage!$E$23)))</f>
        <v>-0.05</v>
      </c>
      <c r="H1283">
        <f>IF($A1283="","",IF($D1283="V01",Cadrage!$C$24,IF($D1283="V02",Cadrage!$D$24,Cadrage!$E$24)))</f>
        <v>-0.05</v>
      </c>
      <c r="I1283">
        <f>IF($A1283="","",IF($D1283="V01",Cadrage!$C$34,IF($D1283="V02",Cadrage!$D$34,Cadrage!$E$34)))</f>
        <v>0.03</v>
      </c>
      <c r="J1283">
        <f>IF($A1283="","",IF($D1283="V01",Cadrage!$C$35,IF($D1283="V02",Cadrage!$D$35,Cadrage!$E$35)))</f>
        <v>0.03</v>
      </c>
      <c r="K1283">
        <f>IF($A1283="","",IF($D1283="V01",Cadrage!$C$36,IF($D1283="V02",Cadrage!$D$36,Cadrage!$E$36)))</f>
        <v>0.05</v>
      </c>
      <c r="L1283">
        <f>IF($A1283="","",IF($D1283="V01",Cadrage!$C$37,IF($D1283="V02",Cadrage!$D$37,Cadrage!$E$37)))</f>
        <v>0</v>
      </c>
      <c r="M1283">
        <f>IF($A1283="","",IF($D1283="V01",Cadrage!$C$38,IF($D1283="V02",Cadrage!$D$38,Cadrage!$E$38)))</f>
        <v>0.04</v>
      </c>
      <c r="N1283">
        <f t="shared" si="1"/>
        <v>0.980622079131853</v>
      </c>
      <c r="O1283">
        <f t="shared" si="2"/>
        <v>1.0815</v>
      </c>
      <c r="P1283">
        <f>IF($A1283="","",IF($E1283=1,$F1283*$O1283,PNL!G1283))</f>
        <v>101207.710905</v>
      </c>
      <c r="T1283">
        <f t="shared" si="3"/>
        <v>-101207.710905</v>
      </c>
    </row>
    <row r="1284" ht="14.25" customHeight="1">
      <c r="A1284" t="str">
        <f>IF(PNL!A1284="","",PNL!A1284)</f>
        <v>IPAC_NAN</v>
      </c>
      <c r="B1284" t="str">
        <f>IF(PNL!B1284="","",PNL!B1284)</f>
        <v>645</v>
      </c>
      <c r="C1284" t="str">
        <f>IF(PNL!C1284="","",PNL!C1284)</f>
        <v>2027</v>
      </c>
      <c r="D1284" t="str">
        <f>IF(PNL!D1284="","",PNL!D1284)</f>
        <v>V03</v>
      </c>
      <c r="E1284">
        <f t="shared" si="0"/>
        <v>1</v>
      </c>
      <c r="F1284">
        <f>IF($A1284="","",IF($E1284=1,_xlfn.SUMIFS(Comptabilité!$F$1:$F$1446,Comptabilité!$A$1:$A$1446,$A1284,Comptabilité!$B$1:$B$1446,$B1284,Comptabilité!$C$1:$C$1446,"2026"),0))</f>
        <v>143328.92</v>
      </c>
      <c r="G1284">
        <f>IF($A1284="","",IF($D1284="V01",Cadrage!$C$23,IF($D1284="V02",Cadrage!$D$23,Cadrage!$E$23)))</f>
        <v>-0.05</v>
      </c>
      <c r="H1284">
        <f>IF($A1284="","",IF($D1284="V01",Cadrage!$C$24,IF($D1284="V02",Cadrage!$D$24,Cadrage!$E$24)))</f>
        <v>-0.05</v>
      </c>
      <c r="I1284">
        <f>IF($A1284="","",IF($D1284="V01",Cadrage!$C$34,IF($D1284="V02",Cadrage!$D$34,Cadrage!$E$34)))</f>
        <v>0.03</v>
      </c>
      <c r="J1284">
        <f>IF($A1284="","",IF($D1284="V01",Cadrage!$C$35,IF($D1284="V02",Cadrage!$D$35,Cadrage!$E$35)))</f>
        <v>0.03</v>
      </c>
      <c r="K1284">
        <f>IF($A1284="","",IF($D1284="V01",Cadrage!$C$36,IF($D1284="V02",Cadrage!$D$36,Cadrage!$E$36)))</f>
        <v>0.05</v>
      </c>
      <c r="L1284">
        <f>IF($A1284="","",IF($D1284="V01",Cadrage!$C$37,IF($D1284="V02",Cadrage!$D$37,Cadrage!$E$37)))</f>
        <v>0</v>
      </c>
      <c r="M1284">
        <f>IF($A1284="","",IF($D1284="V01",Cadrage!$C$38,IF($D1284="V02",Cadrage!$D$38,Cadrage!$E$38)))</f>
        <v>0.04</v>
      </c>
      <c r="N1284">
        <f t="shared" si="1"/>
        <v>0.980622079131853</v>
      </c>
      <c r="O1284">
        <f t="shared" si="2"/>
        <v>1.0815</v>
      </c>
      <c r="P1284">
        <f>IF($A1284="","",IF($E1284=1,$F1284*$O1284,PNL!G1284))</f>
        <v>155010.22698</v>
      </c>
      <c r="T1284">
        <f t="shared" si="3"/>
        <v>-155010.22698</v>
      </c>
    </row>
    <row r="1285" ht="14.25" customHeight="1">
      <c r="A1285" t="str">
        <f>IF(PNL!A1285="","",PNL!A1285)</f>
        <v>IPAC_REN</v>
      </c>
      <c r="B1285" t="str">
        <f>IF(PNL!B1285="","",PNL!B1285)</f>
        <v>645</v>
      </c>
      <c r="C1285" t="str">
        <f>IF(PNL!C1285="","",PNL!C1285)</f>
        <v>2027</v>
      </c>
      <c r="D1285" t="str">
        <f>IF(PNL!D1285="","",PNL!D1285)</f>
        <v>V03</v>
      </c>
      <c r="E1285">
        <f t="shared" si="0"/>
        <v>1</v>
      </c>
      <c r="F1285">
        <f>IF($A1285="","",IF($E1285=1,_xlfn.SUMIFS(Comptabilité!$F$1:$F$1446,Comptabilité!$A$1:$A$1446,$A1285,Comptabilité!$B$1:$B$1446,$B1285,Comptabilité!$C$1:$C$1446,"2026"),0))</f>
        <v>93636.71</v>
      </c>
      <c r="G1285">
        <f>IF($A1285="","",IF($D1285="V01",Cadrage!$C$23,IF($D1285="V02",Cadrage!$D$23,Cadrage!$E$23)))</f>
        <v>-0.05</v>
      </c>
      <c r="H1285">
        <f>IF($A1285="","",IF($D1285="V01",Cadrage!$C$24,IF($D1285="V02",Cadrage!$D$24,Cadrage!$E$24)))</f>
        <v>-0.05</v>
      </c>
      <c r="I1285">
        <f>IF($A1285="","",IF($D1285="V01",Cadrage!$C$34,IF($D1285="V02",Cadrage!$D$34,Cadrage!$E$34)))</f>
        <v>0.03</v>
      </c>
      <c r="J1285">
        <f>IF($A1285="","",IF($D1285="V01",Cadrage!$C$35,IF($D1285="V02",Cadrage!$D$35,Cadrage!$E$35)))</f>
        <v>0.03</v>
      </c>
      <c r="K1285">
        <f>IF($A1285="","",IF($D1285="V01",Cadrage!$C$36,IF($D1285="V02",Cadrage!$D$36,Cadrage!$E$36)))</f>
        <v>0.05</v>
      </c>
      <c r="L1285">
        <f>IF($A1285="","",IF($D1285="V01",Cadrage!$C$37,IF($D1285="V02",Cadrage!$D$37,Cadrage!$E$37)))</f>
        <v>0</v>
      </c>
      <c r="M1285">
        <f>IF($A1285="","",IF($D1285="V01",Cadrage!$C$38,IF($D1285="V02",Cadrage!$D$38,Cadrage!$E$38)))</f>
        <v>0.04</v>
      </c>
      <c r="N1285">
        <f t="shared" si="1"/>
        <v>0.980622079131853</v>
      </c>
      <c r="O1285">
        <f t="shared" si="2"/>
        <v>1.0815</v>
      </c>
      <c r="P1285">
        <f>IF($A1285="","",IF($E1285=1,$F1285*$O1285,PNL!G1285))</f>
        <v>101268.101865</v>
      </c>
      <c r="T1285">
        <f t="shared" si="3"/>
        <v>-101268.101865</v>
      </c>
    </row>
    <row r="1286" ht="14.25" customHeight="1">
      <c r="A1286" t="str">
        <f>IF(PNL!A1286="","",PNL!A1286)</f>
        <v>ISCOM_LIL</v>
      </c>
      <c r="B1286" t="str">
        <f>IF(PNL!B1286="","",PNL!B1286)</f>
        <v>645</v>
      </c>
      <c r="C1286" t="str">
        <f>IF(PNL!C1286="","",PNL!C1286)</f>
        <v>2027</v>
      </c>
      <c r="D1286" t="str">
        <f>IF(PNL!D1286="","",PNL!D1286)</f>
        <v>V03</v>
      </c>
      <c r="E1286">
        <f t="shared" si="0"/>
        <v>1</v>
      </c>
      <c r="F1286">
        <f>IF($A1286="","",IF($E1286=1,_xlfn.SUMIFS(Comptabilité!$F$1:$F$1446,Comptabilité!$A$1:$A$1446,$A1286,Comptabilité!$B$1:$B$1446,$B1286,Comptabilité!$C$1:$C$1446,"2026"),0))</f>
        <v>244944.94</v>
      </c>
      <c r="G1286">
        <f>IF($A1286="","",IF($D1286="V01",Cadrage!$C$23,IF($D1286="V02",Cadrage!$D$23,Cadrage!$E$23)))</f>
        <v>-0.05</v>
      </c>
      <c r="H1286">
        <f>IF($A1286="","",IF($D1286="V01",Cadrage!$C$24,IF($D1286="V02",Cadrage!$D$24,Cadrage!$E$24)))</f>
        <v>-0.05</v>
      </c>
      <c r="I1286">
        <f>IF($A1286="","",IF($D1286="V01",Cadrage!$C$34,IF($D1286="V02",Cadrage!$D$34,Cadrage!$E$34)))</f>
        <v>0.03</v>
      </c>
      <c r="J1286">
        <f>IF($A1286="","",IF($D1286="V01",Cadrage!$C$35,IF($D1286="V02",Cadrage!$D$35,Cadrage!$E$35)))</f>
        <v>0.03</v>
      </c>
      <c r="K1286">
        <f>IF($A1286="","",IF($D1286="V01",Cadrage!$C$36,IF($D1286="V02",Cadrage!$D$36,Cadrage!$E$36)))</f>
        <v>0.05</v>
      </c>
      <c r="L1286">
        <f>IF($A1286="","",IF($D1286="V01",Cadrage!$C$37,IF($D1286="V02",Cadrage!$D$37,Cadrage!$E$37)))</f>
        <v>0</v>
      </c>
      <c r="M1286">
        <f>IF($A1286="","",IF($D1286="V01",Cadrage!$C$38,IF($D1286="V02",Cadrage!$D$38,Cadrage!$E$38)))</f>
        <v>0.04</v>
      </c>
      <c r="N1286">
        <f t="shared" si="1"/>
        <v>0.980622079131853</v>
      </c>
      <c r="O1286">
        <f t="shared" si="2"/>
        <v>1.0815</v>
      </c>
      <c r="P1286">
        <f>IF($A1286="","",IF($E1286=1,$F1286*$O1286,PNL!G1286))</f>
        <v>264907.95261</v>
      </c>
      <c r="T1286">
        <f t="shared" si="3"/>
        <v>-264907.95261</v>
      </c>
    </row>
    <row r="1287" ht="14.25" customHeight="1">
      <c r="A1287" t="str">
        <f>IF(PNL!A1287="","",PNL!A1287)</f>
        <v>ISCOM_PAR</v>
      </c>
      <c r="B1287" t="str">
        <f>IF(PNL!B1287="","",PNL!B1287)</f>
        <v>645</v>
      </c>
      <c r="C1287" t="str">
        <f>IF(PNL!C1287="","",PNL!C1287)</f>
        <v>2027</v>
      </c>
      <c r="D1287" t="str">
        <f>IF(PNL!D1287="","",PNL!D1287)</f>
        <v>V03</v>
      </c>
      <c r="E1287">
        <f t="shared" si="0"/>
        <v>1</v>
      </c>
      <c r="F1287">
        <f>IF($A1287="","",IF($E1287=1,_xlfn.SUMIFS(Comptabilité!$F$1:$F$1446,Comptabilité!$A$1:$A$1446,$A1287,Comptabilité!$B$1:$B$1446,$B1287,Comptabilité!$C$1:$C$1446,"2026"),0))</f>
        <v>406175.69</v>
      </c>
      <c r="G1287">
        <f>IF($A1287="","",IF($D1287="V01",Cadrage!$C$23,IF($D1287="V02",Cadrage!$D$23,Cadrage!$E$23)))</f>
        <v>-0.05</v>
      </c>
      <c r="H1287">
        <f>IF($A1287="","",IF($D1287="V01",Cadrage!$C$24,IF($D1287="V02",Cadrage!$D$24,Cadrage!$E$24)))</f>
        <v>-0.05</v>
      </c>
      <c r="I1287">
        <f>IF($A1287="","",IF($D1287="V01",Cadrage!$C$34,IF($D1287="V02",Cadrage!$D$34,Cadrage!$E$34)))</f>
        <v>0.03</v>
      </c>
      <c r="J1287">
        <f>IF($A1287="","",IF($D1287="V01",Cadrage!$C$35,IF($D1287="V02",Cadrage!$D$35,Cadrage!$E$35)))</f>
        <v>0.03</v>
      </c>
      <c r="K1287">
        <f>IF($A1287="","",IF($D1287="V01",Cadrage!$C$36,IF($D1287="V02",Cadrage!$D$36,Cadrage!$E$36)))</f>
        <v>0.05</v>
      </c>
      <c r="L1287">
        <f>IF($A1287="","",IF($D1287="V01",Cadrage!$C$37,IF($D1287="V02",Cadrage!$D$37,Cadrage!$E$37)))</f>
        <v>0</v>
      </c>
      <c r="M1287">
        <f>IF($A1287="","",IF($D1287="V01",Cadrage!$C$38,IF($D1287="V02",Cadrage!$D$38,Cadrage!$E$38)))</f>
        <v>0.04</v>
      </c>
      <c r="N1287">
        <f t="shared" si="1"/>
        <v>0.980622079131853</v>
      </c>
      <c r="O1287">
        <f t="shared" si="2"/>
        <v>1.0815</v>
      </c>
      <c r="P1287">
        <f>IF($A1287="","",IF($E1287=1,$F1287*$O1287,PNL!G1287))</f>
        <v>439279.008735</v>
      </c>
      <c r="T1287">
        <f t="shared" si="3"/>
        <v>-439279.008735</v>
      </c>
    </row>
    <row r="1288" ht="14.25" customHeight="1">
      <c r="A1288" t="str">
        <f>IF(PNL!A1288="","",PNL!A1288)</f>
        <v>ISCOM_TLS</v>
      </c>
      <c r="B1288" t="str">
        <f>IF(PNL!B1288="","",PNL!B1288)</f>
        <v>645</v>
      </c>
      <c r="C1288" t="str">
        <f>IF(PNL!C1288="","",PNL!C1288)</f>
        <v>2027</v>
      </c>
      <c r="D1288" t="str">
        <f>IF(PNL!D1288="","",PNL!D1288)</f>
        <v>V03</v>
      </c>
      <c r="E1288">
        <f t="shared" si="0"/>
        <v>1</v>
      </c>
      <c r="F1288">
        <f>IF($A1288="","",IF($E1288=1,_xlfn.SUMIFS(Comptabilité!$F$1:$F$1446,Comptabilité!$A$1:$A$1446,$A1288,Comptabilité!$B$1:$B$1446,$B1288,Comptabilité!$C$1:$C$1446,"2026"),0))</f>
        <v>218057.94</v>
      </c>
      <c r="G1288">
        <f>IF($A1288="","",IF($D1288="V01",Cadrage!$C$23,IF($D1288="V02",Cadrage!$D$23,Cadrage!$E$23)))</f>
        <v>-0.05</v>
      </c>
      <c r="H1288">
        <f>IF($A1288="","",IF($D1288="V01",Cadrage!$C$24,IF($D1288="V02",Cadrage!$D$24,Cadrage!$E$24)))</f>
        <v>-0.05</v>
      </c>
      <c r="I1288">
        <f>IF($A1288="","",IF($D1288="V01",Cadrage!$C$34,IF($D1288="V02",Cadrage!$D$34,Cadrage!$E$34)))</f>
        <v>0.03</v>
      </c>
      <c r="J1288">
        <f>IF($A1288="","",IF($D1288="V01",Cadrage!$C$35,IF($D1288="V02",Cadrage!$D$35,Cadrage!$E$35)))</f>
        <v>0.03</v>
      </c>
      <c r="K1288">
        <f>IF($A1288="","",IF($D1288="V01",Cadrage!$C$36,IF($D1288="V02",Cadrage!$D$36,Cadrage!$E$36)))</f>
        <v>0.05</v>
      </c>
      <c r="L1288">
        <f>IF($A1288="","",IF($D1288="V01",Cadrage!$C$37,IF($D1288="V02",Cadrage!$D$37,Cadrage!$E$37)))</f>
        <v>0</v>
      </c>
      <c r="M1288">
        <f>IF($A1288="","",IF($D1288="V01",Cadrage!$C$38,IF($D1288="V02",Cadrage!$D$38,Cadrage!$E$38)))</f>
        <v>0.04</v>
      </c>
      <c r="N1288">
        <f t="shared" si="1"/>
        <v>0.980622079131853</v>
      </c>
      <c r="O1288">
        <f t="shared" si="2"/>
        <v>1.0815</v>
      </c>
      <c r="P1288">
        <f>IF($A1288="","",IF($E1288=1,$F1288*$O1288,PNL!G1288))</f>
        <v>235829.66211</v>
      </c>
      <c r="T1288">
        <f t="shared" si="3"/>
        <v>-235829.66211</v>
      </c>
    </row>
    <row r="1289" ht="14.25" customHeight="1">
      <c r="A1289" t="str">
        <f>IF(PNL!A1289="","",PNL!A1289)</f>
        <v>MBWAY_BOR</v>
      </c>
      <c r="B1289" t="str">
        <f>IF(PNL!B1289="","",PNL!B1289)</f>
        <v>645</v>
      </c>
      <c r="C1289" t="str">
        <f>IF(PNL!C1289="","",PNL!C1289)</f>
        <v>2027</v>
      </c>
      <c r="D1289" t="str">
        <f>IF(PNL!D1289="","",PNL!D1289)</f>
        <v>V03</v>
      </c>
      <c r="E1289">
        <f t="shared" si="0"/>
        <v>1</v>
      </c>
      <c r="F1289">
        <f>IF($A1289="","",IF($E1289=1,_xlfn.SUMIFS(Comptabilité!$F$1:$F$1446,Comptabilité!$A$1:$A$1446,$A1289,Comptabilité!$B$1:$B$1446,$B1289,Comptabilité!$C$1:$C$1446,"2026"),0))</f>
        <v>246160.47</v>
      </c>
      <c r="G1289">
        <f>IF($A1289="","",IF($D1289="V01",Cadrage!$C$23,IF($D1289="V02",Cadrage!$D$23,Cadrage!$E$23)))</f>
        <v>-0.05</v>
      </c>
      <c r="H1289">
        <f>IF($A1289="","",IF($D1289="V01",Cadrage!$C$24,IF($D1289="V02",Cadrage!$D$24,Cadrage!$E$24)))</f>
        <v>-0.05</v>
      </c>
      <c r="I1289">
        <f>IF($A1289="","",IF($D1289="V01",Cadrage!$C$34,IF($D1289="V02",Cadrage!$D$34,Cadrage!$E$34)))</f>
        <v>0.03</v>
      </c>
      <c r="J1289">
        <f>IF($A1289="","",IF($D1289="V01",Cadrage!$C$35,IF($D1289="V02",Cadrage!$D$35,Cadrage!$E$35)))</f>
        <v>0.03</v>
      </c>
      <c r="K1289">
        <f>IF($A1289="","",IF($D1289="V01",Cadrage!$C$36,IF($D1289="V02",Cadrage!$D$36,Cadrage!$E$36)))</f>
        <v>0.05</v>
      </c>
      <c r="L1289">
        <f>IF($A1289="","",IF($D1289="V01",Cadrage!$C$37,IF($D1289="V02",Cadrage!$D$37,Cadrage!$E$37)))</f>
        <v>0</v>
      </c>
      <c r="M1289">
        <f>IF($A1289="","",IF($D1289="V01",Cadrage!$C$38,IF($D1289="V02",Cadrage!$D$38,Cadrage!$E$38)))</f>
        <v>0.04</v>
      </c>
      <c r="N1289">
        <f t="shared" si="1"/>
        <v>0.980622079131853</v>
      </c>
      <c r="O1289">
        <f t="shared" si="2"/>
        <v>1.0815</v>
      </c>
      <c r="P1289">
        <f>IF($A1289="","",IF($E1289=1,$F1289*$O1289,PNL!G1289))</f>
        <v>266222.548305</v>
      </c>
      <c r="T1289">
        <f t="shared" si="3"/>
        <v>-266222.548305</v>
      </c>
    </row>
    <row r="1290" ht="14.25" customHeight="1">
      <c r="A1290" t="str">
        <f>IF(PNL!A1290="","",PNL!A1290)</f>
        <v>MBWAY_LYO</v>
      </c>
      <c r="B1290" t="str">
        <f>IF(PNL!B1290="","",PNL!B1290)</f>
        <v>645</v>
      </c>
      <c r="C1290" t="str">
        <f>IF(PNL!C1290="","",PNL!C1290)</f>
        <v>2027</v>
      </c>
      <c r="D1290" t="str">
        <f>IF(PNL!D1290="","",PNL!D1290)</f>
        <v>V03</v>
      </c>
      <c r="E1290">
        <f t="shared" si="0"/>
        <v>1</v>
      </c>
      <c r="F1290">
        <f>IF($A1290="","",IF($E1290=1,_xlfn.SUMIFS(Comptabilité!$F$1:$F$1446,Comptabilité!$A$1:$A$1446,$A1290,Comptabilité!$B$1:$B$1446,$B1290,Comptabilité!$C$1:$C$1446,"2026"),0))</f>
        <v>351729.06</v>
      </c>
      <c r="G1290">
        <f>IF($A1290="","",IF($D1290="V01",Cadrage!$C$23,IF($D1290="V02",Cadrage!$D$23,Cadrage!$E$23)))</f>
        <v>-0.05</v>
      </c>
      <c r="H1290">
        <f>IF($A1290="","",IF($D1290="V01",Cadrage!$C$24,IF($D1290="V02",Cadrage!$D$24,Cadrage!$E$24)))</f>
        <v>-0.05</v>
      </c>
      <c r="I1290">
        <f>IF($A1290="","",IF($D1290="V01",Cadrage!$C$34,IF($D1290="V02",Cadrage!$D$34,Cadrage!$E$34)))</f>
        <v>0.03</v>
      </c>
      <c r="J1290">
        <f>IF($A1290="","",IF($D1290="V01",Cadrage!$C$35,IF($D1290="V02",Cadrage!$D$35,Cadrage!$E$35)))</f>
        <v>0.03</v>
      </c>
      <c r="K1290">
        <f>IF($A1290="","",IF($D1290="V01",Cadrage!$C$36,IF($D1290="V02",Cadrage!$D$36,Cadrage!$E$36)))</f>
        <v>0.05</v>
      </c>
      <c r="L1290">
        <f>IF($A1290="","",IF($D1290="V01",Cadrage!$C$37,IF($D1290="V02",Cadrage!$D$37,Cadrage!$E$37)))</f>
        <v>0</v>
      </c>
      <c r="M1290">
        <f>IF($A1290="","",IF($D1290="V01",Cadrage!$C$38,IF($D1290="V02",Cadrage!$D$38,Cadrage!$E$38)))</f>
        <v>0.04</v>
      </c>
      <c r="N1290">
        <f t="shared" si="1"/>
        <v>0.980622079131853</v>
      </c>
      <c r="O1290">
        <f t="shared" si="2"/>
        <v>1.0815</v>
      </c>
      <c r="P1290">
        <f>IF($A1290="","",IF($E1290=1,$F1290*$O1290,PNL!G1290))</f>
        <v>380394.97839</v>
      </c>
      <c r="T1290">
        <f t="shared" si="3"/>
        <v>-380394.97839</v>
      </c>
    </row>
    <row r="1291" ht="14.25" customHeight="1">
      <c r="A1291" t="str">
        <f>IF(PNL!A1291="","",PNL!A1291)</f>
        <v>MBWAY_NAN</v>
      </c>
      <c r="B1291" t="str">
        <f>IF(PNL!B1291="","",PNL!B1291)</f>
        <v>645</v>
      </c>
      <c r="C1291" t="str">
        <f>IF(PNL!C1291="","",PNL!C1291)</f>
        <v>2027</v>
      </c>
      <c r="D1291" t="str">
        <f>IF(PNL!D1291="","",PNL!D1291)</f>
        <v>V03</v>
      </c>
      <c r="E1291">
        <f t="shared" si="0"/>
        <v>1</v>
      </c>
      <c r="F1291">
        <f>IF($A1291="","",IF($E1291=1,_xlfn.SUMIFS(Comptabilité!$F$1:$F$1446,Comptabilité!$A$1:$A$1446,$A1291,Comptabilité!$B$1:$B$1446,$B1291,Comptabilité!$C$1:$C$1446,"2026"),0))</f>
        <v>297427.9</v>
      </c>
      <c r="G1291">
        <f>IF($A1291="","",IF($D1291="V01",Cadrage!$C$23,IF($D1291="V02",Cadrage!$D$23,Cadrage!$E$23)))</f>
        <v>-0.05</v>
      </c>
      <c r="H1291">
        <f>IF($A1291="","",IF($D1291="V01",Cadrage!$C$24,IF($D1291="V02",Cadrage!$D$24,Cadrage!$E$24)))</f>
        <v>-0.05</v>
      </c>
      <c r="I1291">
        <f>IF($A1291="","",IF($D1291="V01",Cadrage!$C$34,IF($D1291="V02",Cadrage!$D$34,Cadrage!$E$34)))</f>
        <v>0.03</v>
      </c>
      <c r="J1291">
        <f>IF($A1291="","",IF($D1291="V01",Cadrage!$C$35,IF($D1291="V02",Cadrage!$D$35,Cadrage!$E$35)))</f>
        <v>0.03</v>
      </c>
      <c r="K1291">
        <f>IF($A1291="","",IF($D1291="V01",Cadrage!$C$36,IF($D1291="V02",Cadrage!$D$36,Cadrage!$E$36)))</f>
        <v>0.05</v>
      </c>
      <c r="L1291">
        <f>IF($A1291="","",IF($D1291="V01",Cadrage!$C$37,IF($D1291="V02",Cadrage!$D$37,Cadrage!$E$37)))</f>
        <v>0</v>
      </c>
      <c r="M1291">
        <f>IF($A1291="","",IF($D1291="V01",Cadrage!$C$38,IF($D1291="V02",Cadrage!$D$38,Cadrage!$E$38)))</f>
        <v>0.04</v>
      </c>
      <c r="N1291">
        <f t="shared" si="1"/>
        <v>0.980622079131853</v>
      </c>
      <c r="O1291">
        <f t="shared" si="2"/>
        <v>1.0815</v>
      </c>
      <c r="P1291">
        <f>IF($A1291="","",IF($E1291=1,$F1291*$O1291,PNL!G1291))</f>
        <v>321668.27385</v>
      </c>
      <c r="T1291">
        <f t="shared" si="3"/>
        <v>-321668.27385</v>
      </c>
    </row>
    <row r="1292" ht="14.25" customHeight="1">
      <c r="A1292" t="str">
        <f>IF(PNL!A1292="","",PNL!A1292)</f>
        <v>MBWAY_PAR</v>
      </c>
      <c r="B1292" t="str">
        <f>IF(PNL!B1292="","",PNL!B1292)</f>
        <v>645</v>
      </c>
      <c r="C1292" t="str">
        <f>IF(PNL!C1292="","",PNL!C1292)</f>
        <v>2027</v>
      </c>
      <c r="D1292" t="str">
        <f>IF(PNL!D1292="","",PNL!D1292)</f>
        <v>V03</v>
      </c>
      <c r="E1292">
        <f t="shared" si="0"/>
        <v>1</v>
      </c>
      <c r="F1292">
        <f>IF($A1292="","",IF($E1292=1,_xlfn.SUMIFS(Comptabilité!$F$1:$F$1446,Comptabilité!$A$1:$A$1446,$A1292,Comptabilité!$B$1:$B$1446,$B1292,Comptabilité!$C$1:$C$1446,"2026"),0))</f>
        <v>450887.05</v>
      </c>
      <c r="G1292">
        <f>IF($A1292="","",IF($D1292="V01",Cadrage!$C$23,IF($D1292="V02",Cadrage!$D$23,Cadrage!$E$23)))</f>
        <v>-0.05</v>
      </c>
      <c r="H1292">
        <f>IF($A1292="","",IF($D1292="V01",Cadrage!$C$24,IF($D1292="V02",Cadrage!$D$24,Cadrage!$E$24)))</f>
        <v>-0.05</v>
      </c>
      <c r="I1292">
        <f>IF($A1292="","",IF($D1292="V01",Cadrage!$C$34,IF($D1292="V02",Cadrage!$D$34,Cadrage!$E$34)))</f>
        <v>0.03</v>
      </c>
      <c r="J1292">
        <f>IF($A1292="","",IF($D1292="V01",Cadrage!$C$35,IF($D1292="V02",Cadrage!$D$35,Cadrage!$E$35)))</f>
        <v>0.03</v>
      </c>
      <c r="K1292">
        <f>IF($A1292="","",IF($D1292="V01",Cadrage!$C$36,IF($D1292="V02",Cadrage!$D$36,Cadrage!$E$36)))</f>
        <v>0.05</v>
      </c>
      <c r="L1292">
        <f>IF($A1292="","",IF($D1292="V01",Cadrage!$C$37,IF($D1292="V02",Cadrage!$D$37,Cadrage!$E$37)))</f>
        <v>0</v>
      </c>
      <c r="M1292">
        <f>IF($A1292="","",IF($D1292="V01",Cadrage!$C$38,IF($D1292="V02",Cadrage!$D$38,Cadrage!$E$38)))</f>
        <v>0.04</v>
      </c>
      <c r="N1292">
        <f t="shared" si="1"/>
        <v>0.980622079131853</v>
      </c>
      <c r="O1292">
        <f t="shared" si="2"/>
        <v>1.0815</v>
      </c>
      <c r="P1292">
        <f>IF($A1292="","",IF($E1292=1,$F1292*$O1292,PNL!G1292))</f>
        <v>487634.344575</v>
      </c>
      <c r="T1292">
        <f t="shared" si="3"/>
        <v>-487634.344575</v>
      </c>
    </row>
    <row r="1293" ht="14.25" customHeight="1">
      <c r="A1293" t="str">
        <f>IF(PNL!A1293="","",PNL!A1293)</f>
        <v>PIGIER_BOR</v>
      </c>
      <c r="B1293" t="str">
        <f>IF(PNL!B1293="","",PNL!B1293)</f>
        <v>645</v>
      </c>
      <c r="C1293" t="str">
        <f>IF(PNL!C1293="","",PNL!C1293)</f>
        <v>2027</v>
      </c>
      <c r="D1293" t="str">
        <f>IF(PNL!D1293="","",PNL!D1293)</f>
        <v>V03</v>
      </c>
      <c r="E1293">
        <f t="shared" si="0"/>
        <v>1</v>
      </c>
      <c r="F1293">
        <f>IF($A1293="","",IF($E1293=1,_xlfn.SUMIFS(Comptabilité!$F$1:$F$1446,Comptabilité!$A$1:$A$1446,$A1293,Comptabilité!$B$1:$B$1446,$B1293,Comptabilité!$C$1:$C$1446,"2026"),0))</f>
        <v>114395.03</v>
      </c>
      <c r="G1293">
        <f>IF($A1293="","",IF($D1293="V01",Cadrage!$C$23,IF($D1293="V02",Cadrage!$D$23,Cadrage!$E$23)))</f>
        <v>-0.05</v>
      </c>
      <c r="H1293">
        <f>IF($A1293="","",IF($D1293="V01",Cadrage!$C$24,IF($D1293="V02",Cadrage!$D$24,Cadrage!$E$24)))</f>
        <v>-0.05</v>
      </c>
      <c r="I1293">
        <f>IF($A1293="","",IF($D1293="V01",Cadrage!$C$34,IF($D1293="V02",Cadrage!$D$34,Cadrage!$E$34)))</f>
        <v>0.03</v>
      </c>
      <c r="J1293">
        <f>IF($A1293="","",IF($D1293="V01",Cadrage!$C$35,IF($D1293="V02",Cadrage!$D$35,Cadrage!$E$35)))</f>
        <v>0.03</v>
      </c>
      <c r="K1293">
        <f>IF($A1293="","",IF($D1293="V01",Cadrage!$C$36,IF($D1293="V02",Cadrage!$D$36,Cadrage!$E$36)))</f>
        <v>0.05</v>
      </c>
      <c r="L1293">
        <f>IF($A1293="","",IF($D1293="V01",Cadrage!$C$37,IF($D1293="V02",Cadrage!$D$37,Cadrage!$E$37)))</f>
        <v>0</v>
      </c>
      <c r="M1293">
        <f>IF($A1293="","",IF($D1293="V01",Cadrage!$C$38,IF($D1293="V02",Cadrage!$D$38,Cadrage!$E$38)))</f>
        <v>0.04</v>
      </c>
      <c r="N1293">
        <f t="shared" si="1"/>
        <v>0.980622079131853</v>
      </c>
      <c r="O1293">
        <f t="shared" si="2"/>
        <v>1.0815</v>
      </c>
      <c r="P1293">
        <f>IF($A1293="","",IF($E1293=1,$F1293*$O1293,PNL!G1293))</f>
        <v>123718.224945</v>
      </c>
      <c r="T1293">
        <f t="shared" si="3"/>
        <v>-123718.224945</v>
      </c>
    </row>
    <row r="1294" ht="14.25" customHeight="1">
      <c r="A1294" t="str">
        <f>IF(PNL!A1294="","",PNL!A1294)</f>
        <v>PIGIER_LYO</v>
      </c>
      <c r="B1294" t="str">
        <f>IF(PNL!B1294="","",PNL!B1294)</f>
        <v>645</v>
      </c>
      <c r="C1294" t="str">
        <f>IF(PNL!C1294="","",PNL!C1294)</f>
        <v>2027</v>
      </c>
      <c r="D1294" t="str">
        <f>IF(PNL!D1294="","",PNL!D1294)</f>
        <v>V03</v>
      </c>
      <c r="E1294">
        <f t="shared" si="0"/>
        <v>1</v>
      </c>
      <c r="F1294">
        <f>IF($A1294="","",IF($E1294=1,_xlfn.SUMIFS(Comptabilité!$F$1:$F$1446,Comptabilité!$A$1:$A$1446,$A1294,Comptabilité!$B$1:$B$1446,$B1294,Comptabilité!$C$1:$C$1446,"2026"),0))</f>
        <v>193593.69</v>
      </c>
      <c r="G1294">
        <f>IF($A1294="","",IF($D1294="V01",Cadrage!$C$23,IF($D1294="V02",Cadrage!$D$23,Cadrage!$E$23)))</f>
        <v>-0.05</v>
      </c>
      <c r="H1294">
        <f>IF($A1294="","",IF($D1294="V01",Cadrage!$C$24,IF($D1294="V02",Cadrage!$D$24,Cadrage!$E$24)))</f>
        <v>-0.05</v>
      </c>
      <c r="I1294">
        <f>IF($A1294="","",IF($D1294="V01",Cadrage!$C$34,IF($D1294="V02",Cadrage!$D$34,Cadrage!$E$34)))</f>
        <v>0.03</v>
      </c>
      <c r="J1294">
        <f>IF($A1294="","",IF($D1294="V01",Cadrage!$C$35,IF($D1294="V02",Cadrage!$D$35,Cadrage!$E$35)))</f>
        <v>0.03</v>
      </c>
      <c r="K1294">
        <f>IF($A1294="","",IF($D1294="V01",Cadrage!$C$36,IF($D1294="V02",Cadrage!$D$36,Cadrage!$E$36)))</f>
        <v>0.05</v>
      </c>
      <c r="L1294">
        <f>IF($A1294="","",IF($D1294="V01",Cadrage!$C$37,IF($D1294="V02",Cadrage!$D$37,Cadrage!$E$37)))</f>
        <v>0</v>
      </c>
      <c r="M1294">
        <f>IF($A1294="","",IF($D1294="V01",Cadrage!$C$38,IF($D1294="V02",Cadrage!$D$38,Cadrage!$E$38)))</f>
        <v>0.04</v>
      </c>
      <c r="N1294">
        <f t="shared" si="1"/>
        <v>0.980622079131853</v>
      </c>
      <c r="O1294">
        <f t="shared" si="2"/>
        <v>1.0815</v>
      </c>
      <c r="P1294">
        <f>IF($A1294="","",IF($E1294=1,$F1294*$O1294,PNL!G1294))</f>
        <v>209371.575735</v>
      </c>
      <c r="T1294">
        <f t="shared" si="3"/>
        <v>-209371.575735</v>
      </c>
    </row>
    <row r="1295" ht="14.25" customHeight="1">
      <c r="A1295" t="str">
        <f>IF(PNL!A1295="","",PNL!A1295)</f>
        <v>TUNON_LYO</v>
      </c>
      <c r="B1295" t="str">
        <f>IF(PNL!B1295="","",PNL!B1295)</f>
        <v>645</v>
      </c>
      <c r="C1295" t="str">
        <f>IF(PNL!C1295="","",PNL!C1295)</f>
        <v>2027</v>
      </c>
      <c r="D1295" t="str">
        <f>IF(PNL!D1295="","",PNL!D1295)</f>
        <v>V03</v>
      </c>
      <c r="E1295">
        <f t="shared" si="0"/>
        <v>1</v>
      </c>
      <c r="F1295">
        <f>IF($A1295="","",IF($E1295=1,_xlfn.SUMIFS(Comptabilité!$F$1:$F$1446,Comptabilité!$A$1:$A$1446,$A1295,Comptabilité!$B$1:$B$1446,$B1295,Comptabilité!$C$1:$C$1446,"2026"),0))</f>
        <v>127868.22</v>
      </c>
      <c r="G1295">
        <f>IF($A1295="","",IF($D1295="V01",Cadrage!$C$23,IF($D1295="V02",Cadrage!$D$23,Cadrage!$E$23)))</f>
        <v>-0.05</v>
      </c>
      <c r="H1295">
        <f>IF($A1295="","",IF($D1295="V01",Cadrage!$C$24,IF($D1295="V02",Cadrage!$D$24,Cadrage!$E$24)))</f>
        <v>-0.05</v>
      </c>
      <c r="I1295">
        <f>IF($A1295="","",IF($D1295="V01",Cadrage!$C$34,IF($D1295="V02",Cadrage!$D$34,Cadrage!$E$34)))</f>
        <v>0.03</v>
      </c>
      <c r="J1295">
        <f>IF($A1295="","",IF($D1295="V01",Cadrage!$C$35,IF($D1295="V02",Cadrage!$D$35,Cadrage!$E$35)))</f>
        <v>0.03</v>
      </c>
      <c r="K1295">
        <f>IF($A1295="","",IF($D1295="V01",Cadrage!$C$36,IF($D1295="V02",Cadrage!$D$36,Cadrage!$E$36)))</f>
        <v>0.05</v>
      </c>
      <c r="L1295">
        <f>IF($A1295="","",IF($D1295="V01",Cadrage!$C$37,IF($D1295="V02",Cadrage!$D$37,Cadrage!$E$37)))</f>
        <v>0</v>
      </c>
      <c r="M1295">
        <f>IF($A1295="","",IF($D1295="V01",Cadrage!$C$38,IF($D1295="V02",Cadrage!$D$38,Cadrage!$E$38)))</f>
        <v>0.04</v>
      </c>
      <c r="N1295">
        <f t="shared" si="1"/>
        <v>0.980622079131853</v>
      </c>
      <c r="O1295">
        <f t="shared" si="2"/>
        <v>1.0815</v>
      </c>
      <c r="P1295">
        <f>IF($A1295="","",IF($E1295=1,$F1295*$O1295,PNL!G1295))</f>
        <v>138289.47993</v>
      </c>
      <c r="T1295">
        <f t="shared" si="3"/>
        <v>-138289.47993</v>
      </c>
    </row>
    <row r="1296" ht="14.25" customHeight="1">
      <c r="A1296" t="str">
        <f>IF(PNL!A1296="","",PNL!A1296)</f>
        <v>TUNON_PAR</v>
      </c>
      <c r="B1296" t="str">
        <f>IF(PNL!B1296="","",PNL!B1296)</f>
        <v>645</v>
      </c>
      <c r="C1296" t="str">
        <f>IF(PNL!C1296="","",PNL!C1296)</f>
        <v>2027</v>
      </c>
      <c r="D1296" t="str">
        <f>IF(PNL!D1296="","",PNL!D1296)</f>
        <v>V03</v>
      </c>
      <c r="E1296">
        <f t="shared" si="0"/>
        <v>1</v>
      </c>
      <c r="F1296">
        <f>IF($A1296="","",IF($E1296=1,_xlfn.SUMIFS(Comptabilité!$F$1:$F$1446,Comptabilité!$A$1:$A$1446,$A1296,Comptabilité!$B$1:$B$1446,$B1296,Comptabilité!$C$1:$C$1446,"2026"),0))</f>
        <v>181171.41</v>
      </c>
      <c r="G1296">
        <f>IF($A1296="","",IF($D1296="V01",Cadrage!$C$23,IF($D1296="V02",Cadrage!$D$23,Cadrage!$E$23)))</f>
        <v>-0.05</v>
      </c>
      <c r="H1296">
        <f>IF($A1296="","",IF($D1296="V01",Cadrage!$C$24,IF($D1296="V02",Cadrage!$D$24,Cadrage!$E$24)))</f>
        <v>-0.05</v>
      </c>
      <c r="I1296">
        <f>IF($A1296="","",IF($D1296="V01",Cadrage!$C$34,IF($D1296="V02",Cadrage!$D$34,Cadrage!$E$34)))</f>
        <v>0.03</v>
      </c>
      <c r="J1296">
        <f>IF($A1296="","",IF($D1296="V01",Cadrage!$C$35,IF($D1296="V02",Cadrage!$D$35,Cadrage!$E$35)))</f>
        <v>0.03</v>
      </c>
      <c r="K1296">
        <f>IF($A1296="","",IF($D1296="V01",Cadrage!$C$36,IF($D1296="V02",Cadrage!$D$36,Cadrage!$E$36)))</f>
        <v>0.05</v>
      </c>
      <c r="L1296">
        <f>IF($A1296="","",IF($D1296="V01",Cadrage!$C$37,IF($D1296="V02",Cadrage!$D$37,Cadrage!$E$37)))</f>
        <v>0</v>
      </c>
      <c r="M1296">
        <f>IF($A1296="","",IF($D1296="V01",Cadrage!$C$38,IF($D1296="V02",Cadrage!$D$38,Cadrage!$E$38)))</f>
        <v>0.04</v>
      </c>
      <c r="N1296">
        <f t="shared" si="1"/>
        <v>0.980622079131853</v>
      </c>
      <c r="O1296">
        <f t="shared" si="2"/>
        <v>1.0815</v>
      </c>
      <c r="P1296">
        <f>IF($A1296="","",IF($E1296=1,$F1296*$O1296,PNL!G1296))</f>
        <v>195936.879915</v>
      </c>
      <c r="T1296">
        <f t="shared" si="3"/>
        <v>-195936.879915</v>
      </c>
    </row>
    <row r="1297" ht="14.25" customHeight="1">
      <c r="A1297" t="str">
        <f>IF(PNL!A1297="","",PNL!A1297)</f>
        <v>IPAC_MTP</v>
      </c>
      <c r="B1297" t="str">
        <f>IF(PNL!B1297="","",PNL!B1297)</f>
        <v>6811</v>
      </c>
      <c r="C1297" t="str">
        <f>IF(PNL!C1297="","",PNL!C1297)</f>
        <v>2027</v>
      </c>
      <c r="D1297" t="str">
        <f>IF(PNL!D1297="","",PNL!D1297)</f>
        <v>V03</v>
      </c>
      <c r="E1297">
        <f t="shared" si="0"/>
        <v>1</v>
      </c>
      <c r="F1297">
        <f>IF($A1297="","",IF($E1297=1,_xlfn.SUMIFS(Comptabilité!$F$1:$F$1446,Comptabilité!$A$1:$A$1446,$A1297,Comptabilité!$B$1:$B$1446,$B1297,Comptabilité!$C$1:$C$1446,"2026"),0))</f>
        <v>61955</v>
      </c>
      <c r="G1297">
        <f>IF($A1297="","",IF($D1297="V01",Cadrage!$C$23,IF($D1297="V02",Cadrage!$D$23,Cadrage!$E$23)))</f>
        <v>-0.05</v>
      </c>
      <c r="H1297">
        <f>IF($A1297="","",IF($D1297="V01",Cadrage!$C$24,IF($D1297="V02",Cadrage!$D$24,Cadrage!$E$24)))</f>
        <v>-0.05</v>
      </c>
      <c r="I1297">
        <f>IF($A1297="","",IF($D1297="V01",Cadrage!$C$34,IF($D1297="V02",Cadrage!$D$34,Cadrage!$E$34)))</f>
        <v>0.03</v>
      </c>
      <c r="J1297">
        <f>IF($A1297="","",IF($D1297="V01",Cadrage!$C$35,IF($D1297="V02",Cadrage!$D$35,Cadrage!$E$35)))</f>
        <v>0.03</v>
      </c>
      <c r="K1297">
        <f>IF($A1297="","",IF($D1297="V01",Cadrage!$C$36,IF($D1297="V02",Cadrage!$D$36,Cadrage!$E$36)))</f>
        <v>0.05</v>
      </c>
      <c r="L1297">
        <f>IF($A1297="","",IF($D1297="V01",Cadrage!$C$37,IF($D1297="V02",Cadrage!$D$37,Cadrage!$E$37)))</f>
        <v>0</v>
      </c>
      <c r="M1297">
        <f>IF($A1297="","",IF($D1297="V01",Cadrage!$C$38,IF($D1297="V02",Cadrage!$D$38,Cadrage!$E$38)))</f>
        <v>0.04</v>
      </c>
      <c r="N1297">
        <f t="shared" si="1"/>
        <v>0.980622079131853</v>
      </c>
      <c r="O1297">
        <f t="shared" si="2"/>
        <v>1.03</v>
      </c>
      <c r="P1297">
        <f>IF($A1297="","",IF($E1297=1,$F1297*$O1297,PNL!G1297))</f>
        <v>63813.65</v>
      </c>
      <c r="T1297">
        <f t="shared" si="3"/>
        <v>0</v>
      </c>
    </row>
    <row r="1298" ht="14.25" customHeight="1">
      <c r="A1298" t="str">
        <f>IF(PNL!A1298="","",PNL!A1298)</f>
        <v>IPAC_NAN</v>
      </c>
      <c r="B1298" t="str">
        <f>IF(PNL!B1298="","",PNL!B1298)</f>
        <v>6811</v>
      </c>
      <c r="C1298" t="str">
        <f>IF(PNL!C1298="","",PNL!C1298)</f>
        <v>2027</v>
      </c>
      <c r="D1298" t="str">
        <f>IF(PNL!D1298="","",PNL!D1298)</f>
        <v>V03</v>
      </c>
      <c r="E1298">
        <f t="shared" si="0"/>
        <v>1</v>
      </c>
      <c r="F1298">
        <f>IF($A1298="","",IF($E1298=1,_xlfn.SUMIFS(Comptabilité!$F$1:$F$1446,Comptabilité!$A$1:$A$1446,$A1298,Comptabilité!$B$1:$B$1446,$B1298,Comptabilité!$C$1:$C$1446,"2026"),0))</f>
        <v>61955</v>
      </c>
      <c r="G1298">
        <f>IF($A1298="","",IF($D1298="V01",Cadrage!$C$23,IF($D1298="V02",Cadrage!$D$23,Cadrage!$E$23)))</f>
        <v>-0.05</v>
      </c>
      <c r="H1298">
        <f>IF($A1298="","",IF($D1298="V01",Cadrage!$C$24,IF($D1298="V02",Cadrage!$D$24,Cadrage!$E$24)))</f>
        <v>-0.05</v>
      </c>
      <c r="I1298">
        <f>IF($A1298="","",IF($D1298="V01",Cadrage!$C$34,IF($D1298="V02",Cadrage!$D$34,Cadrage!$E$34)))</f>
        <v>0.03</v>
      </c>
      <c r="J1298">
        <f>IF($A1298="","",IF($D1298="V01",Cadrage!$C$35,IF($D1298="V02",Cadrage!$D$35,Cadrage!$E$35)))</f>
        <v>0.03</v>
      </c>
      <c r="K1298">
        <f>IF($A1298="","",IF($D1298="V01",Cadrage!$C$36,IF($D1298="V02",Cadrage!$D$36,Cadrage!$E$36)))</f>
        <v>0.05</v>
      </c>
      <c r="L1298">
        <f>IF($A1298="","",IF($D1298="V01",Cadrage!$C$37,IF($D1298="V02",Cadrage!$D$37,Cadrage!$E$37)))</f>
        <v>0</v>
      </c>
      <c r="M1298">
        <f>IF($A1298="","",IF($D1298="V01",Cadrage!$C$38,IF($D1298="V02",Cadrage!$D$38,Cadrage!$E$38)))</f>
        <v>0.04</v>
      </c>
      <c r="N1298">
        <f t="shared" si="1"/>
        <v>0.980622079131853</v>
      </c>
      <c r="O1298">
        <f t="shared" si="2"/>
        <v>1.03</v>
      </c>
      <c r="P1298">
        <f>IF($A1298="","",IF($E1298=1,$F1298*$O1298,PNL!G1298))</f>
        <v>63813.65</v>
      </c>
      <c r="T1298">
        <f t="shared" si="3"/>
        <v>0</v>
      </c>
    </row>
    <row r="1299" ht="14.25" customHeight="1">
      <c r="A1299" t="str">
        <f>IF(PNL!A1299="","",PNL!A1299)</f>
        <v>IPAC_REN</v>
      </c>
      <c r="B1299" t="str">
        <f>IF(PNL!B1299="","",PNL!B1299)</f>
        <v>6811</v>
      </c>
      <c r="C1299" t="str">
        <f>IF(PNL!C1299="","",PNL!C1299)</f>
        <v>2027</v>
      </c>
      <c r="D1299" t="str">
        <f>IF(PNL!D1299="","",PNL!D1299)</f>
        <v>V03</v>
      </c>
      <c r="E1299">
        <f t="shared" si="0"/>
        <v>1</v>
      </c>
      <c r="F1299">
        <f>IF($A1299="","",IF($E1299=1,_xlfn.SUMIFS(Comptabilité!$F$1:$F$1446,Comptabilité!$A$1:$A$1446,$A1299,Comptabilité!$B$1:$B$1446,$B1299,Comptabilité!$C$1:$C$1446,"2026"),0))</f>
        <v>61955</v>
      </c>
      <c r="G1299">
        <f>IF($A1299="","",IF($D1299="V01",Cadrage!$C$23,IF($D1299="V02",Cadrage!$D$23,Cadrage!$E$23)))</f>
        <v>-0.05</v>
      </c>
      <c r="H1299">
        <f>IF($A1299="","",IF($D1299="V01",Cadrage!$C$24,IF($D1299="V02",Cadrage!$D$24,Cadrage!$E$24)))</f>
        <v>-0.05</v>
      </c>
      <c r="I1299">
        <f>IF($A1299="","",IF($D1299="V01",Cadrage!$C$34,IF($D1299="V02",Cadrage!$D$34,Cadrage!$E$34)))</f>
        <v>0.03</v>
      </c>
      <c r="J1299">
        <f>IF($A1299="","",IF($D1299="V01",Cadrage!$C$35,IF($D1299="V02",Cadrage!$D$35,Cadrage!$E$35)))</f>
        <v>0.03</v>
      </c>
      <c r="K1299">
        <f>IF($A1299="","",IF($D1299="V01",Cadrage!$C$36,IF($D1299="V02",Cadrage!$D$36,Cadrage!$E$36)))</f>
        <v>0.05</v>
      </c>
      <c r="L1299">
        <f>IF($A1299="","",IF($D1299="V01",Cadrage!$C$37,IF($D1299="V02",Cadrage!$D$37,Cadrage!$E$37)))</f>
        <v>0</v>
      </c>
      <c r="M1299">
        <f>IF($A1299="","",IF($D1299="V01",Cadrage!$C$38,IF($D1299="V02",Cadrage!$D$38,Cadrage!$E$38)))</f>
        <v>0.04</v>
      </c>
      <c r="N1299">
        <f t="shared" si="1"/>
        <v>0.980622079131853</v>
      </c>
      <c r="O1299">
        <f t="shared" si="2"/>
        <v>1.03</v>
      </c>
      <c r="P1299">
        <f>IF($A1299="","",IF($E1299=1,$F1299*$O1299,PNL!G1299))</f>
        <v>63813.65</v>
      </c>
      <c r="T1299">
        <f t="shared" si="3"/>
        <v>0</v>
      </c>
    </row>
    <row r="1300" ht="14.25" customHeight="1">
      <c r="A1300" t="str">
        <f>IF(PNL!A1300="","",PNL!A1300)</f>
        <v>ISCOM_LIL</v>
      </c>
      <c r="B1300" t="str">
        <f>IF(PNL!B1300="","",PNL!B1300)</f>
        <v>6811</v>
      </c>
      <c r="C1300" t="str">
        <f>IF(PNL!C1300="","",PNL!C1300)</f>
        <v>2027</v>
      </c>
      <c r="D1300" t="str">
        <f>IF(PNL!D1300="","",PNL!D1300)</f>
        <v>V03</v>
      </c>
      <c r="E1300">
        <f t="shared" si="0"/>
        <v>1</v>
      </c>
      <c r="F1300">
        <f>IF($A1300="","",IF($E1300=1,_xlfn.SUMIFS(Comptabilité!$F$1:$F$1446,Comptabilité!$A$1:$A$1446,$A1300,Comptabilité!$B$1:$B$1446,$B1300,Comptabilité!$C$1:$C$1446,"2026"),0))</f>
        <v>103258</v>
      </c>
      <c r="G1300">
        <f>IF($A1300="","",IF($D1300="V01",Cadrage!$C$23,IF($D1300="V02",Cadrage!$D$23,Cadrage!$E$23)))</f>
        <v>-0.05</v>
      </c>
      <c r="H1300">
        <f>IF($A1300="","",IF($D1300="V01",Cadrage!$C$24,IF($D1300="V02",Cadrage!$D$24,Cadrage!$E$24)))</f>
        <v>-0.05</v>
      </c>
      <c r="I1300">
        <f>IF($A1300="","",IF($D1300="V01",Cadrage!$C$34,IF($D1300="V02",Cadrage!$D$34,Cadrage!$E$34)))</f>
        <v>0.03</v>
      </c>
      <c r="J1300">
        <f>IF($A1300="","",IF($D1300="V01",Cadrage!$C$35,IF($D1300="V02",Cadrage!$D$35,Cadrage!$E$35)))</f>
        <v>0.03</v>
      </c>
      <c r="K1300">
        <f>IF($A1300="","",IF($D1300="V01",Cadrage!$C$36,IF($D1300="V02",Cadrage!$D$36,Cadrage!$E$36)))</f>
        <v>0.05</v>
      </c>
      <c r="L1300">
        <f>IF($A1300="","",IF($D1300="V01",Cadrage!$C$37,IF($D1300="V02",Cadrage!$D$37,Cadrage!$E$37)))</f>
        <v>0</v>
      </c>
      <c r="M1300">
        <f>IF($A1300="","",IF($D1300="V01",Cadrage!$C$38,IF($D1300="V02",Cadrage!$D$38,Cadrage!$E$38)))</f>
        <v>0.04</v>
      </c>
      <c r="N1300">
        <f t="shared" si="1"/>
        <v>0.980622079131853</v>
      </c>
      <c r="O1300">
        <f t="shared" si="2"/>
        <v>1.03</v>
      </c>
      <c r="P1300">
        <f>IF($A1300="","",IF($E1300=1,$F1300*$O1300,PNL!G1300))</f>
        <v>106355.74</v>
      </c>
      <c r="T1300">
        <f t="shared" si="3"/>
        <v>0</v>
      </c>
    </row>
    <row r="1301" ht="14.25" customHeight="1">
      <c r="A1301" t="str">
        <f>IF(PNL!A1301="","",PNL!A1301)</f>
        <v>ISCOM_PAR</v>
      </c>
      <c r="B1301" t="str">
        <f>IF(PNL!B1301="","",PNL!B1301)</f>
        <v>6811</v>
      </c>
      <c r="C1301" t="str">
        <f>IF(PNL!C1301="","",PNL!C1301)</f>
        <v>2027</v>
      </c>
      <c r="D1301" t="str">
        <f>IF(PNL!D1301="","",PNL!D1301)</f>
        <v>V03</v>
      </c>
      <c r="E1301">
        <f t="shared" si="0"/>
        <v>1</v>
      </c>
      <c r="F1301">
        <f>IF($A1301="","",IF($E1301=1,_xlfn.SUMIFS(Comptabilité!$F$1:$F$1446,Comptabilité!$A$1:$A$1446,$A1301,Comptabilité!$B$1:$B$1446,$B1301,Comptabilité!$C$1:$C$1446,"2026"),0))</f>
        <v>154887</v>
      </c>
      <c r="G1301">
        <f>IF($A1301="","",IF($D1301="V01",Cadrage!$C$23,IF($D1301="V02",Cadrage!$D$23,Cadrage!$E$23)))</f>
        <v>-0.05</v>
      </c>
      <c r="H1301">
        <f>IF($A1301="","",IF($D1301="V01",Cadrage!$C$24,IF($D1301="V02",Cadrage!$D$24,Cadrage!$E$24)))</f>
        <v>-0.05</v>
      </c>
      <c r="I1301">
        <f>IF($A1301="","",IF($D1301="V01",Cadrage!$C$34,IF($D1301="V02",Cadrage!$D$34,Cadrage!$E$34)))</f>
        <v>0.03</v>
      </c>
      <c r="J1301">
        <f>IF($A1301="","",IF($D1301="V01",Cadrage!$C$35,IF($D1301="V02",Cadrage!$D$35,Cadrage!$E$35)))</f>
        <v>0.03</v>
      </c>
      <c r="K1301">
        <f>IF($A1301="","",IF($D1301="V01",Cadrage!$C$36,IF($D1301="V02",Cadrage!$D$36,Cadrage!$E$36)))</f>
        <v>0.05</v>
      </c>
      <c r="L1301">
        <f>IF($A1301="","",IF($D1301="V01",Cadrage!$C$37,IF($D1301="V02",Cadrage!$D$37,Cadrage!$E$37)))</f>
        <v>0</v>
      </c>
      <c r="M1301">
        <f>IF($A1301="","",IF($D1301="V01",Cadrage!$C$38,IF($D1301="V02",Cadrage!$D$38,Cadrage!$E$38)))</f>
        <v>0.04</v>
      </c>
      <c r="N1301">
        <f t="shared" si="1"/>
        <v>0.980622079131853</v>
      </c>
      <c r="O1301">
        <f t="shared" si="2"/>
        <v>1.03</v>
      </c>
      <c r="P1301">
        <f>IF($A1301="","",IF($E1301=1,$F1301*$O1301,PNL!G1301))</f>
        <v>159533.61</v>
      </c>
      <c r="T1301">
        <f t="shared" si="3"/>
        <v>0</v>
      </c>
    </row>
    <row r="1302" ht="14.25" customHeight="1">
      <c r="A1302" t="str">
        <f>IF(PNL!A1302="","",PNL!A1302)</f>
        <v>ISCOM_TLS</v>
      </c>
      <c r="B1302" t="str">
        <f>IF(PNL!B1302="","",PNL!B1302)</f>
        <v>6811</v>
      </c>
      <c r="C1302" t="str">
        <f>IF(PNL!C1302="","",PNL!C1302)</f>
        <v>2027</v>
      </c>
      <c r="D1302" t="str">
        <f>IF(PNL!D1302="","",PNL!D1302)</f>
        <v>V03</v>
      </c>
      <c r="E1302">
        <f t="shared" si="0"/>
        <v>1</v>
      </c>
      <c r="F1302">
        <f>IF($A1302="","",IF($E1302=1,_xlfn.SUMIFS(Comptabilité!$F$1:$F$1446,Comptabilité!$A$1:$A$1446,$A1302,Comptabilité!$B$1:$B$1446,$B1302,Comptabilité!$C$1:$C$1446,"2026"),0))</f>
        <v>103258</v>
      </c>
      <c r="G1302">
        <f>IF($A1302="","",IF($D1302="V01",Cadrage!$C$23,IF($D1302="V02",Cadrage!$D$23,Cadrage!$E$23)))</f>
        <v>-0.05</v>
      </c>
      <c r="H1302">
        <f>IF($A1302="","",IF($D1302="V01",Cadrage!$C$24,IF($D1302="V02",Cadrage!$D$24,Cadrage!$E$24)))</f>
        <v>-0.05</v>
      </c>
      <c r="I1302">
        <f>IF($A1302="","",IF($D1302="V01",Cadrage!$C$34,IF($D1302="V02",Cadrage!$D$34,Cadrage!$E$34)))</f>
        <v>0.03</v>
      </c>
      <c r="J1302">
        <f>IF($A1302="","",IF($D1302="V01",Cadrage!$C$35,IF($D1302="V02",Cadrage!$D$35,Cadrage!$E$35)))</f>
        <v>0.03</v>
      </c>
      <c r="K1302">
        <f>IF($A1302="","",IF($D1302="V01",Cadrage!$C$36,IF($D1302="V02",Cadrage!$D$36,Cadrage!$E$36)))</f>
        <v>0.05</v>
      </c>
      <c r="L1302">
        <f>IF($A1302="","",IF($D1302="V01",Cadrage!$C$37,IF($D1302="V02",Cadrage!$D$37,Cadrage!$E$37)))</f>
        <v>0</v>
      </c>
      <c r="M1302">
        <f>IF($A1302="","",IF($D1302="V01",Cadrage!$C$38,IF($D1302="V02",Cadrage!$D$38,Cadrage!$E$38)))</f>
        <v>0.04</v>
      </c>
      <c r="N1302">
        <f t="shared" si="1"/>
        <v>0.980622079131853</v>
      </c>
      <c r="O1302">
        <f t="shared" si="2"/>
        <v>1.03</v>
      </c>
      <c r="P1302">
        <f>IF($A1302="","",IF($E1302=1,$F1302*$O1302,PNL!G1302))</f>
        <v>106355.74</v>
      </c>
      <c r="T1302">
        <f t="shared" si="3"/>
        <v>0</v>
      </c>
    </row>
    <row r="1303" ht="14.25" customHeight="1">
      <c r="A1303" t="str">
        <f>IF(PNL!A1303="","",PNL!A1303)</f>
        <v>MBWAY_BOR</v>
      </c>
      <c r="B1303" t="str">
        <f>IF(PNL!B1303="","",PNL!B1303)</f>
        <v>6811</v>
      </c>
      <c r="C1303" t="str">
        <f>IF(PNL!C1303="","",PNL!C1303)</f>
        <v>2027</v>
      </c>
      <c r="D1303" t="str">
        <f>IF(PNL!D1303="","",PNL!D1303)</f>
        <v>V03</v>
      </c>
      <c r="E1303">
        <f t="shared" si="0"/>
        <v>1</v>
      </c>
      <c r="F1303">
        <f>IF($A1303="","",IF($E1303=1,_xlfn.SUMIFS(Comptabilité!$F$1:$F$1446,Comptabilité!$A$1:$A$1446,$A1303,Comptabilité!$B$1:$B$1446,$B1303,Comptabilité!$C$1:$C$1446,"2026"),0))</f>
        <v>103258</v>
      </c>
      <c r="G1303">
        <f>IF($A1303="","",IF($D1303="V01",Cadrage!$C$23,IF($D1303="V02",Cadrage!$D$23,Cadrage!$E$23)))</f>
        <v>-0.05</v>
      </c>
      <c r="H1303">
        <f>IF($A1303="","",IF($D1303="V01",Cadrage!$C$24,IF($D1303="V02",Cadrage!$D$24,Cadrage!$E$24)))</f>
        <v>-0.05</v>
      </c>
      <c r="I1303">
        <f>IF($A1303="","",IF($D1303="V01",Cadrage!$C$34,IF($D1303="V02",Cadrage!$D$34,Cadrage!$E$34)))</f>
        <v>0.03</v>
      </c>
      <c r="J1303">
        <f>IF($A1303="","",IF($D1303="V01",Cadrage!$C$35,IF($D1303="V02",Cadrage!$D$35,Cadrage!$E$35)))</f>
        <v>0.03</v>
      </c>
      <c r="K1303">
        <f>IF($A1303="","",IF($D1303="V01",Cadrage!$C$36,IF($D1303="V02",Cadrage!$D$36,Cadrage!$E$36)))</f>
        <v>0.05</v>
      </c>
      <c r="L1303">
        <f>IF($A1303="","",IF($D1303="V01",Cadrage!$C$37,IF($D1303="V02",Cadrage!$D$37,Cadrage!$E$37)))</f>
        <v>0</v>
      </c>
      <c r="M1303">
        <f>IF($A1303="","",IF($D1303="V01",Cadrage!$C$38,IF($D1303="V02",Cadrage!$D$38,Cadrage!$E$38)))</f>
        <v>0.04</v>
      </c>
      <c r="N1303">
        <f t="shared" si="1"/>
        <v>0.980622079131853</v>
      </c>
      <c r="O1303">
        <f t="shared" si="2"/>
        <v>1.03</v>
      </c>
      <c r="P1303">
        <f>IF($A1303="","",IF($E1303=1,$F1303*$O1303,PNL!G1303))</f>
        <v>106355.74</v>
      </c>
      <c r="T1303">
        <f t="shared" si="3"/>
        <v>0</v>
      </c>
    </row>
    <row r="1304" ht="14.25" customHeight="1">
      <c r="A1304" t="str">
        <f>IF(PNL!A1304="","",PNL!A1304)</f>
        <v>MBWAY_LYO</v>
      </c>
      <c r="B1304" t="str">
        <f>IF(PNL!B1304="","",PNL!B1304)</f>
        <v>6811</v>
      </c>
      <c r="C1304" t="str">
        <f>IF(PNL!C1304="","",PNL!C1304)</f>
        <v>2027</v>
      </c>
      <c r="D1304" t="str">
        <f>IF(PNL!D1304="","",PNL!D1304)</f>
        <v>V03</v>
      </c>
      <c r="E1304">
        <f t="shared" si="0"/>
        <v>1</v>
      </c>
      <c r="F1304">
        <f>IF($A1304="","",IF($E1304=1,_xlfn.SUMIFS(Comptabilité!$F$1:$F$1446,Comptabilité!$A$1:$A$1446,$A1304,Comptabilité!$B$1:$B$1446,$B1304,Comptabilité!$C$1:$C$1446,"2026"),0))</f>
        <v>134236</v>
      </c>
      <c r="G1304">
        <f>IF($A1304="","",IF($D1304="V01",Cadrage!$C$23,IF($D1304="V02",Cadrage!$D$23,Cadrage!$E$23)))</f>
        <v>-0.05</v>
      </c>
      <c r="H1304">
        <f>IF($A1304="","",IF($D1304="V01",Cadrage!$C$24,IF($D1304="V02",Cadrage!$D$24,Cadrage!$E$24)))</f>
        <v>-0.05</v>
      </c>
      <c r="I1304">
        <f>IF($A1304="","",IF($D1304="V01",Cadrage!$C$34,IF($D1304="V02",Cadrage!$D$34,Cadrage!$E$34)))</f>
        <v>0.03</v>
      </c>
      <c r="J1304">
        <f>IF($A1304="","",IF($D1304="V01",Cadrage!$C$35,IF($D1304="V02",Cadrage!$D$35,Cadrage!$E$35)))</f>
        <v>0.03</v>
      </c>
      <c r="K1304">
        <f>IF($A1304="","",IF($D1304="V01",Cadrage!$C$36,IF($D1304="V02",Cadrage!$D$36,Cadrage!$E$36)))</f>
        <v>0.05</v>
      </c>
      <c r="L1304">
        <f>IF($A1304="","",IF($D1304="V01",Cadrage!$C$37,IF($D1304="V02",Cadrage!$D$37,Cadrage!$E$37)))</f>
        <v>0</v>
      </c>
      <c r="M1304">
        <f>IF($A1304="","",IF($D1304="V01",Cadrage!$C$38,IF($D1304="V02",Cadrage!$D$38,Cadrage!$E$38)))</f>
        <v>0.04</v>
      </c>
      <c r="N1304">
        <f t="shared" si="1"/>
        <v>0.980622079131853</v>
      </c>
      <c r="O1304">
        <f t="shared" si="2"/>
        <v>1.03</v>
      </c>
      <c r="P1304">
        <f>IF($A1304="","",IF($E1304=1,$F1304*$O1304,PNL!G1304))</f>
        <v>138263.08</v>
      </c>
      <c r="T1304">
        <f t="shared" si="3"/>
        <v>0</v>
      </c>
    </row>
    <row r="1305" ht="14.25" customHeight="1">
      <c r="A1305" t="str">
        <f>IF(PNL!A1305="","",PNL!A1305)</f>
        <v>MBWAY_NAN</v>
      </c>
      <c r="B1305" t="str">
        <f>IF(PNL!B1305="","",PNL!B1305)</f>
        <v>6811</v>
      </c>
      <c r="C1305" t="str">
        <f>IF(PNL!C1305="","",PNL!C1305)</f>
        <v>2027</v>
      </c>
      <c r="D1305" t="str">
        <f>IF(PNL!D1305="","",PNL!D1305)</f>
        <v>V03</v>
      </c>
      <c r="E1305">
        <f t="shared" si="0"/>
        <v>1</v>
      </c>
      <c r="F1305">
        <f>IF($A1305="","",IF($E1305=1,_xlfn.SUMIFS(Comptabilité!$F$1:$F$1446,Comptabilité!$A$1:$A$1446,$A1305,Comptabilité!$B$1:$B$1446,$B1305,Comptabilité!$C$1:$C$1446,"2026"),0))</f>
        <v>123910</v>
      </c>
      <c r="G1305">
        <f>IF($A1305="","",IF($D1305="V01",Cadrage!$C$23,IF($D1305="V02",Cadrage!$D$23,Cadrage!$E$23)))</f>
        <v>-0.05</v>
      </c>
      <c r="H1305">
        <f>IF($A1305="","",IF($D1305="V01",Cadrage!$C$24,IF($D1305="V02",Cadrage!$D$24,Cadrage!$E$24)))</f>
        <v>-0.05</v>
      </c>
      <c r="I1305">
        <f>IF($A1305="","",IF($D1305="V01",Cadrage!$C$34,IF($D1305="V02",Cadrage!$D$34,Cadrage!$E$34)))</f>
        <v>0.03</v>
      </c>
      <c r="J1305">
        <f>IF($A1305="","",IF($D1305="V01",Cadrage!$C$35,IF($D1305="V02",Cadrage!$D$35,Cadrage!$E$35)))</f>
        <v>0.03</v>
      </c>
      <c r="K1305">
        <f>IF($A1305="","",IF($D1305="V01",Cadrage!$C$36,IF($D1305="V02",Cadrage!$D$36,Cadrage!$E$36)))</f>
        <v>0.05</v>
      </c>
      <c r="L1305">
        <f>IF($A1305="","",IF($D1305="V01",Cadrage!$C$37,IF($D1305="V02",Cadrage!$D$37,Cadrage!$E$37)))</f>
        <v>0</v>
      </c>
      <c r="M1305">
        <f>IF($A1305="","",IF($D1305="V01",Cadrage!$C$38,IF($D1305="V02",Cadrage!$D$38,Cadrage!$E$38)))</f>
        <v>0.04</v>
      </c>
      <c r="N1305">
        <f t="shared" si="1"/>
        <v>0.980622079131853</v>
      </c>
      <c r="O1305">
        <f t="shared" si="2"/>
        <v>1.03</v>
      </c>
      <c r="P1305">
        <f>IF($A1305="","",IF($E1305=1,$F1305*$O1305,PNL!G1305))</f>
        <v>127627.3</v>
      </c>
      <c r="T1305">
        <f t="shared" si="3"/>
        <v>0</v>
      </c>
    </row>
    <row r="1306" ht="14.25" customHeight="1">
      <c r="A1306" t="str">
        <f>IF(PNL!A1306="","",PNL!A1306)</f>
        <v>MBWAY_PAR</v>
      </c>
      <c r="B1306" t="str">
        <f>IF(PNL!B1306="","",PNL!B1306)</f>
        <v>6811</v>
      </c>
      <c r="C1306" t="str">
        <f>IF(PNL!C1306="","",PNL!C1306)</f>
        <v>2027</v>
      </c>
      <c r="D1306" t="str">
        <f>IF(PNL!D1306="","",PNL!D1306)</f>
        <v>V03</v>
      </c>
      <c r="E1306">
        <f t="shared" si="0"/>
        <v>1</v>
      </c>
      <c r="F1306">
        <f>IF($A1306="","",IF($E1306=1,_xlfn.SUMIFS(Comptabilité!$F$1:$F$1446,Comptabilité!$A$1:$A$1446,$A1306,Comptabilité!$B$1:$B$1446,$B1306,Comptabilité!$C$1:$C$1446,"2026"),0))</f>
        <v>154887</v>
      </c>
      <c r="G1306">
        <f>IF($A1306="","",IF($D1306="V01",Cadrage!$C$23,IF($D1306="V02",Cadrage!$D$23,Cadrage!$E$23)))</f>
        <v>-0.05</v>
      </c>
      <c r="H1306">
        <f>IF($A1306="","",IF($D1306="V01",Cadrage!$C$24,IF($D1306="V02",Cadrage!$D$24,Cadrage!$E$24)))</f>
        <v>-0.05</v>
      </c>
      <c r="I1306">
        <f>IF($A1306="","",IF($D1306="V01",Cadrage!$C$34,IF($D1306="V02",Cadrage!$D$34,Cadrage!$E$34)))</f>
        <v>0.03</v>
      </c>
      <c r="J1306">
        <f>IF($A1306="","",IF($D1306="V01",Cadrage!$C$35,IF($D1306="V02",Cadrage!$D$35,Cadrage!$E$35)))</f>
        <v>0.03</v>
      </c>
      <c r="K1306">
        <f>IF($A1306="","",IF($D1306="V01",Cadrage!$C$36,IF($D1306="V02",Cadrage!$D$36,Cadrage!$E$36)))</f>
        <v>0.05</v>
      </c>
      <c r="L1306">
        <f>IF($A1306="","",IF($D1306="V01",Cadrage!$C$37,IF($D1306="V02",Cadrage!$D$37,Cadrage!$E$37)))</f>
        <v>0</v>
      </c>
      <c r="M1306">
        <f>IF($A1306="","",IF($D1306="V01",Cadrage!$C$38,IF($D1306="V02",Cadrage!$D$38,Cadrage!$E$38)))</f>
        <v>0.04</v>
      </c>
      <c r="N1306">
        <f t="shared" si="1"/>
        <v>0.980622079131853</v>
      </c>
      <c r="O1306">
        <f t="shared" si="2"/>
        <v>1.03</v>
      </c>
      <c r="P1306">
        <f>IF($A1306="","",IF($E1306=1,$F1306*$O1306,PNL!G1306))</f>
        <v>159533.61</v>
      </c>
      <c r="T1306">
        <f t="shared" si="3"/>
        <v>0</v>
      </c>
    </row>
    <row r="1307" ht="14.25" customHeight="1">
      <c r="A1307" t="str">
        <f>IF(PNL!A1307="","",PNL!A1307)</f>
        <v>PIGIER_BOR</v>
      </c>
      <c r="B1307" t="str">
        <f>IF(PNL!B1307="","",PNL!B1307)</f>
        <v>6811</v>
      </c>
      <c r="C1307" t="str">
        <f>IF(PNL!C1307="","",PNL!C1307)</f>
        <v>2027</v>
      </c>
      <c r="D1307" t="str">
        <f>IF(PNL!D1307="","",PNL!D1307)</f>
        <v>V03</v>
      </c>
      <c r="E1307">
        <f t="shared" si="0"/>
        <v>1</v>
      </c>
      <c r="F1307">
        <f>IF($A1307="","",IF($E1307=1,_xlfn.SUMIFS(Comptabilité!$F$1:$F$1446,Comptabilité!$A$1:$A$1446,$A1307,Comptabilité!$B$1:$B$1446,$B1307,Comptabilité!$C$1:$C$1446,"2026"),0))</f>
        <v>82607</v>
      </c>
      <c r="G1307">
        <f>IF($A1307="","",IF($D1307="V01",Cadrage!$C$23,IF($D1307="V02",Cadrage!$D$23,Cadrage!$E$23)))</f>
        <v>-0.05</v>
      </c>
      <c r="H1307">
        <f>IF($A1307="","",IF($D1307="V01",Cadrage!$C$24,IF($D1307="V02",Cadrage!$D$24,Cadrage!$E$24)))</f>
        <v>-0.05</v>
      </c>
      <c r="I1307">
        <f>IF($A1307="","",IF($D1307="V01",Cadrage!$C$34,IF($D1307="V02",Cadrage!$D$34,Cadrage!$E$34)))</f>
        <v>0.03</v>
      </c>
      <c r="J1307">
        <f>IF($A1307="","",IF($D1307="V01",Cadrage!$C$35,IF($D1307="V02",Cadrage!$D$35,Cadrage!$E$35)))</f>
        <v>0.03</v>
      </c>
      <c r="K1307">
        <f>IF($A1307="","",IF($D1307="V01",Cadrage!$C$36,IF($D1307="V02",Cadrage!$D$36,Cadrage!$E$36)))</f>
        <v>0.05</v>
      </c>
      <c r="L1307">
        <f>IF($A1307="","",IF($D1307="V01",Cadrage!$C$37,IF($D1307="V02",Cadrage!$D$37,Cadrage!$E$37)))</f>
        <v>0</v>
      </c>
      <c r="M1307">
        <f>IF($A1307="","",IF($D1307="V01",Cadrage!$C$38,IF($D1307="V02",Cadrage!$D$38,Cadrage!$E$38)))</f>
        <v>0.04</v>
      </c>
      <c r="N1307">
        <f t="shared" si="1"/>
        <v>0.980622079131853</v>
      </c>
      <c r="O1307">
        <f t="shared" si="2"/>
        <v>1.03</v>
      </c>
      <c r="P1307">
        <f>IF($A1307="","",IF($E1307=1,$F1307*$O1307,PNL!G1307))</f>
        <v>85085.21</v>
      </c>
      <c r="T1307">
        <f t="shared" si="3"/>
        <v>0</v>
      </c>
    </row>
    <row r="1308" ht="14.25" customHeight="1">
      <c r="A1308" t="str">
        <f>IF(PNL!A1308="","",PNL!A1308)</f>
        <v>PIGIER_LYO</v>
      </c>
      <c r="B1308" t="str">
        <f>IF(PNL!B1308="","",PNL!B1308)</f>
        <v>6811</v>
      </c>
      <c r="C1308" t="str">
        <f>IF(PNL!C1308="","",PNL!C1308)</f>
        <v>2027</v>
      </c>
      <c r="D1308" t="str">
        <f>IF(PNL!D1308="","",PNL!D1308)</f>
        <v>V03</v>
      </c>
      <c r="E1308">
        <f t="shared" si="0"/>
        <v>1</v>
      </c>
      <c r="F1308">
        <f>IF($A1308="","",IF($E1308=1,_xlfn.SUMIFS(Comptabilité!$F$1:$F$1446,Comptabilité!$A$1:$A$1446,$A1308,Comptabilité!$B$1:$B$1446,$B1308,Comptabilité!$C$1:$C$1446,"2026"),0))</f>
        <v>82607</v>
      </c>
      <c r="G1308">
        <f>IF($A1308="","",IF($D1308="V01",Cadrage!$C$23,IF($D1308="V02",Cadrage!$D$23,Cadrage!$E$23)))</f>
        <v>-0.05</v>
      </c>
      <c r="H1308">
        <f>IF($A1308="","",IF($D1308="V01",Cadrage!$C$24,IF($D1308="V02",Cadrage!$D$24,Cadrage!$E$24)))</f>
        <v>-0.05</v>
      </c>
      <c r="I1308">
        <f>IF($A1308="","",IF($D1308="V01",Cadrage!$C$34,IF($D1308="V02",Cadrage!$D$34,Cadrage!$E$34)))</f>
        <v>0.03</v>
      </c>
      <c r="J1308">
        <f>IF($A1308="","",IF($D1308="V01",Cadrage!$C$35,IF($D1308="V02",Cadrage!$D$35,Cadrage!$E$35)))</f>
        <v>0.03</v>
      </c>
      <c r="K1308">
        <f>IF($A1308="","",IF($D1308="V01",Cadrage!$C$36,IF($D1308="V02",Cadrage!$D$36,Cadrage!$E$36)))</f>
        <v>0.05</v>
      </c>
      <c r="L1308">
        <f>IF($A1308="","",IF($D1308="V01",Cadrage!$C$37,IF($D1308="V02",Cadrage!$D$37,Cadrage!$E$37)))</f>
        <v>0</v>
      </c>
      <c r="M1308">
        <f>IF($A1308="","",IF($D1308="V01",Cadrage!$C$38,IF($D1308="V02",Cadrage!$D$38,Cadrage!$E$38)))</f>
        <v>0.04</v>
      </c>
      <c r="N1308">
        <f t="shared" si="1"/>
        <v>0.980622079131853</v>
      </c>
      <c r="O1308">
        <f t="shared" si="2"/>
        <v>1.03</v>
      </c>
      <c r="P1308">
        <f>IF($A1308="","",IF($E1308=1,$F1308*$O1308,PNL!G1308))</f>
        <v>85085.21</v>
      </c>
      <c r="T1308">
        <f t="shared" si="3"/>
        <v>0</v>
      </c>
    </row>
    <row r="1309" ht="14.25" customHeight="1">
      <c r="A1309" t="str">
        <f>IF(PNL!A1309="","",PNL!A1309)</f>
        <v>TUNON_LYO</v>
      </c>
      <c r="B1309" t="str">
        <f>IF(PNL!B1309="","",PNL!B1309)</f>
        <v>6811</v>
      </c>
      <c r="C1309" t="str">
        <f>IF(PNL!C1309="","",PNL!C1309)</f>
        <v>2027</v>
      </c>
      <c r="D1309" t="str">
        <f>IF(PNL!D1309="","",PNL!D1309)</f>
        <v>V03</v>
      </c>
      <c r="E1309">
        <f t="shared" si="0"/>
        <v>1</v>
      </c>
      <c r="F1309">
        <f>IF($A1309="","",IF($E1309=1,_xlfn.SUMIFS(Comptabilité!$F$1:$F$1446,Comptabilité!$A$1:$A$1446,$A1309,Comptabilité!$B$1:$B$1446,$B1309,Comptabilité!$C$1:$C$1446,"2026"),0))</f>
        <v>61955</v>
      </c>
      <c r="G1309">
        <f>IF($A1309="","",IF($D1309="V01",Cadrage!$C$23,IF($D1309="V02",Cadrage!$D$23,Cadrage!$E$23)))</f>
        <v>-0.05</v>
      </c>
      <c r="H1309">
        <f>IF($A1309="","",IF($D1309="V01",Cadrage!$C$24,IF($D1309="V02",Cadrage!$D$24,Cadrage!$E$24)))</f>
        <v>-0.05</v>
      </c>
      <c r="I1309">
        <f>IF($A1309="","",IF($D1309="V01",Cadrage!$C$34,IF($D1309="V02",Cadrage!$D$34,Cadrage!$E$34)))</f>
        <v>0.03</v>
      </c>
      <c r="J1309">
        <f>IF($A1309="","",IF($D1309="V01",Cadrage!$C$35,IF($D1309="V02",Cadrage!$D$35,Cadrage!$E$35)))</f>
        <v>0.03</v>
      </c>
      <c r="K1309">
        <f>IF($A1309="","",IF($D1309="V01",Cadrage!$C$36,IF($D1309="V02",Cadrage!$D$36,Cadrage!$E$36)))</f>
        <v>0.05</v>
      </c>
      <c r="L1309">
        <f>IF($A1309="","",IF($D1309="V01",Cadrage!$C$37,IF($D1309="V02",Cadrage!$D$37,Cadrage!$E$37)))</f>
        <v>0</v>
      </c>
      <c r="M1309">
        <f>IF($A1309="","",IF($D1309="V01",Cadrage!$C$38,IF($D1309="V02",Cadrage!$D$38,Cadrage!$E$38)))</f>
        <v>0.04</v>
      </c>
      <c r="N1309">
        <f t="shared" si="1"/>
        <v>0.980622079131853</v>
      </c>
      <c r="O1309">
        <f t="shared" si="2"/>
        <v>1.03</v>
      </c>
      <c r="P1309">
        <f>IF($A1309="","",IF($E1309=1,$F1309*$O1309,PNL!G1309))</f>
        <v>63813.65</v>
      </c>
      <c r="T1309">
        <f t="shared" si="3"/>
        <v>0</v>
      </c>
    </row>
    <row r="1310" ht="14.25" customHeight="1">
      <c r="A1310" t="str">
        <f>IF(PNL!A1310="","",PNL!A1310)</f>
        <v>TUNON_PAR</v>
      </c>
      <c r="B1310" t="str">
        <f>IF(PNL!B1310="","",PNL!B1310)</f>
        <v>6811</v>
      </c>
      <c r="C1310" t="str">
        <f>IF(PNL!C1310="","",PNL!C1310)</f>
        <v>2027</v>
      </c>
      <c r="D1310" t="str">
        <f>IF(PNL!D1310="","",PNL!D1310)</f>
        <v>V03</v>
      </c>
      <c r="E1310">
        <f t="shared" si="0"/>
        <v>1</v>
      </c>
      <c r="F1310">
        <f>IF($A1310="","",IF($E1310=1,_xlfn.SUMIFS(Comptabilité!$F$1:$F$1446,Comptabilité!$A$1:$A$1446,$A1310,Comptabilité!$B$1:$B$1446,$B1310,Comptabilité!$C$1:$C$1446,"2026"),0))</f>
        <v>61955</v>
      </c>
      <c r="G1310">
        <f>IF($A1310="","",IF($D1310="V01",Cadrage!$C$23,IF($D1310="V02",Cadrage!$D$23,Cadrage!$E$23)))</f>
        <v>-0.05</v>
      </c>
      <c r="H1310">
        <f>IF($A1310="","",IF($D1310="V01",Cadrage!$C$24,IF($D1310="V02",Cadrage!$D$24,Cadrage!$E$24)))</f>
        <v>-0.05</v>
      </c>
      <c r="I1310">
        <f>IF($A1310="","",IF($D1310="V01",Cadrage!$C$34,IF($D1310="V02",Cadrage!$D$34,Cadrage!$E$34)))</f>
        <v>0.03</v>
      </c>
      <c r="J1310">
        <f>IF($A1310="","",IF($D1310="V01",Cadrage!$C$35,IF($D1310="V02",Cadrage!$D$35,Cadrage!$E$35)))</f>
        <v>0.03</v>
      </c>
      <c r="K1310">
        <f>IF($A1310="","",IF($D1310="V01",Cadrage!$C$36,IF($D1310="V02",Cadrage!$D$36,Cadrage!$E$36)))</f>
        <v>0.05</v>
      </c>
      <c r="L1310">
        <f>IF($A1310="","",IF($D1310="V01",Cadrage!$C$37,IF($D1310="V02",Cadrage!$D$37,Cadrage!$E$37)))</f>
        <v>0</v>
      </c>
      <c r="M1310">
        <f>IF($A1310="","",IF($D1310="V01",Cadrage!$C$38,IF($D1310="V02",Cadrage!$D$38,Cadrage!$E$38)))</f>
        <v>0.04</v>
      </c>
      <c r="N1310">
        <f t="shared" si="1"/>
        <v>0.980622079131853</v>
      </c>
      <c r="O1310">
        <f t="shared" si="2"/>
        <v>1.03</v>
      </c>
      <c r="P1310">
        <f>IF($A1310="","",IF($E1310=1,$F1310*$O1310,PNL!G1310))</f>
        <v>63813.65</v>
      </c>
      <c r="T1310">
        <f t="shared" si="3"/>
        <v>0</v>
      </c>
    </row>
    <row r="1311" ht="14.25" customHeight="1">
      <c r="A1311" t="str">
        <f>IF(PNL!A1311="","",PNL!A1311)</f>
        <v>ISCOM_LIL</v>
      </c>
      <c r="B1311" t="str">
        <f>IF(PNL!B1311="","",PNL!B1311)</f>
        <v>706</v>
      </c>
      <c r="C1311" t="str">
        <f>IF(PNL!C1311="","",PNL!C1311)</f>
        <v>2027</v>
      </c>
      <c r="D1311" t="str">
        <f>IF(PNL!D1311="","",PNL!D1311)</f>
        <v>V03</v>
      </c>
      <c r="E1311">
        <f t="shared" si="0"/>
        <v>1</v>
      </c>
      <c r="F1311">
        <f>IF($A1311="","",IF($E1311=1,_xlfn.SUMIFS(Comptabilité!$F$1:$F$1446,Comptabilité!$A$1:$A$1446,$A1311,Comptabilité!$B$1:$B$1446,$B1311,Comptabilité!$C$1:$C$1446,"2026"),0))</f>
        <v>367500</v>
      </c>
      <c r="G1311">
        <f>IF($A1311="","",IF($D1311="V01",Cadrage!$C$23,IF($D1311="V02",Cadrage!$D$23,Cadrage!$E$23)))</f>
        <v>-0.05</v>
      </c>
      <c r="H1311">
        <f>IF($A1311="","",IF($D1311="V01",Cadrage!$C$24,IF($D1311="V02",Cadrage!$D$24,Cadrage!$E$24)))</f>
        <v>-0.05</v>
      </c>
      <c r="I1311">
        <f>IF($A1311="","",IF($D1311="V01",Cadrage!$C$34,IF($D1311="V02",Cadrage!$D$34,Cadrage!$E$34)))</f>
        <v>0.03</v>
      </c>
      <c r="J1311">
        <f>IF($A1311="","",IF($D1311="V01",Cadrage!$C$35,IF($D1311="V02",Cadrage!$D$35,Cadrage!$E$35)))</f>
        <v>0.03</v>
      </c>
      <c r="K1311">
        <f>IF($A1311="","",IF($D1311="V01",Cadrage!$C$36,IF($D1311="V02",Cadrage!$D$36,Cadrage!$E$36)))</f>
        <v>0.05</v>
      </c>
      <c r="L1311">
        <f>IF($A1311="","",IF($D1311="V01",Cadrage!$C$37,IF($D1311="V02",Cadrage!$D$37,Cadrage!$E$37)))</f>
        <v>0</v>
      </c>
      <c r="M1311">
        <f>IF($A1311="","",IF($D1311="V01",Cadrage!$C$38,IF($D1311="V02",Cadrage!$D$38,Cadrage!$E$38)))</f>
        <v>0.04</v>
      </c>
      <c r="N1311">
        <f t="shared" si="1"/>
        <v>0.980622079131853</v>
      </c>
      <c r="O1311">
        <f t="shared" si="2"/>
        <v>0.980622079131853</v>
      </c>
      <c r="P1311">
        <f>IF($A1311="","",IF($E1311=1,$F1311*$O1311,PNL!G1311))</f>
        <v>360378.614080956</v>
      </c>
      <c r="T1311">
        <f t="shared" si="3"/>
        <v>360378.614080956</v>
      </c>
    </row>
    <row r="1312" ht="14.25" customHeight="1">
      <c r="A1312" t="str">
        <f>IF(PNL!A1312="","",PNL!A1312)</f>
        <v>ISCOM_PAR</v>
      </c>
      <c r="B1312" t="str">
        <f>IF(PNL!B1312="","",PNL!B1312)</f>
        <v>706</v>
      </c>
      <c r="C1312" t="str">
        <f>IF(PNL!C1312="","",PNL!C1312)</f>
        <v>2027</v>
      </c>
      <c r="D1312" t="str">
        <f>IF(PNL!D1312="","",PNL!D1312)</f>
        <v>V03</v>
      </c>
      <c r="E1312">
        <f t="shared" si="0"/>
        <v>1</v>
      </c>
      <c r="F1312">
        <f>IF($A1312="","",IF($E1312=1,_xlfn.SUMIFS(Comptabilité!$F$1:$F$1446,Comptabilité!$A$1:$A$1446,$A1312,Comptabilité!$B$1:$B$1446,$B1312,Comptabilité!$C$1:$C$1446,"2026"),0))</f>
        <v>604800</v>
      </c>
      <c r="G1312">
        <f>IF($A1312="","",IF($D1312="V01",Cadrage!$C$23,IF($D1312="V02",Cadrage!$D$23,Cadrage!$E$23)))</f>
        <v>-0.05</v>
      </c>
      <c r="H1312">
        <f>IF($A1312="","",IF($D1312="V01",Cadrage!$C$24,IF($D1312="V02",Cadrage!$D$24,Cadrage!$E$24)))</f>
        <v>-0.05</v>
      </c>
      <c r="I1312">
        <f>IF($A1312="","",IF($D1312="V01",Cadrage!$C$34,IF($D1312="V02",Cadrage!$D$34,Cadrage!$E$34)))</f>
        <v>0.03</v>
      </c>
      <c r="J1312">
        <f>IF($A1312="","",IF($D1312="V01",Cadrage!$C$35,IF($D1312="V02",Cadrage!$D$35,Cadrage!$E$35)))</f>
        <v>0.03</v>
      </c>
      <c r="K1312">
        <f>IF($A1312="","",IF($D1312="V01",Cadrage!$C$36,IF($D1312="V02",Cadrage!$D$36,Cadrage!$E$36)))</f>
        <v>0.05</v>
      </c>
      <c r="L1312">
        <f>IF($A1312="","",IF($D1312="V01",Cadrage!$C$37,IF($D1312="V02",Cadrage!$D$37,Cadrage!$E$37)))</f>
        <v>0</v>
      </c>
      <c r="M1312">
        <f>IF($A1312="","",IF($D1312="V01",Cadrage!$C$38,IF($D1312="V02",Cadrage!$D$38,Cadrage!$E$38)))</f>
        <v>0.04</v>
      </c>
      <c r="N1312">
        <f t="shared" si="1"/>
        <v>0.980622079131853</v>
      </c>
      <c r="O1312">
        <f t="shared" si="2"/>
        <v>0.980622079131853</v>
      </c>
      <c r="P1312">
        <f>IF($A1312="","",IF($E1312=1,$F1312*$O1312,PNL!G1312))</f>
        <v>593080.233458945</v>
      </c>
      <c r="T1312">
        <f t="shared" si="3"/>
        <v>593080.233458945</v>
      </c>
    </row>
    <row r="1313" ht="14.25" customHeight="1">
      <c r="A1313" t="str">
        <f>IF(PNL!A1313="","",PNL!A1313)</f>
        <v>ISCOM_TLS</v>
      </c>
      <c r="B1313" t="str">
        <f>IF(PNL!B1313="","",PNL!B1313)</f>
        <v>706</v>
      </c>
      <c r="C1313" t="str">
        <f>IF(PNL!C1313="","",PNL!C1313)</f>
        <v>2027</v>
      </c>
      <c r="D1313" t="str">
        <f>IF(PNL!D1313="","",PNL!D1313)</f>
        <v>V03</v>
      </c>
      <c r="E1313">
        <f t="shared" si="0"/>
        <v>1</v>
      </c>
      <c r="F1313">
        <f>IF($A1313="","",IF($E1313=1,_xlfn.SUMIFS(Comptabilité!$F$1:$F$1446,Comptabilité!$A$1:$A$1446,$A1313,Comptabilité!$B$1:$B$1446,$B1313,Comptabilité!$C$1:$C$1446,"2026"),0))</f>
        <v>338400</v>
      </c>
      <c r="G1313">
        <f>IF($A1313="","",IF($D1313="V01",Cadrage!$C$23,IF($D1313="V02",Cadrage!$D$23,Cadrage!$E$23)))</f>
        <v>-0.05</v>
      </c>
      <c r="H1313">
        <f>IF($A1313="","",IF($D1313="V01",Cadrage!$C$24,IF($D1313="V02",Cadrage!$D$24,Cadrage!$E$24)))</f>
        <v>-0.05</v>
      </c>
      <c r="I1313">
        <f>IF($A1313="","",IF($D1313="V01",Cadrage!$C$34,IF($D1313="V02",Cadrage!$D$34,Cadrage!$E$34)))</f>
        <v>0.03</v>
      </c>
      <c r="J1313">
        <f>IF($A1313="","",IF($D1313="V01",Cadrage!$C$35,IF($D1313="V02",Cadrage!$D$35,Cadrage!$E$35)))</f>
        <v>0.03</v>
      </c>
      <c r="K1313">
        <f>IF($A1313="","",IF($D1313="V01",Cadrage!$C$36,IF($D1313="V02",Cadrage!$D$36,Cadrage!$E$36)))</f>
        <v>0.05</v>
      </c>
      <c r="L1313">
        <f>IF($A1313="","",IF($D1313="V01",Cadrage!$C$37,IF($D1313="V02",Cadrage!$D$37,Cadrage!$E$37)))</f>
        <v>0</v>
      </c>
      <c r="M1313">
        <f>IF($A1313="","",IF($D1313="V01",Cadrage!$C$38,IF($D1313="V02",Cadrage!$D$38,Cadrage!$E$38)))</f>
        <v>0.04</v>
      </c>
      <c r="N1313">
        <f t="shared" si="1"/>
        <v>0.980622079131853</v>
      </c>
      <c r="O1313">
        <f t="shared" si="2"/>
        <v>0.980622079131853</v>
      </c>
      <c r="P1313">
        <f>IF($A1313="","",IF($E1313=1,$F1313*$O1313,PNL!G1313))</f>
        <v>331842.511578219</v>
      </c>
      <c r="T1313">
        <f t="shared" si="3"/>
        <v>331842.511578219</v>
      </c>
    </row>
    <row r="1314" ht="14.25" customHeight="1">
      <c r="A1314" t="str">
        <f>IF(PNL!A1314="","",PNL!A1314)</f>
        <v>MBWAY_BOR</v>
      </c>
      <c r="B1314" t="str">
        <f>IF(PNL!B1314="","",PNL!B1314)</f>
        <v>706</v>
      </c>
      <c r="C1314" t="str">
        <f>IF(PNL!C1314="","",PNL!C1314)</f>
        <v>2027</v>
      </c>
      <c r="D1314" t="str">
        <f>IF(PNL!D1314="","",PNL!D1314)</f>
        <v>V03</v>
      </c>
      <c r="E1314">
        <f t="shared" si="0"/>
        <v>1</v>
      </c>
      <c r="F1314">
        <f>IF($A1314="","",IF($E1314=1,_xlfn.SUMIFS(Comptabilité!$F$1:$F$1446,Comptabilité!$A$1:$A$1446,$A1314,Comptabilité!$B$1:$B$1446,$B1314,Comptabilité!$C$1:$C$1446,"2026"),0))</f>
        <v>371025</v>
      </c>
      <c r="G1314">
        <f>IF($A1314="","",IF($D1314="V01",Cadrage!$C$23,IF($D1314="V02",Cadrage!$D$23,Cadrage!$E$23)))</f>
        <v>-0.05</v>
      </c>
      <c r="H1314">
        <f>IF($A1314="","",IF($D1314="V01",Cadrage!$C$24,IF($D1314="V02",Cadrage!$D$24,Cadrage!$E$24)))</f>
        <v>-0.05</v>
      </c>
      <c r="I1314">
        <f>IF($A1314="","",IF($D1314="V01",Cadrage!$C$34,IF($D1314="V02",Cadrage!$D$34,Cadrage!$E$34)))</f>
        <v>0.03</v>
      </c>
      <c r="J1314">
        <f>IF($A1314="","",IF($D1314="V01",Cadrage!$C$35,IF($D1314="V02",Cadrage!$D$35,Cadrage!$E$35)))</f>
        <v>0.03</v>
      </c>
      <c r="K1314">
        <f>IF($A1314="","",IF($D1314="V01",Cadrage!$C$36,IF($D1314="V02",Cadrage!$D$36,Cadrage!$E$36)))</f>
        <v>0.05</v>
      </c>
      <c r="L1314">
        <f>IF($A1314="","",IF($D1314="V01",Cadrage!$C$37,IF($D1314="V02",Cadrage!$D$37,Cadrage!$E$37)))</f>
        <v>0</v>
      </c>
      <c r="M1314">
        <f>IF($A1314="","",IF($D1314="V01",Cadrage!$C$38,IF($D1314="V02",Cadrage!$D$38,Cadrage!$E$38)))</f>
        <v>0.04</v>
      </c>
      <c r="N1314">
        <f t="shared" si="1"/>
        <v>0.980622079131853</v>
      </c>
      <c r="O1314">
        <f t="shared" si="2"/>
        <v>0.980622079131853</v>
      </c>
      <c r="P1314">
        <f>IF($A1314="","",IF($E1314=1,$F1314*$O1314,PNL!G1314))</f>
        <v>363835.306909896</v>
      </c>
      <c r="T1314">
        <f t="shared" si="3"/>
        <v>363835.306909896</v>
      </c>
    </row>
    <row r="1315" ht="14.25" customHeight="1">
      <c r="A1315" t="str">
        <f>IF(PNL!A1315="","",PNL!A1315)</f>
        <v>MBWAY_LYO</v>
      </c>
      <c r="B1315" t="str">
        <f>IF(PNL!B1315="","",PNL!B1315)</f>
        <v>706</v>
      </c>
      <c r="C1315" t="str">
        <f>IF(PNL!C1315="","",PNL!C1315)</f>
        <v>2027</v>
      </c>
      <c r="D1315" t="str">
        <f>IF(PNL!D1315="","",PNL!D1315)</f>
        <v>V03</v>
      </c>
      <c r="E1315">
        <f t="shared" si="0"/>
        <v>1</v>
      </c>
      <c r="F1315">
        <f>IF($A1315="","",IF($E1315=1,_xlfn.SUMIFS(Comptabilité!$F$1:$F$1446,Comptabilité!$A$1:$A$1446,$A1315,Comptabilité!$B$1:$B$1446,$B1315,Comptabilité!$C$1:$C$1446,"2026"),0))</f>
        <v>519750</v>
      </c>
      <c r="G1315">
        <f>IF($A1315="","",IF($D1315="V01",Cadrage!$C$23,IF($D1315="V02",Cadrage!$D$23,Cadrage!$E$23)))</f>
        <v>-0.05</v>
      </c>
      <c r="H1315">
        <f>IF($A1315="","",IF($D1315="V01",Cadrage!$C$24,IF($D1315="V02",Cadrage!$D$24,Cadrage!$E$24)))</f>
        <v>-0.05</v>
      </c>
      <c r="I1315">
        <f>IF($A1315="","",IF($D1315="V01",Cadrage!$C$34,IF($D1315="V02",Cadrage!$D$34,Cadrage!$E$34)))</f>
        <v>0.03</v>
      </c>
      <c r="J1315">
        <f>IF($A1315="","",IF($D1315="V01",Cadrage!$C$35,IF($D1315="V02",Cadrage!$D$35,Cadrage!$E$35)))</f>
        <v>0.03</v>
      </c>
      <c r="K1315">
        <f>IF($A1315="","",IF($D1315="V01",Cadrage!$C$36,IF($D1315="V02",Cadrage!$D$36,Cadrage!$E$36)))</f>
        <v>0.05</v>
      </c>
      <c r="L1315">
        <f>IF($A1315="","",IF($D1315="V01",Cadrage!$C$37,IF($D1315="V02",Cadrage!$D$37,Cadrage!$E$37)))</f>
        <v>0</v>
      </c>
      <c r="M1315">
        <f>IF($A1315="","",IF($D1315="V01",Cadrage!$C$38,IF($D1315="V02",Cadrage!$D$38,Cadrage!$E$38)))</f>
        <v>0.04</v>
      </c>
      <c r="N1315">
        <f t="shared" si="1"/>
        <v>0.980622079131853</v>
      </c>
      <c r="O1315">
        <f t="shared" si="2"/>
        <v>0.980622079131853</v>
      </c>
      <c r="P1315">
        <f>IF($A1315="","",IF($E1315=1,$F1315*$O1315,PNL!G1315))</f>
        <v>509678.325628781</v>
      </c>
      <c r="T1315">
        <f t="shared" si="3"/>
        <v>509678.325628781</v>
      </c>
    </row>
    <row r="1316" ht="14.25" customHeight="1">
      <c r="A1316" t="str">
        <f>IF(PNL!A1316="","",PNL!A1316)</f>
        <v>MBWAY_NAN</v>
      </c>
      <c r="B1316" t="str">
        <f>IF(PNL!B1316="","",PNL!B1316)</f>
        <v>706</v>
      </c>
      <c r="C1316" t="str">
        <f>IF(PNL!C1316="","",PNL!C1316)</f>
        <v>2027</v>
      </c>
      <c r="D1316" t="str">
        <f>IF(PNL!D1316="","",PNL!D1316)</f>
        <v>V03</v>
      </c>
      <c r="E1316">
        <f t="shared" si="0"/>
        <v>1</v>
      </c>
      <c r="F1316">
        <f>IF($A1316="","",IF($E1316=1,_xlfn.SUMIFS(Comptabilité!$F$1:$F$1446,Comptabilité!$A$1:$A$1446,$A1316,Comptabilité!$B$1:$B$1446,$B1316,Comptabilité!$C$1:$C$1446,"2026"),0))</f>
        <v>450000</v>
      </c>
      <c r="G1316">
        <f>IF($A1316="","",IF($D1316="V01",Cadrage!$C$23,IF($D1316="V02",Cadrage!$D$23,Cadrage!$E$23)))</f>
        <v>-0.05</v>
      </c>
      <c r="H1316">
        <f>IF($A1316="","",IF($D1316="V01",Cadrage!$C$24,IF($D1316="V02",Cadrage!$D$24,Cadrage!$E$24)))</f>
        <v>-0.05</v>
      </c>
      <c r="I1316">
        <f>IF($A1316="","",IF($D1316="V01",Cadrage!$C$34,IF($D1316="V02",Cadrage!$D$34,Cadrage!$E$34)))</f>
        <v>0.03</v>
      </c>
      <c r="J1316">
        <f>IF($A1316="","",IF($D1316="V01",Cadrage!$C$35,IF($D1316="V02",Cadrage!$D$35,Cadrage!$E$35)))</f>
        <v>0.03</v>
      </c>
      <c r="K1316">
        <f>IF($A1316="","",IF($D1316="V01",Cadrage!$C$36,IF($D1316="V02",Cadrage!$D$36,Cadrage!$E$36)))</f>
        <v>0.05</v>
      </c>
      <c r="L1316">
        <f>IF($A1316="","",IF($D1316="V01",Cadrage!$C$37,IF($D1316="V02",Cadrage!$D$37,Cadrage!$E$37)))</f>
        <v>0</v>
      </c>
      <c r="M1316">
        <f>IF($A1316="","",IF($D1316="V01",Cadrage!$C$38,IF($D1316="V02",Cadrage!$D$38,Cadrage!$E$38)))</f>
        <v>0.04</v>
      </c>
      <c r="N1316">
        <f t="shared" si="1"/>
        <v>0.980622079131853</v>
      </c>
      <c r="O1316">
        <f t="shared" si="2"/>
        <v>0.980622079131853</v>
      </c>
      <c r="P1316">
        <f>IF($A1316="","",IF($E1316=1,$F1316*$O1316,PNL!G1316))</f>
        <v>441279.935609334</v>
      </c>
      <c r="T1316">
        <f t="shared" si="3"/>
        <v>441279.935609334</v>
      </c>
    </row>
    <row r="1317" ht="14.25" customHeight="1">
      <c r="A1317" t="str">
        <f>IF(PNL!A1317="","",PNL!A1317)</f>
        <v>MBWAY_PAR</v>
      </c>
      <c r="B1317" t="str">
        <f>IF(PNL!B1317="","",PNL!B1317)</f>
        <v>706</v>
      </c>
      <c r="C1317" t="str">
        <f>IF(PNL!C1317="","",PNL!C1317)</f>
        <v>2027</v>
      </c>
      <c r="D1317" t="str">
        <f>IF(PNL!D1317="","",PNL!D1317)</f>
        <v>V03</v>
      </c>
      <c r="E1317">
        <f t="shared" si="0"/>
        <v>1</v>
      </c>
      <c r="F1317">
        <f>IF($A1317="","",IF($E1317=1,_xlfn.SUMIFS(Comptabilité!$F$1:$F$1446,Comptabilité!$A$1:$A$1446,$A1317,Comptabilité!$B$1:$B$1446,$B1317,Comptabilité!$C$1:$C$1446,"2026"),0))</f>
        <v>655200</v>
      </c>
      <c r="G1317">
        <f>IF($A1317="","",IF($D1317="V01",Cadrage!$C$23,IF($D1317="V02",Cadrage!$D$23,Cadrage!$E$23)))</f>
        <v>-0.05</v>
      </c>
      <c r="H1317">
        <f>IF($A1317="","",IF($D1317="V01",Cadrage!$C$24,IF($D1317="V02",Cadrage!$D$24,Cadrage!$E$24)))</f>
        <v>-0.05</v>
      </c>
      <c r="I1317">
        <f>IF($A1317="","",IF($D1317="V01",Cadrage!$C$34,IF($D1317="V02",Cadrage!$D$34,Cadrage!$E$34)))</f>
        <v>0.03</v>
      </c>
      <c r="J1317">
        <f>IF($A1317="","",IF($D1317="V01",Cadrage!$C$35,IF($D1317="V02",Cadrage!$D$35,Cadrage!$E$35)))</f>
        <v>0.03</v>
      </c>
      <c r="K1317">
        <f>IF($A1317="","",IF($D1317="V01",Cadrage!$C$36,IF($D1317="V02",Cadrage!$D$36,Cadrage!$E$36)))</f>
        <v>0.05</v>
      </c>
      <c r="L1317">
        <f>IF($A1317="","",IF($D1317="V01",Cadrage!$C$37,IF($D1317="V02",Cadrage!$D$37,Cadrage!$E$37)))</f>
        <v>0</v>
      </c>
      <c r="M1317">
        <f>IF($A1317="","",IF($D1317="V01",Cadrage!$C$38,IF($D1317="V02",Cadrage!$D$38,Cadrage!$E$38)))</f>
        <v>0.04</v>
      </c>
      <c r="N1317">
        <f t="shared" si="1"/>
        <v>0.980622079131853</v>
      </c>
      <c r="O1317">
        <f t="shared" si="2"/>
        <v>0.980622079131853</v>
      </c>
      <c r="P1317">
        <f>IF($A1317="","",IF($E1317=1,$F1317*$O1317,PNL!G1317))</f>
        <v>642503.58624719</v>
      </c>
      <c r="T1317">
        <f t="shared" si="3"/>
        <v>642503.58624719</v>
      </c>
    </row>
    <row r="1318" ht="14.25" customHeight="1">
      <c r="A1318" t="str">
        <f>IF(PNL!A1318="","",PNL!A1318)</f>
        <v>IPAC_MTP</v>
      </c>
      <c r="B1318" t="str">
        <f>IF(PNL!B1318="","",PNL!B1318)</f>
        <v>7062</v>
      </c>
      <c r="C1318" t="str">
        <f>IF(PNL!C1318="","",PNL!C1318)</f>
        <v>2027</v>
      </c>
      <c r="D1318" t="str">
        <f>IF(PNL!D1318="","",PNL!D1318)</f>
        <v>V03</v>
      </c>
      <c r="E1318">
        <f t="shared" si="0"/>
        <v>1</v>
      </c>
      <c r="F1318">
        <f>IF($A1318="","",IF($E1318=1,_xlfn.SUMIFS(Comptabilité!$F$1:$F$1446,Comptabilité!$A$1:$A$1446,$A1318,Comptabilité!$B$1:$B$1446,$B1318,Comptabilité!$C$1:$C$1446,"2026"),0))</f>
        <v>778050</v>
      </c>
      <c r="G1318">
        <f>IF($A1318="","",IF($D1318="V01",Cadrage!$C$23,IF($D1318="V02",Cadrage!$D$23,Cadrage!$E$23)))</f>
        <v>-0.05</v>
      </c>
      <c r="H1318">
        <f>IF($A1318="","",IF($D1318="V01",Cadrage!$C$24,IF($D1318="V02",Cadrage!$D$24,Cadrage!$E$24)))</f>
        <v>-0.05</v>
      </c>
      <c r="I1318">
        <f>IF($A1318="","",IF($D1318="V01",Cadrage!$C$34,IF($D1318="V02",Cadrage!$D$34,Cadrage!$E$34)))</f>
        <v>0.03</v>
      </c>
      <c r="J1318">
        <f>IF($A1318="","",IF($D1318="V01",Cadrage!$C$35,IF($D1318="V02",Cadrage!$D$35,Cadrage!$E$35)))</f>
        <v>0.03</v>
      </c>
      <c r="K1318">
        <f>IF($A1318="","",IF($D1318="V01",Cadrage!$C$36,IF($D1318="V02",Cadrage!$D$36,Cadrage!$E$36)))</f>
        <v>0.05</v>
      </c>
      <c r="L1318">
        <f>IF($A1318="","",IF($D1318="V01",Cadrage!$C$37,IF($D1318="V02",Cadrage!$D$37,Cadrage!$E$37)))</f>
        <v>0</v>
      </c>
      <c r="M1318">
        <f>IF($A1318="","",IF($D1318="V01",Cadrage!$C$38,IF($D1318="V02",Cadrage!$D$38,Cadrage!$E$38)))</f>
        <v>0.04</v>
      </c>
      <c r="N1318">
        <f t="shared" si="1"/>
        <v>0.980622079131853</v>
      </c>
      <c r="O1318">
        <f t="shared" si="2"/>
        <v>0.980622079131853</v>
      </c>
      <c r="P1318">
        <f>IF($A1318="","",IF($E1318=1,$F1318*$O1318,PNL!G1318))</f>
        <v>762973.008668538</v>
      </c>
      <c r="T1318">
        <f t="shared" si="3"/>
        <v>762973.008668538</v>
      </c>
    </row>
    <row r="1319" ht="14.25" customHeight="1">
      <c r="A1319" t="str">
        <f>IF(PNL!A1319="","",PNL!A1319)</f>
        <v>IPAC_NAN</v>
      </c>
      <c r="B1319" t="str">
        <f>IF(PNL!B1319="","",PNL!B1319)</f>
        <v>7062</v>
      </c>
      <c r="C1319" t="str">
        <f>IF(PNL!C1319="","",PNL!C1319)</f>
        <v>2027</v>
      </c>
      <c r="D1319" t="str">
        <f>IF(PNL!D1319="","",PNL!D1319)</f>
        <v>V03</v>
      </c>
      <c r="E1319">
        <f t="shared" si="0"/>
        <v>1</v>
      </c>
      <c r="F1319">
        <f>IF($A1319="","",IF($E1319=1,_xlfn.SUMIFS(Comptabilité!$F$1:$F$1446,Comptabilité!$A$1:$A$1446,$A1319,Comptabilité!$B$1:$B$1446,$B1319,Comptabilité!$C$1:$C$1446,"2026"),0))</f>
        <v>1015000</v>
      </c>
      <c r="G1319">
        <f>IF($A1319="","",IF($D1319="V01",Cadrage!$C$23,IF($D1319="V02",Cadrage!$D$23,Cadrage!$E$23)))</f>
        <v>-0.05</v>
      </c>
      <c r="H1319">
        <f>IF($A1319="","",IF($D1319="V01",Cadrage!$C$24,IF($D1319="V02",Cadrage!$D$24,Cadrage!$E$24)))</f>
        <v>-0.05</v>
      </c>
      <c r="I1319">
        <f>IF($A1319="","",IF($D1319="V01",Cadrage!$C$34,IF($D1319="V02",Cadrage!$D$34,Cadrage!$E$34)))</f>
        <v>0.03</v>
      </c>
      <c r="J1319">
        <f>IF($A1319="","",IF($D1319="V01",Cadrage!$C$35,IF($D1319="V02",Cadrage!$D$35,Cadrage!$E$35)))</f>
        <v>0.03</v>
      </c>
      <c r="K1319">
        <f>IF($A1319="","",IF($D1319="V01",Cadrage!$C$36,IF($D1319="V02",Cadrage!$D$36,Cadrage!$E$36)))</f>
        <v>0.05</v>
      </c>
      <c r="L1319">
        <f>IF($A1319="","",IF($D1319="V01",Cadrage!$C$37,IF($D1319="V02",Cadrage!$D$37,Cadrage!$E$37)))</f>
        <v>0</v>
      </c>
      <c r="M1319">
        <f>IF($A1319="","",IF($D1319="V01",Cadrage!$C$38,IF($D1319="V02",Cadrage!$D$38,Cadrage!$E$38)))</f>
        <v>0.04</v>
      </c>
      <c r="N1319">
        <f t="shared" si="1"/>
        <v>0.980622079131853</v>
      </c>
      <c r="O1319">
        <f t="shared" si="2"/>
        <v>0.980622079131853</v>
      </c>
      <c r="P1319">
        <f>IF($A1319="","",IF($E1319=1,$F1319*$O1319,PNL!G1319))</f>
        <v>995331.410318831</v>
      </c>
      <c r="T1319">
        <f t="shared" si="3"/>
        <v>995331.410318831</v>
      </c>
    </row>
    <row r="1320" ht="14.25" customHeight="1">
      <c r="A1320" t="str">
        <f>IF(PNL!A1320="","",PNL!A1320)</f>
        <v>IPAC_REN</v>
      </c>
      <c r="B1320" t="str">
        <f>IF(PNL!B1320="","",PNL!B1320)</f>
        <v>7062</v>
      </c>
      <c r="C1320" t="str">
        <f>IF(PNL!C1320="","",PNL!C1320)</f>
        <v>2027</v>
      </c>
      <c r="D1320" t="str">
        <f>IF(PNL!D1320="","",PNL!D1320)</f>
        <v>V03</v>
      </c>
      <c r="E1320">
        <f t="shared" si="0"/>
        <v>1</v>
      </c>
      <c r="F1320">
        <f>IF($A1320="","",IF($E1320=1,_xlfn.SUMIFS(Comptabilité!$F$1:$F$1446,Comptabilité!$A$1:$A$1446,$A1320,Comptabilité!$B$1:$B$1446,$B1320,Comptabilité!$C$1:$C$1446,"2026"),0))</f>
        <v>778050</v>
      </c>
      <c r="G1320">
        <f>IF($A1320="","",IF($D1320="V01",Cadrage!$C$23,IF($D1320="V02",Cadrage!$D$23,Cadrage!$E$23)))</f>
        <v>-0.05</v>
      </c>
      <c r="H1320">
        <f>IF($A1320="","",IF($D1320="V01",Cadrage!$C$24,IF($D1320="V02",Cadrage!$D$24,Cadrage!$E$24)))</f>
        <v>-0.05</v>
      </c>
      <c r="I1320">
        <f>IF($A1320="","",IF($D1320="V01",Cadrage!$C$34,IF($D1320="V02",Cadrage!$D$34,Cadrage!$E$34)))</f>
        <v>0.03</v>
      </c>
      <c r="J1320">
        <f>IF($A1320="","",IF($D1320="V01",Cadrage!$C$35,IF($D1320="V02",Cadrage!$D$35,Cadrage!$E$35)))</f>
        <v>0.03</v>
      </c>
      <c r="K1320">
        <f>IF($A1320="","",IF($D1320="V01",Cadrage!$C$36,IF($D1320="V02",Cadrage!$D$36,Cadrage!$E$36)))</f>
        <v>0.05</v>
      </c>
      <c r="L1320">
        <f>IF($A1320="","",IF($D1320="V01",Cadrage!$C$37,IF($D1320="V02",Cadrage!$D$37,Cadrage!$E$37)))</f>
        <v>0</v>
      </c>
      <c r="M1320">
        <f>IF($A1320="","",IF($D1320="V01",Cadrage!$C$38,IF($D1320="V02",Cadrage!$D$38,Cadrage!$E$38)))</f>
        <v>0.04</v>
      </c>
      <c r="N1320">
        <f t="shared" si="1"/>
        <v>0.980622079131853</v>
      </c>
      <c r="O1320">
        <f t="shared" si="2"/>
        <v>0.980622079131853</v>
      </c>
      <c r="P1320">
        <f>IF($A1320="","",IF($E1320=1,$F1320*$O1320,PNL!G1320))</f>
        <v>762973.008668538</v>
      </c>
      <c r="T1320">
        <f t="shared" si="3"/>
        <v>762973.008668538</v>
      </c>
    </row>
    <row r="1321" ht="14.25" customHeight="1">
      <c r="A1321" t="str">
        <f>IF(PNL!A1321="","",PNL!A1321)</f>
        <v>ISCOM_LIL</v>
      </c>
      <c r="B1321" t="str">
        <f>IF(PNL!B1321="","",PNL!B1321)</f>
        <v>7062</v>
      </c>
      <c r="C1321" t="str">
        <f>IF(PNL!C1321="","",PNL!C1321)</f>
        <v>2027</v>
      </c>
      <c r="D1321" t="str">
        <f>IF(PNL!D1321="","",PNL!D1321)</f>
        <v>V03</v>
      </c>
      <c r="E1321">
        <f t="shared" si="0"/>
        <v>1</v>
      </c>
      <c r="F1321">
        <f>IF($A1321="","",IF($E1321=1,_xlfn.SUMIFS(Comptabilité!$F$1:$F$1446,Comptabilité!$A$1:$A$1446,$A1321,Comptabilité!$B$1:$B$1446,$B1321,Comptabilité!$C$1:$C$1446,"2026"),0))</f>
        <v>1379350</v>
      </c>
      <c r="G1321">
        <f>IF($A1321="","",IF($D1321="V01",Cadrage!$C$23,IF($D1321="V02",Cadrage!$D$23,Cadrage!$E$23)))</f>
        <v>-0.05</v>
      </c>
      <c r="H1321">
        <f>IF($A1321="","",IF($D1321="V01",Cadrage!$C$24,IF($D1321="V02",Cadrage!$D$24,Cadrage!$E$24)))</f>
        <v>-0.05</v>
      </c>
      <c r="I1321">
        <f>IF($A1321="","",IF($D1321="V01",Cadrage!$C$34,IF($D1321="V02",Cadrage!$D$34,Cadrage!$E$34)))</f>
        <v>0.03</v>
      </c>
      <c r="J1321">
        <f>IF($A1321="","",IF($D1321="V01",Cadrage!$C$35,IF($D1321="V02",Cadrage!$D$35,Cadrage!$E$35)))</f>
        <v>0.03</v>
      </c>
      <c r="K1321">
        <f>IF($A1321="","",IF($D1321="V01",Cadrage!$C$36,IF($D1321="V02",Cadrage!$D$36,Cadrage!$E$36)))</f>
        <v>0.05</v>
      </c>
      <c r="L1321">
        <f>IF($A1321="","",IF($D1321="V01",Cadrage!$C$37,IF($D1321="V02",Cadrage!$D$37,Cadrage!$E$37)))</f>
        <v>0</v>
      </c>
      <c r="M1321">
        <f>IF($A1321="","",IF($D1321="V01",Cadrage!$C$38,IF($D1321="V02",Cadrage!$D$38,Cadrage!$E$38)))</f>
        <v>0.04</v>
      </c>
      <c r="N1321">
        <f t="shared" si="1"/>
        <v>0.980622079131853</v>
      </c>
      <c r="O1321">
        <f t="shared" si="2"/>
        <v>0.980622079131853</v>
      </c>
      <c r="P1321">
        <f>IF($A1321="","",IF($E1321=1,$F1321*$O1321,PNL!G1321))</f>
        <v>1352621.06485052</v>
      </c>
      <c r="T1321">
        <f t="shared" si="3"/>
        <v>1352621.06485052</v>
      </c>
    </row>
    <row r="1322" ht="14.25" customHeight="1">
      <c r="A1322" t="str">
        <f>IF(PNL!A1322="","",PNL!A1322)</f>
        <v>ISCOM_PAR</v>
      </c>
      <c r="B1322" t="str">
        <f>IF(PNL!B1322="","",PNL!B1322)</f>
        <v>7062</v>
      </c>
      <c r="C1322" t="str">
        <f>IF(PNL!C1322="","",PNL!C1322)</f>
        <v>2027</v>
      </c>
      <c r="D1322" t="str">
        <f>IF(PNL!D1322="","",PNL!D1322)</f>
        <v>V03</v>
      </c>
      <c r="E1322">
        <f t="shared" si="0"/>
        <v>1</v>
      </c>
      <c r="F1322">
        <f>IF($A1322="","",IF($E1322=1,_xlfn.SUMIFS(Comptabilité!$F$1:$F$1446,Comptabilité!$A$1:$A$1446,$A1322,Comptabilité!$B$1:$B$1446,$B1322,Comptabilité!$C$1:$C$1446,"2026"),0))</f>
        <v>2290960</v>
      </c>
      <c r="G1322">
        <f>IF($A1322="","",IF($D1322="V01",Cadrage!$C$23,IF($D1322="V02",Cadrage!$D$23,Cadrage!$E$23)))</f>
        <v>-0.05</v>
      </c>
      <c r="H1322">
        <f>IF($A1322="","",IF($D1322="V01",Cadrage!$C$24,IF($D1322="V02",Cadrage!$D$24,Cadrage!$E$24)))</f>
        <v>-0.05</v>
      </c>
      <c r="I1322">
        <f>IF($A1322="","",IF($D1322="V01",Cadrage!$C$34,IF($D1322="V02",Cadrage!$D$34,Cadrage!$E$34)))</f>
        <v>0.03</v>
      </c>
      <c r="J1322">
        <f>IF($A1322="","",IF($D1322="V01",Cadrage!$C$35,IF($D1322="V02",Cadrage!$D$35,Cadrage!$E$35)))</f>
        <v>0.03</v>
      </c>
      <c r="K1322">
        <f>IF($A1322="","",IF($D1322="V01",Cadrage!$C$36,IF($D1322="V02",Cadrage!$D$36,Cadrage!$E$36)))</f>
        <v>0.05</v>
      </c>
      <c r="L1322">
        <f>IF($A1322="","",IF($D1322="V01",Cadrage!$C$37,IF($D1322="V02",Cadrage!$D$37,Cadrage!$E$37)))</f>
        <v>0</v>
      </c>
      <c r="M1322">
        <f>IF($A1322="","",IF($D1322="V01",Cadrage!$C$38,IF($D1322="V02",Cadrage!$D$38,Cadrage!$E$38)))</f>
        <v>0.04</v>
      </c>
      <c r="N1322">
        <f t="shared" si="1"/>
        <v>0.980622079131853</v>
      </c>
      <c r="O1322">
        <f t="shared" si="2"/>
        <v>0.980622079131853</v>
      </c>
      <c r="P1322">
        <f>IF($A1322="","",IF($E1322=1,$F1322*$O1322,PNL!G1322))</f>
        <v>2246565.95840791</v>
      </c>
      <c r="T1322">
        <f t="shared" si="3"/>
        <v>2246565.95840791</v>
      </c>
    </row>
    <row r="1323" ht="14.25" customHeight="1">
      <c r="A1323" t="str">
        <f>IF(PNL!A1323="","",PNL!A1323)</f>
        <v>ISCOM_TLS</v>
      </c>
      <c r="B1323" t="str">
        <f>IF(PNL!B1323="","",PNL!B1323)</f>
        <v>7062</v>
      </c>
      <c r="C1323" t="str">
        <f>IF(PNL!C1323="","",PNL!C1323)</f>
        <v>2027</v>
      </c>
      <c r="D1323" t="str">
        <f>IF(PNL!D1323="","",PNL!D1323)</f>
        <v>V03</v>
      </c>
      <c r="E1323">
        <f t="shared" si="0"/>
        <v>1</v>
      </c>
      <c r="F1323">
        <f>IF($A1323="","",IF($E1323=1,_xlfn.SUMIFS(Comptabilité!$F$1:$F$1446,Comptabilité!$A$1:$A$1446,$A1323,Comptabilité!$B$1:$B$1446,$B1323,Comptabilité!$C$1:$C$1446,"2026"),0))</f>
        <v>1281120</v>
      </c>
      <c r="G1323">
        <f>IF($A1323="","",IF($D1323="V01",Cadrage!$C$23,IF($D1323="V02",Cadrage!$D$23,Cadrage!$E$23)))</f>
        <v>-0.05</v>
      </c>
      <c r="H1323">
        <f>IF($A1323="","",IF($D1323="V01",Cadrage!$C$24,IF($D1323="V02",Cadrage!$D$24,Cadrage!$E$24)))</f>
        <v>-0.05</v>
      </c>
      <c r="I1323">
        <f>IF($A1323="","",IF($D1323="V01",Cadrage!$C$34,IF($D1323="V02",Cadrage!$D$34,Cadrage!$E$34)))</f>
        <v>0.03</v>
      </c>
      <c r="J1323">
        <f>IF($A1323="","",IF($D1323="V01",Cadrage!$C$35,IF($D1323="V02",Cadrage!$D$35,Cadrage!$E$35)))</f>
        <v>0.03</v>
      </c>
      <c r="K1323">
        <f>IF($A1323="","",IF($D1323="V01",Cadrage!$C$36,IF($D1323="V02",Cadrage!$D$36,Cadrage!$E$36)))</f>
        <v>0.05</v>
      </c>
      <c r="L1323">
        <f>IF($A1323="","",IF($D1323="V01",Cadrage!$C$37,IF($D1323="V02",Cadrage!$D$37,Cadrage!$E$37)))</f>
        <v>0</v>
      </c>
      <c r="M1323">
        <f>IF($A1323="","",IF($D1323="V01",Cadrage!$C$38,IF($D1323="V02",Cadrage!$D$38,Cadrage!$E$38)))</f>
        <v>0.04</v>
      </c>
      <c r="N1323">
        <f t="shared" si="1"/>
        <v>0.980622079131853</v>
      </c>
      <c r="O1323">
        <f t="shared" si="2"/>
        <v>0.980622079131853</v>
      </c>
      <c r="P1323">
        <f>IF($A1323="","",IF($E1323=1,$F1323*$O1323,PNL!G1323))</f>
        <v>1256294.5580174</v>
      </c>
      <c r="T1323">
        <f t="shared" si="3"/>
        <v>1256294.5580174</v>
      </c>
    </row>
    <row r="1324" ht="14.25" customHeight="1">
      <c r="A1324" t="str">
        <f>IF(PNL!A1324="","",PNL!A1324)</f>
        <v>MBWAY_BOR</v>
      </c>
      <c r="B1324" t="str">
        <f>IF(PNL!B1324="","",PNL!B1324)</f>
        <v>7062</v>
      </c>
      <c r="C1324" t="str">
        <f>IF(PNL!C1324="","",PNL!C1324)</f>
        <v>2027</v>
      </c>
      <c r="D1324" t="str">
        <f>IF(PNL!D1324="","",PNL!D1324)</f>
        <v>V03</v>
      </c>
      <c r="E1324">
        <f t="shared" si="0"/>
        <v>1</v>
      </c>
      <c r="F1324">
        <f>IF($A1324="","",IF($E1324=1,_xlfn.SUMIFS(Comptabilité!$F$1:$F$1446,Comptabilité!$A$1:$A$1446,$A1324,Comptabilité!$B$1:$B$1446,$B1324,Comptabilité!$C$1:$C$1446,"2026"),0))</f>
        <v>1393405</v>
      </c>
      <c r="G1324">
        <f>IF($A1324="","",IF($D1324="V01",Cadrage!$C$23,IF($D1324="V02",Cadrage!$D$23,Cadrage!$E$23)))</f>
        <v>-0.05</v>
      </c>
      <c r="H1324">
        <f>IF($A1324="","",IF($D1324="V01",Cadrage!$C$24,IF($D1324="V02",Cadrage!$D$24,Cadrage!$E$24)))</f>
        <v>-0.05</v>
      </c>
      <c r="I1324">
        <f>IF($A1324="","",IF($D1324="V01",Cadrage!$C$34,IF($D1324="V02",Cadrage!$D$34,Cadrage!$E$34)))</f>
        <v>0.03</v>
      </c>
      <c r="J1324">
        <f>IF($A1324="","",IF($D1324="V01",Cadrage!$C$35,IF($D1324="V02",Cadrage!$D$35,Cadrage!$E$35)))</f>
        <v>0.03</v>
      </c>
      <c r="K1324">
        <f>IF($A1324="","",IF($D1324="V01",Cadrage!$C$36,IF($D1324="V02",Cadrage!$D$36,Cadrage!$E$36)))</f>
        <v>0.05</v>
      </c>
      <c r="L1324">
        <f>IF($A1324="","",IF($D1324="V01",Cadrage!$C$37,IF($D1324="V02",Cadrage!$D$37,Cadrage!$E$37)))</f>
        <v>0</v>
      </c>
      <c r="M1324">
        <f>IF($A1324="","",IF($D1324="V01",Cadrage!$C$38,IF($D1324="V02",Cadrage!$D$38,Cadrage!$E$38)))</f>
        <v>0.04</v>
      </c>
      <c r="N1324">
        <f t="shared" si="1"/>
        <v>0.980622079131853</v>
      </c>
      <c r="O1324">
        <f t="shared" si="2"/>
        <v>0.980622079131853</v>
      </c>
      <c r="P1324">
        <f>IF($A1324="","",IF($E1324=1,$F1324*$O1324,PNL!G1324))</f>
        <v>1366403.70817272</v>
      </c>
      <c r="T1324">
        <f t="shared" si="3"/>
        <v>1366403.70817272</v>
      </c>
    </row>
    <row r="1325" ht="14.25" customHeight="1">
      <c r="A1325" t="str">
        <f>IF(PNL!A1325="","",PNL!A1325)</f>
        <v>MBWAY_LYO</v>
      </c>
      <c r="B1325" t="str">
        <f>IF(PNL!B1325="","",PNL!B1325)</f>
        <v>7062</v>
      </c>
      <c r="C1325" t="str">
        <f>IF(PNL!C1325="","",PNL!C1325)</f>
        <v>2027</v>
      </c>
      <c r="D1325" t="str">
        <f>IF(PNL!D1325="","",PNL!D1325)</f>
        <v>V03</v>
      </c>
      <c r="E1325">
        <f t="shared" si="0"/>
        <v>1</v>
      </c>
      <c r="F1325">
        <f>IF($A1325="","",IF($E1325=1,_xlfn.SUMIFS(Comptabilité!$F$1:$F$1446,Comptabilité!$A$1:$A$1446,$A1325,Comptabilité!$B$1:$B$1446,$B1325,Comptabilité!$C$1:$C$1446,"2026"),0))</f>
        <v>1965075</v>
      </c>
      <c r="G1325">
        <f>IF($A1325="","",IF($D1325="V01",Cadrage!$C$23,IF($D1325="V02",Cadrage!$D$23,Cadrage!$E$23)))</f>
        <v>-0.05</v>
      </c>
      <c r="H1325">
        <f>IF($A1325="","",IF($D1325="V01",Cadrage!$C$24,IF($D1325="V02",Cadrage!$D$24,Cadrage!$E$24)))</f>
        <v>-0.05</v>
      </c>
      <c r="I1325">
        <f>IF($A1325="","",IF($D1325="V01",Cadrage!$C$34,IF($D1325="V02",Cadrage!$D$34,Cadrage!$E$34)))</f>
        <v>0.03</v>
      </c>
      <c r="J1325">
        <f>IF($A1325="","",IF($D1325="V01",Cadrage!$C$35,IF($D1325="V02",Cadrage!$D$35,Cadrage!$E$35)))</f>
        <v>0.03</v>
      </c>
      <c r="K1325">
        <f>IF($A1325="","",IF($D1325="V01",Cadrage!$C$36,IF($D1325="V02",Cadrage!$D$36,Cadrage!$E$36)))</f>
        <v>0.05</v>
      </c>
      <c r="L1325">
        <f>IF($A1325="","",IF($D1325="V01",Cadrage!$C$37,IF($D1325="V02",Cadrage!$D$37,Cadrage!$E$37)))</f>
        <v>0</v>
      </c>
      <c r="M1325">
        <f>IF($A1325="","",IF($D1325="V01",Cadrage!$C$38,IF($D1325="V02",Cadrage!$D$38,Cadrage!$E$38)))</f>
        <v>0.04</v>
      </c>
      <c r="N1325">
        <f t="shared" si="1"/>
        <v>0.980622079131853</v>
      </c>
      <c r="O1325">
        <f t="shared" si="2"/>
        <v>0.980622079131853</v>
      </c>
      <c r="P1325">
        <f>IF($A1325="","",IF($E1325=1,$F1325*$O1325,PNL!G1325))</f>
        <v>1926995.93215003</v>
      </c>
      <c r="T1325">
        <f t="shared" si="3"/>
        <v>1926995.93215003</v>
      </c>
    </row>
    <row r="1326" ht="14.25" customHeight="1">
      <c r="A1326" t="str">
        <f>IF(PNL!A1326="","",PNL!A1326)</f>
        <v>MBWAY_NAN</v>
      </c>
      <c r="B1326" t="str">
        <f>IF(PNL!B1326="","",PNL!B1326)</f>
        <v>7062</v>
      </c>
      <c r="C1326" t="str">
        <f>IF(PNL!C1326="","",PNL!C1326)</f>
        <v>2027</v>
      </c>
      <c r="D1326" t="str">
        <f>IF(PNL!D1326="","",PNL!D1326)</f>
        <v>V03</v>
      </c>
      <c r="E1326">
        <f t="shared" si="0"/>
        <v>1</v>
      </c>
      <c r="F1326">
        <f>IF($A1326="","",IF($E1326=1,_xlfn.SUMIFS(Comptabilité!$F$1:$F$1446,Comptabilité!$A$1:$A$1446,$A1326,Comptabilité!$B$1:$B$1446,$B1326,Comptabilité!$C$1:$C$1446,"2026"),0))</f>
        <v>1697500</v>
      </c>
      <c r="G1326">
        <f>IF($A1326="","",IF($D1326="V01",Cadrage!$C$23,IF($D1326="V02",Cadrage!$D$23,Cadrage!$E$23)))</f>
        <v>-0.05</v>
      </c>
      <c r="H1326">
        <f>IF($A1326="","",IF($D1326="V01",Cadrage!$C$24,IF($D1326="V02",Cadrage!$D$24,Cadrage!$E$24)))</f>
        <v>-0.05</v>
      </c>
      <c r="I1326">
        <f>IF($A1326="","",IF($D1326="V01",Cadrage!$C$34,IF($D1326="V02",Cadrage!$D$34,Cadrage!$E$34)))</f>
        <v>0.03</v>
      </c>
      <c r="J1326">
        <f>IF($A1326="","",IF($D1326="V01",Cadrage!$C$35,IF($D1326="V02",Cadrage!$D$35,Cadrage!$E$35)))</f>
        <v>0.03</v>
      </c>
      <c r="K1326">
        <f>IF($A1326="","",IF($D1326="V01",Cadrage!$C$36,IF($D1326="V02",Cadrage!$D$36,Cadrage!$E$36)))</f>
        <v>0.05</v>
      </c>
      <c r="L1326">
        <f>IF($A1326="","",IF($D1326="V01",Cadrage!$C$37,IF($D1326="V02",Cadrage!$D$37,Cadrage!$E$37)))</f>
        <v>0</v>
      </c>
      <c r="M1326">
        <f>IF($A1326="","",IF($D1326="V01",Cadrage!$C$38,IF($D1326="V02",Cadrage!$D$38,Cadrage!$E$38)))</f>
        <v>0.04</v>
      </c>
      <c r="N1326">
        <f t="shared" si="1"/>
        <v>0.980622079131853</v>
      </c>
      <c r="O1326">
        <f t="shared" si="2"/>
        <v>0.980622079131853</v>
      </c>
      <c r="P1326">
        <f>IF($A1326="","",IF($E1326=1,$F1326*$O1326,PNL!G1326))</f>
        <v>1664605.97932632</v>
      </c>
      <c r="T1326">
        <f t="shared" si="3"/>
        <v>1664605.97932632</v>
      </c>
    </row>
    <row r="1327" ht="14.25" customHeight="1">
      <c r="A1327" t="str">
        <f>IF(PNL!A1327="","",PNL!A1327)</f>
        <v>MBWAY_PAR</v>
      </c>
      <c r="B1327" t="str">
        <f>IF(PNL!B1327="","",PNL!B1327)</f>
        <v>7062</v>
      </c>
      <c r="C1327" t="str">
        <f>IF(PNL!C1327="","",PNL!C1327)</f>
        <v>2027</v>
      </c>
      <c r="D1327" t="str">
        <f>IF(PNL!D1327="","",PNL!D1327)</f>
        <v>V03</v>
      </c>
      <c r="E1327">
        <f t="shared" si="0"/>
        <v>1</v>
      </c>
      <c r="F1327">
        <f>IF($A1327="","",IF($E1327=1,_xlfn.SUMIFS(Comptabilité!$F$1:$F$1446,Comptabilité!$A$1:$A$1446,$A1327,Comptabilité!$B$1:$B$1446,$B1327,Comptabilité!$C$1:$C$1446,"2026"),0))</f>
        <v>2469600</v>
      </c>
      <c r="G1327">
        <f>IF($A1327="","",IF($D1327="V01",Cadrage!$C$23,IF($D1327="V02",Cadrage!$D$23,Cadrage!$E$23)))</f>
        <v>-0.05</v>
      </c>
      <c r="H1327">
        <f>IF($A1327="","",IF($D1327="V01",Cadrage!$C$24,IF($D1327="V02",Cadrage!$D$24,Cadrage!$E$24)))</f>
        <v>-0.05</v>
      </c>
      <c r="I1327">
        <f>IF($A1327="","",IF($D1327="V01",Cadrage!$C$34,IF($D1327="V02",Cadrage!$D$34,Cadrage!$E$34)))</f>
        <v>0.03</v>
      </c>
      <c r="J1327">
        <f>IF($A1327="","",IF($D1327="V01",Cadrage!$C$35,IF($D1327="V02",Cadrage!$D$35,Cadrage!$E$35)))</f>
        <v>0.03</v>
      </c>
      <c r="K1327">
        <f>IF($A1327="","",IF($D1327="V01",Cadrage!$C$36,IF($D1327="V02",Cadrage!$D$36,Cadrage!$E$36)))</f>
        <v>0.05</v>
      </c>
      <c r="L1327">
        <f>IF($A1327="","",IF($D1327="V01",Cadrage!$C$37,IF($D1327="V02",Cadrage!$D$37,Cadrage!$E$37)))</f>
        <v>0</v>
      </c>
      <c r="M1327">
        <f>IF($A1327="","",IF($D1327="V01",Cadrage!$C$38,IF($D1327="V02",Cadrage!$D$38,Cadrage!$E$38)))</f>
        <v>0.04</v>
      </c>
      <c r="N1327">
        <f t="shared" si="1"/>
        <v>0.980622079131853</v>
      </c>
      <c r="O1327">
        <f t="shared" si="2"/>
        <v>0.980622079131853</v>
      </c>
      <c r="P1327">
        <f>IF($A1327="","",IF($E1327=1,$F1327*$O1327,PNL!G1327))</f>
        <v>2421744.28662402</v>
      </c>
      <c r="T1327">
        <f t="shared" si="3"/>
        <v>2421744.28662402</v>
      </c>
    </row>
    <row r="1328" ht="14.25" customHeight="1">
      <c r="A1328" t="str">
        <f>IF(PNL!A1328="","",PNL!A1328)</f>
        <v>PIGIER_BOR</v>
      </c>
      <c r="B1328" t="str">
        <f>IF(PNL!B1328="","",PNL!B1328)</f>
        <v>7062</v>
      </c>
      <c r="C1328" t="str">
        <f>IF(PNL!C1328="","",PNL!C1328)</f>
        <v>2027</v>
      </c>
      <c r="D1328" t="str">
        <f>IF(PNL!D1328="","",PNL!D1328)</f>
        <v>V03</v>
      </c>
      <c r="E1328">
        <f t="shared" si="0"/>
        <v>1</v>
      </c>
      <c r="F1328">
        <f>IF($A1328="","",IF($E1328=1,_xlfn.SUMIFS(Comptabilité!$F$1:$F$1446,Comptabilité!$A$1:$A$1446,$A1328,Comptabilité!$B$1:$B$1446,$B1328,Comptabilité!$C$1:$C$1446,"2026"),0))</f>
        <v>1126170</v>
      </c>
      <c r="G1328">
        <f>IF($A1328="","",IF($D1328="V01",Cadrage!$C$23,IF($D1328="V02",Cadrage!$D$23,Cadrage!$E$23)))</f>
        <v>-0.05</v>
      </c>
      <c r="H1328">
        <f>IF($A1328="","",IF($D1328="V01",Cadrage!$C$24,IF($D1328="V02",Cadrage!$D$24,Cadrage!$E$24)))</f>
        <v>-0.05</v>
      </c>
      <c r="I1328">
        <f>IF($A1328="","",IF($D1328="V01",Cadrage!$C$34,IF($D1328="V02",Cadrage!$D$34,Cadrage!$E$34)))</f>
        <v>0.03</v>
      </c>
      <c r="J1328">
        <f>IF($A1328="","",IF($D1328="V01",Cadrage!$C$35,IF($D1328="V02",Cadrage!$D$35,Cadrage!$E$35)))</f>
        <v>0.03</v>
      </c>
      <c r="K1328">
        <f>IF($A1328="","",IF($D1328="V01",Cadrage!$C$36,IF($D1328="V02",Cadrage!$D$36,Cadrage!$E$36)))</f>
        <v>0.05</v>
      </c>
      <c r="L1328">
        <f>IF($A1328="","",IF($D1328="V01",Cadrage!$C$37,IF($D1328="V02",Cadrage!$D$37,Cadrage!$E$37)))</f>
        <v>0</v>
      </c>
      <c r="M1328">
        <f>IF($A1328="","",IF($D1328="V01",Cadrage!$C$38,IF($D1328="V02",Cadrage!$D$38,Cadrage!$E$38)))</f>
        <v>0.04</v>
      </c>
      <c r="N1328">
        <f t="shared" si="1"/>
        <v>0.980622079131853</v>
      </c>
      <c r="O1328">
        <f t="shared" si="2"/>
        <v>0.980622079131853</v>
      </c>
      <c r="P1328">
        <f>IF($A1328="","",IF($E1328=1,$F1328*$O1328,PNL!G1328))</f>
        <v>1104347.16685592</v>
      </c>
      <c r="T1328">
        <f t="shared" si="3"/>
        <v>1104347.16685592</v>
      </c>
    </row>
    <row r="1329" ht="14.25" customHeight="1">
      <c r="A1329" t="str">
        <f>IF(PNL!A1329="","",PNL!A1329)</f>
        <v>PIGIER_LYO</v>
      </c>
      <c r="B1329" t="str">
        <f>IF(PNL!B1329="","",PNL!B1329)</f>
        <v>7062</v>
      </c>
      <c r="C1329" t="str">
        <f>IF(PNL!C1329="","",PNL!C1329)</f>
        <v>2027</v>
      </c>
      <c r="D1329" t="str">
        <f>IF(PNL!D1329="","",PNL!D1329)</f>
        <v>V03</v>
      </c>
      <c r="E1329">
        <f t="shared" si="0"/>
        <v>1</v>
      </c>
      <c r="F1329">
        <f>IF($A1329="","",IF($E1329=1,_xlfn.SUMIFS(Comptabilité!$F$1:$F$1446,Comptabilité!$A$1:$A$1446,$A1329,Comptabilité!$B$1:$B$1446,$B1329,Comptabilité!$C$1:$C$1446,"2026"),0))</f>
        <v>1565550</v>
      </c>
      <c r="G1329">
        <f>IF($A1329="","",IF($D1329="V01",Cadrage!$C$23,IF($D1329="V02",Cadrage!$D$23,Cadrage!$E$23)))</f>
        <v>-0.05</v>
      </c>
      <c r="H1329">
        <f>IF($A1329="","",IF($D1329="V01",Cadrage!$C$24,IF($D1329="V02",Cadrage!$D$24,Cadrage!$E$24)))</f>
        <v>-0.05</v>
      </c>
      <c r="I1329">
        <f>IF($A1329="","",IF($D1329="V01",Cadrage!$C$34,IF($D1329="V02",Cadrage!$D$34,Cadrage!$E$34)))</f>
        <v>0.03</v>
      </c>
      <c r="J1329">
        <f>IF($A1329="","",IF($D1329="V01",Cadrage!$C$35,IF($D1329="V02",Cadrage!$D$35,Cadrage!$E$35)))</f>
        <v>0.03</v>
      </c>
      <c r="K1329">
        <f>IF($A1329="","",IF($D1329="V01",Cadrage!$C$36,IF($D1329="V02",Cadrage!$D$36,Cadrage!$E$36)))</f>
        <v>0.05</v>
      </c>
      <c r="L1329">
        <f>IF($A1329="","",IF($D1329="V01",Cadrage!$C$37,IF($D1329="V02",Cadrage!$D$37,Cadrage!$E$37)))</f>
        <v>0</v>
      </c>
      <c r="M1329">
        <f>IF($A1329="","",IF($D1329="V01",Cadrage!$C$38,IF($D1329="V02",Cadrage!$D$38,Cadrage!$E$38)))</f>
        <v>0.04</v>
      </c>
      <c r="N1329">
        <f t="shared" si="1"/>
        <v>0.980622079131853</v>
      </c>
      <c r="O1329">
        <f t="shared" si="2"/>
        <v>0.980622079131853</v>
      </c>
      <c r="P1329">
        <f>IF($A1329="","",IF($E1329=1,$F1329*$O1329,PNL!G1329))</f>
        <v>1535212.89598487</v>
      </c>
      <c r="T1329">
        <f t="shared" si="3"/>
        <v>1535212.89598487</v>
      </c>
    </row>
    <row r="1330" ht="14.25" customHeight="1">
      <c r="A1330" t="str">
        <f>IF(PNL!A1330="","",PNL!A1330)</f>
        <v>TUNON_LYO</v>
      </c>
      <c r="B1330" t="str">
        <f>IF(PNL!B1330="","",PNL!B1330)</f>
        <v>7062</v>
      </c>
      <c r="C1330" t="str">
        <f>IF(PNL!C1330="","",PNL!C1330)</f>
        <v>2027</v>
      </c>
      <c r="D1330" t="str">
        <f>IF(PNL!D1330="","",PNL!D1330)</f>
        <v>V03</v>
      </c>
      <c r="E1330">
        <f t="shared" si="0"/>
        <v>1</v>
      </c>
      <c r="F1330">
        <f>IF($A1330="","",IF($E1330=1,_xlfn.SUMIFS(Comptabilité!$F$1:$F$1446,Comptabilité!$A$1:$A$1446,$A1330,Comptabilité!$B$1:$B$1446,$B1330,Comptabilité!$C$1:$C$1446,"2026"),0))</f>
        <v>859950</v>
      </c>
      <c r="G1330">
        <f>IF($A1330="","",IF($D1330="V01",Cadrage!$C$23,IF($D1330="V02",Cadrage!$D$23,Cadrage!$E$23)))</f>
        <v>-0.05</v>
      </c>
      <c r="H1330">
        <f>IF($A1330="","",IF($D1330="V01",Cadrage!$C$24,IF($D1330="V02",Cadrage!$D$24,Cadrage!$E$24)))</f>
        <v>-0.05</v>
      </c>
      <c r="I1330">
        <f>IF($A1330="","",IF($D1330="V01",Cadrage!$C$34,IF($D1330="V02",Cadrage!$D$34,Cadrage!$E$34)))</f>
        <v>0.03</v>
      </c>
      <c r="J1330">
        <f>IF($A1330="","",IF($D1330="V01",Cadrage!$C$35,IF($D1330="V02",Cadrage!$D$35,Cadrage!$E$35)))</f>
        <v>0.03</v>
      </c>
      <c r="K1330">
        <f>IF($A1330="","",IF($D1330="V01",Cadrage!$C$36,IF($D1330="V02",Cadrage!$D$36,Cadrage!$E$36)))</f>
        <v>0.05</v>
      </c>
      <c r="L1330">
        <f>IF($A1330="","",IF($D1330="V01",Cadrage!$C$37,IF($D1330="V02",Cadrage!$D$37,Cadrage!$E$37)))</f>
        <v>0</v>
      </c>
      <c r="M1330">
        <f>IF($A1330="","",IF($D1330="V01",Cadrage!$C$38,IF($D1330="V02",Cadrage!$D$38,Cadrage!$E$38)))</f>
        <v>0.04</v>
      </c>
      <c r="N1330">
        <f t="shared" si="1"/>
        <v>0.980622079131853</v>
      </c>
      <c r="O1330">
        <f t="shared" si="2"/>
        <v>0.980622079131853</v>
      </c>
      <c r="P1330">
        <f>IF($A1330="","",IF($E1330=1,$F1330*$O1330,PNL!G1330))</f>
        <v>843285.956949437</v>
      </c>
      <c r="T1330">
        <f t="shared" si="3"/>
        <v>843285.956949437</v>
      </c>
    </row>
    <row r="1331" ht="14.25" customHeight="1">
      <c r="A1331" t="str">
        <f>IF(PNL!A1331="","",PNL!A1331)</f>
        <v>TUNON_PAR</v>
      </c>
      <c r="B1331" t="str">
        <f>IF(PNL!B1331="","",PNL!B1331)</f>
        <v>7062</v>
      </c>
      <c r="C1331" t="str">
        <f>IF(PNL!C1331="","",PNL!C1331)</f>
        <v>2027</v>
      </c>
      <c r="D1331" t="str">
        <f>IF(PNL!D1331="","",PNL!D1331)</f>
        <v>V03</v>
      </c>
      <c r="E1331">
        <f t="shared" si="0"/>
        <v>1</v>
      </c>
      <c r="F1331">
        <f>IF($A1331="","",IF($E1331=1,_xlfn.SUMIFS(Comptabilité!$F$1:$F$1446,Comptabilité!$A$1:$A$1446,$A1331,Comptabilité!$B$1:$B$1446,$B1331,Comptabilité!$C$1:$C$1446,"2026"),0))</f>
        <v>1081920</v>
      </c>
      <c r="G1331">
        <f>IF($A1331="","",IF($D1331="V01",Cadrage!$C$23,IF($D1331="V02",Cadrage!$D$23,Cadrage!$E$23)))</f>
        <v>-0.05</v>
      </c>
      <c r="H1331">
        <f>IF($A1331="","",IF($D1331="V01",Cadrage!$C$24,IF($D1331="V02",Cadrage!$D$24,Cadrage!$E$24)))</f>
        <v>-0.05</v>
      </c>
      <c r="I1331">
        <f>IF($A1331="","",IF($D1331="V01",Cadrage!$C$34,IF($D1331="V02",Cadrage!$D$34,Cadrage!$E$34)))</f>
        <v>0.03</v>
      </c>
      <c r="J1331">
        <f>IF($A1331="","",IF($D1331="V01",Cadrage!$C$35,IF($D1331="V02",Cadrage!$D$35,Cadrage!$E$35)))</f>
        <v>0.03</v>
      </c>
      <c r="K1331">
        <f>IF($A1331="","",IF($D1331="V01",Cadrage!$C$36,IF($D1331="V02",Cadrage!$D$36,Cadrage!$E$36)))</f>
        <v>0.05</v>
      </c>
      <c r="L1331">
        <f>IF($A1331="","",IF($D1331="V01",Cadrage!$C$37,IF($D1331="V02",Cadrage!$D$37,Cadrage!$E$37)))</f>
        <v>0</v>
      </c>
      <c r="M1331">
        <f>IF($A1331="","",IF($D1331="V01",Cadrage!$C$38,IF($D1331="V02",Cadrage!$D$38,Cadrage!$E$38)))</f>
        <v>0.04</v>
      </c>
      <c r="N1331">
        <f t="shared" si="1"/>
        <v>0.980622079131853</v>
      </c>
      <c r="O1331">
        <f t="shared" si="2"/>
        <v>0.980622079131853</v>
      </c>
      <c r="P1331">
        <f>IF($A1331="","",IF($E1331=1,$F1331*$O1331,PNL!G1331))</f>
        <v>1060954.63985433</v>
      </c>
      <c r="T1331">
        <f t="shared" si="3"/>
        <v>1060954.63985433</v>
      </c>
    </row>
    <row r="1332" ht="14.25" customHeight="1">
      <c r="A1332" t="str">
        <f>IF(PNL!A1332="","",PNL!A1332)</f>
        <v>IPAC_MTP</v>
      </c>
      <c r="B1332" t="str">
        <f>IF(PNL!B1332="","",PNL!B1332)</f>
        <v>708</v>
      </c>
      <c r="C1332" t="str">
        <f>IF(PNL!C1332="","",PNL!C1332)</f>
        <v>2027</v>
      </c>
      <c r="D1332" t="str">
        <f>IF(PNL!D1332="","",PNL!D1332)</f>
        <v>V03</v>
      </c>
      <c r="E1332">
        <f t="shared" si="0"/>
        <v>1</v>
      </c>
      <c r="F1332">
        <f>IF($A1332="","",IF($E1332=1,_xlfn.SUMIFS(Comptabilité!$F$1:$F$1446,Comptabilité!$A$1:$A$1446,$A1332,Comptabilité!$B$1:$B$1446,$B1332,Comptabilité!$C$1:$C$1446,"2026"),0))</f>
        <v>3600</v>
      </c>
      <c r="G1332">
        <f>IF($A1332="","",IF($D1332="V01",Cadrage!$C$23,IF($D1332="V02",Cadrage!$D$23,Cadrage!$E$23)))</f>
        <v>-0.05</v>
      </c>
      <c r="H1332">
        <f>IF($A1332="","",IF($D1332="V01",Cadrage!$C$24,IF($D1332="V02",Cadrage!$D$24,Cadrage!$E$24)))</f>
        <v>-0.05</v>
      </c>
      <c r="I1332">
        <f>IF($A1332="","",IF($D1332="V01",Cadrage!$C$34,IF($D1332="V02",Cadrage!$D$34,Cadrage!$E$34)))</f>
        <v>0.03</v>
      </c>
      <c r="J1332">
        <f>IF($A1332="","",IF($D1332="V01",Cadrage!$C$35,IF($D1332="V02",Cadrage!$D$35,Cadrage!$E$35)))</f>
        <v>0.03</v>
      </c>
      <c r="K1332">
        <f>IF($A1332="","",IF($D1332="V01",Cadrage!$C$36,IF($D1332="V02",Cadrage!$D$36,Cadrage!$E$36)))</f>
        <v>0.05</v>
      </c>
      <c r="L1332">
        <f>IF($A1332="","",IF($D1332="V01",Cadrage!$C$37,IF($D1332="V02",Cadrage!$D$37,Cadrage!$E$37)))</f>
        <v>0</v>
      </c>
      <c r="M1332">
        <f>IF($A1332="","",IF($D1332="V01",Cadrage!$C$38,IF($D1332="V02",Cadrage!$D$38,Cadrage!$E$38)))</f>
        <v>0.04</v>
      </c>
      <c r="N1332">
        <f t="shared" si="1"/>
        <v>0.980622079131853</v>
      </c>
      <c r="O1332">
        <f t="shared" si="2"/>
        <v>0.980622079131853</v>
      </c>
      <c r="P1332">
        <f>IF($A1332="","",IF($E1332=1,$F1332*$O1332,PNL!G1332))</f>
        <v>3530.23948487467</v>
      </c>
      <c r="T1332">
        <f t="shared" si="3"/>
        <v>3530.23948487467</v>
      </c>
    </row>
    <row r="1333" ht="14.25" customHeight="1">
      <c r="A1333" t="str">
        <f>IF(PNL!A1333="","",PNL!A1333)</f>
        <v>IPAC_NAN</v>
      </c>
      <c r="B1333" t="str">
        <f>IF(PNL!B1333="","",PNL!B1333)</f>
        <v>708</v>
      </c>
      <c r="C1333" t="str">
        <f>IF(PNL!C1333="","",PNL!C1333)</f>
        <v>2027</v>
      </c>
      <c r="D1333" t="str">
        <f>IF(PNL!D1333="","",PNL!D1333)</f>
        <v>V03</v>
      </c>
      <c r="E1333">
        <f t="shared" si="0"/>
        <v>1</v>
      </c>
      <c r="F1333">
        <f>IF($A1333="","",IF($E1333=1,_xlfn.SUMIFS(Comptabilité!$F$1:$F$1446,Comptabilité!$A$1:$A$1446,$A1333,Comptabilité!$B$1:$B$1446,$B1333,Comptabilité!$C$1:$C$1446,"2026"),0))</f>
        <v>4500</v>
      </c>
      <c r="G1333">
        <f>IF($A1333="","",IF($D1333="V01",Cadrage!$C$23,IF($D1333="V02",Cadrage!$D$23,Cadrage!$E$23)))</f>
        <v>-0.05</v>
      </c>
      <c r="H1333">
        <f>IF($A1333="","",IF($D1333="V01",Cadrage!$C$24,IF($D1333="V02",Cadrage!$D$24,Cadrage!$E$24)))</f>
        <v>-0.05</v>
      </c>
      <c r="I1333">
        <f>IF($A1333="","",IF($D1333="V01",Cadrage!$C$34,IF($D1333="V02",Cadrage!$D$34,Cadrage!$E$34)))</f>
        <v>0.03</v>
      </c>
      <c r="J1333">
        <f>IF($A1333="","",IF($D1333="V01",Cadrage!$C$35,IF($D1333="V02",Cadrage!$D$35,Cadrage!$E$35)))</f>
        <v>0.03</v>
      </c>
      <c r="K1333">
        <f>IF($A1333="","",IF($D1333="V01",Cadrage!$C$36,IF($D1333="V02",Cadrage!$D$36,Cadrage!$E$36)))</f>
        <v>0.05</v>
      </c>
      <c r="L1333">
        <f>IF($A1333="","",IF($D1333="V01",Cadrage!$C$37,IF($D1333="V02",Cadrage!$D$37,Cadrage!$E$37)))</f>
        <v>0</v>
      </c>
      <c r="M1333">
        <f>IF($A1333="","",IF($D1333="V01",Cadrage!$C$38,IF($D1333="V02",Cadrage!$D$38,Cadrage!$E$38)))</f>
        <v>0.04</v>
      </c>
      <c r="N1333">
        <f t="shared" si="1"/>
        <v>0.980622079131853</v>
      </c>
      <c r="O1333">
        <f t="shared" si="2"/>
        <v>0.980622079131853</v>
      </c>
      <c r="P1333">
        <f>IF($A1333="","",IF($E1333=1,$F1333*$O1333,PNL!G1333))</f>
        <v>4412.79935609334</v>
      </c>
      <c r="T1333">
        <f t="shared" si="3"/>
        <v>4412.79935609334</v>
      </c>
    </row>
    <row r="1334" ht="14.25" customHeight="1">
      <c r="A1334" t="str">
        <f>IF(PNL!A1334="","",PNL!A1334)</f>
        <v>IPAC_REN</v>
      </c>
      <c r="B1334" t="str">
        <f>IF(PNL!B1334="","",PNL!B1334)</f>
        <v>708</v>
      </c>
      <c r="C1334" t="str">
        <f>IF(PNL!C1334="","",PNL!C1334)</f>
        <v>2027</v>
      </c>
      <c r="D1334" t="str">
        <f>IF(PNL!D1334="","",PNL!D1334)</f>
        <v>V03</v>
      </c>
      <c r="E1334">
        <f t="shared" si="0"/>
        <v>1</v>
      </c>
      <c r="F1334">
        <f>IF($A1334="","",IF($E1334=1,_xlfn.SUMIFS(Comptabilité!$F$1:$F$1446,Comptabilité!$A$1:$A$1446,$A1334,Comptabilité!$B$1:$B$1446,$B1334,Comptabilité!$C$1:$C$1446,"2026"),0))</f>
        <v>3600</v>
      </c>
      <c r="G1334">
        <f>IF($A1334="","",IF($D1334="V01",Cadrage!$C$23,IF($D1334="V02",Cadrage!$D$23,Cadrage!$E$23)))</f>
        <v>-0.05</v>
      </c>
      <c r="H1334">
        <f>IF($A1334="","",IF($D1334="V01",Cadrage!$C$24,IF($D1334="V02",Cadrage!$D$24,Cadrage!$E$24)))</f>
        <v>-0.05</v>
      </c>
      <c r="I1334">
        <f>IF($A1334="","",IF($D1334="V01",Cadrage!$C$34,IF($D1334="V02",Cadrage!$D$34,Cadrage!$E$34)))</f>
        <v>0.03</v>
      </c>
      <c r="J1334">
        <f>IF($A1334="","",IF($D1334="V01",Cadrage!$C$35,IF($D1334="V02",Cadrage!$D$35,Cadrage!$E$35)))</f>
        <v>0.03</v>
      </c>
      <c r="K1334">
        <f>IF($A1334="","",IF($D1334="V01",Cadrage!$C$36,IF($D1334="V02",Cadrage!$D$36,Cadrage!$E$36)))</f>
        <v>0.05</v>
      </c>
      <c r="L1334">
        <f>IF($A1334="","",IF($D1334="V01",Cadrage!$C$37,IF($D1334="V02",Cadrage!$D$37,Cadrage!$E$37)))</f>
        <v>0</v>
      </c>
      <c r="M1334">
        <f>IF($A1334="","",IF($D1334="V01",Cadrage!$C$38,IF($D1334="V02",Cadrage!$D$38,Cadrage!$E$38)))</f>
        <v>0.04</v>
      </c>
      <c r="N1334">
        <f t="shared" si="1"/>
        <v>0.980622079131853</v>
      </c>
      <c r="O1334">
        <f t="shared" si="2"/>
        <v>0.980622079131853</v>
      </c>
      <c r="P1334">
        <f>IF($A1334="","",IF($E1334=1,$F1334*$O1334,PNL!G1334))</f>
        <v>3530.23948487467</v>
      </c>
      <c r="T1334">
        <f t="shared" si="3"/>
        <v>3530.23948487467</v>
      </c>
    </row>
    <row r="1335" ht="14.25" customHeight="1">
      <c r="A1335" t="str">
        <f>IF(PNL!A1335="","",PNL!A1335)</f>
        <v>ISCOM_LIL</v>
      </c>
      <c r="B1335" t="str">
        <f>IF(PNL!B1335="","",PNL!B1335)</f>
        <v>708</v>
      </c>
      <c r="C1335" t="str">
        <f>IF(PNL!C1335="","",PNL!C1335)</f>
        <v>2027</v>
      </c>
      <c r="D1335" t="str">
        <f>IF(PNL!D1335="","",PNL!D1335)</f>
        <v>V03</v>
      </c>
      <c r="E1335">
        <f t="shared" si="0"/>
        <v>1</v>
      </c>
      <c r="F1335">
        <f>IF($A1335="","",IF($E1335=1,_xlfn.SUMIFS(Comptabilité!$F$1:$F$1446,Comptabilité!$A$1:$A$1446,$A1335,Comptabilité!$B$1:$B$1446,$B1335,Comptabilité!$C$1:$C$1446,"2026"),0))</f>
        <v>9000</v>
      </c>
      <c r="G1335">
        <f>IF($A1335="","",IF($D1335="V01",Cadrage!$C$23,IF($D1335="V02",Cadrage!$D$23,Cadrage!$E$23)))</f>
        <v>-0.05</v>
      </c>
      <c r="H1335">
        <f>IF($A1335="","",IF($D1335="V01",Cadrage!$C$24,IF($D1335="V02",Cadrage!$D$24,Cadrage!$E$24)))</f>
        <v>-0.05</v>
      </c>
      <c r="I1335">
        <f>IF($A1335="","",IF($D1335="V01",Cadrage!$C$34,IF($D1335="V02",Cadrage!$D$34,Cadrage!$E$34)))</f>
        <v>0.03</v>
      </c>
      <c r="J1335">
        <f>IF($A1335="","",IF($D1335="V01",Cadrage!$C$35,IF($D1335="V02",Cadrage!$D$35,Cadrage!$E$35)))</f>
        <v>0.03</v>
      </c>
      <c r="K1335">
        <f>IF($A1335="","",IF($D1335="V01",Cadrage!$C$36,IF($D1335="V02",Cadrage!$D$36,Cadrage!$E$36)))</f>
        <v>0.05</v>
      </c>
      <c r="L1335">
        <f>IF($A1335="","",IF($D1335="V01",Cadrage!$C$37,IF($D1335="V02",Cadrage!$D$37,Cadrage!$E$37)))</f>
        <v>0</v>
      </c>
      <c r="M1335">
        <f>IF($A1335="","",IF($D1335="V01",Cadrage!$C$38,IF($D1335="V02",Cadrage!$D$38,Cadrage!$E$38)))</f>
        <v>0.04</v>
      </c>
      <c r="N1335">
        <f t="shared" si="1"/>
        <v>0.980622079131853</v>
      </c>
      <c r="O1335">
        <f t="shared" si="2"/>
        <v>0.980622079131853</v>
      </c>
      <c r="P1335">
        <f>IF($A1335="","",IF($E1335=1,$F1335*$O1335,PNL!G1335))</f>
        <v>8825.59871218668</v>
      </c>
      <c r="T1335">
        <f t="shared" si="3"/>
        <v>8825.59871218668</v>
      </c>
    </row>
    <row r="1336" ht="14.25" customHeight="1">
      <c r="A1336" t="str">
        <f>IF(PNL!A1336="","",PNL!A1336)</f>
        <v>ISCOM_PAR</v>
      </c>
      <c r="B1336" t="str">
        <f>IF(PNL!B1336="","",PNL!B1336)</f>
        <v>708</v>
      </c>
      <c r="C1336" t="str">
        <f>IF(PNL!C1336="","",PNL!C1336)</f>
        <v>2027</v>
      </c>
      <c r="D1336" t="str">
        <f>IF(PNL!D1336="","",PNL!D1336)</f>
        <v>V03</v>
      </c>
      <c r="E1336">
        <f t="shared" si="0"/>
        <v>1</v>
      </c>
      <c r="F1336">
        <f>IF($A1336="","",IF($E1336=1,_xlfn.SUMIFS(Comptabilité!$F$1:$F$1446,Comptabilité!$A$1:$A$1446,$A1336,Comptabilité!$B$1:$B$1446,$B1336,Comptabilité!$C$1:$C$1446,"2026"),0))</f>
        <v>12960</v>
      </c>
      <c r="G1336">
        <f>IF($A1336="","",IF($D1336="V01",Cadrage!$C$23,IF($D1336="V02",Cadrage!$D$23,Cadrage!$E$23)))</f>
        <v>-0.05</v>
      </c>
      <c r="H1336">
        <f>IF($A1336="","",IF($D1336="V01",Cadrage!$C$24,IF($D1336="V02",Cadrage!$D$24,Cadrage!$E$24)))</f>
        <v>-0.05</v>
      </c>
      <c r="I1336">
        <f>IF($A1336="","",IF($D1336="V01",Cadrage!$C$34,IF($D1336="V02",Cadrage!$D$34,Cadrage!$E$34)))</f>
        <v>0.03</v>
      </c>
      <c r="J1336">
        <f>IF($A1336="","",IF($D1336="V01",Cadrage!$C$35,IF($D1336="V02",Cadrage!$D$35,Cadrage!$E$35)))</f>
        <v>0.03</v>
      </c>
      <c r="K1336">
        <f>IF($A1336="","",IF($D1336="V01",Cadrage!$C$36,IF($D1336="V02",Cadrage!$D$36,Cadrage!$E$36)))</f>
        <v>0.05</v>
      </c>
      <c r="L1336">
        <f>IF($A1336="","",IF($D1336="V01",Cadrage!$C$37,IF($D1336="V02",Cadrage!$D$37,Cadrage!$E$37)))</f>
        <v>0</v>
      </c>
      <c r="M1336">
        <f>IF($A1336="","",IF($D1336="V01",Cadrage!$C$38,IF($D1336="V02",Cadrage!$D$38,Cadrage!$E$38)))</f>
        <v>0.04</v>
      </c>
      <c r="N1336">
        <f t="shared" si="1"/>
        <v>0.980622079131853</v>
      </c>
      <c r="O1336">
        <f t="shared" si="2"/>
        <v>0.980622079131853</v>
      </c>
      <c r="P1336">
        <f>IF($A1336="","",IF($E1336=1,$F1336*$O1336,PNL!G1336))</f>
        <v>12708.8621455488</v>
      </c>
      <c r="T1336">
        <f t="shared" si="3"/>
        <v>12708.8621455488</v>
      </c>
    </row>
    <row r="1337" ht="14.25" customHeight="1">
      <c r="A1337" t="str">
        <f>IF(PNL!A1337="","",PNL!A1337)</f>
        <v>ISCOM_TLS</v>
      </c>
      <c r="B1337" t="str">
        <f>IF(PNL!B1337="","",PNL!B1337)</f>
        <v>708</v>
      </c>
      <c r="C1337" t="str">
        <f>IF(PNL!C1337="","",PNL!C1337)</f>
        <v>2027</v>
      </c>
      <c r="D1337" t="str">
        <f>IF(PNL!D1337="","",PNL!D1337)</f>
        <v>V03</v>
      </c>
      <c r="E1337">
        <f t="shared" si="0"/>
        <v>1</v>
      </c>
      <c r="F1337">
        <f>IF($A1337="","",IF($E1337=1,_xlfn.SUMIFS(Comptabilité!$F$1:$F$1446,Comptabilité!$A$1:$A$1446,$A1337,Comptabilité!$B$1:$B$1446,$B1337,Comptabilité!$C$1:$C$1446,"2026"),0))</f>
        <v>8460</v>
      </c>
      <c r="G1337">
        <f>IF($A1337="","",IF($D1337="V01",Cadrage!$C$23,IF($D1337="V02",Cadrage!$D$23,Cadrage!$E$23)))</f>
        <v>-0.05</v>
      </c>
      <c r="H1337">
        <f>IF($A1337="","",IF($D1337="V01",Cadrage!$C$24,IF($D1337="V02",Cadrage!$D$24,Cadrage!$E$24)))</f>
        <v>-0.05</v>
      </c>
      <c r="I1337">
        <f>IF($A1337="","",IF($D1337="V01",Cadrage!$C$34,IF($D1337="V02",Cadrage!$D$34,Cadrage!$E$34)))</f>
        <v>0.03</v>
      </c>
      <c r="J1337">
        <f>IF($A1337="","",IF($D1337="V01",Cadrage!$C$35,IF($D1337="V02",Cadrage!$D$35,Cadrage!$E$35)))</f>
        <v>0.03</v>
      </c>
      <c r="K1337">
        <f>IF($A1337="","",IF($D1337="V01",Cadrage!$C$36,IF($D1337="V02",Cadrage!$D$36,Cadrage!$E$36)))</f>
        <v>0.05</v>
      </c>
      <c r="L1337">
        <f>IF($A1337="","",IF($D1337="V01",Cadrage!$C$37,IF($D1337="V02",Cadrage!$D$37,Cadrage!$E$37)))</f>
        <v>0</v>
      </c>
      <c r="M1337">
        <f>IF($A1337="","",IF($D1337="V01",Cadrage!$C$38,IF($D1337="V02",Cadrage!$D$38,Cadrage!$E$38)))</f>
        <v>0.04</v>
      </c>
      <c r="N1337">
        <f t="shared" si="1"/>
        <v>0.980622079131853</v>
      </c>
      <c r="O1337">
        <f t="shared" si="2"/>
        <v>0.980622079131853</v>
      </c>
      <c r="P1337">
        <f>IF($A1337="","",IF($E1337=1,$F1337*$O1337,PNL!G1337))</f>
        <v>8296.06278945548</v>
      </c>
      <c r="T1337">
        <f t="shared" si="3"/>
        <v>8296.06278945548</v>
      </c>
    </row>
    <row r="1338" ht="14.25" customHeight="1">
      <c r="A1338" t="str">
        <f>IF(PNL!A1338="","",PNL!A1338)</f>
        <v>MBWAY_BOR</v>
      </c>
      <c r="B1338" t="str">
        <f>IF(PNL!B1338="","",PNL!B1338)</f>
        <v>708</v>
      </c>
      <c r="C1338" t="str">
        <f>IF(PNL!C1338="","",PNL!C1338)</f>
        <v>2027</v>
      </c>
      <c r="D1338" t="str">
        <f>IF(PNL!D1338="","",PNL!D1338)</f>
        <v>V03</v>
      </c>
      <c r="E1338">
        <f t="shared" si="0"/>
        <v>1</v>
      </c>
      <c r="F1338">
        <f>IF($A1338="","",IF($E1338=1,_xlfn.SUMIFS(Comptabilité!$F$1:$F$1446,Comptabilité!$A$1:$A$1446,$A1338,Comptabilité!$B$1:$B$1446,$B1338,Comptabilité!$C$1:$C$1446,"2026"),0))</f>
        <v>9180</v>
      </c>
      <c r="G1338">
        <f>IF($A1338="","",IF($D1338="V01",Cadrage!$C$23,IF($D1338="V02",Cadrage!$D$23,Cadrage!$E$23)))</f>
        <v>-0.05</v>
      </c>
      <c r="H1338">
        <f>IF($A1338="","",IF($D1338="V01",Cadrage!$C$24,IF($D1338="V02",Cadrage!$D$24,Cadrage!$E$24)))</f>
        <v>-0.05</v>
      </c>
      <c r="I1338">
        <f>IF($A1338="","",IF($D1338="V01",Cadrage!$C$34,IF($D1338="V02",Cadrage!$D$34,Cadrage!$E$34)))</f>
        <v>0.03</v>
      </c>
      <c r="J1338">
        <f>IF($A1338="","",IF($D1338="V01",Cadrage!$C$35,IF($D1338="V02",Cadrage!$D$35,Cadrage!$E$35)))</f>
        <v>0.03</v>
      </c>
      <c r="K1338">
        <f>IF($A1338="","",IF($D1338="V01",Cadrage!$C$36,IF($D1338="V02",Cadrage!$D$36,Cadrage!$E$36)))</f>
        <v>0.05</v>
      </c>
      <c r="L1338">
        <f>IF($A1338="","",IF($D1338="V01",Cadrage!$C$37,IF($D1338="V02",Cadrage!$D$37,Cadrage!$E$37)))</f>
        <v>0</v>
      </c>
      <c r="M1338">
        <f>IF($A1338="","",IF($D1338="V01",Cadrage!$C$38,IF($D1338="V02",Cadrage!$D$38,Cadrage!$E$38)))</f>
        <v>0.04</v>
      </c>
      <c r="N1338">
        <f t="shared" si="1"/>
        <v>0.980622079131853</v>
      </c>
      <c r="O1338">
        <f t="shared" si="2"/>
        <v>0.980622079131853</v>
      </c>
      <c r="P1338">
        <f>IF($A1338="","",IF($E1338=1,$F1338*$O1338,PNL!G1338))</f>
        <v>9002.11068643041</v>
      </c>
      <c r="T1338">
        <f t="shared" si="3"/>
        <v>9002.11068643041</v>
      </c>
    </row>
    <row r="1339" ht="14.25" customHeight="1">
      <c r="A1339" t="str">
        <f>IF(PNL!A1339="","",PNL!A1339)</f>
        <v>MBWAY_LYO</v>
      </c>
      <c r="B1339" t="str">
        <f>IF(PNL!B1339="","",PNL!B1339)</f>
        <v>708</v>
      </c>
      <c r="C1339" t="str">
        <f>IF(PNL!C1339="","",PNL!C1339)</f>
        <v>2027</v>
      </c>
      <c r="D1339" t="str">
        <f>IF(PNL!D1339="","",PNL!D1339)</f>
        <v>V03</v>
      </c>
      <c r="E1339">
        <f t="shared" si="0"/>
        <v>1</v>
      </c>
      <c r="F1339">
        <f>IF($A1339="","",IF($E1339=1,_xlfn.SUMIFS(Comptabilité!$F$1:$F$1446,Comptabilité!$A$1:$A$1446,$A1339,Comptabilité!$B$1:$B$1446,$B1339,Comptabilité!$C$1:$C$1446,"2026"),0))</f>
        <v>11880</v>
      </c>
      <c r="G1339">
        <f>IF($A1339="","",IF($D1339="V01",Cadrage!$C$23,IF($D1339="V02",Cadrage!$D$23,Cadrage!$E$23)))</f>
        <v>-0.05</v>
      </c>
      <c r="H1339">
        <f>IF($A1339="","",IF($D1339="V01",Cadrage!$C$24,IF($D1339="V02",Cadrage!$D$24,Cadrage!$E$24)))</f>
        <v>-0.05</v>
      </c>
      <c r="I1339">
        <f>IF($A1339="","",IF($D1339="V01",Cadrage!$C$34,IF($D1339="V02",Cadrage!$D$34,Cadrage!$E$34)))</f>
        <v>0.03</v>
      </c>
      <c r="J1339">
        <f>IF($A1339="","",IF($D1339="V01",Cadrage!$C$35,IF($D1339="V02",Cadrage!$D$35,Cadrage!$E$35)))</f>
        <v>0.03</v>
      </c>
      <c r="K1339">
        <f>IF($A1339="","",IF($D1339="V01",Cadrage!$C$36,IF($D1339="V02",Cadrage!$D$36,Cadrage!$E$36)))</f>
        <v>0.05</v>
      </c>
      <c r="L1339">
        <f>IF($A1339="","",IF($D1339="V01",Cadrage!$C$37,IF($D1339="V02",Cadrage!$D$37,Cadrage!$E$37)))</f>
        <v>0</v>
      </c>
      <c r="M1339">
        <f>IF($A1339="","",IF($D1339="V01",Cadrage!$C$38,IF($D1339="V02",Cadrage!$D$38,Cadrage!$E$38)))</f>
        <v>0.04</v>
      </c>
      <c r="N1339">
        <f t="shared" si="1"/>
        <v>0.980622079131853</v>
      </c>
      <c r="O1339">
        <f t="shared" si="2"/>
        <v>0.980622079131853</v>
      </c>
      <c r="P1339">
        <f>IF($A1339="","",IF($E1339=1,$F1339*$O1339,PNL!G1339))</f>
        <v>11649.7903000864</v>
      </c>
      <c r="T1339">
        <f t="shared" si="3"/>
        <v>11649.7903000864</v>
      </c>
    </row>
    <row r="1340" ht="14.25" customHeight="1">
      <c r="A1340" t="str">
        <f>IF(PNL!A1340="","",PNL!A1340)</f>
        <v>MBWAY_NAN</v>
      </c>
      <c r="B1340" t="str">
        <f>IF(PNL!B1340="","",PNL!B1340)</f>
        <v>708</v>
      </c>
      <c r="C1340" t="str">
        <f>IF(PNL!C1340="","",PNL!C1340)</f>
        <v>2027</v>
      </c>
      <c r="D1340" t="str">
        <f>IF(PNL!D1340="","",PNL!D1340)</f>
        <v>V03</v>
      </c>
      <c r="E1340">
        <f t="shared" si="0"/>
        <v>1</v>
      </c>
      <c r="F1340">
        <f>IF($A1340="","",IF($E1340=1,_xlfn.SUMIFS(Comptabilité!$F$1:$F$1446,Comptabilité!$A$1:$A$1446,$A1340,Comptabilité!$B$1:$B$1446,$B1340,Comptabilité!$C$1:$C$1446,"2026"),0))</f>
        <v>10800</v>
      </c>
      <c r="G1340">
        <f>IF($A1340="","",IF($D1340="V01",Cadrage!$C$23,IF($D1340="V02",Cadrage!$D$23,Cadrage!$E$23)))</f>
        <v>-0.05</v>
      </c>
      <c r="H1340">
        <f>IF($A1340="","",IF($D1340="V01",Cadrage!$C$24,IF($D1340="V02",Cadrage!$D$24,Cadrage!$E$24)))</f>
        <v>-0.05</v>
      </c>
      <c r="I1340">
        <f>IF($A1340="","",IF($D1340="V01",Cadrage!$C$34,IF($D1340="V02",Cadrage!$D$34,Cadrage!$E$34)))</f>
        <v>0.03</v>
      </c>
      <c r="J1340">
        <f>IF($A1340="","",IF($D1340="V01",Cadrage!$C$35,IF($D1340="V02",Cadrage!$D$35,Cadrage!$E$35)))</f>
        <v>0.03</v>
      </c>
      <c r="K1340">
        <f>IF($A1340="","",IF($D1340="V01",Cadrage!$C$36,IF($D1340="V02",Cadrage!$D$36,Cadrage!$E$36)))</f>
        <v>0.05</v>
      </c>
      <c r="L1340">
        <f>IF($A1340="","",IF($D1340="V01",Cadrage!$C$37,IF($D1340="V02",Cadrage!$D$37,Cadrage!$E$37)))</f>
        <v>0</v>
      </c>
      <c r="M1340">
        <f>IF($A1340="","",IF($D1340="V01",Cadrage!$C$38,IF($D1340="V02",Cadrage!$D$38,Cadrage!$E$38)))</f>
        <v>0.04</v>
      </c>
      <c r="N1340">
        <f t="shared" si="1"/>
        <v>0.980622079131853</v>
      </c>
      <c r="O1340">
        <f t="shared" si="2"/>
        <v>0.980622079131853</v>
      </c>
      <c r="P1340">
        <f>IF($A1340="","",IF($E1340=1,$F1340*$O1340,PNL!G1340))</f>
        <v>10590.718454624</v>
      </c>
      <c r="T1340">
        <f t="shared" si="3"/>
        <v>10590.718454624</v>
      </c>
    </row>
    <row r="1341" ht="14.25" customHeight="1">
      <c r="A1341" t="str">
        <f>IF(PNL!A1341="","",PNL!A1341)</f>
        <v>MBWAY_PAR</v>
      </c>
      <c r="B1341" t="str">
        <f>IF(PNL!B1341="","",PNL!B1341)</f>
        <v>708</v>
      </c>
      <c r="C1341" t="str">
        <f>IF(PNL!C1341="","",PNL!C1341)</f>
        <v>2027</v>
      </c>
      <c r="D1341" t="str">
        <f>IF(PNL!D1341="","",PNL!D1341)</f>
        <v>V03</v>
      </c>
      <c r="E1341">
        <f t="shared" si="0"/>
        <v>1</v>
      </c>
      <c r="F1341">
        <f>IF($A1341="","",IF($E1341=1,_xlfn.SUMIFS(Comptabilité!$F$1:$F$1446,Comptabilité!$A$1:$A$1446,$A1341,Comptabilité!$B$1:$B$1446,$B1341,Comptabilité!$C$1:$C$1446,"2026"),0))</f>
        <v>14040</v>
      </c>
      <c r="G1341">
        <f>IF($A1341="","",IF($D1341="V01",Cadrage!$C$23,IF($D1341="V02",Cadrage!$D$23,Cadrage!$E$23)))</f>
        <v>-0.05</v>
      </c>
      <c r="H1341">
        <f>IF($A1341="","",IF($D1341="V01",Cadrage!$C$24,IF($D1341="V02",Cadrage!$D$24,Cadrage!$E$24)))</f>
        <v>-0.05</v>
      </c>
      <c r="I1341">
        <f>IF($A1341="","",IF($D1341="V01",Cadrage!$C$34,IF($D1341="V02",Cadrage!$D$34,Cadrage!$E$34)))</f>
        <v>0.03</v>
      </c>
      <c r="J1341">
        <f>IF($A1341="","",IF($D1341="V01",Cadrage!$C$35,IF($D1341="V02",Cadrage!$D$35,Cadrage!$E$35)))</f>
        <v>0.03</v>
      </c>
      <c r="K1341">
        <f>IF($A1341="","",IF($D1341="V01",Cadrage!$C$36,IF($D1341="V02",Cadrage!$D$36,Cadrage!$E$36)))</f>
        <v>0.05</v>
      </c>
      <c r="L1341">
        <f>IF($A1341="","",IF($D1341="V01",Cadrage!$C$37,IF($D1341="V02",Cadrage!$D$37,Cadrage!$E$37)))</f>
        <v>0</v>
      </c>
      <c r="M1341">
        <f>IF($A1341="","",IF($D1341="V01",Cadrage!$C$38,IF($D1341="V02",Cadrage!$D$38,Cadrage!$E$38)))</f>
        <v>0.04</v>
      </c>
      <c r="N1341">
        <f t="shared" si="1"/>
        <v>0.980622079131853</v>
      </c>
      <c r="O1341">
        <f t="shared" si="2"/>
        <v>0.980622079131853</v>
      </c>
      <c r="P1341">
        <f>IF($A1341="","",IF($E1341=1,$F1341*$O1341,PNL!G1341))</f>
        <v>13767.9339910112</v>
      </c>
      <c r="T1341">
        <f t="shared" si="3"/>
        <v>13767.9339910112</v>
      </c>
    </row>
    <row r="1342" ht="14.25" customHeight="1">
      <c r="A1342" t="str">
        <f>IF(PNL!A1342="","",PNL!A1342)</f>
        <v>PIGIER_BOR</v>
      </c>
      <c r="B1342" t="str">
        <f>IF(PNL!B1342="","",PNL!B1342)</f>
        <v>708</v>
      </c>
      <c r="C1342" t="str">
        <f>IF(PNL!C1342="","",PNL!C1342)</f>
        <v>2027</v>
      </c>
      <c r="D1342" t="str">
        <f>IF(PNL!D1342="","",PNL!D1342)</f>
        <v>V03</v>
      </c>
      <c r="E1342">
        <f t="shared" si="0"/>
        <v>1</v>
      </c>
      <c r="F1342">
        <f>IF($A1342="","",IF($E1342=1,_xlfn.SUMIFS(Comptabilité!$F$1:$F$1446,Comptabilité!$A$1:$A$1446,$A1342,Comptabilité!$B$1:$B$1446,$B1342,Comptabilité!$C$1:$C$1446,"2026"),0))</f>
        <v>6480</v>
      </c>
      <c r="G1342">
        <f>IF($A1342="","",IF($D1342="V01",Cadrage!$C$23,IF($D1342="V02",Cadrage!$D$23,Cadrage!$E$23)))</f>
        <v>-0.05</v>
      </c>
      <c r="H1342">
        <f>IF($A1342="","",IF($D1342="V01",Cadrage!$C$24,IF($D1342="V02",Cadrage!$D$24,Cadrage!$E$24)))</f>
        <v>-0.05</v>
      </c>
      <c r="I1342">
        <f>IF($A1342="","",IF($D1342="V01",Cadrage!$C$34,IF($D1342="V02",Cadrage!$D$34,Cadrage!$E$34)))</f>
        <v>0.03</v>
      </c>
      <c r="J1342">
        <f>IF($A1342="","",IF($D1342="V01",Cadrage!$C$35,IF($D1342="V02",Cadrage!$D$35,Cadrage!$E$35)))</f>
        <v>0.03</v>
      </c>
      <c r="K1342">
        <f>IF($A1342="","",IF($D1342="V01",Cadrage!$C$36,IF($D1342="V02",Cadrage!$D$36,Cadrage!$E$36)))</f>
        <v>0.05</v>
      </c>
      <c r="L1342">
        <f>IF($A1342="","",IF($D1342="V01",Cadrage!$C$37,IF($D1342="V02",Cadrage!$D$37,Cadrage!$E$37)))</f>
        <v>0</v>
      </c>
      <c r="M1342">
        <f>IF($A1342="","",IF($D1342="V01",Cadrage!$C$38,IF($D1342="V02",Cadrage!$D$38,Cadrage!$E$38)))</f>
        <v>0.04</v>
      </c>
      <c r="N1342">
        <f t="shared" si="1"/>
        <v>0.980622079131853</v>
      </c>
      <c r="O1342">
        <f t="shared" si="2"/>
        <v>0.980622079131853</v>
      </c>
      <c r="P1342">
        <f>IF($A1342="","",IF($E1342=1,$F1342*$O1342,PNL!G1342))</f>
        <v>6354.43107277441</v>
      </c>
      <c r="T1342">
        <f t="shared" si="3"/>
        <v>6354.43107277441</v>
      </c>
    </row>
    <row r="1343" ht="14.25" customHeight="1">
      <c r="A1343" t="str">
        <f>IF(PNL!A1343="","",PNL!A1343)</f>
        <v>PIGIER_LYO</v>
      </c>
      <c r="B1343" t="str">
        <f>IF(PNL!B1343="","",PNL!B1343)</f>
        <v>708</v>
      </c>
      <c r="C1343" t="str">
        <f>IF(PNL!C1343="","",PNL!C1343)</f>
        <v>2027</v>
      </c>
      <c r="D1343" t="str">
        <f>IF(PNL!D1343="","",PNL!D1343)</f>
        <v>V03</v>
      </c>
      <c r="E1343">
        <f t="shared" si="0"/>
        <v>1</v>
      </c>
      <c r="F1343">
        <f>IF($A1343="","",IF($E1343=1,_xlfn.SUMIFS(Comptabilité!$F$1:$F$1446,Comptabilité!$A$1:$A$1446,$A1343,Comptabilité!$B$1:$B$1446,$B1343,Comptabilité!$C$1:$C$1446,"2026"),0))</f>
        <v>8280</v>
      </c>
      <c r="G1343">
        <f>IF($A1343="","",IF($D1343="V01",Cadrage!$C$23,IF($D1343="V02",Cadrage!$D$23,Cadrage!$E$23)))</f>
        <v>-0.05</v>
      </c>
      <c r="H1343">
        <f>IF($A1343="","",IF($D1343="V01",Cadrage!$C$24,IF($D1343="V02",Cadrage!$D$24,Cadrage!$E$24)))</f>
        <v>-0.05</v>
      </c>
      <c r="I1343">
        <f>IF($A1343="","",IF($D1343="V01",Cadrage!$C$34,IF($D1343="V02",Cadrage!$D$34,Cadrage!$E$34)))</f>
        <v>0.03</v>
      </c>
      <c r="J1343">
        <f>IF($A1343="","",IF($D1343="V01",Cadrage!$C$35,IF($D1343="V02",Cadrage!$D$35,Cadrage!$E$35)))</f>
        <v>0.03</v>
      </c>
      <c r="K1343">
        <f>IF($A1343="","",IF($D1343="V01",Cadrage!$C$36,IF($D1343="V02",Cadrage!$D$36,Cadrage!$E$36)))</f>
        <v>0.05</v>
      </c>
      <c r="L1343">
        <f>IF($A1343="","",IF($D1343="V01",Cadrage!$C$37,IF($D1343="V02",Cadrage!$D$37,Cadrage!$E$37)))</f>
        <v>0</v>
      </c>
      <c r="M1343">
        <f>IF($A1343="","",IF($D1343="V01",Cadrage!$C$38,IF($D1343="V02",Cadrage!$D$38,Cadrage!$E$38)))</f>
        <v>0.04</v>
      </c>
      <c r="N1343">
        <f t="shared" si="1"/>
        <v>0.980622079131853</v>
      </c>
      <c r="O1343">
        <f t="shared" si="2"/>
        <v>0.980622079131853</v>
      </c>
      <c r="P1343">
        <f>IF($A1343="","",IF($E1343=1,$F1343*$O1343,PNL!G1343))</f>
        <v>8119.55081521174</v>
      </c>
      <c r="T1343">
        <f t="shared" si="3"/>
        <v>8119.55081521174</v>
      </c>
    </row>
    <row r="1344" ht="14.25" customHeight="1">
      <c r="A1344" t="str">
        <f>IF(PNL!A1344="","",PNL!A1344)</f>
        <v>TUNON_LYO</v>
      </c>
      <c r="B1344" t="str">
        <f>IF(PNL!B1344="","",PNL!B1344)</f>
        <v>708</v>
      </c>
      <c r="C1344" t="str">
        <f>IF(PNL!C1344="","",PNL!C1344)</f>
        <v>2027</v>
      </c>
      <c r="D1344" t="str">
        <f>IF(PNL!D1344="","",PNL!D1344)</f>
        <v>V03</v>
      </c>
      <c r="E1344">
        <f t="shared" si="0"/>
        <v>1</v>
      </c>
      <c r="F1344">
        <f>IF($A1344="","",IF($E1344=1,_xlfn.SUMIFS(Comptabilité!$F$1:$F$1446,Comptabilité!$A$1:$A$1446,$A1344,Comptabilité!$B$1:$B$1446,$B1344,Comptabilité!$C$1:$C$1446,"2026"),0))</f>
        <v>3600</v>
      </c>
      <c r="G1344">
        <f>IF($A1344="","",IF($D1344="V01",Cadrage!$C$23,IF($D1344="V02",Cadrage!$D$23,Cadrage!$E$23)))</f>
        <v>-0.05</v>
      </c>
      <c r="H1344">
        <f>IF($A1344="","",IF($D1344="V01",Cadrage!$C$24,IF($D1344="V02",Cadrage!$D$24,Cadrage!$E$24)))</f>
        <v>-0.05</v>
      </c>
      <c r="I1344">
        <f>IF($A1344="","",IF($D1344="V01",Cadrage!$C$34,IF($D1344="V02",Cadrage!$D$34,Cadrage!$E$34)))</f>
        <v>0.03</v>
      </c>
      <c r="J1344">
        <f>IF($A1344="","",IF($D1344="V01",Cadrage!$C$35,IF($D1344="V02",Cadrage!$D$35,Cadrage!$E$35)))</f>
        <v>0.03</v>
      </c>
      <c r="K1344">
        <f>IF($A1344="","",IF($D1344="V01",Cadrage!$C$36,IF($D1344="V02",Cadrage!$D$36,Cadrage!$E$36)))</f>
        <v>0.05</v>
      </c>
      <c r="L1344">
        <f>IF($A1344="","",IF($D1344="V01",Cadrage!$C$37,IF($D1344="V02",Cadrage!$D$37,Cadrage!$E$37)))</f>
        <v>0</v>
      </c>
      <c r="M1344">
        <f>IF($A1344="","",IF($D1344="V01",Cadrage!$C$38,IF($D1344="V02",Cadrage!$D$38,Cadrage!$E$38)))</f>
        <v>0.04</v>
      </c>
      <c r="N1344">
        <f t="shared" si="1"/>
        <v>0.980622079131853</v>
      </c>
      <c r="O1344">
        <f t="shared" si="2"/>
        <v>0.980622079131853</v>
      </c>
      <c r="P1344">
        <f>IF($A1344="","",IF($E1344=1,$F1344*$O1344,PNL!G1344))</f>
        <v>3530.23948487467</v>
      </c>
      <c r="T1344">
        <f t="shared" si="3"/>
        <v>3530.23948487467</v>
      </c>
    </row>
    <row r="1345" ht="14.25" customHeight="1">
      <c r="A1345" t="str">
        <f>IF(PNL!A1345="","",PNL!A1345)</f>
        <v>TUNON_PAR</v>
      </c>
      <c r="B1345" t="str">
        <f>IF(PNL!B1345="","",PNL!B1345)</f>
        <v>708</v>
      </c>
      <c r="C1345" t="str">
        <f>IF(PNL!C1345="","",PNL!C1345)</f>
        <v>2027</v>
      </c>
      <c r="D1345" t="str">
        <f>IF(PNL!D1345="","",PNL!D1345)</f>
        <v>V03</v>
      </c>
      <c r="E1345">
        <f t="shared" si="0"/>
        <v>1</v>
      </c>
      <c r="F1345">
        <f>IF($A1345="","",IF($E1345=1,_xlfn.SUMIFS(Comptabilité!$F$1:$F$1446,Comptabilité!$A$1:$A$1446,$A1345,Comptabilité!$B$1:$B$1446,$B1345,Comptabilité!$C$1:$C$1446,"2026"),0))</f>
        <v>4230</v>
      </c>
      <c r="G1345">
        <f>IF($A1345="","",IF($D1345="V01",Cadrage!$C$23,IF($D1345="V02",Cadrage!$D$23,Cadrage!$E$23)))</f>
        <v>-0.05</v>
      </c>
      <c r="H1345">
        <f>IF($A1345="","",IF($D1345="V01",Cadrage!$C$24,IF($D1345="V02",Cadrage!$D$24,Cadrage!$E$24)))</f>
        <v>-0.05</v>
      </c>
      <c r="I1345">
        <f>IF($A1345="","",IF($D1345="V01",Cadrage!$C$34,IF($D1345="V02",Cadrage!$D$34,Cadrage!$E$34)))</f>
        <v>0.03</v>
      </c>
      <c r="J1345">
        <f>IF($A1345="","",IF($D1345="V01",Cadrage!$C$35,IF($D1345="V02",Cadrage!$D$35,Cadrage!$E$35)))</f>
        <v>0.03</v>
      </c>
      <c r="K1345">
        <f>IF($A1345="","",IF($D1345="V01",Cadrage!$C$36,IF($D1345="V02",Cadrage!$D$36,Cadrage!$E$36)))</f>
        <v>0.05</v>
      </c>
      <c r="L1345">
        <f>IF($A1345="","",IF($D1345="V01",Cadrage!$C$37,IF($D1345="V02",Cadrage!$D$37,Cadrage!$E$37)))</f>
        <v>0</v>
      </c>
      <c r="M1345">
        <f>IF($A1345="","",IF($D1345="V01",Cadrage!$C$38,IF($D1345="V02",Cadrage!$D$38,Cadrage!$E$38)))</f>
        <v>0.04</v>
      </c>
      <c r="N1345">
        <f t="shared" si="1"/>
        <v>0.980622079131853</v>
      </c>
      <c r="O1345">
        <f t="shared" si="2"/>
        <v>0.980622079131853</v>
      </c>
      <c r="P1345">
        <f>IF($A1345="","",IF($E1345=1,$F1345*$O1345,PNL!G1345))</f>
        <v>4148.03139472774</v>
      </c>
      <c r="T1345">
        <f t="shared" si="3"/>
        <v>4148.03139472774</v>
      </c>
    </row>
    <row r="1346" ht="14.25" customHeight="1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si="0"/>
        <v/>
      </c>
      <c r="F1346" t="str">
        <f>IF($A1346="","",IF($E1346=1,_xlfn.SUMIFS(Comptabilité!$F$1:$F$1446,Comptabilité!$A$1:$A$1446,$A1346,Comptabilité!$B$1:$B$1446,$B1346,Comptabilité!$C$1:$C$1446,"2026"),0))</f>
        <v/>
      </c>
      <c r="G1346" t="str">
        <f>IF($A1346="","",IF($D1346="V01",Cadrage!$C$23,IF($D1346="V02",Cadrage!$D$23,Cadrage!$E$23)))</f>
        <v/>
      </c>
      <c r="H1346" t="str">
        <f>IF($A1346="","",IF($D1346="V01",Cadrage!$C$24,IF($D1346="V02",Cadrage!$D$24,Cadrage!$E$24)))</f>
        <v/>
      </c>
      <c r="I1346" t="str">
        <f>IF($A1346="","",IF($D1346="V01",Cadrage!$C$34,IF($D1346="V02",Cadrage!$D$34,Cadrage!$E$34)))</f>
        <v/>
      </c>
      <c r="J1346" t="str">
        <f>IF($A1346="","",IF($D1346="V01",Cadrage!$C$35,IF($D1346="V02",Cadrage!$D$35,Cadrage!$E$35)))</f>
        <v/>
      </c>
      <c r="K1346" t="str">
        <f>IF($A1346="","",IF($D1346="V01",Cadrage!$C$36,IF($D1346="V02",Cadrage!$D$36,Cadrage!$E$36)))</f>
        <v/>
      </c>
      <c r="L1346" t="str">
        <f>IF($A1346="","",IF($D1346="V01",Cadrage!$C$37,IF($D1346="V02",Cadrage!$D$37,Cadrage!$E$37)))</f>
        <v/>
      </c>
      <c r="M1346" t="str">
        <f>IF($A1346="","",IF($D1346="V01",Cadrage!$C$38,IF($D1346="V02",Cadrage!$D$38,Cadrage!$E$38)))</f>
        <v/>
      </c>
      <c r="N1346" t="str">
        <f t="shared" si="1"/>
        <v/>
      </c>
      <c r="O1346" t="str">
        <f t="shared" si="2"/>
        <v/>
      </c>
      <c r="P1346" t="str">
        <f>IF($A1346="","",IF($E1346=1,$F1346*$O1346,PNL!G1346))</f>
        <v/>
      </c>
      <c r="T1346" t="str">
        <f t="shared" si="3"/>
        <v/>
      </c>
    </row>
    <row r="1347" ht="14.25" customHeight="1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0"/>
        <v/>
      </c>
      <c r="F1347" t="str">
        <f>IF($A1347="","",IF($E1347=1,_xlfn.SUMIFS(Comptabilité!$F$1:$F$1446,Comptabilité!$A$1:$A$1446,$A1347,Comptabilité!$B$1:$B$1446,$B1347,Comptabilité!$C$1:$C$1446,"2026"),0))</f>
        <v/>
      </c>
      <c r="G1347" t="str">
        <f>IF($A1347="","",IF($D1347="V01",Cadrage!$C$23,IF($D1347="V02",Cadrage!$D$23,Cadrage!$E$23)))</f>
        <v/>
      </c>
      <c r="H1347" t="str">
        <f>IF($A1347="","",IF($D1347="V01",Cadrage!$C$24,IF($D1347="V02",Cadrage!$D$24,Cadrage!$E$24)))</f>
        <v/>
      </c>
      <c r="I1347" t="str">
        <f>IF($A1347="","",IF($D1347="V01",Cadrage!$C$34,IF($D1347="V02",Cadrage!$D$34,Cadrage!$E$34)))</f>
        <v/>
      </c>
      <c r="J1347" t="str">
        <f>IF($A1347="","",IF($D1347="V01",Cadrage!$C$35,IF($D1347="V02",Cadrage!$D$35,Cadrage!$E$35)))</f>
        <v/>
      </c>
      <c r="K1347" t="str">
        <f>IF($A1347="","",IF($D1347="V01",Cadrage!$C$36,IF($D1347="V02",Cadrage!$D$36,Cadrage!$E$36)))</f>
        <v/>
      </c>
      <c r="L1347" t="str">
        <f>IF($A1347="","",IF($D1347="V01",Cadrage!$C$37,IF($D1347="V02",Cadrage!$D$37,Cadrage!$E$37)))</f>
        <v/>
      </c>
      <c r="M1347" t="str">
        <f>IF($A1347="","",IF($D1347="V01",Cadrage!$C$38,IF($D1347="V02",Cadrage!$D$38,Cadrage!$E$38)))</f>
        <v/>
      </c>
      <c r="N1347" t="str">
        <f t="shared" si="1"/>
        <v/>
      </c>
      <c r="O1347" t="str">
        <f t="shared" si="2"/>
        <v/>
      </c>
      <c r="P1347" t="str">
        <f>IF($A1347="","",IF($E1347=1,$F1347*$O1347,PNL!G1347))</f>
        <v/>
      </c>
      <c r="T1347" t="str">
        <f t="shared" si="3"/>
        <v/>
      </c>
    </row>
    <row r="1348" ht="14.25" customHeight="1">
      <c r="A1348" t="str">
        <f>IF(PNL!A1348="","",PNL!A1348)</f>
        <v/>
      </c>
      <c r="B1348" t="str">
        <f>IF(PNL!B1348="","",PNL!B1348)</f>
        <v/>
      </c>
      <c r="C1348" t="str">
        <f>IF(PNL!C1348="","",PNL!C1348)</f>
        <v/>
      </c>
      <c r="D1348" t="str">
        <f>IF(PNL!D1348="","",PNL!D1348)</f>
        <v/>
      </c>
      <c r="E1348" t="str">
        <f t="shared" si="0"/>
        <v/>
      </c>
      <c r="F1348" t="str">
        <f>IF($A1348="","",IF($E1348=1,_xlfn.SUMIFS(Comptabilité!$F$1:$F$1446,Comptabilité!$A$1:$A$1446,$A1348,Comptabilité!$B$1:$B$1446,$B1348,Comptabilité!$C$1:$C$1446,"2026"),0))</f>
        <v/>
      </c>
      <c r="G1348" t="str">
        <f>IF($A1348="","",IF($D1348="V01",Cadrage!$C$23,IF($D1348="V02",Cadrage!$D$23,Cadrage!$E$23)))</f>
        <v/>
      </c>
      <c r="H1348" t="str">
        <f>IF($A1348="","",IF($D1348="V01",Cadrage!$C$24,IF($D1348="V02",Cadrage!$D$24,Cadrage!$E$24)))</f>
        <v/>
      </c>
      <c r="I1348" t="str">
        <f>IF($A1348="","",IF($D1348="V01",Cadrage!$C$34,IF($D1348="V02",Cadrage!$D$34,Cadrage!$E$34)))</f>
        <v/>
      </c>
      <c r="J1348" t="str">
        <f>IF($A1348="","",IF($D1348="V01",Cadrage!$C$35,IF($D1348="V02",Cadrage!$D$35,Cadrage!$E$35)))</f>
        <v/>
      </c>
      <c r="K1348" t="str">
        <f>IF($A1348="","",IF($D1348="V01",Cadrage!$C$36,IF($D1348="V02",Cadrage!$D$36,Cadrage!$E$36)))</f>
        <v/>
      </c>
      <c r="L1348" t="str">
        <f>IF($A1348="","",IF($D1348="V01",Cadrage!$C$37,IF($D1348="V02",Cadrage!$D$37,Cadrage!$E$37)))</f>
        <v/>
      </c>
      <c r="M1348" t="str">
        <f>IF($A1348="","",IF($D1348="V01",Cadrage!$C$38,IF($D1348="V02",Cadrage!$D$38,Cadrage!$E$38)))</f>
        <v/>
      </c>
      <c r="N1348" t="str">
        <f t="shared" si="1"/>
        <v/>
      </c>
      <c r="O1348" t="str">
        <f t="shared" si="2"/>
        <v/>
      </c>
      <c r="P1348" t="str">
        <f>IF($A1348="","",IF($E1348=1,$F1348*$O1348,PNL!G1348))</f>
        <v/>
      </c>
    </row>
    <row r="1349" ht="14.25" customHeight="1">
      <c r="A1349" t="str">
        <f>IF(PNL!A1349="","",PNL!A1349)</f>
        <v/>
      </c>
      <c r="B1349" t="str">
        <f>IF(PNL!B1349="","",PNL!B1349)</f>
        <v/>
      </c>
      <c r="C1349" t="str">
        <f>IF(PNL!C1349="","",PNL!C1349)</f>
        <v/>
      </c>
      <c r="D1349" t="str">
        <f>IF(PNL!D1349="","",PNL!D1349)</f>
        <v/>
      </c>
      <c r="E1349" t="str">
        <f t="shared" si="0"/>
        <v/>
      </c>
      <c r="F1349" t="str">
        <f>IF($A1349="","",IF($E1349=1,_xlfn.SUMIFS(Comptabilité!$F$1:$F$1446,Comptabilité!$A$1:$A$1446,$A1349,Comptabilité!$B$1:$B$1446,$B1349,Comptabilité!$C$1:$C$1446,"2026"),0))</f>
        <v/>
      </c>
      <c r="G1349" t="str">
        <f>IF($A1349="","",IF($D1349="V01",Cadrage!$C$23,IF($D1349="V02",Cadrage!$D$23,Cadrage!$E$23)))</f>
        <v/>
      </c>
      <c r="H1349" t="str">
        <f>IF($A1349="","",IF($D1349="V01",Cadrage!$C$24,IF($D1349="V02",Cadrage!$D$24,Cadrage!$E$24)))</f>
        <v/>
      </c>
      <c r="I1349" t="str">
        <f>IF($A1349="","",IF($D1349="V01",Cadrage!$C$34,IF($D1349="V02",Cadrage!$D$34,Cadrage!$E$34)))</f>
        <v/>
      </c>
      <c r="J1349" t="str">
        <f>IF($A1349="","",IF($D1349="V01",Cadrage!$C$35,IF($D1349="V02",Cadrage!$D$35,Cadrage!$E$35)))</f>
        <v/>
      </c>
      <c r="K1349" t="str">
        <f>IF($A1349="","",IF($D1349="V01",Cadrage!$C$36,IF($D1349="V02",Cadrage!$D$36,Cadrage!$E$36)))</f>
        <v/>
      </c>
      <c r="L1349" t="str">
        <f>IF($A1349="","",IF($D1349="V01",Cadrage!$C$37,IF($D1349="V02",Cadrage!$D$37,Cadrage!$E$37)))</f>
        <v/>
      </c>
      <c r="M1349" t="str">
        <f>IF($A1349="","",IF($D1349="V01",Cadrage!$C$38,IF($D1349="V02",Cadrage!$D$38,Cadrage!$E$38)))</f>
        <v/>
      </c>
      <c r="N1349" t="str">
        <f t="shared" si="1"/>
        <v/>
      </c>
      <c r="O1349" t="str">
        <f t="shared" si="2"/>
        <v/>
      </c>
      <c r="P1349" t="str">
        <f>IF($A1349="","",IF($E1349=1,$F1349*$O1349,PNL!G1349))</f>
        <v/>
      </c>
    </row>
    <row r="1350" ht="14.25" customHeight="1">
      <c r="A1350" t="str">
        <f>IF(PNL!A1350="","",PNL!A1350)</f>
        <v/>
      </c>
      <c r="B1350" t="str">
        <f>IF(PNL!B1350="","",PNL!B1350)</f>
        <v/>
      </c>
      <c r="C1350" t="str">
        <f>IF(PNL!C1350="","",PNL!C1350)</f>
        <v/>
      </c>
      <c r="D1350" t="str">
        <f>IF(PNL!D1350="","",PNL!D1350)</f>
        <v/>
      </c>
      <c r="E1350" t="str">
        <f t="shared" si="0"/>
        <v/>
      </c>
      <c r="F1350" t="str">
        <f>IF($A1350="","",IF($E1350=1,_xlfn.SUMIFS(Comptabilité!$F$1:$F$1446,Comptabilité!$A$1:$A$1446,$A1350,Comptabilité!$B$1:$B$1446,$B1350,Comptabilité!$C$1:$C$1446,"2026"),0))</f>
        <v/>
      </c>
      <c r="G1350" t="str">
        <f>IF($A1350="","",IF($D1350="V01",Cadrage!$C$23,IF($D1350="V02",Cadrage!$D$23,Cadrage!$E$23)))</f>
        <v/>
      </c>
      <c r="H1350" t="str">
        <f>IF($A1350="","",IF($D1350="V01",Cadrage!$C$24,IF($D1350="V02",Cadrage!$D$24,Cadrage!$E$24)))</f>
        <v/>
      </c>
      <c r="I1350" t="str">
        <f>IF($A1350="","",IF($D1350="V01",Cadrage!$C$34,IF($D1350="V02",Cadrage!$D$34,Cadrage!$E$34)))</f>
        <v/>
      </c>
      <c r="J1350" t="str">
        <f>IF($A1350="","",IF($D1350="V01",Cadrage!$C$35,IF($D1350="V02",Cadrage!$D$35,Cadrage!$E$35)))</f>
        <v/>
      </c>
      <c r="K1350" t="str">
        <f>IF($A1350="","",IF($D1350="V01",Cadrage!$C$36,IF($D1350="V02",Cadrage!$D$36,Cadrage!$E$36)))</f>
        <v/>
      </c>
      <c r="L1350" t="str">
        <f>IF($A1350="","",IF($D1350="V01",Cadrage!$C$37,IF($D1350="V02",Cadrage!$D$37,Cadrage!$E$37)))</f>
        <v/>
      </c>
      <c r="M1350" t="str">
        <f>IF($A1350="","",IF($D1350="V01",Cadrage!$C$38,IF($D1350="V02",Cadrage!$D$38,Cadrage!$E$38)))</f>
        <v/>
      </c>
      <c r="N1350" t="str">
        <f t="shared" si="1"/>
        <v/>
      </c>
      <c r="O1350" t="str">
        <f t="shared" si="2"/>
        <v/>
      </c>
      <c r="P1350" t="str">
        <f>IF($A1350="","",IF($E1350=1,$F1350*$O1350,PNL!G1350))</f>
        <v/>
      </c>
    </row>
    <row r="1351" ht="14.25" customHeight="1">
      <c r="A1351" t="str">
        <f>IF(PNL!A1351="","",PNL!A1351)</f>
        <v/>
      </c>
      <c r="B1351" t="str">
        <f>IF(PNL!B1351="","",PNL!B1351)</f>
        <v/>
      </c>
      <c r="C1351" t="str">
        <f>IF(PNL!C1351="","",PNL!C1351)</f>
        <v/>
      </c>
      <c r="D1351" t="str">
        <f>IF(PNL!D1351="","",PNL!D1351)</f>
        <v/>
      </c>
      <c r="E1351" t="str">
        <f t="shared" si="0"/>
        <v/>
      </c>
      <c r="F1351" t="str">
        <f>IF($A1351="","",IF($E1351=1,_xlfn.SUMIFS(Comptabilité!$F$1:$F$1446,Comptabilité!$A$1:$A$1446,$A1351,Comptabilité!$B$1:$B$1446,$B1351,Comptabilité!$C$1:$C$1446,"2026"),0))</f>
        <v/>
      </c>
      <c r="G1351" t="str">
        <f>IF($A1351="","",IF($D1351="V01",Cadrage!$C$23,IF($D1351="V02",Cadrage!$D$23,Cadrage!$E$23)))</f>
        <v/>
      </c>
      <c r="H1351" t="str">
        <f>IF($A1351="","",IF($D1351="V01",Cadrage!$C$24,IF($D1351="V02",Cadrage!$D$24,Cadrage!$E$24)))</f>
        <v/>
      </c>
      <c r="I1351" t="str">
        <f>IF($A1351="","",IF($D1351="V01",Cadrage!$C$34,IF($D1351="V02",Cadrage!$D$34,Cadrage!$E$34)))</f>
        <v/>
      </c>
      <c r="J1351" t="str">
        <f>IF($A1351="","",IF($D1351="V01",Cadrage!$C$35,IF($D1351="V02",Cadrage!$D$35,Cadrage!$E$35)))</f>
        <v/>
      </c>
      <c r="K1351" t="str">
        <f>IF($A1351="","",IF($D1351="V01",Cadrage!$C$36,IF($D1351="V02",Cadrage!$D$36,Cadrage!$E$36)))</f>
        <v/>
      </c>
      <c r="L1351" t="str">
        <f>IF($A1351="","",IF($D1351="V01",Cadrage!$C$37,IF($D1351="V02",Cadrage!$D$37,Cadrage!$E$37)))</f>
        <v/>
      </c>
      <c r="M1351" t="str">
        <f>IF($A1351="","",IF($D1351="V01",Cadrage!$C$38,IF($D1351="V02",Cadrage!$D$38,Cadrage!$E$38)))</f>
        <v/>
      </c>
      <c r="N1351" t="str">
        <f t="shared" si="1"/>
        <v/>
      </c>
      <c r="O1351" t="str">
        <f t="shared" si="2"/>
        <v/>
      </c>
      <c r="P1351" t="str">
        <f>IF($A1351="","",IF($E1351=1,$F1351*$O1351,PNL!G1351))</f>
        <v/>
      </c>
    </row>
    <row r="1352" ht="14.25" customHeight="1">
      <c r="A1352" t="str">
        <f>IF(PNL!A1352="","",PNL!A1352)</f>
        <v/>
      </c>
      <c r="B1352" t="str">
        <f>IF(PNL!B1352="","",PNL!B1352)</f>
        <v/>
      </c>
      <c r="C1352" t="str">
        <f>IF(PNL!C1352="","",PNL!C1352)</f>
        <v/>
      </c>
      <c r="D1352" t="str">
        <f>IF(PNL!D1352="","",PNL!D1352)</f>
        <v/>
      </c>
      <c r="E1352" t="str">
        <f t="shared" si="0"/>
        <v/>
      </c>
      <c r="F1352" t="str">
        <f>IF($A1352="","",IF($E1352=1,_xlfn.SUMIFS(Comptabilité!$F$1:$F$1446,Comptabilité!$A$1:$A$1446,$A1352,Comptabilité!$B$1:$B$1446,$B1352,Comptabilité!$C$1:$C$1446,"2026"),0))</f>
        <v/>
      </c>
      <c r="G1352" t="str">
        <f>IF($A1352="","",IF($D1352="V01",Cadrage!$C$23,IF($D1352="V02",Cadrage!$D$23,Cadrage!$E$23)))</f>
        <v/>
      </c>
      <c r="H1352" t="str">
        <f>IF($A1352="","",IF($D1352="V01",Cadrage!$C$24,IF($D1352="V02",Cadrage!$D$24,Cadrage!$E$24)))</f>
        <v/>
      </c>
      <c r="I1352" t="str">
        <f>IF($A1352="","",IF($D1352="V01",Cadrage!$C$34,IF($D1352="V02",Cadrage!$D$34,Cadrage!$E$34)))</f>
        <v/>
      </c>
      <c r="J1352" t="str">
        <f>IF($A1352="","",IF($D1352="V01",Cadrage!$C$35,IF($D1352="V02",Cadrage!$D$35,Cadrage!$E$35)))</f>
        <v/>
      </c>
      <c r="K1352" t="str">
        <f>IF($A1352="","",IF($D1352="V01",Cadrage!$C$36,IF($D1352="V02",Cadrage!$D$36,Cadrage!$E$36)))</f>
        <v/>
      </c>
      <c r="L1352" t="str">
        <f>IF($A1352="","",IF($D1352="V01",Cadrage!$C$37,IF($D1352="V02",Cadrage!$D$37,Cadrage!$E$37)))</f>
        <v/>
      </c>
      <c r="M1352" t="str">
        <f>IF($A1352="","",IF($D1352="V01",Cadrage!$C$38,IF($D1352="V02",Cadrage!$D$38,Cadrage!$E$38)))</f>
        <v/>
      </c>
      <c r="N1352" t="str">
        <f t="shared" si="1"/>
        <v/>
      </c>
      <c r="O1352" t="str">
        <f t="shared" si="2"/>
        <v/>
      </c>
      <c r="P1352" t="str">
        <f>IF($A1352="","",IF($E1352=1,$F1352*$O1352,PNL!G1352))</f>
        <v/>
      </c>
    </row>
    <row r="1353" ht="14.25" customHeight="1">
      <c r="A1353" t="str">
        <f>IF(PNL!A1353="","",PNL!A1353)</f>
        <v/>
      </c>
      <c r="B1353" t="str">
        <f>IF(PNL!B1353="","",PNL!B1353)</f>
        <v/>
      </c>
      <c r="C1353" t="str">
        <f>IF(PNL!C1353="","",PNL!C1353)</f>
        <v/>
      </c>
      <c r="D1353" t="str">
        <f>IF(PNL!D1353="","",PNL!D1353)</f>
        <v/>
      </c>
      <c r="E1353" t="str">
        <f t="shared" si="0"/>
        <v/>
      </c>
      <c r="F1353" t="str">
        <f>IF($A1353="","",IF($E1353=1,_xlfn.SUMIFS(Comptabilité!$F$1:$F$1446,Comptabilité!$A$1:$A$1446,$A1353,Comptabilité!$B$1:$B$1446,$B1353,Comptabilité!$C$1:$C$1446,"2026"),0))</f>
        <v/>
      </c>
      <c r="G1353" t="str">
        <f>IF($A1353="","",IF($D1353="V01",Cadrage!$C$23,IF($D1353="V02",Cadrage!$D$23,Cadrage!$E$23)))</f>
        <v/>
      </c>
      <c r="H1353" t="str">
        <f>IF($A1353="","",IF($D1353="V01",Cadrage!$C$24,IF($D1353="V02",Cadrage!$D$24,Cadrage!$E$24)))</f>
        <v/>
      </c>
      <c r="I1353" t="str">
        <f>IF($A1353="","",IF($D1353="V01",Cadrage!$C$34,IF($D1353="V02",Cadrage!$D$34,Cadrage!$E$34)))</f>
        <v/>
      </c>
      <c r="J1353" t="str">
        <f>IF($A1353="","",IF($D1353="V01",Cadrage!$C$35,IF($D1353="V02",Cadrage!$D$35,Cadrage!$E$35)))</f>
        <v/>
      </c>
      <c r="K1353" t="str">
        <f>IF($A1353="","",IF($D1353="V01",Cadrage!$C$36,IF($D1353="V02",Cadrage!$D$36,Cadrage!$E$36)))</f>
        <v/>
      </c>
      <c r="L1353" t="str">
        <f>IF($A1353="","",IF($D1353="V01",Cadrage!$C$37,IF($D1353="V02",Cadrage!$D$37,Cadrage!$E$37)))</f>
        <v/>
      </c>
      <c r="M1353" t="str">
        <f>IF($A1353="","",IF($D1353="V01",Cadrage!$C$38,IF($D1353="V02",Cadrage!$D$38,Cadrage!$E$38)))</f>
        <v/>
      </c>
      <c r="N1353" t="str">
        <f t="shared" si="1"/>
        <v/>
      </c>
      <c r="O1353" t="str">
        <f t="shared" si="2"/>
        <v/>
      </c>
      <c r="P1353" t="str">
        <f>IF($A1353="","",IF($E1353=1,$F1353*$O1353,PNL!G1353))</f>
        <v/>
      </c>
    </row>
    <row r="1354" ht="14.25" customHeight="1">
      <c r="A1354" t="str">
        <f>IF(PNL!A1354="","",PNL!A1354)</f>
        <v/>
      </c>
      <c r="B1354" t="str">
        <f>IF(PNL!B1354="","",PNL!B1354)</f>
        <v/>
      </c>
      <c r="C1354" t="str">
        <f>IF(PNL!C1354="","",PNL!C1354)</f>
        <v/>
      </c>
      <c r="D1354" t="str">
        <f>IF(PNL!D1354="","",PNL!D1354)</f>
        <v/>
      </c>
      <c r="E1354" t="str">
        <f t="shared" si="0"/>
        <v/>
      </c>
      <c r="F1354" t="str">
        <f>IF($A1354="","",IF($E1354=1,_xlfn.SUMIFS(Comptabilité!$F$1:$F$1446,Comptabilité!$A$1:$A$1446,$A1354,Comptabilité!$B$1:$B$1446,$B1354,Comptabilité!$C$1:$C$1446,"2026"),0))</f>
        <v/>
      </c>
      <c r="G1354" t="str">
        <f>IF($A1354="","",IF($D1354="V01",Cadrage!$C$23,IF($D1354="V02",Cadrage!$D$23,Cadrage!$E$23)))</f>
        <v/>
      </c>
      <c r="H1354" t="str">
        <f>IF($A1354="","",IF($D1354="V01",Cadrage!$C$24,IF($D1354="V02",Cadrage!$D$24,Cadrage!$E$24)))</f>
        <v/>
      </c>
      <c r="I1354" t="str">
        <f>IF($A1354="","",IF($D1354="V01",Cadrage!$C$34,IF($D1354="V02",Cadrage!$D$34,Cadrage!$E$34)))</f>
        <v/>
      </c>
      <c r="J1354" t="str">
        <f>IF($A1354="","",IF($D1354="V01",Cadrage!$C$35,IF($D1354="V02",Cadrage!$D$35,Cadrage!$E$35)))</f>
        <v/>
      </c>
      <c r="K1354" t="str">
        <f>IF($A1354="","",IF($D1354="V01",Cadrage!$C$36,IF($D1354="V02",Cadrage!$D$36,Cadrage!$E$36)))</f>
        <v/>
      </c>
      <c r="L1354" t="str">
        <f>IF($A1354="","",IF($D1354="V01",Cadrage!$C$37,IF($D1354="V02",Cadrage!$D$37,Cadrage!$E$37)))</f>
        <v/>
      </c>
      <c r="M1354" t="str">
        <f>IF($A1354="","",IF($D1354="V01",Cadrage!$C$38,IF($D1354="V02",Cadrage!$D$38,Cadrage!$E$38)))</f>
        <v/>
      </c>
      <c r="N1354" t="str">
        <f t="shared" si="1"/>
        <v/>
      </c>
      <c r="O1354" t="str">
        <f t="shared" si="2"/>
        <v/>
      </c>
      <c r="P1354" t="str">
        <f>IF($A1354="","",IF($E1354=1,$F1354*$O1354,PNL!G1354))</f>
        <v/>
      </c>
    </row>
    <row r="1355" ht="14.25" customHeight="1">
      <c r="A1355" t="str">
        <f>IF(PNL!A1355="","",PNL!A1355)</f>
        <v/>
      </c>
      <c r="B1355" t="str">
        <f>IF(PNL!B1355="","",PNL!B1355)</f>
        <v/>
      </c>
      <c r="C1355" t="str">
        <f>IF(PNL!C1355="","",PNL!C1355)</f>
        <v/>
      </c>
      <c r="D1355" t="str">
        <f>IF(PNL!D1355="","",PNL!D1355)</f>
        <v/>
      </c>
      <c r="E1355" t="str">
        <f t="shared" si="0"/>
        <v/>
      </c>
      <c r="F1355" t="str">
        <f>IF($A1355="","",IF($E1355=1,_xlfn.SUMIFS(Comptabilité!$F$1:$F$1446,Comptabilité!$A$1:$A$1446,$A1355,Comptabilité!$B$1:$B$1446,$B1355,Comptabilité!$C$1:$C$1446,"2026"),0))</f>
        <v/>
      </c>
      <c r="G1355" t="str">
        <f>IF($A1355="","",IF($D1355="V01",Cadrage!$C$23,IF($D1355="V02",Cadrage!$D$23,Cadrage!$E$23)))</f>
        <v/>
      </c>
      <c r="H1355" t="str">
        <f>IF($A1355="","",IF($D1355="V01",Cadrage!$C$24,IF($D1355="V02",Cadrage!$D$24,Cadrage!$E$24)))</f>
        <v/>
      </c>
      <c r="I1355" t="str">
        <f>IF($A1355="","",IF($D1355="V01",Cadrage!$C$34,IF($D1355="V02",Cadrage!$D$34,Cadrage!$E$34)))</f>
        <v/>
      </c>
      <c r="J1355" t="str">
        <f>IF($A1355="","",IF($D1355="V01",Cadrage!$C$35,IF($D1355="V02",Cadrage!$D$35,Cadrage!$E$35)))</f>
        <v/>
      </c>
      <c r="K1355" t="str">
        <f>IF($A1355="","",IF($D1355="V01",Cadrage!$C$36,IF($D1355="V02",Cadrage!$D$36,Cadrage!$E$36)))</f>
        <v/>
      </c>
      <c r="L1355" t="str">
        <f>IF($A1355="","",IF($D1355="V01",Cadrage!$C$37,IF($D1355="V02",Cadrage!$D$37,Cadrage!$E$37)))</f>
        <v/>
      </c>
      <c r="M1355" t="str">
        <f>IF($A1355="","",IF($D1355="V01",Cadrage!$C$38,IF($D1355="V02",Cadrage!$D$38,Cadrage!$E$38)))</f>
        <v/>
      </c>
      <c r="N1355" t="str">
        <f t="shared" si="1"/>
        <v/>
      </c>
      <c r="O1355" t="str">
        <f t="shared" si="2"/>
        <v/>
      </c>
      <c r="P1355" t="str">
        <f>IF($A1355="","",IF($E1355=1,$F1355*$O1355,PNL!G1355))</f>
        <v/>
      </c>
    </row>
    <row r="1356" ht="14.25" customHeight="1">
      <c r="A1356" t="str">
        <f>IF(PNL!A1356="","",PNL!A1356)</f>
        <v/>
      </c>
      <c r="B1356" t="str">
        <f>IF(PNL!B1356="","",PNL!B1356)</f>
        <v/>
      </c>
      <c r="C1356" t="str">
        <f>IF(PNL!C1356="","",PNL!C1356)</f>
        <v/>
      </c>
      <c r="D1356" t="str">
        <f>IF(PNL!D1356="","",PNL!D1356)</f>
        <v/>
      </c>
      <c r="E1356" t="str">
        <f t="shared" si="0"/>
        <v/>
      </c>
      <c r="F1356" t="str">
        <f>IF($A1356="","",IF($E1356=1,_xlfn.SUMIFS(Comptabilité!$F$1:$F$1446,Comptabilité!$A$1:$A$1446,$A1356,Comptabilité!$B$1:$B$1446,$B1356,Comptabilité!$C$1:$C$1446,"2026"),0))</f>
        <v/>
      </c>
      <c r="G1356" t="str">
        <f>IF($A1356="","",IF($D1356="V01",Cadrage!$C$23,IF($D1356="V02",Cadrage!$D$23,Cadrage!$E$23)))</f>
        <v/>
      </c>
      <c r="H1356" t="str">
        <f>IF($A1356="","",IF($D1356="V01",Cadrage!$C$24,IF($D1356="V02",Cadrage!$D$24,Cadrage!$E$24)))</f>
        <v/>
      </c>
      <c r="I1356" t="str">
        <f>IF($A1356="","",IF($D1356="V01",Cadrage!$C$34,IF($D1356="V02",Cadrage!$D$34,Cadrage!$E$34)))</f>
        <v/>
      </c>
      <c r="J1356" t="str">
        <f>IF($A1356="","",IF($D1356="V01",Cadrage!$C$35,IF($D1356="V02",Cadrage!$D$35,Cadrage!$E$35)))</f>
        <v/>
      </c>
      <c r="K1356" t="str">
        <f>IF($A1356="","",IF($D1356="V01",Cadrage!$C$36,IF($D1356="V02",Cadrage!$D$36,Cadrage!$E$36)))</f>
        <v/>
      </c>
      <c r="L1356" t="str">
        <f>IF($A1356="","",IF($D1356="V01",Cadrage!$C$37,IF($D1356="V02",Cadrage!$D$37,Cadrage!$E$37)))</f>
        <v/>
      </c>
      <c r="M1356" t="str">
        <f>IF($A1356="","",IF($D1356="V01",Cadrage!$C$38,IF($D1356="V02",Cadrage!$D$38,Cadrage!$E$38)))</f>
        <v/>
      </c>
      <c r="N1356" t="str">
        <f t="shared" si="1"/>
        <v/>
      </c>
      <c r="O1356" t="str">
        <f t="shared" si="2"/>
        <v/>
      </c>
      <c r="P1356" t="str">
        <f>IF($A1356="","",IF($E1356=1,$F1356*$O1356,PNL!G1356))</f>
        <v/>
      </c>
    </row>
    <row r="1357" ht="14.25" customHeight="1">
      <c r="A1357" t="str">
        <f>IF(PNL!A1357="","",PNL!A1357)</f>
        <v/>
      </c>
      <c r="B1357" t="str">
        <f>IF(PNL!B1357="","",PNL!B1357)</f>
        <v/>
      </c>
      <c r="C1357" t="str">
        <f>IF(PNL!C1357="","",PNL!C1357)</f>
        <v/>
      </c>
      <c r="D1357" t="str">
        <f>IF(PNL!D1357="","",PNL!D1357)</f>
        <v/>
      </c>
      <c r="E1357" t="str">
        <f t="shared" si="0"/>
        <v/>
      </c>
      <c r="F1357" t="str">
        <f>IF($A1357="","",IF($E1357=1,_xlfn.SUMIFS(Comptabilité!$F$1:$F$1446,Comptabilité!$A$1:$A$1446,$A1357,Comptabilité!$B$1:$B$1446,$B1357,Comptabilité!$C$1:$C$1446,"2026"),0))</f>
        <v/>
      </c>
      <c r="G1357" t="str">
        <f>IF($A1357="","",IF($D1357="V01",Cadrage!$C$23,IF($D1357="V02",Cadrage!$D$23,Cadrage!$E$23)))</f>
        <v/>
      </c>
      <c r="H1357" t="str">
        <f>IF($A1357="","",IF($D1357="V01",Cadrage!$C$24,IF($D1357="V02",Cadrage!$D$24,Cadrage!$E$24)))</f>
        <v/>
      </c>
      <c r="I1357" t="str">
        <f>IF($A1357="","",IF($D1357="V01",Cadrage!$C$34,IF($D1357="V02",Cadrage!$D$34,Cadrage!$E$34)))</f>
        <v/>
      </c>
      <c r="J1357" t="str">
        <f>IF($A1357="","",IF($D1357="V01",Cadrage!$C$35,IF($D1357="V02",Cadrage!$D$35,Cadrage!$E$35)))</f>
        <v/>
      </c>
      <c r="K1357" t="str">
        <f>IF($A1357="","",IF($D1357="V01",Cadrage!$C$36,IF($D1357="V02",Cadrage!$D$36,Cadrage!$E$36)))</f>
        <v/>
      </c>
      <c r="L1357" t="str">
        <f>IF($A1357="","",IF($D1357="V01",Cadrage!$C$37,IF($D1357="V02",Cadrage!$D$37,Cadrage!$E$37)))</f>
        <v/>
      </c>
      <c r="M1357" t="str">
        <f>IF($A1357="","",IF($D1357="V01",Cadrage!$C$38,IF($D1357="V02",Cadrage!$D$38,Cadrage!$E$38)))</f>
        <v/>
      </c>
      <c r="N1357" t="str">
        <f t="shared" si="1"/>
        <v/>
      </c>
      <c r="O1357" t="str">
        <f t="shared" si="2"/>
        <v/>
      </c>
      <c r="P1357" t="str">
        <f>IF($A1357="","",IF($E1357=1,$F1357*$O1357,PNL!G1357))</f>
        <v/>
      </c>
    </row>
    <row r="1358" ht="14.25" customHeight="1">
      <c r="A1358" t="str">
        <f>IF(PNL!A1358="","",PNL!A1358)</f>
        <v/>
      </c>
      <c r="B1358" t="str">
        <f>IF(PNL!B1358="","",PNL!B1358)</f>
        <v/>
      </c>
      <c r="C1358" t="str">
        <f>IF(PNL!C1358="","",PNL!C1358)</f>
        <v/>
      </c>
      <c r="D1358" t="str">
        <f>IF(PNL!D1358="","",PNL!D1358)</f>
        <v/>
      </c>
      <c r="E1358" t="str">
        <f t="shared" si="0"/>
        <v/>
      </c>
      <c r="F1358" t="str">
        <f>IF($A1358="","",IF($E1358=1,_xlfn.SUMIFS(Comptabilité!$F$1:$F$1446,Comptabilité!$A$1:$A$1446,$A1358,Comptabilité!$B$1:$B$1446,$B1358,Comptabilité!$C$1:$C$1446,"2026"),0))</f>
        <v/>
      </c>
      <c r="G1358" t="str">
        <f>IF($A1358="","",IF($D1358="V01",Cadrage!$C$23,IF($D1358="V02",Cadrage!$D$23,Cadrage!$E$23)))</f>
        <v/>
      </c>
      <c r="H1358" t="str">
        <f>IF($A1358="","",IF($D1358="V01",Cadrage!$C$24,IF($D1358="V02",Cadrage!$D$24,Cadrage!$E$24)))</f>
        <v/>
      </c>
      <c r="I1358" t="str">
        <f>IF($A1358="","",IF($D1358="V01",Cadrage!$C$34,IF($D1358="V02",Cadrage!$D$34,Cadrage!$E$34)))</f>
        <v/>
      </c>
      <c r="J1358" t="str">
        <f>IF($A1358="","",IF($D1358="V01",Cadrage!$C$35,IF($D1358="V02",Cadrage!$D$35,Cadrage!$E$35)))</f>
        <v/>
      </c>
      <c r="K1358" t="str">
        <f>IF($A1358="","",IF($D1358="V01",Cadrage!$C$36,IF($D1358="V02",Cadrage!$D$36,Cadrage!$E$36)))</f>
        <v/>
      </c>
      <c r="L1358" t="str">
        <f>IF($A1358="","",IF($D1358="V01",Cadrage!$C$37,IF($D1358="V02",Cadrage!$D$37,Cadrage!$E$37)))</f>
        <v/>
      </c>
      <c r="M1358" t="str">
        <f>IF($A1358="","",IF($D1358="V01",Cadrage!$C$38,IF($D1358="V02",Cadrage!$D$38,Cadrage!$E$38)))</f>
        <v/>
      </c>
      <c r="N1358" t="str">
        <f t="shared" si="1"/>
        <v/>
      </c>
      <c r="O1358" t="str">
        <f t="shared" si="2"/>
        <v/>
      </c>
      <c r="P1358" t="str">
        <f>IF($A1358="","",IF($E1358=1,$F1358*$O1358,PNL!G1358))</f>
        <v/>
      </c>
    </row>
    <row r="1359" ht="14.25" customHeight="1">
      <c r="A1359" t="str">
        <f>IF(PNL!A1359="","",PNL!A1359)</f>
        <v/>
      </c>
      <c r="B1359" t="str">
        <f>IF(PNL!B1359="","",PNL!B1359)</f>
        <v/>
      </c>
      <c r="C1359" t="str">
        <f>IF(PNL!C1359="","",PNL!C1359)</f>
        <v/>
      </c>
      <c r="D1359" t="str">
        <f>IF(PNL!D1359="","",PNL!D1359)</f>
        <v/>
      </c>
      <c r="E1359" t="str">
        <f t="shared" si="0"/>
        <v/>
      </c>
      <c r="F1359" t="str">
        <f>IF($A1359="","",IF($E1359=1,_xlfn.SUMIFS(Comptabilité!$F$1:$F$1446,Comptabilité!$A$1:$A$1446,$A1359,Comptabilité!$B$1:$B$1446,$B1359,Comptabilité!$C$1:$C$1446,"2026"),0))</f>
        <v/>
      </c>
      <c r="G1359" t="str">
        <f>IF($A1359="","",IF($D1359="V01",Cadrage!$C$23,IF($D1359="V02",Cadrage!$D$23,Cadrage!$E$23)))</f>
        <v/>
      </c>
      <c r="H1359" t="str">
        <f>IF($A1359="","",IF($D1359="V01",Cadrage!$C$24,IF($D1359="V02",Cadrage!$D$24,Cadrage!$E$24)))</f>
        <v/>
      </c>
      <c r="I1359" t="str">
        <f>IF($A1359="","",IF($D1359="V01",Cadrage!$C$34,IF($D1359="V02",Cadrage!$D$34,Cadrage!$E$34)))</f>
        <v/>
      </c>
      <c r="J1359" t="str">
        <f>IF($A1359="","",IF($D1359="V01",Cadrage!$C$35,IF($D1359="V02",Cadrage!$D$35,Cadrage!$E$35)))</f>
        <v/>
      </c>
      <c r="K1359" t="str">
        <f>IF($A1359="","",IF($D1359="V01",Cadrage!$C$36,IF($D1359="V02",Cadrage!$D$36,Cadrage!$E$36)))</f>
        <v/>
      </c>
      <c r="L1359" t="str">
        <f>IF($A1359="","",IF($D1359="V01",Cadrage!$C$37,IF($D1359="V02",Cadrage!$D$37,Cadrage!$E$37)))</f>
        <v/>
      </c>
      <c r="M1359" t="str">
        <f>IF($A1359="","",IF($D1359="V01",Cadrage!$C$38,IF($D1359="V02",Cadrage!$D$38,Cadrage!$E$38)))</f>
        <v/>
      </c>
      <c r="N1359" t="str">
        <f t="shared" si="1"/>
        <v/>
      </c>
      <c r="O1359" t="str">
        <f t="shared" si="2"/>
        <v/>
      </c>
      <c r="P1359" t="str">
        <f>IF($A1359="","",IF($E1359=1,$F1359*$O1359,PNL!G1359))</f>
        <v/>
      </c>
    </row>
    <row r="1360" ht="14.25" customHeight="1">
      <c r="A1360" t="str">
        <f>IF(PNL!A1360="","",PNL!A1360)</f>
        <v/>
      </c>
      <c r="B1360" t="str">
        <f>IF(PNL!B1360="","",PNL!B1360)</f>
        <v/>
      </c>
      <c r="C1360" t="str">
        <f>IF(PNL!C1360="","",PNL!C1360)</f>
        <v/>
      </c>
      <c r="D1360" t="str">
        <f>IF(PNL!D1360="","",PNL!D1360)</f>
        <v/>
      </c>
      <c r="E1360" t="str">
        <f t="shared" si="0"/>
        <v/>
      </c>
      <c r="F1360" t="str">
        <f>IF($A1360="","",IF($E1360=1,_xlfn.SUMIFS(Comptabilité!$F$1:$F$1446,Comptabilité!$A$1:$A$1446,$A1360,Comptabilité!$B$1:$B$1446,$B1360,Comptabilité!$C$1:$C$1446,"2026"),0))</f>
        <v/>
      </c>
      <c r="G1360" t="str">
        <f>IF($A1360="","",IF($D1360="V01",Cadrage!$C$23,IF($D1360="V02",Cadrage!$D$23,Cadrage!$E$23)))</f>
        <v/>
      </c>
      <c r="H1360" t="str">
        <f>IF($A1360="","",IF($D1360="V01",Cadrage!$C$24,IF($D1360="V02",Cadrage!$D$24,Cadrage!$E$24)))</f>
        <v/>
      </c>
      <c r="I1360" t="str">
        <f>IF($A1360="","",IF($D1360="V01",Cadrage!$C$34,IF($D1360="V02",Cadrage!$D$34,Cadrage!$E$34)))</f>
        <v/>
      </c>
      <c r="J1360" t="str">
        <f>IF($A1360="","",IF($D1360="V01",Cadrage!$C$35,IF($D1360="V02",Cadrage!$D$35,Cadrage!$E$35)))</f>
        <v/>
      </c>
      <c r="K1360" t="str">
        <f>IF($A1360="","",IF($D1360="V01",Cadrage!$C$36,IF($D1360="V02",Cadrage!$D$36,Cadrage!$E$36)))</f>
        <v/>
      </c>
      <c r="L1360" t="str">
        <f>IF($A1360="","",IF($D1360="V01",Cadrage!$C$37,IF($D1360="V02",Cadrage!$D$37,Cadrage!$E$37)))</f>
        <v/>
      </c>
      <c r="M1360" t="str">
        <f>IF($A1360="","",IF($D1360="V01",Cadrage!$C$38,IF($D1360="V02",Cadrage!$D$38,Cadrage!$E$38)))</f>
        <v/>
      </c>
      <c r="N1360" t="str">
        <f t="shared" si="1"/>
        <v/>
      </c>
      <c r="O1360" t="str">
        <f t="shared" si="2"/>
        <v/>
      </c>
      <c r="P1360" t="str">
        <f>IF($A1360="","",IF($E1360=1,$F1360*$O1360,PNL!G1360))</f>
        <v/>
      </c>
    </row>
    <row r="1361" ht="14.25" customHeight="1">
      <c r="A1361" t="str">
        <f>IF(PNL!A1361="","",PNL!A1361)</f>
        <v/>
      </c>
      <c r="B1361" t="str">
        <f>IF(PNL!B1361="","",PNL!B1361)</f>
        <v/>
      </c>
      <c r="C1361" t="str">
        <f>IF(PNL!C1361="","",PNL!C1361)</f>
        <v/>
      </c>
      <c r="D1361" t="str">
        <f>IF(PNL!D1361="","",PNL!D1361)</f>
        <v/>
      </c>
      <c r="E1361" t="str">
        <f t="shared" si="0"/>
        <v/>
      </c>
      <c r="F1361" t="str">
        <f>IF($A1361="","",IF($E1361=1,_xlfn.SUMIFS(Comptabilité!$F$1:$F$1446,Comptabilité!$A$1:$A$1446,$A1361,Comptabilité!$B$1:$B$1446,$B1361,Comptabilité!$C$1:$C$1446,"2026"),0))</f>
        <v/>
      </c>
      <c r="G1361" t="str">
        <f>IF($A1361="","",IF($D1361="V01",Cadrage!$C$23,IF($D1361="V02",Cadrage!$D$23,Cadrage!$E$23)))</f>
        <v/>
      </c>
      <c r="H1361" t="str">
        <f>IF($A1361="","",IF($D1361="V01",Cadrage!$C$24,IF($D1361="V02",Cadrage!$D$24,Cadrage!$E$24)))</f>
        <v/>
      </c>
      <c r="I1361" t="str">
        <f>IF($A1361="","",IF($D1361="V01",Cadrage!$C$34,IF($D1361="V02",Cadrage!$D$34,Cadrage!$E$34)))</f>
        <v/>
      </c>
      <c r="J1361" t="str">
        <f>IF($A1361="","",IF($D1361="V01",Cadrage!$C$35,IF($D1361="V02",Cadrage!$D$35,Cadrage!$E$35)))</f>
        <v/>
      </c>
      <c r="K1361" t="str">
        <f>IF($A1361="","",IF($D1361="V01",Cadrage!$C$36,IF($D1361="V02",Cadrage!$D$36,Cadrage!$E$36)))</f>
        <v/>
      </c>
      <c r="L1361" t="str">
        <f>IF($A1361="","",IF($D1361="V01",Cadrage!$C$37,IF($D1361="V02",Cadrage!$D$37,Cadrage!$E$37)))</f>
        <v/>
      </c>
      <c r="M1361" t="str">
        <f>IF($A1361="","",IF($D1361="V01",Cadrage!$C$38,IF($D1361="V02",Cadrage!$D$38,Cadrage!$E$38)))</f>
        <v/>
      </c>
      <c r="N1361" t="str">
        <f t="shared" si="1"/>
        <v/>
      </c>
      <c r="O1361" t="str">
        <f t="shared" si="2"/>
        <v/>
      </c>
      <c r="P1361" t="str">
        <f>IF($A1361="","",IF($E1361=1,$F1361*$O1361,PNL!G1361))</f>
        <v/>
      </c>
    </row>
    <row r="1362" ht="14.25" customHeight="1">
      <c r="A1362" t="str">
        <f>IF(PNL!A1362="","",PNL!A1362)</f>
        <v/>
      </c>
      <c r="B1362" t="str">
        <f>IF(PNL!B1362="","",PNL!B1362)</f>
        <v/>
      </c>
      <c r="C1362" t="str">
        <f>IF(PNL!C1362="","",PNL!C1362)</f>
        <v/>
      </c>
      <c r="D1362" t="str">
        <f>IF(PNL!D1362="","",PNL!D1362)</f>
        <v/>
      </c>
      <c r="E1362" t="str">
        <f t="shared" si="0"/>
        <v/>
      </c>
      <c r="F1362" t="str">
        <f>IF($A1362="","",IF($E1362=1,_xlfn.SUMIFS(Comptabilité!$F$1:$F$1446,Comptabilité!$A$1:$A$1446,$A1362,Comptabilité!$B$1:$B$1446,$B1362,Comptabilité!$C$1:$C$1446,"2026"),0))</f>
        <v/>
      </c>
      <c r="G1362" t="str">
        <f>IF($A1362="","",IF($D1362="V01",Cadrage!$C$23,IF($D1362="V02",Cadrage!$D$23,Cadrage!$E$23)))</f>
        <v/>
      </c>
      <c r="H1362" t="str">
        <f>IF($A1362="","",IF($D1362="V01",Cadrage!$C$24,IF($D1362="V02",Cadrage!$D$24,Cadrage!$E$24)))</f>
        <v/>
      </c>
      <c r="I1362" t="str">
        <f>IF($A1362="","",IF($D1362="V01",Cadrage!$C$34,IF($D1362="V02",Cadrage!$D$34,Cadrage!$E$34)))</f>
        <v/>
      </c>
      <c r="J1362" t="str">
        <f>IF($A1362="","",IF($D1362="V01",Cadrage!$C$35,IF($D1362="V02",Cadrage!$D$35,Cadrage!$E$35)))</f>
        <v/>
      </c>
      <c r="K1362" t="str">
        <f>IF($A1362="","",IF($D1362="V01",Cadrage!$C$36,IF($D1362="V02",Cadrage!$D$36,Cadrage!$E$36)))</f>
        <v/>
      </c>
      <c r="L1362" t="str">
        <f>IF($A1362="","",IF($D1362="V01",Cadrage!$C$37,IF($D1362="V02",Cadrage!$D$37,Cadrage!$E$37)))</f>
        <v/>
      </c>
      <c r="M1362" t="str">
        <f>IF($A1362="","",IF($D1362="V01",Cadrage!$C$38,IF($D1362="V02",Cadrage!$D$38,Cadrage!$E$38)))</f>
        <v/>
      </c>
      <c r="N1362" t="str">
        <f t="shared" si="1"/>
        <v/>
      </c>
      <c r="O1362" t="str">
        <f t="shared" si="2"/>
        <v/>
      </c>
      <c r="P1362" t="str">
        <f>IF($A1362="","",IF($E1362=1,$F1362*$O1362,PNL!G1362))</f>
        <v/>
      </c>
    </row>
    <row r="1363" ht="14.25" customHeight="1">
      <c r="A1363" t="str">
        <f>IF(PNL!A1363="","",PNL!A1363)</f>
        <v/>
      </c>
      <c r="B1363" t="str">
        <f>IF(PNL!B1363="","",PNL!B1363)</f>
        <v/>
      </c>
      <c r="C1363" t="str">
        <f>IF(PNL!C1363="","",PNL!C1363)</f>
        <v/>
      </c>
      <c r="D1363" t="str">
        <f>IF(PNL!D1363="","",PNL!D1363)</f>
        <v/>
      </c>
      <c r="E1363" t="str">
        <f t="shared" si="0"/>
        <v/>
      </c>
      <c r="F1363" t="str">
        <f>IF($A1363="","",IF($E1363=1,_xlfn.SUMIFS(Comptabilité!$F$1:$F$1446,Comptabilité!$A$1:$A$1446,$A1363,Comptabilité!$B$1:$B$1446,$B1363,Comptabilité!$C$1:$C$1446,"2026"),0))</f>
        <v/>
      </c>
      <c r="G1363" t="str">
        <f>IF($A1363="","",IF($D1363="V01",Cadrage!$C$23,IF($D1363="V02",Cadrage!$D$23,Cadrage!$E$23)))</f>
        <v/>
      </c>
      <c r="H1363" t="str">
        <f>IF($A1363="","",IF($D1363="V01",Cadrage!$C$24,IF($D1363="V02",Cadrage!$D$24,Cadrage!$E$24)))</f>
        <v/>
      </c>
      <c r="I1363" t="str">
        <f>IF($A1363="","",IF($D1363="V01",Cadrage!$C$34,IF($D1363="V02",Cadrage!$D$34,Cadrage!$E$34)))</f>
        <v/>
      </c>
      <c r="J1363" t="str">
        <f>IF($A1363="","",IF($D1363="V01",Cadrage!$C$35,IF($D1363="V02",Cadrage!$D$35,Cadrage!$E$35)))</f>
        <v/>
      </c>
      <c r="K1363" t="str">
        <f>IF($A1363="","",IF($D1363="V01",Cadrage!$C$36,IF($D1363="V02",Cadrage!$D$36,Cadrage!$E$36)))</f>
        <v/>
      </c>
      <c r="L1363" t="str">
        <f>IF($A1363="","",IF($D1363="V01",Cadrage!$C$37,IF($D1363="V02",Cadrage!$D$37,Cadrage!$E$37)))</f>
        <v/>
      </c>
      <c r="M1363" t="str">
        <f>IF($A1363="","",IF($D1363="V01",Cadrage!$C$38,IF($D1363="V02",Cadrage!$D$38,Cadrage!$E$38)))</f>
        <v/>
      </c>
      <c r="N1363" t="str">
        <f t="shared" si="1"/>
        <v/>
      </c>
      <c r="O1363" t="str">
        <f t="shared" si="2"/>
        <v/>
      </c>
      <c r="P1363" t="str">
        <f>IF($A1363="","",IF($E1363=1,$F1363*$O1363,PNL!G1363))</f>
        <v/>
      </c>
    </row>
    <row r="1364" ht="14.25" customHeight="1">
      <c r="A1364" t="str">
        <f>IF(PNL!A1364="","",PNL!A1364)</f>
        <v/>
      </c>
      <c r="B1364" t="str">
        <f>IF(PNL!B1364="","",PNL!B1364)</f>
        <v/>
      </c>
      <c r="C1364" t="str">
        <f>IF(PNL!C1364="","",PNL!C1364)</f>
        <v/>
      </c>
      <c r="D1364" t="str">
        <f>IF(PNL!D1364="","",PNL!D1364)</f>
        <v/>
      </c>
      <c r="E1364" t="str">
        <f t="shared" si="0"/>
        <v/>
      </c>
      <c r="F1364" t="str">
        <f>IF($A1364="","",IF($E1364=1,_xlfn.SUMIFS(Comptabilité!$F$1:$F$1446,Comptabilité!$A$1:$A$1446,$A1364,Comptabilité!$B$1:$B$1446,$B1364,Comptabilité!$C$1:$C$1446,"2026"),0))</f>
        <v/>
      </c>
      <c r="G1364" t="str">
        <f>IF($A1364="","",IF($D1364="V01",Cadrage!$C$23,IF($D1364="V02",Cadrage!$D$23,Cadrage!$E$23)))</f>
        <v/>
      </c>
      <c r="H1364" t="str">
        <f>IF($A1364="","",IF($D1364="V01",Cadrage!$C$24,IF($D1364="V02",Cadrage!$D$24,Cadrage!$E$24)))</f>
        <v/>
      </c>
      <c r="I1364" t="str">
        <f>IF($A1364="","",IF($D1364="V01",Cadrage!$C$34,IF($D1364="V02",Cadrage!$D$34,Cadrage!$E$34)))</f>
        <v/>
      </c>
      <c r="J1364" t="str">
        <f>IF($A1364="","",IF($D1364="V01",Cadrage!$C$35,IF($D1364="V02",Cadrage!$D$35,Cadrage!$E$35)))</f>
        <v/>
      </c>
      <c r="K1364" t="str">
        <f>IF($A1364="","",IF($D1364="V01",Cadrage!$C$36,IF($D1364="V02",Cadrage!$D$36,Cadrage!$E$36)))</f>
        <v/>
      </c>
      <c r="L1364" t="str">
        <f>IF($A1364="","",IF($D1364="V01",Cadrage!$C$37,IF($D1364="V02",Cadrage!$D$37,Cadrage!$E$37)))</f>
        <v/>
      </c>
      <c r="M1364" t="str">
        <f>IF($A1364="","",IF($D1364="V01",Cadrage!$C$38,IF($D1364="V02",Cadrage!$D$38,Cadrage!$E$38)))</f>
        <v/>
      </c>
      <c r="N1364" t="str">
        <f t="shared" si="1"/>
        <v/>
      </c>
      <c r="O1364" t="str">
        <f t="shared" si="2"/>
        <v/>
      </c>
      <c r="P1364" t="str">
        <f>IF($A1364="","",IF($E1364=1,$F1364*$O1364,PNL!G1364))</f>
        <v/>
      </c>
    </row>
    <row r="1365" ht="14.25" customHeight="1">
      <c r="A1365" t="str">
        <f>IF(PNL!A1365="","",PNL!A1365)</f>
        <v/>
      </c>
      <c r="B1365" t="str">
        <f>IF(PNL!B1365="","",PNL!B1365)</f>
        <v/>
      </c>
      <c r="C1365" t="str">
        <f>IF(PNL!C1365="","",PNL!C1365)</f>
        <v/>
      </c>
      <c r="D1365" t="str">
        <f>IF(PNL!D1365="","",PNL!D1365)</f>
        <v/>
      </c>
      <c r="E1365" t="str">
        <f t="shared" si="0"/>
        <v/>
      </c>
      <c r="F1365" t="str">
        <f>IF($A1365="","",IF($E1365=1,_xlfn.SUMIFS(Comptabilité!$F$1:$F$1446,Comptabilité!$A$1:$A$1446,$A1365,Comptabilité!$B$1:$B$1446,$B1365,Comptabilité!$C$1:$C$1446,"2026"),0))</f>
        <v/>
      </c>
      <c r="G1365" t="str">
        <f>IF($A1365="","",IF($D1365="V01",Cadrage!$C$23,IF($D1365="V02",Cadrage!$D$23,Cadrage!$E$23)))</f>
        <v/>
      </c>
      <c r="H1365" t="str">
        <f>IF($A1365="","",IF($D1365="V01",Cadrage!$C$24,IF($D1365="V02",Cadrage!$D$24,Cadrage!$E$24)))</f>
        <v/>
      </c>
      <c r="I1365" t="str">
        <f>IF($A1365="","",IF($D1365="V01",Cadrage!$C$34,IF($D1365="V02",Cadrage!$D$34,Cadrage!$E$34)))</f>
        <v/>
      </c>
      <c r="J1365" t="str">
        <f>IF($A1365="","",IF($D1365="V01",Cadrage!$C$35,IF($D1365="V02",Cadrage!$D$35,Cadrage!$E$35)))</f>
        <v/>
      </c>
      <c r="K1365" t="str">
        <f>IF($A1365="","",IF($D1365="V01",Cadrage!$C$36,IF($D1365="V02",Cadrage!$D$36,Cadrage!$E$36)))</f>
        <v/>
      </c>
      <c r="L1365" t="str">
        <f>IF($A1365="","",IF($D1365="V01",Cadrage!$C$37,IF($D1365="V02",Cadrage!$D$37,Cadrage!$E$37)))</f>
        <v/>
      </c>
      <c r="M1365" t="str">
        <f>IF($A1365="","",IF($D1365="V01",Cadrage!$C$38,IF($D1365="V02",Cadrage!$D$38,Cadrage!$E$38)))</f>
        <v/>
      </c>
      <c r="N1365" t="str">
        <f t="shared" si="1"/>
        <v/>
      </c>
      <c r="O1365" t="str">
        <f t="shared" si="2"/>
        <v/>
      </c>
      <c r="P1365" t="str">
        <f>IF($A1365="","",IF($E1365=1,$F1365*$O1365,PNL!G1365))</f>
        <v/>
      </c>
    </row>
    <row r="1366" ht="14.25" customHeight="1">
      <c r="A1366" t="str">
        <f>IF(PNL!A1366="","",PNL!A1366)</f>
        <v/>
      </c>
      <c r="B1366" t="str">
        <f>IF(PNL!B1366="","",PNL!B1366)</f>
        <v/>
      </c>
      <c r="C1366" t="str">
        <f>IF(PNL!C1366="","",PNL!C1366)</f>
        <v/>
      </c>
      <c r="D1366" t="str">
        <f>IF(PNL!D1366="","",PNL!D1366)</f>
        <v/>
      </c>
      <c r="E1366" t="str">
        <f t="shared" si="0"/>
        <v/>
      </c>
      <c r="F1366" t="str">
        <f>IF($A1366="","",IF($E1366=1,_xlfn.SUMIFS(Comptabilité!$F$1:$F$1446,Comptabilité!$A$1:$A$1446,$A1366,Comptabilité!$B$1:$B$1446,$B1366,Comptabilité!$C$1:$C$1446,"2026"),0))</f>
        <v/>
      </c>
      <c r="G1366" t="str">
        <f>IF($A1366="","",IF($D1366="V01",Cadrage!$C$23,IF($D1366="V02",Cadrage!$D$23,Cadrage!$E$23)))</f>
        <v/>
      </c>
      <c r="H1366" t="str">
        <f>IF($A1366="","",IF($D1366="V01",Cadrage!$C$24,IF($D1366="V02",Cadrage!$D$24,Cadrage!$E$24)))</f>
        <v/>
      </c>
      <c r="I1366" t="str">
        <f>IF($A1366="","",IF($D1366="V01",Cadrage!$C$34,IF($D1366="V02",Cadrage!$D$34,Cadrage!$E$34)))</f>
        <v/>
      </c>
      <c r="J1366" t="str">
        <f>IF($A1366="","",IF($D1366="V01",Cadrage!$C$35,IF($D1366="V02",Cadrage!$D$35,Cadrage!$E$35)))</f>
        <v/>
      </c>
      <c r="K1366" t="str">
        <f>IF($A1366="","",IF($D1366="V01",Cadrage!$C$36,IF($D1366="V02",Cadrage!$D$36,Cadrage!$E$36)))</f>
        <v/>
      </c>
      <c r="L1366" t="str">
        <f>IF($A1366="","",IF($D1366="V01",Cadrage!$C$37,IF($D1366="V02",Cadrage!$D$37,Cadrage!$E$37)))</f>
        <v/>
      </c>
      <c r="M1366" t="str">
        <f>IF($A1366="","",IF($D1366="V01",Cadrage!$C$38,IF($D1366="V02",Cadrage!$D$38,Cadrage!$E$38)))</f>
        <v/>
      </c>
      <c r="N1366" t="str">
        <f t="shared" si="1"/>
        <v/>
      </c>
      <c r="O1366" t="str">
        <f t="shared" si="2"/>
        <v/>
      </c>
      <c r="P1366" t="str">
        <f>IF($A1366="","",IF($E1366=1,$F1366*$O1366,PNL!G1366))</f>
        <v/>
      </c>
    </row>
    <row r="1367" ht="14.25" customHeight="1">
      <c r="A1367" t="str">
        <f>IF(PNL!A1367="","",PNL!A1367)</f>
        <v/>
      </c>
      <c r="B1367" t="str">
        <f>IF(PNL!B1367="","",PNL!B1367)</f>
        <v/>
      </c>
      <c r="C1367" t="str">
        <f>IF(PNL!C1367="","",PNL!C1367)</f>
        <v/>
      </c>
      <c r="D1367" t="str">
        <f>IF(PNL!D1367="","",PNL!D1367)</f>
        <v/>
      </c>
      <c r="E1367" t="str">
        <f t="shared" si="0"/>
        <v/>
      </c>
      <c r="F1367" t="str">
        <f>IF($A1367="","",IF($E1367=1,_xlfn.SUMIFS(Comptabilité!$F$1:$F$1446,Comptabilité!$A$1:$A$1446,$A1367,Comptabilité!$B$1:$B$1446,$B1367,Comptabilité!$C$1:$C$1446,"2026"),0))</f>
        <v/>
      </c>
      <c r="G1367" t="str">
        <f>IF($A1367="","",IF($D1367="V01",Cadrage!$C$23,IF($D1367="V02",Cadrage!$D$23,Cadrage!$E$23)))</f>
        <v/>
      </c>
      <c r="H1367" t="str">
        <f>IF($A1367="","",IF($D1367="V01",Cadrage!$C$24,IF($D1367="V02",Cadrage!$D$24,Cadrage!$E$24)))</f>
        <v/>
      </c>
      <c r="I1367" t="str">
        <f>IF($A1367="","",IF($D1367="V01",Cadrage!$C$34,IF($D1367="V02",Cadrage!$D$34,Cadrage!$E$34)))</f>
        <v/>
      </c>
      <c r="J1367" t="str">
        <f>IF($A1367="","",IF($D1367="V01",Cadrage!$C$35,IF($D1367="V02",Cadrage!$D$35,Cadrage!$E$35)))</f>
        <v/>
      </c>
      <c r="K1367" t="str">
        <f>IF($A1367="","",IF($D1367="V01",Cadrage!$C$36,IF($D1367="V02",Cadrage!$D$36,Cadrage!$E$36)))</f>
        <v/>
      </c>
      <c r="L1367" t="str">
        <f>IF($A1367="","",IF($D1367="V01",Cadrage!$C$37,IF($D1367="V02",Cadrage!$D$37,Cadrage!$E$37)))</f>
        <v/>
      </c>
      <c r="M1367" t="str">
        <f>IF($A1367="","",IF($D1367="V01",Cadrage!$C$38,IF($D1367="V02",Cadrage!$D$38,Cadrage!$E$38)))</f>
        <v/>
      </c>
      <c r="N1367" t="str">
        <f t="shared" si="1"/>
        <v/>
      </c>
      <c r="O1367" t="str">
        <f t="shared" si="2"/>
        <v/>
      </c>
      <c r="P1367" t="str">
        <f>IF($A1367="","",IF($E1367=1,$F1367*$O1367,PNL!G1367))</f>
        <v/>
      </c>
    </row>
    <row r="1368" ht="14.25" customHeight="1">
      <c r="A1368" t="str">
        <f>IF(PNL!A1368="","",PNL!A1368)</f>
        <v/>
      </c>
      <c r="B1368" t="str">
        <f>IF(PNL!B1368="","",PNL!B1368)</f>
        <v/>
      </c>
      <c r="C1368" t="str">
        <f>IF(PNL!C1368="","",PNL!C1368)</f>
        <v/>
      </c>
      <c r="D1368" t="str">
        <f>IF(PNL!D1368="","",PNL!D1368)</f>
        <v/>
      </c>
      <c r="E1368" t="str">
        <f t="shared" si="0"/>
        <v/>
      </c>
      <c r="F1368" t="str">
        <f>IF($A1368="","",IF($E1368=1,_xlfn.SUMIFS(Comptabilité!$F$1:$F$1446,Comptabilité!$A$1:$A$1446,$A1368,Comptabilité!$B$1:$B$1446,$B1368,Comptabilité!$C$1:$C$1446,"2026"),0))</f>
        <v/>
      </c>
      <c r="G1368" t="str">
        <f>IF($A1368="","",IF($D1368="V01",Cadrage!$C$23,IF($D1368="V02",Cadrage!$D$23,Cadrage!$E$23)))</f>
        <v/>
      </c>
      <c r="H1368" t="str">
        <f>IF($A1368="","",IF($D1368="V01",Cadrage!$C$24,IF($D1368="V02",Cadrage!$D$24,Cadrage!$E$24)))</f>
        <v/>
      </c>
      <c r="I1368" t="str">
        <f>IF($A1368="","",IF($D1368="V01",Cadrage!$C$34,IF($D1368="V02",Cadrage!$D$34,Cadrage!$E$34)))</f>
        <v/>
      </c>
      <c r="J1368" t="str">
        <f>IF($A1368="","",IF($D1368="V01",Cadrage!$C$35,IF($D1368="V02",Cadrage!$D$35,Cadrage!$E$35)))</f>
        <v/>
      </c>
      <c r="K1368" t="str">
        <f>IF($A1368="","",IF($D1368="V01",Cadrage!$C$36,IF($D1368="V02",Cadrage!$D$36,Cadrage!$E$36)))</f>
        <v/>
      </c>
      <c r="L1368" t="str">
        <f>IF($A1368="","",IF($D1368="V01",Cadrage!$C$37,IF($D1368="V02",Cadrage!$D$37,Cadrage!$E$37)))</f>
        <v/>
      </c>
      <c r="M1368" t="str">
        <f>IF($A1368="","",IF($D1368="V01",Cadrage!$C$38,IF($D1368="V02",Cadrage!$D$38,Cadrage!$E$38)))</f>
        <v/>
      </c>
      <c r="N1368" t="str">
        <f t="shared" si="1"/>
        <v/>
      </c>
      <c r="O1368" t="str">
        <f t="shared" si="2"/>
        <v/>
      </c>
      <c r="P1368" t="str">
        <f>IF($A1368="","",IF($E1368=1,$F1368*$O1368,PNL!G1368))</f>
        <v/>
      </c>
    </row>
    <row r="1369" ht="14.25" customHeight="1">
      <c r="A1369" t="str">
        <f>IF(PNL!A1369="","",PNL!A1369)</f>
        <v/>
      </c>
      <c r="B1369" t="str">
        <f>IF(PNL!B1369="","",PNL!B1369)</f>
        <v/>
      </c>
      <c r="C1369" t="str">
        <f>IF(PNL!C1369="","",PNL!C1369)</f>
        <v/>
      </c>
      <c r="D1369" t="str">
        <f>IF(PNL!D1369="","",PNL!D1369)</f>
        <v/>
      </c>
      <c r="E1369" t="str">
        <f t="shared" si="0"/>
        <v/>
      </c>
      <c r="F1369" t="str">
        <f>IF($A1369="","",IF($E1369=1,_xlfn.SUMIFS(Comptabilité!$F$1:$F$1446,Comptabilité!$A$1:$A$1446,$A1369,Comptabilité!$B$1:$B$1446,$B1369,Comptabilité!$C$1:$C$1446,"2026"),0))</f>
        <v/>
      </c>
      <c r="G1369" t="str">
        <f>IF($A1369="","",IF($D1369="V01",Cadrage!$C$23,IF($D1369="V02",Cadrage!$D$23,Cadrage!$E$23)))</f>
        <v/>
      </c>
      <c r="H1369" t="str">
        <f>IF($A1369="","",IF($D1369="V01",Cadrage!$C$24,IF($D1369="V02",Cadrage!$D$24,Cadrage!$E$24)))</f>
        <v/>
      </c>
      <c r="I1369" t="str">
        <f>IF($A1369="","",IF($D1369="V01",Cadrage!$C$34,IF($D1369="V02",Cadrage!$D$34,Cadrage!$E$34)))</f>
        <v/>
      </c>
      <c r="J1369" t="str">
        <f>IF($A1369="","",IF($D1369="V01",Cadrage!$C$35,IF($D1369="V02",Cadrage!$D$35,Cadrage!$E$35)))</f>
        <v/>
      </c>
      <c r="K1369" t="str">
        <f>IF($A1369="","",IF($D1369="V01",Cadrage!$C$36,IF($D1369="V02",Cadrage!$D$36,Cadrage!$E$36)))</f>
        <v/>
      </c>
      <c r="L1369" t="str">
        <f>IF($A1369="","",IF($D1369="V01",Cadrage!$C$37,IF($D1369="V02",Cadrage!$D$37,Cadrage!$E$37)))</f>
        <v/>
      </c>
      <c r="M1369" t="str">
        <f>IF($A1369="","",IF($D1369="V01",Cadrage!$C$38,IF($D1369="V02",Cadrage!$D$38,Cadrage!$E$38)))</f>
        <v/>
      </c>
      <c r="N1369" t="str">
        <f t="shared" si="1"/>
        <v/>
      </c>
      <c r="O1369" t="str">
        <f t="shared" si="2"/>
        <v/>
      </c>
      <c r="P1369" t="str">
        <f>IF($A1369="","",IF($E1369=1,$F1369*$O1369,PNL!G1369))</f>
        <v/>
      </c>
    </row>
    <row r="1370" ht="14.25" customHeight="1">
      <c r="A1370" t="str">
        <f>IF(PNL!A1370="","",PNL!A1370)</f>
        <v/>
      </c>
      <c r="B1370" t="str">
        <f>IF(PNL!B1370="","",PNL!B1370)</f>
        <v/>
      </c>
      <c r="C1370" t="str">
        <f>IF(PNL!C1370="","",PNL!C1370)</f>
        <v/>
      </c>
      <c r="D1370" t="str">
        <f>IF(PNL!D1370="","",PNL!D1370)</f>
        <v/>
      </c>
      <c r="E1370" t="str">
        <f t="shared" si="0"/>
        <v/>
      </c>
      <c r="F1370" t="str">
        <f>IF($A1370="","",IF($E1370=1,_xlfn.SUMIFS(Comptabilité!$F$1:$F$1446,Comptabilité!$A$1:$A$1446,$A1370,Comptabilité!$B$1:$B$1446,$B1370,Comptabilité!$C$1:$C$1446,"2026"),0))</f>
        <v/>
      </c>
      <c r="G1370" t="str">
        <f>IF($A1370="","",IF($D1370="V01",Cadrage!$C$23,IF($D1370="V02",Cadrage!$D$23,Cadrage!$E$23)))</f>
        <v/>
      </c>
      <c r="H1370" t="str">
        <f>IF($A1370="","",IF($D1370="V01",Cadrage!$C$24,IF($D1370="V02",Cadrage!$D$24,Cadrage!$E$24)))</f>
        <v/>
      </c>
      <c r="I1370" t="str">
        <f>IF($A1370="","",IF($D1370="V01",Cadrage!$C$34,IF($D1370="V02",Cadrage!$D$34,Cadrage!$E$34)))</f>
        <v/>
      </c>
      <c r="J1370" t="str">
        <f>IF($A1370="","",IF($D1370="V01",Cadrage!$C$35,IF($D1370="V02",Cadrage!$D$35,Cadrage!$E$35)))</f>
        <v/>
      </c>
      <c r="K1370" t="str">
        <f>IF($A1370="","",IF($D1370="V01",Cadrage!$C$36,IF($D1370="V02",Cadrage!$D$36,Cadrage!$E$36)))</f>
        <v/>
      </c>
      <c r="L1370" t="str">
        <f>IF($A1370="","",IF($D1370="V01",Cadrage!$C$37,IF($D1370="V02",Cadrage!$D$37,Cadrage!$E$37)))</f>
        <v/>
      </c>
      <c r="M1370" t="str">
        <f>IF($A1370="","",IF($D1370="V01",Cadrage!$C$38,IF($D1370="V02",Cadrage!$D$38,Cadrage!$E$38)))</f>
        <v/>
      </c>
      <c r="N1370" t="str">
        <f t="shared" si="1"/>
        <v/>
      </c>
      <c r="O1370" t="str">
        <f t="shared" si="2"/>
        <v/>
      </c>
      <c r="P1370" t="str">
        <f>IF($A1370="","",IF($E1370=1,$F1370*$O1370,PNL!G1370))</f>
        <v/>
      </c>
    </row>
    <row r="1371" ht="14.25" customHeight="1">
      <c r="A1371" t="str">
        <f>IF(PNL!A1371="","",PNL!A1371)</f>
        <v/>
      </c>
      <c r="B1371" t="str">
        <f>IF(PNL!B1371="","",PNL!B1371)</f>
        <v/>
      </c>
      <c r="C1371" t="str">
        <f>IF(PNL!C1371="","",PNL!C1371)</f>
        <v/>
      </c>
      <c r="D1371" t="str">
        <f>IF(PNL!D1371="","",PNL!D1371)</f>
        <v/>
      </c>
      <c r="E1371" t="str">
        <f t="shared" si="0"/>
        <v/>
      </c>
      <c r="F1371" t="str">
        <f>IF($A1371="","",IF($E1371=1,_xlfn.SUMIFS(Comptabilité!$F$1:$F$1446,Comptabilité!$A$1:$A$1446,$A1371,Comptabilité!$B$1:$B$1446,$B1371,Comptabilité!$C$1:$C$1446,"2026"),0))</f>
        <v/>
      </c>
      <c r="G1371" t="str">
        <f>IF($A1371="","",IF($D1371="V01",Cadrage!$C$23,IF($D1371="V02",Cadrage!$D$23,Cadrage!$E$23)))</f>
        <v/>
      </c>
      <c r="H1371" t="str">
        <f>IF($A1371="","",IF($D1371="V01",Cadrage!$C$24,IF($D1371="V02",Cadrage!$D$24,Cadrage!$E$24)))</f>
        <v/>
      </c>
      <c r="I1371" t="str">
        <f>IF($A1371="","",IF($D1371="V01",Cadrage!$C$34,IF($D1371="V02",Cadrage!$D$34,Cadrage!$E$34)))</f>
        <v/>
      </c>
      <c r="J1371" t="str">
        <f>IF($A1371="","",IF($D1371="V01",Cadrage!$C$35,IF($D1371="V02",Cadrage!$D$35,Cadrage!$E$35)))</f>
        <v/>
      </c>
      <c r="K1371" t="str">
        <f>IF($A1371="","",IF($D1371="V01",Cadrage!$C$36,IF($D1371="V02",Cadrage!$D$36,Cadrage!$E$36)))</f>
        <v/>
      </c>
      <c r="L1371" t="str">
        <f>IF($A1371="","",IF($D1371="V01",Cadrage!$C$37,IF($D1371="V02",Cadrage!$D$37,Cadrage!$E$37)))</f>
        <v/>
      </c>
      <c r="M1371" t="str">
        <f>IF($A1371="","",IF($D1371="V01",Cadrage!$C$38,IF($D1371="V02",Cadrage!$D$38,Cadrage!$E$38)))</f>
        <v/>
      </c>
      <c r="N1371" t="str">
        <f t="shared" si="1"/>
        <v/>
      </c>
      <c r="O1371" t="str">
        <f t="shared" si="2"/>
        <v/>
      </c>
      <c r="P1371" t="str">
        <f>IF($A1371="","",IF($E1371=1,$F1371*$O1371,PNL!G1371))</f>
        <v/>
      </c>
    </row>
    <row r="1372" ht="14.25" customHeight="1">
      <c r="A1372" t="str">
        <f>IF(PNL!A1372="","",PNL!A1372)</f>
        <v/>
      </c>
      <c r="B1372" t="str">
        <f>IF(PNL!B1372="","",PNL!B1372)</f>
        <v/>
      </c>
      <c r="C1372" t="str">
        <f>IF(PNL!C1372="","",PNL!C1372)</f>
        <v/>
      </c>
      <c r="D1372" t="str">
        <f>IF(PNL!D1372="","",PNL!D1372)</f>
        <v/>
      </c>
      <c r="E1372" t="str">
        <f t="shared" si="0"/>
        <v/>
      </c>
      <c r="F1372" t="str">
        <f>IF($A1372="","",IF($E1372=1,_xlfn.SUMIFS(Comptabilité!$F$1:$F$1446,Comptabilité!$A$1:$A$1446,$A1372,Comptabilité!$B$1:$B$1446,$B1372,Comptabilité!$C$1:$C$1446,"2026"),0))</f>
        <v/>
      </c>
      <c r="G1372" t="str">
        <f>IF($A1372="","",IF($D1372="V01",Cadrage!$C$23,IF($D1372="V02",Cadrage!$D$23,Cadrage!$E$23)))</f>
        <v/>
      </c>
      <c r="H1372" t="str">
        <f>IF($A1372="","",IF($D1372="V01",Cadrage!$C$24,IF($D1372="V02",Cadrage!$D$24,Cadrage!$E$24)))</f>
        <v/>
      </c>
      <c r="I1372" t="str">
        <f>IF($A1372="","",IF($D1372="V01",Cadrage!$C$34,IF($D1372="V02",Cadrage!$D$34,Cadrage!$E$34)))</f>
        <v/>
      </c>
      <c r="J1372" t="str">
        <f>IF($A1372="","",IF($D1372="V01",Cadrage!$C$35,IF($D1372="V02",Cadrage!$D$35,Cadrage!$E$35)))</f>
        <v/>
      </c>
      <c r="K1372" t="str">
        <f>IF($A1372="","",IF($D1372="V01",Cadrage!$C$36,IF($D1372="V02",Cadrage!$D$36,Cadrage!$E$36)))</f>
        <v/>
      </c>
      <c r="L1372" t="str">
        <f>IF($A1372="","",IF($D1372="V01",Cadrage!$C$37,IF($D1372="V02",Cadrage!$D$37,Cadrage!$E$37)))</f>
        <v/>
      </c>
      <c r="M1372" t="str">
        <f>IF($A1372="","",IF($D1372="V01",Cadrage!$C$38,IF($D1372="V02",Cadrage!$D$38,Cadrage!$E$38)))</f>
        <v/>
      </c>
      <c r="N1372" t="str">
        <f t="shared" si="1"/>
        <v/>
      </c>
      <c r="O1372" t="str">
        <f t="shared" si="2"/>
        <v/>
      </c>
      <c r="P1372" t="str">
        <f>IF($A1372="","",IF($E1372=1,$F1372*$O1372,PNL!G1372))</f>
        <v/>
      </c>
    </row>
    <row r="1373" ht="14.25" customHeight="1">
      <c r="A1373" t="str">
        <f>IF(PNL!A1373="","",PNL!A1373)</f>
        <v/>
      </c>
      <c r="B1373" t="str">
        <f>IF(PNL!B1373="","",PNL!B1373)</f>
        <v/>
      </c>
      <c r="C1373" t="str">
        <f>IF(PNL!C1373="","",PNL!C1373)</f>
        <v/>
      </c>
      <c r="D1373" t="str">
        <f>IF(PNL!D1373="","",PNL!D1373)</f>
        <v/>
      </c>
      <c r="E1373" t="str">
        <f t="shared" si="0"/>
        <v/>
      </c>
      <c r="F1373" t="str">
        <f>IF($A1373="","",IF($E1373=1,_xlfn.SUMIFS(Comptabilité!$F$1:$F$1446,Comptabilité!$A$1:$A$1446,$A1373,Comptabilité!$B$1:$B$1446,$B1373,Comptabilité!$C$1:$C$1446,"2026"),0))</f>
        <v/>
      </c>
      <c r="G1373" t="str">
        <f>IF($A1373="","",IF($D1373="V01",Cadrage!$C$23,IF($D1373="V02",Cadrage!$D$23,Cadrage!$E$23)))</f>
        <v/>
      </c>
      <c r="H1373" t="str">
        <f>IF($A1373="","",IF($D1373="V01",Cadrage!$C$24,IF($D1373="V02",Cadrage!$D$24,Cadrage!$E$24)))</f>
        <v/>
      </c>
      <c r="I1373" t="str">
        <f>IF($A1373="","",IF($D1373="V01",Cadrage!$C$34,IF($D1373="V02",Cadrage!$D$34,Cadrage!$E$34)))</f>
        <v/>
      </c>
      <c r="J1373" t="str">
        <f>IF($A1373="","",IF($D1373="V01",Cadrage!$C$35,IF($D1373="V02",Cadrage!$D$35,Cadrage!$E$35)))</f>
        <v/>
      </c>
      <c r="K1373" t="str">
        <f>IF($A1373="","",IF($D1373="V01",Cadrage!$C$36,IF($D1373="V02",Cadrage!$D$36,Cadrage!$E$36)))</f>
        <v/>
      </c>
      <c r="L1373" t="str">
        <f>IF($A1373="","",IF($D1373="V01",Cadrage!$C$37,IF($D1373="V02",Cadrage!$D$37,Cadrage!$E$37)))</f>
        <v/>
      </c>
      <c r="M1373" t="str">
        <f>IF($A1373="","",IF($D1373="V01",Cadrage!$C$38,IF($D1373="V02",Cadrage!$D$38,Cadrage!$E$38)))</f>
        <v/>
      </c>
      <c r="N1373" t="str">
        <f t="shared" si="1"/>
        <v/>
      </c>
      <c r="O1373" t="str">
        <f t="shared" si="2"/>
        <v/>
      </c>
      <c r="P1373" t="str">
        <f>IF($A1373="","",IF($E1373=1,$F1373*$O1373,PNL!G1373))</f>
        <v/>
      </c>
    </row>
    <row r="1374" ht="14.25" customHeight="1">
      <c r="A1374" t="str">
        <f>IF(PNL!A1374="","",PNL!A1374)</f>
        <v/>
      </c>
      <c r="B1374" t="str">
        <f>IF(PNL!B1374="","",PNL!B1374)</f>
        <v/>
      </c>
      <c r="C1374" t="str">
        <f>IF(PNL!C1374="","",PNL!C1374)</f>
        <v/>
      </c>
      <c r="D1374" t="str">
        <f>IF(PNL!D1374="","",PNL!D1374)</f>
        <v/>
      </c>
      <c r="E1374" t="str">
        <f t="shared" si="0"/>
        <v/>
      </c>
      <c r="F1374" t="str">
        <f>IF($A1374="","",IF($E1374=1,_xlfn.SUMIFS(Comptabilité!$F$1:$F$1446,Comptabilité!$A$1:$A$1446,$A1374,Comptabilité!$B$1:$B$1446,$B1374,Comptabilité!$C$1:$C$1446,"2026"),0))</f>
        <v/>
      </c>
      <c r="G1374" t="str">
        <f>IF($A1374="","",IF($D1374="V01",Cadrage!$C$23,IF($D1374="V02",Cadrage!$D$23,Cadrage!$E$23)))</f>
        <v/>
      </c>
      <c r="H1374" t="str">
        <f>IF($A1374="","",IF($D1374="V01",Cadrage!$C$24,IF($D1374="V02",Cadrage!$D$24,Cadrage!$E$24)))</f>
        <v/>
      </c>
      <c r="I1374" t="str">
        <f>IF($A1374="","",IF($D1374="V01",Cadrage!$C$34,IF($D1374="V02",Cadrage!$D$34,Cadrage!$E$34)))</f>
        <v/>
      </c>
      <c r="J1374" t="str">
        <f>IF($A1374="","",IF($D1374="V01",Cadrage!$C$35,IF($D1374="V02",Cadrage!$D$35,Cadrage!$E$35)))</f>
        <v/>
      </c>
      <c r="K1374" t="str">
        <f>IF($A1374="","",IF($D1374="V01",Cadrage!$C$36,IF($D1374="V02",Cadrage!$D$36,Cadrage!$E$36)))</f>
        <v/>
      </c>
      <c r="L1374" t="str">
        <f>IF($A1374="","",IF($D1374="V01",Cadrage!$C$37,IF($D1374="V02",Cadrage!$D$37,Cadrage!$E$37)))</f>
        <v/>
      </c>
      <c r="M1374" t="str">
        <f>IF($A1374="","",IF($D1374="V01",Cadrage!$C$38,IF($D1374="V02",Cadrage!$D$38,Cadrage!$E$38)))</f>
        <v/>
      </c>
      <c r="N1374" t="str">
        <f t="shared" si="1"/>
        <v/>
      </c>
      <c r="O1374" t="str">
        <f t="shared" si="2"/>
        <v/>
      </c>
      <c r="P1374" t="str">
        <f>IF($A1374="","",IF($E1374=1,$F1374*$O1374,PNL!G1374))</f>
        <v/>
      </c>
    </row>
    <row r="1375" ht="14.25" customHeight="1">
      <c r="A1375" t="str">
        <f>IF(PNL!A1375="","",PNL!A1375)</f>
        <v/>
      </c>
      <c r="B1375" t="str">
        <f>IF(PNL!B1375="","",PNL!B1375)</f>
        <v/>
      </c>
      <c r="C1375" t="str">
        <f>IF(PNL!C1375="","",PNL!C1375)</f>
        <v/>
      </c>
      <c r="D1375" t="str">
        <f>IF(PNL!D1375="","",PNL!D1375)</f>
        <v/>
      </c>
      <c r="E1375" t="str">
        <f t="shared" si="0"/>
        <v/>
      </c>
      <c r="F1375" t="str">
        <f>IF($A1375="","",IF($E1375=1,_xlfn.SUMIFS(Comptabilité!$F$1:$F$1446,Comptabilité!$A$1:$A$1446,$A1375,Comptabilité!$B$1:$B$1446,$B1375,Comptabilité!$C$1:$C$1446,"2026"),0))</f>
        <v/>
      </c>
      <c r="G1375" t="str">
        <f>IF($A1375="","",IF($D1375="V01",Cadrage!$C$23,IF($D1375="V02",Cadrage!$D$23,Cadrage!$E$23)))</f>
        <v/>
      </c>
      <c r="H1375" t="str">
        <f>IF($A1375="","",IF($D1375="V01",Cadrage!$C$24,IF($D1375="V02",Cadrage!$D$24,Cadrage!$E$24)))</f>
        <v/>
      </c>
      <c r="I1375" t="str">
        <f>IF($A1375="","",IF($D1375="V01",Cadrage!$C$34,IF($D1375="V02",Cadrage!$D$34,Cadrage!$E$34)))</f>
        <v/>
      </c>
      <c r="J1375" t="str">
        <f>IF($A1375="","",IF($D1375="V01",Cadrage!$C$35,IF($D1375="V02",Cadrage!$D$35,Cadrage!$E$35)))</f>
        <v/>
      </c>
      <c r="K1375" t="str">
        <f>IF($A1375="","",IF($D1375="V01",Cadrage!$C$36,IF($D1375="V02",Cadrage!$D$36,Cadrage!$E$36)))</f>
        <v/>
      </c>
      <c r="L1375" t="str">
        <f>IF($A1375="","",IF($D1375="V01",Cadrage!$C$37,IF($D1375="V02",Cadrage!$D$37,Cadrage!$E$37)))</f>
        <v/>
      </c>
      <c r="M1375" t="str">
        <f>IF($A1375="","",IF($D1375="V01",Cadrage!$C$38,IF($D1375="V02",Cadrage!$D$38,Cadrage!$E$38)))</f>
        <v/>
      </c>
      <c r="N1375" t="str">
        <f t="shared" si="1"/>
        <v/>
      </c>
      <c r="O1375" t="str">
        <f t="shared" si="2"/>
        <v/>
      </c>
      <c r="P1375" t="str">
        <f>IF($A1375="","",IF($E1375=1,$F1375*$O1375,PNL!G1375))</f>
        <v/>
      </c>
    </row>
    <row r="1376" ht="14.25" customHeight="1">
      <c r="A1376" t="str">
        <f>IF(PNL!A1376="","",PNL!A1376)</f>
        <v/>
      </c>
      <c r="B1376" t="str">
        <f>IF(PNL!B1376="","",PNL!B1376)</f>
        <v/>
      </c>
      <c r="C1376" t="str">
        <f>IF(PNL!C1376="","",PNL!C1376)</f>
        <v/>
      </c>
      <c r="D1376" t="str">
        <f>IF(PNL!D1376="","",PNL!D1376)</f>
        <v/>
      </c>
      <c r="E1376" t="str">
        <f t="shared" si="0"/>
        <v/>
      </c>
      <c r="F1376" t="str">
        <f>IF($A1376="","",IF($E1376=1,_xlfn.SUMIFS(Comptabilité!$F$1:$F$1446,Comptabilité!$A$1:$A$1446,$A1376,Comptabilité!$B$1:$B$1446,$B1376,Comptabilité!$C$1:$C$1446,"2026"),0))</f>
        <v/>
      </c>
      <c r="G1376" t="str">
        <f>IF($A1376="","",IF($D1376="V01",Cadrage!$C$23,IF($D1376="V02",Cadrage!$D$23,Cadrage!$E$23)))</f>
        <v/>
      </c>
      <c r="H1376" t="str">
        <f>IF($A1376="","",IF($D1376="V01",Cadrage!$C$24,IF($D1376="V02",Cadrage!$D$24,Cadrage!$E$24)))</f>
        <v/>
      </c>
      <c r="I1376" t="str">
        <f>IF($A1376="","",IF($D1376="V01",Cadrage!$C$34,IF($D1376="V02",Cadrage!$D$34,Cadrage!$E$34)))</f>
        <v/>
      </c>
      <c r="J1376" t="str">
        <f>IF($A1376="","",IF($D1376="V01",Cadrage!$C$35,IF($D1376="V02",Cadrage!$D$35,Cadrage!$E$35)))</f>
        <v/>
      </c>
      <c r="K1376" t="str">
        <f>IF($A1376="","",IF($D1376="V01",Cadrage!$C$36,IF($D1376="V02",Cadrage!$D$36,Cadrage!$E$36)))</f>
        <v/>
      </c>
      <c r="L1376" t="str">
        <f>IF($A1376="","",IF($D1376="V01",Cadrage!$C$37,IF($D1376="V02",Cadrage!$D$37,Cadrage!$E$37)))</f>
        <v/>
      </c>
      <c r="M1376" t="str">
        <f>IF($A1376="","",IF($D1376="V01",Cadrage!$C$38,IF($D1376="V02",Cadrage!$D$38,Cadrage!$E$38)))</f>
        <v/>
      </c>
      <c r="N1376" t="str">
        <f t="shared" si="1"/>
        <v/>
      </c>
      <c r="O1376" t="str">
        <f t="shared" si="2"/>
        <v/>
      </c>
      <c r="P1376" t="str">
        <f>IF($A1376="","",IF($E1376=1,$F1376*$O1376,PNL!G1376))</f>
        <v/>
      </c>
    </row>
    <row r="1377" ht="14.25" customHeight="1">
      <c r="A1377" t="str">
        <f>IF(PNL!A1377="","",PNL!A1377)</f>
        <v/>
      </c>
      <c r="B1377" t="str">
        <f>IF(PNL!B1377="","",PNL!B1377)</f>
        <v/>
      </c>
      <c r="C1377" t="str">
        <f>IF(PNL!C1377="","",PNL!C1377)</f>
        <v/>
      </c>
      <c r="D1377" t="str">
        <f>IF(PNL!D1377="","",PNL!D1377)</f>
        <v/>
      </c>
      <c r="E1377" t="str">
        <f t="shared" si="0"/>
        <v/>
      </c>
      <c r="F1377" t="str">
        <f>IF($A1377="","",IF($E1377=1,_xlfn.SUMIFS(Comptabilité!$F$1:$F$1446,Comptabilité!$A$1:$A$1446,$A1377,Comptabilité!$B$1:$B$1446,$B1377,Comptabilité!$C$1:$C$1446,"2026"),0))</f>
        <v/>
      </c>
      <c r="G1377" t="str">
        <f>IF($A1377="","",IF($D1377="V01",Cadrage!$C$23,IF($D1377="V02",Cadrage!$D$23,Cadrage!$E$23)))</f>
        <v/>
      </c>
      <c r="H1377" t="str">
        <f>IF($A1377="","",IF($D1377="V01",Cadrage!$C$24,IF($D1377="V02",Cadrage!$D$24,Cadrage!$E$24)))</f>
        <v/>
      </c>
      <c r="I1377" t="str">
        <f>IF($A1377="","",IF($D1377="V01",Cadrage!$C$34,IF($D1377="V02",Cadrage!$D$34,Cadrage!$E$34)))</f>
        <v/>
      </c>
      <c r="J1377" t="str">
        <f>IF($A1377="","",IF($D1377="V01",Cadrage!$C$35,IF($D1377="V02",Cadrage!$D$35,Cadrage!$E$35)))</f>
        <v/>
      </c>
      <c r="K1377" t="str">
        <f>IF($A1377="","",IF($D1377="V01",Cadrage!$C$36,IF($D1377="V02",Cadrage!$D$36,Cadrage!$E$36)))</f>
        <v/>
      </c>
      <c r="L1377" t="str">
        <f>IF($A1377="","",IF($D1377="V01",Cadrage!$C$37,IF($D1377="V02",Cadrage!$D$37,Cadrage!$E$37)))</f>
        <v/>
      </c>
      <c r="M1377" t="str">
        <f>IF($A1377="","",IF($D1377="V01",Cadrage!$C$38,IF($D1377="V02",Cadrage!$D$38,Cadrage!$E$38)))</f>
        <v/>
      </c>
      <c r="N1377" t="str">
        <f t="shared" si="1"/>
        <v/>
      </c>
      <c r="O1377" t="str">
        <f t="shared" si="2"/>
        <v/>
      </c>
      <c r="P1377" t="str">
        <f>IF($A1377="","",IF($E1377=1,$F1377*$O1377,PNL!G1377))</f>
        <v/>
      </c>
    </row>
    <row r="1378" ht="14.25" customHeight="1">
      <c r="A1378" t="str">
        <f>IF(PNL!A1378="","",PNL!A1378)</f>
        <v/>
      </c>
      <c r="B1378" t="str">
        <f>IF(PNL!B1378="","",PNL!B1378)</f>
        <v/>
      </c>
      <c r="C1378" t="str">
        <f>IF(PNL!C1378="","",PNL!C1378)</f>
        <v/>
      </c>
      <c r="D1378" t="str">
        <f>IF(PNL!D1378="","",PNL!D1378)</f>
        <v/>
      </c>
      <c r="E1378" t="str">
        <f t="shared" si="0"/>
        <v/>
      </c>
      <c r="F1378" t="str">
        <f>IF($A1378="","",IF($E1378=1,_xlfn.SUMIFS(Comptabilité!$F$1:$F$1446,Comptabilité!$A$1:$A$1446,$A1378,Comptabilité!$B$1:$B$1446,$B1378,Comptabilité!$C$1:$C$1446,"2026"),0))</f>
        <v/>
      </c>
      <c r="G1378" t="str">
        <f>IF($A1378="","",IF($D1378="V01",Cadrage!$C$23,IF($D1378="V02",Cadrage!$D$23,Cadrage!$E$23)))</f>
        <v/>
      </c>
      <c r="H1378" t="str">
        <f>IF($A1378="","",IF($D1378="V01",Cadrage!$C$24,IF($D1378="V02",Cadrage!$D$24,Cadrage!$E$24)))</f>
        <v/>
      </c>
      <c r="I1378" t="str">
        <f>IF($A1378="","",IF($D1378="V01",Cadrage!$C$34,IF($D1378="V02",Cadrage!$D$34,Cadrage!$E$34)))</f>
        <v/>
      </c>
      <c r="J1378" t="str">
        <f>IF($A1378="","",IF($D1378="V01",Cadrage!$C$35,IF($D1378="V02",Cadrage!$D$35,Cadrage!$E$35)))</f>
        <v/>
      </c>
      <c r="K1378" t="str">
        <f>IF($A1378="","",IF($D1378="V01",Cadrage!$C$36,IF($D1378="V02",Cadrage!$D$36,Cadrage!$E$36)))</f>
        <v/>
      </c>
      <c r="L1378" t="str">
        <f>IF($A1378="","",IF($D1378="V01",Cadrage!$C$37,IF($D1378="V02",Cadrage!$D$37,Cadrage!$E$37)))</f>
        <v/>
      </c>
      <c r="M1378" t="str">
        <f>IF($A1378="","",IF($D1378="V01",Cadrage!$C$38,IF($D1378="V02",Cadrage!$D$38,Cadrage!$E$38)))</f>
        <v/>
      </c>
      <c r="N1378" t="str">
        <f t="shared" si="1"/>
        <v/>
      </c>
      <c r="O1378" t="str">
        <f t="shared" si="2"/>
        <v/>
      </c>
      <c r="P1378" t="str">
        <f>IF($A1378="","",IF($E1378=1,$F1378*$O1378,PNL!G1378))</f>
        <v/>
      </c>
    </row>
    <row r="1379" ht="14.25" customHeight="1">
      <c r="A1379" t="str">
        <f>IF(PNL!A1379="","",PNL!A1379)</f>
        <v/>
      </c>
      <c r="B1379" t="str">
        <f>IF(PNL!B1379="","",PNL!B1379)</f>
        <v/>
      </c>
      <c r="C1379" t="str">
        <f>IF(PNL!C1379="","",PNL!C1379)</f>
        <v/>
      </c>
      <c r="D1379" t="str">
        <f>IF(PNL!D1379="","",PNL!D1379)</f>
        <v/>
      </c>
      <c r="E1379" t="str">
        <f t="shared" si="0"/>
        <v/>
      </c>
      <c r="F1379" t="str">
        <f>IF($A1379="","",IF($E1379=1,_xlfn.SUMIFS(Comptabilité!$F$1:$F$1446,Comptabilité!$A$1:$A$1446,$A1379,Comptabilité!$B$1:$B$1446,$B1379,Comptabilité!$C$1:$C$1446,"2026"),0))</f>
        <v/>
      </c>
      <c r="G1379" t="str">
        <f>IF($A1379="","",IF($D1379="V01",Cadrage!$C$23,IF($D1379="V02",Cadrage!$D$23,Cadrage!$E$23)))</f>
        <v/>
      </c>
      <c r="H1379" t="str">
        <f>IF($A1379="","",IF($D1379="V01",Cadrage!$C$24,IF($D1379="V02",Cadrage!$D$24,Cadrage!$E$24)))</f>
        <v/>
      </c>
      <c r="I1379" t="str">
        <f>IF($A1379="","",IF($D1379="V01",Cadrage!$C$34,IF($D1379="V02",Cadrage!$D$34,Cadrage!$E$34)))</f>
        <v/>
      </c>
      <c r="J1379" t="str">
        <f>IF($A1379="","",IF($D1379="V01",Cadrage!$C$35,IF($D1379="V02",Cadrage!$D$35,Cadrage!$E$35)))</f>
        <v/>
      </c>
      <c r="K1379" t="str">
        <f>IF($A1379="","",IF($D1379="V01",Cadrage!$C$36,IF($D1379="V02",Cadrage!$D$36,Cadrage!$E$36)))</f>
        <v/>
      </c>
      <c r="L1379" t="str">
        <f>IF($A1379="","",IF($D1379="V01",Cadrage!$C$37,IF($D1379="V02",Cadrage!$D$37,Cadrage!$E$37)))</f>
        <v/>
      </c>
      <c r="M1379" t="str">
        <f>IF($A1379="","",IF($D1379="V01",Cadrage!$C$38,IF($D1379="V02",Cadrage!$D$38,Cadrage!$E$38)))</f>
        <v/>
      </c>
      <c r="N1379" t="str">
        <f t="shared" si="1"/>
        <v/>
      </c>
      <c r="O1379" t="str">
        <f t="shared" si="2"/>
        <v/>
      </c>
      <c r="P1379" t="str">
        <f>IF($A1379="","",IF($E1379=1,$F1379*$O1379,PNL!G1379))</f>
        <v/>
      </c>
    </row>
    <row r="1380" ht="14.25" customHeight="1">
      <c r="A1380" t="str">
        <f>IF(PNL!A1380="","",PNL!A1380)</f>
        <v/>
      </c>
      <c r="B1380" t="str">
        <f>IF(PNL!B1380="","",PNL!B1380)</f>
        <v/>
      </c>
      <c r="C1380" t="str">
        <f>IF(PNL!C1380="","",PNL!C1380)</f>
        <v/>
      </c>
      <c r="D1380" t="str">
        <f>IF(PNL!D1380="","",PNL!D1380)</f>
        <v/>
      </c>
      <c r="E1380" t="str">
        <f t="shared" si="0"/>
        <v/>
      </c>
      <c r="F1380" t="str">
        <f>IF($A1380="","",IF($E1380=1,_xlfn.SUMIFS(Comptabilité!$F$1:$F$1446,Comptabilité!$A$1:$A$1446,$A1380,Comptabilité!$B$1:$B$1446,$B1380,Comptabilité!$C$1:$C$1446,"2026"),0))</f>
        <v/>
      </c>
      <c r="G1380" t="str">
        <f>IF($A1380="","",IF($D1380="V01",Cadrage!$C$23,IF($D1380="V02",Cadrage!$D$23,Cadrage!$E$23)))</f>
        <v/>
      </c>
      <c r="H1380" t="str">
        <f>IF($A1380="","",IF($D1380="V01",Cadrage!$C$24,IF($D1380="V02",Cadrage!$D$24,Cadrage!$E$24)))</f>
        <v/>
      </c>
      <c r="I1380" t="str">
        <f>IF($A1380="","",IF($D1380="V01",Cadrage!$C$34,IF($D1380="V02",Cadrage!$D$34,Cadrage!$E$34)))</f>
        <v/>
      </c>
      <c r="J1380" t="str">
        <f>IF($A1380="","",IF($D1380="V01",Cadrage!$C$35,IF($D1380="V02",Cadrage!$D$35,Cadrage!$E$35)))</f>
        <v/>
      </c>
      <c r="K1380" t="str">
        <f>IF($A1380="","",IF($D1380="V01",Cadrage!$C$36,IF($D1380="V02",Cadrage!$D$36,Cadrage!$E$36)))</f>
        <v/>
      </c>
      <c r="L1380" t="str">
        <f>IF($A1380="","",IF($D1380="V01",Cadrage!$C$37,IF($D1380="V02",Cadrage!$D$37,Cadrage!$E$37)))</f>
        <v/>
      </c>
      <c r="M1380" t="str">
        <f>IF($A1380="","",IF($D1380="V01",Cadrage!$C$38,IF($D1380="V02",Cadrage!$D$38,Cadrage!$E$38)))</f>
        <v/>
      </c>
      <c r="N1380" t="str">
        <f t="shared" si="1"/>
        <v/>
      </c>
      <c r="O1380" t="str">
        <f t="shared" si="2"/>
        <v/>
      </c>
      <c r="P1380" t="str">
        <f>IF($A1380="","",IF($E1380=1,$F1380*$O1380,PNL!G1380))</f>
        <v/>
      </c>
    </row>
    <row r="1381" ht="14.25" customHeight="1">
      <c r="A1381" t="str">
        <f>IF(PNL!A1381="","",PNL!A1381)</f>
        <v/>
      </c>
      <c r="B1381" t="str">
        <f>IF(PNL!B1381="","",PNL!B1381)</f>
        <v/>
      </c>
      <c r="C1381" t="str">
        <f>IF(PNL!C1381="","",PNL!C1381)</f>
        <v/>
      </c>
      <c r="D1381" t="str">
        <f>IF(PNL!D1381="","",PNL!D1381)</f>
        <v/>
      </c>
      <c r="E1381" t="str">
        <f t="shared" si="0"/>
        <v/>
      </c>
      <c r="F1381" t="str">
        <f>IF($A1381="","",IF($E1381=1,_xlfn.SUMIFS(Comptabilité!$F$1:$F$1446,Comptabilité!$A$1:$A$1446,$A1381,Comptabilité!$B$1:$B$1446,$B1381,Comptabilité!$C$1:$C$1446,"2026"),0))</f>
        <v/>
      </c>
      <c r="G1381" t="str">
        <f>IF($A1381="","",IF($D1381="V01",Cadrage!$C$23,IF($D1381="V02",Cadrage!$D$23,Cadrage!$E$23)))</f>
        <v/>
      </c>
      <c r="H1381" t="str">
        <f>IF($A1381="","",IF($D1381="V01",Cadrage!$C$24,IF($D1381="V02",Cadrage!$D$24,Cadrage!$E$24)))</f>
        <v/>
      </c>
      <c r="I1381" t="str">
        <f>IF($A1381="","",IF($D1381="V01",Cadrage!$C$34,IF($D1381="V02",Cadrage!$D$34,Cadrage!$E$34)))</f>
        <v/>
      </c>
      <c r="J1381" t="str">
        <f>IF($A1381="","",IF($D1381="V01",Cadrage!$C$35,IF($D1381="V02",Cadrage!$D$35,Cadrage!$E$35)))</f>
        <v/>
      </c>
      <c r="K1381" t="str">
        <f>IF($A1381="","",IF($D1381="V01",Cadrage!$C$36,IF($D1381="V02",Cadrage!$D$36,Cadrage!$E$36)))</f>
        <v/>
      </c>
      <c r="L1381" t="str">
        <f>IF($A1381="","",IF($D1381="V01",Cadrage!$C$37,IF($D1381="V02",Cadrage!$D$37,Cadrage!$E$37)))</f>
        <v/>
      </c>
      <c r="M1381" t="str">
        <f>IF($A1381="","",IF($D1381="V01",Cadrage!$C$38,IF($D1381="V02",Cadrage!$D$38,Cadrage!$E$38)))</f>
        <v/>
      </c>
      <c r="N1381" t="str">
        <f t="shared" si="1"/>
        <v/>
      </c>
      <c r="O1381" t="str">
        <f t="shared" si="2"/>
        <v/>
      </c>
      <c r="P1381" t="str">
        <f>IF($A1381="","",IF($E1381=1,$F1381*$O1381,PNL!G1381))</f>
        <v/>
      </c>
    </row>
    <row r="1382" ht="14.25" customHeight="1">
      <c r="A1382" t="str">
        <f>IF(PNL!A1382="","",PNL!A1382)</f>
        <v/>
      </c>
      <c r="B1382" t="str">
        <f>IF(PNL!B1382="","",PNL!B1382)</f>
        <v/>
      </c>
      <c r="C1382" t="str">
        <f>IF(PNL!C1382="","",PNL!C1382)</f>
        <v/>
      </c>
      <c r="D1382" t="str">
        <f>IF(PNL!D1382="","",PNL!D1382)</f>
        <v/>
      </c>
      <c r="E1382" t="str">
        <f t="shared" si="0"/>
        <v/>
      </c>
      <c r="F1382" t="str">
        <f>IF($A1382="","",IF($E1382=1,_xlfn.SUMIFS(Comptabilité!$F$1:$F$1446,Comptabilité!$A$1:$A$1446,$A1382,Comptabilité!$B$1:$B$1446,$B1382,Comptabilité!$C$1:$C$1446,"2026"),0))</f>
        <v/>
      </c>
      <c r="G1382" t="str">
        <f>IF($A1382="","",IF($D1382="V01",Cadrage!$C$23,IF($D1382="V02",Cadrage!$D$23,Cadrage!$E$23)))</f>
        <v/>
      </c>
      <c r="H1382" t="str">
        <f>IF($A1382="","",IF($D1382="V01",Cadrage!$C$24,IF($D1382="V02",Cadrage!$D$24,Cadrage!$E$24)))</f>
        <v/>
      </c>
      <c r="I1382" t="str">
        <f>IF($A1382="","",IF($D1382="V01",Cadrage!$C$34,IF($D1382="V02",Cadrage!$D$34,Cadrage!$E$34)))</f>
        <v/>
      </c>
      <c r="J1382" t="str">
        <f>IF($A1382="","",IF($D1382="V01",Cadrage!$C$35,IF($D1382="V02",Cadrage!$D$35,Cadrage!$E$35)))</f>
        <v/>
      </c>
      <c r="K1382" t="str">
        <f>IF($A1382="","",IF($D1382="V01",Cadrage!$C$36,IF($D1382="V02",Cadrage!$D$36,Cadrage!$E$36)))</f>
        <v/>
      </c>
      <c r="L1382" t="str">
        <f>IF($A1382="","",IF($D1382="V01",Cadrage!$C$37,IF($D1382="V02",Cadrage!$D$37,Cadrage!$E$37)))</f>
        <v/>
      </c>
      <c r="M1382" t="str">
        <f>IF($A1382="","",IF($D1382="V01",Cadrage!$C$38,IF($D1382="V02",Cadrage!$D$38,Cadrage!$E$38)))</f>
        <v/>
      </c>
      <c r="N1382" t="str">
        <f t="shared" si="1"/>
        <v/>
      </c>
      <c r="O1382" t="str">
        <f t="shared" si="2"/>
        <v/>
      </c>
      <c r="P1382" t="str">
        <f>IF($A1382="","",IF($E1382=1,$F1382*$O1382,PNL!G1382))</f>
        <v/>
      </c>
    </row>
    <row r="1383" ht="14.25" customHeight="1">
      <c r="A1383" t="str">
        <f>IF(PNL!A1383="","",PNL!A1383)</f>
        <v/>
      </c>
      <c r="B1383" t="str">
        <f>IF(PNL!B1383="","",PNL!B1383)</f>
        <v/>
      </c>
      <c r="C1383" t="str">
        <f>IF(PNL!C1383="","",PNL!C1383)</f>
        <v/>
      </c>
      <c r="D1383" t="str">
        <f>IF(PNL!D1383="","",PNL!D1383)</f>
        <v/>
      </c>
      <c r="E1383" t="str">
        <f t="shared" si="0"/>
        <v/>
      </c>
      <c r="F1383" t="str">
        <f>IF($A1383="","",IF($E1383=1,_xlfn.SUMIFS(Comptabilité!$F$1:$F$1446,Comptabilité!$A$1:$A$1446,$A1383,Comptabilité!$B$1:$B$1446,$B1383,Comptabilité!$C$1:$C$1446,"2026"),0))</f>
        <v/>
      </c>
      <c r="G1383" t="str">
        <f>IF($A1383="","",IF($D1383="V01",Cadrage!$C$23,IF($D1383="V02",Cadrage!$D$23,Cadrage!$E$23)))</f>
        <v/>
      </c>
      <c r="H1383" t="str">
        <f>IF($A1383="","",IF($D1383="V01",Cadrage!$C$24,IF($D1383="V02",Cadrage!$D$24,Cadrage!$E$24)))</f>
        <v/>
      </c>
      <c r="I1383" t="str">
        <f>IF($A1383="","",IF($D1383="V01",Cadrage!$C$34,IF($D1383="V02",Cadrage!$D$34,Cadrage!$E$34)))</f>
        <v/>
      </c>
      <c r="J1383" t="str">
        <f>IF($A1383="","",IF($D1383="V01",Cadrage!$C$35,IF($D1383="V02",Cadrage!$D$35,Cadrage!$E$35)))</f>
        <v/>
      </c>
      <c r="K1383" t="str">
        <f>IF($A1383="","",IF($D1383="V01",Cadrage!$C$36,IF($D1383="V02",Cadrage!$D$36,Cadrage!$E$36)))</f>
        <v/>
      </c>
      <c r="L1383" t="str">
        <f>IF($A1383="","",IF($D1383="V01",Cadrage!$C$37,IF($D1383="V02",Cadrage!$D$37,Cadrage!$E$37)))</f>
        <v/>
      </c>
      <c r="M1383" t="str">
        <f>IF($A1383="","",IF($D1383="V01",Cadrage!$C$38,IF($D1383="V02",Cadrage!$D$38,Cadrage!$E$38)))</f>
        <v/>
      </c>
      <c r="N1383" t="str">
        <f t="shared" si="1"/>
        <v/>
      </c>
      <c r="O1383" t="str">
        <f t="shared" si="2"/>
        <v/>
      </c>
      <c r="P1383" t="str">
        <f>IF($A1383="","",IF($E1383=1,$F1383*$O1383,PNL!G1383))</f>
        <v/>
      </c>
    </row>
    <row r="1384" ht="14.25" customHeight="1">
      <c r="A1384" t="str">
        <f>IF(PNL!A1384="","",PNL!A1384)</f>
        <v/>
      </c>
      <c r="B1384" t="str">
        <f>IF(PNL!B1384="","",PNL!B1384)</f>
        <v/>
      </c>
      <c r="C1384" t="str">
        <f>IF(PNL!C1384="","",PNL!C1384)</f>
        <v/>
      </c>
      <c r="D1384" t="str">
        <f>IF(PNL!D1384="","",PNL!D1384)</f>
        <v/>
      </c>
      <c r="E1384" t="str">
        <f t="shared" si="0"/>
        <v/>
      </c>
      <c r="F1384" t="str">
        <f>IF($A1384="","",IF($E1384=1,_xlfn.SUMIFS(Comptabilité!$F$1:$F$1446,Comptabilité!$A$1:$A$1446,$A1384,Comptabilité!$B$1:$B$1446,$B1384,Comptabilité!$C$1:$C$1446,"2026"),0))</f>
        <v/>
      </c>
      <c r="G1384" t="str">
        <f>IF($A1384="","",IF($D1384="V01",Cadrage!$C$23,IF($D1384="V02",Cadrage!$D$23,Cadrage!$E$23)))</f>
        <v/>
      </c>
      <c r="H1384" t="str">
        <f>IF($A1384="","",IF($D1384="V01",Cadrage!$C$24,IF($D1384="V02",Cadrage!$D$24,Cadrage!$E$24)))</f>
        <v/>
      </c>
      <c r="I1384" t="str">
        <f>IF($A1384="","",IF($D1384="V01",Cadrage!$C$34,IF($D1384="V02",Cadrage!$D$34,Cadrage!$E$34)))</f>
        <v/>
      </c>
      <c r="J1384" t="str">
        <f>IF($A1384="","",IF($D1384="V01",Cadrage!$C$35,IF($D1384="V02",Cadrage!$D$35,Cadrage!$E$35)))</f>
        <v/>
      </c>
      <c r="K1384" t="str">
        <f>IF($A1384="","",IF($D1384="V01",Cadrage!$C$36,IF($D1384="V02",Cadrage!$D$36,Cadrage!$E$36)))</f>
        <v/>
      </c>
      <c r="L1384" t="str">
        <f>IF($A1384="","",IF($D1384="V01",Cadrage!$C$37,IF($D1384="V02",Cadrage!$D$37,Cadrage!$E$37)))</f>
        <v/>
      </c>
      <c r="M1384" t="str">
        <f>IF($A1384="","",IF($D1384="V01",Cadrage!$C$38,IF($D1384="V02",Cadrage!$D$38,Cadrage!$E$38)))</f>
        <v/>
      </c>
      <c r="N1384" t="str">
        <f t="shared" si="1"/>
        <v/>
      </c>
      <c r="O1384" t="str">
        <f t="shared" si="2"/>
        <v/>
      </c>
      <c r="P1384" t="str">
        <f>IF($A1384="","",IF($E1384=1,$F1384*$O1384,PNL!G1384))</f>
        <v/>
      </c>
    </row>
    <row r="1385" ht="14.25" customHeight="1">
      <c r="A1385" t="str">
        <f>IF(PNL!A1385="","",PNL!A1385)</f>
        <v/>
      </c>
      <c r="B1385" t="str">
        <f>IF(PNL!B1385="","",PNL!B1385)</f>
        <v/>
      </c>
      <c r="C1385" t="str">
        <f>IF(PNL!C1385="","",PNL!C1385)</f>
        <v/>
      </c>
      <c r="D1385" t="str">
        <f>IF(PNL!D1385="","",PNL!D1385)</f>
        <v/>
      </c>
      <c r="E1385" t="str">
        <f t="shared" si="0"/>
        <v/>
      </c>
      <c r="F1385" t="str">
        <f>IF($A1385="","",IF($E1385=1,_xlfn.SUMIFS(Comptabilité!$F$1:$F$1446,Comptabilité!$A$1:$A$1446,$A1385,Comptabilité!$B$1:$B$1446,$B1385,Comptabilité!$C$1:$C$1446,"2026"),0))</f>
        <v/>
      </c>
      <c r="G1385" t="str">
        <f>IF($A1385="","",IF($D1385="V01",Cadrage!$C$23,IF($D1385="V02",Cadrage!$D$23,Cadrage!$E$23)))</f>
        <v/>
      </c>
      <c r="H1385" t="str">
        <f>IF($A1385="","",IF($D1385="V01",Cadrage!$C$24,IF($D1385="V02",Cadrage!$D$24,Cadrage!$E$24)))</f>
        <v/>
      </c>
      <c r="I1385" t="str">
        <f>IF($A1385="","",IF($D1385="V01",Cadrage!$C$34,IF($D1385="V02",Cadrage!$D$34,Cadrage!$E$34)))</f>
        <v/>
      </c>
      <c r="J1385" t="str">
        <f>IF($A1385="","",IF($D1385="V01",Cadrage!$C$35,IF($D1385="V02",Cadrage!$D$35,Cadrage!$E$35)))</f>
        <v/>
      </c>
      <c r="K1385" t="str">
        <f>IF($A1385="","",IF($D1385="V01",Cadrage!$C$36,IF($D1385="V02",Cadrage!$D$36,Cadrage!$E$36)))</f>
        <v/>
      </c>
      <c r="L1385" t="str">
        <f>IF($A1385="","",IF($D1385="V01",Cadrage!$C$37,IF($D1385="V02",Cadrage!$D$37,Cadrage!$E$37)))</f>
        <v/>
      </c>
      <c r="M1385" t="str">
        <f>IF($A1385="","",IF($D1385="V01",Cadrage!$C$38,IF($D1385="V02",Cadrage!$D$38,Cadrage!$E$38)))</f>
        <v/>
      </c>
      <c r="N1385" t="str">
        <f t="shared" si="1"/>
        <v/>
      </c>
      <c r="O1385" t="str">
        <f t="shared" si="2"/>
        <v/>
      </c>
      <c r="P1385" t="str">
        <f>IF($A1385="","",IF($E1385=1,$F1385*$O1385,PNL!G1385))</f>
        <v/>
      </c>
    </row>
    <row r="1386" ht="14.25" customHeight="1">
      <c r="A1386" t="str">
        <f>IF(PNL!A1386="","",PNL!A1386)</f>
        <v/>
      </c>
      <c r="B1386" t="str">
        <f>IF(PNL!B1386="","",PNL!B1386)</f>
        <v/>
      </c>
      <c r="C1386" t="str">
        <f>IF(PNL!C1386="","",PNL!C1386)</f>
        <v/>
      </c>
      <c r="D1386" t="str">
        <f>IF(PNL!D1386="","",PNL!D1386)</f>
        <v/>
      </c>
      <c r="E1386" t="str">
        <f t="shared" si="0"/>
        <v/>
      </c>
      <c r="F1386" t="str">
        <f>IF($A1386="","",IF($E1386=1,_xlfn.SUMIFS(Comptabilité!$F$1:$F$1446,Comptabilité!$A$1:$A$1446,$A1386,Comptabilité!$B$1:$B$1446,$B1386,Comptabilité!$C$1:$C$1446,"2026"),0))</f>
        <v/>
      </c>
      <c r="G1386" t="str">
        <f>IF($A1386="","",IF($D1386="V01",Cadrage!$C$23,IF($D1386="V02",Cadrage!$D$23,Cadrage!$E$23)))</f>
        <v/>
      </c>
      <c r="H1386" t="str">
        <f>IF($A1386="","",IF($D1386="V01",Cadrage!$C$24,IF($D1386="V02",Cadrage!$D$24,Cadrage!$E$24)))</f>
        <v/>
      </c>
      <c r="I1386" t="str">
        <f>IF($A1386="","",IF($D1386="V01",Cadrage!$C$34,IF($D1386="V02",Cadrage!$D$34,Cadrage!$E$34)))</f>
        <v/>
      </c>
      <c r="J1386" t="str">
        <f>IF($A1386="","",IF($D1386="V01",Cadrage!$C$35,IF($D1386="V02",Cadrage!$D$35,Cadrage!$E$35)))</f>
        <v/>
      </c>
      <c r="K1386" t="str">
        <f>IF($A1386="","",IF($D1386="V01",Cadrage!$C$36,IF($D1386="V02",Cadrage!$D$36,Cadrage!$E$36)))</f>
        <v/>
      </c>
      <c r="L1386" t="str">
        <f>IF($A1386="","",IF($D1386="V01",Cadrage!$C$37,IF($D1386="V02",Cadrage!$D$37,Cadrage!$E$37)))</f>
        <v/>
      </c>
      <c r="M1386" t="str">
        <f>IF($A1386="","",IF($D1386="V01",Cadrage!$C$38,IF($D1386="V02",Cadrage!$D$38,Cadrage!$E$38)))</f>
        <v/>
      </c>
      <c r="N1386" t="str">
        <f t="shared" si="1"/>
        <v/>
      </c>
      <c r="O1386" t="str">
        <f t="shared" si="2"/>
        <v/>
      </c>
      <c r="P1386" t="str">
        <f>IF($A1386="","",IF($E1386=1,$F1386*$O1386,PNL!G1386))</f>
        <v/>
      </c>
    </row>
    <row r="1387" ht="14.25" customHeight="1">
      <c r="A1387" t="str">
        <f>IF(PNL!A1387="","",PNL!A1387)</f>
        <v/>
      </c>
      <c r="B1387" t="str">
        <f>IF(PNL!B1387="","",PNL!B1387)</f>
        <v/>
      </c>
      <c r="C1387" t="str">
        <f>IF(PNL!C1387="","",PNL!C1387)</f>
        <v/>
      </c>
      <c r="D1387" t="str">
        <f>IF(PNL!D1387="","",PNL!D1387)</f>
        <v/>
      </c>
      <c r="E1387" t="str">
        <f t="shared" si="0"/>
        <v/>
      </c>
      <c r="F1387" t="str">
        <f>IF($A1387="","",IF($E1387=1,_xlfn.SUMIFS(Comptabilité!$F$1:$F$1446,Comptabilité!$A$1:$A$1446,$A1387,Comptabilité!$B$1:$B$1446,$B1387,Comptabilité!$C$1:$C$1446,"2026"),0))</f>
        <v/>
      </c>
      <c r="G1387" t="str">
        <f>IF($A1387="","",IF($D1387="V01",Cadrage!$C$23,IF($D1387="V02",Cadrage!$D$23,Cadrage!$E$23)))</f>
        <v/>
      </c>
      <c r="H1387" t="str">
        <f>IF($A1387="","",IF($D1387="V01",Cadrage!$C$24,IF($D1387="V02",Cadrage!$D$24,Cadrage!$E$24)))</f>
        <v/>
      </c>
      <c r="I1387" t="str">
        <f>IF($A1387="","",IF($D1387="V01",Cadrage!$C$34,IF($D1387="V02",Cadrage!$D$34,Cadrage!$E$34)))</f>
        <v/>
      </c>
      <c r="J1387" t="str">
        <f>IF($A1387="","",IF($D1387="V01",Cadrage!$C$35,IF($D1387="V02",Cadrage!$D$35,Cadrage!$E$35)))</f>
        <v/>
      </c>
      <c r="K1387" t="str">
        <f>IF($A1387="","",IF($D1387="V01",Cadrage!$C$36,IF($D1387="V02",Cadrage!$D$36,Cadrage!$E$36)))</f>
        <v/>
      </c>
      <c r="L1387" t="str">
        <f>IF($A1387="","",IF($D1387="V01",Cadrage!$C$37,IF($D1387="V02",Cadrage!$D$37,Cadrage!$E$37)))</f>
        <v/>
      </c>
      <c r="M1387" t="str">
        <f>IF($A1387="","",IF($D1387="V01",Cadrage!$C$38,IF($D1387="V02",Cadrage!$D$38,Cadrage!$E$38)))</f>
        <v/>
      </c>
      <c r="N1387" t="str">
        <f t="shared" si="1"/>
        <v/>
      </c>
      <c r="O1387" t="str">
        <f t="shared" si="2"/>
        <v/>
      </c>
      <c r="P1387" t="str">
        <f>IF($A1387="","",IF($E1387=1,$F1387*$O1387,PNL!G1387))</f>
        <v/>
      </c>
    </row>
    <row r="1388" ht="14.25" customHeight="1">
      <c r="A1388" t="str">
        <f>IF(PNL!A1388="","",PNL!A1388)</f>
        <v/>
      </c>
      <c r="B1388" t="str">
        <f>IF(PNL!B1388="","",PNL!B1388)</f>
        <v/>
      </c>
      <c r="C1388" t="str">
        <f>IF(PNL!C1388="","",PNL!C1388)</f>
        <v/>
      </c>
      <c r="D1388" t="str">
        <f>IF(PNL!D1388="","",PNL!D1388)</f>
        <v/>
      </c>
      <c r="E1388" t="str">
        <f t="shared" si="0"/>
        <v/>
      </c>
      <c r="F1388" t="str">
        <f>IF($A1388="","",IF($E1388=1,_xlfn.SUMIFS(Comptabilité!$F$1:$F$1446,Comptabilité!$A$1:$A$1446,$A1388,Comptabilité!$B$1:$B$1446,$B1388,Comptabilité!$C$1:$C$1446,"2026"),0))</f>
        <v/>
      </c>
      <c r="G1388" t="str">
        <f>IF($A1388="","",IF($D1388="V01",Cadrage!$C$23,IF($D1388="V02",Cadrage!$D$23,Cadrage!$E$23)))</f>
        <v/>
      </c>
      <c r="H1388" t="str">
        <f>IF($A1388="","",IF($D1388="V01",Cadrage!$C$24,IF($D1388="V02",Cadrage!$D$24,Cadrage!$E$24)))</f>
        <v/>
      </c>
      <c r="I1388" t="str">
        <f>IF($A1388="","",IF($D1388="V01",Cadrage!$C$34,IF($D1388="V02",Cadrage!$D$34,Cadrage!$E$34)))</f>
        <v/>
      </c>
      <c r="J1388" t="str">
        <f>IF($A1388="","",IF($D1388="V01",Cadrage!$C$35,IF($D1388="V02",Cadrage!$D$35,Cadrage!$E$35)))</f>
        <v/>
      </c>
      <c r="K1388" t="str">
        <f>IF($A1388="","",IF($D1388="V01",Cadrage!$C$36,IF($D1388="V02",Cadrage!$D$36,Cadrage!$E$36)))</f>
        <v/>
      </c>
      <c r="L1388" t="str">
        <f>IF($A1388="","",IF($D1388="V01",Cadrage!$C$37,IF($D1388="V02",Cadrage!$D$37,Cadrage!$E$37)))</f>
        <v/>
      </c>
      <c r="M1388" t="str">
        <f>IF($A1388="","",IF($D1388="V01",Cadrage!$C$38,IF($D1388="V02",Cadrage!$D$38,Cadrage!$E$38)))</f>
        <v/>
      </c>
      <c r="N1388" t="str">
        <f t="shared" si="1"/>
        <v/>
      </c>
      <c r="O1388" t="str">
        <f t="shared" si="2"/>
        <v/>
      </c>
      <c r="P1388" t="str">
        <f>IF($A1388="","",IF($E1388=1,$F1388*$O1388,PNL!G1388))</f>
        <v/>
      </c>
    </row>
    <row r="1389" ht="14.25" customHeight="1">
      <c r="A1389" t="str">
        <f>IF(PNL!A1389="","",PNL!A1389)</f>
        <v/>
      </c>
      <c r="B1389" t="str">
        <f>IF(PNL!B1389="","",PNL!B1389)</f>
        <v/>
      </c>
      <c r="C1389" t="str">
        <f>IF(PNL!C1389="","",PNL!C1389)</f>
        <v/>
      </c>
      <c r="D1389" t="str">
        <f>IF(PNL!D1389="","",PNL!D1389)</f>
        <v/>
      </c>
      <c r="E1389" t="str">
        <f t="shared" si="0"/>
        <v/>
      </c>
      <c r="F1389" t="str">
        <f>IF($A1389="","",IF($E1389=1,_xlfn.SUMIFS(Comptabilité!$F$1:$F$1446,Comptabilité!$A$1:$A$1446,$A1389,Comptabilité!$B$1:$B$1446,$B1389,Comptabilité!$C$1:$C$1446,"2026"),0))</f>
        <v/>
      </c>
      <c r="G1389" t="str">
        <f>IF($A1389="","",IF($D1389="V01",Cadrage!$C$23,IF($D1389="V02",Cadrage!$D$23,Cadrage!$E$23)))</f>
        <v/>
      </c>
      <c r="H1389" t="str">
        <f>IF($A1389="","",IF($D1389="V01",Cadrage!$C$24,IF($D1389="V02",Cadrage!$D$24,Cadrage!$E$24)))</f>
        <v/>
      </c>
      <c r="I1389" t="str">
        <f>IF($A1389="","",IF($D1389="V01",Cadrage!$C$34,IF($D1389="V02",Cadrage!$D$34,Cadrage!$E$34)))</f>
        <v/>
      </c>
      <c r="J1389" t="str">
        <f>IF($A1389="","",IF($D1389="V01",Cadrage!$C$35,IF($D1389="V02",Cadrage!$D$35,Cadrage!$E$35)))</f>
        <v/>
      </c>
      <c r="K1389" t="str">
        <f>IF($A1389="","",IF($D1389="V01",Cadrage!$C$36,IF($D1389="V02",Cadrage!$D$36,Cadrage!$E$36)))</f>
        <v/>
      </c>
      <c r="L1389" t="str">
        <f>IF($A1389="","",IF($D1389="V01",Cadrage!$C$37,IF($D1389="V02",Cadrage!$D$37,Cadrage!$E$37)))</f>
        <v/>
      </c>
      <c r="M1389" t="str">
        <f>IF($A1389="","",IF($D1389="V01",Cadrage!$C$38,IF($D1389="V02",Cadrage!$D$38,Cadrage!$E$38)))</f>
        <v/>
      </c>
      <c r="N1389" t="str">
        <f t="shared" si="1"/>
        <v/>
      </c>
      <c r="O1389" t="str">
        <f t="shared" si="2"/>
        <v/>
      </c>
      <c r="P1389" t="str">
        <f>IF($A1389="","",IF($E1389=1,$F1389*$O1389,PNL!G1389))</f>
        <v/>
      </c>
    </row>
    <row r="1390" ht="14.25" customHeight="1">
      <c r="A1390" t="str">
        <f>IF(PNL!A1390="","",PNL!A1390)</f>
        <v/>
      </c>
      <c r="B1390" t="str">
        <f>IF(PNL!B1390="","",PNL!B1390)</f>
        <v/>
      </c>
      <c r="C1390" t="str">
        <f>IF(PNL!C1390="","",PNL!C1390)</f>
        <v/>
      </c>
      <c r="D1390" t="str">
        <f>IF(PNL!D1390="","",PNL!D1390)</f>
        <v/>
      </c>
      <c r="E1390" t="str">
        <f t="shared" si="0"/>
        <v/>
      </c>
      <c r="F1390" t="str">
        <f>IF($A1390="","",IF($E1390=1,_xlfn.SUMIFS(Comptabilité!$F$1:$F$1446,Comptabilité!$A$1:$A$1446,$A1390,Comptabilité!$B$1:$B$1446,$B1390,Comptabilité!$C$1:$C$1446,"2026"),0))</f>
        <v/>
      </c>
      <c r="G1390" t="str">
        <f>IF($A1390="","",IF($D1390="V01",Cadrage!$C$23,IF($D1390="V02",Cadrage!$D$23,Cadrage!$E$23)))</f>
        <v/>
      </c>
      <c r="H1390" t="str">
        <f>IF($A1390="","",IF($D1390="V01",Cadrage!$C$24,IF($D1390="V02",Cadrage!$D$24,Cadrage!$E$24)))</f>
        <v/>
      </c>
      <c r="I1390" t="str">
        <f>IF($A1390="","",IF($D1390="V01",Cadrage!$C$34,IF($D1390="V02",Cadrage!$D$34,Cadrage!$E$34)))</f>
        <v/>
      </c>
      <c r="J1390" t="str">
        <f>IF($A1390="","",IF($D1390="V01",Cadrage!$C$35,IF($D1390="V02",Cadrage!$D$35,Cadrage!$E$35)))</f>
        <v/>
      </c>
      <c r="K1390" t="str">
        <f>IF($A1390="","",IF($D1390="V01",Cadrage!$C$36,IF($D1390="V02",Cadrage!$D$36,Cadrage!$E$36)))</f>
        <v/>
      </c>
      <c r="L1390" t="str">
        <f>IF($A1390="","",IF($D1390="V01",Cadrage!$C$37,IF($D1390="V02",Cadrage!$D$37,Cadrage!$E$37)))</f>
        <v/>
      </c>
      <c r="M1390" t="str">
        <f>IF($A1390="","",IF($D1390="V01",Cadrage!$C$38,IF($D1390="V02",Cadrage!$D$38,Cadrage!$E$38)))</f>
        <v/>
      </c>
      <c r="N1390" t="str">
        <f t="shared" si="1"/>
        <v/>
      </c>
      <c r="O1390" t="str">
        <f t="shared" si="2"/>
        <v/>
      </c>
      <c r="P1390" t="str">
        <f>IF($A1390="","",IF($E1390=1,$F1390*$O1390,PNL!G1390))</f>
        <v/>
      </c>
    </row>
    <row r="1391" ht="14.25" customHeight="1">
      <c r="A1391" t="str">
        <f>IF(PNL!A1391="","",PNL!A1391)</f>
        <v/>
      </c>
      <c r="B1391" t="str">
        <f>IF(PNL!B1391="","",PNL!B1391)</f>
        <v/>
      </c>
      <c r="C1391" t="str">
        <f>IF(PNL!C1391="","",PNL!C1391)</f>
        <v/>
      </c>
      <c r="D1391" t="str">
        <f>IF(PNL!D1391="","",PNL!D1391)</f>
        <v/>
      </c>
      <c r="E1391" t="str">
        <f t="shared" si="0"/>
        <v/>
      </c>
      <c r="F1391" t="str">
        <f>IF($A1391="","",IF($E1391=1,_xlfn.SUMIFS(Comptabilité!$F$1:$F$1446,Comptabilité!$A$1:$A$1446,$A1391,Comptabilité!$B$1:$B$1446,$B1391,Comptabilité!$C$1:$C$1446,"2026"),0))</f>
        <v/>
      </c>
      <c r="G1391" t="str">
        <f>IF($A1391="","",IF($D1391="V01",Cadrage!$C$23,IF($D1391="V02",Cadrage!$D$23,Cadrage!$E$23)))</f>
        <v/>
      </c>
      <c r="H1391" t="str">
        <f>IF($A1391="","",IF($D1391="V01",Cadrage!$C$24,IF($D1391="V02",Cadrage!$D$24,Cadrage!$E$24)))</f>
        <v/>
      </c>
      <c r="I1391" t="str">
        <f>IF($A1391="","",IF($D1391="V01",Cadrage!$C$34,IF($D1391="V02",Cadrage!$D$34,Cadrage!$E$34)))</f>
        <v/>
      </c>
      <c r="J1391" t="str">
        <f>IF($A1391="","",IF($D1391="V01",Cadrage!$C$35,IF($D1391="V02",Cadrage!$D$35,Cadrage!$E$35)))</f>
        <v/>
      </c>
      <c r="K1391" t="str">
        <f>IF($A1391="","",IF($D1391="V01",Cadrage!$C$36,IF($D1391="V02",Cadrage!$D$36,Cadrage!$E$36)))</f>
        <v/>
      </c>
      <c r="L1391" t="str">
        <f>IF($A1391="","",IF($D1391="V01",Cadrage!$C$37,IF($D1391="V02",Cadrage!$D$37,Cadrage!$E$37)))</f>
        <v/>
      </c>
      <c r="M1391" t="str">
        <f>IF($A1391="","",IF($D1391="V01",Cadrage!$C$38,IF($D1391="V02",Cadrage!$D$38,Cadrage!$E$38)))</f>
        <v/>
      </c>
      <c r="N1391" t="str">
        <f t="shared" si="1"/>
        <v/>
      </c>
      <c r="O1391" t="str">
        <f t="shared" si="2"/>
        <v/>
      </c>
      <c r="P1391" t="str">
        <f>IF($A1391="","",IF($E1391=1,$F1391*$O1391,PNL!G1391))</f>
        <v/>
      </c>
    </row>
    <row r="1392" ht="14.25" customHeight="1">
      <c r="A1392" t="str">
        <f>IF(PNL!A1392="","",PNL!A1392)</f>
        <v/>
      </c>
      <c r="B1392" t="str">
        <f>IF(PNL!B1392="","",PNL!B1392)</f>
        <v/>
      </c>
      <c r="C1392" t="str">
        <f>IF(PNL!C1392="","",PNL!C1392)</f>
        <v/>
      </c>
      <c r="D1392" t="str">
        <f>IF(PNL!D1392="","",PNL!D1392)</f>
        <v/>
      </c>
      <c r="E1392" t="str">
        <f t="shared" si="0"/>
        <v/>
      </c>
      <c r="F1392" t="str">
        <f>IF($A1392="","",IF($E1392=1,_xlfn.SUMIFS(Comptabilité!$F$1:$F$1446,Comptabilité!$A$1:$A$1446,$A1392,Comptabilité!$B$1:$B$1446,$B1392,Comptabilité!$C$1:$C$1446,"2026"),0))</f>
        <v/>
      </c>
      <c r="G1392" t="str">
        <f>IF($A1392="","",IF($D1392="V01",Cadrage!$C$23,IF($D1392="V02",Cadrage!$D$23,Cadrage!$E$23)))</f>
        <v/>
      </c>
      <c r="H1392" t="str">
        <f>IF($A1392="","",IF($D1392="V01",Cadrage!$C$24,IF($D1392="V02",Cadrage!$D$24,Cadrage!$E$24)))</f>
        <v/>
      </c>
      <c r="I1392" t="str">
        <f>IF($A1392="","",IF($D1392="V01",Cadrage!$C$34,IF($D1392="V02",Cadrage!$D$34,Cadrage!$E$34)))</f>
        <v/>
      </c>
      <c r="J1392" t="str">
        <f>IF($A1392="","",IF($D1392="V01",Cadrage!$C$35,IF($D1392="V02",Cadrage!$D$35,Cadrage!$E$35)))</f>
        <v/>
      </c>
      <c r="K1392" t="str">
        <f>IF($A1392="","",IF($D1392="V01",Cadrage!$C$36,IF($D1392="V02",Cadrage!$D$36,Cadrage!$E$36)))</f>
        <v/>
      </c>
      <c r="L1392" t="str">
        <f>IF($A1392="","",IF($D1392="V01",Cadrage!$C$37,IF($D1392="V02",Cadrage!$D$37,Cadrage!$E$37)))</f>
        <v/>
      </c>
      <c r="M1392" t="str">
        <f>IF($A1392="","",IF($D1392="V01",Cadrage!$C$38,IF($D1392="V02",Cadrage!$D$38,Cadrage!$E$38)))</f>
        <v/>
      </c>
      <c r="N1392" t="str">
        <f t="shared" si="1"/>
        <v/>
      </c>
      <c r="O1392" t="str">
        <f t="shared" si="2"/>
        <v/>
      </c>
      <c r="P1392" t="str">
        <f>IF($A1392="","",IF($E1392=1,$F1392*$O1392,PNL!G1392))</f>
        <v/>
      </c>
    </row>
    <row r="1393" ht="14.25" customHeight="1">
      <c r="A1393" t="str">
        <f>IF(PNL!A1393="","",PNL!A1393)</f>
        <v/>
      </c>
      <c r="B1393" t="str">
        <f>IF(PNL!B1393="","",PNL!B1393)</f>
        <v/>
      </c>
      <c r="C1393" t="str">
        <f>IF(PNL!C1393="","",PNL!C1393)</f>
        <v/>
      </c>
      <c r="D1393" t="str">
        <f>IF(PNL!D1393="","",PNL!D1393)</f>
        <v/>
      </c>
      <c r="E1393" t="str">
        <f t="shared" si="0"/>
        <v/>
      </c>
      <c r="F1393" t="str">
        <f>IF($A1393="","",IF($E1393=1,_xlfn.SUMIFS(Comptabilité!$F$1:$F$1446,Comptabilité!$A$1:$A$1446,$A1393,Comptabilité!$B$1:$B$1446,$B1393,Comptabilité!$C$1:$C$1446,"2026"),0))</f>
        <v/>
      </c>
      <c r="G1393" t="str">
        <f>IF($A1393="","",IF($D1393="V01",Cadrage!$C$23,IF($D1393="V02",Cadrage!$D$23,Cadrage!$E$23)))</f>
        <v/>
      </c>
      <c r="H1393" t="str">
        <f>IF($A1393="","",IF($D1393="V01",Cadrage!$C$24,IF($D1393="V02",Cadrage!$D$24,Cadrage!$E$24)))</f>
        <v/>
      </c>
      <c r="I1393" t="str">
        <f>IF($A1393="","",IF($D1393="V01",Cadrage!$C$34,IF($D1393="V02",Cadrage!$D$34,Cadrage!$E$34)))</f>
        <v/>
      </c>
      <c r="J1393" t="str">
        <f>IF($A1393="","",IF($D1393="V01",Cadrage!$C$35,IF($D1393="V02",Cadrage!$D$35,Cadrage!$E$35)))</f>
        <v/>
      </c>
      <c r="K1393" t="str">
        <f>IF($A1393="","",IF($D1393="V01",Cadrage!$C$36,IF($D1393="V02",Cadrage!$D$36,Cadrage!$E$36)))</f>
        <v/>
      </c>
      <c r="L1393" t="str">
        <f>IF($A1393="","",IF($D1393="V01",Cadrage!$C$37,IF($D1393="V02",Cadrage!$D$37,Cadrage!$E$37)))</f>
        <v/>
      </c>
      <c r="M1393" t="str">
        <f>IF($A1393="","",IF($D1393="V01",Cadrage!$C$38,IF($D1393="V02",Cadrage!$D$38,Cadrage!$E$38)))</f>
        <v/>
      </c>
      <c r="N1393" t="str">
        <f t="shared" si="1"/>
        <v/>
      </c>
      <c r="O1393" t="str">
        <f t="shared" si="2"/>
        <v/>
      </c>
      <c r="P1393" t="str">
        <f>IF($A1393="","",IF($E1393=1,$F1393*$O1393,PNL!G1393))</f>
        <v/>
      </c>
    </row>
    <row r="1394" ht="14.25" customHeight="1">
      <c r="A1394" t="str">
        <f>IF(PNL!A1394="","",PNL!A1394)</f>
        <v/>
      </c>
      <c r="B1394" t="str">
        <f>IF(PNL!B1394="","",PNL!B1394)</f>
        <v/>
      </c>
      <c r="C1394" t="str">
        <f>IF(PNL!C1394="","",PNL!C1394)</f>
        <v/>
      </c>
      <c r="D1394" t="str">
        <f>IF(PNL!D1394="","",PNL!D1394)</f>
        <v/>
      </c>
      <c r="E1394" t="str">
        <f t="shared" si="0"/>
        <v/>
      </c>
      <c r="F1394" t="str">
        <f>IF($A1394="","",IF($E1394=1,_xlfn.SUMIFS(Comptabilité!$F$1:$F$1446,Comptabilité!$A$1:$A$1446,$A1394,Comptabilité!$B$1:$B$1446,$B1394,Comptabilité!$C$1:$C$1446,"2026"),0))</f>
        <v/>
      </c>
      <c r="G1394" t="str">
        <f>IF($A1394="","",IF($D1394="V01",Cadrage!$C$23,IF($D1394="V02",Cadrage!$D$23,Cadrage!$E$23)))</f>
        <v/>
      </c>
      <c r="H1394" t="str">
        <f>IF($A1394="","",IF($D1394="V01",Cadrage!$C$24,IF($D1394="V02",Cadrage!$D$24,Cadrage!$E$24)))</f>
        <v/>
      </c>
      <c r="I1394" t="str">
        <f>IF($A1394="","",IF($D1394="V01",Cadrage!$C$34,IF($D1394="V02",Cadrage!$D$34,Cadrage!$E$34)))</f>
        <v/>
      </c>
      <c r="J1394" t="str">
        <f>IF($A1394="","",IF($D1394="V01",Cadrage!$C$35,IF($D1394="V02",Cadrage!$D$35,Cadrage!$E$35)))</f>
        <v/>
      </c>
      <c r="K1394" t="str">
        <f>IF($A1394="","",IF($D1394="V01",Cadrage!$C$36,IF($D1394="V02",Cadrage!$D$36,Cadrage!$E$36)))</f>
        <v/>
      </c>
      <c r="L1394" t="str">
        <f>IF($A1394="","",IF($D1394="V01",Cadrage!$C$37,IF($D1394="V02",Cadrage!$D$37,Cadrage!$E$37)))</f>
        <v/>
      </c>
      <c r="M1394" t="str">
        <f>IF($A1394="","",IF($D1394="V01",Cadrage!$C$38,IF($D1394="V02",Cadrage!$D$38,Cadrage!$E$38)))</f>
        <v/>
      </c>
      <c r="N1394" t="str">
        <f t="shared" si="1"/>
        <v/>
      </c>
      <c r="O1394" t="str">
        <f t="shared" si="2"/>
        <v/>
      </c>
      <c r="P1394" t="str">
        <f>IF($A1394="","",IF($E1394=1,$F1394*$O1394,PNL!G1394))</f>
        <v/>
      </c>
    </row>
    <row r="1395" ht="14.25" customHeight="1">
      <c r="A1395" t="str">
        <f>IF(PNL!A1395="","",PNL!A1395)</f>
        <v/>
      </c>
      <c r="B1395" t="str">
        <f>IF(PNL!B1395="","",PNL!B1395)</f>
        <v/>
      </c>
      <c r="C1395" t="str">
        <f>IF(PNL!C1395="","",PNL!C1395)</f>
        <v/>
      </c>
      <c r="D1395" t="str">
        <f>IF(PNL!D1395="","",PNL!D1395)</f>
        <v/>
      </c>
      <c r="E1395" t="str">
        <f t="shared" si="0"/>
        <v/>
      </c>
      <c r="F1395" t="str">
        <f>IF($A1395="","",IF($E1395=1,_xlfn.SUMIFS(Comptabilité!$F$1:$F$1446,Comptabilité!$A$1:$A$1446,$A1395,Comptabilité!$B$1:$B$1446,$B1395,Comptabilité!$C$1:$C$1446,"2026"),0))</f>
        <v/>
      </c>
      <c r="G1395" t="str">
        <f>IF($A1395="","",IF($D1395="V01",Cadrage!$C$23,IF($D1395="V02",Cadrage!$D$23,Cadrage!$E$23)))</f>
        <v/>
      </c>
      <c r="H1395" t="str">
        <f>IF($A1395="","",IF($D1395="V01",Cadrage!$C$24,IF($D1395="V02",Cadrage!$D$24,Cadrage!$E$24)))</f>
        <v/>
      </c>
      <c r="I1395" t="str">
        <f>IF($A1395="","",IF($D1395="V01",Cadrage!$C$34,IF($D1395="V02",Cadrage!$D$34,Cadrage!$E$34)))</f>
        <v/>
      </c>
      <c r="J1395" t="str">
        <f>IF($A1395="","",IF($D1395="V01",Cadrage!$C$35,IF($D1395="V02",Cadrage!$D$35,Cadrage!$E$35)))</f>
        <v/>
      </c>
      <c r="K1395" t="str">
        <f>IF($A1395="","",IF($D1395="V01",Cadrage!$C$36,IF($D1395="V02",Cadrage!$D$36,Cadrage!$E$36)))</f>
        <v/>
      </c>
      <c r="L1395" t="str">
        <f>IF($A1395="","",IF($D1395="V01",Cadrage!$C$37,IF($D1395="V02",Cadrage!$D$37,Cadrage!$E$37)))</f>
        <v/>
      </c>
      <c r="M1395" t="str">
        <f>IF($A1395="","",IF($D1395="V01",Cadrage!$C$38,IF($D1395="V02",Cadrage!$D$38,Cadrage!$E$38)))</f>
        <v/>
      </c>
      <c r="N1395" t="str">
        <f t="shared" si="1"/>
        <v/>
      </c>
      <c r="O1395" t="str">
        <f t="shared" si="2"/>
        <v/>
      </c>
      <c r="P1395" t="str">
        <f>IF($A1395="","",IF($E1395=1,$F1395*$O1395,PNL!G1395))</f>
        <v/>
      </c>
    </row>
    <row r="1396" ht="14.25" customHeight="1">
      <c r="A1396" t="str">
        <f>IF(PNL!A1396="","",PNL!A1396)</f>
        <v/>
      </c>
      <c r="B1396" t="str">
        <f>IF(PNL!B1396="","",PNL!B1396)</f>
        <v/>
      </c>
      <c r="C1396" t="str">
        <f>IF(PNL!C1396="","",PNL!C1396)</f>
        <v/>
      </c>
      <c r="D1396" t="str">
        <f>IF(PNL!D1396="","",PNL!D1396)</f>
        <v/>
      </c>
      <c r="E1396" t="str">
        <f t="shared" si="0"/>
        <v/>
      </c>
      <c r="F1396" t="str">
        <f>IF($A1396="","",IF($E1396=1,_xlfn.SUMIFS(Comptabilité!$F$1:$F$1446,Comptabilité!$A$1:$A$1446,$A1396,Comptabilité!$B$1:$B$1446,$B1396,Comptabilité!$C$1:$C$1446,"2026"),0))</f>
        <v/>
      </c>
      <c r="G1396" t="str">
        <f>IF($A1396="","",IF($D1396="V01",Cadrage!$C$23,IF($D1396="V02",Cadrage!$D$23,Cadrage!$E$23)))</f>
        <v/>
      </c>
      <c r="H1396" t="str">
        <f>IF($A1396="","",IF($D1396="V01",Cadrage!$C$24,IF($D1396="V02",Cadrage!$D$24,Cadrage!$E$24)))</f>
        <v/>
      </c>
      <c r="I1396" t="str">
        <f>IF($A1396="","",IF($D1396="V01",Cadrage!$C$34,IF($D1396="V02",Cadrage!$D$34,Cadrage!$E$34)))</f>
        <v/>
      </c>
      <c r="J1396" t="str">
        <f>IF($A1396="","",IF($D1396="V01",Cadrage!$C$35,IF($D1396="V02",Cadrage!$D$35,Cadrage!$E$35)))</f>
        <v/>
      </c>
      <c r="K1396" t="str">
        <f>IF($A1396="","",IF($D1396="V01",Cadrage!$C$36,IF($D1396="V02",Cadrage!$D$36,Cadrage!$E$36)))</f>
        <v/>
      </c>
      <c r="L1396" t="str">
        <f>IF($A1396="","",IF($D1396="V01",Cadrage!$C$37,IF($D1396="V02",Cadrage!$D$37,Cadrage!$E$37)))</f>
        <v/>
      </c>
      <c r="M1396" t="str">
        <f>IF($A1396="","",IF($D1396="V01",Cadrage!$C$38,IF($D1396="V02",Cadrage!$D$38,Cadrage!$E$38)))</f>
        <v/>
      </c>
      <c r="N1396" t="str">
        <f t="shared" si="1"/>
        <v/>
      </c>
      <c r="O1396" t="str">
        <f t="shared" si="2"/>
        <v/>
      </c>
      <c r="P1396" t="str">
        <f>IF($A1396="","",IF($E1396=1,$F1396*$O1396,PNL!G1396))</f>
        <v/>
      </c>
    </row>
    <row r="1397" ht="14.25" customHeight="1">
      <c r="A1397" t="str">
        <f>IF(PNL!A1397="","",PNL!A1397)</f>
        <v/>
      </c>
      <c r="B1397" t="str">
        <f>IF(PNL!B1397="","",PNL!B1397)</f>
        <v/>
      </c>
      <c r="C1397" t="str">
        <f>IF(PNL!C1397="","",PNL!C1397)</f>
        <v/>
      </c>
      <c r="D1397" t="str">
        <f>IF(PNL!D1397="","",PNL!D1397)</f>
        <v/>
      </c>
      <c r="E1397" t="str">
        <f t="shared" si="0"/>
        <v/>
      </c>
      <c r="F1397" t="str">
        <f>IF($A1397="","",IF($E1397=1,_xlfn.SUMIFS(Comptabilité!$F$1:$F$1446,Comptabilité!$A$1:$A$1446,$A1397,Comptabilité!$B$1:$B$1446,$B1397,Comptabilité!$C$1:$C$1446,"2026"),0))</f>
        <v/>
      </c>
      <c r="G1397" t="str">
        <f>IF($A1397="","",IF($D1397="V01",Cadrage!$C$23,IF($D1397="V02",Cadrage!$D$23,Cadrage!$E$23)))</f>
        <v/>
      </c>
      <c r="H1397" t="str">
        <f>IF($A1397="","",IF($D1397="V01",Cadrage!$C$24,IF($D1397="V02",Cadrage!$D$24,Cadrage!$E$24)))</f>
        <v/>
      </c>
      <c r="I1397" t="str">
        <f>IF($A1397="","",IF($D1397="V01",Cadrage!$C$34,IF($D1397="V02",Cadrage!$D$34,Cadrage!$E$34)))</f>
        <v/>
      </c>
      <c r="J1397" t="str">
        <f>IF($A1397="","",IF($D1397="V01",Cadrage!$C$35,IF($D1397="V02",Cadrage!$D$35,Cadrage!$E$35)))</f>
        <v/>
      </c>
      <c r="K1397" t="str">
        <f>IF($A1397="","",IF($D1397="V01",Cadrage!$C$36,IF($D1397="V02",Cadrage!$D$36,Cadrage!$E$36)))</f>
        <v/>
      </c>
      <c r="L1397" t="str">
        <f>IF($A1397="","",IF($D1397="V01",Cadrage!$C$37,IF($D1397="V02",Cadrage!$D$37,Cadrage!$E$37)))</f>
        <v/>
      </c>
      <c r="M1397" t="str">
        <f>IF($A1397="","",IF($D1397="V01",Cadrage!$C$38,IF($D1397="V02",Cadrage!$D$38,Cadrage!$E$38)))</f>
        <v/>
      </c>
      <c r="N1397" t="str">
        <f t="shared" si="1"/>
        <v/>
      </c>
      <c r="O1397" t="str">
        <f t="shared" si="2"/>
        <v/>
      </c>
      <c r="P1397" t="str">
        <f>IF($A1397="","",IF($E1397=1,$F1397*$O1397,PNL!G1397))</f>
        <v/>
      </c>
    </row>
    <row r="1398" ht="14.25" customHeight="1">
      <c r="A1398" t="str">
        <f>IF(PNL!A1398="","",PNL!A1398)</f>
        <v/>
      </c>
      <c r="B1398" t="str">
        <f>IF(PNL!B1398="","",PNL!B1398)</f>
        <v/>
      </c>
      <c r="C1398" t="str">
        <f>IF(PNL!C1398="","",PNL!C1398)</f>
        <v/>
      </c>
      <c r="D1398" t="str">
        <f>IF(PNL!D1398="","",PNL!D1398)</f>
        <v/>
      </c>
      <c r="E1398" t="str">
        <f t="shared" si="0"/>
        <v/>
      </c>
      <c r="F1398" t="str">
        <f>IF($A1398="","",IF($E1398=1,_xlfn.SUMIFS(Comptabilité!$F$1:$F$1446,Comptabilité!$A$1:$A$1446,$A1398,Comptabilité!$B$1:$B$1446,$B1398,Comptabilité!$C$1:$C$1446,"2026"),0))</f>
        <v/>
      </c>
      <c r="G1398" t="str">
        <f>IF($A1398="","",IF($D1398="V01",Cadrage!$C$23,IF($D1398="V02",Cadrage!$D$23,Cadrage!$E$23)))</f>
        <v/>
      </c>
      <c r="H1398" t="str">
        <f>IF($A1398="","",IF($D1398="V01",Cadrage!$C$24,IF($D1398="V02",Cadrage!$D$24,Cadrage!$E$24)))</f>
        <v/>
      </c>
      <c r="I1398" t="str">
        <f>IF($A1398="","",IF($D1398="V01",Cadrage!$C$34,IF($D1398="V02",Cadrage!$D$34,Cadrage!$E$34)))</f>
        <v/>
      </c>
      <c r="J1398" t="str">
        <f>IF($A1398="","",IF($D1398="V01",Cadrage!$C$35,IF($D1398="V02",Cadrage!$D$35,Cadrage!$E$35)))</f>
        <v/>
      </c>
      <c r="K1398" t="str">
        <f>IF($A1398="","",IF($D1398="V01",Cadrage!$C$36,IF($D1398="V02",Cadrage!$D$36,Cadrage!$E$36)))</f>
        <v/>
      </c>
      <c r="L1398" t="str">
        <f>IF($A1398="","",IF($D1398="V01",Cadrage!$C$37,IF($D1398="V02",Cadrage!$D$37,Cadrage!$E$37)))</f>
        <v/>
      </c>
      <c r="M1398" t="str">
        <f>IF($A1398="","",IF($D1398="V01",Cadrage!$C$38,IF($D1398="V02",Cadrage!$D$38,Cadrage!$E$38)))</f>
        <v/>
      </c>
      <c r="N1398" t="str">
        <f t="shared" si="1"/>
        <v/>
      </c>
      <c r="O1398" t="str">
        <f t="shared" si="2"/>
        <v/>
      </c>
      <c r="P1398" t="str">
        <f>IF($A1398="","",IF($E1398=1,$F1398*$O1398,PNL!G1398))</f>
        <v/>
      </c>
    </row>
    <row r="1399" ht="14.25" customHeight="1">
      <c r="A1399" t="str">
        <f>IF(PNL!A1399="","",PNL!A1399)</f>
        <v/>
      </c>
      <c r="B1399" t="str">
        <f>IF(PNL!B1399="","",PNL!B1399)</f>
        <v/>
      </c>
      <c r="C1399" t="str">
        <f>IF(PNL!C1399="","",PNL!C1399)</f>
        <v/>
      </c>
      <c r="D1399" t="str">
        <f>IF(PNL!D1399="","",PNL!D1399)</f>
        <v/>
      </c>
      <c r="E1399" t="str">
        <f t="shared" si="0"/>
        <v/>
      </c>
      <c r="F1399" t="str">
        <f>IF($A1399="","",IF($E1399=1,_xlfn.SUMIFS(Comptabilité!$F$1:$F$1446,Comptabilité!$A$1:$A$1446,$A1399,Comptabilité!$B$1:$B$1446,$B1399,Comptabilité!$C$1:$C$1446,"2026"),0))</f>
        <v/>
      </c>
      <c r="G1399" t="str">
        <f>IF($A1399="","",IF($D1399="V01",Cadrage!$C$23,IF($D1399="V02",Cadrage!$D$23,Cadrage!$E$23)))</f>
        <v/>
      </c>
      <c r="H1399" t="str">
        <f>IF($A1399="","",IF($D1399="V01",Cadrage!$C$24,IF($D1399="V02",Cadrage!$D$24,Cadrage!$E$24)))</f>
        <v/>
      </c>
      <c r="I1399" t="str">
        <f>IF($A1399="","",IF($D1399="V01",Cadrage!$C$34,IF($D1399="V02",Cadrage!$D$34,Cadrage!$E$34)))</f>
        <v/>
      </c>
      <c r="J1399" t="str">
        <f>IF($A1399="","",IF($D1399="V01",Cadrage!$C$35,IF($D1399="V02",Cadrage!$D$35,Cadrage!$E$35)))</f>
        <v/>
      </c>
      <c r="K1399" t="str">
        <f>IF($A1399="","",IF($D1399="V01",Cadrage!$C$36,IF($D1399="V02",Cadrage!$D$36,Cadrage!$E$36)))</f>
        <v/>
      </c>
      <c r="L1399" t="str">
        <f>IF($A1399="","",IF($D1399="V01",Cadrage!$C$37,IF($D1399="V02",Cadrage!$D$37,Cadrage!$E$37)))</f>
        <v/>
      </c>
      <c r="M1399" t="str">
        <f>IF($A1399="","",IF($D1399="V01",Cadrage!$C$38,IF($D1399="V02",Cadrage!$D$38,Cadrage!$E$38)))</f>
        <v/>
      </c>
      <c r="N1399" t="str">
        <f t="shared" si="1"/>
        <v/>
      </c>
      <c r="O1399" t="str">
        <f t="shared" si="2"/>
        <v/>
      </c>
      <c r="P1399" t="str">
        <f>IF($A1399="","",IF($E1399=1,$F1399*$O1399,PNL!G1399))</f>
        <v/>
      </c>
    </row>
    <row r="1400" ht="14.25" customHeight="1">
      <c r="A1400" t="str">
        <f>IF(PNL!A1400="","",PNL!A1400)</f>
        <v/>
      </c>
      <c r="B1400" t="str">
        <f>IF(PNL!B1400="","",PNL!B1400)</f>
        <v/>
      </c>
      <c r="C1400" t="str">
        <f>IF(PNL!C1400="","",PNL!C1400)</f>
        <v/>
      </c>
      <c r="D1400" t="str">
        <f>IF(PNL!D1400="","",PNL!D1400)</f>
        <v/>
      </c>
      <c r="E1400" t="str">
        <f t="shared" si="0"/>
        <v/>
      </c>
      <c r="F1400" t="str">
        <f>IF($A1400="","",IF($E1400=1,_xlfn.SUMIFS(Comptabilité!$F$1:$F$1446,Comptabilité!$A$1:$A$1446,$A1400,Comptabilité!$B$1:$B$1446,$B1400,Comptabilité!$C$1:$C$1446,"2026"),0))</f>
        <v/>
      </c>
      <c r="G1400" t="str">
        <f>IF($A1400="","",IF($D1400="V01",Cadrage!$C$23,IF($D1400="V02",Cadrage!$D$23,Cadrage!$E$23)))</f>
        <v/>
      </c>
      <c r="H1400" t="str">
        <f>IF($A1400="","",IF($D1400="V01",Cadrage!$C$24,IF($D1400="V02",Cadrage!$D$24,Cadrage!$E$24)))</f>
        <v/>
      </c>
      <c r="I1400" t="str">
        <f>IF($A1400="","",IF($D1400="V01",Cadrage!$C$34,IF($D1400="V02",Cadrage!$D$34,Cadrage!$E$34)))</f>
        <v/>
      </c>
      <c r="J1400" t="str">
        <f>IF($A1400="","",IF($D1400="V01",Cadrage!$C$35,IF($D1400="V02",Cadrage!$D$35,Cadrage!$E$35)))</f>
        <v/>
      </c>
      <c r="K1400" t="str">
        <f>IF($A1400="","",IF($D1400="V01",Cadrage!$C$36,IF($D1400="V02",Cadrage!$D$36,Cadrage!$E$36)))</f>
        <v/>
      </c>
      <c r="L1400" t="str">
        <f>IF($A1400="","",IF($D1400="V01",Cadrage!$C$37,IF($D1400="V02",Cadrage!$D$37,Cadrage!$E$37)))</f>
        <v/>
      </c>
      <c r="M1400" t="str">
        <f>IF($A1400="","",IF($D1400="V01",Cadrage!$C$38,IF($D1400="V02",Cadrage!$D$38,Cadrage!$E$38)))</f>
        <v/>
      </c>
      <c r="N1400" t="str">
        <f t="shared" si="1"/>
        <v/>
      </c>
      <c r="O1400" t="str">
        <f t="shared" si="2"/>
        <v/>
      </c>
      <c r="P1400" t="str">
        <f>IF($A1400="","",IF($E1400=1,$F1400*$O1400,PNL!G1400))</f>
        <v/>
      </c>
    </row>
    <row r="1401" ht="14.25" customHeight="1">
      <c r="A1401" t="str">
        <f>IF(PNL!A1401="","",PNL!A1401)</f>
        <v/>
      </c>
      <c r="B1401" t="str">
        <f>IF(PNL!B1401="","",PNL!B1401)</f>
        <v/>
      </c>
      <c r="C1401" t="str">
        <f>IF(PNL!C1401="","",PNL!C1401)</f>
        <v/>
      </c>
      <c r="D1401" t="str">
        <f>IF(PNL!D1401="","",PNL!D1401)</f>
        <v/>
      </c>
      <c r="E1401" t="str">
        <f t="shared" si="0"/>
        <v/>
      </c>
      <c r="F1401" t="str">
        <f>IF($A1401="","",IF($E1401=1,_xlfn.SUMIFS(Comptabilité!$F$1:$F$1446,Comptabilité!$A$1:$A$1446,$A1401,Comptabilité!$B$1:$B$1446,$B1401,Comptabilité!$C$1:$C$1446,"2026"),0))</f>
        <v/>
      </c>
      <c r="G1401" t="str">
        <f>IF($A1401="","",IF($D1401="V01",Cadrage!$C$23,IF($D1401="V02",Cadrage!$D$23,Cadrage!$E$23)))</f>
        <v/>
      </c>
      <c r="H1401" t="str">
        <f>IF($A1401="","",IF($D1401="V01",Cadrage!$C$24,IF($D1401="V02",Cadrage!$D$24,Cadrage!$E$24)))</f>
        <v/>
      </c>
      <c r="I1401" t="str">
        <f>IF($A1401="","",IF($D1401="V01",Cadrage!$C$34,IF($D1401="V02",Cadrage!$D$34,Cadrage!$E$34)))</f>
        <v/>
      </c>
      <c r="J1401" t="str">
        <f>IF($A1401="","",IF($D1401="V01",Cadrage!$C$35,IF($D1401="V02",Cadrage!$D$35,Cadrage!$E$35)))</f>
        <v/>
      </c>
      <c r="K1401" t="str">
        <f>IF($A1401="","",IF($D1401="V01",Cadrage!$C$36,IF($D1401="V02",Cadrage!$D$36,Cadrage!$E$36)))</f>
        <v/>
      </c>
      <c r="L1401" t="str">
        <f>IF($A1401="","",IF($D1401="V01",Cadrage!$C$37,IF($D1401="V02",Cadrage!$D$37,Cadrage!$E$37)))</f>
        <v/>
      </c>
      <c r="M1401" t="str">
        <f>IF($A1401="","",IF($D1401="V01",Cadrage!$C$38,IF($D1401="V02",Cadrage!$D$38,Cadrage!$E$38)))</f>
        <v/>
      </c>
      <c r="N1401" t="str">
        <f t="shared" si="1"/>
        <v/>
      </c>
      <c r="O1401" t="str">
        <f t="shared" si="2"/>
        <v/>
      </c>
      <c r="P1401" t="str">
        <f>IF($A1401="","",IF($E1401=1,$F1401*$O1401,PNL!G1401))</f>
        <v/>
      </c>
    </row>
    <row r="1402" ht="14.25" customHeight="1">
      <c r="A1402" t="str">
        <f>IF(PNL!A1402="","",PNL!A1402)</f>
        <v/>
      </c>
      <c r="B1402" t="str">
        <f>IF(PNL!B1402="","",PNL!B1402)</f>
        <v/>
      </c>
      <c r="C1402" t="str">
        <f>IF(PNL!C1402="","",PNL!C1402)</f>
        <v/>
      </c>
      <c r="D1402" t="str">
        <f>IF(PNL!D1402="","",PNL!D1402)</f>
        <v/>
      </c>
      <c r="E1402" t="str">
        <f t="shared" si="0"/>
        <v/>
      </c>
      <c r="F1402" t="str">
        <f>IF($A1402="","",IF($E1402=1,_xlfn.SUMIFS(Comptabilité!$F$1:$F$1446,Comptabilité!$A$1:$A$1446,$A1402,Comptabilité!$B$1:$B$1446,$B1402,Comptabilité!$C$1:$C$1446,"2026"),0))</f>
        <v/>
      </c>
      <c r="G1402" t="str">
        <f>IF($A1402="","",IF($D1402="V01",Cadrage!$C$23,IF($D1402="V02",Cadrage!$D$23,Cadrage!$E$23)))</f>
        <v/>
      </c>
      <c r="H1402" t="str">
        <f>IF($A1402="","",IF($D1402="V01",Cadrage!$C$24,IF($D1402="V02",Cadrage!$D$24,Cadrage!$E$24)))</f>
        <v/>
      </c>
      <c r="I1402" t="str">
        <f>IF($A1402="","",IF($D1402="V01",Cadrage!$C$34,IF($D1402="V02",Cadrage!$D$34,Cadrage!$E$34)))</f>
        <v/>
      </c>
      <c r="J1402" t="str">
        <f>IF($A1402="","",IF($D1402="V01",Cadrage!$C$35,IF($D1402="V02",Cadrage!$D$35,Cadrage!$E$35)))</f>
        <v/>
      </c>
      <c r="K1402" t="str">
        <f>IF($A1402="","",IF($D1402="V01",Cadrage!$C$36,IF($D1402="V02",Cadrage!$D$36,Cadrage!$E$36)))</f>
        <v/>
      </c>
      <c r="L1402" t="str">
        <f>IF($A1402="","",IF($D1402="V01",Cadrage!$C$37,IF($D1402="V02",Cadrage!$D$37,Cadrage!$E$37)))</f>
        <v/>
      </c>
      <c r="M1402" t="str">
        <f>IF($A1402="","",IF($D1402="V01",Cadrage!$C$38,IF($D1402="V02",Cadrage!$D$38,Cadrage!$E$38)))</f>
        <v/>
      </c>
      <c r="N1402" t="str">
        <f t="shared" si="1"/>
        <v/>
      </c>
      <c r="O1402" t="str">
        <f t="shared" si="2"/>
        <v/>
      </c>
      <c r="P1402" t="str">
        <f>IF($A1402="","",IF($E1402=1,$F1402*$O1402,PNL!G1402))</f>
        <v/>
      </c>
    </row>
    <row r="1403" ht="14.25" customHeight="1">
      <c r="A1403" t="str">
        <f>IF(PNL!A1403="","",PNL!A1403)</f>
        <v/>
      </c>
      <c r="B1403" t="str">
        <f>IF(PNL!B1403="","",PNL!B1403)</f>
        <v/>
      </c>
      <c r="C1403" t="str">
        <f>IF(PNL!C1403="","",PNL!C1403)</f>
        <v/>
      </c>
      <c r="D1403" t="str">
        <f>IF(PNL!D1403="","",PNL!D1403)</f>
        <v/>
      </c>
      <c r="E1403" t="str">
        <f t="shared" si="0"/>
        <v/>
      </c>
      <c r="F1403" t="str">
        <f>IF($A1403="","",IF($E1403=1,_xlfn.SUMIFS(Comptabilité!$F$1:$F$1446,Comptabilité!$A$1:$A$1446,$A1403,Comptabilité!$B$1:$B$1446,$B1403,Comptabilité!$C$1:$C$1446,"2026"),0))</f>
        <v/>
      </c>
      <c r="G1403" t="str">
        <f>IF($A1403="","",IF($D1403="V01",Cadrage!$C$23,IF($D1403="V02",Cadrage!$D$23,Cadrage!$E$23)))</f>
        <v/>
      </c>
      <c r="H1403" t="str">
        <f>IF($A1403="","",IF($D1403="V01",Cadrage!$C$24,IF($D1403="V02",Cadrage!$D$24,Cadrage!$E$24)))</f>
        <v/>
      </c>
      <c r="I1403" t="str">
        <f>IF($A1403="","",IF($D1403="V01",Cadrage!$C$34,IF($D1403="V02",Cadrage!$D$34,Cadrage!$E$34)))</f>
        <v/>
      </c>
      <c r="J1403" t="str">
        <f>IF($A1403="","",IF($D1403="V01",Cadrage!$C$35,IF($D1403="V02",Cadrage!$D$35,Cadrage!$E$35)))</f>
        <v/>
      </c>
      <c r="K1403" t="str">
        <f>IF($A1403="","",IF($D1403="V01",Cadrage!$C$36,IF($D1403="V02",Cadrage!$D$36,Cadrage!$E$36)))</f>
        <v/>
      </c>
      <c r="L1403" t="str">
        <f>IF($A1403="","",IF($D1403="V01",Cadrage!$C$37,IF($D1403="V02",Cadrage!$D$37,Cadrage!$E$37)))</f>
        <v/>
      </c>
      <c r="M1403" t="str">
        <f>IF($A1403="","",IF($D1403="V01",Cadrage!$C$38,IF($D1403="V02",Cadrage!$D$38,Cadrage!$E$38)))</f>
        <v/>
      </c>
      <c r="N1403" t="str">
        <f t="shared" si="1"/>
        <v/>
      </c>
      <c r="O1403" t="str">
        <f t="shared" si="2"/>
        <v/>
      </c>
      <c r="P1403" t="str">
        <f>IF($A1403="","",IF($E1403=1,$F1403*$O1403,PNL!G1403))</f>
        <v/>
      </c>
    </row>
    <row r="1404" ht="14.25" customHeight="1">
      <c r="A1404" t="str">
        <f>IF(PNL!A1404="","",PNL!A1404)</f>
        <v/>
      </c>
      <c r="B1404" t="str">
        <f>IF(PNL!B1404="","",PNL!B1404)</f>
        <v/>
      </c>
      <c r="C1404" t="str">
        <f>IF(PNL!C1404="","",PNL!C1404)</f>
        <v/>
      </c>
      <c r="D1404" t="str">
        <f>IF(PNL!D1404="","",PNL!D1404)</f>
        <v/>
      </c>
      <c r="E1404" t="str">
        <f t="shared" si="0"/>
        <v/>
      </c>
      <c r="F1404" t="str">
        <f>IF($A1404="","",IF($E1404=1,_xlfn.SUMIFS(Comptabilité!$F$1:$F$1446,Comptabilité!$A$1:$A$1446,$A1404,Comptabilité!$B$1:$B$1446,$B1404,Comptabilité!$C$1:$C$1446,"2026"),0))</f>
        <v/>
      </c>
      <c r="G1404" t="str">
        <f>IF($A1404="","",IF($D1404="V01",Cadrage!$C$23,IF($D1404="V02",Cadrage!$D$23,Cadrage!$E$23)))</f>
        <v/>
      </c>
      <c r="H1404" t="str">
        <f>IF($A1404="","",IF($D1404="V01",Cadrage!$C$24,IF($D1404="V02",Cadrage!$D$24,Cadrage!$E$24)))</f>
        <v/>
      </c>
      <c r="I1404" t="str">
        <f>IF($A1404="","",IF($D1404="V01",Cadrage!$C$34,IF($D1404="V02",Cadrage!$D$34,Cadrage!$E$34)))</f>
        <v/>
      </c>
      <c r="J1404" t="str">
        <f>IF($A1404="","",IF($D1404="V01",Cadrage!$C$35,IF($D1404="V02",Cadrage!$D$35,Cadrage!$E$35)))</f>
        <v/>
      </c>
      <c r="K1404" t="str">
        <f>IF($A1404="","",IF($D1404="V01",Cadrage!$C$36,IF($D1404="V02",Cadrage!$D$36,Cadrage!$E$36)))</f>
        <v/>
      </c>
      <c r="L1404" t="str">
        <f>IF($A1404="","",IF($D1404="V01",Cadrage!$C$37,IF($D1404="V02",Cadrage!$D$37,Cadrage!$E$37)))</f>
        <v/>
      </c>
      <c r="M1404" t="str">
        <f>IF($A1404="","",IF($D1404="V01",Cadrage!$C$38,IF($D1404="V02",Cadrage!$D$38,Cadrage!$E$38)))</f>
        <v/>
      </c>
      <c r="N1404" t="str">
        <f t="shared" si="1"/>
        <v/>
      </c>
      <c r="O1404" t="str">
        <f t="shared" si="2"/>
        <v/>
      </c>
      <c r="P1404" t="str">
        <f>IF($A1404="","",IF($E1404=1,$F1404*$O1404,PNL!G1404))</f>
        <v/>
      </c>
    </row>
    <row r="1405" ht="14.25" customHeight="1">
      <c r="A1405" t="str">
        <f>IF(PNL!A1405="","",PNL!A1405)</f>
        <v/>
      </c>
      <c r="B1405" t="str">
        <f>IF(PNL!B1405="","",PNL!B1405)</f>
        <v/>
      </c>
      <c r="C1405" t="str">
        <f>IF(PNL!C1405="","",PNL!C1405)</f>
        <v/>
      </c>
      <c r="D1405" t="str">
        <f>IF(PNL!D1405="","",PNL!D1405)</f>
        <v/>
      </c>
      <c r="E1405" t="str">
        <f t="shared" si="0"/>
        <v/>
      </c>
      <c r="F1405" t="str">
        <f>IF($A1405="","",IF($E1405=1,_xlfn.SUMIFS(Comptabilité!$F$1:$F$1446,Comptabilité!$A$1:$A$1446,$A1405,Comptabilité!$B$1:$B$1446,$B1405,Comptabilité!$C$1:$C$1446,"2026"),0))</f>
        <v/>
      </c>
      <c r="G1405" t="str">
        <f>IF($A1405="","",IF($D1405="V01",Cadrage!$C$23,IF($D1405="V02",Cadrage!$D$23,Cadrage!$E$23)))</f>
        <v/>
      </c>
      <c r="H1405" t="str">
        <f>IF($A1405="","",IF($D1405="V01",Cadrage!$C$24,IF($D1405="V02",Cadrage!$D$24,Cadrage!$E$24)))</f>
        <v/>
      </c>
      <c r="I1405" t="str">
        <f>IF($A1405="","",IF($D1405="V01",Cadrage!$C$34,IF($D1405="V02",Cadrage!$D$34,Cadrage!$E$34)))</f>
        <v/>
      </c>
      <c r="J1405" t="str">
        <f>IF($A1405="","",IF($D1405="V01",Cadrage!$C$35,IF($D1405="V02",Cadrage!$D$35,Cadrage!$E$35)))</f>
        <v/>
      </c>
      <c r="K1405" t="str">
        <f>IF($A1405="","",IF($D1405="V01",Cadrage!$C$36,IF($D1405="V02",Cadrage!$D$36,Cadrage!$E$36)))</f>
        <v/>
      </c>
      <c r="L1405" t="str">
        <f>IF($A1405="","",IF($D1405="V01",Cadrage!$C$37,IF($D1405="V02",Cadrage!$D$37,Cadrage!$E$37)))</f>
        <v/>
      </c>
      <c r="M1405" t="str">
        <f>IF($A1405="","",IF($D1405="V01",Cadrage!$C$38,IF($D1405="V02",Cadrage!$D$38,Cadrage!$E$38)))</f>
        <v/>
      </c>
      <c r="N1405" t="str">
        <f t="shared" si="1"/>
        <v/>
      </c>
      <c r="O1405" t="str">
        <f t="shared" si="2"/>
        <v/>
      </c>
      <c r="P1405" t="str">
        <f>IF($A1405="","",IF($E1405=1,$F1405*$O1405,PNL!G1405))</f>
        <v/>
      </c>
    </row>
    <row r="1406" ht="14.25" customHeight="1">
      <c r="A1406" t="str">
        <f>IF(PNL!A1406="","",PNL!A1406)</f>
        <v/>
      </c>
      <c r="B1406" t="str">
        <f>IF(PNL!B1406="","",PNL!B1406)</f>
        <v/>
      </c>
      <c r="C1406" t="str">
        <f>IF(PNL!C1406="","",PNL!C1406)</f>
        <v/>
      </c>
      <c r="D1406" t="str">
        <f>IF(PNL!D1406="","",PNL!D1406)</f>
        <v/>
      </c>
      <c r="E1406" t="str">
        <f t="shared" si="0"/>
        <v/>
      </c>
      <c r="F1406" t="str">
        <f>IF($A1406="","",IF($E1406=1,_xlfn.SUMIFS(Comptabilité!$F$1:$F$1446,Comptabilité!$A$1:$A$1446,$A1406,Comptabilité!$B$1:$B$1446,$B1406,Comptabilité!$C$1:$C$1446,"2026"),0))</f>
        <v/>
      </c>
      <c r="G1406" t="str">
        <f>IF($A1406="","",IF($D1406="V01",Cadrage!$C$23,IF($D1406="V02",Cadrage!$D$23,Cadrage!$E$23)))</f>
        <v/>
      </c>
      <c r="H1406" t="str">
        <f>IF($A1406="","",IF($D1406="V01",Cadrage!$C$24,IF($D1406="V02",Cadrage!$D$24,Cadrage!$E$24)))</f>
        <v/>
      </c>
      <c r="I1406" t="str">
        <f>IF($A1406="","",IF($D1406="V01",Cadrage!$C$34,IF($D1406="V02",Cadrage!$D$34,Cadrage!$E$34)))</f>
        <v/>
      </c>
      <c r="J1406" t="str">
        <f>IF($A1406="","",IF($D1406="V01",Cadrage!$C$35,IF($D1406="V02",Cadrage!$D$35,Cadrage!$E$35)))</f>
        <v/>
      </c>
      <c r="K1406" t="str">
        <f>IF($A1406="","",IF($D1406="V01",Cadrage!$C$36,IF($D1406="V02",Cadrage!$D$36,Cadrage!$E$36)))</f>
        <v/>
      </c>
      <c r="L1406" t="str">
        <f>IF($A1406="","",IF($D1406="V01",Cadrage!$C$37,IF($D1406="V02",Cadrage!$D$37,Cadrage!$E$37)))</f>
        <v/>
      </c>
      <c r="M1406" t="str">
        <f>IF($A1406="","",IF($D1406="V01",Cadrage!$C$38,IF($D1406="V02",Cadrage!$D$38,Cadrage!$E$38)))</f>
        <v/>
      </c>
      <c r="N1406" t="str">
        <f t="shared" si="1"/>
        <v/>
      </c>
      <c r="O1406" t="str">
        <f t="shared" si="2"/>
        <v/>
      </c>
      <c r="P1406" t="str">
        <f>IF($A1406="","",IF($E1406=1,$F1406*$O1406,PNL!G1406))</f>
        <v/>
      </c>
    </row>
    <row r="1407" ht="14.25" customHeight="1">
      <c r="A1407" t="str">
        <f>IF(PNL!A1407="","",PNL!A1407)</f>
        <v/>
      </c>
      <c r="B1407" t="str">
        <f>IF(PNL!B1407="","",PNL!B1407)</f>
        <v/>
      </c>
      <c r="C1407" t="str">
        <f>IF(PNL!C1407="","",PNL!C1407)</f>
        <v/>
      </c>
      <c r="D1407" t="str">
        <f>IF(PNL!D1407="","",PNL!D1407)</f>
        <v/>
      </c>
      <c r="E1407" t="str">
        <f t="shared" si="0"/>
        <v/>
      </c>
      <c r="F1407" t="str">
        <f>IF($A1407="","",IF($E1407=1,_xlfn.SUMIFS(Comptabilité!$F$1:$F$1446,Comptabilité!$A$1:$A$1446,$A1407,Comptabilité!$B$1:$B$1446,$B1407,Comptabilité!$C$1:$C$1446,"2026"),0))</f>
        <v/>
      </c>
      <c r="G1407" t="str">
        <f>IF($A1407="","",IF($D1407="V01",Cadrage!$C$23,IF($D1407="V02",Cadrage!$D$23,Cadrage!$E$23)))</f>
        <v/>
      </c>
      <c r="H1407" t="str">
        <f>IF($A1407="","",IF($D1407="V01",Cadrage!$C$24,IF($D1407="V02",Cadrage!$D$24,Cadrage!$E$24)))</f>
        <v/>
      </c>
      <c r="I1407" t="str">
        <f>IF($A1407="","",IF($D1407="V01",Cadrage!$C$34,IF($D1407="V02",Cadrage!$D$34,Cadrage!$E$34)))</f>
        <v/>
      </c>
      <c r="J1407" t="str">
        <f>IF($A1407="","",IF($D1407="V01",Cadrage!$C$35,IF($D1407="V02",Cadrage!$D$35,Cadrage!$E$35)))</f>
        <v/>
      </c>
      <c r="K1407" t="str">
        <f>IF($A1407="","",IF($D1407="V01",Cadrage!$C$36,IF($D1407="V02",Cadrage!$D$36,Cadrage!$E$36)))</f>
        <v/>
      </c>
      <c r="L1407" t="str">
        <f>IF($A1407="","",IF($D1407="V01",Cadrage!$C$37,IF($D1407="V02",Cadrage!$D$37,Cadrage!$E$37)))</f>
        <v/>
      </c>
      <c r="M1407" t="str">
        <f>IF($A1407="","",IF($D1407="V01",Cadrage!$C$38,IF($D1407="V02",Cadrage!$D$38,Cadrage!$E$38)))</f>
        <v/>
      </c>
      <c r="N1407" t="str">
        <f t="shared" si="1"/>
        <v/>
      </c>
      <c r="O1407" t="str">
        <f t="shared" si="2"/>
        <v/>
      </c>
      <c r="P1407" t="str">
        <f>IF($A1407="","",IF($E1407=1,$F1407*$O1407,PNL!G1407))</f>
        <v/>
      </c>
    </row>
    <row r="1408" ht="14.25" customHeight="1">
      <c r="A1408" t="str">
        <f>IF(PNL!A1408="","",PNL!A1408)</f>
        <v/>
      </c>
      <c r="B1408" t="str">
        <f>IF(PNL!B1408="","",PNL!B1408)</f>
        <v/>
      </c>
      <c r="C1408" t="str">
        <f>IF(PNL!C1408="","",PNL!C1408)</f>
        <v/>
      </c>
      <c r="D1408" t="str">
        <f>IF(PNL!D1408="","",PNL!D1408)</f>
        <v/>
      </c>
      <c r="E1408" t="str">
        <f t="shared" si="0"/>
        <v/>
      </c>
      <c r="F1408" t="str">
        <f>IF($A1408="","",IF($E1408=1,_xlfn.SUMIFS(Comptabilité!$F$1:$F$1446,Comptabilité!$A$1:$A$1446,$A1408,Comptabilité!$B$1:$B$1446,$B1408,Comptabilité!$C$1:$C$1446,"2026"),0))</f>
        <v/>
      </c>
      <c r="G1408" t="str">
        <f>IF($A1408="","",IF($D1408="V01",Cadrage!$C$23,IF($D1408="V02",Cadrage!$D$23,Cadrage!$E$23)))</f>
        <v/>
      </c>
      <c r="H1408" t="str">
        <f>IF($A1408="","",IF($D1408="V01",Cadrage!$C$24,IF($D1408="V02",Cadrage!$D$24,Cadrage!$E$24)))</f>
        <v/>
      </c>
      <c r="I1408" t="str">
        <f>IF($A1408="","",IF($D1408="V01",Cadrage!$C$34,IF($D1408="V02",Cadrage!$D$34,Cadrage!$E$34)))</f>
        <v/>
      </c>
      <c r="J1408" t="str">
        <f>IF($A1408="","",IF($D1408="V01",Cadrage!$C$35,IF($D1408="V02",Cadrage!$D$35,Cadrage!$E$35)))</f>
        <v/>
      </c>
      <c r="K1408" t="str">
        <f>IF($A1408="","",IF($D1408="V01",Cadrage!$C$36,IF($D1408="V02",Cadrage!$D$36,Cadrage!$E$36)))</f>
        <v/>
      </c>
      <c r="L1408" t="str">
        <f>IF($A1408="","",IF($D1408="V01",Cadrage!$C$37,IF($D1408="V02",Cadrage!$D$37,Cadrage!$E$37)))</f>
        <v/>
      </c>
      <c r="M1408" t="str">
        <f>IF($A1408="","",IF($D1408="V01",Cadrage!$C$38,IF($D1408="V02",Cadrage!$D$38,Cadrage!$E$38)))</f>
        <v/>
      </c>
      <c r="N1408" t="str">
        <f t="shared" si="1"/>
        <v/>
      </c>
      <c r="O1408" t="str">
        <f t="shared" si="2"/>
        <v/>
      </c>
      <c r="P1408" t="str">
        <f>IF($A1408="","",IF($E1408=1,$F1408*$O1408,PNL!G1408))</f>
        <v/>
      </c>
    </row>
    <row r="1409" ht="14.25" customHeight="1">
      <c r="A1409" t="str">
        <f>IF(PNL!A1409="","",PNL!A1409)</f>
        <v/>
      </c>
      <c r="B1409" t="str">
        <f>IF(PNL!B1409="","",PNL!B1409)</f>
        <v/>
      </c>
      <c r="C1409" t="str">
        <f>IF(PNL!C1409="","",PNL!C1409)</f>
        <v/>
      </c>
      <c r="D1409" t="str">
        <f>IF(PNL!D1409="","",PNL!D1409)</f>
        <v/>
      </c>
      <c r="E1409" t="str">
        <f t="shared" si="0"/>
        <v/>
      </c>
      <c r="F1409" t="str">
        <f>IF($A1409="","",IF($E1409=1,_xlfn.SUMIFS(Comptabilité!$F$1:$F$1446,Comptabilité!$A$1:$A$1446,$A1409,Comptabilité!$B$1:$B$1446,$B1409,Comptabilité!$C$1:$C$1446,"2026"),0))</f>
        <v/>
      </c>
      <c r="G1409" t="str">
        <f>IF($A1409="","",IF($D1409="V01",Cadrage!$C$23,IF($D1409="V02",Cadrage!$D$23,Cadrage!$E$23)))</f>
        <v/>
      </c>
      <c r="H1409" t="str">
        <f>IF($A1409="","",IF($D1409="V01",Cadrage!$C$24,IF($D1409="V02",Cadrage!$D$24,Cadrage!$E$24)))</f>
        <v/>
      </c>
      <c r="I1409" t="str">
        <f>IF($A1409="","",IF($D1409="V01",Cadrage!$C$34,IF($D1409="V02",Cadrage!$D$34,Cadrage!$E$34)))</f>
        <v/>
      </c>
      <c r="J1409" t="str">
        <f>IF($A1409="","",IF($D1409="V01",Cadrage!$C$35,IF($D1409="V02",Cadrage!$D$35,Cadrage!$E$35)))</f>
        <v/>
      </c>
      <c r="K1409" t="str">
        <f>IF($A1409="","",IF($D1409="V01",Cadrage!$C$36,IF($D1409="V02",Cadrage!$D$36,Cadrage!$E$36)))</f>
        <v/>
      </c>
      <c r="L1409" t="str">
        <f>IF($A1409="","",IF($D1409="V01",Cadrage!$C$37,IF($D1409="V02",Cadrage!$D$37,Cadrage!$E$37)))</f>
        <v/>
      </c>
      <c r="M1409" t="str">
        <f>IF($A1409="","",IF($D1409="V01",Cadrage!$C$38,IF($D1409="V02",Cadrage!$D$38,Cadrage!$E$38)))</f>
        <v/>
      </c>
      <c r="N1409" t="str">
        <f t="shared" si="1"/>
        <v/>
      </c>
      <c r="O1409" t="str">
        <f t="shared" si="2"/>
        <v/>
      </c>
      <c r="P1409" t="str">
        <f>IF($A1409="","",IF($E1409=1,$F1409*$O1409,PNL!G1409))</f>
        <v/>
      </c>
    </row>
    <row r="1410" ht="14.25" customHeight="1">
      <c r="A1410" t="str">
        <f>IF(PNL!A1410="","",PNL!A1410)</f>
        <v/>
      </c>
      <c r="B1410" t="str">
        <f>IF(PNL!B1410="","",PNL!B1410)</f>
        <v/>
      </c>
      <c r="C1410" t="str">
        <f>IF(PNL!C1410="","",PNL!C1410)</f>
        <v/>
      </c>
      <c r="D1410" t="str">
        <f>IF(PNL!D1410="","",PNL!D1410)</f>
        <v/>
      </c>
      <c r="E1410" t="str">
        <f t="shared" si="0"/>
        <v/>
      </c>
      <c r="F1410" t="str">
        <f>IF($A1410="","",IF($E1410=1,_xlfn.SUMIFS(Comptabilité!$F$1:$F$1446,Comptabilité!$A$1:$A$1446,$A1410,Comptabilité!$B$1:$B$1446,$B1410,Comptabilité!$C$1:$C$1446,"2026"),0))</f>
        <v/>
      </c>
      <c r="G1410" t="str">
        <f>IF($A1410="","",IF($D1410="V01",Cadrage!$C$23,IF($D1410="V02",Cadrage!$D$23,Cadrage!$E$23)))</f>
        <v/>
      </c>
      <c r="H1410" t="str">
        <f>IF($A1410="","",IF($D1410="V01",Cadrage!$C$24,IF($D1410="V02",Cadrage!$D$24,Cadrage!$E$24)))</f>
        <v/>
      </c>
      <c r="I1410" t="str">
        <f>IF($A1410="","",IF($D1410="V01",Cadrage!$C$34,IF($D1410="V02",Cadrage!$D$34,Cadrage!$E$34)))</f>
        <v/>
      </c>
      <c r="J1410" t="str">
        <f>IF($A1410="","",IF($D1410="V01",Cadrage!$C$35,IF($D1410="V02",Cadrage!$D$35,Cadrage!$E$35)))</f>
        <v/>
      </c>
      <c r="K1410" t="str">
        <f>IF($A1410="","",IF($D1410="V01",Cadrage!$C$36,IF($D1410="V02",Cadrage!$D$36,Cadrage!$E$36)))</f>
        <v/>
      </c>
      <c r="L1410" t="str">
        <f>IF($A1410="","",IF($D1410="V01",Cadrage!$C$37,IF($D1410="V02",Cadrage!$D$37,Cadrage!$E$37)))</f>
        <v/>
      </c>
      <c r="M1410" t="str">
        <f>IF($A1410="","",IF($D1410="V01",Cadrage!$C$38,IF($D1410="V02",Cadrage!$D$38,Cadrage!$E$38)))</f>
        <v/>
      </c>
      <c r="N1410" t="str">
        <f t="shared" si="1"/>
        <v/>
      </c>
      <c r="O1410" t="str">
        <f t="shared" si="2"/>
        <v/>
      </c>
      <c r="P1410" t="str">
        <f>IF($A1410="","",IF($E1410=1,$F1410*$O1410,PNL!G1410))</f>
        <v/>
      </c>
    </row>
    <row r="1411" ht="14.25" customHeight="1">
      <c r="A1411" t="str">
        <f>IF(PNL!A1411="","",PNL!A1411)</f>
        <v/>
      </c>
      <c r="B1411" t="str">
        <f>IF(PNL!B1411="","",PNL!B1411)</f>
        <v/>
      </c>
      <c r="C1411" t="str">
        <f>IF(PNL!C1411="","",PNL!C1411)</f>
        <v/>
      </c>
      <c r="D1411" t="str">
        <f>IF(PNL!D1411="","",PNL!D1411)</f>
        <v/>
      </c>
      <c r="E1411" t="str">
        <f t="shared" si="0"/>
        <v/>
      </c>
      <c r="F1411" t="str">
        <f>IF($A1411="","",IF($E1411=1,_xlfn.SUMIFS(Comptabilité!$F$1:$F$1446,Comptabilité!$A$1:$A$1446,$A1411,Comptabilité!$B$1:$B$1446,$B1411,Comptabilité!$C$1:$C$1446,"2026"),0))</f>
        <v/>
      </c>
      <c r="G1411" t="str">
        <f>IF($A1411="","",IF($D1411="V01",Cadrage!$C$23,IF($D1411="V02",Cadrage!$D$23,Cadrage!$E$23)))</f>
        <v/>
      </c>
      <c r="H1411" t="str">
        <f>IF($A1411="","",IF($D1411="V01",Cadrage!$C$24,IF($D1411="V02",Cadrage!$D$24,Cadrage!$E$24)))</f>
        <v/>
      </c>
      <c r="I1411" t="str">
        <f>IF($A1411="","",IF($D1411="V01",Cadrage!$C$34,IF($D1411="V02",Cadrage!$D$34,Cadrage!$E$34)))</f>
        <v/>
      </c>
      <c r="J1411" t="str">
        <f>IF($A1411="","",IF($D1411="V01",Cadrage!$C$35,IF($D1411="V02",Cadrage!$D$35,Cadrage!$E$35)))</f>
        <v/>
      </c>
      <c r="K1411" t="str">
        <f>IF($A1411="","",IF($D1411="V01",Cadrage!$C$36,IF($D1411="V02",Cadrage!$D$36,Cadrage!$E$36)))</f>
        <v/>
      </c>
      <c r="L1411" t="str">
        <f>IF($A1411="","",IF($D1411="V01",Cadrage!$C$37,IF($D1411="V02",Cadrage!$D$37,Cadrage!$E$37)))</f>
        <v/>
      </c>
      <c r="M1411" t="str">
        <f>IF($A1411="","",IF($D1411="V01",Cadrage!$C$38,IF($D1411="V02",Cadrage!$D$38,Cadrage!$E$38)))</f>
        <v/>
      </c>
      <c r="N1411" t="str">
        <f t="shared" si="1"/>
        <v/>
      </c>
      <c r="O1411" t="str">
        <f t="shared" si="2"/>
        <v/>
      </c>
      <c r="P1411" t="str">
        <f>IF($A1411="","",IF($E1411=1,$F1411*$O1411,PNL!G1411))</f>
        <v/>
      </c>
    </row>
    <row r="1412" ht="14.25" customHeight="1">
      <c r="A1412" t="str">
        <f>IF(PNL!A1412="","",PNL!A1412)</f>
        <v/>
      </c>
      <c r="B1412" t="str">
        <f>IF(PNL!B1412="","",PNL!B1412)</f>
        <v/>
      </c>
      <c r="C1412" t="str">
        <f>IF(PNL!C1412="","",PNL!C1412)</f>
        <v/>
      </c>
      <c r="D1412" t="str">
        <f>IF(PNL!D1412="","",PNL!D1412)</f>
        <v/>
      </c>
      <c r="E1412" t="str">
        <f t="shared" si="0"/>
        <v/>
      </c>
      <c r="F1412" t="str">
        <f>IF($A1412="","",IF($E1412=1,_xlfn.SUMIFS(Comptabilité!$F$1:$F$1446,Comptabilité!$A$1:$A$1446,$A1412,Comptabilité!$B$1:$B$1446,$B1412,Comptabilité!$C$1:$C$1446,"2026"),0))</f>
        <v/>
      </c>
      <c r="G1412" t="str">
        <f>IF($A1412="","",IF($D1412="V01",Cadrage!$C$23,IF($D1412="V02",Cadrage!$D$23,Cadrage!$E$23)))</f>
        <v/>
      </c>
      <c r="H1412" t="str">
        <f>IF($A1412="","",IF($D1412="V01",Cadrage!$C$24,IF($D1412="V02",Cadrage!$D$24,Cadrage!$E$24)))</f>
        <v/>
      </c>
      <c r="I1412" t="str">
        <f>IF($A1412="","",IF($D1412="V01",Cadrage!$C$34,IF($D1412="V02",Cadrage!$D$34,Cadrage!$E$34)))</f>
        <v/>
      </c>
      <c r="J1412" t="str">
        <f>IF($A1412="","",IF($D1412="V01",Cadrage!$C$35,IF($D1412="V02",Cadrage!$D$35,Cadrage!$E$35)))</f>
        <v/>
      </c>
      <c r="K1412" t="str">
        <f>IF($A1412="","",IF($D1412="V01",Cadrage!$C$36,IF($D1412="V02",Cadrage!$D$36,Cadrage!$E$36)))</f>
        <v/>
      </c>
      <c r="L1412" t="str">
        <f>IF($A1412="","",IF($D1412="V01",Cadrage!$C$37,IF($D1412="V02",Cadrage!$D$37,Cadrage!$E$37)))</f>
        <v/>
      </c>
      <c r="M1412" t="str">
        <f>IF($A1412="","",IF($D1412="V01",Cadrage!$C$38,IF($D1412="V02",Cadrage!$D$38,Cadrage!$E$38)))</f>
        <v/>
      </c>
      <c r="N1412" t="str">
        <f t="shared" si="1"/>
        <v/>
      </c>
      <c r="O1412" t="str">
        <f t="shared" si="2"/>
        <v/>
      </c>
      <c r="P1412" t="str">
        <f>IF($A1412="","",IF($E1412=1,$F1412*$O1412,PNL!G1412))</f>
        <v/>
      </c>
    </row>
    <row r="1413" ht="14.25" customHeight="1">
      <c r="A1413" t="str">
        <f>IF(PNL!A1413="","",PNL!A1413)</f>
        <v/>
      </c>
      <c r="B1413" t="str">
        <f>IF(PNL!B1413="","",PNL!B1413)</f>
        <v/>
      </c>
      <c r="C1413" t="str">
        <f>IF(PNL!C1413="","",PNL!C1413)</f>
        <v/>
      </c>
      <c r="D1413" t="str">
        <f>IF(PNL!D1413="","",PNL!D1413)</f>
        <v/>
      </c>
      <c r="E1413" t="str">
        <f t="shared" si="0"/>
        <v/>
      </c>
      <c r="F1413" t="str">
        <f>IF($A1413="","",IF($E1413=1,_xlfn.SUMIFS(Comptabilité!$F$1:$F$1446,Comptabilité!$A$1:$A$1446,$A1413,Comptabilité!$B$1:$B$1446,$B1413,Comptabilité!$C$1:$C$1446,"2026"),0))</f>
        <v/>
      </c>
      <c r="G1413" t="str">
        <f>IF($A1413="","",IF($D1413="V01",Cadrage!$C$23,IF($D1413="V02",Cadrage!$D$23,Cadrage!$E$23)))</f>
        <v/>
      </c>
      <c r="H1413" t="str">
        <f>IF($A1413="","",IF($D1413="V01",Cadrage!$C$24,IF($D1413="V02",Cadrage!$D$24,Cadrage!$E$24)))</f>
        <v/>
      </c>
      <c r="I1413" t="str">
        <f>IF($A1413="","",IF($D1413="V01",Cadrage!$C$34,IF($D1413="V02",Cadrage!$D$34,Cadrage!$E$34)))</f>
        <v/>
      </c>
      <c r="J1413" t="str">
        <f>IF($A1413="","",IF($D1413="V01",Cadrage!$C$35,IF($D1413="V02",Cadrage!$D$35,Cadrage!$E$35)))</f>
        <v/>
      </c>
      <c r="K1413" t="str">
        <f>IF($A1413="","",IF($D1413="V01",Cadrage!$C$36,IF($D1413="V02",Cadrage!$D$36,Cadrage!$E$36)))</f>
        <v/>
      </c>
      <c r="L1413" t="str">
        <f>IF($A1413="","",IF($D1413="V01",Cadrage!$C$37,IF($D1413="V02",Cadrage!$D$37,Cadrage!$E$37)))</f>
        <v/>
      </c>
      <c r="M1413" t="str">
        <f>IF($A1413="","",IF($D1413="V01",Cadrage!$C$38,IF($D1413="V02",Cadrage!$D$38,Cadrage!$E$38)))</f>
        <v/>
      </c>
      <c r="N1413" t="str">
        <f t="shared" si="1"/>
        <v/>
      </c>
      <c r="O1413" t="str">
        <f t="shared" si="2"/>
        <v/>
      </c>
      <c r="P1413" t="str">
        <f>IF($A1413="","",IF($E1413=1,$F1413*$O1413,PNL!G1413))</f>
        <v/>
      </c>
    </row>
    <row r="1414" ht="14.25" customHeight="1">
      <c r="A1414" t="str">
        <f>IF(PNL!A1414="","",PNL!A1414)</f>
        <v/>
      </c>
      <c r="B1414" t="str">
        <f>IF(PNL!B1414="","",PNL!B1414)</f>
        <v/>
      </c>
      <c r="C1414" t="str">
        <f>IF(PNL!C1414="","",PNL!C1414)</f>
        <v/>
      </c>
      <c r="D1414" t="str">
        <f>IF(PNL!D1414="","",PNL!D1414)</f>
        <v/>
      </c>
      <c r="E1414" t="str">
        <f t="shared" si="0"/>
        <v/>
      </c>
      <c r="F1414" t="str">
        <f>IF($A1414="","",IF($E1414=1,_xlfn.SUMIFS(Comptabilité!$F$1:$F$1446,Comptabilité!$A$1:$A$1446,$A1414,Comptabilité!$B$1:$B$1446,$B1414,Comptabilité!$C$1:$C$1446,"2026"),0))</f>
        <v/>
      </c>
      <c r="G1414" t="str">
        <f>IF($A1414="","",IF($D1414="V01",Cadrage!$C$23,IF($D1414="V02",Cadrage!$D$23,Cadrage!$E$23)))</f>
        <v/>
      </c>
      <c r="H1414" t="str">
        <f>IF($A1414="","",IF($D1414="V01",Cadrage!$C$24,IF($D1414="V02",Cadrage!$D$24,Cadrage!$E$24)))</f>
        <v/>
      </c>
      <c r="I1414" t="str">
        <f>IF($A1414="","",IF($D1414="V01",Cadrage!$C$34,IF($D1414="V02",Cadrage!$D$34,Cadrage!$E$34)))</f>
        <v/>
      </c>
      <c r="J1414" t="str">
        <f>IF($A1414="","",IF($D1414="V01",Cadrage!$C$35,IF($D1414="V02",Cadrage!$D$35,Cadrage!$E$35)))</f>
        <v/>
      </c>
      <c r="K1414" t="str">
        <f>IF($A1414="","",IF($D1414="V01",Cadrage!$C$36,IF($D1414="V02",Cadrage!$D$36,Cadrage!$E$36)))</f>
        <v/>
      </c>
      <c r="L1414" t="str">
        <f>IF($A1414="","",IF($D1414="V01",Cadrage!$C$37,IF($D1414="V02",Cadrage!$D$37,Cadrage!$E$37)))</f>
        <v/>
      </c>
      <c r="M1414" t="str">
        <f>IF($A1414="","",IF($D1414="V01",Cadrage!$C$38,IF($D1414="V02",Cadrage!$D$38,Cadrage!$E$38)))</f>
        <v/>
      </c>
      <c r="N1414" t="str">
        <f t="shared" si="1"/>
        <v/>
      </c>
      <c r="O1414" t="str">
        <f t="shared" si="2"/>
        <v/>
      </c>
      <c r="P1414" t="str">
        <f>IF($A1414="","",IF($E1414=1,$F1414*$O1414,PNL!G1414))</f>
        <v/>
      </c>
    </row>
    <row r="1415" ht="14.25" customHeight="1">
      <c r="A1415" t="str">
        <f>IF(PNL!A1415="","",PNL!A1415)</f>
        <v/>
      </c>
      <c r="B1415" t="str">
        <f>IF(PNL!B1415="","",PNL!B1415)</f>
        <v/>
      </c>
      <c r="C1415" t="str">
        <f>IF(PNL!C1415="","",PNL!C1415)</f>
        <v/>
      </c>
      <c r="D1415" t="str">
        <f>IF(PNL!D1415="","",PNL!D1415)</f>
        <v/>
      </c>
      <c r="E1415" t="str">
        <f t="shared" si="0"/>
        <v/>
      </c>
      <c r="F1415" t="str">
        <f>IF($A1415="","",IF($E1415=1,_xlfn.SUMIFS(Comptabilité!$F$1:$F$1446,Comptabilité!$A$1:$A$1446,$A1415,Comptabilité!$B$1:$B$1446,$B1415,Comptabilité!$C$1:$C$1446,"2026"),0))</f>
        <v/>
      </c>
      <c r="G1415" t="str">
        <f>IF($A1415="","",IF($D1415="V01",Cadrage!$C$23,IF($D1415="V02",Cadrage!$D$23,Cadrage!$E$23)))</f>
        <v/>
      </c>
      <c r="H1415" t="str">
        <f>IF($A1415="","",IF($D1415="V01",Cadrage!$C$24,IF($D1415="V02",Cadrage!$D$24,Cadrage!$E$24)))</f>
        <v/>
      </c>
      <c r="I1415" t="str">
        <f>IF($A1415="","",IF($D1415="V01",Cadrage!$C$34,IF($D1415="V02",Cadrage!$D$34,Cadrage!$E$34)))</f>
        <v/>
      </c>
      <c r="J1415" t="str">
        <f>IF($A1415="","",IF($D1415="V01",Cadrage!$C$35,IF($D1415="V02",Cadrage!$D$35,Cadrage!$E$35)))</f>
        <v/>
      </c>
      <c r="K1415" t="str">
        <f>IF($A1415="","",IF($D1415="V01",Cadrage!$C$36,IF($D1415="V02",Cadrage!$D$36,Cadrage!$E$36)))</f>
        <v/>
      </c>
      <c r="L1415" t="str">
        <f>IF($A1415="","",IF($D1415="V01",Cadrage!$C$37,IF($D1415="V02",Cadrage!$D$37,Cadrage!$E$37)))</f>
        <v/>
      </c>
      <c r="M1415" t="str">
        <f>IF($A1415="","",IF($D1415="V01",Cadrage!$C$38,IF($D1415="V02",Cadrage!$D$38,Cadrage!$E$38)))</f>
        <v/>
      </c>
      <c r="N1415" t="str">
        <f t="shared" si="1"/>
        <v/>
      </c>
      <c r="O1415" t="str">
        <f t="shared" si="2"/>
        <v/>
      </c>
      <c r="P1415" t="str">
        <f>IF($A1415="","",IF($E1415=1,$F1415*$O1415,PNL!G1415))</f>
        <v/>
      </c>
    </row>
    <row r="1416" ht="14.25" customHeight="1">
      <c r="A1416" t="str">
        <f>IF(PNL!A1416="","",PNL!A1416)</f>
        <v/>
      </c>
      <c r="B1416" t="str">
        <f>IF(PNL!B1416="","",PNL!B1416)</f>
        <v/>
      </c>
      <c r="C1416" t="str">
        <f>IF(PNL!C1416="","",PNL!C1416)</f>
        <v/>
      </c>
      <c r="D1416" t="str">
        <f>IF(PNL!D1416="","",PNL!D1416)</f>
        <v/>
      </c>
      <c r="E1416" t="str">
        <f t="shared" si="0"/>
        <v/>
      </c>
      <c r="F1416" t="str">
        <f>IF($A1416="","",IF($E1416=1,_xlfn.SUMIFS(Comptabilité!$F$1:$F$1446,Comptabilité!$A$1:$A$1446,$A1416,Comptabilité!$B$1:$B$1446,$B1416,Comptabilité!$C$1:$C$1446,"2026"),0))</f>
        <v/>
      </c>
      <c r="G1416" t="str">
        <f>IF($A1416="","",IF($D1416="V01",Cadrage!$C$23,IF($D1416="V02",Cadrage!$D$23,Cadrage!$E$23)))</f>
        <v/>
      </c>
      <c r="H1416" t="str">
        <f>IF($A1416="","",IF($D1416="V01",Cadrage!$C$24,IF($D1416="V02",Cadrage!$D$24,Cadrage!$E$24)))</f>
        <v/>
      </c>
      <c r="I1416" t="str">
        <f>IF($A1416="","",IF($D1416="V01",Cadrage!$C$34,IF($D1416="V02",Cadrage!$D$34,Cadrage!$E$34)))</f>
        <v/>
      </c>
      <c r="J1416" t="str">
        <f>IF($A1416="","",IF($D1416="V01",Cadrage!$C$35,IF($D1416="V02",Cadrage!$D$35,Cadrage!$E$35)))</f>
        <v/>
      </c>
      <c r="K1416" t="str">
        <f>IF($A1416="","",IF($D1416="V01",Cadrage!$C$36,IF($D1416="V02",Cadrage!$D$36,Cadrage!$E$36)))</f>
        <v/>
      </c>
      <c r="L1416" t="str">
        <f>IF($A1416="","",IF($D1416="V01",Cadrage!$C$37,IF($D1416="V02",Cadrage!$D$37,Cadrage!$E$37)))</f>
        <v/>
      </c>
      <c r="M1416" t="str">
        <f>IF($A1416="","",IF($D1416="V01",Cadrage!$C$38,IF($D1416="V02",Cadrage!$D$38,Cadrage!$E$38)))</f>
        <v/>
      </c>
      <c r="N1416" t="str">
        <f t="shared" si="1"/>
        <v/>
      </c>
      <c r="O1416" t="str">
        <f t="shared" si="2"/>
        <v/>
      </c>
      <c r="P1416" t="str">
        <f>IF($A1416="","",IF($E1416=1,$F1416*$O1416,PNL!G1416))</f>
        <v/>
      </c>
    </row>
    <row r="1417" ht="14.25" customHeight="1">
      <c r="A1417" t="str">
        <f>IF(PNL!A1417="","",PNL!A1417)</f>
        <v/>
      </c>
      <c r="B1417" t="str">
        <f>IF(PNL!B1417="","",PNL!B1417)</f>
        <v/>
      </c>
      <c r="C1417" t="str">
        <f>IF(PNL!C1417="","",PNL!C1417)</f>
        <v/>
      </c>
      <c r="D1417" t="str">
        <f>IF(PNL!D1417="","",PNL!D1417)</f>
        <v/>
      </c>
      <c r="E1417" t="str">
        <f t="shared" si="0"/>
        <v/>
      </c>
      <c r="F1417" t="str">
        <f>IF($A1417="","",IF($E1417=1,_xlfn.SUMIFS(Comptabilité!$F$1:$F$1446,Comptabilité!$A$1:$A$1446,$A1417,Comptabilité!$B$1:$B$1446,$B1417,Comptabilité!$C$1:$C$1446,"2026"),0))</f>
        <v/>
      </c>
      <c r="G1417" t="str">
        <f>IF($A1417="","",IF($D1417="V01",Cadrage!$C$23,IF($D1417="V02",Cadrage!$D$23,Cadrage!$E$23)))</f>
        <v/>
      </c>
      <c r="H1417" t="str">
        <f>IF($A1417="","",IF($D1417="V01",Cadrage!$C$24,IF($D1417="V02",Cadrage!$D$24,Cadrage!$E$24)))</f>
        <v/>
      </c>
      <c r="I1417" t="str">
        <f>IF($A1417="","",IF($D1417="V01",Cadrage!$C$34,IF($D1417="V02",Cadrage!$D$34,Cadrage!$E$34)))</f>
        <v/>
      </c>
      <c r="J1417" t="str">
        <f>IF($A1417="","",IF($D1417="V01",Cadrage!$C$35,IF($D1417="V02",Cadrage!$D$35,Cadrage!$E$35)))</f>
        <v/>
      </c>
      <c r="K1417" t="str">
        <f>IF($A1417="","",IF($D1417="V01",Cadrage!$C$36,IF($D1417="V02",Cadrage!$D$36,Cadrage!$E$36)))</f>
        <v/>
      </c>
      <c r="L1417" t="str">
        <f>IF($A1417="","",IF($D1417="V01",Cadrage!$C$37,IF($D1417="V02",Cadrage!$D$37,Cadrage!$E$37)))</f>
        <v/>
      </c>
      <c r="M1417" t="str">
        <f>IF($A1417="","",IF($D1417="V01",Cadrage!$C$38,IF($D1417="V02",Cadrage!$D$38,Cadrage!$E$38)))</f>
        <v/>
      </c>
      <c r="N1417" t="str">
        <f t="shared" si="1"/>
        <v/>
      </c>
      <c r="O1417" t="str">
        <f t="shared" si="2"/>
        <v/>
      </c>
      <c r="P1417" t="str">
        <f>IF($A1417="","",IF($E1417=1,$F1417*$O1417,PNL!G1417))</f>
        <v/>
      </c>
    </row>
    <row r="1418" ht="14.25" customHeight="1">
      <c r="A1418" t="str">
        <f>IF(PNL!A1418="","",PNL!A1418)</f>
        <v/>
      </c>
      <c r="B1418" t="str">
        <f>IF(PNL!B1418="","",PNL!B1418)</f>
        <v/>
      </c>
      <c r="C1418" t="str">
        <f>IF(PNL!C1418="","",PNL!C1418)</f>
        <v/>
      </c>
      <c r="D1418" t="str">
        <f>IF(PNL!D1418="","",PNL!D1418)</f>
        <v/>
      </c>
      <c r="E1418" t="str">
        <f t="shared" si="0"/>
        <v/>
      </c>
      <c r="F1418" t="str">
        <f>IF($A1418="","",IF($E1418=1,_xlfn.SUMIFS(Comptabilité!$F$1:$F$1446,Comptabilité!$A$1:$A$1446,$A1418,Comptabilité!$B$1:$B$1446,$B1418,Comptabilité!$C$1:$C$1446,"2026"),0))</f>
        <v/>
      </c>
      <c r="G1418" t="str">
        <f>IF($A1418="","",IF($D1418="V01",Cadrage!$C$23,IF($D1418="V02",Cadrage!$D$23,Cadrage!$E$23)))</f>
        <v/>
      </c>
      <c r="H1418" t="str">
        <f>IF($A1418="","",IF($D1418="V01",Cadrage!$C$24,IF($D1418="V02",Cadrage!$D$24,Cadrage!$E$24)))</f>
        <v/>
      </c>
      <c r="I1418" t="str">
        <f>IF($A1418="","",IF($D1418="V01",Cadrage!$C$34,IF($D1418="V02",Cadrage!$D$34,Cadrage!$E$34)))</f>
        <v/>
      </c>
      <c r="J1418" t="str">
        <f>IF($A1418="","",IF($D1418="V01",Cadrage!$C$35,IF($D1418="V02",Cadrage!$D$35,Cadrage!$E$35)))</f>
        <v/>
      </c>
      <c r="K1418" t="str">
        <f>IF($A1418="","",IF($D1418="V01",Cadrage!$C$36,IF($D1418="V02",Cadrage!$D$36,Cadrage!$E$36)))</f>
        <v/>
      </c>
      <c r="L1418" t="str">
        <f>IF($A1418="","",IF($D1418="V01",Cadrage!$C$37,IF($D1418="V02",Cadrage!$D$37,Cadrage!$E$37)))</f>
        <v/>
      </c>
      <c r="M1418" t="str">
        <f>IF($A1418="","",IF($D1418="V01",Cadrage!$C$38,IF($D1418="V02",Cadrage!$D$38,Cadrage!$E$38)))</f>
        <v/>
      </c>
      <c r="N1418" t="str">
        <f t="shared" si="1"/>
        <v/>
      </c>
      <c r="O1418" t="str">
        <f t="shared" si="2"/>
        <v/>
      </c>
      <c r="P1418" t="str">
        <f>IF($A1418="","",IF($E1418=1,$F1418*$O1418,PNL!G1418))</f>
        <v/>
      </c>
    </row>
    <row r="1419" ht="14.25" customHeight="1">
      <c r="A1419" t="str">
        <f>IF(PNL!A1419="","",PNL!A1419)</f>
        <v/>
      </c>
      <c r="B1419" t="str">
        <f>IF(PNL!B1419="","",PNL!B1419)</f>
        <v/>
      </c>
      <c r="C1419" t="str">
        <f>IF(PNL!C1419="","",PNL!C1419)</f>
        <v/>
      </c>
      <c r="D1419" t="str">
        <f>IF(PNL!D1419="","",PNL!D1419)</f>
        <v/>
      </c>
      <c r="E1419" t="str">
        <f t="shared" si="0"/>
        <v/>
      </c>
      <c r="F1419" t="str">
        <f>IF($A1419="","",IF($E1419=1,_xlfn.SUMIFS(Comptabilité!$F$1:$F$1446,Comptabilité!$A$1:$A$1446,$A1419,Comptabilité!$B$1:$B$1446,$B1419,Comptabilité!$C$1:$C$1446,"2026"),0))</f>
        <v/>
      </c>
      <c r="G1419" t="str">
        <f>IF($A1419="","",IF($D1419="V01",Cadrage!$C$23,IF($D1419="V02",Cadrage!$D$23,Cadrage!$E$23)))</f>
        <v/>
      </c>
      <c r="H1419" t="str">
        <f>IF($A1419="","",IF($D1419="V01",Cadrage!$C$24,IF($D1419="V02",Cadrage!$D$24,Cadrage!$E$24)))</f>
        <v/>
      </c>
      <c r="I1419" t="str">
        <f>IF($A1419="","",IF($D1419="V01",Cadrage!$C$34,IF($D1419="V02",Cadrage!$D$34,Cadrage!$E$34)))</f>
        <v/>
      </c>
      <c r="J1419" t="str">
        <f>IF($A1419="","",IF($D1419="V01",Cadrage!$C$35,IF($D1419="V02",Cadrage!$D$35,Cadrage!$E$35)))</f>
        <v/>
      </c>
      <c r="K1419" t="str">
        <f>IF($A1419="","",IF($D1419="V01",Cadrage!$C$36,IF($D1419="V02",Cadrage!$D$36,Cadrage!$E$36)))</f>
        <v/>
      </c>
      <c r="L1419" t="str">
        <f>IF($A1419="","",IF($D1419="V01",Cadrage!$C$37,IF($D1419="V02",Cadrage!$D$37,Cadrage!$E$37)))</f>
        <v/>
      </c>
      <c r="M1419" t="str">
        <f>IF($A1419="","",IF($D1419="V01",Cadrage!$C$38,IF($D1419="V02",Cadrage!$D$38,Cadrage!$E$38)))</f>
        <v/>
      </c>
      <c r="N1419" t="str">
        <f t="shared" si="1"/>
        <v/>
      </c>
      <c r="O1419" t="str">
        <f t="shared" si="2"/>
        <v/>
      </c>
      <c r="P1419" t="str">
        <f>IF($A1419="","",IF($E1419=1,$F1419*$O1419,PNL!G1419))</f>
        <v/>
      </c>
    </row>
    <row r="1420" ht="14.25" customHeight="1">
      <c r="A1420" t="str">
        <f>IF(PNL!A1420="","",PNL!A1420)</f>
        <v/>
      </c>
      <c r="B1420" t="str">
        <f>IF(PNL!B1420="","",PNL!B1420)</f>
        <v/>
      </c>
      <c r="C1420" t="str">
        <f>IF(PNL!C1420="","",PNL!C1420)</f>
        <v/>
      </c>
      <c r="D1420" t="str">
        <f>IF(PNL!D1420="","",PNL!D1420)</f>
        <v/>
      </c>
      <c r="E1420" t="str">
        <f t="shared" si="0"/>
        <v/>
      </c>
      <c r="F1420" t="str">
        <f>IF($A1420="","",IF($E1420=1,_xlfn.SUMIFS(Comptabilité!$F$1:$F$1446,Comptabilité!$A$1:$A$1446,$A1420,Comptabilité!$B$1:$B$1446,$B1420,Comptabilité!$C$1:$C$1446,"2026"),0))</f>
        <v/>
      </c>
      <c r="G1420" t="str">
        <f>IF($A1420="","",IF($D1420="V01",Cadrage!$C$23,IF($D1420="V02",Cadrage!$D$23,Cadrage!$E$23)))</f>
        <v/>
      </c>
      <c r="H1420" t="str">
        <f>IF($A1420="","",IF($D1420="V01",Cadrage!$C$24,IF($D1420="V02",Cadrage!$D$24,Cadrage!$E$24)))</f>
        <v/>
      </c>
      <c r="I1420" t="str">
        <f>IF($A1420="","",IF($D1420="V01",Cadrage!$C$34,IF($D1420="V02",Cadrage!$D$34,Cadrage!$E$34)))</f>
        <v/>
      </c>
      <c r="J1420" t="str">
        <f>IF($A1420="","",IF($D1420="V01",Cadrage!$C$35,IF($D1420="V02",Cadrage!$D$35,Cadrage!$E$35)))</f>
        <v/>
      </c>
      <c r="K1420" t="str">
        <f>IF($A1420="","",IF($D1420="V01",Cadrage!$C$36,IF($D1420="V02",Cadrage!$D$36,Cadrage!$E$36)))</f>
        <v/>
      </c>
      <c r="L1420" t="str">
        <f>IF($A1420="","",IF($D1420="V01",Cadrage!$C$37,IF($D1420="V02",Cadrage!$D$37,Cadrage!$E$37)))</f>
        <v/>
      </c>
      <c r="M1420" t="str">
        <f>IF($A1420="","",IF($D1420="V01",Cadrage!$C$38,IF($D1420="V02",Cadrage!$D$38,Cadrage!$E$38)))</f>
        <v/>
      </c>
      <c r="N1420" t="str">
        <f t="shared" si="1"/>
        <v/>
      </c>
      <c r="O1420" t="str">
        <f t="shared" si="2"/>
        <v/>
      </c>
      <c r="P1420" t="str">
        <f>IF($A1420="","",IF($E1420=1,$F1420*$O1420,PNL!G1420))</f>
        <v/>
      </c>
    </row>
    <row r="1421" ht="14.25" customHeight="1">
      <c r="A1421" t="str">
        <f>IF(PNL!A1421="","",PNL!A1421)</f>
        <v/>
      </c>
      <c r="B1421" t="str">
        <f>IF(PNL!B1421="","",PNL!B1421)</f>
        <v/>
      </c>
      <c r="C1421" t="str">
        <f>IF(PNL!C1421="","",PNL!C1421)</f>
        <v/>
      </c>
      <c r="D1421" t="str">
        <f>IF(PNL!D1421="","",PNL!D1421)</f>
        <v/>
      </c>
      <c r="E1421" t="str">
        <f t="shared" si="0"/>
        <v/>
      </c>
      <c r="F1421" t="str">
        <f>IF($A1421="","",IF($E1421=1,_xlfn.SUMIFS(Comptabilité!$F$1:$F$1446,Comptabilité!$A$1:$A$1446,$A1421,Comptabilité!$B$1:$B$1446,$B1421,Comptabilité!$C$1:$C$1446,"2026"),0))</f>
        <v/>
      </c>
      <c r="G1421" t="str">
        <f>IF($A1421="","",IF($D1421="V01",Cadrage!$C$23,IF($D1421="V02",Cadrage!$D$23,Cadrage!$E$23)))</f>
        <v/>
      </c>
      <c r="H1421" t="str">
        <f>IF($A1421="","",IF($D1421="V01",Cadrage!$C$24,IF($D1421="V02",Cadrage!$D$24,Cadrage!$E$24)))</f>
        <v/>
      </c>
      <c r="I1421" t="str">
        <f>IF($A1421="","",IF($D1421="V01",Cadrage!$C$34,IF($D1421="V02",Cadrage!$D$34,Cadrage!$E$34)))</f>
        <v/>
      </c>
      <c r="J1421" t="str">
        <f>IF($A1421="","",IF($D1421="V01",Cadrage!$C$35,IF($D1421="V02",Cadrage!$D$35,Cadrage!$E$35)))</f>
        <v/>
      </c>
      <c r="K1421" t="str">
        <f>IF($A1421="","",IF($D1421="V01",Cadrage!$C$36,IF($D1421="V02",Cadrage!$D$36,Cadrage!$E$36)))</f>
        <v/>
      </c>
      <c r="L1421" t="str">
        <f>IF($A1421="","",IF($D1421="V01",Cadrage!$C$37,IF($D1421="V02",Cadrage!$D$37,Cadrage!$E$37)))</f>
        <v/>
      </c>
      <c r="M1421" t="str">
        <f>IF($A1421="","",IF($D1421="V01",Cadrage!$C$38,IF($D1421="V02",Cadrage!$D$38,Cadrage!$E$38)))</f>
        <v/>
      </c>
      <c r="N1421" t="str">
        <f t="shared" si="1"/>
        <v/>
      </c>
      <c r="O1421" t="str">
        <f t="shared" si="2"/>
        <v/>
      </c>
      <c r="P1421" t="str">
        <f>IF($A1421="","",IF($E1421=1,$F1421*$O1421,PNL!G1421))</f>
        <v/>
      </c>
    </row>
    <row r="1422" ht="14.25" customHeight="1">
      <c r="A1422" t="str">
        <f>IF(PNL!A1422="","",PNL!A1422)</f>
        <v/>
      </c>
      <c r="B1422" t="str">
        <f>IF(PNL!B1422="","",PNL!B1422)</f>
        <v/>
      </c>
      <c r="C1422" t="str">
        <f>IF(PNL!C1422="","",PNL!C1422)</f>
        <v/>
      </c>
      <c r="D1422" t="str">
        <f>IF(PNL!D1422="","",PNL!D1422)</f>
        <v/>
      </c>
      <c r="E1422" t="str">
        <f t="shared" si="0"/>
        <v/>
      </c>
      <c r="F1422" t="str">
        <f>IF($A1422="","",IF($E1422=1,_xlfn.SUMIFS(Comptabilité!$F$1:$F$1446,Comptabilité!$A$1:$A$1446,$A1422,Comptabilité!$B$1:$B$1446,$B1422,Comptabilité!$C$1:$C$1446,"2026"),0))</f>
        <v/>
      </c>
      <c r="G1422" t="str">
        <f>IF($A1422="","",IF($D1422="V01",Cadrage!$C$23,IF($D1422="V02",Cadrage!$D$23,Cadrage!$E$23)))</f>
        <v/>
      </c>
      <c r="H1422" t="str">
        <f>IF($A1422="","",IF($D1422="V01",Cadrage!$C$24,IF($D1422="V02",Cadrage!$D$24,Cadrage!$E$24)))</f>
        <v/>
      </c>
      <c r="I1422" t="str">
        <f>IF($A1422="","",IF($D1422="V01",Cadrage!$C$34,IF($D1422="V02",Cadrage!$D$34,Cadrage!$E$34)))</f>
        <v/>
      </c>
      <c r="J1422" t="str">
        <f>IF($A1422="","",IF($D1422="V01",Cadrage!$C$35,IF($D1422="V02",Cadrage!$D$35,Cadrage!$E$35)))</f>
        <v/>
      </c>
      <c r="K1422" t="str">
        <f>IF($A1422="","",IF($D1422="V01",Cadrage!$C$36,IF($D1422="V02",Cadrage!$D$36,Cadrage!$E$36)))</f>
        <v/>
      </c>
      <c r="L1422" t="str">
        <f>IF($A1422="","",IF($D1422="V01",Cadrage!$C$37,IF($D1422="V02",Cadrage!$D$37,Cadrage!$E$37)))</f>
        <v/>
      </c>
      <c r="M1422" t="str">
        <f>IF($A1422="","",IF($D1422="V01",Cadrage!$C$38,IF($D1422="V02",Cadrage!$D$38,Cadrage!$E$38)))</f>
        <v/>
      </c>
      <c r="N1422" t="str">
        <f t="shared" si="1"/>
        <v/>
      </c>
      <c r="O1422" t="str">
        <f t="shared" si="2"/>
        <v/>
      </c>
      <c r="P1422" t="str">
        <f>IF($A1422="","",IF($E1422=1,$F1422*$O1422,PNL!G1422))</f>
        <v/>
      </c>
    </row>
    <row r="1423" ht="14.25" customHeight="1">
      <c r="A1423" t="str">
        <f>IF(PNL!A1423="","",PNL!A1423)</f>
        <v/>
      </c>
      <c r="B1423" t="str">
        <f>IF(PNL!B1423="","",PNL!B1423)</f>
        <v/>
      </c>
      <c r="C1423" t="str">
        <f>IF(PNL!C1423="","",PNL!C1423)</f>
        <v/>
      </c>
      <c r="D1423" t="str">
        <f>IF(PNL!D1423="","",PNL!D1423)</f>
        <v/>
      </c>
      <c r="E1423" t="str">
        <f t="shared" si="0"/>
        <v/>
      </c>
      <c r="F1423" t="str">
        <f>IF($A1423="","",IF($E1423=1,_xlfn.SUMIFS(Comptabilité!$F$1:$F$1446,Comptabilité!$A$1:$A$1446,$A1423,Comptabilité!$B$1:$B$1446,$B1423,Comptabilité!$C$1:$C$1446,"2026"),0))</f>
        <v/>
      </c>
      <c r="G1423" t="str">
        <f>IF($A1423="","",IF($D1423="V01",Cadrage!$C$23,IF($D1423="V02",Cadrage!$D$23,Cadrage!$E$23)))</f>
        <v/>
      </c>
      <c r="H1423" t="str">
        <f>IF($A1423="","",IF($D1423="V01",Cadrage!$C$24,IF($D1423="V02",Cadrage!$D$24,Cadrage!$E$24)))</f>
        <v/>
      </c>
      <c r="I1423" t="str">
        <f>IF($A1423="","",IF($D1423="V01",Cadrage!$C$34,IF($D1423="V02",Cadrage!$D$34,Cadrage!$E$34)))</f>
        <v/>
      </c>
      <c r="J1423" t="str">
        <f>IF($A1423="","",IF($D1423="V01",Cadrage!$C$35,IF($D1423="V02",Cadrage!$D$35,Cadrage!$E$35)))</f>
        <v/>
      </c>
      <c r="K1423" t="str">
        <f>IF($A1423="","",IF($D1423="V01",Cadrage!$C$36,IF($D1423="V02",Cadrage!$D$36,Cadrage!$E$36)))</f>
        <v/>
      </c>
      <c r="L1423" t="str">
        <f>IF($A1423="","",IF($D1423="V01",Cadrage!$C$37,IF($D1423="V02",Cadrage!$D$37,Cadrage!$E$37)))</f>
        <v/>
      </c>
      <c r="M1423" t="str">
        <f>IF($A1423="","",IF($D1423="V01",Cadrage!$C$38,IF($D1423="V02",Cadrage!$D$38,Cadrage!$E$38)))</f>
        <v/>
      </c>
      <c r="N1423" t="str">
        <f t="shared" si="1"/>
        <v/>
      </c>
      <c r="O1423" t="str">
        <f t="shared" si="2"/>
        <v/>
      </c>
      <c r="P1423" t="str">
        <f>IF($A1423="","",IF($E1423=1,$F1423*$O1423,PNL!G1423))</f>
        <v/>
      </c>
    </row>
    <row r="1424" ht="14.25" customHeight="1">
      <c r="A1424" t="str">
        <f>IF(PNL!A1424="","",PNL!A1424)</f>
        <v/>
      </c>
      <c r="B1424" t="str">
        <f>IF(PNL!B1424="","",PNL!B1424)</f>
        <v/>
      </c>
      <c r="C1424" t="str">
        <f>IF(PNL!C1424="","",PNL!C1424)</f>
        <v/>
      </c>
      <c r="D1424" t="str">
        <f>IF(PNL!D1424="","",PNL!D1424)</f>
        <v/>
      </c>
      <c r="E1424" t="str">
        <f t="shared" si="0"/>
        <v/>
      </c>
      <c r="F1424" t="str">
        <f>IF($A1424="","",IF($E1424=1,_xlfn.SUMIFS(Comptabilité!$F$1:$F$1446,Comptabilité!$A$1:$A$1446,$A1424,Comptabilité!$B$1:$B$1446,$B1424,Comptabilité!$C$1:$C$1446,"2026"),0))</f>
        <v/>
      </c>
      <c r="G1424" t="str">
        <f>IF($A1424="","",IF($D1424="V01",Cadrage!$C$23,IF($D1424="V02",Cadrage!$D$23,Cadrage!$E$23)))</f>
        <v/>
      </c>
      <c r="H1424" t="str">
        <f>IF($A1424="","",IF($D1424="V01",Cadrage!$C$24,IF($D1424="V02",Cadrage!$D$24,Cadrage!$E$24)))</f>
        <v/>
      </c>
      <c r="I1424" t="str">
        <f>IF($A1424="","",IF($D1424="V01",Cadrage!$C$34,IF($D1424="V02",Cadrage!$D$34,Cadrage!$E$34)))</f>
        <v/>
      </c>
      <c r="J1424" t="str">
        <f>IF($A1424="","",IF($D1424="V01",Cadrage!$C$35,IF($D1424="V02",Cadrage!$D$35,Cadrage!$E$35)))</f>
        <v/>
      </c>
      <c r="K1424" t="str">
        <f>IF($A1424="","",IF($D1424="V01",Cadrage!$C$36,IF($D1424="V02",Cadrage!$D$36,Cadrage!$E$36)))</f>
        <v/>
      </c>
      <c r="L1424" t="str">
        <f>IF($A1424="","",IF($D1424="V01",Cadrage!$C$37,IF($D1424="V02",Cadrage!$D$37,Cadrage!$E$37)))</f>
        <v/>
      </c>
      <c r="M1424" t="str">
        <f>IF($A1424="","",IF($D1424="V01",Cadrage!$C$38,IF($D1424="V02",Cadrage!$D$38,Cadrage!$E$38)))</f>
        <v/>
      </c>
      <c r="N1424" t="str">
        <f t="shared" si="1"/>
        <v/>
      </c>
      <c r="O1424" t="str">
        <f t="shared" si="2"/>
        <v/>
      </c>
      <c r="P1424" t="str">
        <f>IF($A1424="","",IF($E1424=1,$F1424*$O1424,PNL!G1424))</f>
        <v/>
      </c>
    </row>
    <row r="1425" ht="14.25" customHeight="1">
      <c r="A1425" t="str">
        <f>IF(PNL!A1425="","",PNL!A1425)</f>
        <v/>
      </c>
      <c r="B1425" t="str">
        <f>IF(PNL!B1425="","",PNL!B1425)</f>
        <v/>
      </c>
      <c r="C1425" t="str">
        <f>IF(PNL!C1425="","",PNL!C1425)</f>
        <v/>
      </c>
      <c r="D1425" t="str">
        <f>IF(PNL!D1425="","",PNL!D1425)</f>
        <v/>
      </c>
      <c r="E1425" t="str">
        <f t="shared" si="0"/>
        <v/>
      </c>
      <c r="F1425" t="str">
        <f>IF($A1425="","",IF($E1425=1,_xlfn.SUMIFS(Comptabilité!$F$1:$F$1446,Comptabilité!$A$1:$A$1446,$A1425,Comptabilité!$B$1:$B$1446,$B1425,Comptabilité!$C$1:$C$1446,"2026"),0))</f>
        <v/>
      </c>
      <c r="G1425" t="str">
        <f>IF($A1425="","",IF($D1425="V01",Cadrage!$C$23,IF($D1425="V02",Cadrage!$D$23,Cadrage!$E$23)))</f>
        <v/>
      </c>
      <c r="H1425" t="str">
        <f>IF($A1425="","",IF($D1425="V01",Cadrage!$C$24,IF($D1425="V02",Cadrage!$D$24,Cadrage!$E$24)))</f>
        <v/>
      </c>
      <c r="I1425" t="str">
        <f>IF($A1425="","",IF($D1425="V01",Cadrage!$C$34,IF($D1425="V02",Cadrage!$D$34,Cadrage!$E$34)))</f>
        <v/>
      </c>
      <c r="J1425" t="str">
        <f>IF($A1425="","",IF($D1425="V01",Cadrage!$C$35,IF($D1425="V02",Cadrage!$D$35,Cadrage!$E$35)))</f>
        <v/>
      </c>
      <c r="K1425" t="str">
        <f>IF($A1425="","",IF($D1425="V01",Cadrage!$C$36,IF($D1425="V02",Cadrage!$D$36,Cadrage!$E$36)))</f>
        <v/>
      </c>
      <c r="L1425" t="str">
        <f>IF($A1425="","",IF($D1425="V01",Cadrage!$C$37,IF($D1425="V02",Cadrage!$D$37,Cadrage!$E$37)))</f>
        <v/>
      </c>
      <c r="M1425" t="str">
        <f>IF($A1425="","",IF($D1425="V01",Cadrage!$C$38,IF($D1425="V02",Cadrage!$D$38,Cadrage!$E$38)))</f>
        <v/>
      </c>
      <c r="N1425" t="str">
        <f t="shared" si="1"/>
        <v/>
      </c>
      <c r="O1425" t="str">
        <f t="shared" si="2"/>
        <v/>
      </c>
      <c r="P1425" t="str">
        <f>IF($A1425="","",IF($E1425=1,$F1425*$O1425,PNL!G1425))</f>
        <v/>
      </c>
    </row>
    <row r="1426" ht="14.25" customHeight="1">
      <c r="A1426" t="str">
        <f>IF(PNL!A1426="","",PNL!A1426)</f>
        <v/>
      </c>
      <c r="B1426" t="str">
        <f>IF(PNL!B1426="","",PNL!B1426)</f>
        <v/>
      </c>
      <c r="C1426" t="str">
        <f>IF(PNL!C1426="","",PNL!C1426)</f>
        <v/>
      </c>
      <c r="D1426" t="str">
        <f>IF(PNL!D1426="","",PNL!D1426)</f>
        <v/>
      </c>
      <c r="E1426" t="str">
        <f t="shared" si="0"/>
        <v/>
      </c>
      <c r="F1426" t="str">
        <f>IF($A1426="","",IF($E1426=1,_xlfn.SUMIFS(Comptabilité!$F$1:$F$1446,Comptabilité!$A$1:$A$1446,$A1426,Comptabilité!$B$1:$B$1446,$B1426,Comptabilité!$C$1:$C$1446,"2026"),0))</f>
        <v/>
      </c>
      <c r="G1426" t="str">
        <f>IF($A1426="","",IF($D1426="V01",Cadrage!$C$23,IF($D1426="V02",Cadrage!$D$23,Cadrage!$E$23)))</f>
        <v/>
      </c>
      <c r="H1426" t="str">
        <f>IF($A1426="","",IF($D1426="V01",Cadrage!$C$24,IF($D1426="V02",Cadrage!$D$24,Cadrage!$E$24)))</f>
        <v/>
      </c>
      <c r="I1426" t="str">
        <f>IF($A1426="","",IF($D1426="V01",Cadrage!$C$34,IF($D1426="V02",Cadrage!$D$34,Cadrage!$E$34)))</f>
        <v/>
      </c>
      <c r="J1426" t="str">
        <f>IF($A1426="","",IF($D1426="V01",Cadrage!$C$35,IF($D1426="V02",Cadrage!$D$35,Cadrage!$E$35)))</f>
        <v/>
      </c>
      <c r="K1426" t="str">
        <f>IF($A1426="","",IF($D1426="V01",Cadrage!$C$36,IF($D1426="V02",Cadrage!$D$36,Cadrage!$E$36)))</f>
        <v/>
      </c>
      <c r="L1426" t="str">
        <f>IF($A1426="","",IF($D1426="V01",Cadrage!$C$37,IF($D1426="V02",Cadrage!$D$37,Cadrage!$E$37)))</f>
        <v/>
      </c>
      <c r="M1426" t="str">
        <f>IF($A1426="","",IF($D1426="V01",Cadrage!$C$38,IF($D1426="V02",Cadrage!$D$38,Cadrage!$E$38)))</f>
        <v/>
      </c>
      <c r="N1426" t="str">
        <f t="shared" si="1"/>
        <v/>
      </c>
      <c r="O1426" t="str">
        <f t="shared" si="2"/>
        <v/>
      </c>
      <c r="P1426" t="str">
        <f>IF($A1426="","",IF($E1426=1,$F1426*$O1426,PNL!G1426))</f>
        <v/>
      </c>
    </row>
    <row r="1427" ht="14.25" customHeight="1">
      <c r="A1427" t="str">
        <f>IF(PNL!A1427="","",PNL!A1427)</f>
        <v/>
      </c>
      <c r="B1427" t="str">
        <f>IF(PNL!B1427="","",PNL!B1427)</f>
        <v/>
      </c>
      <c r="C1427" t="str">
        <f>IF(PNL!C1427="","",PNL!C1427)</f>
        <v/>
      </c>
      <c r="D1427" t="str">
        <f>IF(PNL!D1427="","",PNL!D1427)</f>
        <v/>
      </c>
      <c r="E1427" t="str">
        <f t="shared" si="0"/>
        <v/>
      </c>
      <c r="F1427" t="str">
        <f>IF($A1427="","",IF($E1427=1,_xlfn.SUMIFS(Comptabilité!$F$1:$F$1446,Comptabilité!$A$1:$A$1446,$A1427,Comptabilité!$B$1:$B$1446,$B1427,Comptabilité!$C$1:$C$1446,"2026"),0))</f>
        <v/>
      </c>
      <c r="G1427" t="str">
        <f>IF($A1427="","",IF($D1427="V01",Cadrage!$C$23,IF($D1427="V02",Cadrage!$D$23,Cadrage!$E$23)))</f>
        <v/>
      </c>
      <c r="H1427" t="str">
        <f>IF($A1427="","",IF($D1427="V01",Cadrage!$C$24,IF($D1427="V02",Cadrage!$D$24,Cadrage!$E$24)))</f>
        <v/>
      </c>
      <c r="I1427" t="str">
        <f>IF($A1427="","",IF($D1427="V01",Cadrage!$C$34,IF($D1427="V02",Cadrage!$D$34,Cadrage!$E$34)))</f>
        <v/>
      </c>
      <c r="J1427" t="str">
        <f>IF($A1427="","",IF($D1427="V01",Cadrage!$C$35,IF($D1427="V02",Cadrage!$D$35,Cadrage!$E$35)))</f>
        <v/>
      </c>
      <c r="K1427" t="str">
        <f>IF($A1427="","",IF($D1427="V01",Cadrage!$C$36,IF($D1427="V02",Cadrage!$D$36,Cadrage!$E$36)))</f>
        <v/>
      </c>
      <c r="L1427" t="str">
        <f>IF($A1427="","",IF($D1427="V01",Cadrage!$C$37,IF($D1427="V02",Cadrage!$D$37,Cadrage!$E$37)))</f>
        <v/>
      </c>
      <c r="M1427" t="str">
        <f>IF($A1427="","",IF($D1427="V01",Cadrage!$C$38,IF($D1427="V02",Cadrage!$D$38,Cadrage!$E$38)))</f>
        <v/>
      </c>
      <c r="N1427" t="str">
        <f t="shared" si="1"/>
        <v/>
      </c>
      <c r="O1427" t="str">
        <f t="shared" si="2"/>
        <v/>
      </c>
      <c r="P1427" t="str">
        <f>IF($A1427="","",IF($E1427=1,$F1427*$O1427,PNL!G1427))</f>
        <v/>
      </c>
    </row>
    <row r="1428" ht="14.25" customHeight="1">
      <c r="A1428" t="str">
        <f>IF(PNL!A1428="","",PNL!A1428)</f>
        <v/>
      </c>
      <c r="B1428" t="str">
        <f>IF(PNL!B1428="","",PNL!B1428)</f>
        <v/>
      </c>
      <c r="C1428" t="str">
        <f>IF(PNL!C1428="","",PNL!C1428)</f>
        <v/>
      </c>
      <c r="D1428" t="str">
        <f>IF(PNL!D1428="","",PNL!D1428)</f>
        <v/>
      </c>
      <c r="E1428" t="str">
        <f t="shared" si="0"/>
        <v/>
      </c>
      <c r="F1428" t="str">
        <f>IF($A1428="","",IF($E1428=1,_xlfn.SUMIFS(Comptabilité!$F$1:$F$1446,Comptabilité!$A$1:$A$1446,$A1428,Comptabilité!$B$1:$B$1446,$B1428,Comptabilité!$C$1:$C$1446,"2026"),0))</f>
        <v/>
      </c>
      <c r="G1428" t="str">
        <f>IF($A1428="","",IF($D1428="V01",Cadrage!$C$23,IF($D1428="V02",Cadrage!$D$23,Cadrage!$E$23)))</f>
        <v/>
      </c>
      <c r="H1428" t="str">
        <f>IF($A1428="","",IF($D1428="V01",Cadrage!$C$24,IF($D1428="V02",Cadrage!$D$24,Cadrage!$E$24)))</f>
        <v/>
      </c>
      <c r="I1428" t="str">
        <f>IF($A1428="","",IF($D1428="V01",Cadrage!$C$34,IF($D1428="V02",Cadrage!$D$34,Cadrage!$E$34)))</f>
        <v/>
      </c>
      <c r="J1428" t="str">
        <f>IF($A1428="","",IF($D1428="V01",Cadrage!$C$35,IF($D1428="V02",Cadrage!$D$35,Cadrage!$E$35)))</f>
        <v/>
      </c>
      <c r="K1428" t="str">
        <f>IF($A1428="","",IF($D1428="V01",Cadrage!$C$36,IF($D1428="V02",Cadrage!$D$36,Cadrage!$E$36)))</f>
        <v/>
      </c>
      <c r="L1428" t="str">
        <f>IF($A1428="","",IF($D1428="V01",Cadrage!$C$37,IF($D1428="V02",Cadrage!$D$37,Cadrage!$E$37)))</f>
        <v/>
      </c>
      <c r="M1428" t="str">
        <f>IF($A1428="","",IF($D1428="V01",Cadrage!$C$38,IF($D1428="V02",Cadrage!$D$38,Cadrage!$E$38)))</f>
        <v/>
      </c>
      <c r="N1428" t="str">
        <f t="shared" si="1"/>
        <v/>
      </c>
      <c r="O1428" t="str">
        <f t="shared" si="2"/>
        <v/>
      </c>
      <c r="P1428" t="str">
        <f>IF($A1428="","",IF($E1428=1,$F1428*$O1428,PNL!G1428))</f>
        <v/>
      </c>
    </row>
    <row r="1429" ht="14.25" customHeight="1">
      <c r="A1429" t="str">
        <f>IF(PNL!A1429="","",PNL!A1429)</f>
        <v/>
      </c>
      <c r="B1429" t="str">
        <f>IF(PNL!B1429="","",PNL!B1429)</f>
        <v/>
      </c>
      <c r="C1429" t="str">
        <f>IF(PNL!C1429="","",PNL!C1429)</f>
        <v/>
      </c>
      <c r="D1429" t="str">
        <f>IF(PNL!D1429="","",PNL!D1429)</f>
        <v/>
      </c>
      <c r="E1429" t="str">
        <f t="shared" si="0"/>
        <v/>
      </c>
      <c r="F1429" t="str">
        <f>IF($A1429="","",IF($E1429=1,_xlfn.SUMIFS(Comptabilité!$F$1:$F$1446,Comptabilité!$A$1:$A$1446,$A1429,Comptabilité!$B$1:$B$1446,$B1429,Comptabilité!$C$1:$C$1446,"2026"),0))</f>
        <v/>
      </c>
      <c r="G1429" t="str">
        <f>IF($A1429="","",IF($D1429="V01",Cadrage!$C$23,IF($D1429="V02",Cadrage!$D$23,Cadrage!$E$23)))</f>
        <v/>
      </c>
      <c r="H1429" t="str">
        <f>IF($A1429="","",IF($D1429="V01",Cadrage!$C$24,IF($D1429="V02",Cadrage!$D$24,Cadrage!$E$24)))</f>
        <v/>
      </c>
      <c r="I1429" t="str">
        <f>IF($A1429="","",IF($D1429="V01",Cadrage!$C$34,IF($D1429="V02",Cadrage!$D$34,Cadrage!$E$34)))</f>
        <v/>
      </c>
      <c r="J1429" t="str">
        <f>IF($A1429="","",IF($D1429="V01",Cadrage!$C$35,IF($D1429="V02",Cadrage!$D$35,Cadrage!$E$35)))</f>
        <v/>
      </c>
      <c r="K1429" t="str">
        <f>IF($A1429="","",IF($D1429="V01",Cadrage!$C$36,IF($D1429="V02",Cadrage!$D$36,Cadrage!$E$36)))</f>
        <v/>
      </c>
      <c r="L1429" t="str">
        <f>IF($A1429="","",IF($D1429="V01",Cadrage!$C$37,IF($D1429="V02",Cadrage!$D$37,Cadrage!$E$37)))</f>
        <v/>
      </c>
      <c r="M1429" t="str">
        <f>IF($A1429="","",IF($D1429="V01",Cadrage!$C$38,IF($D1429="V02",Cadrage!$D$38,Cadrage!$E$38)))</f>
        <v/>
      </c>
      <c r="N1429" t="str">
        <f t="shared" si="1"/>
        <v/>
      </c>
      <c r="O1429" t="str">
        <f t="shared" si="2"/>
        <v/>
      </c>
      <c r="P1429" t="str">
        <f>IF($A1429="","",IF($E1429=1,$F1429*$O1429,PNL!G1429))</f>
        <v/>
      </c>
    </row>
    <row r="1430" ht="14.25" customHeight="1">
      <c r="A1430" t="str">
        <f>IF(PNL!A1430="","",PNL!A1430)</f>
        <v/>
      </c>
      <c r="B1430" t="str">
        <f>IF(PNL!B1430="","",PNL!B1430)</f>
        <v/>
      </c>
      <c r="C1430" t="str">
        <f>IF(PNL!C1430="","",PNL!C1430)</f>
        <v/>
      </c>
      <c r="D1430" t="str">
        <f>IF(PNL!D1430="","",PNL!D1430)</f>
        <v/>
      </c>
      <c r="E1430" t="str">
        <f t="shared" si="0"/>
        <v/>
      </c>
      <c r="F1430" t="str">
        <f>IF($A1430="","",IF($E1430=1,_xlfn.SUMIFS(Comptabilité!$F$1:$F$1446,Comptabilité!$A$1:$A$1446,$A1430,Comptabilité!$B$1:$B$1446,$B1430,Comptabilité!$C$1:$C$1446,"2026"),0))</f>
        <v/>
      </c>
      <c r="G1430" t="str">
        <f>IF($A1430="","",IF($D1430="V01",Cadrage!$C$23,IF($D1430="V02",Cadrage!$D$23,Cadrage!$E$23)))</f>
        <v/>
      </c>
      <c r="H1430" t="str">
        <f>IF($A1430="","",IF($D1430="V01",Cadrage!$C$24,IF($D1430="V02",Cadrage!$D$24,Cadrage!$E$24)))</f>
        <v/>
      </c>
      <c r="I1430" t="str">
        <f>IF($A1430="","",IF($D1430="V01",Cadrage!$C$34,IF($D1430="V02",Cadrage!$D$34,Cadrage!$E$34)))</f>
        <v/>
      </c>
      <c r="J1430" t="str">
        <f>IF($A1430="","",IF($D1430="V01",Cadrage!$C$35,IF($D1430="V02",Cadrage!$D$35,Cadrage!$E$35)))</f>
        <v/>
      </c>
      <c r="K1430" t="str">
        <f>IF($A1430="","",IF($D1430="V01",Cadrage!$C$36,IF($D1430="V02",Cadrage!$D$36,Cadrage!$E$36)))</f>
        <v/>
      </c>
      <c r="L1430" t="str">
        <f>IF($A1430="","",IF($D1430="V01",Cadrage!$C$37,IF($D1430="V02",Cadrage!$D$37,Cadrage!$E$37)))</f>
        <v/>
      </c>
      <c r="M1430" t="str">
        <f>IF($A1430="","",IF($D1430="V01",Cadrage!$C$38,IF($D1430="V02",Cadrage!$D$38,Cadrage!$E$38)))</f>
        <v/>
      </c>
      <c r="N1430" t="str">
        <f t="shared" si="1"/>
        <v/>
      </c>
      <c r="O1430" t="str">
        <f t="shared" si="2"/>
        <v/>
      </c>
      <c r="P1430" t="str">
        <f>IF($A1430="","",IF($E1430=1,$F1430*$O1430,PNL!G1430))</f>
        <v/>
      </c>
    </row>
    <row r="1431" ht="14.25" customHeight="1">
      <c r="A1431" t="str">
        <f>IF(PNL!A1431="","",PNL!A1431)</f>
        <v/>
      </c>
      <c r="B1431" t="str">
        <f>IF(PNL!B1431="","",PNL!B1431)</f>
        <v/>
      </c>
      <c r="C1431" t="str">
        <f>IF(PNL!C1431="","",PNL!C1431)</f>
        <v/>
      </c>
      <c r="D1431" t="str">
        <f>IF(PNL!D1431="","",PNL!D1431)</f>
        <v/>
      </c>
      <c r="E1431" t="str">
        <f t="shared" si="0"/>
        <v/>
      </c>
      <c r="F1431" t="str">
        <f>IF($A1431="","",IF($E1431=1,_xlfn.SUMIFS(Comptabilité!$F$1:$F$1446,Comptabilité!$A$1:$A$1446,$A1431,Comptabilité!$B$1:$B$1446,$B1431,Comptabilité!$C$1:$C$1446,"2026"),0))</f>
        <v/>
      </c>
      <c r="G1431" t="str">
        <f>IF($A1431="","",IF($D1431="V01",Cadrage!$C$23,IF($D1431="V02",Cadrage!$D$23,Cadrage!$E$23)))</f>
        <v/>
      </c>
      <c r="H1431" t="str">
        <f>IF($A1431="","",IF($D1431="V01",Cadrage!$C$24,IF($D1431="V02",Cadrage!$D$24,Cadrage!$E$24)))</f>
        <v/>
      </c>
      <c r="I1431" t="str">
        <f>IF($A1431="","",IF($D1431="V01",Cadrage!$C$34,IF($D1431="V02",Cadrage!$D$34,Cadrage!$E$34)))</f>
        <v/>
      </c>
      <c r="J1431" t="str">
        <f>IF($A1431="","",IF($D1431="V01",Cadrage!$C$35,IF($D1431="V02",Cadrage!$D$35,Cadrage!$E$35)))</f>
        <v/>
      </c>
      <c r="K1431" t="str">
        <f>IF($A1431="","",IF($D1431="V01",Cadrage!$C$36,IF($D1431="V02",Cadrage!$D$36,Cadrage!$E$36)))</f>
        <v/>
      </c>
      <c r="L1431" t="str">
        <f>IF($A1431="","",IF($D1431="V01",Cadrage!$C$37,IF($D1431="V02",Cadrage!$D$37,Cadrage!$E$37)))</f>
        <v/>
      </c>
      <c r="M1431" t="str">
        <f>IF($A1431="","",IF($D1431="V01",Cadrage!$C$38,IF($D1431="V02",Cadrage!$D$38,Cadrage!$E$38)))</f>
        <v/>
      </c>
      <c r="N1431" t="str">
        <f t="shared" si="1"/>
        <v/>
      </c>
      <c r="O1431" t="str">
        <f t="shared" si="2"/>
        <v/>
      </c>
      <c r="P1431" t="str">
        <f>IF($A1431="","",IF($E1431=1,$F1431*$O1431,PNL!G1431))</f>
        <v/>
      </c>
    </row>
    <row r="1432" ht="14.25" customHeight="1">
      <c r="A1432" t="str">
        <f>IF(PNL!A1432="","",PNL!A1432)</f>
        <v/>
      </c>
      <c r="B1432" t="str">
        <f>IF(PNL!B1432="","",PNL!B1432)</f>
        <v/>
      </c>
      <c r="C1432" t="str">
        <f>IF(PNL!C1432="","",PNL!C1432)</f>
        <v/>
      </c>
      <c r="D1432" t="str">
        <f>IF(PNL!D1432="","",PNL!D1432)</f>
        <v/>
      </c>
      <c r="E1432" t="str">
        <f t="shared" si="0"/>
        <v/>
      </c>
      <c r="F1432" t="str">
        <f>IF($A1432="","",IF($E1432=1,_xlfn.SUMIFS(Comptabilité!$F$1:$F$1446,Comptabilité!$A$1:$A$1446,$A1432,Comptabilité!$B$1:$B$1446,$B1432,Comptabilité!$C$1:$C$1446,"2026"),0))</f>
        <v/>
      </c>
      <c r="G1432" t="str">
        <f>IF($A1432="","",IF($D1432="V01",Cadrage!$C$23,IF($D1432="V02",Cadrage!$D$23,Cadrage!$E$23)))</f>
        <v/>
      </c>
      <c r="H1432" t="str">
        <f>IF($A1432="","",IF($D1432="V01",Cadrage!$C$24,IF($D1432="V02",Cadrage!$D$24,Cadrage!$E$24)))</f>
        <v/>
      </c>
      <c r="I1432" t="str">
        <f>IF($A1432="","",IF($D1432="V01",Cadrage!$C$34,IF($D1432="V02",Cadrage!$D$34,Cadrage!$E$34)))</f>
        <v/>
      </c>
      <c r="J1432" t="str">
        <f>IF($A1432="","",IF($D1432="V01",Cadrage!$C$35,IF($D1432="V02",Cadrage!$D$35,Cadrage!$E$35)))</f>
        <v/>
      </c>
      <c r="K1432" t="str">
        <f>IF($A1432="","",IF($D1432="V01",Cadrage!$C$36,IF($D1432="V02",Cadrage!$D$36,Cadrage!$E$36)))</f>
        <v/>
      </c>
      <c r="L1432" t="str">
        <f>IF($A1432="","",IF($D1432="V01",Cadrage!$C$37,IF($D1432="V02",Cadrage!$D$37,Cadrage!$E$37)))</f>
        <v/>
      </c>
      <c r="M1432" t="str">
        <f>IF($A1432="","",IF($D1432="V01",Cadrage!$C$38,IF($D1432="V02",Cadrage!$D$38,Cadrage!$E$38)))</f>
        <v/>
      </c>
      <c r="N1432" t="str">
        <f t="shared" si="1"/>
        <v/>
      </c>
      <c r="O1432" t="str">
        <f t="shared" si="2"/>
        <v/>
      </c>
      <c r="P1432" t="str">
        <f>IF($A1432="","",IF($E1432=1,$F1432*$O1432,PNL!G1432))</f>
        <v/>
      </c>
    </row>
    <row r="1433" ht="14.25" customHeight="1">
      <c r="A1433" t="str">
        <f>IF(PNL!A1433="","",PNL!A1433)</f>
        <v/>
      </c>
      <c r="B1433" t="str">
        <f>IF(PNL!B1433="","",PNL!B1433)</f>
        <v/>
      </c>
      <c r="C1433" t="str">
        <f>IF(PNL!C1433="","",PNL!C1433)</f>
        <v/>
      </c>
      <c r="D1433" t="str">
        <f>IF(PNL!D1433="","",PNL!D1433)</f>
        <v/>
      </c>
      <c r="E1433" t="str">
        <f t="shared" si="0"/>
        <v/>
      </c>
      <c r="F1433" t="str">
        <f>IF($A1433="","",IF($E1433=1,_xlfn.SUMIFS(Comptabilité!$F$1:$F$1446,Comptabilité!$A$1:$A$1446,$A1433,Comptabilité!$B$1:$B$1446,$B1433,Comptabilité!$C$1:$C$1446,"2026"),0))</f>
        <v/>
      </c>
      <c r="G1433" t="str">
        <f>IF($A1433="","",IF($D1433="V01",Cadrage!$C$23,IF($D1433="V02",Cadrage!$D$23,Cadrage!$E$23)))</f>
        <v/>
      </c>
      <c r="H1433" t="str">
        <f>IF($A1433="","",IF($D1433="V01",Cadrage!$C$24,IF($D1433="V02",Cadrage!$D$24,Cadrage!$E$24)))</f>
        <v/>
      </c>
      <c r="I1433" t="str">
        <f>IF($A1433="","",IF($D1433="V01",Cadrage!$C$34,IF($D1433="V02",Cadrage!$D$34,Cadrage!$E$34)))</f>
        <v/>
      </c>
      <c r="J1433" t="str">
        <f>IF($A1433="","",IF($D1433="V01",Cadrage!$C$35,IF($D1433="V02",Cadrage!$D$35,Cadrage!$E$35)))</f>
        <v/>
      </c>
      <c r="K1433" t="str">
        <f>IF($A1433="","",IF($D1433="V01",Cadrage!$C$36,IF($D1433="V02",Cadrage!$D$36,Cadrage!$E$36)))</f>
        <v/>
      </c>
      <c r="L1433" t="str">
        <f>IF($A1433="","",IF($D1433="V01",Cadrage!$C$37,IF($D1433="V02",Cadrage!$D$37,Cadrage!$E$37)))</f>
        <v/>
      </c>
      <c r="M1433" t="str">
        <f>IF($A1433="","",IF($D1433="V01",Cadrage!$C$38,IF($D1433="V02",Cadrage!$D$38,Cadrage!$E$38)))</f>
        <v/>
      </c>
      <c r="N1433" t="str">
        <f t="shared" si="1"/>
        <v/>
      </c>
      <c r="O1433" t="str">
        <f t="shared" si="2"/>
        <v/>
      </c>
      <c r="P1433" t="str">
        <f>IF($A1433="","",IF($E1433=1,$F1433*$O1433,PNL!G1433))</f>
        <v/>
      </c>
    </row>
    <row r="1434" ht="14.25" customHeight="1">
      <c r="A1434" t="str">
        <f>IF(PNL!A1434="","",PNL!A1434)</f>
        <v/>
      </c>
      <c r="B1434" t="str">
        <f>IF(PNL!B1434="","",PNL!B1434)</f>
        <v/>
      </c>
      <c r="C1434" t="str">
        <f>IF(PNL!C1434="","",PNL!C1434)</f>
        <v/>
      </c>
      <c r="D1434" t="str">
        <f>IF(PNL!D1434="","",PNL!D1434)</f>
        <v/>
      </c>
      <c r="E1434" t="str">
        <f t="shared" si="0"/>
        <v/>
      </c>
      <c r="F1434" t="str">
        <f>IF($A1434="","",IF($E1434=1,_xlfn.SUMIFS(Comptabilité!$F$1:$F$1446,Comptabilité!$A$1:$A$1446,$A1434,Comptabilité!$B$1:$B$1446,$B1434,Comptabilité!$C$1:$C$1446,"2026"),0))</f>
        <v/>
      </c>
      <c r="G1434" t="str">
        <f>IF($A1434="","",IF($D1434="V01",Cadrage!$C$23,IF($D1434="V02",Cadrage!$D$23,Cadrage!$E$23)))</f>
        <v/>
      </c>
      <c r="H1434" t="str">
        <f>IF($A1434="","",IF($D1434="V01",Cadrage!$C$24,IF($D1434="V02",Cadrage!$D$24,Cadrage!$E$24)))</f>
        <v/>
      </c>
      <c r="I1434" t="str">
        <f>IF($A1434="","",IF($D1434="V01",Cadrage!$C$34,IF($D1434="V02",Cadrage!$D$34,Cadrage!$E$34)))</f>
        <v/>
      </c>
      <c r="J1434" t="str">
        <f>IF($A1434="","",IF($D1434="V01",Cadrage!$C$35,IF($D1434="V02",Cadrage!$D$35,Cadrage!$E$35)))</f>
        <v/>
      </c>
      <c r="K1434" t="str">
        <f>IF($A1434="","",IF($D1434="V01",Cadrage!$C$36,IF($D1434="V02",Cadrage!$D$36,Cadrage!$E$36)))</f>
        <v/>
      </c>
      <c r="L1434" t="str">
        <f>IF($A1434="","",IF($D1434="V01",Cadrage!$C$37,IF($D1434="V02",Cadrage!$D$37,Cadrage!$E$37)))</f>
        <v/>
      </c>
      <c r="M1434" t="str">
        <f>IF($A1434="","",IF($D1434="V01",Cadrage!$C$38,IF($D1434="V02",Cadrage!$D$38,Cadrage!$E$38)))</f>
        <v/>
      </c>
      <c r="N1434" t="str">
        <f t="shared" si="1"/>
        <v/>
      </c>
      <c r="O1434" t="str">
        <f t="shared" si="2"/>
        <v/>
      </c>
      <c r="P1434" t="str">
        <f>IF($A1434="","",IF($E1434=1,$F1434*$O1434,PNL!G1434))</f>
        <v/>
      </c>
    </row>
    <row r="1435" ht="14.25" customHeight="1">
      <c r="A1435" t="str">
        <f>IF(PNL!A1435="","",PNL!A1435)</f>
        <v/>
      </c>
      <c r="B1435" t="str">
        <f>IF(PNL!B1435="","",PNL!B1435)</f>
        <v/>
      </c>
      <c r="C1435" t="str">
        <f>IF(PNL!C1435="","",PNL!C1435)</f>
        <v/>
      </c>
      <c r="D1435" t="str">
        <f>IF(PNL!D1435="","",PNL!D1435)</f>
        <v/>
      </c>
      <c r="E1435" t="str">
        <f t="shared" si="0"/>
        <v/>
      </c>
      <c r="F1435" t="str">
        <f>IF($A1435="","",IF($E1435=1,_xlfn.SUMIFS(Comptabilité!$F$1:$F$1446,Comptabilité!$A$1:$A$1446,$A1435,Comptabilité!$B$1:$B$1446,$B1435,Comptabilité!$C$1:$C$1446,"2026"),0))</f>
        <v/>
      </c>
      <c r="G1435" t="str">
        <f>IF($A1435="","",IF($D1435="V01",Cadrage!$C$23,IF($D1435="V02",Cadrage!$D$23,Cadrage!$E$23)))</f>
        <v/>
      </c>
      <c r="H1435" t="str">
        <f>IF($A1435="","",IF($D1435="V01",Cadrage!$C$24,IF($D1435="V02",Cadrage!$D$24,Cadrage!$E$24)))</f>
        <v/>
      </c>
      <c r="I1435" t="str">
        <f>IF($A1435="","",IF($D1435="V01",Cadrage!$C$34,IF($D1435="V02",Cadrage!$D$34,Cadrage!$E$34)))</f>
        <v/>
      </c>
      <c r="J1435" t="str">
        <f>IF($A1435="","",IF($D1435="V01",Cadrage!$C$35,IF($D1435="V02",Cadrage!$D$35,Cadrage!$E$35)))</f>
        <v/>
      </c>
      <c r="K1435" t="str">
        <f>IF($A1435="","",IF($D1435="V01",Cadrage!$C$36,IF($D1435="V02",Cadrage!$D$36,Cadrage!$E$36)))</f>
        <v/>
      </c>
      <c r="L1435" t="str">
        <f>IF($A1435="","",IF($D1435="V01",Cadrage!$C$37,IF($D1435="V02",Cadrage!$D$37,Cadrage!$E$37)))</f>
        <v/>
      </c>
      <c r="M1435" t="str">
        <f>IF($A1435="","",IF($D1435="V01",Cadrage!$C$38,IF($D1435="V02",Cadrage!$D$38,Cadrage!$E$38)))</f>
        <v/>
      </c>
      <c r="N1435" t="str">
        <f t="shared" si="1"/>
        <v/>
      </c>
      <c r="O1435" t="str">
        <f t="shared" si="2"/>
        <v/>
      </c>
      <c r="P1435" t="str">
        <f>IF($A1435="","",IF($E1435=1,$F1435*$O1435,PNL!G1435))</f>
        <v/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40</vt:i4>
      </vt:variant>
    </vt:vector>
  </HeadingPairs>
  <TitlesOfParts>
    <vt:vector size="49" baseType="lpstr">
      <vt:lpstr>Cadrage</vt:lpstr>
      <vt:lpstr>Pilotage</vt:lpstr>
      <vt:lpstr>Socle</vt:lpstr>
      <vt:lpstr>Campagne</vt:lpstr>
      <vt:lpstr>Moteur</vt:lpstr>
      <vt:lpstr>Comptabilité</vt:lpstr>
      <vt:lpstr>PNL</vt:lpstr>
      <vt:lpstr>_CALC_MOTEUR</vt:lpstr>
      <vt:lpstr>_CALC_PNL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HYP_PASSAGE_V03</vt:lpstr>
      <vt:lpstr>HYP_PRICE_COEF_ISCOM</vt:lpstr>
      <vt:lpstr>HYP_PRICE_COEF_MBWAY</vt:lpstr>
      <vt:lpstr>HYP_PRICE_COEF_PIGIER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SCENARIO_ACTIF</vt:lpstr>
      <vt:lpstr>SCENARIO_CODE</vt:lpstr>
      <vt:lpstr>TEC_EBITDA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2026-08-19T10:07:49Z</dcterms:created>
  <dc:creator>Hamza Bouzidi</dc:creator>
  <cp:lastModifiedBy>Saad El meziati</cp:lastModifiedBy>
  <dcterms:modified xsi:type="dcterms:W3CDTF">2026-09-08T13:55:51Z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