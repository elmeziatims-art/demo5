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ll EBIT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€&quot;"/>
    <numFmt numFmtId="165" formatCode="0.0%"/>
    <numFmt numFmtId="166" formatCode="0.00&quot; €&quot;"/>
  </numFmts>
  <fonts count="11">
    <font>
      <name val="Calibri"/>
      <family val="2"/>
      <color theme="1"/>
      <sz val="11"/>
      <scheme val="minor"/>
    </font>
    <font>
      <name val="Fira Sans Medium"/>
      <b val="1"/>
      <color rgb="00FFFFFF"/>
      <sz val="15"/>
    </font>
    <font>
      <name val="Arial"/>
      <color rgb="00B8C6DA"/>
      <sz val="8"/>
    </font>
    <font>
      <name val="Fira Sans Medium"/>
      <b val="1"/>
      <color rgb="00202733"/>
      <sz val="10"/>
    </font>
    <font>
      <name val="Fira Sans Medium"/>
      <b val="1"/>
      <color rgb="00FFFFFF"/>
      <sz val="8"/>
    </font>
    <font>
      <name val="Arial"/>
      <color rgb="0069778B"/>
      <sz val="7.5"/>
    </font>
    <font>
      <name val="Arial"/>
      <b val="1"/>
      <color rgb="00202733"/>
      <sz val="8.5"/>
    </font>
    <font>
      <name val="Arial"/>
      <color rgb="00202733"/>
      <sz val="8.5"/>
    </font>
    <font>
      <name val="Arial"/>
      <color rgb="0069778B"/>
      <sz val="8.5"/>
    </font>
    <font>
      <name val="Arial"/>
      <b val="1"/>
      <color rgb="0069778B"/>
      <sz val="8"/>
    </font>
    <font>
      <name val="Arial"/>
      <b val="1"/>
      <color rgb="001E9E89"/>
      <sz val="9"/>
    </font>
  </fonts>
  <fills count="7">
    <fill>
      <patternFill/>
    </fill>
    <fill>
      <patternFill patternType="gray125"/>
    </fill>
    <fill>
      <patternFill patternType="solid">
        <fgColor rgb="00F3F6FA"/>
      </patternFill>
    </fill>
    <fill>
      <patternFill patternType="solid">
        <fgColor rgb="00172033"/>
      </patternFill>
    </fill>
    <fill>
      <patternFill patternType="solid">
        <fgColor rgb="00526071"/>
      </patternFill>
    </fill>
    <fill>
      <patternFill patternType="solid">
        <fgColor rgb="00EAF2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526071"/>
      </left>
      <right style="thin">
        <color rgb="00526071"/>
      </right>
      <top style="thin">
        <color rgb="00526071"/>
      </top>
      <bottom style="thin">
        <color rgb="00526071"/>
      </bottom>
    </border>
    <border>
      <bottom style="thin">
        <color rgb="00E9ED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indent="1"/>
    </xf>
    <xf numFmtId="164" fontId="6" fillId="5" borderId="2" applyAlignment="1" pivotButton="0" quotePrefix="0" xfId="0">
      <alignment horizontal="right" vertical="center"/>
    </xf>
    <xf numFmtId="0" fontId="0" fillId="5" borderId="2" pivotButton="0" quotePrefix="0" xfId="0"/>
    <xf numFmtId="0" fontId="7" fillId="6" borderId="2" applyAlignment="1" pivotButton="0" quotePrefix="0" xfId="0">
      <alignment horizontal="left" vertical="center" indent="1"/>
    </xf>
    <xf numFmtId="3" fontId="7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right" vertical="center"/>
    </xf>
    <xf numFmtId="165" fontId="8" fillId="6" borderId="2" applyAlignment="1" pivotButton="0" quotePrefix="0" xfId="0">
      <alignment horizontal="right" vertical="center"/>
    </xf>
    <xf numFmtId="0" fontId="9" fillId="2" borderId="0" pivotButton="0" quotePrefix="0" xfId="0"/>
    <xf numFmtId="166" fontId="10" fillId="2" borderId="0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name val="Arial"/>
        <color rgb="001E9E89"/>
        <sz val="8.5"/>
      </font>
    </dxf>
    <dxf>
      <font>
        <name val="Arial"/>
        <color rgb="00D64545"/>
        <sz val="8.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stacked"/>
        <ser>
          <idx val="0"/>
          <order val="0"/>
          <spPr>
            <a:noFill/>
            <a:ln>
              <a:prstDash val="solid"/>
            </a:ln>
          </spPr>
          <cat>
            <strRef>
              <f>'Drill EBITDA'!$G$7:$G$13</f>
            </strRef>
          </cat>
          <val>
            <numRef>
              <f>'Drill EBITDA'!$H$7:$H$13</f>
            </numRef>
          </val>
        </ser>
        <ser>
          <idx val="1"/>
          <order val="1"/>
          <spPr>
            <a:solidFill>
              <a:srgbClr val="526071"/>
            </a:solidFill>
            <a:ln>
              <a:noFill/>
              <a:prstDash val="solid"/>
            </a:ln>
          </spPr>
          <cat>
            <strRef>
              <f>'Drill EBITDA'!$G$7:$G$13</f>
            </strRef>
          </cat>
          <val>
            <numRef>
              <f>'Drill EBITDA'!$I$7:$I$13</f>
            </numRef>
          </val>
        </ser>
        <ser>
          <idx val="2"/>
          <order val="2"/>
          <spPr>
            <a:solidFill>
              <a:srgbClr val="1E9E89"/>
            </a:solidFill>
            <a:ln>
              <a:noFill/>
              <a:prstDash val="solid"/>
            </a:ln>
          </spPr>
          <cat>
            <strRef>
              <f>'Drill EBITDA'!$G$7:$G$13</f>
            </strRef>
          </cat>
          <val>
            <numRef>
              <f>'Drill EBITDA'!$J$7:$J$13</f>
            </numRef>
          </val>
        </ser>
        <ser>
          <idx val="3"/>
          <order val="3"/>
          <spPr>
            <a:solidFill>
              <a:srgbClr val="D64545"/>
            </a:solidFill>
            <a:ln>
              <a:noFill/>
              <a:prstDash val="solid"/>
            </a:ln>
          </spPr>
          <cat>
            <strRef>
              <f>'Drill EBITDA'!$G$7:$G$13</f>
            </strRef>
          </cat>
          <val>
            <numRef>
              <f>'Drill EBITDA'!$K$7:$K$13</f>
            </numRef>
          </val>
        </ser>
        <gapWidth val="4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17</row>
      <rowOff>0</rowOff>
    </from>
    <ext cx="75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30" customWidth="1" min="3" max="3"/>
    <col width="13" customWidth="1" min="4" max="4"/>
    <col width="13" customWidth="1" min="5" max="5"/>
    <col width="3" customWidth="1" min="6" max="6"/>
    <col width="2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6" customHeight="1">
      <c r="A2" s="1" t="n"/>
      <c r="B2" s="1" t="n"/>
      <c r="C2" s="2" t="inlineStr">
        <is>
          <t>POURQUOI L'EBITDA A BOUGÉ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15" customHeight="1">
      <c r="A3" s="1" t="n"/>
      <c r="B3" s="1" t="n"/>
      <c r="C3" s="3" t="inlineStr">
        <is>
          <t>drill sur EDUSERVICES · exercice 2026 contre 2025 · V_ALLOCATION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18" customHeight="1">
      <c r="A5" s="4" t="n"/>
      <c r="B5" s="4" t="n"/>
      <c r="C5" s="5" t="inlineStr">
        <is>
          <t>Q_D1_TABLEAU</t>
        </is>
      </c>
      <c r="D5" s="4" t="n"/>
      <c r="E5" s="4" t="n"/>
      <c r="F5" s="4" t="n"/>
      <c r="G5" s="5" t="inlineStr">
        <is>
          <t>Q_D1_GRAPHE</t>
        </is>
      </c>
      <c r="H5" s="4" t="n"/>
      <c r="I5" s="4" t="n"/>
      <c r="J5" s="4" t="n"/>
      <c r="K5" s="4" t="n"/>
      <c r="L5" s="4" t="n"/>
      <c r="M5" s="4" t="n"/>
    </row>
    <row r="6" ht="16" customHeight="1">
      <c r="A6" s="4" t="n"/>
      <c r="B6" s="6" t="inlineStr">
        <is>
          <t>RANG</t>
        </is>
      </c>
      <c r="C6" s="7" t="inlineStr">
        <is>
          <t>EFFET</t>
        </is>
      </c>
      <c r="D6" s="7" t="inlineStr">
        <is>
          <t>MONTANT</t>
        </is>
      </c>
      <c r="E6" s="7" t="inlineStr">
        <is>
          <t>PART_VAR</t>
        </is>
      </c>
      <c r="F6" s="4" t="n"/>
      <c r="G6" s="6" t="inlineStr">
        <is>
          <t>ETAPE</t>
        </is>
      </c>
      <c r="H6" s="7" t="inlineStr">
        <is>
          <t>SOCLE</t>
        </is>
      </c>
      <c r="I6" s="7" t="inlineStr">
        <is>
          <t>ANCRE</t>
        </is>
      </c>
      <c r="J6" s="7" t="inlineStr">
        <is>
          <t>HAUSSE</t>
        </is>
      </c>
      <c r="K6" s="7" t="inlineStr">
        <is>
          <t>BAISSE</t>
        </is>
      </c>
      <c r="L6" s="4" t="n"/>
      <c r="M6" s="4" t="n"/>
    </row>
    <row r="7" ht="16" customHeight="1">
      <c r="A7" s="4" t="n"/>
      <c r="B7" s="8" t="n">
        <v>1</v>
      </c>
      <c r="C7" s="9" t="inlineStr">
        <is>
          <t>EBITDA 2025</t>
        </is>
      </c>
      <c r="D7" s="10" t="n">
        <v>3467768</v>
      </c>
      <c r="E7" s="11" t="n"/>
      <c r="F7" s="4" t="n"/>
      <c r="G7" s="12" t="inlineStr">
        <is>
          <t>EBITDA 2025</t>
        </is>
      </c>
      <c r="H7" s="13" t="n">
        <v>0</v>
      </c>
      <c r="I7" s="13" t="n">
        <v>3467768</v>
      </c>
      <c r="J7" s="13" t="n">
        <v>0</v>
      </c>
      <c r="K7" s="13" t="n">
        <v>0</v>
      </c>
      <c r="L7" s="4" t="n"/>
      <c r="M7" s="4" t="n"/>
    </row>
    <row r="8" ht="16" customHeight="1">
      <c r="A8" s="4" t="n"/>
      <c r="B8" s="14" t="n">
        <v>2</v>
      </c>
      <c r="C8" s="12" t="inlineStr">
        <is>
          <t>Effet effectifs</t>
        </is>
      </c>
      <c r="D8" s="15" t="n">
        <v>1157203</v>
      </c>
      <c r="E8" s="16" t="n">
        <v>3.0612</v>
      </c>
      <c r="F8" s="4" t="n"/>
      <c r="G8" s="12" t="inlineStr">
        <is>
          <t>Effet effectifs</t>
        </is>
      </c>
      <c r="H8" s="13" t="n">
        <v>3467768</v>
      </c>
      <c r="I8" s="13" t="n">
        <v>0</v>
      </c>
      <c r="J8" s="13" t="n">
        <v>1157203</v>
      </c>
      <c r="K8" s="13" t="n">
        <v>0</v>
      </c>
      <c r="L8" s="4" t="n"/>
      <c r="M8" s="4" t="n"/>
    </row>
    <row r="9" ht="16" customHeight="1">
      <c r="A9" s="4" t="n"/>
      <c r="B9" s="14" t="n">
        <v>3</v>
      </c>
      <c r="C9" s="12" t="inlineStr">
        <is>
          <t>Effet prix et mix</t>
        </is>
      </c>
      <c r="D9" s="15" t="n">
        <v>-607</v>
      </c>
      <c r="E9" s="16" t="n">
        <v>-0.0016</v>
      </c>
      <c r="F9" s="4" t="n"/>
      <c r="G9" s="12" t="inlineStr">
        <is>
          <t>Effet prix et mix</t>
        </is>
      </c>
      <c r="H9" s="13" t="n">
        <v>4624364</v>
      </c>
      <c r="I9" s="13" t="n">
        <v>0</v>
      </c>
      <c r="J9" s="13" t="n">
        <v>0</v>
      </c>
      <c r="K9" s="13" t="n">
        <v>607</v>
      </c>
      <c r="L9" s="4" t="n"/>
      <c r="M9" s="4" t="n"/>
    </row>
    <row r="10" ht="16" customHeight="1">
      <c r="A10" s="4" t="n"/>
      <c r="B10" s="14" t="n">
        <v>4</v>
      </c>
      <c r="C10" s="12" t="inlineStr">
        <is>
          <t>Effet cout variable unitaire</t>
        </is>
      </c>
      <c r="D10" s="15" t="n">
        <v>20624</v>
      </c>
      <c r="E10" s="16" t="n">
        <v>0.0546</v>
      </c>
      <c r="F10" s="4" t="n"/>
      <c r="G10" s="12" t="inlineStr">
        <is>
          <t>Effet cout variable unitaire</t>
        </is>
      </c>
      <c r="H10" s="13" t="n">
        <v>4624364</v>
      </c>
      <c r="I10" s="13" t="n">
        <v>0</v>
      </c>
      <c r="J10" s="13" t="n">
        <v>20624</v>
      </c>
      <c r="K10" s="13" t="n">
        <v>0</v>
      </c>
      <c r="L10" s="4" t="n"/>
      <c r="M10" s="4" t="n"/>
    </row>
    <row r="11" ht="16" customHeight="1">
      <c r="A11" s="4" t="n"/>
      <c r="B11" s="14" t="n">
        <v>5</v>
      </c>
      <c r="C11" s="12" t="inlineStr">
        <is>
          <t>Effet couts directs</t>
        </is>
      </c>
      <c r="D11" s="15" t="n">
        <v>-571270</v>
      </c>
      <c r="E11" s="16" t="n">
        <v>-1.5112</v>
      </c>
      <c r="F11" s="4" t="n"/>
      <c r="G11" s="12" t="inlineStr">
        <is>
          <t>Effet couts directs</t>
        </is>
      </c>
      <c r="H11" s="13" t="n">
        <v>4073718</v>
      </c>
      <c r="I11" s="13" t="n">
        <v>0</v>
      </c>
      <c r="J11" s="13" t="n">
        <v>0</v>
      </c>
      <c r="K11" s="13" t="n">
        <v>571270</v>
      </c>
      <c r="L11" s="4" t="n"/>
      <c r="M11" s="4" t="n"/>
    </row>
    <row r="12" ht="16" customHeight="1">
      <c r="A12" s="4" t="n"/>
      <c r="B12" s="14" t="n">
        <v>6</v>
      </c>
      <c r="C12" s="12" t="inlineStr">
        <is>
          <t>Effet siege</t>
        </is>
      </c>
      <c r="D12" s="15" t="n">
        <v>-227928</v>
      </c>
      <c r="E12" s="16" t="n">
        <v>-0.6029</v>
      </c>
      <c r="F12" s="4" t="n"/>
      <c r="G12" s="12" t="inlineStr">
        <is>
          <t>Effet siege</t>
        </is>
      </c>
      <c r="H12" s="13" t="n">
        <v>3845790</v>
      </c>
      <c r="I12" s="13" t="n">
        <v>0</v>
      </c>
      <c r="J12" s="13" t="n">
        <v>0</v>
      </c>
      <c r="K12" s="13" t="n">
        <v>227928</v>
      </c>
      <c r="L12" s="4" t="n"/>
      <c r="M12" s="4" t="n"/>
    </row>
    <row r="13" ht="16" customHeight="1">
      <c r="A13" s="4" t="n"/>
      <c r="B13" s="8" t="n">
        <v>7</v>
      </c>
      <c r="C13" s="9" t="inlineStr">
        <is>
          <t>EBITDA 2026</t>
        </is>
      </c>
      <c r="D13" s="10" t="n">
        <v>3845790</v>
      </c>
      <c r="E13" s="11" t="n"/>
      <c r="F13" s="4" t="n"/>
      <c r="G13" s="12" t="inlineStr">
        <is>
          <t>EBITDA 2026</t>
        </is>
      </c>
      <c r="H13" s="13" t="n">
        <v>0</v>
      </c>
      <c r="I13" s="13" t="n">
        <v>3845790</v>
      </c>
      <c r="J13" s="13" t="n">
        <v>0</v>
      </c>
      <c r="K13" s="13" t="n">
        <v>0</v>
      </c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17" t="inlineStr">
        <is>
          <t>Contrôle · les cinq effets redonnent l'EBITDA d'arrivée</t>
        </is>
      </c>
      <c r="D15" s="18">
        <f>D8+D9+D10+D11+D12+D13-D14</f>
        <v/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</sheetData>
  <conditionalFormatting sqref="D8:D1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2026-09-06T21:35:35Z</dcterms:created>
  <dcterms:modified xsi:type="dcterms:W3CDTF">2026-09-06T21:35:35Z</dcterms:modified>
</cp:coreProperties>
</file>