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&quot;▲ &quot;#,##0;&quot;▼ &quot;#,##0;&quot;—&quot;"/>
    <numFmt numFmtId="166" formatCode="0.0%"/>
  </numFmts>
  <fonts count="13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7.5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</fonts>
  <fills count="6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</fills>
  <borders count="3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compte'!$K$35:$K$53</f>
            </strRef>
          </cat>
          <val>
            <numRef>
              <f>'Drill par compte'!$L$35:$L$53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compte'!$K$35:$K$53</f>
            </strRef>
          </cat>
          <val>
            <numRef>
              <f>'Drill par compte'!$M$35:$M$53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,&quot; M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8280000" cy="48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" customWidth="1" min="2" max="2"/>
    <col width="16" customWidth="1" min="3" max="3"/>
    <col width="9" customWidth="1" min="4" max="4"/>
    <col width="34" customWidth="1" min="5" max="5"/>
    <col width="15" customWidth="1" min="6" max="6"/>
    <col width="15" customWidth="1" min="7" max="7"/>
    <col width="14" customWidth="1" min="8" max="8"/>
    <col width="14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>
      <c r="A3" s="1" t="n"/>
      <c r="B3" s="3" t="inlineStr">
        <is>
          <t>drill sur la cellule cliquée · 2026 contre 2025 · comptes lus dans AW_002_000004_000001, CA reconstruit dans le socle CRM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4" customHeight="1">
      <c r="A5" s="4" t="n"/>
      <c r="B5" s="5">
        <f>"Sur "&amp;TEXT(G34,"#,##0 €")&amp;" de chiffre d'affaires, "&amp;TEXT(-SUM(G35:G53),"#,##0 €")&amp;" partent en charges. Il reste "&amp;TEXT(SUM(G34:G53),"#,##0 €")&amp;" d'EBITDA, soit "&amp;TEXT(SUM(G34:G53)/G34,"0.0%")&amp;"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14" customHeight="1">
      <c r="A6" s="4" t="n"/>
      <c r="B6" s="6" t="inlineStr">
        <is>
          <t>les charges ci-dessous sont signées en négatif : leur somme avec le CA donne l'EBITDA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 ht="20" customHeight="1">
      <c r="A32" s="4" t="n"/>
      <c r="B32" s="7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4" t="n"/>
      <c r="I32" s="8" t="inlineStr">
        <is>
          <t xml:space="preserve">ce que la requête renvoie · les deux dernières colonnes sont calculées  </t>
        </is>
      </c>
      <c r="J32" s="4" t="n"/>
    </row>
    <row r="33" ht="26" customHeight="1">
      <c r="A33" s="4" t="n"/>
      <c r="B33" s="9" t="inlineStr">
        <is>
          <t>Rang</t>
        </is>
      </c>
      <c r="C33" s="9" t="inlineStr">
        <is>
          <t>Famille</t>
        </is>
      </c>
      <c r="D33" s="9" t="inlineStr">
        <is>
          <t>Compte</t>
        </is>
      </c>
      <c r="E33" s="10" t="inlineStr">
        <is>
          <t>Poste</t>
        </is>
      </c>
      <c r="F33" s="10" t="inlineStr">
        <is>
          <t>Montant 2025</t>
        </is>
      </c>
      <c r="G33" s="10" t="inlineStr">
        <is>
          <t>Montant 2026</t>
        </is>
      </c>
      <c r="H33" s="10" t="inlineStr">
        <is>
          <t>Variation</t>
        </is>
      </c>
      <c r="I33" s="10" t="inlineStr">
        <is>
          <t>Part des charges</t>
        </is>
      </c>
      <c r="J33" s="4" t="n"/>
      <c r="L33" t="inlineStr">
        <is>
          <t>2025</t>
        </is>
      </c>
      <c r="M33" t="inlineStr">
        <is>
          <t>2026</t>
        </is>
      </c>
    </row>
    <row r="34" ht="15.5" customHeight="1">
      <c r="A34" s="4" t="n"/>
      <c r="B34" s="11" t="n">
        <v>1</v>
      </c>
      <c r="C34" s="12" t="inlineStr">
        <is>
          <t>Produits</t>
        </is>
      </c>
      <c r="D34" s="13" t="inlineStr"/>
      <c r="E34" s="14" t="inlineStr">
        <is>
          <t>Chiffre d'affaires (socle CRM)</t>
        </is>
      </c>
      <c r="F34" s="15" t="n">
        <v>21758770</v>
      </c>
      <c r="G34" s="15" t="n">
        <v>23098985</v>
      </c>
      <c r="H34" s="16">
        <f>IF(F34=0,"",G34-F34)</f>
        <v/>
      </c>
      <c r="I34" s="17">
        <f>IF(OR(B34="",B34=1),"",-G34/SUM(G35:G53))</f>
        <v/>
      </c>
      <c r="J34" s="4" t="n"/>
    </row>
    <row r="35" ht="15.5" customHeight="1">
      <c r="A35" s="4" t="n"/>
      <c r="B35" s="11" t="n">
        <v>2</v>
      </c>
      <c r="C35" s="12" t="inlineStr">
        <is>
          <t>Coût variable</t>
        </is>
      </c>
      <c r="D35" s="13" t="inlineStr">
        <is>
          <t>621</t>
        </is>
      </c>
      <c r="E35" s="14" t="inlineStr">
        <is>
          <t>Personnel extérieur (vacataires)</t>
        </is>
      </c>
      <c r="F35" s="15" t="n">
        <v>-1509499</v>
      </c>
      <c r="G35" s="15" t="n">
        <v>-1581554</v>
      </c>
      <c r="H35" s="16">
        <f>IF(F35=0,"",G35-F35)</f>
        <v/>
      </c>
      <c r="I35" s="17">
        <f>IF(OR(B35="",B35=1),"",-G35/SUM(G35:G53))</f>
        <v/>
      </c>
      <c r="J35" s="4" t="n"/>
      <c r="K35">
        <f>E35</f>
        <v/>
      </c>
      <c r="L35">
        <f>-F35</f>
        <v/>
      </c>
      <c r="M35">
        <f>-G35</f>
        <v/>
      </c>
    </row>
    <row r="36" ht="15.5" customHeight="1">
      <c r="A36" s="4" t="n"/>
      <c r="B36" s="11" t="n">
        <v>3</v>
      </c>
      <c r="C36" s="12" t="inlineStr">
        <is>
          <t>Coût variable</t>
        </is>
      </c>
      <c r="D36" s="13" t="inlineStr">
        <is>
          <t>604</t>
        </is>
      </c>
      <c r="E36" s="14" t="inlineStr">
        <is>
          <t>Achats d'études</t>
        </is>
      </c>
      <c r="F36" s="15" t="n">
        <v>-646928</v>
      </c>
      <c r="G36" s="15" t="n">
        <v>-677808</v>
      </c>
      <c r="H36" s="16">
        <f>IF(F36=0,"",G36-F36)</f>
        <v/>
      </c>
      <c r="I36" s="17">
        <f>IF(OR(B36="",B36=1),"",-G36/SUM(G35:G53))</f>
        <v/>
      </c>
      <c r="J36" s="4" t="n"/>
      <c r="K36">
        <f>E36</f>
        <v/>
      </c>
      <c r="L36">
        <f>-F36</f>
        <v/>
      </c>
      <c r="M36">
        <f>-G36</f>
        <v/>
      </c>
    </row>
    <row r="37" ht="15.5" customHeight="1">
      <c r="A37" s="4" t="n"/>
      <c r="B37" s="11" t="n">
        <v>4</v>
      </c>
      <c r="C37" s="12" t="inlineStr">
        <is>
          <t>Coût variable</t>
        </is>
      </c>
      <c r="D37" s="13" t="inlineStr">
        <is>
          <t>6063</t>
        </is>
      </c>
      <c r="E37" s="14" t="inlineStr">
        <is>
          <t>Fournitures</t>
        </is>
      </c>
      <c r="F37" s="15" t="n">
        <v>-431286</v>
      </c>
      <c r="G37" s="15" t="n">
        <v>-451874</v>
      </c>
      <c r="H37" s="16">
        <f>IF(F37=0,"",G37-F37)</f>
        <v/>
      </c>
      <c r="I37" s="17">
        <f>IF(OR(B37="",B37=1),"",-G37/SUM(G35:G53))</f>
        <v/>
      </c>
      <c r="J37" s="4" t="n"/>
      <c r="K37">
        <f>E37</f>
        <v/>
      </c>
      <c r="L37">
        <f>-F37</f>
        <v/>
      </c>
      <c r="M37">
        <f>-G37</f>
        <v/>
      </c>
    </row>
    <row r="38" ht="15.5" customHeight="1">
      <c r="A38" s="4" t="n"/>
      <c r="B38" s="11" t="n">
        <v>5</v>
      </c>
      <c r="C38" s="12" t="inlineStr">
        <is>
          <t>Coût variable</t>
        </is>
      </c>
      <c r="D38" s="13" t="inlineStr">
        <is>
          <t>6231</t>
        </is>
      </c>
      <c r="E38" s="14" t="inlineStr">
        <is>
          <t>Publicité et acquisition</t>
        </is>
      </c>
      <c r="F38" s="15" t="n">
        <v>-394702</v>
      </c>
      <c r="G38" s="15" t="n">
        <v>-434174</v>
      </c>
      <c r="H38" s="16">
        <f>IF(F38=0,"",G38-F38)</f>
        <v/>
      </c>
      <c r="I38" s="17">
        <f>IF(OR(B38="",B38=1),"",-G38/SUM(G35:G53))</f>
        <v/>
      </c>
      <c r="J38" s="4" t="n"/>
      <c r="K38">
        <f>E38</f>
        <v/>
      </c>
      <c r="L38">
        <f>-F38</f>
        <v/>
      </c>
      <c r="M38">
        <f>-G38</f>
        <v/>
      </c>
    </row>
    <row r="39" ht="15.5" customHeight="1">
      <c r="A39" s="4" t="n"/>
      <c r="B39" s="11" t="n">
        <v>6</v>
      </c>
      <c r="C39" s="12" t="inlineStr">
        <is>
          <t>Coûts directs</t>
        </is>
      </c>
      <c r="D39" s="13" t="inlineStr">
        <is>
          <t>6411</t>
        </is>
      </c>
      <c r="E39" s="14" t="inlineStr">
        <is>
          <t>Salaires des permanents</t>
        </is>
      </c>
      <c r="F39" s="15" t="n">
        <v>-3665791.33</v>
      </c>
      <c r="G39" s="15" t="n">
        <v>-3841069.840000001</v>
      </c>
      <c r="H39" s="16">
        <f>IF(F39=0,"",G39-F39)</f>
        <v/>
      </c>
      <c r="I39" s="17">
        <f>IF(OR(B39="",B39=1),"",-G39/SUM(G35:G53))</f>
        <v/>
      </c>
      <c r="J39" s="4" t="n"/>
      <c r="K39">
        <f>E39</f>
        <v/>
      </c>
      <c r="L39">
        <f>-F39</f>
        <v/>
      </c>
      <c r="M39">
        <f>-G39</f>
        <v/>
      </c>
    </row>
    <row r="40" ht="15.5" customHeight="1">
      <c r="A40" s="4" t="n"/>
      <c r="B40" s="11" t="n">
        <v>7</v>
      </c>
      <c r="C40" s="12" t="inlineStr">
        <is>
          <t>Coûts directs</t>
        </is>
      </c>
      <c r="D40" s="13" t="inlineStr">
        <is>
          <t>6413</t>
        </is>
      </c>
      <c r="E40" s="14" t="inlineStr">
        <is>
          <t>Primes</t>
        </is>
      </c>
      <c r="F40" s="15" t="n">
        <v>-1940873.02</v>
      </c>
      <c r="G40" s="15" t="n">
        <v>-2033330.6</v>
      </c>
      <c r="H40" s="16">
        <f>IF(F40=0,"",G40-F40)</f>
        <v/>
      </c>
      <c r="I40" s="17">
        <f>IF(OR(B40="",B40=1),"",-G40/SUM(G35:G53))</f>
        <v/>
      </c>
      <c r="J40" s="4" t="n"/>
      <c r="K40">
        <f>E40</f>
        <v/>
      </c>
      <c r="L40">
        <f>-F40</f>
        <v/>
      </c>
      <c r="M40">
        <f>-G40</f>
        <v/>
      </c>
    </row>
    <row r="41" ht="15.5" customHeight="1">
      <c r="A41" s="4" t="n"/>
      <c r="B41" s="11" t="n">
        <v>8</v>
      </c>
      <c r="C41" s="12" t="inlineStr">
        <is>
          <t>Coûts directs</t>
        </is>
      </c>
      <c r="D41" s="13" t="inlineStr">
        <is>
          <t>645</t>
        </is>
      </c>
      <c r="E41" s="14" t="inlineStr">
        <is>
          <t>Charges sociales</t>
        </is>
      </c>
      <c r="F41" s="15" t="n">
        <v>-3019137.459999999</v>
      </c>
      <c r="G41" s="15" t="n">
        <v>-3162957.9</v>
      </c>
      <c r="H41" s="16">
        <f>IF(F41=0,"",G41-F41)</f>
        <v/>
      </c>
      <c r="I41" s="17">
        <f>IF(OR(B41="",B41=1),"",-G41/SUM(G35:G53))</f>
        <v/>
      </c>
      <c r="J41" s="4" t="n"/>
      <c r="K41">
        <f>E41</f>
        <v/>
      </c>
      <c r="L41">
        <f>-F41</f>
        <v/>
      </c>
      <c r="M41">
        <f>-G41</f>
        <v/>
      </c>
    </row>
    <row r="42" ht="15.5" customHeight="1">
      <c r="A42" s="4" t="n"/>
      <c r="B42" s="11" t="n">
        <v>9</v>
      </c>
      <c r="C42" s="12" t="inlineStr">
        <is>
          <t>Coûts directs</t>
        </is>
      </c>
      <c r="D42" s="13" t="inlineStr">
        <is>
          <t>613</t>
        </is>
      </c>
      <c r="E42" s="14" t="inlineStr">
        <is>
          <t>Loyers</t>
        </is>
      </c>
      <c r="F42" s="15" t="n">
        <v>-2264167.84</v>
      </c>
      <c r="G42" s="15" t="n">
        <v>-2372423.51</v>
      </c>
      <c r="H42" s="16">
        <f>IF(F42=0,"",G42-F42)</f>
        <v/>
      </c>
      <c r="I42" s="17">
        <f>IF(OR(B42="",B42=1),"",-G42/SUM(G35:G53))</f>
        <v/>
      </c>
      <c r="J42" s="4" t="n"/>
      <c r="K42">
        <f>E42</f>
        <v/>
      </c>
      <c r="L42">
        <f>-F42</f>
        <v/>
      </c>
      <c r="M42">
        <f>-G42</f>
        <v/>
      </c>
    </row>
    <row r="43" ht="15.5" customHeight="1">
      <c r="A43" s="4" t="n"/>
      <c r="B43" s="11" t="n">
        <v>10</v>
      </c>
      <c r="C43" s="12" t="inlineStr">
        <is>
          <t>Coûts directs</t>
        </is>
      </c>
      <c r="D43" s="13" t="inlineStr">
        <is>
          <t>615</t>
        </is>
      </c>
      <c r="E43" s="14" t="inlineStr">
        <is>
          <t>Entretien</t>
        </is>
      </c>
      <c r="F43" s="15" t="n">
        <v>-323450.8</v>
      </c>
      <c r="G43" s="15" t="n">
        <v>-338915.38</v>
      </c>
      <c r="H43" s="16">
        <f>IF(F43=0,"",G43-F43)</f>
        <v/>
      </c>
      <c r="I43" s="17">
        <f>IF(OR(B43="",B43=1),"",-G43/SUM(G35:G53))</f>
        <v/>
      </c>
      <c r="J43" s="4" t="n"/>
      <c r="K43">
        <f>E43</f>
        <v/>
      </c>
      <c r="L43">
        <f>-F43</f>
        <v/>
      </c>
      <c r="M43">
        <f>-G43</f>
        <v/>
      </c>
    </row>
    <row r="44" ht="15.5" customHeight="1">
      <c r="A44" s="4" t="n"/>
      <c r="B44" s="11" t="n">
        <v>11</v>
      </c>
      <c r="C44" s="12" t="inlineStr">
        <is>
          <t>Coûts directs</t>
        </is>
      </c>
      <c r="D44" s="13" t="inlineStr">
        <is>
          <t>616</t>
        </is>
      </c>
      <c r="E44" s="14" t="inlineStr">
        <is>
          <t>Assurances</t>
        </is>
      </c>
      <c r="F44" s="15" t="n">
        <v>-215654.58</v>
      </c>
      <c r="G44" s="15" t="n">
        <v>-225926.43</v>
      </c>
      <c r="H44" s="16">
        <f>IF(F44=0,"",G44-F44)</f>
        <v/>
      </c>
      <c r="I44" s="17">
        <f>IF(OR(B44="",B44=1),"",-G44/SUM(G35:G53))</f>
        <v/>
      </c>
      <c r="J44" s="4" t="n"/>
      <c r="K44">
        <f>E44</f>
        <v/>
      </c>
      <c r="L44">
        <f>-F44</f>
        <v/>
      </c>
      <c r="M44">
        <f>-G44</f>
        <v/>
      </c>
    </row>
    <row r="45" ht="15.5" customHeight="1">
      <c r="A45" s="4" t="n"/>
      <c r="B45" s="11" t="n">
        <v>12</v>
      </c>
      <c r="C45" s="12" t="inlineStr">
        <is>
          <t>Coûts directs</t>
        </is>
      </c>
      <c r="D45" s="13" t="inlineStr">
        <is>
          <t>625</t>
        </is>
      </c>
      <c r="E45" s="14" t="inlineStr">
        <is>
          <t>Déplacements</t>
        </is>
      </c>
      <c r="F45" s="15" t="n">
        <v>-323478.14</v>
      </c>
      <c r="G45" s="15" t="n">
        <v>-338890.3800000001</v>
      </c>
      <c r="H45" s="16">
        <f>IF(F45=0,"",G45-F45)</f>
        <v/>
      </c>
      <c r="I45" s="17">
        <f>IF(OR(B45="",B45=1),"",-G45/SUM(G35:G53))</f>
        <v/>
      </c>
      <c r="J45" s="4" t="n"/>
      <c r="K45">
        <f>E45</f>
        <v/>
      </c>
      <c r="L45">
        <f>-F45</f>
        <v/>
      </c>
      <c r="M45">
        <f>-G45</f>
        <v/>
      </c>
    </row>
    <row r="46" ht="15.5" customHeight="1">
      <c r="A46" s="4" t="n"/>
      <c r="B46" s="11" t="n">
        <v>13</v>
      </c>
      <c r="C46" s="12" t="inlineStr">
        <is>
          <t>Coûts directs</t>
        </is>
      </c>
      <c r="D46" s="13" t="inlineStr">
        <is>
          <t>63511</t>
        </is>
      </c>
      <c r="E46" s="14" t="inlineStr">
        <is>
          <t>Taxes</t>
        </is>
      </c>
      <c r="F46" s="15" t="n">
        <v>-215634.87</v>
      </c>
      <c r="G46" s="15" t="n">
        <v>-225943.95</v>
      </c>
      <c r="H46" s="16">
        <f>IF(F46=0,"",G46-F46)</f>
        <v/>
      </c>
      <c r="I46" s="17">
        <f>IF(OR(B46="",B46=1),"",-G46/SUM(G35:G53))</f>
        <v/>
      </c>
      <c r="J46" s="4" t="n"/>
      <c r="K46">
        <f>E46</f>
        <v/>
      </c>
      <c r="L46">
        <f>-F46</f>
        <v/>
      </c>
      <c r="M46">
        <f>-G46</f>
        <v/>
      </c>
    </row>
    <row r="47" ht="15.5" customHeight="1">
      <c r="A47" s="4" t="n"/>
      <c r="B47" s="11" t="n">
        <v>14</v>
      </c>
      <c r="C47" s="12" t="inlineStr">
        <is>
          <t>Siège</t>
        </is>
      </c>
      <c r="D47" s="13" t="inlineStr"/>
      <c r="E47" s="14" t="inlineStr">
        <is>
          <t>Siège redescendu (allocation, pas une écriture)</t>
        </is>
      </c>
      <c r="F47" s="15" t="n">
        <v>-3340399.000000001</v>
      </c>
      <c r="G47" s="15" t="n">
        <v>-3568327</v>
      </c>
      <c r="H47" s="16">
        <f>IF(F47=0,"",G47-F47)</f>
        <v/>
      </c>
      <c r="I47" s="17">
        <f>IF(OR(B47="",B47=1),"",-G47/SUM(G35:G53))</f>
        <v/>
      </c>
      <c r="J47" s="4" t="n"/>
      <c r="K47">
        <f>E47</f>
        <v/>
      </c>
      <c r="L47">
        <f>-F47</f>
        <v/>
      </c>
      <c r="M47">
        <f>-G47</f>
        <v/>
      </c>
    </row>
    <row r="48" ht="15.5" customHeight="1">
      <c r="A48" s="4" t="n"/>
      <c r="B48" s="11" t="n"/>
      <c r="C48" s="12" t="n"/>
      <c r="D48" s="13" t="n"/>
      <c r="E48" s="14" t="n"/>
      <c r="F48" s="15" t="n"/>
      <c r="G48" s="15" t="n"/>
      <c r="H48" s="16" t="n"/>
      <c r="I48" s="17" t="n"/>
      <c r="J48" s="4" t="n"/>
      <c r="K48">
        <f>IF(B48="","",E48)</f>
        <v/>
      </c>
      <c r="L48">
        <f>IF(B48="",NA(),-F48)</f>
        <v/>
      </c>
      <c r="M48">
        <f>IF(B48="",NA(),-G48)</f>
        <v/>
      </c>
    </row>
    <row r="49" ht="15.5" customHeight="1">
      <c r="A49" s="4" t="n"/>
      <c r="B49" s="11" t="n"/>
      <c r="C49" s="12" t="n"/>
      <c r="D49" s="13" t="n"/>
      <c r="E49" s="14" t="n"/>
      <c r="F49" s="15" t="n"/>
      <c r="G49" s="15" t="n"/>
      <c r="H49" s="16" t="n"/>
      <c r="I49" s="17" t="n"/>
      <c r="J49" s="4" t="n"/>
      <c r="K49">
        <f>IF(B49="","",E49)</f>
        <v/>
      </c>
      <c r="L49">
        <f>IF(B49="",NA(),-F49)</f>
        <v/>
      </c>
      <c r="M49">
        <f>IF(B49="",NA(),-G49)</f>
        <v/>
      </c>
    </row>
    <row r="50" ht="15.5" customHeight="1">
      <c r="A50" s="4" t="n"/>
      <c r="B50" s="11" t="n"/>
      <c r="C50" s="12" t="n"/>
      <c r="D50" s="13" t="n"/>
      <c r="E50" s="14" t="n"/>
      <c r="F50" s="15" t="n"/>
      <c r="G50" s="15" t="n"/>
      <c r="H50" s="16" t="n"/>
      <c r="I50" s="17" t="n"/>
      <c r="J50" s="4" t="n"/>
      <c r="K50">
        <f>IF(B50="","",E50)</f>
        <v/>
      </c>
      <c r="L50">
        <f>IF(B50="",NA(),-F50)</f>
        <v/>
      </c>
      <c r="M50">
        <f>IF(B50="",NA(),-G50)</f>
        <v/>
      </c>
    </row>
    <row r="51" ht="15.5" customHeight="1">
      <c r="A51" s="4" t="n"/>
      <c r="B51" s="11" t="n"/>
      <c r="C51" s="12" t="n"/>
      <c r="D51" s="13" t="n"/>
      <c r="E51" s="14" t="n"/>
      <c r="F51" s="15" t="n"/>
      <c r="G51" s="15" t="n"/>
      <c r="H51" s="16" t="n"/>
      <c r="I51" s="17" t="n"/>
      <c r="J51" s="4" t="n"/>
      <c r="K51">
        <f>IF(B51="","",E51)</f>
        <v/>
      </c>
      <c r="L51">
        <f>IF(B51="",NA(),-F51)</f>
        <v/>
      </c>
      <c r="M51">
        <f>IF(B51="",NA(),-G51)</f>
        <v/>
      </c>
    </row>
    <row r="52" ht="15.5" customHeight="1">
      <c r="A52" s="4" t="n"/>
      <c r="B52" s="11" t="n"/>
      <c r="C52" s="12" t="n"/>
      <c r="D52" s="13" t="n"/>
      <c r="E52" s="14" t="n"/>
      <c r="F52" s="15" t="n"/>
      <c r="G52" s="15" t="n"/>
      <c r="H52" s="16" t="n"/>
      <c r="I52" s="17" t="n"/>
      <c r="J52" s="4" t="n"/>
      <c r="K52">
        <f>IF(B52="","",E52)</f>
        <v/>
      </c>
      <c r="L52">
        <f>IF(B52="",NA(),-F52)</f>
        <v/>
      </c>
      <c r="M52">
        <f>IF(B52="",NA(),-G52)</f>
        <v/>
      </c>
    </row>
    <row r="53" ht="15.5" customHeight="1">
      <c r="A53" s="4" t="n"/>
      <c r="B53" s="11" t="n"/>
      <c r="C53" s="12" t="n"/>
      <c r="D53" s="13" t="n"/>
      <c r="E53" s="14" t="n"/>
      <c r="F53" s="15" t="n"/>
      <c r="G53" s="15" t="n"/>
      <c r="H53" s="16" t="n"/>
      <c r="I53" s="17" t="n"/>
      <c r="J53" s="4" t="n"/>
      <c r="K53">
        <f>IF(B53="","",E53)</f>
        <v/>
      </c>
      <c r="L53">
        <f>IF(B53="",NA(),-F53)</f>
        <v/>
      </c>
      <c r="M53">
        <f>IF(B53="",NA(),-G53)</f>
        <v/>
      </c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4" t="n"/>
      <c r="B55" s="18" t="inlineStr">
        <is>
          <t>Contrôle</t>
        </is>
      </c>
      <c r="C55" s="19" t="n"/>
      <c r="D55" s="19" t="n"/>
      <c r="E55" s="18" t="inlineStr">
        <is>
          <t>la somme des quatorze lignes doit valoir l'EBITDA</t>
        </is>
      </c>
      <c r="F55" s="20">
        <f>SUM(F34:F53)</f>
        <v/>
      </c>
      <c r="G55" s="20">
        <f>SUM(G34:G53)</f>
        <v/>
      </c>
      <c r="H55" s="19" t="n"/>
      <c r="I55" s="19" t="n"/>
      <c r="J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</row>
  </sheetData>
  <conditionalFormatting sqref="B34:I53">
    <cfRule type="expression" priority="1" dxfId="0">
      <formula>$B34=1</formula>
    </cfRule>
    <cfRule type="expression" priority="2" dxfId="1">
      <formula>$B34=14</formula>
    </cfRule>
    <cfRule type="expression" priority="3" dxfId="2">
      <formula>$B34&lt;&gt;""</formula>
    </cfRule>
  </conditionalFormatting>
  <conditionalFormatting sqref="H34:H53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I34:I53">
    <cfRule type="dataBar" priority="6">
      <dataBar showValue="1">
        <cfvo type="num" val="0"/>
        <cfvo type="num" val="0.3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2026-09-06T22:47:24Z</dcterms:created>
  <dcterms:modified xsi:type="dcterms:W3CDTF">2026-09-06T22:47:24Z</dcterms:modified>
</cp:coreProperties>
</file>