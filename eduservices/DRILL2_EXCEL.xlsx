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&quot;▲ &quot;#,##0;&quot;▼ &quot;#,##0;&quot;—&quot;"/>
    <numFmt numFmtId="166" formatCode="0.0%"/>
    <numFmt numFmtId="167" formatCode="+#,##0&quot; €&quot;;-#,##0&quot; €&quot;;&quot;0 €&quot;"/>
    <numFmt numFmtId="168" formatCode="+0.00%;-0.00%;&quot;0,00 %&quot;"/>
  </numFmts>
  <fonts count="16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Arial"/>
      <b val="1"/>
      <color rgb="0069778B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  <font>
      <name val="Arial"/>
      <b val="1"/>
      <color rgb="00202733"/>
      <sz val="8.5"/>
    </font>
    <font>
      <name val="Arial"/>
      <b val="1"/>
      <color rgb="002A78D6"/>
      <sz val="9"/>
    </font>
    <font>
      <name val="Arial"/>
      <i val="1"/>
      <color rgb="0069778B"/>
      <sz val="8"/>
    </font>
  </fonts>
  <fills count="7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  <border>
      <bottom style="thin">
        <color rgb="00E9EDF3"/>
      </bottom>
    </border>
    <border>
      <bottom style="medium">
        <color rgb="0052607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164" fontId="10" fillId="6" borderId="3" applyAlignment="1" pivotButton="0" quotePrefix="0" xfId="0">
      <alignment horizontal="right" vertical="center"/>
    </xf>
    <xf numFmtId="0" fontId="13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7" fontId="14" fillId="5" borderId="4" applyAlignment="1" pivotButton="0" quotePrefix="0" xfId="0">
      <alignment horizontal="right" vertical="center"/>
    </xf>
    <xf numFmtId="168" fontId="9" fillId="5" borderId="4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compte'!$J$37:$J$49</f>
            </strRef>
          </cat>
          <val>
            <numRef>
              <f>'Drill par compte'!$K$37:$K$49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compte'!$J$37:$J$49</f>
            </strRef>
          </cat>
          <val>
            <numRef>
              <f>'Drill par compte'!$L$37:$L$49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&quot; k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9" customWidth="1" min="2" max="2"/>
    <col width="16" customWidth="1" min="3" max="3"/>
    <col width="36" customWidth="1" min="4" max="4"/>
    <col width="15" customWidth="1" min="5" max="5"/>
    <col width="15" customWidth="1" min="6" max="6"/>
    <col width="14" customWidth="1" min="7" max="7"/>
    <col width="15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</row>
    <row r="3" ht="15" customHeight="1">
      <c r="A3" s="1" t="n"/>
      <c r="B3" s="3" t="inlineStr">
        <is>
          <t>drill sur la cellule cliquée · 2026 contre 2025 · quinze comptes lus dans AW_002_000004_000001, plus le siège redescendu</t>
        </is>
      </c>
      <c r="C3" s="1" t="n"/>
      <c r="D3" s="1" t="n"/>
      <c r="E3" s="1" t="n"/>
      <c r="F3" s="1" t="n"/>
      <c r="G3" s="1" t="n"/>
      <c r="H3" s="1" t="n"/>
      <c r="I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 ht="24" customHeight="1">
      <c r="A5" s="4" t="n"/>
      <c r="B5" s="5">
        <f>"Sur "&amp;TEXT(SUM(F34:F36),"#,##0 €")&amp;" de chiffre d'affaires, "&amp;TEXT(-SUM(F37:F49),"#,##0 €")&amp;" partent en charges. Il reste "&amp;TEXT(SUM(F34:F49),"#,##0 €")&amp;" d'EBITDA, soit "&amp;TEXT(SUM(F34:F49)/SUM(F34:F36),"0.0%")&amp;"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</row>
    <row r="6" ht="14" customHeight="1">
      <c r="A6" s="4" t="n"/>
      <c r="B6" s="6" t="inlineStr">
        <is>
          <t>les charges sont signées en négatif : leur somme avec les produits donne l'EBITDA</t>
        </is>
      </c>
      <c r="C6" s="4" t="n"/>
      <c r="D6" s="4" t="n"/>
      <c r="E6" s="4" t="n"/>
      <c r="F6" s="4" t="n"/>
      <c r="G6" s="4" t="n"/>
      <c r="H6" s="4" t="n"/>
      <c r="I6" s="4" t="n"/>
      <c r="N6" s="7" t="inlineStr">
        <is>
          <t>Compte</t>
        </is>
      </c>
      <c r="O6" s="7" t="inlineStr">
        <is>
          <t>Famille</t>
        </is>
      </c>
      <c r="P6" s="7" t="inlineStr">
        <is>
          <t>Poste</t>
        </is>
      </c>
      <c r="Q6" s="7" t="inlineStr">
        <is>
          <t>Poste court</t>
        </is>
      </c>
      <c r="R6" s="7" t="inlineStr">
        <is>
          <t>Montant 2025</t>
        </is>
      </c>
      <c r="S6" s="7" t="inlineStr">
        <is>
          <t>Montant 2026</t>
        </is>
      </c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N7" t="inlineStr">
        <is>
          <t>706</t>
        </is>
      </c>
      <c r="O7" t="inlineStr">
        <is>
          <t>Produits</t>
        </is>
      </c>
      <c r="P7" t="inlineStr">
        <is>
          <t>Scolarité des étudiants en initial</t>
        </is>
      </c>
      <c r="Q7" t="inlineStr">
        <is>
          <t>Scolarité initial</t>
        </is>
      </c>
      <c r="R7" t="n">
        <v>3120000</v>
      </c>
      <c r="S7" t="n">
        <v>3306675</v>
      </c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N8" t="inlineStr">
        <is>
          <t>7062</t>
        </is>
      </c>
      <c r="O8" t="inlineStr">
        <is>
          <t>Produits</t>
        </is>
      </c>
      <c r="P8" t="inlineStr">
        <is>
          <t>Scolarité des alternants</t>
        </is>
      </c>
      <c r="Q8" t="inlineStr">
        <is>
          <t>Scolarité alternance</t>
        </is>
      </c>
      <c r="R8" t="n">
        <v>18534460</v>
      </c>
      <c r="S8" t="n">
        <v>19681700</v>
      </c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N9" t="inlineStr">
        <is>
          <t>708</t>
        </is>
      </c>
      <c r="O9" t="inlineStr">
        <is>
          <t>Produits</t>
        </is>
      </c>
      <c r="P9" t="inlineStr">
        <is>
          <t>Frais d'inscription</t>
        </is>
      </c>
      <c r="Q9" t="inlineStr">
        <is>
          <t>Frais d'inscription</t>
        </is>
      </c>
      <c r="R9" t="n">
        <v>104310</v>
      </c>
      <c r="S9" t="n">
        <v>110610</v>
      </c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N10" t="inlineStr">
        <is>
          <t>621</t>
        </is>
      </c>
      <c r="O10" t="inlineStr">
        <is>
          <t>Coût variable</t>
        </is>
      </c>
      <c r="P10" t="inlineStr">
        <is>
          <t>Personnel extérieur (vacataires)</t>
        </is>
      </c>
      <c r="Q10" t="inlineStr">
        <is>
          <t>Vacataires</t>
        </is>
      </c>
      <c r="R10" t="n">
        <v>-1509499</v>
      </c>
      <c r="S10" t="n">
        <v>-1581554</v>
      </c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N11" t="inlineStr">
        <is>
          <t>604</t>
        </is>
      </c>
      <c r="O11" t="inlineStr">
        <is>
          <t>Coût variable</t>
        </is>
      </c>
      <c r="P11" t="inlineStr">
        <is>
          <t>Achats d'études</t>
        </is>
      </c>
      <c r="Q11" t="inlineStr">
        <is>
          <t>Achats d'études</t>
        </is>
      </c>
      <c r="R11" t="n">
        <v>-646928</v>
      </c>
      <c r="S11" t="n">
        <v>-677808</v>
      </c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N12" t="inlineStr">
        <is>
          <t>6063</t>
        </is>
      </c>
      <c r="O12" t="inlineStr">
        <is>
          <t>Coût variable</t>
        </is>
      </c>
      <c r="P12" t="inlineStr">
        <is>
          <t>Fournitures</t>
        </is>
      </c>
      <c r="Q12" t="inlineStr">
        <is>
          <t>Fournitures</t>
        </is>
      </c>
      <c r="R12" t="n">
        <v>-431286</v>
      </c>
      <c r="S12" t="n">
        <v>-451874</v>
      </c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N13" t="inlineStr">
        <is>
          <t>6231</t>
        </is>
      </c>
      <c r="O13" t="inlineStr">
        <is>
          <t>Coût variable</t>
        </is>
      </c>
      <c r="P13" t="inlineStr">
        <is>
          <t>Publicité et acquisition</t>
        </is>
      </c>
      <c r="Q13" t="inlineStr">
        <is>
          <t>Acquisition</t>
        </is>
      </c>
      <c r="R13" t="n">
        <v>-394702</v>
      </c>
      <c r="S13" t="n">
        <v>-434174</v>
      </c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N14" t="inlineStr">
        <is>
          <t>6411</t>
        </is>
      </c>
      <c r="O14" t="inlineStr">
        <is>
          <t>Coûts directs</t>
        </is>
      </c>
      <c r="P14" t="inlineStr">
        <is>
          <t>Salaires des permanents</t>
        </is>
      </c>
      <c r="Q14" t="inlineStr">
        <is>
          <t>Salaires</t>
        </is>
      </c>
      <c r="R14" t="n">
        <v>-3665791.33</v>
      </c>
      <c r="S14" t="n">
        <v>-3841069.840000001</v>
      </c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N15" t="inlineStr">
        <is>
          <t>6413</t>
        </is>
      </c>
      <c r="O15" t="inlineStr">
        <is>
          <t>Coûts directs</t>
        </is>
      </c>
      <c r="P15" t="inlineStr">
        <is>
          <t>Primes</t>
        </is>
      </c>
      <c r="Q15" t="inlineStr">
        <is>
          <t>Primes</t>
        </is>
      </c>
      <c r="R15" t="n">
        <v>-1940873.02</v>
      </c>
      <c r="S15" t="n">
        <v>-2033330.6</v>
      </c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N16" t="inlineStr">
        <is>
          <t>645</t>
        </is>
      </c>
      <c r="O16" t="inlineStr">
        <is>
          <t>Coûts directs</t>
        </is>
      </c>
      <c r="P16" t="inlineStr">
        <is>
          <t>Charges sociales</t>
        </is>
      </c>
      <c r="Q16" t="inlineStr">
        <is>
          <t>Charges sociales</t>
        </is>
      </c>
      <c r="R16" t="n">
        <v>-3019137.459999999</v>
      </c>
      <c r="S16" t="n">
        <v>-3162957.9</v>
      </c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N17" t="inlineStr">
        <is>
          <t>613</t>
        </is>
      </c>
      <c r="O17" t="inlineStr">
        <is>
          <t>Coûts directs</t>
        </is>
      </c>
      <c r="P17" t="inlineStr">
        <is>
          <t>Loyers</t>
        </is>
      </c>
      <c r="Q17" t="inlineStr">
        <is>
          <t>Loyers</t>
        </is>
      </c>
      <c r="R17" t="n">
        <v>-2264167.84</v>
      </c>
      <c r="S17" t="n">
        <v>-2372423.51</v>
      </c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N18" t="inlineStr">
        <is>
          <t>615</t>
        </is>
      </c>
      <c r="O18" t="inlineStr">
        <is>
          <t>Coûts directs</t>
        </is>
      </c>
      <c r="P18" t="inlineStr">
        <is>
          <t>Entretien</t>
        </is>
      </c>
      <c r="Q18" t="inlineStr">
        <is>
          <t>Entretien</t>
        </is>
      </c>
      <c r="R18" t="n">
        <v>-323450.8</v>
      </c>
      <c r="S18" t="n">
        <v>-338915.38</v>
      </c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N19" t="inlineStr">
        <is>
          <t>616</t>
        </is>
      </c>
      <c r="O19" t="inlineStr">
        <is>
          <t>Coûts directs</t>
        </is>
      </c>
      <c r="P19" t="inlineStr">
        <is>
          <t>Assurances</t>
        </is>
      </c>
      <c r="Q19" t="inlineStr">
        <is>
          <t>Assurances</t>
        </is>
      </c>
      <c r="R19" t="n">
        <v>-215654.58</v>
      </c>
      <c r="S19" t="n">
        <v>-225926.43</v>
      </c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N20" t="inlineStr">
        <is>
          <t>625</t>
        </is>
      </c>
      <c r="O20" t="inlineStr">
        <is>
          <t>Coûts directs</t>
        </is>
      </c>
      <c r="P20" t="inlineStr">
        <is>
          <t>Déplacements</t>
        </is>
      </c>
      <c r="Q20" t="inlineStr">
        <is>
          <t>Déplacements</t>
        </is>
      </c>
      <c r="R20" t="n">
        <v>-323478.14</v>
      </c>
      <c r="S20" t="n">
        <v>-338890.3800000001</v>
      </c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N21" t="inlineStr">
        <is>
          <t>63511</t>
        </is>
      </c>
      <c r="O21" t="inlineStr">
        <is>
          <t>Coûts directs</t>
        </is>
      </c>
      <c r="P21" t="inlineStr">
        <is>
          <t>Taxes</t>
        </is>
      </c>
      <c r="Q21" t="inlineStr">
        <is>
          <t>Taxes</t>
        </is>
      </c>
      <c r="R21" t="n">
        <v>-215634.87</v>
      </c>
      <c r="S21" t="n">
        <v>-225943.95</v>
      </c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N22" t="inlineStr">
        <is>
          <t>SIEGE</t>
        </is>
      </c>
      <c r="O22" t="inlineStr">
        <is>
          <t>Siège</t>
        </is>
      </c>
      <c r="P22" t="inlineStr">
        <is>
          <t>Siège redescendu (allocation, pas une écriture)</t>
        </is>
      </c>
      <c r="Q22" t="inlineStr">
        <is>
          <t>Siège</t>
        </is>
      </c>
      <c r="R22" t="n">
        <v>-3340399.000000001</v>
      </c>
      <c r="S22" t="n">
        <v>-3568327</v>
      </c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N30" s="7" t="inlineStr">
        <is>
          <t>Compte</t>
        </is>
      </c>
      <c r="O30" s="7" t="inlineStr">
        <is>
          <t>Poste</t>
        </is>
      </c>
      <c r="P30" s="7" t="inlineStr">
        <is>
          <t>Poste court</t>
        </is>
      </c>
      <c r="Q30" s="7" t="inlineStr">
        <is>
          <t>Unite comptee</t>
        </is>
      </c>
      <c r="R30" s="7" t="inlineStr">
        <is>
          <t>Volume 2025</t>
        </is>
      </c>
      <c r="S30" s="7" t="inlineStr">
        <is>
          <t>Volume 2026</t>
        </is>
      </c>
      <c r="T30" s="7" t="inlineStr">
        <is>
          <t>Montant 2025</t>
        </is>
      </c>
      <c r="U30" s="7" t="inlineStr">
        <is>
          <t>Montant 2026</t>
        </is>
      </c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N31" t="inlineStr">
        <is>
          <t>706</t>
        </is>
      </c>
      <c r="O31" t="inlineStr">
        <is>
          <t>Scolarité des étudiants en initial</t>
        </is>
      </c>
      <c r="P31" t="inlineStr">
        <is>
          <t>Scolarité initial</t>
        </is>
      </c>
      <c r="Q31" t="inlineStr">
        <is>
          <t>Effectifs</t>
        </is>
      </c>
      <c r="R31" t="n">
        <v>400</v>
      </c>
      <c r="S31" t="n">
        <v>424</v>
      </c>
      <c r="T31" t="n">
        <v>3120000</v>
      </c>
      <c r="U31" t="n">
        <v>3306675</v>
      </c>
    </row>
    <row r="32" ht="20" customHeight="1">
      <c r="A32" s="4" t="n"/>
      <c r="B32" s="8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9" t="inlineStr">
        <is>
          <t xml:space="preserve">colonnes C à F lues dans la restitution par RECHERCHEV · G et H calculées ici  </t>
        </is>
      </c>
      <c r="I32" s="4" t="n"/>
      <c r="N32" t="inlineStr">
        <is>
          <t>7062</t>
        </is>
      </c>
      <c r="O32" t="inlineStr">
        <is>
          <t>Scolarité des alternants</t>
        </is>
      </c>
      <c r="P32" t="inlineStr">
        <is>
          <t>Scolarité alternance</t>
        </is>
      </c>
      <c r="Q32" t="inlineStr">
        <is>
          <t>Effectifs</t>
        </is>
      </c>
      <c r="R32" t="n">
        <v>2533</v>
      </c>
      <c r="S32" t="n">
        <v>2690</v>
      </c>
      <c r="T32" t="n">
        <v>18534460</v>
      </c>
      <c r="U32" t="n">
        <v>19681700</v>
      </c>
    </row>
    <row r="33" ht="26" customHeight="1">
      <c r="A33" s="4" t="n"/>
      <c r="B33" s="10" t="inlineStr">
        <is>
          <t>Compte</t>
        </is>
      </c>
      <c r="C33" s="10" t="inlineStr">
        <is>
          <t>Famille</t>
        </is>
      </c>
      <c r="D33" s="10" t="inlineStr">
        <is>
          <t>Poste</t>
        </is>
      </c>
      <c r="E33" s="11" t="inlineStr">
        <is>
          <t>Montant 2025</t>
        </is>
      </c>
      <c r="F33" s="11" t="inlineStr">
        <is>
          <t>Montant 2026</t>
        </is>
      </c>
      <c r="G33" s="11" t="inlineStr">
        <is>
          <t>Variation</t>
        </is>
      </c>
      <c r="H33" s="11" t="inlineStr">
        <is>
          <t>Part des charges</t>
        </is>
      </c>
      <c r="I33" s="4" t="n"/>
      <c r="K33" t="inlineStr">
        <is>
          <t>2025</t>
        </is>
      </c>
      <c r="L33" t="inlineStr">
        <is>
          <t>2026</t>
        </is>
      </c>
      <c r="N33" t="inlineStr">
        <is>
          <t>708</t>
        </is>
      </c>
      <c r="O33" t="inlineStr">
        <is>
          <t>Frais d'inscription</t>
        </is>
      </c>
      <c r="P33" t="inlineStr">
        <is>
          <t>Frais d'inscription</t>
        </is>
      </c>
      <c r="Q33" t="inlineStr">
        <is>
          <t>Nouveaux inscrits</t>
        </is>
      </c>
      <c r="R33" t="n">
        <v>1159</v>
      </c>
      <c r="S33" t="n">
        <v>1229</v>
      </c>
      <c r="T33" t="n">
        <v>104310</v>
      </c>
      <c r="U33" t="n">
        <v>110610</v>
      </c>
    </row>
    <row r="34" ht="15.5" customHeight="1">
      <c r="A34" s="4" t="n"/>
      <c r="B34" s="12" t="inlineStr">
        <is>
          <t>706</t>
        </is>
      </c>
      <c r="C34" s="13">
        <f>IFERROR(VLOOKUP($B34,$N$7:$S$28,2,FALSE),"")</f>
        <v/>
      </c>
      <c r="D34" s="14">
        <f>IFERROR(VLOOKUP($B34,$N$7:$S$28,3,FALSE),"")</f>
        <v/>
      </c>
      <c r="E34" s="15">
        <f>IFERROR(VLOOKUP($B34,$N$7:$S$28,5,FALSE),0)</f>
        <v/>
      </c>
      <c r="F34" s="15">
        <f>IFERROR(VLOOKUP($B34,$N$7:$S$28,6,FALSE),0)</f>
        <v/>
      </c>
      <c r="G34" s="16">
        <f>F34-E34</f>
        <v/>
      </c>
      <c r="H34" s="17">
        <f>IF($C34="Produits","",-F34/SUM(F37:F49))</f>
        <v/>
      </c>
      <c r="I34" s="4" t="n"/>
      <c r="J34">
        <f>IFERROR(VLOOKUP($B34,$N$7:$S$28,4,FALSE),"")</f>
        <v/>
      </c>
    </row>
    <row r="35" ht="15.5" customHeight="1">
      <c r="A35" s="4" t="n"/>
      <c r="B35" s="12" t="inlineStr">
        <is>
          <t>7062</t>
        </is>
      </c>
      <c r="C35" s="13">
        <f>IFERROR(VLOOKUP($B35,$N$7:$S$28,2,FALSE),"")</f>
        <v/>
      </c>
      <c r="D35" s="14">
        <f>IFERROR(VLOOKUP($B35,$N$7:$S$28,3,FALSE),"")</f>
        <v/>
      </c>
      <c r="E35" s="15">
        <f>IFERROR(VLOOKUP($B35,$N$7:$S$28,5,FALSE),0)</f>
        <v/>
      </c>
      <c r="F35" s="15">
        <f>IFERROR(VLOOKUP($B35,$N$7:$S$28,6,FALSE),0)</f>
        <v/>
      </c>
      <c r="G35" s="16">
        <f>F35-E35</f>
        <v/>
      </c>
      <c r="H35" s="17">
        <f>IF($C35="Produits","",-F35/SUM(F37:F49))</f>
        <v/>
      </c>
      <c r="I35" s="4" t="n"/>
      <c r="J35">
        <f>IFERROR(VLOOKUP($B35,$N$7:$S$28,4,FALSE),"")</f>
        <v/>
      </c>
    </row>
    <row r="36" ht="15.5" customHeight="1">
      <c r="A36" s="4" t="n"/>
      <c r="B36" s="12" t="inlineStr">
        <is>
          <t>708</t>
        </is>
      </c>
      <c r="C36" s="13">
        <f>IFERROR(VLOOKUP($B36,$N$7:$S$28,2,FALSE),"")</f>
        <v/>
      </c>
      <c r="D36" s="14">
        <f>IFERROR(VLOOKUP($B36,$N$7:$S$28,3,FALSE),"")</f>
        <v/>
      </c>
      <c r="E36" s="15">
        <f>IFERROR(VLOOKUP($B36,$N$7:$S$28,5,FALSE),0)</f>
        <v/>
      </c>
      <c r="F36" s="15">
        <f>IFERROR(VLOOKUP($B36,$N$7:$S$28,6,FALSE),0)</f>
        <v/>
      </c>
      <c r="G36" s="16">
        <f>F36-E36</f>
        <v/>
      </c>
      <c r="H36" s="17">
        <f>IF($C36="Produits","",-F36/SUM(F37:F49))</f>
        <v/>
      </c>
      <c r="I36" s="4" t="n"/>
      <c r="J36">
        <f>IFERROR(VLOOKUP($B36,$N$7:$S$28,4,FALSE),"")</f>
        <v/>
      </c>
    </row>
    <row r="37" ht="15.5" customHeight="1">
      <c r="A37" s="4" t="n"/>
      <c r="B37" s="12" t="inlineStr">
        <is>
          <t>621</t>
        </is>
      </c>
      <c r="C37" s="13">
        <f>IFERROR(VLOOKUP($B37,$N$7:$S$28,2,FALSE),"")</f>
        <v/>
      </c>
      <c r="D37" s="14">
        <f>IFERROR(VLOOKUP($B37,$N$7:$S$28,3,FALSE),"")</f>
        <v/>
      </c>
      <c r="E37" s="15">
        <f>IFERROR(VLOOKUP($B37,$N$7:$S$28,5,FALSE),0)</f>
        <v/>
      </c>
      <c r="F37" s="15">
        <f>IFERROR(VLOOKUP($B37,$N$7:$S$28,6,FALSE),0)</f>
        <v/>
      </c>
      <c r="G37" s="16">
        <f>F37-E37</f>
        <v/>
      </c>
      <c r="H37" s="17">
        <f>IF($C37="Produits","",-F37/SUM(F37:F49))</f>
        <v/>
      </c>
      <c r="I37" s="4" t="n"/>
      <c r="J37">
        <f>IFERROR(VLOOKUP($B37,$N$7:$S$28,4,FALSE),"")</f>
        <v/>
      </c>
      <c r="K37">
        <f>-E37</f>
        <v/>
      </c>
      <c r="L37">
        <f>-F37</f>
        <v/>
      </c>
    </row>
    <row r="38" ht="15.5" customHeight="1">
      <c r="A38" s="4" t="n"/>
      <c r="B38" s="12" t="inlineStr">
        <is>
          <t>604</t>
        </is>
      </c>
      <c r="C38" s="13">
        <f>IFERROR(VLOOKUP($B38,$N$7:$S$28,2,FALSE),"")</f>
        <v/>
      </c>
      <c r="D38" s="14">
        <f>IFERROR(VLOOKUP($B38,$N$7:$S$28,3,FALSE),"")</f>
        <v/>
      </c>
      <c r="E38" s="15">
        <f>IFERROR(VLOOKUP($B38,$N$7:$S$28,5,FALSE),0)</f>
        <v/>
      </c>
      <c r="F38" s="15">
        <f>IFERROR(VLOOKUP($B38,$N$7:$S$28,6,FALSE),0)</f>
        <v/>
      </c>
      <c r="G38" s="16">
        <f>F38-E38</f>
        <v/>
      </c>
      <c r="H38" s="17">
        <f>IF($C38="Produits","",-F38/SUM(F37:F49))</f>
        <v/>
      </c>
      <c r="I38" s="4" t="n"/>
      <c r="J38">
        <f>IFERROR(VLOOKUP($B38,$N$7:$S$28,4,FALSE),"")</f>
        <v/>
      </c>
      <c r="K38">
        <f>-E38</f>
        <v/>
      </c>
      <c r="L38">
        <f>-F38</f>
        <v/>
      </c>
    </row>
    <row r="39" ht="15.5" customHeight="1">
      <c r="A39" s="4" t="n"/>
      <c r="B39" s="12" t="inlineStr">
        <is>
          <t>6063</t>
        </is>
      </c>
      <c r="C39" s="13">
        <f>IFERROR(VLOOKUP($B39,$N$7:$S$28,2,FALSE),"")</f>
        <v/>
      </c>
      <c r="D39" s="14">
        <f>IFERROR(VLOOKUP($B39,$N$7:$S$28,3,FALSE),"")</f>
        <v/>
      </c>
      <c r="E39" s="15">
        <f>IFERROR(VLOOKUP($B39,$N$7:$S$28,5,FALSE),0)</f>
        <v/>
      </c>
      <c r="F39" s="15">
        <f>IFERROR(VLOOKUP($B39,$N$7:$S$28,6,FALSE),0)</f>
        <v/>
      </c>
      <c r="G39" s="16">
        <f>F39-E39</f>
        <v/>
      </c>
      <c r="H39" s="17">
        <f>IF($C39="Produits","",-F39/SUM(F37:F49))</f>
        <v/>
      </c>
      <c r="I39" s="4" t="n"/>
      <c r="J39">
        <f>IFERROR(VLOOKUP($B39,$N$7:$S$28,4,FALSE),"")</f>
        <v/>
      </c>
      <c r="K39">
        <f>-E39</f>
        <v/>
      </c>
      <c r="L39">
        <f>-F39</f>
        <v/>
      </c>
    </row>
    <row r="40" ht="15.5" customHeight="1">
      <c r="A40" s="4" t="n"/>
      <c r="B40" s="12" t="inlineStr">
        <is>
          <t>6231</t>
        </is>
      </c>
      <c r="C40" s="13">
        <f>IFERROR(VLOOKUP($B40,$N$7:$S$28,2,FALSE),"")</f>
        <v/>
      </c>
      <c r="D40" s="14">
        <f>IFERROR(VLOOKUP($B40,$N$7:$S$28,3,FALSE),"")</f>
        <v/>
      </c>
      <c r="E40" s="15">
        <f>IFERROR(VLOOKUP($B40,$N$7:$S$28,5,FALSE),0)</f>
        <v/>
      </c>
      <c r="F40" s="15">
        <f>IFERROR(VLOOKUP($B40,$N$7:$S$28,6,FALSE),0)</f>
        <v/>
      </c>
      <c r="G40" s="16">
        <f>F40-E40</f>
        <v/>
      </c>
      <c r="H40" s="17">
        <f>IF($C40="Produits","",-F40/SUM(F37:F49))</f>
        <v/>
      </c>
      <c r="I40" s="4" t="n"/>
      <c r="J40">
        <f>IFERROR(VLOOKUP($B40,$N$7:$S$28,4,FALSE),"")</f>
        <v/>
      </c>
      <c r="K40">
        <f>-E40</f>
        <v/>
      </c>
      <c r="L40">
        <f>-F40</f>
        <v/>
      </c>
    </row>
    <row r="41" ht="15.5" customHeight="1">
      <c r="A41" s="4" t="n"/>
      <c r="B41" s="12" t="inlineStr">
        <is>
          <t>6411</t>
        </is>
      </c>
      <c r="C41" s="13">
        <f>IFERROR(VLOOKUP($B41,$N$7:$S$28,2,FALSE),"")</f>
        <v/>
      </c>
      <c r="D41" s="14">
        <f>IFERROR(VLOOKUP($B41,$N$7:$S$28,3,FALSE),"")</f>
        <v/>
      </c>
      <c r="E41" s="15">
        <f>IFERROR(VLOOKUP($B41,$N$7:$S$28,5,FALSE),0)</f>
        <v/>
      </c>
      <c r="F41" s="15">
        <f>IFERROR(VLOOKUP($B41,$N$7:$S$28,6,FALSE),0)</f>
        <v/>
      </c>
      <c r="G41" s="16">
        <f>F41-E41</f>
        <v/>
      </c>
      <c r="H41" s="17">
        <f>IF($C41="Produits","",-F41/SUM(F37:F49))</f>
        <v/>
      </c>
      <c r="I41" s="4" t="n"/>
      <c r="J41">
        <f>IFERROR(VLOOKUP($B41,$N$7:$S$28,4,FALSE),"")</f>
        <v/>
      </c>
      <c r="K41">
        <f>-E41</f>
        <v/>
      </c>
      <c r="L41">
        <f>-F41</f>
        <v/>
      </c>
    </row>
    <row r="42" ht="15.5" customHeight="1">
      <c r="A42" s="4" t="n"/>
      <c r="B42" s="12" t="inlineStr">
        <is>
          <t>6413</t>
        </is>
      </c>
      <c r="C42" s="13">
        <f>IFERROR(VLOOKUP($B42,$N$7:$S$28,2,FALSE),"")</f>
        <v/>
      </c>
      <c r="D42" s="14">
        <f>IFERROR(VLOOKUP($B42,$N$7:$S$28,3,FALSE),"")</f>
        <v/>
      </c>
      <c r="E42" s="15">
        <f>IFERROR(VLOOKUP($B42,$N$7:$S$28,5,FALSE),0)</f>
        <v/>
      </c>
      <c r="F42" s="15">
        <f>IFERROR(VLOOKUP($B42,$N$7:$S$28,6,FALSE),0)</f>
        <v/>
      </c>
      <c r="G42" s="16">
        <f>F42-E42</f>
        <v/>
      </c>
      <c r="H42" s="17">
        <f>IF($C42="Produits","",-F42/SUM(F37:F49))</f>
        <v/>
      </c>
      <c r="I42" s="4" t="n"/>
      <c r="J42">
        <f>IFERROR(VLOOKUP($B42,$N$7:$S$28,4,FALSE),"")</f>
        <v/>
      </c>
      <c r="K42">
        <f>-E42</f>
        <v/>
      </c>
      <c r="L42">
        <f>-F42</f>
        <v/>
      </c>
    </row>
    <row r="43" ht="15.5" customHeight="1">
      <c r="A43" s="4" t="n"/>
      <c r="B43" s="12" t="inlineStr">
        <is>
          <t>645</t>
        </is>
      </c>
      <c r="C43" s="13">
        <f>IFERROR(VLOOKUP($B43,$N$7:$S$28,2,FALSE),"")</f>
        <v/>
      </c>
      <c r="D43" s="14">
        <f>IFERROR(VLOOKUP($B43,$N$7:$S$28,3,FALSE),"")</f>
        <v/>
      </c>
      <c r="E43" s="15">
        <f>IFERROR(VLOOKUP($B43,$N$7:$S$28,5,FALSE),0)</f>
        <v/>
      </c>
      <c r="F43" s="15">
        <f>IFERROR(VLOOKUP($B43,$N$7:$S$28,6,FALSE),0)</f>
        <v/>
      </c>
      <c r="G43" s="16">
        <f>F43-E43</f>
        <v/>
      </c>
      <c r="H43" s="17">
        <f>IF($C43="Produits","",-F43/SUM(F37:F49))</f>
        <v/>
      </c>
      <c r="I43" s="4" t="n"/>
      <c r="J43">
        <f>IFERROR(VLOOKUP($B43,$N$7:$S$28,4,FALSE),"")</f>
        <v/>
      </c>
      <c r="K43">
        <f>-E43</f>
        <v/>
      </c>
      <c r="L43">
        <f>-F43</f>
        <v/>
      </c>
    </row>
    <row r="44" ht="15.5" customHeight="1">
      <c r="A44" s="4" t="n"/>
      <c r="B44" s="12" t="inlineStr">
        <is>
          <t>613</t>
        </is>
      </c>
      <c r="C44" s="13">
        <f>IFERROR(VLOOKUP($B44,$N$7:$S$28,2,FALSE),"")</f>
        <v/>
      </c>
      <c r="D44" s="14">
        <f>IFERROR(VLOOKUP($B44,$N$7:$S$28,3,FALSE),"")</f>
        <v/>
      </c>
      <c r="E44" s="15">
        <f>IFERROR(VLOOKUP($B44,$N$7:$S$28,5,FALSE),0)</f>
        <v/>
      </c>
      <c r="F44" s="15">
        <f>IFERROR(VLOOKUP($B44,$N$7:$S$28,6,FALSE),0)</f>
        <v/>
      </c>
      <c r="G44" s="16">
        <f>F44-E44</f>
        <v/>
      </c>
      <c r="H44" s="17">
        <f>IF($C44="Produits","",-F44/SUM(F37:F49))</f>
        <v/>
      </c>
      <c r="I44" s="4" t="n"/>
      <c r="J44">
        <f>IFERROR(VLOOKUP($B44,$N$7:$S$28,4,FALSE),"")</f>
        <v/>
      </c>
      <c r="K44">
        <f>-E44</f>
        <v/>
      </c>
      <c r="L44">
        <f>-F44</f>
        <v/>
      </c>
    </row>
    <row r="45" ht="15.5" customHeight="1">
      <c r="A45" s="4" t="n"/>
      <c r="B45" s="12" t="inlineStr">
        <is>
          <t>615</t>
        </is>
      </c>
      <c r="C45" s="13">
        <f>IFERROR(VLOOKUP($B45,$N$7:$S$28,2,FALSE),"")</f>
        <v/>
      </c>
      <c r="D45" s="14">
        <f>IFERROR(VLOOKUP($B45,$N$7:$S$28,3,FALSE),"")</f>
        <v/>
      </c>
      <c r="E45" s="15">
        <f>IFERROR(VLOOKUP($B45,$N$7:$S$28,5,FALSE),0)</f>
        <v/>
      </c>
      <c r="F45" s="15">
        <f>IFERROR(VLOOKUP($B45,$N$7:$S$28,6,FALSE),0)</f>
        <v/>
      </c>
      <c r="G45" s="16">
        <f>F45-E45</f>
        <v/>
      </c>
      <c r="H45" s="17">
        <f>IF($C45="Produits","",-F45/SUM(F37:F49))</f>
        <v/>
      </c>
      <c r="I45" s="4" t="n"/>
      <c r="J45">
        <f>IFERROR(VLOOKUP($B45,$N$7:$S$28,4,FALSE),"")</f>
        <v/>
      </c>
      <c r="K45">
        <f>-E45</f>
        <v/>
      </c>
      <c r="L45">
        <f>-F45</f>
        <v/>
      </c>
    </row>
    <row r="46" ht="15.5" customHeight="1">
      <c r="A46" s="4" t="n"/>
      <c r="B46" s="12" t="inlineStr">
        <is>
          <t>616</t>
        </is>
      </c>
      <c r="C46" s="13">
        <f>IFERROR(VLOOKUP($B46,$N$7:$S$28,2,FALSE),"")</f>
        <v/>
      </c>
      <c r="D46" s="14">
        <f>IFERROR(VLOOKUP($B46,$N$7:$S$28,3,FALSE),"")</f>
        <v/>
      </c>
      <c r="E46" s="15">
        <f>IFERROR(VLOOKUP($B46,$N$7:$S$28,5,FALSE),0)</f>
        <v/>
      </c>
      <c r="F46" s="15">
        <f>IFERROR(VLOOKUP($B46,$N$7:$S$28,6,FALSE),0)</f>
        <v/>
      </c>
      <c r="G46" s="16">
        <f>F46-E46</f>
        <v/>
      </c>
      <c r="H46" s="17">
        <f>IF($C46="Produits","",-F46/SUM(F37:F49))</f>
        <v/>
      </c>
      <c r="I46" s="4" t="n"/>
      <c r="J46">
        <f>IFERROR(VLOOKUP($B46,$N$7:$S$28,4,FALSE),"")</f>
        <v/>
      </c>
      <c r="K46">
        <f>-E46</f>
        <v/>
      </c>
      <c r="L46">
        <f>-F46</f>
        <v/>
      </c>
    </row>
    <row r="47" ht="15.5" customHeight="1">
      <c r="A47" s="4" t="n"/>
      <c r="B47" s="12" t="inlineStr">
        <is>
          <t>625</t>
        </is>
      </c>
      <c r="C47" s="13">
        <f>IFERROR(VLOOKUP($B47,$N$7:$S$28,2,FALSE),"")</f>
        <v/>
      </c>
      <c r="D47" s="14">
        <f>IFERROR(VLOOKUP($B47,$N$7:$S$28,3,FALSE),"")</f>
        <v/>
      </c>
      <c r="E47" s="15">
        <f>IFERROR(VLOOKUP($B47,$N$7:$S$28,5,FALSE),0)</f>
        <v/>
      </c>
      <c r="F47" s="15">
        <f>IFERROR(VLOOKUP($B47,$N$7:$S$28,6,FALSE),0)</f>
        <v/>
      </c>
      <c r="G47" s="16">
        <f>F47-E47</f>
        <v/>
      </c>
      <c r="H47" s="17">
        <f>IF($C47="Produits","",-F47/SUM(F37:F49))</f>
        <v/>
      </c>
      <c r="I47" s="4" t="n"/>
      <c r="J47">
        <f>IFERROR(VLOOKUP($B47,$N$7:$S$28,4,FALSE),"")</f>
        <v/>
      </c>
      <c r="K47">
        <f>-E47</f>
        <v/>
      </c>
      <c r="L47">
        <f>-F47</f>
        <v/>
      </c>
    </row>
    <row r="48" ht="15.5" customHeight="1">
      <c r="A48" s="4" t="n"/>
      <c r="B48" s="12" t="inlineStr">
        <is>
          <t>63511</t>
        </is>
      </c>
      <c r="C48" s="13">
        <f>IFERROR(VLOOKUP($B48,$N$7:$S$28,2,FALSE),"")</f>
        <v/>
      </c>
      <c r="D48" s="14">
        <f>IFERROR(VLOOKUP($B48,$N$7:$S$28,3,FALSE),"")</f>
        <v/>
      </c>
      <c r="E48" s="15">
        <f>IFERROR(VLOOKUP($B48,$N$7:$S$28,5,FALSE),0)</f>
        <v/>
      </c>
      <c r="F48" s="15">
        <f>IFERROR(VLOOKUP($B48,$N$7:$S$28,6,FALSE),0)</f>
        <v/>
      </c>
      <c r="G48" s="16">
        <f>F48-E48</f>
        <v/>
      </c>
      <c r="H48" s="17">
        <f>IF($C48="Produits","",-F48/SUM(F37:F49))</f>
        <v/>
      </c>
      <c r="I48" s="4" t="n"/>
      <c r="J48">
        <f>IFERROR(VLOOKUP($B48,$N$7:$S$28,4,FALSE),"")</f>
        <v/>
      </c>
      <c r="K48">
        <f>-E48</f>
        <v/>
      </c>
      <c r="L48">
        <f>-F48</f>
        <v/>
      </c>
    </row>
    <row r="49" ht="15.5" customHeight="1">
      <c r="A49" s="4" t="n"/>
      <c r="B49" s="12" t="inlineStr">
        <is>
          <t>SIEGE</t>
        </is>
      </c>
      <c r="C49" s="13">
        <f>IFERROR(VLOOKUP($B49,$N$7:$S$28,2,FALSE),"")</f>
        <v/>
      </c>
      <c r="D49" s="14">
        <f>IFERROR(VLOOKUP($B49,$N$7:$S$28,3,FALSE),"")</f>
        <v/>
      </c>
      <c r="E49" s="15">
        <f>IFERROR(VLOOKUP($B49,$N$7:$S$28,5,FALSE),0)</f>
        <v/>
      </c>
      <c r="F49" s="15">
        <f>IFERROR(VLOOKUP($B49,$N$7:$S$28,6,FALSE),0)</f>
        <v/>
      </c>
      <c r="G49" s="16">
        <f>F49-E49</f>
        <v/>
      </c>
      <c r="H49" s="17">
        <f>IF($C49="Produits","",-F49/SUM(F37:F49))</f>
        <v/>
      </c>
      <c r="I49" s="4" t="n"/>
      <c r="J49">
        <f>IFERROR(VLOOKUP($B49,$N$7:$S$28,4,FALSE),"")</f>
        <v/>
      </c>
      <c r="K49">
        <f>-E49</f>
        <v/>
      </c>
      <c r="L49">
        <f>-F49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18" t="inlineStr">
        <is>
          <t>Contrôle</t>
        </is>
      </c>
      <c r="C51" s="19" t="n"/>
      <c r="D51" s="18" t="inlineStr">
        <is>
          <t>la somme des seize lignes doit valoir l'EBITDA</t>
        </is>
      </c>
      <c r="E51" s="20">
        <f>SUM(E34:E49)</f>
        <v/>
      </c>
      <c r="F51" s="20">
        <f>SUM(F34:F49)</f>
        <v/>
      </c>
      <c r="G51" s="19" t="n"/>
      <c r="H51" s="19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20" customHeight="1">
      <c r="A53" s="4" t="n"/>
      <c r="B53" s="8" t="inlineStr">
        <is>
          <t>RAPPROCHEMENT DU CHIFFRE D'AFFAIRES  ·  comptes de produit contre socle CRM</t>
        </is>
      </c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21" t="inlineStr">
        <is>
          <t>Comptes de produit  ·  706 + 7062 + 708, somme des trois lignes ci-dessus</t>
        </is>
      </c>
      <c r="C54" s="22" t="n"/>
      <c r="D54" s="22" t="n"/>
      <c r="E54" s="23">
        <f>SUM(E34:E36)</f>
        <v/>
      </c>
      <c r="F54" s="23">
        <f>SUM(F34:F36)</f>
        <v/>
      </c>
      <c r="G54" s="22" t="n"/>
      <c r="H54" s="22" t="n"/>
      <c r="I54" s="4" t="n"/>
    </row>
    <row r="55">
      <c r="A55" s="4" t="n"/>
      <c r="B55" s="21" t="inlineStr">
        <is>
          <t>Socle CRM  ·  effectifs × droits de scolarité, restitution de Q_D3_CA_CRM</t>
        </is>
      </c>
      <c r="C55" s="22" t="n"/>
      <c r="D55" s="22" t="n"/>
      <c r="E55" s="23">
        <f>SUM($T$31:$T$33)</f>
        <v/>
      </c>
      <c r="F55" s="23">
        <f>SUM($U$31:$U$33)</f>
        <v/>
      </c>
      <c r="G55" s="22" t="n"/>
      <c r="H55" s="22" t="n"/>
      <c r="I55" s="4" t="n"/>
    </row>
    <row r="56">
      <c r="A56" s="4" t="n"/>
      <c r="B56" s="24" t="inlineStr">
        <is>
          <t>Écart</t>
        </is>
      </c>
      <c r="C56" s="25" t="n"/>
      <c r="D56" s="25" t="n"/>
      <c r="E56" s="26">
        <f>E54-E55</f>
        <v/>
      </c>
      <c r="F56" s="26">
        <f>F54-F55</f>
        <v/>
      </c>
      <c r="G56" s="27">
        <f>E56/E55</f>
        <v/>
      </c>
      <c r="H56" s="27">
        <f>F56/F55</f>
        <v/>
      </c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28" t="inlineStr">
        <is>
          <t>Les deux chaînes disent le même montant depuis le réalignement du 06/09. Cet écart doit rester à zéro ; s'il reparaît, c'est que le socle CRM a bougé sans que les comptes de produit suivent — FIX_CA_COMPTA_2024_2025.sql les remet d'accord.</t>
        </is>
      </c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28" t="inlineStr">
        <is>
          <t>C'est ce qui permet d'ouvrir le chiffre d'affaires en trois comptes ici : le tableau est un vrai compte d'exploitation, quinze lignes qui sont toutes de vraies écritures, plus le siège qui est une allocation et le dit.</t>
        </is>
      </c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28" t="inlineStr">
        <is>
          <t>Le modèle continue de piloter par le CRM, et pour deux raisons qui ne tiennent pas à l'exactitude. Le GRAIN — 180 lignes campus × programme × année × modalité contre 105 au grain campus × compte, sans quoi aucune marge par programme n'est calculable.</t>
        </is>
      </c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28" t="inlineStr">
        <is>
          <t>Et le PILOTAGE — le CRM donne le CA comme un produit d'inducteurs, effectifs × droits de scolarité, donc il se simule. Un montant déjà posé est un constat. DRILL3 ouvre cette chaîne-là.</t>
        </is>
      </c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</sheetData>
  <conditionalFormatting sqref="B34:H49">
    <cfRule type="expression" priority="1" dxfId="0">
      <formula>$C34="Produits"</formula>
    </cfRule>
    <cfRule type="expression" priority="2" dxfId="1">
      <formula>$B34="SIEGE"</formula>
    </cfRule>
    <cfRule type="expression" priority="3" dxfId="2">
      <formula>$B34&lt;&gt;""</formula>
    </cfRule>
  </conditionalFormatting>
  <conditionalFormatting sqref="G34:G49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H34:H49">
    <cfRule type="dataBar" priority="6">
      <dataBar showValue="1">
        <cfvo type="num" val="0"/>
        <cfvo type="max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2026-09-07T00:06:44Z</dcterms:created>
  <dcterms:modified xsi:type="dcterms:W3CDTF">2026-09-07T00:06:44Z</dcterms:modified>
</cp:coreProperties>
</file>