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ll par comp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€&quot;"/>
    <numFmt numFmtId="165" formatCode="&quot;▲ &quot;#,##0;&quot;▼ &quot;#,##0;&quot;—&quot;"/>
    <numFmt numFmtId="166" formatCode="0.0%"/>
    <numFmt numFmtId="167" formatCode="+#,##0&quot; €&quot;;-#,##0&quot; €&quot;;&quot;0 €&quot;"/>
    <numFmt numFmtId="168" formatCode="+0.00%;-0.00%;&quot;0,00 %&quot;"/>
  </numFmts>
  <fonts count="16">
    <font>
      <name val="Calibri"/>
      <family val="2"/>
      <color theme="1"/>
      <sz val="11"/>
      <scheme val="minor"/>
    </font>
    <font>
      <name val="Fira Sans Medium"/>
      <b val="1"/>
      <color rgb="00FFFFFF"/>
      <sz val="15"/>
    </font>
    <font>
      <name val="Arial"/>
      <color rgb="00B8C6DA"/>
      <sz val="8"/>
    </font>
    <font>
      <name val="Arial"/>
      <b val="1"/>
      <color rgb="0069778B"/>
      <sz val="8"/>
    </font>
    <font>
      <name val="Fira Sans Medium"/>
      <b val="1"/>
      <color rgb="00202733"/>
      <sz val="13"/>
    </font>
    <font>
      <name val="Arial"/>
      <i val="1"/>
      <color rgb="0069778B"/>
      <sz val="8.5"/>
    </font>
    <font>
      <name val="Fira Sans Medium"/>
      <b val="1"/>
      <color rgb="00202733"/>
      <sz val="10"/>
    </font>
    <font>
      <name val="Arial"/>
      <i val="1"/>
      <color rgb="0069778B"/>
      <sz val="7.5"/>
    </font>
    <font>
      <name val="Fira Sans Medium"/>
      <b val="1"/>
      <color rgb="00FFFFFF"/>
      <sz val="8"/>
    </font>
    <font>
      <name val="Arial"/>
      <color rgb="0069778B"/>
      <sz val="8.5"/>
    </font>
    <font>
      <name val="Arial"/>
      <color rgb="00202733"/>
      <sz val="8.5"/>
    </font>
    <font>
      <name val="Arial"/>
      <b val="1"/>
      <color rgb="0069778B"/>
      <sz val="8.5"/>
    </font>
    <font>
      <name val="Arial"/>
      <b val="1"/>
      <color rgb="002A78D6"/>
      <sz val="11"/>
    </font>
    <font>
      <name val="Arial"/>
      <b val="1"/>
      <color rgb="00202733"/>
      <sz val="8.5"/>
    </font>
    <font>
      <name val="Arial"/>
      <b val="1"/>
      <color rgb="002A78D6"/>
      <sz val="9"/>
    </font>
    <font>
      <name val="Arial"/>
      <i val="1"/>
      <color rgb="0069778B"/>
      <sz val="8"/>
    </font>
  </fonts>
  <fills count="7">
    <fill>
      <patternFill/>
    </fill>
    <fill>
      <patternFill patternType="gray125"/>
    </fill>
    <fill>
      <patternFill patternType="solid">
        <fgColor rgb="00F3F6FA"/>
      </patternFill>
    </fill>
    <fill>
      <patternFill patternType="solid">
        <fgColor rgb="00172033"/>
      </patternFill>
    </fill>
    <fill>
      <patternFill patternType="solid">
        <fgColor rgb="00526071"/>
      </patternFill>
    </fill>
    <fill>
      <patternFill patternType="solid">
        <fgColor rgb="00EAF2FC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left style="thin">
        <color rgb="00526071"/>
      </left>
      <right style="thin">
        <color rgb="00526071"/>
      </right>
      <top style="thin">
        <color rgb="00526071"/>
      </top>
      <bottom style="thin">
        <color rgb="00526071"/>
      </bottom>
    </border>
    <border>
      <top style="medium">
        <color rgb="00526071"/>
      </top>
      <bottom style="medium">
        <color rgb="00526071"/>
      </bottom>
    </border>
    <border>
      <bottom style="thin">
        <color rgb="00E9EDF3"/>
      </bottom>
    </border>
    <border>
      <bottom style="medium">
        <color rgb="00526071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0" fillId="3" borderId="0" pivotButton="0" quotePrefix="0" xfId="0"/>
    <xf numFmtId="0" fontId="1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left" vertical="center"/>
    </xf>
    <xf numFmtId="0" fontId="3" fillId="0" borderId="0" pivotButton="0" quotePrefix="0" xfId="0"/>
    <xf numFmtId="0" fontId="6" fillId="2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right" vertical="center"/>
    </xf>
    <xf numFmtId="0" fontId="8" fillId="4" borderId="1" applyAlignment="1" pivotButton="0" quotePrefix="0" xfId="0">
      <alignment horizontal="left" vertical="center" indent="1"/>
    </xf>
    <xf numFmtId="0" fontId="8" fillId="4" borderId="1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center" vertical="center"/>
    </xf>
    <xf numFmtId="0" fontId="9" fillId="2" borderId="0" applyAlignment="1" pivotButton="0" quotePrefix="0" xfId="0">
      <alignment horizontal="left" vertical="center" indent="1"/>
    </xf>
    <xf numFmtId="0" fontId="10" fillId="2" borderId="0" applyAlignment="1" pivotButton="0" quotePrefix="0" xfId="0">
      <alignment horizontal="left" vertical="center" indent="1"/>
    </xf>
    <xf numFmtId="164" fontId="10" fillId="2" borderId="0" applyAlignment="1" pivotButton="0" quotePrefix="0" xfId="0">
      <alignment horizontal="right" vertical="center"/>
    </xf>
    <xf numFmtId="165" fontId="10" fillId="2" borderId="0" applyAlignment="1" pivotButton="0" quotePrefix="0" xfId="0">
      <alignment horizontal="right" vertical="center"/>
    </xf>
    <xf numFmtId="166" fontId="10" fillId="2" borderId="0" applyAlignment="1" pivotButton="0" quotePrefix="0" xfId="0">
      <alignment horizontal="right" vertical="center"/>
    </xf>
    <xf numFmtId="0" fontId="11" fillId="5" borderId="2" applyAlignment="1" pivotButton="0" quotePrefix="0" xfId="0">
      <alignment horizontal="left" vertical="center" indent="1"/>
    </xf>
    <xf numFmtId="0" fontId="0" fillId="5" borderId="2" pivotButton="0" quotePrefix="0" xfId="0"/>
    <xf numFmtId="164" fontId="12" fillId="5" borderId="2" applyAlignment="1" pivotButton="0" quotePrefix="0" xfId="0">
      <alignment horizontal="right" vertical="center"/>
    </xf>
    <xf numFmtId="0" fontId="10" fillId="6" borderId="3" applyAlignment="1" pivotButton="0" quotePrefix="0" xfId="0">
      <alignment horizontal="left" vertical="center" indent="1"/>
    </xf>
    <xf numFmtId="0" fontId="0" fillId="6" borderId="3" pivotButton="0" quotePrefix="0" xfId="0"/>
    <xf numFmtId="164" fontId="10" fillId="6" borderId="3" applyAlignment="1" pivotButton="0" quotePrefix="0" xfId="0">
      <alignment horizontal="right" vertical="center"/>
    </xf>
    <xf numFmtId="0" fontId="13" fillId="5" borderId="4" applyAlignment="1" pivotButton="0" quotePrefix="0" xfId="0">
      <alignment horizontal="left" vertical="center" indent="1"/>
    </xf>
    <xf numFmtId="0" fontId="0" fillId="5" borderId="4" pivotButton="0" quotePrefix="0" xfId="0"/>
    <xf numFmtId="167" fontId="14" fillId="5" borderId="4" applyAlignment="1" pivotButton="0" quotePrefix="0" xfId="0">
      <alignment horizontal="right" vertical="center"/>
    </xf>
    <xf numFmtId="168" fontId="9" fillId="5" borderId="4" applyAlignment="1" pivotButton="0" quotePrefix="0" xfId="0">
      <alignment horizontal="right" vertical="center"/>
    </xf>
    <xf numFmtId="0" fontId="15" fillId="2" borderId="0" applyAlignment="1" pivotButton="0" quotePrefix="0" xfId="0">
      <alignment horizontal="left" vertical="center" indent="1"/>
    </xf>
  </cellXfs>
  <cellStyles count="1">
    <cellStyle name="Normal" xfId="0" builtinId="0" hidden="0"/>
  </cellStyles>
  <dxfs count="5">
    <dxf>
      <font>
        <b val="1"/>
      </font>
      <fill>
        <patternFill>
          <bgColor rgb="00D9E2EF"/>
        </patternFill>
      </fill>
      <border>
        <bottom style="thin">
          <color rgb="00E9EDF3"/>
        </bottom>
      </border>
    </dxf>
    <dxf>
      <font>
        <b val="1"/>
      </font>
      <fill>
        <patternFill>
          <bgColor rgb="00EAF2FC"/>
        </patternFill>
      </fill>
      <border>
        <bottom style="thin">
          <color rgb="00E9EDF3"/>
        </bottom>
      </border>
    </dxf>
    <dxf>
      <fill>
        <patternFill>
          <bgColor rgb="00FFFFFF"/>
        </patternFill>
      </fill>
      <border>
        <bottom style="thin">
          <color rgb="00E9EDF3"/>
        </bottom>
      </border>
    </dxf>
    <dxf>
      <font>
        <name val="Arial"/>
        <color rgb="001E9E89"/>
        <sz val="8.5"/>
      </font>
    </dxf>
    <dxf>
      <font>
        <name val="Arial"/>
        <color rgb="00D64545"/>
        <sz val="8.5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plotArea>
      <barChart>
        <barDir val="bar"/>
        <grouping val="clustered"/>
        <ser>
          <idx val="0"/>
          <order val="0"/>
          <tx>
            <v>2025</v>
          </tx>
          <spPr>
            <a:solidFill>
              <a:srgbClr val="B8CFEC"/>
            </a:solidFill>
            <a:ln>
              <a:noFill/>
              <a:prstDash val="solid"/>
            </a:ln>
          </spPr>
          <cat>
            <strRef>
              <f>'Drill par compte'!$J$35:$J$47</f>
            </strRef>
          </cat>
          <val>
            <numRef>
              <f>'Drill par compte'!$K$35:$K$47</f>
            </numRef>
          </val>
        </ser>
        <ser>
          <idx val="1"/>
          <order val="1"/>
          <tx>
            <v>2026</v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strRef>
              <f>'Drill par compte'!$J$35:$J$47</f>
            </strRef>
          </cat>
          <val>
            <numRef>
              <f>'Drill par compte'!$L$35:$L$47</f>
            </numRef>
          </val>
        </ser>
        <gapWidth val="45"/>
        <overlap val="-15"/>
        <axId val="10"/>
        <axId val="100"/>
      </barChart>
      <catAx>
        <axId val="10"/>
        <scaling>
          <orientation val="minMax"/>
        </scaling>
        <delete val="0"/>
        <axPos val="l"/>
        <numFmt formatCode="#,##0,&quot; k€&quot;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b"/>
    </legend>
    <plotVisOnly val="0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7</row>
      <rowOff>0</rowOff>
    </from>
    <ext cx="7560000" cy="45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4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9" customWidth="1" min="2" max="2"/>
    <col width="16" customWidth="1" min="3" max="3"/>
    <col width="36" customWidth="1" min="4" max="4"/>
    <col width="15" customWidth="1" min="5" max="5"/>
    <col width="15" customWidth="1" min="6" max="6"/>
    <col width="14" customWidth="1" min="7" max="7"/>
    <col width="15" customWidth="1" min="8" max="8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26" customHeight="1">
      <c r="A2" s="1" t="n"/>
      <c r="B2" s="2" t="inlineStr">
        <is>
          <t>DE QUOI CET EBITDA EST-IL FAIT</t>
        </is>
      </c>
      <c r="C2" s="1" t="n"/>
      <c r="D2" s="1" t="n"/>
      <c r="E2" s="1" t="n"/>
      <c r="F2" s="1" t="n"/>
      <c r="G2" s="1" t="n"/>
      <c r="H2" s="1" t="n"/>
      <c r="I2" s="1" t="n"/>
    </row>
    <row r="3" ht="15" customHeight="1">
      <c r="A3" s="1" t="n"/>
      <c r="B3" s="3" t="inlineStr">
        <is>
          <t>drill sur la cellule cliquée · 2026 contre 2025 · le tableau lit la restitution de Q_D2_SOCLE par RECHERCHEV sur le compte</t>
        </is>
      </c>
      <c r="C3" s="1" t="n"/>
      <c r="D3" s="1" t="n"/>
      <c r="E3" s="1" t="n"/>
      <c r="F3" s="1" t="n"/>
      <c r="G3" s="1" t="n"/>
      <c r="H3" s="1" t="n"/>
      <c r="I3" s="1" t="n"/>
    </row>
    <row r="4" ht="10" customHeight="1">
      <c r="A4" s="4" t="n"/>
      <c r="B4" s="4" t="n"/>
      <c r="C4" s="4" t="n"/>
      <c r="D4" s="4" t="n"/>
      <c r="E4" s="4" t="n"/>
      <c r="F4" s="4" t="n"/>
      <c r="G4" s="4" t="n"/>
      <c r="H4" s="4" t="n"/>
      <c r="I4" s="4" t="n"/>
    </row>
    <row r="5" ht="24" customHeight="1">
      <c r="A5" s="4" t="n"/>
      <c r="B5" s="5">
        <f>"Sur "&amp;TEXT(F34,"#,##0 €")&amp;" de chiffre d'affaires, "&amp;TEXT(-SUM(F35:F47),"#,##0 €")&amp;" partent en charges. Il reste "&amp;TEXT(SUM(F34:F47),"#,##0 €")&amp;" d'EBITDA, soit "&amp;TEXT(SUM(F34:F47)/F34,"0.0%")&amp;" du chiffre d'affaires."</f>
        <v/>
      </c>
      <c r="C5" s="4" t="n"/>
      <c r="D5" s="4" t="n"/>
      <c r="E5" s="4" t="n"/>
      <c r="F5" s="4" t="n"/>
      <c r="G5" s="4" t="n"/>
      <c r="H5" s="4" t="n"/>
      <c r="I5" s="4" t="n"/>
    </row>
    <row r="6" ht="14" customHeight="1">
      <c r="A6" s="4" t="n"/>
      <c r="B6" s="6" t="inlineStr">
        <is>
          <t>les charges sont signées en négatif : leur somme avec le CA donne l'EBITDA</t>
        </is>
      </c>
      <c r="C6" s="4" t="n"/>
      <c r="D6" s="4" t="n"/>
      <c r="E6" s="4" t="n"/>
      <c r="F6" s="4" t="n"/>
      <c r="G6" s="4" t="n"/>
      <c r="H6" s="4" t="n"/>
      <c r="I6" s="4" t="n"/>
      <c r="N6" s="7" t="inlineStr">
        <is>
          <t>Compte</t>
        </is>
      </c>
      <c r="O6" s="7" t="inlineStr">
        <is>
          <t>Famille</t>
        </is>
      </c>
      <c r="P6" s="7" t="inlineStr">
        <is>
          <t>Poste</t>
        </is>
      </c>
      <c r="Q6" s="7" t="inlineStr">
        <is>
          <t>Poste court</t>
        </is>
      </c>
      <c r="R6" s="7" t="inlineStr">
        <is>
          <t>Montant 2025</t>
        </is>
      </c>
      <c r="S6" s="7" t="inlineStr">
        <is>
          <t>Montant 2026</t>
        </is>
      </c>
    </row>
    <row r="7" ht="8" customHeight="1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N7" t="inlineStr">
        <is>
          <t>CA</t>
        </is>
      </c>
      <c r="O7" t="inlineStr">
        <is>
          <t>Produits</t>
        </is>
      </c>
      <c r="P7" t="inlineStr">
        <is>
          <t>Chiffre d'affaires (socle CRM)</t>
        </is>
      </c>
      <c r="Q7" t="inlineStr">
        <is>
          <t>Chiffre d'affaires</t>
        </is>
      </c>
      <c r="R7" t="n">
        <v>21758770</v>
      </c>
      <c r="S7" t="n">
        <v>23098985</v>
      </c>
    </row>
    <row r="8" ht="15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N8" t="inlineStr">
        <is>
          <t>621</t>
        </is>
      </c>
      <c r="O8" t="inlineStr">
        <is>
          <t>Coût variable</t>
        </is>
      </c>
      <c r="P8" t="inlineStr">
        <is>
          <t>Personnel extérieur (vacataires)</t>
        </is>
      </c>
      <c r="Q8" t="inlineStr">
        <is>
          <t>Vacataires</t>
        </is>
      </c>
      <c r="R8" t="n">
        <v>-1509499</v>
      </c>
      <c r="S8" t="n">
        <v>-1581554</v>
      </c>
    </row>
    <row r="9" ht="15" customHeight="1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N9" t="inlineStr">
        <is>
          <t>604</t>
        </is>
      </c>
      <c r="O9" t="inlineStr">
        <is>
          <t>Coût variable</t>
        </is>
      </c>
      <c r="P9" t="inlineStr">
        <is>
          <t>Achats d'études</t>
        </is>
      </c>
      <c r="Q9" t="inlineStr">
        <is>
          <t>Achats d'études</t>
        </is>
      </c>
      <c r="R9" t="n">
        <v>-646928</v>
      </c>
      <c r="S9" t="n">
        <v>-677808</v>
      </c>
    </row>
    <row r="10" ht="15" customHeight="1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N10" t="inlineStr">
        <is>
          <t>6063</t>
        </is>
      </c>
      <c r="O10" t="inlineStr">
        <is>
          <t>Coût variable</t>
        </is>
      </c>
      <c r="P10" t="inlineStr">
        <is>
          <t>Fournitures</t>
        </is>
      </c>
      <c r="Q10" t="inlineStr">
        <is>
          <t>Fournitures</t>
        </is>
      </c>
      <c r="R10" t="n">
        <v>-431286</v>
      </c>
      <c r="S10" t="n">
        <v>-451874</v>
      </c>
    </row>
    <row r="11" ht="15" customHeight="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N11" t="inlineStr">
        <is>
          <t>6231</t>
        </is>
      </c>
      <c r="O11" t="inlineStr">
        <is>
          <t>Coût variable</t>
        </is>
      </c>
      <c r="P11" t="inlineStr">
        <is>
          <t>Publicité et acquisition</t>
        </is>
      </c>
      <c r="Q11" t="inlineStr">
        <is>
          <t>Acquisition</t>
        </is>
      </c>
      <c r="R11" t="n">
        <v>-394702</v>
      </c>
      <c r="S11" t="n">
        <v>-434174</v>
      </c>
    </row>
    <row r="12" ht="15" customHeight="1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N12" t="inlineStr">
        <is>
          <t>6411</t>
        </is>
      </c>
      <c r="O12" t="inlineStr">
        <is>
          <t>Coûts directs</t>
        </is>
      </c>
      <c r="P12" t="inlineStr">
        <is>
          <t>Salaires des permanents</t>
        </is>
      </c>
      <c r="Q12" t="inlineStr">
        <is>
          <t>Salaires</t>
        </is>
      </c>
      <c r="R12" t="n">
        <v>-3665791.33</v>
      </c>
      <c r="S12" t="n">
        <v>-3841069.840000001</v>
      </c>
    </row>
    <row r="13" ht="15" customHeight="1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N13" t="inlineStr">
        <is>
          <t>6413</t>
        </is>
      </c>
      <c r="O13" t="inlineStr">
        <is>
          <t>Coûts directs</t>
        </is>
      </c>
      <c r="P13" t="inlineStr">
        <is>
          <t>Primes</t>
        </is>
      </c>
      <c r="Q13" t="inlineStr">
        <is>
          <t>Primes</t>
        </is>
      </c>
      <c r="R13" t="n">
        <v>-1940873.02</v>
      </c>
      <c r="S13" t="n">
        <v>-2033330.6</v>
      </c>
    </row>
    <row r="14" ht="15" customHeight="1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N14" t="inlineStr">
        <is>
          <t>645</t>
        </is>
      </c>
      <c r="O14" t="inlineStr">
        <is>
          <t>Coûts directs</t>
        </is>
      </c>
      <c r="P14" t="inlineStr">
        <is>
          <t>Charges sociales</t>
        </is>
      </c>
      <c r="Q14" t="inlineStr">
        <is>
          <t>Charges sociales</t>
        </is>
      </c>
      <c r="R14" t="n">
        <v>-3019137.459999999</v>
      </c>
      <c r="S14" t="n">
        <v>-3162957.9</v>
      </c>
    </row>
    <row r="15" ht="15" customHeight="1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N15" t="inlineStr">
        <is>
          <t>613</t>
        </is>
      </c>
      <c r="O15" t="inlineStr">
        <is>
          <t>Coûts directs</t>
        </is>
      </c>
      <c r="P15" t="inlineStr">
        <is>
          <t>Loyers</t>
        </is>
      </c>
      <c r="Q15" t="inlineStr">
        <is>
          <t>Loyers</t>
        </is>
      </c>
      <c r="R15" t="n">
        <v>-2264167.84</v>
      </c>
      <c r="S15" t="n">
        <v>-2372423.51</v>
      </c>
    </row>
    <row r="16" ht="15" customHeight="1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N16" t="inlineStr">
        <is>
          <t>615</t>
        </is>
      </c>
      <c r="O16" t="inlineStr">
        <is>
          <t>Coûts directs</t>
        </is>
      </c>
      <c r="P16" t="inlineStr">
        <is>
          <t>Entretien</t>
        </is>
      </c>
      <c r="Q16" t="inlineStr">
        <is>
          <t>Entretien</t>
        </is>
      </c>
      <c r="R16" t="n">
        <v>-323450.8</v>
      </c>
      <c r="S16" t="n">
        <v>-338915.38</v>
      </c>
    </row>
    <row r="17" ht="15" customHeight="1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N17" t="inlineStr">
        <is>
          <t>616</t>
        </is>
      </c>
      <c r="O17" t="inlineStr">
        <is>
          <t>Coûts directs</t>
        </is>
      </c>
      <c r="P17" t="inlineStr">
        <is>
          <t>Assurances</t>
        </is>
      </c>
      <c r="Q17" t="inlineStr">
        <is>
          <t>Assurances</t>
        </is>
      </c>
      <c r="R17" t="n">
        <v>-215654.58</v>
      </c>
      <c r="S17" t="n">
        <v>-225926.43</v>
      </c>
    </row>
    <row r="18" ht="15" customHeight="1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N18" t="inlineStr">
        <is>
          <t>625</t>
        </is>
      </c>
      <c r="O18" t="inlineStr">
        <is>
          <t>Coûts directs</t>
        </is>
      </c>
      <c r="P18" t="inlineStr">
        <is>
          <t>Déplacements</t>
        </is>
      </c>
      <c r="Q18" t="inlineStr">
        <is>
          <t>Déplacements</t>
        </is>
      </c>
      <c r="R18" t="n">
        <v>-323478.14</v>
      </c>
      <c r="S18" t="n">
        <v>-338890.3800000001</v>
      </c>
    </row>
    <row r="19" ht="15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N19" t="inlineStr">
        <is>
          <t>63511</t>
        </is>
      </c>
      <c r="O19" t="inlineStr">
        <is>
          <t>Coûts directs</t>
        </is>
      </c>
      <c r="P19" t="inlineStr">
        <is>
          <t>Taxes</t>
        </is>
      </c>
      <c r="Q19" t="inlineStr">
        <is>
          <t>Taxes</t>
        </is>
      </c>
      <c r="R19" t="n">
        <v>-215634.87</v>
      </c>
      <c r="S19" t="n">
        <v>-225943.95</v>
      </c>
    </row>
    <row r="20" ht="15" customHeight="1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N20" t="inlineStr">
        <is>
          <t>SIEGE</t>
        </is>
      </c>
      <c r="O20" t="inlineStr">
        <is>
          <t>Siège</t>
        </is>
      </c>
      <c r="P20" t="inlineStr">
        <is>
          <t>Siège redescendu (allocation, pas une écriture)</t>
        </is>
      </c>
      <c r="Q20" t="inlineStr">
        <is>
          <t>Siège</t>
        </is>
      </c>
      <c r="R20" t="n">
        <v>-3340399.000000001</v>
      </c>
      <c r="S20" t="n">
        <v>-3568327</v>
      </c>
    </row>
    <row r="21" ht="15" customHeight="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</row>
    <row r="22" ht="15" customHeight="1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</row>
    <row r="23" ht="15" customHeight="1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</row>
    <row r="24" ht="15" customHeight="1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</row>
    <row r="25" ht="15" customHeight="1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</row>
    <row r="26" ht="15" customHeight="1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</row>
    <row r="27" ht="15" customHeight="1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</row>
    <row r="28" ht="15" customHeight="1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N28" s="7" t="inlineStr">
        <is>
          <t>Controle</t>
        </is>
      </c>
      <c r="O28" s="7" t="inlineStr">
        <is>
          <t>Montant 2025</t>
        </is>
      </c>
      <c r="P28" s="7" t="inlineStr">
        <is>
          <t>Montant 2026</t>
        </is>
      </c>
    </row>
    <row r="29" ht="15" customHeight="1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N29" t="inlineStr">
        <is>
          <t>Chiffre d'affaires en gestion (706 + 7062 + 708)</t>
        </is>
      </c>
      <c r="O29" t="n">
        <v>21775820</v>
      </c>
      <c r="P29" t="n">
        <v>23098985</v>
      </c>
    </row>
    <row r="30" ht="15" customHeight="1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</row>
    <row r="31" ht="15" customHeight="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</row>
    <row r="32" ht="20" customHeight="1">
      <c r="A32" s="4" t="n"/>
      <c r="B32" s="8" t="inlineStr">
        <is>
          <t>LE COMPTE D'EXPLOITATION, POSTE PAR POSTE</t>
        </is>
      </c>
      <c r="C32" s="4" t="n"/>
      <c r="D32" s="4" t="n"/>
      <c r="E32" s="4" t="n"/>
      <c r="F32" s="4" t="n"/>
      <c r="G32" s="4" t="n"/>
      <c r="H32" s="9" t="inlineStr">
        <is>
          <t xml:space="preserve">colonnes C à F lues dans la restitution par RECHERCHEV · G et H calculées ici  </t>
        </is>
      </c>
      <c r="I32" s="4" t="n"/>
    </row>
    <row r="33" ht="26" customHeight="1">
      <c r="A33" s="4" t="n"/>
      <c r="B33" s="10" t="inlineStr">
        <is>
          <t>Compte</t>
        </is>
      </c>
      <c r="C33" s="10" t="inlineStr">
        <is>
          <t>Famille</t>
        </is>
      </c>
      <c r="D33" s="10" t="inlineStr">
        <is>
          <t>Poste</t>
        </is>
      </c>
      <c r="E33" s="11" t="inlineStr">
        <is>
          <t>Montant 2025</t>
        </is>
      </c>
      <c r="F33" s="11" t="inlineStr">
        <is>
          <t>Montant 2026</t>
        </is>
      </c>
      <c r="G33" s="11" t="inlineStr">
        <is>
          <t>Variation</t>
        </is>
      </c>
      <c r="H33" s="11" t="inlineStr">
        <is>
          <t>Part des charges</t>
        </is>
      </c>
      <c r="I33" s="4" t="n"/>
      <c r="K33" t="inlineStr">
        <is>
          <t>2025</t>
        </is>
      </c>
      <c r="L33" t="inlineStr">
        <is>
          <t>2026</t>
        </is>
      </c>
    </row>
    <row r="34" ht="15.5" customHeight="1">
      <c r="A34" s="4" t="n"/>
      <c r="B34" s="12" t="inlineStr">
        <is>
          <t>CA</t>
        </is>
      </c>
      <c r="C34" s="13">
        <f>IFERROR(VLOOKUP($B34,$N$7:$S$26,2,FALSE),"")</f>
        <v/>
      </c>
      <c r="D34" s="14">
        <f>IFERROR(VLOOKUP($B34,$N$7:$S$26,3,FALSE),"")</f>
        <v/>
      </c>
      <c r="E34" s="15">
        <f>IFERROR(VLOOKUP($B34,$N$7:$S$26,5,FALSE),0)</f>
        <v/>
      </c>
      <c r="F34" s="15">
        <f>IFERROR(VLOOKUP($B34,$N$7:$S$26,6,FALSE),0)</f>
        <v/>
      </c>
      <c r="G34" s="16">
        <f>F34-E34</f>
        <v/>
      </c>
      <c r="H34" s="17">
        <f>IF($B34="CA","",-F34/SUM(F35:F47))</f>
        <v/>
      </c>
      <c r="I34" s="4" t="n"/>
      <c r="J34">
        <f>IFERROR(VLOOKUP($B34,$N$7:$S$26,4,FALSE),"")</f>
        <v/>
      </c>
    </row>
    <row r="35" ht="15.5" customHeight="1">
      <c r="A35" s="4" t="n"/>
      <c r="B35" s="12" t="inlineStr">
        <is>
          <t>621</t>
        </is>
      </c>
      <c r="C35" s="13">
        <f>IFERROR(VLOOKUP($B35,$N$7:$S$26,2,FALSE),"")</f>
        <v/>
      </c>
      <c r="D35" s="14">
        <f>IFERROR(VLOOKUP($B35,$N$7:$S$26,3,FALSE),"")</f>
        <v/>
      </c>
      <c r="E35" s="15">
        <f>IFERROR(VLOOKUP($B35,$N$7:$S$26,5,FALSE),0)</f>
        <v/>
      </c>
      <c r="F35" s="15">
        <f>IFERROR(VLOOKUP($B35,$N$7:$S$26,6,FALSE),0)</f>
        <v/>
      </c>
      <c r="G35" s="16">
        <f>F35-E35</f>
        <v/>
      </c>
      <c r="H35" s="17">
        <f>IF($B35="CA","",-F35/SUM(F35:F47))</f>
        <v/>
      </c>
      <c r="I35" s="4" t="n"/>
      <c r="J35">
        <f>IFERROR(VLOOKUP($B35,$N$7:$S$26,4,FALSE),"")</f>
        <v/>
      </c>
      <c r="K35">
        <f>-E35</f>
        <v/>
      </c>
      <c r="L35">
        <f>-F35</f>
        <v/>
      </c>
    </row>
    <row r="36" ht="15.5" customHeight="1">
      <c r="A36" s="4" t="n"/>
      <c r="B36" s="12" t="inlineStr">
        <is>
          <t>604</t>
        </is>
      </c>
      <c r="C36" s="13">
        <f>IFERROR(VLOOKUP($B36,$N$7:$S$26,2,FALSE),"")</f>
        <v/>
      </c>
      <c r="D36" s="14">
        <f>IFERROR(VLOOKUP($B36,$N$7:$S$26,3,FALSE),"")</f>
        <v/>
      </c>
      <c r="E36" s="15">
        <f>IFERROR(VLOOKUP($B36,$N$7:$S$26,5,FALSE),0)</f>
        <v/>
      </c>
      <c r="F36" s="15">
        <f>IFERROR(VLOOKUP($B36,$N$7:$S$26,6,FALSE),0)</f>
        <v/>
      </c>
      <c r="G36" s="16">
        <f>F36-E36</f>
        <v/>
      </c>
      <c r="H36" s="17">
        <f>IF($B36="CA","",-F36/SUM(F35:F47))</f>
        <v/>
      </c>
      <c r="I36" s="4" t="n"/>
      <c r="J36">
        <f>IFERROR(VLOOKUP($B36,$N$7:$S$26,4,FALSE),"")</f>
        <v/>
      </c>
      <c r="K36">
        <f>-E36</f>
        <v/>
      </c>
      <c r="L36">
        <f>-F36</f>
        <v/>
      </c>
    </row>
    <row r="37" ht="15.5" customHeight="1">
      <c r="A37" s="4" t="n"/>
      <c r="B37" s="12" t="inlineStr">
        <is>
          <t>6063</t>
        </is>
      </c>
      <c r="C37" s="13">
        <f>IFERROR(VLOOKUP($B37,$N$7:$S$26,2,FALSE),"")</f>
        <v/>
      </c>
      <c r="D37" s="14">
        <f>IFERROR(VLOOKUP($B37,$N$7:$S$26,3,FALSE),"")</f>
        <v/>
      </c>
      <c r="E37" s="15">
        <f>IFERROR(VLOOKUP($B37,$N$7:$S$26,5,FALSE),0)</f>
        <v/>
      </c>
      <c r="F37" s="15">
        <f>IFERROR(VLOOKUP($B37,$N$7:$S$26,6,FALSE),0)</f>
        <v/>
      </c>
      <c r="G37" s="16">
        <f>F37-E37</f>
        <v/>
      </c>
      <c r="H37" s="17">
        <f>IF($B37="CA","",-F37/SUM(F35:F47))</f>
        <v/>
      </c>
      <c r="I37" s="4" t="n"/>
      <c r="J37">
        <f>IFERROR(VLOOKUP($B37,$N$7:$S$26,4,FALSE),"")</f>
        <v/>
      </c>
      <c r="K37">
        <f>-E37</f>
        <v/>
      </c>
      <c r="L37">
        <f>-F37</f>
        <v/>
      </c>
    </row>
    <row r="38" ht="15.5" customHeight="1">
      <c r="A38" s="4" t="n"/>
      <c r="B38" s="12" t="inlineStr">
        <is>
          <t>6231</t>
        </is>
      </c>
      <c r="C38" s="13">
        <f>IFERROR(VLOOKUP($B38,$N$7:$S$26,2,FALSE),"")</f>
        <v/>
      </c>
      <c r="D38" s="14">
        <f>IFERROR(VLOOKUP($B38,$N$7:$S$26,3,FALSE),"")</f>
        <v/>
      </c>
      <c r="E38" s="15">
        <f>IFERROR(VLOOKUP($B38,$N$7:$S$26,5,FALSE),0)</f>
        <v/>
      </c>
      <c r="F38" s="15">
        <f>IFERROR(VLOOKUP($B38,$N$7:$S$26,6,FALSE),0)</f>
        <v/>
      </c>
      <c r="G38" s="16">
        <f>F38-E38</f>
        <v/>
      </c>
      <c r="H38" s="17">
        <f>IF($B38="CA","",-F38/SUM(F35:F47))</f>
        <v/>
      </c>
      <c r="I38" s="4" t="n"/>
      <c r="J38">
        <f>IFERROR(VLOOKUP($B38,$N$7:$S$26,4,FALSE),"")</f>
        <v/>
      </c>
      <c r="K38">
        <f>-E38</f>
        <v/>
      </c>
      <c r="L38">
        <f>-F38</f>
        <v/>
      </c>
    </row>
    <row r="39" ht="15.5" customHeight="1">
      <c r="A39" s="4" t="n"/>
      <c r="B39" s="12" t="inlineStr">
        <is>
          <t>6411</t>
        </is>
      </c>
      <c r="C39" s="13">
        <f>IFERROR(VLOOKUP($B39,$N$7:$S$26,2,FALSE),"")</f>
        <v/>
      </c>
      <c r="D39" s="14">
        <f>IFERROR(VLOOKUP($B39,$N$7:$S$26,3,FALSE),"")</f>
        <v/>
      </c>
      <c r="E39" s="15">
        <f>IFERROR(VLOOKUP($B39,$N$7:$S$26,5,FALSE),0)</f>
        <v/>
      </c>
      <c r="F39" s="15">
        <f>IFERROR(VLOOKUP($B39,$N$7:$S$26,6,FALSE),0)</f>
        <v/>
      </c>
      <c r="G39" s="16">
        <f>F39-E39</f>
        <v/>
      </c>
      <c r="H39" s="17">
        <f>IF($B39="CA","",-F39/SUM(F35:F47))</f>
        <v/>
      </c>
      <c r="I39" s="4" t="n"/>
      <c r="J39">
        <f>IFERROR(VLOOKUP($B39,$N$7:$S$26,4,FALSE),"")</f>
        <v/>
      </c>
      <c r="K39">
        <f>-E39</f>
        <v/>
      </c>
      <c r="L39">
        <f>-F39</f>
        <v/>
      </c>
    </row>
    <row r="40" ht="15.5" customHeight="1">
      <c r="A40" s="4" t="n"/>
      <c r="B40" s="12" t="inlineStr">
        <is>
          <t>6413</t>
        </is>
      </c>
      <c r="C40" s="13">
        <f>IFERROR(VLOOKUP($B40,$N$7:$S$26,2,FALSE),"")</f>
        <v/>
      </c>
      <c r="D40" s="14">
        <f>IFERROR(VLOOKUP($B40,$N$7:$S$26,3,FALSE),"")</f>
        <v/>
      </c>
      <c r="E40" s="15">
        <f>IFERROR(VLOOKUP($B40,$N$7:$S$26,5,FALSE),0)</f>
        <v/>
      </c>
      <c r="F40" s="15">
        <f>IFERROR(VLOOKUP($B40,$N$7:$S$26,6,FALSE),0)</f>
        <v/>
      </c>
      <c r="G40" s="16">
        <f>F40-E40</f>
        <v/>
      </c>
      <c r="H40" s="17">
        <f>IF($B40="CA","",-F40/SUM(F35:F47))</f>
        <v/>
      </c>
      <c r="I40" s="4" t="n"/>
      <c r="J40">
        <f>IFERROR(VLOOKUP($B40,$N$7:$S$26,4,FALSE),"")</f>
        <v/>
      </c>
      <c r="K40">
        <f>-E40</f>
        <v/>
      </c>
      <c r="L40">
        <f>-F40</f>
        <v/>
      </c>
    </row>
    <row r="41" ht="15.5" customHeight="1">
      <c r="A41" s="4" t="n"/>
      <c r="B41" s="12" t="inlineStr">
        <is>
          <t>645</t>
        </is>
      </c>
      <c r="C41" s="13">
        <f>IFERROR(VLOOKUP($B41,$N$7:$S$26,2,FALSE),"")</f>
        <v/>
      </c>
      <c r="D41" s="14">
        <f>IFERROR(VLOOKUP($B41,$N$7:$S$26,3,FALSE),"")</f>
        <v/>
      </c>
      <c r="E41" s="15">
        <f>IFERROR(VLOOKUP($B41,$N$7:$S$26,5,FALSE),0)</f>
        <v/>
      </c>
      <c r="F41" s="15">
        <f>IFERROR(VLOOKUP($B41,$N$7:$S$26,6,FALSE),0)</f>
        <v/>
      </c>
      <c r="G41" s="16">
        <f>F41-E41</f>
        <v/>
      </c>
      <c r="H41" s="17">
        <f>IF($B41="CA","",-F41/SUM(F35:F47))</f>
        <v/>
      </c>
      <c r="I41" s="4" t="n"/>
      <c r="J41">
        <f>IFERROR(VLOOKUP($B41,$N$7:$S$26,4,FALSE),"")</f>
        <v/>
      </c>
      <c r="K41">
        <f>-E41</f>
        <v/>
      </c>
      <c r="L41">
        <f>-F41</f>
        <v/>
      </c>
    </row>
    <row r="42" ht="15.5" customHeight="1">
      <c r="A42" s="4" t="n"/>
      <c r="B42" s="12" t="inlineStr">
        <is>
          <t>613</t>
        </is>
      </c>
      <c r="C42" s="13">
        <f>IFERROR(VLOOKUP($B42,$N$7:$S$26,2,FALSE),"")</f>
        <v/>
      </c>
      <c r="D42" s="14">
        <f>IFERROR(VLOOKUP($B42,$N$7:$S$26,3,FALSE),"")</f>
        <v/>
      </c>
      <c r="E42" s="15">
        <f>IFERROR(VLOOKUP($B42,$N$7:$S$26,5,FALSE),0)</f>
        <v/>
      </c>
      <c r="F42" s="15">
        <f>IFERROR(VLOOKUP($B42,$N$7:$S$26,6,FALSE),0)</f>
        <v/>
      </c>
      <c r="G42" s="16">
        <f>F42-E42</f>
        <v/>
      </c>
      <c r="H42" s="17">
        <f>IF($B42="CA","",-F42/SUM(F35:F47))</f>
        <v/>
      </c>
      <c r="I42" s="4" t="n"/>
      <c r="J42">
        <f>IFERROR(VLOOKUP($B42,$N$7:$S$26,4,FALSE),"")</f>
        <v/>
      </c>
      <c r="K42">
        <f>-E42</f>
        <v/>
      </c>
      <c r="L42">
        <f>-F42</f>
        <v/>
      </c>
    </row>
    <row r="43" ht="15.5" customHeight="1">
      <c r="A43" s="4" t="n"/>
      <c r="B43" s="12" t="inlineStr">
        <is>
          <t>615</t>
        </is>
      </c>
      <c r="C43" s="13">
        <f>IFERROR(VLOOKUP($B43,$N$7:$S$26,2,FALSE),"")</f>
        <v/>
      </c>
      <c r="D43" s="14">
        <f>IFERROR(VLOOKUP($B43,$N$7:$S$26,3,FALSE),"")</f>
        <v/>
      </c>
      <c r="E43" s="15">
        <f>IFERROR(VLOOKUP($B43,$N$7:$S$26,5,FALSE),0)</f>
        <v/>
      </c>
      <c r="F43" s="15">
        <f>IFERROR(VLOOKUP($B43,$N$7:$S$26,6,FALSE),0)</f>
        <v/>
      </c>
      <c r="G43" s="16">
        <f>F43-E43</f>
        <v/>
      </c>
      <c r="H43" s="17">
        <f>IF($B43="CA","",-F43/SUM(F35:F47))</f>
        <v/>
      </c>
      <c r="I43" s="4" t="n"/>
      <c r="J43">
        <f>IFERROR(VLOOKUP($B43,$N$7:$S$26,4,FALSE),"")</f>
        <v/>
      </c>
      <c r="K43">
        <f>-E43</f>
        <v/>
      </c>
      <c r="L43">
        <f>-F43</f>
        <v/>
      </c>
    </row>
    <row r="44" ht="15.5" customHeight="1">
      <c r="A44" s="4" t="n"/>
      <c r="B44" s="12" t="inlineStr">
        <is>
          <t>616</t>
        </is>
      </c>
      <c r="C44" s="13">
        <f>IFERROR(VLOOKUP($B44,$N$7:$S$26,2,FALSE),"")</f>
        <v/>
      </c>
      <c r="D44" s="14">
        <f>IFERROR(VLOOKUP($B44,$N$7:$S$26,3,FALSE),"")</f>
        <v/>
      </c>
      <c r="E44" s="15">
        <f>IFERROR(VLOOKUP($B44,$N$7:$S$26,5,FALSE),0)</f>
        <v/>
      </c>
      <c r="F44" s="15">
        <f>IFERROR(VLOOKUP($B44,$N$7:$S$26,6,FALSE),0)</f>
        <v/>
      </c>
      <c r="G44" s="16">
        <f>F44-E44</f>
        <v/>
      </c>
      <c r="H44" s="17">
        <f>IF($B44="CA","",-F44/SUM(F35:F47))</f>
        <v/>
      </c>
      <c r="I44" s="4" t="n"/>
      <c r="J44">
        <f>IFERROR(VLOOKUP($B44,$N$7:$S$26,4,FALSE),"")</f>
        <v/>
      </c>
      <c r="K44">
        <f>-E44</f>
        <v/>
      </c>
      <c r="L44">
        <f>-F44</f>
        <v/>
      </c>
    </row>
    <row r="45" ht="15.5" customHeight="1">
      <c r="A45" s="4" t="n"/>
      <c r="B45" s="12" t="inlineStr">
        <is>
          <t>625</t>
        </is>
      </c>
      <c r="C45" s="13">
        <f>IFERROR(VLOOKUP($B45,$N$7:$S$26,2,FALSE),"")</f>
        <v/>
      </c>
      <c r="D45" s="14">
        <f>IFERROR(VLOOKUP($B45,$N$7:$S$26,3,FALSE),"")</f>
        <v/>
      </c>
      <c r="E45" s="15">
        <f>IFERROR(VLOOKUP($B45,$N$7:$S$26,5,FALSE),0)</f>
        <v/>
      </c>
      <c r="F45" s="15">
        <f>IFERROR(VLOOKUP($B45,$N$7:$S$26,6,FALSE),0)</f>
        <v/>
      </c>
      <c r="G45" s="16">
        <f>F45-E45</f>
        <v/>
      </c>
      <c r="H45" s="17">
        <f>IF($B45="CA","",-F45/SUM(F35:F47))</f>
        <v/>
      </c>
      <c r="I45" s="4" t="n"/>
      <c r="J45">
        <f>IFERROR(VLOOKUP($B45,$N$7:$S$26,4,FALSE),"")</f>
        <v/>
      </c>
      <c r="K45">
        <f>-E45</f>
        <v/>
      </c>
      <c r="L45">
        <f>-F45</f>
        <v/>
      </c>
    </row>
    <row r="46" ht="15.5" customHeight="1">
      <c r="A46" s="4" t="n"/>
      <c r="B46" s="12" t="inlineStr">
        <is>
          <t>63511</t>
        </is>
      </c>
      <c r="C46" s="13">
        <f>IFERROR(VLOOKUP($B46,$N$7:$S$26,2,FALSE),"")</f>
        <v/>
      </c>
      <c r="D46" s="14">
        <f>IFERROR(VLOOKUP($B46,$N$7:$S$26,3,FALSE),"")</f>
        <v/>
      </c>
      <c r="E46" s="15">
        <f>IFERROR(VLOOKUP($B46,$N$7:$S$26,5,FALSE),0)</f>
        <v/>
      </c>
      <c r="F46" s="15">
        <f>IFERROR(VLOOKUP($B46,$N$7:$S$26,6,FALSE),0)</f>
        <v/>
      </c>
      <c r="G46" s="16">
        <f>F46-E46</f>
        <v/>
      </c>
      <c r="H46" s="17">
        <f>IF($B46="CA","",-F46/SUM(F35:F47))</f>
        <v/>
      </c>
      <c r="I46" s="4" t="n"/>
      <c r="J46">
        <f>IFERROR(VLOOKUP($B46,$N$7:$S$26,4,FALSE),"")</f>
        <v/>
      </c>
      <c r="K46">
        <f>-E46</f>
        <v/>
      </c>
      <c r="L46">
        <f>-F46</f>
        <v/>
      </c>
    </row>
    <row r="47" ht="15.5" customHeight="1">
      <c r="A47" s="4" t="n"/>
      <c r="B47" s="12" t="inlineStr">
        <is>
          <t>SIEGE</t>
        </is>
      </c>
      <c r="C47" s="13">
        <f>IFERROR(VLOOKUP($B47,$N$7:$S$26,2,FALSE),"")</f>
        <v/>
      </c>
      <c r="D47" s="14">
        <f>IFERROR(VLOOKUP($B47,$N$7:$S$26,3,FALSE),"")</f>
        <v/>
      </c>
      <c r="E47" s="15">
        <f>IFERROR(VLOOKUP($B47,$N$7:$S$26,5,FALSE),0)</f>
        <v/>
      </c>
      <c r="F47" s="15">
        <f>IFERROR(VLOOKUP($B47,$N$7:$S$26,6,FALSE),0)</f>
        <v/>
      </c>
      <c r="G47" s="16">
        <f>F47-E47</f>
        <v/>
      </c>
      <c r="H47" s="17">
        <f>IF($B47="CA","",-F47/SUM(F35:F47))</f>
        <v/>
      </c>
      <c r="I47" s="4" t="n"/>
      <c r="J47">
        <f>IFERROR(VLOOKUP($B47,$N$7:$S$26,4,FALSE),"")</f>
        <v/>
      </c>
      <c r="K47">
        <f>-E47</f>
        <v/>
      </c>
      <c r="L47">
        <f>-F47</f>
        <v/>
      </c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</row>
    <row r="49">
      <c r="A49" s="4" t="n"/>
      <c r="B49" s="18" t="inlineStr">
        <is>
          <t>Contrôle</t>
        </is>
      </c>
      <c r="C49" s="19" t="n"/>
      <c r="D49" s="18" t="inlineStr">
        <is>
          <t>la somme des quatorze lignes doit valoir l'EBITDA</t>
        </is>
      </c>
      <c r="E49" s="20">
        <f>SUM(E34:E47)</f>
        <v/>
      </c>
      <c r="F49" s="20">
        <f>SUM(F34:F47)</f>
        <v/>
      </c>
      <c r="G49" s="19" t="n"/>
      <c r="H49" s="19" t="n"/>
      <c r="I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</row>
    <row r="51" ht="20" customHeight="1">
      <c r="A51" s="4" t="n"/>
      <c r="B51" s="8" t="inlineStr">
        <is>
          <t>RAPPROCHEMENT DU CHIFFRE D'AFFAIRES  ·  gestion contre socle CRM</t>
        </is>
      </c>
      <c r="C51" s="4" t="n"/>
      <c r="D51" s="4" t="n"/>
      <c r="E51" s="4" t="n"/>
      <c r="F51" s="4" t="n"/>
      <c r="G51" s="4" t="n"/>
      <c r="H51" s="4" t="n"/>
      <c r="I51" s="4" t="n"/>
    </row>
    <row r="52">
      <c r="A52" s="4" t="n"/>
      <c r="B52" s="21" t="inlineStr">
        <is>
          <t>Chiffre d'affaires en gestion  ·  706 initiaux + 7062 alternants + 708 inscription</t>
        </is>
      </c>
      <c r="C52" s="22" t="n"/>
      <c r="D52" s="22" t="n"/>
      <c r="E52" s="23">
        <f>$O$29</f>
        <v/>
      </c>
      <c r="F52" s="23">
        <f>$P$29</f>
        <v/>
      </c>
      <c r="G52" s="22" t="n"/>
      <c r="H52" s="22" t="n"/>
      <c r="I52" s="4" t="n"/>
    </row>
    <row r="53">
      <c r="A53" s="4" t="n"/>
      <c r="B53" s="21" t="inlineStr">
        <is>
          <t>Chiffre d'affaires du socle CRM  ·  effectifs × droits de scolarité</t>
        </is>
      </c>
      <c r="C53" s="22" t="n"/>
      <c r="D53" s="22" t="n"/>
      <c r="E53" s="23">
        <f>E34</f>
        <v/>
      </c>
      <c r="F53" s="23">
        <f>F34</f>
        <v/>
      </c>
      <c r="G53" s="22" t="n"/>
      <c r="H53" s="22" t="n"/>
      <c r="I53" s="4" t="n"/>
    </row>
    <row r="54">
      <c r="A54" s="4" t="n"/>
      <c r="B54" s="24" t="inlineStr">
        <is>
          <t>Écart</t>
        </is>
      </c>
      <c r="C54" s="25" t="n"/>
      <c r="D54" s="25" t="n"/>
      <c r="E54" s="26">
        <f>E52-E53</f>
        <v/>
      </c>
      <c r="F54" s="26">
        <f>F52-F53</f>
        <v/>
      </c>
      <c r="G54" s="27">
        <f>E54/E53</f>
        <v/>
      </c>
      <c r="H54" s="27">
        <f>F54/F53</f>
        <v/>
      </c>
      <c r="I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</row>
    <row r="56">
      <c r="A56" s="4" t="n"/>
      <c r="B56" s="28" t="inlineStr">
        <is>
          <t>Ce rapprochement est un CONTRÔLE, pas une source. V_ALLOCATION ne lit jamais les comptes de produit : le chiffre d'affaires du modèle vient du socle CRM, quoi que disent le 706, le 7062 et le 708.</t>
        </is>
      </c>
      <c r="C56" s="4" t="n"/>
      <c r="D56" s="4" t="n"/>
      <c r="E56" s="4" t="n"/>
      <c r="F56" s="4" t="n"/>
      <c r="G56" s="4" t="n"/>
      <c r="H56" s="4" t="n"/>
      <c r="I56" s="4" t="n"/>
    </row>
    <row r="57">
      <c r="A57" s="4" t="n"/>
      <c r="B57" s="28" t="inlineStr">
        <is>
          <t>Le modèle prend le CRM pour deux raisons qui ne tiennent pas à l'exactitude. Le GRAIN — 180 lignes campus × programme × année × modalité contre 105 au grain campus × compte, sans quoi aucune marge par programme n'est calculable.</t>
        </is>
      </c>
      <c r="C57" s="4" t="n"/>
      <c r="D57" s="4" t="n"/>
      <c r="E57" s="4" t="n"/>
      <c r="F57" s="4" t="n"/>
      <c r="G57" s="4" t="n"/>
      <c r="H57" s="4" t="n"/>
      <c r="I57" s="4" t="n"/>
    </row>
    <row r="58">
      <c r="A58" s="4" t="n"/>
      <c r="B58" s="28" t="inlineStr">
        <is>
          <t>Et le PILOTAGE — le CRM donne le CA comme un produit d'inducteurs, effectifs × droits de scolarité, donc il se simule. Un montant déjà posé est un constat.</t>
        </is>
      </c>
      <c r="C58" s="4" t="n"/>
      <c r="D58" s="4" t="n"/>
      <c r="E58" s="4" t="n"/>
      <c r="F58" s="4" t="n"/>
      <c r="G58" s="4" t="n"/>
      <c r="H58" s="4" t="n"/>
      <c r="I58" s="4" t="n"/>
    </row>
    <row r="59">
      <c r="A59" s="4" t="n"/>
      <c r="B59" s="28" t="inlineStr">
        <is>
          <t>2026 tombe au centime parce que l'exercice est construit depuis le socle. 2024 et 2025 portaient un estimé établi séparément, à ± 0,08 % près ; FIX_CA_COMPTA_2024_2025.sql les réaligne sur le CRM en un UPDATE de 70 lignes.</t>
        </is>
      </c>
      <c r="C59" s="4" t="n"/>
      <c r="D59" s="4" t="n"/>
      <c r="E59" s="4" t="n"/>
      <c r="F59" s="4" t="n"/>
      <c r="G59" s="4" t="n"/>
      <c r="H59" s="4" t="n"/>
      <c r="I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</row>
  </sheetData>
  <conditionalFormatting sqref="B34:H47">
    <cfRule type="expression" priority="1" dxfId="0">
      <formula>$B34="CA"</formula>
    </cfRule>
    <cfRule type="expression" priority="2" dxfId="1">
      <formula>$B34="SIEGE"</formula>
    </cfRule>
    <cfRule type="expression" priority="3" dxfId="2">
      <formula>$B34&lt;&gt;""</formula>
    </cfRule>
  </conditionalFormatting>
  <conditionalFormatting sqref="G34:G47">
    <cfRule type="cellIs" priority="4" operator="greaterThan" dxfId="3">
      <formula>0</formula>
    </cfRule>
    <cfRule type="cellIs" priority="5" operator="lessThan" dxfId="4">
      <formula>0</formula>
    </cfRule>
  </conditionalFormatting>
  <conditionalFormatting sqref="H34:H47">
    <cfRule type="dataBar" priority="6">
      <dataBar showValue="1">
        <cfvo type="num" val="0"/>
        <cfvo type="max"/>
        <color rgb="FFB8CFEC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2026-09-06T23:46:06Z</dcterms:created>
  <dcterms:modified xsi:type="dcterms:W3CDTF">2026-09-06T23:46:06Z</dcterms:modified>
</cp:coreProperties>
</file>