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LE_2027BUD_V1" sheetId="1" state="visible" r:id="rId1"/>
  </sheets>
  <definedNames>
    <definedName name="_xlnm._FilterDatabase" localSheetId="0" hidden="1">'SOCLE_2027BUD_V1'!$A$2:$AA$176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7F3F00"/>
    </font>
    <font>
      <i val="1"/>
      <color rgb="00833C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2E5496"/>
      </patternFill>
    </fill>
    <fill>
      <patternFill patternType="solid">
        <fgColor rgb="00F4B18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3" fontId="3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9" customWidth="1" min="4" max="4"/>
    <col width="9" customWidth="1" min="5" max="5"/>
    <col width="13" customWidth="1" min="6" max="6"/>
    <col width="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4" customWidth="1" min="23" max="23"/>
    <col width="15" customWidth="1" min="24" max="24"/>
    <col width="16" customWidth="1" min="25" max="25"/>
    <col width="11" customWidth="1" min="26" max="26"/>
    <col width="12" customWidth="1" min="27" max="27"/>
  </cols>
  <sheetData>
    <row r="1" ht="20" customHeight="1">
      <c r="A1" s="1" t="inlineStr">
        <is>
          <t>◀ À CHARGER DANS TAGETIK (dimensions + mesures)</t>
        </is>
      </c>
      <c r="V1" s="2" t="inlineStr">
        <is>
          <t>CALCULÉ — NE PAS CHARGER (rappel : vue Tagetik) ▶</t>
        </is>
      </c>
    </row>
    <row r="2">
      <c r="A2" s="3" t="inlineStr">
        <is>
          <t>ENTITY</t>
        </is>
      </c>
      <c r="B2" s="3" t="inlineStr">
        <is>
          <t>PROGRAMME</t>
        </is>
      </c>
      <c r="C2" s="3" t="inlineStr">
        <is>
          <t>ANNEE</t>
        </is>
      </c>
      <c r="D2" s="3" t="inlineStr">
        <is>
          <t>MODALITE</t>
        </is>
      </c>
      <c r="E2" s="3" t="inlineStr">
        <is>
          <t>EXERCICE</t>
        </is>
      </c>
      <c r="F2" s="3" t="inlineStr">
        <is>
          <t>SCENARIO</t>
        </is>
      </c>
      <c r="G2" s="3" t="inlineStr">
        <is>
          <t>PERIODE</t>
        </is>
      </c>
      <c r="H2" s="4" t="inlineStr">
        <is>
          <t>LEADS</t>
        </is>
      </c>
      <c r="I2" s="4" t="inlineStr">
        <is>
          <t>CAND</t>
        </is>
      </c>
      <c r="J2" s="4" t="inlineStr">
        <is>
          <t>ADMIS</t>
        </is>
      </c>
      <c r="K2" s="4" t="inlineStr">
        <is>
          <t>NOUVEAUX</t>
        </is>
      </c>
      <c r="L2" s="4" t="inlineStr">
        <is>
          <t>REINSCRITS</t>
        </is>
      </c>
      <c r="M2" s="4" t="inlineStr">
        <is>
          <t>EFFECTIF</t>
        </is>
      </c>
      <c r="N2" s="4" t="inlineStr">
        <is>
          <t>EFFECTIF_INF</t>
        </is>
      </c>
      <c r="O2" s="4" t="inlineStr">
        <is>
          <t>CLASSES</t>
        </is>
      </c>
      <c r="P2" s="4" t="inlineStr">
        <is>
          <t>REVENU_ETU</t>
        </is>
      </c>
      <c r="Q2" s="4" t="inlineStr">
        <is>
          <t>FRAIS_INSC</t>
        </is>
      </c>
      <c r="R2" s="4" t="inlineStr">
        <is>
          <t>LEADS_ORG</t>
        </is>
      </c>
      <c r="S2" s="4" t="inlineStr">
        <is>
          <t>LEADS_PAY</t>
        </is>
      </c>
      <c r="T2" s="4" t="inlineStr">
        <is>
          <t>DEPENSE_ACQ</t>
        </is>
      </c>
      <c r="U2" s="4" t="inlineStr">
        <is>
          <t>DEPENSE_MARQUE</t>
        </is>
      </c>
      <c r="V2" s="5" t="inlineStr">
        <is>
          <t>TAUX_PASSAGE</t>
        </is>
      </c>
      <c r="W2" s="5" t="inlineStr">
        <is>
          <t>TAUX_LEAD_CAND</t>
        </is>
      </c>
      <c r="X2" s="5" t="inlineStr">
        <is>
          <t>TAUX_CAND_ADMIS</t>
        </is>
      </c>
      <c r="Y2" s="5" t="inlineStr">
        <is>
          <t>YIELD_ADMIS_INSC</t>
        </is>
      </c>
      <c r="Z2" s="5" t="inlineStr">
        <is>
          <t>LEADS_TOTAL</t>
        </is>
      </c>
      <c r="AA2" s="5" t="inlineStr">
        <is>
          <t>CA</t>
        </is>
      </c>
    </row>
    <row r="3">
      <c r="A3" s="6" t="inlineStr">
        <is>
          <t>MBWAY_PAR</t>
        </is>
      </c>
      <c r="B3" s="6" t="inlineStr">
        <is>
          <t>BAC_MGT</t>
        </is>
      </c>
      <c r="C3" s="6" t="inlineStr">
        <is>
          <t>B1</t>
        </is>
      </c>
      <c r="D3" s="6" t="inlineStr">
        <is>
          <t>INIT</t>
        </is>
      </c>
      <c r="E3" s="6" t="inlineStr">
        <is>
          <t>2026</t>
        </is>
      </c>
      <c r="F3" s="6" t="inlineStr">
        <is>
          <t>2027BUD_V1</t>
        </is>
      </c>
      <c r="G3" s="6" t="n">
        <v>12</v>
      </c>
      <c r="H3" s="7" t="n">
        <v>646</v>
      </c>
      <c r="I3" s="7" t="n">
        <v>181</v>
      </c>
      <c r="J3" s="7" t="n">
        <v>130</v>
      </c>
      <c r="K3" s="7" t="n">
        <v>78</v>
      </c>
      <c r="L3" s="7" t="n">
        <v>0</v>
      </c>
      <c r="M3" s="7" t="n">
        <v>78</v>
      </c>
      <c r="N3" s="7" t="n">
        <v>0</v>
      </c>
      <c r="O3" s="7" t="n">
        <v>3</v>
      </c>
      <c r="P3" s="7" t="n">
        <v>8400</v>
      </c>
      <c r="Q3" s="7" t="n">
        <v>90</v>
      </c>
      <c r="R3" s="7" t="n">
        <v>232</v>
      </c>
      <c r="S3" s="7" t="n">
        <v>414</v>
      </c>
      <c r="T3" s="7" t="n">
        <v>22326</v>
      </c>
      <c r="U3" s="7" t="n">
        <v>21185</v>
      </c>
      <c r="V3" s="8">
        <f>IFERROR(M3/N3,0)</f>
        <v/>
      </c>
      <c r="W3" s="8">
        <f>IFERROR(I3/H3,0)</f>
        <v/>
      </c>
      <c r="X3" s="8">
        <f>IFERROR(J3/I3,0)</f>
        <v/>
      </c>
      <c r="Y3" s="8">
        <f>IFERROR(K3/J3,0)</f>
        <v/>
      </c>
      <c r="Z3" s="9">
        <f>R3+S3</f>
        <v/>
      </c>
      <c r="AA3" s="9">
        <f>M3*P3+K3*Q3</f>
        <v/>
      </c>
    </row>
    <row r="4">
      <c r="A4" s="6" t="inlineStr">
        <is>
          <t>MBWAY_PAR</t>
        </is>
      </c>
      <c r="B4" s="6" t="inlineStr">
        <is>
          <t>BAC_MGT</t>
        </is>
      </c>
      <c r="C4" s="6" t="inlineStr">
        <is>
          <t>B2</t>
        </is>
      </c>
      <c r="D4" s="6" t="inlineStr">
        <is>
          <t>ALT</t>
        </is>
      </c>
      <c r="E4" s="6" t="inlineStr">
        <is>
          <t>2026</t>
        </is>
      </c>
      <c r="F4" s="6" t="inlineStr">
        <is>
          <t>2027BUD_V1</t>
        </is>
      </c>
      <c r="G4" s="6" t="n">
        <v>12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76</v>
      </c>
      <c r="M4" s="7" t="n">
        <v>76</v>
      </c>
      <c r="N4" s="7" t="n">
        <v>78</v>
      </c>
      <c r="O4" s="7" t="n">
        <v>3</v>
      </c>
      <c r="P4" s="7" t="n">
        <v>7840</v>
      </c>
      <c r="Q4" s="7" t="n">
        <v>90</v>
      </c>
      <c r="R4" s="7" t="n">
        <v>0</v>
      </c>
      <c r="S4" s="7" t="n">
        <v>0</v>
      </c>
      <c r="T4" s="7" t="n">
        <v>0</v>
      </c>
      <c r="U4" s="7" t="n">
        <v>0</v>
      </c>
      <c r="V4" s="8">
        <f>IFERROR(M4/N4,0)</f>
        <v/>
      </c>
      <c r="W4" s="8">
        <f>IFERROR(I4/H4,0)</f>
        <v/>
      </c>
      <c r="X4" s="8">
        <f>IFERROR(J4/I4,0)</f>
        <v/>
      </c>
      <c r="Y4" s="8">
        <f>IFERROR(K4/J4,0)</f>
        <v/>
      </c>
      <c r="Z4" s="9">
        <f>R4+S4</f>
        <v/>
      </c>
      <c r="AA4" s="9">
        <f>M4*P4+K4*Q4</f>
        <v/>
      </c>
    </row>
    <row r="5">
      <c r="A5" s="6" t="inlineStr">
        <is>
          <t>MBWAY_PAR</t>
        </is>
      </c>
      <c r="B5" s="6" t="inlineStr">
        <is>
          <t>BAC_MGT</t>
        </is>
      </c>
      <c r="C5" s="6" t="inlineStr">
        <is>
          <t>B3</t>
        </is>
      </c>
      <c r="D5" s="6" t="inlineStr">
        <is>
          <t>ALT</t>
        </is>
      </c>
      <c r="E5" s="6" t="inlineStr">
        <is>
          <t>2026</t>
        </is>
      </c>
      <c r="F5" s="6" t="inlineStr">
        <is>
          <t>2027BUD_V1</t>
        </is>
      </c>
      <c r="G5" s="6" t="n">
        <v>12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74</v>
      </c>
      <c r="M5" s="7" t="n">
        <v>74</v>
      </c>
      <c r="N5" s="7" t="n">
        <v>76</v>
      </c>
      <c r="O5" s="7" t="n">
        <v>3</v>
      </c>
      <c r="P5" s="7" t="n">
        <v>7840</v>
      </c>
      <c r="Q5" s="7" t="n">
        <v>90</v>
      </c>
      <c r="R5" s="7" t="n">
        <v>0</v>
      </c>
      <c r="S5" s="7" t="n">
        <v>0</v>
      </c>
      <c r="T5" s="7" t="n">
        <v>0</v>
      </c>
      <c r="U5" s="7" t="n">
        <v>0</v>
      </c>
      <c r="V5" s="8">
        <f>IFERROR(M5/N5,0)</f>
        <v/>
      </c>
      <c r="W5" s="8">
        <f>IFERROR(I5/H5,0)</f>
        <v/>
      </c>
      <c r="X5" s="8">
        <f>IFERROR(J5/I5,0)</f>
        <v/>
      </c>
      <c r="Y5" s="8">
        <f>IFERROR(K5/J5,0)</f>
        <v/>
      </c>
      <c r="Z5" s="9">
        <f>R5+S5</f>
        <v/>
      </c>
      <c r="AA5" s="9">
        <f>M5*P5+K5*Q5</f>
        <v/>
      </c>
    </row>
    <row r="6">
      <c r="A6" s="6" t="inlineStr">
        <is>
          <t>MBWAY_PAR</t>
        </is>
      </c>
      <c r="B6" s="6" t="inlineStr">
        <is>
          <t>MAS_MGT</t>
        </is>
      </c>
      <c r="C6" s="6" t="inlineStr">
        <is>
          <t>M1</t>
        </is>
      </c>
      <c r="D6" s="6" t="inlineStr">
        <is>
          <t>ALT</t>
        </is>
      </c>
      <c r="E6" s="6" t="inlineStr">
        <is>
          <t>2026</t>
        </is>
      </c>
      <c r="F6" s="6" t="inlineStr">
        <is>
          <t>2027BUD_V1</t>
        </is>
      </c>
      <c r="G6" s="6" t="n">
        <v>12</v>
      </c>
      <c r="H6" s="7" t="n">
        <v>1330</v>
      </c>
      <c r="I6" s="7" t="n">
        <v>266</v>
      </c>
      <c r="J6" s="7" t="n">
        <v>186</v>
      </c>
      <c r="K6" s="7" t="n">
        <v>78</v>
      </c>
      <c r="L6" s="7" t="n">
        <v>0</v>
      </c>
      <c r="M6" s="7" t="n">
        <v>78</v>
      </c>
      <c r="N6" s="7" t="n">
        <v>0</v>
      </c>
      <c r="O6" s="7" t="n">
        <v>3</v>
      </c>
      <c r="P6" s="7" t="n">
        <v>8400</v>
      </c>
      <c r="Q6" s="7" t="n">
        <v>90</v>
      </c>
      <c r="R6" s="7" t="n">
        <v>479</v>
      </c>
      <c r="S6" s="7" t="n">
        <v>851</v>
      </c>
      <c r="T6" s="7" t="n">
        <v>45965</v>
      </c>
      <c r="U6" s="7" t="n">
        <v>43615</v>
      </c>
      <c r="V6" s="8">
        <f>IFERROR(M6/N6,0)</f>
        <v/>
      </c>
      <c r="W6" s="8">
        <f>IFERROR(I6/H6,0)</f>
        <v/>
      </c>
      <c r="X6" s="8">
        <f>IFERROR(J6/I6,0)</f>
        <v/>
      </c>
      <c r="Y6" s="8">
        <f>IFERROR(K6/J6,0)</f>
        <v/>
      </c>
      <c r="Z6" s="9">
        <f>R6+S6</f>
        <v/>
      </c>
      <c r="AA6" s="9">
        <f>M6*P6+K6*Q6</f>
        <v/>
      </c>
    </row>
    <row r="7">
      <c r="A7" s="6" t="inlineStr">
        <is>
          <t>MBWAY_PAR</t>
        </is>
      </c>
      <c r="B7" s="6" t="inlineStr">
        <is>
          <t>MAS_MGT</t>
        </is>
      </c>
      <c r="C7" s="6" t="inlineStr">
        <is>
          <t>M2</t>
        </is>
      </c>
      <c r="D7" s="6" t="inlineStr">
        <is>
          <t>ALT</t>
        </is>
      </c>
      <c r="E7" s="6" t="inlineStr">
        <is>
          <t>2026</t>
        </is>
      </c>
      <c r="F7" s="6" t="inlineStr">
        <is>
          <t>2027BUD_V1</t>
        </is>
      </c>
      <c r="G7" s="6" t="n">
        <v>12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76</v>
      </c>
      <c r="M7" s="7" t="n">
        <v>76</v>
      </c>
      <c r="N7" s="7" t="n">
        <v>78</v>
      </c>
      <c r="O7" s="7" t="n">
        <v>3</v>
      </c>
      <c r="P7" s="7" t="n">
        <v>8400</v>
      </c>
      <c r="Q7" s="7" t="n">
        <v>90</v>
      </c>
      <c r="R7" s="7" t="n">
        <v>0</v>
      </c>
      <c r="S7" s="7" t="n">
        <v>0</v>
      </c>
      <c r="T7" s="7" t="n">
        <v>0</v>
      </c>
      <c r="U7" s="7" t="n">
        <v>0</v>
      </c>
      <c r="V7" s="8">
        <f>IFERROR(M7/N7,0)</f>
        <v/>
      </c>
      <c r="W7" s="8">
        <f>IFERROR(I7/H7,0)</f>
        <v/>
      </c>
      <c r="X7" s="8">
        <f>IFERROR(J7/I7,0)</f>
        <v/>
      </c>
      <c r="Y7" s="8">
        <f>IFERROR(K7/J7,0)</f>
        <v/>
      </c>
      <c r="Z7" s="9">
        <f>R7+S7</f>
        <v/>
      </c>
      <c r="AA7" s="9">
        <f>M7*P7+K7*Q7</f>
        <v/>
      </c>
    </row>
    <row r="8">
      <c r="A8" s="6" t="inlineStr">
        <is>
          <t>MBWAY_LYO</t>
        </is>
      </c>
      <c r="B8" s="6" t="inlineStr">
        <is>
          <t>BAC_MGT</t>
        </is>
      </c>
      <c r="C8" s="6" t="inlineStr">
        <is>
          <t>B1</t>
        </is>
      </c>
      <c r="D8" s="6" t="inlineStr">
        <is>
          <t>INIT</t>
        </is>
      </c>
      <c r="E8" s="6" t="inlineStr">
        <is>
          <t>2026</t>
        </is>
      </c>
      <c r="F8" s="6" t="inlineStr">
        <is>
          <t>2027BUD_V1</t>
        </is>
      </c>
      <c r="G8" s="6" t="n">
        <v>12</v>
      </c>
      <c r="H8" s="7" t="n">
        <v>546</v>
      </c>
      <c r="I8" s="7" t="n">
        <v>153</v>
      </c>
      <c r="J8" s="7" t="n">
        <v>110</v>
      </c>
      <c r="K8" s="7" t="n">
        <v>66</v>
      </c>
      <c r="L8" s="7" t="n">
        <v>0</v>
      </c>
      <c r="M8" s="7" t="n">
        <v>66</v>
      </c>
      <c r="N8" s="7" t="n">
        <v>0</v>
      </c>
      <c r="O8" s="7" t="n">
        <v>3</v>
      </c>
      <c r="P8" s="7" t="n">
        <v>7875</v>
      </c>
      <c r="Q8" s="7" t="n">
        <v>90</v>
      </c>
      <c r="R8" s="7" t="n">
        <v>235</v>
      </c>
      <c r="S8" s="7" t="n">
        <v>311</v>
      </c>
      <c r="T8" s="7" t="n">
        <v>13694</v>
      </c>
      <c r="U8" s="7" t="n">
        <v>21386</v>
      </c>
      <c r="V8" s="8">
        <f>IFERROR(M8/N8,0)</f>
        <v/>
      </c>
      <c r="W8" s="8">
        <f>IFERROR(I8/H8,0)</f>
        <v/>
      </c>
      <c r="X8" s="8">
        <f>IFERROR(J8/I8,0)</f>
        <v/>
      </c>
      <c r="Y8" s="8">
        <f>IFERROR(K8/J8,0)</f>
        <v/>
      </c>
      <c r="Z8" s="9">
        <f>R8+S8</f>
        <v/>
      </c>
      <c r="AA8" s="9">
        <f>M8*P8+K8*Q8</f>
        <v/>
      </c>
    </row>
    <row r="9">
      <c r="A9" s="6" t="inlineStr">
        <is>
          <t>MBWAY_LYO</t>
        </is>
      </c>
      <c r="B9" s="6" t="inlineStr">
        <is>
          <t>BAC_MGT</t>
        </is>
      </c>
      <c r="C9" s="6" t="inlineStr">
        <is>
          <t>B2</t>
        </is>
      </c>
      <c r="D9" s="6" t="inlineStr">
        <is>
          <t>ALT</t>
        </is>
      </c>
      <c r="E9" s="6" t="inlineStr">
        <is>
          <t>2026</t>
        </is>
      </c>
      <c r="F9" s="6" t="inlineStr">
        <is>
          <t>2027BUD_V1</t>
        </is>
      </c>
      <c r="G9" s="6" t="n">
        <v>12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64</v>
      </c>
      <c r="M9" s="7" t="n">
        <v>64</v>
      </c>
      <c r="N9" s="7" t="n">
        <v>66</v>
      </c>
      <c r="O9" s="7" t="n">
        <v>2</v>
      </c>
      <c r="P9" s="7" t="n">
        <v>7350</v>
      </c>
      <c r="Q9" s="7" t="n">
        <v>90</v>
      </c>
      <c r="R9" s="7" t="n">
        <v>0</v>
      </c>
      <c r="S9" s="7" t="n">
        <v>0</v>
      </c>
      <c r="T9" s="7" t="n">
        <v>0</v>
      </c>
      <c r="U9" s="7" t="n">
        <v>0</v>
      </c>
      <c r="V9" s="8">
        <f>IFERROR(M9/N9,0)</f>
        <v/>
      </c>
      <c r="W9" s="8">
        <f>IFERROR(I9/H9,0)</f>
        <v/>
      </c>
      <c r="X9" s="8">
        <f>IFERROR(J9/I9,0)</f>
        <v/>
      </c>
      <c r="Y9" s="8">
        <f>IFERROR(K9/J9,0)</f>
        <v/>
      </c>
      <c r="Z9" s="9">
        <f>R9+S9</f>
        <v/>
      </c>
      <c r="AA9" s="9">
        <f>M9*P9+K9*Q9</f>
        <v/>
      </c>
    </row>
    <row r="10">
      <c r="A10" s="6" t="inlineStr">
        <is>
          <t>MBWAY_LYO</t>
        </is>
      </c>
      <c r="B10" s="6" t="inlineStr">
        <is>
          <t>BAC_MGT</t>
        </is>
      </c>
      <c r="C10" s="6" t="inlineStr">
        <is>
          <t>B3</t>
        </is>
      </c>
      <c r="D10" s="6" t="inlineStr">
        <is>
          <t>ALT</t>
        </is>
      </c>
      <c r="E10" s="6" t="inlineStr">
        <is>
          <t>2026</t>
        </is>
      </c>
      <c r="F10" s="6" t="inlineStr">
        <is>
          <t>2027BUD_V1</t>
        </is>
      </c>
      <c r="G10" s="6" t="n">
        <v>12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63</v>
      </c>
      <c r="M10" s="7" t="n">
        <v>63</v>
      </c>
      <c r="N10" s="7" t="n">
        <v>64</v>
      </c>
      <c r="O10" s="7" t="n">
        <v>2</v>
      </c>
      <c r="P10" s="7" t="n">
        <v>7350</v>
      </c>
      <c r="Q10" s="7" t="n">
        <v>90</v>
      </c>
      <c r="R10" s="7" t="n">
        <v>0</v>
      </c>
      <c r="S10" s="7" t="n">
        <v>0</v>
      </c>
      <c r="T10" s="7" t="n">
        <v>0</v>
      </c>
      <c r="U10" s="7" t="n">
        <v>0</v>
      </c>
      <c r="V10" s="8">
        <f>IFERROR(M10/N10,0)</f>
        <v/>
      </c>
      <c r="W10" s="8">
        <f>IFERROR(I10/H10,0)</f>
        <v/>
      </c>
      <c r="X10" s="8">
        <f>IFERROR(J10/I10,0)</f>
        <v/>
      </c>
      <c r="Y10" s="8">
        <f>IFERROR(K10/J10,0)</f>
        <v/>
      </c>
      <c r="Z10" s="9">
        <f>R10+S10</f>
        <v/>
      </c>
      <c r="AA10" s="9">
        <f>M10*P10+K10*Q10</f>
        <v/>
      </c>
    </row>
    <row r="11">
      <c r="A11" s="6" t="inlineStr">
        <is>
          <t>MBWAY_LYO</t>
        </is>
      </c>
      <c r="B11" s="6" t="inlineStr">
        <is>
          <t>MAS_MGT</t>
        </is>
      </c>
      <c r="C11" s="6" t="inlineStr">
        <is>
          <t>M1</t>
        </is>
      </c>
      <c r="D11" s="6" t="inlineStr">
        <is>
          <t>ALT</t>
        </is>
      </c>
      <c r="E11" s="6" t="inlineStr">
        <is>
          <t>2026</t>
        </is>
      </c>
      <c r="F11" s="6" t="inlineStr">
        <is>
          <t>2027BUD_V1</t>
        </is>
      </c>
      <c r="G11" s="6" t="n">
        <v>12</v>
      </c>
      <c r="H11" s="7" t="n">
        <v>1120</v>
      </c>
      <c r="I11" s="7" t="n">
        <v>224</v>
      </c>
      <c r="J11" s="7" t="n">
        <v>157</v>
      </c>
      <c r="K11" s="7" t="n">
        <v>66</v>
      </c>
      <c r="L11" s="7" t="n">
        <v>0</v>
      </c>
      <c r="M11" s="7" t="n">
        <v>66</v>
      </c>
      <c r="N11" s="7" t="n">
        <v>0</v>
      </c>
      <c r="O11" s="7" t="n">
        <v>3</v>
      </c>
      <c r="P11" s="7" t="n">
        <v>7875</v>
      </c>
      <c r="Q11" s="7" t="n">
        <v>90</v>
      </c>
      <c r="R11" s="7" t="n">
        <v>481</v>
      </c>
      <c r="S11" s="7" t="n">
        <v>639</v>
      </c>
      <c r="T11" s="7" t="n">
        <v>28089</v>
      </c>
      <c r="U11" s="7" t="n">
        <v>43869</v>
      </c>
      <c r="V11" s="8">
        <f>IFERROR(M11/N11,0)</f>
        <v/>
      </c>
      <c r="W11" s="8">
        <f>IFERROR(I11/H11,0)</f>
        <v/>
      </c>
      <c r="X11" s="8">
        <f>IFERROR(J11/I11,0)</f>
        <v/>
      </c>
      <c r="Y11" s="8">
        <f>IFERROR(K11/J11,0)</f>
        <v/>
      </c>
      <c r="Z11" s="9">
        <f>R11+S11</f>
        <v/>
      </c>
      <c r="AA11" s="9">
        <f>M11*P11+K11*Q11</f>
        <v/>
      </c>
    </row>
    <row r="12">
      <c r="A12" s="6" t="inlineStr">
        <is>
          <t>MBWAY_LYO</t>
        </is>
      </c>
      <c r="B12" s="6" t="inlineStr">
        <is>
          <t>MAS_MGT</t>
        </is>
      </c>
      <c r="C12" s="6" t="inlineStr">
        <is>
          <t>M2</t>
        </is>
      </c>
      <c r="D12" s="6" t="inlineStr">
        <is>
          <t>ALT</t>
        </is>
      </c>
      <c r="E12" s="6" t="inlineStr">
        <is>
          <t>2026</t>
        </is>
      </c>
      <c r="F12" s="6" t="inlineStr">
        <is>
          <t>2027BUD_V1</t>
        </is>
      </c>
      <c r="G12" s="6" t="n">
        <v>12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65</v>
      </c>
      <c r="M12" s="7" t="n">
        <v>65</v>
      </c>
      <c r="N12" s="7" t="n">
        <v>66</v>
      </c>
      <c r="O12" s="7" t="n">
        <v>3</v>
      </c>
      <c r="P12" s="7" t="n">
        <v>7875</v>
      </c>
      <c r="Q12" s="7" t="n">
        <v>90</v>
      </c>
      <c r="R12" s="7" t="n">
        <v>0</v>
      </c>
      <c r="S12" s="7" t="n">
        <v>0</v>
      </c>
      <c r="T12" s="7" t="n">
        <v>0</v>
      </c>
      <c r="U12" s="7" t="n">
        <v>0</v>
      </c>
      <c r="V12" s="8">
        <f>IFERROR(M12/N12,0)</f>
        <v/>
      </c>
      <c r="W12" s="8">
        <f>IFERROR(I12/H12,0)</f>
        <v/>
      </c>
      <c r="X12" s="8">
        <f>IFERROR(J12/I12,0)</f>
        <v/>
      </c>
      <c r="Y12" s="8">
        <f>IFERROR(K12/J12,0)</f>
        <v/>
      </c>
      <c r="Z12" s="9">
        <f>R12+S12</f>
        <v/>
      </c>
      <c r="AA12" s="9">
        <f>M12*P12+K12*Q12</f>
        <v/>
      </c>
    </row>
    <row r="13">
      <c r="A13" s="6" t="inlineStr">
        <is>
          <t>MBWAY_NAN</t>
        </is>
      </c>
      <c r="B13" s="6" t="inlineStr">
        <is>
          <t>BAC_MGT</t>
        </is>
      </c>
      <c r="C13" s="6" t="inlineStr">
        <is>
          <t>B1</t>
        </is>
      </c>
      <c r="D13" s="6" t="inlineStr">
        <is>
          <t>INIT</t>
        </is>
      </c>
      <c r="E13" s="6" t="inlineStr">
        <is>
          <t>2026</t>
        </is>
      </c>
      <c r="F13" s="6" t="inlineStr">
        <is>
          <t>2027BUD_V1</t>
        </is>
      </c>
      <c r="G13" s="6" t="n">
        <v>12</v>
      </c>
      <c r="H13" s="7" t="n">
        <v>496</v>
      </c>
      <c r="I13" s="7" t="n">
        <v>139</v>
      </c>
      <c r="J13" s="7" t="n">
        <v>100</v>
      </c>
      <c r="K13" s="7" t="n">
        <v>60</v>
      </c>
      <c r="L13" s="7" t="n">
        <v>0</v>
      </c>
      <c r="M13" s="7" t="n">
        <v>60</v>
      </c>
      <c r="N13" s="7" t="n">
        <v>0</v>
      </c>
      <c r="O13" s="7" t="n">
        <v>2</v>
      </c>
      <c r="P13" s="7" t="n">
        <v>7500</v>
      </c>
      <c r="Q13" s="7" t="n">
        <v>90</v>
      </c>
      <c r="R13" s="7" t="n">
        <v>238</v>
      </c>
      <c r="S13" s="7" t="n">
        <v>258</v>
      </c>
      <c r="T13" s="7" t="n">
        <v>10317</v>
      </c>
      <c r="U13" s="7" t="n">
        <v>21708</v>
      </c>
      <c r="V13" s="8">
        <f>IFERROR(M13/N13,0)</f>
        <v/>
      </c>
      <c r="W13" s="8">
        <f>IFERROR(I13/H13,0)</f>
        <v/>
      </c>
      <c r="X13" s="8">
        <f>IFERROR(J13/I13,0)</f>
        <v/>
      </c>
      <c r="Y13" s="8">
        <f>IFERROR(K13/J13,0)</f>
        <v/>
      </c>
      <c r="Z13" s="9">
        <f>R13+S13</f>
        <v/>
      </c>
      <c r="AA13" s="9">
        <f>M13*P13+K13*Q13</f>
        <v/>
      </c>
    </row>
    <row r="14">
      <c r="A14" s="6" t="inlineStr">
        <is>
          <t>MBWAY_NAN</t>
        </is>
      </c>
      <c r="B14" s="6" t="inlineStr">
        <is>
          <t>BAC_MGT</t>
        </is>
      </c>
      <c r="C14" s="6" t="inlineStr">
        <is>
          <t>B2</t>
        </is>
      </c>
      <c r="D14" s="6" t="inlineStr">
        <is>
          <t>ALT</t>
        </is>
      </c>
      <c r="E14" s="6" t="inlineStr">
        <is>
          <t>2026</t>
        </is>
      </c>
      <c r="F14" s="6" t="inlineStr">
        <is>
          <t>2027BUD_V1</t>
        </is>
      </c>
      <c r="G14" s="6" t="n">
        <v>12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58</v>
      </c>
      <c r="M14" s="7" t="n">
        <v>58</v>
      </c>
      <c r="N14" s="7" t="n">
        <v>60</v>
      </c>
      <c r="O14" s="7" t="n">
        <v>2</v>
      </c>
      <c r="P14" s="7" t="n">
        <v>7000</v>
      </c>
      <c r="Q14" s="7" t="n">
        <v>90</v>
      </c>
      <c r="R14" s="7" t="n">
        <v>0</v>
      </c>
      <c r="S14" s="7" t="n">
        <v>0</v>
      </c>
      <c r="T14" s="7" t="n">
        <v>0</v>
      </c>
      <c r="U14" s="7" t="n">
        <v>0</v>
      </c>
      <c r="V14" s="8">
        <f>IFERROR(M14/N14,0)</f>
        <v/>
      </c>
      <c r="W14" s="8">
        <f>IFERROR(I14/H14,0)</f>
        <v/>
      </c>
      <c r="X14" s="8">
        <f>IFERROR(J14/I14,0)</f>
        <v/>
      </c>
      <c r="Y14" s="8">
        <f>IFERROR(K14/J14,0)</f>
        <v/>
      </c>
      <c r="Z14" s="9">
        <f>R14+S14</f>
        <v/>
      </c>
      <c r="AA14" s="9">
        <f>M14*P14+K14*Q14</f>
        <v/>
      </c>
    </row>
    <row r="15">
      <c r="A15" s="6" t="inlineStr">
        <is>
          <t>MBWAY_NAN</t>
        </is>
      </c>
      <c r="B15" s="6" t="inlineStr">
        <is>
          <t>BAC_MGT</t>
        </is>
      </c>
      <c r="C15" s="6" t="inlineStr">
        <is>
          <t>B3</t>
        </is>
      </c>
      <c r="D15" s="6" t="inlineStr">
        <is>
          <t>ALT</t>
        </is>
      </c>
      <c r="E15" s="6" t="inlineStr">
        <is>
          <t>2026</t>
        </is>
      </c>
      <c r="F15" s="6" t="inlineStr">
        <is>
          <t>2027BUD_V1</t>
        </is>
      </c>
      <c r="G15" s="6" t="n">
        <v>12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57</v>
      </c>
      <c r="M15" s="7" t="n">
        <v>57</v>
      </c>
      <c r="N15" s="7" t="n">
        <v>58</v>
      </c>
      <c r="O15" s="7" t="n">
        <v>2</v>
      </c>
      <c r="P15" s="7" t="n">
        <v>7000</v>
      </c>
      <c r="Q15" s="7" t="n">
        <v>90</v>
      </c>
      <c r="R15" s="7" t="n">
        <v>0</v>
      </c>
      <c r="S15" s="7" t="n">
        <v>0</v>
      </c>
      <c r="T15" s="7" t="n">
        <v>0</v>
      </c>
      <c r="U15" s="7" t="n">
        <v>0</v>
      </c>
      <c r="V15" s="8">
        <f>IFERROR(M15/N15,0)</f>
        <v/>
      </c>
      <c r="W15" s="8">
        <f>IFERROR(I15/H15,0)</f>
        <v/>
      </c>
      <c r="X15" s="8">
        <f>IFERROR(J15/I15,0)</f>
        <v/>
      </c>
      <c r="Y15" s="8">
        <f>IFERROR(K15/J15,0)</f>
        <v/>
      </c>
      <c r="Z15" s="9">
        <f>R15+S15</f>
        <v/>
      </c>
      <c r="AA15" s="9">
        <f>M15*P15+K15*Q15</f>
        <v/>
      </c>
    </row>
    <row r="16">
      <c r="A16" s="6" t="inlineStr">
        <is>
          <t>MBWAY_NAN</t>
        </is>
      </c>
      <c r="B16" s="6" t="inlineStr">
        <is>
          <t>MAS_MGT</t>
        </is>
      </c>
      <c r="C16" s="6" t="inlineStr">
        <is>
          <t>M1</t>
        </is>
      </c>
      <c r="D16" s="6" t="inlineStr">
        <is>
          <t>ALT</t>
        </is>
      </c>
      <c r="E16" s="6" t="inlineStr">
        <is>
          <t>2026</t>
        </is>
      </c>
      <c r="F16" s="6" t="inlineStr">
        <is>
          <t>2027BUD_V1</t>
        </is>
      </c>
      <c r="G16" s="6" t="n">
        <v>12</v>
      </c>
      <c r="H16" s="7" t="n">
        <v>1020</v>
      </c>
      <c r="I16" s="7" t="n">
        <v>204</v>
      </c>
      <c r="J16" s="7" t="n">
        <v>143</v>
      </c>
      <c r="K16" s="7" t="n">
        <v>60</v>
      </c>
      <c r="L16" s="7" t="n">
        <v>0</v>
      </c>
      <c r="M16" s="7" t="n">
        <v>60</v>
      </c>
      <c r="N16" s="7" t="n">
        <v>0</v>
      </c>
      <c r="O16" s="7" t="n">
        <v>3</v>
      </c>
      <c r="P16" s="7" t="n">
        <v>7500</v>
      </c>
      <c r="Q16" s="7" t="n">
        <v>90</v>
      </c>
      <c r="R16" s="7" t="n">
        <v>490</v>
      </c>
      <c r="S16" s="7" t="n">
        <v>530</v>
      </c>
      <c r="T16" s="7" t="n">
        <v>21216</v>
      </c>
      <c r="U16" s="7" t="n">
        <v>44641</v>
      </c>
      <c r="V16" s="8">
        <f>IFERROR(M16/N16,0)</f>
        <v/>
      </c>
      <c r="W16" s="8">
        <f>IFERROR(I16/H16,0)</f>
        <v/>
      </c>
      <c r="X16" s="8">
        <f>IFERROR(J16/I16,0)</f>
        <v/>
      </c>
      <c r="Y16" s="8">
        <f>IFERROR(K16/J16,0)</f>
        <v/>
      </c>
      <c r="Z16" s="9">
        <f>R16+S16</f>
        <v/>
      </c>
      <c r="AA16" s="9">
        <f>M16*P16+K16*Q16</f>
        <v/>
      </c>
    </row>
    <row r="17">
      <c r="A17" s="6" t="inlineStr">
        <is>
          <t>MBWAY_NAN</t>
        </is>
      </c>
      <c r="B17" s="6" t="inlineStr">
        <is>
          <t>MAS_MGT</t>
        </is>
      </c>
      <c r="C17" s="6" t="inlineStr">
        <is>
          <t>M2</t>
        </is>
      </c>
      <c r="D17" s="6" t="inlineStr">
        <is>
          <t>ALT</t>
        </is>
      </c>
      <c r="E17" s="6" t="inlineStr">
        <is>
          <t>2026</t>
        </is>
      </c>
      <c r="F17" s="6" t="inlineStr">
        <is>
          <t>2027BUD_V1</t>
        </is>
      </c>
      <c r="G17" s="6" t="n">
        <v>12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59</v>
      </c>
      <c r="M17" s="7" t="n">
        <v>59</v>
      </c>
      <c r="N17" s="7" t="n">
        <v>60</v>
      </c>
      <c r="O17" s="7" t="n">
        <v>3</v>
      </c>
      <c r="P17" s="7" t="n">
        <v>7500</v>
      </c>
      <c r="Q17" s="7" t="n">
        <v>90</v>
      </c>
      <c r="R17" s="7" t="n">
        <v>0</v>
      </c>
      <c r="S17" s="7" t="n">
        <v>0</v>
      </c>
      <c r="T17" s="7" t="n">
        <v>0</v>
      </c>
      <c r="U17" s="7" t="n">
        <v>0</v>
      </c>
      <c r="V17" s="8">
        <f>IFERROR(M17/N17,0)</f>
        <v/>
      </c>
      <c r="W17" s="8">
        <f>IFERROR(I17/H17,0)</f>
        <v/>
      </c>
      <c r="X17" s="8">
        <f>IFERROR(J17/I17,0)</f>
        <v/>
      </c>
      <c r="Y17" s="8">
        <f>IFERROR(K17/J17,0)</f>
        <v/>
      </c>
      <c r="Z17" s="9">
        <f>R17+S17</f>
        <v/>
      </c>
      <c r="AA17" s="9">
        <f>M17*P17+K17*Q17</f>
        <v/>
      </c>
    </row>
    <row r="18">
      <c r="A18" s="6" t="inlineStr">
        <is>
          <t>MBWAY_BOR</t>
        </is>
      </c>
      <c r="B18" s="6" t="inlineStr">
        <is>
          <t>BAC_MGT</t>
        </is>
      </c>
      <c r="C18" s="6" t="inlineStr">
        <is>
          <t>B1</t>
        </is>
      </c>
      <c r="D18" s="6" t="inlineStr">
        <is>
          <t>INIT</t>
        </is>
      </c>
      <c r="E18" s="6" t="inlineStr">
        <is>
          <t>2026</t>
        </is>
      </c>
      <c r="F18" s="6" t="inlineStr">
        <is>
          <t>2027BUD_V1</t>
        </is>
      </c>
      <c r="G18" s="6" t="n">
        <v>12</v>
      </c>
      <c r="H18" s="7" t="n">
        <v>421</v>
      </c>
      <c r="I18" s="7" t="n">
        <v>118</v>
      </c>
      <c r="J18" s="7" t="n">
        <v>85</v>
      </c>
      <c r="K18" s="7" t="n">
        <v>51</v>
      </c>
      <c r="L18" s="7" t="n">
        <v>0</v>
      </c>
      <c r="M18" s="7" t="n">
        <v>51</v>
      </c>
      <c r="N18" s="7" t="n">
        <v>0</v>
      </c>
      <c r="O18" s="7" t="n">
        <v>2</v>
      </c>
      <c r="P18" s="7" t="n">
        <v>7275</v>
      </c>
      <c r="Q18" s="7" t="n">
        <v>90</v>
      </c>
      <c r="R18" s="7" t="n">
        <v>206</v>
      </c>
      <c r="S18" s="7" t="n">
        <v>215</v>
      </c>
      <c r="T18" s="7" t="n">
        <v>8159</v>
      </c>
      <c r="U18" s="7" t="n">
        <v>18797</v>
      </c>
      <c r="V18" s="8">
        <f>IFERROR(M18/N18,0)</f>
        <v/>
      </c>
      <c r="W18" s="8">
        <f>IFERROR(I18/H18,0)</f>
        <v/>
      </c>
      <c r="X18" s="8">
        <f>IFERROR(J18/I18,0)</f>
        <v/>
      </c>
      <c r="Y18" s="8">
        <f>IFERROR(K18/J18,0)</f>
        <v/>
      </c>
      <c r="Z18" s="9">
        <f>R18+S18</f>
        <v/>
      </c>
      <c r="AA18" s="9">
        <f>M18*P18+K18*Q18</f>
        <v/>
      </c>
    </row>
    <row r="19">
      <c r="A19" s="6" t="inlineStr">
        <is>
          <t>MBWAY_BOR</t>
        </is>
      </c>
      <c r="B19" s="6" t="inlineStr">
        <is>
          <t>BAC_MGT</t>
        </is>
      </c>
      <c r="C19" s="6" t="inlineStr">
        <is>
          <t>B2</t>
        </is>
      </c>
      <c r="D19" s="6" t="inlineStr">
        <is>
          <t>ALT</t>
        </is>
      </c>
      <c r="E19" s="6" t="inlineStr">
        <is>
          <t>2026</t>
        </is>
      </c>
      <c r="F19" s="6" t="inlineStr">
        <is>
          <t>2027BUD_V1</t>
        </is>
      </c>
      <c r="G19" s="6" t="n">
        <v>12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49</v>
      </c>
      <c r="M19" s="7" t="n">
        <v>49</v>
      </c>
      <c r="N19" s="7" t="n">
        <v>51</v>
      </c>
      <c r="O19" s="7" t="n">
        <v>2</v>
      </c>
      <c r="P19" s="7" t="n">
        <v>6790</v>
      </c>
      <c r="Q19" s="7" t="n">
        <v>90</v>
      </c>
      <c r="R19" s="7" t="n">
        <v>0</v>
      </c>
      <c r="S19" s="7" t="n">
        <v>0</v>
      </c>
      <c r="T19" s="7" t="n">
        <v>0</v>
      </c>
      <c r="U19" s="7" t="n">
        <v>0</v>
      </c>
      <c r="V19" s="8">
        <f>IFERROR(M19/N19,0)</f>
        <v/>
      </c>
      <c r="W19" s="8">
        <f>IFERROR(I19/H19,0)</f>
        <v/>
      </c>
      <c r="X19" s="8">
        <f>IFERROR(J19/I19,0)</f>
        <v/>
      </c>
      <c r="Y19" s="8">
        <f>IFERROR(K19/J19,0)</f>
        <v/>
      </c>
      <c r="Z19" s="9">
        <f>R19+S19</f>
        <v/>
      </c>
      <c r="AA19" s="9">
        <f>M19*P19+K19*Q19</f>
        <v/>
      </c>
    </row>
    <row r="20">
      <c r="A20" s="6" t="inlineStr">
        <is>
          <t>MBWAY_BOR</t>
        </is>
      </c>
      <c r="B20" s="6" t="inlineStr">
        <is>
          <t>BAC_MGT</t>
        </is>
      </c>
      <c r="C20" s="6" t="inlineStr">
        <is>
          <t>B3</t>
        </is>
      </c>
      <c r="D20" s="6" t="inlineStr">
        <is>
          <t>ALT</t>
        </is>
      </c>
      <c r="E20" s="6" t="inlineStr">
        <is>
          <t>2026</t>
        </is>
      </c>
      <c r="F20" s="6" t="inlineStr">
        <is>
          <t>2027BUD_V1</t>
        </is>
      </c>
      <c r="G20" s="6" t="n">
        <v>12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48</v>
      </c>
      <c r="M20" s="7" t="n">
        <v>48</v>
      </c>
      <c r="N20" s="7" t="n">
        <v>49</v>
      </c>
      <c r="O20" s="7" t="n">
        <v>2</v>
      </c>
      <c r="P20" s="7" t="n">
        <v>6790</v>
      </c>
      <c r="Q20" s="7" t="n">
        <v>90</v>
      </c>
      <c r="R20" s="7" t="n">
        <v>0</v>
      </c>
      <c r="S20" s="7" t="n">
        <v>0</v>
      </c>
      <c r="T20" s="7" t="n">
        <v>0</v>
      </c>
      <c r="U20" s="7" t="n">
        <v>0</v>
      </c>
      <c r="V20" s="8">
        <f>IFERROR(M20/N20,0)</f>
        <v/>
      </c>
      <c r="W20" s="8">
        <f>IFERROR(I20/H20,0)</f>
        <v/>
      </c>
      <c r="X20" s="8">
        <f>IFERROR(J20/I20,0)</f>
        <v/>
      </c>
      <c r="Y20" s="8">
        <f>IFERROR(K20/J20,0)</f>
        <v/>
      </c>
      <c r="Z20" s="9">
        <f>R20+S20</f>
        <v/>
      </c>
      <c r="AA20" s="9">
        <f>M20*P20+K20*Q20</f>
        <v/>
      </c>
    </row>
    <row r="21">
      <c r="A21" s="6" t="inlineStr">
        <is>
          <t>MBWAY_BOR</t>
        </is>
      </c>
      <c r="B21" s="6" t="inlineStr">
        <is>
          <t>MAS_MGT</t>
        </is>
      </c>
      <c r="C21" s="6" t="inlineStr">
        <is>
          <t>M1</t>
        </is>
      </c>
      <c r="D21" s="6" t="inlineStr">
        <is>
          <t>ALT</t>
        </is>
      </c>
      <c r="E21" s="6" t="inlineStr">
        <is>
          <t>2026</t>
        </is>
      </c>
      <c r="F21" s="6" t="inlineStr">
        <is>
          <t>2027BUD_V1</t>
        </is>
      </c>
      <c r="G21" s="6" t="n">
        <v>12</v>
      </c>
      <c r="H21" s="7" t="n">
        <v>865</v>
      </c>
      <c r="I21" s="7" t="n">
        <v>173</v>
      </c>
      <c r="J21" s="7" t="n">
        <v>121</v>
      </c>
      <c r="K21" s="7" t="n">
        <v>51</v>
      </c>
      <c r="L21" s="7" t="n">
        <v>0</v>
      </c>
      <c r="M21" s="7" t="n">
        <v>51</v>
      </c>
      <c r="N21" s="7" t="n">
        <v>0</v>
      </c>
      <c r="O21" s="7" t="n">
        <v>2</v>
      </c>
      <c r="P21" s="7" t="n">
        <v>7275</v>
      </c>
      <c r="Q21" s="7" t="n">
        <v>90</v>
      </c>
      <c r="R21" s="7" t="n">
        <v>424</v>
      </c>
      <c r="S21" s="7" t="n">
        <v>441</v>
      </c>
      <c r="T21" s="7" t="n">
        <v>16764</v>
      </c>
      <c r="U21" s="7" t="n">
        <v>38621</v>
      </c>
      <c r="V21" s="8">
        <f>IFERROR(M21/N21,0)</f>
        <v/>
      </c>
      <c r="W21" s="8">
        <f>IFERROR(I21/H21,0)</f>
        <v/>
      </c>
      <c r="X21" s="8">
        <f>IFERROR(J21/I21,0)</f>
        <v/>
      </c>
      <c r="Y21" s="8">
        <f>IFERROR(K21/J21,0)</f>
        <v/>
      </c>
      <c r="Z21" s="9">
        <f>R21+S21</f>
        <v/>
      </c>
      <c r="AA21" s="9">
        <f>M21*P21+K21*Q21</f>
        <v/>
      </c>
    </row>
    <row r="22">
      <c r="A22" s="6" t="inlineStr">
        <is>
          <t>MBWAY_BOR</t>
        </is>
      </c>
      <c r="B22" s="6" t="inlineStr">
        <is>
          <t>MAS_MGT</t>
        </is>
      </c>
      <c r="C22" s="6" t="inlineStr">
        <is>
          <t>M2</t>
        </is>
      </c>
      <c r="D22" s="6" t="inlineStr">
        <is>
          <t>ALT</t>
        </is>
      </c>
      <c r="E22" s="6" t="inlineStr">
        <is>
          <t>2026</t>
        </is>
      </c>
      <c r="F22" s="6" t="inlineStr">
        <is>
          <t>2027BUD_V1</t>
        </is>
      </c>
      <c r="G22" s="6" t="n">
        <v>12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50</v>
      </c>
      <c r="M22" s="7" t="n">
        <v>50</v>
      </c>
      <c r="N22" s="7" t="n">
        <v>51</v>
      </c>
      <c r="O22" s="7" t="n">
        <v>2</v>
      </c>
      <c r="P22" s="7" t="n">
        <v>7275</v>
      </c>
      <c r="Q22" s="7" t="n">
        <v>90</v>
      </c>
      <c r="R22" s="7" t="n">
        <v>0</v>
      </c>
      <c r="S22" s="7" t="n">
        <v>0</v>
      </c>
      <c r="T22" s="7" t="n">
        <v>0</v>
      </c>
      <c r="U22" s="7" t="n">
        <v>0</v>
      </c>
      <c r="V22" s="8">
        <f>IFERROR(M22/N22,0)</f>
        <v/>
      </c>
      <c r="W22" s="8">
        <f>IFERROR(I22/H22,0)</f>
        <v/>
      </c>
      <c r="X22" s="8">
        <f>IFERROR(J22/I22,0)</f>
        <v/>
      </c>
      <c r="Y22" s="8">
        <f>IFERROR(K22/J22,0)</f>
        <v/>
      </c>
      <c r="Z22" s="9">
        <f>R22+S22</f>
        <v/>
      </c>
      <c r="AA22" s="9">
        <f>M22*P22+K22*Q22</f>
        <v/>
      </c>
    </row>
    <row r="23">
      <c r="A23" s="6" t="inlineStr">
        <is>
          <t>ISCOM_PAR</t>
        </is>
      </c>
      <c r="B23" s="6" t="inlineStr">
        <is>
          <t>BAC_COM</t>
        </is>
      </c>
      <c r="C23" s="6" t="inlineStr">
        <is>
          <t>B1</t>
        </is>
      </c>
      <c r="D23" s="6" t="inlineStr">
        <is>
          <t>INIT</t>
        </is>
      </c>
      <c r="E23" s="6" t="inlineStr">
        <is>
          <t>2026</t>
        </is>
      </c>
      <c r="F23" s="6" t="inlineStr">
        <is>
          <t>2027BUD_V1</t>
        </is>
      </c>
      <c r="G23" s="6" t="n">
        <v>12</v>
      </c>
      <c r="H23" s="7" t="n">
        <v>596</v>
      </c>
      <c r="I23" s="7" t="n">
        <v>167</v>
      </c>
      <c r="J23" s="7" t="n">
        <v>120</v>
      </c>
      <c r="K23" s="7" t="n">
        <v>72</v>
      </c>
      <c r="L23" s="7" t="n">
        <v>0</v>
      </c>
      <c r="M23" s="7" t="n">
        <v>72</v>
      </c>
      <c r="N23" s="7" t="n">
        <v>0</v>
      </c>
      <c r="O23" s="7" t="n">
        <v>3</v>
      </c>
      <c r="P23" s="7" t="n">
        <v>8400</v>
      </c>
      <c r="Q23" s="7" t="n">
        <v>90</v>
      </c>
      <c r="R23" s="7" t="n">
        <v>226</v>
      </c>
      <c r="S23" s="7" t="n">
        <v>370</v>
      </c>
      <c r="T23" s="7" t="n">
        <v>19954</v>
      </c>
      <c r="U23" s="7" t="n">
        <v>20639</v>
      </c>
      <c r="V23" s="8">
        <f>IFERROR(M23/N23,0)</f>
        <v/>
      </c>
      <c r="W23" s="8">
        <f>IFERROR(I23/H23,0)</f>
        <v/>
      </c>
      <c r="X23" s="8">
        <f>IFERROR(J23/I23,0)</f>
        <v/>
      </c>
      <c r="Y23" s="8">
        <f>IFERROR(K23/J23,0)</f>
        <v/>
      </c>
      <c r="Z23" s="9">
        <f>R23+S23</f>
        <v/>
      </c>
      <c r="AA23" s="9">
        <f>M23*P23+K23*Q23</f>
        <v/>
      </c>
    </row>
    <row r="24">
      <c r="A24" s="6" t="inlineStr">
        <is>
          <t>ISCOM_PAR</t>
        </is>
      </c>
      <c r="B24" s="6" t="inlineStr">
        <is>
          <t>BAC_COM</t>
        </is>
      </c>
      <c r="C24" s="6" t="inlineStr">
        <is>
          <t>B2</t>
        </is>
      </c>
      <c r="D24" s="6" t="inlineStr">
        <is>
          <t>ALT</t>
        </is>
      </c>
      <c r="E24" s="6" t="inlineStr">
        <is>
          <t>2026</t>
        </is>
      </c>
      <c r="F24" s="6" t="inlineStr">
        <is>
          <t>2027BUD_V1</t>
        </is>
      </c>
      <c r="G24" s="6" t="n">
        <v>12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70</v>
      </c>
      <c r="M24" s="7" t="n">
        <v>70</v>
      </c>
      <c r="N24" s="7" t="n">
        <v>72</v>
      </c>
      <c r="O24" s="7" t="n">
        <v>3</v>
      </c>
      <c r="P24" s="7" t="n">
        <v>7840</v>
      </c>
      <c r="Q24" s="7" t="n">
        <v>90</v>
      </c>
      <c r="R24" s="7" t="n">
        <v>0</v>
      </c>
      <c r="S24" s="7" t="n">
        <v>0</v>
      </c>
      <c r="T24" s="7" t="n">
        <v>0</v>
      </c>
      <c r="U24" s="7" t="n">
        <v>0</v>
      </c>
      <c r="V24" s="8">
        <f>IFERROR(M24/N24,0)</f>
        <v/>
      </c>
      <c r="W24" s="8">
        <f>IFERROR(I24/H24,0)</f>
        <v/>
      </c>
      <c r="X24" s="8">
        <f>IFERROR(J24/I24,0)</f>
        <v/>
      </c>
      <c r="Y24" s="8">
        <f>IFERROR(K24/J24,0)</f>
        <v/>
      </c>
      <c r="Z24" s="9">
        <f>R24+S24</f>
        <v/>
      </c>
      <c r="AA24" s="9">
        <f>M24*P24+K24*Q24</f>
        <v/>
      </c>
    </row>
    <row r="25">
      <c r="A25" s="6" t="inlineStr">
        <is>
          <t>ISCOM_PAR</t>
        </is>
      </c>
      <c r="B25" s="6" t="inlineStr">
        <is>
          <t>BAC_COM</t>
        </is>
      </c>
      <c r="C25" s="6" t="inlineStr">
        <is>
          <t>B3</t>
        </is>
      </c>
      <c r="D25" s="6" t="inlineStr">
        <is>
          <t>ALT</t>
        </is>
      </c>
      <c r="E25" s="6" t="inlineStr">
        <is>
          <t>2026</t>
        </is>
      </c>
      <c r="F25" s="6" t="inlineStr">
        <is>
          <t>2027BUD_V1</t>
        </is>
      </c>
      <c r="G25" s="6" t="n">
        <v>12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69</v>
      </c>
      <c r="M25" s="7" t="n">
        <v>69</v>
      </c>
      <c r="N25" s="7" t="n">
        <v>70</v>
      </c>
      <c r="O25" s="7" t="n">
        <v>3</v>
      </c>
      <c r="P25" s="7" t="n">
        <v>7840</v>
      </c>
      <c r="Q25" s="7" t="n">
        <v>90</v>
      </c>
      <c r="R25" s="7" t="n">
        <v>0</v>
      </c>
      <c r="S25" s="7" t="n">
        <v>0</v>
      </c>
      <c r="T25" s="7" t="n">
        <v>0</v>
      </c>
      <c r="U25" s="7" t="n">
        <v>0</v>
      </c>
      <c r="V25" s="8">
        <f>IFERROR(M25/N25,0)</f>
        <v/>
      </c>
      <c r="W25" s="8">
        <f>IFERROR(I25/H25,0)</f>
        <v/>
      </c>
      <c r="X25" s="8">
        <f>IFERROR(J25/I25,0)</f>
        <v/>
      </c>
      <c r="Y25" s="8">
        <f>IFERROR(K25/J25,0)</f>
        <v/>
      </c>
      <c r="Z25" s="9">
        <f>R25+S25</f>
        <v/>
      </c>
      <c r="AA25" s="9">
        <f>M25*P25+K25*Q25</f>
        <v/>
      </c>
    </row>
    <row r="26">
      <c r="A26" s="6" t="inlineStr">
        <is>
          <t>ISCOM_PAR</t>
        </is>
      </c>
      <c r="B26" s="6" t="inlineStr">
        <is>
          <t>MAS_COM</t>
        </is>
      </c>
      <c r="C26" s="6" t="inlineStr">
        <is>
          <t>M1</t>
        </is>
      </c>
      <c r="D26" s="6" t="inlineStr">
        <is>
          <t>ALT</t>
        </is>
      </c>
      <c r="E26" s="6" t="inlineStr">
        <is>
          <t>2026</t>
        </is>
      </c>
      <c r="F26" s="6" t="inlineStr">
        <is>
          <t>2027BUD_V1</t>
        </is>
      </c>
      <c r="G26" s="6" t="n">
        <v>12</v>
      </c>
      <c r="H26" s="7" t="n">
        <v>1220</v>
      </c>
      <c r="I26" s="7" t="n">
        <v>244</v>
      </c>
      <c r="J26" s="7" t="n">
        <v>171</v>
      </c>
      <c r="K26" s="7" t="n">
        <v>72</v>
      </c>
      <c r="L26" s="7" t="n">
        <v>0</v>
      </c>
      <c r="M26" s="7" t="n">
        <v>72</v>
      </c>
      <c r="N26" s="7" t="n">
        <v>0</v>
      </c>
      <c r="O26" s="7" t="n">
        <v>3</v>
      </c>
      <c r="P26" s="7" t="n">
        <v>8400</v>
      </c>
      <c r="Q26" s="7" t="n">
        <v>90</v>
      </c>
      <c r="R26" s="7" t="n">
        <v>464</v>
      </c>
      <c r="S26" s="7" t="n">
        <v>756</v>
      </c>
      <c r="T26" s="7" t="n">
        <v>40846</v>
      </c>
      <c r="U26" s="7" t="n">
        <v>42247</v>
      </c>
      <c r="V26" s="8">
        <f>IFERROR(M26/N26,0)</f>
        <v/>
      </c>
      <c r="W26" s="8">
        <f>IFERROR(I26/H26,0)</f>
        <v/>
      </c>
      <c r="X26" s="8">
        <f>IFERROR(J26/I26,0)</f>
        <v/>
      </c>
      <c r="Y26" s="8">
        <f>IFERROR(K26/J26,0)</f>
        <v/>
      </c>
      <c r="Z26" s="9">
        <f>R26+S26</f>
        <v/>
      </c>
      <c r="AA26" s="9">
        <f>M26*P26+K26*Q26</f>
        <v/>
      </c>
    </row>
    <row r="27">
      <c r="A27" s="6" t="inlineStr">
        <is>
          <t>ISCOM_PAR</t>
        </is>
      </c>
      <c r="B27" s="6" t="inlineStr">
        <is>
          <t>MAS_COM</t>
        </is>
      </c>
      <c r="C27" s="6" t="inlineStr">
        <is>
          <t>M2</t>
        </is>
      </c>
      <c r="D27" s="6" t="inlineStr">
        <is>
          <t>ALT</t>
        </is>
      </c>
      <c r="E27" s="6" t="inlineStr">
        <is>
          <t>2026</t>
        </is>
      </c>
      <c r="F27" s="6" t="inlineStr">
        <is>
          <t>2027BUD_V1</t>
        </is>
      </c>
      <c r="G27" s="6" t="n">
        <v>12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71</v>
      </c>
      <c r="M27" s="7" t="n">
        <v>71</v>
      </c>
      <c r="N27" s="7" t="n">
        <v>72</v>
      </c>
      <c r="O27" s="7" t="n">
        <v>3</v>
      </c>
      <c r="P27" s="7" t="n">
        <v>8400</v>
      </c>
      <c r="Q27" s="7" t="n">
        <v>90</v>
      </c>
      <c r="R27" s="7" t="n">
        <v>0</v>
      </c>
      <c r="S27" s="7" t="n">
        <v>0</v>
      </c>
      <c r="T27" s="7" t="n">
        <v>0</v>
      </c>
      <c r="U27" s="7" t="n">
        <v>0</v>
      </c>
      <c r="V27" s="8">
        <f>IFERROR(M27/N27,0)</f>
        <v/>
      </c>
      <c r="W27" s="8">
        <f>IFERROR(I27/H27,0)</f>
        <v/>
      </c>
      <c r="X27" s="8">
        <f>IFERROR(J27/I27,0)</f>
        <v/>
      </c>
      <c r="Y27" s="8">
        <f>IFERROR(K27/J27,0)</f>
        <v/>
      </c>
      <c r="Z27" s="9">
        <f>R27+S27</f>
        <v/>
      </c>
      <c r="AA27" s="9">
        <f>M27*P27+K27*Q27</f>
        <v/>
      </c>
    </row>
    <row r="28">
      <c r="A28" s="6" t="inlineStr">
        <is>
          <t>ISCOM_LIL</t>
        </is>
      </c>
      <c r="B28" s="6" t="inlineStr">
        <is>
          <t>BAC_COM</t>
        </is>
      </c>
      <c r="C28" s="6" t="inlineStr">
        <is>
          <t>B1</t>
        </is>
      </c>
      <c r="D28" s="6" t="inlineStr">
        <is>
          <t>INIT</t>
        </is>
      </c>
      <c r="E28" s="6" t="inlineStr">
        <is>
          <t>2026</t>
        </is>
      </c>
      <c r="F28" s="6" t="inlineStr">
        <is>
          <t>2027BUD_V1</t>
        </is>
      </c>
      <c r="G28" s="6" t="n">
        <v>12</v>
      </c>
      <c r="H28" s="7" t="n">
        <v>411</v>
      </c>
      <c r="I28" s="7" t="n">
        <v>115</v>
      </c>
      <c r="J28" s="7" t="n">
        <v>83</v>
      </c>
      <c r="K28" s="7" t="n">
        <v>50</v>
      </c>
      <c r="L28" s="7" t="n">
        <v>0</v>
      </c>
      <c r="M28" s="7" t="n">
        <v>50</v>
      </c>
      <c r="N28" s="7" t="n">
        <v>0</v>
      </c>
      <c r="O28" s="7" t="n">
        <v>2</v>
      </c>
      <c r="P28" s="7" t="n">
        <v>7350</v>
      </c>
      <c r="Q28" s="7" t="n">
        <v>90</v>
      </c>
      <c r="R28" s="7" t="n">
        <v>205</v>
      </c>
      <c r="S28" s="7" t="n">
        <v>205</v>
      </c>
      <c r="T28" s="7" t="n">
        <v>8220</v>
      </c>
      <c r="U28" s="7" t="n">
        <v>18714</v>
      </c>
      <c r="V28" s="8">
        <f>IFERROR(M28/N28,0)</f>
        <v/>
      </c>
      <c r="W28" s="8">
        <f>IFERROR(I28/H28,0)</f>
        <v/>
      </c>
      <c r="X28" s="8">
        <f>IFERROR(J28/I28,0)</f>
        <v/>
      </c>
      <c r="Y28" s="8">
        <f>IFERROR(K28/J28,0)</f>
        <v/>
      </c>
      <c r="Z28" s="9">
        <f>R28+S28</f>
        <v/>
      </c>
      <c r="AA28" s="9">
        <f>M28*P28+K28*Q28</f>
        <v/>
      </c>
    </row>
    <row r="29">
      <c r="A29" s="6" t="inlineStr">
        <is>
          <t>ISCOM_LIL</t>
        </is>
      </c>
      <c r="B29" s="6" t="inlineStr">
        <is>
          <t>BAC_COM</t>
        </is>
      </c>
      <c r="C29" s="6" t="inlineStr">
        <is>
          <t>B2</t>
        </is>
      </c>
      <c r="D29" s="6" t="inlineStr">
        <is>
          <t>ALT</t>
        </is>
      </c>
      <c r="E29" s="6" t="inlineStr">
        <is>
          <t>2026</t>
        </is>
      </c>
      <c r="F29" s="6" t="inlineStr">
        <is>
          <t>2027BUD_V1</t>
        </is>
      </c>
      <c r="G29" s="6" t="n">
        <v>12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48</v>
      </c>
      <c r="M29" s="7" t="n">
        <v>48</v>
      </c>
      <c r="N29" s="7" t="n">
        <v>50</v>
      </c>
      <c r="O29" s="7" t="n">
        <v>2</v>
      </c>
      <c r="P29" s="7" t="n">
        <v>6860</v>
      </c>
      <c r="Q29" s="7" t="n">
        <v>90</v>
      </c>
      <c r="R29" s="7" t="n">
        <v>0</v>
      </c>
      <c r="S29" s="7" t="n">
        <v>0</v>
      </c>
      <c r="T29" s="7" t="n">
        <v>0</v>
      </c>
      <c r="U29" s="7" t="n">
        <v>0</v>
      </c>
      <c r="V29" s="8">
        <f>IFERROR(M29/N29,0)</f>
        <v/>
      </c>
      <c r="W29" s="8">
        <f>IFERROR(I29/H29,0)</f>
        <v/>
      </c>
      <c r="X29" s="8">
        <f>IFERROR(J29/I29,0)</f>
        <v/>
      </c>
      <c r="Y29" s="8">
        <f>IFERROR(K29/J29,0)</f>
        <v/>
      </c>
      <c r="Z29" s="9">
        <f>R29+S29</f>
        <v/>
      </c>
      <c r="AA29" s="9">
        <f>M29*P29+K29*Q29</f>
        <v/>
      </c>
    </row>
    <row r="30">
      <c r="A30" s="6" t="inlineStr">
        <is>
          <t>ISCOM_LIL</t>
        </is>
      </c>
      <c r="B30" s="6" t="inlineStr">
        <is>
          <t>BAC_COM</t>
        </is>
      </c>
      <c r="C30" s="6" t="inlineStr">
        <is>
          <t>B3</t>
        </is>
      </c>
      <c r="D30" s="6" t="inlineStr">
        <is>
          <t>ALT</t>
        </is>
      </c>
      <c r="E30" s="6" t="inlineStr">
        <is>
          <t>2026</t>
        </is>
      </c>
      <c r="F30" s="6" t="inlineStr">
        <is>
          <t>2027BUD_V1</t>
        </is>
      </c>
      <c r="G30" s="6" t="n">
        <v>12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47</v>
      </c>
      <c r="M30" s="7" t="n">
        <v>47</v>
      </c>
      <c r="N30" s="7" t="n">
        <v>48</v>
      </c>
      <c r="O30" s="7" t="n">
        <v>2</v>
      </c>
      <c r="P30" s="7" t="n">
        <v>6860</v>
      </c>
      <c r="Q30" s="7" t="n">
        <v>90</v>
      </c>
      <c r="R30" s="7" t="n">
        <v>0</v>
      </c>
      <c r="S30" s="7" t="n">
        <v>0</v>
      </c>
      <c r="T30" s="7" t="n">
        <v>0</v>
      </c>
      <c r="U30" s="7" t="n">
        <v>0</v>
      </c>
      <c r="V30" s="8">
        <f>IFERROR(M30/N30,0)</f>
        <v/>
      </c>
      <c r="W30" s="8">
        <f>IFERROR(I30/H30,0)</f>
        <v/>
      </c>
      <c r="X30" s="8">
        <f>IFERROR(J30/I30,0)</f>
        <v/>
      </c>
      <c r="Y30" s="8">
        <f>IFERROR(K30/J30,0)</f>
        <v/>
      </c>
      <c r="Z30" s="9">
        <f>R30+S30</f>
        <v/>
      </c>
      <c r="AA30" s="9">
        <f>M30*P30+K30*Q30</f>
        <v/>
      </c>
    </row>
    <row r="31">
      <c r="A31" s="6" t="inlineStr">
        <is>
          <t>ISCOM_LIL</t>
        </is>
      </c>
      <c r="B31" s="6" t="inlineStr">
        <is>
          <t>MAS_COM</t>
        </is>
      </c>
      <c r="C31" s="6" t="inlineStr">
        <is>
          <t>M1</t>
        </is>
      </c>
      <c r="D31" s="6" t="inlineStr">
        <is>
          <t>ALT</t>
        </is>
      </c>
      <c r="E31" s="6" t="inlineStr">
        <is>
          <t>2026</t>
        </is>
      </c>
      <c r="F31" s="6" t="inlineStr">
        <is>
          <t>2027BUD_V1</t>
        </is>
      </c>
      <c r="G31" s="6" t="n">
        <v>12</v>
      </c>
      <c r="H31" s="7" t="n">
        <v>850</v>
      </c>
      <c r="I31" s="7" t="n">
        <v>170</v>
      </c>
      <c r="J31" s="7" t="n">
        <v>119</v>
      </c>
      <c r="K31" s="7" t="n">
        <v>50</v>
      </c>
      <c r="L31" s="7" t="n">
        <v>0</v>
      </c>
      <c r="M31" s="7" t="n">
        <v>50</v>
      </c>
      <c r="N31" s="7" t="n">
        <v>0</v>
      </c>
      <c r="O31" s="7" t="n">
        <v>2</v>
      </c>
      <c r="P31" s="7" t="n">
        <v>7350</v>
      </c>
      <c r="Q31" s="7" t="n">
        <v>90</v>
      </c>
      <c r="R31" s="7" t="n">
        <v>425</v>
      </c>
      <c r="S31" s="7" t="n">
        <v>425</v>
      </c>
      <c r="T31" s="7" t="n">
        <v>17000</v>
      </c>
      <c r="U31" s="7" t="n">
        <v>38704</v>
      </c>
      <c r="V31" s="8">
        <f>IFERROR(M31/N31,0)</f>
        <v/>
      </c>
      <c r="W31" s="8">
        <f>IFERROR(I31/H31,0)</f>
        <v/>
      </c>
      <c r="X31" s="8">
        <f>IFERROR(J31/I31,0)</f>
        <v/>
      </c>
      <c r="Y31" s="8">
        <f>IFERROR(K31/J31,0)</f>
        <v/>
      </c>
      <c r="Z31" s="9">
        <f>R31+S31</f>
        <v/>
      </c>
      <c r="AA31" s="9">
        <f>M31*P31+K31*Q31</f>
        <v/>
      </c>
    </row>
    <row r="32">
      <c r="A32" s="6" t="inlineStr">
        <is>
          <t>ISCOM_LIL</t>
        </is>
      </c>
      <c r="B32" s="6" t="inlineStr">
        <is>
          <t>MAS_COM</t>
        </is>
      </c>
      <c r="C32" s="6" t="inlineStr">
        <is>
          <t>M2</t>
        </is>
      </c>
      <c r="D32" s="6" t="inlineStr">
        <is>
          <t>ALT</t>
        </is>
      </c>
      <c r="E32" s="6" t="inlineStr">
        <is>
          <t>2026</t>
        </is>
      </c>
      <c r="F32" s="6" t="inlineStr">
        <is>
          <t>2027BUD_V1</t>
        </is>
      </c>
      <c r="G32" s="6" t="n">
        <v>12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49</v>
      </c>
      <c r="M32" s="7" t="n">
        <v>49</v>
      </c>
      <c r="N32" s="7" t="n">
        <v>50</v>
      </c>
      <c r="O32" s="7" t="n">
        <v>2</v>
      </c>
      <c r="P32" s="7" t="n">
        <v>7350</v>
      </c>
      <c r="Q32" s="7" t="n">
        <v>90</v>
      </c>
      <c r="R32" s="7" t="n">
        <v>0</v>
      </c>
      <c r="S32" s="7" t="n">
        <v>0</v>
      </c>
      <c r="T32" s="7" t="n">
        <v>0</v>
      </c>
      <c r="U32" s="7" t="n">
        <v>0</v>
      </c>
      <c r="V32" s="8">
        <f>IFERROR(M32/N32,0)</f>
        <v/>
      </c>
      <c r="W32" s="8">
        <f>IFERROR(I32/H32,0)</f>
        <v/>
      </c>
      <c r="X32" s="8">
        <f>IFERROR(J32/I32,0)</f>
        <v/>
      </c>
      <c r="Y32" s="8">
        <f>IFERROR(K32/J32,0)</f>
        <v/>
      </c>
      <c r="Z32" s="9">
        <f>R32+S32</f>
        <v/>
      </c>
      <c r="AA32" s="9">
        <f>M32*P32+K32*Q32</f>
        <v/>
      </c>
    </row>
    <row r="33">
      <c r="A33" s="6" t="inlineStr">
        <is>
          <t>ISCOM_TLS</t>
        </is>
      </c>
      <c r="B33" s="6" t="inlineStr">
        <is>
          <t>BAC_COM</t>
        </is>
      </c>
      <c r="C33" s="6" t="inlineStr">
        <is>
          <t>B1</t>
        </is>
      </c>
      <c r="D33" s="6" t="inlineStr">
        <is>
          <t>INIT</t>
        </is>
      </c>
      <c r="E33" s="6" t="inlineStr">
        <is>
          <t>2026</t>
        </is>
      </c>
      <c r="F33" s="6" t="inlineStr">
        <is>
          <t>2027BUD_V1</t>
        </is>
      </c>
      <c r="G33" s="6" t="n">
        <v>12</v>
      </c>
      <c r="H33" s="7" t="n">
        <v>386</v>
      </c>
      <c r="I33" s="7" t="n">
        <v>108</v>
      </c>
      <c r="J33" s="7" t="n">
        <v>78</v>
      </c>
      <c r="K33" s="7" t="n">
        <v>47</v>
      </c>
      <c r="L33" s="7" t="n">
        <v>0</v>
      </c>
      <c r="M33" s="7" t="n">
        <v>47</v>
      </c>
      <c r="N33" s="7" t="n">
        <v>0</v>
      </c>
      <c r="O33" s="7" t="n">
        <v>2</v>
      </c>
      <c r="P33" s="7" t="n">
        <v>7200</v>
      </c>
      <c r="Q33" s="7" t="n">
        <v>90</v>
      </c>
      <c r="R33" s="7" t="n">
        <v>197</v>
      </c>
      <c r="S33" s="7" t="n">
        <v>189</v>
      </c>
      <c r="T33" s="7" t="n">
        <v>7187</v>
      </c>
      <c r="U33" s="7" t="n">
        <v>17946</v>
      </c>
      <c r="V33" s="8">
        <f>IFERROR(M33/N33,0)</f>
        <v/>
      </c>
      <c r="W33" s="8">
        <f>IFERROR(I33/H33,0)</f>
        <v/>
      </c>
      <c r="X33" s="8">
        <f>IFERROR(J33/I33,0)</f>
        <v/>
      </c>
      <c r="Y33" s="8">
        <f>IFERROR(K33/J33,0)</f>
        <v/>
      </c>
      <c r="Z33" s="9">
        <f>R33+S33</f>
        <v/>
      </c>
      <c r="AA33" s="9">
        <f>M33*P33+K33*Q33</f>
        <v/>
      </c>
    </row>
    <row r="34">
      <c r="A34" s="6" t="inlineStr">
        <is>
          <t>ISCOM_TLS</t>
        </is>
      </c>
      <c r="B34" s="6" t="inlineStr">
        <is>
          <t>BAC_COM</t>
        </is>
      </c>
      <c r="C34" s="6" t="inlineStr">
        <is>
          <t>B2</t>
        </is>
      </c>
      <c r="D34" s="6" t="inlineStr">
        <is>
          <t>ALT</t>
        </is>
      </c>
      <c r="E34" s="6" t="inlineStr">
        <is>
          <t>2026</t>
        </is>
      </c>
      <c r="F34" s="6" t="inlineStr">
        <is>
          <t>2027BUD_V1</t>
        </is>
      </c>
      <c r="G34" s="6" t="n">
        <v>12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46</v>
      </c>
      <c r="M34" s="7" t="n">
        <v>46</v>
      </c>
      <c r="N34" s="7" t="n">
        <v>47</v>
      </c>
      <c r="O34" s="7" t="n">
        <v>2</v>
      </c>
      <c r="P34" s="7" t="n">
        <v>6720</v>
      </c>
      <c r="Q34" s="7" t="n">
        <v>90</v>
      </c>
      <c r="R34" s="7" t="n">
        <v>0</v>
      </c>
      <c r="S34" s="7" t="n">
        <v>0</v>
      </c>
      <c r="T34" s="7" t="n">
        <v>0</v>
      </c>
      <c r="U34" s="7" t="n">
        <v>0</v>
      </c>
      <c r="V34" s="8">
        <f>IFERROR(M34/N34,0)</f>
        <v/>
      </c>
      <c r="W34" s="8">
        <f>IFERROR(I34/H34,0)</f>
        <v/>
      </c>
      <c r="X34" s="8">
        <f>IFERROR(J34/I34,0)</f>
        <v/>
      </c>
      <c r="Y34" s="8">
        <f>IFERROR(K34/J34,0)</f>
        <v/>
      </c>
      <c r="Z34" s="9">
        <f>R34+S34</f>
        <v/>
      </c>
      <c r="AA34" s="9">
        <f>M34*P34+K34*Q34</f>
        <v/>
      </c>
    </row>
    <row r="35">
      <c r="A35" s="6" t="inlineStr">
        <is>
          <t>ISCOM_TLS</t>
        </is>
      </c>
      <c r="B35" s="6" t="inlineStr">
        <is>
          <t>BAC_COM</t>
        </is>
      </c>
      <c r="C35" s="6" t="inlineStr">
        <is>
          <t>B3</t>
        </is>
      </c>
      <c r="D35" s="6" t="inlineStr">
        <is>
          <t>ALT</t>
        </is>
      </c>
      <c r="E35" s="6" t="inlineStr">
        <is>
          <t>2026</t>
        </is>
      </c>
      <c r="F35" s="6" t="inlineStr">
        <is>
          <t>2027BUD_V1</t>
        </is>
      </c>
      <c r="G35" s="6" t="n">
        <v>12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45</v>
      </c>
      <c r="M35" s="7" t="n">
        <v>45</v>
      </c>
      <c r="N35" s="7" t="n">
        <v>46</v>
      </c>
      <c r="O35" s="7" t="n">
        <v>2</v>
      </c>
      <c r="P35" s="7" t="n">
        <v>6720</v>
      </c>
      <c r="Q35" s="7" t="n">
        <v>90</v>
      </c>
      <c r="R35" s="7" t="n">
        <v>0</v>
      </c>
      <c r="S35" s="7" t="n">
        <v>0</v>
      </c>
      <c r="T35" s="7" t="n">
        <v>0</v>
      </c>
      <c r="U35" s="7" t="n">
        <v>0</v>
      </c>
      <c r="V35" s="8">
        <f>IFERROR(M35/N35,0)</f>
        <v/>
      </c>
      <c r="W35" s="8">
        <f>IFERROR(I35/H35,0)</f>
        <v/>
      </c>
      <c r="X35" s="8">
        <f>IFERROR(J35/I35,0)</f>
        <v/>
      </c>
      <c r="Y35" s="8">
        <f>IFERROR(K35/J35,0)</f>
        <v/>
      </c>
      <c r="Z35" s="9">
        <f>R35+S35</f>
        <v/>
      </c>
      <c r="AA35" s="9">
        <f>M35*P35+K35*Q35</f>
        <v/>
      </c>
    </row>
    <row r="36">
      <c r="A36" s="6" t="inlineStr">
        <is>
          <t>ISCOM_TLS</t>
        </is>
      </c>
      <c r="B36" s="6" t="inlineStr">
        <is>
          <t>MAS_COM</t>
        </is>
      </c>
      <c r="C36" s="6" t="inlineStr">
        <is>
          <t>M1</t>
        </is>
      </c>
      <c r="D36" s="6" t="inlineStr">
        <is>
          <t>ALT</t>
        </is>
      </c>
      <c r="E36" s="6" t="inlineStr">
        <is>
          <t>2026</t>
        </is>
      </c>
      <c r="F36" s="6" t="inlineStr">
        <is>
          <t>2027BUD_V1</t>
        </is>
      </c>
      <c r="G36" s="6" t="n">
        <v>12</v>
      </c>
      <c r="H36" s="7" t="n">
        <v>800</v>
      </c>
      <c r="I36" s="7" t="n">
        <v>160</v>
      </c>
      <c r="J36" s="7" t="n">
        <v>112</v>
      </c>
      <c r="K36" s="7" t="n">
        <v>47</v>
      </c>
      <c r="L36" s="7" t="n">
        <v>0</v>
      </c>
      <c r="M36" s="7" t="n">
        <v>47</v>
      </c>
      <c r="N36" s="7" t="n">
        <v>0</v>
      </c>
      <c r="O36" s="7" t="n">
        <v>2</v>
      </c>
      <c r="P36" s="7" t="n">
        <v>7200</v>
      </c>
      <c r="Q36" s="7" t="n">
        <v>90</v>
      </c>
      <c r="R36" s="7" t="n">
        <v>408</v>
      </c>
      <c r="S36" s="7" t="n">
        <v>392</v>
      </c>
      <c r="T36" s="7" t="n">
        <v>14896</v>
      </c>
      <c r="U36" s="7" t="n">
        <v>37193</v>
      </c>
      <c r="V36" s="8">
        <f>IFERROR(M36/N36,0)</f>
        <v/>
      </c>
      <c r="W36" s="8">
        <f>IFERROR(I36/H36,0)</f>
        <v/>
      </c>
      <c r="X36" s="8">
        <f>IFERROR(J36/I36,0)</f>
        <v/>
      </c>
      <c r="Y36" s="8">
        <f>IFERROR(K36/J36,0)</f>
        <v/>
      </c>
      <c r="Z36" s="9">
        <f>R36+S36</f>
        <v/>
      </c>
      <c r="AA36" s="9">
        <f>M36*P36+K36*Q36</f>
        <v/>
      </c>
    </row>
    <row r="37">
      <c r="A37" s="6" t="inlineStr">
        <is>
          <t>ISCOM_TLS</t>
        </is>
      </c>
      <c r="B37" s="6" t="inlineStr">
        <is>
          <t>MAS_COM</t>
        </is>
      </c>
      <c r="C37" s="6" t="inlineStr">
        <is>
          <t>M2</t>
        </is>
      </c>
      <c r="D37" s="6" t="inlineStr">
        <is>
          <t>ALT</t>
        </is>
      </c>
      <c r="E37" s="6" t="inlineStr">
        <is>
          <t>2026</t>
        </is>
      </c>
      <c r="F37" s="6" t="inlineStr">
        <is>
          <t>2027BUD_V1</t>
        </is>
      </c>
      <c r="G37" s="6" t="n">
        <v>12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46</v>
      </c>
      <c r="M37" s="7" t="n">
        <v>46</v>
      </c>
      <c r="N37" s="7" t="n">
        <v>47</v>
      </c>
      <c r="O37" s="7" t="n">
        <v>2</v>
      </c>
      <c r="P37" s="7" t="n">
        <v>7200</v>
      </c>
      <c r="Q37" s="7" t="n">
        <v>90</v>
      </c>
      <c r="R37" s="7" t="n">
        <v>0</v>
      </c>
      <c r="S37" s="7" t="n">
        <v>0</v>
      </c>
      <c r="T37" s="7" t="n">
        <v>0</v>
      </c>
      <c r="U37" s="7" t="n">
        <v>0</v>
      </c>
      <c r="V37" s="8">
        <f>IFERROR(M37/N37,0)</f>
        <v/>
      </c>
      <c r="W37" s="8">
        <f>IFERROR(I37/H37,0)</f>
        <v/>
      </c>
      <c r="X37" s="8">
        <f>IFERROR(J37/I37,0)</f>
        <v/>
      </c>
      <c r="Y37" s="8">
        <f>IFERROR(K37/J37,0)</f>
        <v/>
      </c>
      <c r="Z37" s="9">
        <f>R37+S37</f>
        <v/>
      </c>
      <c r="AA37" s="9">
        <f>M37*P37+K37*Q37</f>
        <v/>
      </c>
    </row>
    <row r="38">
      <c r="A38" s="6" t="inlineStr">
        <is>
          <t>IPAC_NAN</t>
        </is>
      </c>
      <c r="B38" s="6" t="inlineStr">
        <is>
          <t>BAC_CCE</t>
        </is>
      </c>
      <c r="C38" s="6" t="inlineStr">
        <is>
          <t>B1</t>
        </is>
      </c>
      <c r="D38" s="6" t="inlineStr">
        <is>
          <t>ALT</t>
        </is>
      </c>
      <c r="E38" s="6" t="inlineStr">
        <is>
          <t>2026</t>
        </is>
      </c>
      <c r="F38" s="6" t="inlineStr">
        <is>
          <t>2027BUD_V1</t>
        </is>
      </c>
      <c r="G38" s="6" t="n">
        <v>12</v>
      </c>
      <c r="H38" s="7" t="n">
        <v>850</v>
      </c>
      <c r="I38" s="7" t="n">
        <v>170</v>
      </c>
      <c r="J38" s="7" t="n">
        <v>119</v>
      </c>
      <c r="K38" s="7" t="n">
        <v>50</v>
      </c>
      <c r="L38" s="7" t="n">
        <v>0</v>
      </c>
      <c r="M38" s="7" t="n">
        <v>50</v>
      </c>
      <c r="N38" s="7" t="n">
        <v>0</v>
      </c>
      <c r="O38" s="7" t="n">
        <v>2</v>
      </c>
      <c r="P38" s="7" t="n">
        <v>7000</v>
      </c>
      <c r="Q38" s="7" t="n">
        <v>90</v>
      </c>
      <c r="R38" s="7" t="n">
        <v>306</v>
      </c>
      <c r="S38" s="7" t="n">
        <v>544</v>
      </c>
      <c r="T38" s="7" t="n">
        <v>21760</v>
      </c>
      <c r="U38" s="7" t="n">
        <v>27889</v>
      </c>
      <c r="V38" s="8">
        <f>IFERROR(M38/N38,0)</f>
        <v/>
      </c>
      <c r="W38" s="8">
        <f>IFERROR(I38/H38,0)</f>
        <v/>
      </c>
      <c r="X38" s="8">
        <f>IFERROR(J38/I38,0)</f>
        <v/>
      </c>
      <c r="Y38" s="8">
        <f>IFERROR(K38/J38,0)</f>
        <v/>
      </c>
      <c r="Z38" s="9">
        <f>R38+S38</f>
        <v/>
      </c>
      <c r="AA38" s="9">
        <f>M38*P38+K38*Q38</f>
        <v/>
      </c>
    </row>
    <row r="39">
      <c r="A39" s="6" t="inlineStr">
        <is>
          <t>IPAC_NAN</t>
        </is>
      </c>
      <c r="B39" s="6" t="inlineStr">
        <is>
          <t>BAC_CCE</t>
        </is>
      </c>
      <c r="C39" s="6" t="inlineStr">
        <is>
          <t>B2</t>
        </is>
      </c>
      <c r="D39" s="6" t="inlineStr">
        <is>
          <t>ALT</t>
        </is>
      </c>
      <c r="E39" s="6" t="inlineStr">
        <is>
          <t>2026</t>
        </is>
      </c>
      <c r="F39" s="6" t="inlineStr">
        <is>
          <t>2027BUD_V1</t>
        </is>
      </c>
      <c r="G39" s="6" t="n">
        <v>12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48</v>
      </c>
      <c r="M39" s="7" t="n">
        <v>48</v>
      </c>
      <c r="N39" s="7" t="n">
        <v>50</v>
      </c>
      <c r="O39" s="7" t="n">
        <v>2</v>
      </c>
      <c r="P39" s="7" t="n">
        <v>7000</v>
      </c>
      <c r="Q39" s="7" t="n">
        <v>90</v>
      </c>
      <c r="R39" s="7" t="n">
        <v>0</v>
      </c>
      <c r="S39" s="7" t="n">
        <v>0</v>
      </c>
      <c r="T39" s="7" t="n">
        <v>0</v>
      </c>
      <c r="U39" s="7" t="n">
        <v>0</v>
      </c>
      <c r="V39" s="8">
        <f>IFERROR(M39/N39,0)</f>
        <v/>
      </c>
      <c r="W39" s="8">
        <f>IFERROR(I39/H39,0)</f>
        <v/>
      </c>
      <c r="X39" s="8">
        <f>IFERROR(J39/I39,0)</f>
        <v/>
      </c>
      <c r="Y39" s="8">
        <f>IFERROR(K39/J39,0)</f>
        <v/>
      </c>
      <c r="Z39" s="9">
        <f>R39+S39</f>
        <v/>
      </c>
      <c r="AA39" s="9">
        <f>M39*P39+K39*Q39</f>
        <v/>
      </c>
    </row>
    <row r="40">
      <c r="A40" s="6" t="inlineStr">
        <is>
          <t>IPAC_NAN</t>
        </is>
      </c>
      <c r="B40" s="6" t="inlineStr">
        <is>
          <t>BAC_CCE</t>
        </is>
      </c>
      <c r="C40" s="6" t="inlineStr">
        <is>
          <t>B3</t>
        </is>
      </c>
      <c r="D40" s="6" t="inlineStr">
        <is>
          <t>ALT</t>
        </is>
      </c>
      <c r="E40" s="6" t="inlineStr">
        <is>
          <t>2026</t>
        </is>
      </c>
      <c r="F40" s="6" t="inlineStr">
        <is>
          <t>2027BUD_V1</t>
        </is>
      </c>
      <c r="G40" s="6" t="n">
        <v>12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47</v>
      </c>
      <c r="M40" s="7" t="n">
        <v>47</v>
      </c>
      <c r="N40" s="7" t="n">
        <v>48</v>
      </c>
      <c r="O40" s="7" t="n">
        <v>2</v>
      </c>
      <c r="P40" s="7" t="n">
        <v>7000</v>
      </c>
      <c r="Q40" s="7" t="n">
        <v>90</v>
      </c>
      <c r="R40" s="7" t="n">
        <v>0</v>
      </c>
      <c r="S40" s="7" t="n">
        <v>0</v>
      </c>
      <c r="T40" s="7" t="n">
        <v>0</v>
      </c>
      <c r="U40" s="7" t="n">
        <v>0</v>
      </c>
      <c r="V40" s="8">
        <f>IFERROR(M40/N40,0)</f>
        <v/>
      </c>
      <c r="W40" s="8">
        <f>IFERROR(I40/H40,0)</f>
        <v/>
      </c>
      <c r="X40" s="8">
        <f>IFERROR(J40/I40,0)</f>
        <v/>
      </c>
      <c r="Y40" s="8">
        <f>IFERROR(K40/J40,0)</f>
        <v/>
      </c>
      <c r="Z40" s="9">
        <f>R40+S40</f>
        <v/>
      </c>
      <c r="AA40" s="9">
        <f>M40*P40+K40*Q40</f>
        <v/>
      </c>
    </row>
    <row r="41">
      <c r="A41" s="6" t="inlineStr">
        <is>
          <t>IPAC_REN</t>
        </is>
      </c>
      <c r="B41" s="6" t="inlineStr">
        <is>
          <t>BAC_CCE</t>
        </is>
      </c>
      <c r="C41" s="6" t="inlineStr">
        <is>
          <t>B1</t>
        </is>
      </c>
      <c r="D41" s="6" t="inlineStr">
        <is>
          <t>ALT</t>
        </is>
      </c>
      <c r="E41" s="6" t="inlineStr">
        <is>
          <t>2026</t>
        </is>
      </c>
      <c r="F41" s="6" t="inlineStr">
        <is>
          <t>2027BUD_V1</t>
        </is>
      </c>
      <c r="G41" s="6" t="n">
        <v>12</v>
      </c>
      <c r="H41" s="7" t="n">
        <v>680</v>
      </c>
      <c r="I41" s="7" t="n">
        <v>136</v>
      </c>
      <c r="J41" s="7" t="n">
        <v>95</v>
      </c>
      <c r="K41" s="7" t="n">
        <v>40</v>
      </c>
      <c r="L41" s="7" t="n">
        <v>0</v>
      </c>
      <c r="M41" s="7" t="n">
        <v>40</v>
      </c>
      <c r="N41" s="7" t="n">
        <v>0</v>
      </c>
      <c r="O41" s="7" t="n">
        <v>2</v>
      </c>
      <c r="P41" s="7" t="n">
        <v>6650</v>
      </c>
      <c r="Q41" s="7" t="n">
        <v>90</v>
      </c>
      <c r="R41" s="7" t="n">
        <v>265</v>
      </c>
      <c r="S41" s="7" t="n">
        <v>415</v>
      </c>
      <c r="T41" s="7" t="n">
        <v>14933</v>
      </c>
      <c r="U41" s="7" t="n">
        <v>24152</v>
      </c>
      <c r="V41" s="8">
        <f>IFERROR(M41/N41,0)</f>
        <v/>
      </c>
      <c r="W41" s="8">
        <f>IFERROR(I41/H41,0)</f>
        <v/>
      </c>
      <c r="X41" s="8">
        <f>IFERROR(J41/I41,0)</f>
        <v/>
      </c>
      <c r="Y41" s="8">
        <f>IFERROR(K41/J41,0)</f>
        <v/>
      </c>
      <c r="Z41" s="9">
        <f>R41+S41</f>
        <v/>
      </c>
      <c r="AA41" s="9">
        <f>M41*P41+K41*Q41</f>
        <v/>
      </c>
    </row>
    <row r="42">
      <c r="A42" s="6" t="inlineStr">
        <is>
          <t>IPAC_REN</t>
        </is>
      </c>
      <c r="B42" s="6" t="inlineStr">
        <is>
          <t>BAC_CCE</t>
        </is>
      </c>
      <c r="C42" s="6" t="inlineStr">
        <is>
          <t>B2</t>
        </is>
      </c>
      <c r="D42" s="6" t="inlineStr">
        <is>
          <t>ALT</t>
        </is>
      </c>
      <c r="E42" s="6" t="inlineStr">
        <is>
          <t>2026</t>
        </is>
      </c>
      <c r="F42" s="6" t="inlineStr">
        <is>
          <t>2027BUD_V1</t>
        </is>
      </c>
      <c r="G42" s="6" t="n">
        <v>12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39</v>
      </c>
      <c r="M42" s="7" t="n">
        <v>39</v>
      </c>
      <c r="N42" s="7" t="n">
        <v>40</v>
      </c>
      <c r="O42" s="7" t="n">
        <v>2</v>
      </c>
      <c r="P42" s="7" t="n">
        <v>6650</v>
      </c>
      <c r="Q42" s="7" t="n">
        <v>90</v>
      </c>
      <c r="R42" s="7" t="n">
        <v>0</v>
      </c>
      <c r="S42" s="7" t="n">
        <v>0</v>
      </c>
      <c r="T42" s="7" t="n">
        <v>0</v>
      </c>
      <c r="U42" s="7" t="n">
        <v>0</v>
      </c>
      <c r="V42" s="8">
        <f>IFERROR(M42/N42,0)</f>
        <v/>
      </c>
      <c r="W42" s="8">
        <f>IFERROR(I42/H42,0)</f>
        <v/>
      </c>
      <c r="X42" s="8">
        <f>IFERROR(J42/I42,0)</f>
        <v/>
      </c>
      <c r="Y42" s="8">
        <f>IFERROR(K42/J42,0)</f>
        <v/>
      </c>
      <c r="Z42" s="9">
        <f>R42+S42</f>
        <v/>
      </c>
      <c r="AA42" s="9">
        <f>M42*P42+K42*Q42</f>
        <v/>
      </c>
    </row>
    <row r="43">
      <c r="A43" s="6" t="inlineStr">
        <is>
          <t>IPAC_REN</t>
        </is>
      </c>
      <c r="B43" s="6" t="inlineStr">
        <is>
          <t>BAC_CCE</t>
        </is>
      </c>
      <c r="C43" s="6" t="inlineStr">
        <is>
          <t>B3</t>
        </is>
      </c>
      <c r="D43" s="6" t="inlineStr">
        <is>
          <t>ALT</t>
        </is>
      </c>
      <c r="E43" s="6" t="inlineStr">
        <is>
          <t>2026</t>
        </is>
      </c>
      <c r="F43" s="6" t="inlineStr">
        <is>
          <t>2027BUD_V1</t>
        </is>
      </c>
      <c r="G43" s="6" t="n">
        <v>12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38</v>
      </c>
      <c r="M43" s="7" t="n">
        <v>38</v>
      </c>
      <c r="N43" s="7" t="n">
        <v>39</v>
      </c>
      <c r="O43" s="7" t="n">
        <v>2</v>
      </c>
      <c r="P43" s="7" t="n">
        <v>6650</v>
      </c>
      <c r="Q43" s="7" t="n">
        <v>90</v>
      </c>
      <c r="R43" s="7" t="n">
        <v>0</v>
      </c>
      <c r="S43" s="7" t="n">
        <v>0</v>
      </c>
      <c r="T43" s="7" t="n">
        <v>0</v>
      </c>
      <c r="U43" s="7" t="n">
        <v>0</v>
      </c>
      <c r="V43" s="8">
        <f>IFERROR(M43/N43,0)</f>
        <v/>
      </c>
      <c r="W43" s="8">
        <f>IFERROR(I43/H43,0)</f>
        <v/>
      </c>
      <c r="X43" s="8">
        <f>IFERROR(J43/I43,0)</f>
        <v/>
      </c>
      <c r="Y43" s="8">
        <f>IFERROR(K43/J43,0)</f>
        <v/>
      </c>
      <c r="Z43" s="9">
        <f>R43+S43</f>
        <v/>
      </c>
      <c r="AA43" s="9">
        <f>M43*P43+K43*Q43</f>
        <v/>
      </c>
    </row>
    <row r="44">
      <c r="A44" s="6" t="inlineStr">
        <is>
          <t>IPAC_MTP</t>
        </is>
      </c>
      <c r="B44" s="6" t="inlineStr">
        <is>
          <t>BAC_CCE</t>
        </is>
      </c>
      <c r="C44" s="6" t="inlineStr">
        <is>
          <t>B1</t>
        </is>
      </c>
      <c r="D44" s="6" t="inlineStr">
        <is>
          <t>ALT</t>
        </is>
      </c>
      <c r="E44" s="6" t="inlineStr">
        <is>
          <t>2026</t>
        </is>
      </c>
      <c r="F44" s="6" t="inlineStr">
        <is>
          <t>2027BUD_V1</t>
        </is>
      </c>
      <c r="G44" s="6" t="n">
        <v>12</v>
      </c>
      <c r="H44" s="7" t="n">
        <v>680</v>
      </c>
      <c r="I44" s="7" t="n">
        <v>136</v>
      </c>
      <c r="J44" s="7" t="n">
        <v>95</v>
      </c>
      <c r="K44" s="7" t="n">
        <v>40</v>
      </c>
      <c r="L44" s="7" t="n">
        <v>0</v>
      </c>
      <c r="M44" s="7" t="n">
        <v>40</v>
      </c>
      <c r="N44" s="7" t="n">
        <v>0</v>
      </c>
      <c r="O44" s="7" t="n">
        <v>2</v>
      </c>
      <c r="P44" s="7" t="n">
        <v>6650</v>
      </c>
      <c r="Q44" s="7" t="n">
        <v>90</v>
      </c>
      <c r="R44" s="7" t="n">
        <v>258</v>
      </c>
      <c r="S44" s="7" t="n">
        <v>422</v>
      </c>
      <c r="T44" s="7" t="n">
        <v>15178</v>
      </c>
      <c r="U44" s="7" t="n">
        <v>23514</v>
      </c>
      <c r="V44" s="8">
        <f>IFERROR(M44/N44,0)</f>
        <v/>
      </c>
      <c r="W44" s="8">
        <f>IFERROR(I44/H44,0)</f>
        <v/>
      </c>
      <c r="X44" s="8">
        <f>IFERROR(J44/I44,0)</f>
        <v/>
      </c>
      <c r="Y44" s="8">
        <f>IFERROR(K44/J44,0)</f>
        <v/>
      </c>
      <c r="Z44" s="9">
        <f>R44+S44</f>
        <v/>
      </c>
      <c r="AA44" s="9">
        <f>M44*P44+K44*Q44</f>
        <v/>
      </c>
    </row>
    <row r="45">
      <c r="A45" s="6" t="inlineStr">
        <is>
          <t>IPAC_MTP</t>
        </is>
      </c>
      <c r="B45" s="6" t="inlineStr">
        <is>
          <t>BAC_CCE</t>
        </is>
      </c>
      <c r="C45" s="6" t="inlineStr">
        <is>
          <t>B2</t>
        </is>
      </c>
      <c r="D45" s="6" t="inlineStr">
        <is>
          <t>ALT</t>
        </is>
      </c>
      <c r="E45" s="6" t="inlineStr">
        <is>
          <t>2026</t>
        </is>
      </c>
      <c r="F45" s="6" t="inlineStr">
        <is>
          <t>2027BUD_V1</t>
        </is>
      </c>
      <c r="G45" s="6" t="n">
        <v>12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39</v>
      </c>
      <c r="M45" s="7" t="n">
        <v>39</v>
      </c>
      <c r="N45" s="7" t="n">
        <v>40</v>
      </c>
      <c r="O45" s="7" t="n">
        <v>2</v>
      </c>
      <c r="P45" s="7" t="n">
        <v>6650</v>
      </c>
      <c r="Q45" s="7" t="n">
        <v>90</v>
      </c>
      <c r="R45" s="7" t="n">
        <v>0</v>
      </c>
      <c r="S45" s="7" t="n">
        <v>0</v>
      </c>
      <c r="T45" s="7" t="n">
        <v>0</v>
      </c>
      <c r="U45" s="7" t="n">
        <v>0</v>
      </c>
      <c r="V45" s="8">
        <f>IFERROR(M45/N45,0)</f>
        <v/>
      </c>
      <c r="W45" s="8">
        <f>IFERROR(I45/H45,0)</f>
        <v/>
      </c>
      <c r="X45" s="8">
        <f>IFERROR(J45/I45,0)</f>
        <v/>
      </c>
      <c r="Y45" s="8">
        <f>IFERROR(K45/J45,0)</f>
        <v/>
      </c>
      <c r="Z45" s="9">
        <f>R45+S45</f>
        <v/>
      </c>
      <c r="AA45" s="9">
        <f>M45*P45+K45*Q45</f>
        <v/>
      </c>
    </row>
    <row r="46">
      <c r="A46" s="6" t="inlineStr">
        <is>
          <t>IPAC_MTP</t>
        </is>
      </c>
      <c r="B46" s="6" t="inlineStr">
        <is>
          <t>BAC_CCE</t>
        </is>
      </c>
      <c r="C46" s="6" t="inlineStr">
        <is>
          <t>B3</t>
        </is>
      </c>
      <c r="D46" s="6" t="inlineStr">
        <is>
          <t>ALT</t>
        </is>
      </c>
      <c r="E46" s="6" t="inlineStr">
        <is>
          <t>2026</t>
        </is>
      </c>
      <c r="F46" s="6" t="inlineStr">
        <is>
          <t>2027BUD_V1</t>
        </is>
      </c>
      <c r="G46" s="6" t="n">
        <v>12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38</v>
      </c>
      <c r="M46" s="7" t="n">
        <v>38</v>
      </c>
      <c r="N46" s="7" t="n">
        <v>39</v>
      </c>
      <c r="O46" s="7" t="n">
        <v>2</v>
      </c>
      <c r="P46" s="7" t="n">
        <v>6650</v>
      </c>
      <c r="Q46" s="7" t="n">
        <v>90</v>
      </c>
      <c r="R46" s="7" t="n">
        <v>0</v>
      </c>
      <c r="S46" s="7" t="n">
        <v>0</v>
      </c>
      <c r="T46" s="7" t="n">
        <v>0</v>
      </c>
      <c r="U46" s="7" t="n">
        <v>0</v>
      </c>
      <c r="V46" s="8">
        <f>IFERROR(M46/N46,0)</f>
        <v/>
      </c>
      <c r="W46" s="8">
        <f>IFERROR(I46/H46,0)</f>
        <v/>
      </c>
      <c r="X46" s="8">
        <f>IFERROR(J46/I46,0)</f>
        <v/>
      </c>
      <c r="Y46" s="8">
        <f>IFERROR(K46/J46,0)</f>
        <v/>
      </c>
      <c r="Z46" s="9">
        <f>R46+S46</f>
        <v/>
      </c>
      <c r="AA46" s="9">
        <f>M46*P46+K46*Q46</f>
        <v/>
      </c>
    </row>
    <row r="47">
      <c r="A47" s="6" t="inlineStr">
        <is>
          <t>PIGIER_LYO</t>
        </is>
      </c>
      <c r="B47" s="6" t="inlineStr">
        <is>
          <t>BTS_GES</t>
        </is>
      </c>
      <c r="C47" s="6" t="inlineStr">
        <is>
          <t>BTS1</t>
        </is>
      </c>
      <c r="D47" s="6" t="inlineStr">
        <is>
          <t>ALT</t>
        </is>
      </c>
      <c r="E47" s="6" t="inlineStr">
        <is>
          <t>2026</t>
        </is>
      </c>
      <c r="F47" s="6" t="inlineStr">
        <is>
          <t>2027BUD_V1</t>
        </is>
      </c>
      <c r="G47" s="6" t="n">
        <v>12</v>
      </c>
      <c r="H47" s="7" t="n">
        <v>785</v>
      </c>
      <c r="I47" s="7" t="n">
        <v>157</v>
      </c>
      <c r="J47" s="7" t="n">
        <v>110</v>
      </c>
      <c r="K47" s="7" t="n">
        <v>46</v>
      </c>
      <c r="L47" s="7" t="n">
        <v>0</v>
      </c>
      <c r="M47" s="7" t="n">
        <v>46</v>
      </c>
      <c r="N47" s="7" t="n">
        <v>0</v>
      </c>
      <c r="O47" s="7" t="n">
        <v>2</v>
      </c>
      <c r="P47" s="7" t="n">
        <v>6300</v>
      </c>
      <c r="Q47" s="7" t="n">
        <v>90</v>
      </c>
      <c r="R47" s="7" t="n">
        <v>369</v>
      </c>
      <c r="S47" s="7" t="n">
        <v>416</v>
      </c>
      <c r="T47" s="7" t="n">
        <v>18306</v>
      </c>
      <c r="U47" s="7" t="n">
        <v>33630</v>
      </c>
      <c r="V47" s="8">
        <f>IFERROR(M47/N47,0)</f>
        <v/>
      </c>
      <c r="W47" s="8">
        <f>IFERROR(I47/H47,0)</f>
        <v/>
      </c>
      <c r="X47" s="8">
        <f>IFERROR(J47/I47,0)</f>
        <v/>
      </c>
      <c r="Y47" s="8">
        <f>IFERROR(K47/J47,0)</f>
        <v/>
      </c>
      <c r="Z47" s="9">
        <f>R47+S47</f>
        <v/>
      </c>
      <c r="AA47" s="9">
        <f>M47*P47+K47*Q47</f>
        <v/>
      </c>
    </row>
    <row r="48">
      <c r="A48" s="6" t="inlineStr">
        <is>
          <t>PIGIER_LYO</t>
        </is>
      </c>
      <c r="B48" s="6" t="inlineStr">
        <is>
          <t>BTS_GES</t>
        </is>
      </c>
      <c r="C48" s="6" t="inlineStr">
        <is>
          <t>BTS2</t>
        </is>
      </c>
      <c r="D48" s="6" t="inlineStr">
        <is>
          <t>ALT</t>
        </is>
      </c>
      <c r="E48" s="6" t="inlineStr">
        <is>
          <t>2026</t>
        </is>
      </c>
      <c r="F48" s="6" t="inlineStr">
        <is>
          <t>2027BUD_V1</t>
        </is>
      </c>
      <c r="G48" s="6" t="n">
        <v>12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45</v>
      </c>
      <c r="M48" s="7" t="n">
        <v>45</v>
      </c>
      <c r="N48" s="7" t="n">
        <v>46</v>
      </c>
      <c r="O48" s="7" t="n">
        <v>2</v>
      </c>
      <c r="P48" s="7" t="n">
        <v>6300</v>
      </c>
      <c r="Q48" s="7" t="n">
        <v>90</v>
      </c>
      <c r="R48" s="7" t="n">
        <v>0</v>
      </c>
      <c r="S48" s="7" t="n">
        <v>0</v>
      </c>
      <c r="T48" s="7" t="n">
        <v>0</v>
      </c>
      <c r="U48" s="7" t="n">
        <v>0</v>
      </c>
      <c r="V48" s="8">
        <f>IFERROR(M48/N48,0)</f>
        <v/>
      </c>
      <c r="W48" s="8">
        <f>IFERROR(I48/H48,0)</f>
        <v/>
      </c>
      <c r="X48" s="8">
        <f>IFERROR(J48/I48,0)</f>
        <v/>
      </c>
      <c r="Y48" s="8">
        <f>IFERROR(K48/J48,0)</f>
        <v/>
      </c>
      <c r="Z48" s="9">
        <f>R48+S48</f>
        <v/>
      </c>
      <c r="AA48" s="9">
        <f>M48*P48+K48*Q48</f>
        <v/>
      </c>
    </row>
    <row r="49">
      <c r="A49" s="6" t="inlineStr">
        <is>
          <t>PIGIER_LYO</t>
        </is>
      </c>
      <c r="B49" s="6" t="inlineStr">
        <is>
          <t>BAC_RH</t>
        </is>
      </c>
      <c r="C49" s="6" t="inlineStr">
        <is>
          <t>B1</t>
        </is>
      </c>
      <c r="D49" s="6" t="inlineStr">
        <is>
          <t>ALT</t>
        </is>
      </c>
      <c r="E49" s="6" t="inlineStr">
        <is>
          <t>2026</t>
        </is>
      </c>
      <c r="F49" s="6" t="inlineStr">
        <is>
          <t>2027BUD_V1</t>
        </is>
      </c>
      <c r="G49" s="6" t="n">
        <v>12</v>
      </c>
      <c r="H49" s="7" t="n">
        <v>785</v>
      </c>
      <c r="I49" s="7" t="n">
        <v>157</v>
      </c>
      <c r="J49" s="7" t="n">
        <v>110</v>
      </c>
      <c r="K49" s="7" t="n">
        <v>46</v>
      </c>
      <c r="L49" s="7" t="n">
        <v>0</v>
      </c>
      <c r="M49" s="7" t="n">
        <v>46</v>
      </c>
      <c r="N49" s="7" t="n">
        <v>0</v>
      </c>
      <c r="O49" s="7" t="n">
        <v>2</v>
      </c>
      <c r="P49" s="7" t="n">
        <v>7350</v>
      </c>
      <c r="Q49" s="7" t="n">
        <v>90</v>
      </c>
      <c r="R49" s="7" t="n">
        <v>369</v>
      </c>
      <c r="S49" s="7" t="n">
        <v>416</v>
      </c>
      <c r="T49" s="7" t="n">
        <v>18306</v>
      </c>
      <c r="U49" s="7" t="n">
        <v>33631</v>
      </c>
      <c r="V49" s="8">
        <f>IFERROR(M49/N49,0)</f>
        <v/>
      </c>
      <c r="W49" s="8">
        <f>IFERROR(I49/H49,0)</f>
        <v/>
      </c>
      <c r="X49" s="8">
        <f>IFERROR(J49/I49,0)</f>
        <v/>
      </c>
      <c r="Y49" s="8">
        <f>IFERROR(K49/J49,0)</f>
        <v/>
      </c>
      <c r="Z49" s="9">
        <f>R49+S49</f>
        <v/>
      </c>
      <c r="AA49" s="9">
        <f>M49*P49+K49*Q49</f>
        <v/>
      </c>
    </row>
    <row r="50">
      <c r="A50" s="6" t="inlineStr">
        <is>
          <t>PIGIER_LYO</t>
        </is>
      </c>
      <c r="B50" s="6" t="inlineStr">
        <is>
          <t>BAC_RH</t>
        </is>
      </c>
      <c r="C50" s="6" t="inlineStr">
        <is>
          <t>B3</t>
        </is>
      </c>
      <c r="D50" s="6" t="inlineStr">
        <is>
          <t>ALT</t>
        </is>
      </c>
      <c r="E50" s="6" t="inlineStr">
        <is>
          <t>2026</t>
        </is>
      </c>
      <c r="F50" s="6" t="inlineStr">
        <is>
          <t>2027BUD_V1</t>
        </is>
      </c>
      <c r="G50" s="6" t="n">
        <v>12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45</v>
      </c>
      <c r="M50" s="7" t="n">
        <v>45</v>
      </c>
      <c r="N50" s="7" t="n">
        <v>46</v>
      </c>
      <c r="O50" s="7" t="n">
        <v>2</v>
      </c>
      <c r="P50" s="7" t="n">
        <v>7350</v>
      </c>
      <c r="Q50" s="7" t="n">
        <v>90</v>
      </c>
      <c r="R50" s="7" t="n">
        <v>0</v>
      </c>
      <c r="S50" s="7" t="n">
        <v>0</v>
      </c>
      <c r="T50" s="7" t="n">
        <v>0</v>
      </c>
      <c r="U50" s="7" t="n">
        <v>0</v>
      </c>
      <c r="V50" s="8">
        <f>IFERROR(M50/N50,0)</f>
        <v/>
      </c>
      <c r="W50" s="8">
        <f>IFERROR(I50/H50,0)</f>
        <v/>
      </c>
      <c r="X50" s="8">
        <f>IFERROR(J50/I50,0)</f>
        <v/>
      </c>
      <c r="Y50" s="8">
        <f>IFERROR(K50/J50,0)</f>
        <v/>
      </c>
      <c r="Z50" s="9">
        <f>R50+S50</f>
        <v/>
      </c>
      <c r="AA50" s="9">
        <f>M50*P50+K50*Q50</f>
        <v/>
      </c>
    </row>
    <row r="51">
      <c r="A51" s="6" t="inlineStr">
        <is>
          <t>PIGIER_BOR</t>
        </is>
      </c>
      <c r="B51" s="6" t="inlineStr">
        <is>
          <t>BTS_GES</t>
        </is>
      </c>
      <c r="C51" s="6" t="inlineStr">
        <is>
          <t>BTS1</t>
        </is>
      </c>
      <c r="D51" s="6" t="inlineStr">
        <is>
          <t>ALT</t>
        </is>
      </c>
      <c r="E51" s="6" t="inlineStr">
        <is>
          <t>2026</t>
        </is>
      </c>
      <c r="F51" s="6" t="inlineStr">
        <is>
          <t>2027BUD_V1</t>
        </is>
      </c>
      <c r="G51" s="6" t="n">
        <v>12</v>
      </c>
      <c r="H51" s="7" t="n">
        <v>615</v>
      </c>
      <c r="I51" s="7" t="n">
        <v>123</v>
      </c>
      <c r="J51" s="7" t="n">
        <v>86</v>
      </c>
      <c r="K51" s="7" t="n">
        <v>36</v>
      </c>
      <c r="L51" s="7" t="n">
        <v>0</v>
      </c>
      <c r="M51" s="7" t="n">
        <v>36</v>
      </c>
      <c r="N51" s="7" t="n">
        <v>0</v>
      </c>
      <c r="O51" s="7" t="n">
        <v>2</v>
      </c>
      <c r="P51" s="7" t="n">
        <v>5820</v>
      </c>
      <c r="Q51" s="7" t="n">
        <v>90</v>
      </c>
      <c r="R51" s="7" t="n">
        <v>326</v>
      </c>
      <c r="S51" s="7" t="n">
        <v>289</v>
      </c>
      <c r="T51" s="7" t="n">
        <v>10984</v>
      </c>
      <c r="U51" s="7" t="n">
        <v>29712</v>
      </c>
      <c r="V51" s="8">
        <f>IFERROR(M51/N51,0)</f>
        <v/>
      </c>
      <c r="W51" s="8">
        <f>IFERROR(I51/H51,0)</f>
        <v/>
      </c>
      <c r="X51" s="8">
        <f>IFERROR(J51/I51,0)</f>
        <v/>
      </c>
      <c r="Y51" s="8">
        <f>IFERROR(K51/J51,0)</f>
        <v/>
      </c>
      <c r="Z51" s="9">
        <f>R51+S51</f>
        <v/>
      </c>
      <c r="AA51" s="9">
        <f>M51*P51+K51*Q51</f>
        <v/>
      </c>
    </row>
    <row r="52">
      <c r="A52" s="6" t="inlineStr">
        <is>
          <t>PIGIER_BOR</t>
        </is>
      </c>
      <c r="B52" s="6" t="inlineStr">
        <is>
          <t>BTS_GES</t>
        </is>
      </c>
      <c r="C52" s="6" t="inlineStr">
        <is>
          <t>BTS2</t>
        </is>
      </c>
      <c r="D52" s="6" t="inlineStr">
        <is>
          <t>ALT</t>
        </is>
      </c>
      <c r="E52" s="6" t="inlineStr">
        <is>
          <t>2026</t>
        </is>
      </c>
      <c r="F52" s="6" t="inlineStr">
        <is>
          <t>2027BUD_V1</t>
        </is>
      </c>
      <c r="G52" s="6" t="n">
        <v>12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35</v>
      </c>
      <c r="M52" s="7" t="n">
        <v>35</v>
      </c>
      <c r="N52" s="7" t="n">
        <v>36</v>
      </c>
      <c r="O52" s="7" t="n">
        <v>2</v>
      </c>
      <c r="P52" s="7" t="n">
        <v>5820</v>
      </c>
      <c r="Q52" s="7" t="n">
        <v>90</v>
      </c>
      <c r="R52" s="7" t="n">
        <v>0</v>
      </c>
      <c r="S52" s="7" t="n">
        <v>0</v>
      </c>
      <c r="T52" s="7" t="n">
        <v>0</v>
      </c>
      <c r="U52" s="7" t="n">
        <v>0</v>
      </c>
      <c r="V52" s="8">
        <f>IFERROR(M52/N52,0)</f>
        <v/>
      </c>
      <c r="W52" s="8">
        <f>IFERROR(I52/H52,0)</f>
        <v/>
      </c>
      <c r="X52" s="8">
        <f>IFERROR(J52/I52,0)</f>
        <v/>
      </c>
      <c r="Y52" s="8">
        <f>IFERROR(K52/J52,0)</f>
        <v/>
      </c>
      <c r="Z52" s="9">
        <f>R52+S52</f>
        <v/>
      </c>
      <c r="AA52" s="9">
        <f>M52*P52+K52*Q52</f>
        <v/>
      </c>
    </row>
    <row r="53">
      <c r="A53" s="6" t="inlineStr">
        <is>
          <t>PIGIER_BOR</t>
        </is>
      </c>
      <c r="B53" s="6" t="inlineStr">
        <is>
          <t>BAC_RH</t>
        </is>
      </c>
      <c r="C53" s="6" t="inlineStr">
        <is>
          <t>B1</t>
        </is>
      </c>
      <c r="D53" s="6" t="inlineStr">
        <is>
          <t>ALT</t>
        </is>
      </c>
      <c r="E53" s="6" t="inlineStr">
        <is>
          <t>2026</t>
        </is>
      </c>
      <c r="F53" s="6" t="inlineStr">
        <is>
          <t>2027BUD_V1</t>
        </is>
      </c>
      <c r="G53" s="6" t="n">
        <v>12</v>
      </c>
      <c r="H53" s="7" t="n">
        <v>615</v>
      </c>
      <c r="I53" s="7" t="n">
        <v>123</v>
      </c>
      <c r="J53" s="7" t="n">
        <v>86</v>
      </c>
      <c r="K53" s="7" t="n">
        <v>36</v>
      </c>
      <c r="L53" s="7" t="n">
        <v>0</v>
      </c>
      <c r="M53" s="7" t="n">
        <v>36</v>
      </c>
      <c r="N53" s="7" t="n">
        <v>0</v>
      </c>
      <c r="O53" s="7" t="n">
        <v>2</v>
      </c>
      <c r="P53" s="7" t="n">
        <v>6790</v>
      </c>
      <c r="Q53" s="7" t="n">
        <v>90</v>
      </c>
      <c r="R53" s="7" t="n">
        <v>326</v>
      </c>
      <c r="S53" s="7" t="n">
        <v>289</v>
      </c>
      <c r="T53" s="7" t="n">
        <v>10984</v>
      </c>
      <c r="U53" s="7" t="n">
        <v>29711</v>
      </c>
      <c r="V53" s="8">
        <f>IFERROR(M53/N53,0)</f>
        <v/>
      </c>
      <c r="W53" s="8">
        <f>IFERROR(I53/H53,0)</f>
        <v/>
      </c>
      <c r="X53" s="8">
        <f>IFERROR(J53/I53,0)</f>
        <v/>
      </c>
      <c r="Y53" s="8">
        <f>IFERROR(K53/J53,0)</f>
        <v/>
      </c>
      <c r="Z53" s="9">
        <f>R53+S53</f>
        <v/>
      </c>
      <c r="AA53" s="9">
        <f>M53*P53+K53*Q53</f>
        <v/>
      </c>
    </row>
    <row r="54">
      <c r="A54" s="6" t="inlineStr">
        <is>
          <t>PIGIER_BOR</t>
        </is>
      </c>
      <c r="B54" s="6" t="inlineStr">
        <is>
          <t>BAC_RH</t>
        </is>
      </c>
      <c r="C54" s="6" t="inlineStr">
        <is>
          <t>B3</t>
        </is>
      </c>
      <c r="D54" s="6" t="inlineStr">
        <is>
          <t>ALT</t>
        </is>
      </c>
      <c r="E54" s="6" t="inlineStr">
        <is>
          <t>2026</t>
        </is>
      </c>
      <c r="F54" s="6" t="inlineStr">
        <is>
          <t>2027BUD_V1</t>
        </is>
      </c>
      <c r="G54" s="6" t="n">
        <v>12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35</v>
      </c>
      <c r="M54" s="7" t="n">
        <v>35</v>
      </c>
      <c r="N54" s="7" t="n">
        <v>36</v>
      </c>
      <c r="O54" s="7" t="n">
        <v>2</v>
      </c>
      <c r="P54" s="7" t="n">
        <v>6790</v>
      </c>
      <c r="Q54" s="7" t="n">
        <v>90</v>
      </c>
      <c r="R54" s="7" t="n">
        <v>0</v>
      </c>
      <c r="S54" s="7" t="n">
        <v>0</v>
      </c>
      <c r="T54" s="7" t="n">
        <v>0</v>
      </c>
      <c r="U54" s="7" t="n">
        <v>0</v>
      </c>
      <c r="V54" s="8">
        <f>IFERROR(M54/N54,0)</f>
        <v/>
      </c>
      <c r="W54" s="8">
        <f>IFERROR(I54/H54,0)</f>
        <v/>
      </c>
      <c r="X54" s="8">
        <f>IFERROR(J54/I54,0)</f>
        <v/>
      </c>
      <c r="Y54" s="8">
        <f>IFERROR(K54/J54,0)</f>
        <v/>
      </c>
      <c r="Z54" s="9">
        <f>R54+S54</f>
        <v/>
      </c>
      <c r="AA54" s="9">
        <f>M54*P54+K54*Q54</f>
        <v/>
      </c>
    </row>
    <row r="55">
      <c r="A55" s="6" t="inlineStr">
        <is>
          <t>TUNON_PAR</t>
        </is>
      </c>
      <c r="B55" s="6" t="inlineStr">
        <is>
          <t>BAC_TOU</t>
        </is>
      </c>
      <c r="C55" s="6" t="inlineStr">
        <is>
          <t>B1</t>
        </is>
      </c>
      <c r="D55" s="6" t="inlineStr">
        <is>
          <t>ALT</t>
        </is>
      </c>
      <c r="E55" s="6" t="inlineStr">
        <is>
          <t>2026</t>
        </is>
      </c>
      <c r="F55" s="6" t="inlineStr">
        <is>
          <t>2027BUD_V1</t>
        </is>
      </c>
      <c r="G55" s="6" t="n">
        <v>12</v>
      </c>
      <c r="H55" s="7" t="n">
        <v>800</v>
      </c>
      <c r="I55" s="7" t="n">
        <v>160</v>
      </c>
      <c r="J55" s="7" t="n">
        <v>112</v>
      </c>
      <c r="K55" s="7" t="n">
        <v>47</v>
      </c>
      <c r="L55" s="7" t="n">
        <v>0</v>
      </c>
      <c r="M55" s="7" t="n">
        <v>47</v>
      </c>
      <c r="N55" s="7" t="n">
        <v>0</v>
      </c>
      <c r="O55" s="7" t="n">
        <v>2</v>
      </c>
      <c r="P55" s="7" t="n">
        <v>7840</v>
      </c>
      <c r="Q55" s="7" t="n">
        <v>90</v>
      </c>
      <c r="R55" s="7" t="n">
        <v>240</v>
      </c>
      <c r="S55" s="7" t="n">
        <v>560</v>
      </c>
      <c r="T55" s="7" t="n">
        <v>30240</v>
      </c>
      <c r="U55" s="7" t="n">
        <v>21873</v>
      </c>
      <c r="V55" s="8">
        <f>IFERROR(M55/N55,0)</f>
        <v/>
      </c>
      <c r="W55" s="8">
        <f>IFERROR(I55/H55,0)</f>
        <v/>
      </c>
      <c r="X55" s="8">
        <f>IFERROR(J55/I55,0)</f>
        <v/>
      </c>
      <c r="Y55" s="8">
        <f>IFERROR(K55/J55,0)</f>
        <v/>
      </c>
      <c r="Z55" s="9">
        <f>R55+S55</f>
        <v/>
      </c>
      <c r="AA55" s="9">
        <f>M55*P55+K55*Q55</f>
        <v/>
      </c>
    </row>
    <row r="56">
      <c r="A56" s="6" t="inlineStr">
        <is>
          <t>TUNON_PAR</t>
        </is>
      </c>
      <c r="B56" s="6" t="inlineStr">
        <is>
          <t>BAC_TOU</t>
        </is>
      </c>
      <c r="C56" s="6" t="inlineStr">
        <is>
          <t>B2</t>
        </is>
      </c>
      <c r="D56" s="6" t="inlineStr">
        <is>
          <t>ALT</t>
        </is>
      </c>
      <c r="E56" s="6" t="inlineStr">
        <is>
          <t>2026</t>
        </is>
      </c>
      <c r="F56" s="6" t="inlineStr">
        <is>
          <t>2027BUD_V1</t>
        </is>
      </c>
      <c r="G56" s="6" t="n">
        <v>12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46</v>
      </c>
      <c r="M56" s="7" t="n">
        <v>46</v>
      </c>
      <c r="N56" s="7" t="n">
        <v>47</v>
      </c>
      <c r="O56" s="7" t="n">
        <v>2</v>
      </c>
      <c r="P56" s="7" t="n">
        <v>7840</v>
      </c>
      <c r="Q56" s="7" t="n">
        <v>90</v>
      </c>
      <c r="R56" s="7" t="n">
        <v>0</v>
      </c>
      <c r="S56" s="7" t="n">
        <v>0</v>
      </c>
      <c r="T56" s="7" t="n">
        <v>0</v>
      </c>
      <c r="U56" s="7" t="n">
        <v>0</v>
      </c>
      <c r="V56" s="8">
        <f>IFERROR(M56/N56,0)</f>
        <v/>
      </c>
      <c r="W56" s="8">
        <f>IFERROR(I56/H56,0)</f>
        <v/>
      </c>
      <c r="X56" s="8">
        <f>IFERROR(J56/I56,0)</f>
        <v/>
      </c>
      <c r="Y56" s="8">
        <f>IFERROR(K56/J56,0)</f>
        <v/>
      </c>
      <c r="Z56" s="9">
        <f>R56+S56</f>
        <v/>
      </c>
      <c r="AA56" s="9">
        <f>M56*P56+K56*Q56</f>
        <v/>
      </c>
    </row>
    <row r="57">
      <c r="A57" s="6" t="inlineStr">
        <is>
          <t>TUNON_PAR</t>
        </is>
      </c>
      <c r="B57" s="6" t="inlineStr">
        <is>
          <t>BAC_TOU</t>
        </is>
      </c>
      <c r="C57" s="6" t="inlineStr">
        <is>
          <t>B3</t>
        </is>
      </c>
      <c r="D57" s="6" t="inlineStr">
        <is>
          <t>ALT</t>
        </is>
      </c>
      <c r="E57" s="6" t="inlineStr">
        <is>
          <t>2026</t>
        </is>
      </c>
      <c r="F57" s="6" t="inlineStr">
        <is>
          <t>2027BUD_V1</t>
        </is>
      </c>
      <c r="G57" s="6" t="n">
        <v>12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45</v>
      </c>
      <c r="M57" s="7" t="n">
        <v>45</v>
      </c>
      <c r="N57" s="7" t="n">
        <v>46</v>
      </c>
      <c r="O57" s="7" t="n">
        <v>2</v>
      </c>
      <c r="P57" s="7" t="n">
        <v>7840</v>
      </c>
      <c r="Q57" s="7" t="n">
        <v>90</v>
      </c>
      <c r="R57" s="7" t="n">
        <v>0</v>
      </c>
      <c r="S57" s="7" t="n">
        <v>0</v>
      </c>
      <c r="T57" s="7" t="n">
        <v>0</v>
      </c>
      <c r="U57" s="7" t="n">
        <v>0</v>
      </c>
      <c r="V57" s="8">
        <f>IFERROR(M57/N57,0)</f>
        <v/>
      </c>
      <c r="W57" s="8">
        <f>IFERROR(I57/H57,0)</f>
        <v/>
      </c>
      <c r="X57" s="8">
        <f>IFERROR(J57/I57,0)</f>
        <v/>
      </c>
      <c r="Y57" s="8">
        <f>IFERROR(K57/J57,0)</f>
        <v/>
      </c>
      <c r="Z57" s="9">
        <f>R57+S57</f>
        <v/>
      </c>
      <c r="AA57" s="9">
        <f>M57*P57+K57*Q57</f>
        <v/>
      </c>
    </row>
    <row r="58">
      <c r="A58" s="6" t="inlineStr">
        <is>
          <t>TUNON_LYO</t>
        </is>
      </c>
      <c r="B58" s="6" t="inlineStr">
        <is>
          <t>BAC_TOU</t>
        </is>
      </c>
      <c r="C58" s="6" t="inlineStr">
        <is>
          <t>B1</t>
        </is>
      </c>
      <c r="D58" s="6" t="inlineStr">
        <is>
          <t>ALT</t>
        </is>
      </c>
      <c r="E58" s="6" t="inlineStr">
        <is>
          <t>2026</t>
        </is>
      </c>
      <c r="F58" s="6" t="inlineStr">
        <is>
          <t>2027BUD_V1</t>
        </is>
      </c>
      <c r="G58" s="6" t="n">
        <v>12</v>
      </c>
      <c r="H58" s="7" t="n">
        <v>680</v>
      </c>
      <c r="I58" s="7" t="n">
        <v>136</v>
      </c>
      <c r="J58" s="7" t="n">
        <v>95</v>
      </c>
      <c r="K58" s="7" t="n">
        <v>40</v>
      </c>
      <c r="L58" s="7" t="n">
        <v>0</v>
      </c>
      <c r="M58" s="7" t="n">
        <v>40</v>
      </c>
      <c r="N58" s="7" t="n">
        <v>0</v>
      </c>
      <c r="O58" s="7" t="n">
        <v>2</v>
      </c>
      <c r="P58" s="7" t="n">
        <v>7350</v>
      </c>
      <c r="Q58" s="7" t="n">
        <v>90</v>
      </c>
      <c r="R58" s="7" t="n">
        <v>252</v>
      </c>
      <c r="S58" s="7" t="n">
        <v>428</v>
      </c>
      <c r="T58" s="7" t="n">
        <v>18850</v>
      </c>
      <c r="U58" s="7" t="n">
        <v>22967</v>
      </c>
      <c r="V58" s="8">
        <f>IFERROR(M58/N58,0)</f>
        <v/>
      </c>
      <c r="W58" s="8">
        <f>IFERROR(I58/H58,0)</f>
        <v/>
      </c>
      <c r="X58" s="8">
        <f>IFERROR(J58/I58,0)</f>
        <v/>
      </c>
      <c r="Y58" s="8">
        <f>IFERROR(K58/J58,0)</f>
        <v/>
      </c>
      <c r="Z58" s="9">
        <f>R58+S58</f>
        <v/>
      </c>
      <c r="AA58" s="9">
        <f>M58*P58+K58*Q58</f>
        <v/>
      </c>
    </row>
    <row r="59">
      <c r="A59" s="6" t="inlineStr">
        <is>
          <t>TUNON_LYO</t>
        </is>
      </c>
      <c r="B59" s="6" t="inlineStr">
        <is>
          <t>BAC_TOU</t>
        </is>
      </c>
      <c r="C59" s="6" t="inlineStr">
        <is>
          <t>B2</t>
        </is>
      </c>
      <c r="D59" s="6" t="inlineStr">
        <is>
          <t>ALT</t>
        </is>
      </c>
      <c r="E59" s="6" t="inlineStr">
        <is>
          <t>2026</t>
        </is>
      </c>
      <c r="F59" s="6" t="inlineStr">
        <is>
          <t>2027BUD_V1</t>
        </is>
      </c>
      <c r="G59" s="6" t="n">
        <v>12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39</v>
      </c>
      <c r="M59" s="7" t="n">
        <v>39</v>
      </c>
      <c r="N59" s="7" t="n">
        <v>40</v>
      </c>
      <c r="O59" s="7" t="n">
        <v>2</v>
      </c>
      <c r="P59" s="7" t="n">
        <v>7350</v>
      </c>
      <c r="Q59" s="7" t="n">
        <v>90</v>
      </c>
      <c r="R59" s="7" t="n">
        <v>0</v>
      </c>
      <c r="S59" s="7" t="n">
        <v>0</v>
      </c>
      <c r="T59" s="7" t="n">
        <v>0</v>
      </c>
      <c r="U59" s="7" t="n">
        <v>0</v>
      </c>
      <c r="V59" s="8">
        <f>IFERROR(M59/N59,0)</f>
        <v/>
      </c>
      <c r="W59" s="8">
        <f>IFERROR(I59/H59,0)</f>
        <v/>
      </c>
      <c r="X59" s="8">
        <f>IFERROR(J59/I59,0)</f>
        <v/>
      </c>
      <c r="Y59" s="8">
        <f>IFERROR(K59/J59,0)</f>
        <v/>
      </c>
      <c r="Z59" s="9">
        <f>R59+S59</f>
        <v/>
      </c>
      <c r="AA59" s="9">
        <f>M59*P59+K59*Q59</f>
        <v/>
      </c>
    </row>
    <row r="60">
      <c r="A60" s="6" t="inlineStr">
        <is>
          <t>TUNON_LYO</t>
        </is>
      </c>
      <c r="B60" s="6" t="inlineStr">
        <is>
          <t>BAC_TOU</t>
        </is>
      </c>
      <c r="C60" s="6" t="inlineStr">
        <is>
          <t>B3</t>
        </is>
      </c>
      <c r="D60" s="6" t="inlineStr">
        <is>
          <t>ALT</t>
        </is>
      </c>
      <c r="E60" s="6" t="inlineStr">
        <is>
          <t>2026</t>
        </is>
      </c>
      <c r="F60" s="6" t="inlineStr">
        <is>
          <t>2027BUD_V1</t>
        </is>
      </c>
      <c r="G60" s="6" t="n">
        <v>12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38</v>
      </c>
      <c r="M60" s="7" t="n">
        <v>38</v>
      </c>
      <c r="N60" s="7" t="n">
        <v>39</v>
      </c>
      <c r="O60" s="7" t="n">
        <v>2</v>
      </c>
      <c r="P60" s="7" t="n">
        <v>7350</v>
      </c>
      <c r="Q60" s="7" t="n">
        <v>90</v>
      </c>
      <c r="R60" s="7" t="n">
        <v>0</v>
      </c>
      <c r="S60" s="7" t="n">
        <v>0</v>
      </c>
      <c r="T60" s="7" t="n">
        <v>0</v>
      </c>
      <c r="U60" s="7" t="n">
        <v>0</v>
      </c>
      <c r="V60" s="8">
        <f>IFERROR(M60/N60,0)</f>
        <v/>
      </c>
      <c r="W60" s="8">
        <f>IFERROR(I60/H60,0)</f>
        <v/>
      </c>
      <c r="X60" s="8">
        <f>IFERROR(J60/I60,0)</f>
        <v/>
      </c>
      <c r="Y60" s="8">
        <f>IFERROR(K60/J60,0)</f>
        <v/>
      </c>
      <c r="Z60" s="9">
        <f>R60+S60</f>
        <v/>
      </c>
      <c r="AA60" s="9">
        <f>M60*P60+K60*Q60</f>
        <v/>
      </c>
    </row>
    <row r="61">
      <c r="A61" s="6" t="inlineStr">
        <is>
          <t>MBWAY_PAR</t>
        </is>
      </c>
      <c r="B61" s="6" t="inlineStr">
        <is>
          <t>BAC_MGT</t>
        </is>
      </c>
      <c r="C61" s="6" t="inlineStr">
        <is>
          <t>B1</t>
        </is>
      </c>
      <c r="D61" s="6" t="inlineStr">
        <is>
          <t>INIT</t>
        </is>
      </c>
      <c r="E61" s="6" t="inlineStr">
        <is>
          <t>2025</t>
        </is>
      </c>
      <c r="F61" s="6" t="inlineStr">
        <is>
          <t>2027BUD_V1</t>
        </is>
      </c>
      <c r="G61" s="6" t="n">
        <v>12</v>
      </c>
      <c r="H61" s="7" t="n">
        <v>609</v>
      </c>
      <c r="I61" s="7" t="n">
        <v>171</v>
      </c>
      <c r="J61" s="7" t="n">
        <v>123</v>
      </c>
      <c r="K61" s="7" t="n">
        <v>74</v>
      </c>
      <c r="L61" s="7" t="n">
        <v>0</v>
      </c>
      <c r="M61" s="7" t="n">
        <v>74</v>
      </c>
      <c r="N61" s="7" t="n">
        <v>0</v>
      </c>
      <c r="O61" s="7" t="n">
        <v>3</v>
      </c>
      <c r="P61" s="7" t="n">
        <v>8400</v>
      </c>
      <c r="Q61" s="7" t="n">
        <v>90</v>
      </c>
      <c r="R61" s="7" t="n">
        <v>217</v>
      </c>
      <c r="S61" s="7" t="n">
        <v>396</v>
      </c>
      <c r="T61" s="7" t="n">
        <v>20296</v>
      </c>
      <c r="U61" s="7" t="n">
        <v>17007</v>
      </c>
      <c r="V61" s="8">
        <f>IFERROR(M61/N61,0)</f>
        <v/>
      </c>
      <c r="W61" s="8">
        <f>IFERROR(I61/H61,0)</f>
        <v/>
      </c>
      <c r="X61" s="8">
        <f>IFERROR(J61/I61,0)</f>
        <v/>
      </c>
      <c r="Y61" s="8">
        <f>IFERROR(K61/J61,0)</f>
        <v/>
      </c>
      <c r="Z61" s="9">
        <f>R61+S61</f>
        <v/>
      </c>
      <c r="AA61" s="9">
        <f>M61*P61+K61*Q61</f>
        <v/>
      </c>
    </row>
    <row r="62">
      <c r="A62" s="6" t="inlineStr">
        <is>
          <t>MBWAY_PAR</t>
        </is>
      </c>
      <c r="B62" s="6" t="inlineStr">
        <is>
          <t>BAC_MGT</t>
        </is>
      </c>
      <c r="C62" s="6" t="inlineStr">
        <is>
          <t>B2</t>
        </is>
      </c>
      <c r="D62" s="6" t="inlineStr">
        <is>
          <t>ALT</t>
        </is>
      </c>
      <c r="E62" s="6" t="inlineStr">
        <is>
          <t>2025</t>
        </is>
      </c>
      <c r="F62" s="6" t="inlineStr">
        <is>
          <t>2027BUD_V1</t>
        </is>
      </c>
      <c r="G62" s="6" t="n">
        <v>12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72</v>
      </c>
      <c r="M62" s="7" t="n">
        <v>72</v>
      </c>
      <c r="N62" s="7" t="n">
        <v>74</v>
      </c>
      <c r="O62" s="7" t="n">
        <v>3</v>
      </c>
      <c r="P62" s="7" t="n">
        <v>7840</v>
      </c>
      <c r="Q62" s="7" t="n">
        <v>90</v>
      </c>
      <c r="R62" s="7" t="n">
        <v>0</v>
      </c>
      <c r="S62" s="7" t="n">
        <v>0</v>
      </c>
      <c r="T62" s="7" t="n">
        <v>0</v>
      </c>
      <c r="U62" s="7" t="n">
        <v>0</v>
      </c>
      <c r="V62" s="8">
        <f>IFERROR(M62/N62,0)</f>
        <v/>
      </c>
      <c r="W62" s="8">
        <f>IFERROR(I62/H62,0)</f>
        <v/>
      </c>
      <c r="X62" s="8">
        <f>IFERROR(J62/I62,0)</f>
        <v/>
      </c>
      <c r="Y62" s="8">
        <f>IFERROR(K62/J62,0)</f>
        <v/>
      </c>
      <c r="Z62" s="9">
        <f>R62+S62</f>
        <v/>
      </c>
      <c r="AA62" s="9">
        <f>M62*P62+K62*Q62</f>
        <v/>
      </c>
    </row>
    <row r="63">
      <c r="A63" s="6" t="inlineStr">
        <is>
          <t>MBWAY_PAR</t>
        </is>
      </c>
      <c r="B63" s="6" t="inlineStr">
        <is>
          <t>BAC_MGT</t>
        </is>
      </c>
      <c r="C63" s="6" t="inlineStr">
        <is>
          <t>B3</t>
        </is>
      </c>
      <c r="D63" s="6" t="inlineStr">
        <is>
          <t>ALT</t>
        </is>
      </c>
      <c r="E63" s="6" t="inlineStr">
        <is>
          <t>2025</t>
        </is>
      </c>
      <c r="F63" s="6" t="inlineStr">
        <is>
          <t>2027BUD_V1</t>
        </is>
      </c>
      <c r="G63" s="6" t="n">
        <v>12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70</v>
      </c>
      <c r="M63" s="7" t="n">
        <v>70</v>
      </c>
      <c r="N63" s="7" t="n">
        <v>72</v>
      </c>
      <c r="O63" s="7" t="n">
        <v>3</v>
      </c>
      <c r="P63" s="7" t="n">
        <v>7840</v>
      </c>
      <c r="Q63" s="7" t="n">
        <v>90</v>
      </c>
      <c r="R63" s="7" t="n">
        <v>0</v>
      </c>
      <c r="S63" s="7" t="n">
        <v>0</v>
      </c>
      <c r="T63" s="7" t="n">
        <v>0</v>
      </c>
      <c r="U63" s="7" t="n">
        <v>0</v>
      </c>
      <c r="V63" s="8">
        <f>IFERROR(M63/N63,0)</f>
        <v/>
      </c>
      <c r="W63" s="8">
        <f>IFERROR(I63/H63,0)</f>
        <v/>
      </c>
      <c r="X63" s="8">
        <f>IFERROR(J63/I63,0)</f>
        <v/>
      </c>
      <c r="Y63" s="8">
        <f>IFERROR(K63/J63,0)</f>
        <v/>
      </c>
      <c r="Z63" s="9">
        <f>R63+S63</f>
        <v/>
      </c>
      <c r="AA63" s="9">
        <f>M63*P63+K63*Q63</f>
        <v/>
      </c>
    </row>
    <row r="64">
      <c r="A64" s="6" t="inlineStr">
        <is>
          <t>MBWAY_PAR</t>
        </is>
      </c>
      <c r="B64" s="6" t="inlineStr">
        <is>
          <t>MAS_MGT</t>
        </is>
      </c>
      <c r="C64" s="6" t="inlineStr">
        <is>
          <t>M1</t>
        </is>
      </c>
      <c r="D64" s="6" t="inlineStr">
        <is>
          <t>ALT</t>
        </is>
      </c>
      <c r="E64" s="6" t="inlineStr">
        <is>
          <t>2025</t>
        </is>
      </c>
      <c r="F64" s="6" t="inlineStr">
        <is>
          <t>2027BUD_V1</t>
        </is>
      </c>
      <c r="G64" s="6" t="n">
        <v>12</v>
      </c>
      <c r="H64" s="7" t="n">
        <v>1255</v>
      </c>
      <c r="I64" s="7" t="n">
        <v>251</v>
      </c>
      <c r="J64" s="7" t="n">
        <v>175</v>
      </c>
      <c r="K64" s="7" t="n">
        <v>74</v>
      </c>
      <c r="L64" s="7" t="n">
        <v>0</v>
      </c>
      <c r="M64" s="7" t="n">
        <v>74</v>
      </c>
      <c r="N64" s="7" t="n">
        <v>0</v>
      </c>
      <c r="O64" s="7" t="n">
        <v>3</v>
      </c>
      <c r="P64" s="7" t="n">
        <v>8400</v>
      </c>
      <c r="Q64" s="7" t="n">
        <v>90</v>
      </c>
      <c r="R64" s="7" t="n">
        <v>448</v>
      </c>
      <c r="S64" s="7" t="n">
        <v>814</v>
      </c>
      <c r="T64" s="7" t="n">
        <v>41786</v>
      </c>
      <c r="U64" s="7" t="n">
        <v>35013</v>
      </c>
      <c r="V64" s="8">
        <f>IFERROR(M64/N64,0)</f>
        <v/>
      </c>
      <c r="W64" s="8">
        <f>IFERROR(I64/H64,0)</f>
        <v/>
      </c>
      <c r="X64" s="8">
        <f>IFERROR(J64/I64,0)</f>
        <v/>
      </c>
      <c r="Y64" s="8">
        <f>IFERROR(K64/J64,0)</f>
        <v/>
      </c>
      <c r="Z64" s="9">
        <f>R64+S64</f>
        <v/>
      </c>
      <c r="AA64" s="9">
        <f>M64*P64+K64*Q64</f>
        <v/>
      </c>
    </row>
    <row r="65">
      <c r="A65" s="6" t="inlineStr">
        <is>
          <t>MBWAY_PAR</t>
        </is>
      </c>
      <c r="B65" s="6" t="inlineStr">
        <is>
          <t>MAS_MGT</t>
        </is>
      </c>
      <c r="C65" s="6" t="inlineStr">
        <is>
          <t>M2</t>
        </is>
      </c>
      <c r="D65" s="6" t="inlineStr">
        <is>
          <t>ALT</t>
        </is>
      </c>
      <c r="E65" s="6" t="inlineStr">
        <is>
          <t>2025</t>
        </is>
      </c>
      <c r="F65" s="6" t="inlineStr">
        <is>
          <t>2027BUD_V1</t>
        </is>
      </c>
      <c r="G65" s="6" t="n">
        <v>12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72</v>
      </c>
      <c r="M65" s="7" t="n">
        <v>72</v>
      </c>
      <c r="N65" s="7" t="n">
        <v>74</v>
      </c>
      <c r="O65" s="7" t="n">
        <v>3</v>
      </c>
      <c r="P65" s="7" t="n">
        <v>8400</v>
      </c>
      <c r="Q65" s="7" t="n">
        <v>90</v>
      </c>
      <c r="R65" s="7" t="n">
        <v>0</v>
      </c>
      <c r="S65" s="7" t="n">
        <v>0</v>
      </c>
      <c r="T65" s="7" t="n">
        <v>0</v>
      </c>
      <c r="U65" s="7" t="n">
        <v>0</v>
      </c>
      <c r="V65" s="8">
        <f>IFERROR(M65/N65,0)</f>
        <v/>
      </c>
      <c r="W65" s="8">
        <f>IFERROR(I65/H65,0)</f>
        <v/>
      </c>
      <c r="X65" s="8">
        <f>IFERROR(J65/I65,0)</f>
        <v/>
      </c>
      <c r="Y65" s="8">
        <f>IFERROR(K65/J65,0)</f>
        <v/>
      </c>
      <c r="Z65" s="9">
        <f>R65+S65</f>
        <v/>
      </c>
      <c r="AA65" s="9">
        <f>M65*P65+K65*Q65</f>
        <v/>
      </c>
    </row>
    <row r="66">
      <c r="A66" s="6" t="inlineStr">
        <is>
          <t>MBWAY_LYO</t>
        </is>
      </c>
      <c r="B66" s="6" t="inlineStr">
        <is>
          <t>BAC_MGT</t>
        </is>
      </c>
      <c r="C66" s="6" t="inlineStr">
        <is>
          <t>B1</t>
        </is>
      </c>
      <c r="D66" s="6" t="inlineStr">
        <is>
          <t>INIT</t>
        </is>
      </c>
      <c r="E66" s="6" t="inlineStr">
        <is>
          <t>2025</t>
        </is>
      </c>
      <c r="F66" s="6" t="inlineStr">
        <is>
          <t>2027BUD_V1</t>
        </is>
      </c>
      <c r="G66" s="6" t="n">
        <v>12</v>
      </c>
      <c r="H66" s="7" t="n">
        <v>515</v>
      </c>
      <c r="I66" s="7" t="n">
        <v>144</v>
      </c>
      <c r="J66" s="7" t="n">
        <v>104</v>
      </c>
      <c r="K66" s="7" t="n">
        <v>62</v>
      </c>
      <c r="L66" s="7" t="n">
        <v>0</v>
      </c>
      <c r="M66" s="7" t="n">
        <v>62</v>
      </c>
      <c r="N66" s="7" t="n">
        <v>0</v>
      </c>
      <c r="O66" s="7" t="n">
        <v>3</v>
      </c>
      <c r="P66" s="7" t="n">
        <v>7875</v>
      </c>
      <c r="Q66" s="7" t="n">
        <v>90</v>
      </c>
      <c r="R66" s="7" t="n">
        <v>220</v>
      </c>
      <c r="S66" s="7" t="n">
        <v>297</v>
      </c>
      <c r="T66" s="7" t="n">
        <v>12449</v>
      </c>
      <c r="U66" s="7" t="n">
        <v>17411</v>
      </c>
      <c r="V66" s="8">
        <f>IFERROR(M66/N66,0)</f>
        <v/>
      </c>
      <c r="W66" s="8">
        <f>IFERROR(I66/H66,0)</f>
        <v/>
      </c>
      <c r="X66" s="8">
        <f>IFERROR(J66/I66,0)</f>
        <v/>
      </c>
      <c r="Y66" s="8">
        <f>IFERROR(K66/J66,0)</f>
        <v/>
      </c>
      <c r="Z66" s="9">
        <f>R66+S66</f>
        <v/>
      </c>
      <c r="AA66" s="9">
        <f>M66*P66+K66*Q66</f>
        <v/>
      </c>
    </row>
    <row r="67">
      <c r="A67" s="6" t="inlineStr">
        <is>
          <t>MBWAY_LYO</t>
        </is>
      </c>
      <c r="B67" s="6" t="inlineStr">
        <is>
          <t>BAC_MGT</t>
        </is>
      </c>
      <c r="C67" s="6" t="inlineStr">
        <is>
          <t>B2</t>
        </is>
      </c>
      <c r="D67" s="6" t="inlineStr">
        <is>
          <t>ALT</t>
        </is>
      </c>
      <c r="E67" s="6" t="inlineStr">
        <is>
          <t>2025</t>
        </is>
      </c>
      <c r="F67" s="6" t="inlineStr">
        <is>
          <t>2027BUD_V1</t>
        </is>
      </c>
      <c r="G67" s="6" t="n">
        <v>12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60</v>
      </c>
      <c r="M67" s="7" t="n">
        <v>60</v>
      </c>
      <c r="N67" s="7" t="n">
        <v>62</v>
      </c>
      <c r="O67" s="7" t="n">
        <v>2</v>
      </c>
      <c r="P67" s="7" t="n">
        <v>7350</v>
      </c>
      <c r="Q67" s="7" t="n">
        <v>90</v>
      </c>
      <c r="R67" s="7" t="n">
        <v>0</v>
      </c>
      <c r="S67" s="7" t="n">
        <v>0</v>
      </c>
      <c r="T67" s="7" t="n">
        <v>0</v>
      </c>
      <c r="U67" s="7" t="n">
        <v>0</v>
      </c>
      <c r="V67" s="8">
        <f>IFERROR(M67/N67,0)</f>
        <v/>
      </c>
      <c r="W67" s="8">
        <f>IFERROR(I67/H67,0)</f>
        <v/>
      </c>
      <c r="X67" s="8">
        <f>IFERROR(J67/I67,0)</f>
        <v/>
      </c>
      <c r="Y67" s="8">
        <f>IFERROR(K67/J67,0)</f>
        <v/>
      </c>
      <c r="Z67" s="9">
        <f>R67+S67</f>
        <v/>
      </c>
      <c r="AA67" s="9">
        <f>M67*P67+K67*Q67</f>
        <v/>
      </c>
    </row>
    <row r="68">
      <c r="A68" s="6" t="inlineStr">
        <is>
          <t>MBWAY_LYO</t>
        </is>
      </c>
      <c r="B68" s="6" t="inlineStr">
        <is>
          <t>BAC_MGT</t>
        </is>
      </c>
      <c r="C68" s="6" t="inlineStr">
        <is>
          <t>B3</t>
        </is>
      </c>
      <c r="D68" s="6" t="inlineStr">
        <is>
          <t>ALT</t>
        </is>
      </c>
      <c r="E68" s="6" t="inlineStr">
        <is>
          <t>2025</t>
        </is>
      </c>
      <c r="F68" s="6" t="inlineStr">
        <is>
          <t>2027BUD_V1</t>
        </is>
      </c>
      <c r="G68" s="6" t="n">
        <v>12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59</v>
      </c>
      <c r="M68" s="7" t="n">
        <v>59</v>
      </c>
      <c r="N68" s="7" t="n">
        <v>60</v>
      </c>
      <c r="O68" s="7" t="n">
        <v>2</v>
      </c>
      <c r="P68" s="7" t="n">
        <v>7350</v>
      </c>
      <c r="Q68" s="7" t="n">
        <v>90</v>
      </c>
      <c r="R68" s="7" t="n">
        <v>0</v>
      </c>
      <c r="S68" s="7" t="n">
        <v>0</v>
      </c>
      <c r="T68" s="7" t="n">
        <v>0</v>
      </c>
      <c r="U68" s="7" t="n">
        <v>0</v>
      </c>
      <c r="V68" s="8">
        <f>IFERROR(M68/N68,0)</f>
        <v/>
      </c>
      <c r="W68" s="8">
        <f>IFERROR(I68/H68,0)</f>
        <v/>
      </c>
      <c r="X68" s="8">
        <f>IFERROR(J68/I68,0)</f>
        <v/>
      </c>
      <c r="Y68" s="8">
        <f>IFERROR(K68/J68,0)</f>
        <v/>
      </c>
      <c r="Z68" s="9">
        <f>R68+S68</f>
        <v/>
      </c>
      <c r="AA68" s="9">
        <f>M68*P68+K68*Q68</f>
        <v/>
      </c>
    </row>
    <row r="69">
      <c r="A69" s="6" t="inlineStr">
        <is>
          <t>MBWAY_LYO</t>
        </is>
      </c>
      <c r="B69" s="6" t="inlineStr">
        <is>
          <t>MAS_MGT</t>
        </is>
      </c>
      <c r="C69" s="6" t="inlineStr">
        <is>
          <t>M1</t>
        </is>
      </c>
      <c r="D69" s="6" t="inlineStr">
        <is>
          <t>ALT</t>
        </is>
      </c>
      <c r="E69" s="6" t="inlineStr">
        <is>
          <t>2025</t>
        </is>
      </c>
      <c r="F69" s="6" t="inlineStr">
        <is>
          <t>2027BUD_V1</t>
        </is>
      </c>
      <c r="G69" s="6" t="n">
        <v>12</v>
      </c>
      <c r="H69" s="7" t="n">
        <v>1057</v>
      </c>
      <c r="I69" s="7" t="n">
        <v>211</v>
      </c>
      <c r="J69" s="7" t="n">
        <v>148</v>
      </c>
      <c r="K69" s="7" t="n">
        <v>62</v>
      </c>
      <c r="L69" s="7" t="n">
        <v>0</v>
      </c>
      <c r="M69" s="7" t="n">
        <v>62</v>
      </c>
      <c r="N69" s="7" t="n">
        <v>0</v>
      </c>
      <c r="O69" s="7" t="n">
        <v>3</v>
      </c>
      <c r="P69" s="7" t="n">
        <v>7875</v>
      </c>
      <c r="Q69" s="7" t="n">
        <v>90</v>
      </c>
      <c r="R69" s="7" t="n">
        <v>450</v>
      </c>
      <c r="S69" s="7" t="n">
        <v>608</v>
      </c>
      <c r="T69" s="7" t="n">
        <v>25536</v>
      </c>
      <c r="U69" s="7" t="n">
        <v>35714</v>
      </c>
      <c r="V69" s="8">
        <f>IFERROR(M69/N69,0)</f>
        <v/>
      </c>
      <c r="W69" s="8">
        <f>IFERROR(I69/H69,0)</f>
        <v/>
      </c>
      <c r="X69" s="8">
        <f>IFERROR(J69/I69,0)</f>
        <v/>
      </c>
      <c r="Y69" s="8">
        <f>IFERROR(K69/J69,0)</f>
        <v/>
      </c>
      <c r="Z69" s="9">
        <f>R69+S69</f>
        <v/>
      </c>
      <c r="AA69" s="9">
        <f>M69*P69+K69*Q69</f>
        <v/>
      </c>
    </row>
    <row r="70">
      <c r="A70" s="6" t="inlineStr">
        <is>
          <t>MBWAY_LYO</t>
        </is>
      </c>
      <c r="B70" s="6" t="inlineStr">
        <is>
          <t>MAS_MGT</t>
        </is>
      </c>
      <c r="C70" s="6" t="inlineStr">
        <is>
          <t>M2</t>
        </is>
      </c>
      <c r="D70" s="6" t="inlineStr">
        <is>
          <t>ALT</t>
        </is>
      </c>
      <c r="E70" s="6" t="inlineStr">
        <is>
          <t>2025</t>
        </is>
      </c>
      <c r="F70" s="6" t="inlineStr">
        <is>
          <t>2027BUD_V1</t>
        </is>
      </c>
      <c r="G70" s="6" t="n">
        <v>12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61</v>
      </c>
      <c r="M70" s="7" t="n">
        <v>61</v>
      </c>
      <c r="N70" s="7" t="n">
        <v>62</v>
      </c>
      <c r="O70" s="7" t="n">
        <v>3</v>
      </c>
      <c r="P70" s="7" t="n">
        <v>7875</v>
      </c>
      <c r="Q70" s="7" t="n">
        <v>90</v>
      </c>
      <c r="R70" s="7" t="n">
        <v>0</v>
      </c>
      <c r="S70" s="7" t="n">
        <v>0</v>
      </c>
      <c r="T70" s="7" t="n">
        <v>0</v>
      </c>
      <c r="U70" s="7" t="n">
        <v>0</v>
      </c>
      <c r="V70" s="8">
        <f>IFERROR(M70/N70,0)</f>
        <v/>
      </c>
      <c r="W70" s="8">
        <f>IFERROR(I70/H70,0)</f>
        <v/>
      </c>
      <c r="X70" s="8">
        <f>IFERROR(J70/I70,0)</f>
        <v/>
      </c>
      <c r="Y70" s="8">
        <f>IFERROR(K70/J70,0)</f>
        <v/>
      </c>
      <c r="Z70" s="9">
        <f>R70+S70</f>
        <v/>
      </c>
      <c r="AA70" s="9">
        <f>M70*P70+K70*Q70</f>
        <v/>
      </c>
    </row>
    <row r="71">
      <c r="A71" s="6" t="inlineStr">
        <is>
          <t>MBWAY_NAN</t>
        </is>
      </c>
      <c r="B71" s="6" t="inlineStr">
        <is>
          <t>BAC_MGT</t>
        </is>
      </c>
      <c r="C71" s="6" t="inlineStr">
        <is>
          <t>B1</t>
        </is>
      </c>
      <c r="D71" s="6" t="inlineStr">
        <is>
          <t>INIT</t>
        </is>
      </c>
      <c r="E71" s="6" t="inlineStr">
        <is>
          <t>2025</t>
        </is>
      </c>
      <c r="F71" s="6" t="inlineStr">
        <is>
          <t>2027BUD_V1</t>
        </is>
      </c>
      <c r="G71" s="6" t="n">
        <v>12</v>
      </c>
      <c r="H71" s="7" t="n">
        <v>468</v>
      </c>
      <c r="I71" s="7" t="n">
        <v>131</v>
      </c>
      <c r="J71" s="7" t="n">
        <v>94</v>
      </c>
      <c r="K71" s="7" t="n">
        <v>57</v>
      </c>
      <c r="L71" s="7" t="n">
        <v>0</v>
      </c>
      <c r="M71" s="7" t="n">
        <v>57</v>
      </c>
      <c r="N71" s="7" t="n">
        <v>0</v>
      </c>
      <c r="O71" s="7" t="n">
        <v>2</v>
      </c>
      <c r="P71" s="7" t="n">
        <v>7500</v>
      </c>
      <c r="Q71" s="7" t="n">
        <v>90</v>
      </c>
      <c r="R71" s="7" t="n">
        <v>222</v>
      </c>
      <c r="S71" s="7" t="n">
        <v>245</v>
      </c>
      <c r="T71" s="7" t="n">
        <v>9379</v>
      </c>
      <c r="U71" s="7" t="n">
        <v>17832</v>
      </c>
      <c r="V71" s="8">
        <f>IFERROR(M71/N71,0)</f>
        <v/>
      </c>
      <c r="W71" s="8">
        <f>IFERROR(I71/H71,0)</f>
        <v/>
      </c>
      <c r="X71" s="8">
        <f>IFERROR(J71/I71,0)</f>
        <v/>
      </c>
      <c r="Y71" s="8">
        <f>IFERROR(K71/J71,0)</f>
        <v/>
      </c>
      <c r="Z71" s="9">
        <f>R71+S71</f>
        <v/>
      </c>
      <c r="AA71" s="9">
        <f>M71*P71+K71*Q71</f>
        <v/>
      </c>
    </row>
    <row r="72">
      <c r="A72" s="6" t="inlineStr">
        <is>
          <t>MBWAY_NAN</t>
        </is>
      </c>
      <c r="B72" s="6" t="inlineStr">
        <is>
          <t>BAC_MGT</t>
        </is>
      </c>
      <c r="C72" s="6" t="inlineStr">
        <is>
          <t>B2</t>
        </is>
      </c>
      <c r="D72" s="6" t="inlineStr">
        <is>
          <t>ALT</t>
        </is>
      </c>
      <c r="E72" s="6" t="inlineStr">
        <is>
          <t>2025</t>
        </is>
      </c>
      <c r="F72" s="6" t="inlineStr">
        <is>
          <t>2027BUD_V1</t>
        </is>
      </c>
      <c r="G72" s="6" t="n">
        <v>12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55</v>
      </c>
      <c r="M72" s="7" t="n">
        <v>55</v>
      </c>
      <c r="N72" s="7" t="n">
        <v>57</v>
      </c>
      <c r="O72" s="7" t="n">
        <v>2</v>
      </c>
      <c r="P72" s="7" t="n">
        <v>7000</v>
      </c>
      <c r="Q72" s="7" t="n">
        <v>90</v>
      </c>
      <c r="R72" s="7" t="n">
        <v>0</v>
      </c>
      <c r="S72" s="7" t="n">
        <v>0</v>
      </c>
      <c r="T72" s="7" t="n">
        <v>0</v>
      </c>
      <c r="U72" s="7" t="n">
        <v>0</v>
      </c>
      <c r="V72" s="8">
        <f>IFERROR(M72/N72,0)</f>
        <v/>
      </c>
      <c r="W72" s="8">
        <f>IFERROR(I72/H72,0)</f>
        <v/>
      </c>
      <c r="X72" s="8">
        <f>IFERROR(J72/I72,0)</f>
        <v/>
      </c>
      <c r="Y72" s="8">
        <f>IFERROR(K72/J72,0)</f>
        <v/>
      </c>
      <c r="Z72" s="9">
        <f>R72+S72</f>
        <v/>
      </c>
      <c r="AA72" s="9">
        <f>M72*P72+K72*Q72</f>
        <v/>
      </c>
    </row>
    <row r="73">
      <c r="A73" s="6" t="inlineStr">
        <is>
          <t>MBWAY_NAN</t>
        </is>
      </c>
      <c r="B73" s="6" t="inlineStr">
        <is>
          <t>BAC_MGT</t>
        </is>
      </c>
      <c r="C73" s="6" t="inlineStr">
        <is>
          <t>B3</t>
        </is>
      </c>
      <c r="D73" s="6" t="inlineStr">
        <is>
          <t>ALT</t>
        </is>
      </c>
      <c r="E73" s="6" t="inlineStr">
        <is>
          <t>2025</t>
        </is>
      </c>
      <c r="F73" s="6" t="inlineStr">
        <is>
          <t>2027BUD_V1</t>
        </is>
      </c>
      <c r="G73" s="6" t="n">
        <v>12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54</v>
      </c>
      <c r="M73" s="7" t="n">
        <v>54</v>
      </c>
      <c r="N73" s="7" t="n">
        <v>55</v>
      </c>
      <c r="O73" s="7" t="n">
        <v>2</v>
      </c>
      <c r="P73" s="7" t="n">
        <v>7000</v>
      </c>
      <c r="Q73" s="7" t="n">
        <v>90</v>
      </c>
      <c r="R73" s="7" t="n">
        <v>0</v>
      </c>
      <c r="S73" s="7" t="n">
        <v>0</v>
      </c>
      <c r="T73" s="7" t="n">
        <v>0</v>
      </c>
      <c r="U73" s="7" t="n">
        <v>0</v>
      </c>
      <c r="V73" s="8">
        <f>IFERROR(M73/N73,0)</f>
        <v/>
      </c>
      <c r="W73" s="8">
        <f>IFERROR(I73/H73,0)</f>
        <v/>
      </c>
      <c r="X73" s="8">
        <f>IFERROR(J73/I73,0)</f>
        <v/>
      </c>
      <c r="Y73" s="8">
        <f>IFERROR(K73/J73,0)</f>
        <v/>
      </c>
      <c r="Z73" s="9">
        <f>R73+S73</f>
        <v/>
      </c>
      <c r="AA73" s="9">
        <f>M73*P73+K73*Q73</f>
        <v/>
      </c>
    </row>
    <row r="74">
      <c r="A74" s="6" t="inlineStr">
        <is>
          <t>MBWAY_NAN</t>
        </is>
      </c>
      <c r="B74" s="6" t="inlineStr">
        <is>
          <t>MAS_MGT</t>
        </is>
      </c>
      <c r="C74" s="6" t="inlineStr">
        <is>
          <t>M1</t>
        </is>
      </c>
      <c r="D74" s="6" t="inlineStr">
        <is>
          <t>ALT</t>
        </is>
      </c>
      <c r="E74" s="6" t="inlineStr">
        <is>
          <t>2025</t>
        </is>
      </c>
      <c r="F74" s="6" t="inlineStr">
        <is>
          <t>2027BUD_V1</t>
        </is>
      </c>
      <c r="G74" s="6" t="n">
        <v>12</v>
      </c>
      <c r="H74" s="7" t="n">
        <v>962</v>
      </c>
      <c r="I74" s="7" t="n">
        <v>192</v>
      </c>
      <c r="J74" s="7" t="n">
        <v>135</v>
      </c>
      <c r="K74" s="7" t="n">
        <v>57</v>
      </c>
      <c r="L74" s="7" t="n">
        <v>0</v>
      </c>
      <c r="M74" s="7" t="n">
        <v>57</v>
      </c>
      <c r="N74" s="7" t="n">
        <v>0</v>
      </c>
      <c r="O74" s="7" t="n">
        <v>3</v>
      </c>
      <c r="P74" s="7" t="n">
        <v>7500</v>
      </c>
      <c r="Q74" s="7" t="n">
        <v>90</v>
      </c>
      <c r="R74" s="7" t="n">
        <v>458</v>
      </c>
      <c r="S74" s="7" t="n">
        <v>504</v>
      </c>
      <c r="T74" s="7" t="n">
        <v>19287</v>
      </c>
      <c r="U74" s="7" t="n">
        <v>36670</v>
      </c>
      <c r="V74" s="8">
        <f>IFERROR(M74/N74,0)</f>
        <v/>
      </c>
      <c r="W74" s="8">
        <f>IFERROR(I74/H74,0)</f>
        <v/>
      </c>
      <c r="X74" s="8">
        <f>IFERROR(J74/I74,0)</f>
        <v/>
      </c>
      <c r="Y74" s="8">
        <f>IFERROR(K74/J74,0)</f>
        <v/>
      </c>
      <c r="Z74" s="9">
        <f>R74+S74</f>
        <v/>
      </c>
      <c r="AA74" s="9">
        <f>M74*P74+K74*Q74</f>
        <v/>
      </c>
    </row>
    <row r="75">
      <c r="A75" s="6" t="inlineStr">
        <is>
          <t>MBWAY_NAN</t>
        </is>
      </c>
      <c r="B75" s="6" t="inlineStr">
        <is>
          <t>MAS_MGT</t>
        </is>
      </c>
      <c r="C75" s="6" t="inlineStr">
        <is>
          <t>M2</t>
        </is>
      </c>
      <c r="D75" s="6" t="inlineStr">
        <is>
          <t>ALT</t>
        </is>
      </c>
      <c r="E75" s="6" t="inlineStr">
        <is>
          <t>2025</t>
        </is>
      </c>
      <c r="F75" s="6" t="inlineStr">
        <is>
          <t>2027BUD_V1</t>
        </is>
      </c>
      <c r="G75" s="6" t="n">
        <v>12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56</v>
      </c>
      <c r="M75" s="7" t="n">
        <v>56</v>
      </c>
      <c r="N75" s="7" t="n">
        <v>57</v>
      </c>
      <c r="O75" s="7" t="n">
        <v>3</v>
      </c>
      <c r="P75" s="7" t="n">
        <v>7500</v>
      </c>
      <c r="Q75" s="7" t="n">
        <v>90</v>
      </c>
      <c r="R75" s="7" t="n">
        <v>0</v>
      </c>
      <c r="S75" s="7" t="n">
        <v>0</v>
      </c>
      <c r="T75" s="7" t="n">
        <v>0</v>
      </c>
      <c r="U75" s="7" t="n">
        <v>0</v>
      </c>
      <c r="V75" s="8">
        <f>IFERROR(M75/N75,0)</f>
        <v/>
      </c>
      <c r="W75" s="8">
        <f>IFERROR(I75/H75,0)</f>
        <v/>
      </c>
      <c r="X75" s="8">
        <f>IFERROR(J75/I75,0)</f>
        <v/>
      </c>
      <c r="Y75" s="8">
        <f>IFERROR(K75/J75,0)</f>
        <v/>
      </c>
      <c r="Z75" s="9">
        <f>R75+S75</f>
        <v/>
      </c>
      <c r="AA75" s="9">
        <f>M75*P75+K75*Q75</f>
        <v/>
      </c>
    </row>
    <row r="76">
      <c r="A76" s="6" t="inlineStr">
        <is>
          <t>MBWAY_BOR</t>
        </is>
      </c>
      <c r="B76" s="6" t="inlineStr">
        <is>
          <t>BAC_MGT</t>
        </is>
      </c>
      <c r="C76" s="6" t="inlineStr">
        <is>
          <t>B1</t>
        </is>
      </c>
      <c r="D76" s="6" t="inlineStr">
        <is>
          <t>INIT</t>
        </is>
      </c>
      <c r="E76" s="6" t="inlineStr">
        <is>
          <t>2025</t>
        </is>
      </c>
      <c r="F76" s="6" t="inlineStr">
        <is>
          <t>2027BUD_V1</t>
        </is>
      </c>
      <c r="G76" s="6" t="n">
        <v>12</v>
      </c>
      <c r="H76" s="7" t="n">
        <v>397</v>
      </c>
      <c r="I76" s="7" t="n">
        <v>111</v>
      </c>
      <c r="J76" s="7" t="n">
        <v>80</v>
      </c>
      <c r="K76" s="7" t="n">
        <v>48</v>
      </c>
      <c r="L76" s="7" t="n">
        <v>0</v>
      </c>
      <c r="M76" s="7" t="n">
        <v>48</v>
      </c>
      <c r="N76" s="7" t="n">
        <v>0</v>
      </c>
      <c r="O76" s="7" t="n">
        <v>2</v>
      </c>
      <c r="P76" s="7" t="n">
        <v>7275</v>
      </c>
      <c r="Q76" s="7" t="n">
        <v>90</v>
      </c>
      <c r="R76" s="7" t="n">
        <v>193</v>
      </c>
      <c r="S76" s="7" t="n">
        <v>204</v>
      </c>
      <c r="T76" s="7" t="n">
        <v>7417</v>
      </c>
      <c r="U76" s="7" t="n">
        <v>15467</v>
      </c>
      <c r="V76" s="8">
        <f>IFERROR(M76/N76,0)</f>
        <v/>
      </c>
      <c r="W76" s="8">
        <f>IFERROR(I76/H76,0)</f>
        <v/>
      </c>
      <c r="X76" s="8">
        <f>IFERROR(J76/I76,0)</f>
        <v/>
      </c>
      <c r="Y76" s="8">
        <f>IFERROR(K76/J76,0)</f>
        <v/>
      </c>
      <c r="Z76" s="9">
        <f>R76+S76</f>
        <v/>
      </c>
      <c r="AA76" s="9">
        <f>M76*P76+K76*Q76</f>
        <v/>
      </c>
    </row>
    <row r="77">
      <c r="A77" s="6" t="inlineStr">
        <is>
          <t>MBWAY_BOR</t>
        </is>
      </c>
      <c r="B77" s="6" t="inlineStr">
        <is>
          <t>BAC_MGT</t>
        </is>
      </c>
      <c r="C77" s="6" t="inlineStr">
        <is>
          <t>B2</t>
        </is>
      </c>
      <c r="D77" s="6" t="inlineStr">
        <is>
          <t>ALT</t>
        </is>
      </c>
      <c r="E77" s="6" t="inlineStr">
        <is>
          <t>2025</t>
        </is>
      </c>
      <c r="F77" s="6" t="inlineStr">
        <is>
          <t>2027BUD_V1</t>
        </is>
      </c>
      <c r="G77" s="6" t="n">
        <v>12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46</v>
      </c>
      <c r="M77" s="7" t="n">
        <v>46</v>
      </c>
      <c r="N77" s="7" t="n">
        <v>48</v>
      </c>
      <c r="O77" s="7" t="n">
        <v>2</v>
      </c>
      <c r="P77" s="7" t="n">
        <v>6790</v>
      </c>
      <c r="Q77" s="7" t="n">
        <v>90</v>
      </c>
      <c r="R77" s="7" t="n">
        <v>0</v>
      </c>
      <c r="S77" s="7" t="n">
        <v>0</v>
      </c>
      <c r="T77" s="7" t="n">
        <v>0</v>
      </c>
      <c r="U77" s="7" t="n">
        <v>0</v>
      </c>
      <c r="V77" s="8">
        <f>IFERROR(M77/N77,0)</f>
        <v/>
      </c>
      <c r="W77" s="8">
        <f>IFERROR(I77/H77,0)</f>
        <v/>
      </c>
      <c r="X77" s="8">
        <f>IFERROR(J77/I77,0)</f>
        <v/>
      </c>
      <c r="Y77" s="8">
        <f>IFERROR(K77/J77,0)</f>
        <v/>
      </c>
      <c r="Z77" s="9">
        <f>R77+S77</f>
        <v/>
      </c>
      <c r="AA77" s="9">
        <f>M77*P77+K77*Q77</f>
        <v/>
      </c>
    </row>
    <row r="78">
      <c r="A78" s="6" t="inlineStr">
        <is>
          <t>MBWAY_BOR</t>
        </is>
      </c>
      <c r="B78" s="6" t="inlineStr">
        <is>
          <t>BAC_MGT</t>
        </is>
      </c>
      <c r="C78" s="6" t="inlineStr">
        <is>
          <t>B3</t>
        </is>
      </c>
      <c r="D78" s="6" t="inlineStr">
        <is>
          <t>ALT</t>
        </is>
      </c>
      <c r="E78" s="6" t="inlineStr">
        <is>
          <t>2025</t>
        </is>
      </c>
      <c r="F78" s="6" t="inlineStr">
        <is>
          <t>2027BUD_V1</t>
        </is>
      </c>
      <c r="G78" s="6" t="n">
        <v>12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45</v>
      </c>
      <c r="M78" s="7" t="n">
        <v>45</v>
      </c>
      <c r="N78" s="7" t="n">
        <v>46</v>
      </c>
      <c r="O78" s="7" t="n">
        <v>2</v>
      </c>
      <c r="P78" s="7" t="n">
        <v>6790</v>
      </c>
      <c r="Q78" s="7" t="n">
        <v>90</v>
      </c>
      <c r="R78" s="7" t="n">
        <v>0</v>
      </c>
      <c r="S78" s="7" t="n">
        <v>0</v>
      </c>
      <c r="T78" s="7" t="n">
        <v>0</v>
      </c>
      <c r="U78" s="7" t="n">
        <v>0</v>
      </c>
      <c r="V78" s="8">
        <f>IFERROR(M78/N78,0)</f>
        <v/>
      </c>
      <c r="W78" s="8">
        <f>IFERROR(I78/H78,0)</f>
        <v/>
      </c>
      <c r="X78" s="8">
        <f>IFERROR(J78/I78,0)</f>
        <v/>
      </c>
      <c r="Y78" s="8">
        <f>IFERROR(K78/J78,0)</f>
        <v/>
      </c>
      <c r="Z78" s="9">
        <f>R78+S78</f>
        <v/>
      </c>
      <c r="AA78" s="9">
        <f>M78*P78+K78*Q78</f>
        <v/>
      </c>
    </row>
    <row r="79">
      <c r="A79" s="6" t="inlineStr">
        <is>
          <t>MBWAY_BOR</t>
        </is>
      </c>
      <c r="B79" s="6" t="inlineStr">
        <is>
          <t>MAS_MGT</t>
        </is>
      </c>
      <c r="C79" s="6" t="inlineStr">
        <is>
          <t>M1</t>
        </is>
      </c>
      <c r="D79" s="6" t="inlineStr">
        <is>
          <t>ALT</t>
        </is>
      </c>
      <c r="E79" s="6" t="inlineStr">
        <is>
          <t>2025</t>
        </is>
      </c>
      <c r="F79" s="6" t="inlineStr">
        <is>
          <t>2027BUD_V1</t>
        </is>
      </c>
      <c r="G79" s="6" t="n">
        <v>12</v>
      </c>
      <c r="H79" s="7" t="n">
        <v>816</v>
      </c>
      <c r="I79" s="7" t="n">
        <v>163</v>
      </c>
      <c r="J79" s="7" t="n">
        <v>114</v>
      </c>
      <c r="K79" s="7" t="n">
        <v>48</v>
      </c>
      <c r="L79" s="7" t="n">
        <v>0</v>
      </c>
      <c r="M79" s="7" t="n">
        <v>48</v>
      </c>
      <c r="N79" s="7" t="n">
        <v>0</v>
      </c>
      <c r="O79" s="7" t="n">
        <v>2</v>
      </c>
      <c r="P79" s="7" t="n">
        <v>7275</v>
      </c>
      <c r="Q79" s="7" t="n">
        <v>90</v>
      </c>
      <c r="R79" s="7" t="n">
        <v>396</v>
      </c>
      <c r="S79" s="7" t="n">
        <v>419</v>
      </c>
      <c r="T79" s="7" t="n">
        <v>15240</v>
      </c>
      <c r="U79" s="7" t="n">
        <v>31779</v>
      </c>
      <c r="V79" s="8">
        <f>IFERROR(M79/N79,0)</f>
        <v/>
      </c>
      <c r="W79" s="8">
        <f>IFERROR(I79/H79,0)</f>
        <v/>
      </c>
      <c r="X79" s="8">
        <f>IFERROR(J79/I79,0)</f>
        <v/>
      </c>
      <c r="Y79" s="8">
        <f>IFERROR(K79/J79,0)</f>
        <v/>
      </c>
      <c r="Z79" s="9">
        <f>R79+S79</f>
        <v/>
      </c>
      <c r="AA79" s="9">
        <f>M79*P79+K79*Q79</f>
        <v/>
      </c>
    </row>
    <row r="80">
      <c r="A80" s="6" t="inlineStr">
        <is>
          <t>MBWAY_BOR</t>
        </is>
      </c>
      <c r="B80" s="6" t="inlineStr">
        <is>
          <t>MAS_MGT</t>
        </is>
      </c>
      <c r="C80" s="6" t="inlineStr">
        <is>
          <t>M2</t>
        </is>
      </c>
      <c r="D80" s="6" t="inlineStr">
        <is>
          <t>ALT</t>
        </is>
      </c>
      <c r="E80" s="6" t="inlineStr">
        <is>
          <t>2025</t>
        </is>
      </c>
      <c r="F80" s="6" t="inlineStr">
        <is>
          <t>2027BUD_V1</t>
        </is>
      </c>
      <c r="G80" s="6" t="n">
        <v>12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47</v>
      </c>
      <c r="M80" s="7" t="n">
        <v>47</v>
      </c>
      <c r="N80" s="7" t="n">
        <v>48</v>
      </c>
      <c r="O80" s="7" t="n">
        <v>2</v>
      </c>
      <c r="P80" s="7" t="n">
        <v>7275</v>
      </c>
      <c r="Q80" s="7" t="n">
        <v>90</v>
      </c>
      <c r="R80" s="7" t="n">
        <v>0</v>
      </c>
      <c r="S80" s="7" t="n">
        <v>0</v>
      </c>
      <c r="T80" s="7" t="n">
        <v>0</v>
      </c>
      <c r="U80" s="7" t="n">
        <v>0</v>
      </c>
      <c r="V80" s="8">
        <f>IFERROR(M80/N80,0)</f>
        <v/>
      </c>
      <c r="W80" s="8">
        <f>IFERROR(I80/H80,0)</f>
        <v/>
      </c>
      <c r="X80" s="8">
        <f>IFERROR(J80/I80,0)</f>
        <v/>
      </c>
      <c r="Y80" s="8">
        <f>IFERROR(K80/J80,0)</f>
        <v/>
      </c>
      <c r="Z80" s="9">
        <f>R80+S80</f>
        <v/>
      </c>
      <c r="AA80" s="9">
        <f>M80*P80+K80*Q80</f>
        <v/>
      </c>
    </row>
    <row r="81">
      <c r="A81" s="6" t="inlineStr">
        <is>
          <t>ISCOM_PAR</t>
        </is>
      </c>
      <c r="B81" s="6" t="inlineStr">
        <is>
          <t>BAC_COM</t>
        </is>
      </c>
      <c r="C81" s="6" t="inlineStr">
        <is>
          <t>B1</t>
        </is>
      </c>
      <c r="D81" s="6" t="inlineStr">
        <is>
          <t>INIT</t>
        </is>
      </c>
      <c r="E81" s="6" t="inlineStr">
        <is>
          <t>2025</t>
        </is>
      </c>
      <c r="F81" s="6" t="inlineStr">
        <is>
          <t>2027BUD_V1</t>
        </is>
      </c>
      <c r="G81" s="6" t="n">
        <v>12</v>
      </c>
      <c r="H81" s="7" t="n">
        <v>562</v>
      </c>
      <c r="I81" s="7" t="n">
        <v>158</v>
      </c>
      <c r="J81" s="7" t="n">
        <v>113</v>
      </c>
      <c r="K81" s="7" t="n">
        <v>68</v>
      </c>
      <c r="L81" s="7" t="n">
        <v>0</v>
      </c>
      <c r="M81" s="7" t="n">
        <v>68</v>
      </c>
      <c r="N81" s="7" t="n">
        <v>0</v>
      </c>
      <c r="O81" s="7" t="n">
        <v>3</v>
      </c>
      <c r="P81" s="7" t="n">
        <v>8400</v>
      </c>
      <c r="Q81" s="7" t="n">
        <v>90</v>
      </c>
      <c r="R81" s="7" t="n">
        <v>220</v>
      </c>
      <c r="S81" s="7" t="n">
        <v>354</v>
      </c>
      <c r="T81" s="7" t="n">
        <v>18140</v>
      </c>
      <c r="U81" s="7" t="n">
        <v>18785</v>
      </c>
      <c r="V81" s="8">
        <f>IFERROR(M81/N81,0)</f>
        <v/>
      </c>
      <c r="W81" s="8">
        <f>IFERROR(I81/H81,0)</f>
        <v/>
      </c>
      <c r="X81" s="8">
        <f>IFERROR(J81/I81,0)</f>
        <v/>
      </c>
      <c r="Y81" s="8">
        <f>IFERROR(K81/J81,0)</f>
        <v/>
      </c>
      <c r="Z81" s="9">
        <f>R81+S81</f>
        <v/>
      </c>
      <c r="AA81" s="9">
        <f>M81*P81+K81*Q81</f>
        <v/>
      </c>
    </row>
    <row r="82">
      <c r="A82" s="6" t="inlineStr">
        <is>
          <t>ISCOM_PAR</t>
        </is>
      </c>
      <c r="B82" s="6" t="inlineStr">
        <is>
          <t>BAC_COM</t>
        </is>
      </c>
      <c r="C82" s="6" t="inlineStr">
        <is>
          <t>B2</t>
        </is>
      </c>
      <c r="D82" s="6" t="inlineStr">
        <is>
          <t>ALT</t>
        </is>
      </c>
      <c r="E82" s="6" t="inlineStr">
        <is>
          <t>2025</t>
        </is>
      </c>
      <c r="F82" s="6" t="inlineStr">
        <is>
          <t>2027BUD_V1</t>
        </is>
      </c>
      <c r="G82" s="6" t="n">
        <v>12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66</v>
      </c>
      <c r="M82" s="7" t="n">
        <v>66</v>
      </c>
      <c r="N82" s="7" t="n">
        <v>68</v>
      </c>
      <c r="O82" s="7" t="n">
        <v>3</v>
      </c>
      <c r="P82" s="7" t="n">
        <v>7840</v>
      </c>
      <c r="Q82" s="7" t="n">
        <v>90</v>
      </c>
      <c r="R82" s="7" t="n">
        <v>0</v>
      </c>
      <c r="S82" s="7" t="n">
        <v>0</v>
      </c>
      <c r="T82" s="7" t="n">
        <v>0</v>
      </c>
      <c r="U82" s="7" t="n">
        <v>0</v>
      </c>
      <c r="V82" s="8">
        <f>IFERROR(M82/N82,0)</f>
        <v/>
      </c>
      <c r="W82" s="8">
        <f>IFERROR(I82/H82,0)</f>
        <v/>
      </c>
      <c r="X82" s="8">
        <f>IFERROR(J82/I82,0)</f>
        <v/>
      </c>
      <c r="Y82" s="8">
        <f>IFERROR(K82/J82,0)</f>
        <v/>
      </c>
      <c r="Z82" s="9">
        <f>R82+S82</f>
        <v/>
      </c>
      <c r="AA82" s="9">
        <f>M82*P82+K82*Q82</f>
        <v/>
      </c>
    </row>
    <row r="83">
      <c r="A83" s="6" t="inlineStr">
        <is>
          <t>ISCOM_PAR</t>
        </is>
      </c>
      <c r="B83" s="6" t="inlineStr">
        <is>
          <t>BAC_COM</t>
        </is>
      </c>
      <c r="C83" s="6" t="inlineStr">
        <is>
          <t>B3</t>
        </is>
      </c>
      <c r="D83" s="6" t="inlineStr">
        <is>
          <t>ALT</t>
        </is>
      </c>
      <c r="E83" s="6" t="inlineStr">
        <is>
          <t>2025</t>
        </is>
      </c>
      <c r="F83" s="6" t="inlineStr">
        <is>
          <t>2027BUD_V1</t>
        </is>
      </c>
      <c r="G83" s="6" t="n">
        <v>12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65</v>
      </c>
      <c r="M83" s="7" t="n">
        <v>65</v>
      </c>
      <c r="N83" s="7" t="n">
        <v>66</v>
      </c>
      <c r="O83" s="7" t="n">
        <v>3</v>
      </c>
      <c r="P83" s="7" t="n">
        <v>7840</v>
      </c>
      <c r="Q83" s="7" t="n">
        <v>90</v>
      </c>
      <c r="R83" s="7" t="n">
        <v>0</v>
      </c>
      <c r="S83" s="7" t="n">
        <v>0</v>
      </c>
      <c r="T83" s="7" t="n">
        <v>0</v>
      </c>
      <c r="U83" s="7" t="n">
        <v>0</v>
      </c>
      <c r="V83" s="8">
        <f>IFERROR(M83/N83,0)</f>
        <v/>
      </c>
      <c r="W83" s="8">
        <f>IFERROR(I83/H83,0)</f>
        <v/>
      </c>
      <c r="X83" s="8">
        <f>IFERROR(J83/I83,0)</f>
        <v/>
      </c>
      <c r="Y83" s="8">
        <f>IFERROR(K83/J83,0)</f>
        <v/>
      </c>
      <c r="Z83" s="9">
        <f>R83+S83</f>
        <v/>
      </c>
      <c r="AA83" s="9">
        <f>M83*P83+K83*Q83</f>
        <v/>
      </c>
    </row>
    <row r="84">
      <c r="A84" s="6" t="inlineStr">
        <is>
          <t>ISCOM_PAR</t>
        </is>
      </c>
      <c r="B84" s="6" t="inlineStr">
        <is>
          <t>MAS_COM</t>
        </is>
      </c>
      <c r="C84" s="6" t="inlineStr">
        <is>
          <t>M1</t>
        </is>
      </c>
      <c r="D84" s="6" t="inlineStr">
        <is>
          <t>ALT</t>
        </is>
      </c>
      <c r="E84" s="6" t="inlineStr">
        <is>
          <t>2025</t>
        </is>
      </c>
      <c r="F84" s="6" t="inlineStr">
        <is>
          <t>2027BUD_V1</t>
        </is>
      </c>
      <c r="G84" s="6" t="n">
        <v>12</v>
      </c>
      <c r="H84" s="7" t="n">
        <v>1151</v>
      </c>
      <c r="I84" s="7" t="n">
        <v>230</v>
      </c>
      <c r="J84" s="7" t="n">
        <v>161</v>
      </c>
      <c r="K84" s="7" t="n">
        <v>68</v>
      </c>
      <c r="L84" s="7" t="n">
        <v>0</v>
      </c>
      <c r="M84" s="7" t="n">
        <v>68</v>
      </c>
      <c r="N84" s="7" t="n">
        <v>0</v>
      </c>
      <c r="O84" s="7" t="n">
        <v>3</v>
      </c>
      <c r="P84" s="7" t="n">
        <v>8400</v>
      </c>
      <c r="Q84" s="7" t="n">
        <v>90</v>
      </c>
      <c r="R84" s="7" t="n">
        <v>450</v>
      </c>
      <c r="S84" s="7" t="n">
        <v>726</v>
      </c>
      <c r="T84" s="7" t="n">
        <v>37132</v>
      </c>
      <c r="U84" s="7" t="n">
        <v>38451</v>
      </c>
      <c r="V84" s="8">
        <f>IFERROR(M84/N84,0)</f>
        <v/>
      </c>
      <c r="W84" s="8">
        <f>IFERROR(I84/H84,0)</f>
        <v/>
      </c>
      <c r="X84" s="8">
        <f>IFERROR(J84/I84,0)</f>
        <v/>
      </c>
      <c r="Y84" s="8">
        <f>IFERROR(K84/J84,0)</f>
        <v/>
      </c>
      <c r="Z84" s="9">
        <f>R84+S84</f>
        <v/>
      </c>
      <c r="AA84" s="9">
        <f>M84*P84+K84*Q84</f>
        <v/>
      </c>
    </row>
    <row r="85">
      <c r="A85" s="6" t="inlineStr">
        <is>
          <t>ISCOM_PAR</t>
        </is>
      </c>
      <c r="B85" s="6" t="inlineStr">
        <is>
          <t>MAS_COM</t>
        </is>
      </c>
      <c r="C85" s="6" t="inlineStr">
        <is>
          <t>M2</t>
        </is>
      </c>
      <c r="D85" s="6" t="inlineStr">
        <is>
          <t>ALT</t>
        </is>
      </c>
      <c r="E85" s="6" t="inlineStr">
        <is>
          <t>2025</t>
        </is>
      </c>
      <c r="F85" s="6" t="inlineStr">
        <is>
          <t>2027BUD_V1</t>
        </is>
      </c>
      <c r="G85" s="6" t="n">
        <v>12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67</v>
      </c>
      <c r="M85" s="7" t="n">
        <v>67</v>
      </c>
      <c r="N85" s="7" t="n">
        <v>68</v>
      </c>
      <c r="O85" s="7" t="n">
        <v>3</v>
      </c>
      <c r="P85" s="7" t="n">
        <v>8400</v>
      </c>
      <c r="Q85" s="7" t="n">
        <v>90</v>
      </c>
      <c r="R85" s="7" t="n">
        <v>0</v>
      </c>
      <c r="S85" s="7" t="n">
        <v>0</v>
      </c>
      <c r="T85" s="7" t="n">
        <v>0</v>
      </c>
      <c r="U85" s="7" t="n">
        <v>0</v>
      </c>
      <c r="V85" s="8">
        <f>IFERROR(M85/N85,0)</f>
        <v/>
      </c>
      <c r="W85" s="8">
        <f>IFERROR(I85/H85,0)</f>
        <v/>
      </c>
      <c r="X85" s="8">
        <f>IFERROR(J85/I85,0)</f>
        <v/>
      </c>
      <c r="Y85" s="8">
        <f>IFERROR(K85/J85,0)</f>
        <v/>
      </c>
      <c r="Z85" s="9">
        <f>R85+S85</f>
        <v/>
      </c>
      <c r="AA85" s="9">
        <f>M85*P85+K85*Q85</f>
        <v/>
      </c>
    </row>
    <row r="86">
      <c r="A86" s="6" t="inlineStr">
        <is>
          <t>ISCOM_LIL</t>
        </is>
      </c>
      <c r="B86" s="6" t="inlineStr">
        <is>
          <t>BAC_COM</t>
        </is>
      </c>
      <c r="C86" s="6" t="inlineStr">
        <is>
          <t>B1</t>
        </is>
      </c>
      <c r="D86" s="6" t="inlineStr">
        <is>
          <t>INIT</t>
        </is>
      </c>
      <c r="E86" s="6" t="inlineStr">
        <is>
          <t>2025</t>
        </is>
      </c>
      <c r="F86" s="6" t="inlineStr">
        <is>
          <t>2027BUD_V1</t>
        </is>
      </c>
      <c r="G86" s="6" t="n">
        <v>12</v>
      </c>
      <c r="H86" s="7" t="n">
        <v>388</v>
      </c>
      <c r="I86" s="7" t="n">
        <v>108</v>
      </c>
      <c r="J86" s="7" t="n">
        <v>78</v>
      </c>
      <c r="K86" s="7" t="n">
        <v>47</v>
      </c>
      <c r="L86" s="7" t="n">
        <v>0</v>
      </c>
      <c r="M86" s="7" t="n">
        <v>47</v>
      </c>
      <c r="N86" s="7" t="n">
        <v>0</v>
      </c>
      <c r="O86" s="7" t="n">
        <v>2</v>
      </c>
      <c r="P86" s="7" t="n">
        <v>7350</v>
      </c>
      <c r="Q86" s="7" t="n">
        <v>90</v>
      </c>
      <c r="R86" s="7" t="n">
        <v>199</v>
      </c>
      <c r="S86" s="7" t="n">
        <v>196</v>
      </c>
      <c r="T86" s="7" t="n">
        <v>7473</v>
      </c>
      <c r="U86" s="7" t="n">
        <v>17199</v>
      </c>
      <c r="V86" s="8">
        <f>IFERROR(M86/N86,0)</f>
        <v/>
      </c>
      <c r="W86" s="8">
        <f>IFERROR(I86/H86,0)</f>
        <v/>
      </c>
      <c r="X86" s="8">
        <f>IFERROR(J86/I86,0)</f>
        <v/>
      </c>
      <c r="Y86" s="8">
        <f>IFERROR(K86/J86,0)</f>
        <v/>
      </c>
      <c r="Z86" s="9">
        <f>R86+S86</f>
        <v/>
      </c>
      <c r="AA86" s="9">
        <f>M86*P86+K86*Q86</f>
        <v/>
      </c>
    </row>
    <row r="87">
      <c r="A87" s="6" t="inlineStr">
        <is>
          <t>ISCOM_LIL</t>
        </is>
      </c>
      <c r="B87" s="6" t="inlineStr">
        <is>
          <t>BAC_COM</t>
        </is>
      </c>
      <c r="C87" s="6" t="inlineStr">
        <is>
          <t>B2</t>
        </is>
      </c>
      <c r="D87" s="6" t="inlineStr">
        <is>
          <t>ALT</t>
        </is>
      </c>
      <c r="E87" s="6" t="inlineStr">
        <is>
          <t>2025</t>
        </is>
      </c>
      <c r="F87" s="6" t="inlineStr">
        <is>
          <t>2027BUD_V1</t>
        </is>
      </c>
      <c r="G87" s="6" t="n">
        <v>12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45</v>
      </c>
      <c r="M87" s="7" t="n">
        <v>45</v>
      </c>
      <c r="N87" s="7" t="n">
        <v>47</v>
      </c>
      <c r="O87" s="7" t="n">
        <v>2</v>
      </c>
      <c r="P87" s="7" t="n">
        <v>6860</v>
      </c>
      <c r="Q87" s="7" t="n">
        <v>90</v>
      </c>
      <c r="R87" s="7" t="n">
        <v>0</v>
      </c>
      <c r="S87" s="7" t="n">
        <v>0</v>
      </c>
      <c r="T87" s="7" t="n">
        <v>0</v>
      </c>
      <c r="U87" s="7" t="n">
        <v>0</v>
      </c>
      <c r="V87" s="8">
        <f>IFERROR(M87/N87,0)</f>
        <v/>
      </c>
      <c r="W87" s="8">
        <f>IFERROR(I87/H87,0)</f>
        <v/>
      </c>
      <c r="X87" s="8">
        <f>IFERROR(J87/I87,0)</f>
        <v/>
      </c>
      <c r="Y87" s="8">
        <f>IFERROR(K87/J87,0)</f>
        <v/>
      </c>
      <c r="Z87" s="9">
        <f>R87+S87</f>
        <v/>
      </c>
      <c r="AA87" s="9">
        <f>M87*P87+K87*Q87</f>
        <v/>
      </c>
    </row>
    <row r="88">
      <c r="A88" s="6" t="inlineStr">
        <is>
          <t>ISCOM_LIL</t>
        </is>
      </c>
      <c r="B88" s="6" t="inlineStr">
        <is>
          <t>BAC_COM</t>
        </is>
      </c>
      <c r="C88" s="6" t="inlineStr">
        <is>
          <t>B3</t>
        </is>
      </c>
      <c r="D88" s="6" t="inlineStr">
        <is>
          <t>ALT</t>
        </is>
      </c>
      <c r="E88" s="6" t="inlineStr">
        <is>
          <t>2025</t>
        </is>
      </c>
      <c r="F88" s="6" t="inlineStr">
        <is>
          <t>2027BUD_V1</t>
        </is>
      </c>
      <c r="G88" s="6" t="n">
        <v>12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44</v>
      </c>
      <c r="M88" s="7" t="n">
        <v>44</v>
      </c>
      <c r="N88" s="7" t="n">
        <v>45</v>
      </c>
      <c r="O88" s="7" t="n">
        <v>2</v>
      </c>
      <c r="P88" s="7" t="n">
        <v>6860</v>
      </c>
      <c r="Q88" s="7" t="n">
        <v>90</v>
      </c>
      <c r="R88" s="7" t="n">
        <v>0</v>
      </c>
      <c r="S88" s="7" t="n">
        <v>0</v>
      </c>
      <c r="T88" s="7" t="n">
        <v>0</v>
      </c>
      <c r="U88" s="7" t="n">
        <v>0</v>
      </c>
      <c r="V88" s="8">
        <f>IFERROR(M88/N88,0)</f>
        <v/>
      </c>
      <c r="W88" s="8">
        <f>IFERROR(I88/H88,0)</f>
        <v/>
      </c>
      <c r="X88" s="8">
        <f>IFERROR(J88/I88,0)</f>
        <v/>
      </c>
      <c r="Y88" s="8">
        <f>IFERROR(K88/J88,0)</f>
        <v/>
      </c>
      <c r="Z88" s="9">
        <f>R88+S88</f>
        <v/>
      </c>
      <c r="AA88" s="9">
        <f>M88*P88+K88*Q88</f>
        <v/>
      </c>
    </row>
    <row r="89">
      <c r="A89" s="6" t="inlineStr">
        <is>
          <t>ISCOM_LIL</t>
        </is>
      </c>
      <c r="B89" s="6" t="inlineStr">
        <is>
          <t>MAS_COM</t>
        </is>
      </c>
      <c r="C89" s="6" t="inlineStr">
        <is>
          <t>M1</t>
        </is>
      </c>
      <c r="D89" s="6" t="inlineStr">
        <is>
          <t>ALT</t>
        </is>
      </c>
      <c r="E89" s="6" t="inlineStr">
        <is>
          <t>2025</t>
        </is>
      </c>
      <c r="F89" s="6" t="inlineStr">
        <is>
          <t>2027BUD_V1</t>
        </is>
      </c>
      <c r="G89" s="6" t="n">
        <v>12</v>
      </c>
      <c r="H89" s="7" t="n">
        <v>802</v>
      </c>
      <c r="I89" s="7" t="n">
        <v>160</v>
      </c>
      <c r="J89" s="7" t="n">
        <v>112</v>
      </c>
      <c r="K89" s="7" t="n">
        <v>47</v>
      </c>
      <c r="L89" s="7" t="n">
        <v>0</v>
      </c>
      <c r="M89" s="7" t="n">
        <v>47</v>
      </c>
      <c r="N89" s="7" t="n">
        <v>0</v>
      </c>
      <c r="O89" s="7" t="n">
        <v>2</v>
      </c>
      <c r="P89" s="7" t="n">
        <v>7350</v>
      </c>
      <c r="Q89" s="7" t="n">
        <v>90</v>
      </c>
      <c r="R89" s="7" t="n">
        <v>413</v>
      </c>
      <c r="S89" s="7" t="n">
        <v>404</v>
      </c>
      <c r="T89" s="7" t="n">
        <v>15454</v>
      </c>
      <c r="U89" s="7" t="n">
        <v>35569</v>
      </c>
      <c r="V89" s="8">
        <f>IFERROR(M89/N89,0)</f>
        <v/>
      </c>
      <c r="W89" s="8">
        <f>IFERROR(I89/H89,0)</f>
        <v/>
      </c>
      <c r="X89" s="8">
        <f>IFERROR(J89/I89,0)</f>
        <v/>
      </c>
      <c r="Y89" s="8">
        <f>IFERROR(K89/J89,0)</f>
        <v/>
      </c>
      <c r="Z89" s="9">
        <f>R89+S89</f>
        <v/>
      </c>
      <c r="AA89" s="9">
        <f>M89*P89+K89*Q89</f>
        <v/>
      </c>
    </row>
    <row r="90">
      <c r="A90" s="6" t="inlineStr">
        <is>
          <t>ISCOM_LIL</t>
        </is>
      </c>
      <c r="B90" s="6" t="inlineStr">
        <is>
          <t>MAS_COM</t>
        </is>
      </c>
      <c r="C90" s="6" t="inlineStr">
        <is>
          <t>M2</t>
        </is>
      </c>
      <c r="D90" s="6" t="inlineStr">
        <is>
          <t>ALT</t>
        </is>
      </c>
      <c r="E90" s="6" t="inlineStr">
        <is>
          <t>2025</t>
        </is>
      </c>
      <c r="F90" s="6" t="inlineStr">
        <is>
          <t>2027BUD_V1</t>
        </is>
      </c>
      <c r="G90" s="6" t="n">
        <v>12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46</v>
      </c>
      <c r="M90" s="7" t="n">
        <v>46</v>
      </c>
      <c r="N90" s="7" t="n">
        <v>47</v>
      </c>
      <c r="O90" s="7" t="n">
        <v>2</v>
      </c>
      <c r="P90" s="7" t="n">
        <v>7350</v>
      </c>
      <c r="Q90" s="7" t="n">
        <v>90</v>
      </c>
      <c r="R90" s="7" t="n">
        <v>0</v>
      </c>
      <c r="S90" s="7" t="n">
        <v>0</v>
      </c>
      <c r="T90" s="7" t="n">
        <v>0</v>
      </c>
      <c r="U90" s="7" t="n">
        <v>0</v>
      </c>
      <c r="V90" s="8">
        <f>IFERROR(M90/N90,0)</f>
        <v/>
      </c>
      <c r="W90" s="8">
        <f>IFERROR(I90/H90,0)</f>
        <v/>
      </c>
      <c r="X90" s="8">
        <f>IFERROR(J90/I90,0)</f>
        <v/>
      </c>
      <c r="Y90" s="8">
        <f>IFERROR(K90/J90,0)</f>
        <v/>
      </c>
      <c r="Z90" s="9">
        <f>R90+S90</f>
        <v/>
      </c>
      <c r="AA90" s="9">
        <f>M90*P90+K90*Q90</f>
        <v/>
      </c>
    </row>
    <row r="91">
      <c r="A91" s="6" t="inlineStr">
        <is>
          <t>ISCOM_TLS</t>
        </is>
      </c>
      <c r="B91" s="6" t="inlineStr">
        <is>
          <t>BAC_COM</t>
        </is>
      </c>
      <c r="C91" s="6" t="inlineStr">
        <is>
          <t>B1</t>
        </is>
      </c>
      <c r="D91" s="6" t="inlineStr">
        <is>
          <t>INIT</t>
        </is>
      </c>
      <c r="E91" s="6" t="inlineStr">
        <is>
          <t>2025</t>
        </is>
      </c>
      <c r="F91" s="6" t="inlineStr">
        <is>
          <t>2027BUD_V1</t>
        </is>
      </c>
      <c r="G91" s="6" t="n">
        <v>12</v>
      </c>
      <c r="H91" s="7" t="n">
        <v>364</v>
      </c>
      <c r="I91" s="7" t="n">
        <v>102</v>
      </c>
      <c r="J91" s="7" t="n">
        <v>74</v>
      </c>
      <c r="K91" s="7" t="n">
        <v>44</v>
      </c>
      <c r="L91" s="7" t="n">
        <v>0</v>
      </c>
      <c r="M91" s="7" t="n">
        <v>44</v>
      </c>
      <c r="N91" s="7" t="n">
        <v>0</v>
      </c>
      <c r="O91" s="7" t="n">
        <v>2</v>
      </c>
      <c r="P91" s="7" t="n">
        <v>7200</v>
      </c>
      <c r="Q91" s="7" t="n">
        <v>90</v>
      </c>
      <c r="R91" s="7" t="n">
        <v>191</v>
      </c>
      <c r="S91" s="7" t="n">
        <v>180</v>
      </c>
      <c r="T91" s="7" t="n">
        <v>6534</v>
      </c>
      <c r="U91" s="7" t="n">
        <v>16504</v>
      </c>
      <c r="V91" s="8">
        <f>IFERROR(M91/N91,0)</f>
        <v/>
      </c>
      <c r="W91" s="8">
        <f>IFERROR(I91/H91,0)</f>
        <v/>
      </c>
      <c r="X91" s="8">
        <f>IFERROR(J91/I91,0)</f>
        <v/>
      </c>
      <c r="Y91" s="8">
        <f>IFERROR(K91/J91,0)</f>
        <v/>
      </c>
      <c r="Z91" s="9">
        <f>R91+S91</f>
        <v/>
      </c>
      <c r="AA91" s="9">
        <f>M91*P91+K91*Q91</f>
        <v/>
      </c>
    </row>
    <row r="92">
      <c r="A92" s="6" t="inlineStr">
        <is>
          <t>ISCOM_TLS</t>
        </is>
      </c>
      <c r="B92" s="6" t="inlineStr">
        <is>
          <t>BAC_COM</t>
        </is>
      </c>
      <c r="C92" s="6" t="inlineStr">
        <is>
          <t>B2</t>
        </is>
      </c>
      <c r="D92" s="6" t="inlineStr">
        <is>
          <t>ALT</t>
        </is>
      </c>
      <c r="E92" s="6" t="inlineStr">
        <is>
          <t>2025</t>
        </is>
      </c>
      <c r="F92" s="6" t="inlineStr">
        <is>
          <t>2027BUD_V1</t>
        </is>
      </c>
      <c r="G92" s="6" t="n">
        <v>12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43</v>
      </c>
      <c r="M92" s="7" t="n">
        <v>43</v>
      </c>
      <c r="N92" s="7" t="n">
        <v>44</v>
      </c>
      <c r="O92" s="7" t="n">
        <v>2</v>
      </c>
      <c r="P92" s="7" t="n">
        <v>6720</v>
      </c>
      <c r="Q92" s="7" t="n">
        <v>90</v>
      </c>
      <c r="R92" s="7" t="n">
        <v>0</v>
      </c>
      <c r="S92" s="7" t="n">
        <v>0</v>
      </c>
      <c r="T92" s="7" t="n">
        <v>0</v>
      </c>
      <c r="U92" s="7" t="n">
        <v>0</v>
      </c>
      <c r="V92" s="8">
        <f>IFERROR(M92/N92,0)</f>
        <v/>
      </c>
      <c r="W92" s="8">
        <f>IFERROR(I92/H92,0)</f>
        <v/>
      </c>
      <c r="X92" s="8">
        <f>IFERROR(J92/I92,0)</f>
        <v/>
      </c>
      <c r="Y92" s="8">
        <f>IFERROR(K92/J92,0)</f>
        <v/>
      </c>
      <c r="Z92" s="9">
        <f>R92+S92</f>
        <v/>
      </c>
      <c r="AA92" s="9">
        <f>M92*P92+K92*Q92</f>
        <v/>
      </c>
    </row>
    <row r="93">
      <c r="A93" s="6" t="inlineStr">
        <is>
          <t>ISCOM_TLS</t>
        </is>
      </c>
      <c r="B93" s="6" t="inlineStr">
        <is>
          <t>BAC_COM</t>
        </is>
      </c>
      <c r="C93" s="6" t="inlineStr">
        <is>
          <t>B3</t>
        </is>
      </c>
      <c r="D93" s="6" t="inlineStr">
        <is>
          <t>ALT</t>
        </is>
      </c>
      <c r="E93" s="6" t="inlineStr">
        <is>
          <t>2025</t>
        </is>
      </c>
      <c r="F93" s="6" t="inlineStr">
        <is>
          <t>2027BUD_V1</t>
        </is>
      </c>
      <c r="G93" s="6" t="n">
        <v>12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42</v>
      </c>
      <c r="M93" s="7" t="n">
        <v>42</v>
      </c>
      <c r="N93" s="7" t="n">
        <v>43</v>
      </c>
      <c r="O93" s="7" t="n">
        <v>2</v>
      </c>
      <c r="P93" s="7" t="n">
        <v>6720</v>
      </c>
      <c r="Q93" s="7" t="n">
        <v>90</v>
      </c>
      <c r="R93" s="7" t="n">
        <v>0</v>
      </c>
      <c r="S93" s="7" t="n">
        <v>0</v>
      </c>
      <c r="T93" s="7" t="n">
        <v>0</v>
      </c>
      <c r="U93" s="7" t="n">
        <v>0</v>
      </c>
      <c r="V93" s="8">
        <f>IFERROR(M93/N93,0)</f>
        <v/>
      </c>
      <c r="W93" s="8">
        <f>IFERROR(I93/H93,0)</f>
        <v/>
      </c>
      <c r="X93" s="8">
        <f>IFERROR(J93/I93,0)</f>
        <v/>
      </c>
      <c r="Y93" s="8">
        <f>IFERROR(K93/J93,0)</f>
        <v/>
      </c>
      <c r="Z93" s="9">
        <f>R93+S93</f>
        <v/>
      </c>
      <c r="AA93" s="9">
        <f>M93*P93+K93*Q93</f>
        <v/>
      </c>
    </row>
    <row r="94">
      <c r="A94" s="6" t="inlineStr">
        <is>
          <t>ISCOM_TLS</t>
        </is>
      </c>
      <c r="B94" s="6" t="inlineStr">
        <is>
          <t>MAS_COM</t>
        </is>
      </c>
      <c r="C94" s="6" t="inlineStr">
        <is>
          <t>M1</t>
        </is>
      </c>
      <c r="D94" s="6" t="inlineStr">
        <is>
          <t>ALT</t>
        </is>
      </c>
      <c r="E94" s="6" t="inlineStr">
        <is>
          <t>2025</t>
        </is>
      </c>
      <c r="F94" s="6" t="inlineStr">
        <is>
          <t>2027BUD_V1</t>
        </is>
      </c>
      <c r="G94" s="6" t="n">
        <v>12</v>
      </c>
      <c r="H94" s="7" t="n">
        <v>755</v>
      </c>
      <c r="I94" s="7" t="n">
        <v>151</v>
      </c>
      <c r="J94" s="7" t="n">
        <v>106</v>
      </c>
      <c r="K94" s="7" t="n">
        <v>44</v>
      </c>
      <c r="L94" s="7" t="n">
        <v>0</v>
      </c>
      <c r="M94" s="7" t="n">
        <v>44</v>
      </c>
      <c r="N94" s="7" t="n">
        <v>0</v>
      </c>
      <c r="O94" s="7" t="n">
        <v>2</v>
      </c>
      <c r="P94" s="7" t="n">
        <v>7200</v>
      </c>
      <c r="Q94" s="7" t="n">
        <v>90</v>
      </c>
      <c r="R94" s="7" t="n">
        <v>396</v>
      </c>
      <c r="S94" s="7" t="n">
        <v>373</v>
      </c>
      <c r="T94" s="7" t="n">
        <v>13542</v>
      </c>
      <c r="U94" s="7" t="n">
        <v>34206</v>
      </c>
      <c r="V94" s="8">
        <f>IFERROR(M94/N94,0)</f>
        <v/>
      </c>
      <c r="W94" s="8">
        <f>IFERROR(I94/H94,0)</f>
        <v/>
      </c>
      <c r="X94" s="8">
        <f>IFERROR(J94/I94,0)</f>
        <v/>
      </c>
      <c r="Y94" s="8">
        <f>IFERROR(K94/J94,0)</f>
        <v/>
      </c>
      <c r="Z94" s="9">
        <f>R94+S94</f>
        <v/>
      </c>
      <c r="AA94" s="9">
        <f>M94*P94+K94*Q94</f>
        <v/>
      </c>
    </row>
    <row r="95">
      <c r="A95" s="6" t="inlineStr">
        <is>
          <t>ISCOM_TLS</t>
        </is>
      </c>
      <c r="B95" s="6" t="inlineStr">
        <is>
          <t>MAS_COM</t>
        </is>
      </c>
      <c r="C95" s="6" t="inlineStr">
        <is>
          <t>M2</t>
        </is>
      </c>
      <c r="D95" s="6" t="inlineStr">
        <is>
          <t>ALT</t>
        </is>
      </c>
      <c r="E95" s="6" t="inlineStr">
        <is>
          <t>2025</t>
        </is>
      </c>
      <c r="F95" s="6" t="inlineStr">
        <is>
          <t>2027BUD_V1</t>
        </is>
      </c>
      <c r="G95" s="6" t="n">
        <v>12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43</v>
      </c>
      <c r="M95" s="7" t="n">
        <v>43</v>
      </c>
      <c r="N95" s="7" t="n">
        <v>44</v>
      </c>
      <c r="O95" s="7" t="n">
        <v>2</v>
      </c>
      <c r="P95" s="7" t="n">
        <v>7200</v>
      </c>
      <c r="Q95" s="7" t="n">
        <v>90</v>
      </c>
      <c r="R95" s="7" t="n">
        <v>0</v>
      </c>
      <c r="S95" s="7" t="n">
        <v>0</v>
      </c>
      <c r="T95" s="7" t="n">
        <v>0</v>
      </c>
      <c r="U95" s="7" t="n">
        <v>0</v>
      </c>
      <c r="V95" s="8">
        <f>IFERROR(M95/N95,0)</f>
        <v/>
      </c>
      <c r="W95" s="8">
        <f>IFERROR(I95/H95,0)</f>
        <v/>
      </c>
      <c r="X95" s="8">
        <f>IFERROR(J95/I95,0)</f>
        <v/>
      </c>
      <c r="Y95" s="8">
        <f>IFERROR(K95/J95,0)</f>
        <v/>
      </c>
      <c r="Z95" s="9">
        <f>R95+S95</f>
        <v/>
      </c>
      <c r="AA95" s="9">
        <f>M95*P95+K95*Q95</f>
        <v/>
      </c>
    </row>
    <row r="96">
      <c r="A96" s="6" t="inlineStr">
        <is>
          <t>IPAC_NAN</t>
        </is>
      </c>
      <c r="B96" s="6" t="inlineStr">
        <is>
          <t>BAC_CCE</t>
        </is>
      </c>
      <c r="C96" s="6" t="inlineStr">
        <is>
          <t>B1</t>
        </is>
      </c>
      <c r="D96" s="6" t="inlineStr">
        <is>
          <t>ALT</t>
        </is>
      </c>
      <c r="E96" s="6" t="inlineStr">
        <is>
          <t>2025</t>
        </is>
      </c>
      <c r="F96" s="6" t="inlineStr">
        <is>
          <t>2027BUD_V1</t>
        </is>
      </c>
      <c r="G96" s="6" t="n">
        <v>12</v>
      </c>
      <c r="H96" s="7" t="n">
        <v>802</v>
      </c>
      <c r="I96" s="7" t="n">
        <v>160</v>
      </c>
      <c r="J96" s="7" t="n">
        <v>112</v>
      </c>
      <c r="K96" s="7" t="n">
        <v>47</v>
      </c>
      <c r="L96" s="7" t="n">
        <v>0</v>
      </c>
      <c r="M96" s="7" t="n">
        <v>47</v>
      </c>
      <c r="N96" s="7" t="n">
        <v>0</v>
      </c>
      <c r="O96" s="7" t="n">
        <v>2</v>
      </c>
      <c r="P96" s="7" t="n">
        <v>7000</v>
      </c>
      <c r="Q96" s="7" t="n">
        <v>90</v>
      </c>
      <c r="R96" s="7" t="n">
        <v>281</v>
      </c>
      <c r="S96" s="7" t="n">
        <v>516</v>
      </c>
      <c r="T96" s="7" t="n">
        <v>19782</v>
      </c>
      <c r="U96" s="7" t="n">
        <v>21082</v>
      </c>
      <c r="V96" s="8">
        <f>IFERROR(M96/N96,0)</f>
        <v/>
      </c>
      <c r="W96" s="8">
        <f>IFERROR(I96/H96,0)</f>
        <v/>
      </c>
      <c r="X96" s="8">
        <f>IFERROR(J96/I96,0)</f>
        <v/>
      </c>
      <c r="Y96" s="8">
        <f>IFERROR(K96/J96,0)</f>
        <v/>
      </c>
      <c r="Z96" s="9">
        <f>R96+S96</f>
        <v/>
      </c>
      <c r="AA96" s="9">
        <f>M96*P96+K96*Q96</f>
        <v/>
      </c>
    </row>
    <row r="97">
      <c r="A97" s="6" t="inlineStr">
        <is>
          <t>IPAC_NAN</t>
        </is>
      </c>
      <c r="B97" s="6" t="inlineStr">
        <is>
          <t>BAC_CCE</t>
        </is>
      </c>
      <c r="C97" s="6" t="inlineStr">
        <is>
          <t>B2</t>
        </is>
      </c>
      <c r="D97" s="6" t="inlineStr">
        <is>
          <t>ALT</t>
        </is>
      </c>
      <c r="E97" s="6" t="inlineStr">
        <is>
          <t>2025</t>
        </is>
      </c>
      <c r="F97" s="6" t="inlineStr">
        <is>
          <t>2027BUD_V1</t>
        </is>
      </c>
      <c r="G97" s="6" t="n">
        <v>12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45</v>
      </c>
      <c r="M97" s="7" t="n">
        <v>45</v>
      </c>
      <c r="N97" s="7" t="n">
        <v>47</v>
      </c>
      <c r="O97" s="7" t="n">
        <v>2</v>
      </c>
      <c r="P97" s="7" t="n">
        <v>7000</v>
      </c>
      <c r="Q97" s="7" t="n">
        <v>90</v>
      </c>
      <c r="R97" s="7" t="n">
        <v>0</v>
      </c>
      <c r="S97" s="7" t="n">
        <v>0</v>
      </c>
      <c r="T97" s="7" t="n">
        <v>0</v>
      </c>
      <c r="U97" s="7" t="n">
        <v>0</v>
      </c>
      <c r="V97" s="8">
        <f>IFERROR(M97/N97,0)</f>
        <v/>
      </c>
      <c r="W97" s="8">
        <f>IFERROR(I97/H97,0)</f>
        <v/>
      </c>
      <c r="X97" s="8">
        <f>IFERROR(J97/I97,0)</f>
        <v/>
      </c>
      <c r="Y97" s="8">
        <f>IFERROR(K97/J97,0)</f>
        <v/>
      </c>
      <c r="Z97" s="9">
        <f>R97+S97</f>
        <v/>
      </c>
      <c r="AA97" s="9">
        <f>M97*P97+K97*Q97</f>
        <v/>
      </c>
    </row>
    <row r="98">
      <c r="A98" s="6" t="inlineStr">
        <is>
          <t>IPAC_NAN</t>
        </is>
      </c>
      <c r="B98" s="6" t="inlineStr">
        <is>
          <t>BAC_CCE</t>
        </is>
      </c>
      <c r="C98" s="6" t="inlineStr">
        <is>
          <t>B3</t>
        </is>
      </c>
      <c r="D98" s="6" t="inlineStr">
        <is>
          <t>ALT</t>
        </is>
      </c>
      <c r="E98" s="6" t="inlineStr">
        <is>
          <t>2025</t>
        </is>
      </c>
      <c r="F98" s="6" t="inlineStr">
        <is>
          <t>2027BUD_V1</t>
        </is>
      </c>
      <c r="G98" s="6" t="n">
        <v>12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44</v>
      </c>
      <c r="M98" s="7" t="n">
        <v>44</v>
      </c>
      <c r="N98" s="7" t="n">
        <v>45</v>
      </c>
      <c r="O98" s="7" t="n">
        <v>2</v>
      </c>
      <c r="P98" s="7" t="n">
        <v>7000</v>
      </c>
      <c r="Q98" s="7" t="n">
        <v>90</v>
      </c>
      <c r="R98" s="7" t="n">
        <v>0</v>
      </c>
      <c r="S98" s="7" t="n">
        <v>0</v>
      </c>
      <c r="T98" s="7" t="n">
        <v>0</v>
      </c>
      <c r="U98" s="7" t="n">
        <v>0</v>
      </c>
      <c r="V98" s="8">
        <f>IFERROR(M98/N98,0)</f>
        <v/>
      </c>
      <c r="W98" s="8">
        <f>IFERROR(I98/H98,0)</f>
        <v/>
      </c>
      <c r="X98" s="8">
        <f>IFERROR(J98/I98,0)</f>
        <v/>
      </c>
      <c r="Y98" s="8">
        <f>IFERROR(K98/J98,0)</f>
        <v/>
      </c>
      <c r="Z98" s="9">
        <f>R98+S98</f>
        <v/>
      </c>
      <c r="AA98" s="9">
        <f>M98*P98+K98*Q98</f>
        <v/>
      </c>
    </row>
    <row r="99">
      <c r="A99" s="6" t="inlineStr">
        <is>
          <t>IPAC_REN</t>
        </is>
      </c>
      <c r="B99" s="6" t="inlineStr">
        <is>
          <t>BAC_CCE</t>
        </is>
      </c>
      <c r="C99" s="6" t="inlineStr">
        <is>
          <t>B1</t>
        </is>
      </c>
      <c r="D99" s="6" t="inlineStr">
        <is>
          <t>ALT</t>
        </is>
      </c>
      <c r="E99" s="6" t="inlineStr">
        <is>
          <t>2025</t>
        </is>
      </c>
      <c r="F99" s="6" t="inlineStr">
        <is>
          <t>2027BUD_V1</t>
        </is>
      </c>
      <c r="G99" s="6" t="n">
        <v>12</v>
      </c>
      <c r="H99" s="7" t="n">
        <v>642</v>
      </c>
      <c r="I99" s="7" t="n">
        <v>128</v>
      </c>
      <c r="J99" s="7" t="n">
        <v>90</v>
      </c>
      <c r="K99" s="7" t="n">
        <v>38</v>
      </c>
      <c r="L99" s="7" t="n">
        <v>0</v>
      </c>
      <c r="M99" s="7" t="n">
        <v>38</v>
      </c>
      <c r="N99" s="7" t="n">
        <v>0</v>
      </c>
      <c r="O99" s="7" t="n">
        <v>2</v>
      </c>
      <c r="P99" s="7" t="n">
        <v>6650</v>
      </c>
      <c r="Q99" s="7" t="n">
        <v>90</v>
      </c>
      <c r="R99" s="7" t="n">
        <v>243</v>
      </c>
      <c r="S99" s="7" t="n">
        <v>392</v>
      </c>
      <c r="T99" s="7" t="n">
        <v>13575</v>
      </c>
      <c r="U99" s="7" t="n">
        <v>18403</v>
      </c>
      <c r="V99" s="8">
        <f>IFERROR(M99/N99,0)</f>
        <v/>
      </c>
      <c r="W99" s="8">
        <f>IFERROR(I99/H99,0)</f>
        <v/>
      </c>
      <c r="X99" s="8">
        <f>IFERROR(J99/I99,0)</f>
        <v/>
      </c>
      <c r="Y99" s="8">
        <f>IFERROR(K99/J99,0)</f>
        <v/>
      </c>
      <c r="Z99" s="9">
        <f>R99+S99</f>
        <v/>
      </c>
      <c r="AA99" s="9">
        <f>M99*P99+K99*Q99</f>
        <v/>
      </c>
    </row>
    <row r="100">
      <c r="A100" s="6" t="inlineStr">
        <is>
          <t>IPAC_REN</t>
        </is>
      </c>
      <c r="B100" s="6" t="inlineStr">
        <is>
          <t>BAC_CCE</t>
        </is>
      </c>
      <c r="C100" s="6" t="inlineStr">
        <is>
          <t>B2</t>
        </is>
      </c>
      <c r="D100" s="6" t="inlineStr">
        <is>
          <t>ALT</t>
        </is>
      </c>
      <c r="E100" s="6" t="inlineStr">
        <is>
          <t>2025</t>
        </is>
      </c>
      <c r="F100" s="6" t="inlineStr">
        <is>
          <t>2027BUD_V1</t>
        </is>
      </c>
      <c r="G100" s="6" t="n">
        <v>12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37</v>
      </c>
      <c r="M100" s="7" t="n">
        <v>37</v>
      </c>
      <c r="N100" s="7" t="n">
        <v>38</v>
      </c>
      <c r="O100" s="7" t="n">
        <v>2</v>
      </c>
      <c r="P100" s="7" t="n">
        <v>6650</v>
      </c>
      <c r="Q100" s="7" t="n">
        <v>90</v>
      </c>
      <c r="R100" s="7" t="n">
        <v>0</v>
      </c>
      <c r="S100" s="7" t="n">
        <v>0</v>
      </c>
      <c r="T100" s="7" t="n">
        <v>0</v>
      </c>
      <c r="U100" s="7" t="n">
        <v>0</v>
      </c>
      <c r="V100" s="8">
        <f>IFERROR(M100/N100,0)</f>
        <v/>
      </c>
      <c r="W100" s="8">
        <f>IFERROR(I100/H100,0)</f>
        <v/>
      </c>
      <c r="X100" s="8">
        <f>IFERROR(J100/I100,0)</f>
        <v/>
      </c>
      <c r="Y100" s="8">
        <f>IFERROR(K100/J100,0)</f>
        <v/>
      </c>
      <c r="Z100" s="9">
        <f>R100+S100</f>
        <v/>
      </c>
      <c r="AA100" s="9">
        <f>M100*P100+K100*Q100</f>
        <v/>
      </c>
    </row>
    <row r="101">
      <c r="A101" s="6" t="inlineStr">
        <is>
          <t>IPAC_REN</t>
        </is>
      </c>
      <c r="B101" s="6" t="inlineStr">
        <is>
          <t>BAC_CCE</t>
        </is>
      </c>
      <c r="C101" s="6" t="inlineStr">
        <is>
          <t>B3</t>
        </is>
      </c>
      <c r="D101" s="6" t="inlineStr">
        <is>
          <t>ALT</t>
        </is>
      </c>
      <c r="E101" s="6" t="inlineStr">
        <is>
          <t>2025</t>
        </is>
      </c>
      <c r="F101" s="6" t="inlineStr">
        <is>
          <t>2027BUD_V1</t>
        </is>
      </c>
      <c r="G101" s="6" t="n">
        <v>12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36</v>
      </c>
      <c r="M101" s="7" t="n">
        <v>36</v>
      </c>
      <c r="N101" s="7" t="n">
        <v>37</v>
      </c>
      <c r="O101" s="7" t="n">
        <v>2</v>
      </c>
      <c r="P101" s="7" t="n">
        <v>6650</v>
      </c>
      <c r="Q101" s="7" t="n">
        <v>90</v>
      </c>
      <c r="R101" s="7" t="n">
        <v>0</v>
      </c>
      <c r="S101" s="7" t="n">
        <v>0</v>
      </c>
      <c r="T101" s="7" t="n">
        <v>0</v>
      </c>
      <c r="U101" s="7" t="n">
        <v>0</v>
      </c>
      <c r="V101" s="8">
        <f>IFERROR(M101/N101,0)</f>
        <v/>
      </c>
      <c r="W101" s="8">
        <f>IFERROR(I101/H101,0)</f>
        <v/>
      </c>
      <c r="X101" s="8">
        <f>IFERROR(J101/I101,0)</f>
        <v/>
      </c>
      <c r="Y101" s="8">
        <f>IFERROR(K101/J101,0)</f>
        <v/>
      </c>
      <c r="Z101" s="9">
        <f>R101+S101</f>
        <v/>
      </c>
      <c r="AA101" s="9">
        <f>M101*P101+K101*Q101</f>
        <v/>
      </c>
    </row>
    <row r="102">
      <c r="A102" s="6" t="inlineStr">
        <is>
          <t>IPAC_MTP</t>
        </is>
      </c>
      <c r="B102" s="6" t="inlineStr">
        <is>
          <t>BAC_CCE</t>
        </is>
      </c>
      <c r="C102" s="6" t="inlineStr">
        <is>
          <t>B1</t>
        </is>
      </c>
      <c r="D102" s="6" t="inlineStr">
        <is>
          <t>ALT</t>
        </is>
      </c>
      <c r="E102" s="6" t="inlineStr">
        <is>
          <t>2025</t>
        </is>
      </c>
      <c r="F102" s="6" t="inlineStr">
        <is>
          <t>2027BUD_V1</t>
        </is>
      </c>
      <c r="G102" s="6" t="n">
        <v>12</v>
      </c>
      <c r="H102" s="7" t="n">
        <v>642</v>
      </c>
      <c r="I102" s="7" t="n">
        <v>128</v>
      </c>
      <c r="J102" s="7" t="n">
        <v>90</v>
      </c>
      <c r="K102" s="7" t="n">
        <v>38</v>
      </c>
      <c r="L102" s="7" t="n">
        <v>0</v>
      </c>
      <c r="M102" s="7" t="n">
        <v>38</v>
      </c>
      <c r="N102" s="7" t="n">
        <v>0</v>
      </c>
      <c r="O102" s="7" t="n">
        <v>2</v>
      </c>
      <c r="P102" s="7" t="n">
        <v>6650</v>
      </c>
      <c r="Q102" s="7" t="n">
        <v>90</v>
      </c>
      <c r="R102" s="7" t="n">
        <v>237</v>
      </c>
      <c r="S102" s="7" t="n">
        <v>399</v>
      </c>
      <c r="T102" s="7" t="n">
        <v>13798</v>
      </c>
      <c r="U102" s="7" t="n">
        <v>17870</v>
      </c>
      <c r="V102" s="8">
        <f>IFERROR(M102/N102,0)</f>
        <v/>
      </c>
      <c r="W102" s="8">
        <f>IFERROR(I102/H102,0)</f>
        <v/>
      </c>
      <c r="X102" s="8">
        <f>IFERROR(J102/I102,0)</f>
        <v/>
      </c>
      <c r="Y102" s="8">
        <f>IFERROR(K102/J102,0)</f>
        <v/>
      </c>
      <c r="Z102" s="9">
        <f>R102+S102</f>
        <v/>
      </c>
      <c r="AA102" s="9">
        <f>M102*P102+K102*Q102</f>
        <v/>
      </c>
    </row>
    <row r="103">
      <c r="A103" s="6" t="inlineStr">
        <is>
          <t>IPAC_MTP</t>
        </is>
      </c>
      <c r="B103" s="6" t="inlineStr">
        <is>
          <t>BAC_CCE</t>
        </is>
      </c>
      <c r="C103" s="6" t="inlineStr">
        <is>
          <t>B2</t>
        </is>
      </c>
      <c r="D103" s="6" t="inlineStr">
        <is>
          <t>ALT</t>
        </is>
      </c>
      <c r="E103" s="6" t="inlineStr">
        <is>
          <t>2025</t>
        </is>
      </c>
      <c r="F103" s="6" t="inlineStr">
        <is>
          <t>2027BUD_V1</t>
        </is>
      </c>
      <c r="G103" s="6" t="n">
        <v>12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37</v>
      </c>
      <c r="M103" s="7" t="n">
        <v>37</v>
      </c>
      <c r="N103" s="7" t="n">
        <v>38</v>
      </c>
      <c r="O103" s="7" t="n">
        <v>2</v>
      </c>
      <c r="P103" s="7" t="n">
        <v>6650</v>
      </c>
      <c r="Q103" s="7" t="n">
        <v>90</v>
      </c>
      <c r="R103" s="7" t="n">
        <v>0</v>
      </c>
      <c r="S103" s="7" t="n">
        <v>0</v>
      </c>
      <c r="T103" s="7" t="n">
        <v>0</v>
      </c>
      <c r="U103" s="7" t="n">
        <v>0</v>
      </c>
      <c r="V103" s="8">
        <f>IFERROR(M103/N103,0)</f>
        <v/>
      </c>
      <c r="W103" s="8">
        <f>IFERROR(I103/H103,0)</f>
        <v/>
      </c>
      <c r="X103" s="8">
        <f>IFERROR(J103/I103,0)</f>
        <v/>
      </c>
      <c r="Y103" s="8">
        <f>IFERROR(K103/J103,0)</f>
        <v/>
      </c>
      <c r="Z103" s="9">
        <f>R103+S103</f>
        <v/>
      </c>
      <c r="AA103" s="9">
        <f>M103*P103+K103*Q103</f>
        <v/>
      </c>
    </row>
    <row r="104">
      <c r="A104" s="6" t="inlineStr">
        <is>
          <t>IPAC_MTP</t>
        </is>
      </c>
      <c r="B104" s="6" t="inlineStr">
        <is>
          <t>BAC_CCE</t>
        </is>
      </c>
      <c r="C104" s="6" t="inlineStr">
        <is>
          <t>B3</t>
        </is>
      </c>
      <c r="D104" s="6" t="inlineStr">
        <is>
          <t>ALT</t>
        </is>
      </c>
      <c r="E104" s="6" t="inlineStr">
        <is>
          <t>2025</t>
        </is>
      </c>
      <c r="F104" s="6" t="inlineStr">
        <is>
          <t>2027BUD_V1</t>
        </is>
      </c>
      <c r="G104" s="6" t="n">
        <v>12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36</v>
      </c>
      <c r="M104" s="7" t="n">
        <v>36</v>
      </c>
      <c r="N104" s="7" t="n">
        <v>37</v>
      </c>
      <c r="O104" s="7" t="n">
        <v>2</v>
      </c>
      <c r="P104" s="7" t="n">
        <v>6650</v>
      </c>
      <c r="Q104" s="7" t="n">
        <v>90</v>
      </c>
      <c r="R104" s="7" t="n">
        <v>0</v>
      </c>
      <c r="S104" s="7" t="n">
        <v>0</v>
      </c>
      <c r="T104" s="7" t="n">
        <v>0</v>
      </c>
      <c r="U104" s="7" t="n">
        <v>0</v>
      </c>
      <c r="V104" s="8">
        <f>IFERROR(M104/N104,0)</f>
        <v/>
      </c>
      <c r="W104" s="8">
        <f>IFERROR(I104/H104,0)</f>
        <v/>
      </c>
      <c r="X104" s="8">
        <f>IFERROR(J104/I104,0)</f>
        <v/>
      </c>
      <c r="Y104" s="8">
        <f>IFERROR(K104/J104,0)</f>
        <v/>
      </c>
      <c r="Z104" s="9">
        <f>R104+S104</f>
        <v/>
      </c>
      <c r="AA104" s="9">
        <f>M104*P104+K104*Q104</f>
        <v/>
      </c>
    </row>
    <row r="105">
      <c r="A105" s="6" t="inlineStr">
        <is>
          <t>PIGIER_LYO</t>
        </is>
      </c>
      <c r="B105" s="6" t="inlineStr">
        <is>
          <t>BTS_GES</t>
        </is>
      </c>
      <c r="C105" s="6" t="inlineStr">
        <is>
          <t>BTS1</t>
        </is>
      </c>
      <c r="D105" s="6" t="inlineStr">
        <is>
          <t>ALT</t>
        </is>
      </c>
      <c r="E105" s="6" t="inlineStr">
        <is>
          <t>2025</t>
        </is>
      </c>
      <c r="F105" s="6" t="inlineStr">
        <is>
          <t>2027BUD_V1</t>
        </is>
      </c>
      <c r="G105" s="6" t="n">
        <v>12</v>
      </c>
      <c r="H105" s="7" t="n">
        <v>741</v>
      </c>
      <c r="I105" s="7" t="n">
        <v>148</v>
      </c>
      <c r="J105" s="7" t="n">
        <v>104</v>
      </c>
      <c r="K105" s="7" t="n">
        <v>43</v>
      </c>
      <c r="L105" s="7" t="n">
        <v>0</v>
      </c>
      <c r="M105" s="7" t="n">
        <v>43</v>
      </c>
      <c r="N105" s="7" t="n">
        <v>0</v>
      </c>
      <c r="O105" s="7" t="n">
        <v>2</v>
      </c>
      <c r="P105" s="7" t="n">
        <v>6300</v>
      </c>
      <c r="Q105" s="7" t="n">
        <v>90</v>
      </c>
      <c r="R105" s="7" t="n">
        <v>355</v>
      </c>
      <c r="S105" s="7" t="n">
        <v>399</v>
      </c>
      <c r="T105" s="7" t="n">
        <v>16642</v>
      </c>
      <c r="U105" s="7" t="n">
        <v>29976</v>
      </c>
      <c r="V105" s="8">
        <f>IFERROR(M105/N105,0)</f>
        <v/>
      </c>
      <c r="W105" s="8">
        <f>IFERROR(I105/H105,0)</f>
        <v/>
      </c>
      <c r="X105" s="8">
        <f>IFERROR(J105/I105,0)</f>
        <v/>
      </c>
      <c r="Y105" s="8">
        <f>IFERROR(K105/J105,0)</f>
        <v/>
      </c>
      <c r="Z105" s="9">
        <f>R105+S105</f>
        <v/>
      </c>
      <c r="AA105" s="9">
        <f>M105*P105+K105*Q105</f>
        <v/>
      </c>
    </row>
    <row r="106">
      <c r="A106" s="6" t="inlineStr">
        <is>
          <t>PIGIER_LYO</t>
        </is>
      </c>
      <c r="B106" s="6" t="inlineStr">
        <is>
          <t>BTS_GES</t>
        </is>
      </c>
      <c r="C106" s="6" t="inlineStr">
        <is>
          <t>BTS2</t>
        </is>
      </c>
      <c r="D106" s="6" t="inlineStr">
        <is>
          <t>ALT</t>
        </is>
      </c>
      <c r="E106" s="6" t="inlineStr">
        <is>
          <t>2025</t>
        </is>
      </c>
      <c r="F106" s="6" t="inlineStr">
        <is>
          <t>2027BUD_V1</t>
        </is>
      </c>
      <c r="G106" s="6" t="n">
        <v>12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42</v>
      </c>
      <c r="M106" s="7" t="n">
        <v>42</v>
      </c>
      <c r="N106" s="7" t="n">
        <v>43</v>
      </c>
      <c r="O106" s="7" t="n">
        <v>2</v>
      </c>
      <c r="P106" s="7" t="n">
        <v>6300</v>
      </c>
      <c r="Q106" s="7" t="n">
        <v>90</v>
      </c>
      <c r="R106" s="7" t="n">
        <v>0</v>
      </c>
      <c r="S106" s="7" t="n">
        <v>0</v>
      </c>
      <c r="T106" s="7" t="n">
        <v>0</v>
      </c>
      <c r="U106" s="7" t="n">
        <v>0</v>
      </c>
      <c r="V106" s="8">
        <f>IFERROR(M106/N106,0)</f>
        <v/>
      </c>
      <c r="W106" s="8">
        <f>IFERROR(I106/H106,0)</f>
        <v/>
      </c>
      <c r="X106" s="8">
        <f>IFERROR(J106/I106,0)</f>
        <v/>
      </c>
      <c r="Y106" s="8">
        <f>IFERROR(K106/J106,0)</f>
        <v/>
      </c>
      <c r="Z106" s="9">
        <f>R106+S106</f>
        <v/>
      </c>
      <c r="AA106" s="9">
        <f>M106*P106+K106*Q106</f>
        <v/>
      </c>
    </row>
    <row r="107">
      <c r="A107" s="6" t="inlineStr">
        <is>
          <t>PIGIER_LYO</t>
        </is>
      </c>
      <c r="B107" s="6" t="inlineStr">
        <is>
          <t>BAC_RH</t>
        </is>
      </c>
      <c r="C107" s="6" t="inlineStr">
        <is>
          <t>B1</t>
        </is>
      </c>
      <c r="D107" s="6" t="inlineStr">
        <is>
          <t>ALT</t>
        </is>
      </c>
      <c r="E107" s="6" t="inlineStr">
        <is>
          <t>2025</t>
        </is>
      </c>
      <c r="F107" s="6" t="inlineStr">
        <is>
          <t>2027BUD_V1</t>
        </is>
      </c>
      <c r="G107" s="6" t="n">
        <v>12</v>
      </c>
      <c r="H107" s="7" t="n">
        <v>741</v>
      </c>
      <c r="I107" s="7" t="n">
        <v>148</v>
      </c>
      <c r="J107" s="7" t="n">
        <v>104</v>
      </c>
      <c r="K107" s="7" t="n">
        <v>43</v>
      </c>
      <c r="L107" s="7" t="n">
        <v>0</v>
      </c>
      <c r="M107" s="7" t="n">
        <v>43</v>
      </c>
      <c r="N107" s="7" t="n">
        <v>0</v>
      </c>
      <c r="O107" s="7" t="n">
        <v>2</v>
      </c>
      <c r="P107" s="7" t="n">
        <v>7350</v>
      </c>
      <c r="Q107" s="7" t="n">
        <v>90</v>
      </c>
      <c r="R107" s="7" t="n">
        <v>355</v>
      </c>
      <c r="S107" s="7" t="n">
        <v>399</v>
      </c>
      <c r="T107" s="7" t="n">
        <v>16642</v>
      </c>
      <c r="U107" s="7" t="n">
        <v>29977</v>
      </c>
      <c r="V107" s="8">
        <f>IFERROR(M107/N107,0)</f>
        <v/>
      </c>
      <c r="W107" s="8">
        <f>IFERROR(I107/H107,0)</f>
        <v/>
      </c>
      <c r="X107" s="8">
        <f>IFERROR(J107/I107,0)</f>
        <v/>
      </c>
      <c r="Y107" s="8">
        <f>IFERROR(K107/J107,0)</f>
        <v/>
      </c>
      <c r="Z107" s="9">
        <f>R107+S107</f>
        <v/>
      </c>
      <c r="AA107" s="9">
        <f>M107*P107+K107*Q107</f>
        <v/>
      </c>
    </row>
    <row r="108">
      <c r="A108" s="6" t="inlineStr">
        <is>
          <t>PIGIER_LYO</t>
        </is>
      </c>
      <c r="B108" s="6" t="inlineStr">
        <is>
          <t>BAC_RH</t>
        </is>
      </c>
      <c r="C108" s="6" t="inlineStr">
        <is>
          <t>B3</t>
        </is>
      </c>
      <c r="D108" s="6" t="inlineStr">
        <is>
          <t>ALT</t>
        </is>
      </c>
      <c r="E108" s="6" t="inlineStr">
        <is>
          <t>2025</t>
        </is>
      </c>
      <c r="F108" s="6" t="inlineStr">
        <is>
          <t>2027BUD_V1</t>
        </is>
      </c>
      <c r="G108" s="6" t="n">
        <v>12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42</v>
      </c>
      <c r="M108" s="7" t="n">
        <v>42</v>
      </c>
      <c r="N108" s="7" t="n">
        <v>43</v>
      </c>
      <c r="O108" s="7" t="n">
        <v>2</v>
      </c>
      <c r="P108" s="7" t="n">
        <v>7350</v>
      </c>
      <c r="Q108" s="7" t="n">
        <v>90</v>
      </c>
      <c r="R108" s="7" t="n">
        <v>0</v>
      </c>
      <c r="S108" s="7" t="n">
        <v>0</v>
      </c>
      <c r="T108" s="7" t="n">
        <v>0</v>
      </c>
      <c r="U108" s="7" t="n">
        <v>0</v>
      </c>
      <c r="V108" s="8">
        <f>IFERROR(M108/N108,0)</f>
        <v/>
      </c>
      <c r="W108" s="8">
        <f>IFERROR(I108/H108,0)</f>
        <v/>
      </c>
      <c r="X108" s="8">
        <f>IFERROR(J108/I108,0)</f>
        <v/>
      </c>
      <c r="Y108" s="8">
        <f>IFERROR(K108/J108,0)</f>
        <v/>
      </c>
      <c r="Z108" s="9">
        <f>R108+S108</f>
        <v/>
      </c>
      <c r="AA108" s="9">
        <f>M108*P108+K108*Q108</f>
        <v/>
      </c>
    </row>
    <row r="109">
      <c r="A109" s="6" t="inlineStr">
        <is>
          <t>PIGIER_BOR</t>
        </is>
      </c>
      <c r="B109" s="6" t="inlineStr">
        <is>
          <t>BTS_GES</t>
        </is>
      </c>
      <c r="C109" s="6" t="inlineStr">
        <is>
          <t>BTS1</t>
        </is>
      </c>
      <c r="D109" s="6" t="inlineStr">
        <is>
          <t>ALT</t>
        </is>
      </c>
      <c r="E109" s="6" t="inlineStr">
        <is>
          <t>2025</t>
        </is>
      </c>
      <c r="F109" s="6" t="inlineStr">
        <is>
          <t>2027BUD_V1</t>
        </is>
      </c>
      <c r="G109" s="6" t="n">
        <v>12</v>
      </c>
      <c r="H109" s="7" t="n">
        <v>580</v>
      </c>
      <c r="I109" s="7" t="n">
        <v>116</v>
      </c>
      <c r="J109" s="7" t="n">
        <v>81</v>
      </c>
      <c r="K109" s="7" t="n">
        <v>34</v>
      </c>
      <c r="L109" s="7" t="n">
        <v>0</v>
      </c>
      <c r="M109" s="7" t="n">
        <v>34</v>
      </c>
      <c r="N109" s="7" t="n">
        <v>0</v>
      </c>
      <c r="O109" s="7" t="n">
        <v>2</v>
      </c>
      <c r="P109" s="7" t="n">
        <v>5820</v>
      </c>
      <c r="Q109" s="7" t="n">
        <v>90</v>
      </c>
      <c r="R109" s="7" t="n">
        <v>314</v>
      </c>
      <c r="S109" s="7" t="n">
        <v>276</v>
      </c>
      <c r="T109" s="7" t="n">
        <v>9986</v>
      </c>
      <c r="U109" s="7" t="n">
        <v>26636</v>
      </c>
      <c r="V109" s="8">
        <f>IFERROR(M109/N109,0)</f>
        <v/>
      </c>
      <c r="W109" s="8">
        <f>IFERROR(I109/H109,0)</f>
        <v/>
      </c>
      <c r="X109" s="8">
        <f>IFERROR(J109/I109,0)</f>
        <v/>
      </c>
      <c r="Y109" s="8">
        <f>IFERROR(K109/J109,0)</f>
        <v/>
      </c>
      <c r="Z109" s="9">
        <f>R109+S109</f>
        <v/>
      </c>
      <c r="AA109" s="9">
        <f>M109*P109+K109*Q109</f>
        <v/>
      </c>
    </row>
    <row r="110">
      <c r="A110" s="6" t="inlineStr">
        <is>
          <t>PIGIER_BOR</t>
        </is>
      </c>
      <c r="B110" s="6" t="inlineStr">
        <is>
          <t>BTS_GES</t>
        </is>
      </c>
      <c r="C110" s="6" t="inlineStr">
        <is>
          <t>BTS2</t>
        </is>
      </c>
      <c r="D110" s="6" t="inlineStr">
        <is>
          <t>ALT</t>
        </is>
      </c>
      <c r="E110" s="6" t="inlineStr">
        <is>
          <t>2025</t>
        </is>
      </c>
      <c r="F110" s="6" t="inlineStr">
        <is>
          <t>2027BUD_V1</t>
        </is>
      </c>
      <c r="G110" s="6" t="n">
        <v>12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33</v>
      </c>
      <c r="M110" s="7" t="n">
        <v>33</v>
      </c>
      <c r="N110" s="7" t="n">
        <v>34</v>
      </c>
      <c r="O110" s="7" t="n">
        <v>2</v>
      </c>
      <c r="P110" s="7" t="n">
        <v>5820</v>
      </c>
      <c r="Q110" s="7" t="n">
        <v>90</v>
      </c>
      <c r="R110" s="7" t="n">
        <v>0</v>
      </c>
      <c r="S110" s="7" t="n">
        <v>0</v>
      </c>
      <c r="T110" s="7" t="n">
        <v>0</v>
      </c>
      <c r="U110" s="7" t="n">
        <v>0</v>
      </c>
      <c r="V110" s="8">
        <f>IFERROR(M110/N110,0)</f>
        <v/>
      </c>
      <c r="W110" s="8">
        <f>IFERROR(I110/H110,0)</f>
        <v/>
      </c>
      <c r="X110" s="8">
        <f>IFERROR(J110/I110,0)</f>
        <v/>
      </c>
      <c r="Y110" s="8">
        <f>IFERROR(K110/J110,0)</f>
        <v/>
      </c>
      <c r="Z110" s="9">
        <f>R110+S110</f>
        <v/>
      </c>
      <c r="AA110" s="9">
        <f>M110*P110+K110*Q110</f>
        <v/>
      </c>
    </row>
    <row r="111">
      <c r="A111" s="6" t="inlineStr">
        <is>
          <t>PIGIER_BOR</t>
        </is>
      </c>
      <c r="B111" s="6" t="inlineStr">
        <is>
          <t>BAC_RH</t>
        </is>
      </c>
      <c r="C111" s="6" t="inlineStr">
        <is>
          <t>B1</t>
        </is>
      </c>
      <c r="D111" s="6" t="inlineStr">
        <is>
          <t>ALT</t>
        </is>
      </c>
      <c r="E111" s="6" t="inlineStr">
        <is>
          <t>2025</t>
        </is>
      </c>
      <c r="F111" s="6" t="inlineStr">
        <is>
          <t>2027BUD_V1</t>
        </is>
      </c>
      <c r="G111" s="6" t="n">
        <v>12</v>
      </c>
      <c r="H111" s="7" t="n">
        <v>580</v>
      </c>
      <c r="I111" s="7" t="n">
        <v>116</v>
      </c>
      <c r="J111" s="7" t="n">
        <v>81</v>
      </c>
      <c r="K111" s="7" t="n">
        <v>34</v>
      </c>
      <c r="L111" s="7" t="n">
        <v>0</v>
      </c>
      <c r="M111" s="7" t="n">
        <v>34</v>
      </c>
      <c r="N111" s="7" t="n">
        <v>0</v>
      </c>
      <c r="O111" s="7" t="n">
        <v>2</v>
      </c>
      <c r="P111" s="7" t="n">
        <v>6790</v>
      </c>
      <c r="Q111" s="7" t="n">
        <v>90</v>
      </c>
      <c r="R111" s="7" t="n">
        <v>313</v>
      </c>
      <c r="S111" s="7" t="n">
        <v>276</v>
      </c>
      <c r="T111" s="7" t="n">
        <v>9985</v>
      </c>
      <c r="U111" s="7" t="n">
        <v>26637</v>
      </c>
      <c r="V111" s="8">
        <f>IFERROR(M111/N111,0)</f>
        <v/>
      </c>
      <c r="W111" s="8">
        <f>IFERROR(I111/H111,0)</f>
        <v/>
      </c>
      <c r="X111" s="8">
        <f>IFERROR(J111/I111,0)</f>
        <v/>
      </c>
      <c r="Y111" s="8">
        <f>IFERROR(K111/J111,0)</f>
        <v/>
      </c>
      <c r="Z111" s="9">
        <f>R111+S111</f>
        <v/>
      </c>
      <c r="AA111" s="9">
        <f>M111*P111+K111*Q111</f>
        <v/>
      </c>
    </row>
    <row r="112">
      <c r="A112" s="6" t="inlineStr">
        <is>
          <t>PIGIER_BOR</t>
        </is>
      </c>
      <c r="B112" s="6" t="inlineStr">
        <is>
          <t>BAC_RH</t>
        </is>
      </c>
      <c r="C112" s="6" t="inlineStr">
        <is>
          <t>B3</t>
        </is>
      </c>
      <c r="D112" s="6" t="inlineStr">
        <is>
          <t>ALT</t>
        </is>
      </c>
      <c r="E112" s="6" t="inlineStr">
        <is>
          <t>2025</t>
        </is>
      </c>
      <c r="F112" s="6" t="inlineStr">
        <is>
          <t>2027BUD_V1</t>
        </is>
      </c>
      <c r="G112" s="6" t="n">
        <v>12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33</v>
      </c>
      <c r="M112" s="7" t="n">
        <v>33</v>
      </c>
      <c r="N112" s="7" t="n">
        <v>34</v>
      </c>
      <c r="O112" s="7" t="n">
        <v>2</v>
      </c>
      <c r="P112" s="7" t="n">
        <v>6790</v>
      </c>
      <c r="Q112" s="7" t="n">
        <v>90</v>
      </c>
      <c r="R112" s="7" t="n">
        <v>0</v>
      </c>
      <c r="S112" s="7" t="n">
        <v>0</v>
      </c>
      <c r="T112" s="7" t="n">
        <v>0</v>
      </c>
      <c r="U112" s="7" t="n">
        <v>0</v>
      </c>
      <c r="V112" s="8">
        <f>IFERROR(M112/N112,0)</f>
        <v/>
      </c>
      <c r="W112" s="8">
        <f>IFERROR(I112/H112,0)</f>
        <v/>
      </c>
      <c r="X112" s="8">
        <f>IFERROR(J112/I112,0)</f>
        <v/>
      </c>
      <c r="Y112" s="8">
        <f>IFERROR(K112/J112,0)</f>
        <v/>
      </c>
      <c r="Z112" s="9">
        <f>R112+S112</f>
        <v/>
      </c>
      <c r="AA112" s="9">
        <f>M112*P112+K112*Q112</f>
        <v/>
      </c>
    </row>
    <row r="113">
      <c r="A113" s="6" t="inlineStr">
        <is>
          <t>TUNON_PAR</t>
        </is>
      </c>
      <c r="B113" s="6" t="inlineStr">
        <is>
          <t>BAC_TOU</t>
        </is>
      </c>
      <c r="C113" s="6" t="inlineStr">
        <is>
          <t>B1</t>
        </is>
      </c>
      <c r="D113" s="6" t="inlineStr">
        <is>
          <t>ALT</t>
        </is>
      </c>
      <c r="E113" s="6" t="inlineStr">
        <is>
          <t>2025</t>
        </is>
      </c>
      <c r="F113" s="6" t="inlineStr">
        <is>
          <t>2027BUD_V1</t>
        </is>
      </c>
      <c r="G113" s="6" t="n">
        <v>12</v>
      </c>
      <c r="H113" s="7" t="n">
        <v>755</v>
      </c>
      <c r="I113" s="7" t="n">
        <v>151</v>
      </c>
      <c r="J113" s="7" t="n">
        <v>106</v>
      </c>
      <c r="K113" s="7" t="n">
        <v>44</v>
      </c>
      <c r="L113" s="7" t="n">
        <v>0</v>
      </c>
      <c r="M113" s="7" t="n">
        <v>44</v>
      </c>
      <c r="N113" s="7" t="n">
        <v>0</v>
      </c>
      <c r="O113" s="7" t="n">
        <v>2</v>
      </c>
      <c r="P113" s="7" t="n">
        <v>7840</v>
      </c>
      <c r="Q113" s="7" t="n">
        <v>90</v>
      </c>
      <c r="R113" s="7" t="n">
        <v>235</v>
      </c>
      <c r="S113" s="7" t="n">
        <v>538</v>
      </c>
      <c r="T113" s="7" t="n">
        <v>27491</v>
      </c>
      <c r="U113" s="7" t="n">
        <v>20429</v>
      </c>
      <c r="V113" s="8">
        <f>IFERROR(M113/N113,0)</f>
        <v/>
      </c>
      <c r="W113" s="8">
        <f>IFERROR(I113/H113,0)</f>
        <v/>
      </c>
      <c r="X113" s="8">
        <f>IFERROR(J113/I113,0)</f>
        <v/>
      </c>
      <c r="Y113" s="8">
        <f>IFERROR(K113/J113,0)</f>
        <v/>
      </c>
      <c r="Z113" s="9">
        <f>R113+S113</f>
        <v/>
      </c>
      <c r="AA113" s="9">
        <f>M113*P113+K113*Q113</f>
        <v/>
      </c>
    </row>
    <row r="114">
      <c r="A114" s="6" t="inlineStr">
        <is>
          <t>TUNON_PAR</t>
        </is>
      </c>
      <c r="B114" s="6" t="inlineStr">
        <is>
          <t>BAC_TOU</t>
        </is>
      </c>
      <c r="C114" s="6" t="inlineStr">
        <is>
          <t>B2</t>
        </is>
      </c>
      <c r="D114" s="6" t="inlineStr">
        <is>
          <t>ALT</t>
        </is>
      </c>
      <c r="E114" s="6" t="inlineStr">
        <is>
          <t>2025</t>
        </is>
      </c>
      <c r="F114" s="6" t="inlineStr">
        <is>
          <t>2027BUD_V1</t>
        </is>
      </c>
      <c r="G114" s="6" t="n">
        <v>12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43</v>
      </c>
      <c r="M114" s="7" t="n">
        <v>43</v>
      </c>
      <c r="N114" s="7" t="n">
        <v>44</v>
      </c>
      <c r="O114" s="7" t="n">
        <v>2</v>
      </c>
      <c r="P114" s="7" t="n">
        <v>7840</v>
      </c>
      <c r="Q114" s="7" t="n">
        <v>90</v>
      </c>
      <c r="R114" s="7" t="n">
        <v>0</v>
      </c>
      <c r="S114" s="7" t="n">
        <v>0</v>
      </c>
      <c r="T114" s="7" t="n">
        <v>0</v>
      </c>
      <c r="U114" s="7" t="n">
        <v>0</v>
      </c>
      <c r="V114" s="8">
        <f>IFERROR(M114/N114,0)</f>
        <v/>
      </c>
      <c r="W114" s="8">
        <f>IFERROR(I114/H114,0)</f>
        <v/>
      </c>
      <c r="X114" s="8">
        <f>IFERROR(J114/I114,0)</f>
        <v/>
      </c>
      <c r="Y114" s="8">
        <f>IFERROR(K114/J114,0)</f>
        <v/>
      </c>
      <c r="Z114" s="9">
        <f>R114+S114</f>
        <v/>
      </c>
      <c r="AA114" s="9">
        <f>M114*P114+K114*Q114</f>
        <v/>
      </c>
    </row>
    <row r="115">
      <c r="A115" s="6" t="inlineStr">
        <is>
          <t>TUNON_PAR</t>
        </is>
      </c>
      <c r="B115" s="6" t="inlineStr">
        <is>
          <t>BAC_TOU</t>
        </is>
      </c>
      <c r="C115" s="6" t="inlineStr">
        <is>
          <t>B3</t>
        </is>
      </c>
      <c r="D115" s="6" t="inlineStr">
        <is>
          <t>ALT</t>
        </is>
      </c>
      <c r="E115" s="6" t="inlineStr">
        <is>
          <t>2025</t>
        </is>
      </c>
      <c r="F115" s="6" t="inlineStr">
        <is>
          <t>2027BUD_V1</t>
        </is>
      </c>
      <c r="G115" s="6" t="n">
        <v>12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42</v>
      </c>
      <c r="M115" s="7" t="n">
        <v>42</v>
      </c>
      <c r="N115" s="7" t="n">
        <v>43</v>
      </c>
      <c r="O115" s="7" t="n">
        <v>2</v>
      </c>
      <c r="P115" s="7" t="n">
        <v>7840</v>
      </c>
      <c r="Q115" s="7" t="n">
        <v>90</v>
      </c>
      <c r="R115" s="7" t="n">
        <v>0</v>
      </c>
      <c r="S115" s="7" t="n">
        <v>0</v>
      </c>
      <c r="T115" s="7" t="n">
        <v>0</v>
      </c>
      <c r="U115" s="7" t="n">
        <v>0</v>
      </c>
      <c r="V115" s="8">
        <f>IFERROR(M115/N115,0)</f>
        <v/>
      </c>
      <c r="W115" s="8">
        <f>IFERROR(I115/H115,0)</f>
        <v/>
      </c>
      <c r="X115" s="8">
        <f>IFERROR(J115/I115,0)</f>
        <v/>
      </c>
      <c r="Y115" s="8">
        <f>IFERROR(K115/J115,0)</f>
        <v/>
      </c>
      <c r="Z115" s="9">
        <f>R115+S115</f>
        <v/>
      </c>
      <c r="AA115" s="9">
        <f>M115*P115+K115*Q115</f>
        <v/>
      </c>
    </row>
    <row r="116">
      <c r="A116" s="6" t="inlineStr">
        <is>
          <t>TUNON_LYO</t>
        </is>
      </c>
      <c r="B116" s="6" t="inlineStr">
        <is>
          <t>BAC_TOU</t>
        </is>
      </c>
      <c r="C116" s="6" t="inlineStr">
        <is>
          <t>B1</t>
        </is>
      </c>
      <c r="D116" s="6" t="inlineStr">
        <is>
          <t>ALT</t>
        </is>
      </c>
      <c r="E116" s="6" t="inlineStr">
        <is>
          <t>2025</t>
        </is>
      </c>
      <c r="F116" s="6" t="inlineStr">
        <is>
          <t>2027BUD_V1</t>
        </is>
      </c>
      <c r="G116" s="6" t="n">
        <v>12</v>
      </c>
      <c r="H116" s="7" t="n">
        <v>642</v>
      </c>
      <c r="I116" s="7" t="n">
        <v>128</v>
      </c>
      <c r="J116" s="7" t="n">
        <v>90</v>
      </c>
      <c r="K116" s="7" t="n">
        <v>38</v>
      </c>
      <c r="L116" s="7" t="n">
        <v>0</v>
      </c>
      <c r="M116" s="7" t="n">
        <v>38</v>
      </c>
      <c r="N116" s="7" t="n">
        <v>0</v>
      </c>
      <c r="O116" s="7" t="n">
        <v>2</v>
      </c>
      <c r="P116" s="7" t="n">
        <v>7350</v>
      </c>
      <c r="Q116" s="7" t="n">
        <v>90</v>
      </c>
      <c r="R116" s="7" t="n">
        <v>247</v>
      </c>
      <c r="S116" s="7" t="n">
        <v>410</v>
      </c>
      <c r="T116" s="7" t="n">
        <v>17136</v>
      </c>
      <c r="U116" s="7" t="n">
        <v>21550</v>
      </c>
      <c r="V116" s="8">
        <f>IFERROR(M116/N116,0)</f>
        <v/>
      </c>
      <c r="W116" s="8">
        <f>IFERROR(I116/H116,0)</f>
        <v/>
      </c>
      <c r="X116" s="8">
        <f>IFERROR(J116/I116,0)</f>
        <v/>
      </c>
      <c r="Y116" s="8">
        <f>IFERROR(K116/J116,0)</f>
        <v/>
      </c>
      <c r="Z116" s="9">
        <f>R116+S116</f>
        <v/>
      </c>
      <c r="AA116" s="9">
        <f>M116*P116+K116*Q116</f>
        <v/>
      </c>
    </row>
    <row r="117">
      <c r="A117" s="6" t="inlineStr">
        <is>
          <t>TUNON_LYO</t>
        </is>
      </c>
      <c r="B117" s="6" t="inlineStr">
        <is>
          <t>BAC_TOU</t>
        </is>
      </c>
      <c r="C117" s="6" t="inlineStr">
        <is>
          <t>B2</t>
        </is>
      </c>
      <c r="D117" s="6" t="inlineStr">
        <is>
          <t>ALT</t>
        </is>
      </c>
      <c r="E117" s="6" t="inlineStr">
        <is>
          <t>2025</t>
        </is>
      </c>
      <c r="F117" s="6" t="inlineStr">
        <is>
          <t>2027BUD_V1</t>
        </is>
      </c>
      <c r="G117" s="6" t="n">
        <v>12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37</v>
      </c>
      <c r="M117" s="7" t="n">
        <v>37</v>
      </c>
      <c r="N117" s="7" t="n">
        <v>38</v>
      </c>
      <c r="O117" s="7" t="n">
        <v>2</v>
      </c>
      <c r="P117" s="7" t="n">
        <v>7350</v>
      </c>
      <c r="Q117" s="7" t="n">
        <v>90</v>
      </c>
      <c r="R117" s="7" t="n">
        <v>0</v>
      </c>
      <c r="S117" s="7" t="n">
        <v>0</v>
      </c>
      <c r="T117" s="7" t="n">
        <v>0</v>
      </c>
      <c r="U117" s="7" t="n">
        <v>0</v>
      </c>
      <c r="V117" s="8">
        <f>IFERROR(M117/N117,0)</f>
        <v/>
      </c>
      <c r="W117" s="8">
        <f>IFERROR(I117/H117,0)</f>
        <v/>
      </c>
      <c r="X117" s="8">
        <f>IFERROR(J117/I117,0)</f>
        <v/>
      </c>
      <c r="Y117" s="8">
        <f>IFERROR(K117/J117,0)</f>
        <v/>
      </c>
      <c r="Z117" s="9">
        <f>R117+S117</f>
        <v/>
      </c>
      <c r="AA117" s="9">
        <f>M117*P117+K117*Q117</f>
        <v/>
      </c>
    </row>
    <row r="118">
      <c r="A118" s="6" t="inlineStr">
        <is>
          <t>TUNON_LYO</t>
        </is>
      </c>
      <c r="B118" s="6" t="inlineStr">
        <is>
          <t>BAC_TOU</t>
        </is>
      </c>
      <c r="C118" s="6" t="inlineStr">
        <is>
          <t>B3</t>
        </is>
      </c>
      <c r="D118" s="6" t="inlineStr">
        <is>
          <t>ALT</t>
        </is>
      </c>
      <c r="E118" s="6" t="inlineStr">
        <is>
          <t>2025</t>
        </is>
      </c>
      <c r="F118" s="6" t="inlineStr">
        <is>
          <t>2027BUD_V1</t>
        </is>
      </c>
      <c r="G118" s="6" t="n">
        <v>12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36</v>
      </c>
      <c r="M118" s="7" t="n">
        <v>36</v>
      </c>
      <c r="N118" s="7" t="n">
        <v>37</v>
      </c>
      <c r="O118" s="7" t="n">
        <v>2</v>
      </c>
      <c r="P118" s="7" t="n">
        <v>7350</v>
      </c>
      <c r="Q118" s="7" t="n">
        <v>90</v>
      </c>
      <c r="R118" s="7" t="n">
        <v>0</v>
      </c>
      <c r="S118" s="7" t="n">
        <v>0</v>
      </c>
      <c r="T118" s="7" t="n">
        <v>0</v>
      </c>
      <c r="U118" s="7" t="n">
        <v>0</v>
      </c>
      <c r="V118" s="8">
        <f>IFERROR(M118/N118,0)</f>
        <v/>
      </c>
      <c r="W118" s="8">
        <f>IFERROR(I118/H118,0)</f>
        <v/>
      </c>
      <c r="X118" s="8">
        <f>IFERROR(J118/I118,0)</f>
        <v/>
      </c>
      <c r="Y118" s="8">
        <f>IFERROR(K118/J118,0)</f>
        <v/>
      </c>
      <c r="Z118" s="9">
        <f>R118+S118</f>
        <v/>
      </c>
      <c r="AA118" s="9">
        <f>M118*P118+K118*Q118</f>
        <v/>
      </c>
    </row>
    <row r="119">
      <c r="A119" s="6" t="inlineStr">
        <is>
          <t>MBWAY_PAR</t>
        </is>
      </c>
      <c r="B119" s="6" t="inlineStr">
        <is>
          <t>BAC_MGT</t>
        </is>
      </c>
      <c r="C119" s="6" t="inlineStr">
        <is>
          <t>B1</t>
        </is>
      </c>
      <c r="D119" s="6" t="inlineStr">
        <is>
          <t>INIT</t>
        </is>
      </c>
      <c r="E119" s="6" t="inlineStr">
        <is>
          <t>2024</t>
        </is>
      </c>
      <c r="F119" s="6" t="inlineStr">
        <is>
          <t>2027BUD_V1</t>
        </is>
      </c>
      <c r="G119" s="6" t="n">
        <v>12</v>
      </c>
      <c r="H119" s="7" t="n">
        <v>575</v>
      </c>
      <c r="I119" s="7" t="n">
        <v>161</v>
      </c>
      <c r="J119" s="7" t="n">
        <v>116</v>
      </c>
      <c r="K119" s="7" t="n">
        <v>69</v>
      </c>
      <c r="L119" s="7" t="n">
        <v>0</v>
      </c>
      <c r="M119" s="7" t="n">
        <v>69</v>
      </c>
      <c r="N119" s="7" t="n">
        <v>0</v>
      </c>
      <c r="O119" s="7" t="n">
        <v>3</v>
      </c>
      <c r="P119" s="7" t="n">
        <v>8400</v>
      </c>
      <c r="Q119" s="7" t="n">
        <v>90</v>
      </c>
      <c r="R119" s="7" t="n">
        <v>203</v>
      </c>
      <c r="S119" s="7" t="n">
        <v>379</v>
      </c>
      <c r="T119" s="7" t="n">
        <v>18451</v>
      </c>
      <c r="U119" s="7" t="n">
        <v>13653</v>
      </c>
      <c r="V119" s="8">
        <f>IFERROR(M119/N119,0)</f>
        <v/>
      </c>
      <c r="W119" s="8">
        <f>IFERROR(I119/H119,0)</f>
        <v/>
      </c>
      <c r="X119" s="8">
        <f>IFERROR(J119/I119,0)</f>
        <v/>
      </c>
      <c r="Y119" s="8">
        <f>IFERROR(K119/J119,0)</f>
        <v/>
      </c>
      <c r="Z119" s="9">
        <f>R119+S119</f>
        <v/>
      </c>
      <c r="AA119" s="9">
        <f>M119*P119+K119*Q119</f>
        <v/>
      </c>
    </row>
    <row r="120">
      <c r="A120" s="6" t="inlineStr">
        <is>
          <t>MBWAY_PAR</t>
        </is>
      </c>
      <c r="B120" s="6" t="inlineStr">
        <is>
          <t>BAC_MGT</t>
        </is>
      </c>
      <c r="C120" s="6" t="inlineStr">
        <is>
          <t>B2</t>
        </is>
      </c>
      <c r="D120" s="6" t="inlineStr">
        <is>
          <t>ALT</t>
        </is>
      </c>
      <c r="E120" s="6" t="inlineStr">
        <is>
          <t>2024</t>
        </is>
      </c>
      <c r="F120" s="6" t="inlineStr">
        <is>
          <t>2027BUD_V1</t>
        </is>
      </c>
      <c r="G120" s="6" t="n">
        <v>12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68</v>
      </c>
      <c r="M120" s="7" t="n">
        <v>68</v>
      </c>
      <c r="N120" s="7" t="n">
        <v>69</v>
      </c>
      <c r="O120" s="7" t="n">
        <v>3</v>
      </c>
      <c r="P120" s="7" t="n">
        <v>7840</v>
      </c>
      <c r="Q120" s="7" t="n">
        <v>90</v>
      </c>
      <c r="R120" s="7" t="n">
        <v>0</v>
      </c>
      <c r="S120" s="7" t="n">
        <v>0</v>
      </c>
      <c r="T120" s="7" t="n">
        <v>0</v>
      </c>
      <c r="U120" s="7" t="n">
        <v>0</v>
      </c>
      <c r="V120" s="8">
        <f>IFERROR(M120/N120,0)</f>
        <v/>
      </c>
      <c r="W120" s="8">
        <f>IFERROR(I120/H120,0)</f>
        <v/>
      </c>
      <c r="X120" s="8">
        <f>IFERROR(J120/I120,0)</f>
        <v/>
      </c>
      <c r="Y120" s="8">
        <f>IFERROR(K120/J120,0)</f>
        <v/>
      </c>
      <c r="Z120" s="9">
        <f>R120+S120</f>
        <v/>
      </c>
      <c r="AA120" s="9">
        <f>M120*P120+K120*Q120</f>
        <v/>
      </c>
    </row>
    <row r="121">
      <c r="A121" s="6" t="inlineStr">
        <is>
          <t>MBWAY_PAR</t>
        </is>
      </c>
      <c r="B121" s="6" t="inlineStr">
        <is>
          <t>BAC_MGT</t>
        </is>
      </c>
      <c r="C121" s="6" t="inlineStr">
        <is>
          <t>B3</t>
        </is>
      </c>
      <c r="D121" s="6" t="inlineStr">
        <is>
          <t>ALT</t>
        </is>
      </c>
      <c r="E121" s="6" t="inlineStr">
        <is>
          <t>2024</t>
        </is>
      </c>
      <c r="F121" s="6" t="inlineStr">
        <is>
          <t>2027BUD_V1</t>
        </is>
      </c>
      <c r="G121" s="6" t="n">
        <v>12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66</v>
      </c>
      <c r="M121" s="7" t="n">
        <v>66</v>
      </c>
      <c r="N121" s="7" t="n">
        <v>68</v>
      </c>
      <c r="O121" s="7" t="n">
        <v>3</v>
      </c>
      <c r="P121" s="7" t="n">
        <v>7840</v>
      </c>
      <c r="Q121" s="7" t="n">
        <v>90</v>
      </c>
      <c r="R121" s="7" t="n">
        <v>0</v>
      </c>
      <c r="S121" s="7" t="n">
        <v>0</v>
      </c>
      <c r="T121" s="7" t="n">
        <v>0</v>
      </c>
      <c r="U121" s="7" t="n">
        <v>0</v>
      </c>
      <c r="V121" s="8">
        <f>IFERROR(M121/N121,0)</f>
        <v/>
      </c>
      <c r="W121" s="8">
        <f>IFERROR(I121/H121,0)</f>
        <v/>
      </c>
      <c r="X121" s="8">
        <f>IFERROR(J121/I121,0)</f>
        <v/>
      </c>
      <c r="Y121" s="8">
        <f>IFERROR(K121/J121,0)</f>
        <v/>
      </c>
      <c r="Z121" s="9">
        <f>R121+S121</f>
        <v/>
      </c>
      <c r="AA121" s="9">
        <f>M121*P121+K121*Q121</f>
        <v/>
      </c>
    </row>
    <row r="122">
      <c r="A122" s="6" t="inlineStr">
        <is>
          <t>MBWAY_PAR</t>
        </is>
      </c>
      <c r="B122" s="6" t="inlineStr">
        <is>
          <t>MAS_MGT</t>
        </is>
      </c>
      <c r="C122" s="6" t="inlineStr">
        <is>
          <t>M1</t>
        </is>
      </c>
      <c r="D122" s="6" t="inlineStr">
        <is>
          <t>ALT</t>
        </is>
      </c>
      <c r="E122" s="6" t="inlineStr">
        <is>
          <t>2024</t>
        </is>
      </c>
      <c r="F122" s="6" t="inlineStr">
        <is>
          <t>2027BUD_V1</t>
        </is>
      </c>
      <c r="G122" s="6" t="n">
        <v>12</v>
      </c>
      <c r="H122" s="7" t="n">
        <v>1184</v>
      </c>
      <c r="I122" s="7" t="n">
        <v>237</v>
      </c>
      <c r="J122" s="7" t="n">
        <v>166</v>
      </c>
      <c r="K122" s="7" t="n">
        <v>69</v>
      </c>
      <c r="L122" s="7" t="n">
        <v>0</v>
      </c>
      <c r="M122" s="7" t="n">
        <v>69</v>
      </c>
      <c r="N122" s="7" t="n">
        <v>0</v>
      </c>
      <c r="O122" s="7" t="n">
        <v>3</v>
      </c>
      <c r="P122" s="7" t="n">
        <v>8400</v>
      </c>
      <c r="Q122" s="7" t="n">
        <v>90</v>
      </c>
      <c r="R122" s="7" t="n">
        <v>418</v>
      </c>
      <c r="S122" s="7" t="n">
        <v>779</v>
      </c>
      <c r="T122" s="7" t="n">
        <v>37987</v>
      </c>
      <c r="U122" s="7" t="n">
        <v>28108</v>
      </c>
      <c r="V122" s="8">
        <f>IFERROR(M122/N122,0)</f>
        <v/>
      </c>
      <c r="W122" s="8">
        <f>IFERROR(I122/H122,0)</f>
        <v/>
      </c>
      <c r="X122" s="8">
        <f>IFERROR(J122/I122,0)</f>
        <v/>
      </c>
      <c r="Y122" s="8">
        <f>IFERROR(K122/J122,0)</f>
        <v/>
      </c>
      <c r="Z122" s="9">
        <f>R122+S122</f>
        <v/>
      </c>
      <c r="AA122" s="9">
        <f>M122*P122+K122*Q122</f>
        <v/>
      </c>
    </row>
    <row r="123">
      <c r="A123" s="6" t="inlineStr">
        <is>
          <t>MBWAY_PAR</t>
        </is>
      </c>
      <c r="B123" s="6" t="inlineStr">
        <is>
          <t>MAS_MGT</t>
        </is>
      </c>
      <c r="C123" s="6" t="inlineStr">
        <is>
          <t>M2</t>
        </is>
      </c>
      <c r="D123" s="6" t="inlineStr">
        <is>
          <t>ALT</t>
        </is>
      </c>
      <c r="E123" s="6" t="inlineStr">
        <is>
          <t>2024</t>
        </is>
      </c>
      <c r="F123" s="6" t="inlineStr">
        <is>
          <t>2027BUD_V1</t>
        </is>
      </c>
      <c r="G123" s="6" t="n">
        <v>12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68</v>
      </c>
      <c r="M123" s="7" t="n">
        <v>68</v>
      </c>
      <c r="N123" s="7" t="n">
        <v>69</v>
      </c>
      <c r="O123" s="7" t="n">
        <v>3</v>
      </c>
      <c r="P123" s="7" t="n">
        <v>8400</v>
      </c>
      <c r="Q123" s="7" t="n">
        <v>90</v>
      </c>
      <c r="R123" s="7" t="n">
        <v>0</v>
      </c>
      <c r="S123" s="7" t="n">
        <v>0</v>
      </c>
      <c r="T123" s="7" t="n">
        <v>0</v>
      </c>
      <c r="U123" s="7" t="n">
        <v>0</v>
      </c>
      <c r="V123" s="8">
        <f>IFERROR(M123/N123,0)</f>
        <v/>
      </c>
      <c r="W123" s="8">
        <f>IFERROR(I123/H123,0)</f>
        <v/>
      </c>
      <c r="X123" s="8">
        <f>IFERROR(J123/I123,0)</f>
        <v/>
      </c>
      <c r="Y123" s="8">
        <f>IFERROR(K123/J123,0)</f>
        <v/>
      </c>
      <c r="Z123" s="9">
        <f>R123+S123</f>
        <v/>
      </c>
      <c r="AA123" s="9">
        <f>M123*P123+K123*Q123</f>
        <v/>
      </c>
    </row>
    <row r="124">
      <c r="A124" s="6" t="inlineStr">
        <is>
          <t>MBWAY_LYO</t>
        </is>
      </c>
      <c r="B124" s="6" t="inlineStr">
        <is>
          <t>BAC_MGT</t>
        </is>
      </c>
      <c r="C124" s="6" t="inlineStr">
        <is>
          <t>B1</t>
        </is>
      </c>
      <c r="D124" s="6" t="inlineStr">
        <is>
          <t>INIT</t>
        </is>
      </c>
      <c r="E124" s="6" t="inlineStr">
        <is>
          <t>2024</t>
        </is>
      </c>
      <c r="F124" s="6" t="inlineStr">
        <is>
          <t>2027BUD_V1</t>
        </is>
      </c>
      <c r="G124" s="6" t="n">
        <v>12</v>
      </c>
      <c r="H124" s="7" t="n">
        <v>486</v>
      </c>
      <c r="I124" s="7" t="n">
        <v>136</v>
      </c>
      <c r="J124" s="7" t="n">
        <v>98</v>
      </c>
      <c r="K124" s="7" t="n">
        <v>59</v>
      </c>
      <c r="L124" s="7" t="n">
        <v>0</v>
      </c>
      <c r="M124" s="7" t="n">
        <v>59</v>
      </c>
      <c r="N124" s="7" t="n">
        <v>0</v>
      </c>
      <c r="O124" s="7" t="n">
        <v>3</v>
      </c>
      <c r="P124" s="7" t="n">
        <v>7875</v>
      </c>
      <c r="Q124" s="7" t="n">
        <v>90</v>
      </c>
      <c r="R124" s="7" t="n">
        <v>205</v>
      </c>
      <c r="S124" s="7" t="n">
        <v>283</v>
      </c>
      <c r="T124" s="7" t="n">
        <v>11317</v>
      </c>
      <c r="U124" s="7" t="n">
        <v>14174</v>
      </c>
      <c r="V124" s="8">
        <f>IFERROR(M124/N124,0)</f>
        <v/>
      </c>
      <c r="W124" s="8">
        <f>IFERROR(I124/H124,0)</f>
        <v/>
      </c>
      <c r="X124" s="8">
        <f>IFERROR(J124/I124,0)</f>
        <v/>
      </c>
      <c r="Y124" s="8">
        <f>IFERROR(K124/J124,0)</f>
        <v/>
      </c>
      <c r="Z124" s="9">
        <f>R124+S124</f>
        <v/>
      </c>
      <c r="AA124" s="9">
        <f>M124*P124+K124*Q124</f>
        <v/>
      </c>
    </row>
    <row r="125">
      <c r="A125" s="6" t="inlineStr">
        <is>
          <t>MBWAY_LYO</t>
        </is>
      </c>
      <c r="B125" s="6" t="inlineStr">
        <is>
          <t>BAC_MGT</t>
        </is>
      </c>
      <c r="C125" s="6" t="inlineStr">
        <is>
          <t>B2</t>
        </is>
      </c>
      <c r="D125" s="6" t="inlineStr">
        <is>
          <t>ALT</t>
        </is>
      </c>
      <c r="E125" s="6" t="inlineStr">
        <is>
          <t>2024</t>
        </is>
      </c>
      <c r="F125" s="6" t="inlineStr">
        <is>
          <t>2027BUD_V1</t>
        </is>
      </c>
      <c r="G125" s="6" t="n">
        <v>12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57</v>
      </c>
      <c r="M125" s="7" t="n">
        <v>57</v>
      </c>
      <c r="N125" s="7" t="n">
        <v>59</v>
      </c>
      <c r="O125" s="7" t="n">
        <v>2</v>
      </c>
      <c r="P125" s="7" t="n">
        <v>7350</v>
      </c>
      <c r="Q125" s="7" t="n">
        <v>90</v>
      </c>
      <c r="R125" s="7" t="n">
        <v>0</v>
      </c>
      <c r="S125" s="7" t="n">
        <v>0</v>
      </c>
      <c r="T125" s="7" t="n">
        <v>0</v>
      </c>
      <c r="U125" s="7" t="n">
        <v>0</v>
      </c>
      <c r="V125" s="8">
        <f>IFERROR(M125/N125,0)</f>
        <v/>
      </c>
      <c r="W125" s="8">
        <f>IFERROR(I125/H125,0)</f>
        <v/>
      </c>
      <c r="X125" s="8">
        <f>IFERROR(J125/I125,0)</f>
        <v/>
      </c>
      <c r="Y125" s="8">
        <f>IFERROR(K125/J125,0)</f>
        <v/>
      </c>
      <c r="Z125" s="9">
        <f>R125+S125</f>
        <v/>
      </c>
      <c r="AA125" s="9">
        <f>M125*P125+K125*Q125</f>
        <v/>
      </c>
    </row>
    <row r="126">
      <c r="A126" s="6" t="inlineStr">
        <is>
          <t>MBWAY_LYO</t>
        </is>
      </c>
      <c r="B126" s="6" t="inlineStr">
        <is>
          <t>BAC_MGT</t>
        </is>
      </c>
      <c r="C126" s="6" t="inlineStr">
        <is>
          <t>B3</t>
        </is>
      </c>
      <c r="D126" s="6" t="inlineStr">
        <is>
          <t>ALT</t>
        </is>
      </c>
      <c r="E126" s="6" t="inlineStr">
        <is>
          <t>2024</t>
        </is>
      </c>
      <c r="F126" s="6" t="inlineStr">
        <is>
          <t>2027BUD_V1</t>
        </is>
      </c>
      <c r="G126" s="6" t="n">
        <v>12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56</v>
      </c>
      <c r="M126" s="7" t="n">
        <v>56</v>
      </c>
      <c r="N126" s="7" t="n">
        <v>57</v>
      </c>
      <c r="O126" s="7" t="n">
        <v>2</v>
      </c>
      <c r="P126" s="7" t="n">
        <v>7350</v>
      </c>
      <c r="Q126" s="7" t="n">
        <v>90</v>
      </c>
      <c r="R126" s="7" t="n">
        <v>0</v>
      </c>
      <c r="S126" s="7" t="n">
        <v>0</v>
      </c>
      <c r="T126" s="7" t="n">
        <v>0</v>
      </c>
      <c r="U126" s="7" t="n">
        <v>0</v>
      </c>
      <c r="V126" s="8">
        <f>IFERROR(M126/N126,0)</f>
        <v/>
      </c>
      <c r="W126" s="8">
        <f>IFERROR(I126/H126,0)</f>
        <v/>
      </c>
      <c r="X126" s="8">
        <f>IFERROR(J126/I126,0)</f>
        <v/>
      </c>
      <c r="Y126" s="8">
        <f>IFERROR(K126/J126,0)</f>
        <v/>
      </c>
      <c r="Z126" s="9">
        <f>R126+S126</f>
        <v/>
      </c>
      <c r="AA126" s="9">
        <f>M126*P126+K126*Q126</f>
        <v/>
      </c>
    </row>
    <row r="127">
      <c r="A127" s="6" t="inlineStr">
        <is>
          <t>MBWAY_LYO</t>
        </is>
      </c>
      <c r="B127" s="6" t="inlineStr">
        <is>
          <t>MAS_MGT</t>
        </is>
      </c>
      <c r="C127" s="6" t="inlineStr">
        <is>
          <t>M1</t>
        </is>
      </c>
      <c r="D127" s="6" t="inlineStr">
        <is>
          <t>ALT</t>
        </is>
      </c>
      <c r="E127" s="6" t="inlineStr">
        <is>
          <t>2024</t>
        </is>
      </c>
      <c r="F127" s="6" t="inlineStr">
        <is>
          <t>2027BUD_V1</t>
        </is>
      </c>
      <c r="G127" s="6" t="n">
        <v>12</v>
      </c>
      <c r="H127" s="7" t="n">
        <v>997</v>
      </c>
      <c r="I127" s="7" t="n">
        <v>199</v>
      </c>
      <c r="J127" s="7" t="n">
        <v>140</v>
      </c>
      <c r="K127" s="7" t="n">
        <v>59</v>
      </c>
      <c r="L127" s="7" t="n">
        <v>0</v>
      </c>
      <c r="M127" s="7" t="n">
        <v>59</v>
      </c>
      <c r="N127" s="7" t="n">
        <v>0</v>
      </c>
      <c r="O127" s="7" t="n">
        <v>3</v>
      </c>
      <c r="P127" s="7" t="n">
        <v>7875</v>
      </c>
      <c r="Q127" s="7" t="n">
        <v>90</v>
      </c>
      <c r="R127" s="7" t="n">
        <v>421</v>
      </c>
      <c r="S127" s="7" t="n">
        <v>580</v>
      </c>
      <c r="T127" s="7" t="n">
        <v>23215</v>
      </c>
      <c r="U127" s="7" t="n">
        <v>29076</v>
      </c>
      <c r="V127" s="8">
        <f>IFERROR(M127/N127,0)</f>
        <v/>
      </c>
      <c r="W127" s="8">
        <f>IFERROR(I127/H127,0)</f>
        <v/>
      </c>
      <c r="X127" s="8">
        <f>IFERROR(J127/I127,0)</f>
        <v/>
      </c>
      <c r="Y127" s="8">
        <f>IFERROR(K127/J127,0)</f>
        <v/>
      </c>
      <c r="Z127" s="9">
        <f>R127+S127</f>
        <v/>
      </c>
      <c r="AA127" s="9">
        <f>M127*P127+K127*Q127</f>
        <v/>
      </c>
    </row>
    <row r="128">
      <c r="A128" s="6" t="inlineStr">
        <is>
          <t>MBWAY_LYO</t>
        </is>
      </c>
      <c r="B128" s="6" t="inlineStr">
        <is>
          <t>MAS_MGT</t>
        </is>
      </c>
      <c r="C128" s="6" t="inlineStr">
        <is>
          <t>M2</t>
        </is>
      </c>
      <c r="D128" s="6" t="inlineStr">
        <is>
          <t>ALT</t>
        </is>
      </c>
      <c r="E128" s="6" t="inlineStr">
        <is>
          <t>2024</t>
        </is>
      </c>
      <c r="F128" s="6" t="inlineStr">
        <is>
          <t>2027BUD_V1</t>
        </is>
      </c>
      <c r="G128" s="6" t="n">
        <v>12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58</v>
      </c>
      <c r="M128" s="7" t="n">
        <v>58</v>
      </c>
      <c r="N128" s="7" t="n">
        <v>59</v>
      </c>
      <c r="O128" s="7" t="n">
        <v>3</v>
      </c>
      <c r="P128" s="7" t="n">
        <v>7875</v>
      </c>
      <c r="Q128" s="7" t="n">
        <v>90</v>
      </c>
      <c r="R128" s="7" t="n">
        <v>0</v>
      </c>
      <c r="S128" s="7" t="n">
        <v>0</v>
      </c>
      <c r="T128" s="7" t="n">
        <v>0</v>
      </c>
      <c r="U128" s="7" t="n">
        <v>0</v>
      </c>
      <c r="V128" s="8">
        <f>IFERROR(M128/N128,0)</f>
        <v/>
      </c>
      <c r="W128" s="8">
        <f>IFERROR(I128/H128,0)</f>
        <v/>
      </c>
      <c r="X128" s="8">
        <f>IFERROR(J128/I128,0)</f>
        <v/>
      </c>
      <c r="Y128" s="8">
        <f>IFERROR(K128/J128,0)</f>
        <v/>
      </c>
      <c r="Z128" s="9">
        <f>R128+S128</f>
        <v/>
      </c>
      <c r="AA128" s="9">
        <f>M128*P128+K128*Q128</f>
        <v/>
      </c>
    </row>
    <row r="129">
      <c r="A129" s="6" t="inlineStr">
        <is>
          <t>MBWAY_NAN</t>
        </is>
      </c>
      <c r="B129" s="6" t="inlineStr">
        <is>
          <t>BAC_MGT</t>
        </is>
      </c>
      <c r="C129" s="6" t="inlineStr">
        <is>
          <t>B1</t>
        </is>
      </c>
      <c r="D129" s="6" t="inlineStr">
        <is>
          <t>INIT</t>
        </is>
      </c>
      <c r="E129" s="6" t="inlineStr">
        <is>
          <t>2024</t>
        </is>
      </c>
      <c r="F129" s="6" t="inlineStr">
        <is>
          <t>2027BUD_V1</t>
        </is>
      </c>
      <c r="G129" s="6" t="n">
        <v>12</v>
      </c>
      <c r="H129" s="7" t="n">
        <v>441</v>
      </c>
      <c r="I129" s="7" t="n">
        <v>124</v>
      </c>
      <c r="J129" s="7" t="n">
        <v>89</v>
      </c>
      <c r="K129" s="7" t="n">
        <v>53</v>
      </c>
      <c r="L129" s="7" t="n">
        <v>0</v>
      </c>
      <c r="M129" s="7" t="n">
        <v>53</v>
      </c>
      <c r="N129" s="7" t="n">
        <v>0</v>
      </c>
      <c r="O129" s="7" t="n">
        <v>2</v>
      </c>
      <c r="P129" s="7" t="n">
        <v>7500</v>
      </c>
      <c r="Q129" s="7" t="n">
        <v>90</v>
      </c>
      <c r="R129" s="7" t="n">
        <v>208</v>
      </c>
      <c r="S129" s="7" t="n">
        <v>233</v>
      </c>
      <c r="T129" s="7" t="n">
        <v>8526</v>
      </c>
      <c r="U129" s="7" t="n">
        <v>14648</v>
      </c>
      <c r="V129" s="8">
        <f>IFERROR(M129/N129,0)</f>
        <v/>
      </c>
      <c r="W129" s="8">
        <f>IFERROR(I129/H129,0)</f>
        <v/>
      </c>
      <c r="X129" s="8">
        <f>IFERROR(J129/I129,0)</f>
        <v/>
      </c>
      <c r="Y129" s="8">
        <f>IFERROR(K129/J129,0)</f>
        <v/>
      </c>
      <c r="Z129" s="9">
        <f>R129+S129</f>
        <v/>
      </c>
      <c r="AA129" s="9">
        <f>M129*P129+K129*Q129</f>
        <v/>
      </c>
    </row>
    <row r="130">
      <c r="A130" s="6" t="inlineStr">
        <is>
          <t>MBWAY_NAN</t>
        </is>
      </c>
      <c r="B130" s="6" t="inlineStr">
        <is>
          <t>BAC_MGT</t>
        </is>
      </c>
      <c r="C130" s="6" t="inlineStr">
        <is>
          <t>B2</t>
        </is>
      </c>
      <c r="D130" s="6" t="inlineStr">
        <is>
          <t>ALT</t>
        </is>
      </c>
      <c r="E130" s="6" t="inlineStr">
        <is>
          <t>2024</t>
        </is>
      </c>
      <c r="F130" s="6" t="inlineStr">
        <is>
          <t>2027BUD_V1</t>
        </is>
      </c>
      <c r="G130" s="6" t="n">
        <v>12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52</v>
      </c>
      <c r="M130" s="7" t="n">
        <v>52</v>
      </c>
      <c r="N130" s="7" t="n">
        <v>53</v>
      </c>
      <c r="O130" s="7" t="n">
        <v>2</v>
      </c>
      <c r="P130" s="7" t="n">
        <v>7000</v>
      </c>
      <c r="Q130" s="7" t="n">
        <v>90</v>
      </c>
      <c r="R130" s="7" t="n">
        <v>0</v>
      </c>
      <c r="S130" s="7" t="n">
        <v>0</v>
      </c>
      <c r="T130" s="7" t="n">
        <v>0</v>
      </c>
      <c r="U130" s="7" t="n">
        <v>0</v>
      </c>
      <c r="V130" s="8">
        <f>IFERROR(M130/N130,0)</f>
        <v/>
      </c>
      <c r="W130" s="8">
        <f>IFERROR(I130/H130,0)</f>
        <v/>
      </c>
      <c r="X130" s="8">
        <f>IFERROR(J130/I130,0)</f>
        <v/>
      </c>
      <c r="Y130" s="8">
        <f>IFERROR(K130/J130,0)</f>
        <v/>
      </c>
      <c r="Z130" s="9">
        <f>R130+S130</f>
        <v/>
      </c>
      <c r="AA130" s="9">
        <f>M130*P130+K130*Q130</f>
        <v/>
      </c>
    </row>
    <row r="131">
      <c r="A131" s="6" t="inlineStr">
        <is>
          <t>MBWAY_NAN</t>
        </is>
      </c>
      <c r="B131" s="6" t="inlineStr">
        <is>
          <t>BAC_MGT</t>
        </is>
      </c>
      <c r="C131" s="6" t="inlineStr">
        <is>
          <t>B3</t>
        </is>
      </c>
      <c r="D131" s="6" t="inlineStr">
        <is>
          <t>ALT</t>
        </is>
      </c>
      <c r="E131" s="6" t="inlineStr">
        <is>
          <t>2024</t>
        </is>
      </c>
      <c r="F131" s="6" t="inlineStr">
        <is>
          <t>2027BUD_V1</t>
        </is>
      </c>
      <c r="G131" s="6" t="n">
        <v>12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51</v>
      </c>
      <c r="M131" s="7" t="n">
        <v>51</v>
      </c>
      <c r="N131" s="7" t="n">
        <v>52</v>
      </c>
      <c r="O131" s="7" t="n">
        <v>2</v>
      </c>
      <c r="P131" s="7" t="n">
        <v>7000</v>
      </c>
      <c r="Q131" s="7" t="n">
        <v>90</v>
      </c>
      <c r="R131" s="7" t="n">
        <v>0</v>
      </c>
      <c r="S131" s="7" t="n">
        <v>0</v>
      </c>
      <c r="T131" s="7" t="n">
        <v>0</v>
      </c>
      <c r="U131" s="7" t="n">
        <v>0</v>
      </c>
      <c r="V131" s="8">
        <f>IFERROR(M131/N131,0)</f>
        <v/>
      </c>
      <c r="W131" s="8">
        <f>IFERROR(I131/H131,0)</f>
        <v/>
      </c>
      <c r="X131" s="8">
        <f>IFERROR(J131/I131,0)</f>
        <v/>
      </c>
      <c r="Y131" s="8">
        <f>IFERROR(K131/J131,0)</f>
        <v/>
      </c>
      <c r="Z131" s="9">
        <f>R131+S131</f>
        <v/>
      </c>
      <c r="AA131" s="9">
        <f>M131*P131+K131*Q131</f>
        <v/>
      </c>
    </row>
    <row r="132">
      <c r="A132" s="6" t="inlineStr">
        <is>
          <t>MBWAY_NAN</t>
        </is>
      </c>
      <c r="B132" s="6" t="inlineStr">
        <is>
          <t>MAS_MGT</t>
        </is>
      </c>
      <c r="C132" s="6" t="inlineStr">
        <is>
          <t>M1</t>
        </is>
      </c>
      <c r="D132" s="6" t="inlineStr">
        <is>
          <t>ALT</t>
        </is>
      </c>
      <c r="E132" s="6" t="inlineStr">
        <is>
          <t>2024</t>
        </is>
      </c>
      <c r="F132" s="6" t="inlineStr">
        <is>
          <t>2027BUD_V1</t>
        </is>
      </c>
      <c r="G132" s="6" t="n">
        <v>12</v>
      </c>
      <c r="H132" s="7" t="n">
        <v>908</v>
      </c>
      <c r="I132" s="7" t="n">
        <v>182</v>
      </c>
      <c r="J132" s="7" t="n">
        <v>127</v>
      </c>
      <c r="K132" s="7" t="n">
        <v>53</v>
      </c>
      <c r="L132" s="7" t="n">
        <v>0</v>
      </c>
      <c r="M132" s="7" t="n">
        <v>53</v>
      </c>
      <c r="N132" s="7" t="n">
        <v>0</v>
      </c>
      <c r="O132" s="7" t="n">
        <v>3</v>
      </c>
      <c r="P132" s="7" t="n">
        <v>7500</v>
      </c>
      <c r="Q132" s="7" t="n">
        <v>90</v>
      </c>
      <c r="R132" s="7" t="n">
        <v>428</v>
      </c>
      <c r="S132" s="7" t="n">
        <v>480</v>
      </c>
      <c r="T132" s="7" t="n">
        <v>17534</v>
      </c>
      <c r="U132" s="7" t="n">
        <v>30123</v>
      </c>
      <c r="V132" s="8">
        <f>IFERROR(M132/N132,0)</f>
        <v/>
      </c>
      <c r="W132" s="8">
        <f>IFERROR(I132/H132,0)</f>
        <v/>
      </c>
      <c r="X132" s="8">
        <f>IFERROR(J132/I132,0)</f>
        <v/>
      </c>
      <c r="Y132" s="8">
        <f>IFERROR(K132/J132,0)</f>
        <v/>
      </c>
      <c r="Z132" s="9">
        <f>R132+S132</f>
        <v/>
      </c>
      <c r="AA132" s="9">
        <f>M132*P132+K132*Q132</f>
        <v/>
      </c>
    </row>
    <row r="133">
      <c r="A133" s="6" t="inlineStr">
        <is>
          <t>MBWAY_NAN</t>
        </is>
      </c>
      <c r="B133" s="6" t="inlineStr">
        <is>
          <t>MAS_MGT</t>
        </is>
      </c>
      <c r="C133" s="6" t="inlineStr">
        <is>
          <t>M2</t>
        </is>
      </c>
      <c r="D133" s="6" t="inlineStr">
        <is>
          <t>ALT</t>
        </is>
      </c>
      <c r="E133" s="6" t="inlineStr">
        <is>
          <t>2024</t>
        </is>
      </c>
      <c r="F133" s="6" t="inlineStr">
        <is>
          <t>2027BUD_V1</t>
        </is>
      </c>
      <c r="G133" s="6" t="n">
        <v>12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53</v>
      </c>
      <c r="M133" s="7" t="n">
        <v>53</v>
      </c>
      <c r="N133" s="7" t="n">
        <v>53</v>
      </c>
      <c r="O133" s="7" t="n">
        <v>3</v>
      </c>
      <c r="P133" s="7" t="n">
        <v>7500</v>
      </c>
      <c r="Q133" s="7" t="n">
        <v>90</v>
      </c>
      <c r="R133" s="7" t="n">
        <v>0</v>
      </c>
      <c r="S133" s="7" t="n">
        <v>0</v>
      </c>
      <c r="T133" s="7" t="n">
        <v>0</v>
      </c>
      <c r="U133" s="7" t="n">
        <v>0</v>
      </c>
      <c r="V133" s="8">
        <f>IFERROR(M133/N133,0)</f>
        <v/>
      </c>
      <c r="W133" s="8">
        <f>IFERROR(I133/H133,0)</f>
        <v/>
      </c>
      <c r="X133" s="8">
        <f>IFERROR(J133/I133,0)</f>
        <v/>
      </c>
      <c r="Y133" s="8">
        <f>IFERROR(K133/J133,0)</f>
        <v/>
      </c>
      <c r="Z133" s="9">
        <f>R133+S133</f>
        <v/>
      </c>
      <c r="AA133" s="9">
        <f>M133*P133+K133*Q133</f>
        <v/>
      </c>
    </row>
    <row r="134">
      <c r="A134" s="6" t="inlineStr">
        <is>
          <t>MBWAY_BOR</t>
        </is>
      </c>
      <c r="B134" s="6" t="inlineStr">
        <is>
          <t>BAC_MGT</t>
        </is>
      </c>
      <c r="C134" s="6" t="inlineStr">
        <is>
          <t>B1</t>
        </is>
      </c>
      <c r="D134" s="6" t="inlineStr">
        <is>
          <t>INIT</t>
        </is>
      </c>
      <c r="E134" s="6" t="inlineStr">
        <is>
          <t>2024</t>
        </is>
      </c>
      <c r="F134" s="6" t="inlineStr">
        <is>
          <t>2027BUD_V1</t>
        </is>
      </c>
      <c r="G134" s="6" t="n">
        <v>12</v>
      </c>
      <c r="H134" s="7" t="n">
        <v>375</v>
      </c>
      <c r="I134" s="7" t="n">
        <v>105</v>
      </c>
      <c r="J134" s="7" t="n">
        <v>76</v>
      </c>
      <c r="K134" s="7" t="n">
        <v>45</v>
      </c>
      <c r="L134" s="7" t="n">
        <v>0</v>
      </c>
      <c r="M134" s="7" t="n">
        <v>45</v>
      </c>
      <c r="N134" s="7" t="n">
        <v>0</v>
      </c>
      <c r="O134" s="7" t="n">
        <v>2</v>
      </c>
      <c r="P134" s="7" t="n">
        <v>7275</v>
      </c>
      <c r="Q134" s="7" t="n">
        <v>90</v>
      </c>
      <c r="R134" s="7" t="n">
        <v>180</v>
      </c>
      <c r="S134" s="7" t="n">
        <v>194</v>
      </c>
      <c r="T134" s="7" t="n">
        <v>6743</v>
      </c>
      <c r="U134" s="7" t="n">
        <v>12727</v>
      </c>
      <c r="V134" s="8">
        <f>IFERROR(M134/N134,0)</f>
        <v/>
      </c>
      <c r="W134" s="8">
        <f>IFERROR(I134/H134,0)</f>
        <v/>
      </c>
      <c r="X134" s="8">
        <f>IFERROR(J134/I134,0)</f>
        <v/>
      </c>
      <c r="Y134" s="8">
        <f>IFERROR(K134/J134,0)</f>
        <v/>
      </c>
      <c r="Z134" s="9">
        <f>R134+S134</f>
        <v/>
      </c>
      <c r="AA134" s="9">
        <f>M134*P134+K134*Q134</f>
        <v/>
      </c>
    </row>
    <row r="135">
      <c r="A135" s="6" t="inlineStr">
        <is>
          <t>MBWAY_BOR</t>
        </is>
      </c>
      <c r="B135" s="6" t="inlineStr">
        <is>
          <t>BAC_MGT</t>
        </is>
      </c>
      <c r="C135" s="6" t="inlineStr">
        <is>
          <t>B2</t>
        </is>
      </c>
      <c r="D135" s="6" t="inlineStr">
        <is>
          <t>ALT</t>
        </is>
      </c>
      <c r="E135" s="6" t="inlineStr">
        <is>
          <t>2024</t>
        </is>
      </c>
      <c r="F135" s="6" t="inlineStr">
        <is>
          <t>2027BUD_V1</t>
        </is>
      </c>
      <c r="G135" s="6" t="n">
        <v>12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44</v>
      </c>
      <c r="M135" s="7" t="n">
        <v>44</v>
      </c>
      <c r="N135" s="7" t="n">
        <v>45</v>
      </c>
      <c r="O135" s="7" t="n">
        <v>2</v>
      </c>
      <c r="P135" s="7" t="n">
        <v>6790</v>
      </c>
      <c r="Q135" s="7" t="n">
        <v>90</v>
      </c>
      <c r="R135" s="7" t="n">
        <v>0</v>
      </c>
      <c r="S135" s="7" t="n">
        <v>0</v>
      </c>
      <c r="T135" s="7" t="n">
        <v>0</v>
      </c>
      <c r="U135" s="7" t="n">
        <v>0</v>
      </c>
      <c r="V135" s="8">
        <f>IFERROR(M135/N135,0)</f>
        <v/>
      </c>
      <c r="W135" s="8">
        <f>IFERROR(I135/H135,0)</f>
        <v/>
      </c>
      <c r="X135" s="8">
        <f>IFERROR(J135/I135,0)</f>
        <v/>
      </c>
      <c r="Y135" s="8">
        <f>IFERROR(K135/J135,0)</f>
        <v/>
      </c>
      <c r="Z135" s="9">
        <f>R135+S135</f>
        <v/>
      </c>
      <c r="AA135" s="9">
        <f>M135*P135+K135*Q135</f>
        <v/>
      </c>
    </row>
    <row r="136">
      <c r="A136" s="6" t="inlineStr">
        <is>
          <t>MBWAY_BOR</t>
        </is>
      </c>
      <c r="B136" s="6" t="inlineStr">
        <is>
          <t>BAC_MGT</t>
        </is>
      </c>
      <c r="C136" s="6" t="inlineStr">
        <is>
          <t>B3</t>
        </is>
      </c>
      <c r="D136" s="6" t="inlineStr">
        <is>
          <t>ALT</t>
        </is>
      </c>
      <c r="E136" s="6" t="inlineStr">
        <is>
          <t>2024</t>
        </is>
      </c>
      <c r="F136" s="6" t="inlineStr">
        <is>
          <t>2027BUD_V1</t>
        </is>
      </c>
      <c r="G136" s="6" t="n">
        <v>12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43</v>
      </c>
      <c r="M136" s="7" t="n">
        <v>43</v>
      </c>
      <c r="N136" s="7" t="n">
        <v>44</v>
      </c>
      <c r="O136" s="7" t="n">
        <v>2</v>
      </c>
      <c r="P136" s="7" t="n">
        <v>6790</v>
      </c>
      <c r="Q136" s="7" t="n">
        <v>90</v>
      </c>
      <c r="R136" s="7" t="n">
        <v>0</v>
      </c>
      <c r="S136" s="7" t="n">
        <v>0</v>
      </c>
      <c r="T136" s="7" t="n">
        <v>0</v>
      </c>
      <c r="U136" s="7" t="n">
        <v>0</v>
      </c>
      <c r="V136" s="8">
        <f>IFERROR(M136/N136,0)</f>
        <v/>
      </c>
      <c r="W136" s="8">
        <f>IFERROR(I136/H136,0)</f>
        <v/>
      </c>
      <c r="X136" s="8">
        <f>IFERROR(J136/I136,0)</f>
        <v/>
      </c>
      <c r="Y136" s="8">
        <f>IFERROR(K136/J136,0)</f>
        <v/>
      </c>
      <c r="Z136" s="9">
        <f>R136+S136</f>
        <v/>
      </c>
      <c r="AA136" s="9">
        <f>M136*P136+K136*Q136</f>
        <v/>
      </c>
    </row>
    <row r="137">
      <c r="A137" s="6" t="inlineStr">
        <is>
          <t>MBWAY_BOR</t>
        </is>
      </c>
      <c r="B137" s="6" t="inlineStr">
        <is>
          <t>MAS_MGT</t>
        </is>
      </c>
      <c r="C137" s="6" t="inlineStr">
        <is>
          <t>M1</t>
        </is>
      </c>
      <c r="D137" s="6" t="inlineStr">
        <is>
          <t>ALT</t>
        </is>
      </c>
      <c r="E137" s="6" t="inlineStr">
        <is>
          <t>2024</t>
        </is>
      </c>
      <c r="F137" s="6" t="inlineStr">
        <is>
          <t>2027BUD_V1</t>
        </is>
      </c>
      <c r="G137" s="6" t="n">
        <v>12</v>
      </c>
      <c r="H137" s="7" t="n">
        <v>770</v>
      </c>
      <c r="I137" s="7" t="n">
        <v>154</v>
      </c>
      <c r="J137" s="7" t="n">
        <v>108</v>
      </c>
      <c r="K137" s="7" t="n">
        <v>45</v>
      </c>
      <c r="L137" s="7" t="n">
        <v>0</v>
      </c>
      <c r="M137" s="7" t="n">
        <v>45</v>
      </c>
      <c r="N137" s="7" t="n">
        <v>0</v>
      </c>
      <c r="O137" s="7" t="n">
        <v>2</v>
      </c>
      <c r="P137" s="7" t="n">
        <v>7275</v>
      </c>
      <c r="Q137" s="7" t="n">
        <v>90</v>
      </c>
      <c r="R137" s="7" t="n">
        <v>370</v>
      </c>
      <c r="S137" s="7" t="n">
        <v>398</v>
      </c>
      <c r="T137" s="7" t="n">
        <v>13854</v>
      </c>
      <c r="U137" s="7" t="n">
        <v>26150</v>
      </c>
      <c r="V137" s="8">
        <f>IFERROR(M137/N137,0)</f>
        <v/>
      </c>
      <c r="W137" s="8">
        <f>IFERROR(I137/H137,0)</f>
        <v/>
      </c>
      <c r="X137" s="8">
        <f>IFERROR(J137/I137,0)</f>
        <v/>
      </c>
      <c r="Y137" s="8">
        <f>IFERROR(K137/J137,0)</f>
        <v/>
      </c>
      <c r="Z137" s="9">
        <f>R137+S137</f>
        <v/>
      </c>
      <c r="AA137" s="9">
        <f>M137*P137+K137*Q137</f>
        <v/>
      </c>
    </row>
    <row r="138">
      <c r="A138" s="6" t="inlineStr">
        <is>
          <t>MBWAY_BOR</t>
        </is>
      </c>
      <c r="B138" s="6" t="inlineStr">
        <is>
          <t>MAS_MGT</t>
        </is>
      </c>
      <c r="C138" s="6" t="inlineStr">
        <is>
          <t>M2</t>
        </is>
      </c>
      <c r="D138" s="6" t="inlineStr">
        <is>
          <t>ALT</t>
        </is>
      </c>
      <c r="E138" s="6" t="inlineStr">
        <is>
          <t>2024</t>
        </is>
      </c>
      <c r="F138" s="6" t="inlineStr">
        <is>
          <t>2027BUD_V1</t>
        </is>
      </c>
      <c r="G138" s="6" t="n">
        <v>12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44</v>
      </c>
      <c r="M138" s="7" t="n">
        <v>44</v>
      </c>
      <c r="N138" s="7" t="n">
        <v>45</v>
      </c>
      <c r="O138" s="7" t="n">
        <v>2</v>
      </c>
      <c r="P138" s="7" t="n">
        <v>7275</v>
      </c>
      <c r="Q138" s="7" t="n">
        <v>90</v>
      </c>
      <c r="R138" s="7" t="n">
        <v>0</v>
      </c>
      <c r="S138" s="7" t="n">
        <v>0</v>
      </c>
      <c r="T138" s="7" t="n">
        <v>0</v>
      </c>
      <c r="U138" s="7" t="n">
        <v>0</v>
      </c>
      <c r="V138" s="8">
        <f>IFERROR(M138/N138,0)</f>
        <v/>
      </c>
      <c r="W138" s="8">
        <f>IFERROR(I138/H138,0)</f>
        <v/>
      </c>
      <c r="X138" s="8">
        <f>IFERROR(J138/I138,0)</f>
        <v/>
      </c>
      <c r="Y138" s="8">
        <f>IFERROR(K138/J138,0)</f>
        <v/>
      </c>
      <c r="Z138" s="9">
        <f>R138+S138</f>
        <v/>
      </c>
      <c r="AA138" s="9">
        <f>M138*P138+K138*Q138</f>
        <v/>
      </c>
    </row>
    <row r="139">
      <c r="A139" s="6" t="inlineStr">
        <is>
          <t>ISCOM_PAR</t>
        </is>
      </c>
      <c r="B139" s="6" t="inlineStr">
        <is>
          <t>BAC_COM</t>
        </is>
      </c>
      <c r="C139" s="6" t="inlineStr">
        <is>
          <t>B1</t>
        </is>
      </c>
      <c r="D139" s="6" t="inlineStr">
        <is>
          <t>INIT</t>
        </is>
      </c>
      <c r="E139" s="6" t="inlineStr">
        <is>
          <t>2024</t>
        </is>
      </c>
      <c r="F139" s="6" t="inlineStr">
        <is>
          <t>2027BUD_V1</t>
        </is>
      </c>
      <c r="G139" s="6" t="n">
        <v>12</v>
      </c>
      <c r="H139" s="7" t="n">
        <v>530</v>
      </c>
      <c r="I139" s="7" t="n">
        <v>149</v>
      </c>
      <c r="J139" s="7" t="n">
        <v>107</v>
      </c>
      <c r="K139" s="7" t="n">
        <v>64</v>
      </c>
      <c r="L139" s="7" t="n">
        <v>0</v>
      </c>
      <c r="M139" s="7" t="n">
        <v>64</v>
      </c>
      <c r="N139" s="7" t="n">
        <v>0</v>
      </c>
      <c r="O139" s="7" t="n">
        <v>3</v>
      </c>
      <c r="P139" s="7" t="n">
        <v>8400</v>
      </c>
      <c r="Q139" s="7" t="n">
        <v>90</v>
      </c>
      <c r="R139" s="7" t="n">
        <v>213</v>
      </c>
      <c r="S139" s="7" t="n">
        <v>340</v>
      </c>
      <c r="T139" s="7" t="n">
        <v>16491</v>
      </c>
      <c r="U139" s="7" t="n">
        <v>17097</v>
      </c>
      <c r="V139" s="8">
        <f>IFERROR(M139/N139,0)</f>
        <v/>
      </c>
      <c r="W139" s="8">
        <f>IFERROR(I139/H139,0)</f>
        <v/>
      </c>
      <c r="X139" s="8">
        <f>IFERROR(J139/I139,0)</f>
        <v/>
      </c>
      <c r="Y139" s="8">
        <f>IFERROR(K139/J139,0)</f>
        <v/>
      </c>
      <c r="Z139" s="9">
        <f>R139+S139</f>
        <v/>
      </c>
      <c r="AA139" s="9">
        <f>M139*P139+K139*Q139</f>
        <v/>
      </c>
    </row>
    <row r="140">
      <c r="A140" s="6" t="inlineStr">
        <is>
          <t>ISCOM_PAR</t>
        </is>
      </c>
      <c r="B140" s="6" t="inlineStr">
        <is>
          <t>BAC_COM</t>
        </is>
      </c>
      <c r="C140" s="6" t="inlineStr">
        <is>
          <t>B2</t>
        </is>
      </c>
      <c r="D140" s="6" t="inlineStr">
        <is>
          <t>ALT</t>
        </is>
      </c>
      <c r="E140" s="6" t="inlineStr">
        <is>
          <t>2024</t>
        </is>
      </c>
      <c r="F140" s="6" t="inlineStr">
        <is>
          <t>2027BUD_V1</t>
        </is>
      </c>
      <c r="G140" s="6" t="n">
        <v>12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62</v>
      </c>
      <c r="M140" s="7" t="n">
        <v>62</v>
      </c>
      <c r="N140" s="7" t="n">
        <v>64</v>
      </c>
      <c r="O140" s="7" t="n">
        <v>3</v>
      </c>
      <c r="P140" s="7" t="n">
        <v>7840</v>
      </c>
      <c r="Q140" s="7" t="n">
        <v>90</v>
      </c>
      <c r="R140" s="7" t="n">
        <v>0</v>
      </c>
      <c r="S140" s="7" t="n">
        <v>0</v>
      </c>
      <c r="T140" s="7" t="n">
        <v>0</v>
      </c>
      <c r="U140" s="7" t="n">
        <v>0</v>
      </c>
      <c r="V140" s="8">
        <f>IFERROR(M140/N140,0)</f>
        <v/>
      </c>
      <c r="W140" s="8">
        <f>IFERROR(I140/H140,0)</f>
        <v/>
      </c>
      <c r="X140" s="8">
        <f>IFERROR(J140/I140,0)</f>
        <v/>
      </c>
      <c r="Y140" s="8">
        <f>IFERROR(K140/J140,0)</f>
        <v/>
      </c>
      <c r="Z140" s="9">
        <f>R140+S140</f>
        <v/>
      </c>
      <c r="AA140" s="9">
        <f>M140*P140+K140*Q140</f>
        <v/>
      </c>
    </row>
    <row r="141">
      <c r="A141" s="6" t="inlineStr">
        <is>
          <t>ISCOM_PAR</t>
        </is>
      </c>
      <c r="B141" s="6" t="inlineStr">
        <is>
          <t>BAC_COM</t>
        </is>
      </c>
      <c r="C141" s="6" t="inlineStr">
        <is>
          <t>B3</t>
        </is>
      </c>
      <c r="D141" s="6" t="inlineStr">
        <is>
          <t>ALT</t>
        </is>
      </c>
      <c r="E141" s="6" t="inlineStr">
        <is>
          <t>2024</t>
        </is>
      </c>
      <c r="F141" s="6" t="inlineStr">
        <is>
          <t>2027BUD_V1</t>
        </is>
      </c>
      <c r="G141" s="6" t="n">
        <v>12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61</v>
      </c>
      <c r="M141" s="7" t="n">
        <v>61</v>
      </c>
      <c r="N141" s="7" t="n">
        <v>62</v>
      </c>
      <c r="O141" s="7" t="n">
        <v>3</v>
      </c>
      <c r="P141" s="7" t="n">
        <v>7840</v>
      </c>
      <c r="Q141" s="7" t="n">
        <v>90</v>
      </c>
      <c r="R141" s="7" t="n">
        <v>0</v>
      </c>
      <c r="S141" s="7" t="n">
        <v>0</v>
      </c>
      <c r="T141" s="7" t="n">
        <v>0</v>
      </c>
      <c r="U141" s="7" t="n">
        <v>0</v>
      </c>
      <c r="V141" s="8">
        <f>IFERROR(M141/N141,0)</f>
        <v/>
      </c>
      <c r="W141" s="8">
        <f>IFERROR(I141/H141,0)</f>
        <v/>
      </c>
      <c r="X141" s="8">
        <f>IFERROR(J141/I141,0)</f>
        <v/>
      </c>
      <c r="Y141" s="8">
        <f>IFERROR(K141/J141,0)</f>
        <v/>
      </c>
      <c r="Z141" s="9">
        <f>R141+S141</f>
        <v/>
      </c>
      <c r="AA141" s="9">
        <f>M141*P141+K141*Q141</f>
        <v/>
      </c>
    </row>
    <row r="142">
      <c r="A142" s="6" t="inlineStr">
        <is>
          <t>ISCOM_PAR</t>
        </is>
      </c>
      <c r="B142" s="6" t="inlineStr">
        <is>
          <t>MAS_COM</t>
        </is>
      </c>
      <c r="C142" s="6" t="inlineStr">
        <is>
          <t>M1</t>
        </is>
      </c>
      <c r="D142" s="6" t="inlineStr">
        <is>
          <t>ALT</t>
        </is>
      </c>
      <c r="E142" s="6" t="inlineStr">
        <is>
          <t>2024</t>
        </is>
      </c>
      <c r="F142" s="6" t="inlineStr">
        <is>
          <t>2027BUD_V1</t>
        </is>
      </c>
      <c r="G142" s="6" t="n">
        <v>12</v>
      </c>
      <c r="H142" s="7" t="n">
        <v>1086</v>
      </c>
      <c r="I142" s="7" t="n">
        <v>217</v>
      </c>
      <c r="J142" s="7" t="n">
        <v>152</v>
      </c>
      <c r="K142" s="7" t="n">
        <v>64</v>
      </c>
      <c r="L142" s="7" t="n">
        <v>0</v>
      </c>
      <c r="M142" s="7" t="n">
        <v>64</v>
      </c>
      <c r="N142" s="7" t="n">
        <v>0</v>
      </c>
      <c r="O142" s="7" t="n">
        <v>3</v>
      </c>
      <c r="P142" s="7" t="n">
        <v>8400</v>
      </c>
      <c r="Q142" s="7" t="n">
        <v>90</v>
      </c>
      <c r="R142" s="7" t="n">
        <v>437</v>
      </c>
      <c r="S142" s="7" t="n">
        <v>695</v>
      </c>
      <c r="T142" s="7" t="n">
        <v>33757</v>
      </c>
      <c r="U142" s="7" t="n">
        <v>34997</v>
      </c>
      <c r="V142" s="8">
        <f>IFERROR(M142/N142,0)</f>
        <v/>
      </c>
      <c r="W142" s="8">
        <f>IFERROR(I142/H142,0)</f>
        <v/>
      </c>
      <c r="X142" s="8">
        <f>IFERROR(J142/I142,0)</f>
        <v/>
      </c>
      <c r="Y142" s="8">
        <f>IFERROR(K142/J142,0)</f>
        <v/>
      </c>
      <c r="Z142" s="9">
        <f>R142+S142</f>
        <v/>
      </c>
      <c r="AA142" s="9">
        <f>M142*P142+K142*Q142</f>
        <v/>
      </c>
    </row>
    <row r="143">
      <c r="A143" s="6" t="inlineStr">
        <is>
          <t>ISCOM_PAR</t>
        </is>
      </c>
      <c r="B143" s="6" t="inlineStr">
        <is>
          <t>MAS_COM</t>
        </is>
      </c>
      <c r="C143" s="6" t="inlineStr">
        <is>
          <t>M2</t>
        </is>
      </c>
      <c r="D143" s="6" t="inlineStr">
        <is>
          <t>ALT</t>
        </is>
      </c>
      <c r="E143" s="6" t="inlineStr">
        <is>
          <t>2024</t>
        </is>
      </c>
      <c r="F143" s="6" t="inlineStr">
        <is>
          <t>2027BUD_V1</t>
        </is>
      </c>
      <c r="G143" s="6" t="n">
        <v>12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63</v>
      </c>
      <c r="M143" s="7" t="n">
        <v>63</v>
      </c>
      <c r="N143" s="7" t="n">
        <v>64</v>
      </c>
      <c r="O143" s="7" t="n">
        <v>3</v>
      </c>
      <c r="P143" s="7" t="n">
        <v>8400</v>
      </c>
      <c r="Q143" s="7" t="n">
        <v>90</v>
      </c>
      <c r="R143" s="7" t="n">
        <v>0</v>
      </c>
      <c r="S143" s="7" t="n">
        <v>0</v>
      </c>
      <c r="T143" s="7" t="n">
        <v>0</v>
      </c>
      <c r="U143" s="7" t="n">
        <v>0</v>
      </c>
      <c r="V143" s="8">
        <f>IFERROR(M143/N143,0)</f>
        <v/>
      </c>
      <c r="W143" s="8">
        <f>IFERROR(I143/H143,0)</f>
        <v/>
      </c>
      <c r="X143" s="8">
        <f>IFERROR(J143/I143,0)</f>
        <v/>
      </c>
      <c r="Y143" s="8">
        <f>IFERROR(K143/J143,0)</f>
        <v/>
      </c>
      <c r="Z143" s="9">
        <f>R143+S143</f>
        <v/>
      </c>
      <c r="AA143" s="9">
        <f>M143*P143+K143*Q143</f>
        <v/>
      </c>
    </row>
    <row r="144">
      <c r="A144" s="6" t="inlineStr">
        <is>
          <t>ISCOM_LIL</t>
        </is>
      </c>
      <c r="B144" s="6" t="inlineStr">
        <is>
          <t>BAC_COM</t>
        </is>
      </c>
      <c r="C144" s="6" t="inlineStr">
        <is>
          <t>B1</t>
        </is>
      </c>
      <c r="D144" s="6" t="inlineStr">
        <is>
          <t>INIT</t>
        </is>
      </c>
      <c r="E144" s="6" t="inlineStr">
        <is>
          <t>2024</t>
        </is>
      </c>
      <c r="F144" s="6" t="inlineStr">
        <is>
          <t>2027BUD_V1</t>
        </is>
      </c>
      <c r="G144" s="6" t="n">
        <v>12</v>
      </c>
      <c r="H144" s="7" t="n">
        <v>366</v>
      </c>
      <c r="I144" s="7" t="n">
        <v>102</v>
      </c>
      <c r="J144" s="7" t="n">
        <v>74</v>
      </c>
      <c r="K144" s="7" t="n">
        <v>44</v>
      </c>
      <c r="L144" s="7" t="n">
        <v>0</v>
      </c>
      <c r="M144" s="7" t="n">
        <v>44</v>
      </c>
      <c r="N144" s="7" t="n">
        <v>0</v>
      </c>
      <c r="O144" s="7" t="n">
        <v>2</v>
      </c>
      <c r="P144" s="7" t="n">
        <v>7350</v>
      </c>
      <c r="Q144" s="7" t="n">
        <v>90</v>
      </c>
      <c r="R144" s="7" t="n">
        <v>194</v>
      </c>
      <c r="S144" s="7" t="n">
        <v>186</v>
      </c>
      <c r="T144" s="7" t="n">
        <v>6793</v>
      </c>
      <c r="U144" s="7" t="n">
        <v>15806</v>
      </c>
      <c r="V144" s="8">
        <f>IFERROR(M144/N144,0)</f>
        <v/>
      </c>
      <c r="W144" s="8">
        <f>IFERROR(I144/H144,0)</f>
        <v/>
      </c>
      <c r="X144" s="8">
        <f>IFERROR(J144/I144,0)</f>
        <v/>
      </c>
      <c r="Y144" s="8">
        <f>IFERROR(K144/J144,0)</f>
        <v/>
      </c>
      <c r="Z144" s="9">
        <f>R144+S144</f>
        <v/>
      </c>
      <c r="AA144" s="9">
        <f>M144*P144+K144*Q144</f>
        <v/>
      </c>
    </row>
    <row r="145">
      <c r="A145" s="6" t="inlineStr">
        <is>
          <t>ISCOM_LIL</t>
        </is>
      </c>
      <c r="B145" s="6" t="inlineStr">
        <is>
          <t>BAC_COM</t>
        </is>
      </c>
      <c r="C145" s="6" t="inlineStr">
        <is>
          <t>B2</t>
        </is>
      </c>
      <c r="D145" s="6" t="inlineStr">
        <is>
          <t>ALT</t>
        </is>
      </c>
      <c r="E145" s="6" t="inlineStr">
        <is>
          <t>2024</t>
        </is>
      </c>
      <c r="F145" s="6" t="inlineStr">
        <is>
          <t>2027BUD_V1</t>
        </is>
      </c>
      <c r="G145" s="6" t="n">
        <v>12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43</v>
      </c>
      <c r="M145" s="7" t="n">
        <v>43</v>
      </c>
      <c r="N145" s="7" t="n">
        <v>44</v>
      </c>
      <c r="O145" s="7" t="n">
        <v>2</v>
      </c>
      <c r="P145" s="7" t="n">
        <v>6860</v>
      </c>
      <c r="Q145" s="7" t="n">
        <v>90</v>
      </c>
      <c r="R145" s="7" t="n">
        <v>0</v>
      </c>
      <c r="S145" s="7" t="n">
        <v>0</v>
      </c>
      <c r="T145" s="7" t="n">
        <v>0</v>
      </c>
      <c r="U145" s="7" t="n">
        <v>0</v>
      </c>
      <c r="V145" s="8">
        <f>IFERROR(M145/N145,0)</f>
        <v/>
      </c>
      <c r="W145" s="8">
        <f>IFERROR(I145/H145,0)</f>
        <v/>
      </c>
      <c r="X145" s="8">
        <f>IFERROR(J145/I145,0)</f>
        <v/>
      </c>
      <c r="Y145" s="8">
        <f>IFERROR(K145/J145,0)</f>
        <v/>
      </c>
      <c r="Z145" s="9">
        <f>R145+S145</f>
        <v/>
      </c>
      <c r="AA145" s="9">
        <f>M145*P145+K145*Q145</f>
        <v/>
      </c>
    </row>
    <row r="146">
      <c r="A146" s="6" t="inlineStr">
        <is>
          <t>ISCOM_LIL</t>
        </is>
      </c>
      <c r="B146" s="6" t="inlineStr">
        <is>
          <t>BAC_COM</t>
        </is>
      </c>
      <c r="C146" s="6" t="inlineStr">
        <is>
          <t>B3</t>
        </is>
      </c>
      <c r="D146" s="6" t="inlineStr">
        <is>
          <t>ALT</t>
        </is>
      </c>
      <c r="E146" s="6" t="inlineStr">
        <is>
          <t>2024</t>
        </is>
      </c>
      <c r="F146" s="6" t="inlineStr">
        <is>
          <t>2027BUD_V1</t>
        </is>
      </c>
      <c r="G146" s="6" t="n">
        <v>12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42</v>
      </c>
      <c r="M146" s="7" t="n">
        <v>42</v>
      </c>
      <c r="N146" s="7" t="n">
        <v>43</v>
      </c>
      <c r="O146" s="7" t="n">
        <v>2</v>
      </c>
      <c r="P146" s="7" t="n">
        <v>6860</v>
      </c>
      <c r="Q146" s="7" t="n">
        <v>90</v>
      </c>
      <c r="R146" s="7" t="n">
        <v>0</v>
      </c>
      <c r="S146" s="7" t="n">
        <v>0</v>
      </c>
      <c r="T146" s="7" t="n">
        <v>0</v>
      </c>
      <c r="U146" s="7" t="n">
        <v>0</v>
      </c>
      <c r="V146" s="8">
        <f>IFERROR(M146/N146,0)</f>
        <v/>
      </c>
      <c r="W146" s="8">
        <f>IFERROR(I146/H146,0)</f>
        <v/>
      </c>
      <c r="X146" s="8">
        <f>IFERROR(J146/I146,0)</f>
        <v/>
      </c>
      <c r="Y146" s="8">
        <f>IFERROR(K146/J146,0)</f>
        <v/>
      </c>
      <c r="Z146" s="9">
        <f>R146+S146</f>
        <v/>
      </c>
      <c r="AA146" s="9">
        <f>M146*P146+K146*Q146</f>
        <v/>
      </c>
    </row>
    <row r="147">
      <c r="A147" s="6" t="inlineStr">
        <is>
          <t>ISCOM_LIL</t>
        </is>
      </c>
      <c r="B147" s="6" t="inlineStr">
        <is>
          <t>MAS_COM</t>
        </is>
      </c>
      <c r="C147" s="6" t="inlineStr">
        <is>
          <t>M1</t>
        </is>
      </c>
      <c r="D147" s="6" t="inlineStr">
        <is>
          <t>ALT</t>
        </is>
      </c>
      <c r="E147" s="6" t="inlineStr">
        <is>
          <t>2024</t>
        </is>
      </c>
      <c r="F147" s="6" t="inlineStr">
        <is>
          <t>2027BUD_V1</t>
        </is>
      </c>
      <c r="G147" s="6" t="n">
        <v>12</v>
      </c>
      <c r="H147" s="7" t="n">
        <v>756</v>
      </c>
      <c r="I147" s="7" t="n">
        <v>151</v>
      </c>
      <c r="J147" s="7" t="n">
        <v>106</v>
      </c>
      <c r="K147" s="7" t="n">
        <v>44</v>
      </c>
      <c r="L147" s="7" t="n">
        <v>0</v>
      </c>
      <c r="M147" s="7" t="n">
        <v>44</v>
      </c>
      <c r="N147" s="7" t="n">
        <v>0</v>
      </c>
      <c r="O147" s="7" t="n">
        <v>2</v>
      </c>
      <c r="P147" s="7" t="n">
        <v>7350</v>
      </c>
      <c r="Q147" s="7" t="n">
        <v>90</v>
      </c>
      <c r="R147" s="7" t="n">
        <v>400</v>
      </c>
      <c r="S147" s="7" t="n">
        <v>385</v>
      </c>
      <c r="T147" s="7" t="n">
        <v>14050</v>
      </c>
      <c r="U147" s="7" t="n">
        <v>32689</v>
      </c>
      <c r="V147" s="8">
        <f>IFERROR(M147/N147,0)</f>
        <v/>
      </c>
      <c r="W147" s="8">
        <f>IFERROR(I147/H147,0)</f>
        <v/>
      </c>
      <c r="X147" s="8">
        <f>IFERROR(J147/I147,0)</f>
        <v/>
      </c>
      <c r="Y147" s="8">
        <f>IFERROR(K147/J147,0)</f>
        <v/>
      </c>
      <c r="Z147" s="9">
        <f>R147+S147</f>
        <v/>
      </c>
      <c r="AA147" s="9">
        <f>M147*P147+K147*Q147</f>
        <v/>
      </c>
    </row>
    <row r="148">
      <c r="A148" s="6" t="inlineStr">
        <is>
          <t>ISCOM_LIL</t>
        </is>
      </c>
      <c r="B148" s="6" t="inlineStr">
        <is>
          <t>MAS_COM</t>
        </is>
      </c>
      <c r="C148" s="6" t="inlineStr">
        <is>
          <t>M2</t>
        </is>
      </c>
      <c r="D148" s="6" t="inlineStr">
        <is>
          <t>ALT</t>
        </is>
      </c>
      <c r="E148" s="6" t="inlineStr">
        <is>
          <t>2024</t>
        </is>
      </c>
      <c r="F148" s="6" t="inlineStr">
        <is>
          <t>2027BUD_V1</t>
        </is>
      </c>
      <c r="G148" s="6" t="n">
        <v>12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44</v>
      </c>
      <c r="M148" s="7" t="n">
        <v>44</v>
      </c>
      <c r="N148" s="7" t="n">
        <v>44</v>
      </c>
      <c r="O148" s="7" t="n">
        <v>2</v>
      </c>
      <c r="P148" s="7" t="n">
        <v>7350</v>
      </c>
      <c r="Q148" s="7" t="n">
        <v>90</v>
      </c>
      <c r="R148" s="7" t="n">
        <v>0</v>
      </c>
      <c r="S148" s="7" t="n">
        <v>0</v>
      </c>
      <c r="T148" s="7" t="n">
        <v>0</v>
      </c>
      <c r="U148" s="7" t="n">
        <v>0</v>
      </c>
      <c r="V148" s="8">
        <f>IFERROR(M148/N148,0)</f>
        <v/>
      </c>
      <c r="W148" s="8">
        <f>IFERROR(I148/H148,0)</f>
        <v/>
      </c>
      <c r="X148" s="8">
        <f>IFERROR(J148/I148,0)</f>
        <v/>
      </c>
      <c r="Y148" s="8">
        <f>IFERROR(K148/J148,0)</f>
        <v/>
      </c>
      <c r="Z148" s="9">
        <f>R148+S148</f>
        <v/>
      </c>
      <c r="AA148" s="9">
        <f>M148*P148+K148*Q148</f>
        <v/>
      </c>
    </row>
    <row r="149">
      <c r="A149" s="6" t="inlineStr">
        <is>
          <t>ISCOM_TLS</t>
        </is>
      </c>
      <c r="B149" s="6" t="inlineStr">
        <is>
          <t>BAC_COM</t>
        </is>
      </c>
      <c r="C149" s="6" t="inlineStr">
        <is>
          <t>B1</t>
        </is>
      </c>
      <c r="D149" s="6" t="inlineStr">
        <is>
          <t>INIT</t>
        </is>
      </c>
      <c r="E149" s="6" t="inlineStr">
        <is>
          <t>2024</t>
        </is>
      </c>
      <c r="F149" s="6" t="inlineStr">
        <is>
          <t>2027BUD_V1</t>
        </is>
      </c>
      <c r="G149" s="6" t="n">
        <v>12</v>
      </c>
      <c r="H149" s="7" t="n">
        <v>344</v>
      </c>
      <c r="I149" s="7" t="n">
        <v>96</v>
      </c>
      <c r="J149" s="7" t="n">
        <v>69</v>
      </c>
      <c r="K149" s="7" t="n">
        <v>42</v>
      </c>
      <c r="L149" s="7" t="n">
        <v>0</v>
      </c>
      <c r="M149" s="7" t="n">
        <v>42</v>
      </c>
      <c r="N149" s="7" t="n">
        <v>0</v>
      </c>
      <c r="O149" s="7" t="n">
        <v>2</v>
      </c>
      <c r="P149" s="7" t="n">
        <v>7200</v>
      </c>
      <c r="Q149" s="7" t="n">
        <v>90</v>
      </c>
      <c r="R149" s="7" t="n">
        <v>186</v>
      </c>
      <c r="S149" s="7" t="n">
        <v>171</v>
      </c>
      <c r="T149" s="7" t="n">
        <v>5940</v>
      </c>
      <c r="U149" s="7" t="n">
        <v>15179</v>
      </c>
      <c r="V149" s="8">
        <f>IFERROR(M149/N149,0)</f>
        <v/>
      </c>
      <c r="W149" s="8">
        <f>IFERROR(I149/H149,0)</f>
        <v/>
      </c>
      <c r="X149" s="8">
        <f>IFERROR(J149/I149,0)</f>
        <v/>
      </c>
      <c r="Y149" s="8">
        <f>IFERROR(K149/J149,0)</f>
        <v/>
      </c>
      <c r="Z149" s="9">
        <f>R149+S149</f>
        <v/>
      </c>
      <c r="AA149" s="9">
        <f>M149*P149+K149*Q149</f>
        <v/>
      </c>
    </row>
    <row r="150">
      <c r="A150" s="6" t="inlineStr">
        <is>
          <t>ISCOM_TLS</t>
        </is>
      </c>
      <c r="B150" s="6" t="inlineStr">
        <is>
          <t>BAC_COM</t>
        </is>
      </c>
      <c r="C150" s="6" t="inlineStr">
        <is>
          <t>B2</t>
        </is>
      </c>
      <c r="D150" s="6" t="inlineStr">
        <is>
          <t>ALT</t>
        </is>
      </c>
      <c r="E150" s="6" t="inlineStr">
        <is>
          <t>2024</t>
        </is>
      </c>
      <c r="F150" s="6" t="inlineStr">
        <is>
          <t>2027BUD_V1</t>
        </is>
      </c>
      <c r="G150" s="6" t="n">
        <v>12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41</v>
      </c>
      <c r="M150" s="7" t="n">
        <v>41</v>
      </c>
      <c r="N150" s="7" t="n">
        <v>42</v>
      </c>
      <c r="O150" s="7" t="n">
        <v>2</v>
      </c>
      <c r="P150" s="7" t="n">
        <v>6720</v>
      </c>
      <c r="Q150" s="7" t="n">
        <v>90</v>
      </c>
      <c r="R150" s="7" t="n">
        <v>0</v>
      </c>
      <c r="S150" s="7" t="n">
        <v>0</v>
      </c>
      <c r="T150" s="7" t="n">
        <v>0</v>
      </c>
      <c r="U150" s="7" t="n">
        <v>0</v>
      </c>
      <c r="V150" s="8">
        <f>IFERROR(M150/N150,0)</f>
        <v/>
      </c>
      <c r="W150" s="8">
        <f>IFERROR(I150/H150,0)</f>
        <v/>
      </c>
      <c r="X150" s="8">
        <f>IFERROR(J150/I150,0)</f>
        <v/>
      </c>
      <c r="Y150" s="8">
        <f>IFERROR(K150/J150,0)</f>
        <v/>
      </c>
      <c r="Z150" s="9">
        <f>R150+S150</f>
        <v/>
      </c>
      <c r="AA150" s="9">
        <f>M150*P150+K150*Q150</f>
        <v/>
      </c>
    </row>
    <row r="151">
      <c r="A151" s="6" t="inlineStr">
        <is>
          <t>ISCOM_TLS</t>
        </is>
      </c>
      <c r="B151" s="6" t="inlineStr">
        <is>
          <t>BAC_COM</t>
        </is>
      </c>
      <c r="C151" s="6" t="inlineStr">
        <is>
          <t>B3</t>
        </is>
      </c>
      <c r="D151" s="6" t="inlineStr">
        <is>
          <t>ALT</t>
        </is>
      </c>
      <c r="E151" s="6" t="inlineStr">
        <is>
          <t>2024</t>
        </is>
      </c>
      <c r="F151" s="6" t="inlineStr">
        <is>
          <t>2027BUD_V1</t>
        </is>
      </c>
      <c r="G151" s="6" t="n">
        <v>12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40</v>
      </c>
      <c r="M151" s="7" t="n">
        <v>40</v>
      </c>
      <c r="N151" s="7" t="n">
        <v>41</v>
      </c>
      <c r="O151" s="7" t="n">
        <v>2</v>
      </c>
      <c r="P151" s="7" t="n">
        <v>6720</v>
      </c>
      <c r="Q151" s="7" t="n">
        <v>90</v>
      </c>
      <c r="R151" s="7" t="n">
        <v>0</v>
      </c>
      <c r="S151" s="7" t="n">
        <v>0</v>
      </c>
      <c r="T151" s="7" t="n">
        <v>0</v>
      </c>
      <c r="U151" s="7" t="n">
        <v>0</v>
      </c>
      <c r="V151" s="8">
        <f>IFERROR(M151/N151,0)</f>
        <v/>
      </c>
      <c r="W151" s="8">
        <f>IFERROR(I151/H151,0)</f>
        <v/>
      </c>
      <c r="X151" s="8">
        <f>IFERROR(J151/I151,0)</f>
        <v/>
      </c>
      <c r="Y151" s="8">
        <f>IFERROR(K151/J151,0)</f>
        <v/>
      </c>
      <c r="Z151" s="9">
        <f>R151+S151</f>
        <v/>
      </c>
      <c r="AA151" s="9">
        <f>M151*P151+K151*Q151</f>
        <v/>
      </c>
    </row>
    <row r="152">
      <c r="A152" s="6" t="inlineStr">
        <is>
          <t>ISCOM_TLS</t>
        </is>
      </c>
      <c r="B152" s="6" t="inlineStr">
        <is>
          <t>MAS_COM</t>
        </is>
      </c>
      <c r="C152" s="6" t="inlineStr">
        <is>
          <t>M1</t>
        </is>
      </c>
      <c r="D152" s="6" t="inlineStr">
        <is>
          <t>ALT</t>
        </is>
      </c>
      <c r="E152" s="6" t="inlineStr">
        <is>
          <t>2024</t>
        </is>
      </c>
      <c r="F152" s="6" t="inlineStr">
        <is>
          <t>2027BUD_V1</t>
        </is>
      </c>
      <c r="G152" s="6" t="n">
        <v>12</v>
      </c>
      <c r="H152" s="7" t="n">
        <v>712</v>
      </c>
      <c r="I152" s="7" t="n">
        <v>142</v>
      </c>
      <c r="J152" s="7" t="n">
        <v>100</v>
      </c>
      <c r="K152" s="7" t="n">
        <v>42</v>
      </c>
      <c r="L152" s="7" t="n">
        <v>0</v>
      </c>
      <c r="M152" s="7" t="n">
        <v>42</v>
      </c>
      <c r="N152" s="7" t="n">
        <v>0</v>
      </c>
      <c r="O152" s="7" t="n">
        <v>2</v>
      </c>
      <c r="P152" s="7" t="n">
        <v>7200</v>
      </c>
      <c r="Q152" s="7" t="n">
        <v>90</v>
      </c>
      <c r="R152" s="7" t="n">
        <v>384</v>
      </c>
      <c r="S152" s="7" t="n">
        <v>355</v>
      </c>
      <c r="T152" s="7" t="n">
        <v>12311</v>
      </c>
      <c r="U152" s="7" t="n">
        <v>31458</v>
      </c>
      <c r="V152" s="8">
        <f>IFERROR(M152/N152,0)</f>
        <v/>
      </c>
      <c r="W152" s="8">
        <f>IFERROR(I152/H152,0)</f>
        <v/>
      </c>
      <c r="X152" s="8">
        <f>IFERROR(J152/I152,0)</f>
        <v/>
      </c>
      <c r="Y152" s="8">
        <f>IFERROR(K152/J152,0)</f>
        <v/>
      </c>
      <c r="Z152" s="9">
        <f>R152+S152</f>
        <v/>
      </c>
      <c r="AA152" s="9">
        <f>M152*P152+K152*Q152</f>
        <v/>
      </c>
    </row>
    <row r="153">
      <c r="A153" s="6" t="inlineStr">
        <is>
          <t>ISCOM_TLS</t>
        </is>
      </c>
      <c r="B153" s="6" t="inlineStr">
        <is>
          <t>MAS_COM</t>
        </is>
      </c>
      <c r="C153" s="6" t="inlineStr">
        <is>
          <t>M2</t>
        </is>
      </c>
      <c r="D153" s="6" t="inlineStr">
        <is>
          <t>ALT</t>
        </is>
      </c>
      <c r="E153" s="6" t="inlineStr">
        <is>
          <t>2024</t>
        </is>
      </c>
      <c r="F153" s="6" t="inlineStr">
        <is>
          <t>2027BUD_V1</t>
        </is>
      </c>
      <c r="G153" s="6" t="n">
        <v>12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41</v>
      </c>
      <c r="M153" s="7" t="n">
        <v>41</v>
      </c>
      <c r="N153" s="7" t="n">
        <v>42</v>
      </c>
      <c r="O153" s="7" t="n">
        <v>2</v>
      </c>
      <c r="P153" s="7" t="n">
        <v>7200</v>
      </c>
      <c r="Q153" s="7" t="n">
        <v>90</v>
      </c>
      <c r="R153" s="7" t="n">
        <v>0</v>
      </c>
      <c r="S153" s="7" t="n">
        <v>0</v>
      </c>
      <c r="T153" s="7" t="n">
        <v>0</v>
      </c>
      <c r="U153" s="7" t="n">
        <v>0</v>
      </c>
      <c r="V153" s="8">
        <f>IFERROR(M153/N153,0)</f>
        <v/>
      </c>
      <c r="W153" s="8">
        <f>IFERROR(I153/H153,0)</f>
        <v/>
      </c>
      <c r="X153" s="8">
        <f>IFERROR(J153/I153,0)</f>
        <v/>
      </c>
      <c r="Y153" s="8">
        <f>IFERROR(K153/J153,0)</f>
        <v/>
      </c>
      <c r="Z153" s="9">
        <f>R153+S153</f>
        <v/>
      </c>
      <c r="AA153" s="9">
        <f>M153*P153+K153*Q153</f>
        <v/>
      </c>
    </row>
    <row r="154">
      <c r="A154" s="6" t="inlineStr">
        <is>
          <t>IPAC_NAN</t>
        </is>
      </c>
      <c r="B154" s="6" t="inlineStr">
        <is>
          <t>BAC_CCE</t>
        </is>
      </c>
      <c r="C154" s="6" t="inlineStr">
        <is>
          <t>B1</t>
        </is>
      </c>
      <c r="D154" s="6" t="inlineStr">
        <is>
          <t>ALT</t>
        </is>
      </c>
      <c r="E154" s="6" t="inlineStr">
        <is>
          <t>2024</t>
        </is>
      </c>
      <c r="F154" s="6" t="inlineStr">
        <is>
          <t>2027BUD_V1</t>
        </is>
      </c>
      <c r="G154" s="6" t="n">
        <v>12</v>
      </c>
      <c r="H154" s="7" t="n">
        <v>756</v>
      </c>
      <c r="I154" s="7" t="n">
        <v>151</v>
      </c>
      <c r="J154" s="7" t="n">
        <v>106</v>
      </c>
      <c r="K154" s="7" t="n">
        <v>44</v>
      </c>
      <c r="L154" s="7" t="n">
        <v>0</v>
      </c>
      <c r="M154" s="7" t="n">
        <v>44</v>
      </c>
      <c r="N154" s="7" t="n">
        <v>0</v>
      </c>
      <c r="O154" s="7" t="n">
        <v>2</v>
      </c>
      <c r="P154" s="7" t="n">
        <v>7000</v>
      </c>
      <c r="Q154" s="7" t="n">
        <v>90</v>
      </c>
      <c r="R154" s="7" t="n">
        <v>258</v>
      </c>
      <c r="S154" s="7" t="n">
        <v>489</v>
      </c>
      <c r="T154" s="7" t="n">
        <v>17983</v>
      </c>
      <c r="U154" s="7" t="n">
        <v>15937</v>
      </c>
      <c r="V154" s="8">
        <f>IFERROR(M154/N154,0)</f>
        <v/>
      </c>
      <c r="W154" s="8">
        <f>IFERROR(I154/H154,0)</f>
        <v/>
      </c>
      <c r="X154" s="8">
        <f>IFERROR(J154/I154,0)</f>
        <v/>
      </c>
      <c r="Y154" s="8">
        <f>IFERROR(K154/J154,0)</f>
        <v/>
      </c>
      <c r="Z154" s="9">
        <f>R154+S154</f>
        <v/>
      </c>
      <c r="AA154" s="9">
        <f>M154*P154+K154*Q154</f>
        <v/>
      </c>
    </row>
    <row r="155">
      <c r="A155" s="6" t="inlineStr">
        <is>
          <t>IPAC_NAN</t>
        </is>
      </c>
      <c r="B155" s="6" t="inlineStr">
        <is>
          <t>BAC_CCE</t>
        </is>
      </c>
      <c r="C155" s="6" t="inlineStr">
        <is>
          <t>B2</t>
        </is>
      </c>
      <c r="D155" s="6" t="inlineStr">
        <is>
          <t>ALT</t>
        </is>
      </c>
      <c r="E155" s="6" t="inlineStr">
        <is>
          <t>2024</t>
        </is>
      </c>
      <c r="F155" s="6" t="inlineStr">
        <is>
          <t>2027BUD_V1</t>
        </is>
      </c>
      <c r="G155" s="6" t="n">
        <v>12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43</v>
      </c>
      <c r="M155" s="7" t="n">
        <v>43</v>
      </c>
      <c r="N155" s="7" t="n">
        <v>44</v>
      </c>
      <c r="O155" s="7" t="n">
        <v>2</v>
      </c>
      <c r="P155" s="7" t="n">
        <v>7000</v>
      </c>
      <c r="Q155" s="7" t="n">
        <v>90</v>
      </c>
      <c r="R155" s="7" t="n">
        <v>0</v>
      </c>
      <c r="S155" s="7" t="n">
        <v>0</v>
      </c>
      <c r="T155" s="7" t="n">
        <v>0</v>
      </c>
      <c r="U155" s="7" t="n">
        <v>0</v>
      </c>
      <c r="V155" s="8">
        <f>IFERROR(M155/N155,0)</f>
        <v/>
      </c>
      <c r="W155" s="8">
        <f>IFERROR(I155/H155,0)</f>
        <v/>
      </c>
      <c r="X155" s="8">
        <f>IFERROR(J155/I155,0)</f>
        <v/>
      </c>
      <c r="Y155" s="8">
        <f>IFERROR(K155/J155,0)</f>
        <v/>
      </c>
      <c r="Z155" s="9">
        <f>R155+S155</f>
        <v/>
      </c>
      <c r="AA155" s="9">
        <f>M155*P155+K155*Q155</f>
        <v/>
      </c>
    </row>
    <row r="156">
      <c r="A156" s="6" t="inlineStr">
        <is>
          <t>IPAC_NAN</t>
        </is>
      </c>
      <c r="B156" s="6" t="inlineStr">
        <is>
          <t>BAC_CCE</t>
        </is>
      </c>
      <c r="C156" s="6" t="inlineStr">
        <is>
          <t>B3</t>
        </is>
      </c>
      <c r="D156" s="6" t="inlineStr">
        <is>
          <t>ALT</t>
        </is>
      </c>
      <c r="E156" s="6" t="inlineStr">
        <is>
          <t>2024</t>
        </is>
      </c>
      <c r="F156" s="6" t="inlineStr">
        <is>
          <t>2027BUD_V1</t>
        </is>
      </c>
      <c r="G156" s="6" t="n">
        <v>12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42</v>
      </c>
      <c r="M156" s="7" t="n">
        <v>42</v>
      </c>
      <c r="N156" s="7" t="n">
        <v>43</v>
      </c>
      <c r="O156" s="7" t="n">
        <v>2</v>
      </c>
      <c r="P156" s="7" t="n">
        <v>7000</v>
      </c>
      <c r="Q156" s="7" t="n">
        <v>90</v>
      </c>
      <c r="R156" s="7" t="n">
        <v>0</v>
      </c>
      <c r="S156" s="7" t="n">
        <v>0</v>
      </c>
      <c r="T156" s="7" t="n">
        <v>0</v>
      </c>
      <c r="U156" s="7" t="n">
        <v>0</v>
      </c>
      <c r="V156" s="8">
        <f>IFERROR(M156/N156,0)</f>
        <v/>
      </c>
      <c r="W156" s="8">
        <f>IFERROR(I156/H156,0)</f>
        <v/>
      </c>
      <c r="X156" s="8">
        <f>IFERROR(J156/I156,0)</f>
        <v/>
      </c>
      <c r="Y156" s="8">
        <f>IFERROR(K156/J156,0)</f>
        <v/>
      </c>
      <c r="Z156" s="9">
        <f>R156+S156</f>
        <v/>
      </c>
      <c r="AA156" s="9">
        <f>M156*P156+K156*Q156</f>
        <v/>
      </c>
    </row>
    <row r="157">
      <c r="A157" s="6" t="inlineStr">
        <is>
          <t>IPAC_REN</t>
        </is>
      </c>
      <c r="B157" s="6" t="inlineStr">
        <is>
          <t>BAC_CCE</t>
        </is>
      </c>
      <c r="C157" s="6" t="inlineStr">
        <is>
          <t>B1</t>
        </is>
      </c>
      <c r="D157" s="6" t="inlineStr">
        <is>
          <t>ALT</t>
        </is>
      </c>
      <c r="E157" s="6" t="inlineStr">
        <is>
          <t>2024</t>
        </is>
      </c>
      <c r="F157" s="6" t="inlineStr">
        <is>
          <t>2027BUD_V1</t>
        </is>
      </c>
      <c r="G157" s="6" t="n">
        <v>12</v>
      </c>
      <c r="H157" s="7" t="n">
        <v>605</v>
      </c>
      <c r="I157" s="7" t="n">
        <v>121</v>
      </c>
      <c r="J157" s="7" t="n">
        <v>85</v>
      </c>
      <c r="K157" s="7" t="n">
        <v>36</v>
      </c>
      <c r="L157" s="7" t="n">
        <v>0</v>
      </c>
      <c r="M157" s="7" t="n">
        <v>36</v>
      </c>
      <c r="N157" s="7" t="n">
        <v>0</v>
      </c>
      <c r="O157" s="7" t="n">
        <v>2</v>
      </c>
      <c r="P157" s="7" t="n">
        <v>6650</v>
      </c>
      <c r="Q157" s="7" t="n">
        <v>90</v>
      </c>
      <c r="R157" s="7" t="n">
        <v>223</v>
      </c>
      <c r="S157" s="7" t="n">
        <v>371</v>
      </c>
      <c r="T157" s="7" t="n">
        <v>12341</v>
      </c>
      <c r="U157" s="7" t="n">
        <v>14022</v>
      </c>
      <c r="V157" s="8">
        <f>IFERROR(M157/N157,0)</f>
        <v/>
      </c>
      <c r="W157" s="8">
        <f>IFERROR(I157/H157,0)</f>
        <v/>
      </c>
      <c r="X157" s="8">
        <f>IFERROR(J157/I157,0)</f>
        <v/>
      </c>
      <c r="Y157" s="8">
        <f>IFERROR(K157/J157,0)</f>
        <v/>
      </c>
      <c r="Z157" s="9">
        <f>R157+S157</f>
        <v/>
      </c>
      <c r="AA157" s="9">
        <f>M157*P157+K157*Q157</f>
        <v/>
      </c>
    </row>
    <row r="158">
      <c r="A158" s="6" t="inlineStr">
        <is>
          <t>IPAC_REN</t>
        </is>
      </c>
      <c r="B158" s="6" t="inlineStr">
        <is>
          <t>BAC_CCE</t>
        </is>
      </c>
      <c r="C158" s="6" t="inlineStr">
        <is>
          <t>B2</t>
        </is>
      </c>
      <c r="D158" s="6" t="inlineStr">
        <is>
          <t>ALT</t>
        </is>
      </c>
      <c r="E158" s="6" t="inlineStr">
        <is>
          <t>2024</t>
        </is>
      </c>
      <c r="F158" s="6" t="inlineStr">
        <is>
          <t>2027BUD_V1</t>
        </is>
      </c>
      <c r="G158" s="6" t="n">
        <v>12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35</v>
      </c>
      <c r="M158" s="7" t="n">
        <v>35</v>
      </c>
      <c r="N158" s="7" t="n">
        <v>36</v>
      </c>
      <c r="O158" s="7" t="n">
        <v>2</v>
      </c>
      <c r="P158" s="7" t="n">
        <v>6650</v>
      </c>
      <c r="Q158" s="7" t="n">
        <v>90</v>
      </c>
      <c r="R158" s="7" t="n">
        <v>0</v>
      </c>
      <c r="S158" s="7" t="n">
        <v>0</v>
      </c>
      <c r="T158" s="7" t="n">
        <v>0</v>
      </c>
      <c r="U158" s="7" t="n">
        <v>0</v>
      </c>
      <c r="V158" s="8">
        <f>IFERROR(M158/N158,0)</f>
        <v/>
      </c>
      <c r="W158" s="8">
        <f>IFERROR(I158/H158,0)</f>
        <v/>
      </c>
      <c r="X158" s="8">
        <f>IFERROR(J158/I158,0)</f>
        <v/>
      </c>
      <c r="Y158" s="8">
        <f>IFERROR(K158/J158,0)</f>
        <v/>
      </c>
      <c r="Z158" s="9">
        <f>R158+S158</f>
        <v/>
      </c>
      <c r="AA158" s="9">
        <f>M158*P158+K158*Q158</f>
        <v/>
      </c>
    </row>
    <row r="159">
      <c r="A159" s="6" t="inlineStr">
        <is>
          <t>IPAC_REN</t>
        </is>
      </c>
      <c r="B159" s="6" t="inlineStr">
        <is>
          <t>BAC_CCE</t>
        </is>
      </c>
      <c r="C159" s="6" t="inlineStr">
        <is>
          <t>B3</t>
        </is>
      </c>
      <c r="D159" s="6" t="inlineStr">
        <is>
          <t>ALT</t>
        </is>
      </c>
      <c r="E159" s="6" t="inlineStr">
        <is>
          <t>2024</t>
        </is>
      </c>
      <c r="F159" s="6" t="inlineStr">
        <is>
          <t>2027BUD_V1</t>
        </is>
      </c>
      <c r="G159" s="6" t="n">
        <v>12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34</v>
      </c>
      <c r="M159" s="7" t="n">
        <v>34</v>
      </c>
      <c r="N159" s="7" t="n">
        <v>35</v>
      </c>
      <c r="O159" s="7" t="n">
        <v>2</v>
      </c>
      <c r="P159" s="7" t="n">
        <v>6650</v>
      </c>
      <c r="Q159" s="7" t="n">
        <v>90</v>
      </c>
      <c r="R159" s="7" t="n">
        <v>0</v>
      </c>
      <c r="S159" s="7" t="n">
        <v>0</v>
      </c>
      <c r="T159" s="7" t="n">
        <v>0</v>
      </c>
      <c r="U159" s="7" t="n">
        <v>0</v>
      </c>
      <c r="V159" s="8">
        <f>IFERROR(M159/N159,0)</f>
        <v/>
      </c>
      <c r="W159" s="8">
        <f>IFERROR(I159/H159,0)</f>
        <v/>
      </c>
      <c r="X159" s="8">
        <f>IFERROR(J159/I159,0)</f>
        <v/>
      </c>
      <c r="Y159" s="8">
        <f>IFERROR(K159/J159,0)</f>
        <v/>
      </c>
      <c r="Z159" s="9">
        <f>R159+S159</f>
        <v/>
      </c>
      <c r="AA159" s="9">
        <f>M159*P159+K159*Q159</f>
        <v/>
      </c>
    </row>
    <row r="160">
      <c r="A160" s="6" t="inlineStr">
        <is>
          <t>IPAC_MTP</t>
        </is>
      </c>
      <c r="B160" s="6" t="inlineStr">
        <is>
          <t>BAC_CCE</t>
        </is>
      </c>
      <c r="C160" s="6" t="inlineStr">
        <is>
          <t>B1</t>
        </is>
      </c>
      <c r="D160" s="6" t="inlineStr">
        <is>
          <t>ALT</t>
        </is>
      </c>
      <c r="E160" s="6" t="inlineStr">
        <is>
          <t>2024</t>
        </is>
      </c>
      <c r="F160" s="6" t="inlineStr">
        <is>
          <t>2027BUD_V1</t>
        </is>
      </c>
      <c r="G160" s="6" t="n">
        <v>12</v>
      </c>
      <c r="H160" s="7" t="n">
        <v>605</v>
      </c>
      <c r="I160" s="7" t="n">
        <v>121</v>
      </c>
      <c r="J160" s="7" t="n">
        <v>85</v>
      </c>
      <c r="K160" s="7" t="n">
        <v>36</v>
      </c>
      <c r="L160" s="7" t="n">
        <v>0</v>
      </c>
      <c r="M160" s="7" t="n">
        <v>36</v>
      </c>
      <c r="N160" s="7" t="n">
        <v>0</v>
      </c>
      <c r="O160" s="7" t="n">
        <v>2</v>
      </c>
      <c r="P160" s="7" t="n">
        <v>6650</v>
      </c>
      <c r="Q160" s="7" t="n">
        <v>90</v>
      </c>
      <c r="R160" s="7" t="n">
        <v>217</v>
      </c>
      <c r="S160" s="7" t="n">
        <v>377</v>
      </c>
      <c r="T160" s="7" t="n">
        <v>12543</v>
      </c>
      <c r="U160" s="7" t="n">
        <v>13581</v>
      </c>
      <c r="V160" s="8">
        <f>IFERROR(M160/N160,0)</f>
        <v/>
      </c>
      <c r="W160" s="8">
        <f>IFERROR(I160/H160,0)</f>
        <v/>
      </c>
      <c r="X160" s="8">
        <f>IFERROR(J160/I160,0)</f>
        <v/>
      </c>
      <c r="Y160" s="8">
        <f>IFERROR(K160/J160,0)</f>
        <v/>
      </c>
      <c r="Z160" s="9">
        <f>R160+S160</f>
        <v/>
      </c>
      <c r="AA160" s="9">
        <f>M160*P160+K160*Q160</f>
        <v/>
      </c>
    </row>
    <row r="161">
      <c r="A161" s="6" t="inlineStr">
        <is>
          <t>IPAC_MTP</t>
        </is>
      </c>
      <c r="B161" s="6" t="inlineStr">
        <is>
          <t>BAC_CCE</t>
        </is>
      </c>
      <c r="C161" s="6" t="inlineStr">
        <is>
          <t>B2</t>
        </is>
      </c>
      <c r="D161" s="6" t="inlineStr">
        <is>
          <t>ALT</t>
        </is>
      </c>
      <c r="E161" s="6" t="inlineStr">
        <is>
          <t>2024</t>
        </is>
      </c>
      <c r="F161" s="6" t="inlineStr">
        <is>
          <t>2027BUD_V1</t>
        </is>
      </c>
      <c r="G161" s="6" t="n">
        <v>12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35</v>
      </c>
      <c r="M161" s="7" t="n">
        <v>35</v>
      </c>
      <c r="N161" s="7" t="n">
        <v>36</v>
      </c>
      <c r="O161" s="7" t="n">
        <v>2</v>
      </c>
      <c r="P161" s="7" t="n">
        <v>6650</v>
      </c>
      <c r="Q161" s="7" t="n">
        <v>90</v>
      </c>
      <c r="R161" s="7" t="n">
        <v>0</v>
      </c>
      <c r="S161" s="7" t="n">
        <v>0</v>
      </c>
      <c r="T161" s="7" t="n">
        <v>0</v>
      </c>
      <c r="U161" s="7" t="n">
        <v>0</v>
      </c>
      <c r="V161" s="8">
        <f>IFERROR(M161/N161,0)</f>
        <v/>
      </c>
      <c r="W161" s="8">
        <f>IFERROR(I161/H161,0)</f>
        <v/>
      </c>
      <c r="X161" s="8">
        <f>IFERROR(J161/I161,0)</f>
        <v/>
      </c>
      <c r="Y161" s="8">
        <f>IFERROR(K161/J161,0)</f>
        <v/>
      </c>
      <c r="Z161" s="9">
        <f>R161+S161</f>
        <v/>
      </c>
      <c r="AA161" s="9">
        <f>M161*P161+K161*Q161</f>
        <v/>
      </c>
    </row>
    <row r="162">
      <c r="A162" s="6" t="inlineStr">
        <is>
          <t>IPAC_MTP</t>
        </is>
      </c>
      <c r="B162" s="6" t="inlineStr">
        <is>
          <t>BAC_CCE</t>
        </is>
      </c>
      <c r="C162" s="6" t="inlineStr">
        <is>
          <t>B3</t>
        </is>
      </c>
      <c r="D162" s="6" t="inlineStr">
        <is>
          <t>ALT</t>
        </is>
      </c>
      <c r="E162" s="6" t="inlineStr">
        <is>
          <t>2024</t>
        </is>
      </c>
      <c r="F162" s="6" t="inlineStr">
        <is>
          <t>2027BUD_V1</t>
        </is>
      </c>
      <c r="G162" s="6" t="n">
        <v>12</v>
      </c>
      <c r="H162" s="7" t="n">
        <v>0</v>
      </c>
      <c r="I162" s="7" t="n">
        <v>0</v>
      </c>
      <c r="J162" s="7" t="n">
        <v>0</v>
      </c>
      <c r="K162" s="7" t="n">
        <v>0</v>
      </c>
      <c r="L162" s="7" t="n">
        <v>34</v>
      </c>
      <c r="M162" s="7" t="n">
        <v>34</v>
      </c>
      <c r="N162" s="7" t="n">
        <v>35</v>
      </c>
      <c r="O162" s="7" t="n">
        <v>2</v>
      </c>
      <c r="P162" s="7" t="n">
        <v>6650</v>
      </c>
      <c r="Q162" s="7" t="n">
        <v>90</v>
      </c>
      <c r="R162" s="7" t="n">
        <v>0</v>
      </c>
      <c r="S162" s="7" t="n">
        <v>0</v>
      </c>
      <c r="T162" s="7" t="n">
        <v>0</v>
      </c>
      <c r="U162" s="7" t="n">
        <v>0</v>
      </c>
      <c r="V162" s="8">
        <f>IFERROR(M162/N162,0)</f>
        <v/>
      </c>
      <c r="W162" s="8">
        <f>IFERROR(I162/H162,0)</f>
        <v/>
      </c>
      <c r="X162" s="8">
        <f>IFERROR(J162/I162,0)</f>
        <v/>
      </c>
      <c r="Y162" s="8">
        <f>IFERROR(K162/J162,0)</f>
        <v/>
      </c>
      <c r="Z162" s="9">
        <f>R162+S162</f>
        <v/>
      </c>
      <c r="AA162" s="9">
        <f>M162*P162+K162*Q162</f>
        <v/>
      </c>
    </row>
    <row r="163">
      <c r="A163" s="6" t="inlineStr">
        <is>
          <t>PIGIER_LYO</t>
        </is>
      </c>
      <c r="B163" s="6" t="inlineStr">
        <is>
          <t>BTS_GES</t>
        </is>
      </c>
      <c r="C163" s="6" t="inlineStr">
        <is>
          <t>BTS1</t>
        </is>
      </c>
      <c r="D163" s="6" t="inlineStr">
        <is>
          <t>ALT</t>
        </is>
      </c>
      <c r="E163" s="6" t="inlineStr">
        <is>
          <t>2024</t>
        </is>
      </c>
      <c r="F163" s="6" t="inlineStr">
        <is>
          <t>2027BUD_V1</t>
        </is>
      </c>
      <c r="G163" s="6" t="n">
        <v>12</v>
      </c>
      <c r="H163" s="7" t="n">
        <v>699</v>
      </c>
      <c r="I163" s="7" t="n">
        <v>140</v>
      </c>
      <c r="J163" s="7" t="n">
        <v>98</v>
      </c>
      <c r="K163" s="7" t="n">
        <v>41</v>
      </c>
      <c r="L163" s="7" t="n">
        <v>0</v>
      </c>
      <c r="M163" s="7" t="n">
        <v>41</v>
      </c>
      <c r="N163" s="7" t="n">
        <v>0</v>
      </c>
      <c r="O163" s="7" t="n">
        <v>2</v>
      </c>
      <c r="P163" s="7" t="n">
        <v>6300</v>
      </c>
      <c r="Q163" s="7" t="n">
        <v>90</v>
      </c>
      <c r="R163" s="7" t="n">
        <v>341</v>
      </c>
      <c r="S163" s="7" t="n">
        <v>382</v>
      </c>
      <c r="T163" s="7" t="n">
        <v>15129</v>
      </c>
      <c r="U163" s="7" t="n">
        <v>26720</v>
      </c>
      <c r="V163" s="8">
        <f>IFERROR(M163/N163,0)</f>
        <v/>
      </c>
      <c r="W163" s="8">
        <f>IFERROR(I163/H163,0)</f>
        <v/>
      </c>
      <c r="X163" s="8">
        <f>IFERROR(J163/I163,0)</f>
        <v/>
      </c>
      <c r="Y163" s="8">
        <f>IFERROR(K163/J163,0)</f>
        <v/>
      </c>
      <c r="Z163" s="9">
        <f>R163+S163</f>
        <v/>
      </c>
      <c r="AA163" s="9">
        <f>M163*P163+K163*Q163</f>
        <v/>
      </c>
    </row>
    <row r="164">
      <c r="A164" s="6" t="inlineStr">
        <is>
          <t>PIGIER_LYO</t>
        </is>
      </c>
      <c r="B164" s="6" t="inlineStr">
        <is>
          <t>BTS_GES</t>
        </is>
      </c>
      <c r="C164" s="6" t="inlineStr">
        <is>
          <t>BTS2</t>
        </is>
      </c>
      <c r="D164" s="6" t="inlineStr">
        <is>
          <t>ALT</t>
        </is>
      </c>
      <c r="E164" s="6" t="inlineStr">
        <is>
          <t>2024</t>
        </is>
      </c>
      <c r="F164" s="6" t="inlineStr">
        <is>
          <t>2027BUD_V1</t>
        </is>
      </c>
      <c r="G164" s="6" t="n">
        <v>12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40</v>
      </c>
      <c r="M164" s="7" t="n">
        <v>40</v>
      </c>
      <c r="N164" s="7" t="n">
        <v>41</v>
      </c>
      <c r="O164" s="7" t="n">
        <v>2</v>
      </c>
      <c r="P164" s="7" t="n">
        <v>6300</v>
      </c>
      <c r="Q164" s="7" t="n">
        <v>90</v>
      </c>
      <c r="R164" s="7" t="n">
        <v>0</v>
      </c>
      <c r="S164" s="7" t="n">
        <v>0</v>
      </c>
      <c r="T164" s="7" t="n">
        <v>0</v>
      </c>
      <c r="U164" s="7" t="n">
        <v>0</v>
      </c>
      <c r="V164" s="8">
        <f>IFERROR(M164/N164,0)</f>
        <v/>
      </c>
      <c r="W164" s="8">
        <f>IFERROR(I164/H164,0)</f>
        <v/>
      </c>
      <c r="X164" s="8">
        <f>IFERROR(J164/I164,0)</f>
        <v/>
      </c>
      <c r="Y164" s="8">
        <f>IFERROR(K164/J164,0)</f>
        <v/>
      </c>
      <c r="Z164" s="9">
        <f>R164+S164</f>
        <v/>
      </c>
      <c r="AA164" s="9">
        <f>M164*P164+K164*Q164</f>
        <v/>
      </c>
    </row>
    <row r="165">
      <c r="A165" s="6" t="inlineStr">
        <is>
          <t>PIGIER_LYO</t>
        </is>
      </c>
      <c r="B165" s="6" t="inlineStr">
        <is>
          <t>BAC_RH</t>
        </is>
      </c>
      <c r="C165" s="6" t="inlineStr">
        <is>
          <t>B1</t>
        </is>
      </c>
      <c r="D165" s="6" t="inlineStr">
        <is>
          <t>ALT</t>
        </is>
      </c>
      <c r="E165" s="6" t="inlineStr">
        <is>
          <t>2024</t>
        </is>
      </c>
      <c r="F165" s="6" t="inlineStr">
        <is>
          <t>2027BUD_V1</t>
        </is>
      </c>
      <c r="G165" s="6" t="n">
        <v>12</v>
      </c>
      <c r="H165" s="7" t="n">
        <v>699</v>
      </c>
      <c r="I165" s="7" t="n">
        <v>140</v>
      </c>
      <c r="J165" s="7" t="n">
        <v>98</v>
      </c>
      <c r="K165" s="7" t="n">
        <v>41</v>
      </c>
      <c r="L165" s="7" t="n">
        <v>0</v>
      </c>
      <c r="M165" s="7" t="n">
        <v>41</v>
      </c>
      <c r="N165" s="7" t="n">
        <v>0</v>
      </c>
      <c r="O165" s="7" t="n">
        <v>2</v>
      </c>
      <c r="P165" s="7" t="n">
        <v>7350</v>
      </c>
      <c r="Q165" s="7" t="n">
        <v>90</v>
      </c>
      <c r="R165" s="7" t="n">
        <v>341</v>
      </c>
      <c r="S165" s="7" t="n">
        <v>383</v>
      </c>
      <c r="T165" s="7" t="n">
        <v>15129</v>
      </c>
      <c r="U165" s="7" t="n">
        <v>26719</v>
      </c>
      <c r="V165" s="8">
        <f>IFERROR(M165/N165,0)</f>
        <v/>
      </c>
      <c r="W165" s="8">
        <f>IFERROR(I165/H165,0)</f>
        <v/>
      </c>
      <c r="X165" s="8">
        <f>IFERROR(J165/I165,0)</f>
        <v/>
      </c>
      <c r="Y165" s="8">
        <f>IFERROR(K165/J165,0)</f>
        <v/>
      </c>
      <c r="Z165" s="9">
        <f>R165+S165</f>
        <v/>
      </c>
      <c r="AA165" s="9">
        <f>M165*P165+K165*Q165</f>
        <v/>
      </c>
    </row>
    <row r="166">
      <c r="A166" s="6" t="inlineStr">
        <is>
          <t>PIGIER_LYO</t>
        </is>
      </c>
      <c r="B166" s="6" t="inlineStr">
        <is>
          <t>BAC_RH</t>
        </is>
      </c>
      <c r="C166" s="6" t="inlineStr">
        <is>
          <t>B3</t>
        </is>
      </c>
      <c r="D166" s="6" t="inlineStr">
        <is>
          <t>ALT</t>
        </is>
      </c>
      <c r="E166" s="6" t="inlineStr">
        <is>
          <t>2024</t>
        </is>
      </c>
      <c r="F166" s="6" t="inlineStr">
        <is>
          <t>2027BUD_V1</t>
        </is>
      </c>
      <c r="G166" s="6" t="n">
        <v>12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40</v>
      </c>
      <c r="M166" s="7" t="n">
        <v>40</v>
      </c>
      <c r="N166" s="7" t="n">
        <v>41</v>
      </c>
      <c r="O166" s="7" t="n">
        <v>2</v>
      </c>
      <c r="P166" s="7" t="n">
        <v>7350</v>
      </c>
      <c r="Q166" s="7" t="n">
        <v>90</v>
      </c>
      <c r="R166" s="7" t="n">
        <v>0</v>
      </c>
      <c r="S166" s="7" t="n">
        <v>0</v>
      </c>
      <c r="T166" s="7" t="n">
        <v>0</v>
      </c>
      <c r="U166" s="7" t="n">
        <v>0</v>
      </c>
      <c r="V166" s="8">
        <f>IFERROR(M166/N166,0)</f>
        <v/>
      </c>
      <c r="W166" s="8">
        <f>IFERROR(I166/H166,0)</f>
        <v/>
      </c>
      <c r="X166" s="8">
        <f>IFERROR(J166/I166,0)</f>
        <v/>
      </c>
      <c r="Y166" s="8">
        <f>IFERROR(K166/J166,0)</f>
        <v/>
      </c>
      <c r="Z166" s="9">
        <f>R166+S166</f>
        <v/>
      </c>
      <c r="AA166" s="9">
        <f>M166*P166+K166*Q166</f>
        <v/>
      </c>
    </row>
    <row r="167">
      <c r="A167" s="6" t="inlineStr">
        <is>
          <t>PIGIER_BOR</t>
        </is>
      </c>
      <c r="B167" s="6" t="inlineStr">
        <is>
          <t>BTS_GES</t>
        </is>
      </c>
      <c r="C167" s="6" t="inlineStr">
        <is>
          <t>BTS1</t>
        </is>
      </c>
      <c r="D167" s="6" t="inlineStr">
        <is>
          <t>ALT</t>
        </is>
      </c>
      <c r="E167" s="6" t="inlineStr">
        <is>
          <t>2024</t>
        </is>
      </c>
      <c r="F167" s="6" t="inlineStr">
        <is>
          <t>2027BUD_V1</t>
        </is>
      </c>
      <c r="G167" s="6" t="n">
        <v>12</v>
      </c>
      <c r="H167" s="7" t="n">
        <v>547</v>
      </c>
      <c r="I167" s="7" t="n">
        <v>109</v>
      </c>
      <c r="J167" s="7" t="n">
        <v>77</v>
      </c>
      <c r="K167" s="7" t="n">
        <v>32</v>
      </c>
      <c r="L167" s="7" t="n">
        <v>0</v>
      </c>
      <c r="M167" s="7" t="n">
        <v>32</v>
      </c>
      <c r="N167" s="7" t="n">
        <v>0</v>
      </c>
      <c r="O167" s="7" t="n">
        <v>2</v>
      </c>
      <c r="P167" s="7" t="n">
        <v>5820</v>
      </c>
      <c r="Q167" s="7" t="n">
        <v>90</v>
      </c>
      <c r="R167" s="7" t="n">
        <v>302</v>
      </c>
      <c r="S167" s="7" t="n">
        <v>264</v>
      </c>
      <c r="T167" s="7" t="n">
        <v>9078</v>
      </c>
      <c r="U167" s="7" t="n">
        <v>23880</v>
      </c>
      <c r="V167" s="8">
        <f>IFERROR(M167/N167,0)</f>
        <v/>
      </c>
      <c r="W167" s="8">
        <f>IFERROR(I167/H167,0)</f>
        <v/>
      </c>
      <c r="X167" s="8">
        <f>IFERROR(J167/I167,0)</f>
        <v/>
      </c>
      <c r="Y167" s="8">
        <f>IFERROR(K167/J167,0)</f>
        <v/>
      </c>
      <c r="Z167" s="9">
        <f>R167+S167</f>
        <v/>
      </c>
      <c r="AA167" s="9">
        <f>M167*P167+K167*Q167</f>
        <v/>
      </c>
    </row>
    <row r="168">
      <c r="A168" s="6" t="inlineStr">
        <is>
          <t>PIGIER_BOR</t>
        </is>
      </c>
      <c r="B168" s="6" t="inlineStr">
        <is>
          <t>BTS_GES</t>
        </is>
      </c>
      <c r="C168" s="6" t="inlineStr">
        <is>
          <t>BTS2</t>
        </is>
      </c>
      <c r="D168" s="6" t="inlineStr">
        <is>
          <t>ALT</t>
        </is>
      </c>
      <c r="E168" s="6" t="inlineStr">
        <is>
          <t>2024</t>
        </is>
      </c>
      <c r="F168" s="6" t="inlineStr">
        <is>
          <t>2027BUD_V1</t>
        </is>
      </c>
      <c r="G168" s="6" t="n">
        <v>12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31</v>
      </c>
      <c r="M168" s="7" t="n">
        <v>31</v>
      </c>
      <c r="N168" s="7" t="n">
        <v>32</v>
      </c>
      <c r="O168" s="7" t="n">
        <v>2</v>
      </c>
      <c r="P168" s="7" t="n">
        <v>5820</v>
      </c>
      <c r="Q168" s="7" t="n">
        <v>90</v>
      </c>
      <c r="R168" s="7" t="n">
        <v>0</v>
      </c>
      <c r="S168" s="7" t="n">
        <v>0</v>
      </c>
      <c r="T168" s="7" t="n">
        <v>0</v>
      </c>
      <c r="U168" s="7" t="n">
        <v>0</v>
      </c>
      <c r="V168" s="8">
        <f>IFERROR(M168/N168,0)</f>
        <v/>
      </c>
      <c r="W168" s="8">
        <f>IFERROR(I168/H168,0)</f>
        <v/>
      </c>
      <c r="X168" s="8">
        <f>IFERROR(J168/I168,0)</f>
        <v/>
      </c>
      <c r="Y168" s="8">
        <f>IFERROR(K168/J168,0)</f>
        <v/>
      </c>
      <c r="Z168" s="9">
        <f>R168+S168</f>
        <v/>
      </c>
      <c r="AA168" s="9">
        <f>M168*P168+K168*Q168</f>
        <v/>
      </c>
    </row>
    <row r="169">
      <c r="A169" s="6" t="inlineStr">
        <is>
          <t>PIGIER_BOR</t>
        </is>
      </c>
      <c r="B169" s="6" t="inlineStr">
        <is>
          <t>BAC_RH</t>
        </is>
      </c>
      <c r="C169" s="6" t="inlineStr">
        <is>
          <t>B1</t>
        </is>
      </c>
      <c r="D169" s="6" t="inlineStr">
        <is>
          <t>ALT</t>
        </is>
      </c>
      <c r="E169" s="6" t="inlineStr">
        <is>
          <t>2024</t>
        </is>
      </c>
      <c r="F169" s="6" t="inlineStr">
        <is>
          <t>2027BUD_V1</t>
        </is>
      </c>
      <c r="G169" s="6" t="n">
        <v>12</v>
      </c>
      <c r="H169" s="7" t="n">
        <v>547</v>
      </c>
      <c r="I169" s="7" t="n">
        <v>109</v>
      </c>
      <c r="J169" s="7" t="n">
        <v>77</v>
      </c>
      <c r="K169" s="7" t="n">
        <v>32</v>
      </c>
      <c r="L169" s="7" t="n">
        <v>0</v>
      </c>
      <c r="M169" s="7" t="n">
        <v>32</v>
      </c>
      <c r="N169" s="7" t="n">
        <v>0</v>
      </c>
      <c r="O169" s="7" t="n">
        <v>2</v>
      </c>
      <c r="P169" s="7" t="n">
        <v>6790</v>
      </c>
      <c r="Q169" s="7" t="n">
        <v>90</v>
      </c>
      <c r="R169" s="7" t="n">
        <v>301</v>
      </c>
      <c r="S169" s="7" t="n">
        <v>264</v>
      </c>
      <c r="T169" s="7" t="n">
        <v>9077</v>
      </c>
      <c r="U169" s="7" t="n">
        <v>23880</v>
      </c>
      <c r="V169" s="8">
        <f>IFERROR(M169/N169,0)</f>
        <v/>
      </c>
      <c r="W169" s="8">
        <f>IFERROR(I169/H169,0)</f>
        <v/>
      </c>
      <c r="X169" s="8">
        <f>IFERROR(J169/I169,0)</f>
        <v/>
      </c>
      <c r="Y169" s="8">
        <f>IFERROR(K169/J169,0)</f>
        <v/>
      </c>
      <c r="Z169" s="9">
        <f>R169+S169</f>
        <v/>
      </c>
      <c r="AA169" s="9">
        <f>M169*P169+K169*Q169</f>
        <v/>
      </c>
    </row>
    <row r="170">
      <c r="A170" s="6" t="inlineStr">
        <is>
          <t>PIGIER_BOR</t>
        </is>
      </c>
      <c r="B170" s="6" t="inlineStr">
        <is>
          <t>BAC_RH</t>
        </is>
      </c>
      <c r="C170" s="6" t="inlineStr">
        <is>
          <t>B3</t>
        </is>
      </c>
      <c r="D170" s="6" t="inlineStr">
        <is>
          <t>ALT</t>
        </is>
      </c>
      <c r="E170" s="6" t="inlineStr">
        <is>
          <t>2024</t>
        </is>
      </c>
      <c r="F170" s="6" t="inlineStr">
        <is>
          <t>2027BUD_V1</t>
        </is>
      </c>
      <c r="G170" s="6" t="n">
        <v>12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31</v>
      </c>
      <c r="M170" s="7" t="n">
        <v>31</v>
      </c>
      <c r="N170" s="7" t="n">
        <v>32</v>
      </c>
      <c r="O170" s="7" t="n">
        <v>2</v>
      </c>
      <c r="P170" s="7" t="n">
        <v>6790</v>
      </c>
      <c r="Q170" s="7" t="n">
        <v>90</v>
      </c>
      <c r="R170" s="7" t="n">
        <v>0</v>
      </c>
      <c r="S170" s="7" t="n">
        <v>0</v>
      </c>
      <c r="T170" s="7" t="n">
        <v>0</v>
      </c>
      <c r="U170" s="7" t="n">
        <v>0</v>
      </c>
      <c r="V170" s="8">
        <f>IFERROR(M170/N170,0)</f>
        <v/>
      </c>
      <c r="W170" s="8">
        <f>IFERROR(I170/H170,0)</f>
        <v/>
      </c>
      <c r="X170" s="8">
        <f>IFERROR(J170/I170,0)</f>
        <v/>
      </c>
      <c r="Y170" s="8">
        <f>IFERROR(K170/J170,0)</f>
        <v/>
      </c>
      <c r="Z170" s="9">
        <f>R170+S170</f>
        <v/>
      </c>
      <c r="AA170" s="9">
        <f>M170*P170+K170*Q170</f>
        <v/>
      </c>
    </row>
    <row r="171">
      <c r="A171" s="6" t="inlineStr">
        <is>
          <t>TUNON_PAR</t>
        </is>
      </c>
      <c r="B171" s="6" t="inlineStr">
        <is>
          <t>BAC_TOU</t>
        </is>
      </c>
      <c r="C171" s="6" t="inlineStr">
        <is>
          <t>B1</t>
        </is>
      </c>
      <c r="D171" s="6" t="inlineStr">
        <is>
          <t>ALT</t>
        </is>
      </c>
      <c r="E171" s="6" t="inlineStr">
        <is>
          <t>2024</t>
        </is>
      </c>
      <c r="F171" s="6" t="inlineStr">
        <is>
          <t>2027BUD_V1</t>
        </is>
      </c>
      <c r="G171" s="6" t="n">
        <v>12</v>
      </c>
      <c r="H171" s="7" t="n">
        <v>712</v>
      </c>
      <c r="I171" s="7" t="n">
        <v>142</v>
      </c>
      <c r="J171" s="7" t="n">
        <v>100</v>
      </c>
      <c r="K171" s="7" t="n">
        <v>42</v>
      </c>
      <c r="L171" s="7" t="n">
        <v>0</v>
      </c>
      <c r="M171" s="7" t="n">
        <v>42</v>
      </c>
      <c r="N171" s="7" t="n">
        <v>0</v>
      </c>
      <c r="O171" s="7" t="n">
        <v>2</v>
      </c>
      <c r="P171" s="7" t="n">
        <v>7840</v>
      </c>
      <c r="Q171" s="7" t="n">
        <v>90</v>
      </c>
      <c r="R171" s="7" t="n">
        <v>231</v>
      </c>
      <c r="S171" s="7" t="n">
        <v>517</v>
      </c>
      <c r="T171" s="7" t="n">
        <v>24992</v>
      </c>
      <c r="U171" s="7" t="n">
        <v>19081</v>
      </c>
      <c r="V171" s="8">
        <f>IFERROR(M171/N171,0)</f>
        <v/>
      </c>
      <c r="W171" s="8">
        <f>IFERROR(I171/H171,0)</f>
        <v/>
      </c>
      <c r="X171" s="8">
        <f>IFERROR(J171/I171,0)</f>
        <v/>
      </c>
      <c r="Y171" s="8">
        <f>IFERROR(K171/J171,0)</f>
        <v/>
      </c>
      <c r="Z171" s="9">
        <f>R171+S171</f>
        <v/>
      </c>
      <c r="AA171" s="9">
        <f>M171*P171+K171*Q171</f>
        <v/>
      </c>
    </row>
    <row r="172">
      <c r="A172" s="6" t="inlineStr">
        <is>
          <t>TUNON_PAR</t>
        </is>
      </c>
      <c r="B172" s="6" t="inlineStr">
        <is>
          <t>BAC_TOU</t>
        </is>
      </c>
      <c r="C172" s="6" t="inlineStr">
        <is>
          <t>B2</t>
        </is>
      </c>
      <c r="D172" s="6" t="inlineStr">
        <is>
          <t>ALT</t>
        </is>
      </c>
      <c r="E172" s="6" t="inlineStr">
        <is>
          <t>2024</t>
        </is>
      </c>
      <c r="F172" s="6" t="inlineStr">
        <is>
          <t>2027BUD_V1</t>
        </is>
      </c>
      <c r="G172" s="6" t="n">
        <v>12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41</v>
      </c>
      <c r="M172" s="7" t="n">
        <v>41</v>
      </c>
      <c r="N172" s="7" t="n">
        <v>42</v>
      </c>
      <c r="O172" s="7" t="n">
        <v>2</v>
      </c>
      <c r="P172" s="7" t="n">
        <v>7840</v>
      </c>
      <c r="Q172" s="7" t="n">
        <v>90</v>
      </c>
      <c r="R172" s="7" t="n">
        <v>0</v>
      </c>
      <c r="S172" s="7" t="n">
        <v>0</v>
      </c>
      <c r="T172" s="7" t="n">
        <v>0</v>
      </c>
      <c r="U172" s="7" t="n">
        <v>0</v>
      </c>
      <c r="V172" s="8">
        <f>IFERROR(M172/N172,0)</f>
        <v/>
      </c>
      <c r="W172" s="8">
        <f>IFERROR(I172/H172,0)</f>
        <v/>
      </c>
      <c r="X172" s="8">
        <f>IFERROR(J172/I172,0)</f>
        <v/>
      </c>
      <c r="Y172" s="8">
        <f>IFERROR(K172/J172,0)</f>
        <v/>
      </c>
      <c r="Z172" s="9">
        <f>R172+S172</f>
        <v/>
      </c>
      <c r="AA172" s="9">
        <f>M172*P172+K172*Q172</f>
        <v/>
      </c>
    </row>
    <row r="173">
      <c r="A173" s="6" t="inlineStr">
        <is>
          <t>TUNON_PAR</t>
        </is>
      </c>
      <c r="B173" s="6" t="inlineStr">
        <is>
          <t>BAC_TOU</t>
        </is>
      </c>
      <c r="C173" s="6" t="inlineStr">
        <is>
          <t>B3</t>
        </is>
      </c>
      <c r="D173" s="6" t="inlineStr">
        <is>
          <t>ALT</t>
        </is>
      </c>
      <c r="E173" s="6" t="inlineStr">
        <is>
          <t>2024</t>
        </is>
      </c>
      <c r="F173" s="6" t="inlineStr">
        <is>
          <t>2027BUD_V1</t>
        </is>
      </c>
      <c r="G173" s="6" t="n">
        <v>12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40</v>
      </c>
      <c r="M173" s="7" t="n">
        <v>40</v>
      </c>
      <c r="N173" s="7" t="n">
        <v>41</v>
      </c>
      <c r="O173" s="7" t="n">
        <v>2</v>
      </c>
      <c r="P173" s="7" t="n">
        <v>7840</v>
      </c>
      <c r="Q173" s="7" t="n">
        <v>90</v>
      </c>
      <c r="R173" s="7" t="n">
        <v>0</v>
      </c>
      <c r="S173" s="7" t="n">
        <v>0</v>
      </c>
      <c r="T173" s="7" t="n">
        <v>0</v>
      </c>
      <c r="U173" s="7" t="n">
        <v>0</v>
      </c>
      <c r="V173" s="8">
        <f>IFERROR(M173/N173,0)</f>
        <v/>
      </c>
      <c r="W173" s="8">
        <f>IFERROR(I173/H173,0)</f>
        <v/>
      </c>
      <c r="X173" s="8">
        <f>IFERROR(J173/I173,0)</f>
        <v/>
      </c>
      <c r="Y173" s="8">
        <f>IFERROR(K173/J173,0)</f>
        <v/>
      </c>
      <c r="Z173" s="9">
        <f>R173+S173</f>
        <v/>
      </c>
      <c r="AA173" s="9">
        <f>M173*P173+K173*Q173</f>
        <v/>
      </c>
    </row>
    <row r="174">
      <c r="A174" s="6" t="inlineStr">
        <is>
          <t>TUNON_LYO</t>
        </is>
      </c>
      <c r="B174" s="6" t="inlineStr">
        <is>
          <t>BAC_TOU</t>
        </is>
      </c>
      <c r="C174" s="6" t="inlineStr">
        <is>
          <t>B1</t>
        </is>
      </c>
      <c r="D174" s="6" t="inlineStr">
        <is>
          <t>ALT</t>
        </is>
      </c>
      <c r="E174" s="6" t="inlineStr">
        <is>
          <t>2024</t>
        </is>
      </c>
      <c r="F174" s="6" t="inlineStr">
        <is>
          <t>2027BUD_V1</t>
        </is>
      </c>
      <c r="G174" s="6" t="n">
        <v>12</v>
      </c>
      <c r="H174" s="7" t="n">
        <v>605</v>
      </c>
      <c r="I174" s="7" t="n">
        <v>121</v>
      </c>
      <c r="J174" s="7" t="n">
        <v>85</v>
      </c>
      <c r="K174" s="7" t="n">
        <v>36</v>
      </c>
      <c r="L174" s="7" t="n">
        <v>0</v>
      </c>
      <c r="M174" s="7" t="n">
        <v>36</v>
      </c>
      <c r="N174" s="7" t="n">
        <v>0</v>
      </c>
      <c r="O174" s="7" t="n">
        <v>2</v>
      </c>
      <c r="P174" s="7" t="n">
        <v>7350</v>
      </c>
      <c r="Q174" s="7" t="n">
        <v>90</v>
      </c>
      <c r="R174" s="7" t="n">
        <v>242</v>
      </c>
      <c r="S174" s="7" t="n">
        <v>392</v>
      </c>
      <c r="T174" s="7" t="n">
        <v>15578</v>
      </c>
      <c r="U174" s="7" t="n">
        <v>20221</v>
      </c>
      <c r="V174" s="8">
        <f>IFERROR(M174/N174,0)</f>
        <v/>
      </c>
      <c r="W174" s="8">
        <f>IFERROR(I174/H174,0)</f>
        <v/>
      </c>
      <c r="X174" s="8">
        <f>IFERROR(J174/I174,0)</f>
        <v/>
      </c>
      <c r="Y174" s="8">
        <f>IFERROR(K174/J174,0)</f>
        <v/>
      </c>
      <c r="Z174" s="9">
        <f>R174+S174</f>
        <v/>
      </c>
      <c r="AA174" s="9">
        <f>M174*P174+K174*Q174</f>
        <v/>
      </c>
    </row>
    <row r="175">
      <c r="A175" s="6" t="inlineStr">
        <is>
          <t>TUNON_LYO</t>
        </is>
      </c>
      <c r="B175" s="6" t="inlineStr">
        <is>
          <t>BAC_TOU</t>
        </is>
      </c>
      <c r="C175" s="6" t="inlineStr">
        <is>
          <t>B2</t>
        </is>
      </c>
      <c r="D175" s="6" t="inlineStr">
        <is>
          <t>ALT</t>
        </is>
      </c>
      <c r="E175" s="6" t="inlineStr">
        <is>
          <t>2024</t>
        </is>
      </c>
      <c r="F175" s="6" t="inlineStr">
        <is>
          <t>2027BUD_V1</t>
        </is>
      </c>
      <c r="G175" s="6" t="n">
        <v>12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35</v>
      </c>
      <c r="M175" s="7" t="n">
        <v>35</v>
      </c>
      <c r="N175" s="7" t="n">
        <v>36</v>
      </c>
      <c r="O175" s="7" t="n">
        <v>2</v>
      </c>
      <c r="P175" s="7" t="n">
        <v>7350</v>
      </c>
      <c r="Q175" s="7" t="n">
        <v>90</v>
      </c>
      <c r="R175" s="7" t="n">
        <v>0</v>
      </c>
      <c r="S175" s="7" t="n">
        <v>0</v>
      </c>
      <c r="T175" s="7" t="n">
        <v>0</v>
      </c>
      <c r="U175" s="7" t="n">
        <v>0</v>
      </c>
      <c r="V175" s="8">
        <f>IFERROR(M175/N175,0)</f>
        <v/>
      </c>
      <c r="W175" s="8">
        <f>IFERROR(I175/H175,0)</f>
        <v/>
      </c>
      <c r="X175" s="8">
        <f>IFERROR(J175/I175,0)</f>
        <v/>
      </c>
      <c r="Y175" s="8">
        <f>IFERROR(K175/J175,0)</f>
        <v/>
      </c>
      <c r="Z175" s="9">
        <f>R175+S175</f>
        <v/>
      </c>
      <c r="AA175" s="9">
        <f>M175*P175+K175*Q175</f>
        <v/>
      </c>
    </row>
    <row r="176">
      <c r="A176" s="6" t="inlineStr">
        <is>
          <t>TUNON_LYO</t>
        </is>
      </c>
      <c r="B176" s="6" t="inlineStr">
        <is>
          <t>BAC_TOU</t>
        </is>
      </c>
      <c r="C176" s="6" t="inlineStr">
        <is>
          <t>B3</t>
        </is>
      </c>
      <c r="D176" s="6" t="inlineStr">
        <is>
          <t>ALT</t>
        </is>
      </c>
      <c r="E176" s="6" t="inlineStr">
        <is>
          <t>2024</t>
        </is>
      </c>
      <c r="F176" s="6" t="inlineStr">
        <is>
          <t>2027BUD_V1</t>
        </is>
      </c>
      <c r="G176" s="6" t="n">
        <v>12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34</v>
      </c>
      <c r="M176" s="7" t="n">
        <v>34</v>
      </c>
      <c r="N176" s="7" t="n">
        <v>35</v>
      </c>
      <c r="O176" s="7" t="n">
        <v>2</v>
      </c>
      <c r="P176" s="7" t="n">
        <v>7350</v>
      </c>
      <c r="Q176" s="7" t="n">
        <v>90</v>
      </c>
      <c r="R176" s="7" t="n">
        <v>0</v>
      </c>
      <c r="S176" s="7" t="n">
        <v>0</v>
      </c>
      <c r="T176" s="7" t="n">
        <v>0</v>
      </c>
      <c r="U176" s="7" t="n">
        <v>0</v>
      </c>
      <c r="V176" s="8">
        <f>IFERROR(M176/N176,0)</f>
        <v/>
      </c>
      <c r="W176" s="8">
        <f>IFERROR(I176/H176,0)</f>
        <v/>
      </c>
      <c r="X176" s="8">
        <f>IFERROR(J176/I176,0)</f>
        <v/>
      </c>
      <c r="Y176" s="8">
        <f>IFERROR(K176/J176,0)</f>
        <v/>
      </c>
      <c r="Z176" s="9">
        <f>R176+S176</f>
        <v/>
      </c>
      <c r="AA176" s="9">
        <f>M176*P176+K176*Q176</f>
        <v/>
      </c>
    </row>
  </sheetData>
  <autoFilter ref="A2:AA176"/>
  <mergeCells count="2">
    <mergeCell ref="A1:U1"/>
    <mergeCell ref="V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2026-08-19T09:50:09Z</dcterms:created>
  <dcterms:modified xsi:type="dcterms:W3CDTF">2026-08-19T09:50:10Z</dcterms:modified>
</cp:coreProperties>
</file>