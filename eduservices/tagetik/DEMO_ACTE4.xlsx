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jectoire" sheetId="1" state="visible" r:id="rId1"/>
    <sheet name="Allocation 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-#,##0;&quot;-&quot;"/>
    <numFmt numFmtId="165" formatCode="+0.0%;-0.0%"/>
    <numFmt numFmtId="166" formatCode="0.0%"/>
    <numFmt numFmtId="167" formatCode="+0.0&quot; pt&quot;;-0.0&quot; pt&quot;"/>
  </numFmts>
  <fonts count="15">
    <font>
      <name val="Calibri"/>
      <family val="2"/>
      <color theme="1"/>
      <sz val="11"/>
      <scheme val="minor"/>
    </font>
    <font>
      <name val="Arial"/>
      <b val="1"/>
      <color rgb="00152230"/>
      <sz val="15"/>
    </font>
    <font>
      <name val="Arial"/>
      <color rgb="000A5A48"/>
      <sz val="9"/>
    </font>
    <font>
      <name val="Arial"/>
      <b val="1"/>
      <color rgb="00FFFFFF"/>
      <sz val="10"/>
    </font>
    <font>
      <name val="Arial"/>
      <b val="1"/>
      <color rgb="00152230"/>
      <sz val="10"/>
    </font>
    <font>
      <name val="Arial"/>
      <color rgb="007D8B98"/>
      <sz val="10"/>
    </font>
    <font>
      <name val="Arial"/>
      <color rgb="00152230"/>
      <sz val="10"/>
    </font>
    <font>
      <name val="Arial"/>
      <b val="1"/>
      <color rgb="000A5A48"/>
      <sz val="11"/>
    </font>
    <font>
      <name val="Arial"/>
      <i val="1"/>
      <color rgb="007D8B98"/>
      <sz val="8"/>
    </font>
    <font>
      <name val="Arial"/>
      <color rgb="007D8B98"/>
      <sz val="8"/>
    </font>
    <font>
      <name val="Arial"/>
      <b val="1"/>
      <color rgb="00152230"/>
      <sz val="11"/>
    </font>
    <font>
      <name val="Arial"/>
      <b val="1"/>
      <i val="1"/>
      <color rgb="00B3641C"/>
      <sz val="8"/>
    </font>
    <font>
      <name val="Arial"/>
      <b val="1"/>
      <color rgb="000A5A48"/>
      <sz val="10"/>
    </font>
    <font>
      <name val="Arial"/>
      <color rgb="00B3641C"/>
      <sz val="9"/>
    </font>
    <font>
      <name val="Arial"/>
      <b val="1"/>
      <color rgb="008A4A12"/>
      <sz val="10"/>
    </font>
  </fonts>
  <fills count="5">
    <fill>
      <patternFill/>
    </fill>
    <fill>
      <patternFill patternType="gray125"/>
    </fill>
    <fill>
      <patternFill patternType="solid">
        <fgColor rgb="000D7A62"/>
      </patternFill>
    </fill>
    <fill>
      <patternFill patternType="solid">
        <fgColor rgb="00E2EFEB"/>
      </patternFill>
    </fill>
    <fill>
      <patternFill patternType="solid">
        <fgColor rgb="00F6E8D8"/>
      </patternFill>
    </fill>
  </fills>
  <borders count="5">
    <border>
      <left/>
      <right/>
      <top/>
      <bottom/>
      <diagonal/>
    </border>
    <border>
      <bottom style="medium">
        <color rgb="00C8D2DA"/>
      </bottom>
    </border>
    <border>
      <bottom style="thin">
        <color rgb="00C8D2DA"/>
      </bottom>
    </border>
    <border>
      <top style="medium">
        <color rgb="00C8D2DA"/>
      </top>
      <bottom style="thin">
        <color rgb="00C8D2DA"/>
      </bottom>
    </border>
    <border>
      <top style="medium">
        <color rgb="00C8D2DA"/>
      </top>
      <bottom style="medium">
        <color rgb="00C8D2D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7" fillId="3" borderId="3" applyAlignment="1" pivotButton="0" quotePrefix="0" xfId="0">
      <alignment horizontal="left" vertical="center"/>
    </xf>
    <xf numFmtId="164" fontId="7" fillId="3" borderId="3" applyAlignment="1" pivotButton="0" quotePrefix="0" xfId="0">
      <alignment horizontal="right" vertical="center"/>
    </xf>
    <xf numFmtId="165" fontId="7" fillId="3" borderId="3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right" vertical="center"/>
    </xf>
    <xf numFmtId="167" fontId="9" fillId="0" borderId="0" applyAlignment="1" pivotButton="0" quotePrefix="0" xfId="0">
      <alignment horizontal="right" vertical="center"/>
    </xf>
    <xf numFmtId="0" fontId="10" fillId="0" borderId="4" applyAlignment="1" pivotButton="0" quotePrefix="0" xfId="0">
      <alignment horizontal="left" vertical="center"/>
    </xf>
    <xf numFmtId="164" fontId="10" fillId="0" borderId="4" applyAlignment="1" pivotButton="0" quotePrefix="0" xfId="0">
      <alignment horizontal="right" vertical="center"/>
    </xf>
    <xf numFmtId="165" fontId="10" fillId="0" borderId="4" applyAlignment="1" pivotButton="0" quotePrefix="0" xfId="0">
      <alignment horizontal="right" vertical="center"/>
    </xf>
    <xf numFmtId="0" fontId="8" fillId="0" borderId="0" pivotButton="0" quotePrefix="0" xfId="0"/>
    <xf numFmtId="0" fontId="11" fillId="0" borderId="0" pivotButton="0" quotePrefix="0" xfId="0"/>
    <xf numFmtId="166" fontId="0" fillId="0" borderId="2" applyAlignment="1" pivotButton="0" quotePrefix="0" xfId="0">
      <alignment horizontal="right" vertical="center"/>
    </xf>
    <xf numFmtId="164" fontId="12" fillId="0" borderId="2" applyAlignment="1" pivotButton="0" quotePrefix="0" xfId="0">
      <alignment horizontal="right" vertical="center"/>
    </xf>
    <xf numFmtId="166" fontId="12" fillId="0" borderId="2" applyAlignment="1" pivotButton="0" quotePrefix="0" xfId="0">
      <alignment horizontal="right" vertical="center"/>
    </xf>
    <xf numFmtId="167" fontId="13" fillId="0" borderId="2" applyAlignment="1" pivotButton="0" quotePrefix="0" xfId="0">
      <alignment horizontal="right" vertical="center"/>
    </xf>
    <xf numFmtId="0" fontId="14" fillId="4" borderId="2" applyAlignment="1" pivotButton="0" quotePrefix="0" xfId="0">
      <alignment horizontal="left" vertical="center"/>
    </xf>
    <xf numFmtId="164" fontId="0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horizontal="right" vertical="center"/>
    </xf>
    <xf numFmtId="164" fontId="14" fillId="4" borderId="2" applyAlignment="1" pivotButton="0" quotePrefix="0" xfId="0">
      <alignment horizontal="right" vertical="center"/>
    </xf>
    <xf numFmtId="166" fontId="14" fillId="4" borderId="2" applyAlignment="1" pivotButton="0" quotePrefix="0" xfId="0">
      <alignment horizontal="right" vertical="center"/>
    </xf>
    <xf numFmtId="167" fontId="13" fillId="4" borderId="2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/>
    </xf>
    <xf numFmtId="164" fontId="7" fillId="3" borderId="4" applyAlignment="1" pivotButton="0" quotePrefix="0" xfId="0">
      <alignment horizontal="right" vertical="center"/>
    </xf>
    <xf numFmtId="166" fontId="7" fillId="3" borderId="4" applyAlignment="1" pivotButton="0" quotePrefix="0" xfId="0">
      <alignment horizontal="right" vertical="center"/>
    </xf>
    <xf numFmtId="167" fontId="7" fillId="3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 brute % → marge nette % par marque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'Allocation ③'!D4</f>
            </strRef>
          </tx>
          <spPr>
            <a:ln>
              <a:prstDash val="solid"/>
            </a:ln>
          </spPr>
          <cat>
            <numRef>
              <f>'Allocation ③'!$A$5:$A$9</f>
            </numRef>
          </cat>
          <val>
            <numRef>
              <f>'Allocation ③'!$D$5:$D$9</f>
            </numRef>
          </val>
        </ser>
        <ser>
          <idx val="1"/>
          <order val="1"/>
          <tx>
            <strRef>
              <f>'Allocation ③'!F4</f>
            </strRef>
          </tx>
          <spPr>
            <a:ln>
              <a:prstDash val="solid"/>
            </a:ln>
          </spPr>
          <cat>
            <numRef>
              <f>'Allocation ③'!$A$5:$A$9</f>
            </numRef>
          </cat>
          <val>
            <numRef>
              <f>'Allocation ③'!$F$5:$F$9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ACTE 4 — LA SYNTHÈSE  ·  du réel au budget, sur une page</t>
        </is>
      </c>
    </row>
    <row r="2">
      <c r="A2" s="2" t="inlineStr">
        <is>
          <t>Le même compte de résultat, lu à travers ses états. On lit l'écart en glissant d'une colonne à l'autre. Rien n'est ressaisi.</t>
        </is>
      </c>
    </row>
    <row r="4">
      <c r="A4" s="3" t="inlineStr">
        <is>
          <t>Bloc de P&amp;L</t>
        </is>
      </c>
      <c r="B4" s="4" t="inlineStr">
        <is>
          <t>① Réel 2026</t>
        </is>
      </c>
      <c r="C4" s="4" t="inlineStr">
        <is>
          <t>② Cadrage 2027</t>
        </is>
      </c>
      <c r="D4" s="4" t="inlineStr">
        <is>
          <t>④ Arbitré 2027</t>
        </is>
      </c>
      <c r="E4" s="4" t="inlineStr">
        <is>
          <t>Δ  ④ vs ①</t>
        </is>
      </c>
    </row>
    <row r="5">
      <c r="A5" s="5" t="inlineStr">
        <is>
          <t>Chiffre d'affaires</t>
        </is>
      </c>
      <c r="B5" s="6" t="n">
        <v>22544725</v>
      </c>
      <c r="C5" s="7" t="n">
        <v>24120315</v>
      </c>
      <c r="D5" s="7" t="n">
        <v>24050000</v>
      </c>
      <c r="E5" s="8">
        <f>D5/B5-1</f>
        <v/>
      </c>
    </row>
    <row r="6">
      <c r="A6" s="9" t="inlineStr">
        <is>
          <t>Coûts directs</t>
        </is>
      </c>
      <c r="B6" s="6" t="n">
        <v>-3145410</v>
      </c>
      <c r="C6" s="7">
        <f>B6*1.07</f>
        <v/>
      </c>
      <c r="D6" s="7">
        <f>B6*1.059</f>
        <v/>
      </c>
      <c r="E6" s="8">
        <f>D6/B6-1</f>
        <v/>
      </c>
    </row>
    <row r="7">
      <c r="A7" s="9" t="inlineStr">
        <is>
          <t>Personnel</t>
        </is>
      </c>
      <c r="B7" s="6" t="n">
        <v>-10280098</v>
      </c>
      <c r="C7" s="7">
        <f>B7*1.045</f>
        <v/>
      </c>
      <c r="D7" s="7">
        <f>B7*1.045</f>
        <v/>
      </c>
      <c r="E7" s="8">
        <f>D7/B7-1</f>
        <v/>
      </c>
    </row>
    <row r="8">
      <c r="A8" s="9" t="inlineStr">
        <is>
          <t>Structure</t>
        </is>
      </c>
      <c r="B8" s="6" t="n">
        <v>-5149880</v>
      </c>
      <c r="C8" s="7">
        <f>B8*1.035</f>
        <v/>
      </c>
      <c r="D8" s="7">
        <f>B8*1.029</f>
        <v/>
      </c>
      <c r="E8" s="8">
        <f>D8/B8-1</f>
        <v/>
      </c>
    </row>
    <row r="9">
      <c r="A9" s="9" t="inlineStr">
        <is>
          <t>Impôts &amp; taxes</t>
        </is>
      </c>
      <c r="B9" s="6" t="n">
        <v>-677807</v>
      </c>
      <c r="C9" s="7">
        <f>B9*1.02</f>
        <v/>
      </c>
      <c r="D9" s="7">
        <f>B9*1.02</f>
        <v/>
      </c>
      <c r="E9" s="8">
        <f>D9/B9-1</f>
        <v/>
      </c>
    </row>
    <row r="10">
      <c r="A10" s="10" t="inlineStr">
        <is>
          <t>EBITDA</t>
        </is>
      </c>
      <c r="B10" s="11">
        <f>SUM(B5:B9)</f>
        <v/>
      </c>
      <c r="C10" s="11">
        <f>SUM(C5:C9)</f>
        <v/>
      </c>
      <c r="D10" s="11">
        <f>SUM(D5:D9)</f>
        <v/>
      </c>
      <c r="E10" s="12">
        <f>D10/B10-1</f>
        <v/>
      </c>
    </row>
    <row r="11">
      <c r="A11" s="13" t="inlineStr">
        <is>
          <t>— marge EBITDA</t>
        </is>
      </c>
      <c r="B11" s="14">
        <f>B10/B5</f>
        <v/>
      </c>
      <c r="C11" s="14">
        <f>C10/C5</f>
        <v/>
      </c>
      <c r="D11" s="14">
        <f>D10/D5</f>
        <v/>
      </c>
      <c r="E11" s="15">
        <f>D11-B11</f>
        <v/>
      </c>
    </row>
    <row r="12">
      <c r="A12" s="9" t="inlineStr">
        <is>
          <t>Dotations</t>
        </is>
      </c>
      <c r="B12" s="6" t="n">
        <v>-1352683</v>
      </c>
      <c r="C12" s="7">
        <f>B12*1.02</f>
        <v/>
      </c>
      <c r="D12" s="7">
        <f>B12*1.02</f>
        <v/>
      </c>
      <c r="E12" s="8">
        <f>D12/B12-1</f>
        <v/>
      </c>
    </row>
    <row r="13">
      <c r="A13" s="16" t="inlineStr">
        <is>
          <t>Résultat</t>
        </is>
      </c>
      <c r="B13" s="17">
        <f>B10+B12</f>
        <v/>
      </c>
      <c r="C13" s="17">
        <f>C10+C12</f>
        <v/>
      </c>
      <c r="D13" s="17">
        <f>D10+D12</f>
        <v/>
      </c>
      <c r="E13" s="18">
        <f>D13/B13-1</f>
        <v/>
      </c>
    </row>
    <row r="15">
      <c r="A15" s="19" t="inlineStr">
        <is>
          <t>① = comptabilité 2026 (réel).  ②/④ = CA depuis le moteur, coûts = réel × règle de cadrage (illustratif).</t>
        </is>
      </c>
    </row>
    <row r="16">
      <c r="A16" s="20" t="inlineStr">
        <is>
          <t>Lecture : le CA gagne +6,7 %, les coûts progressent moins vite → l'EBITDA passe de 14,6 % à 17,0 % de marge. C'est l'effet de levier du cadrage.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9" customWidth="1" min="4" max="4"/>
    <col width="15" customWidth="1" min="5" max="5"/>
    <col width="9" customWidth="1" min="6" max="6"/>
    <col width="10" customWidth="1" min="7" max="7"/>
  </cols>
  <sheetData>
    <row r="1">
      <c r="A1" s="1" t="inlineStr">
        <is>
          <t>LA VÉRITÉ PAR MARQUE  ·  ce que l'allocation révèle (③)</t>
        </is>
      </c>
    </row>
    <row r="2">
      <c r="A2" s="2" t="inlineStr">
        <is>
          <t>Tout le monde est beau en marge brute. On recolle structure campus + quote-part de holding : deux mondes apparaissent.</t>
        </is>
      </c>
    </row>
    <row r="4">
      <c r="A4" s="3" t="inlineStr">
        <is>
          <t>Marque</t>
        </is>
      </c>
      <c r="B4" s="4" t="inlineStr">
        <is>
          <t>CA 2026</t>
        </is>
      </c>
      <c r="C4" s="4" t="inlineStr">
        <is>
          <t>Marge brute (€)</t>
        </is>
      </c>
      <c r="D4" s="4" t="inlineStr">
        <is>
          <t>% brute</t>
        </is>
      </c>
      <c r="E4" s="4" t="inlineStr">
        <is>
          <t>Marge nette (€)</t>
        </is>
      </c>
      <c r="F4" s="4" t="inlineStr">
        <is>
          <t>% nette</t>
        </is>
      </c>
      <c r="G4" s="4" t="inlineStr">
        <is>
          <t>Δ marge</t>
        </is>
      </c>
    </row>
    <row r="5">
      <c r="A5" s="5" t="inlineStr">
        <is>
          <t>MBway</t>
        </is>
      </c>
      <c r="B5" s="6" t="n">
        <v>9567455</v>
      </c>
      <c r="C5" s="6" t="n">
        <v>4586377</v>
      </c>
      <c r="D5" s="21">
        <f>C5/B5</f>
        <v/>
      </c>
      <c r="E5" s="22" t="n">
        <v>1662434</v>
      </c>
      <c r="F5" s="23">
        <f>E5/B5</f>
        <v/>
      </c>
      <c r="G5" s="24">
        <f>F5-D5</f>
        <v/>
      </c>
    </row>
    <row r="6">
      <c r="A6" s="5" t="inlineStr">
        <is>
          <t>Iscom</t>
        </is>
      </c>
      <c r="B6" s="6" t="n">
        <v>6292550</v>
      </c>
      <c r="C6" s="6" t="n">
        <v>2943607</v>
      </c>
      <c r="D6" s="21">
        <f>C6/B6</f>
        <v/>
      </c>
      <c r="E6" s="22" t="n">
        <v>980428</v>
      </c>
      <c r="F6" s="23">
        <f>E6/B6</f>
        <v/>
      </c>
      <c r="G6" s="24">
        <f>F6-D6</f>
        <v/>
      </c>
    </row>
    <row r="7">
      <c r="A7" s="5" t="inlineStr">
        <is>
          <t>Ipac</t>
        </is>
      </c>
      <c r="B7" s="6" t="n">
        <v>2582800</v>
      </c>
      <c r="C7" s="6" t="n">
        <v>1253820</v>
      </c>
      <c r="D7" s="21">
        <f>C7/B7</f>
        <v/>
      </c>
      <c r="E7" s="22" t="n">
        <v>474593</v>
      </c>
      <c r="F7" s="23">
        <f>E7/B7</f>
        <v/>
      </c>
      <c r="G7" s="24">
        <f>F7-D7</f>
        <v/>
      </c>
    </row>
    <row r="8">
      <c r="A8" s="25" t="inlineStr">
        <is>
          <t>Pigier</t>
        </is>
      </c>
      <c r="B8" s="26" t="n">
        <v>2152220</v>
      </c>
      <c r="C8" s="26" t="n">
        <v>838304</v>
      </c>
      <c r="D8" s="27">
        <f>C8/B8</f>
        <v/>
      </c>
      <c r="E8" s="28" t="n">
        <v>111717</v>
      </c>
      <c r="F8" s="29">
        <f>E8/B8</f>
        <v/>
      </c>
      <c r="G8" s="30">
        <f>F8-D8</f>
        <v/>
      </c>
    </row>
    <row r="9">
      <c r="A9" s="25" t="inlineStr">
        <is>
          <t>Tunon</t>
        </is>
      </c>
      <c r="B9" s="26" t="n">
        <v>1949700</v>
      </c>
      <c r="C9" s="26" t="n">
        <v>739758</v>
      </c>
      <c r="D9" s="27">
        <f>C9/B9</f>
        <v/>
      </c>
      <c r="E9" s="28" t="n">
        <v>62358</v>
      </c>
      <c r="F9" s="29">
        <f>E9/B9</f>
        <v/>
      </c>
      <c r="G9" s="30">
        <f>F9-D9</f>
        <v/>
      </c>
    </row>
    <row r="10">
      <c r="A10" s="31" t="inlineStr">
        <is>
          <t>Groupe</t>
        </is>
      </c>
      <c r="B10" s="32">
        <f>SUM(B5:B9)</f>
        <v/>
      </c>
      <c r="C10" s="32">
        <f>SUM(C5:C9)</f>
        <v/>
      </c>
      <c r="D10" s="33">
        <f>C10/B10</f>
        <v/>
      </c>
      <c r="E10" s="32">
        <f>SUM(E5:E9)</f>
        <v/>
      </c>
      <c r="F10" s="33">
        <f>E10/B10</f>
        <v/>
      </c>
      <c r="G10" s="34">
        <f>F10-D10</f>
        <v/>
      </c>
    </row>
    <row r="12">
      <c r="A12" s="19" t="inlineStr">
        <is>
          <t>La marge nette groupe = l'EBITDA (3 291 530 €). L'allocation ne crée ni ne détruit d'euro : elle redistribue les coûts entre marques.</t>
        </is>
      </c>
    </row>
    <row r="13">
      <c r="A13" s="20" t="inlineStr">
        <is>
          <t>Reveal : Pigier (5,2 %) et Tunon (3,2 %) semblaient un cran derrière en brut (38-39 %) ; chargées, elles ne financent presque plus rien. MBway/Iscom/Ipac tiennent à 15-18 %.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2026-08-30T21:34:05Z</dcterms:created>
  <dcterms:modified xsi:type="dcterms:W3CDTF">2026-08-30T21:34:05Z</dcterms:modified>
</cp:coreProperties>
</file>