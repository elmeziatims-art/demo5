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Données P&amp;L" sheetId="2" state="visible" r:id="rId2"/>
    <sheet name="P&amp;L ①" sheetId="3" state="visible" r:id="rId3"/>
    <sheet name="Données CRM" sheetId="4" state="visible" r:id="rId4"/>
    <sheet name="Funnel &amp; CA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;&quot;-&quot;"/>
    <numFmt numFmtId="165" formatCode="0.0%;(0.0%);&quot;-&quot;"/>
    <numFmt numFmtId="166" formatCode="0.0&quot; pt&quot;;(0.0)&quot; pt&quot;"/>
  </numFmts>
  <fonts count="19">
    <font>
      <name val="Calibri"/>
      <family val="2"/>
      <color theme="1"/>
      <sz val="11"/>
      <scheme val="minor"/>
    </font>
    <font>
      <name val="Arial"/>
      <b val="1"/>
      <color rgb="000A5A48"/>
      <sz val="11"/>
    </font>
    <font>
      <name val="Arial"/>
      <i val="1"/>
      <color rgb="007D8B98"/>
      <sz val="8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152230"/>
      <sz val="9"/>
    </font>
    <font>
      <name val="Arial"/>
      <color rgb="007D8B98"/>
      <sz val="8"/>
    </font>
    <font>
      <name val="Arial"/>
      <b val="1"/>
      <color rgb="00152230"/>
      <sz val="15"/>
    </font>
    <font>
      <name val="Arial"/>
      <color rgb="000A5A48"/>
      <sz val="9"/>
    </font>
    <font>
      <name val="Arial"/>
      <b val="1"/>
      <color rgb="00FFFFFF"/>
      <sz val="10"/>
    </font>
    <font>
      <name val="Arial"/>
      <b val="1"/>
      <color rgb="00152230"/>
      <sz val="10"/>
    </font>
    <font>
      <name val="Arial"/>
      <i val="1"/>
      <color rgb="00152230"/>
      <sz val="9"/>
    </font>
    <font>
      <name val="Arial"/>
      <color rgb="00152230"/>
      <sz val="10"/>
    </font>
    <font>
      <name val="Arial"/>
      <i val="1"/>
      <color rgb="00B3641C"/>
      <sz val="9"/>
    </font>
    <font>
      <name val="Arial"/>
      <b val="1"/>
      <color rgb="000A5A48"/>
      <sz val="10"/>
    </font>
    <font>
      <name val="Arial"/>
      <i val="1"/>
      <color rgb="00B3641C"/>
      <sz val="8"/>
    </font>
    <font>
      <name val="Arial"/>
      <b val="1"/>
      <color rgb="00B3641C"/>
      <sz val="10"/>
    </font>
    <font>
      <name val="Arial"/>
      <b val="1"/>
      <color rgb="00B3641C"/>
      <sz val="9"/>
    </font>
    <font>
      <name val="Arial"/>
      <color rgb="000A5A48"/>
      <sz val="10"/>
    </font>
  </fonts>
  <fills count="7">
    <fill>
      <patternFill/>
    </fill>
    <fill>
      <patternFill patternType="gray125"/>
    </fill>
    <fill>
      <patternFill patternType="solid">
        <fgColor rgb="000D7A62"/>
      </patternFill>
    </fill>
    <fill>
      <patternFill patternType="solid">
        <fgColor rgb="00F5F7F9"/>
      </patternFill>
    </fill>
    <fill>
      <patternFill patternType="solid">
        <fgColor rgb="00E4F0EC"/>
      </patternFill>
    </fill>
    <fill>
      <patternFill patternType="solid">
        <fgColor rgb="000A5A48"/>
      </patternFill>
    </fill>
    <fill>
      <patternFill patternType="solid">
        <fgColor rgb="00F7EAD9"/>
      </patternFill>
    </fill>
  </fills>
  <borders count="5">
    <border>
      <left/>
      <right/>
      <top/>
      <bottom/>
      <diagonal/>
    </border>
    <border>
      <bottom style="thin">
        <color rgb="00DBE2E9"/>
      </bottom>
    </border>
    <border>
      <top style="medium">
        <color rgb="000D7A62"/>
      </top>
      <bottom style="medium">
        <color rgb="000D7A62"/>
      </bottom>
    </border>
    <border>
      <top style="thin">
        <color rgb="00DBE2E9"/>
      </top>
    </border>
    <border>
      <top style="medium">
        <color rgb="000D7A62"/>
      </top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7" fillId="0" borderId="0" pivotButton="0" quotePrefix="0" xfId="0"/>
    <xf numFmtId="0" fontId="18" fillId="0" borderId="0" pivotButton="0" quotePrefix="0" xfId="0"/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9" fillId="2" borderId="0" applyAlignment="1" pivotButton="0" quotePrefix="0" xfId="0">
      <alignment horizontal="left" vertical="top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4" fillId="0" borderId="0" applyAlignment="1" pivotButton="0" quotePrefix="0" xfId="0">
      <alignment horizontal="righ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164" fontId="4" fillId="3" borderId="0" applyAlignment="1" pivotButton="0" quotePrefix="0" xfId="0">
      <alignment horizontal="right" vertical="center"/>
    </xf>
    <xf numFmtId="0" fontId="8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9" fillId="2" borderId="1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left" vertical="center"/>
    </xf>
    <xf numFmtId="164" fontId="10" fillId="3" borderId="0" applyAlignment="1" pivotButton="0" quotePrefix="0" xfId="0">
      <alignment horizontal="right" vertical="center"/>
    </xf>
    <xf numFmtId="165" fontId="11" fillId="3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164" fontId="12" fillId="0" borderId="0" applyAlignment="1" pivotButton="0" quotePrefix="0" xfId="0">
      <alignment horizontal="right" vertical="center"/>
    </xf>
    <xf numFmtId="165" fontId="13" fillId="0" borderId="0" applyAlignment="1" pivotButton="0" quotePrefix="0" xfId="0">
      <alignment horizontal="right" vertical="center"/>
    </xf>
    <xf numFmtId="0" fontId="14" fillId="4" borderId="2" applyAlignment="1" pivotButton="0" quotePrefix="0" xfId="0">
      <alignment horizontal="left" vertical="center"/>
    </xf>
    <xf numFmtId="164" fontId="10" fillId="4" borderId="2" applyAlignment="1" pivotButton="0" quotePrefix="0" xfId="0">
      <alignment horizontal="right" vertical="center"/>
    </xf>
    <xf numFmtId="165" fontId="11" fillId="4" borderId="2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/>
    </xf>
    <xf numFmtId="164" fontId="10" fillId="0" borderId="3" applyAlignment="1" pivotButton="0" quotePrefix="0" xfId="0">
      <alignment horizontal="right" vertical="center"/>
    </xf>
    <xf numFmtId="165" fontId="11" fillId="0" borderId="3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165" fontId="10" fillId="0" borderId="0" applyAlignment="1" pivotButton="0" quotePrefix="0" xfId="0">
      <alignment horizontal="right" vertical="center"/>
    </xf>
    <xf numFmtId="166" fontId="11" fillId="0" borderId="0" applyAlignment="1" pivotButton="0" quotePrefix="0" xfId="0">
      <alignment horizontal="right" vertical="center"/>
    </xf>
    <xf numFmtId="0" fontId="15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164" fontId="12" fillId="3" borderId="0" applyAlignment="1" pivotButton="0" quotePrefix="0" xfId="0">
      <alignment horizontal="right" vertical="center"/>
    </xf>
    <xf numFmtId="165" fontId="12" fillId="3" borderId="0" applyAlignment="1" pivotButton="0" quotePrefix="0" xfId="0">
      <alignment horizontal="right" vertical="center"/>
    </xf>
    <xf numFmtId="165" fontId="12" fillId="0" borderId="0" applyAlignment="1" pivotButton="0" quotePrefix="0" xfId="0">
      <alignment horizontal="right" vertical="center"/>
    </xf>
    <xf numFmtId="0" fontId="16" fillId="3" borderId="0" applyAlignment="1" pivotButton="0" quotePrefix="0" xfId="0">
      <alignment horizontal="left" vertical="center"/>
    </xf>
    <xf numFmtId="164" fontId="16" fillId="6" borderId="0" applyAlignment="1" pivotButton="0" quotePrefix="0" xfId="0">
      <alignment horizontal="right" vertical="center"/>
    </xf>
    <xf numFmtId="0" fontId="9" fillId="5" borderId="0" applyAlignment="1" pivotButton="0" quotePrefix="0" xfId="0">
      <alignment horizontal="left" vertical="center"/>
    </xf>
    <xf numFmtId="164" fontId="9" fillId="5" borderId="4" applyAlignment="1" pivotButton="0" quotePrefix="0" xfId="0">
      <alignment horizontal="right" vertical="center"/>
    </xf>
    <xf numFmtId="165" fontId="9" fillId="5" borderId="4" applyAlignment="1" pivotButton="0" quotePrefix="0" xfId="0">
      <alignment horizontal="right" vertical="center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88" customWidth="1" min="2" max="2"/>
  </cols>
  <sheetData>
    <row r="1">
      <c r="A1" s="1" t="inlineStr">
        <is>
          <t>MAQUETTES DE RAPPORTS  ·  Actes 1 &amp; 2  ·  EDUSERVICES 2027</t>
        </is>
      </c>
    </row>
    <row r="2">
      <c r="A2" s="2" t="inlineStr">
        <is>
          <t>Rendu cible pour la restitution Tagetik. Chaque rapport indique la vue qui l'alimente et ce qui reste à construire.</t>
        </is>
      </c>
    </row>
    <row r="4">
      <c r="A4" s="3" t="inlineStr"/>
      <c r="B4" s="4" t="inlineStr"/>
    </row>
    <row r="5">
      <c r="A5" s="5" t="inlineStr">
        <is>
          <t>RAPPORT</t>
        </is>
      </c>
      <c r="B5" s="5" t="inlineStr">
        <is>
          <t>SOURCE / À CONSTRUIRE</t>
        </is>
      </c>
    </row>
    <row r="6">
      <c r="A6" s="3" t="inlineStr">
        <is>
          <t>Cockpit d'ouverture</t>
        </is>
      </c>
      <c r="B6" s="4" t="inlineStr">
        <is>
          <t>V_COCKPIT (cross-source CRM+compta) + 2 drill-through Constitution du CA. Maquette visuelle déjà livrée (artifact).</t>
        </is>
      </c>
    </row>
    <row r="7">
      <c r="A7" s="3" t="inlineStr">
        <is>
          <t>P&amp;L ①  (feuille « P&amp;L ① »)</t>
        </is>
      </c>
      <c r="B7" s="4" t="inlineStr">
        <is>
          <t>FST natif 010-EBITDA sur V_PNL. Hiérarchie Compte fournie (MAPPING_COMPTES.csv). Colonne 2027 → P&amp;L ②③④.</t>
        </is>
      </c>
    </row>
    <row r="8">
      <c r="A8" s="3" t="inlineStr">
        <is>
          <t>Funnel &amp; CAC  (feuille)</t>
        </is>
      </c>
      <c r="B8" s="4" t="inlineStr">
        <is>
          <t>Matrice multidim sur V_FUNNEL + V_CAC (refaites plates + additives). Un seul rapport. Rien de plus à construire côté SQL.</t>
        </is>
      </c>
    </row>
    <row r="9">
      <c r="A9" s="3" t="inlineStr"/>
      <c r="B9" s="4" t="inlineStr"/>
    </row>
    <row r="10">
      <c r="A10" s="5" t="inlineStr">
        <is>
          <t>NAVIGATION (drill-through vs hyperlink)</t>
        </is>
      </c>
      <c r="B10" s="5" t="inlineStr"/>
    </row>
    <row r="11">
      <c r="A11" s="3" t="inlineStr">
        <is>
          <t>Cockpit · tuile CA</t>
        </is>
      </c>
      <c r="B11" s="4" t="inlineStr">
        <is>
          <t>→ drill-through ×2 : Constitution du CA (CRM ‖ Compta)</t>
        </is>
      </c>
    </row>
    <row r="12">
      <c r="A12" s="3" t="inlineStr">
        <is>
          <t>Cockpit · tuile EBITDA / Marge</t>
        </is>
      </c>
      <c r="B12" s="4" t="inlineStr">
        <is>
          <t>→ hyperlink : Rapport P&amp;L ①  (POV groupe)</t>
        </is>
      </c>
    </row>
    <row r="13">
      <c r="A13" s="3" t="inlineStr">
        <is>
          <t>Cockpit · tuile CAC</t>
        </is>
      </c>
      <c r="B13" s="4" t="inlineStr">
        <is>
          <t>→ hyperlink : Rapport Funnel &amp; CAC  (POV groupe)</t>
        </is>
      </c>
    </row>
    <row r="14">
      <c r="A14" s="3" t="inlineStr">
        <is>
          <t>P&amp;L ① · ligne marque</t>
        </is>
      </c>
      <c r="B14" s="4" t="inlineStr">
        <is>
          <t>→ hyperlink : P&amp;L au POV marque → campus</t>
        </is>
      </c>
    </row>
    <row r="15">
      <c r="A15" s="3" t="inlineStr">
        <is>
          <t>Funnel &amp; CAC · cellule campus</t>
        </is>
      </c>
      <c r="B15" s="4" t="inlineStr">
        <is>
          <t>→ hyperlink : funnel du campus</t>
        </is>
      </c>
    </row>
    <row r="16">
      <c r="A16" s="3" t="inlineStr"/>
      <c r="B16" s="4" t="inlineStr"/>
    </row>
    <row r="17">
      <c r="A17" s="5" t="inlineStr">
        <is>
          <t>LÉGENDE</t>
        </is>
      </c>
      <c r="B17" s="5" t="inlineStr">
        <is>
          <t>Bleu = donnée saisie (image de la vue) · Noir = formule · Vert teal = sous-total / EBITDA · Ochre = point de tension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42" customWidth="1" min="2" max="2"/>
    <col width="16" customWidth="1" min="3" max="3"/>
    <col width="15" customWidth="1" min="4" max="4"/>
    <col width="13" customWidth="1" min="5" max="5"/>
    <col width="13" customWidth="1" min="6" max="6"/>
    <col width="13" customWidth="1" min="7" max="7"/>
  </cols>
  <sheetData>
    <row r="1">
      <c r="A1" s="6" t="inlineStr">
        <is>
          <t>DONNÉES  ·  image de la vue V_PNL (VERSION = ACT, réel 2024-2026)</t>
        </is>
      </c>
    </row>
    <row r="2">
      <c r="A2" s="7" t="inlineStr">
        <is>
          <t>Grain compte × exercice. Sur Tagetik, ces montants viennent de la dimension Compte ; les nœuds SIG et l'EBITDA sont remontés par le FST.</t>
        </is>
      </c>
    </row>
    <row r="4">
      <c r="A4" s="8" t="inlineStr">
        <is>
          <t>Compte</t>
        </is>
      </c>
      <c r="B4" s="8" t="inlineStr">
        <is>
          <t>Libellé</t>
        </is>
      </c>
      <c r="C4" s="8" t="inlineStr">
        <is>
          <t>Nœud P&amp;L (FST)</t>
        </is>
      </c>
      <c r="D4" s="8" t="inlineStr">
        <is>
          <t>Rôle allocation</t>
        </is>
      </c>
      <c r="E4" s="8" t="inlineStr">
        <is>
          <t>2024</t>
        </is>
      </c>
      <c r="F4" s="8" t="inlineStr">
        <is>
          <t>2025</t>
        </is>
      </c>
      <c r="G4" s="8" t="inlineStr">
        <is>
          <t>2026</t>
        </is>
      </c>
    </row>
    <row r="5">
      <c r="A5" s="9" t="inlineStr">
        <is>
          <t>706</t>
        </is>
      </c>
      <c r="B5" s="10" t="inlineStr">
        <is>
          <t>Prestations de formation - scolarité (initial)</t>
        </is>
      </c>
      <c r="C5" s="11" t="inlineStr">
        <is>
          <t>PRODUITS</t>
        </is>
      </c>
      <c r="D5" s="11" t="inlineStr">
        <is>
          <t>PRODUIT</t>
        </is>
      </c>
      <c r="E5" s="12" t="n">
        <v>2942930</v>
      </c>
      <c r="F5" s="12" t="n">
        <v>3119504</v>
      </c>
      <c r="G5" s="12" t="n">
        <v>3306675</v>
      </c>
    </row>
    <row r="6">
      <c r="A6" s="13" t="inlineStr">
        <is>
          <t>7062</t>
        </is>
      </c>
      <c r="B6" s="14" t="inlineStr">
        <is>
          <t>Prestations de formation - alternance (OPCO)</t>
        </is>
      </c>
      <c r="C6" s="15" t="inlineStr">
        <is>
          <t>PRODUITS</t>
        </is>
      </c>
      <c r="D6" s="15" t="inlineStr">
        <is>
          <t>PRODUIT</t>
        </is>
      </c>
      <c r="E6" s="16" t="n">
        <v>17023353</v>
      </c>
      <c r="F6" s="16" t="n">
        <v>18044754</v>
      </c>
      <c r="G6" s="16" t="n">
        <v>19127440</v>
      </c>
    </row>
    <row r="7">
      <c r="A7" s="9" t="inlineStr">
        <is>
          <t>708</t>
        </is>
      </c>
      <c r="B7" s="10" t="inlineStr">
        <is>
          <t>Frais de dossier &amp; droits d'inscription</t>
        </is>
      </c>
      <c r="C7" s="11" t="inlineStr">
        <is>
          <t>PRODUITS</t>
        </is>
      </c>
      <c r="D7" s="11" t="inlineStr">
        <is>
          <t>PRODUIT</t>
        </is>
      </c>
      <c r="E7" s="12" t="n">
        <v>98442</v>
      </c>
      <c r="F7" s="12" t="n">
        <v>104348</v>
      </c>
      <c r="G7" s="12" t="n">
        <v>110610</v>
      </c>
    </row>
    <row r="8">
      <c r="A8" s="13" t="inlineStr">
        <is>
          <t>604</t>
        </is>
      </c>
      <c r="B8" s="14" t="inlineStr">
        <is>
          <t>Sous-traitance pédagogique</t>
        </is>
      </c>
      <c r="C8" s="15" t="inlineStr">
        <is>
          <t>COUTS_DIRECTS</t>
        </is>
      </c>
      <c r="D8" s="15" t="inlineStr">
        <is>
          <t>DIRECT</t>
        </is>
      </c>
      <c r="E8" s="16" t="n">
        <v>618583</v>
      </c>
      <c r="F8" s="16" t="n">
        <v>646928</v>
      </c>
      <c r="G8" s="16" t="n">
        <v>677808</v>
      </c>
    </row>
    <row r="9">
      <c r="A9" s="9" t="inlineStr">
        <is>
          <t>6063</t>
        </is>
      </c>
      <c r="B9" s="10" t="inlineStr">
        <is>
          <t>Fournitures pédagogiques &amp; petit équipement</t>
        </is>
      </c>
      <c r="C9" s="11" t="inlineStr">
        <is>
          <t>COUTS_DIRECTS</t>
        </is>
      </c>
      <c r="D9" s="11" t="inlineStr">
        <is>
          <t>DIRECT</t>
        </is>
      </c>
      <c r="E9" s="12" t="n">
        <v>412387</v>
      </c>
      <c r="F9" s="12" t="n">
        <v>431286</v>
      </c>
      <c r="G9" s="12" t="n">
        <v>451874</v>
      </c>
    </row>
    <row r="10">
      <c r="A10" s="13" t="inlineStr">
        <is>
          <t>621</t>
        </is>
      </c>
      <c r="B10" s="14" t="inlineStr">
        <is>
          <t>Personnel extérieur - vacataires</t>
        </is>
      </c>
      <c r="C10" s="15" t="inlineStr">
        <is>
          <t>COUTS_DIRECTS</t>
        </is>
      </c>
      <c r="D10" s="15" t="inlineStr">
        <is>
          <t>DIRECT</t>
        </is>
      </c>
      <c r="E10" s="16" t="n">
        <v>1443361</v>
      </c>
      <c r="F10" s="16" t="n">
        <v>1509499</v>
      </c>
      <c r="G10" s="16" t="n">
        <v>1581554</v>
      </c>
    </row>
    <row r="11">
      <c r="A11" s="9" t="inlineStr">
        <is>
          <t>6231</t>
        </is>
      </c>
      <c r="B11" s="10" t="inlineStr">
        <is>
          <t>Publicité &amp; marketing d'acquisition</t>
        </is>
      </c>
      <c r="C11" s="11" t="inlineStr">
        <is>
          <t>COUTS_DIRECTS</t>
        </is>
      </c>
      <c r="D11" s="11" t="inlineStr">
        <is>
          <t>DIRECT</t>
        </is>
      </c>
      <c r="E11" s="12" t="n">
        <v>358819</v>
      </c>
      <c r="F11" s="12" t="n">
        <v>394702</v>
      </c>
      <c r="G11" s="12" t="n">
        <v>434174</v>
      </c>
    </row>
    <row r="12">
      <c r="A12" s="13" t="inlineStr">
        <is>
          <t>6411</t>
        </is>
      </c>
      <c r="B12" s="14" t="inlineStr">
        <is>
          <t>Rémunération enseignants permanents</t>
        </is>
      </c>
      <c r="C12" s="15" t="inlineStr">
        <is>
          <t>PERSONNEL</t>
        </is>
      </c>
      <c r="D12" s="15" t="inlineStr">
        <is>
          <t>DIRECT</t>
        </is>
      </c>
      <c r="E12" s="16" t="n">
        <v>3505311</v>
      </c>
      <c r="F12" s="16" t="n">
        <v>3665931</v>
      </c>
      <c r="G12" s="16" t="n">
        <v>3840917</v>
      </c>
    </row>
    <row r="13">
      <c r="A13" s="9" t="inlineStr">
        <is>
          <t>6413</t>
        </is>
      </c>
      <c r="B13" s="10" t="inlineStr">
        <is>
          <t>Rémunération personnel administratif</t>
        </is>
      </c>
      <c r="C13" s="11" t="inlineStr">
        <is>
          <t>PERSONNEL</t>
        </is>
      </c>
      <c r="D13" s="11" t="inlineStr">
        <is>
          <t>STRUCT_CAMP</t>
        </is>
      </c>
      <c r="E13" s="12" t="n">
        <v>1855752</v>
      </c>
      <c r="F13" s="12" t="n">
        <v>1940786</v>
      </c>
      <c r="G13" s="12" t="n">
        <v>2033426</v>
      </c>
    </row>
    <row r="14">
      <c r="A14" s="13" t="inlineStr">
        <is>
          <t>6414</t>
        </is>
      </c>
      <c r="B14" s="14" t="inlineStr">
        <is>
          <t>Rémunération direction &amp; siège</t>
        </is>
      </c>
      <c r="C14" s="15" t="inlineStr">
        <is>
          <t>PERSONNEL</t>
        </is>
      </c>
      <c r="D14" s="15" t="inlineStr">
        <is>
          <t>HOLDING</t>
        </is>
      </c>
      <c r="E14" s="16" t="n">
        <v>1134071</v>
      </c>
      <c r="F14" s="16" t="n">
        <v>1186037</v>
      </c>
      <c r="G14" s="16" t="n">
        <v>1242649</v>
      </c>
    </row>
    <row r="15">
      <c r="A15" s="9" t="inlineStr">
        <is>
          <t>645</t>
        </is>
      </c>
      <c r="B15" s="10" t="inlineStr">
        <is>
          <t>Charges sociales &amp; prévoyance</t>
        </is>
      </c>
      <c r="C15" s="11" t="inlineStr">
        <is>
          <t>PERSONNEL</t>
        </is>
      </c>
      <c r="D15" s="11" t="inlineStr">
        <is>
          <t>STRUCT_CAMP</t>
        </is>
      </c>
      <c r="E15" s="12" t="n">
        <v>2886726</v>
      </c>
      <c r="F15" s="12" t="n">
        <v>3019002</v>
      </c>
      <c r="G15" s="12" t="n">
        <v>3163106</v>
      </c>
    </row>
    <row r="16">
      <c r="A16" s="13" t="inlineStr">
        <is>
          <t>613</t>
        </is>
      </c>
      <c r="B16" s="14" t="inlineStr">
        <is>
          <t>Loyers &amp; charges locatives</t>
        </is>
      </c>
      <c r="C16" s="15" t="inlineStr">
        <is>
          <t>STRUCTURE</t>
        </is>
      </c>
      <c r="D16" s="15" t="inlineStr">
        <is>
          <t>STRUCT_CAMP</t>
        </is>
      </c>
      <c r="E16" s="16" t="n">
        <v>2165045</v>
      </c>
      <c r="F16" s="16" t="n">
        <v>2264254</v>
      </c>
      <c r="G16" s="16" t="n">
        <v>2372329</v>
      </c>
    </row>
    <row r="17">
      <c r="A17" s="9" t="inlineStr">
        <is>
          <t>615</t>
        </is>
      </c>
      <c r="B17" s="10" t="inlineStr">
        <is>
          <t>Entretien &amp; maintenance</t>
        </is>
      </c>
      <c r="C17" s="11" t="inlineStr">
        <is>
          <t>STRUCTURE</t>
        </is>
      </c>
      <c r="D17" s="11" t="inlineStr">
        <is>
          <t>STRUCT_CAMP</t>
        </is>
      </c>
      <c r="E17" s="12" t="n">
        <v>309291</v>
      </c>
      <c r="F17" s="12" t="n">
        <v>323463</v>
      </c>
      <c r="G17" s="12" t="n">
        <v>338902</v>
      </c>
    </row>
    <row r="18">
      <c r="A18" s="13" t="inlineStr">
        <is>
          <t>616</t>
        </is>
      </c>
      <c r="B18" s="14" t="inlineStr">
        <is>
          <t>Primes d'assurance</t>
        </is>
      </c>
      <c r="C18" s="15" t="inlineStr">
        <is>
          <t>STRUCTURE</t>
        </is>
      </c>
      <c r="D18" s="15" t="inlineStr">
        <is>
          <t>STRUCT_CAMP</t>
        </is>
      </c>
      <c r="E18" s="16" t="n">
        <v>206194</v>
      </c>
      <c r="F18" s="16" t="n">
        <v>215645</v>
      </c>
      <c r="G18" s="16" t="n">
        <v>225937</v>
      </c>
    </row>
    <row r="19">
      <c r="A19" s="9" t="inlineStr">
        <is>
          <t>6226</t>
        </is>
      </c>
      <c r="B19" s="10" t="inlineStr">
        <is>
          <t>Honoraires</t>
        </is>
      </c>
      <c r="C19" s="11" t="inlineStr">
        <is>
          <t>STRUCTURE</t>
        </is>
      </c>
      <c r="D19" s="11" t="inlineStr">
        <is>
          <t>HOLDING</t>
        </is>
      </c>
      <c r="E19" s="12" t="n">
        <v>515487</v>
      </c>
      <c r="F19" s="12" t="n">
        <v>539108</v>
      </c>
      <c r="G19" s="12" t="n">
        <v>564841</v>
      </c>
    </row>
    <row r="20">
      <c r="A20" s="13" t="inlineStr">
        <is>
          <t>6236</t>
        </is>
      </c>
      <c r="B20" s="14" t="inlineStr">
        <is>
          <t>Marketing de marque, salons &amp; JPO</t>
        </is>
      </c>
      <c r="C20" s="15" t="inlineStr">
        <is>
          <t>STRUCTURE</t>
        </is>
      </c>
      <c r="D20" s="15" t="inlineStr">
        <is>
          <t>FRAIS_MARQUE</t>
        </is>
      </c>
      <c r="E20" s="16" t="n">
        <v>499926</v>
      </c>
      <c r="F20" s="16" t="n">
        <v>580167</v>
      </c>
      <c r="G20" s="16" t="n">
        <v>676344</v>
      </c>
    </row>
    <row r="21">
      <c r="A21" s="9" t="inlineStr">
        <is>
          <t>625</t>
        </is>
      </c>
      <c r="B21" s="10" t="inlineStr">
        <is>
          <t>Déplacements &amp; missions</t>
        </is>
      </c>
      <c r="C21" s="11" t="inlineStr">
        <is>
          <t>STRUCTURE</t>
        </is>
      </c>
      <c r="D21" s="11" t="inlineStr">
        <is>
          <t>STRUCT_CAMP</t>
        </is>
      </c>
      <c r="E21" s="12" t="n">
        <v>309292</v>
      </c>
      <c r="F21" s="12" t="n">
        <v>323464</v>
      </c>
      <c r="G21" s="12" t="n">
        <v>338906</v>
      </c>
    </row>
    <row r="22">
      <c r="A22" s="13" t="inlineStr">
        <is>
          <t>626</t>
        </is>
      </c>
      <c r="B22" s="14" t="inlineStr">
        <is>
          <t>Télécom &amp; SI</t>
        </is>
      </c>
      <c r="C22" s="15" t="inlineStr">
        <is>
          <t>STRUCTURE</t>
        </is>
      </c>
      <c r="D22" s="15" t="inlineStr">
        <is>
          <t>HOLDING</t>
        </is>
      </c>
      <c r="E22" s="16" t="n">
        <v>412389</v>
      </c>
      <c r="F22" s="16" t="n">
        <v>431286</v>
      </c>
      <c r="G22" s="16" t="n">
        <v>451872</v>
      </c>
    </row>
    <row r="23">
      <c r="A23" s="9" t="inlineStr">
        <is>
          <t>6281</t>
        </is>
      </c>
      <c r="B23" s="10" t="inlineStr">
        <is>
          <t>Cotisations &amp; abonnements</t>
        </is>
      </c>
      <c r="C23" s="11" t="inlineStr">
        <is>
          <t>STRUCTURE</t>
        </is>
      </c>
      <c r="D23" s="11" t="inlineStr">
        <is>
          <t>HOLDING</t>
        </is>
      </c>
      <c r="E23" s="12" t="n">
        <v>164956</v>
      </c>
      <c r="F23" s="12" t="n">
        <v>172514</v>
      </c>
      <c r="G23" s="12" t="n">
        <v>180749</v>
      </c>
    </row>
    <row r="24">
      <c r="A24" s="13" t="inlineStr">
        <is>
          <t>6331</t>
        </is>
      </c>
      <c r="B24" s="14" t="inlineStr">
        <is>
          <t>Taxe sur les salaires</t>
        </is>
      </c>
      <c r="C24" s="15" t="inlineStr">
        <is>
          <t>IMPOTS_TAXES</t>
        </is>
      </c>
      <c r="D24" s="15" t="inlineStr">
        <is>
          <t>HOLDING</t>
        </is>
      </c>
      <c r="E24" s="16" t="n">
        <v>309292</v>
      </c>
      <c r="F24" s="16" t="n">
        <v>323465</v>
      </c>
      <c r="G24" s="16" t="n">
        <v>338904</v>
      </c>
    </row>
    <row r="25">
      <c r="A25" s="9" t="inlineStr">
        <is>
          <t>6333</t>
        </is>
      </c>
      <c r="B25" s="10" t="inlineStr">
        <is>
          <t>Participation formation</t>
        </is>
      </c>
      <c r="C25" s="11" t="inlineStr">
        <is>
          <t>IMPOTS_TAXES</t>
        </is>
      </c>
      <c r="D25" s="11" t="inlineStr">
        <is>
          <t>HOLDING</t>
        </is>
      </c>
      <c r="E25" s="12" t="n">
        <v>103097</v>
      </c>
      <c r="F25" s="12" t="n">
        <v>107822</v>
      </c>
      <c r="G25" s="12" t="n">
        <v>112968</v>
      </c>
    </row>
    <row r="26">
      <c r="A26" s="13" t="inlineStr">
        <is>
          <t>63511</t>
        </is>
      </c>
      <c r="B26" s="14" t="inlineStr">
        <is>
          <t>Cotisation foncière &amp; CVAE</t>
        </is>
      </c>
      <c r="C26" s="15" t="inlineStr">
        <is>
          <t>IMPOTS_TAXES</t>
        </is>
      </c>
      <c r="D26" s="15" t="inlineStr">
        <is>
          <t>STRUCT_CAMP</t>
        </is>
      </c>
      <c r="E26" s="16" t="n">
        <v>206196</v>
      </c>
      <c r="F26" s="16" t="n">
        <v>215643</v>
      </c>
      <c r="G26" s="16" t="n">
        <v>225935</v>
      </c>
    </row>
    <row r="27">
      <c r="A27" s="9" t="inlineStr">
        <is>
          <t>6811</t>
        </is>
      </c>
      <c r="B27" s="10" t="inlineStr">
        <is>
          <t>Dotations aux amortissements</t>
        </is>
      </c>
      <c r="C27" s="11" t="inlineStr">
        <is>
          <t>DOTATIONS</t>
        </is>
      </c>
      <c r="D27" s="11" t="inlineStr">
        <is>
          <t>DOTATION</t>
        </is>
      </c>
      <c r="E27" s="12" t="n">
        <v>1203886</v>
      </c>
      <c r="F27" s="12" t="n">
        <v>1276115</v>
      </c>
      <c r="G27" s="12" t="n">
        <v>1352683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3" customWidth="1" min="5" max="5"/>
  </cols>
  <sheetData>
    <row r="1">
      <c r="A1" s="1" t="inlineStr">
        <is>
          <t>RAPPORT P&amp;L ①  ·  Compte de résultat comparatif</t>
        </is>
      </c>
    </row>
    <row r="2">
      <c r="A2" s="17" t="inlineStr">
        <is>
          <t>Cible du hyperlink depuis la tuile EBITDA du cockpit · POV = Groupe · réel 2024-2026</t>
        </is>
      </c>
    </row>
    <row r="3">
      <c r="A3" s="7" t="inlineStr">
        <is>
          <t>SOURCE : FST natif Tagetik (010-EBITDA) sur V_PNL. Ici reproduit par formules SUMIFS sur la feuille « Données P&amp;L ».</t>
        </is>
      </c>
    </row>
    <row r="5">
      <c r="A5" s="18" t="inlineStr">
        <is>
          <t>en €</t>
        </is>
      </c>
      <c r="B5" s="19" t="inlineStr">
        <is>
          <t>2024</t>
        </is>
      </c>
      <c r="C5" s="19" t="inlineStr">
        <is>
          <t>2025</t>
        </is>
      </c>
      <c r="D5" s="19" t="inlineStr">
        <is>
          <t>2026</t>
        </is>
      </c>
      <c r="E5" s="19" t="inlineStr">
        <is>
          <t>Δ 25→26</t>
        </is>
      </c>
    </row>
    <row r="6">
      <c r="A6" s="20" t="inlineStr">
        <is>
          <t>PRODUITS</t>
        </is>
      </c>
      <c r="B6" s="21">
        <f>SUMIFS('Données P&amp;L'!$E$5:$E$27,'Données P&amp;L'!$C$5:$C$27,"PRODUITS")</f>
        <v/>
      </c>
      <c r="C6" s="21">
        <f>SUMIFS('Données P&amp;L'!$F$5:$F$27,'Données P&amp;L'!$C$5:$C$27,"PRODUITS")</f>
        <v/>
      </c>
      <c r="D6" s="21">
        <f>SUMIFS('Données P&amp;L'!$G$5:$G$27,'Données P&amp;L'!$C$5:$C$27,"PRODUITS")</f>
        <v/>
      </c>
      <c r="E6" s="22">
        <f>IFERROR((G6-F6)/F6,0)</f>
        <v/>
      </c>
    </row>
    <row r="7">
      <c r="A7" s="23" t="inlineStr">
        <is>
          <t>Coûts directs</t>
        </is>
      </c>
      <c r="B7" s="24">
        <f>-SUMIFS('Données P&amp;L'!$E$5:$E$27,'Données P&amp;L'!$C$5:$C$27,"COUTS_DIRECTS")</f>
        <v/>
      </c>
      <c r="C7" s="24">
        <f>-SUMIFS('Données P&amp;L'!$F$5:$F$27,'Données P&amp;L'!$C$5:$C$27,"COUTS_DIRECTS")</f>
        <v/>
      </c>
      <c r="D7" s="24">
        <f>-SUMIFS('Données P&amp;L'!$G$5:$G$27,'Données P&amp;L'!$C$5:$C$27,"COUTS_DIRECTS")</f>
        <v/>
      </c>
      <c r="E7" s="25">
        <f>IFERROR((G7-F7)/F7,0)</f>
        <v/>
      </c>
    </row>
    <row r="8">
      <c r="A8" s="23" t="inlineStr">
        <is>
          <t>Personnel</t>
        </is>
      </c>
      <c r="B8" s="24">
        <f>-SUMIFS('Données P&amp;L'!$E$5:$E$27,'Données P&amp;L'!$C$5:$C$27,"PERSONNEL")</f>
        <v/>
      </c>
      <c r="C8" s="24">
        <f>-SUMIFS('Données P&amp;L'!$F$5:$F$27,'Données P&amp;L'!$C$5:$C$27,"PERSONNEL")</f>
        <v/>
      </c>
      <c r="D8" s="24">
        <f>-SUMIFS('Données P&amp;L'!$G$5:$G$27,'Données P&amp;L'!$C$5:$C$27,"PERSONNEL")</f>
        <v/>
      </c>
      <c r="E8" s="25">
        <f>IFERROR((G8-F8)/F8,0)</f>
        <v/>
      </c>
    </row>
    <row r="9">
      <c r="A9" s="23" t="inlineStr">
        <is>
          <t>Structure</t>
        </is>
      </c>
      <c r="B9" s="24">
        <f>-SUMIFS('Données P&amp;L'!$E$5:$E$27,'Données P&amp;L'!$C$5:$C$27,"STRUCTURE")</f>
        <v/>
      </c>
      <c r="C9" s="24">
        <f>-SUMIFS('Données P&amp;L'!$F$5:$F$27,'Données P&amp;L'!$C$5:$C$27,"STRUCTURE")</f>
        <v/>
      </c>
      <c r="D9" s="24">
        <f>-SUMIFS('Données P&amp;L'!$G$5:$G$27,'Données P&amp;L'!$C$5:$C$27,"STRUCTURE")</f>
        <v/>
      </c>
      <c r="E9" s="25">
        <f>IFERROR((G9-F9)/F9,0)</f>
        <v/>
      </c>
    </row>
    <row r="10">
      <c r="A10" s="23" t="inlineStr">
        <is>
          <t>Impôts &amp; taxes</t>
        </is>
      </c>
      <c r="B10" s="24">
        <f>-SUMIFS('Données P&amp;L'!$E$5:$E$27,'Données P&amp;L'!$C$5:$C$27,"IMPOTS_TAXES")</f>
        <v/>
      </c>
      <c r="C10" s="24">
        <f>-SUMIFS('Données P&amp;L'!$F$5:$F$27,'Données P&amp;L'!$C$5:$C$27,"IMPOTS_TAXES")</f>
        <v/>
      </c>
      <c r="D10" s="24">
        <f>-SUMIFS('Données P&amp;L'!$G$5:$G$27,'Données P&amp;L'!$C$5:$C$27,"IMPOTS_TAXES")</f>
        <v/>
      </c>
      <c r="E10" s="25">
        <f>IFERROR((G10-F10)/F10,0)</f>
        <v/>
      </c>
    </row>
    <row r="11">
      <c r="A11" s="26" t="inlineStr">
        <is>
          <t>EBITDA</t>
        </is>
      </c>
      <c r="B11" s="27">
        <f>B6+SUM(B7:B10)</f>
        <v/>
      </c>
      <c r="C11" s="27">
        <f>C6+SUM(C7:C10)</f>
        <v/>
      </c>
      <c r="D11" s="27">
        <f>D6+SUM(D7:D10)</f>
        <v/>
      </c>
      <c r="E11" s="28">
        <f>IFERROR((G11-F11)/F11,0)</f>
        <v/>
      </c>
    </row>
    <row r="12">
      <c r="A12" s="23" t="inlineStr">
        <is>
          <t>Dotations (D&amp;A)</t>
        </is>
      </c>
      <c r="B12" s="24">
        <f>-SUMIFS('Données P&amp;L'!$E$5:$E$27,'Données P&amp;L'!$C$5:$C$27,"DOTATIONS")</f>
        <v/>
      </c>
      <c r="C12" s="24">
        <f>-SUMIFS('Données P&amp;L'!$F$5:$F$27,'Données P&amp;L'!$C$5:$C$27,"DOTATIONS")</f>
        <v/>
      </c>
      <c r="D12" s="24">
        <f>-SUMIFS('Données P&amp;L'!$G$5:$G$27,'Données P&amp;L'!$C$5:$C$27,"DOTATIONS")</f>
        <v/>
      </c>
      <c r="E12" s="25">
        <f>IFERROR((G12-F12)/F12,0)</f>
        <v/>
      </c>
    </row>
    <row r="13">
      <c r="A13" s="29" t="inlineStr">
        <is>
          <t>RÉSULTAT D'EXPLOITATION</t>
        </is>
      </c>
      <c r="B13" s="30">
        <f>B11+B12</f>
        <v/>
      </c>
      <c r="C13" s="30">
        <f>C11+C12</f>
        <v/>
      </c>
      <c r="D13" s="30">
        <f>D11+D12</f>
        <v/>
      </c>
      <c r="E13" s="31">
        <f>IFERROR((G13-F13)/F13,0)</f>
        <v/>
      </c>
    </row>
    <row r="14">
      <c r="A14" s="32" t="inlineStr">
        <is>
          <t>Marge EBITDA %</t>
        </is>
      </c>
      <c r="B14" s="33">
        <f>B11/B6</f>
        <v/>
      </c>
      <c r="C14" s="33">
        <f>C11/C6</f>
        <v/>
      </c>
      <c r="D14" s="33">
        <f>D11/D6</f>
        <v/>
      </c>
      <c r="E14" s="34">
        <f>G14-F14</f>
        <v/>
      </c>
    </row>
    <row r="16">
      <c r="A16" s="7" t="inlineStr">
        <is>
          <t>Contrôle : EBITDA 2024/25/26 = 2 648 550 / 2 977 604 / 3 291 530  ·  drill possible : PRODUITS → 2 drill-through Constitution du CA (CRM ‖ Compta).</t>
        </is>
      </c>
    </row>
    <row r="17">
      <c r="A17" s="35" t="inlineStr">
        <is>
          <t>À reproduire nativement : hiérarchie Compte + FST EBITDA. Colonne 2027 (V01/V02/V03) s'ajoute aux P&amp;L ②③④.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9" customWidth="1" min="5" max="5"/>
    <col width="10" customWidth="1" min="6" max="6"/>
    <col width="13" customWidth="1" min="7" max="7"/>
    <col width="15" customWidth="1" min="8" max="8"/>
  </cols>
  <sheetData>
    <row r="1">
      <c r="A1" s="6" t="inlineStr">
        <is>
          <t>DONNÉES  ·  image des vues V_FUNNEL + V_CAC (socle CRM)</t>
        </is>
      </c>
    </row>
    <row r="2">
      <c r="A2" s="7" t="inlineStr">
        <is>
          <t>Grain marque × exercice (mesures additives). Sur Tagetik, maille fine campus/programme/cycle/modalité — les taux, CPL et CAC se calculent dans la matrice.</t>
        </is>
      </c>
    </row>
    <row r="4">
      <c r="A4" s="8" t="inlineStr">
        <is>
          <t>Exercice</t>
        </is>
      </c>
      <c r="B4" s="8" t="inlineStr">
        <is>
          <t>Marque</t>
        </is>
      </c>
      <c r="C4" s="8" t="inlineStr">
        <is>
          <t>Leads</t>
        </is>
      </c>
      <c r="D4" s="8" t="inlineStr">
        <is>
          <t>Candidats</t>
        </is>
      </c>
      <c r="E4" s="8" t="inlineStr">
        <is>
          <t>Admis</t>
        </is>
      </c>
      <c r="F4" s="8" t="inlineStr">
        <is>
          <t>Inscrits</t>
        </is>
      </c>
      <c r="G4" s="8" t="inlineStr">
        <is>
          <t>Leads payants</t>
        </is>
      </c>
      <c r="H4" s="8" t="inlineStr">
        <is>
          <t>Dépense acq. (€)</t>
        </is>
      </c>
    </row>
    <row r="5">
      <c r="A5" s="36" t="inlineStr">
        <is>
          <t>2024</t>
        </is>
      </c>
      <c r="B5" s="10" t="inlineStr">
        <is>
          <t>MBWAY</t>
        </is>
      </c>
      <c r="C5" s="12" t="n">
        <v>5736</v>
      </c>
      <c r="D5" s="12" t="n">
        <v>1298</v>
      </c>
      <c r="E5" s="12" t="n">
        <v>920</v>
      </c>
      <c r="F5" s="12" t="n">
        <v>452</v>
      </c>
      <c r="G5" s="12" t="n">
        <v>3326</v>
      </c>
      <c r="H5" s="12" t="n">
        <v>137627</v>
      </c>
    </row>
    <row r="6">
      <c r="A6" s="37" t="inlineStr">
        <is>
          <t>2024</t>
        </is>
      </c>
      <c r="B6" s="14" t="inlineStr">
        <is>
          <t>ISCOM</t>
        </is>
      </c>
      <c r="C6" s="16" t="n">
        <v>3794</v>
      </c>
      <c r="D6" s="16" t="n">
        <v>857</v>
      </c>
      <c r="E6" s="16" t="n">
        <v>608</v>
      </c>
      <c r="F6" s="16" t="n">
        <v>300</v>
      </c>
      <c r="G6" s="16" t="n">
        <v>2132</v>
      </c>
      <c r="H6" s="16" t="n">
        <v>89342</v>
      </c>
    </row>
    <row r="7">
      <c r="A7" s="36" t="inlineStr">
        <is>
          <t>2024</t>
        </is>
      </c>
      <c r="B7" s="10" t="inlineStr">
        <is>
          <t>IPAC</t>
        </is>
      </c>
      <c r="C7" s="12" t="n">
        <v>1966</v>
      </c>
      <c r="D7" s="12" t="n">
        <v>393</v>
      </c>
      <c r="E7" s="12" t="n">
        <v>276</v>
      </c>
      <c r="F7" s="12" t="n">
        <v>116</v>
      </c>
      <c r="G7" s="12" t="n">
        <v>1237</v>
      </c>
      <c r="H7" s="12" t="n">
        <v>42867</v>
      </c>
    </row>
    <row r="8">
      <c r="A8" s="37" t="inlineStr">
        <is>
          <t>2024</t>
        </is>
      </c>
      <c r="B8" s="14" t="inlineStr">
        <is>
          <t>PIGIER</t>
        </is>
      </c>
      <c r="C8" s="16" t="n">
        <v>2492</v>
      </c>
      <c r="D8" s="16" t="n">
        <v>498</v>
      </c>
      <c r="E8" s="16" t="n">
        <v>350</v>
      </c>
      <c r="F8" s="16" t="n">
        <v>146</v>
      </c>
      <c r="G8" s="16" t="n">
        <v>1293</v>
      </c>
      <c r="H8" s="16" t="n">
        <v>48413</v>
      </c>
    </row>
    <row r="9">
      <c r="A9" s="36" t="inlineStr">
        <is>
          <t>2024</t>
        </is>
      </c>
      <c r="B9" s="10" t="inlineStr">
        <is>
          <t>TUNON</t>
        </is>
      </c>
      <c r="C9" s="12" t="n">
        <v>1317</v>
      </c>
      <c r="D9" s="12" t="n">
        <v>263</v>
      </c>
      <c r="E9" s="12" t="n">
        <v>185</v>
      </c>
      <c r="F9" s="12" t="n">
        <v>78</v>
      </c>
      <c r="G9" s="12" t="n">
        <v>909</v>
      </c>
      <c r="H9" s="12" t="n">
        <v>40570</v>
      </c>
    </row>
    <row r="10">
      <c r="A10" s="37" t="inlineStr">
        <is>
          <t>2025</t>
        </is>
      </c>
      <c r="B10" s="14" t="inlineStr">
        <is>
          <t>MBWAY</t>
        </is>
      </c>
      <c r="C10" s="16" t="n">
        <v>6079</v>
      </c>
      <c r="D10" s="16" t="n">
        <v>1374</v>
      </c>
      <c r="E10" s="16" t="n">
        <v>973</v>
      </c>
      <c r="F10" s="16" t="n">
        <v>482</v>
      </c>
      <c r="G10" s="16" t="n">
        <v>3487</v>
      </c>
      <c r="H10" s="16" t="n">
        <v>151390</v>
      </c>
    </row>
    <row r="11">
      <c r="A11" s="36" t="inlineStr">
        <is>
          <t>2025</t>
        </is>
      </c>
      <c r="B11" s="10" t="inlineStr">
        <is>
          <t>ISCOM</t>
        </is>
      </c>
      <c r="C11" s="12" t="n">
        <v>4022</v>
      </c>
      <c r="D11" s="12" t="n">
        <v>909</v>
      </c>
      <c r="E11" s="12" t="n">
        <v>644</v>
      </c>
      <c r="F11" s="12" t="n">
        <v>318</v>
      </c>
      <c r="G11" s="12" t="n">
        <v>2233</v>
      </c>
      <c r="H11" s="12" t="n">
        <v>98275</v>
      </c>
    </row>
    <row r="12">
      <c r="A12" s="37" t="inlineStr">
        <is>
          <t>2025</t>
        </is>
      </c>
      <c r="B12" s="14" t="inlineStr">
        <is>
          <t>IPAC</t>
        </is>
      </c>
      <c r="C12" s="16" t="n">
        <v>2086</v>
      </c>
      <c r="D12" s="16" t="n">
        <v>416</v>
      </c>
      <c r="E12" s="16" t="n">
        <v>292</v>
      </c>
      <c r="F12" s="16" t="n">
        <v>123</v>
      </c>
      <c r="G12" s="16" t="n">
        <v>1307</v>
      </c>
      <c r="H12" s="16" t="n">
        <v>47155</v>
      </c>
    </row>
    <row r="13">
      <c r="A13" s="36" t="inlineStr">
        <is>
          <t>2025</t>
        </is>
      </c>
      <c r="B13" s="10" t="inlineStr">
        <is>
          <t>PIGIER</t>
        </is>
      </c>
      <c r="C13" s="12" t="n">
        <v>2642</v>
      </c>
      <c r="D13" s="12" t="n">
        <v>528</v>
      </c>
      <c r="E13" s="12" t="n">
        <v>370</v>
      </c>
      <c r="F13" s="12" t="n">
        <v>154</v>
      </c>
      <c r="G13" s="12" t="n">
        <v>1350</v>
      </c>
      <c r="H13" s="12" t="n">
        <v>53255</v>
      </c>
    </row>
    <row r="14">
      <c r="A14" s="37" t="inlineStr">
        <is>
          <t>2025</t>
        </is>
      </c>
      <c r="B14" s="14" t="inlineStr">
        <is>
          <t>TUNON</t>
        </is>
      </c>
      <c r="C14" s="16" t="n">
        <v>1397</v>
      </c>
      <c r="D14" s="16" t="n">
        <v>279</v>
      </c>
      <c r="E14" s="16" t="n">
        <v>196</v>
      </c>
      <c r="F14" s="16" t="n">
        <v>82</v>
      </c>
      <c r="G14" s="16" t="n">
        <v>948</v>
      </c>
      <c r="H14" s="16" t="n">
        <v>44627</v>
      </c>
    </row>
    <row r="15">
      <c r="A15" s="36" t="inlineStr">
        <is>
          <t>2026</t>
        </is>
      </c>
      <c r="B15" s="10" t="inlineStr">
        <is>
          <t>MBWAY</t>
        </is>
      </c>
      <c r="C15" s="12" t="n">
        <v>6444</v>
      </c>
      <c r="D15" s="12" t="n">
        <v>1458</v>
      </c>
      <c r="E15" s="12" t="n">
        <v>1032</v>
      </c>
      <c r="F15" s="12" t="n">
        <v>510</v>
      </c>
      <c r="G15" s="12" t="n">
        <v>3659</v>
      </c>
      <c r="H15" s="12" t="n">
        <v>166530</v>
      </c>
    </row>
    <row r="16">
      <c r="A16" s="37" t="inlineStr">
        <is>
          <t>2026</t>
        </is>
      </c>
      <c r="B16" s="14" t="inlineStr">
        <is>
          <t>ISCOM</t>
        </is>
      </c>
      <c r="C16" s="16" t="n">
        <v>4263</v>
      </c>
      <c r="D16" s="16" t="n">
        <v>964</v>
      </c>
      <c r="E16" s="16" t="n">
        <v>683</v>
      </c>
      <c r="F16" s="16" t="n">
        <v>338</v>
      </c>
      <c r="G16" s="16" t="n">
        <v>2337</v>
      </c>
      <c r="H16" s="16" t="n">
        <v>108103</v>
      </c>
    </row>
    <row r="17">
      <c r="A17" s="36" t="inlineStr">
        <is>
          <t>2026</t>
        </is>
      </c>
      <c r="B17" s="10" t="inlineStr">
        <is>
          <t>IPAC</t>
        </is>
      </c>
      <c r="C17" s="12" t="n">
        <v>2210</v>
      </c>
      <c r="D17" s="12" t="n">
        <v>442</v>
      </c>
      <c r="E17" s="12" t="n">
        <v>309</v>
      </c>
      <c r="F17" s="12" t="n">
        <v>130</v>
      </c>
      <c r="G17" s="12" t="n">
        <v>1381</v>
      </c>
      <c r="H17" s="12" t="n">
        <v>51871</v>
      </c>
    </row>
    <row r="18">
      <c r="A18" s="37" t="inlineStr">
        <is>
          <t>2026</t>
        </is>
      </c>
      <c r="B18" s="14" t="inlineStr">
        <is>
          <t>PIGIER</t>
        </is>
      </c>
      <c r="C18" s="16" t="n">
        <v>2800</v>
      </c>
      <c r="D18" s="16" t="n">
        <v>560</v>
      </c>
      <c r="E18" s="16" t="n">
        <v>392</v>
      </c>
      <c r="F18" s="16" t="n">
        <v>164</v>
      </c>
      <c r="G18" s="16" t="n">
        <v>1410</v>
      </c>
      <c r="H18" s="16" t="n">
        <v>58580</v>
      </c>
    </row>
    <row r="19">
      <c r="A19" s="36" t="inlineStr">
        <is>
          <t>2026</t>
        </is>
      </c>
      <c r="B19" s="10" t="inlineStr">
        <is>
          <t>TUNON</t>
        </is>
      </c>
      <c r="C19" s="12" t="n">
        <v>1480</v>
      </c>
      <c r="D19" s="12" t="n">
        <v>296</v>
      </c>
      <c r="E19" s="12" t="n">
        <v>207</v>
      </c>
      <c r="F19" s="12" t="n">
        <v>87</v>
      </c>
      <c r="G19" s="12" t="n">
        <v>988</v>
      </c>
      <c r="H19" s="12" t="n">
        <v>49090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5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7" customWidth="1" min="4" max="4"/>
    <col width="9" customWidth="1" min="5" max="5"/>
    <col width="7" customWidth="1" min="6" max="6"/>
    <col width="10" customWidth="1" min="7" max="7"/>
    <col width="7" customWidth="1" min="8" max="8"/>
    <col width="13" customWidth="1" min="9" max="9"/>
    <col width="9" customWidth="1" min="10" max="10"/>
    <col width="14" customWidth="1" min="11" max="11"/>
  </cols>
  <sheetData>
    <row r="1">
      <c r="A1" s="1" t="inlineStr">
        <is>
          <t>RAPPORT FUNNEL &amp; CAC  ·  le coût d'acquisition, expliqué</t>
        </is>
      </c>
    </row>
    <row r="2">
      <c r="A2" s="17" t="inlineStr">
        <is>
          <t>Cible du hyperlink depuis la tuile CAC du cockpit · POV = Groupe, drill marque → campus · exercice 2026</t>
        </is>
      </c>
    </row>
    <row r="3">
      <c r="A3" s="7" t="inlineStr">
        <is>
          <t>SOURCE : matrice multidim sur V_FUNNEL + V_CAC (feuille « Données CRM »). Taux, CPL et CAC = formules (jamais pré-agrégés).</t>
        </is>
      </c>
    </row>
    <row r="5">
      <c r="A5" s="18" t="inlineStr">
        <is>
          <t>Marque</t>
        </is>
      </c>
      <c r="B5" s="8" t="inlineStr">
        <is>
          <t>Leads</t>
        </is>
      </c>
      <c r="C5" s="8" t="inlineStr">
        <is>
          <t>→ Cand.</t>
        </is>
      </c>
      <c r="D5" s="8" t="inlineStr">
        <is>
          <t>%</t>
        </is>
      </c>
      <c r="E5" s="8" t="inlineStr">
        <is>
          <t>→ Admis</t>
        </is>
      </c>
      <c r="F5" s="8" t="inlineStr">
        <is>
          <t>%</t>
        </is>
      </c>
      <c r="G5" s="8" t="inlineStr">
        <is>
          <t>→ Inscrits</t>
        </is>
      </c>
      <c r="H5" s="8" t="inlineStr">
        <is>
          <t>%</t>
        </is>
      </c>
      <c r="I5" s="8" t="inlineStr">
        <is>
          <t>Dépense acq.</t>
        </is>
      </c>
      <c r="J5" s="8" t="inlineStr">
        <is>
          <t>CPL</t>
        </is>
      </c>
      <c r="K5" s="8" t="inlineStr">
        <is>
          <t>CAC (€/inscrit)</t>
        </is>
      </c>
    </row>
    <row r="6">
      <c r="A6" s="20" t="inlineStr">
        <is>
          <t>Mbway</t>
        </is>
      </c>
      <c r="B6" s="38">
        <f>'Données CRM'!C15</f>
        <v/>
      </c>
      <c r="C6" s="38">
        <f>'Données CRM'!D15</f>
        <v/>
      </c>
      <c r="D6" s="39">
        <f>IFERROR('Données CRM'!D15/'Données CRM'!C15,0)</f>
        <v/>
      </c>
      <c r="E6" s="38">
        <f>'Données CRM'!E15</f>
        <v/>
      </c>
      <c r="F6" s="39">
        <f>IFERROR('Données CRM'!E15/'Données CRM'!D15,0)</f>
        <v/>
      </c>
      <c r="G6" s="38">
        <f>'Données CRM'!F15</f>
        <v/>
      </c>
      <c r="H6" s="39">
        <f>IFERROR('Données CRM'!F15/'Données CRM'!E15,0)</f>
        <v/>
      </c>
      <c r="I6" s="38">
        <f>'Données CRM'!H15</f>
        <v/>
      </c>
      <c r="J6" s="38">
        <f>IFERROR('Données CRM'!H15/'Données CRM'!G15,0)</f>
        <v/>
      </c>
      <c r="K6" s="38">
        <f>IFERROR('Données CRM'!H15/'Données CRM'!F15,0)</f>
        <v/>
      </c>
    </row>
    <row r="7">
      <c r="A7" s="32" t="inlineStr">
        <is>
          <t>Iscom</t>
        </is>
      </c>
      <c r="B7" s="24">
        <f>'Données CRM'!C16</f>
        <v/>
      </c>
      <c r="C7" s="24">
        <f>'Données CRM'!D16</f>
        <v/>
      </c>
      <c r="D7" s="40">
        <f>IFERROR('Données CRM'!D16/'Données CRM'!C16,0)</f>
        <v/>
      </c>
      <c r="E7" s="24">
        <f>'Données CRM'!E16</f>
        <v/>
      </c>
      <c r="F7" s="40">
        <f>IFERROR('Données CRM'!E16/'Données CRM'!D16,0)</f>
        <v/>
      </c>
      <c r="G7" s="24">
        <f>'Données CRM'!F16</f>
        <v/>
      </c>
      <c r="H7" s="40">
        <f>IFERROR('Données CRM'!F16/'Données CRM'!E16,0)</f>
        <v/>
      </c>
      <c r="I7" s="24">
        <f>'Données CRM'!H16</f>
        <v/>
      </c>
      <c r="J7" s="24">
        <f>IFERROR('Données CRM'!H16/'Données CRM'!G16,0)</f>
        <v/>
      </c>
      <c r="K7" s="24">
        <f>IFERROR('Données CRM'!H16/'Données CRM'!F16,0)</f>
        <v/>
      </c>
    </row>
    <row r="8">
      <c r="A8" s="20" t="inlineStr">
        <is>
          <t>Ipac</t>
        </is>
      </c>
      <c r="B8" s="38">
        <f>'Données CRM'!C17</f>
        <v/>
      </c>
      <c r="C8" s="38">
        <f>'Données CRM'!D17</f>
        <v/>
      </c>
      <c r="D8" s="39">
        <f>IFERROR('Données CRM'!D17/'Données CRM'!C17,0)</f>
        <v/>
      </c>
      <c r="E8" s="38">
        <f>'Données CRM'!E17</f>
        <v/>
      </c>
      <c r="F8" s="39">
        <f>IFERROR('Données CRM'!E17/'Données CRM'!D17,0)</f>
        <v/>
      </c>
      <c r="G8" s="38">
        <f>'Données CRM'!F17</f>
        <v/>
      </c>
      <c r="H8" s="39">
        <f>IFERROR('Données CRM'!F17/'Données CRM'!E17,0)</f>
        <v/>
      </c>
      <c r="I8" s="38">
        <f>'Données CRM'!H17</f>
        <v/>
      </c>
      <c r="J8" s="38">
        <f>IFERROR('Données CRM'!H17/'Données CRM'!G17,0)</f>
        <v/>
      </c>
      <c r="K8" s="38">
        <f>IFERROR('Données CRM'!H17/'Données CRM'!F17,0)</f>
        <v/>
      </c>
    </row>
    <row r="9">
      <c r="A9" s="32" t="inlineStr">
        <is>
          <t>Pigier</t>
        </is>
      </c>
      <c r="B9" s="24">
        <f>'Données CRM'!C18</f>
        <v/>
      </c>
      <c r="C9" s="24">
        <f>'Données CRM'!D18</f>
        <v/>
      </c>
      <c r="D9" s="40">
        <f>IFERROR('Données CRM'!D18/'Données CRM'!C18,0)</f>
        <v/>
      </c>
      <c r="E9" s="24">
        <f>'Données CRM'!E18</f>
        <v/>
      </c>
      <c r="F9" s="40">
        <f>IFERROR('Données CRM'!E18/'Données CRM'!D18,0)</f>
        <v/>
      </c>
      <c r="G9" s="24">
        <f>'Données CRM'!F18</f>
        <v/>
      </c>
      <c r="H9" s="40">
        <f>IFERROR('Données CRM'!F18/'Données CRM'!E18,0)</f>
        <v/>
      </c>
      <c r="I9" s="24">
        <f>'Données CRM'!H18</f>
        <v/>
      </c>
      <c r="J9" s="24">
        <f>IFERROR('Données CRM'!H18/'Données CRM'!G18,0)</f>
        <v/>
      </c>
      <c r="K9" s="24">
        <f>IFERROR('Données CRM'!H18/'Données CRM'!F18,0)</f>
        <v/>
      </c>
    </row>
    <row r="10">
      <c r="A10" s="41" t="inlineStr">
        <is>
          <t>Tunon</t>
        </is>
      </c>
      <c r="B10" s="38">
        <f>'Données CRM'!C19</f>
        <v/>
      </c>
      <c r="C10" s="38">
        <f>'Données CRM'!D19</f>
        <v/>
      </c>
      <c r="D10" s="39">
        <f>IFERROR('Données CRM'!D19/'Données CRM'!C19,0)</f>
        <v/>
      </c>
      <c r="E10" s="38">
        <f>'Données CRM'!E19</f>
        <v/>
      </c>
      <c r="F10" s="39">
        <f>IFERROR('Données CRM'!E19/'Données CRM'!D19,0)</f>
        <v/>
      </c>
      <c r="G10" s="38">
        <f>'Données CRM'!F19</f>
        <v/>
      </c>
      <c r="H10" s="39">
        <f>IFERROR('Données CRM'!F19/'Données CRM'!E19,0)</f>
        <v/>
      </c>
      <c r="I10" s="38">
        <f>'Données CRM'!H19</f>
        <v/>
      </c>
      <c r="J10" s="38">
        <f>IFERROR('Données CRM'!H19/'Données CRM'!G19,0)</f>
        <v/>
      </c>
      <c r="K10" s="42">
        <f>IFERROR('Données CRM'!H19/'Données CRM'!F19,0)</f>
        <v/>
      </c>
    </row>
    <row r="11">
      <c r="A11" s="43" t="inlineStr">
        <is>
          <t>GROUPE</t>
        </is>
      </c>
      <c r="B11" s="44">
        <f>SUM(B6:B10)</f>
        <v/>
      </c>
      <c r="C11" s="44">
        <f>SUM(C6:C10)</f>
        <v/>
      </c>
      <c r="D11" s="45">
        <f>IFERROR(C11/B11,0)</f>
        <v/>
      </c>
      <c r="E11" s="44">
        <f>SUM(E6:E10)</f>
        <v/>
      </c>
      <c r="F11" s="45">
        <f>IFERROR(E11/C11,0)</f>
        <v/>
      </c>
      <c r="G11" s="44">
        <f>SUM(G6:G10)</f>
        <v/>
      </c>
      <c r="H11" s="45">
        <f>IFERROR(G11/E11,0)</f>
        <v/>
      </c>
      <c r="I11" s="44">
        <f>SUM(I6:I10)</f>
        <v/>
      </c>
      <c r="J11" s="44">
        <f>IFERROR(I11/SUM('Données CRM'!G15:G19),0)</f>
        <v/>
      </c>
      <c r="K11" s="44">
        <f>IFERROR(I11/G11,0)</f>
        <v/>
      </c>
    </row>
    <row r="13">
      <c r="A13" s="46" t="inlineStr">
        <is>
          <t>FIL ROUGE : Tunon ≈ 564 €/inscrit contre ~327 € MBway — même funnel, coût très supérieur → c'est LÀ qu'on agira (Acte 6).</t>
        </is>
      </c>
    </row>
    <row r="14">
      <c r="A14" s="7" t="inlineStr">
        <is>
          <t>Le funnel (taux de passage) explique le CAC : un rapport unique, on ne les sépare pas. Drill cellule campus → funnel du campus (hyperlink POV).</t>
        </is>
      </c>
    </row>
    <row r="15">
      <c r="A15" s="7" t="inlineStr">
        <is>
          <t>CAC groupe 2026 = 353 € (2024 : 329 · 2025 : 341). Dépense +21 % vs inscrits +12 % → dégradation, déjà vue au cockpit.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2026-08-27T13:26:28Z</dcterms:created>
  <dcterms:modified xsi:type="dcterms:W3CDTF">2026-08-27T13:26:28Z</dcterms:modified>
</cp:coreProperties>
</file>