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CRM" sheetId="1" state="visible" r:id="rId1"/>
    <sheet name="Rapport Fi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#,##0&quot; €&quot;"/>
  </numFmts>
  <fonts count="13">
    <font>
      <name val="Calibri"/>
      <family val="2"/>
      <color theme="1"/>
      <sz val="11"/>
      <scheme val="minor"/>
    </font>
    <font>
      <name val="Arial"/>
      <b val="1"/>
      <color rgb="00152230"/>
      <sz val="15"/>
    </font>
    <font>
      <name val="Arial"/>
      <color rgb="000A5A48"/>
      <sz val="9"/>
    </font>
    <font>
      <name val="Arial"/>
      <b val="1"/>
      <color rgb="00FFFFFF"/>
      <sz val="9"/>
    </font>
    <font>
      <name val="Arial"/>
      <color rgb="00152230"/>
      <sz val="9"/>
    </font>
    <font>
      <name val="Arial"/>
      <color rgb="000000FF"/>
      <sz val="9"/>
    </font>
    <font>
      <name val="Arial"/>
      <b val="1"/>
      <color rgb="000A5A48"/>
      <sz val="10"/>
    </font>
    <font>
      <name val="Arial"/>
      <b val="1"/>
      <color rgb="00FFFFFF"/>
      <sz val="10"/>
    </font>
    <font>
      <name val="Arial"/>
      <i val="1"/>
      <color rgb="007D8B98"/>
      <sz val="8"/>
    </font>
    <font>
      <name val="Arial"/>
      <b val="1"/>
      <color rgb="00152230"/>
      <sz val="10"/>
    </font>
    <font>
      <name val="Arial"/>
      <color rgb="00B3641C"/>
      <sz val="9"/>
    </font>
    <font>
      <name val="Arial"/>
      <b val="1"/>
      <color rgb="00B3641C"/>
      <sz val="10"/>
    </font>
    <font>
      <name val="Arial"/>
      <b val="1"/>
      <color rgb="00B3641C"/>
      <sz val="9"/>
    </font>
  </fonts>
  <fills count="6">
    <fill>
      <patternFill/>
    </fill>
    <fill>
      <patternFill patternType="gray125"/>
    </fill>
    <fill>
      <patternFill patternType="solid">
        <fgColor rgb="000D7A62"/>
      </patternFill>
    </fill>
    <fill>
      <patternFill patternType="solid">
        <fgColor rgb="00E4F0EC"/>
      </patternFill>
    </fill>
    <fill>
      <patternFill patternType="solid">
        <fgColor rgb="000A5A48"/>
      </patternFill>
    </fill>
    <fill>
      <patternFill patternType="solid">
        <fgColor rgb="00F5F7F9"/>
      </patternFill>
    </fill>
  </fills>
  <borders count="2">
    <border>
      <left/>
      <right/>
      <top/>
      <bottom/>
      <diagonal/>
    </border>
    <border>
      <top style="medium">
        <color rgb="000D7A62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 vertical="center"/>
    </xf>
    <xf numFmtId="164" fontId="6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164" fontId="7" fillId="4" borderId="0" applyAlignment="1" pivotButton="0" quotePrefix="0" xfId="0">
      <alignment horizontal="right" vertical="center"/>
    </xf>
    <xf numFmtId="165" fontId="7" fillId="4" borderId="0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4" fontId="5" fillId="5" borderId="0" applyAlignment="1" pivotButton="0" quotePrefix="0" xfId="0">
      <alignment horizontal="right" vertical="center"/>
    </xf>
    <xf numFmtId="164" fontId="9" fillId="5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4" customWidth="1" min="4" max="4"/>
    <col width="10" customWidth="1" min="5" max="5"/>
    <col width="13" customWidth="1" min="6" max="6"/>
    <col width="14" customWidth="1" min="7" max="7"/>
  </cols>
  <sheetData>
    <row r="1">
      <c r="A1" s="1" t="inlineStr">
        <is>
          <t>RAPPORT CRM  ·  le CA vu du commercial  ·  2026</t>
        </is>
      </c>
    </row>
    <row r="2">
      <c r="A2" s="2" t="inlineStr">
        <is>
          <t>« Combien d'étudiants, à quel prix. » Source : Q_CA_CONSTITUTION_CRM (socle). Drill depuis la cellule CA CRM du bandeau réconciliation.</t>
        </is>
      </c>
    </row>
    <row r="4">
      <c r="A4" s="3" t="inlineStr">
        <is>
          <t>Marque / Campus</t>
        </is>
      </c>
      <c r="B4" s="4" t="inlineStr">
        <is>
          <t>Effectifs</t>
        </is>
      </c>
      <c r="C4" s="4" t="inlineStr">
        <is>
          <t>Tarif moyen</t>
        </is>
      </c>
      <c r="D4" s="4" t="inlineStr">
        <is>
          <t>CA scolarité</t>
        </is>
      </c>
      <c r="E4" s="4" t="inlineStr">
        <is>
          <t>Nouveaux</t>
        </is>
      </c>
      <c r="F4" s="4" t="inlineStr">
        <is>
          <t>CA frais insc.</t>
        </is>
      </c>
      <c r="G4" s="4" t="inlineStr">
        <is>
          <t>CA total</t>
        </is>
      </c>
    </row>
    <row r="5">
      <c r="A5" s="5" t="inlineStr">
        <is>
          <t xml:space="preserve">   Mbway — Bordeaux</t>
        </is>
      </c>
      <c r="B5" s="6" t="n">
        <v>249</v>
      </c>
      <c r="C5" s="7">
        <f>IFERROR(D5/B5,0)</f>
        <v/>
      </c>
      <c r="D5" s="6" t="n">
        <v>1764430</v>
      </c>
      <c r="E5" s="6" t="n">
        <v>102</v>
      </c>
      <c r="F5" s="6" t="n">
        <v>9180</v>
      </c>
      <c r="G5" s="8">
        <f>D5+F5</f>
        <v/>
      </c>
    </row>
    <row r="6">
      <c r="A6" s="5" t="inlineStr">
        <is>
          <t xml:space="preserve">   Mbway — Lyon</t>
        </is>
      </c>
      <c r="B6" s="6" t="n">
        <v>324</v>
      </c>
      <c r="C6" s="7">
        <f>IFERROR(D6/B6,0)</f>
        <v/>
      </c>
      <c r="D6" s="6" t="n">
        <v>2484825</v>
      </c>
      <c r="E6" s="6" t="n">
        <v>132</v>
      </c>
      <c r="F6" s="6" t="n">
        <v>11880</v>
      </c>
      <c r="G6" s="8">
        <f>D6+F6</f>
        <v/>
      </c>
    </row>
    <row r="7">
      <c r="A7" s="5" t="inlineStr">
        <is>
          <t xml:space="preserve">   Mbway — Nantes</t>
        </is>
      </c>
      <c r="B7" s="6" t="n">
        <v>294</v>
      </c>
      <c r="C7" s="7">
        <f>IFERROR(D7/B7,0)</f>
        <v/>
      </c>
      <c r="D7" s="6" t="n">
        <v>2147500</v>
      </c>
      <c r="E7" s="6" t="n">
        <v>120</v>
      </c>
      <c r="F7" s="6" t="n">
        <v>10800</v>
      </c>
      <c r="G7" s="8">
        <f>D7+F7</f>
        <v/>
      </c>
    </row>
    <row r="8">
      <c r="A8" s="5" t="inlineStr">
        <is>
          <t xml:space="preserve">   Mbway — Paris</t>
        </is>
      </c>
      <c r="B8" s="6" t="n">
        <v>382</v>
      </c>
      <c r="C8" s="7">
        <f>IFERROR(D8/B8,0)</f>
        <v/>
      </c>
      <c r="D8" s="6" t="n">
        <v>3124800</v>
      </c>
      <c r="E8" s="6" t="n">
        <v>156</v>
      </c>
      <c r="F8" s="6" t="n">
        <v>14040</v>
      </c>
      <c r="G8" s="8">
        <f>D8+F8</f>
        <v/>
      </c>
    </row>
    <row r="9">
      <c r="A9" s="9" t="inlineStr">
        <is>
          <t>Mbway</t>
        </is>
      </c>
      <c r="B9" s="10">
        <f>SUM(B5:B8)</f>
        <v/>
      </c>
      <c r="C9" s="11">
        <f>IFERROR(D9/B9,0)</f>
        <v/>
      </c>
      <c r="D9" s="10">
        <f>SUM(D5:D8)</f>
        <v/>
      </c>
      <c r="E9" s="10">
        <f>SUM(E5:E8)</f>
        <v/>
      </c>
      <c r="F9" s="10">
        <f>SUM(F5:F8)</f>
        <v/>
      </c>
      <c r="G9" s="10">
        <f>SUM(G5:G8)</f>
        <v/>
      </c>
    </row>
    <row r="10">
      <c r="A10" s="5" t="inlineStr">
        <is>
          <t xml:space="preserve">   Iscom — Lille</t>
        </is>
      </c>
      <c r="B10" s="6" t="n">
        <v>244</v>
      </c>
      <c r="C10" s="7">
        <f>IFERROR(D10/B10,0)</f>
        <v/>
      </c>
      <c r="D10" s="6" t="n">
        <v>1746850</v>
      </c>
      <c r="E10" s="6" t="n">
        <v>100</v>
      </c>
      <c r="F10" s="6" t="n">
        <v>9000</v>
      </c>
      <c r="G10" s="8">
        <f>D10+F10</f>
        <v/>
      </c>
    </row>
    <row r="11">
      <c r="A11" s="5" t="inlineStr">
        <is>
          <t xml:space="preserve">   Iscom — Paris</t>
        </is>
      </c>
      <c r="B11" s="6" t="n">
        <v>354</v>
      </c>
      <c r="C11" s="7">
        <f>IFERROR(D11/B11,0)</f>
        <v/>
      </c>
      <c r="D11" s="6" t="n">
        <v>2895760</v>
      </c>
      <c r="E11" s="6" t="n">
        <v>144</v>
      </c>
      <c r="F11" s="6" t="n">
        <v>12960</v>
      </c>
      <c r="G11" s="8">
        <f>D11+F11</f>
        <v/>
      </c>
    </row>
    <row r="12">
      <c r="A12" s="5" t="inlineStr">
        <is>
          <t xml:space="preserve">   Iscom — Toulouse</t>
        </is>
      </c>
      <c r="B12" s="6" t="n">
        <v>231</v>
      </c>
      <c r="C12" s="7">
        <f>IFERROR(D12/B12,0)</f>
        <v/>
      </c>
      <c r="D12" s="6" t="n">
        <v>1619520</v>
      </c>
      <c r="E12" s="6" t="n">
        <v>94</v>
      </c>
      <c r="F12" s="6" t="n">
        <v>8460</v>
      </c>
      <c r="G12" s="8">
        <f>D12+F12</f>
        <v/>
      </c>
    </row>
    <row r="13">
      <c r="A13" s="9" t="inlineStr">
        <is>
          <t>Iscom</t>
        </is>
      </c>
      <c r="B13" s="10">
        <f>SUM(B10:B12)</f>
        <v/>
      </c>
      <c r="C13" s="11">
        <f>IFERROR(D13/B13,0)</f>
        <v/>
      </c>
      <c r="D13" s="10">
        <f>SUM(D10:D12)</f>
        <v/>
      </c>
      <c r="E13" s="10">
        <f>SUM(E10:E12)</f>
        <v/>
      </c>
      <c r="F13" s="10">
        <f>SUM(F10:F12)</f>
        <v/>
      </c>
      <c r="G13" s="10">
        <f>SUM(G10:G12)</f>
        <v/>
      </c>
    </row>
    <row r="14">
      <c r="A14" s="5" t="inlineStr">
        <is>
          <t xml:space="preserve">   Ipac — Montpellier</t>
        </is>
      </c>
      <c r="B14" s="6" t="n">
        <v>117</v>
      </c>
      <c r="C14" s="7">
        <f>IFERROR(D14/B14,0)</f>
        <v/>
      </c>
      <c r="D14" s="6" t="n">
        <v>778050</v>
      </c>
      <c r="E14" s="6" t="n">
        <v>40</v>
      </c>
      <c r="F14" s="6" t="n">
        <v>3600</v>
      </c>
      <c r="G14" s="8">
        <f>D14+F14</f>
        <v/>
      </c>
    </row>
    <row r="15">
      <c r="A15" s="5" t="inlineStr">
        <is>
          <t xml:space="preserve">   Ipac — Nantes</t>
        </is>
      </c>
      <c r="B15" s="6" t="n">
        <v>145</v>
      </c>
      <c r="C15" s="7">
        <f>IFERROR(D15/B15,0)</f>
        <v/>
      </c>
      <c r="D15" s="6" t="n">
        <v>1015000</v>
      </c>
      <c r="E15" s="6" t="n">
        <v>50</v>
      </c>
      <c r="F15" s="6" t="n">
        <v>4500</v>
      </c>
      <c r="G15" s="8">
        <f>D15+F15</f>
        <v/>
      </c>
    </row>
    <row r="16">
      <c r="A16" s="5" t="inlineStr">
        <is>
          <t xml:space="preserve">   Ipac — Rennes</t>
        </is>
      </c>
      <c r="B16" s="6" t="n">
        <v>117</v>
      </c>
      <c r="C16" s="7">
        <f>IFERROR(D16/B16,0)</f>
        <v/>
      </c>
      <c r="D16" s="6" t="n">
        <v>778050</v>
      </c>
      <c r="E16" s="6" t="n">
        <v>40</v>
      </c>
      <c r="F16" s="6" t="n">
        <v>3600</v>
      </c>
      <c r="G16" s="8">
        <f>D16+F16</f>
        <v/>
      </c>
    </row>
    <row r="17">
      <c r="A17" s="9" t="inlineStr">
        <is>
          <t>Ipac</t>
        </is>
      </c>
      <c r="B17" s="10">
        <f>SUM(B14:B16)</f>
        <v/>
      </c>
      <c r="C17" s="11">
        <f>IFERROR(D17/B17,0)</f>
        <v/>
      </c>
      <c r="D17" s="10">
        <f>SUM(D14:D16)</f>
        <v/>
      </c>
      <c r="E17" s="10">
        <f>SUM(E14:E16)</f>
        <v/>
      </c>
      <c r="F17" s="10">
        <f>SUM(F14:F16)</f>
        <v/>
      </c>
      <c r="G17" s="10">
        <f>SUM(G14:G16)</f>
        <v/>
      </c>
    </row>
    <row r="18">
      <c r="A18" s="5" t="inlineStr">
        <is>
          <t xml:space="preserve">   Pigier — Bordeaux</t>
        </is>
      </c>
      <c r="B18" s="6" t="n">
        <v>142</v>
      </c>
      <c r="C18" s="7">
        <f>IFERROR(D18/B18,0)</f>
        <v/>
      </c>
      <c r="D18" s="6" t="n">
        <v>895310</v>
      </c>
      <c r="E18" s="6" t="n">
        <v>72</v>
      </c>
      <c r="F18" s="6" t="n">
        <v>6480</v>
      </c>
      <c r="G18" s="8">
        <f>D18+F18</f>
        <v/>
      </c>
    </row>
    <row r="19">
      <c r="A19" s="5" t="inlineStr">
        <is>
          <t xml:space="preserve">   Pigier — Lyon</t>
        </is>
      </c>
      <c r="B19" s="6" t="n">
        <v>182</v>
      </c>
      <c r="C19" s="7">
        <f>IFERROR(D19/B19,0)</f>
        <v/>
      </c>
      <c r="D19" s="6" t="n">
        <v>1242150</v>
      </c>
      <c r="E19" s="6" t="n">
        <v>92</v>
      </c>
      <c r="F19" s="6" t="n">
        <v>8280</v>
      </c>
      <c r="G19" s="8">
        <f>D19+F19</f>
        <v/>
      </c>
    </row>
    <row r="20">
      <c r="A20" s="9" t="inlineStr">
        <is>
          <t>Pigier</t>
        </is>
      </c>
      <c r="B20" s="10">
        <f>SUM(B18:B19)</f>
        <v/>
      </c>
      <c r="C20" s="11">
        <f>IFERROR(D20/B20,0)</f>
        <v/>
      </c>
      <c r="D20" s="10">
        <f>SUM(D18:D19)</f>
        <v/>
      </c>
      <c r="E20" s="10">
        <f>SUM(E18:E19)</f>
        <v/>
      </c>
      <c r="F20" s="10">
        <f>SUM(F18:F19)</f>
        <v/>
      </c>
      <c r="G20" s="10">
        <f>SUM(G18:G19)</f>
        <v/>
      </c>
    </row>
    <row r="21">
      <c r="A21" s="5" t="inlineStr">
        <is>
          <t xml:space="preserve">   Tunon — Lyon</t>
        </is>
      </c>
      <c r="B21" s="6" t="n">
        <v>117</v>
      </c>
      <c r="C21" s="7">
        <f>IFERROR(D21/B21,0)</f>
        <v/>
      </c>
      <c r="D21" s="6" t="n">
        <v>859950</v>
      </c>
      <c r="E21" s="6" t="n">
        <v>40</v>
      </c>
      <c r="F21" s="6" t="n">
        <v>3600</v>
      </c>
      <c r="G21" s="8">
        <f>D21+F21</f>
        <v/>
      </c>
    </row>
    <row r="22">
      <c r="A22" s="5" t="inlineStr">
        <is>
          <t xml:space="preserve">   Tunon — Paris</t>
        </is>
      </c>
      <c r="B22" s="6" t="n">
        <v>138</v>
      </c>
      <c r="C22" s="7">
        <f>IFERROR(D22/B22,0)</f>
        <v/>
      </c>
      <c r="D22" s="6" t="n">
        <v>1081920</v>
      </c>
      <c r="E22" s="6" t="n">
        <v>47</v>
      </c>
      <c r="F22" s="6" t="n">
        <v>4230</v>
      </c>
      <c r="G22" s="8">
        <f>D22+F22</f>
        <v/>
      </c>
    </row>
    <row r="23">
      <c r="A23" s="9" t="inlineStr">
        <is>
          <t>Tunon</t>
        </is>
      </c>
      <c r="B23" s="10">
        <f>SUM(B21:B22)</f>
        <v/>
      </c>
      <c r="C23" s="11">
        <f>IFERROR(D23/B23,0)</f>
        <v/>
      </c>
      <c r="D23" s="10">
        <f>SUM(D21:D22)</f>
        <v/>
      </c>
      <c r="E23" s="10">
        <f>SUM(E21:E22)</f>
        <v/>
      </c>
      <c r="F23" s="10">
        <f>SUM(F21:F22)</f>
        <v/>
      </c>
      <c r="G23" s="10">
        <f>SUM(G21:G22)</f>
        <v/>
      </c>
    </row>
    <row r="24">
      <c r="A24" s="12" t="inlineStr">
        <is>
          <t>GROUPE</t>
        </is>
      </c>
      <c r="B24" s="13">
        <f>B9+B13+B17+B20+B23</f>
        <v/>
      </c>
      <c r="C24" s="14">
        <f>IFERROR(D24/B24,0)</f>
        <v/>
      </c>
      <c r="D24" s="13">
        <f>D9+D13+D17+D20+D23</f>
        <v/>
      </c>
      <c r="E24" s="13">
        <f>E9+E13+E17+E20+E23</f>
        <v/>
      </c>
      <c r="F24" s="13">
        <f>F9+F13+F17+F20+F23</f>
        <v/>
      </c>
      <c r="G24" s="13">
        <f>G9+G13+G17+G20+G23</f>
        <v/>
      </c>
    </row>
    <row r="26">
      <c r="A26" s="15" t="inlineStr">
        <is>
          <t>Dimensions dispo (multidim) : Marque → Campus → Programme → Cycle → Modalité (INIT/ALT). Ici agrégé Marque/Campus. Contrôle CA total = 22 544 725.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5" customWidth="1" min="4" max="4"/>
    <col width="15" customWidth="1" min="5" max="5"/>
  </cols>
  <sheetData>
    <row r="1">
      <c r="A1" s="1" t="inlineStr">
        <is>
          <t>RAPPORT FINANCE  ·  le même CA vu de la compta  ·  2026</t>
        </is>
      </c>
    </row>
    <row r="2">
      <c r="A2" s="2" t="inlineStr">
        <is>
          <t>« Ce que dit le grand livre. » Source : Q_CA_CONSTITUTION_COMPTA. Révèle le MIX DE FINANCEMENT (initiale vs alternance OPCO).</t>
        </is>
      </c>
    </row>
    <row r="4">
      <c r="A4" s="3" t="inlineStr">
        <is>
          <t>Marque</t>
        </is>
      </c>
      <c r="B4" s="4" t="inlineStr">
        <is>
          <t>Initiale (706)</t>
        </is>
      </c>
      <c r="C4" s="4" t="inlineStr">
        <is>
          <t>Alternance OPCO (7062)</t>
        </is>
      </c>
      <c r="D4" s="4" t="inlineStr">
        <is>
          <t>Frais dossier (708)</t>
        </is>
      </c>
      <c r="E4" s="4" t="inlineStr">
        <is>
          <t>Total</t>
        </is>
      </c>
    </row>
    <row r="5">
      <c r="A5" s="16" t="inlineStr">
        <is>
          <t>Mbway</t>
        </is>
      </c>
      <c r="B5" s="6" t="n">
        <v>1995975</v>
      </c>
      <c r="C5" s="6" t="n">
        <v>7525580</v>
      </c>
      <c r="D5" s="6" t="n">
        <v>45900</v>
      </c>
      <c r="E5" s="17">
        <f>B5+C5+D5</f>
        <v/>
      </c>
    </row>
    <row r="6">
      <c r="A6" s="18" t="inlineStr">
        <is>
          <t>Iscom</t>
        </is>
      </c>
      <c r="B6" s="19" t="n">
        <v>1310700</v>
      </c>
      <c r="C6" s="19" t="n">
        <v>4951430</v>
      </c>
      <c r="D6" s="19" t="n">
        <v>30420</v>
      </c>
      <c r="E6" s="20">
        <f>B6+C6+D6</f>
        <v/>
      </c>
    </row>
    <row r="7">
      <c r="A7" s="21" t="inlineStr">
        <is>
          <t>Ipac</t>
        </is>
      </c>
      <c r="B7" s="22" t="n">
        <v>0</v>
      </c>
      <c r="C7" s="6" t="n">
        <v>2571100</v>
      </c>
      <c r="D7" s="6" t="n">
        <v>11700</v>
      </c>
      <c r="E7" s="17">
        <f>B7+C7+D7</f>
        <v/>
      </c>
    </row>
    <row r="8">
      <c r="A8" s="23" t="inlineStr">
        <is>
          <t>Pigier</t>
        </is>
      </c>
      <c r="B8" s="24" t="n">
        <v>0</v>
      </c>
      <c r="C8" s="19" t="n">
        <v>2137460</v>
      </c>
      <c r="D8" s="19" t="n">
        <v>14760</v>
      </c>
      <c r="E8" s="20">
        <f>B8+C8+D8</f>
        <v/>
      </c>
    </row>
    <row r="9">
      <c r="A9" s="21" t="inlineStr">
        <is>
          <t>Tunon</t>
        </is>
      </c>
      <c r="B9" s="22" t="n">
        <v>0</v>
      </c>
      <c r="C9" s="6" t="n">
        <v>1941870</v>
      </c>
      <c r="D9" s="6" t="n">
        <v>7830</v>
      </c>
      <c r="E9" s="17">
        <f>B9+C9+D9</f>
        <v/>
      </c>
    </row>
    <row r="10">
      <c r="A10" s="12" t="inlineStr">
        <is>
          <t>GROUPE</t>
        </is>
      </c>
      <c r="B10" s="25">
        <f>SUM(B5:B9)</f>
        <v/>
      </c>
      <c r="C10" s="25">
        <f>SUM(C5:C9)</f>
        <v/>
      </c>
      <c r="D10" s="25">
        <f>SUM(D5:D9)</f>
        <v/>
      </c>
      <c r="E10" s="25">
        <f>SUM(E5:E9)</f>
        <v/>
      </c>
    </row>
    <row r="12">
      <c r="A12" s="26" t="inlineStr">
        <is>
          <t>INSIGHT : IPAC, Pigier, Tunon = 100 % alternance (OPCO) — aucune formation initiale (706). MBway/ISCOM ont les deux.</t>
        </is>
      </c>
    </row>
    <row r="13">
      <c r="A13" s="15" t="inlineStr">
        <is>
          <t>C'est ce que la lentille Finance ajoute au CRM : la nature du financement. Contrôle Total = 22 544 725.</t>
        </is>
      </c>
    </row>
    <row r="14">
      <c r="A14" s="15" t="inlineStr">
        <is>
          <t>Dimensions dispo (multidim) : Compte × Marque × Campus × Exercice. Drill Marque → Campus → écritures.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2026-08-27T15:02:55Z</dcterms:created>
  <dcterms:modified xsi:type="dcterms:W3CDTF">2026-08-27T15:02:55Z</dcterms:modified>
</cp:coreProperties>
</file>