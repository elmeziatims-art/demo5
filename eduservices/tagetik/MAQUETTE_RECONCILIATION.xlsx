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concili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11">
    <font>
      <name val="Calibri"/>
      <family val="2"/>
      <color theme="1"/>
      <sz val="11"/>
      <scheme val="minor"/>
    </font>
    <font>
      <name val="Arial"/>
      <b val="1"/>
      <color rgb="00152230"/>
      <sz val="15"/>
    </font>
    <font>
      <name val="Arial"/>
      <color rgb="000A5A48"/>
      <sz val="9"/>
    </font>
    <font>
      <name val="Arial"/>
      <b val="1"/>
      <color rgb="000A5A48"/>
      <sz val="9"/>
    </font>
    <font>
      <name val="Arial"/>
      <b val="1"/>
      <color rgb="003D4F8F"/>
      <sz val="9"/>
    </font>
    <font>
      <name val="Arial"/>
      <b val="1"/>
      <color rgb="00FFFFFF"/>
      <sz val="9"/>
    </font>
    <font>
      <name val="Arial"/>
      <color rgb="00152230"/>
      <sz val="9"/>
    </font>
    <font>
      <name val="Arial"/>
      <color rgb="000000FF"/>
      <sz val="9"/>
    </font>
    <font>
      <name val="Arial"/>
      <b val="1"/>
      <color rgb="000A5A48"/>
      <sz val="10"/>
    </font>
    <font>
      <name val="Arial"/>
      <b val="1"/>
      <color rgb="00FFFFFF"/>
      <sz val="10"/>
    </font>
    <font>
      <name val="Arial"/>
      <i val="1"/>
      <color rgb="007D8B98"/>
      <sz val="8"/>
    </font>
  </fonts>
  <fills count="6">
    <fill>
      <patternFill/>
    </fill>
    <fill>
      <patternFill patternType="gray125"/>
    </fill>
    <fill>
      <patternFill patternType="solid">
        <fgColor rgb="00E4F0EC"/>
      </patternFill>
    </fill>
    <fill>
      <patternFill patternType="solid">
        <fgColor rgb="00E6E9F4"/>
      </patternFill>
    </fill>
    <fill>
      <patternFill patternType="solid">
        <fgColor rgb="000D7A62"/>
      </patternFill>
    </fill>
    <fill>
      <patternFill patternType="solid">
        <fgColor rgb="000A5A48"/>
      </patternFill>
    </fill>
  </fills>
  <borders count="2">
    <border>
      <left/>
      <right/>
      <top/>
      <bottom/>
      <diagonal/>
    </border>
    <border>
      <top style="medium">
        <color rgb="000D7A62"/>
      </top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/>
    </xf>
    <xf numFmtId="164" fontId="7" fillId="0" borderId="0" applyAlignment="1" pivotButton="0" quotePrefix="0" xfId="0">
      <alignment horizontal="right" vertical="center"/>
    </xf>
    <xf numFmtId="164" fontId="6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/>
    </xf>
    <xf numFmtId="164" fontId="8" fillId="2" borderId="0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/>
    </xf>
    <xf numFmtId="164" fontId="9" fillId="5" borderId="1" applyAlignment="1" pivotButton="0" quotePrefix="0" xfId="0">
      <alignment horizontal="right" vertical="center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12" customWidth="1" min="3" max="3"/>
    <col width="13" customWidth="1" min="4" max="4"/>
    <col width="12" customWidth="1" min="5" max="5"/>
    <col width="12" customWidth="1" min="6" max="6"/>
    <col width="14" customWidth="1" min="7" max="7"/>
    <col width="14" customWidth="1" min="8" max="8"/>
    <col width="10" customWidth="1" min="9" max="9"/>
  </cols>
  <sheetData>
    <row r="1">
      <c r="A1" s="1" t="inlineStr">
        <is>
          <t>MATRICE DE RÉCONCILIATION  ·  CRM ‖ Compta par campus  ·  2026</t>
        </is>
      </c>
    </row>
    <row r="2">
      <c r="A2" s="2" t="inlineStr">
        <is>
          <t>Les deux lentilles côte à côte, découpées pareil. Écart par ligne → on voit direct chez qui. Source : Q_RECONCILIATION_DETAIL. Drill ligne → transactionnel CRM / écritures Compta.</t>
        </is>
      </c>
    </row>
    <row r="4">
      <c r="C4" s="3" t="inlineStr">
        <is>
          <t>— CRM (commercial) —</t>
        </is>
      </c>
      <c r="D4" s="4" t="n"/>
      <c r="E4" s="4" t="n"/>
      <c r="F4" s="5" t="inlineStr">
        <is>
          <t>— COMPTA (grand livre) —</t>
        </is>
      </c>
      <c r="G4" s="6" t="n"/>
      <c r="H4" s="6" t="n"/>
    </row>
    <row r="5">
      <c r="A5" s="7" t="inlineStr">
        <is>
          <t>Marque / Campus</t>
        </is>
      </c>
      <c r="B5" s="8" t="inlineStr">
        <is>
          <t>Effectif</t>
        </is>
      </c>
      <c r="C5" s="8" t="inlineStr">
        <is>
          <t>CA initial</t>
        </is>
      </c>
      <c r="D5" s="8" t="inlineStr">
        <is>
          <t>CA alternance</t>
        </is>
      </c>
      <c r="E5" s="8" t="inlineStr">
        <is>
          <t>CA frais insc.</t>
        </is>
      </c>
      <c r="F5" s="8" t="inlineStr">
        <is>
          <t>Initial (706)</t>
        </is>
      </c>
      <c r="G5" s="8" t="inlineStr">
        <is>
          <t>Alternance (7062)</t>
        </is>
      </c>
      <c r="H5" s="8" t="inlineStr">
        <is>
          <t>Frais dossier (708)</t>
        </is>
      </c>
      <c r="I5" s="8" t="inlineStr">
        <is>
          <t>Écart</t>
        </is>
      </c>
    </row>
    <row r="6">
      <c r="A6" s="9" t="inlineStr">
        <is>
          <t xml:space="preserve">   Mbway — Bordeaux</t>
        </is>
      </c>
      <c r="B6" s="10" t="n">
        <v>249</v>
      </c>
      <c r="C6" s="10" t="n">
        <v>371025</v>
      </c>
      <c r="D6" s="10" t="n">
        <v>1393405</v>
      </c>
      <c r="E6" s="10" t="n">
        <v>9180</v>
      </c>
      <c r="F6" s="10" t="n">
        <v>371025</v>
      </c>
      <c r="G6" s="10" t="n">
        <v>1393405</v>
      </c>
      <c r="H6" s="10" t="n">
        <v>9180</v>
      </c>
      <c r="I6" s="11">
        <f>(F6+G6+H6)-(C6+D6+E6)</f>
        <v/>
      </c>
    </row>
    <row r="7">
      <c r="A7" s="9" t="inlineStr">
        <is>
          <t xml:space="preserve">   Mbway — Lyon</t>
        </is>
      </c>
      <c r="B7" s="10" t="n">
        <v>324</v>
      </c>
      <c r="C7" s="10" t="n">
        <v>519750</v>
      </c>
      <c r="D7" s="10" t="n">
        <v>1965075</v>
      </c>
      <c r="E7" s="10" t="n">
        <v>11880</v>
      </c>
      <c r="F7" s="10" t="n">
        <v>519750</v>
      </c>
      <c r="G7" s="10" t="n">
        <v>1965075</v>
      </c>
      <c r="H7" s="10" t="n">
        <v>11880</v>
      </c>
      <c r="I7" s="11">
        <f>(F7+G7+H7)-(C7+D7+E7)</f>
        <v/>
      </c>
    </row>
    <row r="8">
      <c r="A8" s="9" t="inlineStr">
        <is>
          <t xml:space="preserve">   Mbway — Nantes</t>
        </is>
      </c>
      <c r="B8" s="10" t="n">
        <v>294</v>
      </c>
      <c r="C8" s="10" t="n">
        <v>450000</v>
      </c>
      <c r="D8" s="10" t="n">
        <v>1697500</v>
      </c>
      <c r="E8" s="10" t="n">
        <v>10800</v>
      </c>
      <c r="F8" s="10" t="n">
        <v>450000</v>
      </c>
      <c r="G8" s="10" t="n">
        <v>1697500</v>
      </c>
      <c r="H8" s="10" t="n">
        <v>10800</v>
      </c>
      <c r="I8" s="11">
        <f>(F8+G8+H8)-(C8+D8+E8)</f>
        <v/>
      </c>
    </row>
    <row r="9">
      <c r="A9" s="9" t="inlineStr">
        <is>
          <t xml:space="preserve">   Mbway — Paris</t>
        </is>
      </c>
      <c r="B9" s="10" t="n">
        <v>382</v>
      </c>
      <c r="C9" s="10" t="n">
        <v>655200</v>
      </c>
      <c r="D9" s="10" t="n">
        <v>2469600</v>
      </c>
      <c r="E9" s="10" t="n">
        <v>14040</v>
      </c>
      <c r="F9" s="10" t="n">
        <v>655200</v>
      </c>
      <c r="G9" s="10" t="n">
        <v>2469600</v>
      </c>
      <c r="H9" s="10" t="n">
        <v>14040</v>
      </c>
      <c r="I9" s="11">
        <f>(F9+G9+H9)-(C9+D9+E9)</f>
        <v/>
      </c>
    </row>
    <row r="10">
      <c r="A10" s="12" t="inlineStr">
        <is>
          <t>Mbway</t>
        </is>
      </c>
      <c r="B10" s="13">
        <f>SUM(B6:B9)</f>
        <v/>
      </c>
      <c r="C10" s="13">
        <f>SUM(C6:C9)</f>
        <v/>
      </c>
      <c r="D10" s="13">
        <f>SUM(D6:D9)</f>
        <v/>
      </c>
      <c r="E10" s="13">
        <f>SUM(E6:E9)</f>
        <v/>
      </c>
      <c r="F10" s="13">
        <f>SUM(F6:F9)</f>
        <v/>
      </c>
      <c r="G10" s="13">
        <f>SUM(G6:G9)</f>
        <v/>
      </c>
      <c r="H10" s="13">
        <f>SUM(H6:H9)</f>
        <v/>
      </c>
      <c r="I10" s="13">
        <f>SUM(I6:I9)</f>
        <v/>
      </c>
    </row>
    <row r="11">
      <c r="A11" s="9" t="inlineStr">
        <is>
          <t xml:space="preserve">   Iscom — Lille</t>
        </is>
      </c>
      <c r="B11" s="10" t="n">
        <v>244</v>
      </c>
      <c r="C11" s="10" t="n">
        <v>367500</v>
      </c>
      <c r="D11" s="10" t="n">
        <v>1379350</v>
      </c>
      <c r="E11" s="10" t="n">
        <v>9000</v>
      </c>
      <c r="F11" s="10" t="n">
        <v>367500</v>
      </c>
      <c r="G11" s="10" t="n">
        <v>1379350</v>
      </c>
      <c r="H11" s="10" t="n">
        <v>9000</v>
      </c>
      <c r="I11" s="11">
        <f>(F11+G11+H11)-(C11+D11+E11)</f>
        <v/>
      </c>
    </row>
    <row r="12">
      <c r="A12" s="9" t="inlineStr">
        <is>
          <t xml:space="preserve">   Iscom — Paris</t>
        </is>
      </c>
      <c r="B12" s="10" t="n">
        <v>354</v>
      </c>
      <c r="C12" s="10" t="n">
        <v>604800</v>
      </c>
      <c r="D12" s="10" t="n">
        <v>2290960</v>
      </c>
      <c r="E12" s="10" t="n">
        <v>12960</v>
      </c>
      <c r="F12" s="10" t="n">
        <v>604800</v>
      </c>
      <c r="G12" s="10" t="n">
        <v>2290960</v>
      </c>
      <c r="H12" s="10" t="n">
        <v>12960</v>
      </c>
      <c r="I12" s="11">
        <f>(F12+G12+H12)-(C12+D12+E12)</f>
        <v/>
      </c>
    </row>
    <row r="13">
      <c r="A13" s="9" t="inlineStr">
        <is>
          <t xml:space="preserve">   Iscom — Toulouse</t>
        </is>
      </c>
      <c r="B13" s="10" t="n">
        <v>231</v>
      </c>
      <c r="C13" s="10" t="n">
        <v>338400</v>
      </c>
      <c r="D13" s="10" t="n">
        <v>1281120</v>
      </c>
      <c r="E13" s="10" t="n">
        <v>8460</v>
      </c>
      <c r="F13" s="10" t="n">
        <v>338400</v>
      </c>
      <c r="G13" s="10" t="n">
        <v>1281120</v>
      </c>
      <c r="H13" s="10" t="n">
        <v>8460</v>
      </c>
      <c r="I13" s="11">
        <f>(F13+G13+H13)-(C13+D13+E13)</f>
        <v/>
      </c>
    </row>
    <row r="14">
      <c r="A14" s="12" t="inlineStr">
        <is>
          <t>Iscom</t>
        </is>
      </c>
      <c r="B14" s="13">
        <f>SUM(B11:B13)</f>
        <v/>
      </c>
      <c r="C14" s="13">
        <f>SUM(C11:C13)</f>
        <v/>
      </c>
      <c r="D14" s="13">
        <f>SUM(D11:D13)</f>
        <v/>
      </c>
      <c r="E14" s="13">
        <f>SUM(E11:E13)</f>
        <v/>
      </c>
      <c r="F14" s="13">
        <f>SUM(F11:F13)</f>
        <v/>
      </c>
      <c r="G14" s="13">
        <f>SUM(G11:G13)</f>
        <v/>
      </c>
      <c r="H14" s="13">
        <f>SUM(H11:H13)</f>
        <v/>
      </c>
      <c r="I14" s="13">
        <f>SUM(I11:I13)</f>
        <v/>
      </c>
    </row>
    <row r="15">
      <c r="A15" s="9" t="inlineStr">
        <is>
          <t xml:space="preserve">   Ipac — Montpellier</t>
        </is>
      </c>
      <c r="B15" s="10" t="n">
        <v>117</v>
      </c>
      <c r="C15" s="10" t="n">
        <v>0</v>
      </c>
      <c r="D15" s="10" t="n">
        <v>778050</v>
      </c>
      <c r="E15" s="10" t="n">
        <v>3600</v>
      </c>
      <c r="F15" s="10" t="n">
        <v>0</v>
      </c>
      <c r="G15" s="10" t="n">
        <v>778050</v>
      </c>
      <c r="H15" s="10" t="n">
        <v>3600</v>
      </c>
      <c r="I15" s="11">
        <f>(F15+G15+H15)-(C15+D15+E15)</f>
        <v/>
      </c>
    </row>
    <row r="16">
      <c r="A16" s="9" t="inlineStr">
        <is>
          <t xml:space="preserve">   Ipac — Nantes</t>
        </is>
      </c>
      <c r="B16" s="10" t="n">
        <v>145</v>
      </c>
      <c r="C16" s="10" t="n">
        <v>0</v>
      </c>
      <c r="D16" s="10" t="n">
        <v>1015000</v>
      </c>
      <c r="E16" s="10" t="n">
        <v>4500</v>
      </c>
      <c r="F16" s="10" t="n">
        <v>0</v>
      </c>
      <c r="G16" s="10" t="n">
        <v>1015000</v>
      </c>
      <c r="H16" s="10" t="n">
        <v>4500</v>
      </c>
      <c r="I16" s="11">
        <f>(F16+G16+H16)-(C16+D16+E16)</f>
        <v/>
      </c>
    </row>
    <row r="17">
      <c r="A17" s="9" t="inlineStr">
        <is>
          <t xml:space="preserve">   Ipac — Rennes</t>
        </is>
      </c>
      <c r="B17" s="10" t="n">
        <v>117</v>
      </c>
      <c r="C17" s="10" t="n">
        <v>0</v>
      </c>
      <c r="D17" s="10" t="n">
        <v>778050</v>
      </c>
      <c r="E17" s="10" t="n">
        <v>3600</v>
      </c>
      <c r="F17" s="10" t="n">
        <v>0</v>
      </c>
      <c r="G17" s="10" t="n">
        <v>778050</v>
      </c>
      <c r="H17" s="10" t="n">
        <v>3600</v>
      </c>
      <c r="I17" s="11">
        <f>(F17+G17+H17)-(C17+D17+E17)</f>
        <v/>
      </c>
    </row>
    <row r="18">
      <c r="A18" s="12" t="inlineStr">
        <is>
          <t>Ipac</t>
        </is>
      </c>
      <c r="B18" s="13">
        <f>SUM(B15:B17)</f>
        <v/>
      </c>
      <c r="C18" s="13">
        <f>SUM(C15:C17)</f>
        <v/>
      </c>
      <c r="D18" s="13">
        <f>SUM(D15:D17)</f>
        <v/>
      </c>
      <c r="E18" s="13">
        <f>SUM(E15:E17)</f>
        <v/>
      </c>
      <c r="F18" s="13">
        <f>SUM(F15:F17)</f>
        <v/>
      </c>
      <c r="G18" s="13">
        <f>SUM(G15:G17)</f>
        <v/>
      </c>
      <c r="H18" s="13">
        <f>SUM(H15:H17)</f>
        <v/>
      </c>
      <c r="I18" s="13">
        <f>SUM(I15:I17)</f>
        <v/>
      </c>
    </row>
    <row r="19">
      <c r="A19" s="9" t="inlineStr">
        <is>
          <t xml:space="preserve">   Pigier — Bordeaux</t>
        </is>
      </c>
      <c r="B19" s="10" t="n">
        <v>142</v>
      </c>
      <c r="C19" s="10" t="n">
        <v>0</v>
      </c>
      <c r="D19" s="10" t="n">
        <v>895310</v>
      </c>
      <c r="E19" s="10" t="n">
        <v>6480</v>
      </c>
      <c r="F19" s="10" t="n">
        <v>0</v>
      </c>
      <c r="G19" s="10" t="n">
        <v>895310</v>
      </c>
      <c r="H19" s="10" t="n">
        <v>6480</v>
      </c>
      <c r="I19" s="11">
        <f>(F19+G19+H19)-(C19+D19+E19)</f>
        <v/>
      </c>
    </row>
    <row r="20">
      <c r="A20" s="9" t="inlineStr">
        <is>
          <t xml:space="preserve">   Pigier — Lyon</t>
        </is>
      </c>
      <c r="B20" s="10" t="n">
        <v>182</v>
      </c>
      <c r="C20" s="10" t="n">
        <v>0</v>
      </c>
      <c r="D20" s="10" t="n">
        <v>1242150</v>
      </c>
      <c r="E20" s="10" t="n">
        <v>8280</v>
      </c>
      <c r="F20" s="10" t="n">
        <v>0</v>
      </c>
      <c r="G20" s="10" t="n">
        <v>1242150</v>
      </c>
      <c r="H20" s="10" t="n">
        <v>8280</v>
      </c>
      <c r="I20" s="11">
        <f>(F20+G20+H20)-(C20+D20+E20)</f>
        <v/>
      </c>
    </row>
    <row r="21">
      <c r="A21" s="12" t="inlineStr">
        <is>
          <t>Pigier</t>
        </is>
      </c>
      <c r="B21" s="13">
        <f>SUM(B19:B20)</f>
        <v/>
      </c>
      <c r="C21" s="13">
        <f>SUM(C19:C20)</f>
        <v/>
      </c>
      <c r="D21" s="13">
        <f>SUM(D19:D20)</f>
        <v/>
      </c>
      <c r="E21" s="13">
        <f>SUM(E19:E20)</f>
        <v/>
      </c>
      <c r="F21" s="13">
        <f>SUM(F19:F20)</f>
        <v/>
      </c>
      <c r="G21" s="13">
        <f>SUM(G19:G20)</f>
        <v/>
      </c>
      <c r="H21" s="13">
        <f>SUM(H19:H20)</f>
        <v/>
      </c>
      <c r="I21" s="13">
        <f>SUM(I19:I20)</f>
        <v/>
      </c>
    </row>
    <row r="22">
      <c r="A22" s="9" t="inlineStr">
        <is>
          <t xml:space="preserve">   Tunon — Lyon</t>
        </is>
      </c>
      <c r="B22" s="10" t="n">
        <v>117</v>
      </c>
      <c r="C22" s="10" t="n">
        <v>0</v>
      </c>
      <c r="D22" s="10" t="n">
        <v>859950</v>
      </c>
      <c r="E22" s="10" t="n">
        <v>3600</v>
      </c>
      <c r="F22" s="10" t="n">
        <v>0</v>
      </c>
      <c r="G22" s="10" t="n">
        <v>859950</v>
      </c>
      <c r="H22" s="10" t="n">
        <v>3600</v>
      </c>
      <c r="I22" s="11">
        <f>(F22+G22+H22)-(C22+D22+E22)</f>
        <v/>
      </c>
    </row>
    <row r="23">
      <c r="A23" s="9" t="inlineStr">
        <is>
          <t xml:space="preserve">   Tunon — Paris</t>
        </is>
      </c>
      <c r="B23" s="10" t="n">
        <v>138</v>
      </c>
      <c r="C23" s="10" t="n">
        <v>0</v>
      </c>
      <c r="D23" s="10" t="n">
        <v>1081920</v>
      </c>
      <c r="E23" s="10" t="n">
        <v>4230</v>
      </c>
      <c r="F23" s="10" t="n">
        <v>0</v>
      </c>
      <c r="G23" s="10" t="n">
        <v>1081920</v>
      </c>
      <c r="H23" s="10" t="n">
        <v>4230</v>
      </c>
      <c r="I23" s="11">
        <f>(F23+G23+H23)-(C23+D23+E23)</f>
        <v/>
      </c>
    </row>
    <row r="24">
      <c r="A24" s="12" t="inlineStr">
        <is>
          <t>Tunon</t>
        </is>
      </c>
      <c r="B24" s="13">
        <f>SUM(B22:B23)</f>
        <v/>
      </c>
      <c r="C24" s="13">
        <f>SUM(C22:C23)</f>
        <v/>
      </c>
      <c r="D24" s="13">
        <f>SUM(D22:D23)</f>
        <v/>
      </c>
      <c r="E24" s="13">
        <f>SUM(E22:E23)</f>
        <v/>
      </c>
      <c r="F24" s="13">
        <f>SUM(F22:F23)</f>
        <v/>
      </c>
      <c r="G24" s="13">
        <f>SUM(G22:G23)</f>
        <v/>
      </c>
      <c r="H24" s="13">
        <f>SUM(H22:H23)</f>
        <v/>
      </c>
      <c r="I24" s="13">
        <f>SUM(I22:I23)</f>
        <v/>
      </c>
    </row>
    <row r="25">
      <c r="A25" s="14" t="inlineStr">
        <is>
          <t>GROUPE</t>
        </is>
      </c>
      <c r="B25" s="15">
        <f>B10+B14+B18+B21+B24</f>
        <v/>
      </c>
      <c r="C25" s="15">
        <f>C10+C14+C18+C21+C24</f>
        <v/>
      </c>
      <c r="D25" s="15">
        <f>D10+D14+D18+D21+D24</f>
        <v/>
      </c>
      <c r="E25" s="15">
        <f>E10+E14+E18+E21+E24</f>
        <v/>
      </c>
      <c r="F25" s="15">
        <f>F10+F14+F18+F21+F24</f>
        <v/>
      </c>
      <c r="G25" s="15">
        <f>G10+G14+G18+G21+G24</f>
        <v/>
      </c>
      <c r="H25" s="15">
        <f>H10+H14+H18+H21+H24</f>
        <v/>
      </c>
      <c r="I25" s="15">
        <f>I10+I14+I18+I21+I24</f>
        <v/>
      </c>
    </row>
    <row r="27">
      <c r="A27" s="16" t="inlineStr">
        <is>
          <t>Écart 0 partout en 2026 (réconcilié au centime). Un écart non nul se lirait dans la colonne Écart → clic sur la ligne → transactionnel.</t>
        </is>
      </c>
    </row>
    <row r="28">
      <c r="A28" s="16" t="inlineStr">
        <is>
          <t>IPAC / Pigier / Tunon : CA initial = 0 (100 % alternance). Multidim : roule Campus → Marque → Groupe ; colonnes = mesures.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2026-08-27T15:19:31Z</dcterms:created>
  <dcterms:modified xsi:type="dcterms:W3CDTF">2026-08-27T15:19:31Z</dcterms:modified>
</cp:coreProperties>
</file>