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ire A2" sheetId="1" state="visible" r:id="rId1"/>
    <sheet name="Cadrage &amp; Leviers" sheetId="2" state="visible" r:id="rId2"/>
    <sheet name="Cap arbit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;&quot;-&quot;"/>
    <numFmt numFmtId="165" formatCode="+0.0&quot; pt&quot;;-0.0&quot; pt&quot;"/>
    <numFmt numFmtId="166" formatCode="#,##0.00,,&quot; M€&quot;"/>
    <numFmt numFmtId="167" formatCode="#,##0;(#,##0);&quot;-&quot;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52230"/>
      <sz val="16"/>
    </font>
    <font>
      <name val="Arial"/>
      <color rgb="000A5A48"/>
      <sz val="10"/>
    </font>
    <font>
      <name val="Arial"/>
      <i val="1"/>
      <color rgb="007D8B98"/>
      <sz val="9"/>
    </font>
    <font>
      <name val="Arial"/>
      <b val="1"/>
      <color rgb="00FFFFFF"/>
      <sz val="9"/>
    </font>
    <font>
      <name val="Arial"/>
      <b val="1"/>
      <color rgb="000D7A62"/>
      <sz val="12"/>
    </font>
    <font>
      <name val="Arial"/>
      <b val="1"/>
      <color rgb="00152230"/>
      <sz val="10"/>
    </font>
    <font>
      <name val="Arial"/>
      <color rgb="00152230"/>
      <sz val="9"/>
    </font>
    <font>
      <name val="Arial"/>
      <i val="1"/>
      <color rgb="00152230"/>
      <sz val="9"/>
    </font>
    <font>
      <name val="Arial"/>
      <b val="1"/>
      <i val="1"/>
      <color rgb="00B3641C"/>
      <sz val="9"/>
    </font>
    <font>
      <name val="Arial"/>
      <b val="1"/>
      <color rgb="00152230"/>
      <sz val="15"/>
    </font>
    <font>
      <name val="Arial"/>
      <color rgb="000A5A48"/>
      <sz val="9"/>
    </font>
    <font>
      <name val="Arial"/>
      <color rgb="00152230"/>
      <sz val="10"/>
    </font>
    <font>
      <name val="Arial"/>
      <color rgb="000000FF"/>
      <sz val="10"/>
    </font>
    <font>
      <name val="Arial"/>
      <color rgb="007D8B98"/>
      <sz val="8"/>
    </font>
    <font>
      <name val="Arial"/>
      <b val="1"/>
      <color rgb="000A5A48"/>
      <sz val="11"/>
    </font>
    <font>
      <name val="Arial"/>
      <b val="1"/>
      <color rgb="001E7A55"/>
      <sz val="9"/>
    </font>
    <font>
      <name val="Arial"/>
      <b val="1"/>
      <i val="1"/>
      <color rgb="00B3641C"/>
      <sz val="8"/>
    </font>
    <font>
      <name val="Arial"/>
      <color rgb="001E7A55"/>
      <sz val="9"/>
    </font>
    <font>
      <name val="Arial"/>
      <color rgb="00B3641C"/>
      <sz val="9"/>
    </font>
    <font>
      <name val="Arial"/>
      <b val="1"/>
      <color rgb="003D4F8F"/>
      <sz val="10"/>
    </font>
    <font>
      <name val="Arial"/>
      <b val="1"/>
      <color rgb="00FFFFFF"/>
      <sz val="10"/>
    </font>
    <font>
      <name val="Arial"/>
      <i val="1"/>
      <color rgb="007D8B98"/>
      <sz val="8"/>
    </font>
  </fonts>
  <fills count="6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F5F7F9"/>
      </patternFill>
    </fill>
    <fill>
      <patternFill patternType="solid">
        <fgColor rgb="00E4F0EC"/>
      </patternFill>
    </fill>
    <fill>
      <patternFill patternType="solid">
        <fgColor rgb="000A5A48"/>
      </patternFill>
    </fill>
  </fills>
  <borders count="3">
    <border>
      <left/>
      <right/>
      <top/>
      <bottom/>
      <diagonal/>
    </border>
    <border>
      <bottom style="thin">
        <color rgb="00DBE2E9"/>
      </bottom>
    </border>
    <border>
      <top style="medium">
        <color rgb="000D7A62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164" fontId="13" fillId="0" borderId="0" applyAlignment="1" pivotButton="0" quotePrefix="0" xfId="0">
      <alignment horizontal="right" vertical="center"/>
    </xf>
    <xf numFmtId="0" fontId="14" fillId="0" borderId="0" pivotButton="0" quotePrefix="0" xfId="0"/>
    <xf numFmtId="0" fontId="12" fillId="3" borderId="0" applyAlignment="1" pivotButton="0" quotePrefix="0" xfId="0">
      <alignment horizontal="left" vertical="center" wrapText="1"/>
    </xf>
    <xf numFmtId="164" fontId="13" fillId="3" borderId="0" applyAlignment="1" pivotButton="0" quotePrefix="0" xfId="0">
      <alignment horizontal="right" vertical="center"/>
    </xf>
    <xf numFmtId="0" fontId="14" fillId="3" borderId="0" pivotButton="0" quotePrefix="0" xfId="0"/>
    <xf numFmtId="165" fontId="13" fillId="3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5" fillId="4" borderId="0" pivotButton="0" quotePrefix="0" xfId="0"/>
    <xf numFmtId="166" fontId="15" fillId="4" borderId="0" applyAlignment="1" pivotButton="0" quotePrefix="0" xfId="0">
      <alignment horizontal="right" vertical="center"/>
    </xf>
    <xf numFmtId="0" fontId="0" fillId="4" borderId="0" pivotButton="0" quotePrefix="0" xfId="0"/>
    <xf numFmtId="164" fontId="16" fillId="0" borderId="0" applyAlignment="1" pivotButton="0" quotePrefix="0" xfId="0">
      <alignment horizontal="right" vertical="center"/>
    </xf>
    <xf numFmtId="0" fontId="1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7" fontId="7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2" fontId="18" fillId="0" borderId="0" applyAlignment="1" pivotButton="0" quotePrefix="0" xfId="0">
      <alignment horizontal="right" vertical="center"/>
    </xf>
    <xf numFmtId="2" fontId="19" fillId="0" borderId="0" applyAlignment="1" pivotButton="0" quotePrefix="0" xfId="0">
      <alignment horizontal="right" vertical="center"/>
    </xf>
    <xf numFmtId="2" fontId="20" fillId="4" borderId="0" applyAlignment="1" pivotButton="0" quotePrefix="0" xfId="0">
      <alignment horizontal="right" vertical="center"/>
    </xf>
    <xf numFmtId="0" fontId="21" fillId="5" borderId="0" pivotButton="0" quotePrefix="0" xfId="0"/>
    <xf numFmtId="0" fontId="0" fillId="5" borderId="0" pivotButton="0" quotePrefix="0" xfId="0"/>
    <xf numFmtId="167" fontId="21" fillId="5" borderId="2" applyAlignment="1" pivotButton="0" quotePrefix="0" xfId="0">
      <alignment horizontal="right" vertical="center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  <col width="20" customWidth="1" min="5" max="5"/>
  </cols>
  <sheetData>
    <row r="1">
      <c r="A1" s="1" t="inlineStr">
        <is>
          <t>ACTE 2 — CONSTRUIRE LE BUDGET 2027</t>
        </is>
      </c>
    </row>
    <row r="2">
      <c r="A2" s="2" t="inlineStr">
        <is>
          <t>Après le diagnostic (le CAC se dégrade), on construit 2027 pour y répondre. Chaîne : hypothèses → moteur → scénarios → P&amp;L.</t>
        </is>
      </c>
    </row>
    <row r="3">
      <c r="A3" s="3" t="inlineStr">
        <is>
          <t>Le « waouh » de l'acte : un MOTEUR vivant — on bouge un levier, tout recalcule (volumes, CA, marge).</t>
        </is>
      </c>
    </row>
    <row r="5">
      <c r="A5" s="4" t="inlineStr">
        <is>
          <t>#</t>
        </is>
      </c>
      <c r="B5" s="5" t="inlineStr">
        <is>
          <t>Étape</t>
        </is>
      </c>
      <c r="C5" s="5" t="inlineStr">
        <is>
          <t>Ce qu'on montre</t>
        </is>
      </c>
      <c r="D5" s="5" t="inlineStr">
        <is>
          <t>Ce qu'on dit</t>
        </is>
      </c>
      <c r="E5" s="5" t="inlineStr">
        <is>
          <t>Objet Tagetik</t>
        </is>
      </c>
    </row>
    <row r="6" ht="52" customHeight="1">
      <c r="A6" s="6" t="inlineStr">
        <is>
          <t>1</t>
        </is>
      </c>
      <c r="B6" s="7" t="inlineStr">
        <is>
          <t>Cadrage &amp; leviers</t>
        </is>
      </c>
      <c r="C6" s="8" t="inlineStr">
        <is>
          <t>La direction pose les hypothèses par scénario (prix, budgets, taux, coûts) — 3 versions V01/V02/V03</t>
        </is>
      </c>
      <c r="D6" s="9" t="inlineStr">
        <is>
          <t>« On fixe le cap : voici les hypothèses des 3 scénarios. »</t>
        </is>
      </c>
      <c r="E6" s="8" t="inlineStr">
        <is>
          <t>V_CADRAGE_LEVIERS</t>
        </is>
      </c>
    </row>
    <row r="7" ht="52" customHeight="1">
      <c r="A7" s="6" t="inlineStr">
        <is>
          <t>2</t>
        </is>
      </c>
      <c r="B7" s="7" t="inlineStr">
        <is>
          <t>Arbitrage des caps</t>
        </is>
      </c>
      <c r="C7" s="8" t="inlineStr">
        <is>
          <t>Budget d'acquisition par campus : 3 logiques proposées (Efficient / Momentum / Potentiel) → Cap retenu (DAF)</t>
        </is>
      </c>
      <c r="D7" s="9" t="inlineStr">
        <is>
          <t>« Trois façons de voir chaque campus. On propose, la DAF tranche. Le budget acq en découle. »</t>
        </is>
      </c>
      <c r="E7" s="8" t="inlineStr">
        <is>
          <t>V_CAP_ARBITRAGE</t>
        </is>
      </c>
    </row>
    <row r="8" ht="52" customHeight="1">
      <c r="A8" s="10" t="inlineStr">
        <is>
          <t>3</t>
        </is>
      </c>
      <c r="B8" s="7" t="inlineStr">
        <is>
          <t>Le moteur</t>
        </is>
      </c>
      <c r="C8" s="8" t="inlineStr">
        <is>
          <t>La chaîne : dépense → leads → funnel → nouveaux → effectifs → CA. Tout est relié.</t>
        </is>
      </c>
      <c r="D8" s="9" t="inlineStr">
        <is>
          <t>« Pas de saisie en dur : je bouge une dépense, l'effectif suit. Un vrai moteur. »</t>
        </is>
      </c>
      <c r="E8" s="8" t="inlineStr">
        <is>
          <t>V_MOTEUR</t>
        </is>
      </c>
    </row>
    <row r="9" ht="52" customHeight="1">
      <c r="A9" s="6" t="inlineStr">
        <is>
          <t>4</t>
        </is>
      </c>
      <c r="B9" s="7" t="inlineStr">
        <is>
          <t>Levier prix</t>
        </is>
      </c>
      <c r="C9" s="8" t="inlineStr">
        <is>
          <t>Ajuster le prix pour tomber pile sur la cible du cadrage</t>
        </is>
      </c>
      <c r="D9" s="9" t="inlineStr">
        <is>
          <t>« Il me manque un pouième : +0,29 % de prix, et je tombe sur le cadrage. »</t>
        </is>
      </c>
      <c r="E9" s="8" t="inlineStr">
        <is>
          <t>Moteur (cellule prix)</t>
        </is>
      </c>
    </row>
    <row r="10" ht="52" customHeight="1">
      <c r="A10" s="6" t="inlineStr">
        <is>
          <t>5</t>
        </is>
      </c>
      <c r="B10" s="7" t="inlineStr">
        <is>
          <t>3 scénarios</t>
        </is>
      </c>
      <c r="C10" s="8" t="inlineStr">
        <is>
          <t>Cadrage / Optimiste / Prudent côte à côte : CA V01 24,1 M€ · V02 26,3 M€ · V03 22,7 M€</t>
        </is>
      </c>
      <c r="D10" s="9" t="inlineStr">
        <is>
          <t>« On ne parie pas sur un seul futur. Trois scénarios, même moteur. »</t>
        </is>
      </c>
      <c r="E10" s="8" t="inlineStr">
        <is>
          <t>Q_SCENARIOS</t>
        </is>
      </c>
    </row>
    <row r="11" ht="52" customHeight="1">
      <c r="A11" s="6" t="inlineStr">
        <is>
          <t>6</t>
        </is>
      </c>
      <c r="B11" s="7" t="inlineStr">
        <is>
          <t>Bridge de CA</t>
        </is>
      </c>
      <c r="C11" s="8" t="inlineStr">
        <is>
          <t>Le pont 2026 → 2027 : effet prix / volume / mix (le vrai bridge canonique)</t>
        </is>
      </c>
      <c r="D11" s="9" t="inlineStr">
        <is>
          <t>« La croissance n'est pas un bloc : voilà la part du prix, du volume, du mix. »</t>
        </is>
      </c>
      <c r="E11" s="8" t="inlineStr">
        <is>
          <t>V_BRIDGE_CA</t>
        </is>
      </c>
    </row>
    <row r="12" ht="52" customHeight="1">
      <c r="A12" s="6" t="inlineStr">
        <is>
          <t>7</t>
        </is>
      </c>
      <c r="B12" s="7" t="inlineStr">
        <is>
          <t>P&amp;L ② (marge directe)</t>
        </is>
      </c>
      <c r="C12" s="8" t="inlineStr">
        <is>
          <t>Le budget construit, AVANT allocation : marge directe par marque</t>
        </is>
      </c>
      <c r="D12" s="9" t="inlineStr">
        <is>
          <t>« Voici le budget tel que construit. Belles marges… mais il manque le coût groupe (→ Acte 3). »</t>
        </is>
      </c>
      <c r="E12" s="8" t="inlineStr">
        <is>
          <t>V_PNL / FST</t>
        </is>
      </c>
    </row>
    <row r="14">
      <c r="A14" s="11" t="inlineStr">
        <is>
          <t>Le cœur = étape 3 (le moteur). Étapes 1-2 = les entrées ; 5-7 = les sorties. Le levier prix (4) est le moment 'live'.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9" customWidth="1" min="5" max="5"/>
  </cols>
  <sheetData>
    <row r="1">
      <c r="A1" s="12" t="inlineStr">
        <is>
          <t>CADRAGE &amp; LEVIERS  ·  le panneau de commande des 3 scénarios</t>
        </is>
      </c>
    </row>
    <row r="2">
      <c r="A2" s="13" t="inlineStr">
        <is>
          <t>La direction fixe les hypothèses par version. Le moteur en déduit volumes, CA et marge. Source : V_CADRAGE_LEVIERS.</t>
        </is>
      </c>
    </row>
    <row r="4">
      <c r="A4" s="4" t="inlineStr">
        <is>
          <t>Levier</t>
        </is>
      </c>
      <c r="B4" s="5" t="inlineStr">
        <is>
          <t>V01 · Cadrage</t>
        </is>
      </c>
      <c r="C4" s="5" t="inlineStr">
        <is>
          <t>V02 · Optimiste</t>
        </is>
      </c>
      <c r="D4" s="5" t="inlineStr">
        <is>
          <t>V03 · Prudent</t>
        </is>
      </c>
      <c r="E4" s="5" t="inlineStr">
        <is>
          <t>Unité</t>
        </is>
      </c>
    </row>
    <row r="5">
      <c r="A5" s="14" t="inlineStr">
        <is>
          <t>Prix</t>
        </is>
      </c>
      <c r="B5" s="15" t="n">
        <v>0.02</v>
      </c>
      <c r="C5" s="15" t="n">
        <v>0.035</v>
      </c>
      <c r="D5" s="15" t="n">
        <v>0.02</v>
      </c>
      <c r="E5" s="16" t="inlineStr">
        <is>
          <t>%</t>
        </is>
      </c>
    </row>
    <row r="6">
      <c r="A6" s="17" t="inlineStr">
        <is>
          <t>Budget acquisition</t>
        </is>
      </c>
      <c r="B6" s="18" t="n">
        <v>0.08</v>
      </c>
      <c r="C6" s="18" t="n">
        <v>0.15</v>
      </c>
      <c r="D6" s="18" t="n">
        <v>-0.05</v>
      </c>
      <c r="E6" s="19" t="inlineStr">
        <is>
          <t>%</t>
        </is>
      </c>
    </row>
    <row r="7">
      <c r="A7" s="14" t="inlineStr">
        <is>
          <t>Budget marque</t>
        </is>
      </c>
      <c r="B7" s="15" t="n">
        <v>0.1</v>
      </c>
      <c r="C7" s="15" t="n">
        <v>0.2</v>
      </c>
      <c r="D7" s="15" t="n">
        <v>-0.05</v>
      </c>
      <c r="E7" s="16" t="inlineStr">
        <is>
          <t>%</t>
        </is>
      </c>
    </row>
    <row r="8">
      <c r="A8" s="17" t="inlineStr">
        <is>
          <t>Conv. lead → cand.</t>
        </is>
      </c>
      <c r="B8" s="20" t="n">
        <v>1</v>
      </c>
      <c r="C8" s="20" t="n">
        <v>3</v>
      </c>
      <c r="D8" s="20" t="n">
        <v>-1</v>
      </c>
      <c r="E8" s="19" t="inlineStr">
        <is>
          <t>points</t>
        </is>
      </c>
    </row>
    <row r="9">
      <c r="A9" s="14" t="inlineStr">
        <is>
          <t>Conv. admis → inscrit</t>
        </is>
      </c>
      <c r="B9" s="21" t="n">
        <v>1</v>
      </c>
      <c r="C9" s="21" t="n">
        <v>2.5</v>
      </c>
      <c r="D9" s="21" t="n">
        <v>-1</v>
      </c>
      <c r="E9" s="16" t="inlineStr">
        <is>
          <t>points</t>
        </is>
      </c>
    </row>
    <row r="10">
      <c r="A10" s="17" t="inlineStr">
        <is>
          <t>Taux de passage</t>
        </is>
      </c>
      <c r="B10" s="20" t="n">
        <v>0.5</v>
      </c>
      <c r="C10" s="20" t="n">
        <v>1.5</v>
      </c>
      <c r="D10" s="20" t="n">
        <v>-1</v>
      </c>
      <c r="E10" s="19" t="inlineStr">
        <is>
          <t>points</t>
        </is>
      </c>
    </row>
    <row r="11">
      <c r="A11" s="14" t="inlineStr">
        <is>
          <t>Salaires</t>
        </is>
      </c>
      <c r="B11" s="15" t="n">
        <v>0.025</v>
      </c>
      <c r="C11" s="15" t="n">
        <v>0.02</v>
      </c>
      <c r="D11" s="15" t="n">
        <v>0.03</v>
      </c>
      <c r="E11" s="16" t="inlineStr">
        <is>
          <t>%</t>
        </is>
      </c>
    </row>
    <row r="12">
      <c r="A12" s="17" t="inlineStr">
        <is>
          <t>Coût de structure</t>
        </is>
      </c>
      <c r="B12" s="18" t="n">
        <v>0</v>
      </c>
      <c r="C12" s="18" t="n">
        <v>-0.03</v>
      </c>
      <c r="D12" s="18" t="n">
        <v>0.04</v>
      </c>
      <c r="E12" s="19" t="inlineStr">
        <is>
          <t>%</t>
        </is>
      </c>
    </row>
    <row r="13">
      <c r="A13" s="14" t="inlineStr">
        <is>
          <t>Inflation externe</t>
        </is>
      </c>
      <c r="B13" s="15" t="n">
        <v>0.02</v>
      </c>
      <c r="C13" s="15" t="n">
        <v>0.015</v>
      </c>
      <c r="D13" s="15" t="n">
        <v>0.03</v>
      </c>
      <c r="E13" s="16" t="inlineStr">
        <is>
          <t>%</t>
        </is>
      </c>
    </row>
    <row r="15">
      <c r="A15" s="22" t="inlineStr">
        <is>
          <t>→ CA 2027 (sortie moteur)</t>
        </is>
      </c>
      <c r="B15" s="23" t="n">
        <v>24120315</v>
      </c>
      <c r="C15" s="23" t="n">
        <v>26307244</v>
      </c>
      <c r="D15" s="23" t="n">
        <v>22701560</v>
      </c>
      <c r="E15" s="24" t="n"/>
    </row>
    <row r="16">
      <c r="A16" s="3" t="inlineStr">
        <is>
          <t>vs atterrissage 2026 (22,54 M€)</t>
        </is>
      </c>
      <c r="B16" s="25">
        <f>B15/22544725-1</f>
        <v/>
      </c>
      <c r="C16" s="25">
        <f>C15/22544725-1</f>
        <v/>
      </c>
      <c r="D16" s="25">
        <f>D15/22544725-1</f>
        <v/>
      </c>
    </row>
    <row r="18">
      <c r="A18" s="26" t="inlineStr">
        <is>
          <t>Lecture : Optimiste pousse budgets &amp; conversions à fond (+16,7 %) ; Prudent réduit l'acquisition (+0,7 %) ; Cadrage = la cible tenue (+7 %).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3" customWidth="1" min="9" max="9"/>
  </cols>
  <sheetData>
    <row r="1">
      <c r="A1" s="12" t="inlineStr">
        <is>
          <t>ARBITRAGE DES CAPS D'ACQUISITION  ·  où mettre le budget, par campus</t>
        </is>
      </c>
    </row>
    <row r="2">
      <c r="A2" s="13" t="inlineStr">
        <is>
          <t>3 logiques proposent un coefficient de budget ; la DAF retient (Cap retenu). Budget = réf × retenu. Source : V_CAP_ARBITRAGE.</t>
        </is>
      </c>
    </row>
    <row r="4">
      <c r="A4" s="4" t="inlineStr">
        <is>
          <t>Campus</t>
        </is>
      </c>
      <c r="B4" s="5" t="inlineStr">
        <is>
          <t>CAC margi. (€)</t>
        </is>
      </c>
      <c r="C4" s="5" t="inlineStr">
        <is>
          <t>Croiss. leads</t>
        </is>
      </c>
      <c r="D4" s="5" t="inlineStr">
        <is>
          <t>Intensité mkt</t>
        </is>
      </c>
      <c r="E4" s="5" t="inlineStr">
        <is>
          <t>Cap Efficient</t>
        </is>
      </c>
      <c r="F4" s="5" t="inlineStr">
        <is>
          <t>Cap Momentum</t>
        </is>
      </c>
      <c r="G4" s="5" t="inlineStr">
        <is>
          <t>Cap Potentiel</t>
        </is>
      </c>
      <c r="H4" s="5" t="inlineStr">
        <is>
          <t>Cap RETENU</t>
        </is>
      </c>
      <c r="I4" s="5" t="inlineStr">
        <is>
          <t>Budget réf (€)</t>
        </is>
      </c>
    </row>
    <row r="5">
      <c r="A5" s="27" t="inlineStr">
        <is>
          <t>IPAC MTP</t>
        </is>
      </c>
      <c r="B5" s="28" t="n">
        <v>1034</v>
      </c>
      <c r="C5" s="29" t="n">
        <v>0.145</v>
      </c>
      <c r="D5" s="29" t="n">
        <v>0.019</v>
      </c>
      <c r="E5" s="30" t="n">
        <v>1.163</v>
      </c>
      <c r="F5" s="30" t="n">
        <v>1.386</v>
      </c>
      <c r="G5" s="31" t="n">
        <v>0.969</v>
      </c>
      <c r="H5" s="32" t="n">
        <v>1</v>
      </c>
      <c r="I5" s="28" t="n">
        <v>15178</v>
      </c>
    </row>
    <row r="6">
      <c r="A6" s="27" t="inlineStr">
        <is>
          <t>IPAC NAN</t>
        </is>
      </c>
      <c r="B6" s="28" t="n">
        <v>1216</v>
      </c>
      <c r="C6" s="29" t="n">
        <v>0.138</v>
      </c>
      <c r="D6" s="29" t="n">
        <v>0.021</v>
      </c>
      <c r="E6" s="31" t="n">
        <v>0.988</v>
      </c>
      <c r="F6" s="30" t="n">
        <v>1.32</v>
      </c>
      <c r="G6" s="31" t="n">
        <v>0.881</v>
      </c>
      <c r="H6" s="32" t="n">
        <v>1</v>
      </c>
      <c r="I6" s="28" t="n">
        <v>21760</v>
      </c>
    </row>
    <row r="7">
      <c r="A7" s="27" t="inlineStr">
        <is>
          <t>IPAC REN</t>
        </is>
      </c>
      <c r="B7" s="28" t="n">
        <v>1041</v>
      </c>
      <c r="C7" s="29" t="n">
        <v>0.145</v>
      </c>
      <c r="D7" s="29" t="n">
        <v>0.019</v>
      </c>
      <c r="E7" s="30" t="n">
        <v>1.155</v>
      </c>
      <c r="F7" s="30" t="n">
        <v>1.386</v>
      </c>
      <c r="G7" s="31" t="n">
        <v>0.985</v>
      </c>
      <c r="H7" s="32" t="n">
        <v>1</v>
      </c>
      <c r="I7" s="28" t="n">
        <v>14933</v>
      </c>
    </row>
    <row r="8">
      <c r="A8" s="27" t="inlineStr">
        <is>
          <t>ISCOM LIL</t>
        </is>
      </c>
      <c r="B8" s="28" t="n">
        <v>979</v>
      </c>
      <c r="C8" s="29" t="n">
        <v>0.082</v>
      </c>
      <c r="D8" s="29" t="n">
        <v>0.014</v>
      </c>
      <c r="E8" s="30" t="n">
        <v>1.228</v>
      </c>
      <c r="F8" s="31" t="n">
        <v>0.78</v>
      </c>
      <c r="G8" s="30" t="n">
        <v>1.31</v>
      </c>
      <c r="H8" s="32" t="n">
        <v>1</v>
      </c>
      <c r="I8" s="28" t="n">
        <v>25220</v>
      </c>
    </row>
    <row r="9">
      <c r="A9" s="27" t="inlineStr">
        <is>
          <t>ISCOM PAR</t>
        </is>
      </c>
      <c r="B9" s="28" t="n">
        <v>1540</v>
      </c>
      <c r="C9" s="29" t="n">
        <v>0.078</v>
      </c>
      <c r="D9" s="29" t="n">
        <v>0.021</v>
      </c>
      <c r="E9" s="31" t="n">
        <v>0.78</v>
      </c>
      <c r="F9" s="31" t="n">
        <v>0.744</v>
      </c>
      <c r="G9" s="31" t="n">
        <v>0.9</v>
      </c>
      <c r="H9" s="32" t="n">
        <v>1</v>
      </c>
      <c r="I9" s="28" t="n">
        <v>60800</v>
      </c>
    </row>
    <row r="10">
      <c r="A10" s="27" t="inlineStr">
        <is>
          <t>ISCOM TLS</t>
        </is>
      </c>
      <c r="B10" s="28" t="n">
        <v>919</v>
      </c>
      <c r="C10" s="29" t="n">
        <v>0.082</v>
      </c>
      <c r="D10" s="29" t="n">
        <v>0.014</v>
      </c>
      <c r="E10" s="30" t="n">
        <v>1.308</v>
      </c>
      <c r="F10" s="31" t="n">
        <v>0.786</v>
      </c>
      <c r="G10" s="30" t="n">
        <v>1.387</v>
      </c>
      <c r="H10" s="32" t="n">
        <v>1</v>
      </c>
      <c r="I10" s="28" t="n">
        <v>22083</v>
      </c>
    </row>
    <row r="11">
      <c r="A11" s="27" t="inlineStr">
        <is>
          <t>MBWAY BOR</t>
        </is>
      </c>
      <c r="B11" s="28" t="n">
        <v>890</v>
      </c>
      <c r="C11" s="29" t="n">
        <v>0.126</v>
      </c>
      <c r="D11" s="29" t="n">
        <v>0.014</v>
      </c>
      <c r="E11" s="30" t="n">
        <v>1.351</v>
      </c>
      <c r="F11" s="30" t="n">
        <v>1.207</v>
      </c>
      <c r="G11" s="30" t="n">
        <v>1.339</v>
      </c>
      <c r="H11" s="32" t="n">
        <v>1</v>
      </c>
      <c r="I11" s="28" t="n">
        <v>24923</v>
      </c>
    </row>
    <row r="12">
      <c r="A12" s="27" t="inlineStr">
        <is>
          <t>MBWAY LYO</t>
        </is>
      </c>
      <c r="B12" s="28" t="n">
        <v>1102</v>
      </c>
      <c r="C12" s="29" t="n">
        <v>0.119</v>
      </c>
      <c r="D12" s="29" t="n">
        <v>0.017</v>
      </c>
      <c r="E12" s="30" t="n">
        <v>1.091</v>
      </c>
      <c r="F12" s="30" t="n">
        <v>1.138</v>
      </c>
      <c r="G12" s="30" t="n">
        <v>1.124</v>
      </c>
      <c r="H12" s="32" t="n">
        <v>1</v>
      </c>
      <c r="I12" s="28" t="n">
        <v>41783</v>
      </c>
    </row>
    <row r="13">
      <c r="A13" s="27" t="inlineStr">
        <is>
          <t>MBWAY NAN</t>
        </is>
      </c>
      <c r="B13" s="28" t="n">
        <v>964</v>
      </c>
      <c r="C13" s="29" t="n">
        <v>0.124</v>
      </c>
      <c r="D13" s="29" t="n">
        <v>0.015</v>
      </c>
      <c r="E13" s="30" t="n">
        <v>1.248</v>
      </c>
      <c r="F13" s="30" t="n">
        <v>1.185</v>
      </c>
      <c r="G13" s="30" t="n">
        <v>1.288</v>
      </c>
      <c r="H13" s="32" t="n">
        <v>1</v>
      </c>
      <c r="I13" s="28" t="n">
        <v>31533</v>
      </c>
    </row>
    <row r="14">
      <c r="A14" s="27" t="inlineStr">
        <is>
          <t>MBWAY PAR</t>
        </is>
      </c>
      <c r="B14" s="28" t="n">
        <v>1475</v>
      </c>
      <c r="C14" s="29" t="n">
        <v>0.111</v>
      </c>
      <c r="D14" s="29" t="n">
        <v>0.022</v>
      </c>
      <c r="E14" s="31" t="n">
        <v>0.8149999999999999</v>
      </c>
      <c r="F14" s="30" t="n">
        <v>1.06</v>
      </c>
      <c r="G14" s="31" t="n">
        <v>0.865</v>
      </c>
      <c r="H14" s="32" t="n">
        <v>1</v>
      </c>
      <c r="I14" s="28" t="n">
        <v>68291</v>
      </c>
    </row>
    <row r="15">
      <c r="A15" s="27" t="inlineStr">
        <is>
          <t>PIGIER BOR</t>
        </is>
      </c>
      <c r="B15" s="28" t="n">
        <v>1368</v>
      </c>
      <c r="C15" s="29" t="n">
        <v>0.08799999999999999</v>
      </c>
      <c r="D15" s="29" t="n">
        <v>0.024</v>
      </c>
      <c r="E15" s="31" t="n">
        <v>0.879</v>
      </c>
      <c r="F15" s="31" t="n">
        <v>0.838</v>
      </c>
      <c r="G15" s="31" t="n">
        <v>0.772</v>
      </c>
      <c r="H15" s="32" t="n">
        <v>1</v>
      </c>
      <c r="I15" s="28" t="n">
        <v>21968</v>
      </c>
    </row>
    <row r="16">
      <c r="A16" s="27" t="inlineStr">
        <is>
          <t>PIGIER LYO</t>
        </is>
      </c>
      <c r="B16" s="28" t="n">
        <v>1705</v>
      </c>
      <c r="C16" s="29" t="n">
        <v>0.08500000000000001</v>
      </c>
      <c r="D16" s="29" t="n">
        <v>0.029</v>
      </c>
      <c r="E16" s="31" t="n">
        <v>0.705</v>
      </c>
      <c r="F16" s="31" t="n">
        <v>0.8129999999999999</v>
      </c>
      <c r="G16" s="31" t="n">
        <v>0.643</v>
      </c>
      <c r="H16" s="32" t="n">
        <v>1</v>
      </c>
      <c r="I16" s="28" t="n">
        <v>36612</v>
      </c>
    </row>
    <row r="17">
      <c r="A17" s="27" t="inlineStr">
        <is>
          <t>TUNON LYO</t>
        </is>
      </c>
      <c r="B17" s="28" t="n">
        <v>1625</v>
      </c>
      <c r="C17" s="29" t="n">
        <v>0.073</v>
      </c>
      <c r="D17" s="29" t="n">
        <v>0.022</v>
      </c>
      <c r="E17" s="31" t="n">
        <v>0.74</v>
      </c>
      <c r="F17" s="31" t="n">
        <v>0.694</v>
      </c>
      <c r="G17" s="31" t="n">
        <v>0.862</v>
      </c>
      <c r="H17" s="32" t="n">
        <v>1</v>
      </c>
      <c r="I17" s="28" t="n">
        <v>18850</v>
      </c>
    </row>
    <row r="18">
      <c r="A18" s="27" t="inlineStr">
        <is>
          <t>TUNON PAR</t>
        </is>
      </c>
      <c r="B18" s="28" t="n">
        <v>2193</v>
      </c>
      <c r="C18" s="29" t="n">
        <v>0.07000000000000001</v>
      </c>
      <c r="D18" s="29" t="n">
        <v>0.028</v>
      </c>
      <c r="E18" s="31" t="n">
        <v>0.548</v>
      </c>
      <c r="F18" s="31" t="n">
        <v>0.665</v>
      </c>
      <c r="G18" s="31" t="n">
        <v>0.676</v>
      </c>
      <c r="H18" s="32" t="n">
        <v>1</v>
      </c>
      <c r="I18" s="28" t="n">
        <v>30240</v>
      </c>
    </row>
    <row r="19">
      <c r="A19" s="33" t="inlineStr">
        <is>
          <t>GROUPE</t>
        </is>
      </c>
      <c r="B19" s="34" t="n"/>
      <c r="C19" s="34" t="n"/>
      <c r="D19" s="34" t="n"/>
      <c r="E19" s="34" t="n"/>
      <c r="F19" s="34" t="n"/>
      <c r="G19" s="34" t="n"/>
      <c r="H19" s="34" t="n"/>
      <c r="I19" s="35">
        <f>SUM(I5:I18)</f>
        <v/>
      </c>
    </row>
    <row r="21">
      <c r="A21" s="26" t="inlineStr">
        <is>
          <t>Vert = coefficient &gt; 1 (investir) · Ochre = &lt; 1 (réduire). Ex : Tunon Paris — les 3 logiques disent RÉDUIRE (CAC 2 193 €, faible croissance).</t>
        </is>
      </c>
    </row>
    <row r="22">
      <c r="A22" s="36" t="inlineStr">
        <is>
          <t>MBway Bordeaux — les 3 disent INVESTIR (CAC 890 €, +12,6 % leads). En V1 la DAF a retenu 1,00 partout (budget = réf) ; les caps montrent où réallouer.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2026-08-27T22:45:28Z</dcterms:created>
  <dcterms:modified xsi:type="dcterms:W3CDTF">2026-08-27T22:45:28Z</dcterms:modified>
</cp:coreProperties>
</file>