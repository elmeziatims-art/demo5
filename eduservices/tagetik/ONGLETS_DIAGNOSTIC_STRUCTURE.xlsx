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 CAC" sheetId="1" state="visible" r:id="rId1"/>
    <sheet name="Structure &amp; M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;&quot;-&quot;"/>
    <numFmt numFmtId="166" formatCode="#,##0&quot; €&quot;"/>
  </numFmts>
  <fonts count="13">
    <font>
      <name val="Calibri"/>
      <family val="2"/>
      <color theme="1"/>
      <sz val="11"/>
      <scheme val="minor"/>
    </font>
    <font>
      <name val="Arial"/>
      <b val="1"/>
      <color rgb="00152230"/>
      <sz val="15"/>
    </font>
    <font>
      <name val="Arial"/>
      <color rgb="000A5A48"/>
      <sz val="9"/>
    </font>
    <font>
      <name val="Arial"/>
      <b val="1"/>
      <color rgb="000A5A48"/>
      <sz val="11"/>
    </font>
    <font>
      <name val="Arial"/>
      <b val="1"/>
      <color rgb="00FFFFFF"/>
      <sz val="9"/>
    </font>
    <font>
      <name val="Arial"/>
      <color rgb="00152230"/>
      <sz val="10"/>
    </font>
    <font>
      <name val="Arial"/>
      <color rgb="000000FF"/>
      <sz val="10"/>
    </font>
    <font>
      <name val="Arial"/>
      <b val="1"/>
      <color rgb="000A5A48"/>
      <sz val="10"/>
    </font>
    <font>
      <name val="Arial"/>
      <b val="1"/>
      <color rgb="007D8B98"/>
      <sz val="9"/>
    </font>
    <font>
      <name val="Arial"/>
      <b val="1"/>
      <color rgb="00B3641C"/>
      <sz val="10"/>
    </font>
    <font>
      <name val="Arial"/>
      <b val="1"/>
      <color rgb="00152230"/>
      <sz val="10"/>
    </font>
    <font>
      <name val="Arial"/>
      <b val="1"/>
      <color rgb="00B3641C"/>
      <sz val="9"/>
    </font>
    <font>
      <name val="Arial"/>
      <b val="1"/>
      <i val="1"/>
      <color rgb="00B3641C"/>
      <sz val="8"/>
    </font>
  </fonts>
  <fills count="3">
    <fill>
      <patternFill/>
    </fill>
    <fill>
      <patternFill patternType="gray125"/>
    </fill>
    <fill>
      <patternFill patternType="solid">
        <fgColor rgb="000D7A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0" fontId="8" fillId="0" borderId="0" pivotButton="0" quotePrefix="0" xfId="0"/>
    <xf numFmtId="164" fontId="9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166" fontId="9" fillId="0" borderId="0" applyAlignment="1" pivotButton="0" quotePrefix="0" xfId="0">
      <alignment horizontal="right" vertical="center"/>
    </xf>
    <xf numFmtId="0" fontId="11" fillId="0" borderId="0" pivotButton="0" quotePrefix="0" xfId="0"/>
    <xf numFmtId="0" fontId="12" fillId="0" borderId="0" pivotButton="0" quotePrefix="0" xfId="0"/>
    <xf numFmtId="164" fontId="1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Funnel : le volume fond à chaque étape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'Diagnostic CAC'!$A$6:$A$9</f>
            </numRef>
          </cat>
          <val>
            <numRef>
              <f>'Diagnostic CAC'!$B$6:$B$9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CAC par marque : Tunon décroche (564 € vs ~320 €)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'Diagnostic CAC'!$A$15:$A$19</f>
            </numRef>
          </cat>
          <val>
            <numRef>
              <f>'Diagnostic CAC'!$D$15:$D$19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Mix initiale / alternance : 3 marques 100% OPCO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'Structure &amp; Mix'!B5</f>
            </strRef>
          </tx>
          <spPr>
            <a:ln>
              <a:prstDash val="solid"/>
            </a:ln>
          </spPr>
          <cat>
            <numRef>
              <f>'Structure &amp; Mix'!$A$6:$A$11</f>
            </numRef>
          </cat>
          <val>
            <numRef>
              <f>'Structure &amp; Mix'!$B$6:$B$11</f>
            </numRef>
          </val>
        </ser>
        <ser>
          <idx val="1"/>
          <order val="1"/>
          <tx>
            <strRef>
              <f>'Structure &amp; Mix'!C5</f>
            </strRef>
          </tx>
          <spPr>
            <a:ln>
              <a:prstDash val="solid"/>
            </a:ln>
          </spPr>
          <cat>
            <numRef>
              <f>'Structure &amp; Mix'!$A$6:$A$11</f>
            </numRef>
          </cat>
          <val>
            <numRef>
              <f>'Structure &amp; Mix'!$C$6:$C$11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 par marque : MBway + ISCOM = 70% du CA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'Structure &amp; Mix'!$A$15:$A$19</f>
            </numRef>
          </cat>
          <val>
            <numRef>
              <f>'Structure &amp; Mix'!$B$15:$B$19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396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12</row>
      <rowOff>0</rowOff>
    </from>
    <ext cx="396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432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12</row>
      <rowOff>0</rowOff>
    </from>
    <ext cx="432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1" customWidth="1" min="3" max="3"/>
    <col width="15" customWidth="1" min="4" max="4"/>
    <col width="16" customWidth="1" min="5" max="5"/>
  </cols>
  <sheetData>
    <row r="1">
      <c r="A1" s="1" t="inlineStr">
        <is>
          <t>DIAGNOSTIC CAC  ·  pourquoi le coût d'acquisition se dégrade  ·  2026</t>
        </is>
      </c>
    </row>
    <row r="2">
      <c r="A2" s="2" t="inlineStr">
        <is>
          <t>1er drill depuis la tuile CAC du cockpit. Le funnel explique le CAC ; le CAC par marque dit OÙ agir.</t>
        </is>
      </c>
    </row>
    <row r="4">
      <c r="A4" s="3" t="inlineStr">
        <is>
          <t>Funnel de conversion (groupe)</t>
        </is>
      </c>
    </row>
    <row r="5">
      <c r="A5" s="4" t="inlineStr">
        <is>
          <t>Étape</t>
        </is>
      </c>
      <c r="B5" s="5" t="inlineStr">
        <is>
          <t>Volume</t>
        </is>
      </c>
      <c r="C5" s="5" t="inlineStr">
        <is>
          <t>Taux de passage</t>
        </is>
      </c>
    </row>
    <row r="6">
      <c r="A6" s="6" t="inlineStr">
        <is>
          <t>Leads</t>
        </is>
      </c>
      <c r="B6" s="7" t="n">
        <v>17197</v>
      </c>
    </row>
    <row r="7">
      <c r="A7" s="6" t="inlineStr">
        <is>
          <t>Candidatures</t>
        </is>
      </c>
      <c r="B7" s="7" t="n">
        <v>3720</v>
      </c>
      <c r="C7" s="8">
        <f>B7/B6</f>
        <v/>
      </c>
    </row>
    <row r="8">
      <c r="A8" s="6" t="inlineStr">
        <is>
          <t>Admis</t>
        </is>
      </c>
      <c r="B8" s="7" t="n">
        <v>2623</v>
      </c>
      <c r="C8" s="8">
        <f>B8/B7</f>
        <v/>
      </c>
    </row>
    <row r="9">
      <c r="A9" s="6" t="inlineStr">
        <is>
          <t>Inscrits</t>
        </is>
      </c>
      <c r="B9" s="7" t="n">
        <v>1229</v>
      </c>
      <c r="C9" s="8">
        <f>B9/B8</f>
        <v/>
      </c>
    </row>
    <row r="10">
      <c r="A10" s="9" t="inlineStr">
        <is>
          <t>Global lead → inscrit</t>
        </is>
      </c>
      <c r="C10" s="10">
        <f>B9/B6</f>
        <v/>
      </c>
    </row>
    <row r="13">
      <c r="A13" s="3" t="inlineStr">
        <is>
          <t>CAC par marque — où le coût dérape</t>
        </is>
      </c>
    </row>
    <row r="14">
      <c r="A14" s="4" t="inlineStr">
        <is>
          <t>Marque</t>
        </is>
      </c>
      <c r="B14" s="5" t="inlineStr">
        <is>
          <t>Dépense acq.</t>
        </is>
      </c>
      <c r="C14" s="5" t="inlineStr">
        <is>
          <t>Inscrits</t>
        </is>
      </c>
      <c r="D14" s="5" t="inlineStr">
        <is>
          <t>CAC (€/inscrit)</t>
        </is>
      </c>
    </row>
    <row r="15">
      <c r="A15" s="11" t="inlineStr">
        <is>
          <t>MBway</t>
        </is>
      </c>
      <c r="B15" s="12" t="n">
        <v>166530</v>
      </c>
      <c r="C15" s="7" t="n">
        <v>510</v>
      </c>
      <c r="D15" s="13">
        <f>B15/C15</f>
        <v/>
      </c>
    </row>
    <row r="16">
      <c r="A16" s="11" t="inlineStr">
        <is>
          <t>ISCOM</t>
        </is>
      </c>
      <c r="B16" s="12" t="n">
        <v>108103</v>
      </c>
      <c r="C16" s="7" t="n">
        <v>338</v>
      </c>
      <c r="D16" s="13">
        <f>B16/C16</f>
        <v/>
      </c>
    </row>
    <row r="17">
      <c r="A17" s="11" t="inlineStr">
        <is>
          <t>IPAC</t>
        </is>
      </c>
      <c r="B17" s="12" t="n">
        <v>51871</v>
      </c>
      <c r="C17" s="7" t="n">
        <v>130</v>
      </c>
      <c r="D17" s="13">
        <f>B17/C17</f>
        <v/>
      </c>
    </row>
    <row r="18">
      <c r="A18" s="11" t="inlineStr">
        <is>
          <t>Pigier</t>
        </is>
      </c>
      <c r="B18" s="12" t="n">
        <v>58580</v>
      </c>
      <c r="C18" s="7" t="n">
        <v>164</v>
      </c>
      <c r="D18" s="13">
        <f>B18/C18</f>
        <v/>
      </c>
    </row>
    <row r="19">
      <c r="A19" s="14" t="inlineStr">
        <is>
          <t>Tunon</t>
        </is>
      </c>
      <c r="B19" s="12" t="n">
        <v>49090</v>
      </c>
      <c r="C19" s="7" t="n">
        <v>87</v>
      </c>
      <c r="D19" s="15">
        <f>B19/C19</f>
        <v/>
      </c>
      <c r="E19" s="16" t="inlineStr">
        <is>
          <t>◄ 1,7× la moyenne</t>
        </is>
      </c>
    </row>
    <row r="21">
      <c r="A21" s="17" t="inlineStr">
        <is>
          <t>Le funnel dit COMMENT (taux de passage) ; le CAC par marque dit OÙ agir → Tunon en priorité. Clic marque → funnel du campus.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3" customWidth="1" min="4" max="4"/>
    <col width="13" customWidth="1" min="5" max="5"/>
  </cols>
  <sheetData>
    <row r="1">
      <c r="A1" s="1" t="inlineStr">
        <is>
          <t>STRUCTURE &amp; MIX DE FINANCEMENT  ·  2026</t>
        </is>
      </c>
    </row>
    <row r="2">
      <c r="A2" s="2" t="inlineStr">
        <is>
          <t>Ce que le CRM ne montre pas : la dépendance à l'alternance (OPCO). Vraie question DAF — risque réglementaire.</t>
        </is>
      </c>
    </row>
    <row r="4">
      <c r="A4" s="3" t="inlineStr">
        <is>
          <t>Mix scolarité : initiale vs alternance (OPCO), par marque</t>
        </is>
      </c>
    </row>
    <row r="5">
      <c r="A5" s="4" t="inlineStr">
        <is>
          <t>Marque</t>
        </is>
      </c>
      <c r="B5" s="5" t="inlineStr">
        <is>
          <t>Initiale (706)</t>
        </is>
      </c>
      <c r="C5" s="5" t="inlineStr">
        <is>
          <t>Alternance (7062)</t>
        </is>
      </c>
      <c r="D5" s="5" t="inlineStr">
        <is>
          <t>% alternance</t>
        </is>
      </c>
    </row>
    <row r="6">
      <c r="A6" s="11" t="inlineStr">
        <is>
          <t>MBway</t>
        </is>
      </c>
      <c r="B6" s="12" t="n">
        <v>1995975</v>
      </c>
      <c r="C6" s="12" t="n">
        <v>7525580</v>
      </c>
      <c r="D6" s="18">
        <f>C6/(B6+C6)</f>
        <v/>
      </c>
    </row>
    <row r="7">
      <c r="A7" s="11" t="inlineStr">
        <is>
          <t>ISCOM</t>
        </is>
      </c>
      <c r="B7" s="12" t="n">
        <v>1310700</v>
      </c>
      <c r="C7" s="12" t="n">
        <v>4951430</v>
      </c>
      <c r="D7" s="18">
        <f>C7/(B7+C7)</f>
        <v/>
      </c>
    </row>
    <row r="8">
      <c r="A8" s="14" t="inlineStr">
        <is>
          <t>IPAC</t>
        </is>
      </c>
      <c r="B8" s="12" t="n">
        <v>0</v>
      </c>
      <c r="C8" s="12" t="n">
        <v>2571100</v>
      </c>
      <c r="D8" s="10">
        <f>C8/(B8+C8)</f>
        <v/>
      </c>
      <c r="E8" s="16" t="inlineStr">
        <is>
          <t>100 % OPCO</t>
        </is>
      </c>
    </row>
    <row r="9">
      <c r="A9" s="14" t="inlineStr">
        <is>
          <t>Pigier</t>
        </is>
      </c>
      <c r="B9" s="12" t="n">
        <v>0</v>
      </c>
      <c r="C9" s="12" t="n">
        <v>2137460</v>
      </c>
      <c r="D9" s="10">
        <f>C9/(B9+C9)</f>
        <v/>
      </c>
      <c r="E9" s="16" t="inlineStr">
        <is>
          <t>100 % OPCO</t>
        </is>
      </c>
    </row>
    <row r="10">
      <c r="A10" s="14" t="inlineStr">
        <is>
          <t>Tunon</t>
        </is>
      </c>
      <c r="B10" s="12" t="n">
        <v>0</v>
      </c>
      <c r="C10" s="12" t="n">
        <v>1941870</v>
      </c>
      <c r="D10" s="10">
        <f>C10/(B10+C10)</f>
        <v/>
      </c>
      <c r="E10" s="16" t="inlineStr">
        <is>
          <t>100 % OPCO</t>
        </is>
      </c>
    </row>
    <row r="13">
      <c r="A13" s="3" t="inlineStr">
        <is>
          <t>CA total par marque — concentration</t>
        </is>
      </c>
    </row>
    <row r="14">
      <c r="A14" s="4" t="inlineStr">
        <is>
          <t>Marque</t>
        </is>
      </c>
      <c r="B14" s="5" t="inlineStr">
        <is>
          <t>CA total</t>
        </is>
      </c>
    </row>
    <row r="15">
      <c r="A15" s="11" t="inlineStr">
        <is>
          <t>MBway</t>
        </is>
      </c>
      <c r="B15" s="12" t="n">
        <v>9567455</v>
      </c>
    </row>
    <row r="16">
      <c r="A16" s="11" t="inlineStr">
        <is>
          <t>ISCOM</t>
        </is>
      </c>
      <c r="B16" s="12" t="n">
        <v>6292550</v>
      </c>
    </row>
    <row r="17">
      <c r="A17" s="11" t="inlineStr">
        <is>
          <t>IPAC</t>
        </is>
      </c>
      <c r="B17" s="12" t="n">
        <v>2582800</v>
      </c>
    </row>
    <row r="18">
      <c r="A18" s="11" t="inlineStr">
        <is>
          <t>Pigier</t>
        </is>
      </c>
      <c r="B18" s="12" t="n">
        <v>2152220</v>
      </c>
    </row>
    <row r="19">
      <c r="A19" s="11" t="inlineStr">
        <is>
          <t>Tunon</t>
        </is>
      </c>
      <c r="B19" s="12" t="n">
        <v>1949700</v>
      </c>
    </row>
    <row r="21">
      <c r="A21" s="17" t="inlineStr">
        <is>
          <t>INSIGHT DAF : le groupe est massivement financé par l'alternance (OPCO). MBway/ISCOM ~79% alt, les 3 autres 100%. Dépendance à surveiller.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2026-08-27T15:59:22Z</dcterms:created>
  <dcterms:modified xsi:type="dcterms:W3CDTF">2026-08-27T15:59:22Z</dcterms:modified>
</cp:coreProperties>
</file>