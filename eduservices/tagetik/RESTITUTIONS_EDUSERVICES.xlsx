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 moteur (modèle)" sheetId="1" state="visible" r:id="rId1"/>
    <sheet name="Budget de marque (organique)" sheetId="2" state="visible" r:id="rId2"/>
    <sheet name="Alloué 2026" sheetId="3" state="visible" r:id="rId3"/>
    <sheet name="Évolution 24-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 &quot;€&quot;;-#,##0 &quot;€&quot;;&quot;-&quot;"/>
    <numFmt numFmtId="166" formatCode="0.000"/>
    <numFmt numFmtId="167" formatCode="+0.0%;-0.0%;0.0%"/>
  </numFmts>
  <fonts count="43">
    <font>
      <name val="Calibri"/>
      <family val="2"/>
      <color theme="1"/>
      <sz val="11"/>
      <scheme val="minor"/>
    </font>
    <font>
      <name val="Arial"/>
      <b val="1"/>
      <color rgb="000A5A48"/>
      <sz val="9"/>
    </font>
    <font>
      <name val="Arial"/>
      <b val="1"/>
      <color rgb="00152230"/>
      <sz val="15"/>
    </font>
    <font>
      <name val="Arial"/>
      <color rgb="0051606D"/>
      <sz val="9"/>
    </font>
    <font>
      <name val="Arial"/>
      <b val="1"/>
      <color rgb="008A4A12"/>
      <sz val="11"/>
    </font>
    <font>
      <name val="Arial"/>
      <color rgb="00152230"/>
      <sz val="10"/>
    </font>
    <font>
      <name val="Arial"/>
      <b val="1"/>
      <color rgb="00152230"/>
      <sz val="10"/>
    </font>
    <font>
      <name val="Arial"/>
      <i val="1"/>
      <color rgb="007D8B98"/>
      <sz val="8"/>
    </font>
    <font>
      <name val="Arial"/>
      <b val="1"/>
      <color rgb="000A5A48"/>
      <sz val="12"/>
    </font>
    <font>
      <name val="Arial"/>
      <b val="1"/>
      <color rgb="00FFFFFF"/>
      <sz val="8.5"/>
    </font>
    <font>
      <name val="Arial"/>
      <b val="1"/>
      <color rgb="000A5A48"/>
      <sz val="10"/>
    </font>
    <font>
      <name val="Arial"/>
      <color rgb="007D8B98"/>
      <sz val="9"/>
    </font>
    <font>
      <name val="Arial"/>
      <color rgb="0051606D"/>
      <sz val="10"/>
    </font>
    <font>
      <name val="Arial"/>
      <b val="1"/>
      <color rgb="003D4F8F"/>
      <sz val="10"/>
    </font>
    <font>
      <name val="Arial"/>
      <color rgb="00152230"/>
      <sz val="9"/>
    </font>
    <font>
      <name val="Arial"/>
      <color rgb="008A4A12"/>
      <sz val="9"/>
    </font>
    <font>
      <name val="Arial"/>
      <color rgb="000A5A48"/>
      <sz val="9"/>
    </font>
    <font>
      <name val="Arial"/>
      <b val="1"/>
      <color rgb="001E7A55"/>
      <sz val="9"/>
    </font>
    <font>
      <name val="Arial"/>
      <color rgb="003D4F8F"/>
      <sz val="9"/>
    </font>
    <font>
      <name val="Arial"/>
      <b val="1"/>
      <color rgb="000D7A62"/>
      <sz val="11"/>
    </font>
    <font>
      <name val="Arial"/>
      <color rgb="0051606D"/>
      <sz val="11"/>
    </font>
    <font>
      <name val="Arial"/>
      <color rgb="007D8B98"/>
      <sz val="11"/>
    </font>
    <font>
      <name val="Arial"/>
      <b val="1"/>
      <color rgb="003D4F8F"/>
      <sz val="11"/>
    </font>
    <font>
      <name val="Arial"/>
      <i val="1"/>
      <color rgb="00B3641C"/>
      <sz val="8"/>
    </font>
    <font>
      <name val="Arial"/>
      <i val="1"/>
      <color rgb="0051606D"/>
      <sz val="8"/>
    </font>
    <font>
      <name val="Arial"/>
      <color rgb="00152230"/>
      <sz val="8"/>
    </font>
    <font>
      <name val="Arial"/>
      <color rgb="0051606D"/>
      <sz val="8"/>
    </font>
    <font>
      <name val="Arial"/>
      <color rgb="003D4F8F"/>
      <sz val="8"/>
    </font>
    <font>
      <name val="Arial"/>
      <b val="1"/>
      <color rgb="003D4F8F"/>
      <sz val="8"/>
    </font>
    <font>
      <name val="Arial"/>
      <b val="1"/>
      <color rgb="001E7A55"/>
      <sz val="8"/>
    </font>
    <font>
      <name val="Arial"/>
      <b val="1"/>
      <color rgb="003D4F8F"/>
      <sz val="9"/>
    </font>
    <font>
      <name val="Arial"/>
      <b val="1"/>
      <color rgb="00B3641C"/>
      <sz val="9"/>
    </font>
    <font>
      <name val="Arial"/>
      <b val="1"/>
      <color rgb="00152230"/>
      <sz val="12"/>
    </font>
    <font>
      <name val="Arial"/>
      <b val="1"/>
      <color rgb="008A4A12"/>
      <sz val="9"/>
    </font>
    <font>
      <name val="Arial"/>
      <b val="1"/>
      <color rgb="003D4F8F"/>
      <sz val="8.5"/>
    </font>
    <font>
      <name val="Arial"/>
      <color rgb="0051606D"/>
      <sz val="8.5"/>
    </font>
    <font>
      <name val="Arial"/>
      <b val="1"/>
      <color rgb="000A5A48"/>
      <sz val="8.5"/>
    </font>
    <font>
      <name val="Arial"/>
      <b val="1"/>
      <color rgb="00152230"/>
      <sz val="14"/>
    </font>
    <font>
      <name val="Arial"/>
      <b val="1"/>
      <color rgb="00152230"/>
      <sz val="9"/>
    </font>
    <font>
      <name val="Arial"/>
      <color rgb="00152230"/>
      <sz val="8.5"/>
    </font>
    <font>
      <name val="Arial"/>
      <color rgb="000A5A48"/>
      <sz val="8.5"/>
    </font>
    <font>
      <name val="Arial"/>
      <color rgb="008A4A12"/>
      <sz val="8.5"/>
    </font>
    <font>
      <name val="Arial"/>
      <b val="1"/>
      <color rgb="0051606D"/>
      <sz val="8.5"/>
    </font>
  </fonts>
  <fills count="11">
    <fill>
      <patternFill/>
    </fill>
    <fill>
      <patternFill patternType="gray125"/>
    </fill>
    <fill>
      <patternFill patternType="solid">
        <fgColor rgb="00FFF6DA"/>
      </patternFill>
    </fill>
    <fill>
      <patternFill patternType="solid">
        <fgColor rgb="000D7A62"/>
      </patternFill>
    </fill>
    <fill>
      <patternFill patternType="solid">
        <fgColor rgb="00EEF2F6"/>
      </patternFill>
    </fill>
    <fill>
      <patternFill patternType="solid">
        <fgColor rgb="00E4F0E8"/>
      </patternFill>
    </fill>
    <fill>
      <patternFill patternType="solid">
        <fgColor rgb="00FBF4E6"/>
      </patternFill>
    </fill>
    <fill>
      <patternFill patternType="solid">
        <fgColor rgb="00DCE7EE"/>
      </patternFill>
    </fill>
    <fill>
      <patternFill patternType="solid">
        <fgColor rgb="00EAF0F4"/>
      </patternFill>
    </fill>
    <fill>
      <patternFill patternType="solid">
        <fgColor rgb="00E2EFEB"/>
      </patternFill>
    </fill>
    <fill>
      <patternFill patternType="solid">
        <fgColor rgb="000A5A48"/>
      </patternFill>
    </fill>
  </fills>
  <borders count="6">
    <border>
      <left/>
      <right/>
      <top/>
      <bottom/>
      <diagonal/>
    </border>
    <border>
      <left style="medium">
        <color rgb="00D9B94A"/>
      </left>
      <right style="medium">
        <color rgb="00D9B94A"/>
      </right>
      <top style="medium">
        <color rgb="00D9B94A"/>
      </top>
      <bottom style="medium">
        <color rgb="00D9B94A"/>
      </bottom>
    </border>
    <border>
      <bottom style="medium">
        <color rgb="00C8D2DA"/>
      </bottom>
    </border>
    <border>
      <top style="medium">
        <color rgb="00C8D2DA"/>
      </top>
      <bottom style="thin">
        <color rgb="00C8D2DA"/>
      </bottom>
    </border>
    <border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6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left" vertical="center"/>
    </xf>
    <xf numFmtId="3" fontId="3" fillId="4" borderId="3" applyAlignment="1" pivotButton="0" quotePrefix="0" xfId="0">
      <alignment horizontal="right" vertical="center"/>
    </xf>
    <xf numFmtId="165" fontId="3" fillId="4" borderId="3" applyAlignment="1" pivotButton="0" quotePrefix="0" xfId="0">
      <alignment horizontal="right" vertical="center"/>
    </xf>
    <xf numFmtId="0" fontId="11" fillId="4" borderId="3" applyAlignment="1" pivotButton="0" quotePrefix="0" xfId="0">
      <alignment horizontal="right" vertical="center"/>
    </xf>
    <xf numFmtId="164" fontId="3" fillId="4" borderId="3" applyAlignment="1" pivotButton="0" quotePrefix="0" xfId="0">
      <alignment horizontal="right" vertical="center"/>
    </xf>
    <xf numFmtId="165" fontId="12" fillId="4" borderId="3" applyAlignment="1" pivotButton="0" quotePrefix="0" xfId="0">
      <alignment horizontal="right" vertical="center"/>
    </xf>
    <xf numFmtId="165" fontId="10" fillId="4" borderId="3" applyAlignment="1" pivotButton="0" quotePrefix="0" xfId="0">
      <alignment horizontal="right" vertical="center"/>
    </xf>
    <xf numFmtId="3" fontId="10" fillId="4" borderId="3" applyAlignment="1" pivotButton="0" quotePrefix="0" xfId="0">
      <alignment horizontal="right" vertical="center"/>
    </xf>
    <xf numFmtId="165" fontId="13" fillId="4" borderId="3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 indent="1"/>
    </xf>
    <xf numFmtId="3" fontId="14" fillId="2" borderId="4" applyAlignment="1" pivotButton="0" quotePrefix="0" xfId="0">
      <alignment horizontal="right" vertical="center"/>
    </xf>
    <xf numFmtId="166" fontId="1" fillId="0" borderId="4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165" fontId="14" fillId="2" borderId="4" applyAlignment="1" pivotButton="0" quotePrefix="0" xfId="0">
      <alignment horizontal="right" vertical="center"/>
    </xf>
    <xf numFmtId="165" fontId="15" fillId="0" borderId="4" applyAlignment="1" pivotButton="0" quotePrefix="0" xfId="0">
      <alignment horizontal="right" vertical="center"/>
    </xf>
    <xf numFmtId="3" fontId="14" fillId="0" borderId="4" applyAlignment="1" pivotButton="0" quotePrefix="0" xfId="0">
      <alignment horizontal="right" vertical="center"/>
    </xf>
    <xf numFmtId="165" fontId="16" fillId="0" borderId="4" applyAlignment="1" pivotButton="0" quotePrefix="0" xfId="0">
      <alignment horizontal="right" vertical="center"/>
    </xf>
    <xf numFmtId="165" fontId="17" fillId="0" borderId="4" applyAlignment="1" pivotButton="0" quotePrefix="0" xfId="0">
      <alignment horizontal="right" vertical="center"/>
    </xf>
    <xf numFmtId="165" fontId="18" fillId="0" borderId="4" applyAlignment="1" pivotButton="0" quotePrefix="0" xfId="0">
      <alignment horizontal="right" vertical="center"/>
    </xf>
    <xf numFmtId="0" fontId="19" fillId="5" borderId="5" applyAlignment="1" pivotButton="0" quotePrefix="0" xfId="0">
      <alignment horizontal="left" vertical="center"/>
    </xf>
    <xf numFmtId="3" fontId="20" fillId="5" borderId="5" applyAlignment="1" pivotButton="0" quotePrefix="0" xfId="0">
      <alignment horizontal="right" vertical="center"/>
    </xf>
    <xf numFmtId="165" fontId="20" fillId="5" borderId="5" applyAlignment="1" pivotButton="0" quotePrefix="0" xfId="0">
      <alignment horizontal="right" vertical="center"/>
    </xf>
    <xf numFmtId="0" fontId="21" fillId="5" borderId="5" applyAlignment="1" pivotButton="0" quotePrefix="0" xfId="0">
      <alignment horizontal="right" vertical="center"/>
    </xf>
    <xf numFmtId="164" fontId="20" fillId="5" borderId="5" applyAlignment="1" pivotButton="0" quotePrefix="0" xfId="0">
      <alignment horizontal="right" vertical="center"/>
    </xf>
    <xf numFmtId="165" fontId="19" fillId="5" borderId="5" applyAlignment="1" pivotButton="0" quotePrefix="0" xfId="0">
      <alignment horizontal="right" vertical="center"/>
    </xf>
    <xf numFmtId="3" fontId="19" fillId="5" borderId="5" applyAlignment="1" pivotButton="0" quotePrefix="0" xfId="0">
      <alignment horizontal="right" vertical="center"/>
    </xf>
    <xf numFmtId="165" fontId="22" fillId="5" borderId="5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0" borderId="4" applyAlignment="1" pivotButton="0" quotePrefix="0" xfId="0">
      <alignment horizontal="left" vertical="center"/>
    </xf>
    <xf numFmtId="3" fontId="25" fillId="2" borderId="4" applyAlignment="1" pivotButton="0" quotePrefix="0" xfId="0">
      <alignment horizontal="right" vertical="center"/>
    </xf>
    <xf numFmtId="166" fontId="26" fillId="0" borderId="4" applyAlignment="1" pivotButton="0" quotePrefix="0" xfId="0">
      <alignment horizontal="right" vertical="center"/>
    </xf>
    <xf numFmtId="3" fontId="27" fillId="0" borderId="4" applyAlignment="1" pivotButton="0" quotePrefix="0" xfId="0">
      <alignment horizontal="right" vertical="center"/>
    </xf>
    <xf numFmtId="3" fontId="28" fillId="0" borderId="4" applyAlignment="1" pivotButton="0" quotePrefix="0" xfId="0">
      <alignment horizontal="right" vertical="center"/>
    </xf>
    <xf numFmtId="164" fontId="26" fillId="0" borderId="4" applyAlignment="1" pivotButton="0" quotePrefix="0" xfId="0">
      <alignment horizontal="right" vertical="center"/>
    </xf>
    <xf numFmtId="3" fontId="25" fillId="0" borderId="4" applyAlignment="1" pivotButton="0" quotePrefix="0" xfId="0">
      <alignment horizontal="right" vertical="center"/>
    </xf>
    <xf numFmtId="167" fontId="29" fillId="0" borderId="4" applyAlignment="1" pivotButton="0" quotePrefix="0" xfId="0">
      <alignment horizontal="right" vertical="center"/>
    </xf>
    <xf numFmtId="0" fontId="1" fillId="5" borderId="5" applyAlignment="1" pivotButton="0" quotePrefix="0" xfId="0">
      <alignment horizontal="left" vertical="center"/>
    </xf>
    <xf numFmtId="0" fontId="0" fillId="5" borderId="5" pivotButton="0" quotePrefix="0" xfId="0"/>
    <xf numFmtId="3" fontId="1" fillId="5" borderId="5" applyAlignment="1" pivotButton="0" quotePrefix="0" xfId="0">
      <alignment horizontal="right" vertical="center"/>
    </xf>
    <xf numFmtId="167" fontId="17" fillId="5" borderId="5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6" fontId="3" fillId="0" borderId="4" applyAlignment="1" pivotButton="0" quotePrefix="0" xfId="0">
      <alignment horizontal="right" vertical="center"/>
    </xf>
    <xf numFmtId="3" fontId="30" fillId="0" borderId="4" applyAlignment="1" pivotButton="0" quotePrefix="0" xfId="0">
      <alignment horizontal="right" vertical="center"/>
    </xf>
    <xf numFmtId="167" fontId="17" fillId="0" borderId="4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33" fillId="0" borderId="0" pivotButton="0" quotePrefix="0" xfId="0"/>
    <xf numFmtId="0" fontId="14" fillId="0" borderId="0" pivotButton="0" quotePrefix="0" xfId="0"/>
    <xf numFmtId="0" fontId="30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0" fillId="0" borderId="2" pivotButton="0" quotePrefix="0" xfId="0"/>
    <xf numFmtId="0" fontId="37" fillId="0" borderId="0" pivotButton="0" quotePrefix="0" xfId="0"/>
    <xf numFmtId="0" fontId="0" fillId="6" borderId="2" pivotButton="0" quotePrefix="0" xfId="0"/>
    <xf numFmtId="0" fontId="38" fillId="7" borderId="3" applyAlignment="1" pivotButton="0" quotePrefix="0" xfId="0">
      <alignment horizontal="left" vertical="center"/>
    </xf>
    <xf numFmtId="3" fontId="0" fillId="7" borderId="3" applyAlignment="1" pivotButton="0" quotePrefix="0" xfId="0">
      <alignment horizontal="right" vertical="center"/>
    </xf>
    <xf numFmtId="165" fontId="0" fillId="7" borderId="3" applyAlignment="1" pivotButton="0" quotePrefix="0" xfId="0">
      <alignment horizontal="right" vertical="center"/>
    </xf>
    <xf numFmtId="165" fontId="1" fillId="7" borderId="3" applyAlignment="1" pivotButton="0" quotePrefix="0" xfId="0">
      <alignment horizontal="right" vertical="center"/>
    </xf>
    <xf numFmtId="164" fontId="1" fillId="7" borderId="3" applyAlignment="1" pivotButton="0" quotePrefix="0" xfId="0">
      <alignment horizontal="right" vertical="center"/>
    </xf>
    <xf numFmtId="0" fontId="38" fillId="8" borderId="0" applyAlignment="1" pivotButton="0" quotePrefix="0" xfId="0">
      <alignment horizontal="left" vertical="center" indent="1"/>
    </xf>
    <xf numFmtId="3" fontId="0" fillId="8" borderId="0" applyAlignment="1" pivotButton="0" quotePrefix="0" xfId="0">
      <alignment horizontal="right" vertical="center"/>
    </xf>
    <xf numFmtId="165" fontId="0" fillId="8" borderId="0" applyAlignment="1" pivotButton="0" quotePrefix="0" xfId="0">
      <alignment horizontal="right" vertical="center"/>
    </xf>
    <xf numFmtId="165" fontId="1" fillId="8" borderId="0" applyAlignment="1" pivotButton="0" quotePrefix="0" xfId="0">
      <alignment horizontal="right" vertical="center"/>
    </xf>
    <xf numFmtId="164" fontId="1" fillId="8" borderId="0" applyAlignment="1" pivotButton="0" quotePrefix="0" xfId="0">
      <alignment horizontal="right" vertical="center"/>
    </xf>
    <xf numFmtId="0" fontId="39" fillId="0" borderId="4" applyAlignment="1" pivotButton="0" quotePrefix="0" xfId="0">
      <alignment horizontal="left" vertical="center" indent="2"/>
    </xf>
    <xf numFmtId="3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right" vertical="center"/>
    </xf>
    <xf numFmtId="165" fontId="39" fillId="0" borderId="4" applyAlignment="1" pivotButton="0" quotePrefix="0" xfId="0">
      <alignment horizontal="right" vertical="center"/>
    </xf>
    <xf numFmtId="164" fontId="40" fillId="0" borderId="4" applyAlignment="1" pivotButton="0" quotePrefix="0" xfId="0">
      <alignment horizontal="right" vertical="center"/>
    </xf>
    <xf numFmtId="0" fontId="39" fillId="0" borderId="4" applyAlignment="1" pivotButton="0" quotePrefix="0" xfId="0">
      <alignment horizontal="left" vertical="center" indent="3"/>
    </xf>
    <xf numFmtId="0" fontId="39" fillId="0" borderId="4" applyAlignment="1" pivotButton="0" quotePrefix="0" xfId="0">
      <alignment horizontal="left" vertical="center" indent="4"/>
    </xf>
    <xf numFmtId="165" fontId="41" fillId="0" borderId="4" applyAlignment="1" pivotButton="0" quotePrefix="0" xfId="0">
      <alignment horizontal="right" vertical="center"/>
    </xf>
    <xf numFmtId="164" fontId="41" fillId="0" borderId="4" applyAlignment="1" pivotButton="0" quotePrefix="0" xfId="0">
      <alignment horizontal="right" vertical="center"/>
    </xf>
    <xf numFmtId="165" fontId="33" fillId="8" borderId="0" applyAlignment="1" pivotButton="0" quotePrefix="0" xfId="0">
      <alignment horizontal="right" vertical="center"/>
    </xf>
    <xf numFmtId="164" fontId="33" fillId="8" borderId="0" applyAlignment="1" pivotButton="0" quotePrefix="0" xfId="0">
      <alignment horizontal="right" vertical="center"/>
    </xf>
    <xf numFmtId="165" fontId="33" fillId="7" borderId="3" applyAlignment="1" pivotButton="0" quotePrefix="0" xfId="0">
      <alignment horizontal="right" vertical="center"/>
    </xf>
    <xf numFmtId="164" fontId="33" fillId="7" borderId="3" applyAlignment="1" pivotButton="0" quotePrefix="0" xfId="0">
      <alignment horizontal="right" vertical="center"/>
    </xf>
    <xf numFmtId="0" fontId="19" fillId="9" borderId="5" applyAlignment="1" pivotButton="0" quotePrefix="0" xfId="0">
      <alignment horizontal="left" vertical="center"/>
    </xf>
    <xf numFmtId="3" fontId="19" fillId="9" borderId="5" applyAlignment="1" pivotButton="0" quotePrefix="0" xfId="0">
      <alignment horizontal="right" vertical="center"/>
    </xf>
    <xf numFmtId="165" fontId="19" fillId="9" borderId="5" applyAlignment="1" pivotButton="0" quotePrefix="0" xfId="0">
      <alignment horizontal="right" vertical="center"/>
    </xf>
    <xf numFmtId="164" fontId="19" fillId="9" borderId="5" applyAlignment="1" pivotButton="0" quotePrefix="0" xfId="0">
      <alignment horizontal="right" vertical="center"/>
    </xf>
    <xf numFmtId="0" fontId="9" fillId="1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2" fillId="0" borderId="0" applyAlignment="1" pivotButton="0" quotePrefix="0" xfId="0">
      <alignment horizontal="center" vertical="center" wrapText="1"/>
    </xf>
    <xf numFmtId="167" fontId="0" fillId="7" borderId="3" applyAlignment="1" pivotButton="0" quotePrefix="0" xfId="0">
      <alignment horizontal="right" vertical="center"/>
    </xf>
    <xf numFmtId="165" fontId="38" fillId="7" borderId="3" applyAlignment="1" pivotButton="0" quotePrefix="0" xfId="0">
      <alignment horizontal="right" vertical="center"/>
    </xf>
    <xf numFmtId="164" fontId="0" fillId="0" borderId="0" pivotButton="0" quotePrefix="0" xfId="0"/>
    <xf numFmtId="167" fontId="0" fillId="8" borderId="0" applyAlignment="1" pivotButton="0" quotePrefix="0" xfId="0">
      <alignment horizontal="right" vertical="center"/>
    </xf>
    <xf numFmtId="165" fontId="38" fillId="8" borderId="0" applyAlignment="1" pivotButton="0" quotePrefix="0" xfId="0">
      <alignment horizontal="right" vertical="center"/>
    </xf>
    <xf numFmtId="167" fontId="0" fillId="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Marge nette chargée par marque — 2024 → 2026</a:t>
            </a:r>
          </a:p>
        </rich>
      </tx>
    </title>
    <plotArea>
      <lineChart>
        <grouping val="standard"/>
        <ser>
          <idx val="0"/>
          <order val="0"/>
          <tx>
            <strRef>
              <f>'Évolution 24-26'!R21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24-26'!$S$20:$U$20</f>
            </numRef>
          </cat>
          <val>
            <numRef>
              <f>'Évolution 24-26'!$S$21:$U$21</f>
            </numRef>
          </val>
        </ser>
        <ser>
          <idx val="1"/>
          <order val="1"/>
          <tx>
            <strRef>
              <f>'Évolution 24-26'!R22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24-26'!$S$20:$U$20</f>
            </numRef>
          </cat>
          <val>
            <numRef>
              <f>'Évolution 24-26'!$S$22:$U$22</f>
            </numRef>
          </val>
        </ser>
        <ser>
          <idx val="2"/>
          <order val="2"/>
          <tx>
            <strRef>
              <f>'Évolution 24-26'!R23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24-26'!$S$20:$U$20</f>
            </numRef>
          </cat>
          <val>
            <numRef>
              <f>'Évolution 24-26'!$S$23:$U$23</f>
            </numRef>
          </val>
        </ser>
        <ser>
          <idx val="3"/>
          <order val="3"/>
          <tx>
            <strRef>
              <f>'Évolution 24-26'!R24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24-26'!$S$20:$U$20</f>
            </numRef>
          </cat>
          <val>
            <numRef>
              <f>'Évolution 24-26'!$S$24:$U$24</f>
            </numRef>
          </val>
        </ser>
        <ser>
          <idx val="4"/>
          <order val="4"/>
          <tx>
            <strRef>
              <f>'Évolution 24-26'!R25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24-26'!$S$20:$U$20</f>
            </numRef>
          </cat>
          <val>
            <numRef>
              <f>'Évolution 24-26'!$S$25:$U$25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27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R7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1" t="inlineStr">
        <is>
          <t>EDUSERVICES · budget 2027 · le moteur, à nu</t>
        </is>
      </c>
    </row>
    <row r="2">
      <c r="A2" s="2" t="inlineStr">
        <is>
          <t>Le moteur — par campus, groupé par marque (déplie avec les +)</t>
        </is>
      </c>
    </row>
    <row r="3">
      <c r="A3" s="3" t="inlineStr">
        <is>
          <t>L'élasticité vit au campus (le moteur en a 14, pas 5). La marque = sous-total. Jaune = saisie ; le reste = formule cliquable.</t>
        </is>
      </c>
    </row>
    <row r="5">
      <c r="A5" s="4" t="inlineStr">
        <is>
          <t>PARAMÈTRES</t>
        </is>
      </c>
    </row>
    <row r="6">
      <c r="A6" s="5" t="inlineStr">
        <is>
          <t>Δ budget d'acquisition</t>
        </is>
      </c>
      <c r="B6" s="6" t="n">
        <v>0.08</v>
      </c>
      <c r="C6" s="7" t="inlineStr">
        <is>
          <t>le geste testé — passez 8→12 %</t>
        </is>
      </c>
    </row>
    <row r="7">
      <c r="A7" s="5" t="inlineStr">
        <is>
          <t>Coût variable / élève</t>
        </is>
      </c>
      <c r="B7" s="8" t="n">
        <v>300</v>
      </c>
      <c r="C7" s="7" t="inlineStr">
        <is>
          <t>CA/inscrit = colonne RÉELLE par campus (plus de moyenne)</t>
        </is>
      </c>
    </row>
    <row r="9">
      <c r="A9" s="9" t="inlineStr">
        <is>
          <t>①  Calibration &amp; effet d'un +Δ% — campus groupé par marque</t>
        </is>
      </c>
    </row>
    <row r="10">
      <c r="A10" s="7" t="inlineStr">
        <is>
          <t>Élasticité = régression 3 ans =SLOPE(LN(leads);LN(budget)) (= V_CAMPAGNES). CA/inscrit = vrai chiffre du campus (dispersion ±33 %), pas une moyenne.</t>
        </is>
      </c>
    </row>
    <row r="12">
      <c r="A12" s="10" t="inlineStr">
        <is>
          <t>Marque ▸ Campus</t>
        </is>
      </c>
      <c r="B12" s="11" t="inlineStr">
        <is>
          <t>L.pay24</t>
        </is>
      </c>
      <c r="C12" s="11" t="inlineStr">
        <is>
          <t>L.pay25</t>
        </is>
      </c>
      <c r="D12" s="11" t="inlineStr">
        <is>
          <t>L.pay26</t>
        </is>
      </c>
      <c r="E12" s="11" t="inlineStr">
        <is>
          <t>Bud.24</t>
        </is>
      </c>
      <c r="F12" s="11" t="inlineStr">
        <is>
          <t>Bud.25</t>
        </is>
      </c>
      <c r="G12" s="11" t="inlineStr">
        <is>
          <t>Bud.26</t>
        </is>
      </c>
      <c r="H12" s="11" t="inlineStr">
        <is>
          <t>Élasticité</t>
        </is>
      </c>
      <c r="I12" s="11" t="inlineStr">
        <is>
          <t>Conv.</t>
        </is>
      </c>
      <c r="J12" s="11" t="inlineStr">
        <is>
          <t>CA/inscrit</t>
        </is>
      </c>
      <c r="K12" s="11" t="inlineStr">
        <is>
          <t>Δ budget</t>
        </is>
      </c>
      <c r="L12" s="11" t="inlineStr">
        <is>
          <t>Inscrits gagnés</t>
        </is>
      </c>
      <c r="M12" s="11" t="inlineStr">
        <is>
          <t>CA gagné</t>
        </is>
      </c>
      <c r="N12" s="11" t="inlineStr">
        <is>
          <t>EBITDA gagné</t>
        </is>
      </c>
      <c r="O12" s="11" t="inlineStr">
        <is>
          <t>CAC marg.</t>
        </is>
      </c>
    </row>
    <row r="13">
      <c r="A13" s="12" t="inlineStr">
        <is>
          <t>MBway</t>
        </is>
      </c>
      <c r="B13" s="13">
        <f>SUM(B14:B17)</f>
        <v/>
      </c>
      <c r="C13" s="13">
        <f>SUM(C14:C17)</f>
        <v/>
      </c>
      <c r="D13" s="13">
        <f>SUM(D14:D17)</f>
        <v/>
      </c>
      <c r="E13" s="14">
        <f>SUM(E14:E17)</f>
        <v/>
      </c>
      <c r="F13" s="14">
        <f>SUM(F14:F17)</f>
        <v/>
      </c>
      <c r="G13" s="14">
        <f>SUM(G14:G17)</f>
        <v/>
      </c>
      <c r="H13" s="15" t="inlineStr">
        <is>
          <t>—</t>
        </is>
      </c>
      <c r="I13" s="16" t="n">
        <v>0.07914338919925512</v>
      </c>
      <c r="J13" s="17">
        <f>M13/L13</f>
        <v/>
      </c>
      <c r="K13" s="18">
        <f>SUM(K14:K17)</f>
        <v/>
      </c>
      <c r="L13" s="19">
        <f>SUM(L14:L17)</f>
        <v/>
      </c>
      <c r="M13" s="18">
        <f>SUM(M14:M17)</f>
        <v/>
      </c>
      <c r="N13" s="18">
        <f>SUM(N14:N17)</f>
        <v/>
      </c>
      <c r="O13" s="20">
        <f>K13/L13</f>
        <v/>
      </c>
    </row>
    <row r="14" hidden="1" outlineLevel="1">
      <c r="A14" s="21" t="inlineStr">
        <is>
          <t>Bordeaux</t>
        </is>
      </c>
      <c r="B14" s="22" t="n">
        <v>592</v>
      </c>
      <c r="C14" s="22" t="n">
        <v>623</v>
      </c>
      <c r="D14" s="22" t="n">
        <v>656</v>
      </c>
      <c r="E14" s="22" t="n">
        <v>20597</v>
      </c>
      <c r="F14" s="22" t="n">
        <v>22657</v>
      </c>
      <c r="G14" s="22" t="n">
        <v>24923</v>
      </c>
      <c r="H14" s="23">
        <f>SLOPE(LN(B14:D14),LN(E14:G14))</f>
        <v/>
      </c>
      <c r="I14" s="24">
        <f>102/1286</f>
        <v/>
      </c>
      <c r="J14" s="25" t="n">
        <v>7365</v>
      </c>
      <c r="K14" s="26">
        <f>G14*$B$6</f>
        <v/>
      </c>
      <c r="L14" s="27">
        <f>D14*((1+$B$6)^H14-1)*I14</f>
        <v/>
      </c>
      <c r="M14" s="28">
        <f>L14*J14</f>
        <v/>
      </c>
      <c r="N14" s="29">
        <f>M14-K14-L14*$B$7</f>
        <v/>
      </c>
      <c r="O14" s="30">
        <f>K14/L14</f>
        <v/>
      </c>
    </row>
    <row r="15" hidden="1" outlineLevel="1">
      <c r="A15" s="21" t="inlineStr">
        <is>
          <t>Lyon</t>
        </is>
      </c>
      <c r="B15" s="22" t="n">
        <v>863</v>
      </c>
      <c r="C15" s="22" t="n">
        <v>905</v>
      </c>
      <c r="D15" s="22" t="n">
        <v>950</v>
      </c>
      <c r="E15" s="22" t="n">
        <v>34532</v>
      </c>
      <c r="F15" s="22" t="n">
        <v>37985</v>
      </c>
      <c r="G15" s="22" t="n">
        <v>41783</v>
      </c>
      <c r="H15" s="23">
        <f>SLOPE(LN(B15:D15),LN(E15:G15))</f>
        <v/>
      </c>
      <c r="I15" s="24">
        <f>132/1666</f>
        <v/>
      </c>
      <c r="J15" s="25" t="n">
        <v>7965</v>
      </c>
      <c r="K15" s="26">
        <f>G15*$B$6</f>
        <v/>
      </c>
      <c r="L15" s="27">
        <f>D15*((1+$B$6)^H15-1)*I15</f>
        <v/>
      </c>
      <c r="M15" s="28">
        <f>L15*J15</f>
        <v/>
      </c>
      <c r="N15" s="29">
        <f>M15-K15-L15*$B$7</f>
        <v/>
      </c>
      <c r="O15" s="30">
        <f>K15/L15</f>
        <v/>
      </c>
    </row>
    <row r="16" hidden="1" outlineLevel="1">
      <c r="A16" s="21" t="inlineStr">
        <is>
          <t>Nantes</t>
        </is>
      </c>
      <c r="B16" s="22" t="n">
        <v>713</v>
      </c>
      <c r="C16" s="22" t="n">
        <v>749</v>
      </c>
      <c r="D16" s="22" t="n">
        <v>788</v>
      </c>
      <c r="E16" s="22" t="n">
        <v>26060</v>
      </c>
      <c r="F16" s="22" t="n">
        <v>28666</v>
      </c>
      <c r="G16" s="22" t="n">
        <v>31533</v>
      </c>
      <c r="H16" s="23">
        <f>SLOPE(LN(B16:D16),LN(E16:G16))</f>
        <v/>
      </c>
      <c r="I16" s="24">
        <f>120/1516</f>
        <v/>
      </c>
      <c r="J16" s="25" t="n">
        <v>7590</v>
      </c>
      <c r="K16" s="26">
        <f>G16*$B$6</f>
        <v/>
      </c>
      <c r="L16" s="27">
        <f>D16*((1+$B$6)^H16-1)*I16</f>
        <v/>
      </c>
      <c r="M16" s="28">
        <f>L16*J16</f>
        <v/>
      </c>
      <c r="N16" s="29">
        <f>M16-K16-L16*$B$7</f>
        <v/>
      </c>
      <c r="O16" s="30">
        <f>K16/L16</f>
        <v/>
      </c>
    </row>
    <row r="17" hidden="1" outlineLevel="1">
      <c r="A17" s="21" t="inlineStr">
        <is>
          <t>Paris</t>
        </is>
      </c>
      <c r="B17" s="22" t="n">
        <v>1158</v>
      </c>
      <c r="C17" s="22" t="n">
        <v>1210</v>
      </c>
      <c r="D17" s="22" t="n">
        <v>1265</v>
      </c>
      <c r="E17" s="22" t="n">
        <v>56438</v>
      </c>
      <c r="F17" s="22" t="n">
        <v>62082</v>
      </c>
      <c r="G17" s="22" t="n">
        <v>68291</v>
      </c>
      <c r="H17" s="23">
        <f>SLOPE(LN(B17:D17),LN(E17:G17))</f>
        <v/>
      </c>
      <c r="I17" s="24">
        <f>156/1976</f>
        <v/>
      </c>
      <c r="J17" s="25" t="n">
        <v>8490</v>
      </c>
      <c r="K17" s="26">
        <f>G17*$B$6</f>
        <v/>
      </c>
      <c r="L17" s="27">
        <f>D17*((1+$B$6)^H17-1)*I17</f>
        <v/>
      </c>
      <c r="M17" s="28">
        <f>L17*J17</f>
        <v/>
      </c>
      <c r="N17" s="29">
        <f>M17-K17-L17*$B$7</f>
        <v/>
      </c>
      <c r="O17" s="30">
        <f>K17/L17</f>
        <v/>
      </c>
    </row>
    <row r="18">
      <c r="A18" s="12" t="inlineStr">
        <is>
          <t>Iscom</t>
        </is>
      </c>
      <c r="B18" s="13">
        <f>SUM(B19:B21)</f>
        <v/>
      </c>
      <c r="C18" s="13">
        <f>SUM(C19:C21)</f>
        <v/>
      </c>
      <c r="D18" s="13">
        <f>SUM(D19:D21)</f>
        <v/>
      </c>
      <c r="E18" s="14">
        <f>SUM(E19:E21)</f>
        <v/>
      </c>
      <c r="F18" s="14">
        <f>SUM(F19:F21)</f>
        <v/>
      </c>
      <c r="G18" s="14">
        <f>SUM(G19:G21)</f>
        <v/>
      </c>
      <c r="H18" s="15" t="inlineStr">
        <is>
          <t>—</t>
        </is>
      </c>
      <c r="I18" s="16" t="n">
        <v>0.07930549038010323</v>
      </c>
      <c r="J18" s="17">
        <f>M18/L18</f>
        <v/>
      </c>
      <c r="K18" s="18">
        <f>SUM(K19:K21)</f>
        <v/>
      </c>
      <c r="L18" s="19">
        <f>SUM(L19:L21)</f>
        <v/>
      </c>
      <c r="M18" s="18">
        <f>SUM(M19:M21)</f>
        <v/>
      </c>
      <c r="N18" s="18">
        <f>SUM(N19:N21)</f>
        <v/>
      </c>
      <c r="O18" s="20">
        <f>K18/L18</f>
        <v/>
      </c>
    </row>
    <row r="19" hidden="1" outlineLevel="1">
      <c r="A19" s="21" t="inlineStr">
        <is>
          <t>Lille</t>
        </is>
      </c>
      <c r="B19" s="22" t="n">
        <v>571</v>
      </c>
      <c r="C19" s="22" t="n">
        <v>600</v>
      </c>
      <c r="D19" s="22" t="n">
        <v>630</v>
      </c>
      <c r="E19" s="22" t="n">
        <v>20843</v>
      </c>
      <c r="F19" s="22" t="n">
        <v>22927</v>
      </c>
      <c r="G19" s="22" t="n">
        <v>25220</v>
      </c>
      <c r="H19" s="23">
        <f>SLOPE(LN(B19:D19),LN(E19:G19))</f>
        <v/>
      </c>
      <c r="I19" s="24">
        <f>100/1260</f>
        <v/>
      </c>
      <c r="J19" s="25" t="n">
        <v>7440</v>
      </c>
      <c r="K19" s="26">
        <f>G19*$B$6</f>
        <v/>
      </c>
      <c r="L19" s="27">
        <f>D19*((1+$B$6)^H19-1)*I19</f>
        <v/>
      </c>
      <c r="M19" s="28">
        <f>L19*J19</f>
        <v/>
      </c>
      <c r="N19" s="29">
        <f>M19-K19-L19*$B$7</f>
        <v/>
      </c>
      <c r="O19" s="30">
        <f>K19/L19</f>
        <v/>
      </c>
    </row>
    <row r="20" hidden="1" outlineLevel="1">
      <c r="A20" s="21" t="inlineStr">
        <is>
          <t>Paris</t>
        </is>
      </c>
      <c r="B20" s="22" t="n">
        <v>1035</v>
      </c>
      <c r="C20" s="22" t="n">
        <v>1080</v>
      </c>
      <c r="D20" s="22" t="n">
        <v>1126</v>
      </c>
      <c r="E20" s="22" t="n">
        <v>50248</v>
      </c>
      <c r="F20" s="22" t="n">
        <v>55272</v>
      </c>
      <c r="G20" s="22" t="n">
        <v>60800</v>
      </c>
      <c r="H20" s="23">
        <f>SLOPE(LN(B20:D20),LN(E20:G20))</f>
        <v/>
      </c>
      <c r="I20" s="24">
        <f>144/1816</f>
        <v/>
      </c>
      <c r="J20" s="25" t="n">
        <v>8490</v>
      </c>
      <c r="K20" s="26">
        <f>G20*$B$6</f>
        <v/>
      </c>
      <c r="L20" s="27">
        <f>D20*((1+$B$6)^H20-1)*I20</f>
        <v/>
      </c>
      <c r="M20" s="28">
        <f>L20*J20</f>
        <v/>
      </c>
      <c r="N20" s="29">
        <f>M20-K20-L20*$B$7</f>
        <v/>
      </c>
      <c r="O20" s="30">
        <f>K20/L20</f>
        <v/>
      </c>
    </row>
    <row r="21" hidden="1" outlineLevel="1">
      <c r="A21" s="21" t="inlineStr">
        <is>
          <t>Toulouse</t>
        </is>
      </c>
      <c r="B21" s="22" t="n">
        <v>526</v>
      </c>
      <c r="C21" s="22" t="n">
        <v>553</v>
      </c>
      <c r="D21" s="22" t="n">
        <v>581</v>
      </c>
      <c r="E21" s="22" t="n">
        <v>18251</v>
      </c>
      <c r="F21" s="22" t="n">
        <v>20076</v>
      </c>
      <c r="G21" s="22" t="n">
        <v>22083</v>
      </c>
      <c r="H21" s="23">
        <f>SLOPE(LN(B21:D21),LN(E21:G21))</f>
        <v/>
      </c>
      <c r="I21" s="24">
        <f>94/1186</f>
        <v/>
      </c>
      <c r="J21" s="25" t="n">
        <v>7290</v>
      </c>
      <c r="K21" s="26">
        <f>G21*$B$6</f>
        <v/>
      </c>
      <c r="L21" s="27">
        <f>D21*((1+$B$6)^H21-1)*I21</f>
        <v/>
      </c>
      <c r="M21" s="28">
        <f>L21*J21</f>
        <v/>
      </c>
      <c r="N21" s="29">
        <f>M21-K21-L21*$B$7</f>
        <v/>
      </c>
      <c r="O21" s="30">
        <f>K21/L21</f>
        <v/>
      </c>
    </row>
    <row r="22">
      <c r="A22" s="12" t="inlineStr">
        <is>
          <t>Ipac</t>
        </is>
      </c>
      <c r="B22" s="13">
        <f>SUM(B23:B25)</f>
        <v/>
      </c>
      <c r="C22" s="13">
        <f>SUM(C23:C25)</f>
        <v/>
      </c>
      <c r="D22" s="13">
        <f>SUM(D23:D25)</f>
        <v/>
      </c>
      <c r="E22" s="14">
        <f>SUM(E23:E25)</f>
        <v/>
      </c>
      <c r="F22" s="14">
        <f>SUM(F23:F25)</f>
        <v/>
      </c>
      <c r="G22" s="14">
        <f>SUM(G23:G25)</f>
        <v/>
      </c>
      <c r="H22" s="15" t="inlineStr">
        <is>
          <t>—</t>
        </is>
      </c>
      <c r="I22" s="16" t="n">
        <v>0.05882352941176471</v>
      </c>
      <c r="J22" s="17">
        <f>M22/L22</f>
        <v/>
      </c>
      <c r="K22" s="18">
        <f>SUM(K23:K25)</f>
        <v/>
      </c>
      <c r="L22" s="19">
        <f>SUM(L23:L25)</f>
        <v/>
      </c>
      <c r="M22" s="18">
        <f>SUM(M23:M25)</f>
        <v/>
      </c>
      <c r="N22" s="18">
        <f>SUM(N23:N25)</f>
        <v/>
      </c>
      <c r="O22" s="20">
        <f>K22/L22</f>
        <v/>
      </c>
    </row>
    <row r="23" hidden="1" outlineLevel="1">
      <c r="A23" s="21" t="inlineStr">
        <is>
          <t>Montpellier</t>
        </is>
      </c>
      <c r="B23" s="22" t="n">
        <v>377</v>
      </c>
      <c r="C23" s="22" t="n">
        <v>399</v>
      </c>
      <c r="D23" s="22" t="n">
        <v>422</v>
      </c>
      <c r="E23" s="22" t="n">
        <v>12543</v>
      </c>
      <c r="F23" s="22" t="n">
        <v>13798</v>
      </c>
      <c r="G23" s="22" t="n">
        <v>15178</v>
      </c>
      <c r="H23" s="23">
        <f>SLOPE(LN(B23:D23),LN(E23:G23))</f>
        <v/>
      </c>
      <c r="I23" s="24">
        <f>40/680</f>
        <v/>
      </c>
      <c r="J23" s="25" t="n">
        <v>6740</v>
      </c>
      <c r="K23" s="26">
        <f>G23*$B$6</f>
        <v/>
      </c>
      <c r="L23" s="27">
        <f>D23*((1+$B$6)^H23-1)*I23</f>
        <v/>
      </c>
      <c r="M23" s="28">
        <f>L23*J23</f>
        <v/>
      </c>
      <c r="N23" s="29">
        <f>M23-K23-L23*$B$7</f>
        <v/>
      </c>
      <c r="O23" s="30">
        <f>K23/L23</f>
        <v/>
      </c>
    </row>
    <row r="24" hidden="1" outlineLevel="1">
      <c r="A24" s="21" t="inlineStr">
        <is>
          <t>Nantes</t>
        </is>
      </c>
      <c r="B24" s="22" t="n">
        <v>489</v>
      </c>
      <c r="C24" s="22" t="n">
        <v>516</v>
      </c>
      <c r="D24" s="22" t="n">
        <v>544</v>
      </c>
      <c r="E24" s="22" t="n">
        <v>17983</v>
      </c>
      <c r="F24" s="22" t="n">
        <v>19782</v>
      </c>
      <c r="G24" s="22" t="n">
        <v>21760</v>
      </c>
      <c r="H24" s="23">
        <f>SLOPE(LN(B24:D24),LN(E24:G24))</f>
        <v/>
      </c>
      <c r="I24" s="24">
        <f>50/850</f>
        <v/>
      </c>
      <c r="J24" s="25" t="n">
        <v>7090</v>
      </c>
      <c r="K24" s="26">
        <f>G24*$B$6</f>
        <v/>
      </c>
      <c r="L24" s="27">
        <f>D24*((1+$B$6)^H24-1)*I24</f>
        <v/>
      </c>
      <c r="M24" s="28">
        <f>L24*J24</f>
        <v/>
      </c>
      <c r="N24" s="29">
        <f>M24-K24-L24*$B$7</f>
        <v/>
      </c>
      <c r="O24" s="30">
        <f>K24/L24</f>
        <v/>
      </c>
    </row>
    <row r="25" hidden="1" outlineLevel="1">
      <c r="A25" s="21" t="inlineStr">
        <is>
          <t>Rennes</t>
        </is>
      </c>
      <c r="B25" s="22" t="n">
        <v>371</v>
      </c>
      <c r="C25" s="22" t="n">
        <v>392</v>
      </c>
      <c r="D25" s="22" t="n">
        <v>415</v>
      </c>
      <c r="E25" s="22" t="n">
        <v>12341</v>
      </c>
      <c r="F25" s="22" t="n">
        <v>13575</v>
      </c>
      <c r="G25" s="22" t="n">
        <v>14933</v>
      </c>
      <c r="H25" s="23">
        <f>SLOPE(LN(B25:D25),LN(E25:G25))</f>
        <v/>
      </c>
      <c r="I25" s="24">
        <f>40/680</f>
        <v/>
      </c>
      <c r="J25" s="25" t="n">
        <v>6740</v>
      </c>
      <c r="K25" s="26">
        <f>G25*$B$6</f>
        <v/>
      </c>
      <c r="L25" s="27">
        <f>D25*((1+$B$6)^H25-1)*I25</f>
        <v/>
      </c>
      <c r="M25" s="28">
        <f>L25*J25</f>
        <v/>
      </c>
      <c r="N25" s="29">
        <f>M25-K25-L25*$B$7</f>
        <v/>
      </c>
      <c r="O25" s="30">
        <f>K25/L25</f>
        <v/>
      </c>
    </row>
    <row r="26">
      <c r="A26" s="12" t="inlineStr">
        <is>
          <t>Pigier</t>
        </is>
      </c>
      <c r="B26" s="13">
        <f>SUM(B27:B28)</f>
        <v/>
      </c>
      <c r="C26" s="13">
        <f>SUM(C27:C28)</f>
        <v/>
      </c>
      <c r="D26" s="13">
        <f>SUM(D27:D28)</f>
        <v/>
      </c>
      <c r="E26" s="14">
        <f>SUM(E27:E28)</f>
        <v/>
      </c>
      <c r="F26" s="14">
        <f>SUM(F27:F28)</f>
        <v/>
      </c>
      <c r="G26" s="14">
        <f>SUM(G27:G28)</f>
        <v/>
      </c>
      <c r="H26" s="15" t="inlineStr">
        <is>
          <t>—</t>
        </is>
      </c>
      <c r="I26" s="16" t="n">
        <v>0.05857142857142857</v>
      </c>
      <c r="J26" s="17">
        <f>M26/L26</f>
        <v/>
      </c>
      <c r="K26" s="18">
        <f>SUM(K27:K28)</f>
        <v/>
      </c>
      <c r="L26" s="19">
        <f>SUM(L27:L28)</f>
        <v/>
      </c>
      <c r="M26" s="18">
        <f>SUM(M27:M28)</f>
        <v/>
      </c>
      <c r="N26" s="18">
        <f>SUM(N27:N28)</f>
        <v/>
      </c>
      <c r="O26" s="20">
        <f>K26/L26</f>
        <v/>
      </c>
    </row>
    <row r="27" hidden="1" outlineLevel="1">
      <c r="A27" s="21" t="inlineStr">
        <is>
          <t>Bordeaux</t>
        </is>
      </c>
      <c r="B27" s="22" t="n">
        <v>528</v>
      </c>
      <c r="C27" s="22" t="n">
        <v>552</v>
      </c>
      <c r="D27" s="22" t="n">
        <v>578</v>
      </c>
      <c r="E27" s="22" t="n">
        <v>18155</v>
      </c>
      <c r="F27" s="22" t="n">
        <v>19971</v>
      </c>
      <c r="G27" s="22" t="n">
        <v>21968</v>
      </c>
      <c r="H27" s="23">
        <f>SLOPE(LN(B27:D27),LN(E27:G27))</f>
        <v/>
      </c>
      <c r="I27" s="24">
        <f>72/1230</f>
        <v/>
      </c>
      <c r="J27" s="25" t="n">
        <v>6395</v>
      </c>
      <c r="K27" s="26">
        <f>G27*$B$6</f>
        <v/>
      </c>
      <c r="L27" s="27">
        <f>D27*((1+$B$6)^H27-1)*I27</f>
        <v/>
      </c>
      <c r="M27" s="28">
        <f>L27*J27</f>
        <v/>
      </c>
      <c r="N27" s="29">
        <f>M27-K27-L27*$B$7</f>
        <v/>
      </c>
      <c r="O27" s="30">
        <f>K27/L27</f>
        <v/>
      </c>
    </row>
    <row r="28" hidden="1" outlineLevel="1">
      <c r="A28" s="21" t="inlineStr">
        <is>
          <t>Lyon</t>
        </is>
      </c>
      <c r="B28" s="22" t="n">
        <v>765</v>
      </c>
      <c r="C28" s="22" t="n">
        <v>798</v>
      </c>
      <c r="D28" s="22" t="n">
        <v>832</v>
      </c>
      <c r="E28" s="22" t="n">
        <v>30258</v>
      </c>
      <c r="F28" s="22" t="n">
        <v>33284</v>
      </c>
      <c r="G28" s="22" t="n">
        <v>36612</v>
      </c>
      <c r="H28" s="23">
        <f>SLOPE(LN(B28:D28),LN(E28:G28))</f>
        <v/>
      </c>
      <c r="I28" s="24">
        <f>92/1570</f>
        <v/>
      </c>
      <c r="J28" s="25" t="n">
        <v>6915</v>
      </c>
      <c r="K28" s="26">
        <f>G28*$B$6</f>
        <v/>
      </c>
      <c r="L28" s="27">
        <f>D28*((1+$B$6)^H28-1)*I28</f>
        <v/>
      </c>
      <c r="M28" s="28">
        <f>L28*J28</f>
        <v/>
      </c>
      <c r="N28" s="29">
        <f>M28-K28-L28*$B$7</f>
        <v/>
      </c>
      <c r="O28" s="30">
        <f>K28/L28</f>
        <v/>
      </c>
    </row>
    <row r="29">
      <c r="A29" s="12" t="inlineStr">
        <is>
          <t>Tunon</t>
        </is>
      </c>
      <c r="B29" s="13">
        <f>SUM(B30:B31)</f>
        <v/>
      </c>
      <c r="C29" s="13">
        <f>SUM(C30:C31)</f>
        <v/>
      </c>
      <c r="D29" s="13">
        <f>SUM(D30:D31)</f>
        <v/>
      </c>
      <c r="E29" s="14">
        <f>SUM(E30:E31)</f>
        <v/>
      </c>
      <c r="F29" s="14">
        <f>SUM(F30:F31)</f>
        <v/>
      </c>
      <c r="G29" s="14">
        <f>SUM(G30:G31)</f>
        <v/>
      </c>
      <c r="H29" s="15" t="inlineStr">
        <is>
          <t>—</t>
        </is>
      </c>
      <c r="I29" s="16" t="n">
        <v>0.05878378378378379</v>
      </c>
      <c r="J29" s="17">
        <f>M29/L29</f>
        <v/>
      </c>
      <c r="K29" s="18">
        <f>SUM(K30:K31)</f>
        <v/>
      </c>
      <c r="L29" s="19">
        <f>SUM(L30:L31)</f>
        <v/>
      </c>
      <c r="M29" s="18">
        <f>SUM(M30:M31)</f>
        <v/>
      </c>
      <c r="N29" s="18">
        <f>SUM(N30:N31)</f>
        <v/>
      </c>
      <c r="O29" s="20">
        <f>K29/L29</f>
        <v/>
      </c>
    </row>
    <row r="30" hidden="1" outlineLevel="1">
      <c r="A30" s="21" t="inlineStr">
        <is>
          <t>Lyon</t>
        </is>
      </c>
      <c r="B30" s="22" t="n">
        <v>392</v>
      </c>
      <c r="C30" s="22" t="n">
        <v>410</v>
      </c>
      <c r="D30" s="22" t="n">
        <v>428</v>
      </c>
      <c r="E30" s="22" t="n">
        <v>15578</v>
      </c>
      <c r="F30" s="22" t="n">
        <v>17136</v>
      </c>
      <c r="G30" s="22" t="n">
        <v>18850</v>
      </c>
      <c r="H30" s="23">
        <f>SLOPE(LN(B30:D30),LN(E30:G30))</f>
        <v/>
      </c>
      <c r="I30" s="24">
        <f>40/680</f>
        <v/>
      </c>
      <c r="J30" s="25" t="n">
        <v>7440</v>
      </c>
      <c r="K30" s="26">
        <f>G30*$B$6</f>
        <v/>
      </c>
      <c r="L30" s="27">
        <f>D30*((1+$B$6)^H30-1)*I30</f>
        <v/>
      </c>
      <c r="M30" s="28">
        <f>L30*J30</f>
        <v/>
      </c>
      <c r="N30" s="29">
        <f>M30-K30-L30*$B$7</f>
        <v/>
      </c>
      <c r="O30" s="30">
        <f>K30/L30</f>
        <v/>
      </c>
    </row>
    <row r="31" hidden="1" outlineLevel="1">
      <c r="A31" s="21" t="inlineStr">
        <is>
          <t>Paris</t>
        </is>
      </c>
      <c r="B31" s="22" t="n">
        <v>517</v>
      </c>
      <c r="C31" s="22" t="n">
        <v>538</v>
      </c>
      <c r="D31" s="22" t="n">
        <v>560</v>
      </c>
      <c r="E31" s="22" t="n">
        <v>24992</v>
      </c>
      <c r="F31" s="22" t="n">
        <v>27491</v>
      </c>
      <c r="G31" s="22" t="n">
        <v>30240</v>
      </c>
      <c r="H31" s="23">
        <f>SLOPE(LN(B31:D31),LN(E31:G31))</f>
        <v/>
      </c>
      <c r="I31" s="24">
        <f>47/800</f>
        <v/>
      </c>
      <c r="J31" s="25" t="n">
        <v>7930</v>
      </c>
      <c r="K31" s="26">
        <f>G31*$B$6</f>
        <v/>
      </c>
      <c r="L31" s="27">
        <f>D31*((1+$B$6)^H31-1)*I31</f>
        <v/>
      </c>
      <c r="M31" s="28">
        <f>L31*J31</f>
        <v/>
      </c>
      <c r="N31" s="29">
        <f>M31-K31-L31*$B$7</f>
        <v/>
      </c>
      <c r="O31" s="30">
        <f>K31/L31</f>
        <v/>
      </c>
    </row>
    <row r="32">
      <c r="A32" s="31" t="inlineStr">
        <is>
          <t>GROUPE</t>
        </is>
      </c>
      <c r="B32" s="32">
        <f>B14+B15+B16+B17+B19+B20+B21+B23+B24+B25+B27+B28+B30+B31</f>
        <v/>
      </c>
      <c r="C32" s="32">
        <f>C14+C15+C16+C17+C19+C20+C21+C23+C24+C25+C27+C28+C30+C31</f>
        <v/>
      </c>
      <c r="D32" s="32">
        <f>D14+D15+D16+D17+D19+D20+D21+D23+D24+D25+D27+D28+D30+D31</f>
        <v/>
      </c>
      <c r="E32" s="33">
        <f>E14+E15+E16+E17+E19+E20+E21+E23+E24+E25+E27+E28+E30+E31</f>
        <v/>
      </c>
      <c r="F32" s="33">
        <f>F14+F15+F16+F17+F19+F20+F21+F23+F24+F25+F27+F28+F30+F31</f>
        <v/>
      </c>
      <c r="G32" s="33">
        <f>G14+G15+G16+G17+G19+G20+G21+G23+G24+G25+G27+G28+G30+G31</f>
        <v/>
      </c>
      <c r="H32" s="34" t="inlineStr">
        <is>
          <t>—</t>
        </is>
      </c>
      <c r="I32" s="35" t="n">
        <v>0.07147010932775064</v>
      </c>
      <c r="J32" s="33">
        <f>M32/L32</f>
        <v/>
      </c>
      <c r="K32" s="36">
        <f>K14+K15+K16+K17+K19+K20+K21+K23+K24+K25+K27+K28+K30+K31</f>
        <v/>
      </c>
      <c r="L32" s="37">
        <f>L14+L15+L16+L17+L19+L20+L21+L23+L24+L25+L27+L28+L30+L31</f>
        <v/>
      </c>
      <c r="M32" s="36">
        <f>M14+M15+M16+M17+M19+M20+M21+M23+M24+M25+M27+M28+M30+M31</f>
        <v/>
      </c>
      <c r="N32" s="36">
        <f>N14+N15+N16+N17+N19+N20+N21+N23+N24+N25+N27+N28+N30+N31</f>
        <v/>
      </c>
      <c r="O32" s="38">
        <f>K32/L32</f>
        <v/>
      </c>
    </row>
    <row r="34">
      <c r="A34" s="39" t="inlineStr">
        <is>
          <t>Déplie une marque (le +) : chaque campus a SA vraie élasticité (=SLOPE, comme le moteur). Le CAC marginal marque = Σbudget ÷ Σinscrits (agrégat réel).</t>
        </is>
      </c>
    </row>
    <row r="37">
      <c r="A37" s="9" t="inlineStr">
        <is>
          <t>②  La preuve — back-test (calibré ≤2025, prédit 2026, jusqu'aux inscrits)</t>
        </is>
      </c>
    </row>
    <row r="38">
      <c r="A38" s="40" t="inlineStr">
        <is>
          <t>Payants : élasticité 24→25 × budget26. Organiques : leur tendance 24→25. × conversion 2025 → inscrits. Rien de 2026 en entrée.</t>
        </is>
      </c>
    </row>
    <row r="40">
      <c r="A40" s="10" t="inlineStr">
        <is>
          <t>Campus</t>
        </is>
      </c>
      <c r="B40" s="11" t="inlineStr">
        <is>
          <t>L.pay24</t>
        </is>
      </c>
      <c r="C40" s="11" t="inlineStr">
        <is>
          <t>L.pay25</t>
        </is>
      </c>
      <c r="D40" s="11" t="inlineStr">
        <is>
          <t>Bud.24</t>
        </is>
      </c>
      <c r="E40" s="11" t="inlineStr">
        <is>
          <t>Bud.25</t>
        </is>
      </c>
      <c r="F40" s="11" t="inlineStr">
        <is>
          <t>Bud.26</t>
        </is>
      </c>
      <c r="G40" s="11" t="inlineStr">
        <is>
          <t>Élast 24→25</t>
        </is>
      </c>
      <c r="H40" s="11" t="inlineStr">
        <is>
          <t>Préd.pay26</t>
        </is>
      </c>
      <c r="I40" s="11" t="inlineStr">
        <is>
          <t>Org.24</t>
        </is>
      </c>
      <c r="J40" s="11" t="inlineStr">
        <is>
          <t>Org.25</t>
        </is>
      </c>
      <c r="K40" s="11" t="inlineStr">
        <is>
          <t>Préd.org26</t>
        </is>
      </c>
      <c r="L40" s="11" t="inlineStr">
        <is>
          <t>Leads26 préd</t>
        </is>
      </c>
      <c r="M40" s="11" t="inlineStr">
        <is>
          <t>Leads25</t>
        </is>
      </c>
      <c r="N40" s="11" t="inlineStr">
        <is>
          <t>Inscrits25</t>
        </is>
      </c>
      <c r="O40" s="11" t="inlineStr">
        <is>
          <t>Conv.25</t>
        </is>
      </c>
      <c r="P40" s="11" t="inlineStr">
        <is>
          <t>Inscrits26 préd</t>
        </is>
      </c>
      <c r="Q40" s="11" t="inlineStr">
        <is>
          <t>Inscrits26 réel</t>
        </is>
      </c>
      <c r="R40" s="11" t="inlineStr">
        <is>
          <t>Écart</t>
        </is>
      </c>
    </row>
    <row r="41">
      <c r="A41" s="41" t="inlineStr">
        <is>
          <t>Ipac Montpellier</t>
        </is>
      </c>
      <c r="B41" s="42" t="n">
        <v>377</v>
      </c>
      <c r="C41" s="42" t="n">
        <v>399</v>
      </c>
      <c r="D41" s="42" t="n">
        <v>12543</v>
      </c>
      <c r="E41" s="42" t="n">
        <v>13798</v>
      </c>
      <c r="F41" s="42" t="n">
        <v>15178</v>
      </c>
      <c r="G41" s="43">
        <f>LN(C41/B41)/LN(E41/D41)</f>
        <v/>
      </c>
      <c r="H41" s="44">
        <f>C41*(F41/E41)^G41</f>
        <v/>
      </c>
      <c r="I41" s="42" t="n">
        <v>217</v>
      </c>
      <c r="J41" s="42" t="n">
        <v>237</v>
      </c>
      <c r="K41" s="44">
        <f>J41*(J41/I41)</f>
        <v/>
      </c>
      <c r="L41" s="45">
        <f>H41+K41</f>
        <v/>
      </c>
      <c r="M41" s="42" t="n">
        <v>642</v>
      </c>
      <c r="N41" s="42" t="n">
        <v>38</v>
      </c>
      <c r="O41" s="46">
        <f>N41/M41</f>
        <v/>
      </c>
      <c r="P41" s="45">
        <f>L41*O41</f>
        <v/>
      </c>
      <c r="Q41" s="47" t="n">
        <v>40</v>
      </c>
      <c r="R41" s="48">
        <f>P41/Q41-1</f>
        <v/>
      </c>
    </row>
    <row r="42">
      <c r="A42" s="41" t="inlineStr">
        <is>
          <t>Ipac Nantes</t>
        </is>
      </c>
      <c r="B42" s="42" t="n">
        <v>489</v>
      </c>
      <c r="C42" s="42" t="n">
        <v>516</v>
      </c>
      <c r="D42" s="42" t="n">
        <v>17983</v>
      </c>
      <c r="E42" s="42" t="n">
        <v>19782</v>
      </c>
      <c r="F42" s="42" t="n">
        <v>21760</v>
      </c>
      <c r="G42" s="43">
        <f>LN(C42/B42)/LN(E42/D42)</f>
        <v/>
      </c>
      <c r="H42" s="44">
        <f>C42*(F42/E42)^G42</f>
        <v/>
      </c>
      <c r="I42" s="42" t="n">
        <v>258</v>
      </c>
      <c r="J42" s="42" t="n">
        <v>281</v>
      </c>
      <c r="K42" s="44">
        <f>J42*(J42/I42)</f>
        <v/>
      </c>
      <c r="L42" s="45">
        <f>H42+K42</f>
        <v/>
      </c>
      <c r="M42" s="42" t="n">
        <v>802</v>
      </c>
      <c r="N42" s="42" t="n">
        <v>47</v>
      </c>
      <c r="O42" s="46">
        <f>N42/M42</f>
        <v/>
      </c>
      <c r="P42" s="45">
        <f>L42*O42</f>
        <v/>
      </c>
      <c r="Q42" s="47" t="n">
        <v>50</v>
      </c>
      <c r="R42" s="48">
        <f>P42/Q42-1</f>
        <v/>
      </c>
    </row>
    <row r="43">
      <c r="A43" s="41" t="inlineStr">
        <is>
          <t>Ipac Rennes</t>
        </is>
      </c>
      <c r="B43" s="42" t="n">
        <v>371</v>
      </c>
      <c r="C43" s="42" t="n">
        <v>392</v>
      </c>
      <c r="D43" s="42" t="n">
        <v>12341</v>
      </c>
      <c r="E43" s="42" t="n">
        <v>13575</v>
      </c>
      <c r="F43" s="42" t="n">
        <v>14933</v>
      </c>
      <c r="G43" s="43">
        <f>LN(C43/B43)/LN(E43/D43)</f>
        <v/>
      </c>
      <c r="H43" s="44">
        <f>C43*(F43/E43)^G43</f>
        <v/>
      </c>
      <c r="I43" s="42" t="n">
        <v>223</v>
      </c>
      <c r="J43" s="42" t="n">
        <v>243</v>
      </c>
      <c r="K43" s="44">
        <f>J43*(J43/I43)</f>
        <v/>
      </c>
      <c r="L43" s="45">
        <f>H43+K43</f>
        <v/>
      </c>
      <c r="M43" s="42" t="n">
        <v>642</v>
      </c>
      <c r="N43" s="42" t="n">
        <v>38</v>
      </c>
      <c r="O43" s="46">
        <f>N43/M43</f>
        <v/>
      </c>
      <c r="P43" s="45">
        <f>L43*O43</f>
        <v/>
      </c>
      <c r="Q43" s="47" t="n">
        <v>40</v>
      </c>
      <c r="R43" s="48">
        <f>P43/Q43-1</f>
        <v/>
      </c>
    </row>
    <row r="44">
      <c r="A44" s="41" t="inlineStr">
        <is>
          <t>Iscom Lille</t>
        </is>
      </c>
      <c r="B44" s="42" t="n">
        <v>571</v>
      </c>
      <c r="C44" s="42" t="n">
        <v>600</v>
      </c>
      <c r="D44" s="42" t="n">
        <v>20843</v>
      </c>
      <c r="E44" s="42" t="n">
        <v>22927</v>
      </c>
      <c r="F44" s="42" t="n">
        <v>25220</v>
      </c>
      <c r="G44" s="43">
        <f>LN(C44/B44)/LN(E44/D44)</f>
        <v/>
      </c>
      <c r="H44" s="44">
        <f>C44*(F44/E44)^G44</f>
        <v/>
      </c>
      <c r="I44" s="42" t="n">
        <v>594</v>
      </c>
      <c r="J44" s="42" t="n">
        <v>612</v>
      </c>
      <c r="K44" s="44">
        <f>J44*(J44/I44)</f>
        <v/>
      </c>
      <c r="L44" s="45">
        <f>H44+K44</f>
        <v/>
      </c>
      <c r="M44" s="42" t="n">
        <v>1190</v>
      </c>
      <c r="N44" s="42" t="n">
        <v>94</v>
      </c>
      <c r="O44" s="46">
        <f>N44/M44</f>
        <v/>
      </c>
      <c r="P44" s="45">
        <f>L44*O44</f>
        <v/>
      </c>
      <c r="Q44" s="47" t="n">
        <v>100</v>
      </c>
      <c r="R44" s="48">
        <f>P44/Q44-1</f>
        <v/>
      </c>
    </row>
    <row r="45">
      <c r="A45" s="41" t="inlineStr">
        <is>
          <t>Iscom Paris</t>
        </is>
      </c>
      <c r="B45" s="42" t="n">
        <v>1035</v>
      </c>
      <c r="C45" s="42" t="n">
        <v>1080</v>
      </c>
      <c r="D45" s="42" t="n">
        <v>50248</v>
      </c>
      <c r="E45" s="42" t="n">
        <v>55272</v>
      </c>
      <c r="F45" s="42" t="n">
        <v>60800</v>
      </c>
      <c r="G45" s="43">
        <f>LN(C45/B45)/LN(E45/D45)</f>
        <v/>
      </c>
      <c r="H45" s="44">
        <f>C45*(F45/E45)^G45</f>
        <v/>
      </c>
      <c r="I45" s="42" t="n">
        <v>650</v>
      </c>
      <c r="J45" s="42" t="n">
        <v>670</v>
      </c>
      <c r="K45" s="44">
        <f>J45*(J45/I45)</f>
        <v/>
      </c>
      <c r="L45" s="45">
        <f>H45+K45</f>
        <v/>
      </c>
      <c r="M45" s="42" t="n">
        <v>1713</v>
      </c>
      <c r="N45" s="42" t="n">
        <v>136</v>
      </c>
      <c r="O45" s="46">
        <f>N45/M45</f>
        <v/>
      </c>
      <c r="P45" s="45">
        <f>L45*O45</f>
        <v/>
      </c>
      <c r="Q45" s="47" t="n">
        <v>144</v>
      </c>
      <c r="R45" s="48">
        <f>P45/Q45-1</f>
        <v/>
      </c>
    </row>
    <row r="46">
      <c r="A46" s="41" t="inlineStr">
        <is>
          <t>Iscom Toulouse</t>
        </is>
      </c>
      <c r="B46" s="42" t="n">
        <v>526</v>
      </c>
      <c r="C46" s="42" t="n">
        <v>553</v>
      </c>
      <c r="D46" s="42" t="n">
        <v>18251</v>
      </c>
      <c r="E46" s="42" t="n">
        <v>20076</v>
      </c>
      <c r="F46" s="42" t="n">
        <v>22083</v>
      </c>
      <c r="G46" s="43">
        <f>LN(C46/B46)/LN(E46/D46)</f>
        <v/>
      </c>
      <c r="H46" s="44">
        <f>C46*(F46/E46)^G46</f>
        <v/>
      </c>
      <c r="I46" s="42" t="n">
        <v>570</v>
      </c>
      <c r="J46" s="42" t="n">
        <v>587</v>
      </c>
      <c r="K46" s="44">
        <f>J46*(J46/I46)</f>
        <v/>
      </c>
      <c r="L46" s="45">
        <f>H46+K46</f>
        <v/>
      </c>
      <c r="M46" s="42" t="n">
        <v>1119</v>
      </c>
      <c r="N46" s="42" t="n">
        <v>88</v>
      </c>
      <c r="O46" s="46">
        <f>N46/M46</f>
        <v/>
      </c>
      <c r="P46" s="45">
        <f>L46*O46</f>
        <v/>
      </c>
      <c r="Q46" s="47" t="n">
        <v>94</v>
      </c>
      <c r="R46" s="48">
        <f>P46/Q46-1</f>
        <v/>
      </c>
    </row>
    <row r="47">
      <c r="A47" s="41" t="inlineStr">
        <is>
          <t>MBway Bordeaux</t>
        </is>
      </c>
      <c r="B47" s="42" t="n">
        <v>592</v>
      </c>
      <c r="C47" s="42" t="n">
        <v>623</v>
      </c>
      <c r="D47" s="42" t="n">
        <v>20597</v>
      </c>
      <c r="E47" s="42" t="n">
        <v>22657</v>
      </c>
      <c r="F47" s="42" t="n">
        <v>24923</v>
      </c>
      <c r="G47" s="43">
        <f>LN(C47/B47)/LN(E47/D47)</f>
        <v/>
      </c>
      <c r="H47" s="44">
        <f>C47*(F47/E47)^G47</f>
        <v/>
      </c>
      <c r="I47" s="42" t="n">
        <v>550</v>
      </c>
      <c r="J47" s="42" t="n">
        <v>589</v>
      </c>
      <c r="K47" s="44">
        <f>J47*(J47/I47)</f>
        <v/>
      </c>
      <c r="L47" s="45">
        <f>H47+K47</f>
        <v/>
      </c>
      <c r="M47" s="42" t="n">
        <v>1213</v>
      </c>
      <c r="N47" s="42" t="n">
        <v>96</v>
      </c>
      <c r="O47" s="46">
        <f>N47/M47</f>
        <v/>
      </c>
      <c r="P47" s="45">
        <f>L47*O47</f>
        <v/>
      </c>
      <c r="Q47" s="47" t="n">
        <v>102</v>
      </c>
      <c r="R47" s="48">
        <f>P47/Q47-1</f>
        <v/>
      </c>
    </row>
    <row r="48">
      <c r="A48" s="41" t="inlineStr">
        <is>
          <t>MBway Lyon</t>
        </is>
      </c>
      <c r="B48" s="42" t="n">
        <v>863</v>
      </c>
      <c r="C48" s="42" t="n">
        <v>905</v>
      </c>
      <c r="D48" s="42" t="n">
        <v>34532</v>
      </c>
      <c r="E48" s="42" t="n">
        <v>37985</v>
      </c>
      <c r="F48" s="42" t="n">
        <v>41783</v>
      </c>
      <c r="G48" s="43">
        <f>LN(C48/B48)/LN(E48/D48)</f>
        <v/>
      </c>
      <c r="H48" s="44">
        <f>C48*(F48/E48)^G48</f>
        <v/>
      </c>
      <c r="I48" s="42" t="n">
        <v>626</v>
      </c>
      <c r="J48" s="42" t="n">
        <v>670</v>
      </c>
      <c r="K48" s="44">
        <f>J48*(J48/I48)</f>
        <v/>
      </c>
      <c r="L48" s="45">
        <f>H48+K48</f>
        <v/>
      </c>
      <c r="M48" s="42" t="n">
        <v>1572</v>
      </c>
      <c r="N48" s="42" t="n">
        <v>124</v>
      </c>
      <c r="O48" s="46">
        <f>N48/M48</f>
        <v/>
      </c>
      <c r="P48" s="45">
        <f>L48*O48</f>
        <v/>
      </c>
      <c r="Q48" s="47" t="n">
        <v>132</v>
      </c>
      <c r="R48" s="48">
        <f>P48/Q48-1</f>
        <v/>
      </c>
    </row>
    <row r="49">
      <c r="A49" s="41" t="inlineStr">
        <is>
          <t>MBway Nantes</t>
        </is>
      </c>
      <c r="B49" s="42" t="n">
        <v>713</v>
      </c>
      <c r="C49" s="42" t="n">
        <v>749</v>
      </c>
      <c r="D49" s="42" t="n">
        <v>26060</v>
      </c>
      <c r="E49" s="42" t="n">
        <v>28666</v>
      </c>
      <c r="F49" s="42" t="n">
        <v>31533</v>
      </c>
      <c r="G49" s="43">
        <f>LN(C49/B49)/LN(E49/D49)</f>
        <v/>
      </c>
      <c r="H49" s="44">
        <f>C49*(F49/E49)^G49</f>
        <v/>
      </c>
      <c r="I49" s="42" t="n">
        <v>636</v>
      </c>
      <c r="J49" s="42" t="n">
        <v>680</v>
      </c>
      <c r="K49" s="44">
        <f>J49*(J49/I49)</f>
        <v/>
      </c>
      <c r="L49" s="45">
        <f>H49+K49</f>
        <v/>
      </c>
      <c r="M49" s="42" t="n">
        <v>1430</v>
      </c>
      <c r="N49" s="42" t="n">
        <v>114</v>
      </c>
      <c r="O49" s="46">
        <f>N49/M49</f>
        <v/>
      </c>
      <c r="P49" s="45">
        <f>L49*O49</f>
        <v/>
      </c>
      <c r="Q49" s="47" t="n">
        <v>120</v>
      </c>
      <c r="R49" s="48">
        <f>P49/Q49-1</f>
        <v/>
      </c>
    </row>
    <row r="50">
      <c r="A50" s="41" t="inlineStr">
        <is>
          <t>MBway Paris</t>
        </is>
      </c>
      <c r="B50" s="42" t="n">
        <v>1158</v>
      </c>
      <c r="C50" s="42" t="n">
        <v>1210</v>
      </c>
      <c r="D50" s="42" t="n">
        <v>56438</v>
      </c>
      <c r="E50" s="42" t="n">
        <v>62082</v>
      </c>
      <c r="F50" s="42" t="n">
        <v>68291</v>
      </c>
      <c r="G50" s="43">
        <f>LN(C50/B50)/LN(E50/D50)</f>
        <v/>
      </c>
      <c r="H50" s="44">
        <f>C50*(F50/E50)^G50</f>
        <v/>
      </c>
      <c r="I50" s="42" t="n">
        <v>621</v>
      </c>
      <c r="J50" s="42" t="n">
        <v>665</v>
      </c>
      <c r="K50" s="44">
        <f>J50*(J50/I50)</f>
        <v/>
      </c>
      <c r="L50" s="45">
        <f>H50+K50</f>
        <v/>
      </c>
      <c r="M50" s="42" t="n">
        <v>1864</v>
      </c>
      <c r="N50" s="42" t="n">
        <v>148</v>
      </c>
      <c r="O50" s="46">
        <f>N50/M50</f>
        <v/>
      </c>
      <c r="P50" s="45">
        <f>L50*O50</f>
        <v/>
      </c>
      <c r="Q50" s="47" t="n">
        <v>156</v>
      </c>
      <c r="R50" s="48">
        <f>P50/Q50-1</f>
        <v/>
      </c>
    </row>
    <row r="51">
      <c r="A51" s="41" t="inlineStr">
        <is>
          <t>Pigier Bordeaux</t>
        </is>
      </c>
      <c r="B51" s="42" t="n">
        <v>528</v>
      </c>
      <c r="C51" s="42" t="n">
        <v>552</v>
      </c>
      <c r="D51" s="42" t="n">
        <v>18155</v>
      </c>
      <c r="E51" s="42" t="n">
        <v>19971</v>
      </c>
      <c r="F51" s="42" t="n">
        <v>21968</v>
      </c>
      <c r="G51" s="43">
        <f>LN(C51/B51)/LN(E51/D51)</f>
        <v/>
      </c>
      <c r="H51" s="44">
        <f>C51*(F51/E51)^G51</f>
        <v/>
      </c>
      <c r="I51" s="42" t="n">
        <v>603</v>
      </c>
      <c r="J51" s="42" t="n">
        <v>627</v>
      </c>
      <c r="K51" s="44">
        <f>J51*(J51/I51)</f>
        <v/>
      </c>
      <c r="L51" s="45">
        <f>H51+K51</f>
        <v/>
      </c>
      <c r="M51" s="42" t="n">
        <v>1160</v>
      </c>
      <c r="N51" s="42" t="n">
        <v>68</v>
      </c>
      <c r="O51" s="46">
        <f>N51/M51</f>
        <v/>
      </c>
      <c r="P51" s="45">
        <f>L51*O51</f>
        <v/>
      </c>
      <c r="Q51" s="47" t="n">
        <v>72</v>
      </c>
      <c r="R51" s="48">
        <f>P51/Q51-1</f>
        <v/>
      </c>
    </row>
    <row r="52">
      <c r="A52" s="41" t="inlineStr">
        <is>
          <t>Pigier Lyon</t>
        </is>
      </c>
      <c r="B52" s="42" t="n">
        <v>765</v>
      </c>
      <c r="C52" s="42" t="n">
        <v>798</v>
      </c>
      <c r="D52" s="42" t="n">
        <v>30258</v>
      </c>
      <c r="E52" s="42" t="n">
        <v>33284</v>
      </c>
      <c r="F52" s="42" t="n">
        <v>36612</v>
      </c>
      <c r="G52" s="43">
        <f>LN(C52/B52)/LN(E52/D52)</f>
        <v/>
      </c>
      <c r="H52" s="44">
        <f>C52*(F52/E52)^G52</f>
        <v/>
      </c>
      <c r="I52" s="42" t="n">
        <v>682</v>
      </c>
      <c r="J52" s="42" t="n">
        <v>710</v>
      </c>
      <c r="K52" s="44">
        <f>J52*(J52/I52)</f>
        <v/>
      </c>
      <c r="L52" s="45">
        <f>H52+K52</f>
        <v/>
      </c>
      <c r="M52" s="42" t="n">
        <v>1482</v>
      </c>
      <c r="N52" s="42" t="n">
        <v>86</v>
      </c>
      <c r="O52" s="46">
        <f>N52/M52</f>
        <v/>
      </c>
      <c r="P52" s="45">
        <f>L52*O52</f>
        <v/>
      </c>
      <c r="Q52" s="47" t="n">
        <v>92</v>
      </c>
      <c r="R52" s="48">
        <f>P52/Q52-1</f>
        <v/>
      </c>
    </row>
    <row r="53">
      <c r="A53" s="41" t="inlineStr">
        <is>
          <t>Tunon Lyon</t>
        </is>
      </c>
      <c r="B53" s="42" t="n">
        <v>392</v>
      </c>
      <c r="C53" s="42" t="n">
        <v>410</v>
      </c>
      <c r="D53" s="42" t="n">
        <v>15578</v>
      </c>
      <c r="E53" s="42" t="n">
        <v>17136</v>
      </c>
      <c r="F53" s="42" t="n">
        <v>18850</v>
      </c>
      <c r="G53" s="43">
        <f>LN(C53/B53)/LN(E53/D53)</f>
        <v/>
      </c>
      <c r="H53" s="44">
        <f>C53*(F53/E53)^G53</f>
        <v/>
      </c>
      <c r="I53" s="42" t="n">
        <v>242</v>
      </c>
      <c r="J53" s="42" t="n">
        <v>247</v>
      </c>
      <c r="K53" s="44">
        <f>J53*(J53/I53)</f>
        <v/>
      </c>
      <c r="L53" s="45">
        <f>H53+K53</f>
        <v/>
      </c>
      <c r="M53" s="42" t="n">
        <v>642</v>
      </c>
      <c r="N53" s="42" t="n">
        <v>38</v>
      </c>
      <c r="O53" s="46">
        <f>N53/M53</f>
        <v/>
      </c>
      <c r="P53" s="45">
        <f>L53*O53</f>
        <v/>
      </c>
      <c r="Q53" s="47" t="n">
        <v>40</v>
      </c>
      <c r="R53" s="48">
        <f>P53/Q53-1</f>
        <v/>
      </c>
    </row>
    <row r="54">
      <c r="A54" s="41" t="inlineStr">
        <is>
          <t>Tunon Paris</t>
        </is>
      </c>
      <c r="B54" s="42" t="n">
        <v>517</v>
      </c>
      <c r="C54" s="42" t="n">
        <v>538</v>
      </c>
      <c r="D54" s="42" t="n">
        <v>24992</v>
      </c>
      <c r="E54" s="42" t="n">
        <v>27491</v>
      </c>
      <c r="F54" s="42" t="n">
        <v>30240</v>
      </c>
      <c r="G54" s="43">
        <f>LN(C54/B54)/LN(E54/D54)</f>
        <v/>
      </c>
      <c r="H54" s="44">
        <f>C54*(F54/E54)^G54</f>
        <v/>
      </c>
      <c r="I54" s="42" t="n">
        <v>231</v>
      </c>
      <c r="J54" s="42" t="n">
        <v>235</v>
      </c>
      <c r="K54" s="44">
        <f>J54*(J54/I54)</f>
        <v/>
      </c>
      <c r="L54" s="45">
        <f>H54+K54</f>
        <v/>
      </c>
      <c r="M54" s="42" t="n">
        <v>755</v>
      </c>
      <c r="N54" s="42" t="n">
        <v>44</v>
      </c>
      <c r="O54" s="46">
        <f>N54/M54</f>
        <v/>
      </c>
      <c r="P54" s="45">
        <f>L54*O54</f>
        <v/>
      </c>
      <c r="Q54" s="47" t="n">
        <v>47</v>
      </c>
      <c r="R54" s="48">
        <f>P54/Q54-1</f>
        <v/>
      </c>
    </row>
    <row r="55">
      <c r="A55" s="49" t="inlineStr">
        <is>
          <t>GROUPE</t>
        </is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1">
        <f>SUM(L41:L54)</f>
        <v/>
      </c>
      <c r="M55" s="50" t="n"/>
      <c r="N55" s="50" t="n"/>
      <c r="O55" s="50" t="n"/>
      <c r="P55" s="51">
        <f>SUM(P41:P54)</f>
        <v/>
      </c>
      <c r="Q55" s="51">
        <f>SUM(Q41:Q54)</f>
        <v/>
      </c>
      <c r="R55" s="52">
        <f>P55/Q55-1</f>
        <v/>
      </c>
    </row>
    <row r="58">
      <c r="A58" s="58" t="inlineStr">
        <is>
          <t>◆ SPÉCIFICATION — pour reconstruire via une matrice Tagetik</t>
        </is>
      </c>
    </row>
    <row r="59">
      <c r="A59" s="59" t="inlineStr">
        <is>
          <t>Source (vue)</t>
        </is>
      </c>
      <c r="B59" s="60" t="inlineStr">
        <is>
          <t>V_CAMPAGNES (calibration : élasticité acquisition, conversion, réfs)  +  socle AW_002_000002_000001 (CA/inscrit réel)</t>
        </is>
      </c>
    </row>
    <row r="60">
      <c r="A60" s="59" t="inlineStr">
        <is>
          <t>Dimensions</t>
        </is>
      </c>
      <c r="B60" s="60" t="inlineStr">
        <is>
          <t>ENTITY (campus) ▸ groupé par MARQUE   —   l'élasticité vit au campus, la marque = sous-total</t>
        </is>
      </c>
    </row>
    <row r="61">
      <c r="A61" s="61" t="inlineStr">
        <is>
          <t>Membres des dimensions</t>
        </is>
      </c>
    </row>
    <row r="62">
      <c r="A62" s="62" t="inlineStr">
        <is>
          <t xml:space="preserve">   MARQUE</t>
        </is>
      </c>
      <c r="B62" s="63" t="inlineStr">
        <is>
          <t>MBWAY · ISCOM · IPAC · PIGIER · TUNON</t>
        </is>
      </c>
    </row>
    <row r="63">
      <c r="A63" s="62" t="inlineStr">
        <is>
          <t xml:space="preserve">   CAMPUS (ENTITY)</t>
        </is>
      </c>
      <c r="B63" s="63" t="inlineStr">
        <is>
          <t>MBWAY_BOR/LYO/NAN/PAR · ISCOM_LIL/PAR/TLS · IPAC_MTP/NAN/REN · PIGIER_BOR/LYO · TUNON_LYO/PAR   (14 campus)</t>
        </is>
      </c>
    </row>
    <row r="64">
      <c r="A64" s="59" t="inlineStr">
        <is>
          <t>Champs de la vue</t>
        </is>
      </c>
    </row>
    <row r="65">
      <c r="A65" s="64" t="inlineStr">
        <is>
          <t xml:space="preserve">   Leads payants (L.pay 24/25/26)</t>
        </is>
      </c>
      <c r="B65" s="63" t="inlineStr">
        <is>
          <t>PAID_REF / LEAD_REF  (V_CAMPAGNES)</t>
        </is>
      </c>
    </row>
    <row r="66">
      <c r="A66" s="64" t="inlineStr">
        <is>
          <t xml:space="preserve">   Budget acquisition (Bud.24/25/26)</t>
        </is>
      </c>
      <c r="B66" s="63" t="inlineStr">
        <is>
          <t>SPEND_ACQ_REF  (compte 6231, V_CAMPAGNES)</t>
        </is>
      </c>
    </row>
    <row r="67">
      <c r="A67" s="64" t="inlineStr">
        <is>
          <t xml:space="preserve">   Élasticité</t>
        </is>
      </c>
      <c r="B67" s="63" t="inlineStr">
        <is>
          <t>REND_ACQ = régression 3 ans  =SLOPE(LN(leads);LN(budget))</t>
        </is>
      </c>
    </row>
    <row r="68">
      <c r="A68" s="64" t="inlineStr">
        <is>
          <t xml:space="preserve">   Conversion</t>
        </is>
      </c>
      <c r="B68" s="63" t="inlineStr">
        <is>
          <t>CONVERSION = inscrits ÷ leads  (V_CAMPAGNES)</t>
        </is>
      </c>
    </row>
    <row r="69">
      <c r="A69" s="64" t="inlineStr">
        <is>
          <t xml:space="preserve">   CA / inscrit</t>
        </is>
      </c>
      <c r="B69" s="63" t="inlineStr">
        <is>
          <t>(VOL_NEW·REV_STUD + VOL_NEW·REV_FRAIS_INS) ÷ VOL_NEW  par campus (socle 2026)</t>
        </is>
      </c>
    </row>
    <row r="70">
      <c r="A70" s="65" t="n"/>
      <c r="B70" s="6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EDUSERVICES · le moteur, à nu</t>
        </is>
      </c>
    </row>
    <row r="2">
      <c r="A2" s="2" t="inlineStr">
        <is>
          <t>Le budget de marque → les leads organiques</t>
        </is>
      </c>
    </row>
    <row r="3">
      <c r="A3" s="3" t="inlineStr">
        <is>
          <t>Autre levier : le budget de marque nourrit les organiques, avec sa propre élasticité (plus basse). Régression 3 ans, comme l'acquisition.</t>
        </is>
      </c>
    </row>
    <row r="5">
      <c r="A5" s="5" t="inlineStr">
        <is>
          <t>Δ budget de marque</t>
        </is>
      </c>
      <c r="B5" s="6" t="n">
        <v>0.1</v>
      </c>
    </row>
    <row r="7">
      <c r="A7" s="10" t="inlineStr">
        <is>
          <t>Campus</t>
        </is>
      </c>
      <c r="B7" s="11" t="inlineStr">
        <is>
          <t>Bud.mq24</t>
        </is>
      </c>
      <c r="C7" s="11" t="inlineStr">
        <is>
          <t>Bud.mq25</t>
        </is>
      </c>
      <c r="D7" s="11" t="inlineStr">
        <is>
          <t>Bud.mq26</t>
        </is>
      </c>
      <c r="E7" s="11" t="inlineStr">
        <is>
          <t>Org.24</t>
        </is>
      </c>
      <c r="F7" s="11" t="inlineStr">
        <is>
          <t>Org.25</t>
        </is>
      </c>
      <c r="G7" s="11" t="inlineStr">
        <is>
          <t>Org.26</t>
        </is>
      </c>
      <c r="H7" s="11" t="inlineStr">
        <is>
          <t>Élasticité marque</t>
        </is>
      </c>
      <c r="I7" s="11" t="inlineStr">
        <is>
          <t>Org. gagnés (+Δ)</t>
        </is>
      </c>
    </row>
    <row r="8">
      <c r="A8" s="53" t="inlineStr">
        <is>
          <t>Ipac Montpellier</t>
        </is>
      </c>
      <c r="B8" s="25" t="n">
        <v>13581</v>
      </c>
      <c r="C8" s="25" t="n">
        <v>17870</v>
      </c>
      <c r="D8" s="25" t="n">
        <v>23514</v>
      </c>
      <c r="E8" s="22" t="n">
        <v>217</v>
      </c>
      <c r="F8" s="22" t="n">
        <v>237</v>
      </c>
      <c r="G8" s="22" t="n">
        <v>258</v>
      </c>
      <c r="H8" s="23">
        <f>SLOPE(LN(E8:G8),LN(B8:D8))</f>
        <v/>
      </c>
      <c r="I8" s="27">
        <f>G8*((1+$B$5)^H8-1)</f>
        <v/>
      </c>
    </row>
    <row r="9">
      <c r="A9" s="53" t="inlineStr">
        <is>
          <t>Ipac Nantes</t>
        </is>
      </c>
      <c r="B9" s="25" t="n">
        <v>15937</v>
      </c>
      <c r="C9" s="25" t="n">
        <v>21082</v>
      </c>
      <c r="D9" s="25" t="n">
        <v>27889</v>
      </c>
      <c r="E9" s="22" t="n">
        <v>258</v>
      </c>
      <c r="F9" s="22" t="n">
        <v>281</v>
      </c>
      <c r="G9" s="22" t="n">
        <v>306</v>
      </c>
      <c r="H9" s="23">
        <f>SLOPE(LN(E9:G9),LN(B9:D9))</f>
        <v/>
      </c>
      <c r="I9" s="27">
        <f>G9*((1+$B$5)^H9-1)</f>
        <v/>
      </c>
    </row>
    <row r="10">
      <c r="A10" s="53" t="inlineStr">
        <is>
          <t>Ipac Rennes</t>
        </is>
      </c>
      <c r="B10" s="25" t="n">
        <v>14022</v>
      </c>
      <c r="C10" s="25" t="n">
        <v>18403</v>
      </c>
      <c r="D10" s="25" t="n">
        <v>24152</v>
      </c>
      <c r="E10" s="22" t="n">
        <v>223</v>
      </c>
      <c r="F10" s="22" t="n">
        <v>243</v>
      </c>
      <c r="G10" s="22" t="n">
        <v>265</v>
      </c>
      <c r="H10" s="23">
        <f>SLOPE(LN(E10:G10),LN(B10:D10))</f>
        <v/>
      </c>
      <c r="I10" s="27">
        <f>G10*((1+$B$5)^H10-1)</f>
        <v/>
      </c>
    </row>
    <row r="11">
      <c r="A11" s="53" t="inlineStr">
        <is>
          <t>Iscom Lille</t>
        </is>
      </c>
      <c r="B11" s="25" t="n">
        <v>48495</v>
      </c>
      <c r="C11" s="25" t="n">
        <v>52768</v>
      </c>
      <c r="D11" s="25" t="n">
        <v>57418</v>
      </c>
      <c r="E11" s="22" t="n">
        <v>594</v>
      </c>
      <c r="F11" s="22" t="n">
        <v>612</v>
      </c>
      <c r="G11" s="22" t="n">
        <v>630</v>
      </c>
      <c r="H11" s="23">
        <f>SLOPE(LN(E11:G11),LN(B11:D11))</f>
        <v/>
      </c>
      <c r="I11" s="27">
        <f>G11*((1+$B$5)^H11-1)</f>
        <v/>
      </c>
    </row>
    <row r="12">
      <c r="A12" s="53" t="inlineStr">
        <is>
          <t>Iscom Paris</t>
        </is>
      </c>
      <c r="B12" s="25" t="n">
        <v>52094</v>
      </c>
      <c r="C12" s="25" t="n">
        <v>57236</v>
      </c>
      <c r="D12" s="25" t="n">
        <v>62886</v>
      </c>
      <c r="E12" s="22" t="n">
        <v>650</v>
      </c>
      <c r="F12" s="22" t="n">
        <v>670</v>
      </c>
      <c r="G12" s="22" t="n">
        <v>690</v>
      </c>
      <c r="H12" s="23">
        <f>SLOPE(LN(E12:G12),LN(B12:D12))</f>
        <v/>
      </c>
      <c r="I12" s="27">
        <f>G12*((1+$B$5)^H12-1)</f>
        <v/>
      </c>
    </row>
    <row r="13">
      <c r="A13" s="53" t="inlineStr">
        <is>
          <t>Iscom Toulouse</t>
        </is>
      </c>
      <c r="B13" s="25" t="n">
        <v>46637</v>
      </c>
      <c r="C13" s="25" t="n">
        <v>50710</v>
      </c>
      <c r="D13" s="25" t="n">
        <v>55139</v>
      </c>
      <c r="E13" s="22" t="n">
        <v>570</v>
      </c>
      <c r="F13" s="22" t="n">
        <v>587</v>
      </c>
      <c r="G13" s="22" t="n">
        <v>605</v>
      </c>
      <c r="H13" s="23">
        <f>SLOPE(LN(E13:G13),LN(B13:D13))</f>
        <v/>
      </c>
      <c r="I13" s="27">
        <f>G13*((1+$B$5)^H13-1)</f>
        <v/>
      </c>
    </row>
    <row r="14">
      <c r="A14" s="53" t="inlineStr">
        <is>
          <t>MBway Bordeaux</t>
        </is>
      </c>
      <c r="B14" s="25" t="n">
        <v>38877</v>
      </c>
      <c r="C14" s="25" t="n">
        <v>47246</v>
      </c>
      <c r="D14" s="25" t="n">
        <v>57418</v>
      </c>
      <c r="E14" s="22" t="n">
        <v>550</v>
      </c>
      <c r="F14" s="22" t="n">
        <v>589</v>
      </c>
      <c r="G14" s="22" t="n">
        <v>630</v>
      </c>
      <c r="H14" s="23">
        <f>SLOPE(LN(E14:G14),LN(B14:D14))</f>
        <v/>
      </c>
      <c r="I14" s="27">
        <f>G14*((1+$B$5)^H14-1)</f>
        <v/>
      </c>
    </row>
    <row r="15">
      <c r="A15" s="53" t="inlineStr">
        <is>
          <t>MBway Lyon</t>
        </is>
      </c>
      <c r="B15" s="25" t="n">
        <v>43250</v>
      </c>
      <c r="C15" s="25" t="n">
        <v>53125</v>
      </c>
      <c r="D15" s="25" t="n">
        <v>65255</v>
      </c>
      <c r="E15" s="22" t="n">
        <v>626</v>
      </c>
      <c r="F15" s="22" t="n">
        <v>670</v>
      </c>
      <c r="G15" s="22" t="n">
        <v>716</v>
      </c>
      <c r="H15" s="23">
        <f>SLOPE(LN(E15:G15),LN(B15:D15))</f>
        <v/>
      </c>
      <c r="I15" s="27">
        <f>G15*((1+$B$5)^H15-1)</f>
        <v/>
      </c>
    </row>
    <row r="16">
      <c r="A16" s="53" t="inlineStr">
        <is>
          <t>MBway Nantes</t>
        </is>
      </c>
      <c r="B16" s="25" t="n">
        <v>44771</v>
      </c>
      <c r="C16" s="25" t="n">
        <v>54502</v>
      </c>
      <c r="D16" s="25" t="n">
        <v>66349</v>
      </c>
      <c r="E16" s="22" t="n">
        <v>636</v>
      </c>
      <c r="F16" s="22" t="n">
        <v>680</v>
      </c>
      <c r="G16" s="22" t="n">
        <v>728</v>
      </c>
      <c r="H16" s="23">
        <f>SLOPE(LN(E16:G16),LN(B16:D16))</f>
        <v/>
      </c>
      <c r="I16" s="27">
        <f>G16*((1+$B$5)^H16-1)</f>
        <v/>
      </c>
    </row>
    <row r="17">
      <c r="A17" s="53" t="inlineStr">
        <is>
          <t>MBway Paris</t>
        </is>
      </c>
      <c r="B17" s="25" t="n">
        <v>41761</v>
      </c>
      <c r="C17" s="25" t="n">
        <v>52020</v>
      </c>
      <c r="D17" s="25" t="n">
        <v>64800</v>
      </c>
      <c r="E17" s="22" t="n">
        <v>621</v>
      </c>
      <c r="F17" s="22" t="n">
        <v>665</v>
      </c>
      <c r="G17" s="22" t="n">
        <v>711</v>
      </c>
      <c r="H17" s="23">
        <f>SLOPE(LN(E17:G17),LN(B17:D17))</f>
        <v/>
      </c>
      <c r="I17" s="27">
        <f>G17*((1+$B$5)^H17-1)</f>
        <v/>
      </c>
    </row>
    <row r="18">
      <c r="A18" s="53" t="inlineStr">
        <is>
          <t>Pigier Bordeaux</t>
        </is>
      </c>
      <c r="B18" s="25" t="n">
        <v>47760</v>
      </c>
      <c r="C18" s="25" t="n">
        <v>53273</v>
      </c>
      <c r="D18" s="25" t="n">
        <v>59423</v>
      </c>
      <c r="E18" s="22" t="n">
        <v>603</v>
      </c>
      <c r="F18" s="22" t="n">
        <v>627</v>
      </c>
      <c r="G18" s="22" t="n">
        <v>652</v>
      </c>
      <c r="H18" s="23">
        <f>SLOPE(LN(E18:G18),LN(B18:D18))</f>
        <v/>
      </c>
      <c r="I18" s="27">
        <f>G18*((1+$B$5)^H18-1)</f>
        <v/>
      </c>
    </row>
    <row r="19">
      <c r="A19" s="53" t="inlineStr">
        <is>
          <t>Pigier Lyon</t>
        </is>
      </c>
      <c r="B19" s="25" t="n">
        <v>53439</v>
      </c>
      <c r="C19" s="25" t="n">
        <v>59953</v>
      </c>
      <c r="D19" s="25" t="n">
        <v>67261</v>
      </c>
      <c r="E19" s="22" t="n">
        <v>682</v>
      </c>
      <c r="F19" s="22" t="n">
        <v>710</v>
      </c>
      <c r="G19" s="22" t="n">
        <v>738</v>
      </c>
      <c r="H19" s="23">
        <f>SLOPE(LN(E19:G19),LN(B19:D19))</f>
        <v/>
      </c>
      <c r="I19" s="27">
        <f>G19*((1+$B$5)^H19-1)</f>
        <v/>
      </c>
    </row>
    <row r="20">
      <c r="A20" s="53" t="inlineStr">
        <is>
          <t>Tunon Lyon</t>
        </is>
      </c>
      <c r="B20" s="25" t="n">
        <v>20221</v>
      </c>
      <c r="C20" s="25" t="n">
        <v>21550</v>
      </c>
      <c r="D20" s="25" t="n">
        <v>22967</v>
      </c>
      <c r="E20" s="22" t="n">
        <v>242</v>
      </c>
      <c r="F20" s="22" t="n">
        <v>247</v>
      </c>
      <c r="G20" s="22" t="n">
        <v>252</v>
      </c>
      <c r="H20" s="23">
        <f>SLOPE(LN(E20:G20),LN(B20:D20))</f>
        <v/>
      </c>
      <c r="I20" s="27">
        <f>G20*((1+$B$5)^H20-1)</f>
        <v/>
      </c>
    </row>
    <row r="21">
      <c r="A21" s="53" t="inlineStr">
        <is>
          <t>Tunon Paris</t>
        </is>
      </c>
      <c r="B21" s="25" t="n">
        <v>19081</v>
      </c>
      <c r="C21" s="25" t="n">
        <v>20429</v>
      </c>
      <c r="D21" s="25" t="n">
        <v>21873</v>
      </c>
      <c r="E21" s="22" t="n">
        <v>231</v>
      </c>
      <c r="F21" s="22" t="n">
        <v>235</v>
      </c>
      <c r="G21" s="22" t="n">
        <v>240</v>
      </c>
      <c r="H21" s="23">
        <f>SLOPE(LN(E21:G21),LN(B21:D21))</f>
        <v/>
      </c>
      <c r="I21" s="27">
        <f>G21*((1+$B$5)^H21-1)</f>
        <v/>
      </c>
    </row>
    <row r="22">
      <c r="A22" s="49" t="inlineStr">
        <is>
          <t>GROUPE</t>
        </is>
      </c>
      <c r="B22" s="50" t="n"/>
      <c r="C22" s="50" t="n"/>
      <c r="D22" s="50" t="n"/>
      <c r="E22" s="50" t="n"/>
      <c r="F22" s="50" t="n"/>
      <c r="G22" s="50" t="n"/>
      <c r="H22" s="50" t="n"/>
      <c r="I22" s="51">
        <f>SUM(I8:I21)</f>
        <v/>
      </c>
    </row>
    <row r="25">
      <c r="A25" s="9" t="inlineStr">
        <is>
          <t>②  La preuve — back-test organique (calibré 24→25, prédit 2026)</t>
        </is>
      </c>
    </row>
    <row r="26">
      <c r="A26" s="40" t="inlineStr">
        <is>
          <t>Élasticité marque calculée sur 2024→2025 seulement, puis : organiques 2026 prédits = org.25 × (budget marque 26 ÷ budget marque 25) ^ élasticité(24→25).</t>
        </is>
      </c>
    </row>
    <row r="28">
      <c r="A28" s="10" t="inlineStr">
        <is>
          <t>Campus</t>
        </is>
      </c>
      <c r="B28" s="11" t="inlineStr">
        <is>
          <t>Org.24</t>
        </is>
      </c>
      <c r="C28" s="11" t="inlineStr">
        <is>
          <t>Org.25</t>
        </is>
      </c>
      <c r="D28" s="11" t="inlineStr">
        <is>
          <t>Bud.mq24</t>
        </is>
      </c>
      <c r="E28" s="11" t="inlineStr">
        <is>
          <t>Bud.mq25</t>
        </is>
      </c>
      <c r="F28" s="11" t="inlineStr">
        <is>
          <t>Bud.mq26</t>
        </is>
      </c>
      <c r="G28" s="11" t="inlineStr">
        <is>
          <t>Élast 24→25</t>
        </is>
      </c>
      <c r="H28" s="11" t="inlineStr">
        <is>
          <t>Org.26 prédit</t>
        </is>
      </c>
      <c r="I28" s="11" t="inlineStr">
        <is>
          <t>Org.26 réel</t>
        </is>
      </c>
      <c r="J28" s="11" t="inlineStr">
        <is>
          <t>Écart</t>
        </is>
      </c>
    </row>
    <row r="29">
      <c r="A29" s="53" t="inlineStr">
        <is>
          <t>Ipac Montpellier</t>
        </is>
      </c>
      <c r="B29" s="22" t="n">
        <v>217</v>
      </c>
      <c r="C29" s="22" t="n">
        <v>237</v>
      </c>
      <c r="D29" s="22" t="n">
        <v>13581</v>
      </c>
      <c r="E29" s="22" t="n">
        <v>17870</v>
      </c>
      <c r="F29" s="22" t="n">
        <v>23514</v>
      </c>
      <c r="G29" s="54">
        <f>LN(C29/B29)/LN(E29/D29)</f>
        <v/>
      </c>
      <c r="H29" s="55">
        <f>C29*(F29/E29)^G29</f>
        <v/>
      </c>
      <c r="I29" s="27" t="n">
        <v>258</v>
      </c>
      <c r="J29" s="56">
        <f>H29/I29-1</f>
        <v/>
      </c>
    </row>
    <row r="30">
      <c r="A30" s="53" t="inlineStr">
        <is>
          <t>Ipac Nantes</t>
        </is>
      </c>
      <c r="B30" s="22" t="n">
        <v>258</v>
      </c>
      <c r="C30" s="22" t="n">
        <v>281</v>
      </c>
      <c r="D30" s="22" t="n">
        <v>15937</v>
      </c>
      <c r="E30" s="22" t="n">
        <v>21082</v>
      </c>
      <c r="F30" s="22" t="n">
        <v>27889</v>
      </c>
      <c r="G30" s="54">
        <f>LN(C30/B30)/LN(E30/D30)</f>
        <v/>
      </c>
      <c r="H30" s="55">
        <f>C30*(F30/E30)^G30</f>
        <v/>
      </c>
      <c r="I30" s="27" t="n">
        <v>306</v>
      </c>
      <c r="J30" s="56">
        <f>H30/I30-1</f>
        <v/>
      </c>
    </row>
    <row r="31">
      <c r="A31" s="53" t="inlineStr">
        <is>
          <t>Ipac Rennes</t>
        </is>
      </c>
      <c r="B31" s="22" t="n">
        <v>223</v>
      </c>
      <c r="C31" s="22" t="n">
        <v>243</v>
      </c>
      <c r="D31" s="22" t="n">
        <v>14022</v>
      </c>
      <c r="E31" s="22" t="n">
        <v>18403</v>
      </c>
      <c r="F31" s="22" t="n">
        <v>24152</v>
      </c>
      <c r="G31" s="54">
        <f>LN(C31/B31)/LN(E31/D31)</f>
        <v/>
      </c>
      <c r="H31" s="55">
        <f>C31*(F31/E31)^G31</f>
        <v/>
      </c>
      <c r="I31" s="27" t="n">
        <v>265</v>
      </c>
      <c r="J31" s="56">
        <f>H31/I31-1</f>
        <v/>
      </c>
    </row>
    <row r="32">
      <c r="A32" s="53" t="inlineStr">
        <is>
          <t>Iscom Lille</t>
        </is>
      </c>
      <c r="B32" s="22" t="n">
        <v>594</v>
      </c>
      <c r="C32" s="22" t="n">
        <v>612</v>
      </c>
      <c r="D32" s="22" t="n">
        <v>48495</v>
      </c>
      <c r="E32" s="22" t="n">
        <v>52768</v>
      </c>
      <c r="F32" s="22" t="n">
        <v>57418</v>
      </c>
      <c r="G32" s="54">
        <f>LN(C32/B32)/LN(E32/D32)</f>
        <v/>
      </c>
      <c r="H32" s="55">
        <f>C32*(F32/E32)^G32</f>
        <v/>
      </c>
      <c r="I32" s="27" t="n">
        <v>630</v>
      </c>
      <c r="J32" s="56">
        <f>H32/I32-1</f>
        <v/>
      </c>
    </row>
    <row r="33">
      <c r="A33" s="53" t="inlineStr">
        <is>
          <t>Iscom Paris</t>
        </is>
      </c>
      <c r="B33" s="22" t="n">
        <v>650</v>
      </c>
      <c r="C33" s="22" t="n">
        <v>670</v>
      </c>
      <c r="D33" s="22" t="n">
        <v>52094</v>
      </c>
      <c r="E33" s="22" t="n">
        <v>57236</v>
      </c>
      <c r="F33" s="22" t="n">
        <v>62886</v>
      </c>
      <c r="G33" s="54">
        <f>LN(C33/B33)/LN(E33/D33)</f>
        <v/>
      </c>
      <c r="H33" s="55">
        <f>C33*(F33/E33)^G33</f>
        <v/>
      </c>
      <c r="I33" s="27" t="n">
        <v>690</v>
      </c>
      <c r="J33" s="56">
        <f>H33/I33-1</f>
        <v/>
      </c>
    </row>
    <row r="34">
      <c r="A34" s="53" t="inlineStr">
        <is>
          <t>Iscom Toulouse</t>
        </is>
      </c>
      <c r="B34" s="22" t="n">
        <v>570</v>
      </c>
      <c r="C34" s="22" t="n">
        <v>587</v>
      </c>
      <c r="D34" s="22" t="n">
        <v>46637</v>
      </c>
      <c r="E34" s="22" t="n">
        <v>50710</v>
      </c>
      <c r="F34" s="22" t="n">
        <v>55139</v>
      </c>
      <c r="G34" s="54">
        <f>LN(C34/B34)/LN(E34/D34)</f>
        <v/>
      </c>
      <c r="H34" s="55">
        <f>C34*(F34/E34)^G34</f>
        <v/>
      </c>
      <c r="I34" s="27" t="n">
        <v>605</v>
      </c>
      <c r="J34" s="56">
        <f>H34/I34-1</f>
        <v/>
      </c>
    </row>
    <row r="35">
      <c r="A35" s="53" t="inlineStr">
        <is>
          <t>MBway Bordeaux</t>
        </is>
      </c>
      <c r="B35" s="22" t="n">
        <v>550</v>
      </c>
      <c r="C35" s="22" t="n">
        <v>589</v>
      </c>
      <c r="D35" s="22" t="n">
        <v>38877</v>
      </c>
      <c r="E35" s="22" t="n">
        <v>47246</v>
      </c>
      <c r="F35" s="22" t="n">
        <v>57418</v>
      </c>
      <c r="G35" s="54">
        <f>LN(C35/B35)/LN(E35/D35)</f>
        <v/>
      </c>
      <c r="H35" s="55">
        <f>C35*(F35/E35)^G35</f>
        <v/>
      </c>
      <c r="I35" s="27" t="n">
        <v>630</v>
      </c>
      <c r="J35" s="56">
        <f>H35/I35-1</f>
        <v/>
      </c>
    </row>
    <row r="36">
      <c r="A36" s="53" t="inlineStr">
        <is>
          <t>MBway Lyon</t>
        </is>
      </c>
      <c r="B36" s="22" t="n">
        <v>626</v>
      </c>
      <c r="C36" s="22" t="n">
        <v>670</v>
      </c>
      <c r="D36" s="22" t="n">
        <v>43250</v>
      </c>
      <c r="E36" s="22" t="n">
        <v>53125</v>
      </c>
      <c r="F36" s="22" t="n">
        <v>65255</v>
      </c>
      <c r="G36" s="54">
        <f>LN(C36/B36)/LN(E36/D36)</f>
        <v/>
      </c>
      <c r="H36" s="55">
        <f>C36*(F36/E36)^G36</f>
        <v/>
      </c>
      <c r="I36" s="27" t="n">
        <v>716</v>
      </c>
      <c r="J36" s="56">
        <f>H36/I36-1</f>
        <v/>
      </c>
    </row>
    <row r="37">
      <c r="A37" s="53" t="inlineStr">
        <is>
          <t>MBway Nantes</t>
        </is>
      </c>
      <c r="B37" s="22" t="n">
        <v>636</v>
      </c>
      <c r="C37" s="22" t="n">
        <v>680</v>
      </c>
      <c r="D37" s="22" t="n">
        <v>44771</v>
      </c>
      <c r="E37" s="22" t="n">
        <v>54502</v>
      </c>
      <c r="F37" s="22" t="n">
        <v>66349</v>
      </c>
      <c r="G37" s="54">
        <f>LN(C37/B37)/LN(E37/D37)</f>
        <v/>
      </c>
      <c r="H37" s="55">
        <f>C37*(F37/E37)^G37</f>
        <v/>
      </c>
      <c r="I37" s="27" t="n">
        <v>728</v>
      </c>
      <c r="J37" s="56">
        <f>H37/I37-1</f>
        <v/>
      </c>
    </row>
    <row r="38">
      <c r="A38" s="53" t="inlineStr">
        <is>
          <t>MBway Paris</t>
        </is>
      </c>
      <c r="B38" s="22" t="n">
        <v>621</v>
      </c>
      <c r="C38" s="22" t="n">
        <v>665</v>
      </c>
      <c r="D38" s="22" t="n">
        <v>41761</v>
      </c>
      <c r="E38" s="22" t="n">
        <v>52020</v>
      </c>
      <c r="F38" s="22" t="n">
        <v>64800</v>
      </c>
      <c r="G38" s="54">
        <f>LN(C38/B38)/LN(E38/D38)</f>
        <v/>
      </c>
      <c r="H38" s="55">
        <f>C38*(F38/E38)^G38</f>
        <v/>
      </c>
      <c r="I38" s="27" t="n">
        <v>711</v>
      </c>
      <c r="J38" s="56">
        <f>H38/I38-1</f>
        <v/>
      </c>
    </row>
    <row r="39">
      <c r="A39" s="53" t="inlineStr">
        <is>
          <t>Pigier Bordeaux</t>
        </is>
      </c>
      <c r="B39" s="22" t="n">
        <v>603</v>
      </c>
      <c r="C39" s="22" t="n">
        <v>627</v>
      </c>
      <c r="D39" s="22" t="n">
        <v>47760</v>
      </c>
      <c r="E39" s="22" t="n">
        <v>53273</v>
      </c>
      <c r="F39" s="22" t="n">
        <v>59423</v>
      </c>
      <c r="G39" s="54">
        <f>LN(C39/B39)/LN(E39/D39)</f>
        <v/>
      </c>
      <c r="H39" s="55">
        <f>C39*(F39/E39)^G39</f>
        <v/>
      </c>
      <c r="I39" s="27" t="n">
        <v>652</v>
      </c>
      <c r="J39" s="56">
        <f>H39/I39-1</f>
        <v/>
      </c>
    </row>
    <row r="40">
      <c r="A40" s="53" t="inlineStr">
        <is>
          <t>Pigier Lyon</t>
        </is>
      </c>
      <c r="B40" s="22" t="n">
        <v>682</v>
      </c>
      <c r="C40" s="22" t="n">
        <v>710</v>
      </c>
      <c r="D40" s="22" t="n">
        <v>53439</v>
      </c>
      <c r="E40" s="22" t="n">
        <v>59953</v>
      </c>
      <c r="F40" s="22" t="n">
        <v>67261</v>
      </c>
      <c r="G40" s="54">
        <f>LN(C40/B40)/LN(E40/D40)</f>
        <v/>
      </c>
      <c r="H40" s="55">
        <f>C40*(F40/E40)^G40</f>
        <v/>
      </c>
      <c r="I40" s="27" t="n">
        <v>738</v>
      </c>
      <c r="J40" s="56">
        <f>H40/I40-1</f>
        <v/>
      </c>
    </row>
    <row r="41">
      <c r="A41" s="53" t="inlineStr">
        <is>
          <t>Tunon Lyon</t>
        </is>
      </c>
      <c r="B41" s="22" t="n">
        <v>242</v>
      </c>
      <c r="C41" s="22" t="n">
        <v>247</v>
      </c>
      <c r="D41" s="22" t="n">
        <v>20221</v>
      </c>
      <c r="E41" s="22" t="n">
        <v>21550</v>
      </c>
      <c r="F41" s="22" t="n">
        <v>22967</v>
      </c>
      <c r="G41" s="54">
        <f>LN(C41/B41)/LN(E41/D41)</f>
        <v/>
      </c>
      <c r="H41" s="55">
        <f>C41*(F41/E41)^G41</f>
        <v/>
      </c>
      <c r="I41" s="27" t="n">
        <v>252</v>
      </c>
      <c r="J41" s="56">
        <f>H41/I41-1</f>
        <v/>
      </c>
    </row>
    <row r="42">
      <c r="A42" s="53" t="inlineStr">
        <is>
          <t>Tunon Paris</t>
        </is>
      </c>
      <c r="B42" s="22" t="n">
        <v>231</v>
      </c>
      <c r="C42" s="22" t="n">
        <v>235</v>
      </c>
      <c r="D42" s="22" t="n">
        <v>19081</v>
      </c>
      <c r="E42" s="22" t="n">
        <v>20429</v>
      </c>
      <c r="F42" s="22" t="n">
        <v>21873</v>
      </c>
      <c r="G42" s="54">
        <f>LN(C42/B42)/LN(E42/D42)</f>
        <v/>
      </c>
      <c r="H42" s="55">
        <f>C42*(F42/E42)^G42</f>
        <v/>
      </c>
      <c r="I42" s="27" t="n">
        <v>240</v>
      </c>
      <c r="J42" s="56">
        <f>H42/I42-1</f>
        <v/>
      </c>
    </row>
    <row r="43">
      <c r="A43" s="49" t="inlineStr">
        <is>
          <t>GROUPE</t>
        </is>
      </c>
      <c r="B43" s="50" t="n"/>
      <c r="C43" s="50" t="n"/>
      <c r="D43" s="50" t="n"/>
      <c r="E43" s="50" t="n"/>
      <c r="F43" s="50" t="n"/>
      <c r="G43" s="50" t="n"/>
      <c r="H43" s="51">
        <f>SUM(H29:H42)</f>
        <v/>
      </c>
      <c r="I43" s="51">
        <f>SUM(I29:I42)</f>
        <v/>
      </c>
      <c r="J43" s="52">
        <f>H43/I43-1</f>
        <v/>
      </c>
    </row>
    <row r="45">
      <c r="A45" s="57" t="inlineStr">
        <is>
          <t>Le moteur retrouve aussi les organiques 2026 sans les avoir vus. Les deux leviers (acquisition + marque) alimentent le MÊME funnel → inscrits → CA.</t>
        </is>
      </c>
    </row>
    <row r="48">
      <c r="A48" s="58" t="inlineStr">
        <is>
          <t>◆ SPÉCIFICATION — pour reconstruire via une matrice Tagetik</t>
        </is>
      </c>
    </row>
    <row r="49">
      <c r="A49" s="59" t="inlineStr">
        <is>
          <t>Source (vue)</t>
        </is>
      </c>
      <c r="B49" s="60" t="inlineStr">
        <is>
          <t>V_CAMPAGNES (élasticité marque, réfs organiques)  +  socle AW_002_000002_000001</t>
        </is>
      </c>
    </row>
    <row r="50">
      <c r="A50" s="59" t="inlineStr">
        <is>
          <t>Dimensions</t>
        </is>
      </c>
      <c r="B50" s="60" t="inlineStr">
        <is>
          <t>ENTITY (campus) ▸ groupé par MARQUE</t>
        </is>
      </c>
    </row>
    <row r="51">
      <c r="A51" s="61" t="inlineStr">
        <is>
          <t>Membres des dimensions</t>
        </is>
      </c>
    </row>
    <row r="52">
      <c r="A52" s="62" t="inlineStr">
        <is>
          <t xml:space="preserve">   MARQUE</t>
        </is>
      </c>
      <c r="B52" s="63" t="inlineStr">
        <is>
          <t>MBWAY · ISCOM · IPAC · PIGIER · TUNON</t>
        </is>
      </c>
    </row>
    <row r="53">
      <c r="A53" s="62" t="inlineStr">
        <is>
          <t xml:space="preserve">   CAMPUS (ENTITY)</t>
        </is>
      </c>
      <c r="B53" s="63" t="inlineStr">
        <is>
          <t>MBWAY_BOR/LYO/NAN/PAR · ISCOM_LIL/PAR/TLS · IPAC_MTP/NAN/REN · PIGIER_BOR/LYO · TUNON_LYO/PAR   (14 campus)</t>
        </is>
      </c>
    </row>
    <row r="54">
      <c r="A54" s="59" t="inlineStr">
        <is>
          <t>Champs de la vue</t>
        </is>
      </c>
    </row>
    <row r="55">
      <c r="A55" s="64" t="inlineStr">
        <is>
          <t xml:space="preserve">   Budget de marque (Bud.mq 24/25/26)</t>
        </is>
      </c>
      <c r="B55" s="63" t="inlineStr">
        <is>
          <t>SPEND_BRAND_REF  (compte 6236, V_CAMPAGNES)</t>
        </is>
      </c>
    </row>
    <row r="56">
      <c r="A56" s="64" t="inlineStr">
        <is>
          <t xml:space="preserve">   Leads organiques (Org.24/25/26)</t>
        </is>
      </c>
      <c r="B56" s="63" t="inlineStr">
        <is>
          <t>ORG_REF  (V_CAMPAGNES)</t>
        </is>
      </c>
    </row>
    <row r="57">
      <c r="A57" s="64" t="inlineStr">
        <is>
          <t xml:space="preserve">   Élasticité marque</t>
        </is>
      </c>
      <c r="B57" s="63" t="inlineStr">
        <is>
          <t>REND_BRAND = régression 3 ans  =SLOPE(LN(organiques);LN(budget marque))</t>
        </is>
      </c>
    </row>
    <row r="58">
      <c r="A58" s="65" t="n"/>
      <c r="B58" s="6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H17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3" customWidth="1" min="4" max="4"/>
    <col width="12" customWidth="1" min="5" max="5"/>
    <col width="13" customWidth="1" min="6" max="6"/>
    <col width="9" customWidth="1" min="7" max="7"/>
  </cols>
  <sheetData>
    <row r="1">
      <c r="A1" s="66" t="inlineStr">
        <is>
          <t>RESTITUTION — P&amp;L chargé 2026 (avant / après allocation)</t>
        </is>
      </c>
    </row>
    <row r="2">
      <c r="A2" s="59" t="inlineStr">
        <is>
          <t>Source (vue)</t>
        </is>
      </c>
      <c r="B2" s="60" t="inlineStr">
        <is>
          <t>V_ALLOCATION  (Q_RAPPORT_ALLOUE)</t>
        </is>
      </c>
    </row>
    <row r="3">
      <c r="A3" s="59" t="inlineStr">
        <is>
          <t>Dimensions</t>
        </is>
      </c>
      <c r="B3" s="60" t="inlineStr">
        <is>
          <t>Marque ▸ Campus ▸ Programme ▸ Année ▸ Modalité   ·   EXERCICE = 2026</t>
        </is>
      </c>
    </row>
    <row r="4">
      <c r="A4" s="61" t="inlineStr">
        <is>
          <t>Membres des dimensions (matrice Tagetik)</t>
        </is>
      </c>
    </row>
    <row r="5">
      <c r="A5" s="62" t="inlineStr">
        <is>
          <t xml:space="preserve">   MARQUE</t>
        </is>
      </c>
      <c r="B5" s="63" t="inlineStr">
        <is>
          <t>MBWAY · ISCOM · IPAC · PIGIER · TUNON</t>
        </is>
      </c>
    </row>
    <row r="6">
      <c r="A6" s="62" t="inlineStr">
        <is>
          <t xml:space="preserve">   CAMPUS (ENTITY)</t>
        </is>
      </c>
      <c r="B6" s="63" t="inlineStr">
        <is>
          <t>MBWAY_BOR/LYO/NAN/PAR · ISCOM_LIL/PAR/TLS · IPAC_MTP/NAN/REN · PIGIER_BOR/LYO · TUNON_LYO/PAR   (14 campus)</t>
        </is>
      </c>
    </row>
    <row r="7">
      <c r="A7" s="62" t="inlineStr">
        <is>
          <t xml:space="preserve">   PROGRAMME</t>
        </is>
      </c>
      <c r="B7" s="63" t="inlineStr">
        <is>
          <t>BAC_CCE · BAC_COM · BAC_MGT · BAC_RH · BAC_TOU · BTS_GES · MAS_COM · MAS_MGT</t>
        </is>
      </c>
    </row>
    <row r="8">
      <c r="A8" s="62" t="inlineStr">
        <is>
          <t xml:space="preserve">   AN_ETUDE</t>
        </is>
      </c>
      <c r="B8" s="63" t="inlineStr">
        <is>
          <t>B1 · B2 · B3 · BTS1 · BTS2 · M1 · M2</t>
        </is>
      </c>
    </row>
    <row r="9">
      <c r="A9" s="62" t="inlineStr">
        <is>
          <t xml:space="preserve">   MODALITE</t>
        </is>
      </c>
      <c r="B9" s="63" t="inlineStr">
        <is>
          <t>INIT (Initial) · ALT (Alternance)</t>
        </is>
      </c>
    </row>
    <row r="10">
      <c r="A10" s="62" t="inlineStr">
        <is>
          <t xml:space="preserve">   EXERCICE</t>
        </is>
      </c>
      <c r="B10" s="63" t="inlineStr">
        <is>
          <t>2026</t>
        </is>
      </c>
    </row>
    <row r="11">
      <c r="A11" s="59" t="inlineStr">
        <is>
          <t>Mesures / comptes</t>
        </is>
      </c>
    </row>
    <row r="12">
      <c r="A12" s="64" t="inlineStr">
        <is>
          <t xml:space="preserve">   Effectif / CA</t>
        </is>
      </c>
      <c r="B12" s="63" t="inlineStr">
        <is>
          <t>VOL_EFF / (706+7062+708)</t>
        </is>
      </c>
    </row>
    <row r="13">
      <c r="A13" s="64" t="inlineStr">
        <is>
          <t xml:space="preserve">   EBITDA propre</t>
        </is>
      </c>
      <c r="B13" s="63" t="inlineStr">
        <is>
          <t>CA − (621+6411 + 604/6063/6231 + 6413/645/613/615/616/625/63511)</t>
        </is>
      </c>
    </row>
    <row r="14">
      <c r="A14" s="64" t="inlineStr">
        <is>
          <t xml:space="preserve">   Quote-part siège</t>
        </is>
      </c>
      <c r="B14" s="63" t="inlineStr">
        <is>
          <t>6236 + 6414/6226/626/6281/6331/6333  (= COST_SIEGE)</t>
        </is>
      </c>
    </row>
    <row r="15">
      <c r="A15" s="64" t="inlineStr">
        <is>
          <t xml:space="preserve">   EBITDA net</t>
        </is>
      </c>
      <c r="B15" s="63" t="inlineStr">
        <is>
          <t>CA − tous coûts  (= MARGE_COMPLETE ; 6811 exclu)</t>
        </is>
      </c>
    </row>
    <row r="16">
      <c r="A16" s="64" t="inlineStr">
        <is>
          <t xml:space="preserve">   Marge %</t>
        </is>
      </c>
      <c r="B16" s="63" t="inlineStr">
        <is>
          <t>EBITDA net ÷ CA  (membre calculé)</t>
        </is>
      </c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</row>
    <row r="18">
      <c r="A18" s="10" t="inlineStr">
        <is>
          <t>Marque ▸ Campus ▸ Programme ▸ Année ▸ Modalité</t>
        </is>
      </c>
      <c r="B18" s="11" t="inlineStr">
        <is>
          <t>Effectif</t>
        </is>
      </c>
      <c r="C18" s="11" t="inlineStr">
        <is>
          <t>CA</t>
        </is>
      </c>
      <c r="D18" s="11" t="inlineStr">
        <is>
          <t>EBITDA propre</t>
        </is>
      </c>
      <c r="E18" s="11" t="inlineStr">
        <is>
          <t>Q-part siège</t>
        </is>
      </c>
      <c r="F18" s="11" t="inlineStr">
        <is>
          <t>EBITDA net</t>
        </is>
      </c>
      <c r="G18" s="11" t="inlineStr">
        <is>
          <t>Marge %</t>
        </is>
      </c>
    </row>
    <row r="19">
      <c r="A19" s="68" t="inlineStr">
        <is>
          <t>MBway</t>
        </is>
      </c>
      <c r="B19" s="69" t="n">
        <v>1249</v>
      </c>
      <c r="C19" s="70" t="n">
        <v>9567455</v>
      </c>
      <c r="D19" s="70" t="n">
        <v>3176674</v>
      </c>
      <c r="E19" s="70" t="n">
        <v>1467998</v>
      </c>
      <c r="F19" s="71" t="n">
        <v>1708676</v>
      </c>
      <c r="G19" s="72" t="n">
        <v>0.1785925824284567</v>
      </c>
    </row>
    <row r="20" outlineLevel="1">
      <c r="A20" s="73" t="inlineStr">
        <is>
          <t>Bordeaux</t>
        </is>
      </c>
      <c r="B20" s="74" t="n">
        <v>249</v>
      </c>
      <c r="C20" s="75" t="n">
        <v>1773610</v>
      </c>
      <c r="D20" s="75" t="n">
        <v>655576</v>
      </c>
      <c r="E20" s="75" t="n">
        <v>272137</v>
      </c>
      <c r="F20" s="76" t="n">
        <v>383439</v>
      </c>
      <c r="G20" s="77" t="n">
        <v>0.2161914740917732</v>
      </c>
    </row>
    <row r="21" hidden="1" outlineLevel="2">
      <c r="A21" s="78" t="inlineStr">
        <is>
          <t>BAC_MGT</t>
        </is>
      </c>
      <c r="B21" s="79" t="n">
        <v>148</v>
      </c>
      <c r="C21" s="80" t="n">
        <v>1034245</v>
      </c>
      <c r="D21" s="80" t="n">
        <v>350802</v>
      </c>
      <c r="E21" s="80" t="n">
        <v>161752</v>
      </c>
      <c r="F21" s="81" t="n">
        <v>189050</v>
      </c>
      <c r="G21" s="82" t="n">
        <v>0.1827904309835726</v>
      </c>
    </row>
    <row r="22" hidden="1" outlineLevel="3">
      <c r="A22" s="83" t="inlineStr">
        <is>
          <t>B1</t>
        </is>
      </c>
      <c r="B22" s="79" t="n">
        <v>51</v>
      </c>
      <c r="C22" s="80" t="n">
        <v>375615</v>
      </c>
      <c r="D22" s="80" t="n">
        <v>121994</v>
      </c>
      <c r="E22" s="80" t="n">
        <v>55739</v>
      </c>
      <c r="F22" s="81" t="n">
        <v>66255</v>
      </c>
      <c r="G22" s="82" t="n">
        <v>0.1763900977877877</v>
      </c>
    </row>
    <row r="23" hidden="1" outlineLevel="4">
      <c r="A23" s="84" t="inlineStr">
        <is>
          <t>Initial</t>
        </is>
      </c>
      <c r="B23" s="79" t="n">
        <v>51</v>
      </c>
      <c r="C23" s="80" t="n">
        <v>375615</v>
      </c>
      <c r="D23" s="80" t="n">
        <v>121994</v>
      </c>
      <c r="E23" s="80" t="n">
        <v>55739</v>
      </c>
      <c r="F23" s="81" t="n">
        <v>66255</v>
      </c>
      <c r="G23" s="82" t="n">
        <v>0.1763900977877877</v>
      </c>
    </row>
    <row r="24" hidden="1" outlineLevel="3">
      <c r="A24" s="83" t="inlineStr">
        <is>
          <t>B2</t>
        </is>
      </c>
      <c r="B24" s="79" t="n">
        <v>49</v>
      </c>
      <c r="C24" s="80" t="n">
        <v>332710</v>
      </c>
      <c r="D24" s="80" t="n">
        <v>116372</v>
      </c>
      <c r="E24" s="80" t="n">
        <v>53553</v>
      </c>
      <c r="F24" s="81" t="n">
        <v>62819</v>
      </c>
      <c r="G24" s="82" t="n">
        <v>0.1888093005949026</v>
      </c>
    </row>
    <row r="25" hidden="1" outlineLevel="4">
      <c r="A25" s="84" t="inlineStr">
        <is>
          <t>Alternance</t>
        </is>
      </c>
      <c r="B25" s="79" t="n">
        <v>49</v>
      </c>
      <c r="C25" s="80" t="n">
        <v>332710</v>
      </c>
      <c r="D25" s="80" t="n">
        <v>116372</v>
      </c>
      <c r="E25" s="80" t="n">
        <v>53553</v>
      </c>
      <c r="F25" s="81" t="n">
        <v>62819</v>
      </c>
      <c r="G25" s="82" t="n">
        <v>0.1888093005949026</v>
      </c>
    </row>
    <row r="26" hidden="1" outlineLevel="3">
      <c r="A26" s="83" t="inlineStr">
        <is>
          <t>B3</t>
        </is>
      </c>
      <c r="B26" s="79" t="n">
        <v>48</v>
      </c>
      <c r="C26" s="80" t="n">
        <v>325920</v>
      </c>
      <c r="D26" s="80" t="n">
        <v>112437</v>
      </c>
      <c r="E26" s="80" t="n">
        <v>52460</v>
      </c>
      <c r="F26" s="81" t="n">
        <v>59977</v>
      </c>
      <c r="G26" s="82" t="n">
        <v>0.1840223990890867</v>
      </c>
    </row>
    <row r="27" hidden="1" outlineLevel="4">
      <c r="A27" s="84" t="inlineStr">
        <is>
          <t>Alternance</t>
        </is>
      </c>
      <c r="B27" s="79" t="n">
        <v>48</v>
      </c>
      <c r="C27" s="80" t="n">
        <v>325920</v>
      </c>
      <c r="D27" s="80" t="n">
        <v>112437</v>
      </c>
      <c r="E27" s="80" t="n">
        <v>52460</v>
      </c>
      <c r="F27" s="81" t="n">
        <v>59977</v>
      </c>
      <c r="G27" s="82" t="n">
        <v>0.1840223990890867</v>
      </c>
    </row>
    <row r="28" hidden="1" outlineLevel="2">
      <c r="A28" s="78" t="inlineStr">
        <is>
          <t>MAS_MGT</t>
        </is>
      </c>
      <c r="B28" s="79" t="n">
        <v>101</v>
      </c>
      <c r="C28" s="80" t="n">
        <v>739365</v>
      </c>
      <c r="D28" s="80" t="n">
        <v>304774</v>
      </c>
      <c r="E28" s="80" t="n">
        <v>110385</v>
      </c>
      <c r="F28" s="81" t="n">
        <v>194389</v>
      </c>
      <c r="G28" s="82" t="n">
        <v>0.2629138126247588</v>
      </c>
    </row>
    <row r="29" hidden="1" outlineLevel="3">
      <c r="A29" s="83" t="inlineStr">
        <is>
          <t>M1</t>
        </is>
      </c>
      <c r="B29" s="79" t="n">
        <v>51</v>
      </c>
      <c r="C29" s="80" t="n">
        <v>375615</v>
      </c>
      <c r="D29" s="80" t="n">
        <v>150661</v>
      </c>
      <c r="E29" s="80" t="n">
        <v>55739</v>
      </c>
      <c r="F29" s="81" t="n">
        <v>94922</v>
      </c>
      <c r="G29" s="82" t="n">
        <v>0.2527121296555245</v>
      </c>
    </row>
    <row r="30" hidden="1" outlineLevel="4">
      <c r="A30" s="84" t="inlineStr">
        <is>
          <t>Alternance</t>
        </is>
      </c>
      <c r="B30" s="79" t="n">
        <v>51</v>
      </c>
      <c r="C30" s="80" t="n">
        <v>375615</v>
      </c>
      <c r="D30" s="80" t="n">
        <v>150661</v>
      </c>
      <c r="E30" s="80" t="n">
        <v>55739</v>
      </c>
      <c r="F30" s="81" t="n">
        <v>94922</v>
      </c>
      <c r="G30" s="82" t="n">
        <v>0.2527121296555245</v>
      </c>
    </row>
    <row r="31" hidden="1" outlineLevel="3">
      <c r="A31" s="83" t="inlineStr">
        <is>
          <t>M2</t>
        </is>
      </c>
      <c r="B31" s="79" t="n">
        <v>50</v>
      </c>
      <c r="C31" s="80" t="n">
        <v>363750</v>
      </c>
      <c r="D31" s="80" t="n">
        <v>154113</v>
      </c>
      <c r="E31" s="80" t="n">
        <v>54646</v>
      </c>
      <c r="F31" s="81" t="n">
        <v>99467</v>
      </c>
      <c r="G31" s="82" t="n">
        <v>0.2734482597683709</v>
      </c>
    </row>
    <row r="32" hidden="1" outlineLevel="4">
      <c r="A32" s="84" t="inlineStr">
        <is>
          <t>Alternance</t>
        </is>
      </c>
      <c r="B32" s="79" t="n">
        <v>50</v>
      </c>
      <c r="C32" s="80" t="n">
        <v>363750</v>
      </c>
      <c r="D32" s="80" t="n">
        <v>154113</v>
      </c>
      <c r="E32" s="80" t="n">
        <v>54646</v>
      </c>
      <c r="F32" s="81" t="n">
        <v>99467</v>
      </c>
      <c r="G32" s="82" t="n">
        <v>0.2734482597683709</v>
      </c>
    </row>
    <row r="33" outlineLevel="1">
      <c r="A33" s="73" t="inlineStr">
        <is>
          <t>Lyon</t>
        </is>
      </c>
      <c r="B33" s="74" t="n">
        <v>324</v>
      </c>
      <c r="C33" s="75" t="n">
        <v>2496705</v>
      </c>
      <c r="D33" s="75" t="n">
        <v>956986</v>
      </c>
      <c r="E33" s="75" t="n">
        <v>383086</v>
      </c>
      <c r="F33" s="76" t="n">
        <v>573900</v>
      </c>
      <c r="G33" s="77" t="n">
        <v>0.2298630161977837</v>
      </c>
    </row>
    <row r="34" hidden="1" outlineLevel="2">
      <c r="A34" s="78" t="inlineStr">
        <is>
          <t>BAC_MGT</t>
        </is>
      </c>
      <c r="B34" s="79" t="n">
        <v>193</v>
      </c>
      <c r="C34" s="80" t="n">
        <v>1459140</v>
      </c>
      <c r="D34" s="80" t="n">
        <v>545713</v>
      </c>
      <c r="E34" s="80" t="n">
        <v>228196</v>
      </c>
      <c r="F34" s="81" t="n">
        <v>317517</v>
      </c>
      <c r="G34" s="82" t="n">
        <v>0.2176052657480825</v>
      </c>
    </row>
    <row r="35" hidden="1" outlineLevel="3">
      <c r="A35" s="83" t="inlineStr">
        <is>
          <t>B1</t>
        </is>
      </c>
      <c r="B35" s="79" t="n">
        <v>66</v>
      </c>
      <c r="C35" s="80" t="n">
        <v>525690</v>
      </c>
      <c r="D35" s="80" t="n">
        <v>155626</v>
      </c>
      <c r="E35" s="80" t="n">
        <v>78036</v>
      </c>
      <c r="F35" s="81" t="n">
        <v>77590</v>
      </c>
      <c r="G35" s="82" t="n">
        <v>0.1475958602703101</v>
      </c>
    </row>
    <row r="36" hidden="1" outlineLevel="4">
      <c r="A36" s="84" t="inlineStr">
        <is>
          <t>Initial</t>
        </is>
      </c>
      <c r="B36" s="79" t="n">
        <v>66</v>
      </c>
      <c r="C36" s="80" t="n">
        <v>525690</v>
      </c>
      <c r="D36" s="80" t="n">
        <v>155626</v>
      </c>
      <c r="E36" s="80" t="n">
        <v>78036</v>
      </c>
      <c r="F36" s="81" t="n">
        <v>77590</v>
      </c>
      <c r="G36" s="82" t="n">
        <v>0.1475958602703101</v>
      </c>
    </row>
    <row r="37" hidden="1" outlineLevel="3">
      <c r="A37" s="83" t="inlineStr">
        <is>
          <t>B2</t>
        </is>
      </c>
      <c r="B37" s="79" t="n">
        <v>64</v>
      </c>
      <c r="C37" s="80" t="n">
        <v>470400</v>
      </c>
      <c r="D37" s="80" t="n">
        <v>197209</v>
      </c>
      <c r="E37" s="80" t="n">
        <v>75671</v>
      </c>
      <c r="F37" s="81" t="n">
        <v>121537</v>
      </c>
      <c r="G37" s="82" t="n">
        <v>0.2583703984446492</v>
      </c>
    </row>
    <row r="38" hidden="1" outlineLevel="4">
      <c r="A38" s="84" t="inlineStr">
        <is>
          <t>Alternance</t>
        </is>
      </c>
      <c r="B38" s="79" t="n">
        <v>64</v>
      </c>
      <c r="C38" s="80" t="n">
        <v>470400</v>
      </c>
      <c r="D38" s="80" t="n">
        <v>197209</v>
      </c>
      <c r="E38" s="80" t="n">
        <v>75671</v>
      </c>
      <c r="F38" s="81" t="n">
        <v>121537</v>
      </c>
      <c r="G38" s="82" t="n">
        <v>0.2583703984446492</v>
      </c>
    </row>
    <row r="39" hidden="1" outlineLevel="3">
      <c r="A39" s="83" t="inlineStr">
        <is>
          <t>B3</t>
        </is>
      </c>
      <c r="B39" s="79" t="n">
        <v>63</v>
      </c>
      <c r="C39" s="80" t="n">
        <v>463050</v>
      </c>
      <c r="D39" s="80" t="n">
        <v>192878</v>
      </c>
      <c r="E39" s="80" t="n">
        <v>74489</v>
      </c>
      <c r="F39" s="81" t="n">
        <v>118389</v>
      </c>
      <c r="G39" s="82" t="n">
        <v>0.2556731330305471</v>
      </c>
    </row>
    <row r="40" hidden="1" outlineLevel="4">
      <c r="A40" s="84" t="inlineStr">
        <is>
          <t>Alternance</t>
        </is>
      </c>
      <c r="B40" s="79" t="n">
        <v>63</v>
      </c>
      <c r="C40" s="80" t="n">
        <v>463050</v>
      </c>
      <c r="D40" s="80" t="n">
        <v>192878</v>
      </c>
      <c r="E40" s="80" t="n">
        <v>74489</v>
      </c>
      <c r="F40" s="81" t="n">
        <v>118389</v>
      </c>
      <c r="G40" s="82" t="n">
        <v>0.2556731330305471</v>
      </c>
    </row>
    <row r="41" hidden="1" outlineLevel="2">
      <c r="A41" s="78" t="inlineStr">
        <is>
          <t>MAS_MGT</t>
        </is>
      </c>
      <c r="B41" s="79" t="n">
        <v>131</v>
      </c>
      <c r="C41" s="80" t="n">
        <v>1037565</v>
      </c>
      <c r="D41" s="80" t="n">
        <v>411273</v>
      </c>
      <c r="E41" s="80" t="n">
        <v>154890</v>
      </c>
      <c r="F41" s="81" t="n">
        <v>256384</v>
      </c>
      <c r="G41" s="82" t="n">
        <v>0.2471012364453605</v>
      </c>
    </row>
    <row r="42" hidden="1" outlineLevel="3">
      <c r="A42" s="83" t="inlineStr">
        <is>
          <t>M1</t>
        </is>
      </c>
      <c r="B42" s="79" t="n">
        <v>66</v>
      </c>
      <c r="C42" s="80" t="n">
        <v>525690</v>
      </c>
      <c r="D42" s="80" t="n">
        <v>200589</v>
      </c>
      <c r="E42" s="80" t="n">
        <v>78036</v>
      </c>
      <c r="F42" s="81" t="n">
        <v>122553</v>
      </c>
      <c r="G42" s="82" t="n">
        <v>0.2331270193184183</v>
      </c>
    </row>
    <row r="43" hidden="1" outlineLevel="4">
      <c r="A43" s="84" t="inlineStr">
        <is>
          <t>Alternance</t>
        </is>
      </c>
      <c r="B43" s="79" t="n">
        <v>66</v>
      </c>
      <c r="C43" s="80" t="n">
        <v>525690</v>
      </c>
      <c r="D43" s="80" t="n">
        <v>200589</v>
      </c>
      <c r="E43" s="80" t="n">
        <v>78036</v>
      </c>
      <c r="F43" s="81" t="n">
        <v>122553</v>
      </c>
      <c r="G43" s="82" t="n">
        <v>0.2331270193184183</v>
      </c>
    </row>
    <row r="44" hidden="1" outlineLevel="3">
      <c r="A44" s="83" t="inlineStr">
        <is>
          <t>M2</t>
        </is>
      </c>
      <c r="B44" s="79" t="n">
        <v>65</v>
      </c>
      <c r="C44" s="80" t="n">
        <v>511875</v>
      </c>
      <c r="D44" s="80" t="n">
        <v>210685</v>
      </c>
      <c r="E44" s="80" t="n">
        <v>76854</v>
      </c>
      <c r="F44" s="81" t="n">
        <v>133831</v>
      </c>
      <c r="G44" s="82" t="n">
        <v>0.2614526038719046</v>
      </c>
    </row>
    <row r="45" hidden="1" outlineLevel="4">
      <c r="A45" s="84" t="inlineStr">
        <is>
          <t>Alternance</t>
        </is>
      </c>
      <c r="B45" s="79" t="n">
        <v>65</v>
      </c>
      <c r="C45" s="80" t="n">
        <v>511875</v>
      </c>
      <c r="D45" s="80" t="n">
        <v>210685</v>
      </c>
      <c r="E45" s="80" t="n">
        <v>76854</v>
      </c>
      <c r="F45" s="81" t="n">
        <v>133831</v>
      </c>
      <c r="G45" s="82" t="n">
        <v>0.2614526038719046</v>
      </c>
    </row>
    <row r="46" outlineLevel="1">
      <c r="A46" s="73" t="inlineStr">
        <is>
          <t>Nantes</t>
        </is>
      </c>
      <c r="B46" s="74" t="n">
        <v>294</v>
      </c>
      <c r="C46" s="75" t="n">
        <v>2158300</v>
      </c>
      <c r="D46" s="75" t="n">
        <v>874770</v>
      </c>
      <c r="E46" s="75" t="n">
        <v>331162</v>
      </c>
      <c r="F46" s="76" t="n">
        <v>543608</v>
      </c>
      <c r="G46" s="77" t="n">
        <v>0.2518685285767535</v>
      </c>
    </row>
    <row r="47" hidden="1" outlineLevel="2">
      <c r="A47" s="78" t="inlineStr">
        <is>
          <t>BAC_MGT</t>
        </is>
      </c>
      <c r="B47" s="79" t="n">
        <v>175</v>
      </c>
      <c r="C47" s="80" t="n">
        <v>1260400</v>
      </c>
      <c r="D47" s="80" t="n">
        <v>518055</v>
      </c>
      <c r="E47" s="80" t="n">
        <v>197120</v>
      </c>
      <c r="F47" s="81" t="n">
        <v>320935</v>
      </c>
      <c r="G47" s="82" t="n">
        <v>0.254629182121454</v>
      </c>
    </row>
    <row r="48" hidden="1" outlineLevel="3">
      <c r="A48" s="83" t="inlineStr">
        <is>
          <t>B1</t>
        </is>
      </c>
      <c r="B48" s="79" t="n">
        <v>60</v>
      </c>
      <c r="C48" s="80" t="n">
        <v>455400</v>
      </c>
      <c r="D48" s="80" t="n">
        <v>180270</v>
      </c>
      <c r="E48" s="80" t="n">
        <v>67584</v>
      </c>
      <c r="F48" s="81" t="n">
        <v>112686</v>
      </c>
      <c r="G48" s="82" t="n">
        <v>0.2474444722449507</v>
      </c>
    </row>
    <row r="49" hidden="1" outlineLevel="4">
      <c r="A49" s="84" t="inlineStr">
        <is>
          <t>Initial</t>
        </is>
      </c>
      <c r="B49" s="79" t="n">
        <v>60</v>
      </c>
      <c r="C49" s="80" t="n">
        <v>455400</v>
      </c>
      <c r="D49" s="80" t="n">
        <v>180270</v>
      </c>
      <c r="E49" s="80" t="n">
        <v>67584</v>
      </c>
      <c r="F49" s="81" t="n">
        <v>112686</v>
      </c>
      <c r="G49" s="82" t="n">
        <v>0.2474444722449507</v>
      </c>
    </row>
    <row r="50" hidden="1" outlineLevel="3">
      <c r="A50" s="83" t="inlineStr">
        <is>
          <t>B2</t>
        </is>
      </c>
      <c r="B50" s="79" t="n">
        <v>58</v>
      </c>
      <c r="C50" s="80" t="n">
        <v>406000</v>
      </c>
      <c r="D50" s="80" t="n">
        <v>171018</v>
      </c>
      <c r="E50" s="80" t="n">
        <v>65331</v>
      </c>
      <c r="F50" s="81" t="n">
        <v>105686</v>
      </c>
      <c r="G50" s="82" t="n">
        <v>0.2603113708487192</v>
      </c>
    </row>
    <row r="51" hidden="1" outlineLevel="4">
      <c r="A51" s="84" t="inlineStr">
        <is>
          <t>Alternance</t>
        </is>
      </c>
      <c r="B51" s="79" t="n">
        <v>58</v>
      </c>
      <c r="C51" s="80" t="n">
        <v>406000</v>
      </c>
      <c r="D51" s="80" t="n">
        <v>171018</v>
      </c>
      <c r="E51" s="80" t="n">
        <v>65331</v>
      </c>
      <c r="F51" s="81" t="n">
        <v>105686</v>
      </c>
      <c r="G51" s="82" t="n">
        <v>0.2603113708487192</v>
      </c>
    </row>
    <row r="52" hidden="1" outlineLevel="3">
      <c r="A52" s="83" t="inlineStr">
        <is>
          <t>B3</t>
        </is>
      </c>
      <c r="B52" s="79" t="n">
        <v>57</v>
      </c>
      <c r="C52" s="80" t="n">
        <v>399000</v>
      </c>
      <c r="D52" s="80" t="n">
        <v>166767</v>
      </c>
      <c r="E52" s="80" t="n">
        <v>64205</v>
      </c>
      <c r="F52" s="81" t="n">
        <v>102562</v>
      </c>
      <c r="G52" s="82" t="n">
        <v>0.2570475987993735</v>
      </c>
    </row>
    <row r="53" hidden="1" outlineLevel="4">
      <c r="A53" s="84" t="inlineStr">
        <is>
          <t>Alternance</t>
        </is>
      </c>
      <c r="B53" s="79" t="n">
        <v>57</v>
      </c>
      <c r="C53" s="80" t="n">
        <v>399000</v>
      </c>
      <c r="D53" s="80" t="n">
        <v>166767</v>
      </c>
      <c r="E53" s="80" t="n">
        <v>64205</v>
      </c>
      <c r="F53" s="81" t="n">
        <v>102562</v>
      </c>
      <c r="G53" s="82" t="n">
        <v>0.2570475987993735</v>
      </c>
    </row>
    <row r="54" hidden="1" outlineLevel="2">
      <c r="A54" s="78" t="inlineStr">
        <is>
          <t>MAS_MGT</t>
        </is>
      </c>
      <c r="B54" s="79" t="n">
        <v>119</v>
      </c>
      <c r="C54" s="80" t="n">
        <v>897900</v>
      </c>
      <c r="D54" s="80" t="n">
        <v>356715</v>
      </c>
      <c r="E54" s="80" t="n">
        <v>134042</v>
      </c>
      <c r="F54" s="81" t="n">
        <v>222673</v>
      </c>
      <c r="G54" s="82" t="n">
        <v>0.247993344561005</v>
      </c>
    </row>
    <row r="55" hidden="1" outlineLevel="3">
      <c r="A55" s="83" t="inlineStr">
        <is>
          <t>M1</t>
        </is>
      </c>
      <c r="B55" s="79" t="n">
        <v>60</v>
      </c>
      <c r="C55" s="80" t="n">
        <v>455400</v>
      </c>
      <c r="D55" s="80" t="n">
        <v>175550</v>
      </c>
      <c r="E55" s="80" t="n">
        <v>67584</v>
      </c>
      <c r="F55" s="81" t="n">
        <v>107966</v>
      </c>
      <c r="G55" s="82" t="n">
        <v>0.2370785559123368</v>
      </c>
    </row>
    <row r="56" hidden="1" outlineLevel="4">
      <c r="A56" s="84" t="inlineStr">
        <is>
          <t>Alternance</t>
        </is>
      </c>
      <c r="B56" s="79" t="n">
        <v>60</v>
      </c>
      <c r="C56" s="80" t="n">
        <v>455400</v>
      </c>
      <c r="D56" s="80" t="n">
        <v>175550</v>
      </c>
      <c r="E56" s="80" t="n">
        <v>67584</v>
      </c>
      <c r="F56" s="81" t="n">
        <v>107966</v>
      </c>
      <c r="G56" s="82" t="n">
        <v>0.2370785559123368</v>
      </c>
    </row>
    <row r="57" hidden="1" outlineLevel="3">
      <c r="A57" s="83" t="inlineStr">
        <is>
          <t>M2</t>
        </is>
      </c>
      <c r="B57" s="79" t="n">
        <v>59</v>
      </c>
      <c r="C57" s="80" t="n">
        <v>442500</v>
      </c>
      <c r="D57" s="80" t="n">
        <v>181165</v>
      </c>
      <c r="E57" s="80" t="n">
        <v>66458</v>
      </c>
      <c r="F57" s="81" t="n">
        <v>114708</v>
      </c>
      <c r="G57" s="82" t="n">
        <v>0.2592263270482446</v>
      </c>
    </row>
    <row r="58" hidden="1" outlineLevel="4">
      <c r="A58" s="84" t="inlineStr">
        <is>
          <t>Alternance</t>
        </is>
      </c>
      <c r="B58" s="79" t="n">
        <v>59</v>
      </c>
      <c r="C58" s="80" t="n">
        <v>442500</v>
      </c>
      <c r="D58" s="80" t="n">
        <v>181165</v>
      </c>
      <c r="E58" s="80" t="n">
        <v>66458</v>
      </c>
      <c r="F58" s="81" t="n">
        <v>114708</v>
      </c>
      <c r="G58" s="82" t="n">
        <v>0.2592263270482446</v>
      </c>
    </row>
    <row r="59" outlineLevel="1">
      <c r="A59" s="73" t="inlineStr">
        <is>
          <t>Paris</t>
        </is>
      </c>
      <c r="B59" s="74" t="n">
        <v>382</v>
      </c>
      <c r="C59" s="75" t="n">
        <v>3138840</v>
      </c>
      <c r="D59" s="75" t="n">
        <v>689342</v>
      </c>
      <c r="E59" s="75" t="n">
        <v>481613</v>
      </c>
      <c r="F59" s="76" t="n">
        <v>207729</v>
      </c>
      <c r="G59" s="77" t="n">
        <v>0.06618022845090719</v>
      </c>
    </row>
    <row r="60" hidden="1" outlineLevel="2">
      <c r="A60" s="78" t="inlineStr">
        <is>
          <t>BAC_MGT</t>
        </is>
      </c>
      <c r="B60" s="79" t="n">
        <v>228</v>
      </c>
      <c r="C60" s="80" t="n">
        <v>1838220</v>
      </c>
      <c r="D60" s="80" t="n">
        <v>341046</v>
      </c>
      <c r="E60" s="80" t="n">
        <v>287455</v>
      </c>
      <c r="F60" s="85" t="n">
        <v>53591</v>
      </c>
      <c r="G60" s="86" t="n">
        <v>0.02915369245173039</v>
      </c>
    </row>
    <row r="61" hidden="1" outlineLevel="3">
      <c r="A61" s="83" t="inlineStr">
        <is>
          <t>B1</t>
        </is>
      </c>
      <c r="B61" s="79" t="n">
        <v>78</v>
      </c>
      <c r="C61" s="80" t="n">
        <v>662220</v>
      </c>
      <c r="D61" s="80" t="n">
        <v>105838</v>
      </c>
      <c r="E61" s="80" t="n">
        <v>98340</v>
      </c>
      <c r="F61" s="85" t="n">
        <v>7498</v>
      </c>
      <c r="G61" s="86" t="n">
        <v>0.01132289503893838</v>
      </c>
    </row>
    <row r="62" hidden="1" outlineLevel="4">
      <c r="A62" s="84" t="inlineStr">
        <is>
          <t>Initial</t>
        </is>
      </c>
      <c r="B62" s="79" t="n">
        <v>78</v>
      </c>
      <c r="C62" s="80" t="n">
        <v>662220</v>
      </c>
      <c r="D62" s="80" t="n">
        <v>105838</v>
      </c>
      <c r="E62" s="80" t="n">
        <v>98340</v>
      </c>
      <c r="F62" s="85" t="n">
        <v>7498</v>
      </c>
      <c r="G62" s="86" t="n">
        <v>0.01132289503893838</v>
      </c>
    </row>
    <row r="63" hidden="1" outlineLevel="3">
      <c r="A63" s="83" t="inlineStr">
        <is>
          <t>B2</t>
        </is>
      </c>
      <c r="B63" s="79" t="n">
        <v>76</v>
      </c>
      <c r="C63" s="80" t="n">
        <v>595840</v>
      </c>
      <c r="D63" s="80" t="n">
        <v>121269</v>
      </c>
      <c r="E63" s="80" t="n">
        <v>95818</v>
      </c>
      <c r="F63" s="85" t="n">
        <v>25450</v>
      </c>
      <c r="G63" s="86" t="n">
        <v>0.04271348043021603</v>
      </c>
    </row>
    <row r="64" hidden="1" outlineLevel="4">
      <c r="A64" s="84" t="inlineStr">
        <is>
          <t>Alternance</t>
        </is>
      </c>
      <c r="B64" s="79" t="n">
        <v>76</v>
      </c>
      <c r="C64" s="80" t="n">
        <v>595840</v>
      </c>
      <c r="D64" s="80" t="n">
        <v>121269</v>
      </c>
      <c r="E64" s="80" t="n">
        <v>95818</v>
      </c>
      <c r="F64" s="85" t="n">
        <v>25450</v>
      </c>
      <c r="G64" s="86" t="n">
        <v>0.04271348043021603</v>
      </c>
    </row>
    <row r="65" hidden="1" outlineLevel="3">
      <c r="A65" s="83" t="inlineStr">
        <is>
          <t>B3</t>
        </is>
      </c>
      <c r="B65" s="79" t="n">
        <v>74</v>
      </c>
      <c r="C65" s="80" t="n">
        <v>580160</v>
      </c>
      <c r="D65" s="80" t="n">
        <v>113939</v>
      </c>
      <c r="E65" s="80" t="n">
        <v>93297</v>
      </c>
      <c r="F65" s="85" t="n">
        <v>20642</v>
      </c>
      <c r="G65" s="86" t="n">
        <v>0.03558027579701142</v>
      </c>
    </row>
    <row r="66" hidden="1" outlineLevel="4">
      <c r="A66" s="84" t="inlineStr">
        <is>
          <t>Alternance</t>
        </is>
      </c>
      <c r="B66" s="79" t="n">
        <v>74</v>
      </c>
      <c r="C66" s="80" t="n">
        <v>580160</v>
      </c>
      <c r="D66" s="80" t="n">
        <v>113939</v>
      </c>
      <c r="E66" s="80" t="n">
        <v>93297</v>
      </c>
      <c r="F66" s="85" t="n">
        <v>20642</v>
      </c>
      <c r="G66" s="86" t="n">
        <v>0.03558027579701142</v>
      </c>
    </row>
    <row r="67" hidden="1" outlineLevel="2">
      <c r="A67" s="78" t="inlineStr">
        <is>
          <t>MAS_MGT</t>
        </is>
      </c>
      <c r="B67" s="79" t="n">
        <v>154</v>
      </c>
      <c r="C67" s="80" t="n">
        <v>1300620</v>
      </c>
      <c r="D67" s="80" t="n">
        <v>348296</v>
      </c>
      <c r="E67" s="80" t="n">
        <v>194158</v>
      </c>
      <c r="F67" s="81" t="n">
        <v>154138</v>
      </c>
      <c r="G67" s="82" t="n">
        <v>0.1185113620674953</v>
      </c>
    </row>
    <row r="68" hidden="1" outlineLevel="3">
      <c r="A68" s="83" t="inlineStr">
        <is>
          <t>M1</t>
        </is>
      </c>
      <c r="B68" s="79" t="n">
        <v>78</v>
      </c>
      <c r="C68" s="80" t="n">
        <v>662220</v>
      </c>
      <c r="D68" s="80" t="n">
        <v>164810</v>
      </c>
      <c r="E68" s="80" t="n">
        <v>98340</v>
      </c>
      <c r="F68" s="81" t="n">
        <v>66470</v>
      </c>
      <c r="G68" s="82" t="n">
        <v>0.1003751737378601</v>
      </c>
    </row>
    <row r="69" hidden="1" outlineLevel="4">
      <c r="A69" s="84" t="inlineStr">
        <is>
          <t>Alternance</t>
        </is>
      </c>
      <c r="B69" s="79" t="n">
        <v>78</v>
      </c>
      <c r="C69" s="80" t="n">
        <v>662220</v>
      </c>
      <c r="D69" s="80" t="n">
        <v>164810</v>
      </c>
      <c r="E69" s="80" t="n">
        <v>98340</v>
      </c>
      <c r="F69" s="81" t="n">
        <v>66470</v>
      </c>
      <c r="G69" s="82" t="n">
        <v>0.1003751737378601</v>
      </c>
    </row>
    <row r="70" hidden="1" outlineLevel="3">
      <c r="A70" s="83" t="inlineStr">
        <is>
          <t>M2</t>
        </is>
      </c>
      <c r="B70" s="79" t="n">
        <v>76</v>
      </c>
      <c r="C70" s="80" t="n">
        <v>638400</v>
      </c>
      <c r="D70" s="80" t="n">
        <v>183486</v>
      </c>
      <c r="E70" s="80" t="n">
        <v>95818</v>
      </c>
      <c r="F70" s="81" t="n">
        <v>87668</v>
      </c>
      <c r="G70" s="82" t="n">
        <v>0.137324248401535</v>
      </c>
    </row>
    <row r="71" hidden="1" outlineLevel="4">
      <c r="A71" s="84" t="inlineStr">
        <is>
          <t>Alternance</t>
        </is>
      </c>
      <c r="B71" s="79" t="n">
        <v>76</v>
      </c>
      <c r="C71" s="80" t="n">
        <v>638400</v>
      </c>
      <c r="D71" s="80" t="n">
        <v>183486</v>
      </c>
      <c r="E71" s="80" t="n">
        <v>95818</v>
      </c>
      <c r="F71" s="81" t="n">
        <v>87668</v>
      </c>
      <c r="G71" s="82" t="n">
        <v>0.137324248401535</v>
      </c>
    </row>
    <row r="72">
      <c r="A72" s="68" t="inlineStr">
        <is>
          <t>Iscom</t>
        </is>
      </c>
      <c r="B72" s="69" t="n">
        <v>829</v>
      </c>
      <c r="C72" s="70" t="n">
        <v>6292550</v>
      </c>
      <c r="D72" s="70" t="n">
        <v>1976427</v>
      </c>
      <c r="E72" s="70" t="n">
        <v>974355</v>
      </c>
      <c r="F72" s="71" t="n">
        <v>1002072</v>
      </c>
      <c r="G72" s="72" t="n">
        <v>0.1592472957412916</v>
      </c>
    </row>
    <row r="73" outlineLevel="1">
      <c r="A73" s="73" t="inlineStr">
        <is>
          <t>Lille</t>
        </is>
      </c>
      <c r="B73" s="74" t="n">
        <v>244</v>
      </c>
      <c r="C73" s="75" t="n">
        <v>1755850</v>
      </c>
      <c r="D73" s="75" t="n">
        <v>755658</v>
      </c>
      <c r="E73" s="75" t="n">
        <v>271881</v>
      </c>
      <c r="F73" s="76" t="n">
        <v>483777</v>
      </c>
      <c r="G73" s="77" t="n">
        <v>0.2755232200694355</v>
      </c>
    </row>
    <row r="74" hidden="1" outlineLevel="2">
      <c r="A74" s="78" t="inlineStr">
        <is>
          <t>BAC_COM</t>
        </is>
      </c>
      <c r="B74" s="79" t="n">
        <v>145</v>
      </c>
      <c r="C74" s="80" t="n">
        <v>1023700</v>
      </c>
      <c r="D74" s="80" t="n">
        <v>412201</v>
      </c>
      <c r="E74" s="80" t="n">
        <v>161568</v>
      </c>
      <c r="F74" s="81" t="n">
        <v>250632</v>
      </c>
      <c r="G74" s="82" t="n">
        <v>0.2448297371317927</v>
      </c>
    </row>
    <row r="75" hidden="1" outlineLevel="3">
      <c r="A75" s="83" t="inlineStr">
        <is>
          <t>B1</t>
        </is>
      </c>
      <c r="B75" s="79" t="n">
        <v>50</v>
      </c>
      <c r="C75" s="80" t="n">
        <v>372000</v>
      </c>
      <c r="D75" s="80" t="n">
        <v>143828</v>
      </c>
      <c r="E75" s="80" t="n">
        <v>55713</v>
      </c>
      <c r="F75" s="81" t="n">
        <v>88115</v>
      </c>
      <c r="G75" s="82" t="n">
        <v>0.2368685362456584</v>
      </c>
    </row>
    <row r="76" hidden="1" outlineLevel="4">
      <c r="A76" s="84" t="inlineStr">
        <is>
          <t>Initial</t>
        </is>
      </c>
      <c r="B76" s="79" t="n">
        <v>50</v>
      </c>
      <c r="C76" s="80" t="n">
        <v>372000</v>
      </c>
      <c r="D76" s="80" t="n">
        <v>143828</v>
      </c>
      <c r="E76" s="80" t="n">
        <v>55713</v>
      </c>
      <c r="F76" s="81" t="n">
        <v>88115</v>
      </c>
      <c r="G76" s="82" t="n">
        <v>0.2368685362456584</v>
      </c>
    </row>
    <row r="77" hidden="1" outlineLevel="3">
      <c r="A77" s="83" t="inlineStr">
        <is>
          <t>B2</t>
        </is>
      </c>
      <c r="B77" s="79" t="n">
        <v>48</v>
      </c>
      <c r="C77" s="80" t="n">
        <v>329280</v>
      </c>
      <c r="D77" s="80" t="n">
        <v>136335</v>
      </c>
      <c r="E77" s="80" t="n">
        <v>53485</v>
      </c>
      <c r="F77" s="81" t="n">
        <v>82850</v>
      </c>
      <c r="G77" s="82" t="n">
        <v>0.2516109440720648</v>
      </c>
    </row>
    <row r="78" hidden="1" outlineLevel="4">
      <c r="A78" s="84" t="inlineStr">
        <is>
          <t>Alternance</t>
        </is>
      </c>
      <c r="B78" s="79" t="n">
        <v>48</v>
      </c>
      <c r="C78" s="80" t="n">
        <v>329280</v>
      </c>
      <c r="D78" s="80" t="n">
        <v>136335</v>
      </c>
      <c r="E78" s="80" t="n">
        <v>53485</v>
      </c>
      <c r="F78" s="81" t="n">
        <v>82850</v>
      </c>
      <c r="G78" s="82" t="n">
        <v>0.2516109440720648</v>
      </c>
    </row>
    <row r="79" hidden="1" outlineLevel="3">
      <c r="A79" s="83" t="inlineStr">
        <is>
          <t>B3</t>
        </is>
      </c>
      <c r="B79" s="79" t="n">
        <v>47</v>
      </c>
      <c r="C79" s="80" t="n">
        <v>322420</v>
      </c>
      <c r="D79" s="80" t="n">
        <v>132037</v>
      </c>
      <c r="E79" s="80" t="n">
        <v>52370</v>
      </c>
      <c r="F79" s="81" t="n">
        <v>79667</v>
      </c>
      <c r="G79" s="82" t="n">
        <v>0.2470896803994225</v>
      </c>
    </row>
    <row r="80" hidden="1" outlineLevel="4">
      <c r="A80" s="84" t="inlineStr">
        <is>
          <t>Alternance</t>
        </is>
      </c>
      <c r="B80" s="79" t="n">
        <v>47</v>
      </c>
      <c r="C80" s="80" t="n">
        <v>322420</v>
      </c>
      <c r="D80" s="80" t="n">
        <v>132037</v>
      </c>
      <c r="E80" s="80" t="n">
        <v>52370</v>
      </c>
      <c r="F80" s="81" t="n">
        <v>79667</v>
      </c>
      <c r="G80" s="82" t="n">
        <v>0.2470896803994225</v>
      </c>
    </row>
    <row r="81" hidden="1" outlineLevel="2">
      <c r="A81" s="78" t="inlineStr">
        <is>
          <t>MAS_COM</t>
        </is>
      </c>
      <c r="B81" s="79" t="n">
        <v>99</v>
      </c>
      <c r="C81" s="80" t="n">
        <v>732150</v>
      </c>
      <c r="D81" s="80" t="n">
        <v>343457</v>
      </c>
      <c r="E81" s="80" t="n">
        <v>110312</v>
      </c>
      <c r="F81" s="81" t="n">
        <v>233145</v>
      </c>
      <c r="G81" s="82" t="n">
        <v>0.3184391778421117</v>
      </c>
    </row>
    <row r="82" hidden="1" outlineLevel="3">
      <c r="A82" s="83" t="inlineStr">
        <is>
          <t>M1</t>
        </is>
      </c>
      <c r="B82" s="79" t="n">
        <v>50</v>
      </c>
      <c r="C82" s="80" t="n">
        <v>372000</v>
      </c>
      <c r="D82" s="80" t="n">
        <v>170068</v>
      </c>
      <c r="E82" s="80" t="n">
        <v>55713</v>
      </c>
      <c r="F82" s="81" t="n">
        <v>114355</v>
      </c>
      <c r="G82" s="82" t="n">
        <v>0.3074046249553358</v>
      </c>
    </row>
    <row r="83" hidden="1" outlineLevel="4">
      <c r="A83" s="84" t="inlineStr">
        <is>
          <t>Alternance</t>
        </is>
      </c>
      <c r="B83" s="79" t="n">
        <v>50</v>
      </c>
      <c r="C83" s="80" t="n">
        <v>372000</v>
      </c>
      <c r="D83" s="80" t="n">
        <v>170068</v>
      </c>
      <c r="E83" s="80" t="n">
        <v>55713</v>
      </c>
      <c r="F83" s="81" t="n">
        <v>114355</v>
      </c>
      <c r="G83" s="82" t="n">
        <v>0.3074046249553358</v>
      </c>
    </row>
    <row r="84" hidden="1" outlineLevel="3">
      <c r="A84" s="83" t="inlineStr">
        <is>
          <t>M2</t>
        </is>
      </c>
      <c r="B84" s="79" t="n">
        <v>49</v>
      </c>
      <c r="C84" s="80" t="n">
        <v>360150</v>
      </c>
      <c r="D84" s="80" t="n">
        <v>173390</v>
      </c>
      <c r="E84" s="80" t="n">
        <v>54599</v>
      </c>
      <c r="F84" s="81" t="n">
        <v>118791</v>
      </c>
      <c r="G84" s="82" t="n">
        <v>0.3298368001491523</v>
      </c>
    </row>
    <row r="85" hidden="1" outlineLevel="4">
      <c r="A85" s="84" t="inlineStr">
        <is>
          <t>Alternance</t>
        </is>
      </c>
      <c r="B85" s="79" t="n">
        <v>49</v>
      </c>
      <c r="C85" s="80" t="n">
        <v>360150</v>
      </c>
      <c r="D85" s="80" t="n">
        <v>173390</v>
      </c>
      <c r="E85" s="80" t="n">
        <v>54599</v>
      </c>
      <c r="F85" s="81" t="n">
        <v>118791</v>
      </c>
      <c r="G85" s="82" t="n">
        <v>0.3298368001491523</v>
      </c>
    </row>
    <row r="86" outlineLevel="1">
      <c r="A86" s="73" t="inlineStr">
        <is>
          <t>Paris</t>
        </is>
      </c>
      <c r="B86" s="74" t="n">
        <v>354</v>
      </c>
      <c r="C86" s="75" t="n">
        <v>2908720</v>
      </c>
      <c r="D86" s="75" t="n">
        <v>549694</v>
      </c>
      <c r="E86" s="75" t="n">
        <v>450394</v>
      </c>
      <c r="F86" s="87" t="n">
        <v>99300</v>
      </c>
      <c r="G86" s="88" t="n">
        <v>0.03413870805884781</v>
      </c>
    </row>
    <row r="87" hidden="1" outlineLevel="2">
      <c r="A87" s="78" t="inlineStr">
        <is>
          <t>BAC_COM</t>
        </is>
      </c>
      <c r="B87" s="79" t="n">
        <v>211</v>
      </c>
      <c r="C87" s="80" t="n">
        <v>1701040</v>
      </c>
      <c r="D87" s="80" t="n">
        <v>258369</v>
      </c>
      <c r="E87" s="80" t="n">
        <v>268455</v>
      </c>
      <c r="F87" s="85" t="n">
        <v>-10086</v>
      </c>
      <c r="G87" s="86" t="n">
        <v>-0.005929449420008155</v>
      </c>
    </row>
    <row r="88" hidden="1" outlineLevel="3">
      <c r="A88" s="83" t="inlineStr">
        <is>
          <t>B1</t>
        </is>
      </c>
      <c r="B88" s="79" t="n">
        <v>72</v>
      </c>
      <c r="C88" s="80" t="n">
        <v>611280</v>
      </c>
      <c r="D88" s="80" t="n">
        <v>76795</v>
      </c>
      <c r="E88" s="80" t="n">
        <v>91606</v>
      </c>
      <c r="F88" s="85" t="n">
        <v>-14811</v>
      </c>
      <c r="G88" s="86" t="n">
        <v>-0.02422908875681863</v>
      </c>
    </row>
    <row r="89" hidden="1" outlineLevel="4">
      <c r="A89" s="84" t="inlineStr">
        <is>
          <t>Initial</t>
        </is>
      </c>
      <c r="B89" s="79" t="n">
        <v>72</v>
      </c>
      <c r="C89" s="80" t="n">
        <v>611280</v>
      </c>
      <c r="D89" s="80" t="n">
        <v>76795</v>
      </c>
      <c r="E89" s="80" t="n">
        <v>91606</v>
      </c>
      <c r="F89" s="85" t="n">
        <v>-14811</v>
      </c>
      <c r="G89" s="86" t="n">
        <v>-0.02422908875681863</v>
      </c>
    </row>
    <row r="90" hidden="1" outlineLevel="3">
      <c r="A90" s="83" t="inlineStr">
        <is>
          <t>B2</t>
        </is>
      </c>
      <c r="B90" s="79" t="n">
        <v>70</v>
      </c>
      <c r="C90" s="80" t="n">
        <v>548800</v>
      </c>
      <c r="D90" s="80" t="n">
        <v>92572</v>
      </c>
      <c r="E90" s="80" t="n">
        <v>89061</v>
      </c>
      <c r="F90" s="85" t="n">
        <v>3511</v>
      </c>
      <c r="G90" s="86" t="n">
        <v>0.006396900908326091</v>
      </c>
    </row>
    <row r="91" hidden="1" outlineLevel="4">
      <c r="A91" s="84" t="inlineStr">
        <is>
          <t>Alternance</t>
        </is>
      </c>
      <c r="B91" s="79" t="n">
        <v>70</v>
      </c>
      <c r="C91" s="80" t="n">
        <v>548800</v>
      </c>
      <c r="D91" s="80" t="n">
        <v>92572</v>
      </c>
      <c r="E91" s="80" t="n">
        <v>89061</v>
      </c>
      <c r="F91" s="85" t="n">
        <v>3511</v>
      </c>
      <c r="G91" s="86" t="n">
        <v>0.006396900908326091</v>
      </c>
    </row>
    <row r="92" hidden="1" outlineLevel="3">
      <c r="A92" s="83" t="inlineStr">
        <is>
          <t>B3</t>
        </is>
      </c>
      <c r="B92" s="79" t="n">
        <v>69</v>
      </c>
      <c r="C92" s="80" t="n">
        <v>540960</v>
      </c>
      <c r="D92" s="80" t="n">
        <v>89003</v>
      </c>
      <c r="E92" s="80" t="n">
        <v>87789</v>
      </c>
      <c r="F92" s="85" t="n">
        <v>1214</v>
      </c>
      <c r="G92" s="86" t="n">
        <v>0.002243987569077308</v>
      </c>
    </row>
    <row r="93" hidden="1" outlineLevel="4">
      <c r="A93" s="84" t="inlineStr">
        <is>
          <t>Alternance</t>
        </is>
      </c>
      <c r="B93" s="79" t="n">
        <v>69</v>
      </c>
      <c r="C93" s="80" t="n">
        <v>540960</v>
      </c>
      <c r="D93" s="80" t="n">
        <v>89003</v>
      </c>
      <c r="E93" s="80" t="n">
        <v>87789</v>
      </c>
      <c r="F93" s="85" t="n">
        <v>1214</v>
      </c>
      <c r="G93" s="86" t="n">
        <v>0.002243987569077308</v>
      </c>
    </row>
    <row r="94" hidden="1" outlineLevel="2">
      <c r="A94" s="78" t="inlineStr">
        <is>
          <t>MAS_COM</t>
        </is>
      </c>
      <c r="B94" s="79" t="n">
        <v>143</v>
      </c>
      <c r="C94" s="80" t="n">
        <v>1207680</v>
      </c>
      <c r="D94" s="80" t="n">
        <v>291325</v>
      </c>
      <c r="E94" s="80" t="n">
        <v>181939</v>
      </c>
      <c r="F94" s="81" t="n">
        <v>109386</v>
      </c>
      <c r="G94" s="82" t="n">
        <v>0.09057546166728148</v>
      </c>
    </row>
    <row r="95" hidden="1" outlineLevel="3">
      <c r="A95" s="83" t="inlineStr">
        <is>
          <t>M1</t>
        </is>
      </c>
      <c r="B95" s="79" t="n">
        <v>72</v>
      </c>
      <c r="C95" s="80" t="n">
        <v>611280</v>
      </c>
      <c r="D95" s="80" t="n">
        <v>135767</v>
      </c>
      <c r="E95" s="80" t="n">
        <v>91606</v>
      </c>
      <c r="F95" s="81" t="n">
        <v>44161</v>
      </c>
      <c r="G95" s="82" t="n">
        <v>0.07224421316701335</v>
      </c>
    </row>
    <row r="96" hidden="1" outlineLevel="4">
      <c r="A96" s="84" t="inlineStr">
        <is>
          <t>Alternance</t>
        </is>
      </c>
      <c r="B96" s="79" t="n">
        <v>72</v>
      </c>
      <c r="C96" s="80" t="n">
        <v>611280</v>
      </c>
      <c r="D96" s="80" t="n">
        <v>135767</v>
      </c>
      <c r="E96" s="80" t="n">
        <v>91606</v>
      </c>
      <c r="F96" s="81" t="n">
        <v>44161</v>
      </c>
      <c r="G96" s="82" t="n">
        <v>0.07224421316701335</v>
      </c>
    </row>
    <row r="97" hidden="1" outlineLevel="3">
      <c r="A97" s="83" t="inlineStr">
        <is>
          <t>M2</t>
        </is>
      </c>
      <c r="B97" s="79" t="n">
        <v>71</v>
      </c>
      <c r="C97" s="80" t="n">
        <v>596400</v>
      </c>
      <c r="D97" s="80" t="n">
        <v>155558</v>
      </c>
      <c r="E97" s="80" t="n">
        <v>90333</v>
      </c>
      <c r="F97" s="81" t="n">
        <v>65225</v>
      </c>
      <c r="G97" s="82" t="n">
        <v>0.1093640692850613</v>
      </c>
    </row>
    <row r="98" hidden="1" outlineLevel="4">
      <c r="A98" s="84" t="inlineStr">
        <is>
          <t>Alternance</t>
        </is>
      </c>
      <c r="B98" s="79" t="n">
        <v>71</v>
      </c>
      <c r="C98" s="80" t="n">
        <v>596400</v>
      </c>
      <c r="D98" s="80" t="n">
        <v>155558</v>
      </c>
      <c r="E98" s="80" t="n">
        <v>90333</v>
      </c>
      <c r="F98" s="81" t="n">
        <v>65225</v>
      </c>
      <c r="G98" s="82" t="n">
        <v>0.1093640692850613</v>
      </c>
    </row>
    <row r="99" outlineLevel="1">
      <c r="A99" s="73" t="inlineStr">
        <is>
          <t>Toulouse</t>
        </is>
      </c>
      <c r="B99" s="74" t="n">
        <v>231</v>
      </c>
      <c r="C99" s="75" t="n">
        <v>1627980</v>
      </c>
      <c r="D99" s="75" t="n">
        <v>671075</v>
      </c>
      <c r="E99" s="75" t="n">
        <v>252081</v>
      </c>
      <c r="F99" s="76" t="n">
        <v>418994</v>
      </c>
      <c r="G99" s="77" t="n">
        <v>0.2573705954329993</v>
      </c>
    </row>
    <row r="100" hidden="1" outlineLevel="2">
      <c r="A100" s="78" t="inlineStr">
        <is>
          <t>BAC_COM</t>
        </is>
      </c>
      <c r="B100" s="79" t="n">
        <v>138</v>
      </c>
      <c r="C100" s="80" t="n">
        <v>954150</v>
      </c>
      <c r="D100" s="80" t="n">
        <v>366504</v>
      </c>
      <c r="E100" s="80" t="n">
        <v>150594</v>
      </c>
      <c r="F100" s="81" t="n">
        <v>215910</v>
      </c>
      <c r="G100" s="82" t="n">
        <v>0.226285161265295</v>
      </c>
    </row>
    <row r="101" hidden="1" outlineLevel="3">
      <c r="A101" s="83" t="inlineStr">
        <is>
          <t>B1</t>
        </is>
      </c>
      <c r="B101" s="79" t="n">
        <v>47</v>
      </c>
      <c r="C101" s="80" t="n">
        <v>342630</v>
      </c>
      <c r="D101" s="80" t="n">
        <v>125337</v>
      </c>
      <c r="E101" s="80" t="n">
        <v>51289</v>
      </c>
      <c r="F101" s="81" t="n">
        <v>74048</v>
      </c>
      <c r="G101" s="82" t="n">
        <v>0.21611631533911</v>
      </c>
    </row>
    <row r="102" hidden="1" outlineLevel="4">
      <c r="A102" s="84" t="inlineStr">
        <is>
          <t>Initial</t>
        </is>
      </c>
      <c r="B102" s="79" t="n">
        <v>47</v>
      </c>
      <c r="C102" s="80" t="n">
        <v>342630</v>
      </c>
      <c r="D102" s="80" t="n">
        <v>125337</v>
      </c>
      <c r="E102" s="80" t="n">
        <v>51289</v>
      </c>
      <c r="F102" s="81" t="n">
        <v>74048</v>
      </c>
      <c r="G102" s="82" t="n">
        <v>0.21611631533911</v>
      </c>
    </row>
    <row r="103" hidden="1" outlineLevel="3">
      <c r="A103" s="83" t="inlineStr">
        <is>
          <t>B2</t>
        </is>
      </c>
      <c r="B103" s="79" t="n">
        <v>46</v>
      </c>
      <c r="C103" s="80" t="n">
        <v>309120</v>
      </c>
      <c r="D103" s="80" t="n">
        <v>122666</v>
      </c>
      <c r="E103" s="80" t="n">
        <v>50198</v>
      </c>
      <c r="F103" s="81" t="n">
        <v>72468</v>
      </c>
      <c r="G103" s="82" t="n">
        <v>0.234434725048828</v>
      </c>
    </row>
    <row r="104" hidden="1" outlineLevel="4">
      <c r="A104" s="84" t="inlineStr">
        <is>
          <t>Alternance</t>
        </is>
      </c>
      <c r="B104" s="79" t="n">
        <v>46</v>
      </c>
      <c r="C104" s="80" t="n">
        <v>309120</v>
      </c>
      <c r="D104" s="80" t="n">
        <v>122666</v>
      </c>
      <c r="E104" s="80" t="n">
        <v>50198</v>
      </c>
      <c r="F104" s="81" t="n">
        <v>72468</v>
      </c>
      <c r="G104" s="82" t="n">
        <v>0.234434725048828</v>
      </c>
    </row>
    <row r="105" hidden="1" outlineLevel="3">
      <c r="A105" s="83" t="inlineStr">
        <is>
          <t>B3</t>
        </is>
      </c>
      <c r="B105" s="79" t="n">
        <v>45</v>
      </c>
      <c r="C105" s="80" t="n">
        <v>302400</v>
      </c>
      <c r="D105" s="80" t="n">
        <v>118500</v>
      </c>
      <c r="E105" s="80" t="n">
        <v>49107</v>
      </c>
      <c r="F105" s="81" t="n">
        <v>69394</v>
      </c>
      <c r="G105" s="82" t="n">
        <v>0.2294761616717864</v>
      </c>
    </row>
    <row r="106" hidden="1" outlineLevel="4">
      <c r="A106" s="84" t="inlineStr">
        <is>
          <t>Alternance</t>
        </is>
      </c>
      <c r="B106" s="79" t="n">
        <v>45</v>
      </c>
      <c r="C106" s="80" t="n">
        <v>302400</v>
      </c>
      <c r="D106" s="80" t="n">
        <v>118500</v>
      </c>
      <c r="E106" s="80" t="n">
        <v>49107</v>
      </c>
      <c r="F106" s="81" t="n">
        <v>69394</v>
      </c>
      <c r="G106" s="82" t="n">
        <v>0.2294761616717864</v>
      </c>
    </row>
    <row r="107" hidden="1" outlineLevel="2">
      <c r="A107" s="78" t="inlineStr">
        <is>
          <t>MAS_COM</t>
        </is>
      </c>
      <c r="B107" s="79" t="n">
        <v>93</v>
      </c>
      <c r="C107" s="80" t="n">
        <v>673830</v>
      </c>
      <c r="D107" s="80" t="n">
        <v>304571</v>
      </c>
      <c r="E107" s="80" t="n">
        <v>101487</v>
      </c>
      <c r="F107" s="81" t="n">
        <v>203084</v>
      </c>
      <c r="G107" s="82" t="n">
        <v>0.3013878802245863</v>
      </c>
    </row>
    <row r="108" hidden="1" outlineLevel="3">
      <c r="A108" s="83" t="inlineStr">
        <is>
          <t>M1</t>
        </is>
      </c>
      <c r="B108" s="79" t="n">
        <v>47</v>
      </c>
      <c r="C108" s="80" t="n">
        <v>342630</v>
      </c>
      <c r="D108" s="80" t="n">
        <v>151203</v>
      </c>
      <c r="E108" s="80" t="n">
        <v>51289</v>
      </c>
      <c r="F108" s="81" t="n">
        <v>99914</v>
      </c>
      <c r="G108" s="82" t="n">
        <v>0.2916083913394601</v>
      </c>
    </row>
    <row r="109" hidden="1" outlineLevel="4">
      <c r="A109" s="84" t="inlineStr">
        <is>
          <t>Alternance</t>
        </is>
      </c>
      <c r="B109" s="79" t="n">
        <v>47</v>
      </c>
      <c r="C109" s="80" t="n">
        <v>342630</v>
      </c>
      <c r="D109" s="80" t="n">
        <v>151203</v>
      </c>
      <c r="E109" s="80" t="n">
        <v>51289</v>
      </c>
      <c r="F109" s="81" t="n">
        <v>99914</v>
      </c>
      <c r="G109" s="82" t="n">
        <v>0.2916083913394601</v>
      </c>
    </row>
    <row r="110" hidden="1" outlineLevel="3">
      <c r="A110" s="83" t="inlineStr">
        <is>
          <t>M2</t>
        </is>
      </c>
      <c r="B110" s="79" t="n">
        <v>46</v>
      </c>
      <c r="C110" s="80" t="n">
        <v>331200</v>
      </c>
      <c r="D110" s="80" t="n">
        <v>153368</v>
      </c>
      <c r="E110" s="80" t="n">
        <v>50198</v>
      </c>
      <c r="F110" s="81" t="n">
        <v>103170</v>
      </c>
      <c r="G110" s="82" t="n">
        <v>0.3115048677750414</v>
      </c>
    </row>
    <row r="111" hidden="1" outlineLevel="4">
      <c r="A111" s="84" t="inlineStr">
        <is>
          <t>Alternance</t>
        </is>
      </c>
      <c r="B111" s="79" t="n">
        <v>46</v>
      </c>
      <c r="C111" s="80" t="n">
        <v>331200</v>
      </c>
      <c r="D111" s="80" t="n">
        <v>153368</v>
      </c>
      <c r="E111" s="80" t="n">
        <v>50198</v>
      </c>
      <c r="F111" s="81" t="n">
        <v>103170</v>
      </c>
      <c r="G111" s="82" t="n">
        <v>0.3115048677750414</v>
      </c>
    </row>
    <row r="112">
      <c r="A112" s="68" t="inlineStr">
        <is>
          <t>Ipac</t>
        </is>
      </c>
      <c r="B112" s="69" t="n">
        <v>379</v>
      </c>
      <c r="C112" s="70" t="n">
        <v>2582800</v>
      </c>
      <c r="D112" s="70" t="n">
        <v>883393</v>
      </c>
      <c r="E112" s="70" t="n">
        <v>445453</v>
      </c>
      <c r="F112" s="71" t="n">
        <v>437940</v>
      </c>
      <c r="G112" s="72" t="n">
        <v>0.1695600875549878</v>
      </c>
    </row>
    <row r="113" outlineLevel="1">
      <c r="A113" s="73" t="inlineStr">
        <is>
          <t>Montpellier</t>
        </is>
      </c>
      <c r="B113" s="74" t="n">
        <v>117</v>
      </c>
      <c r="C113" s="75" t="n">
        <v>781650</v>
      </c>
      <c r="D113" s="75" t="n">
        <v>253732</v>
      </c>
      <c r="E113" s="75" t="n">
        <v>134810</v>
      </c>
      <c r="F113" s="76" t="n">
        <v>118922</v>
      </c>
      <c r="G113" s="77" t="n">
        <v>0.152141653722489</v>
      </c>
    </row>
    <row r="114" hidden="1" outlineLevel="2">
      <c r="A114" s="78" t="inlineStr">
        <is>
          <t>BAC_CCE</t>
        </is>
      </c>
      <c r="B114" s="79" t="n">
        <v>117</v>
      </c>
      <c r="C114" s="80" t="n">
        <v>781650</v>
      </c>
      <c r="D114" s="80" t="n">
        <v>253732</v>
      </c>
      <c r="E114" s="80" t="n">
        <v>134810</v>
      </c>
      <c r="F114" s="81" t="n">
        <v>118922</v>
      </c>
      <c r="G114" s="82" t="n">
        <v>0.152141653722489</v>
      </c>
    </row>
    <row r="115" hidden="1" outlineLevel="3">
      <c r="A115" s="83" t="inlineStr">
        <is>
          <t>B1</t>
        </is>
      </c>
      <c r="B115" s="79" t="n">
        <v>40</v>
      </c>
      <c r="C115" s="80" t="n">
        <v>269600</v>
      </c>
      <c r="D115" s="80" t="n">
        <v>80869</v>
      </c>
      <c r="E115" s="80" t="n">
        <v>46089</v>
      </c>
      <c r="F115" s="81" t="n">
        <v>34780</v>
      </c>
      <c r="G115" s="82" t="n">
        <v>0.1290070108704044</v>
      </c>
    </row>
    <row r="116" hidden="1" outlineLevel="4">
      <c r="A116" s="84" t="inlineStr">
        <is>
          <t>Alternance</t>
        </is>
      </c>
      <c r="B116" s="79" t="n">
        <v>40</v>
      </c>
      <c r="C116" s="80" t="n">
        <v>269600</v>
      </c>
      <c r="D116" s="80" t="n">
        <v>80869</v>
      </c>
      <c r="E116" s="80" t="n">
        <v>46089</v>
      </c>
      <c r="F116" s="81" t="n">
        <v>34780</v>
      </c>
      <c r="G116" s="82" t="n">
        <v>0.1290070108704044</v>
      </c>
    </row>
    <row r="117" hidden="1" outlineLevel="3">
      <c r="A117" s="83" t="inlineStr">
        <is>
          <t>B2</t>
        </is>
      </c>
      <c r="B117" s="79" t="n">
        <v>39</v>
      </c>
      <c r="C117" s="80" t="n">
        <v>259350</v>
      </c>
      <c r="D117" s="80" t="n">
        <v>88437</v>
      </c>
      <c r="E117" s="80" t="n">
        <v>44937</v>
      </c>
      <c r="F117" s="81" t="n">
        <v>43500</v>
      </c>
      <c r="G117" s="82" t="n">
        <v>0.1677263975736566</v>
      </c>
    </row>
    <row r="118" hidden="1" outlineLevel="4">
      <c r="A118" s="84" t="inlineStr">
        <is>
          <t>Alternance</t>
        </is>
      </c>
      <c r="B118" s="79" t="n">
        <v>39</v>
      </c>
      <c r="C118" s="80" t="n">
        <v>259350</v>
      </c>
      <c r="D118" s="80" t="n">
        <v>88437</v>
      </c>
      <c r="E118" s="80" t="n">
        <v>44937</v>
      </c>
      <c r="F118" s="81" t="n">
        <v>43500</v>
      </c>
      <c r="G118" s="82" t="n">
        <v>0.1677263975736566</v>
      </c>
    </row>
    <row r="119" hidden="1" outlineLevel="3">
      <c r="A119" s="83" t="inlineStr">
        <is>
          <t>B3</t>
        </is>
      </c>
      <c r="B119" s="79" t="n">
        <v>38</v>
      </c>
      <c r="C119" s="80" t="n">
        <v>252700</v>
      </c>
      <c r="D119" s="80" t="n">
        <v>84426</v>
      </c>
      <c r="E119" s="80" t="n">
        <v>43785</v>
      </c>
      <c r="F119" s="81" t="n">
        <v>40641</v>
      </c>
      <c r="G119" s="82" t="n">
        <v>0.1608286200664607</v>
      </c>
    </row>
    <row r="120" hidden="1" outlineLevel="4">
      <c r="A120" s="84" t="inlineStr">
        <is>
          <t>Alternance</t>
        </is>
      </c>
      <c r="B120" s="79" t="n">
        <v>38</v>
      </c>
      <c r="C120" s="80" t="n">
        <v>252700</v>
      </c>
      <c r="D120" s="80" t="n">
        <v>84426</v>
      </c>
      <c r="E120" s="80" t="n">
        <v>43785</v>
      </c>
      <c r="F120" s="81" t="n">
        <v>40641</v>
      </c>
      <c r="G120" s="82" t="n">
        <v>0.1608286200664607</v>
      </c>
    </row>
    <row r="121" outlineLevel="1">
      <c r="A121" s="73" t="inlineStr">
        <is>
          <t>Nantes</t>
        </is>
      </c>
      <c r="B121" s="74" t="n">
        <v>145</v>
      </c>
      <c r="C121" s="75" t="n">
        <v>1019500</v>
      </c>
      <c r="D121" s="75" t="n">
        <v>375684</v>
      </c>
      <c r="E121" s="75" t="n">
        <v>175832</v>
      </c>
      <c r="F121" s="76" t="n">
        <v>199852</v>
      </c>
      <c r="G121" s="77" t="n">
        <v>0.1960291779035364</v>
      </c>
    </row>
    <row r="122" hidden="1" outlineLevel="2">
      <c r="A122" s="78" t="inlineStr">
        <is>
          <t>BAC_CCE</t>
        </is>
      </c>
      <c r="B122" s="79" t="n">
        <v>145</v>
      </c>
      <c r="C122" s="80" t="n">
        <v>1019500</v>
      </c>
      <c r="D122" s="80" t="n">
        <v>375684</v>
      </c>
      <c r="E122" s="80" t="n">
        <v>175832</v>
      </c>
      <c r="F122" s="81" t="n">
        <v>199852</v>
      </c>
      <c r="G122" s="82" t="n">
        <v>0.1960291779035364</v>
      </c>
    </row>
    <row r="123" hidden="1" outlineLevel="3">
      <c r="A123" s="83" t="inlineStr">
        <is>
          <t>B1</t>
        </is>
      </c>
      <c r="B123" s="79" t="n">
        <v>50</v>
      </c>
      <c r="C123" s="80" t="n">
        <v>354500</v>
      </c>
      <c r="D123" s="80" t="n">
        <v>120788</v>
      </c>
      <c r="E123" s="80" t="n">
        <v>60632</v>
      </c>
      <c r="F123" s="81" t="n">
        <v>60156</v>
      </c>
      <c r="G123" s="82" t="n">
        <v>0.1696935429917372</v>
      </c>
    </row>
    <row r="124" hidden="1" outlineLevel="4">
      <c r="A124" s="84" t="inlineStr">
        <is>
          <t>Alternance</t>
        </is>
      </c>
      <c r="B124" s="79" t="n">
        <v>50</v>
      </c>
      <c r="C124" s="80" t="n">
        <v>354500</v>
      </c>
      <c r="D124" s="80" t="n">
        <v>120788</v>
      </c>
      <c r="E124" s="80" t="n">
        <v>60632</v>
      </c>
      <c r="F124" s="81" t="n">
        <v>60156</v>
      </c>
      <c r="G124" s="82" t="n">
        <v>0.1696935429917372</v>
      </c>
    </row>
    <row r="125" hidden="1" outlineLevel="3">
      <c r="A125" s="83" t="inlineStr">
        <is>
          <t>B2</t>
        </is>
      </c>
      <c r="B125" s="79" t="n">
        <v>48</v>
      </c>
      <c r="C125" s="80" t="n">
        <v>336000</v>
      </c>
      <c r="D125" s="80" t="n">
        <v>129568</v>
      </c>
      <c r="E125" s="80" t="n">
        <v>58207</v>
      </c>
      <c r="F125" s="81" t="n">
        <v>71361</v>
      </c>
      <c r="G125" s="82" t="n">
        <v>0.2123851980682976</v>
      </c>
    </row>
    <row r="126" hidden="1" outlineLevel="4">
      <c r="A126" s="84" t="inlineStr">
        <is>
          <t>Alternance</t>
        </is>
      </c>
      <c r="B126" s="79" t="n">
        <v>48</v>
      </c>
      <c r="C126" s="80" t="n">
        <v>336000</v>
      </c>
      <c r="D126" s="80" t="n">
        <v>129568</v>
      </c>
      <c r="E126" s="80" t="n">
        <v>58207</v>
      </c>
      <c r="F126" s="81" t="n">
        <v>71361</v>
      </c>
      <c r="G126" s="82" t="n">
        <v>0.2123851980682976</v>
      </c>
    </row>
    <row r="127" hidden="1" outlineLevel="3">
      <c r="A127" s="83" t="inlineStr">
        <is>
          <t>B3</t>
        </is>
      </c>
      <c r="B127" s="79" t="n">
        <v>47</v>
      </c>
      <c r="C127" s="80" t="n">
        <v>329000</v>
      </c>
      <c r="D127" s="80" t="n">
        <v>125328</v>
      </c>
      <c r="E127" s="80" t="n">
        <v>56994</v>
      </c>
      <c r="F127" s="81" t="n">
        <v>68334</v>
      </c>
      <c r="G127" s="82" t="n">
        <v>0.2077020040460078</v>
      </c>
    </row>
    <row r="128" hidden="1" outlineLevel="4">
      <c r="A128" s="84" t="inlineStr">
        <is>
          <t>Alternance</t>
        </is>
      </c>
      <c r="B128" s="79" t="n">
        <v>47</v>
      </c>
      <c r="C128" s="80" t="n">
        <v>329000</v>
      </c>
      <c r="D128" s="80" t="n">
        <v>125328</v>
      </c>
      <c r="E128" s="80" t="n">
        <v>56994</v>
      </c>
      <c r="F128" s="81" t="n">
        <v>68334</v>
      </c>
      <c r="G128" s="82" t="n">
        <v>0.2077020040460078</v>
      </c>
    </row>
    <row r="129" outlineLevel="1">
      <c r="A129" s="73" t="inlineStr">
        <is>
          <t>Rennes</t>
        </is>
      </c>
      <c r="B129" s="74" t="n">
        <v>117</v>
      </c>
      <c r="C129" s="75" t="n">
        <v>781650</v>
      </c>
      <c r="D129" s="75" t="n">
        <v>253977</v>
      </c>
      <c r="E129" s="75" t="n">
        <v>134810</v>
      </c>
      <c r="F129" s="76" t="n">
        <v>119167</v>
      </c>
      <c r="G129" s="77" t="n">
        <v>0.1524550932414553</v>
      </c>
    </row>
    <row r="130" hidden="1" outlineLevel="2">
      <c r="A130" s="78" t="inlineStr">
        <is>
          <t>BAC_CCE</t>
        </is>
      </c>
      <c r="B130" s="79" t="n">
        <v>117</v>
      </c>
      <c r="C130" s="80" t="n">
        <v>781650</v>
      </c>
      <c r="D130" s="80" t="n">
        <v>253977</v>
      </c>
      <c r="E130" s="80" t="n">
        <v>134810</v>
      </c>
      <c r="F130" s="81" t="n">
        <v>119167</v>
      </c>
      <c r="G130" s="82" t="n">
        <v>0.1524550932414553</v>
      </c>
    </row>
    <row r="131" hidden="1" outlineLevel="3">
      <c r="A131" s="83" t="inlineStr">
        <is>
          <t>B1</t>
        </is>
      </c>
      <c r="B131" s="79" t="n">
        <v>40</v>
      </c>
      <c r="C131" s="80" t="n">
        <v>269600</v>
      </c>
      <c r="D131" s="80" t="n">
        <v>81114</v>
      </c>
      <c r="E131" s="80" t="n">
        <v>46089</v>
      </c>
      <c r="F131" s="81" t="n">
        <v>35025</v>
      </c>
      <c r="G131" s="82" t="n">
        <v>0.1299157645796032</v>
      </c>
    </row>
    <row r="132" hidden="1" outlineLevel="4">
      <c r="A132" s="84" t="inlineStr">
        <is>
          <t>Alternance</t>
        </is>
      </c>
      <c r="B132" s="79" t="n">
        <v>40</v>
      </c>
      <c r="C132" s="80" t="n">
        <v>269600</v>
      </c>
      <c r="D132" s="80" t="n">
        <v>81114</v>
      </c>
      <c r="E132" s="80" t="n">
        <v>46089</v>
      </c>
      <c r="F132" s="81" t="n">
        <v>35025</v>
      </c>
      <c r="G132" s="82" t="n">
        <v>0.1299157645796032</v>
      </c>
    </row>
    <row r="133" hidden="1" outlineLevel="3">
      <c r="A133" s="83" t="inlineStr">
        <is>
          <t>B2</t>
        </is>
      </c>
      <c r="B133" s="79" t="n">
        <v>39</v>
      </c>
      <c r="C133" s="80" t="n">
        <v>259350</v>
      </c>
      <c r="D133" s="80" t="n">
        <v>88437</v>
      </c>
      <c r="E133" s="80" t="n">
        <v>44937</v>
      </c>
      <c r="F133" s="81" t="n">
        <v>43500</v>
      </c>
      <c r="G133" s="82" t="n">
        <v>0.1677263975736566</v>
      </c>
    </row>
    <row r="134" hidden="1" outlineLevel="4">
      <c r="A134" s="84" t="inlineStr">
        <is>
          <t>Alternance</t>
        </is>
      </c>
      <c r="B134" s="79" t="n">
        <v>39</v>
      </c>
      <c r="C134" s="80" t="n">
        <v>259350</v>
      </c>
      <c r="D134" s="80" t="n">
        <v>88437</v>
      </c>
      <c r="E134" s="80" t="n">
        <v>44937</v>
      </c>
      <c r="F134" s="81" t="n">
        <v>43500</v>
      </c>
      <c r="G134" s="82" t="n">
        <v>0.1677263975736566</v>
      </c>
    </row>
    <row r="135" hidden="1" outlineLevel="3">
      <c r="A135" s="83" t="inlineStr">
        <is>
          <t>B3</t>
        </is>
      </c>
      <c r="B135" s="79" t="n">
        <v>38</v>
      </c>
      <c r="C135" s="80" t="n">
        <v>252700</v>
      </c>
      <c r="D135" s="80" t="n">
        <v>84426</v>
      </c>
      <c r="E135" s="80" t="n">
        <v>43785</v>
      </c>
      <c r="F135" s="81" t="n">
        <v>40641</v>
      </c>
      <c r="G135" s="82" t="n">
        <v>0.1608286200664607</v>
      </c>
    </row>
    <row r="136" hidden="1" outlineLevel="4">
      <c r="A136" s="84" t="inlineStr">
        <is>
          <t>Alternance</t>
        </is>
      </c>
      <c r="B136" s="79" t="n">
        <v>38</v>
      </c>
      <c r="C136" s="80" t="n">
        <v>252700</v>
      </c>
      <c r="D136" s="80" t="n">
        <v>84426</v>
      </c>
      <c r="E136" s="80" t="n">
        <v>43785</v>
      </c>
      <c r="F136" s="81" t="n">
        <v>40641</v>
      </c>
      <c r="G136" s="82" t="n">
        <v>0.1608286200664607</v>
      </c>
    </row>
    <row r="137">
      <c r="A137" s="68" t="inlineStr">
        <is>
          <t>Pigier</t>
        </is>
      </c>
      <c r="B137" s="69" t="n">
        <v>324</v>
      </c>
      <c r="C137" s="70" t="n">
        <v>2152220</v>
      </c>
      <c r="D137" s="70" t="n">
        <v>452323</v>
      </c>
      <c r="E137" s="70" t="n">
        <v>380810</v>
      </c>
      <c r="F137" s="89" t="n">
        <v>71513</v>
      </c>
      <c r="G137" s="90" t="n">
        <v>0.03322773657408915</v>
      </c>
    </row>
    <row r="138" outlineLevel="1">
      <c r="A138" s="73" t="inlineStr">
        <is>
          <t>Bordeaux</t>
        </is>
      </c>
      <c r="B138" s="74" t="n">
        <v>142</v>
      </c>
      <c r="C138" s="75" t="n">
        <v>901790</v>
      </c>
      <c r="D138" s="75" t="n">
        <v>122697</v>
      </c>
      <c r="E138" s="75" t="n">
        <v>159561</v>
      </c>
      <c r="F138" s="87" t="n">
        <v>-36864</v>
      </c>
      <c r="G138" s="88" t="n">
        <v>-0.0408786527493479</v>
      </c>
    </row>
    <row r="139" hidden="1" outlineLevel="2">
      <c r="A139" s="78" t="inlineStr">
        <is>
          <t>BAC_RH</t>
        </is>
      </c>
      <c r="B139" s="79" t="n">
        <v>71</v>
      </c>
      <c r="C139" s="80" t="n">
        <v>485330</v>
      </c>
      <c r="D139" s="80" t="n">
        <v>124289</v>
      </c>
      <c r="E139" s="80" t="n">
        <v>79780</v>
      </c>
      <c r="F139" s="81" t="n">
        <v>44509</v>
      </c>
      <c r="G139" s="82" t="n">
        <v>0.09170826881888799</v>
      </c>
    </row>
    <row r="140" hidden="1" outlineLevel="3">
      <c r="A140" s="83" t="inlineStr">
        <is>
          <t>B1</t>
        </is>
      </c>
      <c r="B140" s="79" t="n">
        <v>36</v>
      </c>
      <c r="C140" s="80" t="n">
        <v>247680</v>
      </c>
      <c r="D140" s="80" t="n">
        <v>60078</v>
      </c>
      <c r="E140" s="80" t="n">
        <v>40452</v>
      </c>
      <c r="F140" s="81" t="n">
        <v>19626</v>
      </c>
      <c r="G140" s="82" t="n">
        <v>0.079240719550255</v>
      </c>
    </row>
    <row r="141" hidden="1" outlineLevel="4">
      <c r="A141" s="84" t="inlineStr">
        <is>
          <t>Alternance</t>
        </is>
      </c>
      <c r="B141" s="79" t="n">
        <v>36</v>
      </c>
      <c r="C141" s="80" t="n">
        <v>247680</v>
      </c>
      <c r="D141" s="80" t="n">
        <v>60078</v>
      </c>
      <c r="E141" s="80" t="n">
        <v>40452</v>
      </c>
      <c r="F141" s="81" t="n">
        <v>19626</v>
      </c>
      <c r="G141" s="82" t="n">
        <v>0.079240719550255</v>
      </c>
    </row>
    <row r="142" hidden="1" outlineLevel="3">
      <c r="A142" s="83" t="inlineStr">
        <is>
          <t>B3</t>
        </is>
      </c>
      <c r="B142" s="79" t="n">
        <v>35</v>
      </c>
      <c r="C142" s="80" t="n">
        <v>237650</v>
      </c>
      <c r="D142" s="80" t="n">
        <v>64211</v>
      </c>
      <c r="E142" s="80" t="n">
        <v>39328</v>
      </c>
      <c r="F142" s="81" t="n">
        <v>24882</v>
      </c>
      <c r="G142" s="82" t="n">
        <v>0.1047020100469756</v>
      </c>
    </row>
    <row r="143" hidden="1" outlineLevel="4">
      <c r="A143" s="84" t="inlineStr">
        <is>
          <t>Alternance</t>
        </is>
      </c>
      <c r="B143" s="79" t="n">
        <v>35</v>
      </c>
      <c r="C143" s="80" t="n">
        <v>237650</v>
      </c>
      <c r="D143" s="80" t="n">
        <v>64211</v>
      </c>
      <c r="E143" s="80" t="n">
        <v>39328</v>
      </c>
      <c r="F143" s="81" t="n">
        <v>24882</v>
      </c>
      <c r="G143" s="82" t="n">
        <v>0.1047020100469756</v>
      </c>
    </row>
    <row r="144" hidden="1" outlineLevel="2">
      <c r="A144" s="78" t="inlineStr">
        <is>
          <t>BTS_GES</t>
        </is>
      </c>
      <c r="B144" s="79" t="n">
        <v>71</v>
      </c>
      <c r="C144" s="80" t="n">
        <v>416460</v>
      </c>
      <c r="D144" s="80" t="n">
        <v>-1592</v>
      </c>
      <c r="E144" s="80" t="n">
        <v>79780</v>
      </c>
      <c r="F144" s="85" t="n">
        <v>-81373</v>
      </c>
      <c r="G144" s="86" t="n">
        <v>-0.1953914766573149</v>
      </c>
    </row>
    <row r="145" hidden="1" outlineLevel="3">
      <c r="A145" s="83" t="inlineStr">
        <is>
          <t>BTS1</t>
        </is>
      </c>
      <c r="B145" s="79" t="n">
        <v>36</v>
      </c>
      <c r="C145" s="80" t="n">
        <v>212760</v>
      </c>
      <c r="D145" s="80" t="n">
        <v>-3347</v>
      </c>
      <c r="E145" s="80" t="n">
        <v>40452</v>
      </c>
      <c r="F145" s="85" t="n">
        <v>-43799</v>
      </c>
      <c r="G145" s="86" t="n">
        <v>-0.2058630044138041</v>
      </c>
    </row>
    <row r="146" hidden="1" outlineLevel="4">
      <c r="A146" s="84" t="inlineStr">
        <is>
          <t>Alternance</t>
        </is>
      </c>
      <c r="B146" s="79" t="n">
        <v>36</v>
      </c>
      <c r="C146" s="80" t="n">
        <v>212760</v>
      </c>
      <c r="D146" s="80" t="n">
        <v>-3347</v>
      </c>
      <c r="E146" s="80" t="n">
        <v>40452</v>
      </c>
      <c r="F146" s="85" t="n">
        <v>-43799</v>
      </c>
      <c r="G146" s="86" t="n">
        <v>-0.2058630044138041</v>
      </c>
    </row>
    <row r="147" hidden="1" outlineLevel="3">
      <c r="A147" s="83" t="inlineStr">
        <is>
          <t>BTS2</t>
        </is>
      </c>
      <c r="B147" s="79" t="n">
        <v>35</v>
      </c>
      <c r="C147" s="80" t="n">
        <v>203700</v>
      </c>
      <c r="D147" s="80" t="n">
        <v>1755</v>
      </c>
      <c r="E147" s="80" t="n">
        <v>39328</v>
      </c>
      <c r="F147" s="85" t="n">
        <v>-37573</v>
      </c>
      <c r="G147" s="86" t="n">
        <v>-0.1844542049564281</v>
      </c>
    </row>
    <row r="148" hidden="1" outlineLevel="4">
      <c r="A148" s="84" t="inlineStr">
        <is>
          <t>Alternance</t>
        </is>
      </c>
      <c r="B148" s="79" t="n">
        <v>35</v>
      </c>
      <c r="C148" s="80" t="n">
        <v>203700</v>
      </c>
      <c r="D148" s="80" t="n">
        <v>1755</v>
      </c>
      <c r="E148" s="80" t="n">
        <v>39328</v>
      </c>
      <c r="F148" s="85" t="n">
        <v>-37573</v>
      </c>
      <c r="G148" s="86" t="n">
        <v>-0.1844542049564281</v>
      </c>
    </row>
    <row r="149" outlineLevel="1">
      <c r="A149" s="73" t="inlineStr">
        <is>
          <t>Lyon</t>
        </is>
      </c>
      <c r="B149" s="74" t="n">
        <v>182</v>
      </c>
      <c r="C149" s="75" t="n">
        <v>1250430</v>
      </c>
      <c r="D149" s="75" t="n">
        <v>329626</v>
      </c>
      <c r="E149" s="75" t="n">
        <v>221249</v>
      </c>
      <c r="F149" s="76" t="n">
        <v>108377</v>
      </c>
      <c r="G149" s="77" t="n">
        <v>0.08667207238495606</v>
      </c>
    </row>
    <row r="150" hidden="1" outlineLevel="2">
      <c r="A150" s="78" t="inlineStr">
        <is>
          <t>BAC_RH</t>
        </is>
      </c>
      <c r="B150" s="79" t="n">
        <v>91</v>
      </c>
      <c r="C150" s="80" t="n">
        <v>672990</v>
      </c>
      <c r="D150" s="80" t="n">
        <v>242394</v>
      </c>
      <c r="E150" s="80" t="n">
        <v>110624</v>
      </c>
      <c r="F150" s="81" t="n">
        <v>131770</v>
      </c>
      <c r="G150" s="82" t="n">
        <v>0.195797230332167</v>
      </c>
    </row>
    <row r="151" hidden="1" outlineLevel="3">
      <c r="A151" s="83" t="inlineStr">
        <is>
          <t>B1</t>
        </is>
      </c>
      <c r="B151" s="79" t="n">
        <v>46</v>
      </c>
      <c r="C151" s="80" t="n">
        <v>342240</v>
      </c>
      <c r="D151" s="80" t="n">
        <v>116238</v>
      </c>
      <c r="E151" s="80" t="n">
        <v>55920</v>
      </c>
      <c r="F151" s="81" t="n">
        <v>60318</v>
      </c>
      <c r="G151" s="82" t="n">
        <v>0.1762454996154851</v>
      </c>
    </row>
    <row r="152" hidden="1" outlineLevel="4">
      <c r="A152" s="84" t="inlineStr">
        <is>
          <t>Alternance</t>
        </is>
      </c>
      <c r="B152" s="79" t="n">
        <v>46</v>
      </c>
      <c r="C152" s="80" t="n">
        <v>342240</v>
      </c>
      <c r="D152" s="80" t="n">
        <v>116238</v>
      </c>
      <c r="E152" s="80" t="n">
        <v>55920</v>
      </c>
      <c r="F152" s="81" t="n">
        <v>60318</v>
      </c>
      <c r="G152" s="82" t="n">
        <v>0.1762454996154851</v>
      </c>
    </row>
    <row r="153" hidden="1" outlineLevel="3">
      <c r="A153" s="83" t="inlineStr">
        <is>
          <t>B3</t>
        </is>
      </c>
      <c r="B153" s="79" t="n">
        <v>45</v>
      </c>
      <c r="C153" s="80" t="n">
        <v>330750</v>
      </c>
      <c r="D153" s="80" t="n">
        <v>126156</v>
      </c>
      <c r="E153" s="80" t="n">
        <v>54704</v>
      </c>
      <c r="F153" s="81" t="n">
        <v>71451</v>
      </c>
      <c r="G153" s="82" t="n">
        <v>0.2160281731000497</v>
      </c>
    </row>
    <row r="154" hidden="1" outlineLevel="4">
      <c r="A154" s="84" t="inlineStr">
        <is>
          <t>Alternance</t>
        </is>
      </c>
      <c r="B154" s="79" t="n">
        <v>45</v>
      </c>
      <c r="C154" s="80" t="n">
        <v>330750</v>
      </c>
      <c r="D154" s="80" t="n">
        <v>126156</v>
      </c>
      <c r="E154" s="80" t="n">
        <v>54704</v>
      </c>
      <c r="F154" s="81" t="n">
        <v>71451</v>
      </c>
      <c r="G154" s="82" t="n">
        <v>0.2160281731000497</v>
      </c>
    </row>
    <row r="155" hidden="1" outlineLevel="2">
      <c r="A155" s="78" t="inlineStr">
        <is>
          <t>BTS_GES</t>
        </is>
      </c>
      <c r="B155" s="79" t="n">
        <v>91</v>
      </c>
      <c r="C155" s="80" t="n">
        <v>577440</v>
      </c>
      <c r="D155" s="80" t="n">
        <v>87232</v>
      </c>
      <c r="E155" s="80" t="n">
        <v>110624</v>
      </c>
      <c r="F155" s="85" t="n">
        <v>-23392</v>
      </c>
      <c r="G155" s="86" t="n">
        <v>-0.04051021503346574</v>
      </c>
    </row>
    <row r="156" hidden="1" outlineLevel="3">
      <c r="A156" s="83" t="inlineStr">
        <is>
          <t>BTS1</t>
        </is>
      </c>
      <c r="B156" s="79" t="n">
        <v>46</v>
      </c>
      <c r="C156" s="80" t="n">
        <v>293940</v>
      </c>
      <c r="D156" s="80" t="n">
        <v>38132</v>
      </c>
      <c r="E156" s="80" t="n">
        <v>55920</v>
      </c>
      <c r="F156" s="85" t="n">
        <v>-17788</v>
      </c>
      <c r="G156" s="86" t="n">
        <v>-0.06051452172783946</v>
      </c>
    </row>
    <row r="157" hidden="1" outlineLevel="4">
      <c r="A157" s="84" t="inlineStr">
        <is>
          <t>Alternance</t>
        </is>
      </c>
      <c r="B157" s="79" t="n">
        <v>46</v>
      </c>
      <c r="C157" s="80" t="n">
        <v>293940</v>
      </c>
      <c r="D157" s="80" t="n">
        <v>38132</v>
      </c>
      <c r="E157" s="80" t="n">
        <v>55920</v>
      </c>
      <c r="F157" s="85" t="n">
        <v>-17788</v>
      </c>
      <c r="G157" s="86" t="n">
        <v>-0.06051452172783946</v>
      </c>
    </row>
    <row r="158" hidden="1" outlineLevel="3">
      <c r="A158" s="83" t="inlineStr">
        <is>
          <t>BTS2</t>
        </is>
      </c>
      <c r="B158" s="79" t="n">
        <v>45</v>
      </c>
      <c r="C158" s="80" t="n">
        <v>283500</v>
      </c>
      <c r="D158" s="80" t="n">
        <v>49100</v>
      </c>
      <c r="E158" s="80" t="n">
        <v>54704</v>
      </c>
      <c r="F158" s="85" t="n">
        <v>-5605</v>
      </c>
      <c r="G158" s="86" t="n">
        <v>-0.01976924180685477</v>
      </c>
    </row>
    <row r="159" hidden="1" outlineLevel="4">
      <c r="A159" s="84" t="inlineStr">
        <is>
          <t>Alternance</t>
        </is>
      </c>
      <c r="B159" s="79" t="n">
        <v>45</v>
      </c>
      <c r="C159" s="80" t="n">
        <v>283500</v>
      </c>
      <c r="D159" s="80" t="n">
        <v>49100</v>
      </c>
      <c r="E159" s="80" t="n">
        <v>54704</v>
      </c>
      <c r="F159" s="85" t="n">
        <v>-5605</v>
      </c>
      <c r="G159" s="86" t="n">
        <v>-0.01976924180685477</v>
      </c>
    </row>
    <row r="160">
      <c r="A160" s="68" t="inlineStr">
        <is>
          <t>Tunon</t>
        </is>
      </c>
      <c r="B160" s="69" t="n">
        <v>255</v>
      </c>
      <c r="C160" s="70" t="n">
        <v>1949700</v>
      </c>
      <c r="D160" s="70" t="n">
        <v>371040</v>
      </c>
      <c r="E160" s="70" t="n">
        <v>299711</v>
      </c>
      <c r="F160" s="89" t="n">
        <v>71329</v>
      </c>
      <c r="G160" s="90" t="n">
        <v>0.03658446946636765</v>
      </c>
    </row>
    <row r="161" outlineLevel="1">
      <c r="A161" s="73" t="inlineStr">
        <is>
          <t>Lyon</t>
        </is>
      </c>
      <c r="B161" s="74" t="n">
        <v>117</v>
      </c>
      <c r="C161" s="75" t="n">
        <v>863550</v>
      </c>
      <c r="D161" s="75" t="n">
        <v>223752</v>
      </c>
      <c r="E161" s="75" t="n">
        <v>132746</v>
      </c>
      <c r="F161" s="76" t="n">
        <v>91006</v>
      </c>
      <c r="G161" s="77" t="n">
        <v>0.105385442387657</v>
      </c>
    </row>
    <row r="162" hidden="1" outlineLevel="2">
      <c r="A162" s="78" t="inlineStr">
        <is>
          <t>BAC_TOU</t>
        </is>
      </c>
      <c r="B162" s="79" t="n">
        <v>117</v>
      </c>
      <c r="C162" s="80" t="n">
        <v>863550</v>
      </c>
      <c r="D162" s="80" t="n">
        <v>223752</v>
      </c>
      <c r="E162" s="80" t="n">
        <v>132746</v>
      </c>
      <c r="F162" s="81" t="n">
        <v>91006</v>
      </c>
      <c r="G162" s="82" t="n">
        <v>0.105385442387657</v>
      </c>
    </row>
    <row r="163" hidden="1" outlineLevel="3">
      <c r="A163" s="83" t="inlineStr">
        <is>
          <t>B1</t>
        </is>
      </c>
      <c r="B163" s="79" t="n">
        <v>40</v>
      </c>
      <c r="C163" s="80" t="n">
        <v>297600</v>
      </c>
      <c r="D163" s="80" t="n">
        <v>68510</v>
      </c>
      <c r="E163" s="80" t="n">
        <v>45383</v>
      </c>
      <c r="F163" s="81" t="n">
        <v>23126</v>
      </c>
      <c r="G163" s="82" t="n">
        <v>0.07770930839750617</v>
      </c>
    </row>
    <row r="164" hidden="1" outlineLevel="4">
      <c r="A164" s="84" t="inlineStr">
        <is>
          <t>Alternance</t>
        </is>
      </c>
      <c r="B164" s="79" t="n">
        <v>40</v>
      </c>
      <c r="C164" s="80" t="n">
        <v>297600</v>
      </c>
      <c r="D164" s="80" t="n">
        <v>68510</v>
      </c>
      <c r="E164" s="80" t="n">
        <v>45383</v>
      </c>
      <c r="F164" s="81" t="n">
        <v>23126</v>
      </c>
      <c r="G164" s="82" t="n">
        <v>0.07770930839750617</v>
      </c>
    </row>
    <row r="165" hidden="1" outlineLevel="3">
      <c r="A165" s="83" t="inlineStr">
        <is>
          <t>B2</t>
        </is>
      </c>
      <c r="B165" s="79" t="n">
        <v>39</v>
      </c>
      <c r="C165" s="80" t="n">
        <v>286650</v>
      </c>
      <c r="D165" s="80" t="n">
        <v>79667</v>
      </c>
      <c r="E165" s="80" t="n">
        <v>44249</v>
      </c>
      <c r="F165" s="81" t="n">
        <v>35419</v>
      </c>
      <c r="G165" s="82" t="n">
        <v>0.1235602055629527</v>
      </c>
    </row>
    <row r="166" hidden="1" outlineLevel="4">
      <c r="A166" s="84" t="inlineStr">
        <is>
          <t>Alternance</t>
        </is>
      </c>
      <c r="B166" s="79" t="n">
        <v>39</v>
      </c>
      <c r="C166" s="80" t="n">
        <v>286650</v>
      </c>
      <c r="D166" s="80" t="n">
        <v>79667</v>
      </c>
      <c r="E166" s="80" t="n">
        <v>44249</v>
      </c>
      <c r="F166" s="81" t="n">
        <v>35419</v>
      </c>
      <c r="G166" s="82" t="n">
        <v>0.1235602055629527</v>
      </c>
    </row>
    <row r="167" hidden="1" outlineLevel="3">
      <c r="A167" s="83" t="inlineStr">
        <is>
          <t>B3</t>
        </is>
      </c>
      <c r="B167" s="79" t="n">
        <v>38</v>
      </c>
      <c r="C167" s="80" t="n">
        <v>279300</v>
      </c>
      <c r="D167" s="80" t="n">
        <v>75575</v>
      </c>
      <c r="E167" s="80" t="n">
        <v>43114</v>
      </c>
      <c r="F167" s="81" t="n">
        <v>32461</v>
      </c>
      <c r="G167" s="82" t="n">
        <v>0.1162218964201323</v>
      </c>
    </row>
    <row r="168" hidden="1" outlineLevel="4">
      <c r="A168" s="84" t="inlineStr">
        <is>
          <t>Alternance</t>
        </is>
      </c>
      <c r="B168" s="79" t="n">
        <v>38</v>
      </c>
      <c r="C168" s="80" t="n">
        <v>279300</v>
      </c>
      <c r="D168" s="80" t="n">
        <v>75575</v>
      </c>
      <c r="E168" s="80" t="n">
        <v>43114</v>
      </c>
      <c r="F168" s="81" t="n">
        <v>32461</v>
      </c>
      <c r="G168" s="82" t="n">
        <v>0.1162218964201323</v>
      </c>
    </row>
    <row r="169" outlineLevel="1">
      <c r="A169" s="73" t="inlineStr">
        <is>
          <t>Paris</t>
        </is>
      </c>
      <c r="B169" s="74" t="n">
        <v>138</v>
      </c>
      <c r="C169" s="75" t="n">
        <v>1086150</v>
      </c>
      <c r="D169" s="75" t="n">
        <v>147288</v>
      </c>
      <c r="E169" s="75" t="n">
        <v>166965</v>
      </c>
      <c r="F169" s="87" t="n">
        <v>-19677</v>
      </c>
      <c r="G169" s="88" t="n">
        <v>-0.01811615214775505</v>
      </c>
    </row>
    <row r="170" hidden="1" outlineLevel="2">
      <c r="A170" s="78" t="inlineStr">
        <is>
          <t>BAC_TOU</t>
        </is>
      </c>
      <c r="B170" s="79" t="n">
        <v>138</v>
      </c>
      <c r="C170" s="80" t="n">
        <v>1086150</v>
      </c>
      <c r="D170" s="80" t="n">
        <v>147288</v>
      </c>
      <c r="E170" s="80" t="n">
        <v>166965</v>
      </c>
      <c r="F170" s="85" t="n">
        <v>-19677</v>
      </c>
      <c r="G170" s="86" t="n">
        <v>-0.01811615214775505</v>
      </c>
    </row>
    <row r="171" hidden="1" outlineLevel="3">
      <c r="A171" s="83" t="inlineStr">
        <is>
          <t>B1</t>
        </is>
      </c>
      <c r="B171" s="79" t="n">
        <v>47</v>
      </c>
      <c r="C171" s="80" t="n">
        <v>372710</v>
      </c>
      <c r="D171" s="80" t="n">
        <v>35291</v>
      </c>
      <c r="E171" s="80" t="n">
        <v>56865</v>
      </c>
      <c r="F171" s="85" t="n">
        <v>-21574</v>
      </c>
      <c r="G171" s="86" t="n">
        <v>-0.05788397780607987</v>
      </c>
    </row>
    <row r="172" hidden="1" outlineLevel="4">
      <c r="A172" s="84" t="inlineStr">
        <is>
          <t>Alternance</t>
        </is>
      </c>
      <c r="B172" s="79" t="n">
        <v>47</v>
      </c>
      <c r="C172" s="80" t="n">
        <v>372710</v>
      </c>
      <c r="D172" s="80" t="n">
        <v>35291</v>
      </c>
      <c r="E172" s="80" t="n">
        <v>56865</v>
      </c>
      <c r="F172" s="85" t="n">
        <v>-21574</v>
      </c>
      <c r="G172" s="86" t="n">
        <v>-0.05788397780607987</v>
      </c>
    </row>
    <row r="173" hidden="1" outlineLevel="3">
      <c r="A173" s="83" t="inlineStr">
        <is>
          <t>B2</t>
        </is>
      </c>
      <c r="B173" s="79" t="n">
        <v>46</v>
      </c>
      <c r="C173" s="80" t="n">
        <v>360640</v>
      </c>
      <c r="D173" s="80" t="n">
        <v>57766</v>
      </c>
      <c r="E173" s="80" t="n">
        <v>55655</v>
      </c>
      <c r="F173" s="85" t="n">
        <v>2111</v>
      </c>
      <c r="G173" s="86" t="n">
        <v>0.005853613339910389</v>
      </c>
    </row>
    <row r="174" hidden="1" outlineLevel="4">
      <c r="A174" s="84" t="inlineStr">
        <is>
          <t>Alternance</t>
        </is>
      </c>
      <c r="B174" s="79" t="n">
        <v>46</v>
      </c>
      <c r="C174" s="80" t="n">
        <v>360640</v>
      </c>
      <c r="D174" s="80" t="n">
        <v>57766</v>
      </c>
      <c r="E174" s="80" t="n">
        <v>55655</v>
      </c>
      <c r="F174" s="85" t="n">
        <v>2111</v>
      </c>
      <c r="G174" s="86" t="n">
        <v>0.005853613339910389</v>
      </c>
    </row>
    <row r="175" hidden="1" outlineLevel="3">
      <c r="A175" s="83" t="inlineStr">
        <is>
          <t>B3</t>
        </is>
      </c>
      <c r="B175" s="79" t="n">
        <v>45</v>
      </c>
      <c r="C175" s="80" t="n">
        <v>352800</v>
      </c>
      <c r="D175" s="80" t="n">
        <v>54231</v>
      </c>
      <c r="E175" s="80" t="n">
        <v>54445</v>
      </c>
      <c r="F175" s="85" t="n">
        <v>-214</v>
      </c>
      <c r="G175" s="86" t="n">
        <v>-0.0006064864004688316</v>
      </c>
    </row>
    <row r="176" hidden="1" outlineLevel="4">
      <c r="A176" s="84" t="inlineStr">
        <is>
          <t>Alternance</t>
        </is>
      </c>
      <c r="B176" s="79" t="n">
        <v>45</v>
      </c>
      <c r="C176" s="80" t="n">
        <v>352800</v>
      </c>
      <c r="D176" s="80" t="n">
        <v>54231</v>
      </c>
      <c r="E176" s="80" t="n">
        <v>54445</v>
      </c>
      <c r="F176" s="85" t="n">
        <v>-214</v>
      </c>
      <c r="G176" s="86" t="n">
        <v>-0.0006064864004688316</v>
      </c>
    </row>
    <row r="177">
      <c r="A177" s="91" t="inlineStr">
        <is>
          <t>GROUPE</t>
        </is>
      </c>
      <c r="B177" s="92" t="n">
        <v>3036</v>
      </c>
      <c r="C177" s="93" t="n">
        <v>22544725</v>
      </c>
      <c r="D177" s="93" t="n">
        <v>6859857</v>
      </c>
      <c r="E177" s="93" t="n">
        <v>3568327</v>
      </c>
      <c r="F177" s="93" t="n">
        <v>3291530</v>
      </c>
      <c r="G177" s="94" t="n">
        <v>0.1460000066534411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U178"/>
  <sheetViews>
    <sheetView showGridLines="0" workbookViewId="0">
      <pane xSplit="1" ySplit="20" topLeftCell="B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6" t="inlineStr">
        <is>
          <t>RESTITUTION — Évolution CA · Charges · Marge 2024→2026</t>
        </is>
      </c>
    </row>
    <row r="2">
      <c r="A2" s="59" t="inlineStr">
        <is>
          <t>Source (vue)</t>
        </is>
      </c>
      <c r="B2" s="60" t="inlineStr">
        <is>
          <t>V_ALLOCATION  (Q_RAPPORT_EVOLUTION)</t>
        </is>
      </c>
    </row>
    <row r="3">
      <c r="A3" s="59" t="inlineStr">
        <is>
          <t>Dimensions</t>
        </is>
      </c>
      <c r="B3" s="60" t="inlineStr">
        <is>
          <t>Marque ▸ Campus ▸ Programme ▸ Année ▸ Modalité   ·   EXERCICE en colonnes</t>
        </is>
      </c>
    </row>
    <row r="4">
      <c r="A4" s="61" t="inlineStr">
        <is>
          <t>Membres des dimensions (matrice Tagetik)</t>
        </is>
      </c>
    </row>
    <row r="5">
      <c r="A5" s="62" t="inlineStr">
        <is>
          <t xml:space="preserve">   MARQUE</t>
        </is>
      </c>
      <c r="B5" s="63" t="inlineStr">
        <is>
          <t>MBWAY · ISCOM · IPAC · PIGIER · TUNON</t>
        </is>
      </c>
    </row>
    <row r="6">
      <c r="A6" s="62" t="inlineStr">
        <is>
          <t xml:space="preserve">   CAMPUS (ENTITY)</t>
        </is>
      </c>
      <c r="B6" s="63" t="inlineStr">
        <is>
          <t>MBWAY_BOR/LYO/NAN/PAR · ISCOM_LIL/PAR/TLS · IPAC_MTP/NAN/REN · PIGIER_BOR/LYO · TUNON_LYO/PAR   (14 campus)</t>
        </is>
      </c>
    </row>
    <row r="7">
      <c r="A7" s="62" t="inlineStr">
        <is>
          <t xml:space="preserve">   PROGRAMME</t>
        </is>
      </c>
      <c r="B7" s="63" t="inlineStr">
        <is>
          <t>BAC_CCE · BAC_COM · BAC_MGT · BAC_RH · BAC_TOU · BTS_GES · MAS_COM · MAS_MGT</t>
        </is>
      </c>
    </row>
    <row r="8">
      <c r="A8" s="62" t="inlineStr">
        <is>
          <t xml:space="preserve">   AN_ETUDE</t>
        </is>
      </c>
      <c r="B8" s="63" t="inlineStr">
        <is>
          <t>B1 · B2 · B3 · BTS1 · BTS2 · M1 · M2</t>
        </is>
      </c>
    </row>
    <row r="9">
      <c r="A9" s="62" t="inlineStr">
        <is>
          <t xml:space="preserve">   MODALITE</t>
        </is>
      </c>
      <c r="B9" s="63" t="inlineStr">
        <is>
          <t>INIT (Initial) · ALT (Alternance)</t>
        </is>
      </c>
    </row>
    <row r="10">
      <c r="A10" s="62" t="inlineStr">
        <is>
          <t xml:space="preserve">   EXERCICE</t>
        </is>
      </c>
      <c r="B10" s="63" t="inlineStr">
        <is>
          <t>2024 · 2025 · 2026   (réel ; le budget = 2027)</t>
        </is>
      </c>
    </row>
    <row r="11">
      <c r="A11" s="59" t="inlineStr">
        <is>
          <t>Mesures / comptes</t>
        </is>
      </c>
    </row>
    <row r="12">
      <c r="A12" s="64" t="inlineStr">
        <is>
          <t xml:space="preserve">   CA</t>
        </is>
      </c>
      <c r="B12" s="63" t="inlineStr">
        <is>
          <t>706 + 7062 + 708  (valeur par exercice)</t>
        </is>
      </c>
    </row>
    <row r="13">
      <c r="A13" s="64" t="inlineStr">
        <is>
          <t xml:space="preserve">   Charges</t>
        </is>
      </c>
      <c r="B13" s="63" t="inlineStr">
        <is>
          <t>CA − EBITDA net  (coût complet chargé, = MARGE_COMPLETE retranchée)</t>
        </is>
      </c>
    </row>
    <row r="14">
      <c r="A14" s="64" t="inlineStr">
        <is>
          <t xml:space="preserve">   Marge</t>
        </is>
      </c>
      <c r="B14" s="63">
        <f> CA − Charges  (formule)</f>
        <v/>
      </c>
    </row>
    <row r="15">
      <c r="A15" s="64" t="inlineStr">
        <is>
          <t xml:space="preserve">   Écart (€)</t>
        </is>
      </c>
      <c r="B15" s="63">
        <f> valeur 2026 − valeur 2024  (formule)</f>
        <v/>
      </c>
    </row>
    <row r="16">
      <c r="A16" s="64" t="inlineStr">
        <is>
          <t xml:space="preserve">   Évolution (%)</t>
        </is>
      </c>
      <c r="B16" s="63">
        <f> valeur 2026 ÷ valeur 2024 − 1  (formule)</f>
        <v/>
      </c>
    </row>
    <row r="17">
      <c r="A17" s="64" t="inlineStr">
        <is>
          <t xml:space="preserve">   Marge %</t>
        </is>
      </c>
      <c r="B17" s="63">
        <f> Marge ÷ CA  (formule)</f>
        <v/>
      </c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</row>
    <row r="19">
      <c r="B19" s="95" t="inlineStr">
        <is>
          <t>CHIFFRE D'AFFAIRES</t>
        </is>
      </c>
      <c r="G19" s="95" t="inlineStr">
        <is>
          <t>CHARGES (chargées)</t>
        </is>
      </c>
      <c r="L19" s="95" t="inlineStr">
        <is>
          <t>MARGE</t>
        </is>
      </c>
      <c r="R19" s="96" t="inlineStr">
        <is>
          <t>Marge nette %</t>
        </is>
      </c>
    </row>
    <row r="20">
      <c r="A20" s="10" t="inlineStr">
        <is>
          <t>Marque ▸ Campus ▸ Programme ▸ Année ▸ Modalité</t>
        </is>
      </c>
      <c r="B20" s="11" t="inlineStr">
        <is>
          <t>CA 2024</t>
        </is>
      </c>
      <c r="C20" s="11" t="inlineStr">
        <is>
          <t>CA 2025</t>
        </is>
      </c>
      <c r="D20" s="11" t="inlineStr">
        <is>
          <t>CA 2026</t>
        </is>
      </c>
      <c r="E20" s="11" t="inlineStr">
        <is>
          <t>Écart €</t>
        </is>
      </c>
      <c r="F20" s="11" t="inlineStr">
        <is>
          <t>Évol %</t>
        </is>
      </c>
      <c r="G20" s="11" t="inlineStr">
        <is>
          <t>Ch. 2024</t>
        </is>
      </c>
      <c r="H20" s="11" t="inlineStr">
        <is>
          <t>Ch. 2025</t>
        </is>
      </c>
      <c r="I20" s="11" t="inlineStr">
        <is>
          <t>Ch. 2026</t>
        </is>
      </c>
      <c r="J20" s="11" t="inlineStr">
        <is>
          <t>Écart €</t>
        </is>
      </c>
      <c r="K20" s="11" t="inlineStr">
        <is>
          <t>Évol %</t>
        </is>
      </c>
      <c r="L20" s="11" t="inlineStr">
        <is>
          <t>Mg 2024</t>
        </is>
      </c>
      <c r="M20" s="11" t="inlineStr">
        <is>
          <t>Mg 2025</t>
        </is>
      </c>
      <c r="N20" s="11" t="inlineStr">
        <is>
          <t>Mg 2026</t>
        </is>
      </c>
      <c r="O20" s="11" t="inlineStr">
        <is>
          <t>Écart €</t>
        </is>
      </c>
      <c r="P20" s="11" t="inlineStr">
        <is>
          <t>Marge % 26</t>
        </is>
      </c>
      <c r="R20" t="inlineStr"/>
      <c r="S20" s="97" t="n">
        <v>2024</v>
      </c>
      <c r="T20" s="97" t="n">
        <v>2025</v>
      </c>
      <c r="U20" s="97" t="n">
        <v>2026</v>
      </c>
    </row>
    <row r="21">
      <c r="A21" s="68" t="inlineStr">
        <is>
          <t>MBway</t>
        </is>
      </c>
      <c r="B21" s="70" t="n">
        <v>8517270</v>
      </c>
      <c r="C21" s="70" t="n">
        <v>9032400</v>
      </c>
      <c r="D21" s="70" t="n">
        <v>9567455</v>
      </c>
      <c r="E21" s="70">
        <f>D21-B21</f>
        <v/>
      </c>
      <c r="F21" s="98">
        <f>IFERROR(D21/B21-1,0)</f>
        <v/>
      </c>
      <c r="G21" s="70" t="n">
        <v>7109004</v>
      </c>
      <c r="H21" s="70" t="n">
        <v>7469118</v>
      </c>
      <c r="I21" s="70" t="n">
        <v>7858779</v>
      </c>
      <c r="J21" s="70">
        <f>I21-G21</f>
        <v/>
      </c>
      <c r="K21" s="98">
        <f>IFERROR(I21/G21-1,0)</f>
        <v/>
      </c>
      <c r="L21" s="70">
        <f>B21-G21</f>
        <v/>
      </c>
      <c r="M21" s="70">
        <f>C21-H21</f>
        <v/>
      </c>
      <c r="N21" s="99">
        <f>D21-I21</f>
        <v/>
      </c>
      <c r="O21" s="70">
        <f>N21-L21</f>
        <v/>
      </c>
      <c r="P21" s="72">
        <f>IFERROR(N21/D21,0)</f>
        <v/>
      </c>
      <c r="R21" s="60" t="inlineStr">
        <is>
          <t>MBway</t>
        </is>
      </c>
      <c r="S21" s="100" t="n">
        <v>0.1653423945193762</v>
      </c>
      <c r="T21" s="100" t="n">
        <v>0.1730749735683474</v>
      </c>
      <c r="U21" s="100" t="n">
        <v>0.1785925824284567</v>
      </c>
    </row>
    <row r="22" outlineLevel="1">
      <c r="A22" s="73" t="inlineStr">
        <is>
          <t>Bordeaux</t>
        </is>
      </c>
      <c r="B22" s="75" t="n">
        <v>1573680</v>
      </c>
      <c r="C22" s="75" t="n">
        <v>1666855</v>
      </c>
      <c r="D22" s="75" t="n">
        <v>1773610</v>
      </c>
      <c r="E22" s="75">
        <f>D22-B22</f>
        <v/>
      </c>
      <c r="F22" s="101">
        <f>IFERROR(D22/B22-1,0)</f>
        <v/>
      </c>
      <c r="G22" s="75" t="n">
        <v>1256721</v>
      </c>
      <c r="H22" s="75" t="n">
        <v>1320088</v>
      </c>
      <c r="I22" s="75" t="n">
        <v>1390171</v>
      </c>
      <c r="J22" s="75">
        <f>I22-G22</f>
        <v/>
      </c>
      <c r="K22" s="101">
        <f>IFERROR(I22/G22-1,0)</f>
        <v/>
      </c>
      <c r="L22" s="75">
        <f>B22-G22</f>
        <v/>
      </c>
      <c r="M22" s="75">
        <f>C22-H22</f>
        <v/>
      </c>
      <c r="N22" s="102">
        <f>D22-I22</f>
        <v/>
      </c>
      <c r="O22" s="75">
        <f>N22-L22</f>
        <v/>
      </c>
      <c r="P22" s="77">
        <f>IFERROR(N22/D22,0)</f>
        <v/>
      </c>
      <c r="R22" s="60" t="inlineStr">
        <is>
          <t>Iscom</t>
        </is>
      </c>
      <c r="S22" s="100" t="n">
        <v>0.1444641917808717</v>
      </c>
      <c r="T22" s="100" t="n">
        <v>0.1505317276302517</v>
      </c>
      <c r="U22" s="100" t="n">
        <v>0.1592472957412916</v>
      </c>
    </row>
    <row r="23" hidden="1" outlineLevel="2">
      <c r="A23" s="78" t="inlineStr">
        <is>
          <t>BAC_MGT</t>
        </is>
      </c>
      <c r="B23" s="80" t="n">
        <v>922155</v>
      </c>
      <c r="C23" s="80" t="n">
        <v>971410</v>
      </c>
      <c r="D23" s="80" t="n">
        <v>1034245</v>
      </c>
      <c r="E23" s="80">
        <f>D23-B23</f>
        <v/>
      </c>
      <c r="F23" s="103">
        <f>IFERROR(D23/B23-1,0)</f>
        <v/>
      </c>
      <c r="G23" s="80" t="n">
        <v>767006</v>
      </c>
      <c r="H23" s="80" t="n">
        <v>802449</v>
      </c>
      <c r="I23" s="80" t="n">
        <v>845195</v>
      </c>
      <c r="J23" s="80">
        <f>I23-G23</f>
        <v/>
      </c>
      <c r="K23" s="103">
        <f>IFERROR(I23/G23-1,0)</f>
        <v/>
      </c>
      <c r="L23" s="80">
        <f>B23-G23</f>
        <v/>
      </c>
      <c r="M23" s="80">
        <f>C23-H23</f>
        <v/>
      </c>
      <c r="N23" s="81">
        <f>D23-I23</f>
        <v/>
      </c>
      <c r="O23" s="80">
        <f>N23-L23</f>
        <v/>
      </c>
      <c r="P23" s="82">
        <f>IFERROR(N23/D23,0)</f>
        <v/>
      </c>
      <c r="R23" s="60" t="inlineStr">
        <is>
          <t>Ipac</t>
        </is>
      </c>
      <c r="S23" s="100" t="n">
        <v>0.1601473616620489</v>
      </c>
      <c r="T23" s="100" t="n">
        <v>0.1646343683659466</v>
      </c>
      <c r="U23" s="100" t="n">
        <v>0.1695600875549878</v>
      </c>
    </row>
    <row r="24" hidden="1" outlineLevel="3">
      <c r="A24" s="83" t="inlineStr">
        <is>
          <t>B1</t>
        </is>
      </c>
      <c r="B24" s="80" t="n">
        <v>331425</v>
      </c>
      <c r="C24" s="80" t="n">
        <v>353520</v>
      </c>
      <c r="D24" s="80" t="n">
        <v>375615</v>
      </c>
      <c r="E24" s="80">
        <f>D24-B24</f>
        <v/>
      </c>
      <c r="F24" s="103">
        <f>IFERROR(D24/B24-1,0)</f>
        <v/>
      </c>
      <c r="G24" s="80" t="n">
        <v>278177</v>
      </c>
      <c r="H24" s="80" t="n">
        <v>293838</v>
      </c>
      <c r="I24" s="80" t="n">
        <v>309360</v>
      </c>
      <c r="J24" s="80">
        <f>I24-G24</f>
        <v/>
      </c>
      <c r="K24" s="103">
        <f>IFERROR(I24/G24-1,0)</f>
        <v/>
      </c>
      <c r="L24" s="80">
        <f>B24-G24</f>
        <v/>
      </c>
      <c r="M24" s="80">
        <f>C24-H24</f>
        <v/>
      </c>
      <c r="N24" s="81">
        <f>D24-I24</f>
        <v/>
      </c>
      <c r="O24" s="80">
        <f>N24-L24</f>
        <v/>
      </c>
      <c r="P24" s="82">
        <f>IFERROR(N24/D24,0)</f>
        <v/>
      </c>
      <c r="R24" s="60" t="inlineStr">
        <is>
          <t>Pigier</t>
        </is>
      </c>
      <c r="S24" s="100" t="n">
        <v>0.01701342245969789</v>
      </c>
      <c r="T24" s="100" t="n">
        <v>0.02185341597747861</v>
      </c>
      <c r="U24" s="100" t="n">
        <v>0.03322773657408915</v>
      </c>
    </row>
    <row r="25" hidden="1" outlineLevel="4">
      <c r="A25" s="84" t="inlineStr">
        <is>
          <t>Initial</t>
        </is>
      </c>
      <c r="B25" s="80" t="n">
        <v>331425</v>
      </c>
      <c r="C25" s="80" t="n">
        <v>353520</v>
      </c>
      <c r="D25" s="80" t="n">
        <v>375615</v>
      </c>
      <c r="E25" s="80">
        <f>D25-B25</f>
        <v/>
      </c>
      <c r="F25" s="103">
        <f>IFERROR(D25/B25-1,0)</f>
        <v/>
      </c>
      <c r="G25" s="80" t="n">
        <v>278177</v>
      </c>
      <c r="H25" s="80" t="n">
        <v>293838</v>
      </c>
      <c r="I25" s="80" t="n">
        <v>309360</v>
      </c>
      <c r="J25" s="80">
        <f>I25-G25</f>
        <v/>
      </c>
      <c r="K25" s="103">
        <f>IFERROR(I25/G25-1,0)</f>
        <v/>
      </c>
      <c r="L25" s="80">
        <f>B25-G25</f>
        <v/>
      </c>
      <c r="M25" s="80">
        <f>C25-H25</f>
        <v/>
      </c>
      <c r="N25" s="81">
        <f>D25-I25</f>
        <v/>
      </c>
      <c r="O25" s="80">
        <f>N25-L25</f>
        <v/>
      </c>
      <c r="P25" s="82">
        <f>IFERROR(N25/D25,0)</f>
        <v/>
      </c>
      <c r="R25" s="60" t="inlineStr">
        <is>
          <t>Tunon</t>
        </is>
      </c>
      <c r="S25" s="100" t="n">
        <v>0.02403813013691491</v>
      </c>
      <c r="T25" s="100" t="n">
        <v>0.02712584130666647</v>
      </c>
      <c r="U25" s="100" t="n">
        <v>0.03658446946636766</v>
      </c>
    </row>
    <row r="26" hidden="1" outlineLevel="3">
      <c r="A26" s="83" t="inlineStr">
        <is>
          <t>B2</t>
        </is>
      </c>
      <c r="B26" s="80" t="n">
        <v>298760</v>
      </c>
      <c r="C26" s="80" t="n">
        <v>312340</v>
      </c>
      <c r="D26" s="80" t="n">
        <v>332710</v>
      </c>
      <c r="E26" s="80">
        <f>D26-B26</f>
        <v/>
      </c>
      <c r="F26" s="103">
        <f>IFERROR(D26/B26-1,0)</f>
        <v/>
      </c>
      <c r="G26" s="80" t="n">
        <v>246422</v>
      </c>
      <c r="H26" s="80" t="n">
        <v>256298</v>
      </c>
      <c r="I26" s="80" t="n">
        <v>269891</v>
      </c>
      <c r="J26" s="80">
        <f>I26-G26</f>
        <v/>
      </c>
      <c r="K26" s="103">
        <f>IFERROR(I26/G26-1,0)</f>
        <v/>
      </c>
      <c r="L26" s="80">
        <f>B26-G26</f>
        <v/>
      </c>
      <c r="M26" s="80">
        <f>C26-H26</f>
        <v/>
      </c>
      <c r="N26" s="81">
        <f>D26-I26</f>
        <v/>
      </c>
      <c r="O26" s="80">
        <f>N26-L26</f>
        <v/>
      </c>
      <c r="P26" s="82">
        <f>IFERROR(N26/D26,0)</f>
        <v/>
      </c>
    </row>
    <row r="27" hidden="1" outlineLevel="4">
      <c r="A27" s="84" t="inlineStr">
        <is>
          <t>Alternance</t>
        </is>
      </c>
      <c r="B27" s="80" t="n">
        <v>298760</v>
      </c>
      <c r="C27" s="80" t="n">
        <v>312340</v>
      </c>
      <c r="D27" s="80" t="n">
        <v>332710</v>
      </c>
      <c r="E27" s="80">
        <f>D27-B27</f>
        <v/>
      </c>
      <c r="F27" s="103">
        <f>IFERROR(D27/B27-1,0)</f>
        <v/>
      </c>
      <c r="G27" s="80" t="n">
        <v>246422</v>
      </c>
      <c r="H27" s="80" t="n">
        <v>256298</v>
      </c>
      <c r="I27" s="80" t="n">
        <v>269891</v>
      </c>
      <c r="J27" s="80">
        <f>I27-G27</f>
        <v/>
      </c>
      <c r="K27" s="103">
        <f>IFERROR(I27/G27-1,0)</f>
        <v/>
      </c>
      <c r="L27" s="80">
        <f>B27-G27</f>
        <v/>
      </c>
      <c r="M27" s="80">
        <f>C27-H27</f>
        <v/>
      </c>
      <c r="N27" s="81">
        <f>D27-I27</f>
        <v/>
      </c>
      <c r="O27" s="80">
        <f>N27-L27</f>
        <v/>
      </c>
      <c r="P27" s="82">
        <f>IFERROR(N27/D27,0)</f>
        <v/>
      </c>
    </row>
    <row r="28" hidden="1" outlineLevel="3">
      <c r="A28" s="83" t="inlineStr">
        <is>
          <t>B3</t>
        </is>
      </c>
      <c r="B28" s="80" t="n">
        <v>291970</v>
      </c>
      <c r="C28" s="80" t="n">
        <v>305550</v>
      </c>
      <c r="D28" s="80" t="n">
        <v>325920</v>
      </c>
      <c r="E28" s="80">
        <f>D28-B28</f>
        <v/>
      </c>
      <c r="F28" s="103">
        <f>IFERROR(D28/B28-1,0)</f>
        <v/>
      </c>
      <c r="G28" s="80" t="n">
        <v>242407</v>
      </c>
      <c r="H28" s="80" t="n">
        <v>252312</v>
      </c>
      <c r="I28" s="80" t="n">
        <v>265943</v>
      </c>
      <c r="J28" s="80">
        <f>I28-G28</f>
        <v/>
      </c>
      <c r="K28" s="103">
        <f>IFERROR(I28/G28-1,0)</f>
        <v/>
      </c>
      <c r="L28" s="80">
        <f>B28-G28</f>
        <v/>
      </c>
      <c r="M28" s="80">
        <f>C28-H28</f>
        <v/>
      </c>
      <c r="N28" s="81">
        <f>D28-I28</f>
        <v/>
      </c>
      <c r="O28" s="80">
        <f>N28-L28</f>
        <v/>
      </c>
      <c r="P28" s="82">
        <f>IFERROR(N28/D28,0)</f>
        <v/>
      </c>
    </row>
    <row r="29" hidden="1" outlineLevel="4">
      <c r="A29" s="84" t="inlineStr">
        <is>
          <t>Alternance</t>
        </is>
      </c>
      <c r="B29" s="80" t="n">
        <v>291970</v>
      </c>
      <c r="C29" s="80" t="n">
        <v>305550</v>
      </c>
      <c r="D29" s="80" t="n">
        <v>325920</v>
      </c>
      <c r="E29" s="80">
        <f>D29-B29</f>
        <v/>
      </c>
      <c r="F29" s="103">
        <f>IFERROR(D29/B29-1,0)</f>
        <v/>
      </c>
      <c r="G29" s="80" t="n">
        <v>242407</v>
      </c>
      <c r="H29" s="80" t="n">
        <v>252312</v>
      </c>
      <c r="I29" s="80" t="n">
        <v>265943</v>
      </c>
      <c r="J29" s="80">
        <f>I29-G29</f>
        <v/>
      </c>
      <c r="K29" s="103">
        <f>IFERROR(I29/G29-1,0)</f>
        <v/>
      </c>
      <c r="L29" s="80">
        <f>B29-G29</f>
        <v/>
      </c>
      <c r="M29" s="80">
        <f>C29-H29</f>
        <v/>
      </c>
      <c r="N29" s="81">
        <f>D29-I29</f>
        <v/>
      </c>
      <c r="O29" s="80">
        <f>N29-L29</f>
        <v/>
      </c>
      <c r="P29" s="82">
        <f>IFERROR(N29/D29,0)</f>
        <v/>
      </c>
    </row>
    <row r="30" hidden="1" outlineLevel="2">
      <c r="A30" s="78" t="inlineStr">
        <is>
          <t>MAS_MGT</t>
        </is>
      </c>
      <c r="B30" s="80" t="n">
        <v>651525</v>
      </c>
      <c r="C30" s="80" t="n">
        <v>695445</v>
      </c>
      <c r="D30" s="80" t="n">
        <v>739365</v>
      </c>
      <c r="E30" s="80">
        <f>D30-B30</f>
        <v/>
      </c>
      <c r="F30" s="103">
        <f>IFERROR(D30/B30-1,0)</f>
        <v/>
      </c>
      <c r="G30" s="80" t="n">
        <v>489715</v>
      </c>
      <c r="H30" s="80" t="n">
        <v>517640</v>
      </c>
      <c r="I30" s="80" t="n">
        <v>544976</v>
      </c>
      <c r="J30" s="80">
        <f>I30-G30</f>
        <v/>
      </c>
      <c r="K30" s="103">
        <f>IFERROR(I30/G30-1,0)</f>
        <v/>
      </c>
      <c r="L30" s="80">
        <f>B30-G30</f>
        <v/>
      </c>
      <c r="M30" s="80">
        <f>C30-H30</f>
        <v/>
      </c>
      <c r="N30" s="81">
        <f>D30-I30</f>
        <v/>
      </c>
      <c r="O30" s="80">
        <f>N30-L30</f>
        <v/>
      </c>
      <c r="P30" s="82">
        <f>IFERROR(N30/D30,0)</f>
        <v/>
      </c>
    </row>
    <row r="31" hidden="1" outlineLevel="3">
      <c r="A31" s="83" t="inlineStr">
        <is>
          <t>M1</t>
        </is>
      </c>
      <c r="B31" s="80" t="n">
        <v>331425</v>
      </c>
      <c r="C31" s="80" t="n">
        <v>353520</v>
      </c>
      <c r="D31" s="80" t="n">
        <v>375615</v>
      </c>
      <c r="E31" s="80">
        <f>D31-B31</f>
        <v/>
      </c>
      <c r="F31" s="103">
        <f>IFERROR(D31/B31-1,0)</f>
        <v/>
      </c>
      <c r="G31" s="80" t="n">
        <v>252014</v>
      </c>
      <c r="H31" s="80" t="n">
        <v>266477</v>
      </c>
      <c r="I31" s="80" t="n">
        <v>280693</v>
      </c>
      <c r="J31" s="80">
        <f>I31-G31</f>
        <v/>
      </c>
      <c r="K31" s="103">
        <f>IFERROR(I31/G31-1,0)</f>
        <v/>
      </c>
      <c r="L31" s="80">
        <f>B31-G31</f>
        <v/>
      </c>
      <c r="M31" s="80">
        <f>C31-H31</f>
        <v/>
      </c>
      <c r="N31" s="81">
        <f>D31-I31</f>
        <v/>
      </c>
      <c r="O31" s="80">
        <f>N31-L31</f>
        <v/>
      </c>
      <c r="P31" s="82">
        <f>IFERROR(N31/D31,0)</f>
        <v/>
      </c>
    </row>
    <row r="32" hidden="1" outlineLevel="4">
      <c r="A32" s="84" t="inlineStr">
        <is>
          <t>Alternance</t>
        </is>
      </c>
      <c r="B32" s="80" t="n">
        <v>331425</v>
      </c>
      <c r="C32" s="80" t="n">
        <v>353520</v>
      </c>
      <c r="D32" s="80" t="n">
        <v>375615</v>
      </c>
      <c r="E32" s="80">
        <f>D32-B32</f>
        <v/>
      </c>
      <c r="F32" s="103">
        <f>IFERROR(D32/B32-1,0)</f>
        <v/>
      </c>
      <c r="G32" s="80" t="n">
        <v>252014</v>
      </c>
      <c r="H32" s="80" t="n">
        <v>266477</v>
      </c>
      <c r="I32" s="80" t="n">
        <v>280693</v>
      </c>
      <c r="J32" s="80">
        <f>I32-G32</f>
        <v/>
      </c>
      <c r="K32" s="103">
        <f>IFERROR(I32/G32-1,0)</f>
        <v/>
      </c>
      <c r="L32" s="80">
        <f>B32-G32</f>
        <v/>
      </c>
      <c r="M32" s="80">
        <f>C32-H32</f>
        <v/>
      </c>
      <c r="N32" s="81">
        <f>D32-I32</f>
        <v/>
      </c>
      <c r="O32" s="80">
        <f>N32-L32</f>
        <v/>
      </c>
      <c r="P32" s="82">
        <f>IFERROR(N32/D32,0)</f>
        <v/>
      </c>
    </row>
    <row r="33" hidden="1" outlineLevel="3">
      <c r="A33" s="83" t="inlineStr">
        <is>
          <t>M2</t>
        </is>
      </c>
      <c r="B33" s="80" t="n">
        <v>320100</v>
      </c>
      <c r="C33" s="80" t="n">
        <v>341925</v>
      </c>
      <c r="D33" s="80" t="n">
        <v>363750</v>
      </c>
      <c r="E33" s="80">
        <f>D33-B33</f>
        <v/>
      </c>
      <c r="F33" s="103">
        <f>IFERROR(D33/B33-1,0)</f>
        <v/>
      </c>
      <c r="G33" s="80" t="n">
        <v>237701</v>
      </c>
      <c r="H33" s="80" t="n">
        <v>251163</v>
      </c>
      <c r="I33" s="80" t="n">
        <v>264283</v>
      </c>
      <c r="J33" s="80">
        <f>I33-G33</f>
        <v/>
      </c>
      <c r="K33" s="103">
        <f>IFERROR(I33/G33-1,0)</f>
        <v/>
      </c>
      <c r="L33" s="80">
        <f>B33-G33</f>
        <v/>
      </c>
      <c r="M33" s="80">
        <f>C33-H33</f>
        <v/>
      </c>
      <c r="N33" s="81">
        <f>D33-I33</f>
        <v/>
      </c>
      <c r="O33" s="80">
        <f>N33-L33</f>
        <v/>
      </c>
      <c r="P33" s="82">
        <f>IFERROR(N33/D33,0)</f>
        <v/>
      </c>
    </row>
    <row r="34" hidden="1" outlineLevel="4">
      <c r="A34" s="84" t="inlineStr">
        <is>
          <t>Alternance</t>
        </is>
      </c>
      <c r="B34" s="80" t="n">
        <v>320100</v>
      </c>
      <c r="C34" s="80" t="n">
        <v>341925</v>
      </c>
      <c r="D34" s="80" t="n">
        <v>363750</v>
      </c>
      <c r="E34" s="80">
        <f>D34-B34</f>
        <v/>
      </c>
      <c r="F34" s="103">
        <f>IFERROR(D34/B34-1,0)</f>
        <v/>
      </c>
      <c r="G34" s="80" t="n">
        <v>237701</v>
      </c>
      <c r="H34" s="80" t="n">
        <v>251163</v>
      </c>
      <c r="I34" s="80" t="n">
        <v>264283</v>
      </c>
      <c r="J34" s="80">
        <f>I34-G34</f>
        <v/>
      </c>
      <c r="K34" s="103">
        <f>IFERROR(I34/G34-1,0)</f>
        <v/>
      </c>
      <c r="L34" s="80">
        <f>B34-G34</f>
        <v/>
      </c>
      <c r="M34" s="80">
        <f>C34-H34</f>
        <v/>
      </c>
      <c r="N34" s="81">
        <f>D34-I34</f>
        <v/>
      </c>
      <c r="O34" s="80">
        <f>N34-L34</f>
        <v/>
      </c>
      <c r="P34" s="82">
        <f>IFERROR(N34/D34,0)</f>
        <v/>
      </c>
    </row>
    <row r="35" outlineLevel="1">
      <c r="A35" s="73" t="inlineStr">
        <is>
          <t>Lyon</t>
        </is>
      </c>
      <c r="B35" s="75" t="n">
        <v>2227170</v>
      </c>
      <c r="C35" s="75" t="n">
        <v>2342685</v>
      </c>
      <c r="D35" s="75" t="n">
        <v>2496705</v>
      </c>
      <c r="E35" s="75">
        <f>D35-B35</f>
        <v/>
      </c>
      <c r="F35" s="101">
        <f>IFERROR(D35/B35-1,0)</f>
        <v/>
      </c>
      <c r="G35" s="75" t="n">
        <v>1739161</v>
      </c>
      <c r="H35" s="75" t="n">
        <v>1824834</v>
      </c>
      <c r="I35" s="75" t="n">
        <v>1922805</v>
      </c>
      <c r="J35" s="75">
        <f>I35-G35</f>
        <v/>
      </c>
      <c r="K35" s="101">
        <f>IFERROR(I35/G35-1,0)</f>
        <v/>
      </c>
      <c r="L35" s="75">
        <f>B35-G35</f>
        <v/>
      </c>
      <c r="M35" s="75">
        <f>C35-H35</f>
        <v/>
      </c>
      <c r="N35" s="102">
        <f>D35-I35</f>
        <v/>
      </c>
      <c r="O35" s="75">
        <f>N35-L35</f>
        <v/>
      </c>
      <c r="P35" s="77">
        <f>IFERROR(N35/D35,0)</f>
        <v/>
      </c>
    </row>
    <row r="36" hidden="1" outlineLevel="2">
      <c r="A36" s="78" t="inlineStr">
        <is>
          <t>BAC_MGT</t>
        </is>
      </c>
      <c r="B36" s="80" t="n">
        <v>1300485</v>
      </c>
      <c r="C36" s="80" t="n">
        <v>1368480</v>
      </c>
      <c r="D36" s="80" t="n">
        <v>1459140</v>
      </c>
      <c r="E36" s="80">
        <f>D36-B36</f>
        <v/>
      </c>
      <c r="F36" s="103">
        <f>IFERROR(D36/B36-1,0)</f>
        <v/>
      </c>
      <c r="G36" s="80" t="n">
        <v>1032259</v>
      </c>
      <c r="H36" s="80" t="n">
        <v>1083249</v>
      </c>
      <c r="I36" s="80" t="n">
        <v>1141623</v>
      </c>
      <c r="J36" s="80">
        <f>I36-G36</f>
        <v/>
      </c>
      <c r="K36" s="103">
        <f>IFERROR(I36/G36-1,0)</f>
        <v/>
      </c>
      <c r="L36" s="80">
        <f>B36-G36</f>
        <v/>
      </c>
      <c r="M36" s="80">
        <f>C36-H36</f>
        <v/>
      </c>
      <c r="N36" s="81">
        <f>D36-I36</f>
        <v/>
      </c>
      <c r="O36" s="80">
        <f>N36-L36</f>
        <v/>
      </c>
      <c r="P36" s="82">
        <f>IFERROR(N36/D36,0)</f>
        <v/>
      </c>
    </row>
    <row r="37" hidden="1" outlineLevel="3">
      <c r="A37" s="83" t="inlineStr">
        <is>
          <t>B1</t>
        </is>
      </c>
      <c r="B37" s="80" t="n">
        <v>469935</v>
      </c>
      <c r="C37" s="80" t="n">
        <v>493830</v>
      </c>
      <c r="D37" s="80" t="n">
        <v>525690</v>
      </c>
      <c r="E37" s="80">
        <f>D37-B37</f>
        <v/>
      </c>
      <c r="F37" s="103">
        <f>IFERROR(D37/B37-1,0)</f>
        <v/>
      </c>
      <c r="G37" s="80" t="n">
        <v>405247</v>
      </c>
      <c r="H37" s="80" t="n">
        <v>425326</v>
      </c>
      <c r="I37" s="80" t="n">
        <v>448100</v>
      </c>
      <c r="J37" s="80">
        <f>I37-G37</f>
        <v/>
      </c>
      <c r="K37" s="103">
        <f>IFERROR(I37/G37-1,0)</f>
        <v/>
      </c>
      <c r="L37" s="80">
        <f>B37-G37</f>
        <v/>
      </c>
      <c r="M37" s="80">
        <f>C37-H37</f>
        <v/>
      </c>
      <c r="N37" s="81">
        <f>D37-I37</f>
        <v/>
      </c>
      <c r="O37" s="80">
        <f>N37-L37</f>
        <v/>
      </c>
      <c r="P37" s="82">
        <f>IFERROR(N37/D37,0)</f>
        <v/>
      </c>
    </row>
    <row r="38" hidden="1" outlineLevel="4">
      <c r="A38" s="84" t="inlineStr">
        <is>
          <t>Initial</t>
        </is>
      </c>
      <c r="B38" s="80" t="n">
        <v>469935</v>
      </c>
      <c r="C38" s="80" t="n">
        <v>493830</v>
      </c>
      <c r="D38" s="80" t="n">
        <v>525690</v>
      </c>
      <c r="E38" s="80">
        <f>D38-B38</f>
        <v/>
      </c>
      <c r="F38" s="103">
        <f>IFERROR(D38/B38-1,0)</f>
        <v/>
      </c>
      <c r="G38" s="80" t="n">
        <v>405247</v>
      </c>
      <c r="H38" s="80" t="n">
        <v>425326</v>
      </c>
      <c r="I38" s="80" t="n">
        <v>448100</v>
      </c>
      <c r="J38" s="80">
        <f>I38-G38</f>
        <v/>
      </c>
      <c r="K38" s="103">
        <f>IFERROR(I38/G38-1,0)</f>
        <v/>
      </c>
      <c r="L38" s="80">
        <f>B38-G38</f>
        <v/>
      </c>
      <c r="M38" s="80">
        <f>C38-H38</f>
        <v/>
      </c>
      <c r="N38" s="81">
        <f>D38-I38</f>
        <v/>
      </c>
      <c r="O38" s="80">
        <f>N38-L38</f>
        <v/>
      </c>
      <c r="P38" s="82">
        <f>IFERROR(N38/D38,0)</f>
        <v/>
      </c>
    </row>
    <row r="39" hidden="1" outlineLevel="3">
      <c r="A39" s="83" t="inlineStr">
        <is>
          <t>B2</t>
        </is>
      </c>
      <c r="B39" s="80" t="n">
        <v>418950</v>
      </c>
      <c r="C39" s="80" t="n">
        <v>441000</v>
      </c>
      <c r="D39" s="80" t="n">
        <v>470400</v>
      </c>
      <c r="E39" s="80">
        <f>D39-B39</f>
        <v/>
      </c>
      <c r="F39" s="103">
        <f>IFERROR(D39/B39-1,0)</f>
        <v/>
      </c>
      <c r="G39" s="80" t="n">
        <v>315635</v>
      </c>
      <c r="H39" s="80" t="n">
        <v>331085</v>
      </c>
      <c r="I39" s="80" t="n">
        <v>348863</v>
      </c>
      <c r="J39" s="80">
        <f>I39-G39</f>
        <v/>
      </c>
      <c r="K39" s="103">
        <f>IFERROR(I39/G39-1,0)</f>
        <v/>
      </c>
      <c r="L39" s="80">
        <f>B39-G39</f>
        <v/>
      </c>
      <c r="M39" s="80">
        <f>C39-H39</f>
        <v/>
      </c>
      <c r="N39" s="81">
        <f>D39-I39</f>
        <v/>
      </c>
      <c r="O39" s="80">
        <f>N39-L39</f>
        <v/>
      </c>
      <c r="P39" s="82">
        <f>IFERROR(N39/D39,0)</f>
        <v/>
      </c>
    </row>
    <row r="40" hidden="1" outlineLevel="4">
      <c r="A40" s="84" t="inlineStr">
        <is>
          <t>Alternance</t>
        </is>
      </c>
      <c r="B40" s="80" t="n">
        <v>418950</v>
      </c>
      <c r="C40" s="80" t="n">
        <v>441000</v>
      </c>
      <c r="D40" s="80" t="n">
        <v>470400</v>
      </c>
      <c r="E40" s="80">
        <f>D40-B40</f>
        <v/>
      </c>
      <c r="F40" s="103">
        <f>IFERROR(D40/B40-1,0)</f>
        <v/>
      </c>
      <c r="G40" s="80" t="n">
        <v>315635</v>
      </c>
      <c r="H40" s="80" t="n">
        <v>331085</v>
      </c>
      <c r="I40" s="80" t="n">
        <v>348863</v>
      </c>
      <c r="J40" s="80">
        <f>I40-G40</f>
        <v/>
      </c>
      <c r="K40" s="103">
        <f>IFERROR(I40/G40-1,0)</f>
        <v/>
      </c>
      <c r="L40" s="80">
        <f>B40-G40</f>
        <v/>
      </c>
      <c r="M40" s="80">
        <f>C40-H40</f>
        <v/>
      </c>
      <c r="N40" s="81">
        <f>D40-I40</f>
        <v/>
      </c>
      <c r="O40" s="80">
        <f>N40-L40</f>
        <v/>
      </c>
      <c r="P40" s="82">
        <f>IFERROR(N40/D40,0)</f>
        <v/>
      </c>
    </row>
    <row r="41" hidden="1" outlineLevel="3">
      <c r="A41" s="83" t="inlineStr">
        <is>
          <t>B3</t>
        </is>
      </c>
      <c r="B41" s="80" t="n">
        <v>411600</v>
      </c>
      <c r="C41" s="80" t="n">
        <v>433650</v>
      </c>
      <c r="D41" s="80" t="n">
        <v>463050</v>
      </c>
      <c r="E41" s="80">
        <f>D41-B41</f>
        <v/>
      </c>
      <c r="F41" s="103">
        <f>IFERROR(D41/B41-1,0)</f>
        <v/>
      </c>
      <c r="G41" s="80" t="n">
        <v>311377</v>
      </c>
      <c r="H41" s="80" t="n">
        <v>326838</v>
      </c>
      <c r="I41" s="80" t="n">
        <v>344661</v>
      </c>
      <c r="J41" s="80">
        <f>I41-G41</f>
        <v/>
      </c>
      <c r="K41" s="103">
        <f>IFERROR(I41/G41-1,0)</f>
        <v/>
      </c>
      <c r="L41" s="80">
        <f>B41-G41</f>
        <v/>
      </c>
      <c r="M41" s="80">
        <f>C41-H41</f>
        <v/>
      </c>
      <c r="N41" s="81">
        <f>D41-I41</f>
        <v/>
      </c>
      <c r="O41" s="80">
        <f>N41-L41</f>
        <v/>
      </c>
      <c r="P41" s="82">
        <f>IFERROR(N41/D41,0)</f>
        <v/>
      </c>
    </row>
    <row r="42" hidden="1" outlineLevel="4">
      <c r="A42" s="84" t="inlineStr">
        <is>
          <t>Alternance</t>
        </is>
      </c>
      <c r="B42" s="80" t="n">
        <v>411600</v>
      </c>
      <c r="C42" s="80" t="n">
        <v>433650</v>
      </c>
      <c r="D42" s="80" t="n">
        <v>463050</v>
      </c>
      <c r="E42" s="80">
        <f>D42-B42</f>
        <v/>
      </c>
      <c r="F42" s="103">
        <f>IFERROR(D42/B42-1,0)</f>
        <v/>
      </c>
      <c r="G42" s="80" t="n">
        <v>311377</v>
      </c>
      <c r="H42" s="80" t="n">
        <v>326838</v>
      </c>
      <c r="I42" s="80" t="n">
        <v>344661</v>
      </c>
      <c r="J42" s="80">
        <f>I42-G42</f>
        <v/>
      </c>
      <c r="K42" s="103">
        <f>IFERROR(I42/G42-1,0)</f>
        <v/>
      </c>
      <c r="L42" s="80">
        <f>B42-G42</f>
        <v/>
      </c>
      <c r="M42" s="80">
        <f>C42-H42</f>
        <v/>
      </c>
      <c r="N42" s="81">
        <f>D42-I42</f>
        <v/>
      </c>
      <c r="O42" s="80">
        <f>N42-L42</f>
        <v/>
      </c>
      <c r="P42" s="82">
        <f>IFERROR(N42/D42,0)</f>
        <v/>
      </c>
    </row>
    <row r="43" hidden="1" outlineLevel="2">
      <c r="A43" s="78" t="inlineStr">
        <is>
          <t>MAS_MGT</t>
        </is>
      </c>
      <c r="B43" s="80" t="n">
        <v>926685</v>
      </c>
      <c r="C43" s="80" t="n">
        <v>974205</v>
      </c>
      <c r="D43" s="80" t="n">
        <v>1037565</v>
      </c>
      <c r="E43" s="80">
        <f>D43-B43</f>
        <v/>
      </c>
      <c r="F43" s="103">
        <f>IFERROR(D43/B43-1,0)</f>
        <v/>
      </c>
      <c r="G43" s="80" t="n">
        <v>706902</v>
      </c>
      <c r="H43" s="80" t="n">
        <v>741585</v>
      </c>
      <c r="I43" s="80" t="n">
        <v>781181</v>
      </c>
      <c r="J43" s="80">
        <f>I43-G43</f>
        <v/>
      </c>
      <c r="K43" s="103">
        <f>IFERROR(I43/G43-1,0)</f>
        <v/>
      </c>
      <c r="L43" s="80">
        <f>B43-G43</f>
        <v/>
      </c>
      <c r="M43" s="80">
        <f>C43-H43</f>
        <v/>
      </c>
      <c r="N43" s="81">
        <f>D43-I43</f>
        <v/>
      </c>
      <c r="O43" s="80">
        <f>N43-L43</f>
        <v/>
      </c>
      <c r="P43" s="82">
        <f>IFERROR(N43/D43,0)</f>
        <v/>
      </c>
    </row>
    <row r="44" hidden="1" outlineLevel="3">
      <c r="A44" s="83" t="inlineStr">
        <is>
          <t>M1</t>
        </is>
      </c>
      <c r="B44" s="80" t="n">
        <v>469935</v>
      </c>
      <c r="C44" s="80" t="n">
        <v>493830</v>
      </c>
      <c r="D44" s="80" t="n">
        <v>525690</v>
      </c>
      <c r="E44" s="80">
        <f>D44-B44</f>
        <v/>
      </c>
      <c r="F44" s="103">
        <f>IFERROR(D44/B44-1,0)</f>
        <v/>
      </c>
      <c r="G44" s="80" t="n">
        <v>364213</v>
      </c>
      <c r="H44" s="80" t="n">
        <v>382412</v>
      </c>
      <c r="I44" s="80" t="n">
        <v>403137</v>
      </c>
      <c r="J44" s="80">
        <f>I44-G44</f>
        <v/>
      </c>
      <c r="K44" s="103">
        <f>IFERROR(I44/G44-1,0)</f>
        <v/>
      </c>
      <c r="L44" s="80">
        <f>B44-G44</f>
        <v/>
      </c>
      <c r="M44" s="80">
        <f>C44-H44</f>
        <v/>
      </c>
      <c r="N44" s="81">
        <f>D44-I44</f>
        <v/>
      </c>
      <c r="O44" s="80">
        <f>N44-L44</f>
        <v/>
      </c>
      <c r="P44" s="82">
        <f>IFERROR(N44/D44,0)</f>
        <v/>
      </c>
    </row>
    <row r="45" hidden="1" outlineLevel="4">
      <c r="A45" s="84" t="inlineStr">
        <is>
          <t>Alternance</t>
        </is>
      </c>
      <c r="B45" s="80" t="n">
        <v>469935</v>
      </c>
      <c r="C45" s="80" t="n">
        <v>493830</v>
      </c>
      <c r="D45" s="80" t="n">
        <v>525690</v>
      </c>
      <c r="E45" s="80">
        <f>D45-B45</f>
        <v/>
      </c>
      <c r="F45" s="103">
        <f>IFERROR(D45/B45-1,0)</f>
        <v/>
      </c>
      <c r="G45" s="80" t="n">
        <v>364213</v>
      </c>
      <c r="H45" s="80" t="n">
        <v>382412</v>
      </c>
      <c r="I45" s="80" t="n">
        <v>403137</v>
      </c>
      <c r="J45" s="80">
        <f>I45-G45</f>
        <v/>
      </c>
      <c r="K45" s="103">
        <f>IFERROR(I45/G45-1,0)</f>
        <v/>
      </c>
      <c r="L45" s="80">
        <f>B45-G45</f>
        <v/>
      </c>
      <c r="M45" s="80">
        <f>C45-H45</f>
        <v/>
      </c>
      <c r="N45" s="81">
        <f>D45-I45</f>
        <v/>
      </c>
      <c r="O45" s="80">
        <f>N45-L45</f>
        <v/>
      </c>
      <c r="P45" s="82">
        <f>IFERROR(N45/D45,0)</f>
        <v/>
      </c>
    </row>
    <row r="46" hidden="1" outlineLevel="3">
      <c r="A46" s="83" t="inlineStr">
        <is>
          <t>M2</t>
        </is>
      </c>
      <c r="B46" s="80" t="n">
        <v>456750</v>
      </c>
      <c r="C46" s="80" t="n">
        <v>480375</v>
      </c>
      <c r="D46" s="80" t="n">
        <v>511875</v>
      </c>
      <c r="E46" s="80">
        <f>D46-B46</f>
        <v/>
      </c>
      <c r="F46" s="103">
        <f>IFERROR(D46/B46-1,0)</f>
        <v/>
      </c>
      <c r="G46" s="80" t="n">
        <v>342689</v>
      </c>
      <c r="H46" s="80" t="n">
        <v>359173</v>
      </c>
      <c r="I46" s="80" t="n">
        <v>378044</v>
      </c>
      <c r="J46" s="80">
        <f>I46-G46</f>
        <v/>
      </c>
      <c r="K46" s="103">
        <f>IFERROR(I46/G46-1,0)</f>
        <v/>
      </c>
      <c r="L46" s="80">
        <f>B46-G46</f>
        <v/>
      </c>
      <c r="M46" s="80">
        <f>C46-H46</f>
        <v/>
      </c>
      <c r="N46" s="81">
        <f>D46-I46</f>
        <v/>
      </c>
      <c r="O46" s="80">
        <f>N46-L46</f>
        <v/>
      </c>
      <c r="P46" s="82">
        <f>IFERROR(N46/D46,0)</f>
        <v/>
      </c>
    </row>
    <row r="47" hidden="1" outlineLevel="4">
      <c r="A47" s="84" t="inlineStr">
        <is>
          <t>Alternance</t>
        </is>
      </c>
      <c r="B47" s="80" t="n">
        <v>456750</v>
      </c>
      <c r="C47" s="80" t="n">
        <v>480375</v>
      </c>
      <c r="D47" s="80" t="n">
        <v>511875</v>
      </c>
      <c r="E47" s="80">
        <f>D47-B47</f>
        <v/>
      </c>
      <c r="F47" s="103">
        <f>IFERROR(D47/B47-1,0)</f>
        <v/>
      </c>
      <c r="G47" s="80" t="n">
        <v>342689</v>
      </c>
      <c r="H47" s="80" t="n">
        <v>359173</v>
      </c>
      <c r="I47" s="80" t="n">
        <v>378044</v>
      </c>
      <c r="J47" s="80">
        <f>I47-G47</f>
        <v/>
      </c>
      <c r="K47" s="103">
        <f>IFERROR(I47/G47-1,0)</f>
        <v/>
      </c>
      <c r="L47" s="80">
        <f>B47-G47</f>
        <v/>
      </c>
      <c r="M47" s="80">
        <f>C47-H47</f>
        <v/>
      </c>
      <c r="N47" s="81">
        <f>D47-I47</f>
        <v/>
      </c>
      <c r="O47" s="80">
        <f>N47-L47</f>
        <v/>
      </c>
      <c r="P47" s="82">
        <f>IFERROR(N47/D47,0)</f>
        <v/>
      </c>
    </row>
    <row r="48" outlineLevel="1">
      <c r="A48" s="73" t="inlineStr">
        <is>
          <t>Nantes</t>
        </is>
      </c>
      <c r="B48" s="75" t="n">
        <v>1923040</v>
      </c>
      <c r="C48" s="75" t="n">
        <v>2048260</v>
      </c>
      <c r="D48" s="75" t="n">
        <v>2158300</v>
      </c>
      <c r="E48" s="75">
        <f>D48-B48</f>
        <v/>
      </c>
      <c r="F48" s="101">
        <f>IFERROR(D48/B48-1,0)</f>
        <v/>
      </c>
      <c r="G48" s="75" t="n">
        <v>1460139</v>
      </c>
      <c r="H48" s="75" t="n">
        <v>1535893</v>
      </c>
      <c r="I48" s="75" t="n">
        <v>1614692</v>
      </c>
      <c r="J48" s="75">
        <f>I48-G48</f>
        <v/>
      </c>
      <c r="K48" s="101">
        <f>IFERROR(I48/G48-1,0)</f>
        <v/>
      </c>
      <c r="L48" s="75">
        <f>B48-G48</f>
        <v/>
      </c>
      <c r="M48" s="75">
        <f>C48-H48</f>
        <v/>
      </c>
      <c r="N48" s="102">
        <f>D48-I48</f>
        <v/>
      </c>
      <c r="O48" s="75">
        <f>N48-L48</f>
        <v/>
      </c>
      <c r="P48" s="77">
        <f>IFERROR(N48/D48,0)</f>
        <v/>
      </c>
    </row>
    <row r="49" hidden="1" outlineLevel="2">
      <c r="A49" s="78" t="inlineStr">
        <is>
          <t>BAC_MGT</t>
        </is>
      </c>
      <c r="B49" s="80" t="n">
        <v>1123270</v>
      </c>
      <c r="C49" s="80" t="n">
        <v>1195630</v>
      </c>
      <c r="D49" s="80" t="n">
        <v>1260400</v>
      </c>
      <c r="E49" s="80">
        <f>D49-B49</f>
        <v/>
      </c>
      <c r="F49" s="103">
        <f>IFERROR(D49/B49-1,0)</f>
        <v/>
      </c>
      <c r="G49" s="80" t="n">
        <v>849808</v>
      </c>
      <c r="H49" s="80" t="n">
        <v>893407</v>
      </c>
      <c r="I49" s="80" t="n">
        <v>939465</v>
      </c>
      <c r="J49" s="80">
        <f>I49-G49</f>
        <v/>
      </c>
      <c r="K49" s="103">
        <f>IFERROR(I49/G49-1,0)</f>
        <v/>
      </c>
      <c r="L49" s="80">
        <f>B49-G49</f>
        <v/>
      </c>
      <c r="M49" s="80">
        <f>C49-H49</f>
        <v/>
      </c>
      <c r="N49" s="81">
        <f>D49-I49</f>
        <v/>
      </c>
      <c r="O49" s="80">
        <f>N49-L49</f>
        <v/>
      </c>
      <c r="P49" s="82">
        <f>IFERROR(N49/D49,0)</f>
        <v/>
      </c>
    </row>
    <row r="50" hidden="1" outlineLevel="3">
      <c r="A50" s="83" t="inlineStr">
        <is>
          <t>B1</t>
        </is>
      </c>
      <c r="B50" s="80" t="n">
        <v>402270</v>
      </c>
      <c r="C50" s="80" t="n">
        <v>432630</v>
      </c>
      <c r="D50" s="80" t="n">
        <v>455400</v>
      </c>
      <c r="E50" s="80">
        <f>D50-B50</f>
        <v/>
      </c>
      <c r="F50" s="103">
        <f>IFERROR(D50/B50-1,0)</f>
        <v/>
      </c>
      <c r="G50" s="80" t="n">
        <v>307372</v>
      </c>
      <c r="H50" s="80" t="n">
        <v>325846</v>
      </c>
      <c r="I50" s="80" t="n">
        <v>342714</v>
      </c>
      <c r="J50" s="80">
        <f>I50-G50</f>
        <v/>
      </c>
      <c r="K50" s="103">
        <f>IFERROR(I50/G50-1,0)</f>
        <v/>
      </c>
      <c r="L50" s="80">
        <f>B50-G50</f>
        <v/>
      </c>
      <c r="M50" s="80">
        <f>C50-H50</f>
        <v/>
      </c>
      <c r="N50" s="81">
        <f>D50-I50</f>
        <v/>
      </c>
      <c r="O50" s="80">
        <f>N50-L50</f>
        <v/>
      </c>
      <c r="P50" s="82">
        <f>IFERROR(N50/D50,0)</f>
        <v/>
      </c>
    </row>
    <row r="51" hidden="1" outlineLevel="4">
      <c r="A51" s="84" t="inlineStr">
        <is>
          <t>Initial</t>
        </is>
      </c>
      <c r="B51" s="80" t="n">
        <v>402270</v>
      </c>
      <c r="C51" s="80" t="n">
        <v>432630</v>
      </c>
      <c r="D51" s="80" t="n">
        <v>455400</v>
      </c>
      <c r="E51" s="80">
        <f>D51-B51</f>
        <v/>
      </c>
      <c r="F51" s="103">
        <f>IFERROR(D51/B51-1,0)</f>
        <v/>
      </c>
      <c r="G51" s="80" t="n">
        <v>307372</v>
      </c>
      <c r="H51" s="80" t="n">
        <v>325846</v>
      </c>
      <c r="I51" s="80" t="n">
        <v>342714</v>
      </c>
      <c r="J51" s="80">
        <f>I51-G51</f>
        <v/>
      </c>
      <c r="K51" s="103">
        <f>IFERROR(I51/G51-1,0)</f>
        <v/>
      </c>
      <c r="L51" s="80">
        <f>B51-G51</f>
        <v/>
      </c>
      <c r="M51" s="80">
        <f>C51-H51</f>
        <v/>
      </c>
      <c r="N51" s="81">
        <f>D51-I51</f>
        <v/>
      </c>
      <c r="O51" s="80">
        <f>N51-L51</f>
        <v/>
      </c>
      <c r="P51" s="82">
        <f>IFERROR(N51/D51,0)</f>
        <v/>
      </c>
    </row>
    <row r="52" hidden="1" outlineLevel="3">
      <c r="A52" s="83" t="inlineStr">
        <is>
          <t>B2</t>
        </is>
      </c>
      <c r="B52" s="80" t="n">
        <v>364000</v>
      </c>
      <c r="C52" s="80" t="n">
        <v>385000</v>
      </c>
      <c r="D52" s="80" t="n">
        <v>406000</v>
      </c>
      <c r="E52" s="80">
        <f>D52-B52</f>
        <v/>
      </c>
      <c r="F52" s="103">
        <f>IFERROR(D52/B52-1,0)</f>
        <v/>
      </c>
      <c r="G52" s="80" t="n">
        <v>273182</v>
      </c>
      <c r="H52" s="80" t="n">
        <v>285722</v>
      </c>
      <c r="I52" s="80" t="n">
        <v>300314</v>
      </c>
      <c r="J52" s="80">
        <f>I52-G52</f>
        <v/>
      </c>
      <c r="K52" s="103">
        <f>IFERROR(I52/G52-1,0)</f>
        <v/>
      </c>
      <c r="L52" s="80">
        <f>B52-G52</f>
        <v/>
      </c>
      <c r="M52" s="80">
        <f>C52-H52</f>
        <v/>
      </c>
      <c r="N52" s="81">
        <f>D52-I52</f>
        <v/>
      </c>
      <c r="O52" s="80">
        <f>N52-L52</f>
        <v/>
      </c>
      <c r="P52" s="82">
        <f>IFERROR(N52/D52,0)</f>
        <v/>
      </c>
    </row>
    <row r="53" hidden="1" outlineLevel="4">
      <c r="A53" s="84" t="inlineStr">
        <is>
          <t>Alternance</t>
        </is>
      </c>
      <c r="B53" s="80" t="n">
        <v>364000</v>
      </c>
      <c r="C53" s="80" t="n">
        <v>385000</v>
      </c>
      <c r="D53" s="80" t="n">
        <v>406000</v>
      </c>
      <c r="E53" s="80">
        <f>D53-B53</f>
        <v/>
      </c>
      <c r="F53" s="103">
        <f>IFERROR(D53/B53-1,0)</f>
        <v/>
      </c>
      <c r="G53" s="80" t="n">
        <v>273182</v>
      </c>
      <c r="H53" s="80" t="n">
        <v>285722</v>
      </c>
      <c r="I53" s="80" t="n">
        <v>300314</v>
      </c>
      <c r="J53" s="80">
        <f>I53-G53</f>
        <v/>
      </c>
      <c r="K53" s="103">
        <f>IFERROR(I53/G53-1,0)</f>
        <v/>
      </c>
      <c r="L53" s="80">
        <f>B53-G53</f>
        <v/>
      </c>
      <c r="M53" s="80">
        <f>C53-H53</f>
        <v/>
      </c>
      <c r="N53" s="81">
        <f>D53-I53</f>
        <v/>
      </c>
      <c r="O53" s="80">
        <f>N53-L53</f>
        <v/>
      </c>
      <c r="P53" s="82">
        <f>IFERROR(N53/D53,0)</f>
        <v/>
      </c>
    </row>
    <row r="54" hidden="1" outlineLevel="3">
      <c r="A54" s="83" t="inlineStr">
        <is>
          <t>B3</t>
        </is>
      </c>
      <c r="B54" s="80" t="n">
        <v>357000</v>
      </c>
      <c r="C54" s="80" t="n">
        <v>378000</v>
      </c>
      <c r="D54" s="80" t="n">
        <v>399000</v>
      </c>
      <c r="E54" s="80">
        <f>D54-B54</f>
        <v/>
      </c>
      <c r="F54" s="103">
        <f>IFERROR(D54/B54-1,0)</f>
        <v/>
      </c>
      <c r="G54" s="80" t="n">
        <v>269254</v>
      </c>
      <c r="H54" s="80" t="n">
        <v>281838</v>
      </c>
      <c r="I54" s="80" t="n">
        <v>296438</v>
      </c>
      <c r="J54" s="80">
        <f>I54-G54</f>
        <v/>
      </c>
      <c r="K54" s="103">
        <f>IFERROR(I54/G54-1,0)</f>
        <v/>
      </c>
      <c r="L54" s="80">
        <f>B54-G54</f>
        <v/>
      </c>
      <c r="M54" s="80">
        <f>C54-H54</f>
        <v/>
      </c>
      <c r="N54" s="81">
        <f>D54-I54</f>
        <v/>
      </c>
      <c r="O54" s="80">
        <f>N54-L54</f>
        <v/>
      </c>
      <c r="P54" s="82">
        <f>IFERROR(N54/D54,0)</f>
        <v/>
      </c>
    </row>
    <row r="55" hidden="1" outlineLevel="4">
      <c r="A55" s="84" t="inlineStr">
        <is>
          <t>Alternance</t>
        </is>
      </c>
      <c r="B55" s="80" t="n">
        <v>357000</v>
      </c>
      <c r="C55" s="80" t="n">
        <v>378000</v>
      </c>
      <c r="D55" s="80" t="n">
        <v>399000</v>
      </c>
      <c r="E55" s="80">
        <f>D55-B55</f>
        <v/>
      </c>
      <c r="F55" s="103">
        <f>IFERROR(D55/B55-1,0)</f>
        <v/>
      </c>
      <c r="G55" s="80" t="n">
        <v>269254</v>
      </c>
      <c r="H55" s="80" t="n">
        <v>281838</v>
      </c>
      <c r="I55" s="80" t="n">
        <v>296438</v>
      </c>
      <c r="J55" s="80">
        <f>I55-G55</f>
        <v/>
      </c>
      <c r="K55" s="103">
        <f>IFERROR(I55/G55-1,0)</f>
        <v/>
      </c>
      <c r="L55" s="80">
        <f>B55-G55</f>
        <v/>
      </c>
      <c r="M55" s="80">
        <f>C55-H55</f>
        <v/>
      </c>
      <c r="N55" s="81">
        <f>D55-I55</f>
        <v/>
      </c>
      <c r="O55" s="80">
        <f>N55-L55</f>
        <v/>
      </c>
      <c r="P55" s="82">
        <f>IFERROR(N55/D55,0)</f>
        <v/>
      </c>
    </row>
    <row r="56" hidden="1" outlineLevel="2">
      <c r="A56" s="78" t="inlineStr">
        <is>
          <t>MAS_MGT</t>
        </is>
      </c>
      <c r="B56" s="80" t="n">
        <v>799770</v>
      </c>
      <c r="C56" s="80" t="n">
        <v>852630</v>
      </c>
      <c r="D56" s="80" t="n">
        <v>897900</v>
      </c>
      <c r="E56" s="80">
        <f>D56-B56</f>
        <v/>
      </c>
      <c r="F56" s="103">
        <f>IFERROR(D56/B56-1,0)</f>
        <v/>
      </c>
      <c r="G56" s="80" t="n">
        <v>610331</v>
      </c>
      <c r="H56" s="80" t="n">
        <v>642486</v>
      </c>
      <c r="I56" s="80" t="n">
        <v>675227</v>
      </c>
      <c r="J56" s="80">
        <f>I56-G56</f>
        <v/>
      </c>
      <c r="K56" s="103">
        <f>IFERROR(I56/G56-1,0)</f>
        <v/>
      </c>
      <c r="L56" s="80">
        <f>B56-G56</f>
        <v/>
      </c>
      <c r="M56" s="80">
        <f>C56-H56</f>
        <v/>
      </c>
      <c r="N56" s="81">
        <f>D56-I56</f>
        <v/>
      </c>
      <c r="O56" s="80">
        <f>N56-L56</f>
        <v/>
      </c>
      <c r="P56" s="82">
        <f>IFERROR(N56/D56,0)</f>
        <v/>
      </c>
    </row>
    <row r="57" hidden="1" outlineLevel="3">
      <c r="A57" s="83" t="inlineStr">
        <is>
          <t>M1</t>
        </is>
      </c>
      <c r="B57" s="80" t="n">
        <v>402270</v>
      </c>
      <c r="C57" s="80" t="n">
        <v>432630</v>
      </c>
      <c r="D57" s="80" t="n">
        <v>455400</v>
      </c>
      <c r="E57" s="80">
        <f>D57-B57</f>
        <v/>
      </c>
      <c r="F57" s="103">
        <f>IFERROR(D57/B57-1,0)</f>
        <v/>
      </c>
      <c r="G57" s="80" t="n">
        <v>311681</v>
      </c>
      <c r="H57" s="80" t="n">
        <v>330352</v>
      </c>
      <c r="I57" s="80" t="n">
        <v>347434</v>
      </c>
      <c r="J57" s="80">
        <f>I57-G57</f>
        <v/>
      </c>
      <c r="K57" s="103">
        <f>IFERROR(I57/G57-1,0)</f>
        <v/>
      </c>
      <c r="L57" s="80">
        <f>B57-G57</f>
        <v/>
      </c>
      <c r="M57" s="80">
        <f>C57-H57</f>
        <v/>
      </c>
      <c r="N57" s="81">
        <f>D57-I57</f>
        <v/>
      </c>
      <c r="O57" s="80">
        <f>N57-L57</f>
        <v/>
      </c>
      <c r="P57" s="82">
        <f>IFERROR(N57/D57,0)</f>
        <v/>
      </c>
    </row>
    <row r="58" hidden="1" outlineLevel="4">
      <c r="A58" s="84" t="inlineStr">
        <is>
          <t>Alternance</t>
        </is>
      </c>
      <c r="B58" s="80" t="n">
        <v>402270</v>
      </c>
      <c r="C58" s="80" t="n">
        <v>432630</v>
      </c>
      <c r="D58" s="80" t="n">
        <v>455400</v>
      </c>
      <c r="E58" s="80">
        <f>D58-B58</f>
        <v/>
      </c>
      <c r="F58" s="103">
        <f>IFERROR(D58/B58-1,0)</f>
        <v/>
      </c>
      <c r="G58" s="80" t="n">
        <v>311681</v>
      </c>
      <c r="H58" s="80" t="n">
        <v>330352</v>
      </c>
      <c r="I58" s="80" t="n">
        <v>347434</v>
      </c>
      <c r="J58" s="80">
        <f>I58-G58</f>
        <v/>
      </c>
      <c r="K58" s="103">
        <f>IFERROR(I58/G58-1,0)</f>
        <v/>
      </c>
      <c r="L58" s="80">
        <f>B58-G58</f>
        <v/>
      </c>
      <c r="M58" s="80">
        <f>C58-H58</f>
        <v/>
      </c>
      <c r="N58" s="81">
        <f>D58-I58</f>
        <v/>
      </c>
      <c r="O58" s="80">
        <f>N58-L58</f>
        <v/>
      </c>
      <c r="P58" s="82">
        <f>IFERROR(N58/D58,0)</f>
        <v/>
      </c>
    </row>
    <row r="59" hidden="1" outlineLevel="3">
      <c r="A59" s="83" t="inlineStr">
        <is>
          <t>M2</t>
        </is>
      </c>
      <c r="B59" s="80" t="n">
        <v>397500</v>
      </c>
      <c r="C59" s="80" t="n">
        <v>420000</v>
      </c>
      <c r="D59" s="80" t="n">
        <v>442500</v>
      </c>
      <c r="E59" s="80">
        <f>D59-B59</f>
        <v/>
      </c>
      <c r="F59" s="103">
        <f>IFERROR(D59/B59-1,0)</f>
        <v/>
      </c>
      <c r="G59" s="80" t="n">
        <v>298651</v>
      </c>
      <c r="H59" s="80" t="n">
        <v>312135</v>
      </c>
      <c r="I59" s="80" t="n">
        <v>327792</v>
      </c>
      <c r="J59" s="80">
        <f>I59-G59</f>
        <v/>
      </c>
      <c r="K59" s="103">
        <f>IFERROR(I59/G59-1,0)</f>
        <v/>
      </c>
      <c r="L59" s="80">
        <f>B59-G59</f>
        <v/>
      </c>
      <c r="M59" s="80">
        <f>C59-H59</f>
        <v/>
      </c>
      <c r="N59" s="81">
        <f>D59-I59</f>
        <v/>
      </c>
      <c r="O59" s="80">
        <f>N59-L59</f>
        <v/>
      </c>
      <c r="P59" s="82">
        <f>IFERROR(N59/D59,0)</f>
        <v/>
      </c>
    </row>
    <row r="60" hidden="1" outlineLevel="4">
      <c r="A60" s="84" t="inlineStr">
        <is>
          <t>Alternance</t>
        </is>
      </c>
      <c r="B60" s="80" t="n">
        <v>397500</v>
      </c>
      <c r="C60" s="80" t="n">
        <v>420000</v>
      </c>
      <c r="D60" s="80" t="n">
        <v>442500</v>
      </c>
      <c r="E60" s="80">
        <f>D60-B60</f>
        <v/>
      </c>
      <c r="F60" s="103">
        <f>IFERROR(D60/B60-1,0)</f>
        <v/>
      </c>
      <c r="G60" s="80" t="n">
        <v>298651</v>
      </c>
      <c r="H60" s="80" t="n">
        <v>312135</v>
      </c>
      <c r="I60" s="80" t="n">
        <v>327792</v>
      </c>
      <c r="J60" s="80">
        <f>I60-G60</f>
        <v/>
      </c>
      <c r="K60" s="103">
        <f>IFERROR(I60/G60-1,0)</f>
        <v/>
      </c>
      <c r="L60" s="80">
        <f>B60-G60</f>
        <v/>
      </c>
      <c r="M60" s="80">
        <f>C60-H60</f>
        <v/>
      </c>
      <c r="N60" s="81">
        <f>D60-I60</f>
        <v/>
      </c>
      <c r="O60" s="80">
        <f>N60-L60</f>
        <v/>
      </c>
      <c r="P60" s="82">
        <f>IFERROR(N60/D60,0)</f>
        <v/>
      </c>
    </row>
    <row r="61" outlineLevel="1">
      <c r="A61" s="73" t="inlineStr">
        <is>
          <t>Paris</t>
        </is>
      </c>
      <c r="B61" s="75" t="n">
        <v>2793380</v>
      </c>
      <c r="C61" s="75" t="n">
        <v>2974600</v>
      </c>
      <c r="D61" s="75" t="n">
        <v>3138840</v>
      </c>
      <c r="E61" s="75">
        <f>D61-B61</f>
        <v/>
      </c>
      <c r="F61" s="101">
        <f>IFERROR(D61/B61-1,0)</f>
        <v/>
      </c>
      <c r="G61" s="75" t="n">
        <v>2652983</v>
      </c>
      <c r="H61" s="75" t="n">
        <v>2788302</v>
      </c>
      <c r="I61" s="75" t="n">
        <v>2931111</v>
      </c>
      <c r="J61" s="75">
        <f>I61-G61</f>
        <v/>
      </c>
      <c r="K61" s="101">
        <f>IFERROR(I61/G61-1,0)</f>
        <v/>
      </c>
      <c r="L61" s="75">
        <f>B61-G61</f>
        <v/>
      </c>
      <c r="M61" s="75">
        <f>C61-H61</f>
        <v/>
      </c>
      <c r="N61" s="102">
        <f>D61-I61</f>
        <v/>
      </c>
      <c r="O61" s="75">
        <f>N61-L61</f>
        <v/>
      </c>
      <c r="P61" s="77">
        <f>IFERROR(N61/D61,0)</f>
        <v/>
      </c>
    </row>
    <row r="62" hidden="1" outlineLevel="2">
      <c r="A62" s="78" t="inlineStr">
        <is>
          <t>BAC_MGT</t>
        </is>
      </c>
      <c r="B62" s="80" t="n">
        <v>1636370</v>
      </c>
      <c r="C62" s="80" t="n">
        <v>1741540</v>
      </c>
      <c r="D62" s="80" t="n">
        <v>1838220</v>
      </c>
      <c r="E62" s="80">
        <f>D62-B62</f>
        <v/>
      </c>
      <c r="F62" s="103">
        <f>IFERROR(D62/B62-1,0)</f>
        <v/>
      </c>
      <c r="G62" s="80" t="n">
        <v>1616500</v>
      </c>
      <c r="H62" s="80" t="n">
        <v>1697747</v>
      </c>
      <c r="I62" s="80" t="n">
        <v>1784629</v>
      </c>
      <c r="J62" s="80">
        <f>I62-G62</f>
        <v/>
      </c>
      <c r="K62" s="103">
        <f>IFERROR(I62/G62-1,0)</f>
        <v/>
      </c>
      <c r="L62" s="80">
        <f>B62-G62</f>
        <v/>
      </c>
      <c r="M62" s="80">
        <f>C62-H62</f>
        <v/>
      </c>
      <c r="N62" s="81">
        <f>D62-I62</f>
        <v/>
      </c>
      <c r="O62" s="80">
        <f>N62-L62</f>
        <v/>
      </c>
      <c r="P62" s="86">
        <f>IFERROR(N62/D62,0)</f>
        <v/>
      </c>
    </row>
    <row r="63" hidden="1" outlineLevel="3">
      <c r="A63" s="83" t="inlineStr">
        <is>
          <t>B1</t>
        </is>
      </c>
      <c r="B63" s="80" t="n">
        <v>585810</v>
      </c>
      <c r="C63" s="80" t="n">
        <v>628260</v>
      </c>
      <c r="D63" s="80" t="n">
        <v>662220</v>
      </c>
      <c r="E63" s="80">
        <f>D63-B63</f>
        <v/>
      </c>
      <c r="F63" s="103">
        <f>IFERROR(D63/B63-1,0)</f>
        <v/>
      </c>
      <c r="G63" s="80" t="n">
        <v>588934</v>
      </c>
      <c r="H63" s="80" t="n">
        <v>622541</v>
      </c>
      <c r="I63" s="80" t="n">
        <v>654722</v>
      </c>
      <c r="J63" s="80">
        <f>I63-G63</f>
        <v/>
      </c>
      <c r="K63" s="103">
        <f>IFERROR(I63/G63-1,0)</f>
        <v/>
      </c>
      <c r="L63" s="80">
        <f>B63-G63</f>
        <v/>
      </c>
      <c r="M63" s="80">
        <f>C63-H63</f>
        <v/>
      </c>
      <c r="N63" s="81">
        <f>D63-I63</f>
        <v/>
      </c>
      <c r="O63" s="80">
        <f>N63-L63</f>
        <v/>
      </c>
      <c r="P63" s="86">
        <f>IFERROR(N63/D63,0)</f>
        <v/>
      </c>
    </row>
    <row r="64" hidden="1" outlineLevel="4">
      <c r="A64" s="84" t="inlineStr">
        <is>
          <t>Initial</t>
        </is>
      </c>
      <c r="B64" s="80" t="n">
        <v>585810</v>
      </c>
      <c r="C64" s="80" t="n">
        <v>628260</v>
      </c>
      <c r="D64" s="80" t="n">
        <v>662220</v>
      </c>
      <c r="E64" s="80">
        <f>D64-B64</f>
        <v/>
      </c>
      <c r="F64" s="103">
        <f>IFERROR(D64/B64-1,0)</f>
        <v/>
      </c>
      <c r="G64" s="80" t="n">
        <v>588934</v>
      </c>
      <c r="H64" s="80" t="n">
        <v>622541</v>
      </c>
      <c r="I64" s="80" t="n">
        <v>654722</v>
      </c>
      <c r="J64" s="80">
        <f>I64-G64</f>
        <v/>
      </c>
      <c r="K64" s="103">
        <f>IFERROR(I64/G64-1,0)</f>
        <v/>
      </c>
      <c r="L64" s="80">
        <f>B64-G64</f>
        <v/>
      </c>
      <c r="M64" s="80">
        <f>C64-H64</f>
        <v/>
      </c>
      <c r="N64" s="81">
        <f>D64-I64</f>
        <v/>
      </c>
      <c r="O64" s="80">
        <f>N64-L64</f>
        <v/>
      </c>
      <c r="P64" s="86">
        <f>IFERROR(N64/D64,0)</f>
        <v/>
      </c>
    </row>
    <row r="65" hidden="1" outlineLevel="3">
      <c r="A65" s="83" t="inlineStr">
        <is>
          <t>B2</t>
        </is>
      </c>
      <c r="B65" s="80" t="n">
        <v>533120</v>
      </c>
      <c r="C65" s="80" t="n">
        <v>564480</v>
      </c>
      <c r="D65" s="80" t="n">
        <v>595840</v>
      </c>
      <c r="E65" s="80">
        <f>D65-B65</f>
        <v/>
      </c>
      <c r="F65" s="103">
        <f>IFERROR(D65/B65-1,0)</f>
        <v/>
      </c>
      <c r="G65" s="80" t="n">
        <v>519309</v>
      </c>
      <c r="H65" s="80" t="n">
        <v>543061</v>
      </c>
      <c r="I65" s="80" t="n">
        <v>570390</v>
      </c>
      <c r="J65" s="80">
        <f>I65-G65</f>
        <v/>
      </c>
      <c r="K65" s="103">
        <f>IFERROR(I65/G65-1,0)</f>
        <v/>
      </c>
      <c r="L65" s="80">
        <f>B65-G65</f>
        <v/>
      </c>
      <c r="M65" s="80">
        <f>C65-H65</f>
        <v/>
      </c>
      <c r="N65" s="81">
        <f>D65-I65</f>
        <v/>
      </c>
      <c r="O65" s="80">
        <f>N65-L65</f>
        <v/>
      </c>
      <c r="P65" s="86">
        <f>IFERROR(N65/D65,0)</f>
        <v/>
      </c>
    </row>
    <row r="66" hidden="1" outlineLevel="4">
      <c r="A66" s="84" t="inlineStr">
        <is>
          <t>Alternance</t>
        </is>
      </c>
      <c r="B66" s="80" t="n">
        <v>533120</v>
      </c>
      <c r="C66" s="80" t="n">
        <v>564480</v>
      </c>
      <c r="D66" s="80" t="n">
        <v>595840</v>
      </c>
      <c r="E66" s="80">
        <f>D66-B66</f>
        <v/>
      </c>
      <c r="F66" s="103">
        <f>IFERROR(D66/B66-1,0)</f>
        <v/>
      </c>
      <c r="G66" s="80" t="n">
        <v>519309</v>
      </c>
      <c r="H66" s="80" t="n">
        <v>543061</v>
      </c>
      <c r="I66" s="80" t="n">
        <v>570390</v>
      </c>
      <c r="J66" s="80">
        <f>I66-G66</f>
        <v/>
      </c>
      <c r="K66" s="103">
        <f>IFERROR(I66/G66-1,0)</f>
        <v/>
      </c>
      <c r="L66" s="80">
        <f>B66-G66</f>
        <v/>
      </c>
      <c r="M66" s="80">
        <f>C66-H66</f>
        <v/>
      </c>
      <c r="N66" s="81">
        <f>D66-I66</f>
        <v/>
      </c>
      <c r="O66" s="80">
        <f>N66-L66</f>
        <v/>
      </c>
      <c r="P66" s="86">
        <f>IFERROR(N66/D66,0)</f>
        <v/>
      </c>
    </row>
    <row r="67" hidden="1" outlineLevel="3">
      <c r="A67" s="83" t="inlineStr">
        <is>
          <t>B3</t>
        </is>
      </c>
      <c r="B67" s="80" t="n">
        <v>517440</v>
      </c>
      <c r="C67" s="80" t="n">
        <v>548800</v>
      </c>
      <c r="D67" s="80" t="n">
        <v>580160</v>
      </c>
      <c r="E67" s="80">
        <f>D67-B67</f>
        <v/>
      </c>
      <c r="F67" s="103">
        <f>IFERROR(D67/B67-1,0)</f>
        <v/>
      </c>
      <c r="G67" s="80" t="n">
        <v>508256</v>
      </c>
      <c r="H67" s="80" t="n">
        <v>532145</v>
      </c>
      <c r="I67" s="80" t="n">
        <v>559518</v>
      </c>
      <c r="J67" s="80">
        <f>I67-G67</f>
        <v/>
      </c>
      <c r="K67" s="103">
        <f>IFERROR(I67/G67-1,0)</f>
        <v/>
      </c>
      <c r="L67" s="80">
        <f>B67-G67</f>
        <v/>
      </c>
      <c r="M67" s="80">
        <f>C67-H67</f>
        <v/>
      </c>
      <c r="N67" s="81">
        <f>D67-I67</f>
        <v/>
      </c>
      <c r="O67" s="80">
        <f>N67-L67</f>
        <v/>
      </c>
      <c r="P67" s="86">
        <f>IFERROR(N67/D67,0)</f>
        <v/>
      </c>
    </row>
    <row r="68" hidden="1" outlineLevel="4">
      <c r="A68" s="84" t="inlineStr">
        <is>
          <t>Alternance</t>
        </is>
      </c>
      <c r="B68" s="80" t="n">
        <v>517440</v>
      </c>
      <c r="C68" s="80" t="n">
        <v>548800</v>
      </c>
      <c r="D68" s="80" t="n">
        <v>580160</v>
      </c>
      <c r="E68" s="80">
        <f>D68-B68</f>
        <v/>
      </c>
      <c r="F68" s="103">
        <f>IFERROR(D68/B68-1,0)</f>
        <v/>
      </c>
      <c r="G68" s="80" t="n">
        <v>508256</v>
      </c>
      <c r="H68" s="80" t="n">
        <v>532145</v>
      </c>
      <c r="I68" s="80" t="n">
        <v>559518</v>
      </c>
      <c r="J68" s="80">
        <f>I68-G68</f>
        <v/>
      </c>
      <c r="K68" s="103">
        <f>IFERROR(I68/G68-1,0)</f>
        <v/>
      </c>
      <c r="L68" s="80">
        <f>B68-G68</f>
        <v/>
      </c>
      <c r="M68" s="80">
        <f>C68-H68</f>
        <v/>
      </c>
      <c r="N68" s="81">
        <f>D68-I68</f>
        <v/>
      </c>
      <c r="O68" s="80">
        <f>N68-L68</f>
        <v/>
      </c>
      <c r="P68" s="86">
        <f>IFERROR(N68/D68,0)</f>
        <v/>
      </c>
    </row>
    <row r="69" hidden="1" outlineLevel="2">
      <c r="A69" s="78" t="inlineStr">
        <is>
          <t>MAS_MGT</t>
        </is>
      </c>
      <c r="B69" s="80" t="n">
        <v>1157010</v>
      </c>
      <c r="C69" s="80" t="n">
        <v>1233060</v>
      </c>
      <c r="D69" s="80" t="n">
        <v>1300620</v>
      </c>
      <c r="E69" s="80">
        <f>D69-B69</f>
        <v/>
      </c>
      <c r="F69" s="103">
        <f>IFERROR(D69/B69-1,0)</f>
        <v/>
      </c>
      <c r="G69" s="80" t="n">
        <v>1036484</v>
      </c>
      <c r="H69" s="80" t="n">
        <v>1090555</v>
      </c>
      <c r="I69" s="80" t="n">
        <v>1146482</v>
      </c>
      <c r="J69" s="80">
        <f>I69-G69</f>
        <v/>
      </c>
      <c r="K69" s="103">
        <f>IFERROR(I69/G69-1,0)</f>
        <v/>
      </c>
      <c r="L69" s="80">
        <f>B69-G69</f>
        <v/>
      </c>
      <c r="M69" s="80">
        <f>C69-H69</f>
        <v/>
      </c>
      <c r="N69" s="81">
        <f>D69-I69</f>
        <v/>
      </c>
      <c r="O69" s="80">
        <f>N69-L69</f>
        <v/>
      </c>
      <c r="P69" s="82">
        <f>IFERROR(N69/D69,0)</f>
        <v/>
      </c>
    </row>
    <row r="70" hidden="1" outlineLevel="3">
      <c r="A70" s="83" t="inlineStr">
        <is>
          <t>M1</t>
        </is>
      </c>
      <c r="B70" s="80" t="n">
        <v>585810</v>
      </c>
      <c r="C70" s="80" t="n">
        <v>628260</v>
      </c>
      <c r="D70" s="80" t="n">
        <v>662220</v>
      </c>
      <c r="E70" s="80">
        <f>D70-B70</f>
        <v/>
      </c>
      <c r="F70" s="103">
        <f>IFERROR(D70/B70-1,0)</f>
        <v/>
      </c>
      <c r="G70" s="80" t="n">
        <v>535115</v>
      </c>
      <c r="H70" s="80" t="n">
        <v>566256</v>
      </c>
      <c r="I70" s="80" t="n">
        <v>595750</v>
      </c>
      <c r="J70" s="80">
        <f>I70-G70</f>
        <v/>
      </c>
      <c r="K70" s="103">
        <f>IFERROR(I70/G70-1,0)</f>
        <v/>
      </c>
      <c r="L70" s="80">
        <f>B70-G70</f>
        <v/>
      </c>
      <c r="M70" s="80">
        <f>C70-H70</f>
        <v/>
      </c>
      <c r="N70" s="81">
        <f>D70-I70</f>
        <v/>
      </c>
      <c r="O70" s="80">
        <f>N70-L70</f>
        <v/>
      </c>
      <c r="P70" s="82">
        <f>IFERROR(N70/D70,0)</f>
        <v/>
      </c>
    </row>
    <row r="71" hidden="1" outlineLevel="4">
      <c r="A71" s="84" t="inlineStr">
        <is>
          <t>Alternance</t>
        </is>
      </c>
      <c r="B71" s="80" t="n">
        <v>585810</v>
      </c>
      <c r="C71" s="80" t="n">
        <v>628260</v>
      </c>
      <c r="D71" s="80" t="n">
        <v>662220</v>
      </c>
      <c r="E71" s="80">
        <f>D71-B71</f>
        <v/>
      </c>
      <c r="F71" s="103">
        <f>IFERROR(D71/B71-1,0)</f>
        <v/>
      </c>
      <c r="G71" s="80" t="n">
        <v>535115</v>
      </c>
      <c r="H71" s="80" t="n">
        <v>566256</v>
      </c>
      <c r="I71" s="80" t="n">
        <v>595750</v>
      </c>
      <c r="J71" s="80">
        <f>I71-G71</f>
        <v/>
      </c>
      <c r="K71" s="103">
        <f>IFERROR(I71/G71-1,0)</f>
        <v/>
      </c>
      <c r="L71" s="80">
        <f>B71-G71</f>
        <v/>
      </c>
      <c r="M71" s="80">
        <f>C71-H71</f>
        <v/>
      </c>
      <c r="N71" s="81">
        <f>D71-I71</f>
        <v/>
      </c>
      <c r="O71" s="80">
        <f>N71-L71</f>
        <v/>
      </c>
      <c r="P71" s="82">
        <f>IFERROR(N71/D71,0)</f>
        <v/>
      </c>
    </row>
    <row r="72" hidden="1" outlineLevel="3">
      <c r="A72" s="83" t="inlineStr">
        <is>
          <t>M2</t>
        </is>
      </c>
      <c r="B72" s="80" t="n">
        <v>571200</v>
      </c>
      <c r="C72" s="80" t="n">
        <v>604800</v>
      </c>
      <c r="D72" s="80" t="n">
        <v>638400</v>
      </c>
      <c r="E72" s="80">
        <f>D72-B72</f>
        <v/>
      </c>
      <c r="F72" s="103">
        <f>IFERROR(D72/B72-1,0)</f>
        <v/>
      </c>
      <c r="G72" s="80" t="n">
        <v>501369</v>
      </c>
      <c r="H72" s="80" t="n">
        <v>524299</v>
      </c>
      <c r="I72" s="80" t="n">
        <v>550732</v>
      </c>
      <c r="J72" s="80">
        <f>I72-G72</f>
        <v/>
      </c>
      <c r="K72" s="103">
        <f>IFERROR(I72/G72-1,0)</f>
        <v/>
      </c>
      <c r="L72" s="80">
        <f>B72-G72</f>
        <v/>
      </c>
      <c r="M72" s="80">
        <f>C72-H72</f>
        <v/>
      </c>
      <c r="N72" s="81">
        <f>D72-I72</f>
        <v/>
      </c>
      <c r="O72" s="80">
        <f>N72-L72</f>
        <v/>
      </c>
      <c r="P72" s="82">
        <f>IFERROR(N72/D72,0)</f>
        <v/>
      </c>
    </row>
    <row r="73" hidden="1" outlineLevel="4">
      <c r="A73" s="84" t="inlineStr">
        <is>
          <t>Alternance</t>
        </is>
      </c>
      <c r="B73" s="80" t="n">
        <v>571200</v>
      </c>
      <c r="C73" s="80" t="n">
        <v>604800</v>
      </c>
      <c r="D73" s="80" t="n">
        <v>638400</v>
      </c>
      <c r="E73" s="80">
        <f>D73-B73</f>
        <v/>
      </c>
      <c r="F73" s="103">
        <f>IFERROR(D73/B73-1,0)</f>
        <v/>
      </c>
      <c r="G73" s="80" t="n">
        <v>501369</v>
      </c>
      <c r="H73" s="80" t="n">
        <v>524299</v>
      </c>
      <c r="I73" s="80" t="n">
        <v>550732</v>
      </c>
      <c r="J73" s="80">
        <f>I73-G73</f>
        <v/>
      </c>
      <c r="K73" s="103">
        <f>IFERROR(I73/G73-1,0)</f>
        <v/>
      </c>
      <c r="L73" s="80">
        <f>B73-G73</f>
        <v/>
      </c>
      <c r="M73" s="80">
        <f>C73-H73</f>
        <v/>
      </c>
      <c r="N73" s="81">
        <f>D73-I73</f>
        <v/>
      </c>
      <c r="O73" s="80">
        <f>N73-L73</f>
        <v/>
      </c>
      <c r="P73" s="82">
        <f>IFERROR(N73/D73,0)</f>
        <v/>
      </c>
    </row>
    <row r="74">
      <c r="A74" s="68" t="inlineStr">
        <is>
          <t>Iscom</t>
        </is>
      </c>
      <c r="B74" s="70" t="n">
        <v>5593340</v>
      </c>
      <c r="C74" s="70" t="n">
        <v>5914800</v>
      </c>
      <c r="D74" s="70" t="n">
        <v>6292550</v>
      </c>
      <c r="E74" s="70">
        <f>D74-B74</f>
        <v/>
      </c>
      <c r="F74" s="98">
        <f>IFERROR(D74/B74-1,0)</f>
        <v/>
      </c>
      <c r="G74" s="70" t="n">
        <v>4785303</v>
      </c>
      <c r="H74" s="70" t="n">
        <v>5024435</v>
      </c>
      <c r="I74" s="70" t="n">
        <v>5290478</v>
      </c>
      <c r="J74" s="70">
        <f>I74-G74</f>
        <v/>
      </c>
      <c r="K74" s="98">
        <f>IFERROR(I74/G74-1,0)</f>
        <v/>
      </c>
      <c r="L74" s="70">
        <f>B74-G74</f>
        <v/>
      </c>
      <c r="M74" s="70">
        <f>C74-H74</f>
        <v/>
      </c>
      <c r="N74" s="99">
        <f>D74-I74</f>
        <v/>
      </c>
      <c r="O74" s="70">
        <f>N74-L74</f>
        <v/>
      </c>
      <c r="P74" s="72">
        <f>IFERROR(N74/D74,0)</f>
        <v/>
      </c>
    </row>
    <row r="75" outlineLevel="1">
      <c r="A75" s="73" t="inlineStr">
        <is>
          <t>Lille</t>
        </is>
      </c>
      <c r="B75" s="75" t="n">
        <v>1561220</v>
      </c>
      <c r="C75" s="75" t="n">
        <v>1648000</v>
      </c>
      <c r="D75" s="75" t="n">
        <v>1755850</v>
      </c>
      <c r="E75" s="75">
        <f>D75-B75</f>
        <v/>
      </c>
      <c r="F75" s="101">
        <f>IFERROR(D75/B75-1,0)</f>
        <v/>
      </c>
      <c r="G75" s="75" t="n">
        <v>1149448</v>
      </c>
      <c r="H75" s="75" t="n">
        <v>1206986</v>
      </c>
      <c r="I75" s="75" t="n">
        <v>1272073</v>
      </c>
      <c r="J75" s="75">
        <f>I75-G75</f>
        <v/>
      </c>
      <c r="K75" s="101">
        <f>IFERROR(I75/G75-1,0)</f>
        <v/>
      </c>
      <c r="L75" s="75">
        <f>B75-G75</f>
        <v/>
      </c>
      <c r="M75" s="75">
        <f>C75-H75</f>
        <v/>
      </c>
      <c r="N75" s="102">
        <f>D75-I75</f>
        <v/>
      </c>
      <c r="O75" s="75">
        <f>N75-L75</f>
        <v/>
      </c>
      <c r="P75" s="77">
        <f>IFERROR(N75/D75,0)</f>
        <v/>
      </c>
    </row>
    <row r="76" hidden="1" outlineLevel="2">
      <c r="A76" s="78" t="inlineStr">
        <is>
          <t>BAC_COM</t>
        </is>
      </c>
      <c r="B76" s="80" t="n">
        <v>910460</v>
      </c>
      <c r="C76" s="80" t="n">
        <v>960220</v>
      </c>
      <c r="D76" s="80" t="n">
        <v>1023700</v>
      </c>
      <c r="E76" s="80">
        <f>D76-B76</f>
        <v/>
      </c>
      <c r="F76" s="103">
        <f>IFERROR(D76/B76-1,0)</f>
        <v/>
      </c>
      <c r="G76" s="80" t="n">
        <v>699074</v>
      </c>
      <c r="H76" s="80" t="n">
        <v>733398</v>
      </c>
      <c r="I76" s="80" t="n">
        <v>773068</v>
      </c>
      <c r="J76" s="80">
        <f>I76-G76</f>
        <v/>
      </c>
      <c r="K76" s="103">
        <f>IFERROR(I76/G76-1,0)</f>
        <v/>
      </c>
      <c r="L76" s="80">
        <f>B76-G76</f>
        <v/>
      </c>
      <c r="M76" s="80">
        <f>C76-H76</f>
        <v/>
      </c>
      <c r="N76" s="81">
        <f>D76-I76</f>
        <v/>
      </c>
      <c r="O76" s="80">
        <f>N76-L76</f>
        <v/>
      </c>
      <c r="P76" s="82">
        <f>IFERROR(N76/D76,0)</f>
        <v/>
      </c>
    </row>
    <row r="77" hidden="1" outlineLevel="3">
      <c r="A77" s="83" t="inlineStr">
        <is>
          <t>B1</t>
        </is>
      </c>
      <c r="B77" s="80" t="n">
        <v>327360</v>
      </c>
      <c r="C77" s="80" t="n">
        <v>349680</v>
      </c>
      <c r="D77" s="80" t="n">
        <v>372000</v>
      </c>
      <c r="E77" s="80">
        <f>D77-B77</f>
        <v/>
      </c>
      <c r="F77" s="103">
        <f>IFERROR(D77/B77-1,0)</f>
        <v/>
      </c>
      <c r="G77" s="80" t="n">
        <v>254345</v>
      </c>
      <c r="H77" s="80" t="n">
        <v>269426</v>
      </c>
      <c r="I77" s="80" t="n">
        <v>283885</v>
      </c>
      <c r="J77" s="80">
        <f>I77-G77</f>
        <v/>
      </c>
      <c r="K77" s="103">
        <f>IFERROR(I77/G77-1,0)</f>
        <v/>
      </c>
      <c r="L77" s="80">
        <f>B77-G77</f>
        <v/>
      </c>
      <c r="M77" s="80">
        <f>C77-H77</f>
        <v/>
      </c>
      <c r="N77" s="81">
        <f>D77-I77</f>
        <v/>
      </c>
      <c r="O77" s="80">
        <f>N77-L77</f>
        <v/>
      </c>
      <c r="P77" s="82">
        <f>IFERROR(N77/D77,0)</f>
        <v/>
      </c>
    </row>
    <row r="78" hidden="1" outlineLevel="4">
      <c r="A78" s="84" t="inlineStr">
        <is>
          <t>Initial</t>
        </is>
      </c>
      <c r="B78" s="80" t="n">
        <v>327360</v>
      </c>
      <c r="C78" s="80" t="n">
        <v>349680</v>
      </c>
      <c r="D78" s="80" t="n">
        <v>372000</v>
      </c>
      <c r="E78" s="80">
        <f>D78-B78</f>
        <v/>
      </c>
      <c r="F78" s="103">
        <f>IFERROR(D78/B78-1,0)</f>
        <v/>
      </c>
      <c r="G78" s="80" t="n">
        <v>254345</v>
      </c>
      <c r="H78" s="80" t="n">
        <v>269426</v>
      </c>
      <c r="I78" s="80" t="n">
        <v>283885</v>
      </c>
      <c r="J78" s="80">
        <f>I78-G78</f>
        <v/>
      </c>
      <c r="K78" s="103">
        <f>IFERROR(I78/G78-1,0)</f>
        <v/>
      </c>
      <c r="L78" s="80">
        <f>B78-G78</f>
        <v/>
      </c>
      <c r="M78" s="80">
        <f>C78-H78</f>
        <v/>
      </c>
      <c r="N78" s="81">
        <f>D78-I78</f>
        <v/>
      </c>
      <c r="O78" s="80">
        <f>N78-L78</f>
        <v/>
      </c>
      <c r="P78" s="82">
        <f>IFERROR(N78/D78,0)</f>
        <v/>
      </c>
    </row>
    <row r="79" hidden="1" outlineLevel="3">
      <c r="A79" s="83" t="inlineStr">
        <is>
          <t>B2</t>
        </is>
      </c>
      <c r="B79" s="80" t="n">
        <v>294980</v>
      </c>
      <c r="C79" s="80" t="n">
        <v>308700</v>
      </c>
      <c r="D79" s="80" t="n">
        <v>329280</v>
      </c>
      <c r="E79" s="80">
        <f>D79-B79</f>
        <v/>
      </c>
      <c r="F79" s="103">
        <f>IFERROR(D79/B79-1,0)</f>
        <v/>
      </c>
      <c r="G79" s="80" t="n">
        <v>224229</v>
      </c>
      <c r="H79" s="80" t="n">
        <v>233842</v>
      </c>
      <c r="I79" s="80" t="n">
        <v>246430</v>
      </c>
      <c r="J79" s="80">
        <f>I79-G79</f>
        <v/>
      </c>
      <c r="K79" s="103">
        <f>IFERROR(I79/G79-1,0)</f>
        <v/>
      </c>
      <c r="L79" s="80">
        <f>B79-G79</f>
        <v/>
      </c>
      <c r="M79" s="80">
        <f>C79-H79</f>
        <v/>
      </c>
      <c r="N79" s="81">
        <f>D79-I79</f>
        <v/>
      </c>
      <c r="O79" s="80">
        <f>N79-L79</f>
        <v/>
      </c>
      <c r="P79" s="82">
        <f>IFERROR(N79/D79,0)</f>
        <v/>
      </c>
    </row>
    <row r="80" hidden="1" outlineLevel="4">
      <c r="A80" s="84" t="inlineStr">
        <is>
          <t>Alternance</t>
        </is>
      </c>
      <c r="B80" s="80" t="n">
        <v>294980</v>
      </c>
      <c r="C80" s="80" t="n">
        <v>308700</v>
      </c>
      <c r="D80" s="80" t="n">
        <v>329280</v>
      </c>
      <c r="E80" s="80">
        <f>D80-B80</f>
        <v/>
      </c>
      <c r="F80" s="103">
        <f>IFERROR(D80/B80-1,0)</f>
        <v/>
      </c>
      <c r="G80" s="80" t="n">
        <v>224229</v>
      </c>
      <c r="H80" s="80" t="n">
        <v>233842</v>
      </c>
      <c r="I80" s="80" t="n">
        <v>246430</v>
      </c>
      <c r="J80" s="80">
        <f>I80-G80</f>
        <v/>
      </c>
      <c r="K80" s="103">
        <f>IFERROR(I80/G80-1,0)</f>
        <v/>
      </c>
      <c r="L80" s="80">
        <f>B80-G80</f>
        <v/>
      </c>
      <c r="M80" s="80">
        <f>C80-H80</f>
        <v/>
      </c>
      <c r="N80" s="81">
        <f>D80-I80</f>
        <v/>
      </c>
      <c r="O80" s="80">
        <f>N80-L80</f>
        <v/>
      </c>
      <c r="P80" s="82">
        <f>IFERROR(N80/D80,0)</f>
        <v/>
      </c>
    </row>
    <row r="81" hidden="1" outlineLevel="3">
      <c r="A81" s="83" t="inlineStr">
        <is>
          <t>B3</t>
        </is>
      </c>
      <c r="B81" s="80" t="n">
        <v>288120</v>
      </c>
      <c r="C81" s="80" t="n">
        <v>301840</v>
      </c>
      <c r="D81" s="80" t="n">
        <v>322420</v>
      </c>
      <c r="E81" s="80">
        <f>D81-B81</f>
        <v/>
      </c>
      <c r="F81" s="103">
        <f>IFERROR(D81/B81-1,0)</f>
        <v/>
      </c>
      <c r="G81" s="80" t="n">
        <v>220500</v>
      </c>
      <c r="H81" s="80" t="n">
        <v>230130</v>
      </c>
      <c r="I81" s="80" t="n">
        <v>242753</v>
      </c>
      <c r="J81" s="80">
        <f>I81-G81</f>
        <v/>
      </c>
      <c r="K81" s="103">
        <f>IFERROR(I81/G81-1,0)</f>
        <v/>
      </c>
      <c r="L81" s="80">
        <f>B81-G81</f>
        <v/>
      </c>
      <c r="M81" s="80">
        <f>C81-H81</f>
        <v/>
      </c>
      <c r="N81" s="81">
        <f>D81-I81</f>
        <v/>
      </c>
      <c r="O81" s="80">
        <f>N81-L81</f>
        <v/>
      </c>
      <c r="P81" s="82">
        <f>IFERROR(N81/D81,0)</f>
        <v/>
      </c>
    </row>
    <row r="82" hidden="1" outlineLevel="4">
      <c r="A82" s="84" t="inlineStr">
        <is>
          <t>Alternance</t>
        </is>
      </c>
      <c r="B82" s="80" t="n">
        <v>288120</v>
      </c>
      <c r="C82" s="80" t="n">
        <v>301840</v>
      </c>
      <c r="D82" s="80" t="n">
        <v>322420</v>
      </c>
      <c r="E82" s="80">
        <f>D82-B82</f>
        <v/>
      </c>
      <c r="F82" s="103">
        <f>IFERROR(D82/B82-1,0)</f>
        <v/>
      </c>
      <c r="G82" s="80" t="n">
        <v>220500</v>
      </c>
      <c r="H82" s="80" t="n">
        <v>230130</v>
      </c>
      <c r="I82" s="80" t="n">
        <v>242753</v>
      </c>
      <c r="J82" s="80">
        <f>I82-G82</f>
        <v/>
      </c>
      <c r="K82" s="103">
        <f>IFERROR(I82/G82-1,0)</f>
        <v/>
      </c>
      <c r="L82" s="80">
        <f>B82-G82</f>
        <v/>
      </c>
      <c r="M82" s="80">
        <f>C82-H82</f>
        <v/>
      </c>
      <c r="N82" s="81">
        <f>D82-I82</f>
        <v/>
      </c>
      <c r="O82" s="80">
        <f>N82-L82</f>
        <v/>
      </c>
      <c r="P82" s="82">
        <f>IFERROR(N82/D82,0)</f>
        <v/>
      </c>
    </row>
    <row r="83" hidden="1" outlineLevel="2">
      <c r="A83" s="78" t="inlineStr">
        <is>
          <t>MAS_COM</t>
        </is>
      </c>
      <c r="B83" s="80" t="n">
        <v>650760</v>
      </c>
      <c r="C83" s="80" t="n">
        <v>687780</v>
      </c>
      <c r="D83" s="80" t="n">
        <v>732150</v>
      </c>
      <c r="E83" s="80">
        <f>D83-B83</f>
        <v/>
      </c>
      <c r="F83" s="103">
        <f>IFERROR(D83/B83-1,0)</f>
        <v/>
      </c>
      <c r="G83" s="80" t="n">
        <v>450375</v>
      </c>
      <c r="H83" s="80" t="n">
        <v>473589</v>
      </c>
      <c r="I83" s="80" t="n">
        <v>499005</v>
      </c>
      <c r="J83" s="80">
        <f>I83-G83</f>
        <v/>
      </c>
      <c r="K83" s="103">
        <f>IFERROR(I83/G83-1,0)</f>
        <v/>
      </c>
      <c r="L83" s="80">
        <f>B83-G83</f>
        <v/>
      </c>
      <c r="M83" s="80">
        <f>C83-H83</f>
        <v/>
      </c>
      <c r="N83" s="81">
        <f>D83-I83</f>
        <v/>
      </c>
      <c r="O83" s="80">
        <f>N83-L83</f>
        <v/>
      </c>
      <c r="P83" s="82">
        <f>IFERROR(N83/D83,0)</f>
        <v/>
      </c>
    </row>
    <row r="84" hidden="1" outlineLevel="3">
      <c r="A84" s="83" t="inlineStr">
        <is>
          <t>M1</t>
        </is>
      </c>
      <c r="B84" s="80" t="n">
        <v>327360</v>
      </c>
      <c r="C84" s="80" t="n">
        <v>349680</v>
      </c>
      <c r="D84" s="80" t="n">
        <v>372000</v>
      </c>
      <c r="E84" s="80">
        <f>D84-B84</f>
        <v/>
      </c>
      <c r="F84" s="103">
        <f>IFERROR(D84/B84-1,0)</f>
        <v/>
      </c>
      <c r="G84" s="80" t="n">
        <v>230398</v>
      </c>
      <c r="H84" s="80" t="n">
        <v>244382</v>
      </c>
      <c r="I84" s="80" t="n">
        <v>257645</v>
      </c>
      <c r="J84" s="80">
        <f>I84-G84</f>
        <v/>
      </c>
      <c r="K84" s="103">
        <f>IFERROR(I84/G84-1,0)</f>
        <v/>
      </c>
      <c r="L84" s="80">
        <f>B84-G84</f>
        <v/>
      </c>
      <c r="M84" s="80">
        <f>C84-H84</f>
        <v/>
      </c>
      <c r="N84" s="81">
        <f>D84-I84</f>
        <v/>
      </c>
      <c r="O84" s="80">
        <f>N84-L84</f>
        <v/>
      </c>
      <c r="P84" s="82">
        <f>IFERROR(N84/D84,0)</f>
        <v/>
      </c>
    </row>
    <row r="85" hidden="1" outlineLevel="4">
      <c r="A85" s="84" t="inlineStr">
        <is>
          <t>Alternance</t>
        </is>
      </c>
      <c r="B85" s="80" t="n">
        <v>327360</v>
      </c>
      <c r="C85" s="80" t="n">
        <v>349680</v>
      </c>
      <c r="D85" s="80" t="n">
        <v>372000</v>
      </c>
      <c r="E85" s="80">
        <f>D85-B85</f>
        <v/>
      </c>
      <c r="F85" s="103">
        <f>IFERROR(D85/B85-1,0)</f>
        <v/>
      </c>
      <c r="G85" s="80" t="n">
        <v>230398</v>
      </c>
      <c r="H85" s="80" t="n">
        <v>244382</v>
      </c>
      <c r="I85" s="80" t="n">
        <v>257645</v>
      </c>
      <c r="J85" s="80">
        <f>I85-G85</f>
        <v/>
      </c>
      <c r="K85" s="103">
        <f>IFERROR(I85/G85-1,0)</f>
        <v/>
      </c>
      <c r="L85" s="80">
        <f>B85-G85</f>
        <v/>
      </c>
      <c r="M85" s="80">
        <f>C85-H85</f>
        <v/>
      </c>
      <c r="N85" s="81">
        <f>D85-I85</f>
        <v/>
      </c>
      <c r="O85" s="80">
        <f>N85-L85</f>
        <v/>
      </c>
      <c r="P85" s="82">
        <f>IFERROR(N85/D85,0)</f>
        <v/>
      </c>
    </row>
    <row r="86" hidden="1" outlineLevel="3">
      <c r="A86" s="83" t="inlineStr">
        <is>
          <t>M2</t>
        </is>
      </c>
      <c r="B86" s="80" t="n">
        <v>323400</v>
      </c>
      <c r="C86" s="80" t="n">
        <v>338100</v>
      </c>
      <c r="D86" s="80" t="n">
        <v>360150</v>
      </c>
      <c r="E86" s="80">
        <f>D86-B86</f>
        <v/>
      </c>
      <c r="F86" s="103">
        <f>IFERROR(D86/B86-1,0)</f>
        <v/>
      </c>
      <c r="G86" s="80" t="n">
        <v>219977</v>
      </c>
      <c r="H86" s="80" t="n">
        <v>229206</v>
      </c>
      <c r="I86" s="80" t="n">
        <v>241359</v>
      </c>
      <c r="J86" s="80">
        <f>I86-G86</f>
        <v/>
      </c>
      <c r="K86" s="103">
        <f>IFERROR(I86/G86-1,0)</f>
        <v/>
      </c>
      <c r="L86" s="80">
        <f>B86-G86</f>
        <v/>
      </c>
      <c r="M86" s="80">
        <f>C86-H86</f>
        <v/>
      </c>
      <c r="N86" s="81">
        <f>D86-I86</f>
        <v/>
      </c>
      <c r="O86" s="80">
        <f>N86-L86</f>
        <v/>
      </c>
      <c r="P86" s="82">
        <f>IFERROR(N86/D86,0)</f>
        <v/>
      </c>
    </row>
    <row r="87" hidden="1" outlineLevel="4">
      <c r="A87" s="84" t="inlineStr">
        <is>
          <t>Alternance</t>
        </is>
      </c>
      <c r="B87" s="80" t="n">
        <v>323400</v>
      </c>
      <c r="C87" s="80" t="n">
        <v>338100</v>
      </c>
      <c r="D87" s="80" t="n">
        <v>360150</v>
      </c>
      <c r="E87" s="80">
        <f>D87-B87</f>
        <v/>
      </c>
      <c r="F87" s="103">
        <f>IFERROR(D87/B87-1,0)</f>
        <v/>
      </c>
      <c r="G87" s="80" t="n">
        <v>219977</v>
      </c>
      <c r="H87" s="80" t="n">
        <v>229206</v>
      </c>
      <c r="I87" s="80" t="n">
        <v>241359</v>
      </c>
      <c r="J87" s="80">
        <f>I87-G87</f>
        <v/>
      </c>
      <c r="K87" s="103">
        <f>IFERROR(I87/G87-1,0)</f>
        <v/>
      </c>
      <c r="L87" s="80">
        <f>B87-G87</f>
        <v/>
      </c>
      <c r="M87" s="80">
        <f>C87-H87</f>
        <v/>
      </c>
      <c r="N87" s="81">
        <f>D87-I87</f>
        <v/>
      </c>
      <c r="O87" s="80">
        <f>N87-L87</f>
        <v/>
      </c>
      <c r="P87" s="82">
        <f>IFERROR(N87/D87,0)</f>
        <v/>
      </c>
    </row>
    <row r="88" outlineLevel="1">
      <c r="A88" s="73" t="inlineStr">
        <is>
          <t>Paris</t>
        </is>
      </c>
      <c r="B88" s="75" t="n">
        <v>2580240</v>
      </c>
      <c r="C88" s="75" t="n">
        <v>2744480</v>
      </c>
      <c r="D88" s="75" t="n">
        <v>2908720</v>
      </c>
      <c r="E88" s="75">
        <f>D88-B88</f>
        <v/>
      </c>
      <c r="F88" s="101">
        <f>IFERROR(D88/B88-1,0)</f>
        <v/>
      </c>
      <c r="G88" s="75" t="n">
        <v>2542368</v>
      </c>
      <c r="H88" s="75" t="n">
        <v>2670967</v>
      </c>
      <c r="I88" s="75" t="n">
        <v>2809420</v>
      </c>
      <c r="J88" s="75">
        <f>I88-G88</f>
        <v/>
      </c>
      <c r="K88" s="101">
        <f>IFERROR(I88/G88-1,0)</f>
        <v/>
      </c>
      <c r="L88" s="75">
        <f>B88-G88</f>
        <v/>
      </c>
      <c r="M88" s="75">
        <f>C88-H88</f>
        <v/>
      </c>
      <c r="N88" s="102">
        <f>D88-I88</f>
        <v/>
      </c>
      <c r="O88" s="75">
        <f>N88-L88</f>
        <v/>
      </c>
      <c r="P88" s="88">
        <f>IFERROR(N88/D88,0)</f>
        <v/>
      </c>
    </row>
    <row r="89" hidden="1" outlineLevel="2">
      <c r="A89" s="78" t="inlineStr">
        <is>
          <t>BAC_COM</t>
        </is>
      </c>
      <c r="B89" s="80" t="n">
        <v>1507680</v>
      </c>
      <c r="C89" s="80" t="n">
        <v>1604360</v>
      </c>
      <c r="D89" s="80" t="n">
        <v>1701040</v>
      </c>
      <c r="E89" s="80">
        <f>D89-B89</f>
        <v/>
      </c>
      <c r="F89" s="103">
        <f>IFERROR(D89/B89-1,0)</f>
        <v/>
      </c>
      <c r="G89" s="80" t="n">
        <v>1548364</v>
      </c>
      <c r="H89" s="80" t="n">
        <v>1626759</v>
      </c>
      <c r="I89" s="80" t="n">
        <v>1711126</v>
      </c>
      <c r="J89" s="80">
        <f>I89-G89</f>
        <v/>
      </c>
      <c r="K89" s="103">
        <f>IFERROR(I89/G89-1,0)</f>
        <v/>
      </c>
      <c r="L89" s="80">
        <f>B89-G89</f>
        <v/>
      </c>
      <c r="M89" s="80">
        <f>C89-H89</f>
        <v/>
      </c>
      <c r="N89" s="81">
        <f>D89-I89</f>
        <v/>
      </c>
      <c r="O89" s="80">
        <f>N89-L89</f>
        <v/>
      </c>
      <c r="P89" s="86">
        <f>IFERROR(N89/D89,0)</f>
        <v/>
      </c>
    </row>
    <row r="90" hidden="1" outlineLevel="3">
      <c r="A90" s="83" t="inlineStr">
        <is>
          <t>B1</t>
        </is>
      </c>
      <c r="B90" s="80" t="n">
        <v>543360</v>
      </c>
      <c r="C90" s="80" t="n">
        <v>577320</v>
      </c>
      <c r="D90" s="80" t="n">
        <v>611280</v>
      </c>
      <c r="E90" s="80">
        <f>D90-B90</f>
        <v/>
      </c>
      <c r="F90" s="103">
        <f>IFERROR(D90/B90-1,0)</f>
        <v/>
      </c>
      <c r="G90" s="80" t="n">
        <v>566209</v>
      </c>
      <c r="H90" s="80" t="n">
        <v>595000</v>
      </c>
      <c r="I90" s="80" t="n">
        <v>626091</v>
      </c>
      <c r="J90" s="80">
        <f>I90-G90</f>
        <v/>
      </c>
      <c r="K90" s="103">
        <f>IFERROR(I90/G90-1,0)</f>
        <v/>
      </c>
      <c r="L90" s="80">
        <f>B90-G90</f>
        <v/>
      </c>
      <c r="M90" s="80">
        <f>C90-H90</f>
        <v/>
      </c>
      <c r="N90" s="81">
        <f>D90-I90</f>
        <v/>
      </c>
      <c r="O90" s="80">
        <f>N90-L90</f>
        <v/>
      </c>
      <c r="P90" s="86">
        <f>IFERROR(N90/D90,0)</f>
        <v/>
      </c>
    </row>
    <row r="91" hidden="1" outlineLevel="4">
      <c r="A91" s="84" t="inlineStr">
        <is>
          <t>Initial</t>
        </is>
      </c>
      <c r="B91" s="80" t="n">
        <v>543360</v>
      </c>
      <c r="C91" s="80" t="n">
        <v>577320</v>
      </c>
      <c r="D91" s="80" t="n">
        <v>611280</v>
      </c>
      <c r="E91" s="80">
        <f>D91-B91</f>
        <v/>
      </c>
      <c r="F91" s="103">
        <f>IFERROR(D91/B91-1,0)</f>
        <v/>
      </c>
      <c r="G91" s="80" t="n">
        <v>566209</v>
      </c>
      <c r="H91" s="80" t="n">
        <v>595000</v>
      </c>
      <c r="I91" s="80" t="n">
        <v>626091</v>
      </c>
      <c r="J91" s="80">
        <f>I91-G91</f>
        <v/>
      </c>
      <c r="K91" s="103">
        <f>IFERROR(I91/G91-1,0)</f>
        <v/>
      </c>
      <c r="L91" s="80">
        <f>B91-G91</f>
        <v/>
      </c>
      <c r="M91" s="80">
        <f>C91-H91</f>
        <v/>
      </c>
      <c r="N91" s="81">
        <f>D91-I91</f>
        <v/>
      </c>
      <c r="O91" s="80">
        <f>N91-L91</f>
        <v/>
      </c>
      <c r="P91" s="86">
        <f>IFERROR(N91/D91,0)</f>
        <v/>
      </c>
    </row>
    <row r="92" hidden="1" outlineLevel="3">
      <c r="A92" s="83" t="inlineStr">
        <is>
          <t>B2</t>
        </is>
      </c>
      <c r="B92" s="80" t="n">
        <v>486080</v>
      </c>
      <c r="C92" s="80" t="n">
        <v>517440</v>
      </c>
      <c r="D92" s="80" t="n">
        <v>548800</v>
      </c>
      <c r="E92" s="80">
        <f>D92-B92</f>
        <v/>
      </c>
      <c r="F92" s="103">
        <f>IFERROR(D92/B92-1,0)</f>
        <v/>
      </c>
      <c r="G92" s="80" t="n">
        <v>493903</v>
      </c>
      <c r="H92" s="80" t="n">
        <v>518671</v>
      </c>
      <c r="I92" s="80" t="n">
        <v>545289</v>
      </c>
      <c r="J92" s="80">
        <f>I92-G92</f>
        <v/>
      </c>
      <c r="K92" s="103">
        <f>IFERROR(I92/G92-1,0)</f>
        <v/>
      </c>
      <c r="L92" s="80">
        <f>B92-G92</f>
        <v/>
      </c>
      <c r="M92" s="80">
        <f>C92-H92</f>
        <v/>
      </c>
      <c r="N92" s="81">
        <f>D92-I92</f>
        <v/>
      </c>
      <c r="O92" s="80">
        <f>N92-L92</f>
        <v/>
      </c>
      <c r="P92" s="86">
        <f>IFERROR(N92/D92,0)</f>
        <v/>
      </c>
    </row>
    <row r="93" hidden="1" outlineLevel="4">
      <c r="A93" s="84" t="inlineStr">
        <is>
          <t>Alternance</t>
        </is>
      </c>
      <c r="B93" s="80" t="n">
        <v>486080</v>
      </c>
      <c r="C93" s="80" t="n">
        <v>517440</v>
      </c>
      <c r="D93" s="80" t="n">
        <v>548800</v>
      </c>
      <c r="E93" s="80">
        <f>D93-B93</f>
        <v/>
      </c>
      <c r="F93" s="103">
        <f>IFERROR(D93/B93-1,0)</f>
        <v/>
      </c>
      <c r="G93" s="80" t="n">
        <v>493903</v>
      </c>
      <c r="H93" s="80" t="n">
        <v>518671</v>
      </c>
      <c r="I93" s="80" t="n">
        <v>545289</v>
      </c>
      <c r="J93" s="80">
        <f>I93-G93</f>
        <v/>
      </c>
      <c r="K93" s="103">
        <f>IFERROR(I93/G93-1,0)</f>
        <v/>
      </c>
      <c r="L93" s="80">
        <f>B93-G93</f>
        <v/>
      </c>
      <c r="M93" s="80">
        <f>C93-H93</f>
        <v/>
      </c>
      <c r="N93" s="81">
        <f>D93-I93</f>
        <v/>
      </c>
      <c r="O93" s="80">
        <f>N93-L93</f>
        <v/>
      </c>
      <c r="P93" s="86">
        <f>IFERROR(N93/D93,0)</f>
        <v/>
      </c>
    </row>
    <row r="94" hidden="1" outlineLevel="3">
      <c r="A94" s="83" t="inlineStr">
        <is>
          <t>B3</t>
        </is>
      </c>
      <c r="B94" s="80" t="n">
        <v>478240</v>
      </c>
      <c r="C94" s="80" t="n">
        <v>509600</v>
      </c>
      <c r="D94" s="80" t="n">
        <v>540960</v>
      </c>
      <c r="E94" s="80">
        <f>D94-B94</f>
        <v/>
      </c>
      <c r="F94" s="103">
        <f>IFERROR(D94/B94-1,0)</f>
        <v/>
      </c>
      <c r="G94" s="80" t="n">
        <v>488251</v>
      </c>
      <c r="H94" s="80" t="n">
        <v>513087</v>
      </c>
      <c r="I94" s="80" t="n">
        <v>539746</v>
      </c>
      <c r="J94" s="80">
        <f>I94-G94</f>
        <v/>
      </c>
      <c r="K94" s="103">
        <f>IFERROR(I94/G94-1,0)</f>
        <v/>
      </c>
      <c r="L94" s="80">
        <f>B94-G94</f>
        <v/>
      </c>
      <c r="M94" s="80">
        <f>C94-H94</f>
        <v/>
      </c>
      <c r="N94" s="81">
        <f>D94-I94</f>
        <v/>
      </c>
      <c r="O94" s="80">
        <f>N94-L94</f>
        <v/>
      </c>
      <c r="P94" s="86">
        <f>IFERROR(N94/D94,0)</f>
        <v/>
      </c>
    </row>
    <row r="95" hidden="1" outlineLevel="4">
      <c r="A95" s="84" t="inlineStr">
        <is>
          <t>Alternance</t>
        </is>
      </c>
      <c r="B95" s="80" t="n">
        <v>478240</v>
      </c>
      <c r="C95" s="80" t="n">
        <v>509600</v>
      </c>
      <c r="D95" s="80" t="n">
        <v>540960</v>
      </c>
      <c r="E95" s="80">
        <f>D95-B95</f>
        <v/>
      </c>
      <c r="F95" s="103">
        <f>IFERROR(D95/B95-1,0)</f>
        <v/>
      </c>
      <c r="G95" s="80" t="n">
        <v>488251</v>
      </c>
      <c r="H95" s="80" t="n">
        <v>513087</v>
      </c>
      <c r="I95" s="80" t="n">
        <v>539746</v>
      </c>
      <c r="J95" s="80">
        <f>I95-G95</f>
        <v/>
      </c>
      <c r="K95" s="103">
        <f>IFERROR(I95/G95-1,0)</f>
        <v/>
      </c>
      <c r="L95" s="80">
        <f>B95-G95</f>
        <v/>
      </c>
      <c r="M95" s="80">
        <f>C95-H95</f>
        <v/>
      </c>
      <c r="N95" s="81">
        <f>D95-I95</f>
        <v/>
      </c>
      <c r="O95" s="80">
        <f>N95-L95</f>
        <v/>
      </c>
      <c r="P95" s="86">
        <f>IFERROR(N95/D95,0)</f>
        <v/>
      </c>
    </row>
    <row r="96" hidden="1" outlineLevel="2">
      <c r="A96" s="78" t="inlineStr">
        <is>
          <t>MAS_COM</t>
        </is>
      </c>
      <c r="B96" s="80" t="n">
        <v>1072560</v>
      </c>
      <c r="C96" s="80" t="n">
        <v>1140120</v>
      </c>
      <c r="D96" s="80" t="n">
        <v>1207680</v>
      </c>
      <c r="E96" s="80">
        <f>D96-B96</f>
        <v/>
      </c>
      <c r="F96" s="103">
        <f>IFERROR(D96/B96-1,0)</f>
        <v/>
      </c>
      <c r="G96" s="80" t="n">
        <v>994004</v>
      </c>
      <c r="H96" s="80" t="n">
        <v>1044209</v>
      </c>
      <c r="I96" s="80" t="n">
        <v>1098294</v>
      </c>
      <c r="J96" s="80">
        <f>I96-G96</f>
        <v/>
      </c>
      <c r="K96" s="103">
        <f>IFERROR(I96/G96-1,0)</f>
        <v/>
      </c>
      <c r="L96" s="80">
        <f>B96-G96</f>
        <v/>
      </c>
      <c r="M96" s="80">
        <f>C96-H96</f>
        <v/>
      </c>
      <c r="N96" s="81">
        <f>D96-I96</f>
        <v/>
      </c>
      <c r="O96" s="80">
        <f>N96-L96</f>
        <v/>
      </c>
      <c r="P96" s="82">
        <f>IFERROR(N96/D96,0)</f>
        <v/>
      </c>
    </row>
    <row r="97" hidden="1" outlineLevel="3">
      <c r="A97" s="83" t="inlineStr">
        <is>
          <t>M1</t>
        </is>
      </c>
      <c r="B97" s="80" t="n">
        <v>543360</v>
      </c>
      <c r="C97" s="80" t="n">
        <v>577320</v>
      </c>
      <c r="D97" s="80" t="n">
        <v>611280</v>
      </c>
      <c r="E97" s="80">
        <f>D97-B97</f>
        <v/>
      </c>
      <c r="F97" s="103">
        <f>IFERROR(D97/B97-1,0)</f>
        <v/>
      </c>
      <c r="G97" s="80" t="n">
        <v>512390</v>
      </c>
      <c r="H97" s="80" t="n">
        <v>538715</v>
      </c>
      <c r="I97" s="80" t="n">
        <v>567119</v>
      </c>
      <c r="J97" s="80">
        <f>I97-G97</f>
        <v/>
      </c>
      <c r="K97" s="103">
        <f>IFERROR(I97/G97-1,0)</f>
        <v/>
      </c>
      <c r="L97" s="80">
        <f>B97-G97</f>
        <v/>
      </c>
      <c r="M97" s="80">
        <f>C97-H97</f>
        <v/>
      </c>
      <c r="N97" s="81">
        <f>D97-I97</f>
        <v/>
      </c>
      <c r="O97" s="80">
        <f>N97-L97</f>
        <v/>
      </c>
      <c r="P97" s="82">
        <f>IFERROR(N97/D97,0)</f>
        <v/>
      </c>
    </row>
    <row r="98" hidden="1" outlineLevel="4">
      <c r="A98" s="84" t="inlineStr">
        <is>
          <t>Alternance</t>
        </is>
      </c>
      <c r="B98" s="80" t="n">
        <v>543360</v>
      </c>
      <c r="C98" s="80" t="n">
        <v>577320</v>
      </c>
      <c r="D98" s="80" t="n">
        <v>611280</v>
      </c>
      <c r="E98" s="80">
        <f>D98-B98</f>
        <v/>
      </c>
      <c r="F98" s="103">
        <f>IFERROR(D98/B98-1,0)</f>
        <v/>
      </c>
      <c r="G98" s="80" t="n">
        <v>512390</v>
      </c>
      <c r="H98" s="80" t="n">
        <v>538715</v>
      </c>
      <c r="I98" s="80" t="n">
        <v>567119</v>
      </c>
      <c r="J98" s="80">
        <f>I98-G98</f>
        <v/>
      </c>
      <c r="K98" s="103">
        <f>IFERROR(I98/G98-1,0)</f>
        <v/>
      </c>
      <c r="L98" s="80">
        <f>B98-G98</f>
        <v/>
      </c>
      <c r="M98" s="80">
        <f>C98-H98</f>
        <v/>
      </c>
      <c r="N98" s="81">
        <f>D98-I98</f>
        <v/>
      </c>
      <c r="O98" s="80">
        <f>N98-L98</f>
        <v/>
      </c>
      <c r="P98" s="82">
        <f>IFERROR(N98/D98,0)</f>
        <v/>
      </c>
    </row>
    <row r="99" hidden="1" outlineLevel="3">
      <c r="A99" s="83" t="inlineStr">
        <is>
          <t>M2</t>
        </is>
      </c>
      <c r="B99" s="80" t="n">
        <v>529200</v>
      </c>
      <c r="C99" s="80" t="n">
        <v>562800</v>
      </c>
      <c r="D99" s="80" t="n">
        <v>596400</v>
      </c>
      <c r="E99" s="80">
        <f>D99-B99</f>
        <v/>
      </c>
      <c r="F99" s="103">
        <f>IFERROR(D99/B99-1,0)</f>
        <v/>
      </c>
      <c r="G99" s="80" t="n">
        <v>481614</v>
      </c>
      <c r="H99" s="80" t="n">
        <v>505494</v>
      </c>
      <c r="I99" s="80" t="n">
        <v>531175</v>
      </c>
      <c r="J99" s="80">
        <f>I99-G99</f>
        <v/>
      </c>
      <c r="K99" s="103">
        <f>IFERROR(I99/G99-1,0)</f>
        <v/>
      </c>
      <c r="L99" s="80">
        <f>B99-G99</f>
        <v/>
      </c>
      <c r="M99" s="80">
        <f>C99-H99</f>
        <v/>
      </c>
      <c r="N99" s="81">
        <f>D99-I99</f>
        <v/>
      </c>
      <c r="O99" s="80">
        <f>N99-L99</f>
        <v/>
      </c>
      <c r="P99" s="82">
        <f>IFERROR(N99/D99,0)</f>
        <v/>
      </c>
    </row>
    <row r="100" hidden="1" outlineLevel="4">
      <c r="A100" s="84" t="inlineStr">
        <is>
          <t>Alternance</t>
        </is>
      </c>
      <c r="B100" s="80" t="n">
        <v>529200</v>
      </c>
      <c r="C100" s="80" t="n">
        <v>562800</v>
      </c>
      <c r="D100" s="80" t="n">
        <v>596400</v>
      </c>
      <c r="E100" s="80">
        <f>D100-B100</f>
        <v/>
      </c>
      <c r="F100" s="103">
        <f>IFERROR(D100/B100-1,0)</f>
        <v/>
      </c>
      <c r="G100" s="80" t="n">
        <v>481614</v>
      </c>
      <c r="H100" s="80" t="n">
        <v>505494</v>
      </c>
      <c r="I100" s="80" t="n">
        <v>531175</v>
      </c>
      <c r="J100" s="80">
        <f>I100-G100</f>
        <v/>
      </c>
      <c r="K100" s="103">
        <f>IFERROR(I100/G100-1,0)</f>
        <v/>
      </c>
      <c r="L100" s="80">
        <f>B100-G100</f>
        <v/>
      </c>
      <c r="M100" s="80">
        <f>C100-H100</f>
        <v/>
      </c>
      <c r="N100" s="81">
        <f>D100-I100</f>
        <v/>
      </c>
      <c r="O100" s="80">
        <f>N100-L100</f>
        <v/>
      </c>
      <c r="P100" s="82">
        <f>IFERROR(N100/D100,0)</f>
        <v/>
      </c>
    </row>
    <row r="101" outlineLevel="1">
      <c r="A101" s="73" t="inlineStr">
        <is>
          <t>Toulouse</t>
        </is>
      </c>
      <c r="B101" s="75" t="n">
        <v>1451880</v>
      </c>
      <c r="C101" s="75" t="n">
        <v>1522320</v>
      </c>
      <c r="D101" s="75" t="n">
        <v>1627980</v>
      </c>
      <c r="E101" s="75">
        <f>D101-B101</f>
        <v/>
      </c>
      <c r="F101" s="101">
        <f>IFERROR(D101/B101-1,0)</f>
        <v/>
      </c>
      <c r="G101" s="75" t="n">
        <v>1093487</v>
      </c>
      <c r="H101" s="75" t="n">
        <v>1146481</v>
      </c>
      <c r="I101" s="75" t="n">
        <v>1208986</v>
      </c>
      <c r="J101" s="75">
        <f>I101-G101</f>
        <v/>
      </c>
      <c r="K101" s="101">
        <f>IFERROR(I101/G101-1,0)</f>
        <v/>
      </c>
      <c r="L101" s="75">
        <f>B101-G101</f>
        <v/>
      </c>
      <c r="M101" s="75">
        <f>C101-H101</f>
        <v/>
      </c>
      <c r="N101" s="102">
        <f>D101-I101</f>
        <v/>
      </c>
      <c r="O101" s="75">
        <f>N101-L101</f>
        <v/>
      </c>
      <c r="P101" s="77">
        <f>IFERROR(N101/D101,0)</f>
        <v/>
      </c>
    </row>
    <row r="102" hidden="1" outlineLevel="2">
      <c r="A102" s="78" t="inlineStr">
        <is>
          <t>BAC_COM</t>
        </is>
      </c>
      <c r="B102" s="80" t="n">
        <v>850500</v>
      </c>
      <c r="C102" s="80" t="n">
        <v>891960</v>
      </c>
      <c r="D102" s="80" t="n">
        <v>954150</v>
      </c>
      <c r="E102" s="80">
        <f>D102-B102</f>
        <v/>
      </c>
      <c r="F102" s="103">
        <f>IFERROR(D102/B102-1,0)</f>
        <v/>
      </c>
      <c r="G102" s="80" t="n">
        <v>667789</v>
      </c>
      <c r="H102" s="80" t="n">
        <v>700125</v>
      </c>
      <c r="I102" s="80" t="n">
        <v>738240</v>
      </c>
      <c r="J102" s="80">
        <f>I102-G102</f>
        <v/>
      </c>
      <c r="K102" s="103">
        <f>IFERROR(I102/G102-1,0)</f>
        <v/>
      </c>
      <c r="L102" s="80">
        <f>B102-G102</f>
        <v/>
      </c>
      <c r="M102" s="80">
        <f>C102-H102</f>
        <v/>
      </c>
      <c r="N102" s="81">
        <f>D102-I102</f>
        <v/>
      </c>
      <c r="O102" s="80">
        <f>N102-L102</f>
        <v/>
      </c>
      <c r="P102" s="82">
        <f>IFERROR(N102/D102,0)</f>
        <v/>
      </c>
    </row>
    <row r="103" hidden="1" outlineLevel="3">
      <c r="A103" s="83" t="inlineStr">
        <is>
          <t>B1</t>
        </is>
      </c>
      <c r="B103" s="80" t="n">
        <v>306180</v>
      </c>
      <c r="C103" s="80" t="n">
        <v>320760</v>
      </c>
      <c r="D103" s="80" t="n">
        <v>342630</v>
      </c>
      <c r="E103" s="80">
        <f>D103-B103</f>
        <v/>
      </c>
      <c r="F103" s="103">
        <f>IFERROR(D103/B103-1,0)</f>
        <v/>
      </c>
      <c r="G103" s="80" t="n">
        <v>242863</v>
      </c>
      <c r="H103" s="80" t="n">
        <v>254730</v>
      </c>
      <c r="I103" s="80" t="n">
        <v>268582</v>
      </c>
      <c r="J103" s="80">
        <f>I103-G103</f>
        <v/>
      </c>
      <c r="K103" s="103">
        <f>IFERROR(I103/G103-1,0)</f>
        <v/>
      </c>
      <c r="L103" s="80">
        <f>B103-G103</f>
        <v/>
      </c>
      <c r="M103" s="80">
        <f>C103-H103</f>
        <v/>
      </c>
      <c r="N103" s="81">
        <f>D103-I103</f>
        <v/>
      </c>
      <c r="O103" s="80">
        <f>N103-L103</f>
        <v/>
      </c>
      <c r="P103" s="82">
        <f>IFERROR(N103/D103,0)</f>
        <v/>
      </c>
    </row>
    <row r="104" hidden="1" outlineLevel="4">
      <c r="A104" s="84" t="inlineStr">
        <is>
          <t>Initial</t>
        </is>
      </c>
      <c r="B104" s="80" t="n">
        <v>306180</v>
      </c>
      <c r="C104" s="80" t="n">
        <v>320760</v>
      </c>
      <c r="D104" s="80" t="n">
        <v>342630</v>
      </c>
      <c r="E104" s="80">
        <f>D104-B104</f>
        <v/>
      </c>
      <c r="F104" s="103">
        <f>IFERROR(D104/B104-1,0)</f>
        <v/>
      </c>
      <c r="G104" s="80" t="n">
        <v>242863</v>
      </c>
      <c r="H104" s="80" t="n">
        <v>254730</v>
      </c>
      <c r="I104" s="80" t="n">
        <v>268582</v>
      </c>
      <c r="J104" s="80">
        <f>I104-G104</f>
        <v/>
      </c>
      <c r="K104" s="103">
        <f>IFERROR(I104/G104-1,0)</f>
        <v/>
      </c>
      <c r="L104" s="80">
        <f>B104-G104</f>
        <v/>
      </c>
      <c r="M104" s="80">
        <f>C104-H104</f>
        <v/>
      </c>
      <c r="N104" s="81">
        <f>D104-I104</f>
        <v/>
      </c>
      <c r="O104" s="80">
        <f>N104-L104</f>
        <v/>
      </c>
      <c r="P104" s="82">
        <f>IFERROR(N104/D104,0)</f>
        <v/>
      </c>
    </row>
    <row r="105" hidden="1" outlineLevel="3">
      <c r="A105" s="83" t="inlineStr">
        <is>
          <t>B2</t>
        </is>
      </c>
      <c r="B105" s="80" t="n">
        <v>275520</v>
      </c>
      <c r="C105" s="80" t="n">
        <v>288960</v>
      </c>
      <c r="D105" s="80" t="n">
        <v>309120</v>
      </c>
      <c r="E105" s="80">
        <f>D105-B105</f>
        <v/>
      </c>
      <c r="F105" s="103">
        <f>IFERROR(D105/B105-1,0)</f>
        <v/>
      </c>
      <c r="G105" s="80" t="n">
        <v>214309</v>
      </c>
      <c r="H105" s="80" t="n">
        <v>224543</v>
      </c>
      <c r="I105" s="80" t="n">
        <v>236652</v>
      </c>
      <c r="J105" s="80">
        <f>I105-G105</f>
        <v/>
      </c>
      <c r="K105" s="103">
        <f>IFERROR(I105/G105-1,0)</f>
        <v/>
      </c>
      <c r="L105" s="80">
        <f>B105-G105</f>
        <v/>
      </c>
      <c r="M105" s="80">
        <f>C105-H105</f>
        <v/>
      </c>
      <c r="N105" s="81">
        <f>D105-I105</f>
        <v/>
      </c>
      <c r="O105" s="80">
        <f>N105-L105</f>
        <v/>
      </c>
      <c r="P105" s="82">
        <f>IFERROR(N105/D105,0)</f>
        <v/>
      </c>
    </row>
    <row r="106" hidden="1" outlineLevel="4">
      <c r="A106" s="84" t="inlineStr">
        <is>
          <t>Alternance</t>
        </is>
      </c>
      <c r="B106" s="80" t="n">
        <v>275520</v>
      </c>
      <c r="C106" s="80" t="n">
        <v>288960</v>
      </c>
      <c r="D106" s="80" t="n">
        <v>309120</v>
      </c>
      <c r="E106" s="80">
        <f>D106-B106</f>
        <v/>
      </c>
      <c r="F106" s="103">
        <f>IFERROR(D106/B106-1,0)</f>
        <v/>
      </c>
      <c r="G106" s="80" t="n">
        <v>214309</v>
      </c>
      <c r="H106" s="80" t="n">
        <v>224543</v>
      </c>
      <c r="I106" s="80" t="n">
        <v>236652</v>
      </c>
      <c r="J106" s="80">
        <f>I106-G106</f>
        <v/>
      </c>
      <c r="K106" s="103">
        <f>IFERROR(I106/G106-1,0)</f>
        <v/>
      </c>
      <c r="L106" s="80">
        <f>B106-G106</f>
        <v/>
      </c>
      <c r="M106" s="80">
        <f>C106-H106</f>
        <v/>
      </c>
      <c r="N106" s="81">
        <f>D106-I106</f>
        <v/>
      </c>
      <c r="O106" s="80">
        <f>N106-L106</f>
        <v/>
      </c>
      <c r="P106" s="82">
        <f>IFERROR(N106/D106,0)</f>
        <v/>
      </c>
    </row>
    <row r="107" hidden="1" outlineLevel="3">
      <c r="A107" s="83" t="inlineStr">
        <is>
          <t>B3</t>
        </is>
      </c>
      <c r="B107" s="80" t="n">
        <v>268800</v>
      </c>
      <c r="C107" s="80" t="n">
        <v>282240</v>
      </c>
      <c r="D107" s="80" t="n">
        <v>302400</v>
      </c>
      <c r="E107" s="80">
        <f>D107-B107</f>
        <v/>
      </c>
      <c r="F107" s="103">
        <f>IFERROR(D107/B107-1,0)</f>
        <v/>
      </c>
      <c r="G107" s="80" t="n">
        <v>210617</v>
      </c>
      <c r="H107" s="80" t="n">
        <v>220852</v>
      </c>
      <c r="I107" s="80" t="n">
        <v>233006</v>
      </c>
      <c r="J107" s="80">
        <f>I107-G107</f>
        <v/>
      </c>
      <c r="K107" s="103">
        <f>IFERROR(I107/G107-1,0)</f>
        <v/>
      </c>
      <c r="L107" s="80">
        <f>B107-G107</f>
        <v/>
      </c>
      <c r="M107" s="80">
        <f>C107-H107</f>
        <v/>
      </c>
      <c r="N107" s="81">
        <f>D107-I107</f>
        <v/>
      </c>
      <c r="O107" s="80">
        <f>N107-L107</f>
        <v/>
      </c>
      <c r="P107" s="82">
        <f>IFERROR(N107/D107,0)</f>
        <v/>
      </c>
    </row>
    <row r="108" hidden="1" outlineLevel="4">
      <c r="A108" s="84" t="inlineStr">
        <is>
          <t>Alternance</t>
        </is>
      </c>
      <c r="B108" s="80" t="n">
        <v>268800</v>
      </c>
      <c r="C108" s="80" t="n">
        <v>282240</v>
      </c>
      <c r="D108" s="80" t="n">
        <v>302400</v>
      </c>
      <c r="E108" s="80">
        <f>D108-B108</f>
        <v/>
      </c>
      <c r="F108" s="103">
        <f>IFERROR(D108/B108-1,0)</f>
        <v/>
      </c>
      <c r="G108" s="80" t="n">
        <v>210617</v>
      </c>
      <c r="H108" s="80" t="n">
        <v>220852</v>
      </c>
      <c r="I108" s="80" t="n">
        <v>233006</v>
      </c>
      <c r="J108" s="80">
        <f>I108-G108</f>
        <v/>
      </c>
      <c r="K108" s="103">
        <f>IFERROR(I108/G108-1,0)</f>
        <v/>
      </c>
      <c r="L108" s="80">
        <f>B108-G108</f>
        <v/>
      </c>
      <c r="M108" s="80">
        <f>C108-H108</f>
        <v/>
      </c>
      <c r="N108" s="81">
        <f>D108-I108</f>
        <v/>
      </c>
      <c r="O108" s="80">
        <f>N108-L108</f>
        <v/>
      </c>
      <c r="P108" s="82">
        <f>IFERROR(N108/D108,0)</f>
        <v/>
      </c>
    </row>
    <row r="109" hidden="1" outlineLevel="2">
      <c r="A109" s="78" t="inlineStr">
        <is>
          <t>MAS_COM</t>
        </is>
      </c>
      <c r="B109" s="80" t="n">
        <v>601380</v>
      </c>
      <c r="C109" s="80" t="n">
        <v>630360</v>
      </c>
      <c r="D109" s="80" t="n">
        <v>673830</v>
      </c>
      <c r="E109" s="80">
        <f>D109-B109</f>
        <v/>
      </c>
      <c r="F109" s="103">
        <f>IFERROR(D109/B109-1,0)</f>
        <v/>
      </c>
      <c r="G109" s="80" t="n">
        <v>425698</v>
      </c>
      <c r="H109" s="80" t="n">
        <v>446356</v>
      </c>
      <c r="I109" s="80" t="n">
        <v>470746</v>
      </c>
      <c r="J109" s="80">
        <f>I109-G109</f>
        <v/>
      </c>
      <c r="K109" s="103">
        <f>IFERROR(I109/G109-1,0)</f>
        <v/>
      </c>
      <c r="L109" s="80">
        <f>B109-G109</f>
        <v/>
      </c>
      <c r="M109" s="80">
        <f>C109-H109</f>
        <v/>
      </c>
      <c r="N109" s="81">
        <f>D109-I109</f>
        <v/>
      </c>
      <c r="O109" s="80">
        <f>N109-L109</f>
        <v/>
      </c>
      <c r="P109" s="82">
        <f>IFERROR(N109/D109,0)</f>
        <v/>
      </c>
    </row>
    <row r="110" hidden="1" outlineLevel="3">
      <c r="A110" s="83" t="inlineStr">
        <is>
          <t>M1</t>
        </is>
      </c>
      <c r="B110" s="80" t="n">
        <v>306180</v>
      </c>
      <c r="C110" s="80" t="n">
        <v>320760</v>
      </c>
      <c r="D110" s="80" t="n">
        <v>342630</v>
      </c>
      <c r="E110" s="80">
        <f>D110-B110</f>
        <v/>
      </c>
      <c r="F110" s="103">
        <f>IFERROR(D110/B110-1,0)</f>
        <v/>
      </c>
      <c r="G110" s="80" t="n">
        <v>219257</v>
      </c>
      <c r="H110" s="80" t="n">
        <v>230043</v>
      </c>
      <c r="I110" s="80" t="n">
        <v>242716</v>
      </c>
      <c r="J110" s="80">
        <f>I110-G110</f>
        <v/>
      </c>
      <c r="K110" s="103">
        <f>IFERROR(I110/G110-1,0)</f>
        <v/>
      </c>
      <c r="L110" s="80">
        <f>B110-G110</f>
        <v/>
      </c>
      <c r="M110" s="80">
        <f>C110-H110</f>
        <v/>
      </c>
      <c r="N110" s="81">
        <f>D110-I110</f>
        <v/>
      </c>
      <c r="O110" s="80">
        <f>N110-L110</f>
        <v/>
      </c>
      <c r="P110" s="82">
        <f>IFERROR(N110/D110,0)</f>
        <v/>
      </c>
    </row>
    <row r="111" hidden="1" outlineLevel="4">
      <c r="A111" s="84" t="inlineStr">
        <is>
          <t>Alternance</t>
        </is>
      </c>
      <c r="B111" s="80" t="n">
        <v>306180</v>
      </c>
      <c r="C111" s="80" t="n">
        <v>320760</v>
      </c>
      <c r="D111" s="80" t="n">
        <v>342630</v>
      </c>
      <c r="E111" s="80">
        <f>D111-B111</f>
        <v/>
      </c>
      <c r="F111" s="103">
        <f>IFERROR(D111/B111-1,0)</f>
        <v/>
      </c>
      <c r="G111" s="80" t="n">
        <v>219257</v>
      </c>
      <c r="H111" s="80" t="n">
        <v>230043</v>
      </c>
      <c r="I111" s="80" t="n">
        <v>242716</v>
      </c>
      <c r="J111" s="80">
        <f>I111-G111</f>
        <v/>
      </c>
      <c r="K111" s="103">
        <f>IFERROR(I111/G111-1,0)</f>
        <v/>
      </c>
      <c r="L111" s="80">
        <f>B111-G111</f>
        <v/>
      </c>
      <c r="M111" s="80">
        <f>C111-H111</f>
        <v/>
      </c>
      <c r="N111" s="81">
        <f>D111-I111</f>
        <v/>
      </c>
      <c r="O111" s="80">
        <f>N111-L111</f>
        <v/>
      </c>
      <c r="P111" s="82">
        <f>IFERROR(N111/D111,0)</f>
        <v/>
      </c>
    </row>
    <row r="112" hidden="1" outlineLevel="3">
      <c r="A112" s="83" t="inlineStr">
        <is>
          <t>M2</t>
        </is>
      </c>
      <c r="B112" s="80" t="n">
        <v>295200</v>
      </c>
      <c r="C112" s="80" t="n">
        <v>309600</v>
      </c>
      <c r="D112" s="80" t="n">
        <v>331200</v>
      </c>
      <c r="E112" s="80">
        <f>D112-B112</f>
        <v/>
      </c>
      <c r="F112" s="103">
        <f>IFERROR(D112/B112-1,0)</f>
        <v/>
      </c>
      <c r="G112" s="80" t="n">
        <v>206440</v>
      </c>
      <c r="H112" s="80" t="n">
        <v>216314</v>
      </c>
      <c r="I112" s="80" t="n">
        <v>228030</v>
      </c>
      <c r="J112" s="80">
        <f>I112-G112</f>
        <v/>
      </c>
      <c r="K112" s="103">
        <f>IFERROR(I112/G112-1,0)</f>
        <v/>
      </c>
      <c r="L112" s="80">
        <f>B112-G112</f>
        <v/>
      </c>
      <c r="M112" s="80">
        <f>C112-H112</f>
        <v/>
      </c>
      <c r="N112" s="81">
        <f>D112-I112</f>
        <v/>
      </c>
      <c r="O112" s="80">
        <f>N112-L112</f>
        <v/>
      </c>
      <c r="P112" s="82">
        <f>IFERROR(N112/D112,0)</f>
        <v/>
      </c>
    </row>
    <row r="113" hidden="1" outlineLevel="4">
      <c r="A113" s="84" t="inlineStr">
        <is>
          <t>Alternance</t>
        </is>
      </c>
      <c r="B113" s="80" t="n">
        <v>295200</v>
      </c>
      <c r="C113" s="80" t="n">
        <v>309600</v>
      </c>
      <c r="D113" s="80" t="n">
        <v>331200</v>
      </c>
      <c r="E113" s="80">
        <f>D113-B113</f>
        <v/>
      </c>
      <c r="F113" s="103">
        <f>IFERROR(D113/B113-1,0)</f>
        <v/>
      </c>
      <c r="G113" s="80" t="n">
        <v>206440</v>
      </c>
      <c r="H113" s="80" t="n">
        <v>216314</v>
      </c>
      <c r="I113" s="80" t="n">
        <v>228030</v>
      </c>
      <c r="J113" s="80">
        <f>I113-G113</f>
        <v/>
      </c>
      <c r="K113" s="103">
        <f>IFERROR(I113/G113-1,0)</f>
        <v/>
      </c>
      <c r="L113" s="80">
        <f>B113-G113</f>
        <v/>
      </c>
      <c r="M113" s="80">
        <f>C113-H113</f>
        <v/>
      </c>
      <c r="N113" s="81">
        <f>D113-I113</f>
        <v/>
      </c>
      <c r="O113" s="80">
        <f>N113-L113</f>
        <v/>
      </c>
      <c r="P113" s="82">
        <f>IFERROR(N113/D113,0)</f>
        <v/>
      </c>
    </row>
    <row r="114">
      <c r="A114" s="68" t="inlineStr">
        <is>
          <t>Ipac</t>
        </is>
      </c>
      <c r="B114" s="70" t="n">
        <v>2309940</v>
      </c>
      <c r="C114" s="70" t="n">
        <v>2439370</v>
      </c>
      <c r="D114" s="70" t="n">
        <v>2582800</v>
      </c>
      <c r="E114" s="70">
        <f>D114-B114</f>
        <v/>
      </c>
      <c r="F114" s="98">
        <f>IFERROR(D114/B114-1,0)</f>
        <v/>
      </c>
      <c r="G114" s="70" t="n">
        <v>1940009</v>
      </c>
      <c r="H114" s="70" t="n">
        <v>2037766</v>
      </c>
      <c r="I114" s="70" t="n">
        <v>2144860</v>
      </c>
      <c r="J114" s="70">
        <f>I114-G114</f>
        <v/>
      </c>
      <c r="K114" s="98">
        <f>IFERROR(I114/G114-1,0)</f>
        <v/>
      </c>
      <c r="L114" s="70">
        <f>B114-G114</f>
        <v/>
      </c>
      <c r="M114" s="70">
        <f>C114-H114</f>
        <v/>
      </c>
      <c r="N114" s="99">
        <f>D114-I114</f>
        <v/>
      </c>
      <c r="O114" s="70">
        <f>N114-L114</f>
        <v/>
      </c>
      <c r="P114" s="72">
        <f>IFERROR(N114/D114,0)</f>
        <v/>
      </c>
    </row>
    <row r="115" outlineLevel="1">
      <c r="A115" s="73" t="inlineStr">
        <is>
          <t>Montpellier</t>
        </is>
      </c>
      <c r="B115" s="75" t="n">
        <v>701490</v>
      </c>
      <c r="C115" s="75" t="n">
        <v>741570</v>
      </c>
      <c r="D115" s="75" t="n">
        <v>781650</v>
      </c>
      <c r="E115" s="75">
        <f>D115-B115</f>
        <v/>
      </c>
      <c r="F115" s="101">
        <f>IFERROR(D115/B115-1,0)</f>
        <v/>
      </c>
      <c r="G115" s="75" t="n">
        <v>600000</v>
      </c>
      <c r="H115" s="75" t="n">
        <v>630292</v>
      </c>
      <c r="I115" s="75" t="n">
        <v>662728</v>
      </c>
      <c r="J115" s="75">
        <f>I115-G115</f>
        <v/>
      </c>
      <c r="K115" s="101">
        <f>IFERROR(I115/G115-1,0)</f>
        <v/>
      </c>
      <c r="L115" s="75">
        <f>B115-G115</f>
        <v/>
      </c>
      <c r="M115" s="75">
        <f>C115-H115</f>
        <v/>
      </c>
      <c r="N115" s="102">
        <f>D115-I115</f>
        <v/>
      </c>
      <c r="O115" s="75">
        <f>N115-L115</f>
        <v/>
      </c>
      <c r="P115" s="77">
        <f>IFERROR(N115/D115,0)</f>
        <v/>
      </c>
    </row>
    <row r="116" hidden="1" outlineLevel="2">
      <c r="A116" s="78" t="inlineStr">
        <is>
          <t>BAC_CCE</t>
        </is>
      </c>
      <c r="B116" s="80" t="n">
        <v>701490</v>
      </c>
      <c r="C116" s="80" t="n">
        <v>741570</v>
      </c>
      <c r="D116" s="80" t="n">
        <v>781650</v>
      </c>
      <c r="E116" s="80">
        <f>D116-B116</f>
        <v/>
      </c>
      <c r="F116" s="103">
        <f>IFERROR(D116/B116-1,0)</f>
        <v/>
      </c>
      <c r="G116" s="80" t="n">
        <v>600000</v>
      </c>
      <c r="H116" s="80" t="n">
        <v>630292</v>
      </c>
      <c r="I116" s="80" t="n">
        <v>662728</v>
      </c>
      <c r="J116" s="80">
        <f>I116-G116</f>
        <v/>
      </c>
      <c r="K116" s="103">
        <f>IFERROR(I116/G116-1,0)</f>
        <v/>
      </c>
      <c r="L116" s="80">
        <f>B116-G116</f>
        <v/>
      </c>
      <c r="M116" s="80">
        <f>C116-H116</f>
        <v/>
      </c>
      <c r="N116" s="81">
        <f>D116-I116</f>
        <v/>
      </c>
      <c r="O116" s="80">
        <f>N116-L116</f>
        <v/>
      </c>
      <c r="P116" s="82">
        <f>IFERROR(N116/D116,0)</f>
        <v/>
      </c>
    </row>
    <row r="117" hidden="1" outlineLevel="3">
      <c r="A117" s="83" t="inlineStr">
        <is>
          <t>B1</t>
        </is>
      </c>
      <c r="B117" s="80" t="n">
        <v>242640</v>
      </c>
      <c r="C117" s="80" t="n">
        <v>256120</v>
      </c>
      <c r="D117" s="80" t="n">
        <v>269600</v>
      </c>
      <c r="E117" s="80">
        <f>D117-B117</f>
        <v/>
      </c>
      <c r="F117" s="103">
        <f>IFERROR(D117/B117-1,0)</f>
        <v/>
      </c>
      <c r="G117" s="80" t="n">
        <v>212184</v>
      </c>
      <c r="H117" s="80" t="n">
        <v>223096</v>
      </c>
      <c r="I117" s="80" t="n">
        <v>234820</v>
      </c>
      <c r="J117" s="80">
        <f>I117-G117</f>
        <v/>
      </c>
      <c r="K117" s="103">
        <f>IFERROR(I117/G117-1,0)</f>
        <v/>
      </c>
      <c r="L117" s="80">
        <f>B117-G117</f>
        <v/>
      </c>
      <c r="M117" s="80">
        <f>C117-H117</f>
        <v/>
      </c>
      <c r="N117" s="81">
        <f>D117-I117</f>
        <v/>
      </c>
      <c r="O117" s="80">
        <f>N117-L117</f>
        <v/>
      </c>
      <c r="P117" s="82">
        <f>IFERROR(N117/D117,0)</f>
        <v/>
      </c>
    </row>
    <row r="118" hidden="1" outlineLevel="4">
      <c r="A118" s="84" t="inlineStr">
        <is>
          <t>Alternance</t>
        </is>
      </c>
      <c r="B118" s="80" t="n">
        <v>242640</v>
      </c>
      <c r="C118" s="80" t="n">
        <v>256120</v>
      </c>
      <c r="D118" s="80" t="n">
        <v>269600</v>
      </c>
      <c r="E118" s="80">
        <f>D118-B118</f>
        <v/>
      </c>
      <c r="F118" s="103">
        <f>IFERROR(D118/B118-1,0)</f>
        <v/>
      </c>
      <c r="G118" s="80" t="n">
        <v>212184</v>
      </c>
      <c r="H118" s="80" t="n">
        <v>223096</v>
      </c>
      <c r="I118" s="80" t="n">
        <v>234820</v>
      </c>
      <c r="J118" s="80">
        <f>I118-G118</f>
        <v/>
      </c>
      <c r="K118" s="103">
        <f>IFERROR(I118/G118-1,0)</f>
        <v/>
      </c>
      <c r="L118" s="80">
        <f>B118-G118</f>
        <v/>
      </c>
      <c r="M118" s="80">
        <f>C118-H118</f>
        <v/>
      </c>
      <c r="N118" s="81">
        <f>D118-I118</f>
        <v/>
      </c>
      <c r="O118" s="80">
        <f>N118-L118</f>
        <v/>
      </c>
      <c r="P118" s="82">
        <f>IFERROR(N118/D118,0)</f>
        <v/>
      </c>
    </row>
    <row r="119" hidden="1" outlineLevel="3">
      <c r="A119" s="83" t="inlineStr">
        <is>
          <t>B2</t>
        </is>
      </c>
      <c r="B119" s="80" t="n">
        <v>232750</v>
      </c>
      <c r="C119" s="80" t="n">
        <v>246050</v>
      </c>
      <c r="D119" s="80" t="n">
        <v>259350</v>
      </c>
      <c r="E119" s="80">
        <f>D119-B119</f>
        <v/>
      </c>
      <c r="F119" s="103">
        <f>IFERROR(D119/B119-1,0)</f>
        <v/>
      </c>
      <c r="G119" s="80" t="n">
        <v>195819</v>
      </c>
      <c r="H119" s="80" t="n">
        <v>205498</v>
      </c>
      <c r="I119" s="80" t="n">
        <v>215850</v>
      </c>
      <c r="J119" s="80">
        <f>I119-G119</f>
        <v/>
      </c>
      <c r="K119" s="103">
        <f>IFERROR(I119/G119-1,0)</f>
        <v/>
      </c>
      <c r="L119" s="80">
        <f>B119-G119</f>
        <v/>
      </c>
      <c r="M119" s="80">
        <f>C119-H119</f>
        <v/>
      </c>
      <c r="N119" s="81">
        <f>D119-I119</f>
        <v/>
      </c>
      <c r="O119" s="80">
        <f>N119-L119</f>
        <v/>
      </c>
      <c r="P119" s="82">
        <f>IFERROR(N119/D119,0)</f>
        <v/>
      </c>
    </row>
    <row r="120" hidden="1" outlineLevel="4">
      <c r="A120" s="84" t="inlineStr">
        <is>
          <t>Alternance</t>
        </is>
      </c>
      <c r="B120" s="80" t="n">
        <v>232750</v>
      </c>
      <c r="C120" s="80" t="n">
        <v>246050</v>
      </c>
      <c r="D120" s="80" t="n">
        <v>259350</v>
      </c>
      <c r="E120" s="80">
        <f>D120-B120</f>
        <v/>
      </c>
      <c r="F120" s="103">
        <f>IFERROR(D120/B120-1,0)</f>
        <v/>
      </c>
      <c r="G120" s="80" t="n">
        <v>195819</v>
      </c>
      <c r="H120" s="80" t="n">
        <v>205498</v>
      </c>
      <c r="I120" s="80" t="n">
        <v>215850</v>
      </c>
      <c r="J120" s="80">
        <f>I120-G120</f>
        <v/>
      </c>
      <c r="K120" s="103">
        <f>IFERROR(I120/G120-1,0)</f>
        <v/>
      </c>
      <c r="L120" s="80">
        <f>B120-G120</f>
        <v/>
      </c>
      <c r="M120" s="80">
        <f>C120-H120</f>
        <v/>
      </c>
      <c r="N120" s="81">
        <f>D120-I120</f>
        <v/>
      </c>
      <c r="O120" s="80">
        <f>N120-L120</f>
        <v/>
      </c>
      <c r="P120" s="82">
        <f>IFERROR(N120/D120,0)</f>
        <v/>
      </c>
    </row>
    <row r="121" hidden="1" outlineLevel="3">
      <c r="A121" s="83" t="inlineStr">
        <is>
          <t>B3</t>
        </is>
      </c>
      <c r="B121" s="80" t="n">
        <v>226100</v>
      </c>
      <c r="C121" s="80" t="n">
        <v>239400</v>
      </c>
      <c r="D121" s="80" t="n">
        <v>252700</v>
      </c>
      <c r="E121" s="80">
        <f>D121-B121</f>
        <v/>
      </c>
      <c r="F121" s="103">
        <f>IFERROR(D121/B121-1,0)</f>
        <v/>
      </c>
      <c r="G121" s="80" t="n">
        <v>191997</v>
      </c>
      <c r="H121" s="80" t="n">
        <v>201698</v>
      </c>
      <c r="I121" s="80" t="n">
        <v>212059</v>
      </c>
      <c r="J121" s="80">
        <f>I121-G121</f>
        <v/>
      </c>
      <c r="K121" s="103">
        <f>IFERROR(I121/G121-1,0)</f>
        <v/>
      </c>
      <c r="L121" s="80">
        <f>B121-G121</f>
        <v/>
      </c>
      <c r="M121" s="80">
        <f>C121-H121</f>
        <v/>
      </c>
      <c r="N121" s="81">
        <f>D121-I121</f>
        <v/>
      </c>
      <c r="O121" s="80">
        <f>N121-L121</f>
        <v/>
      </c>
      <c r="P121" s="82">
        <f>IFERROR(N121/D121,0)</f>
        <v/>
      </c>
    </row>
    <row r="122" hidden="1" outlineLevel="4">
      <c r="A122" s="84" t="inlineStr">
        <is>
          <t>Alternance</t>
        </is>
      </c>
      <c r="B122" s="80" t="n">
        <v>226100</v>
      </c>
      <c r="C122" s="80" t="n">
        <v>239400</v>
      </c>
      <c r="D122" s="80" t="n">
        <v>252700</v>
      </c>
      <c r="E122" s="80">
        <f>D122-B122</f>
        <v/>
      </c>
      <c r="F122" s="103">
        <f>IFERROR(D122/B122-1,0)</f>
        <v/>
      </c>
      <c r="G122" s="80" t="n">
        <v>191997</v>
      </c>
      <c r="H122" s="80" t="n">
        <v>201698</v>
      </c>
      <c r="I122" s="80" t="n">
        <v>212059</v>
      </c>
      <c r="J122" s="80">
        <f>I122-G122</f>
        <v/>
      </c>
      <c r="K122" s="103">
        <f>IFERROR(I122/G122-1,0)</f>
        <v/>
      </c>
      <c r="L122" s="80">
        <f>B122-G122</f>
        <v/>
      </c>
      <c r="M122" s="80">
        <f>C122-H122</f>
        <v/>
      </c>
      <c r="N122" s="81">
        <f>D122-I122</f>
        <v/>
      </c>
      <c r="O122" s="80">
        <f>N122-L122</f>
        <v/>
      </c>
      <c r="P122" s="82">
        <f>IFERROR(N122/D122,0)</f>
        <v/>
      </c>
    </row>
    <row r="123" outlineLevel="1">
      <c r="A123" s="73" t="inlineStr">
        <is>
          <t>Nantes</t>
        </is>
      </c>
      <c r="B123" s="75" t="n">
        <v>906960</v>
      </c>
      <c r="C123" s="75" t="n">
        <v>956230</v>
      </c>
      <c r="D123" s="75" t="n">
        <v>1019500</v>
      </c>
      <c r="E123" s="75">
        <f>D123-B123</f>
        <v/>
      </c>
      <c r="F123" s="101">
        <f>IFERROR(D123/B123-1,0)</f>
        <v/>
      </c>
      <c r="G123" s="75" t="n">
        <v>740212</v>
      </c>
      <c r="H123" s="75" t="n">
        <v>777405</v>
      </c>
      <c r="I123" s="75" t="n">
        <v>819648</v>
      </c>
      <c r="J123" s="75">
        <f>I123-G123</f>
        <v/>
      </c>
      <c r="K123" s="101">
        <f>IFERROR(I123/G123-1,0)</f>
        <v/>
      </c>
      <c r="L123" s="75">
        <f>B123-G123</f>
        <v/>
      </c>
      <c r="M123" s="75">
        <f>C123-H123</f>
        <v/>
      </c>
      <c r="N123" s="102">
        <f>D123-I123</f>
        <v/>
      </c>
      <c r="O123" s="75">
        <f>N123-L123</f>
        <v/>
      </c>
      <c r="P123" s="77">
        <f>IFERROR(N123/D123,0)</f>
        <v/>
      </c>
    </row>
    <row r="124" hidden="1" outlineLevel="2">
      <c r="A124" s="78" t="inlineStr">
        <is>
          <t>BAC_CCE</t>
        </is>
      </c>
      <c r="B124" s="80" t="n">
        <v>906960</v>
      </c>
      <c r="C124" s="80" t="n">
        <v>956230</v>
      </c>
      <c r="D124" s="80" t="n">
        <v>1019500</v>
      </c>
      <c r="E124" s="80">
        <f>D124-B124</f>
        <v/>
      </c>
      <c r="F124" s="103">
        <f>IFERROR(D124/B124-1,0)</f>
        <v/>
      </c>
      <c r="G124" s="80" t="n">
        <v>740212</v>
      </c>
      <c r="H124" s="80" t="n">
        <v>777405</v>
      </c>
      <c r="I124" s="80" t="n">
        <v>819648</v>
      </c>
      <c r="J124" s="80">
        <f>I124-G124</f>
        <v/>
      </c>
      <c r="K124" s="103">
        <f>IFERROR(I124/G124-1,0)</f>
        <v/>
      </c>
      <c r="L124" s="80">
        <f>B124-G124</f>
        <v/>
      </c>
      <c r="M124" s="80">
        <f>C124-H124</f>
        <v/>
      </c>
      <c r="N124" s="81">
        <f>D124-I124</f>
        <v/>
      </c>
      <c r="O124" s="80">
        <f>N124-L124</f>
        <v/>
      </c>
      <c r="P124" s="82">
        <f>IFERROR(N124/D124,0)</f>
        <v/>
      </c>
    </row>
    <row r="125" hidden="1" outlineLevel="3">
      <c r="A125" s="83" t="inlineStr">
        <is>
          <t>B1</t>
        </is>
      </c>
      <c r="B125" s="80" t="n">
        <v>311960</v>
      </c>
      <c r="C125" s="80" t="n">
        <v>333230</v>
      </c>
      <c r="D125" s="80" t="n">
        <v>354500</v>
      </c>
      <c r="E125" s="80">
        <f>D125-B125</f>
        <v/>
      </c>
      <c r="F125" s="103">
        <f>IFERROR(D125/B125-1,0)</f>
        <v/>
      </c>
      <c r="G125" s="80" t="n">
        <v>262755</v>
      </c>
      <c r="H125" s="80" t="n">
        <v>279012</v>
      </c>
      <c r="I125" s="80" t="n">
        <v>294344</v>
      </c>
      <c r="J125" s="80">
        <f>I125-G125</f>
        <v/>
      </c>
      <c r="K125" s="103">
        <f>IFERROR(I125/G125-1,0)</f>
        <v/>
      </c>
      <c r="L125" s="80">
        <f>B125-G125</f>
        <v/>
      </c>
      <c r="M125" s="80">
        <f>C125-H125</f>
        <v/>
      </c>
      <c r="N125" s="81">
        <f>D125-I125</f>
        <v/>
      </c>
      <c r="O125" s="80">
        <f>N125-L125</f>
        <v/>
      </c>
      <c r="P125" s="82">
        <f>IFERROR(N125/D125,0)</f>
        <v/>
      </c>
    </row>
    <row r="126" hidden="1" outlineLevel="4">
      <c r="A126" s="84" t="inlineStr">
        <is>
          <t>Alternance</t>
        </is>
      </c>
      <c r="B126" s="80" t="n">
        <v>311960</v>
      </c>
      <c r="C126" s="80" t="n">
        <v>333230</v>
      </c>
      <c r="D126" s="80" t="n">
        <v>354500</v>
      </c>
      <c r="E126" s="80">
        <f>D126-B126</f>
        <v/>
      </c>
      <c r="F126" s="103">
        <f>IFERROR(D126/B126-1,0)</f>
        <v/>
      </c>
      <c r="G126" s="80" t="n">
        <v>262755</v>
      </c>
      <c r="H126" s="80" t="n">
        <v>279012</v>
      </c>
      <c r="I126" s="80" t="n">
        <v>294344</v>
      </c>
      <c r="J126" s="80">
        <f>I126-G126</f>
        <v/>
      </c>
      <c r="K126" s="103">
        <f>IFERROR(I126/G126-1,0)</f>
        <v/>
      </c>
      <c r="L126" s="80">
        <f>B126-G126</f>
        <v/>
      </c>
      <c r="M126" s="80">
        <f>C126-H126</f>
        <v/>
      </c>
      <c r="N126" s="81">
        <f>D126-I126</f>
        <v/>
      </c>
      <c r="O126" s="80">
        <f>N126-L126</f>
        <v/>
      </c>
      <c r="P126" s="82">
        <f>IFERROR(N126/D126,0)</f>
        <v/>
      </c>
    </row>
    <row r="127" hidden="1" outlineLevel="3">
      <c r="A127" s="83" t="inlineStr">
        <is>
          <t>B2</t>
        </is>
      </c>
      <c r="B127" s="80" t="n">
        <v>301000</v>
      </c>
      <c r="C127" s="80" t="n">
        <v>315000</v>
      </c>
      <c r="D127" s="80" t="n">
        <v>336000</v>
      </c>
      <c r="E127" s="80">
        <f>D127-B127</f>
        <v/>
      </c>
      <c r="F127" s="103">
        <f>IFERROR(D127/B127-1,0)</f>
        <v/>
      </c>
      <c r="G127" s="80" t="n">
        <v>240743</v>
      </c>
      <c r="H127" s="80" t="n">
        <v>251203</v>
      </c>
      <c r="I127" s="80" t="n">
        <v>264639</v>
      </c>
      <c r="J127" s="80">
        <f>I127-G127</f>
        <v/>
      </c>
      <c r="K127" s="103">
        <f>IFERROR(I127/G127-1,0)</f>
        <v/>
      </c>
      <c r="L127" s="80">
        <f>B127-G127</f>
        <v/>
      </c>
      <c r="M127" s="80">
        <f>C127-H127</f>
        <v/>
      </c>
      <c r="N127" s="81">
        <f>D127-I127</f>
        <v/>
      </c>
      <c r="O127" s="80">
        <f>N127-L127</f>
        <v/>
      </c>
      <c r="P127" s="82">
        <f>IFERROR(N127/D127,0)</f>
        <v/>
      </c>
    </row>
    <row r="128" hidden="1" outlineLevel="4">
      <c r="A128" s="84" t="inlineStr">
        <is>
          <t>Alternance</t>
        </is>
      </c>
      <c r="B128" s="80" t="n">
        <v>301000</v>
      </c>
      <c r="C128" s="80" t="n">
        <v>315000</v>
      </c>
      <c r="D128" s="80" t="n">
        <v>336000</v>
      </c>
      <c r="E128" s="80">
        <f>D128-B128</f>
        <v/>
      </c>
      <c r="F128" s="103">
        <f>IFERROR(D128/B128-1,0)</f>
        <v/>
      </c>
      <c r="G128" s="80" t="n">
        <v>240743</v>
      </c>
      <c r="H128" s="80" t="n">
        <v>251203</v>
      </c>
      <c r="I128" s="80" t="n">
        <v>264639</v>
      </c>
      <c r="J128" s="80">
        <f>I128-G128</f>
        <v/>
      </c>
      <c r="K128" s="103">
        <f>IFERROR(I128/G128-1,0)</f>
        <v/>
      </c>
      <c r="L128" s="80">
        <f>B128-G128</f>
        <v/>
      </c>
      <c r="M128" s="80">
        <f>C128-H128</f>
        <v/>
      </c>
      <c r="N128" s="81">
        <f>D128-I128</f>
        <v/>
      </c>
      <c r="O128" s="80">
        <f>N128-L128</f>
        <v/>
      </c>
      <c r="P128" s="82">
        <f>IFERROR(N128/D128,0)</f>
        <v/>
      </c>
    </row>
    <row r="129" hidden="1" outlineLevel="3">
      <c r="A129" s="83" t="inlineStr">
        <is>
          <t>B3</t>
        </is>
      </c>
      <c r="B129" s="80" t="n">
        <v>294000</v>
      </c>
      <c r="C129" s="80" t="n">
        <v>308000</v>
      </c>
      <c r="D129" s="80" t="n">
        <v>329000</v>
      </c>
      <c r="E129" s="80">
        <f>D129-B129</f>
        <v/>
      </c>
      <c r="F129" s="103">
        <f>IFERROR(D129/B129-1,0)</f>
        <v/>
      </c>
      <c r="G129" s="80" t="n">
        <v>236714</v>
      </c>
      <c r="H129" s="80" t="n">
        <v>247189</v>
      </c>
      <c r="I129" s="80" t="n">
        <v>260666</v>
      </c>
      <c r="J129" s="80">
        <f>I129-G129</f>
        <v/>
      </c>
      <c r="K129" s="103">
        <f>IFERROR(I129/G129-1,0)</f>
        <v/>
      </c>
      <c r="L129" s="80">
        <f>B129-G129</f>
        <v/>
      </c>
      <c r="M129" s="80">
        <f>C129-H129</f>
        <v/>
      </c>
      <c r="N129" s="81">
        <f>D129-I129</f>
        <v/>
      </c>
      <c r="O129" s="80">
        <f>N129-L129</f>
        <v/>
      </c>
      <c r="P129" s="82">
        <f>IFERROR(N129/D129,0)</f>
        <v/>
      </c>
    </row>
    <row r="130" hidden="1" outlineLevel="4">
      <c r="A130" s="84" t="inlineStr">
        <is>
          <t>Alternance</t>
        </is>
      </c>
      <c r="B130" s="80" t="n">
        <v>294000</v>
      </c>
      <c r="C130" s="80" t="n">
        <v>308000</v>
      </c>
      <c r="D130" s="80" t="n">
        <v>329000</v>
      </c>
      <c r="E130" s="80">
        <f>D130-B130</f>
        <v/>
      </c>
      <c r="F130" s="103">
        <f>IFERROR(D130/B130-1,0)</f>
        <v/>
      </c>
      <c r="G130" s="80" t="n">
        <v>236714</v>
      </c>
      <c r="H130" s="80" t="n">
        <v>247189</v>
      </c>
      <c r="I130" s="80" t="n">
        <v>260666</v>
      </c>
      <c r="J130" s="80">
        <f>I130-G130</f>
        <v/>
      </c>
      <c r="K130" s="103">
        <f>IFERROR(I130/G130-1,0)</f>
        <v/>
      </c>
      <c r="L130" s="80">
        <f>B130-G130</f>
        <v/>
      </c>
      <c r="M130" s="80">
        <f>C130-H130</f>
        <v/>
      </c>
      <c r="N130" s="81">
        <f>D130-I130</f>
        <v/>
      </c>
      <c r="O130" s="80">
        <f>N130-L130</f>
        <v/>
      </c>
      <c r="P130" s="82">
        <f>IFERROR(N130/D130,0)</f>
        <v/>
      </c>
    </row>
    <row r="131" outlineLevel="1">
      <c r="A131" s="73" t="inlineStr">
        <is>
          <t>Rennes</t>
        </is>
      </c>
      <c r="B131" s="75" t="n">
        <v>701490</v>
      </c>
      <c r="C131" s="75" t="n">
        <v>741570</v>
      </c>
      <c r="D131" s="75" t="n">
        <v>781650</v>
      </c>
      <c r="E131" s="75">
        <f>D131-B131</f>
        <v/>
      </c>
      <c r="F131" s="101">
        <f>IFERROR(D131/B131-1,0)</f>
        <v/>
      </c>
      <c r="G131" s="75" t="n">
        <v>599798</v>
      </c>
      <c r="H131" s="75" t="n">
        <v>630069</v>
      </c>
      <c r="I131" s="75" t="n">
        <v>662483</v>
      </c>
      <c r="J131" s="75">
        <f>I131-G131</f>
        <v/>
      </c>
      <c r="K131" s="101">
        <f>IFERROR(I131/G131-1,0)</f>
        <v/>
      </c>
      <c r="L131" s="75">
        <f>B131-G131</f>
        <v/>
      </c>
      <c r="M131" s="75">
        <f>C131-H131</f>
        <v/>
      </c>
      <c r="N131" s="102">
        <f>D131-I131</f>
        <v/>
      </c>
      <c r="O131" s="75">
        <f>N131-L131</f>
        <v/>
      </c>
      <c r="P131" s="77">
        <f>IFERROR(N131/D131,0)</f>
        <v/>
      </c>
    </row>
    <row r="132" hidden="1" outlineLevel="2">
      <c r="A132" s="78" t="inlineStr">
        <is>
          <t>BAC_CCE</t>
        </is>
      </c>
      <c r="B132" s="80" t="n">
        <v>701490</v>
      </c>
      <c r="C132" s="80" t="n">
        <v>741570</v>
      </c>
      <c r="D132" s="80" t="n">
        <v>781650</v>
      </c>
      <c r="E132" s="80">
        <f>D132-B132</f>
        <v/>
      </c>
      <c r="F132" s="103">
        <f>IFERROR(D132/B132-1,0)</f>
        <v/>
      </c>
      <c r="G132" s="80" t="n">
        <v>599798</v>
      </c>
      <c r="H132" s="80" t="n">
        <v>630069</v>
      </c>
      <c r="I132" s="80" t="n">
        <v>662483</v>
      </c>
      <c r="J132" s="80">
        <f>I132-G132</f>
        <v/>
      </c>
      <c r="K132" s="103">
        <f>IFERROR(I132/G132-1,0)</f>
        <v/>
      </c>
      <c r="L132" s="80">
        <f>B132-G132</f>
        <v/>
      </c>
      <c r="M132" s="80">
        <f>C132-H132</f>
        <v/>
      </c>
      <c r="N132" s="81">
        <f>D132-I132</f>
        <v/>
      </c>
      <c r="O132" s="80">
        <f>N132-L132</f>
        <v/>
      </c>
      <c r="P132" s="82">
        <f>IFERROR(N132/D132,0)</f>
        <v/>
      </c>
    </row>
    <row r="133" hidden="1" outlineLevel="3">
      <c r="A133" s="83" t="inlineStr">
        <is>
          <t>B1</t>
        </is>
      </c>
      <c r="B133" s="80" t="n">
        <v>242640</v>
      </c>
      <c r="C133" s="80" t="n">
        <v>256120</v>
      </c>
      <c r="D133" s="80" t="n">
        <v>269600</v>
      </c>
      <c r="E133" s="80">
        <f>D133-B133</f>
        <v/>
      </c>
      <c r="F133" s="103">
        <f>IFERROR(D133/B133-1,0)</f>
        <v/>
      </c>
      <c r="G133" s="80" t="n">
        <v>211982</v>
      </c>
      <c r="H133" s="80" t="n">
        <v>222873</v>
      </c>
      <c r="I133" s="80" t="n">
        <v>234575</v>
      </c>
      <c r="J133" s="80">
        <f>I133-G133</f>
        <v/>
      </c>
      <c r="K133" s="103">
        <f>IFERROR(I133/G133-1,0)</f>
        <v/>
      </c>
      <c r="L133" s="80">
        <f>B133-G133</f>
        <v/>
      </c>
      <c r="M133" s="80">
        <f>C133-H133</f>
        <v/>
      </c>
      <c r="N133" s="81">
        <f>D133-I133</f>
        <v/>
      </c>
      <c r="O133" s="80">
        <f>N133-L133</f>
        <v/>
      </c>
      <c r="P133" s="82">
        <f>IFERROR(N133/D133,0)</f>
        <v/>
      </c>
    </row>
    <row r="134" hidden="1" outlineLevel="4">
      <c r="A134" s="84" t="inlineStr">
        <is>
          <t>Alternance</t>
        </is>
      </c>
      <c r="B134" s="80" t="n">
        <v>242640</v>
      </c>
      <c r="C134" s="80" t="n">
        <v>256120</v>
      </c>
      <c r="D134" s="80" t="n">
        <v>269600</v>
      </c>
      <c r="E134" s="80">
        <f>D134-B134</f>
        <v/>
      </c>
      <c r="F134" s="103">
        <f>IFERROR(D134/B134-1,0)</f>
        <v/>
      </c>
      <c r="G134" s="80" t="n">
        <v>211982</v>
      </c>
      <c r="H134" s="80" t="n">
        <v>222873</v>
      </c>
      <c r="I134" s="80" t="n">
        <v>234575</v>
      </c>
      <c r="J134" s="80">
        <f>I134-G134</f>
        <v/>
      </c>
      <c r="K134" s="103">
        <f>IFERROR(I134/G134-1,0)</f>
        <v/>
      </c>
      <c r="L134" s="80">
        <f>B134-G134</f>
        <v/>
      </c>
      <c r="M134" s="80">
        <f>C134-H134</f>
        <v/>
      </c>
      <c r="N134" s="81">
        <f>D134-I134</f>
        <v/>
      </c>
      <c r="O134" s="80">
        <f>N134-L134</f>
        <v/>
      </c>
      <c r="P134" s="82">
        <f>IFERROR(N134/D134,0)</f>
        <v/>
      </c>
    </row>
    <row r="135" hidden="1" outlineLevel="3">
      <c r="A135" s="83" t="inlineStr">
        <is>
          <t>B2</t>
        </is>
      </c>
      <c r="B135" s="80" t="n">
        <v>232750</v>
      </c>
      <c r="C135" s="80" t="n">
        <v>246050</v>
      </c>
      <c r="D135" s="80" t="n">
        <v>259350</v>
      </c>
      <c r="E135" s="80">
        <f>D135-B135</f>
        <v/>
      </c>
      <c r="F135" s="103">
        <f>IFERROR(D135/B135-1,0)</f>
        <v/>
      </c>
      <c r="G135" s="80" t="n">
        <v>195819</v>
      </c>
      <c r="H135" s="80" t="n">
        <v>205498</v>
      </c>
      <c r="I135" s="80" t="n">
        <v>215850</v>
      </c>
      <c r="J135" s="80">
        <f>I135-G135</f>
        <v/>
      </c>
      <c r="K135" s="103">
        <f>IFERROR(I135/G135-1,0)</f>
        <v/>
      </c>
      <c r="L135" s="80">
        <f>B135-G135</f>
        <v/>
      </c>
      <c r="M135" s="80">
        <f>C135-H135</f>
        <v/>
      </c>
      <c r="N135" s="81">
        <f>D135-I135</f>
        <v/>
      </c>
      <c r="O135" s="80">
        <f>N135-L135</f>
        <v/>
      </c>
      <c r="P135" s="82">
        <f>IFERROR(N135/D135,0)</f>
        <v/>
      </c>
    </row>
    <row r="136" hidden="1" outlineLevel="4">
      <c r="A136" s="84" t="inlineStr">
        <is>
          <t>Alternance</t>
        </is>
      </c>
      <c r="B136" s="80" t="n">
        <v>232750</v>
      </c>
      <c r="C136" s="80" t="n">
        <v>246050</v>
      </c>
      <c r="D136" s="80" t="n">
        <v>259350</v>
      </c>
      <c r="E136" s="80">
        <f>D136-B136</f>
        <v/>
      </c>
      <c r="F136" s="103">
        <f>IFERROR(D136/B136-1,0)</f>
        <v/>
      </c>
      <c r="G136" s="80" t="n">
        <v>195819</v>
      </c>
      <c r="H136" s="80" t="n">
        <v>205498</v>
      </c>
      <c r="I136" s="80" t="n">
        <v>215850</v>
      </c>
      <c r="J136" s="80">
        <f>I136-G136</f>
        <v/>
      </c>
      <c r="K136" s="103">
        <f>IFERROR(I136/G136-1,0)</f>
        <v/>
      </c>
      <c r="L136" s="80">
        <f>B136-G136</f>
        <v/>
      </c>
      <c r="M136" s="80">
        <f>C136-H136</f>
        <v/>
      </c>
      <c r="N136" s="81">
        <f>D136-I136</f>
        <v/>
      </c>
      <c r="O136" s="80">
        <f>N136-L136</f>
        <v/>
      </c>
      <c r="P136" s="82">
        <f>IFERROR(N136/D136,0)</f>
        <v/>
      </c>
    </row>
    <row r="137" hidden="1" outlineLevel="3">
      <c r="A137" s="83" t="inlineStr">
        <is>
          <t>B3</t>
        </is>
      </c>
      <c r="B137" s="80" t="n">
        <v>226100</v>
      </c>
      <c r="C137" s="80" t="n">
        <v>239400</v>
      </c>
      <c r="D137" s="80" t="n">
        <v>252700</v>
      </c>
      <c r="E137" s="80">
        <f>D137-B137</f>
        <v/>
      </c>
      <c r="F137" s="103">
        <f>IFERROR(D137/B137-1,0)</f>
        <v/>
      </c>
      <c r="G137" s="80" t="n">
        <v>191997</v>
      </c>
      <c r="H137" s="80" t="n">
        <v>201698</v>
      </c>
      <c r="I137" s="80" t="n">
        <v>212059</v>
      </c>
      <c r="J137" s="80">
        <f>I137-G137</f>
        <v/>
      </c>
      <c r="K137" s="103">
        <f>IFERROR(I137/G137-1,0)</f>
        <v/>
      </c>
      <c r="L137" s="80">
        <f>B137-G137</f>
        <v/>
      </c>
      <c r="M137" s="80">
        <f>C137-H137</f>
        <v/>
      </c>
      <c r="N137" s="81">
        <f>D137-I137</f>
        <v/>
      </c>
      <c r="O137" s="80">
        <f>N137-L137</f>
        <v/>
      </c>
      <c r="P137" s="82">
        <f>IFERROR(N137/D137,0)</f>
        <v/>
      </c>
    </row>
    <row r="138" hidden="1" outlineLevel="4">
      <c r="A138" s="84" t="inlineStr">
        <is>
          <t>Alternance</t>
        </is>
      </c>
      <c r="B138" s="80" t="n">
        <v>226100</v>
      </c>
      <c r="C138" s="80" t="n">
        <v>239400</v>
      </c>
      <c r="D138" s="80" t="n">
        <v>252700</v>
      </c>
      <c r="E138" s="80">
        <f>D138-B138</f>
        <v/>
      </c>
      <c r="F138" s="103">
        <f>IFERROR(D138/B138-1,0)</f>
        <v/>
      </c>
      <c r="G138" s="80" t="n">
        <v>191997</v>
      </c>
      <c r="H138" s="80" t="n">
        <v>201698</v>
      </c>
      <c r="I138" s="80" t="n">
        <v>212059</v>
      </c>
      <c r="J138" s="80">
        <f>I138-G138</f>
        <v/>
      </c>
      <c r="K138" s="103">
        <f>IFERROR(I138/G138-1,0)</f>
        <v/>
      </c>
      <c r="L138" s="80">
        <f>B138-G138</f>
        <v/>
      </c>
      <c r="M138" s="80">
        <f>C138-H138</f>
        <v/>
      </c>
      <c r="N138" s="81">
        <f>D138-I138</f>
        <v/>
      </c>
      <c r="O138" s="80">
        <f>N138-L138</f>
        <v/>
      </c>
      <c r="P138" s="82">
        <f>IFERROR(N138/D138,0)</f>
        <v/>
      </c>
    </row>
    <row r="139">
      <c r="A139" s="68" t="inlineStr">
        <is>
          <t>Pigier</t>
        </is>
      </c>
      <c r="B139" s="70" t="n">
        <v>1913220</v>
      </c>
      <c r="C139" s="70" t="n">
        <v>2018980</v>
      </c>
      <c r="D139" s="70" t="n">
        <v>2152220</v>
      </c>
      <c r="E139" s="70">
        <f>D139-B139</f>
        <v/>
      </c>
      <c r="F139" s="98">
        <f>IFERROR(D139/B139-1,0)</f>
        <v/>
      </c>
      <c r="G139" s="70" t="n">
        <v>1880670</v>
      </c>
      <c r="H139" s="70" t="n">
        <v>1974858</v>
      </c>
      <c r="I139" s="70" t="n">
        <v>2080707</v>
      </c>
      <c r="J139" s="70">
        <f>I139-G139</f>
        <v/>
      </c>
      <c r="K139" s="98">
        <f>IFERROR(I139/G139-1,0)</f>
        <v/>
      </c>
      <c r="L139" s="70">
        <f>B139-G139</f>
        <v/>
      </c>
      <c r="M139" s="70">
        <f>C139-H139</f>
        <v/>
      </c>
      <c r="N139" s="99">
        <f>D139-I139</f>
        <v/>
      </c>
      <c r="O139" s="70">
        <f>N139-L139</f>
        <v/>
      </c>
      <c r="P139" s="90">
        <f>IFERROR(N139/D139,0)</f>
        <v/>
      </c>
    </row>
    <row r="140" outlineLevel="1">
      <c r="A140" s="73" t="inlineStr">
        <is>
          <t>Bordeaux</t>
        </is>
      </c>
      <c r="B140" s="75" t="n">
        <v>800190</v>
      </c>
      <c r="C140" s="75" t="n">
        <v>850990</v>
      </c>
      <c r="D140" s="75" t="n">
        <v>901790</v>
      </c>
      <c r="E140" s="75">
        <f>D140-B140</f>
        <v/>
      </c>
      <c r="F140" s="101">
        <f>IFERROR(D140/B140-1,0)</f>
        <v/>
      </c>
      <c r="G140" s="75" t="n">
        <v>848965</v>
      </c>
      <c r="H140" s="75" t="n">
        <v>892260</v>
      </c>
      <c r="I140" s="75" t="n">
        <v>938654</v>
      </c>
      <c r="J140" s="75">
        <f>I140-G140</f>
        <v/>
      </c>
      <c r="K140" s="101">
        <f>IFERROR(I140/G140-1,0)</f>
        <v/>
      </c>
      <c r="L140" s="75">
        <f>B140-G140</f>
        <v/>
      </c>
      <c r="M140" s="75">
        <f>C140-H140</f>
        <v/>
      </c>
      <c r="N140" s="102">
        <f>D140-I140</f>
        <v/>
      </c>
      <c r="O140" s="75">
        <f>N140-L140</f>
        <v/>
      </c>
      <c r="P140" s="88">
        <f>IFERROR(N140/D140,0)</f>
        <v/>
      </c>
    </row>
    <row r="141" hidden="1" outlineLevel="2">
      <c r="A141" s="78" t="inlineStr">
        <is>
          <t>BAC_RH</t>
        </is>
      </c>
      <c r="B141" s="80" t="n">
        <v>430650</v>
      </c>
      <c r="C141" s="80" t="n">
        <v>457990</v>
      </c>
      <c r="D141" s="80" t="n">
        <v>485330</v>
      </c>
      <c r="E141" s="80">
        <f>D141-B141</f>
        <v/>
      </c>
      <c r="F141" s="103">
        <f>IFERROR(D141/B141-1,0)</f>
        <v/>
      </c>
      <c r="G141" s="80" t="n">
        <v>398468</v>
      </c>
      <c r="H141" s="80" t="n">
        <v>418923</v>
      </c>
      <c r="I141" s="80" t="n">
        <v>440821</v>
      </c>
      <c r="J141" s="80">
        <f>I141-G141</f>
        <v/>
      </c>
      <c r="K141" s="103">
        <f>IFERROR(I141/G141-1,0)</f>
        <v/>
      </c>
      <c r="L141" s="80">
        <f>B141-G141</f>
        <v/>
      </c>
      <c r="M141" s="80">
        <f>C141-H141</f>
        <v/>
      </c>
      <c r="N141" s="81">
        <f>D141-I141</f>
        <v/>
      </c>
      <c r="O141" s="80">
        <f>N141-L141</f>
        <v/>
      </c>
      <c r="P141" s="82">
        <f>IFERROR(N141/D141,0)</f>
        <v/>
      </c>
    </row>
    <row r="142" hidden="1" outlineLevel="3">
      <c r="A142" s="83" t="inlineStr">
        <is>
          <t>B1</t>
        </is>
      </c>
      <c r="B142" s="80" t="n">
        <v>220160</v>
      </c>
      <c r="C142" s="80" t="n">
        <v>233920</v>
      </c>
      <c r="D142" s="80" t="n">
        <v>247680</v>
      </c>
      <c r="E142" s="80">
        <f>D142-B142</f>
        <v/>
      </c>
      <c r="F142" s="103">
        <f>IFERROR(D142/B142-1,0)</f>
        <v/>
      </c>
      <c r="G142" s="80" t="n">
        <v>205962</v>
      </c>
      <c r="H142" s="80" t="n">
        <v>216620</v>
      </c>
      <c r="I142" s="80" t="n">
        <v>228054</v>
      </c>
      <c r="J142" s="80">
        <f>I142-G142</f>
        <v/>
      </c>
      <c r="K142" s="103">
        <f>IFERROR(I142/G142-1,0)</f>
        <v/>
      </c>
      <c r="L142" s="80">
        <f>B142-G142</f>
        <v/>
      </c>
      <c r="M142" s="80">
        <f>C142-H142</f>
        <v/>
      </c>
      <c r="N142" s="81">
        <f>D142-I142</f>
        <v/>
      </c>
      <c r="O142" s="80">
        <f>N142-L142</f>
        <v/>
      </c>
      <c r="P142" s="82">
        <f>IFERROR(N142/D142,0)</f>
        <v/>
      </c>
    </row>
    <row r="143" hidden="1" outlineLevel="4">
      <c r="A143" s="84" t="inlineStr">
        <is>
          <t>Alternance</t>
        </is>
      </c>
      <c r="B143" s="80" t="n">
        <v>220160</v>
      </c>
      <c r="C143" s="80" t="n">
        <v>233920</v>
      </c>
      <c r="D143" s="80" t="n">
        <v>247680</v>
      </c>
      <c r="E143" s="80">
        <f>D143-B143</f>
        <v/>
      </c>
      <c r="F143" s="103">
        <f>IFERROR(D143/B143-1,0)</f>
        <v/>
      </c>
      <c r="G143" s="80" t="n">
        <v>205962</v>
      </c>
      <c r="H143" s="80" t="n">
        <v>216620</v>
      </c>
      <c r="I143" s="80" t="n">
        <v>228054</v>
      </c>
      <c r="J143" s="80">
        <f>I143-G143</f>
        <v/>
      </c>
      <c r="K143" s="103">
        <f>IFERROR(I143/G143-1,0)</f>
        <v/>
      </c>
      <c r="L143" s="80">
        <f>B143-G143</f>
        <v/>
      </c>
      <c r="M143" s="80">
        <f>C143-H143</f>
        <v/>
      </c>
      <c r="N143" s="81">
        <f>D143-I143</f>
        <v/>
      </c>
      <c r="O143" s="80">
        <f>N143-L143</f>
        <v/>
      </c>
      <c r="P143" s="82">
        <f>IFERROR(N143/D143,0)</f>
        <v/>
      </c>
    </row>
    <row r="144" hidden="1" outlineLevel="3">
      <c r="A144" s="83" t="inlineStr">
        <is>
          <t>B3</t>
        </is>
      </c>
      <c r="B144" s="80" t="n">
        <v>210490</v>
      </c>
      <c r="C144" s="80" t="n">
        <v>224070</v>
      </c>
      <c r="D144" s="80" t="n">
        <v>237650</v>
      </c>
      <c r="E144" s="80">
        <f>D144-B144</f>
        <v/>
      </c>
      <c r="F144" s="103">
        <f>IFERROR(D144/B144-1,0)</f>
        <v/>
      </c>
      <c r="G144" s="80" t="n">
        <v>192506</v>
      </c>
      <c r="H144" s="80" t="n">
        <v>202303</v>
      </c>
      <c r="I144" s="80" t="n">
        <v>212768</v>
      </c>
      <c r="J144" s="80">
        <f>I144-G144</f>
        <v/>
      </c>
      <c r="K144" s="103">
        <f>IFERROR(I144/G144-1,0)</f>
        <v/>
      </c>
      <c r="L144" s="80">
        <f>B144-G144</f>
        <v/>
      </c>
      <c r="M144" s="80">
        <f>C144-H144</f>
        <v/>
      </c>
      <c r="N144" s="81">
        <f>D144-I144</f>
        <v/>
      </c>
      <c r="O144" s="80">
        <f>N144-L144</f>
        <v/>
      </c>
      <c r="P144" s="82">
        <f>IFERROR(N144/D144,0)</f>
        <v/>
      </c>
    </row>
    <row r="145" hidden="1" outlineLevel="4">
      <c r="A145" s="84" t="inlineStr">
        <is>
          <t>Alternance</t>
        </is>
      </c>
      <c r="B145" s="80" t="n">
        <v>210490</v>
      </c>
      <c r="C145" s="80" t="n">
        <v>224070</v>
      </c>
      <c r="D145" s="80" t="n">
        <v>237650</v>
      </c>
      <c r="E145" s="80">
        <f>D145-B145</f>
        <v/>
      </c>
      <c r="F145" s="103">
        <f>IFERROR(D145/B145-1,0)</f>
        <v/>
      </c>
      <c r="G145" s="80" t="n">
        <v>192506</v>
      </c>
      <c r="H145" s="80" t="n">
        <v>202303</v>
      </c>
      <c r="I145" s="80" t="n">
        <v>212768</v>
      </c>
      <c r="J145" s="80">
        <f>I145-G145</f>
        <v/>
      </c>
      <c r="K145" s="103">
        <f>IFERROR(I145/G145-1,0)</f>
        <v/>
      </c>
      <c r="L145" s="80">
        <f>B145-G145</f>
        <v/>
      </c>
      <c r="M145" s="80">
        <f>C145-H145</f>
        <v/>
      </c>
      <c r="N145" s="81">
        <f>D145-I145</f>
        <v/>
      </c>
      <c r="O145" s="80">
        <f>N145-L145</f>
        <v/>
      </c>
      <c r="P145" s="82">
        <f>IFERROR(N145/D145,0)</f>
        <v/>
      </c>
    </row>
    <row r="146" hidden="1" outlineLevel="2">
      <c r="A146" s="78" t="inlineStr">
        <is>
          <t>BTS_GES</t>
        </is>
      </c>
      <c r="B146" s="80" t="n">
        <v>369540</v>
      </c>
      <c r="C146" s="80" t="n">
        <v>393000</v>
      </c>
      <c r="D146" s="80" t="n">
        <v>416460</v>
      </c>
      <c r="E146" s="80">
        <f>D146-B146</f>
        <v/>
      </c>
      <c r="F146" s="103">
        <f>IFERROR(D146/B146-1,0)</f>
        <v/>
      </c>
      <c r="G146" s="80" t="n">
        <v>450498</v>
      </c>
      <c r="H146" s="80" t="n">
        <v>473337</v>
      </c>
      <c r="I146" s="80" t="n">
        <v>497833</v>
      </c>
      <c r="J146" s="80">
        <f>I146-G146</f>
        <v/>
      </c>
      <c r="K146" s="103">
        <f>IFERROR(I146/G146-1,0)</f>
        <v/>
      </c>
      <c r="L146" s="80">
        <f>B146-G146</f>
        <v/>
      </c>
      <c r="M146" s="80">
        <f>C146-H146</f>
        <v/>
      </c>
      <c r="N146" s="81">
        <f>D146-I146</f>
        <v/>
      </c>
      <c r="O146" s="80">
        <f>N146-L146</f>
        <v/>
      </c>
      <c r="P146" s="86">
        <f>IFERROR(N146/D146,0)</f>
        <v/>
      </c>
    </row>
    <row r="147" hidden="1" outlineLevel="3">
      <c r="A147" s="83" t="inlineStr">
        <is>
          <t>BTS1</t>
        </is>
      </c>
      <c r="B147" s="80" t="n">
        <v>189120</v>
      </c>
      <c r="C147" s="80" t="n">
        <v>200940</v>
      </c>
      <c r="D147" s="80" t="n">
        <v>212760</v>
      </c>
      <c r="E147" s="80">
        <f>D147-B147</f>
        <v/>
      </c>
      <c r="F147" s="103">
        <f>IFERROR(D147/B147-1,0)</f>
        <v/>
      </c>
      <c r="G147" s="80" t="n">
        <v>231977</v>
      </c>
      <c r="H147" s="80" t="n">
        <v>243827</v>
      </c>
      <c r="I147" s="80" t="n">
        <v>256559</v>
      </c>
      <c r="J147" s="80">
        <f>I147-G147</f>
        <v/>
      </c>
      <c r="K147" s="103">
        <f>IFERROR(I147/G147-1,0)</f>
        <v/>
      </c>
      <c r="L147" s="80">
        <f>B147-G147</f>
        <v/>
      </c>
      <c r="M147" s="80">
        <f>C147-H147</f>
        <v/>
      </c>
      <c r="N147" s="81">
        <f>D147-I147</f>
        <v/>
      </c>
      <c r="O147" s="80">
        <f>N147-L147</f>
        <v/>
      </c>
      <c r="P147" s="86">
        <f>IFERROR(N147/D147,0)</f>
        <v/>
      </c>
    </row>
    <row r="148" hidden="1" outlineLevel="4">
      <c r="A148" s="84" t="inlineStr">
        <is>
          <t>Alternance</t>
        </is>
      </c>
      <c r="B148" s="80" t="n">
        <v>189120</v>
      </c>
      <c r="C148" s="80" t="n">
        <v>200940</v>
      </c>
      <c r="D148" s="80" t="n">
        <v>212760</v>
      </c>
      <c r="E148" s="80">
        <f>D148-B148</f>
        <v/>
      </c>
      <c r="F148" s="103">
        <f>IFERROR(D148/B148-1,0)</f>
        <v/>
      </c>
      <c r="G148" s="80" t="n">
        <v>231977</v>
      </c>
      <c r="H148" s="80" t="n">
        <v>243827</v>
      </c>
      <c r="I148" s="80" t="n">
        <v>256559</v>
      </c>
      <c r="J148" s="80">
        <f>I148-G148</f>
        <v/>
      </c>
      <c r="K148" s="103">
        <f>IFERROR(I148/G148-1,0)</f>
        <v/>
      </c>
      <c r="L148" s="80">
        <f>B148-G148</f>
        <v/>
      </c>
      <c r="M148" s="80">
        <f>C148-H148</f>
        <v/>
      </c>
      <c r="N148" s="81">
        <f>D148-I148</f>
        <v/>
      </c>
      <c r="O148" s="80">
        <f>N148-L148</f>
        <v/>
      </c>
      <c r="P148" s="86">
        <f>IFERROR(N148/D148,0)</f>
        <v/>
      </c>
    </row>
    <row r="149" hidden="1" outlineLevel="3">
      <c r="A149" s="83" t="inlineStr">
        <is>
          <t>BTS2</t>
        </is>
      </c>
      <c r="B149" s="80" t="n">
        <v>180420</v>
      </c>
      <c r="C149" s="80" t="n">
        <v>192060</v>
      </c>
      <c r="D149" s="80" t="n">
        <v>203700</v>
      </c>
      <c r="E149" s="80">
        <f>D149-B149</f>
        <v/>
      </c>
      <c r="F149" s="103">
        <f>IFERROR(D149/B149-1,0)</f>
        <v/>
      </c>
      <c r="G149" s="80" t="n">
        <v>218521</v>
      </c>
      <c r="H149" s="80" t="n">
        <v>229510</v>
      </c>
      <c r="I149" s="80" t="n">
        <v>241273</v>
      </c>
      <c r="J149" s="80">
        <f>I149-G149</f>
        <v/>
      </c>
      <c r="K149" s="103">
        <f>IFERROR(I149/G149-1,0)</f>
        <v/>
      </c>
      <c r="L149" s="80">
        <f>B149-G149</f>
        <v/>
      </c>
      <c r="M149" s="80">
        <f>C149-H149</f>
        <v/>
      </c>
      <c r="N149" s="81">
        <f>D149-I149</f>
        <v/>
      </c>
      <c r="O149" s="80">
        <f>N149-L149</f>
        <v/>
      </c>
      <c r="P149" s="86">
        <f>IFERROR(N149/D149,0)</f>
        <v/>
      </c>
    </row>
    <row r="150" hidden="1" outlineLevel="4">
      <c r="A150" s="84" t="inlineStr">
        <is>
          <t>Alternance</t>
        </is>
      </c>
      <c r="B150" s="80" t="n">
        <v>180420</v>
      </c>
      <c r="C150" s="80" t="n">
        <v>192060</v>
      </c>
      <c r="D150" s="80" t="n">
        <v>203700</v>
      </c>
      <c r="E150" s="80">
        <f>D150-B150</f>
        <v/>
      </c>
      <c r="F150" s="103">
        <f>IFERROR(D150/B150-1,0)</f>
        <v/>
      </c>
      <c r="G150" s="80" t="n">
        <v>218521</v>
      </c>
      <c r="H150" s="80" t="n">
        <v>229510</v>
      </c>
      <c r="I150" s="80" t="n">
        <v>241273</v>
      </c>
      <c r="J150" s="80">
        <f>I150-G150</f>
        <v/>
      </c>
      <c r="K150" s="103">
        <f>IFERROR(I150/G150-1,0)</f>
        <v/>
      </c>
      <c r="L150" s="80">
        <f>B150-G150</f>
        <v/>
      </c>
      <c r="M150" s="80">
        <f>C150-H150</f>
        <v/>
      </c>
      <c r="N150" s="81">
        <f>D150-I150</f>
        <v/>
      </c>
      <c r="O150" s="80">
        <f>N150-L150</f>
        <v/>
      </c>
      <c r="P150" s="86">
        <f>IFERROR(N150/D150,0)</f>
        <v/>
      </c>
    </row>
    <row r="151" outlineLevel="1">
      <c r="A151" s="73" t="inlineStr">
        <is>
          <t>Lyon</t>
        </is>
      </c>
      <c r="B151" s="75" t="n">
        <v>1113030</v>
      </c>
      <c r="C151" s="75" t="n">
        <v>1167990</v>
      </c>
      <c r="D151" s="75" t="n">
        <v>1250430</v>
      </c>
      <c r="E151" s="75">
        <f>D151-B151</f>
        <v/>
      </c>
      <c r="F151" s="101">
        <f>IFERROR(D151/B151-1,0)</f>
        <v/>
      </c>
      <c r="G151" s="75" t="n">
        <v>1031704</v>
      </c>
      <c r="H151" s="75" t="n">
        <v>1082598</v>
      </c>
      <c r="I151" s="75" t="n">
        <v>1142053</v>
      </c>
      <c r="J151" s="75">
        <f>I151-G151</f>
        <v/>
      </c>
      <c r="K151" s="101">
        <f>IFERROR(I151/G151-1,0)</f>
        <v/>
      </c>
      <c r="L151" s="75">
        <f>B151-G151</f>
        <v/>
      </c>
      <c r="M151" s="75">
        <f>C151-H151</f>
        <v/>
      </c>
      <c r="N151" s="102">
        <f>D151-I151</f>
        <v/>
      </c>
      <c r="O151" s="75">
        <f>N151-L151</f>
        <v/>
      </c>
      <c r="P151" s="77">
        <f>IFERROR(N151/D151,0)</f>
        <v/>
      </c>
    </row>
    <row r="152" hidden="1" outlineLevel="2">
      <c r="A152" s="78" t="inlineStr">
        <is>
          <t>BAC_RH</t>
        </is>
      </c>
      <c r="B152" s="80" t="n">
        <v>599040</v>
      </c>
      <c r="C152" s="80" t="n">
        <v>628620</v>
      </c>
      <c r="D152" s="80" t="n">
        <v>672990</v>
      </c>
      <c r="E152" s="80">
        <f>D152-B152</f>
        <v/>
      </c>
      <c r="F152" s="103">
        <f>IFERROR(D152/B152-1,0)</f>
        <v/>
      </c>
      <c r="G152" s="80" t="n">
        <v>488651</v>
      </c>
      <c r="H152" s="80" t="n">
        <v>512851</v>
      </c>
      <c r="I152" s="80" t="n">
        <v>541220</v>
      </c>
      <c r="J152" s="80">
        <f>I152-G152</f>
        <v/>
      </c>
      <c r="K152" s="103">
        <f>IFERROR(I152/G152-1,0)</f>
        <v/>
      </c>
      <c r="L152" s="80">
        <f>B152-G152</f>
        <v/>
      </c>
      <c r="M152" s="80">
        <f>C152-H152</f>
        <v/>
      </c>
      <c r="N152" s="81">
        <f>D152-I152</f>
        <v/>
      </c>
      <c r="O152" s="80">
        <f>N152-L152</f>
        <v/>
      </c>
      <c r="P152" s="82">
        <f>IFERROR(N152/D152,0)</f>
        <v/>
      </c>
    </row>
    <row r="153" hidden="1" outlineLevel="3">
      <c r="A153" s="83" t="inlineStr">
        <is>
          <t>B1</t>
        </is>
      </c>
      <c r="B153" s="80" t="n">
        <v>305040</v>
      </c>
      <c r="C153" s="80" t="n">
        <v>319920</v>
      </c>
      <c r="D153" s="80" t="n">
        <v>342240</v>
      </c>
      <c r="E153" s="80">
        <f>D153-B153</f>
        <v/>
      </c>
      <c r="F153" s="103">
        <f>IFERROR(D153/B153-1,0)</f>
        <v/>
      </c>
      <c r="G153" s="80" t="n">
        <v>254080</v>
      </c>
      <c r="H153" s="80" t="n">
        <v>266935</v>
      </c>
      <c r="I153" s="80" t="n">
        <v>281922</v>
      </c>
      <c r="J153" s="80">
        <f>I153-G153</f>
        <v/>
      </c>
      <c r="K153" s="103">
        <f>IFERROR(I153/G153-1,0)</f>
        <v/>
      </c>
      <c r="L153" s="80">
        <f>B153-G153</f>
        <v/>
      </c>
      <c r="M153" s="80">
        <f>C153-H153</f>
        <v/>
      </c>
      <c r="N153" s="81">
        <f>D153-I153</f>
        <v/>
      </c>
      <c r="O153" s="80">
        <f>N153-L153</f>
        <v/>
      </c>
      <c r="P153" s="82">
        <f>IFERROR(N153/D153,0)</f>
        <v/>
      </c>
    </row>
    <row r="154" hidden="1" outlineLevel="4">
      <c r="A154" s="84" t="inlineStr">
        <is>
          <t>Alternance</t>
        </is>
      </c>
      <c r="B154" s="80" t="n">
        <v>305040</v>
      </c>
      <c r="C154" s="80" t="n">
        <v>319920</v>
      </c>
      <c r="D154" s="80" t="n">
        <v>342240</v>
      </c>
      <c r="E154" s="80">
        <f>D154-B154</f>
        <v/>
      </c>
      <c r="F154" s="103">
        <f>IFERROR(D154/B154-1,0)</f>
        <v/>
      </c>
      <c r="G154" s="80" t="n">
        <v>254080</v>
      </c>
      <c r="H154" s="80" t="n">
        <v>266935</v>
      </c>
      <c r="I154" s="80" t="n">
        <v>281922</v>
      </c>
      <c r="J154" s="80">
        <f>I154-G154</f>
        <v/>
      </c>
      <c r="K154" s="103">
        <f>IFERROR(I154/G154-1,0)</f>
        <v/>
      </c>
      <c r="L154" s="80">
        <f>B154-G154</f>
        <v/>
      </c>
      <c r="M154" s="80">
        <f>C154-H154</f>
        <v/>
      </c>
      <c r="N154" s="81">
        <f>D154-I154</f>
        <v/>
      </c>
      <c r="O154" s="80">
        <f>N154-L154</f>
        <v/>
      </c>
      <c r="P154" s="82">
        <f>IFERROR(N154/D154,0)</f>
        <v/>
      </c>
    </row>
    <row r="155" hidden="1" outlineLevel="3">
      <c r="A155" s="83" t="inlineStr">
        <is>
          <t>B3</t>
        </is>
      </c>
      <c r="B155" s="80" t="n">
        <v>294000</v>
      </c>
      <c r="C155" s="80" t="n">
        <v>308700</v>
      </c>
      <c r="D155" s="80" t="n">
        <v>330750</v>
      </c>
      <c r="E155" s="80">
        <f>D155-B155</f>
        <v/>
      </c>
      <c r="F155" s="103">
        <f>IFERROR(D155/B155-1,0)</f>
        <v/>
      </c>
      <c r="G155" s="80" t="n">
        <v>234571</v>
      </c>
      <c r="H155" s="80" t="n">
        <v>245916</v>
      </c>
      <c r="I155" s="80" t="n">
        <v>259299</v>
      </c>
      <c r="J155" s="80">
        <f>I155-G155</f>
        <v/>
      </c>
      <c r="K155" s="103">
        <f>IFERROR(I155/G155-1,0)</f>
        <v/>
      </c>
      <c r="L155" s="80">
        <f>B155-G155</f>
        <v/>
      </c>
      <c r="M155" s="80">
        <f>C155-H155</f>
        <v/>
      </c>
      <c r="N155" s="81">
        <f>D155-I155</f>
        <v/>
      </c>
      <c r="O155" s="80">
        <f>N155-L155</f>
        <v/>
      </c>
      <c r="P155" s="82">
        <f>IFERROR(N155/D155,0)</f>
        <v/>
      </c>
    </row>
    <row r="156" hidden="1" outlineLevel="4">
      <c r="A156" s="84" t="inlineStr">
        <is>
          <t>Alternance</t>
        </is>
      </c>
      <c r="B156" s="80" t="n">
        <v>294000</v>
      </c>
      <c r="C156" s="80" t="n">
        <v>308700</v>
      </c>
      <c r="D156" s="80" t="n">
        <v>330750</v>
      </c>
      <c r="E156" s="80">
        <f>D156-B156</f>
        <v/>
      </c>
      <c r="F156" s="103">
        <f>IFERROR(D156/B156-1,0)</f>
        <v/>
      </c>
      <c r="G156" s="80" t="n">
        <v>234571</v>
      </c>
      <c r="H156" s="80" t="n">
        <v>245916</v>
      </c>
      <c r="I156" s="80" t="n">
        <v>259299</v>
      </c>
      <c r="J156" s="80">
        <f>I156-G156</f>
        <v/>
      </c>
      <c r="K156" s="103">
        <f>IFERROR(I156/G156-1,0)</f>
        <v/>
      </c>
      <c r="L156" s="80">
        <f>B156-G156</f>
        <v/>
      </c>
      <c r="M156" s="80">
        <f>C156-H156</f>
        <v/>
      </c>
      <c r="N156" s="81">
        <f>D156-I156</f>
        <v/>
      </c>
      <c r="O156" s="80">
        <f>N156-L156</f>
        <v/>
      </c>
      <c r="P156" s="82">
        <f>IFERROR(N156/D156,0)</f>
        <v/>
      </c>
    </row>
    <row r="157" hidden="1" outlineLevel="2">
      <c r="A157" s="78" t="inlineStr">
        <is>
          <t>BTS_GES</t>
        </is>
      </c>
      <c r="B157" s="80" t="n">
        <v>513990</v>
      </c>
      <c r="C157" s="80" t="n">
        <v>539370</v>
      </c>
      <c r="D157" s="80" t="n">
        <v>577440</v>
      </c>
      <c r="E157" s="80">
        <f>D157-B157</f>
        <v/>
      </c>
      <c r="F157" s="103">
        <f>IFERROR(D157/B157-1,0)</f>
        <v/>
      </c>
      <c r="G157" s="80" t="n">
        <v>543054</v>
      </c>
      <c r="H157" s="80" t="n">
        <v>569747</v>
      </c>
      <c r="I157" s="80" t="n">
        <v>600832</v>
      </c>
      <c r="J157" s="80">
        <f>I157-G157</f>
        <v/>
      </c>
      <c r="K157" s="103">
        <f>IFERROR(I157/G157-1,0)</f>
        <v/>
      </c>
      <c r="L157" s="80">
        <f>B157-G157</f>
        <v/>
      </c>
      <c r="M157" s="80">
        <f>C157-H157</f>
        <v/>
      </c>
      <c r="N157" s="81">
        <f>D157-I157</f>
        <v/>
      </c>
      <c r="O157" s="80">
        <f>N157-L157</f>
        <v/>
      </c>
      <c r="P157" s="86">
        <f>IFERROR(N157/D157,0)</f>
        <v/>
      </c>
    </row>
    <row r="158" hidden="1" outlineLevel="3">
      <c r="A158" s="83" t="inlineStr">
        <is>
          <t>BTS1</t>
        </is>
      </c>
      <c r="B158" s="80" t="n">
        <v>261990</v>
      </c>
      <c r="C158" s="80" t="n">
        <v>274770</v>
      </c>
      <c r="D158" s="80" t="n">
        <v>293940</v>
      </c>
      <c r="E158" s="80">
        <f>D158-B158</f>
        <v/>
      </c>
      <c r="F158" s="103">
        <f>IFERROR(D158/B158-1,0)</f>
        <v/>
      </c>
      <c r="G158" s="80" t="n">
        <v>281282</v>
      </c>
      <c r="H158" s="80" t="n">
        <v>295383</v>
      </c>
      <c r="I158" s="80" t="n">
        <v>311728</v>
      </c>
      <c r="J158" s="80">
        <f>I158-G158</f>
        <v/>
      </c>
      <c r="K158" s="103">
        <f>IFERROR(I158/G158-1,0)</f>
        <v/>
      </c>
      <c r="L158" s="80">
        <f>B158-G158</f>
        <v/>
      </c>
      <c r="M158" s="80">
        <f>C158-H158</f>
        <v/>
      </c>
      <c r="N158" s="81">
        <f>D158-I158</f>
        <v/>
      </c>
      <c r="O158" s="80">
        <f>N158-L158</f>
        <v/>
      </c>
      <c r="P158" s="86">
        <f>IFERROR(N158/D158,0)</f>
        <v/>
      </c>
    </row>
    <row r="159" hidden="1" outlineLevel="4">
      <c r="A159" s="84" t="inlineStr">
        <is>
          <t>Alternance</t>
        </is>
      </c>
      <c r="B159" s="80" t="n">
        <v>261990</v>
      </c>
      <c r="C159" s="80" t="n">
        <v>274770</v>
      </c>
      <c r="D159" s="80" t="n">
        <v>293940</v>
      </c>
      <c r="E159" s="80">
        <f>D159-B159</f>
        <v/>
      </c>
      <c r="F159" s="103">
        <f>IFERROR(D159/B159-1,0)</f>
        <v/>
      </c>
      <c r="G159" s="80" t="n">
        <v>281282</v>
      </c>
      <c r="H159" s="80" t="n">
        <v>295383</v>
      </c>
      <c r="I159" s="80" t="n">
        <v>311728</v>
      </c>
      <c r="J159" s="80">
        <f>I159-G159</f>
        <v/>
      </c>
      <c r="K159" s="103">
        <f>IFERROR(I159/G159-1,0)</f>
        <v/>
      </c>
      <c r="L159" s="80">
        <f>B159-G159</f>
        <v/>
      </c>
      <c r="M159" s="80">
        <f>C159-H159</f>
        <v/>
      </c>
      <c r="N159" s="81">
        <f>D159-I159</f>
        <v/>
      </c>
      <c r="O159" s="80">
        <f>N159-L159</f>
        <v/>
      </c>
      <c r="P159" s="86">
        <f>IFERROR(N159/D159,0)</f>
        <v/>
      </c>
    </row>
    <row r="160" hidden="1" outlineLevel="3">
      <c r="A160" s="83" t="inlineStr">
        <is>
          <t>BTS2</t>
        </is>
      </c>
      <c r="B160" s="80" t="n">
        <v>252000</v>
      </c>
      <c r="C160" s="80" t="n">
        <v>264600</v>
      </c>
      <c r="D160" s="80" t="n">
        <v>283500</v>
      </c>
      <c r="E160" s="80">
        <f>D160-B160</f>
        <v/>
      </c>
      <c r="F160" s="103">
        <f>IFERROR(D160/B160-1,0)</f>
        <v/>
      </c>
      <c r="G160" s="80" t="n">
        <v>261772</v>
      </c>
      <c r="H160" s="80" t="n">
        <v>274364</v>
      </c>
      <c r="I160" s="80" t="n">
        <v>289105</v>
      </c>
      <c r="J160" s="80">
        <f>I160-G160</f>
        <v/>
      </c>
      <c r="K160" s="103">
        <f>IFERROR(I160/G160-1,0)</f>
        <v/>
      </c>
      <c r="L160" s="80">
        <f>B160-G160</f>
        <v/>
      </c>
      <c r="M160" s="80">
        <f>C160-H160</f>
        <v/>
      </c>
      <c r="N160" s="81">
        <f>D160-I160</f>
        <v/>
      </c>
      <c r="O160" s="80">
        <f>N160-L160</f>
        <v/>
      </c>
      <c r="P160" s="86">
        <f>IFERROR(N160/D160,0)</f>
        <v/>
      </c>
    </row>
    <row r="161" hidden="1" outlineLevel="4">
      <c r="A161" s="84" t="inlineStr">
        <is>
          <t>Alternance</t>
        </is>
      </c>
      <c r="B161" s="80" t="n">
        <v>252000</v>
      </c>
      <c r="C161" s="80" t="n">
        <v>264600</v>
      </c>
      <c r="D161" s="80" t="n">
        <v>283500</v>
      </c>
      <c r="E161" s="80">
        <f>D161-B161</f>
        <v/>
      </c>
      <c r="F161" s="103">
        <f>IFERROR(D161/B161-1,0)</f>
        <v/>
      </c>
      <c r="G161" s="80" t="n">
        <v>261772</v>
      </c>
      <c r="H161" s="80" t="n">
        <v>274364</v>
      </c>
      <c r="I161" s="80" t="n">
        <v>289105</v>
      </c>
      <c r="J161" s="80">
        <f>I161-G161</f>
        <v/>
      </c>
      <c r="K161" s="103">
        <f>IFERROR(I161/G161-1,0)</f>
        <v/>
      </c>
      <c r="L161" s="80">
        <f>B161-G161</f>
        <v/>
      </c>
      <c r="M161" s="80">
        <f>C161-H161</f>
        <v/>
      </c>
      <c r="N161" s="81">
        <f>D161-I161</f>
        <v/>
      </c>
      <c r="O161" s="80">
        <f>N161-L161</f>
        <v/>
      </c>
      <c r="P161" s="86">
        <f>IFERROR(N161/D161,0)</f>
        <v/>
      </c>
    </row>
    <row r="162">
      <c r="A162" s="68" t="inlineStr">
        <is>
          <t>Tunon</t>
        </is>
      </c>
      <c r="B162" s="70" t="n">
        <v>1743090</v>
      </c>
      <c r="C162" s="70" t="n">
        <v>1834590</v>
      </c>
      <c r="D162" s="70" t="n">
        <v>1949700</v>
      </c>
      <c r="E162" s="70">
        <f>D162-B162</f>
        <v/>
      </c>
      <c r="F162" s="98">
        <f>IFERROR(D162/B162-1,0)</f>
        <v/>
      </c>
      <c r="G162" s="70" t="n">
        <v>1701189</v>
      </c>
      <c r="H162" s="70" t="n">
        <v>1784825</v>
      </c>
      <c r="I162" s="70" t="n">
        <v>1878371</v>
      </c>
      <c r="J162" s="70">
        <f>I162-G162</f>
        <v/>
      </c>
      <c r="K162" s="98">
        <f>IFERROR(I162/G162-1,0)</f>
        <v/>
      </c>
      <c r="L162" s="70">
        <f>B162-G162</f>
        <v/>
      </c>
      <c r="M162" s="70">
        <f>C162-H162</f>
        <v/>
      </c>
      <c r="N162" s="99">
        <f>D162-I162</f>
        <v/>
      </c>
      <c r="O162" s="70">
        <f>N162-L162</f>
        <v/>
      </c>
      <c r="P162" s="90">
        <f>IFERROR(N162/D162,0)</f>
        <v/>
      </c>
    </row>
    <row r="163" outlineLevel="1">
      <c r="A163" s="73" t="inlineStr">
        <is>
          <t>Lyon</t>
        </is>
      </c>
      <c r="B163" s="75" t="n">
        <v>774990</v>
      </c>
      <c r="C163" s="75" t="n">
        <v>819270</v>
      </c>
      <c r="D163" s="75" t="n">
        <v>863550</v>
      </c>
      <c r="E163" s="75">
        <f>D163-B163</f>
        <v/>
      </c>
      <c r="F163" s="101">
        <f>IFERROR(D163/B163-1,0)</f>
        <v/>
      </c>
      <c r="G163" s="75" t="n">
        <v>699956</v>
      </c>
      <c r="H163" s="75" t="n">
        <v>734974</v>
      </c>
      <c r="I163" s="75" t="n">
        <v>772544</v>
      </c>
      <c r="J163" s="75">
        <f>I163-G163</f>
        <v/>
      </c>
      <c r="K163" s="101">
        <f>IFERROR(I163/G163-1,0)</f>
        <v/>
      </c>
      <c r="L163" s="75">
        <f>B163-G163</f>
        <v/>
      </c>
      <c r="M163" s="75">
        <f>C163-H163</f>
        <v/>
      </c>
      <c r="N163" s="102">
        <f>D163-I163</f>
        <v/>
      </c>
      <c r="O163" s="75">
        <f>N163-L163</f>
        <v/>
      </c>
      <c r="P163" s="77">
        <f>IFERROR(N163/D163,0)</f>
        <v/>
      </c>
    </row>
    <row r="164" hidden="1" outlineLevel="2">
      <c r="A164" s="78" t="inlineStr">
        <is>
          <t>BAC_TOU</t>
        </is>
      </c>
      <c r="B164" s="80" t="n">
        <v>774990</v>
      </c>
      <c r="C164" s="80" t="n">
        <v>819270</v>
      </c>
      <c r="D164" s="80" t="n">
        <v>863550</v>
      </c>
      <c r="E164" s="80">
        <f>D164-B164</f>
        <v/>
      </c>
      <c r="F164" s="103">
        <f>IFERROR(D164/B164-1,0)</f>
        <v/>
      </c>
      <c r="G164" s="80" t="n">
        <v>699956</v>
      </c>
      <c r="H164" s="80" t="n">
        <v>734974</v>
      </c>
      <c r="I164" s="80" t="n">
        <v>772544</v>
      </c>
      <c r="J164" s="80">
        <f>I164-G164</f>
        <v/>
      </c>
      <c r="K164" s="103">
        <f>IFERROR(I164/G164-1,0)</f>
        <v/>
      </c>
      <c r="L164" s="80">
        <f>B164-G164</f>
        <v/>
      </c>
      <c r="M164" s="80">
        <f>C164-H164</f>
        <v/>
      </c>
      <c r="N164" s="81">
        <f>D164-I164</f>
        <v/>
      </c>
      <c r="O164" s="80">
        <f>N164-L164</f>
        <v/>
      </c>
      <c r="P164" s="82">
        <f>IFERROR(N164/D164,0)</f>
        <v/>
      </c>
    </row>
    <row r="165" hidden="1" outlineLevel="3">
      <c r="A165" s="83" t="inlineStr">
        <is>
          <t>B1</t>
        </is>
      </c>
      <c r="B165" s="80" t="n">
        <v>267840</v>
      </c>
      <c r="C165" s="80" t="n">
        <v>282720</v>
      </c>
      <c r="D165" s="80" t="n">
        <v>297600</v>
      </c>
      <c r="E165" s="80">
        <f>D165-B165</f>
        <v/>
      </c>
      <c r="F165" s="103">
        <f>IFERROR(D165/B165-1,0)</f>
        <v/>
      </c>
      <c r="G165" s="80" t="n">
        <v>248138</v>
      </c>
      <c r="H165" s="80" t="n">
        <v>260820</v>
      </c>
      <c r="I165" s="80" t="n">
        <v>274474</v>
      </c>
      <c r="J165" s="80">
        <f>I165-G165</f>
        <v/>
      </c>
      <c r="K165" s="103">
        <f>IFERROR(I165/G165-1,0)</f>
        <v/>
      </c>
      <c r="L165" s="80">
        <f>B165-G165</f>
        <v/>
      </c>
      <c r="M165" s="80">
        <f>C165-H165</f>
        <v/>
      </c>
      <c r="N165" s="81">
        <f>D165-I165</f>
        <v/>
      </c>
      <c r="O165" s="80">
        <f>N165-L165</f>
        <v/>
      </c>
      <c r="P165" s="82">
        <f>IFERROR(N165/D165,0)</f>
        <v/>
      </c>
    </row>
    <row r="166" hidden="1" outlineLevel="4">
      <c r="A166" s="84" t="inlineStr">
        <is>
          <t>Alternance</t>
        </is>
      </c>
      <c r="B166" s="80" t="n">
        <v>267840</v>
      </c>
      <c r="C166" s="80" t="n">
        <v>282720</v>
      </c>
      <c r="D166" s="80" t="n">
        <v>297600</v>
      </c>
      <c r="E166" s="80">
        <f>D166-B166</f>
        <v/>
      </c>
      <c r="F166" s="103">
        <f>IFERROR(D166/B166-1,0)</f>
        <v/>
      </c>
      <c r="G166" s="80" t="n">
        <v>248138</v>
      </c>
      <c r="H166" s="80" t="n">
        <v>260820</v>
      </c>
      <c r="I166" s="80" t="n">
        <v>274474</v>
      </c>
      <c r="J166" s="80">
        <f>I166-G166</f>
        <v/>
      </c>
      <c r="K166" s="103">
        <f>IFERROR(I166/G166-1,0)</f>
        <v/>
      </c>
      <c r="L166" s="80">
        <f>B166-G166</f>
        <v/>
      </c>
      <c r="M166" s="80">
        <f>C166-H166</f>
        <v/>
      </c>
      <c r="N166" s="81">
        <f>D166-I166</f>
        <v/>
      </c>
      <c r="O166" s="80">
        <f>N166-L166</f>
        <v/>
      </c>
      <c r="P166" s="82">
        <f>IFERROR(N166/D166,0)</f>
        <v/>
      </c>
    </row>
    <row r="167" hidden="1" outlineLevel="3">
      <c r="A167" s="83" t="inlineStr">
        <is>
          <t>B2</t>
        </is>
      </c>
      <c r="B167" s="80" t="n">
        <v>257250</v>
      </c>
      <c r="C167" s="80" t="n">
        <v>271950</v>
      </c>
      <c r="D167" s="80" t="n">
        <v>286650</v>
      </c>
      <c r="E167" s="80">
        <f>D167-B167</f>
        <v/>
      </c>
      <c r="F167" s="103">
        <f>IFERROR(D167/B167-1,0)</f>
        <v/>
      </c>
      <c r="G167" s="80" t="n">
        <v>228126</v>
      </c>
      <c r="H167" s="80" t="n">
        <v>239279</v>
      </c>
      <c r="I167" s="80" t="n">
        <v>251231</v>
      </c>
      <c r="J167" s="80">
        <f>I167-G167</f>
        <v/>
      </c>
      <c r="K167" s="103">
        <f>IFERROR(I167/G167-1,0)</f>
        <v/>
      </c>
      <c r="L167" s="80">
        <f>B167-G167</f>
        <v/>
      </c>
      <c r="M167" s="80">
        <f>C167-H167</f>
        <v/>
      </c>
      <c r="N167" s="81">
        <f>D167-I167</f>
        <v/>
      </c>
      <c r="O167" s="80">
        <f>N167-L167</f>
        <v/>
      </c>
      <c r="P167" s="82">
        <f>IFERROR(N167/D167,0)</f>
        <v/>
      </c>
    </row>
    <row r="168" hidden="1" outlineLevel="4">
      <c r="A168" s="84" t="inlineStr">
        <is>
          <t>Alternance</t>
        </is>
      </c>
      <c r="B168" s="80" t="n">
        <v>257250</v>
      </c>
      <c r="C168" s="80" t="n">
        <v>271950</v>
      </c>
      <c r="D168" s="80" t="n">
        <v>286650</v>
      </c>
      <c r="E168" s="80">
        <f>D168-B168</f>
        <v/>
      </c>
      <c r="F168" s="103">
        <f>IFERROR(D168/B168-1,0)</f>
        <v/>
      </c>
      <c r="G168" s="80" t="n">
        <v>228126</v>
      </c>
      <c r="H168" s="80" t="n">
        <v>239279</v>
      </c>
      <c r="I168" s="80" t="n">
        <v>251231</v>
      </c>
      <c r="J168" s="80">
        <f>I168-G168</f>
        <v/>
      </c>
      <c r="K168" s="103">
        <f>IFERROR(I168/G168-1,0)</f>
        <v/>
      </c>
      <c r="L168" s="80">
        <f>B168-G168</f>
        <v/>
      </c>
      <c r="M168" s="80">
        <f>C168-H168</f>
        <v/>
      </c>
      <c r="N168" s="81">
        <f>D168-I168</f>
        <v/>
      </c>
      <c r="O168" s="80">
        <f>N168-L168</f>
        <v/>
      </c>
      <c r="P168" s="82">
        <f>IFERROR(N168/D168,0)</f>
        <v/>
      </c>
    </row>
    <row r="169" hidden="1" outlineLevel="3">
      <c r="A169" s="83" t="inlineStr">
        <is>
          <t>B3</t>
        </is>
      </c>
      <c r="B169" s="80" t="n">
        <v>249900</v>
      </c>
      <c r="C169" s="80" t="n">
        <v>264600</v>
      </c>
      <c r="D169" s="80" t="n">
        <v>279300</v>
      </c>
      <c r="E169" s="80">
        <f>D169-B169</f>
        <v/>
      </c>
      <c r="F169" s="103">
        <f>IFERROR(D169/B169-1,0)</f>
        <v/>
      </c>
      <c r="G169" s="80" t="n">
        <v>223692</v>
      </c>
      <c r="H169" s="80" t="n">
        <v>234874</v>
      </c>
      <c r="I169" s="80" t="n">
        <v>246839</v>
      </c>
      <c r="J169" s="80">
        <f>I169-G169</f>
        <v/>
      </c>
      <c r="K169" s="103">
        <f>IFERROR(I169/G169-1,0)</f>
        <v/>
      </c>
      <c r="L169" s="80">
        <f>B169-G169</f>
        <v/>
      </c>
      <c r="M169" s="80">
        <f>C169-H169</f>
        <v/>
      </c>
      <c r="N169" s="81">
        <f>D169-I169</f>
        <v/>
      </c>
      <c r="O169" s="80">
        <f>N169-L169</f>
        <v/>
      </c>
      <c r="P169" s="82">
        <f>IFERROR(N169/D169,0)</f>
        <v/>
      </c>
    </row>
    <row r="170" hidden="1" outlineLevel="4">
      <c r="A170" s="84" t="inlineStr">
        <is>
          <t>Alternance</t>
        </is>
      </c>
      <c r="B170" s="80" t="n">
        <v>249900</v>
      </c>
      <c r="C170" s="80" t="n">
        <v>264600</v>
      </c>
      <c r="D170" s="80" t="n">
        <v>279300</v>
      </c>
      <c r="E170" s="80">
        <f>D170-B170</f>
        <v/>
      </c>
      <c r="F170" s="103">
        <f>IFERROR(D170/B170-1,0)</f>
        <v/>
      </c>
      <c r="G170" s="80" t="n">
        <v>223692</v>
      </c>
      <c r="H170" s="80" t="n">
        <v>234874</v>
      </c>
      <c r="I170" s="80" t="n">
        <v>246839</v>
      </c>
      <c r="J170" s="80">
        <f>I170-G170</f>
        <v/>
      </c>
      <c r="K170" s="103">
        <f>IFERROR(I170/G170-1,0)</f>
        <v/>
      </c>
      <c r="L170" s="80">
        <f>B170-G170</f>
        <v/>
      </c>
      <c r="M170" s="80">
        <f>C170-H170</f>
        <v/>
      </c>
      <c r="N170" s="81">
        <f>D170-I170</f>
        <v/>
      </c>
      <c r="O170" s="80">
        <f>N170-L170</f>
        <v/>
      </c>
      <c r="P170" s="82">
        <f>IFERROR(N170/D170,0)</f>
        <v/>
      </c>
    </row>
    <row r="171" outlineLevel="1">
      <c r="A171" s="73" t="inlineStr">
        <is>
          <t>Paris</t>
        </is>
      </c>
      <c r="B171" s="75" t="n">
        <v>968100</v>
      </c>
      <c r="C171" s="75" t="n">
        <v>1015320</v>
      </c>
      <c r="D171" s="75" t="n">
        <v>1086150</v>
      </c>
      <c r="E171" s="75">
        <f>D171-B171</f>
        <v/>
      </c>
      <c r="F171" s="101">
        <f>IFERROR(D171/B171-1,0)</f>
        <v/>
      </c>
      <c r="G171" s="75" t="n">
        <v>1001233</v>
      </c>
      <c r="H171" s="75" t="n">
        <v>1049851</v>
      </c>
      <c r="I171" s="75" t="n">
        <v>1105827</v>
      </c>
      <c r="J171" s="75">
        <f>I171-G171</f>
        <v/>
      </c>
      <c r="K171" s="101">
        <f>IFERROR(I171/G171-1,0)</f>
        <v/>
      </c>
      <c r="L171" s="75">
        <f>B171-G171</f>
        <v/>
      </c>
      <c r="M171" s="75">
        <f>C171-H171</f>
        <v/>
      </c>
      <c r="N171" s="102">
        <f>D171-I171</f>
        <v/>
      </c>
      <c r="O171" s="75">
        <f>N171-L171</f>
        <v/>
      </c>
      <c r="P171" s="88">
        <f>IFERROR(N171/D171,0)</f>
        <v/>
      </c>
    </row>
    <row r="172" hidden="1" outlineLevel="2">
      <c r="A172" s="78" t="inlineStr">
        <is>
          <t>BAC_TOU</t>
        </is>
      </c>
      <c r="B172" s="80" t="n">
        <v>968100</v>
      </c>
      <c r="C172" s="80" t="n">
        <v>1015320</v>
      </c>
      <c r="D172" s="80" t="n">
        <v>1086150</v>
      </c>
      <c r="E172" s="80">
        <f>D172-B172</f>
        <v/>
      </c>
      <c r="F172" s="103">
        <f>IFERROR(D172/B172-1,0)</f>
        <v/>
      </c>
      <c r="G172" s="80" t="n">
        <v>1001233</v>
      </c>
      <c r="H172" s="80" t="n">
        <v>1049851</v>
      </c>
      <c r="I172" s="80" t="n">
        <v>1105827</v>
      </c>
      <c r="J172" s="80">
        <f>I172-G172</f>
        <v/>
      </c>
      <c r="K172" s="103">
        <f>IFERROR(I172/G172-1,0)</f>
        <v/>
      </c>
      <c r="L172" s="80">
        <f>B172-G172</f>
        <v/>
      </c>
      <c r="M172" s="80">
        <f>C172-H172</f>
        <v/>
      </c>
      <c r="N172" s="81">
        <f>D172-I172</f>
        <v/>
      </c>
      <c r="O172" s="80">
        <f>N172-L172</f>
        <v/>
      </c>
      <c r="P172" s="86">
        <f>IFERROR(N172/D172,0)</f>
        <v/>
      </c>
    </row>
    <row r="173" hidden="1" outlineLevel="3">
      <c r="A173" s="83" t="inlineStr">
        <is>
          <t>B1</t>
        </is>
      </c>
      <c r="B173" s="80" t="n">
        <v>333060</v>
      </c>
      <c r="C173" s="80" t="n">
        <v>348920</v>
      </c>
      <c r="D173" s="80" t="n">
        <v>372710</v>
      </c>
      <c r="E173" s="80">
        <f>D173-B173</f>
        <v/>
      </c>
      <c r="F173" s="103">
        <f>IFERROR(D173/B173-1,0)</f>
        <v/>
      </c>
      <c r="G173" s="80" t="n">
        <v>356009</v>
      </c>
      <c r="H173" s="80" t="n">
        <v>373876</v>
      </c>
      <c r="I173" s="80" t="n">
        <v>394284</v>
      </c>
      <c r="J173" s="80">
        <f>I173-G173</f>
        <v/>
      </c>
      <c r="K173" s="103">
        <f>IFERROR(I173/G173-1,0)</f>
        <v/>
      </c>
      <c r="L173" s="80">
        <f>B173-G173</f>
        <v/>
      </c>
      <c r="M173" s="80">
        <f>C173-H173</f>
        <v/>
      </c>
      <c r="N173" s="81">
        <f>D173-I173</f>
        <v/>
      </c>
      <c r="O173" s="80">
        <f>N173-L173</f>
        <v/>
      </c>
      <c r="P173" s="86">
        <f>IFERROR(N173/D173,0)</f>
        <v/>
      </c>
    </row>
    <row r="174" hidden="1" outlineLevel="4">
      <c r="A174" s="84" t="inlineStr">
        <is>
          <t>Alternance</t>
        </is>
      </c>
      <c r="B174" s="80" t="n">
        <v>333060</v>
      </c>
      <c r="C174" s="80" t="n">
        <v>348920</v>
      </c>
      <c r="D174" s="80" t="n">
        <v>372710</v>
      </c>
      <c r="E174" s="80">
        <f>D174-B174</f>
        <v/>
      </c>
      <c r="F174" s="103">
        <f>IFERROR(D174/B174-1,0)</f>
        <v/>
      </c>
      <c r="G174" s="80" t="n">
        <v>356009</v>
      </c>
      <c r="H174" s="80" t="n">
        <v>373876</v>
      </c>
      <c r="I174" s="80" t="n">
        <v>394284</v>
      </c>
      <c r="J174" s="80">
        <f>I174-G174</f>
        <v/>
      </c>
      <c r="K174" s="103">
        <f>IFERROR(I174/G174-1,0)</f>
        <v/>
      </c>
      <c r="L174" s="80">
        <f>B174-G174</f>
        <v/>
      </c>
      <c r="M174" s="80">
        <f>C174-H174</f>
        <v/>
      </c>
      <c r="N174" s="81">
        <f>D174-I174</f>
        <v/>
      </c>
      <c r="O174" s="80">
        <f>N174-L174</f>
        <v/>
      </c>
      <c r="P174" s="86">
        <f>IFERROR(N174/D174,0)</f>
        <v/>
      </c>
    </row>
    <row r="175" hidden="1" outlineLevel="3">
      <c r="A175" s="83" t="inlineStr">
        <is>
          <t>B2</t>
        </is>
      </c>
      <c r="B175" s="80" t="n">
        <v>321440</v>
      </c>
      <c r="C175" s="80" t="n">
        <v>337120</v>
      </c>
      <c r="D175" s="80" t="n">
        <v>360640</v>
      </c>
      <c r="E175" s="80">
        <f>D175-B175</f>
        <v/>
      </c>
      <c r="F175" s="103">
        <f>IFERROR(D175/B175-1,0)</f>
        <v/>
      </c>
      <c r="G175" s="80" t="n">
        <v>325414</v>
      </c>
      <c r="H175" s="80" t="n">
        <v>340787</v>
      </c>
      <c r="I175" s="80" t="n">
        <v>358529</v>
      </c>
      <c r="J175" s="80">
        <f>I175-G175</f>
        <v/>
      </c>
      <c r="K175" s="103">
        <f>IFERROR(I175/G175-1,0)</f>
        <v/>
      </c>
      <c r="L175" s="80">
        <f>B175-G175</f>
        <v/>
      </c>
      <c r="M175" s="80">
        <f>C175-H175</f>
        <v/>
      </c>
      <c r="N175" s="81">
        <f>D175-I175</f>
        <v/>
      </c>
      <c r="O175" s="80">
        <f>N175-L175</f>
        <v/>
      </c>
      <c r="P175" s="86">
        <f>IFERROR(N175/D175,0)</f>
        <v/>
      </c>
    </row>
    <row r="176" hidden="1" outlineLevel="4">
      <c r="A176" s="84" t="inlineStr">
        <is>
          <t>Alternance</t>
        </is>
      </c>
      <c r="B176" s="80" t="n">
        <v>321440</v>
      </c>
      <c r="C176" s="80" t="n">
        <v>337120</v>
      </c>
      <c r="D176" s="80" t="n">
        <v>360640</v>
      </c>
      <c r="E176" s="80">
        <f>D176-B176</f>
        <v/>
      </c>
      <c r="F176" s="103">
        <f>IFERROR(D176/B176-1,0)</f>
        <v/>
      </c>
      <c r="G176" s="80" t="n">
        <v>325414</v>
      </c>
      <c r="H176" s="80" t="n">
        <v>340787</v>
      </c>
      <c r="I176" s="80" t="n">
        <v>358529</v>
      </c>
      <c r="J176" s="80">
        <f>I176-G176</f>
        <v/>
      </c>
      <c r="K176" s="103">
        <f>IFERROR(I176/G176-1,0)</f>
        <v/>
      </c>
      <c r="L176" s="80">
        <f>B176-G176</f>
        <v/>
      </c>
      <c r="M176" s="80">
        <f>C176-H176</f>
        <v/>
      </c>
      <c r="N176" s="81">
        <f>D176-I176</f>
        <v/>
      </c>
      <c r="O176" s="80">
        <f>N176-L176</f>
        <v/>
      </c>
      <c r="P176" s="86">
        <f>IFERROR(N176/D176,0)</f>
        <v/>
      </c>
    </row>
    <row r="177" hidden="1" outlineLevel="3">
      <c r="A177" s="83" t="inlineStr">
        <is>
          <t>B3</t>
        </is>
      </c>
      <c r="B177" s="80" t="n">
        <v>313600</v>
      </c>
      <c r="C177" s="80" t="n">
        <v>329280</v>
      </c>
      <c r="D177" s="80" t="n">
        <v>352800</v>
      </c>
      <c r="E177" s="80">
        <f>D177-B177</f>
        <v/>
      </c>
      <c r="F177" s="103">
        <f>IFERROR(D177/B177-1,0)</f>
        <v/>
      </c>
      <c r="G177" s="80" t="n">
        <v>319810</v>
      </c>
      <c r="H177" s="80" t="n">
        <v>335188</v>
      </c>
      <c r="I177" s="80" t="n">
        <v>353014</v>
      </c>
      <c r="J177" s="80">
        <f>I177-G177</f>
        <v/>
      </c>
      <c r="K177" s="103">
        <f>IFERROR(I177/G177-1,0)</f>
        <v/>
      </c>
      <c r="L177" s="80">
        <f>B177-G177</f>
        <v/>
      </c>
      <c r="M177" s="80">
        <f>C177-H177</f>
        <v/>
      </c>
      <c r="N177" s="81">
        <f>D177-I177</f>
        <v/>
      </c>
      <c r="O177" s="80">
        <f>N177-L177</f>
        <v/>
      </c>
      <c r="P177" s="86">
        <f>IFERROR(N177/D177,0)</f>
        <v/>
      </c>
    </row>
    <row r="178" hidden="1" outlineLevel="4">
      <c r="A178" s="84" t="inlineStr">
        <is>
          <t>Alternance</t>
        </is>
      </c>
      <c r="B178" s="80" t="n">
        <v>313600</v>
      </c>
      <c r="C178" s="80" t="n">
        <v>329280</v>
      </c>
      <c r="D178" s="80" t="n">
        <v>352800</v>
      </c>
      <c r="E178" s="80">
        <f>D178-B178</f>
        <v/>
      </c>
      <c r="F178" s="103">
        <f>IFERROR(D178/B178-1,0)</f>
        <v/>
      </c>
      <c r="G178" s="80" t="n">
        <v>319810</v>
      </c>
      <c r="H178" s="80" t="n">
        <v>335188</v>
      </c>
      <c r="I178" s="80" t="n">
        <v>353014</v>
      </c>
      <c r="J178" s="80">
        <f>I178-G178</f>
        <v/>
      </c>
      <c r="K178" s="103">
        <f>IFERROR(I178/G178-1,0)</f>
        <v/>
      </c>
      <c r="L178" s="80">
        <f>B178-G178</f>
        <v/>
      </c>
      <c r="M178" s="80">
        <f>C178-H178</f>
        <v/>
      </c>
      <c r="N178" s="81">
        <f>D178-I178</f>
        <v/>
      </c>
      <c r="O178" s="80">
        <f>N178-L178</f>
        <v/>
      </c>
      <c r="P178" s="86">
        <f>IFERROR(N178/D178,0)</f>
        <v/>
      </c>
    </row>
  </sheetData>
  <mergeCells count="3">
    <mergeCell ref="L19:P19"/>
    <mergeCell ref="G19:K19"/>
    <mergeCell ref="B19:F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2026-08-31T01:04:44Z</dcterms:created>
  <dcterms:modified xsi:type="dcterms:W3CDTF">2026-08-31T08:12:07Z</dcterms:modified>
</cp:coreProperties>
</file>