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 moteur (modèle)" sheetId="1" state="visible" r:id="rId1"/>
    <sheet name="Budget de marque (organique)" sheetId="2" state="visible" r:id="rId2"/>
    <sheet name="Alloué 2026" sheetId="3" state="visible" r:id="rId3"/>
    <sheet name="Évolution 24-26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 &quot;€&quot;;-#,##0 &quot;€&quot;;&quot;-&quot;"/>
    <numFmt numFmtId="166" formatCode="0.000"/>
    <numFmt numFmtId="167" formatCode="+0.0%;-0.0%;0.0%"/>
    <numFmt numFmtId="168" formatCode="+0.0;-0.0;0.0"/>
  </numFmts>
  <fonts count="40">
    <font>
      <name val="Calibri"/>
      <family val="2"/>
      <color theme="1"/>
      <sz val="11"/>
      <scheme val="minor"/>
    </font>
    <font>
      <name val="Arial"/>
      <b val="1"/>
      <color rgb="000A5A48"/>
      <sz val="9"/>
    </font>
    <font>
      <name val="Arial"/>
      <b val="1"/>
      <color rgb="00152230"/>
      <sz val="15"/>
    </font>
    <font>
      <name val="Arial"/>
      <color rgb="0051606D"/>
      <sz val="9"/>
    </font>
    <font>
      <name val="Arial"/>
      <b val="1"/>
      <color rgb="008A4A12"/>
      <sz val="11"/>
    </font>
    <font>
      <name val="Arial"/>
      <color rgb="00152230"/>
      <sz val="10"/>
    </font>
    <font>
      <name val="Arial"/>
      <b val="1"/>
      <color rgb="00152230"/>
      <sz val="10"/>
    </font>
    <font>
      <name val="Arial"/>
      <i val="1"/>
      <color rgb="007D8B98"/>
      <sz val="8"/>
    </font>
    <font>
      <name val="Arial"/>
      <b val="1"/>
      <color rgb="000A5A48"/>
      <sz val="12"/>
    </font>
    <font>
      <name val="Arial"/>
      <b val="1"/>
      <color rgb="00FFFFFF"/>
      <sz val="8.5"/>
    </font>
    <font>
      <name val="Arial"/>
      <b val="1"/>
      <color rgb="000A5A48"/>
      <sz val="10"/>
    </font>
    <font>
      <name val="Arial"/>
      <color rgb="007D8B98"/>
      <sz val="9"/>
    </font>
    <font>
      <name val="Arial"/>
      <color rgb="0051606D"/>
      <sz val="10"/>
    </font>
    <font>
      <name val="Arial"/>
      <b val="1"/>
      <color rgb="003D4F8F"/>
      <sz val="10"/>
    </font>
    <font>
      <name val="Arial"/>
      <color rgb="00152230"/>
      <sz val="9"/>
    </font>
    <font>
      <name val="Arial"/>
      <color rgb="008A4A12"/>
      <sz val="9"/>
    </font>
    <font>
      <name val="Arial"/>
      <color rgb="000A5A48"/>
      <sz val="9"/>
    </font>
    <font>
      <name val="Arial"/>
      <b val="1"/>
      <color rgb="001E7A55"/>
      <sz val="9"/>
    </font>
    <font>
      <name val="Arial"/>
      <color rgb="003D4F8F"/>
      <sz val="9"/>
    </font>
    <font>
      <name val="Arial"/>
      <b val="1"/>
      <color rgb="000D7A62"/>
      <sz val="11"/>
    </font>
    <font>
      <name val="Arial"/>
      <color rgb="0051606D"/>
      <sz val="11"/>
    </font>
    <font>
      <name val="Arial"/>
      <color rgb="007D8B98"/>
      <sz val="11"/>
    </font>
    <font>
      <name val="Arial"/>
      <b val="1"/>
      <color rgb="003D4F8F"/>
      <sz val="11"/>
    </font>
    <font>
      <name val="Arial"/>
      <i val="1"/>
      <color rgb="00B3641C"/>
      <sz val="8"/>
    </font>
    <font>
      <name val="Arial"/>
      <i val="1"/>
      <color rgb="0051606D"/>
      <sz val="8"/>
    </font>
    <font>
      <name val="Arial"/>
      <color rgb="00152230"/>
      <sz val="8"/>
    </font>
    <font>
      <name val="Arial"/>
      <color rgb="0051606D"/>
      <sz val="8"/>
    </font>
    <font>
      <name val="Arial"/>
      <color rgb="003D4F8F"/>
      <sz val="8"/>
    </font>
    <font>
      <name val="Arial"/>
      <b val="1"/>
      <color rgb="003D4F8F"/>
      <sz val="8"/>
    </font>
    <font>
      <name val="Arial"/>
      <b val="1"/>
      <color rgb="001E7A55"/>
      <sz val="8"/>
    </font>
    <font>
      <name val="Arial"/>
      <b val="1"/>
      <color rgb="003D4F8F"/>
      <sz val="9"/>
    </font>
    <font>
      <name val="Arial"/>
      <b val="1"/>
      <color rgb="00B3641C"/>
      <sz val="9"/>
    </font>
    <font>
      <name val="Arial"/>
      <b val="1"/>
      <color rgb="00152230"/>
      <sz val="14"/>
    </font>
    <font>
      <name val="Arial"/>
      <b val="1"/>
      <color rgb="008A4A12"/>
      <sz val="9"/>
    </font>
    <font>
      <name val="Arial"/>
      <b val="1"/>
      <color rgb="000A5A48"/>
      <sz val="8.5"/>
    </font>
    <font>
      <name val="Arial"/>
      <color rgb="0051606D"/>
      <sz val="8.5"/>
    </font>
    <font>
      <name val="Arial"/>
      <b val="1"/>
      <color rgb="00152230"/>
      <sz val="9"/>
    </font>
    <font>
      <name val="Arial"/>
      <color rgb="00152230"/>
      <sz val="8.5"/>
    </font>
    <font>
      <name val="Arial"/>
      <color rgb="000A5A48"/>
      <sz val="8.5"/>
    </font>
    <font>
      <name val="Arial"/>
      <color rgb="008A4A12"/>
      <sz val="8.5"/>
    </font>
  </fonts>
  <fills count="10">
    <fill>
      <patternFill/>
    </fill>
    <fill>
      <patternFill patternType="gray125"/>
    </fill>
    <fill>
      <patternFill patternType="solid">
        <fgColor rgb="00FFF6DA"/>
      </patternFill>
    </fill>
    <fill>
      <patternFill patternType="solid">
        <fgColor rgb="000D7A62"/>
      </patternFill>
    </fill>
    <fill>
      <patternFill patternType="solid">
        <fgColor rgb="00EEF2F6"/>
      </patternFill>
    </fill>
    <fill>
      <patternFill patternType="solid">
        <fgColor rgb="00E4F0E8"/>
      </patternFill>
    </fill>
    <fill>
      <patternFill patternType="solid">
        <fgColor rgb="00FBF4E6"/>
      </patternFill>
    </fill>
    <fill>
      <patternFill patternType="solid">
        <fgColor rgb="00DCE7EE"/>
      </patternFill>
    </fill>
    <fill>
      <patternFill patternType="solid">
        <fgColor rgb="00EAF0F4"/>
      </patternFill>
    </fill>
    <fill>
      <patternFill patternType="solid">
        <fgColor rgb="00E2EFEB"/>
      </patternFill>
    </fill>
  </fills>
  <borders count="6">
    <border>
      <left/>
      <right/>
      <top/>
      <bottom/>
      <diagonal/>
    </border>
    <border>
      <left style="medium">
        <color rgb="00D9B94A"/>
      </left>
      <right style="medium">
        <color rgb="00D9B94A"/>
      </right>
      <top style="medium">
        <color rgb="00D9B94A"/>
      </top>
      <bottom style="medium">
        <color rgb="00D9B94A"/>
      </bottom>
    </border>
    <border>
      <bottom style="medium">
        <color rgb="00C8D2DA"/>
      </bottom>
    </border>
    <border>
      <top style="medium">
        <color rgb="00C8D2DA"/>
      </top>
      <bottom style="thin">
        <color rgb="00C8D2DA"/>
      </bottom>
    </border>
    <border>
      <bottom style="thin">
        <color rgb="00C8D2DA"/>
      </bottom>
    </border>
    <border>
      <top style="medium">
        <color rgb="00C8D2DA"/>
      </top>
      <bottom style="medium">
        <color rgb="00C8D2DA"/>
      </bottom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6" fillId="2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5" fontId="6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 wrapText="1"/>
    </xf>
    <xf numFmtId="0" fontId="10" fillId="4" borderId="3" applyAlignment="1" pivotButton="0" quotePrefix="0" xfId="0">
      <alignment horizontal="left" vertical="center"/>
    </xf>
    <xf numFmtId="3" fontId="3" fillId="4" borderId="3" applyAlignment="1" pivotButton="0" quotePrefix="0" xfId="0">
      <alignment horizontal="right" vertical="center"/>
    </xf>
    <xf numFmtId="165" fontId="3" fillId="4" borderId="3" applyAlignment="1" pivotButton="0" quotePrefix="0" xfId="0">
      <alignment horizontal="right" vertical="center"/>
    </xf>
    <xf numFmtId="0" fontId="11" fillId="4" borderId="3" applyAlignment="1" pivotButton="0" quotePrefix="0" xfId="0">
      <alignment horizontal="right" vertical="center"/>
    </xf>
    <xf numFmtId="164" fontId="3" fillId="4" borderId="3" applyAlignment="1" pivotButton="0" quotePrefix="0" xfId="0">
      <alignment horizontal="right" vertical="center"/>
    </xf>
    <xf numFmtId="165" fontId="12" fillId="4" borderId="3" applyAlignment="1" pivotButton="0" quotePrefix="0" xfId="0">
      <alignment horizontal="right" vertical="center"/>
    </xf>
    <xf numFmtId="165" fontId="10" fillId="4" borderId="3" applyAlignment="1" pivotButton="0" quotePrefix="0" xfId="0">
      <alignment horizontal="right" vertical="center"/>
    </xf>
    <xf numFmtId="3" fontId="10" fillId="4" borderId="3" applyAlignment="1" pivotButton="0" quotePrefix="0" xfId="0">
      <alignment horizontal="right" vertical="center"/>
    </xf>
    <xf numFmtId="165" fontId="13" fillId="4" borderId="3" applyAlignment="1" pivotButton="0" quotePrefix="0" xfId="0">
      <alignment horizontal="right" vertical="center"/>
    </xf>
    <xf numFmtId="0" fontId="14" fillId="0" borderId="4" applyAlignment="1" pivotButton="0" quotePrefix="0" xfId="0">
      <alignment horizontal="left" vertical="center" indent="1"/>
    </xf>
    <xf numFmtId="3" fontId="14" fillId="2" borderId="4" applyAlignment="1" pivotButton="0" quotePrefix="0" xfId="0">
      <alignment horizontal="right" vertical="center"/>
    </xf>
    <xf numFmtId="166" fontId="1" fillId="0" borderId="4" applyAlignment="1" pivotButton="0" quotePrefix="0" xfId="0">
      <alignment horizontal="right" vertical="center"/>
    </xf>
    <xf numFmtId="164" fontId="3" fillId="0" borderId="4" applyAlignment="1" pivotButton="0" quotePrefix="0" xfId="0">
      <alignment horizontal="right" vertical="center"/>
    </xf>
    <xf numFmtId="165" fontId="14" fillId="2" borderId="4" applyAlignment="1" pivotButton="0" quotePrefix="0" xfId="0">
      <alignment horizontal="right" vertical="center"/>
    </xf>
    <xf numFmtId="165" fontId="15" fillId="0" borderId="4" applyAlignment="1" pivotButton="0" quotePrefix="0" xfId="0">
      <alignment horizontal="right" vertical="center"/>
    </xf>
    <xf numFmtId="3" fontId="14" fillId="0" borderId="4" applyAlignment="1" pivotButton="0" quotePrefix="0" xfId="0">
      <alignment horizontal="right" vertical="center"/>
    </xf>
    <xf numFmtId="165" fontId="16" fillId="0" borderId="4" applyAlignment="1" pivotButton="0" quotePrefix="0" xfId="0">
      <alignment horizontal="right" vertical="center"/>
    </xf>
    <xf numFmtId="165" fontId="17" fillId="0" borderId="4" applyAlignment="1" pivotButton="0" quotePrefix="0" xfId="0">
      <alignment horizontal="right" vertical="center"/>
    </xf>
    <xf numFmtId="165" fontId="18" fillId="0" borderId="4" applyAlignment="1" pivotButton="0" quotePrefix="0" xfId="0">
      <alignment horizontal="right" vertical="center"/>
    </xf>
    <xf numFmtId="0" fontId="19" fillId="5" borderId="5" applyAlignment="1" pivotButton="0" quotePrefix="0" xfId="0">
      <alignment horizontal="left" vertical="center"/>
    </xf>
    <xf numFmtId="3" fontId="20" fillId="5" borderId="5" applyAlignment="1" pivotButton="0" quotePrefix="0" xfId="0">
      <alignment horizontal="right" vertical="center"/>
    </xf>
    <xf numFmtId="165" fontId="20" fillId="5" borderId="5" applyAlignment="1" pivotButton="0" quotePrefix="0" xfId="0">
      <alignment horizontal="right" vertical="center"/>
    </xf>
    <xf numFmtId="0" fontId="21" fillId="5" borderId="5" applyAlignment="1" pivotButton="0" quotePrefix="0" xfId="0">
      <alignment horizontal="right" vertical="center"/>
    </xf>
    <xf numFmtId="164" fontId="20" fillId="5" borderId="5" applyAlignment="1" pivotButton="0" quotePrefix="0" xfId="0">
      <alignment horizontal="right" vertical="center"/>
    </xf>
    <xf numFmtId="165" fontId="19" fillId="5" borderId="5" applyAlignment="1" pivotButton="0" quotePrefix="0" xfId="0">
      <alignment horizontal="right" vertical="center"/>
    </xf>
    <xf numFmtId="3" fontId="19" fillId="5" borderId="5" applyAlignment="1" pivotButton="0" quotePrefix="0" xfId="0">
      <alignment horizontal="right" vertical="center"/>
    </xf>
    <xf numFmtId="165" fontId="22" fillId="5" borderId="5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4" applyAlignment="1" pivotButton="0" quotePrefix="0" xfId="0">
      <alignment horizontal="left" vertical="center"/>
    </xf>
    <xf numFmtId="3" fontId="25" fillId="2" borderId="4" applyAlignment="1" pivotButton="0" quotePrefix="0" xfId="0">
      <alignment horizontal="right" vertical="center"/>
    </xf>
    <xf numFmtId="166" fontId="26" fillId="0" borderId="4" applyAlignment="1" pivotButton="0" quotePrefix="0" xfId="0">
      <alignment horizontal="right" vertical="center"/>
    </xf>
    <xf numFmtId="3" fontId="27" fillId="0" borderId="4" applyAlignment="1" pivotButton="0" quotePrefix="0" xfId="0">
      <alignment horizontal="right" vertical="center"/>
    </xf>
    <xf numFmtId="3" fontId="28" fillId="0" borderId="4" applyAlignment="1" pivotButton="0" quotePrefix="0" xfId="0">
      <alignment horizontal="right" vertical="center"/>
    </xf>
    <xf numFmtId="164" fontId="26" fillId="0" borderId="4" applyAlignment="1" pivotButton="0" quotePrefix="0" xfId="0">
      <alignment horizontal="right" vertical="center"/>
    </xf>
    <xf numFmtId="3" fontId="25" fillId="0" borderId="4" applyAlignment="1" pivotButton="0" quotePrefix="0" xfId="0">
      <alignment horizontal="right" vertical="center"/>
    </xf>
    <xf numFmtId="167" fontId="29" fillId="0" borderId="4" applyAlignment="1" pivotButton="0" quotePrefix="0" xfId="0">
      <alignment horizontal="right" vertical="center"/>
    </xf>
    <xf numFmtId="0" fontId="1" fillId="5" borderId="5" applyAlignment="1" pivotButton="0" quotePrefix="0" xfId="0">
      <alignment horizontal="left" vertical="center"/>
    </xf>
    <xf numFmtId="0" fontId="0" fillId="5" borderId="5" pivotButton="0" quotePrefix="0" xfId="0"/>
    <xf numFmtId="3" fontId="1" fillId="5" borderId="5" applyAlignment="1" pivotButton="0" quotePrefix="0" xfId="0">
      <alignment horizontal="right" vertical="center"/>
    </xf>
    <xf numFmtId="167" fontId="17" fillId="5" borderId="5" applyAlignment="1" pivotButton="0" quotePrefix="0" xfId="0">
      <alignment horizontal="right" vertical="center"/>
    </xf>
    <xf numFmtId="0" fontId="14" fillId="0" borderId="4" applyAlignment="1" pivotButton="0" quotePrefix="0" xfId="0">
      <alignment horizontal="left" vertical="center"/>
    </xf>
    <xf numFmtId="166" fontId="3" fillId="0" borderId="4" applyAlignment="1" pivotButton="0" quotePrefix="0" xfId="0">
      <alignment horizontal="right" vertical="center"/>
    </xf>
    <xf numFmtId="3" fontId="30" fillId="0" borderId="4" applyAlignment="1" pivotButton="0" quotePrefix="0" xfId="0">
      <alignment horizontal="right" vertical="center"/>
    </xf>
    <xf numFmtId="167" fontId="17" fillId="0" borderId="4" applyAlignment="1" pivotButton="0" quotePrefix="0" xfId="0">
      <alignment horizontal="right" vertical="center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14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0" fillId="6" borderId="2" pivotButton="0" quotePrefix="0" xfId="0"/>
    <xf numFmtId="0" fontId="36" fillId="7" borderId="3" applyAlignment="1" pivotButton="0" quotePrefix="0" xfId="0">
      <alignment horizontal="left" vertical="center"/>
    </xf>
    <xf numFmtId="3" fontId="0" fillId="7" borderId="3" applyAlignment="1" pivotButton="0" quotePrefix="0" xfId="0">
      <alignment horizontal="right" vertical="center"/>
    </xf>
    <xf numFmtId="165" fontId="0" fillId="7" borderId="3" applyAlignment="1" pivotButton="0" quotePrefix="0" xfId="0">
      <alignment horizontal="right" vertical="center"/>
    </xf>
    <xf numFmtId="165" fontId="1" fillId="7" borderId="3" applyAlignment="1" pivotButton="0" quotePrefix="0" xfId="0">
      <alignment horizontal="right" vertical="center"/>
    </xf>
    <xf numFmtId="164" fontId="1" fillId="7" borderId="3" applyAlignment="1" pivotButton="0" quotePrefix="0" xfId="0">
      <alignment horizontal="right" vertical="center"/>
    </xf>
    <xf numFmtId="0" fontId="36" fillId="8" borderId="0" applyAlignment="1" pivotButton="0" quotePrefix="0" xfId="0">
      <alignment horizontal="left" vertical="center" indent="1"/>
    </xf>
    <xf numFmtId="3" fontId="0" fillId="8" borderId="0" applyAlignment="1" pivotButton="0" quotePrefix="0" xfId="0">
      <alignment horizontal="right" vertical="center"/>
    </xf>
    <xf numFmtId="165" fontId="0" fillId="8" borderId="0" applyAlignment="1" pivotButton="0" quotePrefix="0" xfId="0">
      <alignment horizontal="right" vertical="center"/>
    </xf>
    <xf numFmtId="165" fontId="1" fillId="8" borderId="0" applyAlignment="1" pivotButton="0" quotePrefix="0" xfId="0">
      <alignment horizontal="right" vertical="center"/>
    </xf>
    <xf numFmtId="164" fontId="1" fillId="8" borderId="0" applyAlignment="1" pivotButton="0" quotePrefix="0" xfId="0">
      <alignment horizontal="right" vertical="center"/>
    </xf>
    <xf numFmtId="0" fontId="37" fillId="0" borderId="4" applyAlignment="1" pivotButton="0" quotePrefix="0" xfId="0">
      <alignment horizontal="left" vertical="center" indent="2"/>
    </xf>
    <xf numFmtId="3" fontId="0" fillId="0" borderId="4" applyAlignment="1" pivotButton="0" quotePrefix="0" xfId="0">
      <alignment horizontal="right" vertical="center"/>
    </xf>
    <xf numFmtId="165" fontId="0" fillId="0" borderId="4" applyAlignment="1" pivotButton="0" quotePrefix="0" xfId="0">
      <alignment horizontal="right" vertical="center"/>
    </xf>
    <xf numFmtId="165" fontId="37" fillId="0" borderId="4" applyAlignment="1" pivotButton="0" quotePrefix="0" xfId="0">
      <alignment horizontal="right" vertical="center"/>
    </xf>
    <xf numFmtId="164" fontId="38" fillId="0" borderId="4" applyAlignment="1" pivotButton="0" quotePrefix="0" xfId="0">
      <alignment horizontal="right" vertical="center"/>
    </xf>
    <xf numFmtId="0" fontId="37" fillId="0" borderId="4" applyAlignment="1" pivotButton="0" quotePrefix="0" xfId="0">
      <alignment horizontal="left" vertical="center" indent="3"/>
    </xf>
    <xf numFmtId="0" fontId="37" fillId="0" borderId="4" applyAlignment="1" pivotButton="0" quotePrefix="0" xfId="0">
      <alignment horizontal="left" vertical="center" indent="4"/>
    </xf>
    <xf numFmtId="165" fontId="39" fillId="0" borderId="4" applyAlignment="1" pivotButton="0" quotePrefix="0" xfId="0">
      <alignment horizontal="right" vertical="center"/>
    </xf>
    <xf numFmtId="164" fontId="39" fillId="0" borderId="4" applyAlignment="1" pivotButton="0" quotePrefix="0" xfId="0">
      <alignment horizontal="right" vertical="center"/>
    </xf>
    <xf numFmtId="165" fontId="33" fillId="8" borderId="0" applyAlignment="1" pivotButton="0" quotePrefix="0" xfId="0">
      <alignment horizontal="right" vertical="center"/>
    </xf>
    <xf numFmtId="164" fontId="33" fillId="8" borderId="0" applyAlignment="1" pivotButton="0" quotePrefix="0" xfId="0">
      <alignment horizontal="right" vertical="center"/>
    </xf>
    <xf numFmtId="165" fontId="33" fillId="7" borderId="3" applyAlignment="1" pivotButton="0" quotePrefix="0" xfId="0">
      <alignment horizontal="right" vertical="center"/>
    </xf>
    <xf numFmtId="164" fontId="33" fillId="7" borderId="3" applyAlignment="1" pivotButton="0" quotePrefix="0" xfId="0">
      <alignment horizontal="right" vertical="center"/>
    </xf>
    <xf numFmtId="0" fontId="19" fillId="9" borderId="5" applyAlignment="1" pivotButton="0" quotePrefix="0" xfId="0">
      <alignment horizontal="left" vertical="center"/>
    </xf>
    <xf numFmtId="3" fontId="19" fillId="9" borderId="5" applyAlignment="1" pivotButton="0" quotePrefix="0" xfId="0">
      <alignment horizontal="right" vertical="center"/>
    </xf>
    <xf numFmtId="165" fontId="19" fillId="9" borderId="5" applyAlignment="1" pivotButton="0" quotePrefix="0" xfId="0">
      <alignment horizontal="right" vertical="center"/>
    </xf>
    <xf numFmtId="164" fontId="19" fillId="9" borderId="5" applyAlignment="1" pivotButton="0" quotePrefix="0" xfId="0">
      <alignment horizontal="right" vertical="center"/>
    </xf>
    <xf numFmtId="164" fontId="3" fillId="7" borderId="3" applyAlignment="1" pivotButton="0" quotePrefix="0" xfId="0">
      <alignment horizontal="right" vertical="center"/>
    </xf>
    <xf numFmtId="168" fontId="38" fillId="7" borderId="3" applyAlignment="1" pivotButton="0" quotePrefix="0" xfId="0">
      <alignment horizontal="right" vertical="center"/>
    </xf>
    <xf numFmtId="164" fontId="3" fillId="8" borderId="0" applyAlignment="1" pivotButton="0" quotePrefix="0" xfId="0">
      <alignment horizontal="right" vertical="center"/>
    </xf>
    <xf numFmtId="168" fontId="38" fillId="8" borderId="0" applyAlignment="1" pivotButton="0" quotePrefix="0" xfId="0">
      <alignment horizontal="right" vertical="center"/>
    </xf>
    <xf numFmtId="164" fontId="35" fillId="0" borderId="4" applyAlignment="1" pivotButton="0" quotePrefix="0" xfId="0">
      <alignment horizontal="right" vertical="center"/>
    </xf>
    <xf numFmtId="168" fontId="38" fillId="0" borderId="4" applyAlignment="1" pivotButton="0" quotePrefix="0" xfId="0">
      <alignment horizontal="right" vertical="center"/>
    </xf>
    <xf numFmtId="164" fontId="15" fillId="8" borderId="0" applyAlignment="1" pivotButton="0" quotePrefix="0" xfId="0">
      <alignment horizontal="right" vertical="center"/>
    </xf>
    <xf numFmtId="164" fontId="15" fillId="7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R5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</cols>
  <sheetData>
    <row r="1">
      <c r="A1" s="1" t="inlineStr">
        <is>
          <t>EDUSERVICES · budget 2027 · le moteur, à nu</t>
        </is>
      </c>
    </row>
    <row r="2">
      <c r="A2" s="2" t="inlineStr">
        <is>
          <t>Le moteur — par campus, groupé par marque (déplie avec les +)</t>
        </is>
      </c>
    </row>
    <row r="3">
      <c r="A3" s="3" t="inlineStr">
        <is>
          <t>L'élasticité vit au campus (le moteur en a 14, pas 5). La marque = sous-total. Jaune = saisie ; le reste = formule cliquable.</t>
        </is>
      </c>
    </row>
    <row r="5">
      <c r="A5" s="4" t="inlineStr">
        <is>
          <t>PARAMÈTRES</t>
        </is>
      </c>
    </row>
    <row r="6">
      <c r="A6" s="5" t="inlineStr">
        <is>
          <t>Δ budget d'acquisition</t>
        </is>
      </c>
      <c r="B6" s="6" t="n">
        <v>0.08</v>
      </c>
      <c r="C6" s="7" t="inlineStr">
        <is>
          <t>le geste testé — passez 8→12 %</t>
        </is>
      </c>
    </row>
    <row r="7">
      <c r="A7" s="5" t="inlineStr">
        <is>
          <t>Coût variable / élève</t>
        </is>
      </c>
      <c r="B7" s="8" t="n">
        <v>300</v>
      </c>
      <c r="C7" s="7" t="inlineStr">
        <is>
          <t>CA/inscrit = colonne RÉELLE par campus (plus de moyenne)</t>
        </is>
      </c>
    </row>
    <row r="9">
      <c r="A9" s="9" t="inlineStr">
        <is>
          <t>①  Calibration &amp; effet d'un +Δ% — campus groupé par marque</t>
        </is>
      </c>
    </row>
    <row r="10">
      <c r="A10" s="7" t="inlineStr">
        <is>
          <t>Élasticité = régression 3 ans =SLOPE(LN(leads);LN(budget)) (= V_CAMPAGNES). CA/inscrit = vrai chiffre du campus (dispersion ±33 %), pas une moyenne.</t>
        </is>
      </c>
    </row>
    <row r="12">
      <c r="A12" s="10" t="inlineStr">
        <is>
          <t>Marque ▸ Campus</t>
        </is>
      </c>
      <c r="B12" s="11" t="inlineStr">
        <is>
          <t>L.pay24</t>
        </is>
      </c>
      <c r="C12" s="11" t="inlineStr">
        <is>
          <t>L.pay25</t>
        </is>
      </c>
      <c r="D12" s="11" t="inlineStr">
        <is>
          <t>L.pay26</t>
        </is>
      </c>
      <c r="E12" s="11" t="inlineStr">
        <is>
          <t>Bud.24</t>
        </is>
      </c>
      <c r="F12" s="11" t="inlineStr">
        <is>
          <t>Bud.25</t>
        </is>
      </c>
      <c r="G12" s="11" t="inlineStr">
        <is>
          <t>Bud.26</t>
        </is>
      </c>
      <c r="H12" s="11" t="inlineStr">
        <is>
          <t>Élasticité</t>
        </is>
      </c>
      <c r="I12" s="11" t="inlineStr">
        <is>
          <t>Conv.</t>
        </is>
      </c>
      <c r="J12" s="11" t="inlineStr">
        <is>
          <t>CA/inscrit</t>
        </is>
      </c>
      <c r="K12" s="11" t="inlineStr">
        <is>
          <t>Δ budget</t>
        </is>
      </c>
      <c r="L12" s="11" t="inlineStr">
        <is>
          <t>Inscrits gagnés</t>
        </is>
      </c>
      <c r="M12" s="11" t="inlineStr">
        <is>
          <t>CA gagné</t>
        </is>
      </c>
      <c r="N12" s="11" t="inlineStr">
        <is>
          <t>EBITDA gagné</t>
        </is>
      </c>
      <c r="O12" s="11" t="inlineStr">
        <is>
          <t>CAC marg.</t>
        </is>
      </c>
    </row>
    <row r="13">
      <c r="A13" s="12" t="inlineStr">
        <is>
          <t>MBway</t>
        </is>
      </c>
      <c r="B13" s="13">
        <f>SUM(B14:B17)</f>
        <v/>
      </c>
      <c r="C13" s="13">
        <f>SUM(C14:C17)</f>
        <v/>
      </c>
      <c r="D13" s="13">
        <f>SUM(D14:D17)</f>
        <v/>
      </c>
      <c r="E13" s="14">
        <f>SUM(E14:E17)</f>
        <v/>
      </c>
      <c r="F13" s="14">
        <f>SUM(F14:F17)</f>
        <v/>
      </c>
      <c r="G13" s="14">
        <f>SUM(G14:G17)</f>
        <v/>
      </c>
      <c r="H13" s="15" t="inlineStr">
        <is>
          <t>—</t>
        </is>
      </c>
      <c r="I13" s="16" t="n">
        <v>0.07914338919925512</v>
      </c>
      <c r="J13" s="17">
        <f>M13/L13</f>
        <v/>
      </c>
      <c r="K13" s="18">
        <f>SUM(K14:K17)</f>
        <v/>
      </c>
      <c r="L13" s="19">
        <f>SUM(L14:L17)</f>
        <v/>
      </c>
      <c r="M13" s="18">
        <f>SUM(M14:M17)</f>
        <v/>
      </c>
      <c r="N13" s="18">
        <f>SUM(N14:N17)</f>
        <v/>
      </c>
      <c r="O13" s="20">
        <f>K13/L13</f>
        <v/>
      </c>
    </row>
    <row r="14" hidden="1" outlineLevel="1">
      <c r="A14" s="21" t="inlineStr">
        <is>
          <t>Bordeaux</t>
        </is>
      </c>
      <c r="B14" s="22" t="n">
        <v>592</v>
      </c>
      <c r="C14" s="22" t="n">
        <v>623</v>
      </c>
      <c r="D14" s="22" t="n">
        <v>656</v>
      </c>
      <c r="E14" s="22" t="n">
        <v>20597</v>
      </c>
      <c r="F14" s="22" t="n">
        <v>22657</v>
      </c>
      <c r="G14" s="22" t="n">
        <v>24923</v>
      </c>
      <c r="H14" s="23">
        <f>SLOPE(LN(B14:D14),LN(E14:G14))</f>
        <v/>
      </c>
      <c r="I14" s="24">
        <f>102/1286</f>
        <v/>
      </c>
      <c r="J14" s="25" t="n">
        <v>7365</v>
      </c>
      <c r="K14" s="26">
        <f>G14*$B$6</f>
        <v/>
      </c>
      <c r="L14" s="27">
        <f>D14*((1+$B$6)^H14-1)*I14</f>
        <v/>
      </c>
      <c r="M14" s="28">
        <f>L14*J14</f>
        <v/>
      </c>
      <c r="N14" s="29">
        <f>M14-K14-L14*$B$7</f>
        <v/>
      </c>
      <c r="O14" s="30">
        <f>K14/L14</f>
        <v/>
      </c>
    </row>
    <row r="15" hidden="1" outlineLevel="1">
      <c r="A15" s="21" t="inlineStr">
        <is>
          <t>Lyon</t>
        </is>
      </c>
      <c r="B15" s="22" t="n">
        <v>863</v>
      </c>
      <c r="C15" s="22" t="n">
        <v>905</v>
      </c>
      <c r="D15" s="22" t="n">
        <v>950</v>
      </c>
      <c r="E15" s="22" t="n">
        <v>34532</v>
      </c>
      <c r="F15" s="22" t="n">
        <v>37985</v>
      </c>
      <c r="G15" s="22" t="n">
        <v>41783</v>
      </c>
      <c r="H15" s="23">
        <f>SLOPE(LN(B15:D15),LN(E15:G15))</f>
        <v/>
      </c>
      <c r="I15" s="24">
        <f>132/1666</f>
        <v/>
      </c>
      <c r="J15" s="25" t="n">
        <v>7965</v>
      </c>
      <c r="K15" s="26">
        <f>G15*$B$6</f>
        <v/>
      </c>
      <c r="L15" s="27">
        <f>D15*((1+$B$6)^H15-1)*I15</f>
        <v/>
      </c>
      <c r="M15" s="28">
        <f>L15*J15</f>
        <v/>
      </c>
      <c r="N15" s="29">
        <f>M15-K15-L15*$B$7</f>
        <v/>
      </c>
      <c r="O15" s="30">
        <f>K15/L15</f>
        <v/>
      </c>
    </row>
    <row r="16" hidden="1" outlineLevel="1">
      <c r="A16" s="21" t="inlineStr">
        <is>
          <t>Nantes</t>
        </is>
      </c>
      <c r="B16" s="22" t="n">
        <v>713</v>
      </c>
      <c r="C16" s="22" t="n">
        <v>749</v>
      </c>
      <c r="D16" s="22" t="n">
        <v>788</v>
      </c>
      <c r="E16" s="22" t="n">
        <v>26060</v>
      </c>
      <c r="F16" s="22" t="n">
        <v>28666</v>
      </c>
      <c r="G16" s="22" t="n">
        <v>31533</v>
      </c>
      <c r="H16" s="23">
        <f>SLOPE(LN(B16:D16),LN(E16:G16))</f>
        <v/>
      </c>
      <c r="I16" s="24">
        <f>120/1516</f>
        <v/>
      </c>
      <c r="J16" s="25" t="n">
        <v>7590</v>
      </c>
      <c r="K16" s="26">
        <f>G16*$B$6</f>
        <v/>
      </c>
      <c r="L16" s="27">
        <f>D16*((1+$B$6)^H16-1)*I16</f>
        <v/>
      </c>
      <c r="M16" s="28">
        <f>L16*J16</f>
        <v/>
      </c>
      <c r="N16" s="29">
        <f>M16-K16-L16*$B$7</f>
        <v/>
      </c>
      <c r="O16" s="30">
        <f>K16/L16</f>
        <v/>
      </c>
    </row>
    <row r="17" hidden="1" outlineLevel="1">
      <c r="A17" s="21" t="inlineStr">
        <is>
          <t>Paris</t>
        </is>
      </c>
      <c r="B17" s="22" t="n">
        <v>1158</v>
      </c>
      <c r="C17" s="22" t="n">
        <v>1210</v>
      </c>
      <c r="D17" s="22" t="n">
        <v>1265</v>
      </c>
      <c r="E17" s="22" t="n">
        <v>56438</v>
      </c>
      <c r="F17" s="22" t="n">
        <v>62082</v>
      </c>
      <c r="G17" s="22" t="n">
        <v>68291</v>
      </c>
      <c r="H17" s="23">
        <f>SLOPE(LN(B17:D17),LN(E17:G17))</f>
        <v/>
      </c>
      <c r="I17" s="24">
        <f>156/1976</f>
        <v/>
      </c>
      <c r="J17" s="25" t="n">
        <v>8490</v>
      </c>
      <c r="K17" s="26">
        <f>G17*$B$6</f>
        <v/>
      </c>
      <c r="L17" s="27">
        <f>D17*((1+$B$6)^H17-1)*I17</f>
        <v/>
      </c>
      <c r="M17" s="28">
        <f>L17*J17</f>
        <v/>
      </c>
      <c r="N17" s="29">
        <f>M17-K17-L17*$B$7</f>
        <v/>
      </c>
      <c r="O17" s="30">
        <f>K17/L17</f>
        <v/>
      </c>
    </row>
    <row r="18">
      <c r="A18" s="12" t="inlineStr">
        <is>
          <t>Iscom</t>
        </is>
      </c>
      <c r="B18" s="13">
        <f>SUM(B19:B21)</f>
        <v/>
      </c>
      <c r="C18" s="13">
        <f>SUM(C19:C21)</f>
        <v/>
      </c>
      <c r="D18" s="13">
        <f>SUM(D19:D21)</f>
        <v/>
      </c>
      <c r="E18" s="14">
        <f>SUM(E19:E21)</f>
        <v/>
      </c>
      <c r="F18" s="14">
        <f>SUM(F19:F21)</f>
        <v/>
      </c>
      <c r="G18" s="14">
        <f>SUM(G19:G21)</f>
        <v/>
      </c>
      <c r="H18" s="15" t="inlineStr">
        <is>
          <t>—</t>
        </is>
      </c>
      <c r="I18" s="16" t="n">
        <v>0.07930549038010323</v>
      </c>
      <c r="J18" s="17">
        <f>M18/L18</f>
        <v/>
      </c>
      <c r="K18" s="18">
        <f>SUM(K19:K21)</f>
        <v/>
      </c>
      <c r="L18" s="19">
        <f>SUM(L19:L21)</f>
        <v/>
      </c>
      <c r="M18" s="18">
        <f>SUM(M19:M21)</f>
        <v/>
      </c>
      <c r="N18" s="18">
        <f>SUM(N19:N21)</f>
        <v/>
      </c>
      <c r="O18" s="20">
        <f>K18/L18</f>
        <v/>
      </c>
    </row>
    <row r="19" hidden="1" outlineLevel="1">
      <c r="A19" s="21" t="inlineStr">
        <is>
          <t>Lille</t>
        </is>
      </c>
      <c r="B19" s="22" t="n">
        <v>571</v>
      </c>
      <c r="C19" s="22" t="n">
        <v>600</v>
      </c>
      <c r="D19" s="22" t="n">
        <v>630</v>
      </c>
      <c r="E19" s="22" t="n">
        <v>20843</v>
      </c>
      <c r="F19" s="22" t="n">
        <v>22927</v>
      </c>
      <c r="G19" s="22" t="n">
        <v>25220</v>
      </c>
      <c r="H19" s="23">
        <f>SLOPE(LN(B19:D19),LN(E19:G19))</f>
        <v/>
      </c>
      <c r="I19" s="24">
        <f>100/1260</f>
        <v/>
      </c>
      <c r="J19" s="25" t="n">
        <v>7440</v>
      </c>
      <c r="K19" s="26">
        <f>G19*$B$6</f>
        <v/>
      </c>
      <c r="L19" s="27">
        <f>D19*((1+$B$6)^H19-1)*I19</f>
        <v/>
      </c>
      <c r="M19" s="28">
        <f>L19*J19</f>
        <v/>
      </c>
      <c r="N19" s="29">
        <f>M19-K19-L19*$B$7</f>
        <v/>
      </c>
      <c r="O19" s="30">
        <f>K19/L19</f>
        <v/>
      </c>
    </row>
    <row r="20" hidden="1" outlineLevel="1">
      <c r="A20" s="21" t="inlineStr">
        <is>
          <t>Paris</t>
        </is>
      </c>
      <c r="B20" s="22" t="n">
        <v>1035</v>
      </c>
      <c r="C20" s="22" t="n">
        <v>1080</v>
      </c>
      <c r="D20" s="22" t="n">
        <v>1126</v>
      </c>
      <c r="E20" s="22" t="n">
        <v>50248</v>
      </c>
      <c r="F20" s="22" t="n">
        <v>55272</v>
      </c>
      <c r="G20" s="22" t="n">
        <v>60800</v>
      </c>
      <c r="H20" s="23">
        <f>SLOPE(LN(B20:D20),LN(E20:G20))</f>
        <v/>
      </c>
      <c r="I20" s="24">
        <f>144/1816</f>
        <v/>
      </c>
      <c r="J20" s="25" t="n">
        <v>8490</v>
      </c>
      <c r="K20" s="26">
        <f>G20*$B$6</f>
        <v/>
      </c>
      <c r="L20" s="27">
        <f>D20*((1+$B$6)^H20-1)*I20</f>
        <v/>
      </c>
      <c r="M20" s="28">
        <f>L20*J20</f>
        <v/>
      </c>
      <c r="N20" s="29">
        <f>M20-K20-L20*$B$7</f>
        <v/>
      </c>
      <c r="O20" s="30">
        <f>K20/L20</f>
        <v/>
      </c>
    </row>
    <row r="21" hidden="1" outlineLevel="1">
      <c r="A21" s="21" t="inlineStr">
        <is>
          <t>Toulouse</t>
        </is>
      </c>
      <c r="B21" s="22" t="n">
        <v>526</v>
      </c>
      <c r="C21" s="22" t="n">
        <v>553</v>
      </c>
      <c r="D21" s="22" t="n">
        <v>581</v>
      </c>
      <c r="E21" s="22" t="n">
        <v>18251</v>
      </c>
      <c r="F21" s="22" t="n">
        <v>20076</v>
      </c>
      <c r="G21" s="22" t="n">
        <v>22083</v>
      </c>
      <c r="H21" s="23">
        <f>SLOPE(LN(B21:D21),LN(E21:G21))</f>
        <v/>
      </c>
      <c r="I21" s="24">
        <f>94/1186</f>
        <v/>
      </c>
      <c r="J21" s="25" t="n">
        <v>7290</v>
      </c>
      <c r="K21" s="26">
        <f>G21*$B$6</f>
        <v/>
      </c>
      <c r="L21" s="27">
        <f>D21*((1+$B$6)^H21-1)*I21</f>
        <v/>
      </c>
      <c r="M21" s="28">
        <f>L21*J21</f>
        <v/>
      </c>
      <c r="N21" s="29">
        <f>M21-K21-L21*$B$7</f>
        <v/>
      </c>
      <c r="O21" s="30">
        <f>K21/L21</f>
        <v/>
      </c>
    </row>
    <row r="22">
      <c r="A22" s="12" t="inlineStr">
        <is>
          <t>Ipac</t>
        </is>
      </c>
      <c r="B22" s="13">
        <f>SUM(B23:B25)</f>
        <v/>
      </c>
      <c r="C22" s="13">
        <f>SUM(C23:C25)</f>
        <v/>
      </c>
      <c r="D22" s="13">
        <f>SUM(D23:D25)</f>
        <v/>
      </c>
      <c r="E22" s="14">
        <f>SUM(E23:E25)</f>
        <v/>
      </c>
      <c r="F22" s="14">
        <f>SUM(F23:F25)</f>
        <v/>
      </c>
      <c r="G22" s="14">
        <f>SUM(G23:G25)</f>
        <v/>
      </c>
      <c r="H22" s="15" t="inlineStr">
        <is>
          <t>—</t>
        </is>
      </c>
      <c r="I22" s="16" t="n">
        <v>0.05882352941176471</v>
      </c>
      <c r="J22" s="17">
        <f>M22/L22</f>
        <v/>
      </c>
      <c r="K22" s="18">
        <f>SUM(K23:K25)</f>
        <v/>
      </c>
      <c r="L22" s="19">
        <f>SUM(L23:L25)</f>
        <v/>
      </c>
      <c r="M22" s="18">
        <f>SUM(M23:M25)</f>
        <v/>
      </c>
      <c r="N22" s="18">
        <f>SUM(N23:N25)</f>
        <v/>
      </c>
      <c r="O22" s="20">
        <f>K22/L22</f>
        <v/>
      </c>
    </row>
    <row r="23" hidden="1" outlineLevel="1">
      <c r="A23" s="21" t="inlineStr">
        <is>
          <t>Montpellier</t>
        </is>
      </c>
      <c r="B23" s="22" t="n">
        <v>377</v>
      </c>
      <c r="C23" s="22" t="n">
        <v>399</v>
      </c>
      <c r="D23" s="22" t="n">
        <v>422</v>
      </c>
      <c r="E23" s="22" t="n">
        <v>12543</v>
      </c>
      <c r="F23" s="22" t="n">
        <v>13798</v>
      </c>
      <c r="G23" s="22" t="n">
        <v>15178</v>
      </c>
      <c r="H23" s="23">
        <f>SLOPE(LN(B23:D23),LN(E23:G23))</f>
        <v/>
      </c>
      <c r="I23" s="24">
        <f>40/680</f>
        <v/>
      </c>
      <c r="J23" s="25" t="n">
        <v>6740</v>
      </c>
      <c r="K23" s="26">
        <f>G23*$B$6</f>
        <v/>
      </c>
      <c r="L23" s="27">
        <f>D23*((1+$B$6)^H23-1)*I23</f>
        <v/>
      </c>
      <c r="M23" s="28">
        <f>L23*J23</f>
        <v/>
      </c>
      <c r="N23" s="29">
        <f>M23-K23-L23*$B$7</f>
        <v/>
      </c>
      <c r="O23" s="30">
        <f>K23/L23</f>
        <v/>
      </c>
    </row>
    <row r="24" hidden="1" outlineLevel="1">
      <c r="A24" s="21" t="inlineStr">
        <is>
          <t>Nantes</t>
        </is>
      </c>
      <c r="B24" s="22" t="n">
        <v>489</v>
      </c>
      <c r="C24" s="22" t="n">
        <v>516</v>
      </c>
      <c r="D24" s="22" t="n">
        <v>544</v>
      </c>
      <c r="E24" s="22" t="n">
        <v>17983</v>
      </c>
      <c r="F24" s="22" t="n">
        <v>19782</v>
      </c>
      <c r="G24" s="22" t="n">
        <v>21760</v>
      </c>
      <c r="H24" s="23">
        <f>SLOPE(LN(B24:D24),LN(E24:G24))</f>
        <v/>
      </c>
      <c r="I24" s="24">
        <f>50/850</f>
        <v/>
      </c>
      <c r="J24" s="25" t="n">
        <v>7090</v>
      </c>
      <c r="K24" s="26">
        <f>G24*$B$6</f>
        <v/>
      </c>
      <c r="L24" s="27">
        <f>D24*((1+$B$6)^H24-1)*I24</f>
        <v/>
      </c>
      <c r="M24" s="28">
        <f>L24*J24</f>
        <v/>
      </c>
      <c r="N24" s="29">
        <f>M24-K24-L24*$B$7</f>
        <v/>
      </c>
      <c r="O24" s="30">
        <f>K24/L24</f>
        <v/>
      </c>
    </row>
    <row r="25" hidden="1" outlineLevel="1">
      <c r="A25" s="21" t="inlineStr">
        <is>
          <t>Rennes</t>
        </is>
      </c>
      <c r="B25" s="22" t="n">
        <v>371</v>
      </c>
      <c r="C25" s="22" t="n">
        <v>392</v>
      </c>
      <c r="D25" s="22" t="n">
        <v>415</v>
      </c>
      <c r="E25" s="22" t="n">
        <v>12341</v>
      </c>
      <c r="F25" s="22" t="n">
        <v>13575</v>
      </c>
      <c r="G25" s="22" t="n">
        <v>14933</v>
      </c>
      <c r="H25" s="23">
        <f>SLOPE(LN(B25:D25),LN(E25:G25))</f>
        <v/>
      </c>
      <c r="I25" s="24">
        <f>40/680</f>
        <v/>
      </c>
      <c r="J25" s="25" t="n">
        <v>6740</v>
      </c>
      <c r="K25" s="26">
        <f>G25*$B$6</f>
        <v/>
      </c>
      <c r="L25" s="27">
        <f>D25*((1+$B$6)^H25-1)*I25</f>
        <v/>
      </c>
      <c r="M25" s="28">
        <f>L25*J25</f>
        <v/>
      </c>
      <c r="N25" s="29">
        <f>M25-K25-L25*$B$7</f>
        <v/>
      </c>
      <c r="O25" s="30">
        <f>K25/L25</f>
        <v/>
      </c>
    </row>
    <row r="26">
      <c r="A26" s="12" t="inlineStr">
        <is>
          <t>Pigier</t>
        </is>
      </c>
      <c r="B26" s="13">
        <f>SUM(B27:B28)</f>
        <v/>
      </c>
      <c r="C26" s="13">
        <f>SUM(C27:C28)</f>
        <v/>
      </c>
      <c r="D26" s="13">
        <f>SUM(D27:D28)</f>
        <v/>
      </c>
      <c r="E26" s="14">
        <f>SUM(E27:E28)</f>
        <v/>
      </c>
      <c r="F26" s="14">
        <f>SUM(F27:F28)</f>
        <v/>
      </c>
      <c r="G26" s="14">
        <f>SUM(G27:G28)</f>
        <v/>
      </c>
      <c r="H26" s="15" t="inlineStr">
        <is>
          <t>—</t>
        </is>
      </c>
      <c r="I26" s="16" t="n">
        <v>0.05857142857142857</v>
      </c>
      <c r="J26" s="17">
        <f>M26/L26</f>
        <v/>
      </c>
      <c r="K26" s="18">
        <f>SUM(K27:K28)</f>
        <v/>
      </c>
      <c r="L26" s="19">
        <f>SUM(L27:L28)</f>
        <v/>
      </c>
      <c r="M26" s="18">
        <f>SUM(M27:M28)</f>
        <v/>
      </c>
      <c r="N26" s="18">
        <f>SUM(N27:N28)</f>
        <v/>
      </c>
      <c r="O26" s="20">
        <f>K26/L26</f>
        <v/>
      </c>
    </row>
    <row r="27" hidden="1" outlineLevel="1">
      <c r="A27" s="21" t="inlineStr">
        <is>
          <t>Bordeaux</t>
        </is>
      </c>
      <c r="B27" s="22" t="n">
        <v>528</v>
      </c>
      <c r="C27" s="22" t="n">
        <v>552</v>
      </c>
      <c r="D27" s="22" t="n">
        <v>578</v>
      </c>
      <c r="E27" s="22" t="n">
        <v>18155</v>
      </c>
      <c r="F27" s="22" t="n">
        <v>19971</v>
      </c>
      <c r="G27" s="22" t="n">
        <v>21968</v>
      </c>
      <c r="H27" s="23">
        <f>SLOPE(LN(B27:D27),LN(E27:G27))</f>
        <v/>
      </c>
      <c r="I27" s="24">
        <f>72/1230</f>
        <v/>
      </c>
      <c r="J27" s="25" t="n">
        <v>6395</v>
      </c>
      <c r="K27" s="26">
        <f>G27*$B$6</f>
        <v/>
      </c>
      <c r="L27" s="27">
        <f>D27*((1+$B$6)^H27-1)*I27</f>
        <v/>
      </c>
      <c r="M27" s="28">
        <f>L27*J27</f>
        <v/>
      </c>
      <c r="N27" s="29">
        <f>M27-K27-L27*$B$7</f>
        <v/>
      </c>
      <c r="O27" s="30">
        <f>K27/L27</f>
        <v/>
      </c>
    </row>
    <row r="28" hidden="1" outlineLevel="1">
      <c r="A28" s="21" t="inlineStr">
        <is>
          <t>Lyon</t>
        </is>
      </c>
      <c r="B28" s="22" t="n">
        <v>765</v>
      </c>
      <c r="C28" s="22" t="n">
        <v>798</v>
      </c>
      <c r="D28" s="22" t="n">
        <v>832</v>
      </c>
      <c r="E28" s="22" t="n">
        <v>30258</v>
      </c>
      <c r="F28" s="22" t="n">
        <v>33284</v>
      </c>
      <c r="G28" s="22" t="n">
        <v>36612</v>
      </c>
      <c r="H28" s="23">
        <f>SLOPE(LN(B28:D28),LN(E28:G28))</f>
        <v/>
      </c>
      <c r="I28" s="24">
        <f>92/1570</f>
        <v/>
      </c>
      <c r="J28" s="25" t="n">
        <v>6915</v>
      </c>
      <c r="K28" s="26">
        <f>G28*$B$6</f>
        <v/>
      </c>
      <c r="L28" s="27">
        <f>D28*((1+$B$6)^H28-1)*I28</f>
        <v/>
      </c>
      <c r="M28" s="28">
        <f>L28*J28</f>
        <v/>
      </c>
      <c r="N28" s="29">
        <f>M28-K28-L28*$B$7</f>
        <v/>
      </c>
      <c r="O28" s="30">
        <f>K28/L28</f>
        <v/>
      </c>
    </row>
    <row r="29">
      <c r="A29" s="12" t="inlineStr">
        <is>
          <t>Tunon</t>
        </is>
      </c>
      <c r="B29" s="13">
        <f>SUM(B30:B31)</f>
        <v/>
      </c>
      <c r="C29" s="13">
        <f>SUM(C30:C31)</f>
        <v/>
      </c>
      <c r="D29" s="13">
        <f>SUM(D30:D31)</f>
        <v/>
      </c>
      <c r="E29" s="14">
        <f>SUM(E30:E31)</f>
        <v/>
      </c>
      <c r="F29" s="14">
        <f>SUM(F30:F31)</f>
        <v/>
      </c>
      <c r="G29" s="14">
        <f>SUM(G30:G31)</f>
        <v/>
      </c>
      <c r="H29" s="15" t="inlineStr">
        <is>
          <t>—</t>
        </is>
      </c>
      <c r="I29" s="16" t="n">
        <v>0.05878378378378379</v>
      </c>
      <c r="J29" s="17">
        <f>M29/L29</f>
        <v/>
      </c>
      <c r="K29" s="18">
        <f>SUM(K30:K31)</f>
        <v/>
      </c>
      <c r="L29" s="19">
        <f>SUM(L30:L31)</f>
        <v/>
      </c>
      <c r="M29" s="18">
        <f>SUM(M30:M31)</f>
        <v/>
      </c>
      <c r="N29" s="18">
        <f>SUM(N30:N31)</f>
        <v/>
      </c>
      <c r="O29" s="20">
        <f>K29/L29</f>
        <v/>
      </c>
    </row>
    <row r="30" hidden="1" outlineLevel="1">
      <c r="A30" s="21" t="inlineStr">
        <is>
          <t>Lyon</t>
        </is>
      </c>
      <c r="B30" s="22" t="n">
        <v>392</v>
      </c>
      <c r="C30" s="22" t="n">
        <v>410</v>
      </c>
      <c r="D30" s="22" t="n">
        <v>428</v>
      </c>
      <c r="E30" s="22" t="n">
        <v>15578</v>
      </c>
      <c r="F30" s="22" t="n">
        <v>17136</v>
      </c>
      <c r="G30" s="22" t="n">
        <v>18850</v>
      </c>
      <c r="H30" s="23">
        <f>SLOPE(LN(B30:D30),LN(E30:G30))</f>
        <v/>
      </c>
      <c r="I30" s="24">
        <f>40/680</f>
        <v/>
      </c>
      <c r="J30" s="25" t="n">
        <v>7440</v>
      </c>
      <c r="K30" s="26">
        <f>G30*$B$6</f>
        <v/>
      </c>
      <c r="L30" s="27">
        <f>D30*((1+$B$6)^H30-1)*I30</f>
        <v/>
      </c>
      <c r="M30" s="28">
        <f>L30*J30</f>
        <v/>
      </c>
      <c r="N30" s="29">
        <f>M30-K30-L30*$B$7</f>
        <v/>
      </c>
      <c r="O30" s="30">
        <f>K30/L30</f>
        <v/>
      </c>
    </row>
    <row r="31" hidden="1" outlineLevel="1">
      <c r="A31" s="21" t="inlineStr">
        <is>
          <t>Paris</t>
        </is>
      </c>
      <c r="B31" s="22" t="n">
        <v>517</v>
      </c>
      <c r="C31" s="22" t="n">
        <v>538</v>
      </c>
      <c r="D31" s="22" t="n">
        <v>560</v>
      </c>
      <c r="E31" s="22" t="n">
        <v>24992</v>
      </c>
      <c r="F31" s="22" t="n">
        <v>27491</v>
      </c>
      <c r="G31" s="22" t="n">
        <v>30240</v>
      </c>
      <c r="H31" s="23">
        <f>SLOPE(LN(B31:D31),LN(E31:G31))</f>
        <v/>
      </c>
      <c r="I31" s="24">
        <f>47/800</f>
        <v/>
      </c>
      <c r="J31" s="25" t="n">
        <v>7930</v>
      </c>
      <c r="K31" s="26">
        <f>G31*$B$6</f>
        <v/>
      </c>
      <c r="L31" s="27">
        <f>D31*((1+$B$6)^H31-1)*I31</f>
        <v/>
      </c>
      <c r="M31" s="28">
        <f>L31*J31</f>
        <v/>
      </c>
      <c r="N31" s="29">
        <f>M31-K31-L31*$B$7</f>
        <v/>
      </c>
      <c r="O31" s="30">
        <f>K31/L31</f>
        <v/>
      </c>
    </row>
    <row r="32">
      <c r="A32" s="31" t="inlineStr">
        <is>
          <t>GROUPE</t>
        </is>
      </c>
      <c r="B32" s="32">
        <f>B14+B15+B16+B17+B19+B20+B21+B23+B24+B25+B27+B28+B30+B31</f>
        <v/>
      </c>
      <c r="C32" s="32">
        <f>C14+C15+C16+C17+C19+C20+C21+C23+C24+C25+C27+C28+C30+C31</f>
        <v/>
      </c>
      <c r="D32" s="32">
        <f>D14+D15+D16+D17+D19+D20+D21+D23+D24+D25+D27+D28+D30+D31</f>
        <v/>
      </c>
      <c r="E32" s="33">
        <f>E14+E15+E16+E17+E19+E20+E21+E23+E24+E25+E27+E28+E30+E31</f>
        <v/>
      </c>
      <c r="F32" s="33">
        <f>F14+F15+F16+F17+F19+F20+F21+F23+F24+F25+F27+F28+F30+F31</f>
        <v/>
      </c>
      <c r="G32" s="33">
        <f>G14+G15+G16+G17+G19+G20+G21+G23+G24+G25+G27+G28+G30+G31</f>
        <v/>
      </c>
      <c r="H32" s="34" t="inlineStr">
        <is>
          <t>—</t>
        </is>
      </c>
      <c r="I32" s="35" t="n">
        <v>0.07147010932775064</v>
      </c>
      <c r="J32" s="33">
        <f>M32/L32</f>
        <v/>
      </c>
      <c r="K32" s="36">
        <f>K14+K15+K16+K17+K19+K20+K21+K23+K24+K25+K27+K28+K30+K31</f>
        <v/>
      </c>
      <c r="L32" s="37">
        <f>L14+L15+L16+L17+L19+L20+L21+L23+L24+L25+L27+L28+L30+L31</f>
        <v/>
      </c>
      <c r="M32" s="36">
        <f>M14+M15+M16+M17+M19+M20+M21+M23+M24+M25+M27+M28+M30+M31</f>
        <v/>
      </c>
      <c r="N32" s="36">
        <f>N14+N15+N16+N17+N19+N20+N21+N23+N24+N25+N27+N28+N30+N31</f>
        <v/>
      </c>
      <c r="O32" s="38">
        <f>K32/L32</f>
        <v/>
      </c>
    </row>
    <row r="34">
      <c r="A34" s="39" t="inlineStr">
        <is>
          <t>Déplie une marque (le +) : chaque campus a SA vraie élasticité (=SLOPE, comme le moteur). Le CAC marginal marque = Σbudget ÷ Σinscrits (agrégat réel).</t>
        </is>
      </c>
    </row>
    <row r="37">
      <c r="A37" s="9" t="inlineStr">
        <is>
          <t>②  La preuve — back-test (calibré ≤2025, prédit 2026, jusqu'aux inscrits)</t>
        </is>
      </c>
    </row>
    <row r="38">
      <c r="A38" s="40" t="inlineStr">
        <is>
          <t>Payants : élasticité 24→25 × budget26. Organiques : leur tendance 24→25. × conversion 2025 → inscrits. Rien de 2026 en entrée.</t>
        </is>
      </c>
    </row>
    <row r="40">
      <c r="A40" s="10" t="inlineStr">
        <is>
          <t>Campus</t>
        </is>
      </c>
      <c r="B40" s="11" t="inlineStr">
        <is>
          <t>L.pay24</t>
        </is>
      </c>
      <c r="C40" s="11" t="inlineStr">
        <is>
          <t>L.pay25</t>
        </is>
      </c>
      <c r="D40" s="11" t="inlineStr">
        <is>
          <t>Bud.24</t>
        </is>
      </c>
      <c r="E40" s="11" t="inlineStr">
        <is>
          <t>Bud.25</t>
        </is>
      </c>
      <c r="F40" s="11" t="inlineStr">
        <is>
          <t>Bud.26</t>
        </is>
      </c>
      <c r="G40" s="11" t="inlineStr">
        <is>
          <t>Élast 24→25</t>
        </is>
      </c>
      <c r="H40" s="11" t="inlineStr">
        <is>
          <t>Préd.pay26</t>
        </is>
      </c>
      <c r="I40" s="11" t="inlineStr">
        <is>
          <t>Org.24</t>
        </is>
      </c>
      <c r="J40" s="11" t="inlineStr">
        <is>
          <t>Org.25</t>
        </is>
      </c>
      <c r="K40" s="11" t="inlineStr">
        <is>
          <t>Préd.org26</t>
        </is>
      </c>
      <c r="L40" s="11" t="inlineStr">
        <is>
          <t>Leads26 préd</t>
        </is>
      </c>
      <c r="M40" s="11" t="inlineStr">
        <is>
          <t>Leads25</t>
        </is>
      </c>
      <c r="N40" s="11" t="inlineStr">
        <is>
          <t>Inscrits25</t>
        </is>
      </c>
      <c r="O40" s="11" t="inlineStr">
        <is>
          <t>Conv.25</t>
        </is>
      </c>
      <c r="P40" s="11" t="inlineStr">
        <is>
          <t>Inscrits26 préd</t>
        </is>
      </c>
      <c r="Q40" s="11" t="inlineStr">
        <is>
          <t>Inscrits26 réel</t>
        </is>
      </c>
      <c r="R40" s="11" t="inlineStr">
        <is>
          <t>Écart</t>
        </is>
      </c>
    </row>
    <row r="41">
      <c r="A41" s="41" t="inlineStr">
        <is>
          <t>Ipac Montpellier</t>
        </is>
      </c>
      <c r="B41" s="42" t="n">
        <v>377</v>
      </c>
      <c r="C41" s="42" t="n">
        <v>399</v>
      </c>
      <c r="D41" s="42" t="n">
        <v>12543</v>
      </c>
      <c r="E41" s="42" t="n">
        <v>13798</v>
      </c>
      <c r="F41" s="42" t="n">
        <v>15178</v>
      </c>
      <c r="G41" s="43">
        <f>LN(C41/B41)/LN(E41/D41)</f>
        <v/>
      </c>
      <c r="H41" s="44">
        <f>C41*(F41/E41)^G41</f>
        <v/>
      </c>
      <c r="I41" s="42" t="n">
        <v>217</v>
      </c>
      <c r="J41" s="42" t="n">
        <v>237</v>
      </c>
      <c r="K41" s="44">
        <f>J41*(J41/I41)</f>
        <v/>
      </c>
      <c r="L41" s="45">
        <f>H41+K41</f>
        <v/>
      </c>
      <c r="M41" s="42" t="n">
        <v>642</v>
      </c>
      <c r="N41" s="42" t="n">
        <v>38</v>
      </c>
      <c r="O41" s="46">
        <f>N41/M41</f>
        <v/>
      </c>
      <c r="P41" s="45">
        <f>L41*O41</f>
        <v/>
      </c>
      <c r="Q41" s="47" t="n">
        <v>40</v>
      </c>
      <c r="R41" s="48">
        <f>P41/Q41-1</f>
        <v/>
      </c>
    </row>
    <row r="42">
      <c r="A42" s="41" t="inlineStr">
        <is>
          <t>Ipac Nantes</t>
        </is>
      </c>
      <c r="B42" s="42" t="n">
        <v>489</v>
      </c>
      <c r="C42" s="42" t="n">
        <v>516</v>
      </c>
      <c r="D42" s="42" t="n">
        <v>17983</v>
      </c>
      <c r="E42" s="42" t="n">
        <v>19782</v>
      </c>
      <c r="F42" s="42" t="n">
        <v>21760</v>
      </c>
      <c r="G42" s="43">
        <f>LN(C42/B42)/LN(E42/D42)</f>
        <v/>
      </c>
      <c r="H42" s="44">
        <f>C42*(F42/E42)^G42</f>
        <v/>
      </c>
      <c r="I42" s="42" t="n">
        <v>258</v>
      </c>
      <c r="J42" s="42" t="n">
        <v>281</v>
      </c>
      <c r="K42" s="44">
        <f>J42*(J42/I42)</f>
        <v/>
      </c>
      <c r="L42" s="45">
        <f>H42+K42</f>
        <v/>
      </c>
      <c r="M42" s="42" t="n">
        <v>802</v>
      </c>
      <c r="N42" s="42" t="n">
        <v>47</v>
      </c>
      <c r="O42" s="46">
        <f>N42/M42</f>
        <v/>
      </c>
      <c r="P42" s="45">
        <f>L42*O42</f>
        <v/>
      </c>
      <c r="Q42" s="47" t="n">
        <v>50</v>
      </c>
      <c r="R42" s="48">
        <f>P42/Q42-1</f>
        <v/>
      </c>
    </row>
    <row r="43">
      <c r="A43" s="41" t="inlineStr">
        <is>
          <t>Ipac Rennes</t>
        </is>
      </c>
      <c r="B43" s="42" t="n">
        <v>371</v>
      </c>
      <c r="C43" s="42" t="n">
        <v>392</v>
      </c>
      <c r="D43" s="42" t="n">
        <v>12341</v>
      </c>
      <c r="E43" s="42" t="n">
        <v>13575</v>
      </c>
      <c r="F43" s="42" t="n">
        <v>14933</v>
      </c>
      <c r="G43" s="43">
        <f>LN(C43/B43)/LN(E43/D43)</f>
        <v/>
      </c>
      <c r="H43" s="44">
        <f>C43*(F43/E43)^G43</f>
        <v/>
      </c>
      <c r="I43" s="42" t="n">
        <v>223</v>
      </c>
      <c r="J43" s="42" t="n">
        <v>243</v>
      </c>
      <c r="K43" s="44">
        <f>J43*(J43/I43)</f>
        <v/>
      </c>
      <c r="L43" s="45">
        <f>H43+K43</f>
        <v/>
      </c>
      <c r="M43" s="42" t="n">
        <v>642</v>
      </c>
      <c r="N43" s="42" t="n">
        <v>38</v>
      </c>
      <c r="O43" s="46">
        <f>N43/M43</f>
        <v/>
      </c>
      <c r="P43" s="45">
        <f>L43*O43</f>
        <v/>
      </c>
      <c r="Q43" s="47" t="n">
        <v>40</v>
      </c>
      <c r="R43" s="48">
        <f>P43/Q43-1</f>
        <v/>
      </c>
    </row>
    <row r="44">
      <c r="A44" s="41" t="inlineStr">
        <is>
          <t>Iscom Lille</t>
        </is>
      </c>
      <c r="B44" s="42" t="n">
        <v>571</v>
      </c>
      <c r="C44" s="42" t="n">
        <v>600</v>
      </c>
      <c r="D44" s="42" t="n">
        <v>20843</v>
      </c>
      <c r="E44" s="42" t="n">
        <v>22927</v>
      </c>
      <c r="F44" s="42" t="n">
        <v>25220</v>
      </c>
      <c r="G44" s="43">
        <f>LN(C44/B44)/LN(E44/D44)</f>
        <v/>
      </c>
      <c r="H44" s="44">
        <f>C44*(F44/E44)^G44</f>
        <v/>
      </c>
      <c r="I44" s="42" t="n">
        <v>594</v>
      </c>
      <c r="J44" s="42" t="n">
        <v>612</v>
      </c>
      <c r="K44" s="44">
        <f>J44*(J44/I44)</f>
        <v/>
      </c>
      <c r="L44" s="45">
        <f>H44+K44</f>
        <v/>
      </c>
      <c r="M44" s="42" t="n">
        <v>1190</v>
      </c>
      <c r="N44" s="42" t="n">
        <v>94</v>
      </c>
      <c r="O44" s="46">
        <f>N44/M44</f>
        <v/>
      </c>
      <c r="P44" s="45">
        <f>L44*O44</f>
        <v/>
      </c>
      <c r="Q44" s="47" t="n">
        <v>100</v>
      </c>
      <c r="R44" s="48">
        <f>P44/Q44-1</f>
        <v/>
      </c>
    </row>
    <row r="45">
      <c r="A45" s="41" t="inlineStr">
        <is>
          <t>Iscom Paris</t>
        </is>
      </c>
      <c r="B45" s="42" t="n">
        <v>1035</v>
      </c>
      <c r="C45" s="42" t="n">
        <v>1080</v>
      </c>
      <c r="D45" s="42" t="n">
        <v>50248</v>
      </c>
      <c r="E45" s="42" t="n">
        <v>55272</v>
      </c>
      <c r="F45" s="42" t="n">
        <v>60800</v>
      </c>
      <c r="G45" s="43">
        <f>LN(C45/B45)/LN(E45/D45)</f>
        <v/>
      </c>
      <c r="H45" s="44">
        <f>C45*(F45/E45)^G45</f>
        <v/>
      </c>
      <c r="I45" s="42" t="n">
        <v>650</v>
      </c>
      <c r="J45" s="42" t="n">
        <v>670</v>
      </c>
      <c r="K45" s="44">
        <f>J45*(J45/I45)</f>
        <v/>
      </c>
      <c r="L45" s="45">
        <f>H45+K45</f>
        <v/>
      </c>
      <c r="M45" s="42" t="n">
        <v>1713</v>
      </c>
      <c r="N45" s="42" t="n">
        <v>136</v>
      </c>
      <c r="O45" s="46">
        <f>N45/M45</f>
        <v/>
      </c>
      <c r="P45" s="45">
        <f>L45*O45</f>
        <v/>
      </c>
      <c r="Q45" s="47" t="n">
        <v>144</v>
      </c>
      <c r="R45" s="48">
        <f>P45/Q45-1</f>
        <v/>
      </c>
    </row>
    <row r="46">
      <c r="A46" s="41" t="inlineStr">
        <is>
          <t>Iscom Toulouse</t>
        </is>
      </c>
      <c r="B46" s="42" t="n">
        <v>526</v>
      </c>
      <c r="C46" s="42" t="n">
        <v>553</v>
      </c>
      <c r="D46" s="42" t="n">
        <v>18251</v>
      </c>
      <c r="E46" s="42" t="n">
        <v>20076</v>
      </c>
      <c r="F46" s="42" t="n">
        <v>22083</v>
      </c>
      <c r="G46" s="43">
        <f>LN(C46/B46)/LN(E46/D46)</f>
        <v/>
      </c>
      <c r="H46" s="44">
        <f>C46*(F46/E46)^G46</f>
        <v/>
      </c>
      <c r="I46" s="42" t="n">
        <v>570</v>
      </c>
      <c r="J46" s="42" t="n">
        <v>587</v>
      </c>
      <c r="K46" s="44">
        <f>J46*(J46/I46)</f>
        <v/>
      </c>
      <c r="L46" s="45">
        <f>H46+K46</f>
        <v/>
      </c>
      <c r="M46" s="42" t="n">
        <v>1119</v>
      </c>
      <c r="N46" s="42" t="n">
        <v>88</v>
      </c>
      <c r="O46" s="46">
        <f>N46/M46</f>
        <v/>
      </c>
      <c r="P46" s="45">
        <f>L46*O46</f>
        <v/>
      </c>
      <c r="Q46" s="47" t="n">
        <v>94</v>
      </c>
      <c r="R46" s="48">
        <f>P46/Q46-1</f>
        <v/>
      </c>
    </row>
    <row r="47">
      <c r="A47" s="41" t="inlineStr">
        <is>
          <t>MBway Bordeaux</t>
        </is>
      </c>
      <c r="B47" s="42" t="n">
        <v>592</v>
      </c>
      <c r="C47" s="42" t="n">
        <v>623</v>
      </c>
      <c r="D47" s="42" t="n">
        <v>20597</v>
      </c>
      <c r="E47" s="42" t="n">
        <v>22657</v>
      </c>
      <c r="F47" s="42" t="n">
        <v>24923</v>
      </c>
      <c r="G47" s="43">
        <f>LN(C47/B47)/LN(E47/D47)</f>
        <v/>
      </c>
      <c r="H47" s="44">
        <f>C47*(F47/E47)^G47</f>
        <v/>
      </c>
      <c r="I47" s="42" t="n">
        <v>550</v>
      </c>
      <c r="J47" s="42" t="n">
        <v>589</v>
      </c>
      <c r="K47" s="44">
        <f>J47*(J47/I47)</f>
        <v/>
      </c>
      <c r="L47" s="45">
        <f>H47+K47</f>
        <v/>
      </c>
      <c r="M47" s="42" t="n">
        <v>1213</v>
      </c>
      <c r="N47" s="42" t="n">
        <v>96</v>
      </c>
      <c r="O47" s="46">
        <f>N47/M47</f>
        <v/>
      </c>
      <c r="P47" s="45">
        <f>L47*O47</f>
        <v/>
      </c>
      <c r="Q47" s="47" t="n">
        <v>102</v>
      </c>
      <c r="R47" s="48">
        <f>P47/Q47-1</f>
        <v/>
      </c>
    </row>
    <row r="48">
      <c r="A48" s="41" t="inlineStr">
        <is>
          <t>MBway Lyon</t>
        </is>
      </c>
      <c r="B48" s="42" t="n">
        <v>863</v>
      </c>
      <c r="C48" s="42" t="n">
        <v>905</v>
      </c>
      <c r="D48" s="42" t="n">
        <v>34532</v>
      </c>
      <c r="E48" s="42" t="n">
        <v>37985</v>
      </c>
      <c r="F48" s="42" t="n">
        <v>41783</v>
      </c>
      <c r="G48" s="43">
        <f>LN(C48/B48)/LN(E48/D48)</f>
        <v/>
      </c>
      <c r="H48" s="44">
        <f>C48*(F48/E48)^G48</f>
        <v/>
      </c>
      <c r="I48" s="42" t="n">
        <v>626</v>
      </c>
      <c r="J48" s="42" t="n">
        <v>670</v>
      </c>
      <c r="K48" s="44">
        <f>J48*(J48/I48)</f>
        <v/>
      </c>
      <c r="L48" s="45">
        <f>H48+K48</f>
        <v/>
      </c>
      <c r="M48" s="42" t="n">
        <v>1572</v>
      </c>
      <c r="N48" s="42" t="n">
        <v>124</v>
      </c>
      <c r="O48" s="46">
        <f>N48/M48</f>
        <v/>
      </c>
      <c r="P48" s="45">
        <f>L48*O48</f>
        <v/>
      </c>
      <c r="Q48" s="47" t="n">
        <v>132</v>
      </c>
      <c r="R48" s="48">
        <f>P48/Q48-1</f>
        <v/>
      </c>
    </row>
    <row r="49">
      <c r="A49" s="41" t="inlineStr">
        <is>
          <t>MBway Nantes</t>
        </is>
      </c>
      <c r="B49" s="42" t="n">
        <v>713</v>
      </c>
      <c r="C49" s="42" t="n">
        <v>749</v>
      </c>
      <c r="D49" s="42" t="n">
        <v>26060</v>
      </c>
      <c r="E49" s="42" t="n">
        <v>28666</v>
      </c>
      <c r="F49" s="42" t="n">
        <v>31533</v>
      </c>
      <c r="G49" s="43">
        <f>LN(C49/B49)/LN(E49/D49)</f>
        <v/>
      </c>
      <c r="H49" s="44">
        <f>C49*(F49/E49)^G49</f>
        <v/>
      </c>
      <c r="I49" s="42" t="n">
        <v>636</v>
      </c>
      <c r="J49" s="42" t="n">
        <v>680</v>
      </c>
      <c r="K49" s="44">
        <f>J49*(J49/I49)</f>
        <v/>
      </c>
      <c r="L49" s="45">
        <f>H49+K49</f>
        <v/>
      </c>
      <c r="M49" s="42" t="n">
        <v>1430</v>
      </c>
      <c r="N49" s="42" t="n">
        <v>114</v>
      </c>
      <c r="O49" s="46">
        <f>N49/M49</f>
        <v/>
      </c>
      <c r="P49" s="45">
        <f>L49*O49</f>
        <v/>
      </c>
      <c r="Q49" s="47" t="n">
        <v>120</v>
      </c>
      <c r="R49" s="48">
        <f>P49/Q49-1</f>
        <v/>
      </c>
    </row>
    <row r="50">
      <c r="A50" s="41" t="inlineStr">
        <is>
          <t>MBway Paris</t>
        </is>
      </c>
      <c r="B50" s="42" t="n">
        <v>1158</v>
      </c>
      <c r="C50" s="42" t="n">
        <v>1210</v>
      </c>
      <c r="D50" s="42" t="n">
        <v>56438</v>
      </c>
      <c r="E50" s="42" t="n">
        <v>62082</v>
      </c>
      <c r="F50" s="42" t="n">
        <v>68291</v>
      </c>
      <c r="G50" s="43">
        <f>LN(C50/B50)/LN(E50/D50)</f>
        <v/>
      </c>
      <c r="H50" s="44">
        <f>C50*(F50/E50)^G50</f>
        <v/>
      </c>
      <c r="I50" s="42" t="n">
        <v>621</v>
      </c>
      <c r="J50" s="42" t="n">
        <v>665</v>
      </c>
      <c r="K50" s="44">
        <f>J50*(J50/I50)</f>
        <v/>
      </c>
      <c r="L50" s="45">
        <f>H50+K50</f>
        <v/>
      </c>
      <c r="M50" s="42" t="n">
        <v>1864</v>
      </c>
      <c r="N50" s="42" t="n">
        <v>148</v>
      </c>
      <c r="O50" s="46">
        <f>N50/M50</f>
        <v/>
      </c>
      <c r="P50" s="45">
        <f>L50*O50</f>
        <v/>
      </c>
      <c r="Q50" s="47" t="n">
        <v>156</v>
      </c>
      <c r="R50" s="48">
        <f>P50/Q50-1</f>
        <v/>
      </c>
    </row>
    <row r="51">
      <c r="A51" s="41" t="inlineStr">
        <is>
          <t>Pigier Bordeaux</t>
        </is>
      </c>
      <c r="B51" s="42" t="n">
        <v>528</v>
      </c>
      <c r="C51" s="42" t="n">
        <v>552</v>
      </c>
      <c r="D51" s="42" t="n">
        <v>18155</v>
      </c>
      <c r="E51" s="42" t="n">
        <v>19971</v>
      </c>
      <c r="F51" s="42" t="n">
        <v>21968</v>
      </c>
      <c r="G51" s="43">
        <f>LN(C51/B51)/LN(E51/D51)</f>
        <v/>
      </c>
      <c r="H51" s="44">
        <f>C51*(F51/E51)^G51</f>
        <v/>
      </c>
      <c r="I51" s="42" t="n">
        <v>603</v>
      </c>
      <c r="J51" s="42" t="n">
        <v>627</v>
      </c>
      <c r="K51" s="44">
        <f>J51*(J51/I51)</f>
        <v/>
      </c>
      <c r="L51" s="45">
        <f>H51+K51</f>
        <v/>
      </c>
      <c r="M51" s="42" t="n">
        <v>1160</v>
      </c>
      <c r="N51" s="42" t="n">
        <v>68</v>
      </c>
      <c r="O51" s="46">
        <f>N51/M51</f>
        <v/>
      </c>
      <c r="P51" s="45">
        <f>L51*O51</f>
        <v/>
      </c>
      <c r="Q51" s="47" t="n">
        <v>72</v>
      </c>
      <c r="R51" s="48">
        <f>P51/Q51-1</f>
        <v/>
      </c>
    </row>
    <row r="52">
      <c r="A52" s="41" t="inlineStr">
        <is>
          <t>Pigier Lyon</t>
        </is>
      </c>
      <c r="B52" s="42" t="n">
        <v>765</v>
      </c>
      <c r="C52" s="42" t="n">
        <v>798</v>
      </c>
      <c r="D52" s="42" t="n">
        <v>30258</v>
      </c>
      <c r="E52" s="42" t="n">
        <v>33284</v>
      </c>
      <c r="F52" s="42" t="n">
        <v>36612</v>
      </c>
      <c r="G52" s="43">
        <f>LN(C52/B52)/LN(E52/D52)</f>
        <v/>
      </c>
      <c r="H52" s="44">
        <f>C52*(F52/E52)^G52</f>
        <v/>
      </c>
      <c r="I52" s="42" t="n">
        <v>682</v>
      </c>
      <c r="J52" s="42" t="n">
        <v>710</v>
      </c>
      <c r="K52" s="44">
        <f>J52*(J52/I52)</f>
        <v/>
      </c>
      <c r="L52" s="45">
        <f>H52+K52</f>
        <v/>
      </c>
      <c r="M52" s="42" t="n">
        <v>1482</v>
      </c>
      <c r="N52" s="42" t="n">
        <v>86</v>
      </c>
      <c r="O52" s="46">
        <f>N52/M52</f>
        <v/>
      </c>
      <c r="P52" s="45">
        <f>L52*O52</f>
        <v/>
      </c>
      <c r="Q52" s="47" t="n">
        <v>92</v>
      </c>
      <c r="R52" s="48">
        <f>P52/Q52-1</f>
        <v/>
      </c>
    </row>
    <row r="53">
      <c r="A53" s="41" t="inlineStr">
        <is>
          <t>Tunon Lyon</t>
        </is>
      </c>
      <c r="B53" s="42" t="n">
        <v>392</v>
      </c>
      <c r="C53" s="42" t="n">
        <v>410</v>
      </c>
      <c r="D53" s="42" t="n">
        <v>15578</v>
      </c>
      <c r="E53" s="42" t="n">
        <v>17136</v>
      </c>
      <c r="F53" s="42" t="n">
        <v>18850</v>
      </c>
      <c r="G53" s="43">
        <f>LN(C53/B53)/LN(E53/D53)</f>
        <v/>
      </c>
      <c r="H53" s="44">
        <f>C53*(F53/E53)^G53</f>
        <v/>
      </c>
      <c r="I53" s="42" t="n">
        <v>242</v>
      </c>
      <c r="J53" s="42" t="n">
        <v>247</v>
      </c>
      <c r="K53" s="44">
        <f>J53*(J53/I53)</f>
        <v/>
      </c>
      <c r="L53" s="45">
        <f>H53+K53</f>
        <v/>
      </c>
      <c r="M53" s="42" t="n">
        <v>642</v>
      </c>
      <c r="N53" s="42" t="n">
        <v>38</v>
      </c>
      <c r="O53" s="46">
        <f>N53/M53</f>
        <v/>
      </c>
      <c r="P53" s="45">
        <f>L53*O53</f>
        <v/>
      </c>
      <c r="Q53" s="47" t="n">
        <v>40</v>
      </c>
      <c r="R53" s="48">
        <f>P53/Q53-1</f>
        <v/>
      </c>
    </row>
    <row r="54">
      <c r="A54" s="41" t="inlineStr">
        <is>
          <t>Tunon Paris</t>
        </is>
      </c>
      <c r="B54" s="42" t="n">
        <v>517</v>
      </c>
      <c r="C54" s="42" t="n">
        <v>538</v>
      </c>
      <c r="D54" s="42" t="n">
        <v>24992</v>
      </c>
      <c r="E54" s="42" t="n">
        <v>27491</v>
      </c>
      <c r="F54" s="42" t="n">
        <v>30240</v>
      </c>
      <c r="G54" s="43">
        <f>LN(C54/B54)/LN(E54/D54)</f>
        <v/>
      </c>
      <c r="H54" s="44">
        <f>C54*(F54/E54)^G54</f>
        <v/>
      </c>
      <c r="I54" s="42" t="n">
        <v>231</v>
      </c>
      <c r="J54" s="42" t="n">
        <v>235</v>
      </c>
      <c r="K54" s="44">
        <f>J54*(J54/I54)</f>
        <v/>
      </c>
      <c r="L54" s="45">
        <f>H54+K54</f>
        <v/>
      </c>
      <c r="M54" s="42" t="n">
        <v>755</v>
      </c>
      <c r="N54" s="42" t="n">
        <v>44</v>
      </c>
      <c r="O54" s="46">
        <f>N54/M54</f>
        <v/>
      </c>
      <c r="P54" s="45">
        <f>L54*O54</f>
        <v/>
      </c>
      <c r="Q54" s="47" t="n">
        <v>47</v>
      </c>
      <c r="R54" s="48">
        <f>P54/Q54-1</f>
        <v/>
      </c>
    </row>
    <row r="55">
      <c r="A55" s="49" t="inlineStr">
        <is>
          <t>GROUPE</t>
        </is>
      </c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1">
        <f>SUM(L41:L54)</f>
        <v/>
      </c>
      <c r="M55" s="50" t="n"/>
      <c r="N55" s="50" t="n"/>
      <c r="O55" s="50" t="n"/>
      <c r="P55" s="51">
        <f>SUM(P41:P54)</f>
        <v/>
      </c>
      <c r="Q55" s="51">
        <f>SUM(Q41:Q54)</f>
        <v/>
      </c>
      <c r="R55" s="52">
        <f>P55/Q55-1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EDUSERVICES · le moteur, à nu</t>
        </is>
      </c>
    </row>
    <row r="2">
      <c r="A2" s="2" t="inlineStr">
        <is>
          <t>Le budget de marque → les leads organiques</t>
        </is>
      </c>
    </row>
    <row r="3">
      <c r="A3" s="3" t="inlineStr">
        <is>
          <t>Autre levier : le budget de marque nourrit les organiques, avec sa propre élasticité (plus basse). Régression 3 ans, comme l'acquisition.</t>
        </is>
      </c>
    </row>
    <row r="5">
      <c r="A5" s="5" t="inlineStr">
        <is>
          <t>Δ budget de marque</t>
        </is>
      </c>
      <c r="B5" s="6" t="n">
        <v>0.1</v>
      </c>
    </row>
    <row r="7">
      <c r="A7" s="10" t="inlineStr">
        <is>
          <t>Campus</t>
        </is>
      </c>
      <c r="B7" s="11" t="inlineStr">
        <is>
          <t>Bud.mq24</t>
        </is>
      </c>
      <c r="C7" s="11" t="inlineStr">
        <is>
          <t>Bud.mq25</t>
        </is>
      </c>
      <c r="D7" s="11" t="inlineStr">
        <is>
          <t>Bud.mq26</t>
        </is>
      </c>
      <c r="E7" s="11" t="inlineStr">
        <is>
          <t>Org.24</t>
        </is>
      </c>
      <c r="F7" s="11" t="inlineStr">
        <is>
          <t>Org.25</t>
        </is>
      </c>
      <c r="G7" s="11" t="inlineStr">
        <is>
          <t>Org.26</t>
        </is>
      </c>
      <c r="H7" s="11" t="inlineStr">
        <is>
          <t>Élasticité marque</t>
        </is>
      </c>
      <c r="I7" s="11" t="inlineStr">
        <is>
          <t>Org. gagnés (+Δ)</t>
        </is>
      </c>
    </row>
    <row r="8">
      <c r="A8" s="53" t="inlineStr">
        <is>
          <t>Ipac Montpellier</t>
        </is>
      </c>
      <c r="B8" s="25" t="n">
        <v>13581</v>
      </c>
      <c r="C8" s="25" t="n">
        <v>17870</v>
      </c>
      <c r="D8" s="25" t="n">
        <v>23514</v>
      </c>
      <c r="E8" s="22" t="n">
        <v>217</v>
      </c>
      <c r="F8" s="22" t="n">
        <v>237</v>
      </c>
      <c r="G8" s="22" t="n">
        <v>258</v>
      </c>
      <c r="H8" s="23">
        <f>SLOPE(LN(E8:G8),LN(B8:D8))</f>
        <v/>
      </c>
      <c r="I8" s="27">
        <f>G8*((1+$B$5)^H8-1)</f>
        <v/>
      </c>
    </row>
    <row r="9">
      <c r="A9" s="53" t="inlineStr">
        <is>
          <t>Ipac Nantes</t>
        </is>
      </c>
      <c r="B9" s="25" t="n">
        <v>15937</v>
      </c>
      <c r="C9" s="25" t="n">
        <v>21082</v>
      </c>
      <c r="D9" s="25" t="n">
        <v>27889</v>
      </c>
      <c r="E9" s="22" t="n">
        <v>258</v>
      </c>
      <c r="F9" s="22" t="n">
        <v>281</v>
      </c>
      <c r="G9" s="22" t="n">
        <v>306</v>
      </c>
      <c r="H9" s="23">
        <f>SLOPE(LN(E9:G9),LN(B9:D9))</f>
        <v/>
      </c>
      <c r="I9" s="27">
        <f>G9*((1+$B$5)^H9-1)</f>
        <v/>
      </c>
    </row>
    <row r="10">
      <c r="A10" s="53" t="inlineStr">
        <is>
          <t>Ipac Rennes</t>
        </is>
      </c>
      <c r="B10" s="25" t="n">
        <v>14022</v>
      </c>
      <c r="C10" s="25" t="n">
        <v>18403</v>
      </c>
      <c r="D10" s="25" t="n">
        <v>24152</v>
      </c>
      <c r="E10" s="22" t="n">
        <v>223</v>
      </c>
      <c r="F10" s="22" t="n">
        <v>243</v>
      </c>
      <c r="G10" s="22" t="n">
        <v>265</v>
      </c>
      <c r="H10" s="23">
        <f>SLOPE(LN(E10:G10),LN(B10:D10))</f>
        <v/>
      </c>
      <c r="I10" s="27">
        <f>G10*((1+$B$5)^H10-1)</f>
        <v/>
      </c>
    </row>
    <row r="11">
      <c r="A11" s="53" t="inlineStr">
        <is>
          <t>Iscom Lille</t>
        </is>
      </c>
      <c r="B11" s="25" t="n">
        <v>48495</v>
      </c>
      <c r="C11" s="25" t="n">
        <v>52768</v>
      </c>
      <c r="D11" s="25" t="n">
        <v>57418</v>
      </c>
      <c r="E11" s="22" t="n">
        <v>594</v>
      </c>
      <c r="F11" s="22" t="n">
        <v>612</v>
      </c>
      <c r="G11" s="22" t="n">
        <v>630</v>
      </c>
      <c r="H11" s="23">
        <f>SLOPE(LN(E11:G11),LN(B11:D11))</f>
        <v/>
      </c>
      <c r="I11" s="27">
        <f>G11*((1+$B$5)^H11-1)</f>
        <v/>
      </c>
    </row>
    <row r="12">
      <c r="A12" s="53" t="inlineStr">
        <is>
          <t>Iscom Paris</t>
        </is>
      </c>
      <c r="B12" s="25" t="n">
        <v>52094</v>
      </c>
      <c r="C12" s="25" t="n">
        <v>57236</v>
      </c>
      <c r="D12" s="25" t="n">
        <v>62886</v>
      </c>
      <c r="E12" s="22" t="n">
        <v>650</v>
      </c>
      <c r="F12" s="22" t="n">
        <v>670</v>
      </c>
      <c r="G12" s="22" t="n">
        <v>690</v>
      </c>
      <c r="H12" s="23">
        <f>SLOPE(LN(E12:G12),LN(B12:D12))</f>
        <v/>
      </c>
      <c r="I12" s="27">
        <f>G12*((1+$B$5)^H12-1)</f>
        <v/>
      </c>
    </row>
    <row r="13">
      <c r="A13" s="53" t="inlineStr">
        <is>
          <t>Iscom Toulouse</t>
        </is>
      </c>
      <c r="B13" s="25" t="n">
        <v>46637</v>
      </c>
      <c r="C13" s="25" t="n">
        <v>50710</v>
      </c>
      <c r="D13" s="25" t="n">
        <v>55139</v>
      </c>
      <c r="E13" s="22" t="n">
        <v>570</v>
      </c>
      <c r="F13" s="22" t="n">
        <v>587</v>
      </c>
      <c r="G13" s="22" t="n">
        <v>605</v>
      </c>
      <c r="H13" s="23">
        <f>SLOPE(LN(E13:G13),LN(B13:D13))</f>
        <v/>
      </c>
      <c r="I13" s="27">
        <f>G13*((1+$B$5)^H13-1)</f>
        <v/>
      </c>
    </row>
    <row r="14">
      <c r="A14" s="53" t="inlineStr">
        <is>
          <t>MBway Bordeaux</t>
        </is>
      </c>
      <c r="B14" s="25" t="n">
        <v>38877</v>
      </c>
      <c r="C14" s="25" t="n">
        <v>47246</v>
      </c>
      <c r="D14" s="25" t="n">
        <v>57418</v>
      </c>
      <c r="E14" s="22" t="n">
        <v>550</v>
      </c>
      <c r="F14" s="22" t="n">
        <v>589</v>
      </c>
      <c r="G14" s="22" t="n">
        <v>630</v>
      </c>
      <c r="H14" s="23">
        <f>SLOPE(LN(E14:G14),LN(B14:D14))</f>
        <v/>
      </c>
      <c r="I14" s="27">
        <f>G14*((1+$B$5)^H14-1)</f>
        <v/>
      </c>
    </row>
    <row r="15">
      <c r="A15" s="53" t="inlineStr">
        <is>
          <t>MBway Lyon</t>
        </is>
      </c>
      <c r="B15" s="25" t="n">
        <v>43250</v>
      </c>
      <c r="C15" s="25" t="n">
        <v>53125</v>
      </c>
      <c r="D15" s="25" t="n">
        <v>65255</v>
      </c>
      <c r="E15" s="22" t="n">
        <v>626</v>
      </c>
      <c r="F15" s="22" t="n">
        <v>670</v>
      </c>
      <c r="G15" s="22" t="n">
        <v>716</v>
      </c>
      <c r="H15" s="23">
        <f>SLOPE(LN(E15:G15),LN(B15:D15))</f>
        <v/>
      </c>
      <c r="I15" s="27">
        <f>G15*((1+$B$5)^H15-1)</f>
        <v/>
      </c>
    </row>
    <row r="16">
      <c r="A16" s="53" t="inlineStr">
        <is>
          <t>MBway Nantes</t>
        </is>
      </c>
      <c r="B16" s="25" t="n">
        <v>44771</v>
      </c>
      <c r="C16" s="25" t="n">
        <v>54502</v>
      </c>
      <c r="D16" s="25" t="n">
        <v>66349</v>
      </c>
      <c r="E16" s="22" t="n">
        <v>636</v>
      </c>
      <c r="F16" s="22" t="n">
        <v>680</v>
      </c>
      <c r="G16" s="22" t="n">
        <v>728</v>
      </c>
      <c r="H16" s="23">
        <f>SLOPE(LN(E16:G16),LN(B16:D16))</f>
        <v/>
      </c>
      <c r="I16" s="27">
        <f>G16*((1+$B$5)^H16-1)</f>
        <v/>
      </c>
    </row>
    <row r="17">
      <c r="A17" s="53" t="inlineStr">
        <is>
          <t>MBway Paris</t>
        </is>
      </c>
      <c r="B17" s="25" t="n">
        <v>41761</v>
      </c>
      <c r="C17" s="25" t="n">
        <v>52020</v>
      </c>
      <c r="D17" s="25" t="n">
        <v>64800</v>
      </c>
      <c r="E17" s="22" t="n">
        <v>621</v>
      </c>
      <c r="F17" s="22" t="n">
        <v>665</v>
      </c>
      <c r="G17" s="22" t="n">
        <v>711</v>
      </c>
      <c r="H17" s="23">
        <f>SLOPE(LN(E17:G17),LN(B17:D17))</f>
        <v/>
      </c>
      <c r="I17" s="27">
        <f>G17*((1+$B$5)^H17-1)</f>
        <v/>
      </c>
    </row>
    <row r="18">
      <c r="A18" s="53" t="inlineStr">
        <is>
          <t>Pigier Bordeaux</t>
        </is>
      </c>
      <c r="B18" s="25" t="n">
        <v>47760</v>
      </c>
      <c r="C18" s="25" t="n">
        <v>53273</v>
      </c>
      <c r="D18" s="25" t="n">
        <v>59423</v>
      </c>
      <c r="E18" s="22" t="n">
        <v>603</v>
      </c>
      <c r="F18" s="22" t="n">
        <v>627</v>
      </c>
      <c r="G18" s="22" t="n">
        <v>652</v>
      </c>
      <c r="H18" s="23">
        <f>SLOPE(LN(E18:G18),LN(B18:D18))</f>
        <v/>
      </c>
      <c r="I18" s="27">
        <f>G18*((1+$B$5)^H18-1)</f>
        <v/>
      </c>
    </row>
    <row r="19">
      <c r="A19" s="53" t="inlineStr">
        <is>
          <t>Pigier Lyon</t>
        </is>
      </c>
      <c r="B19" s="25" t="n">
        <v>53439</v>
      </c>
      <c r="C19" s="25" t="n">
        <v>59953</v>
      </c>
      <c r="D19" s="25" t="n">
        <v>67261</v>
      </c>
      <c r="E19" s="22" t="n">
        <v>682</v>
      </c>
      <c r="F19" s="22" t="n">
        <v>710</v>
      </c>
      <c r="G19" s="22" t="n">
        <v>738</v>
      </c>
      <c r="H19" s="23">
        <f>SLOPE(LN(E19:G19),LN(B19:D19))</f>
        <v/>
      </c>
      <c r="I19" s="27">
        <f>G19*((1+$B$5)^H19-1)</f>
        <v/>
      </c>
    </row>
    <row r="20">
      <c r="A20" s="53" t="inlineStr">
        <is>
          <t>Tunon Lyon</t>
        </is>
      </c>
      <c r="B20" s="25" t="n">
        <v>20221</v>
      </c>
      <c r="C20" s="25" t="n">
        <v>21550</v>
      </c>
      <c r="D20" s="25" t="n">
        <v>22967</v>
      </c>
      <c r="E20" s="22" t="n">
        <v>242</v>
      </c>
      <c r="F20" s="22" t="n">
        <v>247</v>
      </c>
      <c r="G20" s="22" t="n">
        <v>252</v>
      </c>
      <c r="H20" s="23">
        <f>SLOPE(LN(E20:G20),LN(B20:D20))</f>
        <v/>
      </c>
      <c r="I20" s="27">
        <f>G20*((1+$B$5)^H20-1)</f>
        <v/>
      </c>
    </row>
    <row r="21">
      <c r="A21" s="53" t="inlineStr">
        <is>
          <t>Tunon Paris</t>
        </is>
      </c>
      <c r="B21" s="25" t="n">
        <v>19081</v>
      </c>
      <c r="C21" s="25" t="n">
        <v>20429</v>
      </c>
      <c r="D21" s="25" t="n">
        <v>21873</v>
      </c>
      <c r="E21" s="22" t="n">
        <v>231</v>
      </c>
      <c r="F21" s="22" t="n">
        <v>235</v>
      </c>
      <c r="G21" s="22" t="n">
        <v>240</v>
      </c>
      <c r="H21" s="23">
        <f>SLOPE(LN(E21:G21),LN(B21:D21))</f>
        <v/>
      </c>
      <c r="I21" s="27">
        <f>G21*((1+$B$5)^H21-1)</f>
        <v/>
      </c>
    </row>
    <row r="22">
      <c r="A22" s="49" t="inlineStr">
        <is>
          <t>GROUPE</t>
        </is>
      </c>
      <c r="B22" s="50" t="n"/>
      <c r="C22" s="50" t="n"/>
      <c r="D22" s="50" t="n"/>
      <c r="E22" s="50" t="n"/>
      <c r="F22" s="50" t="n"/>
      <c r="G22" s="50" t="n"/>
      <c r="H22" s="50" t="n"/>
      <c r="I22" s="51">
        <f>SUM(I8:I21)</f>
        <v/>
      </c>
    </row>
    <row r="25">
      <c r="A25" s="9" t="inlineStr">
        <is>
          <t>②  La preuve — back-test organique (calibré 24→25, prédit 2026)</t>
        </is>
      </c>
    </row>
    <row r="26">
      <c r="A26" s="40" t="inlineStr">
        <is>
          <t>Élasticité marque calculée sur 2024→2025 seulement, puis : organiques 2026 prédits = org.25 × (budget marque 26 ÷ budget marque 25) ^ élasticité(24→25).</t>
        </is>
      </c>
    </row>
    <row r="28">
      <c r="A28" s="10" t="inlineStr">
        <is>
          <t>Campus</t>
        </is>
      </c>
      <c r="B28" s="11" t="inlineStr">
        <is>
          <t>Org.24</t>
        </is>
      </c>
      <c r="C28" s="11" t="inlineStr">
        <is>
          <t>Org.25</t>
        </is>
      </c>
      <c r="D28" s="11" t="inlineStr">
        <is>
          <t>Bud.mq24</t>
        </is>
      </c>
      <c r="E28" s="11" t="inlineStr">
        <is>
          <t>Bud.mq25</t>
        </is>
      </c>
      <c r="F28" s="11" t="inlineStr">
        <is>
          <t>Bud.mq26</t>
        </is>
      </c>
      <c r="G28" s="11" t="inlineStr">
        <is>
          <t>Élast 24→25</t>
        </is>
      </c>
      <c r="H28" s="11" t="inlineStr">
        <is>
          <t>Org.26 prédit</t>
        </is>
      </c>
      <c r="I28" s="11" t="inlineStr">
        <is>
          <t>Org.26 réel</t>
        </is>
      </c>
      <c r="J28" s="11" t="inlineStr">
        <is>
          <t>Écart</t>
        </is>
      </c>
    </row>
    <row r="29">
      <c r="A29" s="53" t="inlineStr">
        <is>
          <t>Ipac Montpellier</t>
        </is>
      </c>
      <c r="B29" s="22" t="n">
        <v>217</v>
      </c>
      <c r="C29" s="22" t="n">
        <v>237</v>
      </c>
      <c r="D29" s="22" t="n">
        <v>13581</v>
      </c>
      <c r="E29" s="22" t="n">
        <v>17870</v>
      </c>
      <c r="F29" s="22" t="n">
        <v>23514</v>
      </c>
      <c r="G29" s="54">
        <f>LN(C29/B29)/LN(E29/D29)</f>
        <v/>
      </c>
      <c r="H29" s="55">
        <f>C29*(F29/E29)^G29</f>
        <v/>
      </c>
      <c r="I29" s="27" t="n">
        <v>258</v>
      </c>
      <c r="J29" s="56">
        <f>H29/I29-1</f>
        <v/>
      </c>
    </row>
    <row r="30">
      <c r="A30" s="53" t="inlineStr">
        <is>
          <t>Ipac Nantes</t>
        </is>
      </c>
      <c r="B30" s="22" t="n">
        <v>258</v>
      </c>
      <c r="C30" s="22" t="n">
        <v>281</v>
      </c>
      <c r="D30" s="22" t="n">
        <v>15937</v>
      </c>
      <c r="E30" s="22" t="n">
        <v>21082</v>
      </c>
      <c r="F30" s="22" t="n">
        <v>27889</v>
      </c>
      <c r="G30" s="54">
        <f>LN(C30/B30)/LN(E30/D30)</f>
        <v/>
      </c>
      <c r="H30" s="55">
        <f>C30*(F30/E30)^G30</f>
        <v/>
      </c>
      <c r="I30" s="27" t="n">
        <v>306</v>
      </c>
      <c r="J30" s="56">
        <f>H30/I30-1</f>
        <v/>
      </c>
    </row>
    <row r="31">
      <c r="A31" s="53" t="inlineStr">
        <is>
          <t>Ipac Rennes</t>
        </is>
      </c>
      <c r="B31" s="22" t="n">
        <v>223</v>
      </c>
      <c r="C31" s="22" t="n">
        <v>243</v>
      </c>
      <c r="D31" s="22" t="n">
        <v>14022</v>
      </c>
      <c r="E31" s="22" t="n">
        <v>18403</v>
      </c>
      <c r="F31" s="22" t="n">
        <v>24152</v>
      </c>
      <c r="G31" s="54">
        <f>LN(C31/B31)/LN(E31/D31)</f>
        <v/>
      </c>
      <c r="H31" s="55">
        <f>C31*(F31/E31)^G31</f>
        <v/>
      </c>
      <c r="I31" s="27" t="n">
        <v>265</v>
      </c>
      <c r="J31" s="56">
        <f>H31/I31-1</f>
        <v/>
      </c>
    </row>
    <row r="32">
      <c r="A32" s="53" t="inlineStr">
        <is>
          <t>Iscom Lille</t>
        </is>
      </c>
      <c r="B32" s="22" t="n">
        <v>594</v>
      </c>
      <c r="C32" s="22" t="n">
        <v>612</v>
      </c>
      <c r="D32" s="22" t="n">
        <v>48495</v>
      </c>
      <c r="E32" s="22" t="n">
        <v>52768</v>
      </c>
      <c r="F32" s="22" t="n">
        <v>57418</v>
      </c>
      <c r="G32" s="54">
        <f>LN(C32/B32)/LN(E32/D32)</f>
        <v/>
      </c>
      <c r="H32" s="55">
        <f>C32*(F32/E32)^G32</f>
        <v/>
      </c>
      <c r="I32" s="27" t="n">
        <v>630</v>
      </c>
      <c r="J32" s="56">
        <f>H32/I32-1</f>
        <v/>
      </c>
    </row>
    <row r="33">
      <c r="A33" s="53" t="inlineStr">
        <is>
          <t>Iscom Paris</t>
        </is>
      </c>
      <c r="B33" s="22" t="n">
        <v>650</v>
      </c>
      <c r="C33" s="22" t="n">
        <v>670</v>
      </c>
      <c r="D33" s="22" t="n">
        <v>52094</v>
      </c>
      <c r="E33" s="22" t="n">
        <v>57236</v>
      </c>
      <c r="F33" s="22" t="n">
        <v>62886</v>
      </c>
      <c r="G33" s="54">
        <f>LN(C33/B33)/LN(E33/D33)</f>
        <v/>
      </c>
      <c r="H33" s="55">
        <f>C33*(F33/E33)^G33</f>
        <v/>
      </c>
      <c r="I33" s="27" t="n">
        <v>690</v>
      </c>
      <c r="J33" s="56">
        <f>H33/I33-1</f>
        <v/>
      </c>
    </row>
    <row r="34">
      <c r="A34" s="53" t="inlineStr">
        <is>
          <t>Iscom Toulouse</t>
        </is>
      </c>
      <c r="B34" s="22" t="n">
        <v>570</v>
      </c>
      <c r="C34" s="22" t="n">
        <v>587</v>
      </c>
      <c r="D34" s="22" t="n">
        <v>46637</v>
      </c>
      <c r="E34" s="22" t="n">
        <v>50710</v>
      </c>
      <c r="F34" s="22" t="n">
        <v>55139</v>
      </c>
      <c r="G34" s="54">
        <f>LN(C34/B34)/LN(E34/D34)</f>
        <v/>
      </c>
      <c r="H34" s="55">
        <f>C34*(F34/E34)^G34</f>
        <v/>
      </c>
      <c r="I34" s="27" t="n">
        <v>605</v>
      </c>
      <c r="J34" s="56">
        <f>H34/I34-1</f>
        <v/>
      </c>
    </row>
    <row r="35">
      <c r="A35" s="53" t="inlineStr">
        <is>
          <t>MBway Bordeaux</t>
        </is>
      </c>
      <c r="B35" s="22" t="n">
        <v>550</v>
      </c>
      <c r="C35" s="22" t="n">
        <v>589</v>
      </c>
      <c r="D35" s="22" t="n">
        <v>38877</v>
      </c>
      <c r="E35" s="22" t="n">
        <v>47246</v>
      </c>
      <c r="F35" s="22" t="n">
        <v>57418</v>
      </c>
      <c r="G35" s="54">
        <f>LN(C35/B35)/LN(E35/D35)</f>
        <v/>
      </c>
      <c r="H35" s="55">
        <f>C35*(F35/E35)^G35</f>
        <v/>
      </c>
      <c r="I35" s="27" t="n">
        <v>630</v>
      </c>
      <c r="J35" s="56">
        <f>H35/I35-1</f>
        <v/>
      </c>
    </row>
    <row r="36">
      <c r="A36" s="53" t="inlineStr">
        <is>
          <t>MBway Lyon</t>
        </is>
      </c>
      <c r="B36" s="22" t="n">
        <v>626</v>
      </c>
      <c r="C36" s="22" t="n">
        <v>670</v>
      </c>
      <c r="D36" s="22" t="n">
        <v>43250</v>
      </c>
      <c r="E36" s="22" t="n">
        <v>53125</v>
      </c>
      <c r="F36" s="22" t="n">
        <v>65255</v>
      </c>
      <c r="G36" s="54">
        <f>LN(C36/B36)/LN(E36/D36)</f>
        <v/>
      </c>
      <c r="H36" s="55">
        <f>C36*(F36/E36)^G36</f>
        <v/>
      </c>
      <c r="I36" s="27" t="n">
        <v>716</v>
      </c>
      <c r="J36" s="56">
        <f>H36/I36-1</f>
        <v/>
      </c>
    </row>
    <row r="37">
      <c r="A37" s="53" t="inlineStr">
        <is>
          <t>MBway Nantes</t>
        </is>
      </c>
      <c r="B37" s="22" t="n">
        <v>636</v>
      </c>
      <c r="C37" s="22" t="n">
        <v>680</v>
      </c>
      <c r="D37" s="22" t="n">
        <v>44771</v>
      </c>
      <c r="E37" s="22" t="n">
        <v>54502</v>
      </c>
      <c r="F37" s="22" t="n">
        <v>66349</v>
      </c>
      <c r="G37" s="54">
        <f>LN(C37/B37)/LN(E37/D37)</f>
        <v/>
      </c>
      <c r="H37" s="55">
        <f>C37*(F37/E37)^G37</f>
        <v/>
      </c>
      <c r="I37" s="27" t="n">
        <v>728</v>
      </c>
      <c r="J37" s="56">
        <f>H37/I37-1</f>
        <v/>
      </c>
    </row>
    <row r="38">
      <c r="A38" s="53" t="inlineStr">
        <is>
          <t>MBway Paris</t>
        </is>
      </c>
      <c r="B38" s="22" t="n">
        <v>621</v>
      </c>
      <c r="C38" s="22" t="n">
        <v>665</v>
      </c>
      <c r="D38" s="22" t="n">
        <v>41761</v>
      </c>
      <c r="E38" s="22" t="n">
        <v>52020</v>
      </c>
      <c r="F38" s="22" t="n">
        <v>64800</v>
      </c>
      <c r="G38" s="54">
        <f>LN(C38/B38)/LN(E38/D38)</f>
        <v/>
      </c>
      <c r="H38" s="55">
        <f>C38*(F38/E38)^G38</f>
        <v/>
      </c>
      <c r="I38" s="27" t="n">
        <v>711</v>
      </c>
      <c r="J38" s="56">
        <f>H38/I38-1</f>
        <v/>
      </c>
    </row>
    <row r="39">
      <c r="A39" s="53" t="inlineStr">
        <is>
          <t>Pigier Bordeaux</t>
        </is>
      </c>
      <c r="B39" s="22" t="n">
        <v>603</v>
      </c>
      <c r="C39" s="22" t="n">
        <v>627</v>
      </c>
      <c r="D39" s="22" t="n">
        <v>47760</v>
      </c>
      <c r="E39" s="22" t="n">
        <v>53273</v>
      </c>
      <c r="F39" s="22" t="n">
        <v>59423</v>
      </c>
      <c r="G39" s="54">
        <f>LN(C39/B39)/LN(E39/D39)</f>
        <v/>
      </c>
      <c r="H39" s="55">
        <f>C39*(F39/E39)^G39</f>
        <v/>
      </c>
      <c r="I39" s="27" t="n">
        <v>652</v>
      </c>
      <c r="J39" s="56">
        <f>H39/I39-1</f>
        <v/>
      </c>
    </row>
    <row r="40">
      <c r="A40" s="53" t="inlineStr">
        <is>
          <t>Pigier Lyon</t>
        </is>
      </c>
      <c r="B40" s="22" t="n">
        <v>682</v>
      </c>
      <c r="C40" s="22" t="n">
        <v>710</v>
      </c>
      <c r="D40" s="22" t="n">
        <v>53439</v>
      </c>
      <c r="E40" s="22" t="n">
        <v>59953</v>
      </c>
      <c r="F40" s="22" t="n">
        <v>67261</v>
      </c>
      <c r="G40" s="54">
        <f>LN(C40/B40)/LN(E40/D40)</f>
        <v/>
      </c>
      <c r="H40" s="55">
        <f>C40*(F40/E40)^G40</f>
        <v/>
      </c>
      <c r="I40" s="27" t="n">
        <v>738</v>
      </c>
      <c r="J40" s="56">
        <f>H40/I40-1</f>
        <v/>
      </c>
    </row>
    <row r="41">
      <c r="A41" s="53" t="inlineStr">
        <is>
          <t>Tunon Lyon</t>
        </is>
      </c>
      <c r="B41" s="22" t="n">
        <v>242</v>
      </c>
      <c r="C41" s="22" t="n">
        <v>247</v>
      </c>
      <c r="D41" s="22" t="n">
        <v>20221</v>
      </c>
      <c r="E41" s="22" t="n">
        <v>21550</v>
      </c>
      <c r="F41" s="22" t="n">
        <v>22967</v>
      </c>
      <c r="G41" s="54">
        <f>LN(C41/B41)/LN(E41/D41)</f>
        <v/>
      </c>
      <c r="H41" s="55">
        <f>C41*(F41/E41)^G41</f>
        <v/>
      </c>
      <c r="I41" s="27" t="n">
        <v>252</v>
      </c>
      <c r="J41" s="56">
        <f>H41/I41-1</f>
        <v/>
      </c>
    </row>
    <row r="42">
      <c r="A42" s="53" t="inlineStr">
        <is>
          <t>Tunon Paris</t>
        </is>
      </c>
      <c r="B42" s="22" t="n">
        <v>231</v>
      </c>
      <c r="C42" s="22" t="n">
        <v>235</v>
      </c>
      <c r="D42" s="22" t="n">
        <v>19081</v>
      </c>
      <c r="E42" s="22" t="n">
        <v>20429</v>
      </c>
      <c r="F42" s="22" t="n">
        <v>21873</v>
      </c>
      <c r="G42" s="54">
        <f>LN(C42/B42)/LN(E42/D42)</f>
        <v/>
      </c>
      <c r="H42" s="55">
        <f>C42*(F42/E42)^G42</f>
        <v/>
      </c>
      <c r="I42" s="27" t="n">
        <v>240</v>
      </c>
      <c r="J42" s="56">
        <f>H42/I42-1</f>
        <v/>
      </c>
    </row>
    <row r="43">
      <c r="A43" s="49" t="inlineStr">
        <is>
          <t>GROUPE</t>
        </is>
      </c>
      <c r="B43" s="50" t="n"/>
      <c r="C43" s="50" t="n"/>
      <c r="D43" s="50" t="n"/>
      <c r="E43" s="50" t="n"/>
      <c r="F43" s="50" t="n"/>
      <c r="G43" s="50" t="n"/>
      <c r="H43" s="51">
        <f>SUM(H29:H42)</f>
        <v/>
      </c>
      <c r="I43" s="51">
        <f>SUM(I29:I42)</f>
        <v/>
      </c>
      <c r="J43" s="52">
        <f>H43/I43-1</f>
        <v/>
      </c>
    </row>
    <row r="45">
      <c r="A45" s="57" t="inlineStr">
        <is>
          <t>Le moteur retrouve aussi les organiques 2026 sans les avoir vus. Les deux leviers (acquisition + marque) alimentent le MÊME funnel → inscrits → CA.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1"/>
    <pageSetUpPr/>
  </sheetPr>
  <dimension ref="A1:H17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3" customWidth="1" min="4" max="4"/>
    <col width="12" customWidth="1" min="5" max="5"/>
    <col width="13" customWidth="1" min="6" max="6"/>
    <col width="9" customWidth="1" min="7" max="7"/>
  </cols>
  <sheetData>
    <row r="1">
      <c r="A1" s="58" t="inlineStr">
        <is>
          <t>RESTITUTION — P&amp;L chargé 2026 (avant / après allocation)</t>
        </is>
      </c>
    </row>
    <row r="2">
      <c r="A2" s="59" t="inlineStr">
        <is>
          <t>Source (vue)</t>
        </is>
      </c>
      <c r="B2" s="60" t="inlineStr">
        <is>
          <t>V_ALLOCATION  (Q_RAPPORT_ALLOUE)</t>
        </is>
      </c>
    </row>
    <row r="3">
      <c r="A3" s="59" t="inlineStr">
        <is>
          <t>Dimensions</t>
        </is>
      </c>
      <c r="B3" s="60" t="inlineStr">
        <is>
          <t>Marque ▸ Campus ▸ Programme ▸ Année ▸ Modalité</t>
        </is>
      </c>
    </row>
    <row r="4">
      <c r="A4" s="59" t="inlineStr">
        <is>
          <t>Éléments</t>
        </is>
      </c>
    </row>
    <row r="5">
      <c r="A5" s="61" t="inlineStr">
        <is>
          <t xml:space="preserve">   Effectif / CA</t>
        </is>
      </c>
      <c r="B5" s="62" t="inlineStr">
        <is>
          <t>VOL_EFF / (706+7062+708)</t>
        </is>
      </c>
    </row>
    <row r="6">
      <c r="A6" s="61" t="inlineStr">
        <is>
          <t xml:space="preserve">   EBITDA propre</t>
        </is>
      </c>
      <c r="B6" s="62" t="inlineStr">
        <is>
          <t>CA − (621+6411 + 604/6063/6231 + 6413/645/613/615/616/625/63511)</t>
        </is>
      </c>
    </row>
    <row r="7">
      <c r="A7" s="61" t="inlineStr">
        <is>
          <t xml:space="preserve">   Quote-part siège</t>
        </is>
      </c>
      <c r="B7" s="62" t="inlineStr">
        <is>
          <t>6236 + 6414/6226/626/6281/6331/6333  (= COST_SIEGE)</t>
        </is>
      </c>
    </row>
    <row r="8">
      <c r="A8" s="61" t="inlineStr">
        <is>
          <t xml:space="preserve">   EBITDA net</t>
        </is>
      </c>
      <c r="B8" s="62" t="inlineStr">
        <is>
          <t>CA − tous coûts  (= MARGE_COMPLETE ; 6811 exclu)</t>
        </is>
      </c>
    </row>
    <row r="9">
      <c r="A9" s="61" t="inlineStr">
        <is>
          <t xml:space="preserve">   Marge %</t>
        </is>
      </c>
      <c r="B9" s="62" t="inlineStr">
        <is>
          <t>EBITDA net ÷ CA  (membre calculé)</t>
        </is>
      </c>
    </row>
    <row r="10">
      <c r="A10" s="63" t="n"/>
      <c r="B10" s="63" t="n"/>
      <c r="C10" s="63" t="n"/>
      <c r="D10" s="63" t="n"/>
      <c r="E10" s="63" t="n"/>
      <c r="F10" s="63" t="n"/>
      <c r="G10" s="63" t="n"/>
      <c r="H10" s="63" t="n"/>
    </row>
    <row r="11">
      <c r="A11" s="10" t="inlineStr">
        <is>
          <t>Marque ▸ Campus ▸ Programme ▸ Année ▸ Modalité</t>
        </is>
      </c>
      <c r="B11" s="11" t="inlineStr">
        <is>
          <t>Effectif</t>
        </is>
      </c>
      <c r="C11" s="11" t="inlineStr">
        <is>
          <t>CA</t>
        </is>
      </c>
      <c r="D11" s="11" t="inlineStr">
        <is>
          <t>EBITDA propre</t>
        </is>
      </c>
      <c r="E11" s="11" t="inlineStr">
        <is>
          <t>Q-part siège</t>
        </is>
      </c>
      <c r="F11" s="11" t="inlineStr">
        <is>
          <t>EBITDA net</t>
        </is>
      </c>
      <c r="G11" s="11" t="inlineStr">
        <is>
          <t>Marge %</t>
        </is>
      </c>
    </row>
    <row r="12">
      <c r="A12" s="64" t="inlineStr">
        <is>
          <t>MBway</t>
        </is>
      </c>
      <c r="B12" s="65" t="n">
        <v>1249</v>
      </c>
      <c r="C12" s="66" t="n">
        <v>9567455</v>
      </c>
      <c r="D12" s="66" t="n">
        <v>3176674</v>
      </c>
      <c r="E12" s="66" t="n">
        <v>1467998</v>
      </c>
      <c r="F12" s="67" t="n">
        <v>1708676</v>
      </c>
      <c r="G12" s="68" t="n">
        <v>0.1785925824284567</v>
      </c>
    </row>
    <row r="13" outlineLevel="1">
      <c r="A13" s="69" t="inlineStr">
        <is>
          <t>Bordeaux</t>
        </is>
      </c>
      <c r="B13" s="70" t="n">
        <v>249</v>
      </c>
      <c r="C13" s="71" t="n">
        <v>1773610</v>
      </c>
      <c r="D13" s="71" t="n">
        <v>655576</v>
      </c>
      <c r="E13" s="71" t="n">
        <v>272137</v>
      </c>
      <c r="F13" s="72" t="n">
        <v>383439</v>
      </c>
      <c r="G13" s="73" t="n">
        <v>0.2161914740917732</v>
      </c>
    </row>
    <row r="14" hidden="1" outlineLevel="2">
      <c r="A14" s="74" t="inlineStr">
        <is>
          <t>BAC_MGT</t>
        </is>
      </c>
      <c r="B14" s="75" t="n">
        <v>148</v>
      </c>
      <c r="C14" s="76" t="n">
        <v>1034245</v>
      </c>
      <c r="D14" s="76" t="n">
        <v>350802</v>
      </c>
      <c r="E14" s="76" t="n">
        <v>161752</v>
      </c>
      <c r="F14" s="77" t="n">
        <v>189050</v>
      </c>
      <c r="G14" s="78" t="n">
        <v>0.1827904309835726</v>
      </c>
    </row>
    <row r="15" hidden="1" outlineLevel="3">
      <c r="A15" s="79" t="inlineStr">
        <is>
          <t>B1</t>
        </is>
      </c>
      <c r="B15" s="75" t="n">
        <v>51</v>
      </c>
      <c r="C15" s="76" t="n">
        <v>375615</v>
      </c>
      <c r="D15" s="76" t="n">
        <v>121994</v>
      </c>
      <c r="E15" s="76" t="n">
        <v>55739</v>
      </c>
      <c r="F15" s="77" t="n">
        <v>66255</v>
      </c>
      <c r="G15" s="78" t="n">
        <v>0.1763900977877877</v>
      </c>
    </row>
    <row r="16" hidden="1" outlineLevel="4">
      <c r="A16" s="80" t="inlineStr">
        <is>
          <t>Initial</t>
        </is>
      </c>
      <c r="B16" s="75" t="n">
        <v>51</v>
      </c>
      <c r="C16" s="76" t="n">
        <v>375615</v>
      </c>
      <c r="D16" s="76" t="n">
        <v>121994</v>
      </c>
      <c r="E16" s="76" t="n">
        <v>55739</v>
      </c>
      <c r="F16" s="77" t="n">
        <v>66255</v>
      </c>
      <c r="G16" s="78" t="n">
        <v>0.1763900977877877</v>
      </c>
    </row>
    <row r="17" hidden="1" outlineLevel="3">
      <c r="A17" s="79" t="inlineStr">
        <is>
          <t>B2</t>
        </is>
      </c>
      <c r="B17" s="75" t="n">
        <v>49</v>
      </c>
      <c r="C17" s="76" t="n">
        <v>332710</v>
      </c>
      <c r="D17" s="76" t="n">
        <v>116372</v>
      </c>
      <c r="E17" s="76" t="n">
        <v>53553</v>
      </c>
      <c r="F17" s="77" t="n">
        <v>62819</v>
      </c>
      <c r="G17" s="78" t="n">
        <v>0.1888093005949026</v>
      </c>
    </row>
    <row r="18" hidden="1" outlineLevel="4">
      <c r="A18" s="80" t="inlineStr">
        <is>
          <t>Alternance</t>
        </is>
      </c>
      <c r="B18" s="75" t="n">
        <v>49</v>
      </c>
      <c r="C18" s="76" t="n">
        <v>332710</v>
      </c>
      <c r="D18" s="76" t="n">
        <v>116372</v>
      </c>
      <c r="E18" s="76" t="n">
        <v>53553</v>
      </c>
      <c r="F18" s="77" t="n">
        <v>62819</v>
      </c>
      <c r="G18" s="78" t="n">
        <v>0.1888093005949026</v>
      </c>
    </row>
    <row r="19" hidden="1" outlineLevel="3">
      <c r="A19" s="79" t="inlineStr">
        <is>
          <t>B3</t>
        </is>
      </c>
      <c r="B19" s="75" t="n">
        <v>48</v>
      </c>
      <c r="C19" s="76" t="n">
        <v>325920</v>
      </c>
      <c r="D19" s="76" t="n">
        <v>112437</v>
      </c>
      <c r="E19" s="76" t="n">
        <v>52460</v>
      </c>
      <c r="F19" s="77" t="n">
        <v>59977</v>
      </c>
      <c r="G19" s="78" t="n">
        <v>0.1840223990890867</v>
      </c>
    </row>
    <row r="20" hidden="1" outlineLevel="4">
      <c r="A20" s="80" t="inlineStr">
        <is>
          <t>Alternance</t>
        </is>
      </c>
      <c r="B20" s="75" t="n">
        <v>48</v>
      </c>
      <c r="C20" s="76" t="n">
        <v>325920</v>
      </c>
      <c r="D20" s="76" t="n">
        <v>112437</v>
      </c>
      <c r="E20" s="76" t="n">
        <v>52460</v>
      </c>
      <c r="F20" s="77" t="n">
        <v>59977</v>
      </c>
      <c r="G20" s="78" t="n">
        <v>0.1840223990890867</v>
      </c>
    </row>
    <row r="21" hidden="1" outlineLevel="2">
      <c r="A21" s="74" t="inlineStr">
        <is>
          <t>MAS_MGT</t>
        </is>
      </c>
      <c r="B21" s="75" t="n">
        <v>101</v>
      </c>
      <c r="C21" s="76" t="n">
        <v>739365</v>
      </c>
      <c r="D21" s="76" t="n">
        <v>304774</v>
      </c>
      <c r="E21" s="76" t="n">
        <v>110385</v>
      </c>
      <c r="F21" s="77" t="n">
        <v>194389</v>
      </c>
      <c r="G21" s="78" t="n">
        <v>0.2629138126247588</v>
      </c>
    </row>
    <row r="22" hidden="1" outlineLevel="3">
      <c r="A22" s="79" t="inlineStr">
        <is>
          <t>M1</t>
        </is>
      </c>
      <c r="B22" s="75" t="n">
        <v>51</v>
      </c>
      <c r="C22" s="76" t="n">
        <v>375615</v>
      </c>
      <c r="D22" s="76" t="n">
        <v>150661</v>
      </c>
      <c r="E22" s="76" t="n">
        <v>55739</v>
      </c>
      <c r="F22" s="77" t="n">
        <v>94922</v>
      </c>
      <c r="G22" s="78" t="n">
        <v>0.2527121296555245</v>
      </c>
    </row>
    <row r="23" hidden="1" outlineLevel="4">
      <c r="A23" s="80" t="inlineStr">
        <is>
          <t>Alternance</t>
        </is>
      </c>
      <c r="B23" s="75" t="n">
        <v>51</v>
      </c>
      <c r="C23" s="76" t="n">
        <v>375615</v>
      </c>
      <c r="D23" s="76" t="n">
        <v>150661</v>
      </c>
      <c r="E23" s="76" t="n">
        <v>55739</v>
      </c>
      <c r="F23" s="77" t="n">
        <v>94922</v>
      </c>
      <c r="G23" s="78" t="n">
        <v>0.2527121296555245</v>
      </c>
    </row>
    <row r="24" hidden="1" outlineLevel="3">
      <c r="A24" s="79" t="inlineStr">
        <is>
          <t>M2</t>
        </is>
      </c>
      <c r="B24" s="75" t="n">
        <v>50</v>
      </c>
      <c r="C24" s="76" t="n">
        <v>363750</v>
      </c>
      <c r="D24" s="76" t="n">
        <v>154113</v>
      </c>
      <c r="E24" s="76" t="n">
        <v>54646</v>
      </c>
      <c r="F24" s="77" t="n">
        <v>99467</v>
      </c>
      <c r="G24" s="78" t="n">
        <v>0.2734482597683709</v>
      </c>
    </row>
    <row r="25" hidden="1" outlineLevel="4">
      <c r="A25" s="80" t="inlineStr">
        <is>
          <t>Alternance</t>
        </is>
      </c>
      <c r="B25" s="75" t="n">
        <v>50</v>
      </c>
      <c r="C25" s="76" t="n">
        <v>363750</v>
      </c>
      <c r="D25" s="76" t="n">
        <v>154113</v>
      </c>
      <c r="E25" s="76" t="n">
        <v>54646</v>
      </c>
      <c r="F25" s="77" t="n">
        <v>99467</v>
      </c>
      <c r="G25" s="78" t="n">
        <v>0.2734482597683709</v>
      </c>
    </row>
    <row r="26" outlineLevel="1">
      <c r="A26" s="69" t="inlineStr">
        <is>
          <t>Lyon</t>
        </is>
      </c>
      <c r="B26" s="70" t="n">
        <v>324</v>
      </c>
      <c r="C26" s="71" t="n">
        <v>2496705</v>
      </c>
      <c r="D26" s="71" t="n">
        <v>956986</v>
      </c>
      <c r="E26" s="71" t="n">
        <v>383086</v>
      </c>
      <c r="F26" s="72" t="n">
        <v>573900</v>
      </c>
      <c r="G26" s="73" t="n">
        <v>0.2298630161977837</v>
      </c>
    </row>
    <row r="27" hidden="1" outlineLevel="2">
      <c r="A27" s="74" t="inlineStr">
        <is>
          <t>BAC_MGT</t>
        </is>
      </c>
      <c r="B27" s="75" t="n">
        <v>193</v>
      </c>
      <c r="C27" s="76" t="n">
        <v>1459140</v>
      </c>
      <c r="D27" s="76" t="n">
        <v>545713</v>
      </c>
      <c r="E27" s="76" t="n">
        <v>228196</v>
      </c>
      <c r="F27" s="77" t="n">
        <v>317517</v>
      </c>
      <c r="G27" s="78" t="n">
        <v>0.2176052657480825</v>
      </c>
    </row>
    <row r="28" hidden="1" outlineLevel="3">
      <c r="A28" s="79" t="inlineStr">
        <is>
          <t>B1</t>
        </is>
      </c>
      <c r="B28" s="75" t="n">
        <v>66</v>
      </c>
      <c r="C28" s="76" t="n">
        <v>525690</v>
      </c>
      <c r="D28" s="76" t="n">
        <v>155626</v>
      </c>
      <c r="E28" s="76" t="n">
        <v>78036</v>
      </c>
      <c r="F28" s="77" t="n">
        <v>77590</v>
      </c>
      <c r="G28" s="78" t="n">
        <v>0.1475958602703101</v>
      </c>
    </row>
    <row r="29" hidden="1" outlineLevel="4">
      <c r="A29" s="80" t="inlineStr">
        <is>
          <t>Initial</t>
        </is>
      </c>
      <c r="B29" s="75" t="n">
        <v>66</v>
      </c>
      <c r="C29" s="76" t="n">
        <v>525690</v>
      </c>
      <c r="D29" s="76" t="n">
        <v>155626</v>
      </c>
      <c r="E29" s="76" t="n">
        <v>78036</v>
      </c>
      <c r="F29" s="77" t="n">
        <v>77590</v>
      </c>
      <c r="G29" s="78" t="n">
        <v>0.1475958602703101</v>
      </c>
    </row>
    <row r="30" hidden="1" outlineLevel="3">
      <c r="A30" s="79" t="inlineStr">
        <is>
          <t>B2</t>
        </is>
      </c>
      <c r="B30" s="75" t="n">
        <v>64</v>
      </c>
      <c r="C30" s="76" t="n">
        <v>470400</v>
      </c>
      <c r="D30" s="76" t="n">
        <v>197209</v>
      </c>
      <c r="E30" s="76" t="n">
        <v>75671</v>
      </c>
      <c r="F30" s="77" t="n">
        <v>121537</v>
      </c>
      <c r="G30" s="78" t="n">
        <v>0.2583703984446492</v>
      </c>
    </row>
    <row r="31" hidden="1" outlineLevel="4">
      <c r="A31" s="80" t="inlineStr">
        <is>
          <t>Alternance</t>
        </is>
      </c>
      <c r="B31" s="75" t="n">
        <v>64</v>
      </c>
      <c r="C31" s="76" t="n">
        <v>470400</v>
      </c>
      <c r="D31" s="76" t="n">
        <v>197209</v>
      </c>
      <c r="E31" s="76" t="n">
        <v>75671</v>
      </c>
      <c r="F31" s="77" t="n">
        <v>121537</v>
      </c>
      <c r="G31" s="78" t="n">
        <v>0.2583703984446492</v>
      </c>
    </row>
    <row r="32" hidden="1" outlineLevel="3">
      <c r="A32" s="79" t="inlineStr">
        <is>
          <t>B3</t>
        </is>
      </c>
      <c r="B32" s="75" t="n">
        <v>63</v>
      </c>
      <c r="C32" s="76" t="n">
        <v>463050</v>
      </c>
      <c r="D32" s="76" t="n">
        <v>192878</v>
      </c>
      <c r="E32" s="76" t="n">
        <v>74489</v>
      </c>
      <c r="F32" s="77" t="n">
        <v>118389</v>
      </c>
      <c r="G32" s="78" t="n">
        <v>0.2556731330305471</v>
      </c>
    </row>
    <row r="33" hidden="1" outlineLevel="4">
      <c r="A33" s="80" t="inlineStr">
        <is>
          <t>Alternance</t>
        </is>
      </c>
      <c r="B33" s="75" t="n">
        <v>63</v>
      </c>
      <c r="C33" s="76" t="n">
        <v>463050</v>
      </c>
      <c r="D33" s="76" t="n">
        <v>192878</v>
      </c>
      <c r="E33" s="76" t="n">
        <v>74489</v>
      </c>
      <c r="F33" s="77" t="n">
        <v>118389</v>
      </c>
      <c r="G33" s="78" t="n">
        <v>0.2556731330305471</v>
      </c>
    </row>
    <row r="34" hidden="1" outlineLevel="2">
      <c r="A34" s="74" t="inlineStr">
        <is>
          <t>MAS_MGT</t>
        </is>
      </c>
      <c r="B34" s="75" t="n">
        <v>131</v>
      </c>
      <c r="C34" s="76" t="n">
        <v>1037565</v>
      </c>
      <c r="D34" s="76" t="n">
        <v>411273</v>
      </c>
      <c r="E34" s="76" t="n">
        <v>154890</v>
      </c>
      <c r="F34" s="77" t="n">
        <v>256384</v>
      </c>
      <c r="G34" s="78" t="n">
        <v>0.2471012364453605</v>
      </c>
    </row>
    <row r="35" hidden="1" outlineLevel="3">
      <c r="A35" s="79" t="inlineStr">
        <is>
          <t>M1</t>
        </is>
      </c>
      <c r="B35" s="75" t="n">
        <v>66</v>
      </c>
      <c r="C35" s="76" t="n">
        <v>525690</v>
      </c>
      <c r="D35" s="76" t="n">
        <v>200589</v>
      </c>
      <c r="E35" s="76" t="n">
        <v>78036</v>
      </c>
      <c r="F35" s="77" t="n">
        <v>122553</v>
      </c>
      <c r="G35" s="78" t="n">
        <v>0.2331270193184183</v>
      </c>
    </row>
    <row r="36" hidden="1" outlineLevel="4">
      <c r="A36" s="80" t="inlineStr">
        <is>
          <t>Alternance</t>
        </is>
      </c>
      <c r="B36" s="75" t="n">
        <v>66</v>
      </c>
      <c r="C36" s="76" t="n">
        <v>525690</v>
      </c>
      <c r="D36" s="76" t="n">
        <v>200589</v>
      </c>
      <c r="E36" s="76" t="n">
        <v>78036</v>
      </c>
      <c r="F36" s="77" t="n">
        <v>122553</v>
      </c>
      <c r="G36" s="78" t="n">
        <v>0.2331270193184183</v>
      </c>
    </row>
    <row r="37" hidden="1" outlineLevel="3">
      <c r="A37" s="79" t="inlineStr">
        <is>
          <t>M2</t>
        </is>
      </c>
      <c r="B37" s="75" t="n">
        <v>65</v>
      </c>
      <c r="C37" s="76" t="n">
        <v>511875</v>
      </c>
      <c r="D37" s="76" t="n">
        <v>210685</v>
      </c>
      <c r="E37" s="76" t="n">
        <v>76854</v>
      </c>
      <c r="F37" s="77" t="n">
        <v>133831</v>
      </c>
      <c r="G37" s="78" t="n">
        <v>0.2614526038719046</v>
      </c>
    </row>
    <row r="38" hidden="1" outlineLevel="4">
      <c r="A38" s="80" t="inlineStr">
        <is>
          <t>Alternance</t>
        </is>
      </c>
      <c r="B38" s="75" t="n">
        <v>65</v>
      </c>
      <c r="C38" s="76" t="n">
        <v>511875</v>
      </c>
      <c r="D38" s="76" t="n">
        <v>210685</v>
      </c>
      <c r="E38" s="76" t="n">
        <v>76854</v>
      </c>
      <c r="F38" s="77" t="n">
        <v>133831</v>
      </c>
      <c r="G38" s="78" t="n">
        <v>0.2614526038719046</v>
      </c>
    </row>
    <row r="39" outlineLevel="1">
      <c r="A39" s="69" t="inlineStr">
        <is>
          <t>Nantes</t>
        </is>
      </c>
      <c r="B39" s="70" t="n">
        <v>294</v>
      </c>
      <c r="C39" s="71" t="n">
        <v>2158300</v>
      </c>
      <c r="D39" s="71" t="n">
        <v>874770</v>
      </c>
      <c r="E39" s="71" t="n">
        <v>331162</v>
      </c>
      <c r="F39" s="72" t="n">
        <v>543608</v>
      </c>
      <c r="G39" s="73" t="n">
        <v>0.2518685285767535</v>
      </c>
    </row>
    <row r="40" hidden="1" outlineLevel="2">
      <c r="A40" s="74" t="inlineStr">
        <is>
          <t>BAC_MGT</t>
        </is>
      </c>
      <c r="B40" s="75" t="n">
        <v>175</v>
      </c>
      <c r="C40" s="76" t="n">
        <v>1260400</v>
      </c>
      <c r="D40" s="76" t="n">
        <v>518055</v>
      </c>
      <c r="E40" s="76" t="n">
        <v>197120</v>
      </c>
      <c r="F40" s="77" t="n">
        <v>320935</v>
      </c>
      <c r="G40" s="78" t="n">
        <v>0.254629182121454</v>
      </c>
    </row>
    <row r="41" hidden="1" outlineLevel="3">
      <c r="A41" s="79" t="inlineStr">
        <is>
          <t>B1</t>
        </is>
      </c>
      <c r="B41" s="75" t="n">
        <v>60</v>
      </c>
      <c r="C41" s="76" t="n">
        <v>455400</v>
      </c>
      <c r="D41" s="76" t="n">
        <v>180270</v>
      </c>
      <c r="E41" s="76" t="n">
        <v>67584</v>
      </c>
      <c r="F41" s="77" t="n">
        <v>112686</v>
      </c>
      <c r="G41" s="78" t="n">
        <v>0.2474444722449507</v>
      </c>
    </row>
    <row r="42" hidden="1" outlineLevel="4">
      <c r="A42" s="80" t="inlineStr">
        <is>
          <t>Initial</t>
        </is>
      </c>
      <c r="B42" s="75" t="n">
        <v>60</v>
      </c>
      <c r="C42" s="76" t="n">
        <v>455400</v>
      </c>
      <c r="D42" s="76" t="n">
        <v>180270</v>
      </c>
      <c r="E42" s="76" t="n">
        <v>67584</v>
      </c>
      <c r="F42" s="77" t="n">
        <v>112686</v>
      </c>
      <c r="G42" s="78" t="n">
        <v>0.2474444722449507</v>
      </c>
    </row>
    <row r="43" hidden="1" outlineLevel="3">
      <c r="A43" s="79" t="inlineStr">
        <is>
          <t>B2</t>
        </is>
      </c>
      <c r="B43" s="75" t="n">
        <v>58</v>
      </c>
      <c r="C43" s="76" t="n">
        <v>406000</v>
      </c>
      <c r="D43" s="76" t="n">
        <v>171018</v>
      </c>
      <c r="E43" s="76" t="n">
        <v>65331</v>
      </c>
      <c r="F43" s="77" t="n">
        <v>105686</v>
      </c>
      <c r="G43" s="78" t="n">
        <v>0.2603113708487192</v>
      </c>
    </row>
    <row r="44" hidden="1" outlineLevel="4">
      <c r="A44" s="80" t="inlineStr">
        <is>
          <t>Alternance</t>
        </is>
      </c>
      <c r="B44" s="75" t="n">
        <v>58</v>
      </c>
      <c r="C44" s="76" t="n">
        <v>406000</v>
      </c>
      <c r="D44" s="76" t="n">
        <v>171018</v>
      </c>
      <c r="E44" s="76" t="n">
        <v>65331</v>
      </c>
      <c r="F44" s="77" t="n">
        <v>105686</v>
      </c>
      <c r="G44" s="78" t="n">
        <v>0.2603113708487192</v>
      </c>
    </row>
    <row r="45" hidden="1" outlineLevel="3">
      <c r="A45" s="79" t="inlineStr">
        <is>
          <t>B3</t>
        </is>
      </c>
      <c r="B45" s="75" t="n">
        <v>57</v>
      </c>
      <c r="C45" s="76" t="n">
        <v>399000</v>
      </c>
      <c r="D45" s="76" t="n">
        <v>166767</v>
      </c>
      <c r="E45" s="76" t="n">
        <v>64205</v>
      </c>
      <c r="F45" s="77" t="n">
        <v>102562</v>
      </c>
      <c r="G45" s="78" t="n">
        <v>0.2570475987993735</v>
      </c>
    </row>
    <row r="46" hidden="1" outlineLevel="4">
      <c r="A46" s="80" t="inlineStr">
        <is>
          <t>Alternance</t>
        </is>
      </c>
      <c r="B46" s="75" t="n">
        <v>57</v>
      </c>
      <c r="C46" s="76" t="n">
        <v>399000</v>
      </c>
      <c r="D46" s="76" t="n">
        <v>166767</v>
      </c>
      <c r="E46" s="76" t="n">
        <v>64205</v>
      </c>
      <c r="F46" s="77" t="n">
        <v>102562</v>
      </c>
      <c r="G46" s="78" t="n">
        <v>0.2570475987993735</v>
      </c>
    </row>
    <row r="47" hidden="1" outlineLevel="2">
      <c r="A47" s="74" t="inlineStr">
        <is>
          <t>MAS_MGT</t>
        </is>
      </c>
      <c r="B47" s="75" t="n">
        <v>119</v>
      </c>
      <c r="C47" s="76" t="n">
        <v>897900</v>
      </c>
      <c r="D47" s="76" t="n">
        <v>356715</v>
      </c>
      <c r="E47" s="76" t="n">
        <v>134042</v>
      </c>
      <c r="F47" s="77" t="n">
        <v>222673</v>
      </c>
      <c r="G47" s="78" t="n">
        <v>0.247993344561005</v>
      </c>
    </row>
    <row r="48" hidden="1" outlineLevel="3">
      <c r="A48" s="79" t="inlineStr">
        <is>
          <t>M1</t>
        </is>
      </c>
      <c r="B48" s="75" t="n">
        <v>60</v>
      </c>
      <c r="C48" s="76" t="n">
        <v>455400</v>
      </c>
      <c r="D48" s="76" t="n">
        <v>175550</v>
      </c>
      <c r="E48" s="76" t="n">
        <v>67584</v>
      </c>
      <c r="F48" s="77" t="n">
        <v>107966</v>
      </c>
      <c r="G48" s="78" t="n">
        <v>0.2370785559123368</v>
      </c>
    </row>
    <row r="49" hidden="1" outlineLevel="4">
      <c r="A49" s="80" t="inlineStr">
        <is>
          <t>Alternance</t>
        </is>
      </c>
      <c r="B49" s="75" t="n">
        <v>60</v>
      </c>
      <c r="C49" s="76" t="n">
        <v>455400</v>
      </c>
      <c r="D49" s="76" t="n">
        <v>175550</v>
      </c>
      <c r="E49" s="76" t="n">
        <v>67584</v>
      </c>
      <c r="F49" s="77" t="n">
        <v>107966</v>
      </c>
      <c r="G49" s="78" t="n">
        <v>0.2370785559123368</v>
      </c>
    </row>
    <row r="50" hidden="1" outlineLevel="3">
      <c r="A50" s="79" t="inlineStr">
        <is>
          <t>M2</t>
        </is>
      </c>
      <c r="B50" s="75" t="n">
        <v>59</v>
      </c>
      <c r="C50" s="76" t="n">
        <v>442500</v>
      </c>
      <c r="D50" s="76" t="n">
        <v>181165</v>
      </c>
      <c r="E50" s="76" t="n">
        <v>66458</v>
      </c>
      <c r="F50" s="77" t="n">
        <v>114708</v>
      </c>
      <c r="G50" s="78" t="n">
        <v>0.2592263270482446</v>
      </c>
    </row>
    <row r="51" hidden="1" outlineLevel="4">
      <c r="A51" s="80" t="inlineStr">
        <is>
          <t>Alternance</t>
        </is>
      </c>
      <c r="B51" s="75" t="n">
        <v>59</v>
      </c>
      <c r="C51" s="76" t="n">
        <v>442500</v>
      </c>
      <c r="D51" s="76" t="n">
        <v>181165</v>
      </c>
      <c r="E51" s="76" t="n">
        <v>66458</v>
      </c>
      <c r="F51" s="77" t="n">
        <v>114708</v>
      </c>
      <c r="G51" s="78" t="n">
        <v>0.2592263270482446</v>
      </c>
    </row>
    <row r="52" outlineLevel="1">
      <c r="A52" s="69" t="inlineStr">
        <is>
          <t>Paris</t>
        </is>
      </c>
      <c r="B52" s="70" t="n">
        <v>382</v>
      </c>
      <c r="C52" s="71" t="n">
        <v>3138840</v>
      </c>
      <c r="D52" s="71" t="n">
        <v>689342</v>
      </c>
      <c r="E52" s="71" t="n">
        <v>481613</v>
      </c>
      <c r="F52" s="72" t="n">
        <v>207729</v>
      </c>
      <c r="G52" s="73" t="n">
        <v>0.06618022845090719</v>
      </c>
    </row>
    <row r="53" hidden="1" outlineLevel="2">
      <c r="A53" s="74" t="inlineStr">
        <is>
          <t>BAC_MGT</t>
        </is>
      </c>
      <c r="B53" s="75" t="n">
        <v>228</v>
      </c>
      <c r="C53" s="76" t="n">
        <v>1838220</v>
      </c>
      <c r="D53" s="76" t="n">
        <v>341046</v>
      </c>
      <c r="E53" s="76" t="n">
        <v>287455</v>
      </c>
      <c r="F53" s="81" t="n">
        <v>53591</v>
      </c>
      <c r="G53" s="82" t="n">
        <v>0.02915369245173039</v>
      </c>
    </row>
    <row r="54" hidden="1" outlineLevel="3">
      <c r="A54" s="79" t="inlineStr">
        <is>
          <t>B1</t>
        </is>
      </c>
      <c r="B54" s="75" t="n">
        <v>78</v>
      </c>
      <c r="C54" s="76" t="n">
        <v>662220</v>
      </c>
      <c r="D54" s="76" t="n">
        <v>105838</v>
      </c>
      <c r="E54" s="76" t="n">
        <v>98340</v>
      </c>
      <c r="F54" s="81" t="n">
        <v>7498</v>
      </c>
      <c r="G54" s="82" t="n">
        <v>0.01132289503893838</v>
      </c>
    </row>
    <row r="55" hidden="1" outlineLevel="4">
      <c r="A55" s="80" t="inlineStr">
        <is>
          <t>Initial</t>
        </is>
      </c>
      <c r="B55" s="75" t="n">
        <v>78</v>
      </c>
      <c r="C55" s="76" t="n">
        <v>662220</v>
      </c>
      <c r="D55" s="76" t="n">
        <v>105838</v>
      </c>
      <c r="E55" s="76" t="n">
        <v>98340</v>
      </c>
      <c r="F55" s="81" t="n">
        <v>7498</v>
      </c>
      <c r="G55" s="82" t="n">
        <v>0.01132289503893838</v>
      </c>
    </row>
    <row r="56" hidden="1" outlineLevel="3">
      <c r="A56" s="79" t="inlineStr">
        <is>
          <t>B2</t>
        </is>
      </c>
      <c r="B56" s="75" t="n">
        <v>76</v>
      </c>
      <c r="C56" s="76" t="n">
        <v>595840</v>
      </c>
      <c r="D56" s="76" t="n">
        <v>121269</v>
      </c>
      <c r="E56" s="76" t="n">
        <v>95818</v>
      </c>
      <c r="F56" s="81" t="n">
        <v>25450</v>
      </c>
      <c r="G56" s="82" t="n">
        <v>0.04271348043021603</v>
      </c>
    </row>
    <row r="57" hidden="1" outlineLevel="4">
      <c r="A57" s="80" t="inlineStr">
        <is>
          <t>Alternance</t>
        </is>
      </c>
      <c r="B57" s="75" t="n">
        <v>76</v>
      </c>
      <c r="C57" s="76" t="n">
        <v>595840</v>
      </c>
      <c r="D57" s="76" t="n">
        <v>121269</v>
      </c>
      <c r="E57" s="76" t="n">
        <v>95818</v>
      </c>
      <c r="F57" s="81" t="n">
        <v>25450</v>
      </c>
      <c r="G57" s="82" t="n">
        <v>0.04271348043021603</v>
      </c>
    </row>
    <row r="58" hidden="1" outlineLevel="3">
      <c r="A58" s="79" t="inlineStr">
        <is>
          <t>B3</t>
        </is>
      </c>
      <c r="B58" s="75" t="n">
        <v>74</v>
      </c>
      <c r="C58" s="76" t="n">
        <v>580160</v>
      </c>
      <c r="D58" s="76" t="n">
        <v>113939</v>
      </c>
      <c r="E58" s="76" t="n">
        <v>93297</v>
      </c>
      <c r="F58" s="81" t="n">
        <v>20642</v>
      </c>
      <c r="G58" s="82" t="n">
        <v>0.03558027579701142</v>
      </c>
    </row>
    <row r="59" hidden="1" outlineLevel="4">
      <c r="A59" s="80" t="inlineStr">
        <is>
          <t>Alternance</t>
        </is>
      </c>
      <c r="B59" s="75" t="n">
        <v>74</v>
      </c>
      <c r="C59" s="76" t="n">
        <v>580160</v>
      </c>
      <c r="D59" s="76" t="n">
        <v>113939</v>
      </c>
      <c r="E59" s="76" t="n">
        <v>93297</v>
      </c>
      <c r="F59" s="81" t="n">
        <v>20642</v>
      </c>
      <c r="G59" s="82" t="n">
        <v>0.03558027579701142</v>
      </c>
    </row>
    <row r="60" hidden="1" outlineLevel="2">
      <c r="A60" s="74" t="inlineStr">
        <is>
          <t>MAS_MGT</t>
        </is>
      </c>
      <c r="B60" s="75" t="n">
        <v>154</v>
      </c>
      <c r="C60" s="76" t="n">
        <v>1300620</v>
      </c>
      <c r="D60" s="76" t="n">
        <v>348296</v>
      </c>
      <c r="E60" s="76" t="n">
        <v>194158</v>
      </c>
      <c r="F60" s="77" t="n">
        <v>154138</v>
      </c>
      <c r="G60" s="78" t="n">
        <v>0.1185113620674953</v>
      </c>
    </row>
    <row r="61" hidden="1" outlineLevel="3">
      <c r="A61" s="79" t="inlineStr">
        <is>
          <t>M1</t>
        </is>
      </c>
      <c r="B61" s="75" t="n">
        <v>78</v>
      </c>
      <c r="C61" s="76" t="n">
        <v>662220</v>
      </c>
      <c r="D61" s="76" t="n">
        <v>164810</v>
      </c>
      <c r="E61" s="76" t="n">
        <v>98340</v>
      </c>
      <c r="F61" s="77" t="n">
        <v>66470</v>
      </c>
      <c r="G61" s="78" t="n">
        <v>0.1003751737378601</v>
      </c>
    </row>
    <row r="62" hidden="1" outlineLevel="4">
      <c r="A62" s="80" t="inlineStr">
        <is>
          <t>Alternance</t>
        </is>
      </c>
      <c r="B62" s="75" t="n">
        <v>78</v>
      </c>
      <c r="C62" s="76" t="n">
        <v>662220</v>
      </c>
      <c r="D62" s="76" t="n">
        <v>164810</v>
      </c>
      <c r="E62" s="76" t="n">
        <v>98340</v>
      </c>
      <c r="F62" s="77" t="n">
        <v>66470</v>
      </c>
      <c r="G62" s="78" t="n">
        <v>0.1003751737378601</v>
      </c>
    </row>
    <row r="63" hidden="1" outlineLevel="3">
      <c r="A63" s="79" t="inlineStr">
        <is>
          <t>M2</t>
        </is>
      </c>
      <c r="B63" s="75" t="n">
        <v>76</v>
      </c>
      <c r="C63" s="76" t="n">
        <v>638400</v>
      </c>
      <c r="D63" s="76" t="n">
        <v>183486</v>
      </c>
      <c r="E63" s="76" t="n">
        <v>95818</v>
      </c>
      <c r="F63" s="77" t="n">
        <v>87668</v>
      </c>
      <c r="G63" s="78" t="n">
        <v>0.137324248401535</v>
      </c>
    </row>
    <row r="64" hidden="1" outlineLevel="4">
      <c r="A64" s="80" t="inlineStr">
        <is>
          <t>Alternance</t>
        </is>
      </c>
      <c r="B64" s="75" t="n">
        <v>76</v>
      </c>
      <c r="C64" s="76" t="n">
        <v>638400</v>
      </c>
      <c r="D64" s="76" t="n">
        <v>183486</v>
      </c>
      <c r="E64" s="76" t="n">
        <v>95818</v>
      </c>
      <c r="F64" s="77" t="n">
        <v>87668</v>
      </c>
      <c r="G64" s="78" t="n">
        <v>0.137324248401535</v>
      </c>
    </row>
    <row r="65">
      <c r="A65" s="64" t="inlineStr">
        <is>
          <t>Iscom</t>
        </is>
      </c>
      <c r="B65" s="65" t="n">
        <v>829</v>
      </c>
      <c r="C65" s="66" t="n">
        <v>6292550</v>
      </c>
      <c r="D65" s="66" t="n">
        <v>1976427</v>
      </c>
      <c r="E65" s="66" t="n">
        <v>974355</v>
      </c>
      <c r="F65" s="67" t="n">
        <v>1002072</v>
      </c>
      <c r="G65" s="68" t="n">
        <v>0.1592472957412916</v>
      </c>
    </row>
    <row r="66" outlineLevel="1">
      <c r="A66" s="69" t="inlineStr">
        <is>
          <t>Lille</t>
        </is>
      </c>
      <c r="B66" s="70" t="n">
        <v>244</v>
      </c>
      <c r="C66" s="71" t="n">
        <v>1755850</v>
      </c>
      <c r="D66" s="71" t="n">
        <v>755658</v>
      </c>
      <c r="E66" s="71" t="n">
        <v>271881</v>
      </c>
      <c r="F66" s="72" t="n">
        <v>483777</v>
      </c>
      <c r="G66" s="73" t="n">
        <v>0.2755232200694355</v>
      </c>
    </row>
    <row r="67" hidden="1" outlineLevel="2">
      <c r="A67" s="74" t="inlineStr">
        <is>
          <t>BAC_COM</t>
        </is>
      </c>
      <c r="B67" s="75" t="n">
        <v>145</v>
      </c>
      <c r="C67" s="76" t="n">
        <v>1023700</v>
      </c>
      <c r="D67" s="76" t="n">
        <v>412201</v>
      </c>
      <c r="E67" s="76" t="n">
        <v>161568</v>
      </c>
      <c r="F67" s="77" t="n">
        <v>250632</v>
      </c>
      <c r="G67" s="78" t="n">
        <v>0.2448297371317927</v>
      </c>
    </row>
    <row r="68" hidden="1" outlineLevel="3">
      <c r="A68" s="79" t="inlineStr">
        <is>
          <t>B1</t>
        </is>
      </c>
      <c r="B68" s="75" t="n">
        <v>50</v>
      </c>
      <c r="C68" s="76" t="n">
        <v>372000</v>
      </c>
      <c r="D68" s="76" t="n">
        <v>143828</v>
      </c>
      <c r="E68" s="76" t="n">
        <v>55713</v>
      </c>
      <c r="F68" s="77" t="n">
        <v>88115</v>
      </c>
      <c r="G68" s="78" t="n">
        <v>0.2368685362456584</v>
      </c>
    </row>
    <row r="69" hidden="1" outlineLevel="4">
      <c r="A69" s="80" t="inlineStr">
        <is>
          <t>Initial</t>
        </is>
      </c>
      <c r="B69" s="75" t="n">
        <v>50</v>
      </c>
      <c r="C69" s="76" t="n">
        <v>372000</v>
      </c>
      <c r="D69" s="76" t="n">
        <v>143828</v>
      </c>
      <c r="E69" s="76" t="n">
        <v>55713</v>
      </c>
      <c r="F69" s="77" t="n">
        <v>88115</v>
      </c>
      <c r="G69" s="78" t="n">
        <v>0.2368685362456584</v>
      </c>
    </row>
    <row r="70" hidden="1" outlineLevel="3">
      <c r="A70" s="79" t="inlineStr">
        <is>
          <t>B2</t>
        </is>
      </c>
      <c r="B70" s="75" t="n">
        <v>48</v>
      </c>
      <c r="C70" s="76" t="n">
        <v>329280</v>
      </c>
      <c r="D70" s="76" t="n">
        <v>136335</v>
      </c>
      <c r="E70" s="76" t="n">
        <v>53485</v>
      </c>
      <c r="F70" s="77" t="n">
        <v>82850</v>
      </c>
      <c r="G70" s="78" t="n">
        <v>0.2516109440720648</v>
      </c>
    </row>
    <row r="71" hidden="1" outlineLevel="4">
      <c r="A71" s="80" t="inlineStr">
        <is>
          <t>Alternance</t>
        </is>
      </c>
      <c r="B71" s="75" t="n">
        <v>48</v>
      </c>
      <c r="C71" s="76" t="n">
        <v>329280</v>
      </c>
      <c r="D71" s="76" t="n">
        <v>136335</v>
      </c>
      <c r="E71" s="76" t="n">
        <v>53485</v>
      </c>
      <c r="F71" s="77" t="n">
        <v>82850</v>
      </c>
      <c r="G71" s="78" t="n">
        <v>0.2516109440720648</v>
      </c>
    </row>
    <row r="72" hidden="1" outlineLevel="3">
      <c r="A72" s="79" t="inlineStr">
        <is>
          <t>B3</t>
        </is>
      </c>
      <c r="B72" s="75" t="n">
        <v>47</v>
      </c>
      <c r="C72" s="76" t="n">
        <v>322420</v>
      </c>
      <c r="D72" s="76" t="n">
        <v>132037</v>
      </c>
      <c r="E72" s="76" t="n">
        <v>52370</v>
      </c>
      <c r="F72" s="77" t="n">
        <v>79667</v>
      </c>
      <c r="G72" s="78" t="n">
        <v>0.2470896803994225</v>
      </c>
    </row>
    <row r="73" hidden="1" outlineLevel="4">
      <c r="A73" s="80" t="inlineStr">
        <is>
          <t>Alternance</t>
        </is>
      </c>
      <c r="B73" s="75" t="n">
        <v>47</v>
      </c>
      <c r="C73" s="76" t="n">
        <v>322420</v>
      </c>
      <c r="D73" s="76" t="n">
        <v>132037</v>
      </c>
      <c r="E73" s="76" t="n">
        <v>52370</v>
      </c>
      <c r="F73" s="77" t="n">
        <v>79667</v>
      </c>
      <c r="G73" s="78" t="n">
        <v>0.2470896803994225</v>
      </c>
    </row>
    <row r="74" hidden="1" outlineLevel="2">
      <c r="A74" s="74" t="inlineStr">
        <is>
          <t>MAS_COM</t>
        </is>
      </c>
      <c r="B74" s="75" t="n">
        <v>99</v>
      </c>
      <c r="C74" s="76" t="n">
        <v>732150</v>
      </c>
      <c r="D74" s="76" t="n">
        <v>343457</v>
      </c>
      <c r="E74" s="76" t="n">
        <v>110312</v>
      </c>
      <c r="F74" s="77" t="n">
        <v>233145</v>
      </c>
      <c r="G74" s="78" t="n">
        <v>0.3184391778421117</v>
      </c>
    </row>
    <row r="75" hidden="1" outlineLevel="3">
      <c r="A75" s="79" t="inlineStr">
        <is>
          <t>M1</t>
        </is>
      </c>
      <c r="B75" s="75" t="n">
        <v>50</v>
      </c>
      <c r="C75" s="76" t="n">
        <v>372000</v>
      </c>
      <c r="D75" s="76" t="n">
        <v>170068</v>
      </c>
      <c r="E75" s="76" t="n">
        <v>55713</v>
      </c>
      <c r="F75" s="77" t="n">
        <v>114355</v>
      </c>
      <c r="G75" s="78" t="n">
        <v>0.3074046249553358</v>
      </c>
    </row>
    <row r="76" hidden="1" outlineLevel="4">
      <c r="A76" s="80" t="inlineStr">
        <is>
          <t>Alternance</t>
        </is>
      </c>
      <c r="B76" s="75" t="n">
        <v>50</v>
      </c>
      <c r="C76" s="76" t="n">
        <v>372000</v>
      </c>
      <c r="D76" s="76" t="n">
        <v>170068</v>
      </c>
      <c r="E76" s="76" t="n">
        <v>55713</v>
      </c>
      <c r="F76" s="77" t="n">
        <v>114355</v>
      </c>
      <c r="G76" s="78" t="n">
        <v>0.3074046249553358</v>
      </c>
    </row>
    <row r="77" hidden="1" outlineLevel="3">
      <c r="A77" s="79" t="inlineStr">
        <is>
          <t>M2</t>
        </is>
      </c>
      <c r="B77" s="75" t="n">
        <v>49</v>
      </c>
      <c r="C77" s="76" t="n">
        <v>360150</v>
      </c>
      <c r="D77" s="76" t="n">
        <v>173390</v>
      </c>
      <c r="E77" s="76" t="n">
        <v>54599</v>
      </c>
      <c r="F77" s="77" t="n">
        <v>118791</v>
      </c>
      <c r="G77" s="78" t="n">
        <v>0.3298368001491523</v>
      </c>
    </row>
    <row r="78" hidden="1" outlineLevel="4">
      <c r="A78" s="80" t="inlineStr">
        <is>
          <t>Alternance</t>
        </is>
      </c>
      <c r="B78" s="75" t="n">
        <v>49</v>
      </c>
      <c r="C78" s="76" t="n">
        <v>360150</v>
      </c>
      <c r="D78" s="76" t="n">
        <v>173390</v>
      </c>
      <c r="E78" s="76" t="n">
        <v>54599</v>
      </c>
      <c r="F78" s="77" t="n">
        <v>118791</v>
      </c>
      <c r="G78" s="78" t="n">
        <v>0.3298368001491523</v>
      </c>
    </row>
    <row r="79" outlineLevel="1">
      <c r="A79" s="69" t="inlineStr">
        <is>
          <t>Paris</t>
        </is>
      </c>
      <c r="B79" s="70" t="n">
        <v>354</v>
      </c>
      <c r="C79" s="71" t="n">
        <v>2908720</v>
      </c>
      <c r="D79" s="71" t="n">
        <v>549694</v>
      </c>
      <c r="E79" s="71" t="n">
        <v>450394</v>
      </c>
      <c r="F79" s="83" t="n">
        <v>99300</v>
      </c>
      <c r="G79" s="84" t="n">
        <v>0.03413870805884781</v>
      </c>
    </row>
    <row r="80" hidden="1" outlineLevel="2">
      <c r="A80" s="74" t="inlineStr">
        <is>
          <t>BAC_COM</t>
        </is>
      </c>
      <c r="B80" s="75" t="n">
        <v>211</v>
      </c>
      <c r="C80" s="76" t="n">
        <v>1701040</v>
      </c>
      <c r="D80" s="76" t="n">
        <v>258369</v>
      </c>
      <c r="E80" s="76" t="n">
        <v>268455</v>
      </c>
      <c r="F80" s="81" t="n">
        <v>-10086</v>
      </c>
      <c r="G80" s="82" t="n">
        <v>-0.005929449420008155</v>
      </c>
    </row>
    <row r="81" hidden="1" outlineLevel="3">
      <c r="A81" s="79" t="inlineStr">
        <is>
          <t>B1</t>
        </is>
      </c>
      <c r="B81" s="75" t="n">
        <v>72</v>
      </c>
      <c r="C81" s="76" t="n">
        <v>611280</v>
      </c>
      <c r="D81" s="76" t="n">
        <v>76795</v>
      </c>
      <c r="E81" s="76" t="n">
        <v>91606</v>
      </c>
      <c r="F81" s="81" t="n">
        <v>-14811</v>
      </c>
      <c r="G81" s="82" t="n">
        <v>-0.02422908875681863</v>
      </c>
    </row>
    <row r="82" hidden="1" outlineLevel="4">
      <c r="A82" s="80" t="inlineStr">
        <is>
          <t>Initial</t>
        </is>
      </c>
      <c r="B82" s="75" t="n">
        <v>72</v>
      </c>
      <c r="C82" s="76" t="n">
        <v>611280</v>
      </c>
      <c r="D82" s="76" t="n">
        <v>76795</v>
      </c>
      <c r="E82" s="76" t="n">
        <v>91606</v>
      </c>
      <c r="F82" s="81" t="n">
        <v>-14811</v>
      </c>
      <c r="G82" s="82" t="n">
        <v>-0.02422908875681863</v>
      </c>
    </row>
    <row r="83" hidden="1" outlineLevel="3">
      <c r="A83" s="79" t="inlineStr">
        <is>
          <t>B2</t>
        </is>
      </c>
      <c r="B83" s="75" t="n">
        <v>70</v>
      </c>
      <c r="C83" s="76" t="n">
        <v>548800</v>
      </c>
      <c r="D83" s="76" t="n">
        <v>92572</v>
      </c>
      <c r="E83" s="76" t="n">
        <v>89061</v>
      </c>
      <c r="F83" s="81" t="n">
        <v>3511</v>
      </c>
      <c r="G83" s="82" t="n">
        <v>0.006396900908326091</v>
      </c>
    </row>
    <row r="84" hidden="1" outlineLevel="4">
      <c r="A84" s="80" t="inlineStr">
        <is>
          <t>Alternance</t>
        </is>
      </c>
      <c r="B84" s="75" t="n">
        <v>70</v>
      </c>
      <c r="C84" s="76" t="n">
        <v>548800</v>
      </c>
      <c r="D84" s="76" t="n">
        <v>92572</v>
      </c>
      <c r="E84" s="76" t="n">
        <v>89061</v>
      </c>
      <c r="F84" s="81" t="n">
        <v>3511</v>
      </c>
      <c r="G84" s="82" t="n">
        <v>0.006396900908326091</v>
      </c>
    </row>
    <row r="85" hidden="1" outlineLevel="3">
      <c r="A85" s="79" t="inlineStr">
        <is>
          <t>B3</t>
        </is>
      </c>
      <c r="B85" s="75" t="n">
        <v>69</v>
      </c>
      <c r="C85" s="76" t="n">
        <v>540960</v>
      </c>
      <c r="D85" s="76" t="n">
        <v>89003</v>
      </c>
      <c r="E85" s="76" t="n">
        <v>87789</v>
      </c>
      <c r="F85" s="81" t="n">
        <v>1214</v>
      </c>
      <c r="G85" s="82" t="n">
        <v>0.002243987569077308</v>
      </c>
    </row>
    <row r="86" hidden="1" outlineLevel="4">
      <c r="A86" s="80" t="inlineStr">
        <is>
          <t>Alternance</t>
        </is>
      </c>
      <c r="B86" s="75" t="n">
        <v>69</v>
      </c>
      <c r="C86" s="76" t="n">
        <v>540960</v>
      </c>
      <c r="D86" s="76" t="n">
        <v>89003</v>
      </c>
      <c r="E86" s="76" t="n">
        <v>87789</v>
      </c>
      <c r="F86" s="81" t="n">
        <v>1214</v>
      </c>
      <c r="G86" s="82" t="n">
        <v>0.002243987569077308</v>
      </c>
    </row>
    <row r="87" hidden="1" outlineLevel="2">
      <c r="A87" s="74" t="inlineStr">
        <is>
          <t>MAS_COM</t>
        </is>
      </c>
      <c r="B87" s="75" t="n">
        <v>143</v>
      </c>
      <c r="C87" s="76" t="n">
        <v>1207680</v>
      </c>
      <c r="D87" s="76" t="n">
        <v>291325</v>
      </c>
      <c r="E87" s="76" t="n">
        <v>181939</v>
      </c>
      <c r="F87" s="77" t="n">
        <v>109386</v>
      </c>
      <c r="G87" s="78" t="n">
        <v>0.09057546166728148</v>
      </c>
    </row>
    <row r="88" hidden="1" outlineLevel="3">
      <c r="A88" s="79" t="inlineStr">
        <is>
          <t>M1</t>
        </is>
      </c>
      <c r="B88" s="75" t="n">
        <v>72</v>
      </c>
      <c r="C88" s="76" t="n">
        <v>611280</v>
      </c>
      <c r="D88" s="76" t="n">
        <v>135767</v>
      </c>
      <c r="E88" s="76" t="n">
        <v>91606</v>
      </c>
      <c r="F88" s="77" t="n">
        <v>44161</v>
      </c>
      <c r="G88" s="78" t="n">
        <v>0.07224421316701335</v>
      </c>
    </row>
    <row r="89" hidden="1" outlineLevel="4">
      <c r="A89" s="80" t="inlineStr">
        <is>
          <t>Alternance</t>
        </is>
      </c>
      <c r="B89" s="75" t="n">
        <v>72</v>
      </c>
      <c r="C89" s="76" t="n">
        <v>611280</v>
      </c>
      <c r="D89" s="76" t="n">
        <v>135767</v>
      </c>
      <c r="E89" s="76" t="n">
        <v>91606</v>
      </c>
      <c r="F89" s="77" t="n">
        <v>44161</v>
      </c>
      <c r="G89" s="78" t="n">
        <v>0.07224421316701335</v>
      </c>
    </row>
    <row r="90" hidden="1" outlineLevel="3">
      <c r="A90" s="79" t="inlineStr">
        <is>
          <t>M2</t>
        </is>
      </c>
      <c r="B90" s="75" t="n">
        <v>71</v>
      </c>
      <c r="C90" s="76" t="n">
        <v>596400</v>
      </c>
      <c r="D90" s="76" t="n">
        <v>155558</v>
      </c>
      <c r="E90" s="76" t="n">
        <v>90333</v>
      </c>
      <c r="F90" s="77" t="n">
        <v>65225</v>
      </c>
      <c r="G90" s="78" t="n">
        <v>0.1093640692850613</v>
      </c>
    </row>
    <row r="91" hidden="1" outlineLevel="4">
      <c r="A91" s="80" t="inlineStr">
        <is>
          <t>Alternance</t>
        </is>
      </c>
      <c r="B91" s="75" t="n">
        <v>71</v>
      </c>
      <c r="C91" s="76" t="n">
        <v>596400</v>
      </c>
      <c r="D91" s="76" t="n">
        <v>155558</v>
      </c>
      <c r="E91" s="76" t="n">
        <v>90333</v>
      </c>
      <c r="F91" s="77" t="n">
        <v>65225</v>
      </c>
      <c r="G91" s="78" t="n">
        <v>0.1093640692850613</v>
      </c>
    </row>
    <row r="92" outlineLevel="1">
      <c r="A92" s="69" t="inlineStr">
        <is>
          <t>Toulouse</t>
        </is>
      </c>
      <c r="B92" s="70" t="n">
        <v>231</v>
      </c>
      <c r="C92" s="71" t="n">
        <v>1627980</v>
      </c>
      <c r="D92" s="71" t="n">
        <v>671075</v>
      </c>
      <c r="E92" s="71" t="n">
        <v>252081</v>
      </c>
      <c r="F92" s="72" t="n">
        <v>418994</v>
      </c>
      <c r="G92" s="73" t="n">
        <v>0.2573705954329993</v>
      </c>
    </row>
    <row r="93" hidden="1" outlineLevel="2">
      <c r="A93" s="74" t="inlineStr">
        <is>
          <t>BAC_COM</t>
        </is>
      </c>
      <c r="B93" s="75" t="n">
        <v>138</v>
      </c>
      <c r="C93" s="76" t="n">
        <v>954150</v>
      </c>
      <c r="D93" s="76" t="n">
        <v>366504</v>
      </c>
      <c r="E93" s="76" t="n">
        <v>150594</v>
      </c>
      <c r="F93" s="77" t="n">
        <v>215910</v>
      </c>
      <c r="G93" s="78" t="n">
        <v>0.226285161265295</v>
      </c>
    </row>
    <row r="94" hidden="1" outlineLevel="3">
      <c r="A94" s="79" t="inlineStr">
        <is>
          <t>B1</t>
        </is>
      </c>
      <c r="B94" s="75" t="n">
        <v>47</v>
      </c>
      <c r="C94" s="76" t="n">
        <v>342630</v>
      </c>
      <c r="D94" s="76" t="n">
        <v>125337</v>
      </c>
      <c r="E94" s="76" t="n">
        <v>51289</v>
      </c>
      <c r="F94" s="77" t="n">
        <v>74048</v>
      </c>
      <c r="G94" s="78" t="n">
        <v>0.21611631533911</v>
      </c>
    </row>
    <row r="95" hidden="1" outlineLevel="4">
      <c r="A95" s="80" t="inlineStr">
        <is>
          <t>Initial</t>
        </is>
      </c>
      <c r="B95" s="75" t="n">
        <v>47</v>
      </c>
      <c r="C95" s="76" t="n">
        <v>342630</v>
      </c>
      <c r="D95" s="76" t="n">
        <v>125337</v>
      </c>
      <c r="E95" s="76" t="n">
        <v>51289</v>
      </c>
      <c r="F95" s="77" t="n">
        <v>74048</v>
      </c>
      <c r="G95" s="78" t="n">
        <v>0.21611631533911</v>
      </c>
    </row>
    <row r="96" hidden="1" outlineLevel="3">
      <c r="A96" s="79" t="inlineStr">
        <is>
          <t>B2</t>
        </is>
      </c>
      <c r="B96" s="75" t="n">
        <v>46</v>
      </c>
      <c r="C96" s="76" t="n">
        <v>309120</v>
      </c>
      <c r="D96" s="76" t="n">
        <v>122666</v>
      </c>
      <c r="E96" s="76" t="n">
        <v>50198</v>
      </c>
      <c r="F96" s="77" t="n">
        <v>72468</v>
      </c>
      <c r="G96" s="78" t="n">
        <v>0.234434725048828</v>
      </c>
    </row>
    <row r="97" hidden="1" outlineLevel="4">
      <c r="A97" s="80" t="inlineStr">
        <is>
          <t>Alternance</t>
        </is>
      </c>
      <c r="B97" s="75" t="n">
        <v>46</v>
      </c>
      <c r="C97" s="76" t="n">
        <v>309120</v>
      </c>
      <c r="D97" s="76" t="n">
        <v>122666</v>
      </c>
      <c r="E97" s="76" t="n">
        <v>50198</v>
      </c>
      <c r="F97" s="77" t="n">
        <v>72468</v>
      </c>
      <c r="G97" s="78" t="n">
        <v>0.234434725048828</v>
      </c>
    </row>
    <row r="98" hidden="1" outlineLevel="3">
      <c r="A98" s="79" t="inlineStr">
        <is>
          <t>B3</t>
        </is>
      </c>
      <c r="B98" s="75" t="n">
        <v>45</v>
      </c>
      <c r="C98" s="76" t="n">
        <v>302400</v>
      </c>
      <c r="D98" s="76" t="n">
        <v>118500</v>
      </c>
      <c r="E98" s="76" t="n">
        <v>49107</v>
      </c>
      <c r="F98" s="77" t="n">
        <v>69394</v>
      </c>
      <c r="G98" s="78" t="n">
        <v>0.2294761616717864</v>
      </c>
    </row>
    <row r="99" hidden="1" outlineLevel="4">
      <c r="A99" s="80" t="inlineStr">
        <is>
          <t>Alternance</t>
        </is>
      </c>
      <c r="B99" s="75" t="n">
        <v>45</v>
      </c>
      <c r="C99" s="76" t="n">
        <v>302400</v>
      </c>
      <c r="D99" s="76" t="n">
        <v>118500</v>
      </c>
      <c r="E99" s="76" t="n">
        <v>49107</v>
      </c>
      <c r="F99" s="77" t="n">
        <v>69394</v>
      </c>
      <c r="G99" s="78" t="n">
        <v>0.2294761616717864</v>
      </c>
    </row>
    <row r="100" hidden="1" outlineLevel="2">
      <c r="A100" s="74" t="inlineStr">
        <is>
          <t>MAS_COM</t>
        </is>
      </c>
      <c r="B100" s="75" t="n">
        <v>93</v>
      </c>
      <c r="C100" s="76" t="n">
        <v>673830</v>
      </c>
      <c r="D100" s="76" t="n">
        <v>304571</v>
      </c>
      <c r="E100" s="76" t="n">
        <v>101487</v>
      </c>
      <c r="F100" s="77" t="n">
        <v>203084</v>
      </c>
      <c r="G100" s="78" t="n">
        <v>0.3013878802245863</v>
      </c>
    </row>
    <row r="101" hidden="1" outlineLevel="3">
      <c r="A101" s="79" t="inlineStr">
        <is>
          <t>M1</t>
        </is>
      </c>
      <c r="B101" s="75" t="n">
        <v>47</v>
      </c>
      <c r="C101" s="76" t="n">
        <v>342630</v>
      </c>
      <c r="D101" s="76" t="n">
        <v>151203</v>
      </c>
      <c r="E101" s="76" t="n">
        <v>51289</v>
      </c>
      <c r="F101" s="77" t="n">
        <v>99914</v>
      </c>
      <c r="G101" s="78" t="n">
        <v>0.2916083913394601</v>
      </c>
    </row>
    <row r="102" hidden="1" outlineLevel="4">
      <c r="A102" s="80" t="inlineStr">
        <is>
          <t>Alternance</t>
        </is>
      </c>
      <c r="B102" s="75" t="n">
        <v>47</v>
      </c>
      <c r="C102" s="76" t="n">
        <v>342630</v>
      </c>
      <c r="D102" s="76" t="n">
        <v>151203</v>
      </c>
      <c r="E102" s="76" t="n">
        <v>51289</v>
      </c>
      <c r="F102" s="77" t="n">
        <v>99914</v>
      </c>
      <c r="G102" s="78" t="n">
        <v>0.2916083913394601</v>
      </c>
    </row>
    <row r="103" hidden="1" outlineLevel="3">
      <c r="A103" s="79" t="inlineStr">
        <is>
          <t>M2</t>
        </is>
      </c>
      <c r="B103" s="75" t="n">
        <v>46</v>
      </c>
      <c r="C103" s="76" t="n">
        <v>331200</v>
      </c>
      <c r="D103" s="76" t="n">
        <v>153368</v>
      </c>
      <c r="E103" s="76" t="n">
        <v>50198</v>
      </c>
      <c r="F103" s="77" t="n">
        <v>103170</v>
      </c>
      <c r="G103" s="78" t="n">
        <v>0.3115048677750414</v>
      </c>
    </row>
    <row r="104" hidden="1" outlineLevel="4">
      <c r="A104" s="80" t="inlineStr">
        <is>
          <t>Alternance</t>
        </is>
      </c>
      <c r="B104" s="75" t="n">
        <v>46</v>
      </c>
      <c r="C104" s="76" t="n">
        <v>331200</v>
      </c>
      <c r="D104" s="76" t="n">
        <v>153368</v>
      </c>
      <c r="E104" s="76" t="n">
        <v>50198</v>
      </c>
      <c r="F104" s="77" t="n">
        <v>103170</v>
      </c>
      <c r="G104" s="78" t="n">
        <v>0.3115048677750414</v>
      </c>
    </row>
    <row r="105">
      <c r="A105" s="64" t="inlineStr">
        <is>
          <t>Ipac</t>
        </is>
      </c>
      <c r="B105" s="65" t="n">
        <v>379</v>
      </c>
      <c r="C105" s="66" t="n">
        <v>2582800</v>
      </c>
      <c r="D105" s="66" t="n">
        <v>883393</v>
      </c>
      <c r="E105" s="66" t="n">
        <v>445453</v>
      </c>
      <c r="F105" s="67" t="n">
        <v>437940</v>
      </c>
      <c r="G105" s="68" t="n">
        <v>0.1695600875549878</v>
      </c>
    </row>
    <row r="106" outlineLevel="1">
      <c r="A106" s="69" t="inlineStr">
        <is>
          <t>Montpellier</t>
        </is>
      </c>
      <c r="B106" s="70" t="n">
        <v>117</v>
      </c>
      <c r="C106" s="71" t="n">
        <v>781650</v>
      </c>
      <c r="D106" s="71" t="n">
        <v>253732</v>
      </c>
      <c r="E106" s="71" t="n">
        <v>134810</v>
      </c>
      <c r="F106" s="72" t="n">
        <v>118922</v>
      </c>
      <c r="G106" s="73" t="n">
        <v>0.152141653722489</v>
      </c>
    </row>
    <row r="107" hidden="1" outlineLevel="2">
      <c r="A107" s="74" t="inlineStr">
        <is>
          <t>BAC_CCE</t>
        </is>
      </c>
      <c r="B107" s="75" t="n">
        <v>117</v>
      </c>
      <c r="C107" s="76" t="n">
        <v>781650</v>
      </c>
      <c r="D107" s="76" t="n">
        <v>253732</v>
      </c>
      <c r="E107" s="76" t="n">
        <v>134810</v>
      </c>
      <c r="F107" s="77" t="n">
        <v>118922</v>
      </c>
      <c r="G107" s="78" t="n">
        <v>0.152141653722489</v>
      </c>
    </row>
    <row r="108" hidden="1" outlineLevel="3">
      <c r="A108" s="79" t="inlineStr">
        <is>
          <t>B1</t>
        </is>
      </c>
      <c r="B108" s="75" t="n">
        <v>40</v>
      </c>
      <c r="C108" s="76" t="n">
        <v>269600</v>
      </c>
      <c r="D108" s="76" t="n">
        <v>80869</v>
      </c>
      <c r="E108" s="76" t="n">
        <v>46089</v>
      </c>
      <c r="F108" s="77" t="n">
        <v>34780</v>
      </c>
      <c r="G108" s="78" t="n">
        <v>0.1290070108704044</v>
      </c>
    </row>
    <row r="109" hidden="1" outlineLevel="4">
      <c r="A109" s="80" t="inlineStr">
        <is>
          <t>Alternance</t>
        </is>
      </c>
      <c r="B109" s="75" t="n">
        <v>40</v>
      </c>
      <c r="C109" s="76" t="n">
        <v>269600</v>
      </c>
      <c r="D109" s="76" t="n">
        <v>80869</v>
      </c>
      <c r="E109" s="76" t="n">
        <v>46089</v>
      </c>
      <c r="F109" s="77" t="n">
        <v>34780</v>
      </c>
      <c r="G109" s="78" t="n">
        <v>0.1290070108704044</v>
      </c>
    </row>
    <row r="110" hidden="1" outlineLevel="3">
      <c r="A110" s="79" t="inlineStr">
        <is>
          <t>B2</t>
        </is>
      </c>
      <c r="B110" s="75" t="n">
        <v>39</v>
      </c>
      <c r="C110" s="76" t="n">
        <v>259350</v>
      </c>
      <c r="D110" s="76" t="n">
        <v>88437</v>
      </c>
      <c r="E110" s="76" t="n">
        <v>44937</v>
      </c>
      <c r="F110" s="77" t="n">
        <v>43500</v>
      </c>
      <c r="G110" s="78" t="n">
        <v>0.1677263975736566</v>
      </c>
    </row>
    <row r="111" hidden="1" outlineLevel="4">
      <c r="A111" s="80" t="inlineStr">
        <is>
          <t>Alternance</t>
        </is>
      </c>
      <c r="B111" s="75" t="n">
        <v>39</v>
      </c>
      <c r="C111" s="76" t="n">
        <v>259350</v>
      </c>
      <c r="D111" s="76" t="n">
        <v>88437</v>
      </c>
      <c r="E111" s="76" t="n">
        <v>44937</v>
      </c>
      <c r="F111" s="77" t="n">
        <v>43500</v>
      </c>
      <c r="G111" s="78" t="n">
        <v>0.1677263975736566</v>
      </c>
    </row>
    <row r="112" hidden="1" outlineLevel="3">
      <c r="A112" s="79" t="inlineStr">
        <is>
          <t>B3</t>
        </is>
      </c>
      <c r="B112" s="75" t="n">
        <v>38</v>
      </c>
      <c r="C112" s="76" t="n">
        <v>252700</v>
      </c>
      <c r="D112" s="76" t="n">
        <v>84426</v>
      </c>
      <c r="E112" s="76" t="n">
        <v>43785</v>
      </c>
      <c r="F112" s="77" t="n">
        <v>40641</v>
      </c>
      <c r="G112" s="78" t="n">
        <v>0.1608286200664607</v>
      </c>
    </row>
    <row r="113" hidden="1" outlineLevel="4">
      <c r="A113" s="80" t="inlineStr">
        <is>
          <t>Alternance</t>
        </is>
      </c>
      <c r="B113" s="75" t="n">
        <v>38</v>
      </c>
      <c r="C113" s="76" t="n">
        <v>252700</v>
      </c>
      <c r="D113" s="76" t="n">
        <v>84426</v>
      </c>
      <c r="E113" s="76" t="n">
        <v>43785</v>
      </c>
      <c r="F113" s="77" t="n">
        <v>40641</v>
      </c>
      <c r="G113" s="78" t="n">
        <v>0.1608286200664607</v>
      </c>
    </row>
    <row r="114" outlineLevel="1">
      <c r="A114" s="69" t="inlineStr">
        <is>
          <t>Nantes</t>
        </is>
      </c>
      <c r="B114" s="70" t="n">
        <v>145</v>
      </c>
      <c r="C114" s="71" t="n">
        <v>1019500</v>
      </c>
      <c r="D114" s="71" t="n">
        <v>375684</v>
      </c>
      <c r="E114" s="71" t="n">
        <v>175832</v>
      </c>
      <c r="F114" s="72" t="n">
        <v>199852</v>
      </c>
      <c r="G114" s="73" t="n">
        <v>0.1960291779035364</v>
      </c>
    </row>
    <row r="115" hidden="1" outlineLevel="2">
      <c r="A115" s="74" t="inlineStr">
        <is>
          <t>BAC_CCE</t>
        </is>
      </c>
      <c r="B115" s="75" t="n">
        <v>145</v>
      </c>
      <c r="C115" s="76" t="n">
        <v>1019500</v>
      </c>
      <c r="D115" s="76" t="n">
        <v>375684</v>
      </c>
      <c r="E115" s="76" t="n">
        <v>175832</v>
      </c>
      <c r="F115" s="77" t="n">
        <v>199852</v>
      </c>
      <c r="G115" s="78" t="n">
        <v>0.1960291779035364</v>
      </c>
    </row>
    <row r="116" hidden="1" outlineLevel="3">
      <c r="A116" s="79" t="inlineStr">
        <is>
          <t>B1</t>
        </is>
      </c>
      <c r="B116" s="75" t="n">
        <v>50</v>
      </c>
      <c r="C116" s="76" t="n">
        <v>354500</v>
      </c>
      <c r="D116" s="76" t="n">
        <v>120788</v>
      </c>
      <c r="E116" s="76" t="n">
        <v>60632</v>
      </c>
      <c r="F116" s="77" t="n">
        <v>60156</v>
      </c>
      <c r="G116" s="78" t="n">
        <v>0.1696935429917372</v>
      </c>
    </row>
    <row r="117" hidden="1" outlineLevel="4">
      <c r="A117" s="80" t="inlineStr">
        <is>
          <t>Alternance</t>
        </is>
      </c>
      <c r="B117" s="75" t="n">
        <v>50</v>
      </c>
      <c r="C117" s="76" t="n">
        <v>354500</v>
      </c>
      <c r="D117" s="76" t="n">
        <v>120788</v>
      </c>
      <c r="E117" s="76" t="n">
        <v>60632</v>
      </c>
      <c r="F117" s="77" t="n">
        <v>60156</v>
      </c>
      <c r="G117" s="78" t="n">
        <v>0.1696935429917372</v>
      </c>
    </row>
    <row r="118" hidden="1" outlineLevel="3">
      <c r="A118" s="79" t="inlineStr">
        <is>
          <t>B2</t>
        </is>
      </c>
      <c r="B118" s="75" t="n">
        <v>48</v>
      </c>
      <c r="C118" s="76" t="n">
        <v>336000</v>
      </c>
      <c r="D118" s="76" t="n">
        <v>129568</v>
      </c>
      <c r="E118" s="76" t="n">
        <v>58207</v>
      </c>
      <c r="F118" s="77" t="n">
        <v>71361</v>
      </c>
      <c r="G118" s="78" t="n">
        <v>0.2123851980682976</v>
      </c>
    </row>
    <row r="119" hidden="1" outlineLevel="4">
      <c r="A119" s="80" t="inlineStr">
        <is>
          <t>Alternance</t>
        </is>
      </c>
      <c r="B119" s="75" t="n">
        <v>48</v>
      </c>
      <c r="C119" s="76" t="n">
        <v>336000</v>
      </c>
      <c r="D119" s="76" t="n">
        <v>129568</v>
      </c>
      <c r="E119" s="76" t="n">
        <v>58207</v>
      </c>
      <c r="F119" s="77" t="n">
        <v>71361</v>
      </c>
      <c r="G119" s="78" t="n">
        <v>0.2123851980682976</v>
      </c>
    </row>
    <row r="120" hidden="1" outlineLevel="3">
      <c r="A120" s="79" t="inlineStr">
        <is>
          <t>B3</t>
        </is>
      </c>
      <c r="B120" s="75" t="n">
        <v>47</v>
      </c>
      <c r="C120" s="76" t="n">
        <v>329000</v>
      </c>
      <c r="D120" s="76" t="n">
        <v>125328</v>
      </c>
      <c r="E120" s="76" t="n">
        <v>56994</v>
      </c>
      <c r="F120" s="77" t="n">
        <v>68334</v>
      </c>
      <c r="G120" s="78" t="n">
        <v>0.2077020040460078</v>
      </c>
    </row>
    <row r="121" hidden="1" outlineLevel="4">
      <c r="A121" s="80" t="inlineStr">
        <is>
          <t>Alternance</t>
        </is>
      </c>
      <c r="B121" s="75" t="n">
        <v>47</v>
      </c>
      <c r="C121" s="76" t="n">
        <v>329000</v>
      </c>
      <c r="D121" s="76" t="n">
        <v>125328</v>
      </c>
      <c r="E121" s="76" t="n">
        <v>56994</v>
      </c>
      <c r="F121" s="77" t="n">
        <v>68334</v>
      </c>
      <c r="G121" s="78" t="n">
        <v>0.2077020040460078</v>
      </c>
    </row>
    <row r="122" outlineLevel="1">
      <c r="A122" s="69" t="inlineStr">
        <is>
          <t>Rennes</t>
        </is>
      </c>
      <c r="B122" s="70" t="n">
        <v>117</v>
      </c>
      <c r="C122" s="71" t="n">
        <v>781650</v>
      </c>
      <c r="D122" s="71" t="n">
        <v>253977</v>
      </c>
      <c r="E122" s="71" t="n">
        <v>134810</v>
      </c>
      <c r="F122" s="72" t="n">
        <v>119167</v>
      </c>
      <c r="G122" s="73" t="n">
        <v>0.1524550932414553</v>
      </c>
    </row>
    <row r="123" hidden="1" outlineLevel="2">
      <c r="A123" s="74" t="inlineStr">
        <is>
          <t>BAC_CCE</t>
        </is>
      </c>
      <c r="B123" s="75" t="n">
        <v>117</v>
      </c>
      <c r="C123" s="76" t="n">
        <v>781650</v>
      </c>
      <c r="D123" s="76" t="n">
        <v>253977</v>
      </c>
      <c r="E123" s="76" t="n">
        <v>134810</v>
      </c>
      <c r="F123" s="77" t="n">
        <v>119167</v>
      </c>
      <c r="G123" s="78" t="n">
        <v>0.1524550932414553</v>
      </c>
    </row>
    <row r="124" hidden="1" outlineLevel="3">
      <c r="A124" s="79" t="inlineStr">
        <is>
          <t>B1</t>
        </is>
      </c>
      <c r="B124" s="75" t="n">
        <v>40</v>
      </c>
      <c r="C124" s="76" t="n">
        <v>269600</v>
      </c>
      <c r="D124" s="76" t="n">
        <v>81114</v>
      </c>
      <c r="E124" s="76" t="n">
        <v>46089</v>
      </c>
      <c r="F124" s="77" t="n">
        <v>35025</v>
      </c>
      <c r="G124" s="78" t="n">
        <v>0.1299157645796032</v>
      </c>
    </row>
    <row r="125" hidden="1" outlineLevel="4">
      <c r="A125" s="80" t="inlineStr">
        <is>
          <t>Alternance</t>
        </is>
      </c>
      <c r="B125" s="75" t="n">
        <v>40</v>
      </c>
      <c r="C125" s="76" t="n">
        <v>269600</v>
      </c>
      <c r="D125" s="76" t="n">
        <v>81114</v>
      </c>
      <c r="E125" s="76" t="n">
        <v>46089</v>
      </c>
      <c r="F125" s="77" t="n">
        <v>35025</v>
      </c>
      <c r="G125" s="78" t="n">
        <v>0.1299157645796032</v>
      </c>
    </row>
    <row r="126" hidden="1" outlineLevel="3">
      <c r="A126" s="79" t="inlineStr">
        <is>
          <t>B2</t>
        </is>
      </c>
      <c r="B126" s="75" t="n">
        <v>39</v>
      </c>
      <c r="C126" s="76" t="n">
        <v>259350</v>
      </c>
      <c r="D126" s="76" t="n">
        <v>88437</v>
      </c>
      <c r="E126" s="76" t="n">
        <v>44937</v>
      </c>
      <c r="F126" s="77" t="n">
        <v>43500</v>
      </c>
      <c r="G126" s="78" t="n">
        <v>0.1677263975736566</v>
      </c>
    </row>
    <row r="127" hidden="1" outlineLevel="4">
      <c r="A127" s="80" t="inlineStr">
        <is>
          <t>Alternance</t>
        </is>
      </c>
      <c r="B127" s="75" t="n">
        <v>39</v>
      </c>
      <c r="C127" s="76" t="n">
        <v>259350</v>
      </c>
      <c r="D127" s="76" t="n">
        <v>88437</v>
      </c>
      <c r="E127" s="76" t="n">
        <v>44937</v>
      </c>
      <c r="F127" s="77" t="n">
        <v>43500</v>
      </c>
      <c r="G127" s="78" t="n">
        <v>0.1677263975736566</v>
      </c>
    </row>
    <row r="128" hidden="1" outlineLevel="3">
      <c r="A128" s="79" t="inlineStr">
        <is>
          <t>B3</t>
        </is>
      </c>
      <c r="B128" s="75" t="n">
        <v>38</v>
      </c>
      <c r="C128" s="76" t="n">
        <v>252700</v>
      </c>
      <c r="D128" s="76" t="n">
        <v>84426</v>
      </c>
      <c r="E128" s="76" t="n">
        <v>43785</v>
      </c>
      <c r="F128" s="77" t="n">
        <v>40641</v>
      </c>
      <c r="G128" s="78" t="n">
        <v>0.1608286200664607</v>
      </c>
    </row>
    <row r="129" hidden="1" outlineLevel="4">
      <c r="A129" s="80" t="inlineStr">
        <is>
          <t>Alternance</t>
        </is>
      </c>
      <c r="B129" s="75" t="n">
        <v>38</v>
      </c>
      <c r="C129" s="76" t="n">
        <v>252700</v>
      </c>
      <c r="D129" s="76" t="n">
        <v>84426</v>
      </c>
      <c r="E129" s="76" t="n">
        <v>43785</v>
      </c>
      <c r="F129" s="77" t="n">
        <v>40641</v>
      </c>
      <c r="G129" s="78" t="n">
        <v>0.1608286200664607</v>
      </c>
    </row>
    <row r="130">
      <c r="A130" s="64" t="inlineStr">
        <is>
          <t>Pigier</t>
        </is>
      </c>
      <c r="B130" s="65" t="n">
        <v>324</v>
      </c>
      <c r="C130" s="66" t="n">
        <v>2152220</v>
      </c>
      <c r="D130" s="66" t="n">
        <v>452323</v>
      </c>
      <c r="E130" s="66" t="n">
        <v>380810</v>
      </c>
      <c r="F130" s="85" t="n">
        <v>71513</v>
      </c>
      <c r="G130" s="86" t="n">
        <v>0.03322773657408915</v>
      </c>
    </row>
    <row r="131" outlineLevel="1">
      <c r="A131" s="69" t="inlineStr">
        <is>
          <t>Bordeaux</t>
        </is>
      </c>
      <c r="B131" s="70" t="n">
        <v>142</v>
      </c>
      <c r="C131" s="71" t="n">
        <v>901790</v>
      </c>
      <c r="D131" s="71" t="n">
        <v>122697</v>
      </c>
      <c r="E131" s="71" t="n">
        <v>159561</v>
      </c>
      <c r="F131" s="83" t="n">
        <v>-36864</v>
      </c>
      <c r="G131" s="84" t="n">
        <v>-0.0408786527493479</v>
      </c>
    </row>
    <row r="132" hidden="1" outlineLevel="2">
      <c r="A132" s="74" t="inlineStr">
        <is>
          <t>BAC_RH</t>
        </is>
      </c>
      <c r="B132" s="75" t="n">
        <v>71</v>
      </c>
      <c r="C132" s="76" t="n">
        <v>485330</v>
      </c>
      <c r="D132" s="76" t="n">
        <v>124289</v>
      </c>
      <c r="E132" s="76" t="n">
        <v>79780</v>
      </c>
      <c r="F132" s="77" t="n">
        <v>44509</v>
      </c>
      <c r="G132" s="78" t="n">
        <v>0.09170826881888799</v>
      </c>
    </row>
    <row r="133" hidden="1" outlineLevel="3">
      <c r="A133" s="79" t="inlineStr">
        <is>
          <t>B1</t>
        </is>
      </c>
      <c r="B133" s="75" t="n">
        <v>36</v>
      </c>
      <c r="C133" s="76" t="n">
        <v>247680</v>
      </c>
      <c r="D133" s="76" t="n">
        <v>60078</v>
      </c>
      <c r="E133" s="76" t="n">
        <v>40452</v>
      </c>
      <c r="F133" s="77" t="n">
        <v>19626</v>
      </c>
      <c r="G133" s="78" t="n">
        <v>0.079240719550255</v>
      </c>
    </row>
    <row r="134" hidden="1" outlineLevel="4">
      <c r="A134" s="80" t="inlineStr">
        <is>
          <t>Alternance</t>
        </is>
      </c>
      <c r="B134" s="75" t="n">
        <v>36</v>
      </c>
      <c r="C134" s="76" t="n">
        <v>247680</v>
      </c>
      <c r="D134" s="76" t="n">
        <v>60078</v>
      </c>
      <c r="E134" s="76" t="n">
        <v>40452</v>
      </c>
      <c r="F134" s="77" t="n">
        <v>19626</v>
      </c>
      <c r="G134" s="78" t="n">
        <v>0.079240719550255</v>
      </c>
    </row>
    <row r="135" hidden="1" outlineLevel="3">
      <c r="A135" s="79" t="inlineStr">
        <is>
          <t>B3</t>
        </is>
      </c>
      <c r="B135" s="75" t="n">
        <v>35</v>
      </c>
      <c r="C135" s="76" t="n">
        <v>237650</v>
      </c>
      <c r="D135" s="76" t="n">
        <v>64211</v>
      </c>
      <c r="E135" s="76" t="n">
        <v>39328</v>
      </c>
      <c r="F135" s="77" t="n">
        <v>24882</v>
      </c>
      <c r="G135" s="78" t="n">
        <v>0.1047020100469756</v>
      </c>
    </row>
    <row r="136" hidden="1" outlineLevel="4">
      <c r="A136" s="80" t="inlineStr">
        <is>
          <t>Alternance</t>
        </is>
      </c>
      <c r="B136" s="75" t="n">
        <v>35</v>
      </c>
      <c r="C136" s="76" t="n">
        <v>237650</v>
      </c>
      <c r="D136" s="76" t="n">
        <v>64211</v>
      </c>
      <c r="E136" s="76" t="n">
        <v>39328</v>
      </c>
      <c r="F136" s="77" t="n">
        <v>24882</v>
      </c>
      <c r="G136" s="78" t="n">
        <v>0.1047020100469756</v>
      </c>
    </row>
    <row r="137" hidden="1" outlineLevel="2">
      <c r="A137" s="74" t="inlineStr">
        <is>
          <t>BTS_GES</t>
        </is>
      </c>
      <c r="B137" s="75" t="n">
        <v>71</v>
      </c>
      <c r="C137" s="76" t="n">
        <v>416460</v>
      </c>
      <c r="D137" s="76" t="n">
        <v>-1592</v>
      </c>
      <c r="E137" s="76" t="n">
        <v>79780</v>
      </c>
      <c r="F137" s="81" t="n">
        <v>-81373</v>
      </c>
      <c r="G137" s="82" t="n">
        <v>-0.1953914766573149</v>
      </c>
    </row>
    <row r="138" hidden="1" outlineLevel="3">
      <c r="A138" s="79" t="inlineStr">
        <is>
          <t>BTS1</t>
        </is>
      </c>
      <c r="B138" s="75" t="n">
        <v>36</v>
      </c>
      <c r="C138" s="76" t="n">
        <v>212760</v>
      </c>
      <c r="D138" s="76" t="n">
        <v>-3347</v>
      </c>
      <c r="E138" s="76" t="n">
        <v>40452</v>
      </c>
      <c r="F138" s="81" t="n">
        <v>-43799</v>
      </c>
      <c r="G138" s="82" t="n">
        <v>-0.2058630044138041</v>
      </c>
    </row>
    <row r="139" hidden="1" outlineLevel="4">
      <c r="A139" s="80" t="inlineStr">
        <is>
          <t>Alternance</t>
        </is>
      </c>
      <c r="B139" s="75" t="n">
        <v>36</v>
      </c>
      <c r="C139" s="76" t="n">
        <v>212760</v>
      </c>
      <c r="D139" s="76" t="n">
        <v>-3347</v>
      </c>
      <c r="E139" s="76" t="n">
        <v>40452</v>
      </c>
      <c r="F139" s="81" t="n">
        <v>-43799</v>
      </c>
      <c r="G139" s="82" t="n">
        <v>-0.2058630044138041</v>
      </c>
    </row>
    <row r="140" hidden="1" outlineLevel="3">
      <c r="A140" s="79" t="inlineStr">
        <is>
          <t>BTS2</t>
        </is>
      </c>
      <c r="B140" s="75" t="n">
        <v>35</v>
      </c>
      <c r="C140" s="76" t="n">
        <v>203700</v>
      </c>
      <c r="D140" s="76" t="n">
        <v>1755</v>
      </c>
      <c r="E140" s="76" t="n">
        <v>39328</v>
      </c>
      <c r="F140" s="81" t="n">
        <v>-37573</v>
      </c>
      <c r="G140" s="82" t="n">
        <v>-0.1844542049564281</v>
      </c>
    </row>
    <row r="141" hidden="1" outlineLevel="4">
      <c r="A141" s="80" t="inlineStr">
        <is>
          <t>Alternance</t>
        </is>
      </c>
      <c r="B141" s="75" t="n">
        <v>35</v>
      </c>
      <c r="C141" s="76" t="n">
        <v>203700</v>
      </c>
      <c r="D141" s="76" t="n">
        <v>1755</v>
      </c>
      <c r="E141" s="76" t="n">
        <v>39328</v>
      </c>
      <c r="F141" s="81" t="n">
        <v>-37573</v>
      </c>
      <c r="G141" s="82" t="n">
        <v>-0.1844542049564281</v>
      </c>
    </row>
    <row r="142" outlineLevel="1">
      <c r="A142" s="69" t="inlineStr">
        <is>
          <t>Lyon</t>
        </is>
      </c>
      <c r="B142" s="70" t="n">
        <v>182</v>
      </c>
      <c r="C142" s="71" t="n">
        <v>1250430</v>
      </c>
      <c r="D142" s="71" t="n">
        <v>329626</v>
      </c>
      <c r="E142" s="71" t="n">
        <v>221249</v>
      </c>
      <c r="F142" s="72" t="n">
        <v>108377</v>
      </c>
      <c r="G142" s="73" t="n">
        <v>0.08667207238495606</v>
      </c>
    </row>
    <row r="143" hidden="1" outlineLevel="2">
      <c r="A143" s="74" t="inlineStr">
        <is>
          <t>BAC_RH</t>
        </is>
      </c>
      <c r="B143" s="75" t="n">
        <v>91</v>
      </c>
      <c r="C143" s="76" t="n">
        <v>672990</v>
      </c>
      <c r="D143" s="76" t="n">
        <v>242394</v>
      </c>
      <c r="E143" s="76" t="n">
        <v>110624</v>
      </c>
      <c r="F143" s="77" t="n">
        <v>131770</v>
      </c>
      <c r="G143" s="78" t="n">
        <v>0.195797230332167</v>
      </c>
    </row>
    <row r="144" hidden="1" outlineLevel="3">
      <c r="A144" s="79" t="inlineStr">
        <is>
          <t>B1</t>
        </is>
      </c>
      <c r="B144" s="75" t="n">
        <v>46</v>
      </c>
      <c r="C144" s="76" t="n">
        <v>342240</v>
      </c>
      <c r="D144" s="76" t="n">
        <v>116238</v>
      </c>
      <c r="E144" s="76" t="n">
        <v>55920</v>
      </c>
      <c r="F144" s="77" t="n">
        <v>60318</v>
      </c>
      <c r="G144" s="78" t="n">
        <v>0.1762454996154851</v>
      </c>
    </row>
    <row r="145" hidden="1" outlineLevel="4">
      <c r="A145" s="80" t="inlineStr">
        <is>
          <t>Alternance</t>
        </is>
      </c>
      <c r="B145" s="75" t="n">
        <v>46</v>
      </c>
      <c r="C145" s="76" t="n">
        <v>342240</v>
      </c>
      <c r="D145" s="76" t="n">
        <v>116238</v>
      </c>
      <c r="E145" s="76" t="n">
        <v>55920</v>
      </c>
      <c r="F145" s="77" t="n">
        <v>60318</v>
      </c>
      <c r="G145" s="78" t="n">
        <v>0.1762454996154851</v>
      </c>
    </row>
    <row r="146" hidden="1" outlineLevel="3">
      <c r="A146" s="79" t="inlineStr">
        <is>
          <t>B3</t>
        </is>
      </c>
      <c r="B146" s="75" t="n">
        <v>45</v>
      </c>
      <c r="C146" s="76" t="n">
        <v>330750</v>
      </c>
      <c r="D146" s="76" t="n">
        <v>126156</v>
      </c>
      <c r="E146" s="76" t="n">
        <v>54704</v>
      </c>
      <c r="F146" s="77" t="n">
        <v>71451</v>
      </c>
      <c r="G146" s="78" t="n">
        <v>0.2160281731000497</v>
      </c>
    </row>
    <row r="147" hidden="1" outlineLevel="4">
      <c r="A147" s="80" t="inlineStr">
        <is>
          <t>Alternance</t>
        </is>
      </c>
      <c r="B147" s="75" t="n">
        <v>45</v>
      </c>
      <c r="C147" s="76" t="n">
        <v>330750</v>
      </c>
      <c r="D147" s="76" t="n">
        <v>126156</v>
      </c>
      <c r="E147" s="76" t="n">
        <v>54704</v>
      </c>
      <c r="F147" s="77" t="n">
        <v>71451</v>
      </c>
      <c r="G147" s="78" t="n">
        <v>0.2160281731000497</v>
      </c>
    </row>
    <row r="148" hidden="1" outlineLevel="2">
      <c r="A148" s="74" t="inlineStr">
        <is>
          <t>BTS_GES</t>
        </is>
      </c>
      <c r="B148" s="75" t="n">
        <v>91</v>
      </c>
      <c r="C148" s="76" t="n">
        <v>577440</v>
      </c>
      <c r="D148" s="76" t="n">
        <v>87232</v>
      </c>
      <c r="E148" s="76" t="n">
        <v>110624</v>
      </c>
      <c r="F148" s="81" t="n">
        <v>-23392</v>
      </c>
      <c r="G148" s="82" t="n">
        <v>-0.04051021503346574</v>
      </c>
    </row>
    <row r="149" hidden="1" outlineLevel="3">
      <c r="A149" s="79" t="inlineStr">
        <is>
          <t>BTS1</t>
        </is>
      </c>
      <c r="B149" s="75" t="n">
        <v>46</v>
      </c>
      <c r="C149" s="76" t="n">
        <v>293940</v>
      </c>
      <c r="D149" s="76" t="n">
        <v>38132</v>
      </c>
      <c r="E149" s="76" t="n">
        <v>55920</v>
      </c>
      <c r="F149" s="81" t="n">
        <v>-17788</v>
      </c>
      <c r="G149" s="82" t="n">
        <v>-0.06051452172783946</v>
      </c>
    </row>
    <row r="150" hidden="1" outlineLevel="4">
      <c r="A150" s="80" t="inlineStr">
        <is>
          <t>Alternance</t>
        </is>
      </c>
      <c r="B150" s="75" t="n">
        <v>46</v>
      </c>
      <c r="C150" s="76" t="n">
        <v>293940</v>
      </c>
      <c r="D150" s="76" t="n">
        <v>38132</v>
      </c>
      <c r="E150" s="76" t="n">
        <v>55920</v>
      </c>
      <c r="F150" s="81" t="n">
        <v>-17788</v>
      </c>
      <c r="G150" s="82" t="n">
        <v>-0.06051452172783946</v>
      </c>
    </row>
    <row r="151" hidden="1" outlineLevel="3">
      <c r="A151" s="79" t="inlineStr">
        <is>
          <t>BTS2</t>
        </is>
      </c>
      <c r="B151" s="75" t="n">
        <v>45</v>
      </c>
      <c r="C151" s="76" t="n">
        <v>283500</v>
      </c>
      <c r="D151" s="76" t="n">
        <v>49100</v>
      </c>
      <c r="E151" s="76" t="n">
        <v>54704</v>
      </c>
      <c r="F151" s="81" t="n">
        <v>-5605</v>
      </c>
      <c r="G151" s="82" t="n">
        <v>-0.01976924180685477</v>
      </c>
    </row>
    <row r="152" hidden="1" outlineLevel="4">
      <c r="A152" s="80" t="inlineStr">
        <is>
          <t>Alternance</t>
        </is>
      </c>
      <c r="B152" s="75" t="n">
        <v>45</v>
      </c>
      <c r="C152" s="76" t="n">
        <v>283500</v>
      </c>
      <c r="D152" s="76" t="n">
        <v>49100</v>
      </c>
      <c r="E152" s="76" t="n">
        <v>54704</v>
      </c>
      <c r="F152" s="81" t="n">
        <v>-5605</v>
      </c>
      <c r="G152" s="82" t="n">
        <v>-0.01976924180685477</v>
      </c>
    </row>
    <row r="153">
      <c r="A153" s="64" t="inlineStr">
        <is>
          <t>Tunon</t>
        </is>
      </c>
      <c r="B153" s="65" t="n">
        <v>255</v>
      </c>
      <c r="C153" s="66" t="n">
        <v>1949700</v>
      </c>
      <c r="D153" s="66" t="n">
        <v>371040</v>
      </c>
      <c r="E153" s="66" t="n">
        <v>299711</v>
      </c>
      <c r="F153" s="85" t="n">
        <v>71329</v>
      </c>
      <c r="G153" s="86" t="n">
        <v>0.03658446946636765</v>
      </c>
    </row>
    <row r="154" outlineLevel="1">
      <c r="A154" s="69" t="inlineStr">
        <is>
          <t>Lyon</t>
        </is>
      </c>
      <c r="B154" s="70" t="n">
        <v>117</v>
      </c>
      <c r="C154" s="71" t="n">
        <v>863550</v>
      </c>
      <c r="D154" s="71" t="n">
        <v>223752</v>
      </c>
      <c r="E154" s="71" t="n">
        <v>132746</v>
      </c>
      <c r="F154" s="72" t="n">
        <v>91006</v>
      </c>
      <c r="G154" s="73" t="n">
        <v>0.105385442387657</v>
      </c>
    </row>
    <row r="155" hidden="1" outlineLevel="2">
      <c r="A155" s="74" t="inlineStr">
        <is>
          <t>BAC_TOU</t>
        </is>
      </c>
      <c r="B155" s="75" t="n">
        <v>117</v>
      </c>
      <c r="C155" s="76" t="n">
        <v>863550</v>
      </c>
      <c r="D155" s="76" t="n">
        <v>223752</v>
      </c>
      <c r="E155" s="76" t="n">
        <v>132746</v>
      </c>
      <c r="F155" s="77" t="n">
        <v>91006</v>
      </c>
      <c r="G155" s="78" t="n">
        <v>0.105385442387657</v>
      </c>
    </row>
    <row r="156" hidden="1" outlineLevel="3">
      <c r="A156" s="79" t="inlineStr">
        <is>
          <t>B1</t>
        </is>
      </c>
      <c r="B156" s="75" t="n">
        <v>40</v>
      </c>
      <c r="C156" s="76" t="n">
        <v>297600</v>
      </c>
      <c r="D156" s="76" t="n">
        <v>68510</v>
      </c>
      <c r="E156" s="76" t="n">
        <v>45383</v>
      </c>
      <c r="F156" s="77" t="n">
        <v>23126</v>
      </c>
      <c r="G156" s="78" t="n">
        <v>0.07770930839750617</v>
      </c>
    </row>
    <row r="157" hidden="1" outlineLevel="4">
      <c r="A157" s="80" t="inlineStr">
        <is>
          <t>Alternance</t>
        </is>
      </c>
      <c r="B157" s="75" t="n">
        <v>40</v>
      </c>
      <c r="C157" s="76" t="n">
        <v>297600</v>
      </c>
      <c r="D157" s="76" t="n">
        <v>68510</v>
      </c>
      <c r="E157" s="76" t="n">
        <v>45383</v>
      </c>
      <c r="F157" s="77" t="n">
        <v>23126</v>
      </c>
      <c r="G157" s="78" t="n">
        <v>0.07770930839750617</v>
      </c>
    </row>
    <row r="158" hidden="1" outlineLevel="3">
      <c r="A158" s="79" t="inlineStr">
        <is>
          <t>B2</t>
        </is>
      </c>
      <c r="B158" s="75" t="n">
        <v>39</v>
      </c>
      <c r="C158" s="76" t="n">
        <v>286650</v>
      </c>
      <c r="D158" s="76" t="n">
        <v>79667</v>
      </c>
      <c r="E158" s="76" t="n">
        <v>44249</v>
      </c>
      <c r="F158" s="77" t="n">
        <v>35419</v>
      </c>
      <c r="G158" s="78" t="n">
        <v>0.1235602055629527</v>
      </c>
    </row>
    <row r="159" hidden="1" outlineLevel="4">
      <c r="A159" s="80" t="inlineStr">
        <is>
          <t>Alternance</t>
        </is>
      </c>
      <c r="B159" s="75" t="n">
        <v>39</v>
      </c>
      <c r="C159" s="76" t="n">
        <v>286650</v>
      </c>
      <c r="D159" s="76" t="n">
        <v>79667</v>
      </c>
      <c r="E159" s="76" t="n">
        <v>44249</v>
      </c>
      <c r="F159" s="77" t="n">
        <v>35419</v>
      </c>
      <c r="G159" s="78" t="n">
        <v>0.1235602055629527</v>
      </c>
    </row>
    <row r="160" hidden="1" outlineLevel="3">
      <c r="A160" s="79" t="inlineStr">
        <is>
          <t>B3</t>
        </is>
      </c>
      <c r="B160" s="75" t="n">
        <v>38</v>
      </c>
      <c r="C160" s="76" t="n">
        <v>279300</v>
      </c>
      <c r="D160" s="76" t="n">
        <v>75575</v>
      </c>
      <c r="E160" s="76" t="n">
        <v>43114</v>
      </c>
      <c r="F160" s="77" t="n">
        <v>32461</v>
      </c>
      <c r="G160" s="78" t="n">
        <v>0.1162218964201323</v>
      </c>
    </row>
    <row r="161" hidden="1" outlineLevel="4">
      <c r="A161" s="80" t="inlineStr">
        <is>
          <t>Alternance</t>
        </is>
      </c>
      <c r="B161" s="75" t="n">
        <v>38</v>
      </c>
      <c r="C161" s="76" t="n">
        <v>279300</v>
      </c>
      <c r="D161" s="76" t="n">
        <v>75575</v>
      </c>
      <c r="E161" s="76" t="n">
        <v>43114</v>
      </c>
      <c r="F161" s="77" t="n">
        <v>32461</v>
      </c>
      <c r="G161" s="78" t="n">
        <v>0.1162218964201323</v>
      </c>
    </row>
    <row r="162" outlineLevel="1">
      <c r="A162" s="69" t="inlineStr">
        <is>
          <t>Paris</t>
        </is>
      </c>
      <c r="B162" s="70" t="n">
        <v>138</v>
      </c>
      <c r="C162" s="71" t="n">
        <v>1086150</v>
      </c>
      <c r="D162" s="71" t="n">
        <v>147288</v>
      </c>
      <c r="E162" s="71" t="n">
        <v>166965</v>
      </c>
      <c r="F162" s="83" t="n">
        <v>-19677</v>
      </c>
      <c r="G162" s="84" t="n">
        <v>-0.01811615214775505</v>
      </c>
    </row>
    <row r="163" hidden="1" outlineLevel="2">
      <c r="A163" s="74" t="inlineStr">
        <is>
          <t>BAC_TOU</t>
        </is>
      </c>
      <c r="B163" s="75" t="n">
        <v>138</v>
      </c>
      <c r="C163" s="76" t="n">
        <v>1086150</v>
      </c>
      <c r="D163" s="76" t="n">
        <v>147288</v>
      </c>
      <c r="E163" s="76" t="n">
        <v>166965</v>
      </c>
      <c r="F163" s="81" t="n">
        <v>-19677</v>
      </c>
      <c r="G163" s="82" t="n">
        <v>-0.01811615214775505</v>
      </c>
    </row>
    <row r="164" hidden="1" outlineLevel="3">
      <c r="A164" s="79" t="inlineStr">
        <is>
          <t>B1</t>
        </is>
      </c>
      <c r="B164" s="75" t="n">
        <v>47</v>
      </c>
      <c r="C164" s="76" t="n">
        <v>372710</v>
      </c>
      <c r="D164" s="76" t="n">
        <v>35291</v>
      </c>
      <c r="E164" s="76" t="n">
        <v>56865</v>
      </c>
      <c r="F164" s="81" t="n">
        <v>-21574</v>
      </c>
      <c r="G164" s="82" t="n">
        <v>-0.05788397780607987</v>
      </c>
    </row>
    <row r="165" hidden="1" outlineLevel="4">
      <c r="A165" s="80" t="inlineStr">
        <is>
          <t>Alternance</t>
        </is>
      </c>
      <c r="B165" s="75" t="n">
        <v>47</v>
      </c>
      <c r="C165" s="76" t="n">
        <v>372710</v>
      </c>
      <c r="D165" s="76" t="n">
        <v>35291</v>
      </c>
      <c r="E165" s="76" t="n">
        <v>56865</v>
      </c>
      <c r="F165" s="81" t="n">
        <v>-21574</v>
      </c>
      <c r="G165" s="82" t="n">
        <v>-0.05788397780607987</v>
      </c>
    </row>
    <row r="166" hidden="1" outlineLevel="3">
      <c r="A166" s="79" t="inlineStr">
        <is>
          <t>B2</t>
        </is>
      </c>
      <c r="B166" s="75" t="n">
        <v>46</v>
      </c>
      <c r="C166" s="76" t="n">
        <v>360640</v>
      </c>
      <c r="D166" s="76" t="n">
        <v>57766</v>
      </c>
      <c r="E166" s="76" t="n">
        <v>55655</v>
      </c>
      <c r="F166" s="81" t="n">
        <v>2111</v>
      </c>
      <c r="G166" s="82" t="n">
        <v>0.005853613339910389</v>
      </c>
    </row>
    <row r="167" hidden="1" outlineLevel="4">
      <c r="A167" s="80" t="inlineStr">
        <is>
          <t>Alternance</t>
        </is>
      </c>
      <c r="B167" s="75" t="n">
        <v>46</v>
      </c>
      <c r="C167" s="76" t="n">
        <v>360640</v>
      </c>
      <c r="D167" s="76" t="n">
        <v>57766</v>
      </c>
      <c r="E167" s="76" t="n">
        <v>55655</v>
      </c>
      <c r="F167" s="81" t="n">
        <v>2111</v>
      </c>
      <c r="G167" s="82" t="n">
        <v>0.005853613339910389</v>
      </c>
    </row>
    <row r="168" hidden="1" outlineLevel="3">
      <c r="A168" s="79" t="inlineStr">
        <is>
          <t>B3</t>
        </is>
      </c>
      <c r="B168" s="75" t="n">
        <v>45</v>
      </c>
      <c r="C168" s="76" t="n">
        <v>352800</v>
      </c>
      <c r="D168" s="76" t="n">
        <v>54231</v>
      </c>
      <c r="E168" s="76" t="n">
        <v>54445</v>
      </c>
      <c r="F168" s="81" t="n">
        <v>-214</v>
      </c>
      <c r="G168" s="82" t="n">
        <v>-0.0006064864004688316</v>
      </c>
    </row>
    <row r="169" hidden="1" outlineLevel="4">
      <c r="A169" s="80" t="inlineStr">
        <is>
          <t>Alternance</t>
        </is>
      </c>
      <c r="B169" s="75" t="n">
        <v>45</v>
      </c>
      <c r="C169" s="76" t="n">
        <v>352800</v>
      </c>
      <c r="D169" s="76" t="n">
        <v>54231</v>
      </c>
      <c r="E169" s="76" t="n">
        <v>54445</v>
      </c>
      <c r="F169" s="81" t="n">
        <v>-214</v>
      </c>
      <c r="G169" s="82" t="n">
        <v>-0.0006064864004688316</v>
      </c>
    </row>
    <row r="170">
      <c r="A170" s="87" t="inlineStr">
        <is>
          <t>GROUPE</t>
        </is>
      </c>
      <c r="B170" s="88" t="n">
        <v>3036</v>
      </c>
      <c r="C170" s="89" t="n">
        <v>22544725</v>
      </c>
      <c r="D170" s="89" t="n">
        <v>6859857</v>
      </c>
      <c r="E170" s="89" t="n">
        <v>3568327</v>
      </c>
      <c r="F170" s="89" t="n">
        <v>3291530</v>
      </c>
      <c r="G170" s="90" t="n">
        <v>0.1460000066534411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1"/>
    <pageSetUpPr/>
  </sheetPr>
  <dimension ref="A1:H16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1" customWidth="1" min="3" max="3"/>
    <col width="11" customWidth="1" min="4" max="4"/>
    <col width="11" customWidth="1" min="5" max="5"/>
    <col width="12" customWidth="1" min="6" max="6"/>
  </cols>
  <sheetData>
    <row r="1">
      <c r="A1" s="58" t="inlineStr">
        <is>
          <t>RESTITUTION — Évolution de la marge chargée 2024→2026</t>
        </is>
      </c>
    </row>
    <row r="2">
      <c r="A2" s="59" t="inlineStr">
        <is>
          <t>Source (vue)</t>
        </is>
      </c>
      <c r="B2" s="60" t="inlineStr">
        <is>
          <t>V_ALLOCATION  (Q_RAPPORT_EVOLUTION, VERSION='ACT')</t>
        </is>
      </c>
    </row>
    <row r="3">
      <c r="A3" s="59" t="inlineStr">
        <is>
          <t>Dimensions</t>
        </is>
      </c>
      <c r="B3" s="60" t="inlineStr">
        <is>
          <t>Marque ▸ Campus ▸ Programme ▸ Année ▸ Modalité  ·  EXERCICE en colonnes</t>
        </is>
      </c>
    </row>
    <row r="4">
      <c r="A4" s="59" t="inlineStr">
        <is>
          <t>Éléments</t>
        </is>
      </c>
    </row>
    <row r="5">
      <c r="A5" s="61" t="inlineStr">
        <is>
          <t xml:space="preserve">   CA</t>
        </is>
      </c>
      <c r="B5" s="62" t="inlineStr">
        <is>
          <t>706 + 7062 + 708</t>
        </is>
      </c>
    </row>
    <row r="6">
      <c r="A6" s="61" t="inlineStr">
        <is>
          <t xml:space="preserve">   EBITDA net</t>
        </is>
      </c>
      <c r="B6" s="62" t="inlineStr">
        <is>
          <t>MARGE_COMPLETE (coût complet chargé)</t>
        </is>
      </c>
    </row>
    <row r="7">
      <c r="A7" s="61" t="inlineStr">
        <is>
          <t xml:space="preserve">   Marge nette %</t>
        </is>
      </c>
      <c r="B7" s="62" t="inlineStr">
        <is>
          <t>EBITDA net ÷ CA par exercice</t>
        </is>
      </c>
    </row>
    <row r="8">
      <c r="A8" s="61" t="inlineStr">
        <is>
          <t xml:space="preserve">   Δ (points)</t>
        </is>
      </c>
      <c r="B8" s="62" t="inlineStr">
        <is>
          <t>Marge 2026 − Marge 2024</t>
        </is>
      </c>
    </row>
    <row r="9">
      <c r="A9" s="63" t="n"/>
      <c r="B9" s="63" t="n"/>
      <c r="C9" s="63" t="n"/>
      <c r="D9" s="63" t="n"/>
      <c r="E9" s="63" t="n"/>
      <c r="F9" s="63" t="n"/>
      <c r="G9" s="63" t="n"/>
      <c r="H9" s="63" t="n"/>
    </row>
    <row r="10">
      <c r="A10" s="10" t="inlineStr">
        <is>
          <t>Marque ▸ Campus ▸ Programme ▸ Année ▸ Modalité</t>
        </is>
      </c>
      <c r="B10" s="11" t="inlineStr">
        <is>
          <t>CA 2026</t>
        </is>
      </c>
      <c r="C10" s="11" t="inlineStr">
        <is>
          <t>Marge 2024</t>
        </is>
      </c>
      <c r="D10" s="11" t="inlineStr">
        <is>
          <t>Marge 2025</t>
        </is>
      </c>
      <c r="E10" s="11" t="inlineStr">
        <is>
          <t>Marge 2026</t>
        </is>
      </c>
      <c r="F10" s="11" t="inlineStr">
        <is>
          <t>Δ 26/24 (pt)</t>
        </is>
      </c>
    </row>
    <row r="11">
      <c r="A11" s="64" t="inlineStr">
        <is>
          <t>MBway</t>
        </is>
      </c>
      <c r="B11" s="66" t="n">
        <v>9567455</v>
      </c>
      <c r="C11" s="91" t="n">
        <v>0.1653423945193762</v>
      </c>
      <c r="D11" s="91" t="n">
        <v>0.1730749735683474</v>
      </c>
      <c r="E11" s="68" t="n">
        <v>0.1785925824284567</v>
      </c>
      <c r="F11" s="92" t="n">
        <v>1.325018790908048</v>
      </c>
    </row>
    <row r="12" outlineLevel="1">
      <c r="A12" s="69" t="inlineStr">
        <is>
          <t>Bordeaux</t>
        </is>
      </c>
      <c r="B12" s="71" t="n">
        <v>1773610</v>
      </c>
      <c r="C12" s="93" t="n">
        <v>0.2014126608923371</v>
      </c>
      <c r="D12" s="93" t="n">
        <v>0.2080366141574447</v>
      </c>
      <c r="E12" s="73" t="n">
        <v>0.2161914740917732</v>
      </c>
      <c r="F12" s="94" t="n">
        <v>1.477881319943611</v>
      </c>
    </row>
    <row r="13" hidden="1" outlineLevel="2">
      <c r="A13" s="74" t="inlineStr">
        <is>
          <t>BAC_MGT</t>
        </is>
      </c>
      <c r="B13" s="76" t="n">
        <v>1034245</v>
      </c>
      <c r="C13" s="95" t="n">
        <v>0.1682463571643306</v>
      </c>
      <c r="D13" s="95" t="n">
        <v>0.1739342142200453</v>
      </c>
      <c r="E13" s="78" t="n">
        <v>0.1827904309835726</v>
      </c>
      <c r="F13" s="96" t="n">
        <v>1.454407381924197</v>
      </c>
    </row>
    <row r="14" hidden="1" outlineLevel="3">
      <c r="A14" s="79" t="inlineStr">
        <is>
          <t>B1</t>
        </is>
      </c>
      <c r="B14" s="76" t="n">
        <v>375615</v>
      </c>
      <c r="C14" s="95" t="n">
        <v>0.1606637002998827</v>
      </c>
      <c r="D14" s="95" t="n">
        <v>0.1688208960673359</v>
      </c>
      <c r="E14" s="78" t="n">
        <v>0.1763900977877877</v>
      </c>
      <c r="F14" s="96" t="n">
        <v>1.5726397487905</v>
      </c>
    </row>
    <row r="15" hidden="1" outlineLevel="4">
      <c r="A15" s="80" t="inlineStr">
        <is>
          <t>Initial</t>
        </is>
      </c>
      <c r="B15" s="76" t="n">
        <v>375615</v>
      </c>
      <c r="C15" s="95" t="n">
        <v>0.1606637002998827</v>
      </c>
      <c r="D15" s="95" t="n">
        <v>0.1688208960673359</v>
      </c>
      <c r="E15" s="78" t="n">
        <v>0.1763900977877877</v>
      </c>
      <c r="F15" s="96" t="n">
        <v>1.5726397487905</v>
      </c>
    </row>
    <row r="16" hidden="1" outlineLevel="3">
      <c r="A16" s="79" t="inlineStr">
        <is>
          <t>B2</t>
        </is>
      </c>
      <c r="B16" s="76" t="n">
        <v>332710</v>
      </c>
      <c r="C16" s="95" t="n">
        <v>0.1751847296501912</v>
      </c>
      <c r="D16" s="95" t="n">
        <v>0.179426846957331</v>
      </c>
      <c r="E16" s="78" t="n">
        <v>0.1888093005949026</v>
      </c>
      <c r="F16" s="96" t="n">
        <v>1.362457094471142</v>
      </c>
    </row>
    <row r="17" hidden="1" outlineLevel="4">
      <c r="A17" s="80" t="inlineStr">
        <is>
          <t>Alternance</t>
        </is>
      </c>
      <c r="B17" s="76" t="n">
        <v>332710</v>
      </c>
      <c r="C17" s="95" t="n">
        <v>0.1751847296501912</v>
      </c>
      <c r="D17" s="95" t="n">
        <v>0.179426846957331</v>
      </c>
      <c r="E17" s="78" t="n">
        <v>0.1888093005949026</v>
      </c>
      <c r="F17" s="96" t="n">
        <v>1.362457094471142</v>
      </c>
    </row>
    <row r="18" hidden="1" outlineLevel="3">
      <c r="A18" s="79" t="inlineStr">
        <is>
          <t>B3</t>
        </is>
      </c>
      <c r="B18" s="76" t="n">
        <v>325920</v>
      </c>
      <c r="C18" s="95" t="n">
        <v>0.169753956874657</v>
      </c>
      <c r="D18" s="95" t="n">
        <v>0.1742356094881913</v>
      </c>
      <c r="E18" s="78" t="n">
        <v>0.1840223990890867</v>
      </c>
      <c r="F18" s="96" t="n">
        <v>1.426844221442977</v>
      </c>
    </row>
    <row r="19" hidden="1" outlineLevel="4">
      <c r="A19" s="80" t="inlineStr">
        <is>
          <t>Alternance</t>
        </is>
      </c>
      <c r="B19" s="76" t="n">
        <v>325920</v>
      </c>
      <c r="C19" s="95" t="n">
        <v>0.169753956874657</v>
      </c>
      <c r="D19" s="95" t="n">
        <v>0.1742356094881913</v>
      </c>
      <c r="E19" s="78" t="n">
        <v>0.1840223990890867</v>
      </c>
      <c r="F19" s="96" t="n">
        <v>1.426844221442977</v>
      </c>
    </row>
    <row r="20" hidden="1" outlineLevel="2">
      <c r="A20" s="74" t="inlineStr">
        <is>
          <t>MAS_MGT</t>
        </is>
      </c>
      <c r="B20" s="76" t="n">
        <v>739365</v>
      </c>
      <c r="C20" s="95" t="n">
        <v>0.2483555607262649</v>
      </c>
      <c r="D20" s="95" t="n">
        <v>0.2556714556232531</v>
      </c>
      <c r="E20" s="78" t="n">
        <v>0.2629138126247588</v>
      </c>
      <c r="F20" s="96" t="n">
        <v>1.455825189849394</v>
      </c>
    </row>
    <row r="21" hidden="1" outlineLevel="3">
      <c r="A21" s="79" t="inlineStr">
        <is>
          <t>M1</t>
        </is>
      </c>
      <c r="B21" s="76" t="n">
        <v>375615</v>
      </c>
      <c r="C21" s="95" t="n">
        <v>0.2396039582768006</v>
      </c>
      <c r="D21" s="95" t="n">
        <v>0.2462186387693047</v>
      </c>
      <c r="E21" s="78" t="n">
        <v>0.2527121296555245</v>
      </c>
      <c r="F21" s="96" t="n">
        <v>1.310817137872394</v>
      </c>
    </row>
    <row r="22" hidden="1" outlineLevel="4">
      <c r="A22" s="80" t="inlineStr">
        <is>
          <t>Alternance</t>
        </is>
      </c>
      <c r="B22" s="76" t="n">
        <v>375615</v>
      </c>
      <c r="C22" s="95" t="n">
        <v>0.2396039582768006</v>
      </c>
      <c r="D22" s="95" t="n">
        <v>0.2462186387693047</v>
      </c>
      <c r="E22" s="78" t="n">
        <v>0.2527121296555245</v>
      </c>
      <c r="F22" s="96" t="n">
        <v>1.310817137872394</v>
      </c>
    </row>
    <row r="23" hidden="1" outlineLevel="3">
      <c r="A23" s="79" t="inlineStr">
        <is>
          <t>M2</t>
        </is>
      </c>
      <c r="B23" s="76" t="n">
        <v>363750</v>
      </c>
      <c r="C23" s="95" t="n">
        <v>0.2574167910974418</v>
      </c>
      <c r="D23" s="95" t="n">
        <v>0.265444826433249</v>
      </c>
      <c r="E23" s="78" t="n">
        <v>0.2734482597683709</v>
      </c>
      <c r="F23" s="96" t="n">
        <v>1.603146867092919</v>
      </c>
    </row>
    <row r="24" hidden="1" outlineLevel="4">
      <c r="A24" s="80" t="inlineStr">
        <is>
          <t>Alternance</t>
        </is>
      </c>
      <c r="B24" s="76" t="n">
        <v>363750</v>
      </c>
      <c r="C24" s="95" t="n">
        <v>0.2574167910974418</v>
      </c>
      <c r="D24" s="95" t="n">
        <v>0.265444826433249</v>
      </c>
      <c r="E24" s="78" t="n">
        <v>0.2734482597683709</v>
      </c>
      <c r="F24" s="96" t="n">
        <v>1.603146867092919</v>
      </c>
    </row>
    <row r="25" outlineLevel="1">
      <c r="A25" s="69" t="inlineStr">
        <is>
          <t>Lyon</t>
        </is>
      </c>
      <c r="B25" s="71" t="n">
        <v>2496705</v>
      </c>
      <c r="C25" s="93" t="n">
        <v>0.2191162995485935</v>
      </c>
      <c r="D25" s="93" t="n">
        <v>0.2210501640451857</v>
      </c>
      <c r="E25" s="73" t="n">
        <v>0.2298630161977837</v>
      </c>
      <c r="F25" s="94" t="n">
        <v>1.074671664919019</v>
      </c>
    </row>
    <row r="26" hidden="1" outlineLevel="2">
      <c r="A26" s="74" t="inlineStr">
        <is>
          <t>BAC_MGT</t>
        </is>
      </c>
      <c r="B26" s="76" t="n">
        <v>1459140</v>
      </c>
      <c r="C26" s="95" t="n">
        <v>0.2062508809610951</v>
      </c>
      <c r="D26" s="95" t="n">
        <v>0.2084287014640229</v>
      </c>
      <c r="E26" s="78" t="n">
        <v>0.2176052657480825</v>
      </c>
      <c r="F26" s="96" t="n">
        <v>1.135438478698741</v>
      </c>
    </row>
    <row r="27" hidden="1" outlineLevel="3">
      <c r="A27" s="79" t="inlineStr">
        <is>
          <t>B1</t>
        </is>
      </c>
      <c r="B27" s="76" t="n">
        <v>525690</v>
      </c>
      <c r="C27" s="95" t="n">
        <v>0.1376531177034389</v>
      </c>
      <c r="D27" s="95" t="n">
        <v>0.1387191292094517</v>
      </c>
      <c r="E27" s="78" t="n">
        <v>0.1475958602703101</v>
      </c>
      <c r="F27" s="96" t="n">
        <v>0.9942742566871138</v>
      </c>
    </row>
    <row r="28" hidden="1" outlineLevel="4">
      <c r="A28" s="80" t="inlineStr">
        <is>
          <t>Initial</t>
        </is>
      </c>
      <c r="B28" s="76" t="n">
        <v>525690</v>
      </c>
      <c r="C28" s="95" t="n">
        <v>0.1376531177034389</v>
      </c>
      <c r="D28" s="95" t="n">
        <v>0.1387191292094517</v>
      </c>
      <c r="E28" s="78" t="n">
        <v>0.1475958602703101</v>
      </c>
      <c r="F28" s="96" t="n">
        <v>0.9942742566871138</v>
      </c>
    </row>
    <row r="29" hidden="1" outlineLevel="3">
      <c r="A29" s="79" t="inlineStr">
        <is>
          <t>B2</t>
        </is>
      </c>
      <c r="B29" s="76" t="n">
        <v>470400</v>
      </c>
      <c r="C29" s="95" t="n">
        <v>0.2466052353524978</v>
      </c>
      <c r="D29" s="95" t="n">
        <v>0.2492407052279466</v>
      </c>
      <c r="E29" s="78" t="n">
        <v>0.2583703984446492</v>
      </c>
      <c r="F29" s="96" t="n">
        <v>1.176516309215137</v>
      </c>
    </row>
    <row r="30" hidden="1" outlineLevel="4">
      <c r="A30" s="80" t="inlineStr">
        <is>
          <t>Alternance</t>
        </is>
      </c>
      <c r="B30" s="76" t="n">
        <v>470400</v>
      </c>
      <c r="C30" s="95" t="n">
        <v>0.2466052353524978</v>
      </c>
      <c r="D30" s="95" t="n">
        <v>0.2492407052279466</v>
      </c>
      <c r="E30" s="78" t="n">
        <v>0.2583703984446492</v>
      </c>
      <c r="F30" s="96" t="n">
        <v>1.176516309215137</v>
      </c>
    </row>
    <row r="31" hidden="1" outlineLevel="3">
      <c r="A31" s="79" t="inlineStr">
        <is>
          <t>B3</t>
        </is>
      </c>
      <c r="B31" s="76" t="n">
        <v>463050</v>
      </c>
      <c r="C31" s="95" t="n">
        <v>0.2434958593483849</v>
      </c>
      <c r="D31" s="95" t="n">
        <v>0.2463085225330521</v>
      </c>
      <c r="E31" s="78" t="n">
        <v>0.2556731330305471</v>
      </c>
      <c r="F31" s="96" t="n">
        <v>1.217727368216218</v>
      </c>
    </row>
    <row r="32" hidden="1" outlineLevel="4">
      <c r="A32" s="80" t="inlineStr">
        <is>
          <t>Alternance</t>
        </is>
      </c>
      <c r="B32" s="76" t="n">
        <v>463050</v>
      </c>
      <c r="C32" s="95" t="n">
        <v>0.2434958593483849</v>
      </c>
      <c r="D32" s="95" t="n">
        <v>0.2463085225330521</v>
      </c>
      <c r="E32" s="78" t="n">
        <v>0.2556731330305471</v>
      </c>
      <c r="F32" s="96" t="n">
        <v>1.217727368216218</v>
      </c>
    </row>
    <row r="33" hidden="1" outlineLevel="2">
      <c r="A33" s="74" t="inlineStr">
        <is>
          <t>MAS_MGT</t>
        </is>
      </c>
      <c r="B33" s="76" t="n">
        <v>1037565</v>
      </c>
      <c r="C33" s="95" t="n">
        <v>0.2371712846748909</v>
      </c>
      <c r="D33" s="95" t="n">
        <v>0.2387797169761086</v>
      </c>
      <c r="E33" s="78" t="n">
        <v>0.2471012364453605</v>
      </c>
      <c r="F33" s="96" t="n">
        <v>0.9929951770469569</v>
      </c>
    </row>
    <row r="34" hidden="1" outlineLevel="3">
      <c r="A34" s="79" t="inlineStr">
        <is>
          <t>M1</t>
        </is>
      </c>
      <c r="B34" s="76" t="n">
        <v>525690</v>
      </c>
      <c r="C34" s="95" t="n">
        <v>0.2249720063222414</v>
      </c>
      <c r="D34" s="95" t="n">
        <v>0.2256205114976574</v>
      </c>
      <c r="E34" s="78" t="n">
        <v>0.2331270193184183</v>
      </c>
      <c r="F34" s="96" t="n">
        <v>0.815501299617688</v>
      </c>
    </row>
    <row r="35" hidden="1" outlineLevel="4">
      <c r="A35" s="80" t="inlineStr">
        <is>
          <t>Alternance</t>
        </is>
      </c>
      <c r="B35" s="76" t="n">
        <v>525690</v>
      </c>
      <c r="C35" s="95" t="n">
        <v>0.2249720063222414</v>
      </c>
      <c r="D35" s="95" t="n">
        <v>0.2256205114976574</v>
      </c>
      <c r="E35" s="78" t="n">
        <v>0.2331270193184183</v>
      </c>
      <c r="F35" s="96" t="n">
        <v>0.815501299617688</v>
      </c>
    </row>
    <row r="36" hidden="1" outlineLevel="3">
      <c r="A36" s="79" t="inlineStr">
        <is>
          <t>M2</t>
        </is>
      </c>
      <c r="B36" s="76" t="n">
        <v>511875</v>
      </c>
      <c r="C36" s="95" t="n">
        <v>0.2497227195356514</v>
      </c>
      <c r="D36" s="95" t="n">
        <v>0.2523075034792021</v>
      </c>
      <c r="E36" s="78" t="n">
        <v>0.2614526038719046</v>
      </c>
      <c r="F36" s="96" t="n">
        <v>1.172988433625319</v>
      </c>
    </row>
    <row r="37" hidden="1" outlineLevel="4">
      <c r="A37" s="80" t="inlineStr">
        <is>
          <t>Alternance</t>
        </is>
      </c>
      <c r="B37" s="76" t="n">
        <v>511875</v>
      </c>
      <c r="C37" s="95" t="n">
        <v>0.2497227195356514</v>
      </c>
      <c r="D37" s="95" t="n">
        <v>0.2523075034792021</v>
      </c>
      <c r="E37" s="78" t="n">
        <v>0.2614526038719046</v>
      </c>
      <c r="F37" s="96" t="n">
        <v>1.172988433625319</v>
      </c>
    </row>
    <row r="38" outlineLevel="1">
      <c r="A38" s="69" t="inlineStr">
        <is>
          <t>Nantes</t>
        </is>
      </c>
      <c r="B38" s="71" t="n">
        <v>2158300</v>
      </c>
      <c r="C38" s="93" t="n">
        <v>0.2407130690619227</v>
      </c>
      <c r="D38" s="93" t="n">
        <v>0.2501472466839637</v>
      </c>
      <c r="E38" s="73" t="n">
        <v>0.2518685285767535</v>
      </c>
      <c r="F38" s="94" t="n">
        <v>1.115545951483074</v>
      </c>
    </row>
    <row r="39" hidden="1" outlineLevel="2">
      <c r="A39" s="74" t="inlineStr">
        <is>
          <t>BAC_MGT</t>
        </is>
      </c>
      <c r="B39" s="76" t="n">
        <v>1260400</v>
      </c>
      <c r="C39" s="95" t="n">
        <v>0.2434516269828399</v>
      </c>
      <c r="D39" s="95" t="n">
        <v>0.2527730364458416</v>
      </c>
      <c r="E39" s="78" t="n">
        <v>0.254629182121454</v>
      </c>
      <c r="F39" s="96" t="n">
        <v>1.117755513861404</v>
      </c>
    </row>
    <row r="40" hidden="1" outlineLevel="3">
      <c r="A40" s="79" t="inlineStr">
        <is>
          <t>B1</t>
        </is>
      </c>
      <c r="B40" s="76" t="n">
        <v>455400</v>
      </c>
      <c r="C40" s="95" t="n">
        <v>0.235905325324734</v>
      </c>
      <c r="D40" s="95" t="n">
        <v>0.2468246322312894</v>
      </c>
      <c r="E40" s="78" t="n">
        <v>0.2474444722449507</v>
      </c>
      <c r="F40" s="96" t="n">
        <v>1.153914692021674</v>
      </c>
    </row>
    <row r="41" hidden="1" outlineLevel="4">
      <c r="A41" s="80" t="inlineStr">
        <is>
          <t>Initial</t>
        </is>
      </c>
      <c r="B41" s="76" t="n">
        <v>455400</v>
      </c>
      <c r="C41" s="95" t="n">
        <v>0.235905325324734</v>
      </c>
      <c r="D41" s="95" t="n">
        <v>0.2468246322312894</v>
      </c>
      <c r="E41" s="78" t="n">
        <v>0.2474444722449507</v>
      </c>
      <c r="F41" s="96" t="n">
        <v>1.153914692021674</v>
      </c>
    </row>
    <row r="42" hidden="1" outlineLevel="3">
      <c r="A42" s="79" t="inlineStr">
        <is>
          <t>B2</t>
        </is>
      </c>
      <c r="B42" s="76" t="n">
        <v>406000</v>
      </c>
      <c r="C42" s="95" t="n">
        <v>0.249500501226087</v>
      </c>
      <c r="D42" s="95" t="n">
        <v>0.2578636926553771</v>
      </c>
      <c r="E42" s="78" t="n">
        <v>0.2603113708487192</v>
      </c>
      <c r="F42" s="96" t="n">
        <v>1.081086962263228</v>
      </c>
    </row>
    <row r="43" hidden="1" outlineLevel="4">
      <c r="A43" s="80" t="inlineStr">
        <is>
          <t>Alternance</t>
        </is>
      </c>
      <c r="B43" s="76" t="n">
        <v>406000</v>
      </c>
      <c r="C43" s="95" t="n">
        <v>0.249500501226087</v>
      </c>
      <c r="D43" s="95" t="n">
        <v>0.2578636926553771</v>
      </c>
      <c r="E43" s="78" t="n">
        <v>0.2603113708487192</v>
      </c>
      <c r="F43" s="96" t="n">
        <v>1.081086962263228</v>
      </c>
    </row>
    <row r="44" hidden="1" outlineLevel="3">
      <c r="A44" s="79" t="inlineStr">
        <is>
          <t>B3</t>
        </is>
      </c>
      <c r="B44" s="76" t="n">
        <v>399000</v>
      </c>
      <c r="C44" s="95" t="n">
        <v>0.2457873708020679</v>
      </c>
      <c r="D44" s="95" t="n">
        <v>0.2543961990772453</v>
      </c>
      <c r="E44" s="78" t="n">
        <v>0.2570475987993735</v>
      </c>
      <c r="F44" s="96" t="n">
        <v>1.126022799730561</v>
      </c>
    </row>
    <row r="45" hidden="1" outlineLevel="4">
      <c r="A45" s="80" t="inlineStr">
        <is>
          <t>Alternance</t>
        </is>
      </c>
      <c r="B45" s="76" t="n">
        <v>399000</v>
      </c>
      <c r="C45" s="95" t="n">
        <v>0.2457873708020679</v>
      </c>
      <c r="D45" s="95" t="n">
        <v>0.2543961990772453</v>
      </c>
      <c r="E45" s="78" t="n">
        <v>0.2570475987993735</v>
      </c>
      <c r="F45" s="96" t="n">
        <v>1.126022799730561</v>
      </c>
    </row>
    <row r="46" hidden="1" outlineLevel="2">
      <c r="A46" s="74" t="inlineStr">
        <is>
          <t>MAS_MGT</t>
        </is>
      </c>
      <c r="B46" s="76" t="n">
        <v>897900</v>
      </c>
      <c r="C46" s="95" t="n">
        <v>0.2368667883114211</v>
      </c>
      <c r="D46" s="95" t="n">
        <v>0.246465141887048</v>
      </c>
      <c r="E46" s="78" t="n">
        <v>0.247993344561005</v>
      </c>
      <c r="F46" s="96" t="n">
        <v>1.112655624958386</v>
      </c>
    </row>
    <row r="47" hidden="1" outlineLevel="3">
      <c r="A47" s="79" t="inlineStr">
        <is>
          <t>M1</t>
        </is>
      </c>
      <c r="B47" s="76" t="n">
        <v>455400</v>
      </c>
      <c r="C47" s="95" t="n">
        <v>0.2251957034924619</v>
      </c>
      <c r="D47" s="95" t="n">
        <v>0.2364102493450237</v>
      </c>
      <c r="E47" s="78" t="n">
        <v>0.2370785559123368</v>
      </c>
      <c r="F47" s="96" t="n">
        <v>1.188285241987488</v>
      </c>
    </row>
    <row r="48" hidden="1" outlineLevel="4">
      <c r="A48" s="80" t="inlineStr">
        <is>
          <t>Alternance</t>
        </is>
      </c>
      <c r="B48" s="76" t="n">
        <v>455400</v>
      </c>
      <c r="C48" s="95" t="n">
        <v>0.2251957034924619</v>
      </c>
      <c r="D48" s="95" t="n">
        <v>0.2364102493450237</v>
      </c>
      <c r="E48" s="78" t="n">
        <v>0.2370785559123368</v>
      </c>
      <c r="F48" s="96" t="n">
        <v>1.188285241987488</v>
      </c>
    </row>
    <row r="49" hidden="1" outlineLevel="3">
      <c r="A49" s="79" t="inlineStr">
        <is>
          <t>M2</t>
        </is>
      </c>
      <c r="B49" s="76" t="n">
        <v>442500</v>
      </c>
      <c r="C49" s="95" t="n">
        <v>0.2486779261482079</v>
      </c>
      <c r="D49" s="95" t="n">
        <v>0.2568223994119432</v>
      </c>
      <c r="E49" s="78" t="n">
        <v>0.2592263270482446</v>
      </c>
      <c r="F49" s="96" t="n">
        <v>1.054840090003673</v>
      </c>
    </row>
    <row r="50" hidden="1" outlineLevel="4">
      <c r="A50" s="80" t="inlineStr">
        <is>
          <t>Alternance</t>
        </is>
      </c>
      <c r="B50" s="76" t="n">
        <v>442500</v>
      </c>
      <c r="C50" s="95" t="n">
        <v>0.2486779261482079</v>
      </c>
      <c r="D50" s="95" t="n">
        <v>0.2568223994119432</v>
      </c>
      <c r="E50" s="78" t="n">
        <v>0.2592263270482446</v>
      </c>
      <c r="F50" s="96" t="n">
        <v>1.054840090003673</v>
      </c>
    </row>
    <row r="51" outlineLevel="1">
      <c r="A51" s="69" t="inlineStr">
        <is>
          <t>Paris</t>
        </is>
      </c>
      <c r="B51" s="71" t="n">
        <v>3138840</v>
      </c>
      <c r="C51" s="93" t="n">
        <v>0.05026048413768035</v>
      </c>
      <c r="D51" s="93" t="n">
        <v>0.06262960321328659</v>
      </c>
      <c r="E51" s="73" t="n">
        <v>0.06618022845090719</v>
      </c>
      <c r="F51" s="94" t="n">
        <v>1.591974431322685</v>
      </c>
    </row>
    <row r="52" hidden="1" outlineLevel="2">
      <c r="A52" s="74" t="inlineStr">
        <is>
          <t>BAC_MGT</t>
        </is>
      </c>
      <c r="B52" s="76" t="n">
        <v>1838220</v>
      </c>
      <c r="C52" s="82" t="n">
        <v>0.01214301118013412</v>
      </c>
      <c r="D52" s="82" t="n">
        <v>0.0251459885080759</v>
      </c>
      <c r="E52" s="82" t="n">
        <v>0.02915369245173039</v>
      </c>
      <c r="F52" s="96" t="n">
        <v>1.701068127159627</v>
      </c>
    </row>
    <row r="53" hidden="1" outlineLevel="3">
      <c r="A53" s="79" t="inlineStr">
        <is>
          <t>B1</t>
        </is>
      </c>
      <c r="B53" s="76" t="n">
        <v>662220</v>
      </c>
      <c r="C53" s="82" t="n">
        <v>-0.005332879705749615</v>
      </c>
      <c r="D53" s="82" t="n">
        <v>0.009102480846204143</v>
      </c>
      <c r="E53" s="82" t="n">
        <v>0.01132289503893838</v>
      </c>
      <c r="F53" s="96" t="n">
        <v>1.6655774744688</v>
      </c>
    </row>
    <row r="54" hidden="1" outlineLevel="4">
      <c r="A54" s="80" t="inlineStr">
        <is>
          <t>Initial</t>
        </is>
      </c>
      <c r="B54" s="76" t="n">
        <v>662220</v>
      </c>
      <c r="C54" s="82" t="n">
        <v>-0.005332879705749615</v>
      </c>
      <c r="D54" s="82" t="n">
        <v>0.009102480846204143</v>
      </c>
      <c r="E54" s="82" t="n">
        <v>0.01132289503893838</v>
      </c>
      <c r="F54" s="96" t="n">
        <v>1.6655774744688</v>
      </c>
    </row>
    <row r="55" hidden="1" outlineLevel="3">
      <c r="A55" s="79" t="inlineStr">
        <is>
          <t>B2</t>
        </is>
      </c>
      <c r="B55" s="76" t="n">
        <v>595840</v>
      </c>
      <c r="C55" s="82" t="n">
        <v>0.02590584903230555</v>
      </c>
      <c r="D55" s="82" t="n">
        <v>0.03794491970566102</v>
      </c>
      <c r="E55" s="82" t="n">
        <v>0.04271348043021603</v>
      </c>
      <c r="F55" s="96" t="n">
        <v>1.680763139791048</v>
      </c>
    </row>
    <row r="56" hidden="1" outlineLevel="4">
      <c r="A56" s="80" t="inlineStr">
        <is>
          <t>Alternance</t>
        </is>
      </c>
      <c r="B56" s="76" t="n">
        <v>595840</v>
      </c>
      <c r="C56" s="82" t="n">
        <v>0.02590584903230555</v>
      </c>
      <c r="D56" s="82" t="n">
        <v>0.03794491970566102</v>
      </c>
      <c r="E56" s="82" t="n">
        <v>0.04271348043021603</v>
      </c>
      <c r="F56" s="96" t="n">
        <v>1.680763139791048</v>
      </c>
    </row>
    <row r="57" hidden="1" outlineLevel="3">
      <c r="A57" s="79" t="inlineStr">
        <is>
          <t>B3</t>
        </is>
      </c>
      <c r="B57" s="76" t="n">
        <v>580160</v>
      </c>
      <c r="C57" s="82" t="n">
        <v>0.01774812003161431</v>
      </c>
      <c r="D57" s="82" t="n">
        <v>0.03034779871440737</v>
      </c>
      <c r="E57" s="82" t="n">
        <v>0.03558027579701142</v>
      </c>
      <c r="F57" s="96" t="n">
        <v>1.78321557653971</v>
      </c>
    </row>
    <row r="58" hidden="1" outlineLevel="4">
      <c r="A58" s="80" t="inlineStr">
        <is>
          <t>Alternance</t>
        </is>
      </c>
      <c r="B58" s="76" t="n">
        <v>580160</v>
      </c>
      <c r="C58" s="82" t="n">
        <v>0.01774812003161431</v>
      </c>
      <c r="D58" s="82" t="n">
        <v>0.03034779871440737</v>
      </c>
      <c r="E58" s="82" t="n">
        <v>0.03558027579701142</v>
      </c>
      <c r="F58" s="96" t="n">
        <v>1.78321557653971</v>
      </c>
    </row>
    <row r="59" hidden="1" outlineLevel="2">
      <c r="A59" s="74" t="inlineStr">
        <is>
          <t>MAS_MGT</t>
        </is>
      </c>
      <c r="B59" s="76" t="n">
        <v>1300620</v>
      </c>
      <c r="C59" s="95" t="n">
        <v>0.1041703805288437</v>
      </c>
      <c r="D59" s="95" t="n">
        <v>0.1155704287641216</v>
      </c>
      <c r="E59" s="78" t="n">
        <v>0.1185113620674953</v>
      </c>
      <c r="F59" s="96" t="n">
        <v>1.434098153865154</v>
      </c>
    </row>
    <row r="60" hidden="1" outlineLevel="3">
      <c r="A60" s="79" t="inlineStr">
        <is>
          <t>M1</t>
        </is>
      </c>
      <c r="B60" s="76" t="n">
        <v>662220</v>
      </c>
      <c r="C60" s="95" t="n">
        <v>0.08653901561867294</v>
      </c>
      <c r="D60" s="95" t="n">
        <v>0.09869206159302878</v>
      </c>
      <c r="E60" s="78" t="n">
        <v>0.1003751737378601</v>
      </c>
      <c r="F60" s="96" t="n">
        <v>1.383615811918717</v>
      </c>
    </row>
    <row r="61" hidden="1" outlineLevel="4">
      <c r="A61" s="80" t="inlineStr">
        <is>
          <t>Alternance</t>
        </is>
      </c>
      <c r="B61" s="76" t="n">
        <v>662220</v>
      </c>
      <c r="C61" s="95" t="n">
        <v>0.08653901561867294</v>
      </c>
      <c r="D61" s="95" t="n">
        <v>0.09869206159302878</v>
      </c>
      <c r="E61" s="78" t="n">
        <v>0.1003751737378601</v>
      </c>
      <c r="F61" s="96" t="n">
        <v>1.383615811918717</v>
      </c>
    </row>
    <row r="62" hidden="1" outlineLevel="3">
      <c r="A62" s="79" t="inlineStr">
        <is>
          <t>M2</t>
        </is>
      </c>
      <c r="B62" s="76" t="n">
        <v>638400</v>
      </c>
      <c r="C62" s="95" t="n">
        <v>0.1222527157494795</v>
      </c>
      <c r="D62" s="95" t="n">
        <v>0.1331035024395693</v>
      </c>
      <c r="E62" s="78" t="n">
        <v>0.137324248401535</v>
      </c>
      <c r="F62" s="96" t="n">
        <v>1.507153265205551</v>
      </c>
    </row>
    <row r="63" hidden="1" outlineLevel="4">
      <c r="A63" s="80" t="inlineStr">
        <is>
          <t>Alternance</t>
        </is>
      </c>
      <c r="B63" s="76" t="n">
        <v>638400</v>
      </c>
      <c r="C63" s="95" t="n">
        <v>0.1222527157494795</v>
      </c>
      <c r="D63" s="95" t="n">
        <v>0.1331035024395693</v>
      </c>
      <c r="E63" s="78" t="n">
        <v>0.137324248401535</v>
      </c>
      <c r="F63" s="96" t="n">
        <v>1.507153265205551</v>
      </c>
    </row>
    <row r="64">
      <c r="A64" s="64" t="inlineStr">
        <is>
          <t>Iscom</t>
        </is>
      </c>
      <c r="B64" s="66" t="n">
        <v>6292550</v>
      </c>
      <c r="C64" s="91" t="n">
        <v>0.1444641917808717</v>
      </c>
      <c r="D64" s="91" t="n">
        <v>0.1505317276302517</v>
      </c>
      <c r="E64" s="68" t="n">
        <v>0.1592472957412916</v>
      </c>
      <c r="F64" s="92" t="n">
        <v>1.478310396041982</v>
      </c>
    </row>
    <row r="65" outlineLevel="1">
      <c r="A65" s="69" t="inlineStr">
        <is>
          <t>Lille</t>
        </is>
      </c>
      <c r="B65" s="71" t="n">
        <v>1755850</v>
      </c>
      <c r="C65" s="93" t="n">
        <v>0.2637498509659628</v>
      </c>
      <c r="D65" s="93" t="n">
        <v>0.2676054468131998</v>
      </c>
      <c r="E65" s="73" t="n">
        <v>0.2755232200694355</v>
      </c>
      <c r="F65" s="94" t="n">
        <v>1.177336910347265</v>
      </c>
    </row>
    <row r="66" hidden="1" outlineLevel="2">
      <c r="A66" s="74" t="inlineStr">
        <is>
          <t>BAC_COM</t>
        </is>
      </c>
      <c r="B66" s="76" t="n">
        <v>1023700</v>
      </c>
      <c r="C66" s="95" t="n">
        <v>0.2321752280279213</v>
      </c>
      <c r="D66" s="95" t="n">
        <v>0.2362191201058856</v>
      </c>
      <c r="E66" s="78" t="n">
        <v>0.2448297371317927</v>
      </c>
      <c r="F66" s="96" t="n">
        <v>1.265450910387139</v>
      </c>
    </row>
    <row r="67" hidden="1" outlineLevel="3">
      <c r="A67" s="79" t="inlineStr">
        <is>
          <t>B1</t>
        </is>
      </c>
      <c r="B67" s="76" t="n">
        <v>372000</v>
      </c>
      <c r="C67" s="95" t="n">
        <v>0.2230425742527785</v>
      </c>
      <c r="D67" s="95" t="n">
        <v>0.229506340773738</v>
      </c>
      <c r="E67" s="78" t="n">
        <v>0.2368685362456584</v>
      </c>
      <c r="F67" s="96" t="n">
        <v>1.382596199287986</v>
      </c>
    </row>
    <row r="68" hidden="1" outlineLevel="4">
      <c r="A68" s="80" t="inlineStr">
        <is>
          <t>Initial</t>
        </is>
      </c>
      <c r="B68" s="76" t="n">
        <v>372000</v>
      </c>
      <c r="C68" s="95" t="n">
        <v>0.2230425742527785</v>
      </c>
      <c r="D68" s="95" t="n">
        <v>0.229506340773738</v>
      </c>
      <c r="E68" s="78" t="n">
        <v>0.2368685362456584</v>
      </c>
      <c r="F68" s="96" t="n">
        <v>1.382596199287986</v>
      </c>
    </row>
    <row r="69" hidden="1" outlineLevel="3">
      <c r="A69" s="79" t="inlineStr">
        <is>
          <t>B2</t>
        </is>
      </c>
      <c r="B69" s="76" t="n">
        <v>329280</v>
      </c>
      <c r="C69" s="95" t="n">
        <v>0.2398492644815483</v>
      </c>
      <c r="D69" s="95" t="n">
        <v>0.242494570634523</v>
      </c>
      <c r="E69" s="78" t="n">
        <v>0.2516109440720648</v>
      </c>
      <c r="F69" s="96" t="n">
        <v>1.176167959051655</v>
      </c>
    </row>
    <row r="70" hidden="1" outlineLevel="4">
      <c r="A70" s="80" t="inlineStr">
        <is>
          <t>Alternance</t>
        </is>
      </c>
      <c r="B70" s="76" t="n">
        <v>329280</v>
      </c>
      <c r="C70" s="95" t="n">
        <v>0.2398492644815483</v>
      </c>
      <c r="D70" s="95" t="n">
        <v>0.242494570634523</v>
      </c>
      <c r="E70" s="78" t="n">
        <v>0.2516109440720648</v>
      </c>
      <c r="F70" s="96" t="n">
        <v>1.176167959051655</v>
      </c>
    </row>
    <row r="71" hidden="1" outlineLevel="3">
      <c r="A71" s="79" t="inlineStr">
        <is>
          <t>B3</t>
        </is>
      </c>
      <c r="B71" s="76" t="n">
        <v>322420</v>
      </c>
      <c r="C71" s="95" t="n">
        <v>0.2346949360202159</v>
      </c>
      <c r="D71" s="95" t="n">
        <v>0.2375777640850634</v>
      </c>
      <c r="E71" s="78" t="n">
        <v>0.2470896803994225</v>
      </c>
      <c r="F71" s="96" t="n">
        <v>1.239474437920657</v>
      </c>
    </row>
    <row r="72" hidden="1" outlineLevel="4">
      <c r="A72" s="80" t="inlineStr">
        <is>
          <t>Alternance</t>
        </is>
      </c>
      <c r="B72" s="76" t="n">
        <v>322420</v>
      </c>
      <c r="C72" s="95" t="n">
        <v>0.2346949360202159</v>
      </c>
      <c r="D72" s="95" t="n">
        <v>0.2375777640850634</v>
      </c>
      <c r="E72" s="78" t="n">
        <v>0.2470896803994225</v>
      </c>
      <c r="F72" s="96" t="n">
        <v>1.239474437920657</v>
      </c>
    </row>
    <row r="73" hidden="1" outlineLevel="2">
      <c r="A73" s="74" t="inlineStr">
        <is>
          <t>MAS_COM</t>
        </is>
      </c>
      <c r="B73" s="76" t="n">
        <v>732150</v>
      </c>
      <c r="C73" s="95" t="n">
        <v>0.3079250172333566</v>
      </c>
      <c r="D73" s="95" t="n">
        <v>0.3114243694787282</v>
      </c>
      <c r="E73" s="78" t="n">
        <v>0.3184391778421117</v>
      </c>
      <c r="F73" s="96" t="n">
        <v>1.051416060875515</v>
      </c>
    </row>
    <row r="74" hidden="1" outlineLevel="3">
      <c r="A74" s="79" t="inlineStr">
        <is>
          <t>M1</t>
        </is>
      </c>
      <c r="B74" s="76" t="n">
        <v>372000</v>
      </c>
      <c r="C74" s="95" t="n">
        <v>0.2961934631823973</v>
      </c>
      <c r="D74" s="95" t="n">
        <v>0.3011261074175265</v>
      </c>
      <c r="E74" s="78" t="n">
        <v>0.3074046249553358</v>
      </c>
      <c r="F74" s="96" t="n">
        <v>1.121116177293852</v>
      </c>
    </row>
    <row r="75" hidden="1" outlineLevel="4">
      <c r="A75" s="80" t="inlineStr">
        <is>
          <t>Alternance</t>
        </is>
      </c>
      <c r="B75" s="76" t="n">
        <v>372000</v>
      </c>
      <c r="C75" s="95" t="n">
        <v>0.2961934631823973</v>
      </c>
      <c r="D75" s="95" t="n">
        <v>0.3011261074175265</v>
      </c>
      <c r="E75" s="78" t="n">
        <v>0.3074046249553358</v>
      </c>
      <c r="F75" s="96" t="n">
        <v>1.121116177293852</v>
      </c>
    </row>
    <row r="76" hidden="1" outlineLevel="3">
      <c r="A76" s="79" t="inlineStr">
        <is>
          <t>M2</t>
        </is>
      </c>
      <c r="B76" s="76" t="n">
        <v>360150</v>
      </c>
      <c r="C76" s="95" t="n">
        <v>0.3198002229665726</v>
      </c>
      <c r="D76" s="95" t="n">
        <v>0.3220753492999674</v>
      </c>
      <c r="E76" s="78" t="n">
        <v>0.3298368001491523</v>
      </c>
      <c r="F76" s="96" t="n">
        <v>1.003657718257972</v>
      </c>
    </row>
    <row r="77" hidden="1" outlineLevel="4">
      <c r="A77" s="80" t="inlineStr">
        <is>
          <t>Alternance</t>
        </is>
      </c>
      <c r="B77" s="76" t="n">
        <v>360150</v>
      </c>
      <c r="C77" s="95" t="n">
        <v>0.3198002229665726</v>
      </c>
      <c r="D77" s="95" t="n">
        <v>0.3220753492999674</v>
      </c>
      <c r="E77" s="78" t="n">
        <v>0.3298368001491523</v>
      </c>
      <c r="F77" s="96" t="n">
        <v>1.003657718257972</v>
      </c>
    </row>
    <row r="78" outlineLevel="1">
      <c r="A78" s="69" t="inlineStr">
        <is>
          <t>Paris</t>
        </is>
      </c>
      <c r="B78" s="71" t="n">
        <v>2908720</v>
      </c>
      <c r="C78" s="97" t="n">
        <v>0.0146778336565934</v>
      </c>
      <c r="D78" s="97" t="n">
        <v>0.02678564247797346</v>
      </c>
      <c r="E78" s="84" t="n">
        <v>0.03413870805884781</v>
      </c>
      <c r="F78" s="94" t="n">
        <v>1.946087440225441</v>
      </c>
    </row>
    <row r="79" hidden="1" outlineLevel="2">
      <c r="A79" s="74" t="inlineStr">
        <is>
          <t>BAC_COM</t>
        </is>
      </c>
      <c r="B79" s="76" t="n">
        <v>1701040</v>
      </c>
      <c r="C79" s="82" t="n">
        <v>-0.02698420590370388</v>
      </c>
      <c r="D79" s="82" t="n">
        <v>-0.01396108785908367</v>
      </c>
      <c r="E79" s="82" t="n">
        <v>-0.005929449420008155</v>
      </c>
      <c r="F79" s="96" t="n">
        <v>2.105475648369573</v>
      </c>
    </row>
    <row r="80" hidden="1" outlineLevel="3">
      <c r="A80" s="79" t="inlineStr">
        <is>
          <t>B1</t>
        </is>
      </c>
      <c r="B80" s="76" t="n">
        <v>611280</v>
      </c>
      <c r="C80" s="82" t="n">
        <v>-0.04205170397110557</v>
      </c>
      <c r="D80" s="82" t="n">
        <v>-0.0306245444850244</v>
      </c>
      <c r="E80" s="82" t="n">
        <v>-0.02422908875681863</v>
      </c>
      <c r="F80" s="96" t="n">
        <v>1.782261521428694</v>
      </c>
    </row>
    <row r="81" hidden="1" outlineLevel="4">
      <c r="A81" s="80" t="inlineStr">
        <is>
          <t>Initial</t>
        </is>
      </c>
      <c r="B81" s="76" t="n">
        <v>611280</v>
      </c>
      <c r="C81" s="82" t="n">
        <v>-0.04205170397110557</v>
      </c>
      <c r="D81" s="82" t="n">
        <v>-0.0306245444850244</v>
      </c>
      <c r="E81" s="82" t="n">
        <v>-0.02422908875681863</v>
      </c>
      <c r="F81" s="96" t="n">
        <v>1.782261521428694</v>
      </c>
    </row>
    <row r="82" hidden="1" outlineLevel="3">
      <c r="A82" s="79" t="inlineStr">
        <is>
          <t>B2</t>
        </is>
      </c>
      <c r="B82" s="76" t="n">
        <v>548800</v>
      </c>
      <c r="C82" s="82" t="n">
        <v>-0.01609374228277353</v>
      </c>
      <c r="D82" s="82" t="n">
        <v>-0.002379931900550646</v>
      </c>
      <c r="E82" s="82" t="n">
        <v>0.006396900908326091</v>
      </c>
      <c r="F82" s="96" t="n">
        <v>2.249064319109962</v>
      </c>
    </row>
    <row r="83" hidden="1" outlineLevel="4">
      <c r="A83" s="80" t="inlineStr">
        <is>
          <t>Alternance</t>
        </is>
      </c>
      <c r="B83" s="76" t="n">
        <v>548800</v>
      </c>
      <c r="C83" s="82" t="n">
        <v>-0.01609374228277353</v>
      </c>
      <c r="D83" s="82" t="n">
        <v>-0.002379931900550646</v>
      </c>
      <c r="E83" s="82" t="n">
        <v>0.006396900908326091</v>
      </c>
      <c r="F83" s="96" t="n">
        <v>2.249064319109962</v>
      </c>
    </row>
    <row r="84" hidden="1" outlineLevel="3">
      <c r="A84" s="79" t="inlineStr">
        <is>
          <t>B3</t>
        </is>
      </c>
      <c r="B84" s="76" t="n">
        <v>540960</v>
      </c>
      <c r="C84" s="82" t="n">
        <v>-0.02093402358302483</v>
      </c>
      <c r="D84" s="82" t="n">
        <v>-0.006842576398909472</v>
      </c>
      <c r="E84" s="82" t="n">
        <v>0.002243987569077308</v>
      </c>
      <c r="F84" s="96" t="n">
        <v>2.317801115210214</v>
      </c>
    </row>
    <row r="85" hidden="1" outlineLevel="4">
      <c r="A85" s="80" t="inlineStr">
        <is>
          <t>Alternance</t>
        </is>
      </c>
      <c r="B85" s="76" t="n">
        <v>540960</v>
      </c>
      <c r="C85" s="82" t="n">
        <v>-0.02093402358302483</v>
      </c>
      <c r="D85" s="82" t="n">
        <v>-0.006842576398909472</v>
      </c>
      <c r="E85" s="82" t="n">
        <v>0.002243987569077308</v>
      </c>
      <c r="F85" s="96" t="n">
        <v>2.317801115210214</v>
      </c>
    </row>
    <row r="86" hidden="1" outlineLevel="2">
      <c r="A86" s="74" t="inlineStr">
        <is>
          <t>MAS_COM</t>
        </is>
      </c>
      <c r="B86" s="76" t="n">
        <v>1207680</v>
      </c>
      <c r="C86" s="95" t="n">
        <v>0.0732414793307459</v>
      </c>
      <c r="D86" s="95" t="n">
        <v>0.08412383870605557</v>
      </c>
      <c r="E86" s="78" t="n">
        <v>0.09057546166728148</v>
      </c>
      <c r="F86" s="96" t="n">
        <v>1.733398233653558</v>
      </c>
    </row>
    <row r="87" hidden="1" outlineLevel="3">
      <c r="A87" s="79" t="inlineStr">
        <is>
          <t>M1</t>
        </is>
      </c>
      <c r="B87" s="76" t="n">
        <v>611280</v>
      </c>
      <c r="C87" s="95" t="n">
        <v>0.0569976831755375</v>
      </c>
      <c r="D87" s="95" t="n">
        <v>0.0668699992688729</v>
      </c>
      <c r="E87" s="78" t="n">
        <v>0.07224421316701335</v>
      </c>
      <c r="F87" s="96" t="n">
        <v>1.524652999147585</v>
      </c>
    </row>
    <row r="88" hidden="1" outlineLevel="4">
      <c r="A88" s="80" t="inlineStr">
        <is>
          <t>Alternance</t>
        </is>
      </c>
      <c r="B88" s="76" t="n">
        <v>611280</v>
      </c>
      <c r="C88" s="95" t="n">
        <v>0.0569976831755375</v>
      </c>
      <c r="D88" s="95" t="n">
        <v>0.0668699992688729</v>
      </c>
      <c r="E88" s="78" t="n">
        <v>0.07224421316701335</v>
      </c>
      <c r="F88" s="96" t="n">
        <v>1.524652999147585</v>
      </c>
    </row>
    <row r="89" hidden="1" outlineLevel="3">
      <c r="A89" s="79" t="inlineStr">
        <is>
          <t>M2</t>
        </is>
      </c>
      <c r="B89" s="76" t="n">
        <v>596400</v>
      </c>
      <c r="C89" s="95" t="n">
        <v>0.089919916743622</v>
      </c>
      <c r="D89" s="95" t="n">
        <v>0.1018228198430035</v>
      </c>
      <c r="E89" s="78" t="n">
        <v>0.1093640692850613</v>
      </c>
      <c r="F89" s="96" t="n">
        <v>1.94441525414393</v>
      </c>
    </row>
    <row r="90" hidden="1" outlineLevel="4">
      <c r="A90" s="80" t="inlineStr">
        <is>
          <t>Alternance</t>
        </is>
      </c>
      <c r="B90" s="76" t="n">
        <v>596400</v>
      </c>
      <c r="C90" s="95" t="n">
        <v>0.089919916743622</v>
      </c>
      <c r="D90" s="95" t="n">
        <v>0.1018228198430035</v>
      </c>
      <c r="E90" s="78" t="n">
        <v>0.1093640692850613</v>
      </c>
      <c r="F90" s="96" t="n">
        <v>1.94441525414393</v>
      </c>
    </row>
    <row r="91" outlineLevel="1">
      <c r="A91" s="69" t="inlineStr">
        <is>
          <t>Toulouse</t>
        </is>
      </c>
      <c r="B91" s="71" t="n">
        <v>1627980</v>
      </c>
      <c r="C91" s="93" t="n">
        <v>0.2468478569967575</v>
      </c>
      <c r="D91" s="93" t="n">
        <v>0.2468854289317035</v>
      </c>
      <c r="E91" s="73" t="n">
        <v>0.2573705954329993</v>
      </c>
      <c r="F91" s="94" t="n">
        <v>1.052273843624174</v>
      </c>
    </row>
    <row r="92" hidden="1" outlineLevel="2">
      <c r="A92" s="74" t="inlineStr">
        <is>
          <t>BAC_COM</t>
        </is>
      </c>
      <c r="B92" s="76" t="n">
        <v>954150</v>
      </c>
      <c r="C92" s="95" t="n">
        <v>0.2148277529141832</v>
      </c>
      <c r="D92" s="95" t="n">
        <v>0.2150713367404114</v>
      </c>
      <c r="E92" s="78" t="n">
        <v>0.226285161265295</v>
      </c>
      <c r="F92" s="96" t="n">
        <v>1.145740835111175</v>
      </c>
    </row>
    <row r="93" hidden="1" outlineLevel="3">
      <c r="A93" s="79" t="inlineStr">
        <is>
          <t>B1</t>
        </is>
      </c>
      <c r="B93" s="76" t="n">
        <v>342630</v>
      </c>
      <c r="C93" s="95" t="n">
        <v>0.2067960942749427</v>
      </c>
      <c r="D93" s="95" t="n">
        <v>0.2058544918714131</v>
      </c>
      <c r="E93" s="78" t="n">
        <v>0.21611631533911</v>
      </c>
      <c r="F93" s="96" t="n">
        <v>0.9320221064167328</v>
      </c>
    </row>
    <row r="94" hidden="1" outlineLevel="4">
      <c r="A94" s="80" t="inlineStr">
        <is>
          <t>Initial</t>
        </is>
      </c>
      <c r="B94" s="76" t="n">
        <v>342630</v>
      </c>
      <c r="C94" s="95" t="n">
        <v>0.2067960942749427</v>
      </c>
      <c r="D94" s="95" t="n">
        <v>0.2058544918714131</v>
      </c>
      <c r="E94" s="78" t="n">
        <v>0.21611631533911</v>
      </c>
      <c r="F94" s="96" t="n">
        <v>0.9320221064167328</v>
      </c>
    </row>
    <row r="95" hidden="1" outlineLevel="3">
      <c r="A95" s="79" t="inlineStr">
        <is>
          <t>B2</t>
        </is>
      </c>
      <c r="B95" s="76" t="n">
        <v>309120</v>
      </c>
      <c r="C95" s="95" t="n">
        <v>0.2221662115920355</v>
      </c>
      <c r="D95" s="95" t="n">
        <v>0.2229274288471038</v>
      </c>
      <c r="E95" s="78" t="n">
        <v>0.234434725048828</v>
      </c>
      <c r="F95" s="96" t="n">
        <v>1.226851345679256</v>
      </c>
    </row>
    <row r="96" hidden="1" outlineLevel="4">
      <c r="A96" s="80" t="inlineStr">
        <is>
          <t>Alternance</t>
        </is>
      </c>
      <c r="B96" s="76" t="n">
        <v>309120</v>
      </c>
      <c r="C96" s="95" t="n">
        <v>0.2221662115920355</v>
      </c>
      <c r="D96" s="95" t="n">
        <v>0.2229274288471038</v>
      </c>
      <c r="E96" s="78" t="n">
        <v>0.234434725048828</v>
      </c>
      <c r="F96" s="96" t="n">
        <v>1.226851345679256</v>
      </c>
    </row>
    <row r="97" hidden="1" outlineLevel="3">
      <c r="A97" s="79" t="inlineStr">
        <is>
          <t>B3</t>
        </is>
      </c>
      <c r="B97" s="76" t="n">
        <v>302400</v>
      </c>
      <c r="C97" s="95" t="n">
        <v>0.2164543939381445</v>
      </c>
      <c r="D97" s="95" t="n">
        <v>0.2175029509163966</v>
      </c>
      <c r="E97" s="78" t="n">
        <v>0.2294761616717864</v>
      </c>
      <c r="F97" s="96" t="n">
        <v>1.302176773364186</v>
      </c>
    </row>
    <row r="98" hidden="1" outlineLevel="4">
      <c r="A98" s="80" t="inlineStr">
        <is>
          <t>Alternance</t>
        </is>
      </c>
      <c r="B98" s="76" t="n">
        <v>302400</v>
      </c>
      <c r="C98" s="95" t="n">
        <v>0.2164543939381445</v>
      </c>
      <c r="D98" s="95" t="n">
        <v>0.2175029509163966</v>
      </c>
      <c r="E98" s="78" t="n">
        <v>0.2294761616717864</v>
      </c>
      <c r="F98" s="96" t="n">
        <v>1.302176773364186</v>
      </c>
    </row>
    <row r="99" hidden="1" outlineLevel="2">
      <c r="A99" s="74" t="inlineStr">
        <is>
          <t>MAS_COM</t>
        </is>
      </c>
      <c r="B99" s="76" t="n">
        <v>673830</v>
      </c>
      <c r="C99" s="95" t="n">
        <v>0.2921322005436488</v>
      </c>
      <c r="D99" s="95" t="n">
        <v>0.2919023996642134</v>
      </c>
      <c r="E99" s="78" t="n">
        <v>0.3013878802245863</v>
      </c>
      <c r="F99" s="96" t="n">
        <v>0.925567968093749</v>
      </c>
    </row>
    <row r="100" hidden="1" outlineLevel="3">
      <c r="A100" s="79" t="inlineStr">
        <is>
          <t>M1</t>
        </is>
      </c>
      <c r="B100" s="76" t="n">
        <v>342630</v>
      </c>
      <c r="C100" s="95" t="n">
        <v>0.2838938798912468</v>
      </c>
      <c r="D100" s="95" t="n">
        <v>0.2828199800869012</v>
      </c>
      <c r="E100" s="78" t="n">
        <v>0.2916083913394601</v>
      </c>
      <c r="F100" s="96" t="n">
        <v>0.771451144821339</v>
      </c>
    </row>
    <row r="101" hidden="1" outlineLevel="4">
      <c r="A101" s="80" t="inlineStr">
        <is>
          <t>Alternance</t>
        </is>
      </c>
      <c r="B101" s="76" t="n">
        <v>342630</v>
      </c>
      <c r="C101" s="95" t="n">
        <v>0.2838938798912468</v>
      </c>
      <c r="D101" s="95" t="n">
        <v>0.2828199800869012</v>
      </c>
      <c r="E101" s="78" t="n">
        <v>0.2916083913394601</v>
      </c>
      <c r="F101" s="96" t="n">
        <v>0.771451144821339</v>
      </c>
    </row>
    <row r="102" hidden="1" outlineLevel="3">
      <c r="A102" s="79" t="inlineStr">
        <is>
          <t>M2</t>
        </is>
      </c>
      <c r="B102" s="76" t="n">
        <v>331200</v>
      </c>
      <c r="C102" s="95" t="n">
        <v>0.3006769465373902</v>
      </c>
      <c r="D102" s="95" t="n">
        <v>0.3013122087844287</v>
      </c>
      <c r="E102" s="78" t="n">
        <v>0.3115048677750414</v>
      </c>
      <c r="F102" s="96" t="n">
        <v>1.082792123765119</v>
      </c>
    </row>
    <row r="103" hidden="1" outlineLevel="4">
      <c r="A103" s="80" t="inlineStr">
        <is>
          <t>Alternance</t>
        </is>
      </c>
      <c r="B103" s="76" t="n">
        <v>331200</v>
      </c>
      <c r="C103" s="95" t="n">
        <v>0.3006769465373902</v>
      </c>
      <c r="D103" s="95" t="n">
        <v>0.3013122087844287</v>
      </c>
      <c r="E103" s="78" t="n">
        <v>0.3115048677750414</v>
      </c>
      <c r="F103" s="96" t="n">
        <v>1.082792123765119</v>
      </c>
    </row>
    <row r="104">
      <c r="A104" s="64" t="inlineStr">
        <is>
          <t>Ipac</t>
        </is>
      </c>
      <c r="B104" s="66" t="n">
        <v>2582800</v>
      </c>
      <c r="C104" s="91" t="n">
        <v>0.1601473616620489</v>
      </c>
      <c r="D104" s="91" t="n">
        <v>0.1646343683659466</v>
      </c>
      <c r="E104" s="68" t="n">
        <v>0.1695600875549878</v>
      </c>
      <c r="F104" s="92" t="n">
        <v>0.9412725892938845</v>
      </c>
    </row>
    <row r="105" outlineLevel="1">
      <c r="A105" s="69" t="inlineStr">
        <is>
          <t>Montpellier</t>
        </is>
      </c>
      <c r="B105" s="71" t="n">
        <v>781650</v>
      </c>
      <c r="C105" s="93" t="n">
        <v>0.1446784160129386</v>
      </c>
      <c r="D105" s="93" t="n">
        <v>0.1500573725485014</v>
      </c>
      <c r="E105" s="73" t="n">
        <v>0.152141653722489</v>
      </c>
      <c r="F105" s="94" t="n">
        <v>0.7463237709550347</v>
      </c>
    </row>
    <row r="106" hidden="1" outlineLevel="2">
      <c r="A106" s="74" t="inlineStr">
        <is>
          <t>BAC_CCE</t>
        </is>
      </c>
      <c r="B106" s="76" t="n">
        <v>781650</v>
      </c>
      <c r="C106" s="95" t="n">
        <v>0.1446784160129386</v>
      </c>
      <c r="D106" s="95" t="n">
        <v>0.1500573725485014</v>
      </c>
      <c r="E106" s="78" t="n">
        <v>0.152141653722489</v>
      </c>
      <c r="F106" s="96" t="n">
        <v>0.7463237709550347</v>
      </c>
    </row>
    <row r="107" hidden="1" outlineLevel="3">
      <c r="A107" s="79" t="inlineStr">
        <is>
          <t>B1</t>
        </is>
      </c>
      <c r="B107" s="76" t="n">
        <v>269600</v>
      </c>
      <c r="C107" s="95" t="n">
        <v>0.1255188417000686</v>
      </c>
      <c r="D107" s="95" t="n">
        <v>0.1289379675247281</v>
      </c>
      <c r="E107" s="78" t="n">
        <v>0.1290070108704044</v>
      </c>
      <c r="F107" s="96" t="n">
        <v>0.3488169170335814</v>
      </c>
    </row>
    <row r="108" hidden="1" outlineLevel="4">
      <c r="A108" s="80" t="inlineStr">
        <is>
          <t>Alternance</t>
        </is>
      </c>
      <c r="B108" s="76" t="n">
        <v>269600</v>
      </c>
      <c r="C108" s="95" t="n">
        <v>0.1255188417000686</v>
      </c>
      <c r="D108" s="95" t="n">
        <v>0.1289379675247281</v>
      </c>
      <c r="E108" s="78" t="n">
        <v>0.1290070108704044</v>
      </c>
      <c r="F108" s="96" t="n">
        <v>0.3488169170335814</v>
      </c>
    </row>
    <row r="109" hidden="1" outlineLevel="3">
      <c r="A109" s="79" t="inlineStr">
        <is>
          <t>B2</t>
        </is>
      </c>
      <c r="B109" s="76" t="n">
        <v>259350</v>
      </c>
      <c r="C109" s="95" t="n">
        <v>0.15867305699809</v>
      </c>
      <c r="D109" s="95" t="n">
        <v>0.164812092069081</v>
      </c>
      <c r="E109" s="78" t="n">
        <v>0.1677263975736566</v>
      </c>
      <c r="F109" s="96" t="n">
        <v>0.9053340575566615</v>
      </c>
    </row>
    <row r="110" hidden="1" outlineLevel="4">
      <c r="A110" s="80" t="inlineStr">
        <is>
          <t>Alternance</t>
        </is>
      </c>
      <c r="B110" s="76" t="n">
        <v>259350</v>
      </c>
      <c r="C110" s="95" t="n">
        <v>0.15867305699809</v>
      </c>
      <c r="D110" s="95" t="n">
        <v>0.164812092069081</v>
      </c>
      <c r="E110" s="78" t="n">
        <v>0.1677263975736566</v>
      </c>
      <c r="F110" s="96" t="n">
        <v>0.9053340575566615</v>
      </c>
    </row>
    <row r="111" hidden="1" outlineLevel="3">
      <c r="A111" s="79" t="inlineStr">
        <is>
          <t>B3</t>
        </is>
      </c>
      <c r="B111" s="76" t="n">
        <v>252700</v>
      </c>
      <c r="C111" s="95" t="n">
        <v>0.1508333316342602</v>
      </c>
      <c r="D111" s="95" t="n">
        <v>0.1574872107968313</v>
      </c>
      <c r="E111" s="78" t="n">
        <v>0.1608286200664607</v>
      </c>
      <c r="F111" s="96" t="n">
        <v>0.9995288432200544</v>
      </c>
    </row>
    <row r="112" hidden="1" outlineLevel="4">
      <c r="A112" s="80" t="inlineStr">
        <is>
          <t>Alternance</t>
        </is>
      </c>
      <c r="B112" s="76" t="n">
        <v>252700</v>
      </c>
      <c r="C112" s="95" t="n">
        <v>0.1508333316342602</v>
      </c>
      <c r="D112" s="95" t="n">
        <v>0.1574872107968313</v>
      </c>
      <c r="E112" s="78" t="n">
        <v>0.1608286200664607</v>
      </c>
      <c r="F112" s="96" t="n">
        <v>0.9995288432200544</v>
      </c>
    </row>
    <row r="113" outlineLevel="1">
      <c r="A113" s="69" t="inlineStr">
        <is>
          <t>Nantes</t>
        </is>
      </c>
      <c r="B113" s="71" t="n">
        <v>1019500</v>
      </c>
      <c r="C113" s="93" t="n">
        <v>0.1838536126177568</v>
      </c>
      <c r="D113" s="93" t="n">
        <v>0.1870104970971993</v>
      </c>
      <c r="E113" s="73" t="n">
        <v>0.1960291779035364</v>
      </c>
      <c r="F113" s="94" t="n">
        <v>1.217556528577968</v>
      </c>
    </row>
    <row r="114" hidden="1" outlineLevel="2">
      <c r="A114" s="74" t="inlineStr">
        <is>
          <t>BAC_CCE</t>
        </is>
      </c>
      <c r="B114" s="76" t="n">
        <v>1019500</v>
      </c>
      <c r="C114" s="95" t="n">
        <v>0.1838536126177568</v>
      </c>
      <c r="D114" s="95" t="n">
        <v>0.1870104970971993</v>
      </c>
      <c r="E114" s="78" t="n">
        <v>0.1960291779035364</v>
      </c>
      <c r="F114" s="96" t="n">
        <v>1.217556528577968</v>
      </c>
    </row>
    <row r="115" hidden="1" outlineLevel="3">
      <c r="A115" s="79" t="inlineStr">
        <is>
          <t>B1</t>
        </is>
      </c>
      <c r="B115" s="76" t="n">
        <v>354500</v>
      </c>
      <c r="C115" s="95" t="n">
        <v>0.1577283161424797</v>
      </c>
      <c r="D115" s="95" t="n">
        <v>0.1627030682242006</v>
      </c>
      <c r="E115" s="78" t="n">
        <v>0.1696935429917372</v>
      </c>
      <c r="F115" s="96" t="n">
        <v>1.196522684925747</v>
      </c>
    </row>
    <row r="116" hidden="1" outlineLevel="4">
      <c r="A116" s="80" t="inlineStr">
        <is>
          <t>Alternance</t>
        </is>
      </c>
      <c r="B116" s="76" t="n">
        <v>354500</v>
      </c>
      <c r="C116" s="95" t="n">
        <v>0.1577283161424797</v>
      </c>
      <c r="D116" s="95" t="n">
        <v>0.1627030682242006</v>
      </c>
      <c r="E116" s="78" t="n">
        <v>0.1696935429917372</v>
      </c>
      <c r="F116" s="96" t="n">
        <v>1.196522684925747</v>
      </c>
    </row>
    <row r="117" hidden="1" outlineLevel="3">
      <c r="A117" s="79" t="inlineStr">
        <is>
          <t>B2</t>
        </is>
      </c>
      <c r="B117" s="76" t="n">
        <v>336000</v>
      </c>
      <c r="C117" s="95" t="n">
        <v>0.2001892275745301</v>
      </c>
      <c r="D117" s="95" t="n">
        <v>0.2025298741931171</v>
      </c>
      <c r="E117" s="78" t="n">
        <v>0.2123851980682976</v>
      </c>
      <c r="F117" s="96" t="n">
        <v>1.219597049376753</v>
      </c>
    </row>
    <row r="118" hidden="1" outlineLevel="4">
      <c r="A118" s="80" t="inlineStr">
        <is>
          <t>Alternance</t>
        </is>
      </c>
      <c r="B118" s="76" t="n">
        <v>336000</v>
      </c>
      <c r="C118" s="95" t="n">
        <v>0.2001892275745301</v>
      </c>
      <c r="D118" s="95" t="n">
        <v>0.2025298741931171</v>
      </c>
      <c r="E118" s="78" t="n">
        <v>0.2123851980682976</v>
      </c>
      <c r="F118" s="96" t="n">
        <v>1.219597049376753</v>
      </c>
    </row>
    <row r="119" hidden="1" outlineLevel="3">
      <c r="A119" s="79" t="inlineStr">
        <is>
          <t>B3</t>
        </is>
      </c>
      <c r="B119" s="76" t="n">
        <v>329000</v>
      </c>
      <c r="C119" s="95" t="n">
        <v>0.1948503044083644</v>
      </c>
      <c r="D119" s="95" t="n">
        <v>0.197436993000236</v>
      </c>
      <c r="E119" s="78" t="n">
        <v>0.2077020040460078</v>
      </c>
      <c r="F119" s="96" t="n">
        <v>1.285169963764338</v>
      </c>
    </row>
    <row r="120" hidden="1" outlineLevel="4">
      <c r="A120" s="80" t="inlineStr">
        <is>
          <t>Alternance</t>
        </is>
      </c>
      <c r="B120" s="76" t="n">
        <v>329000</v>
      </c>
      <c r="C120" s="95" t="n">
        <v>0.1948503044083644</v>
      </c>
      <c r="D120" s="95" t="n">
        <v>0.197436993000236</v>
      </c>
      <c r="E120" s="78" t="n">
        <v>0.2077020040460078</v>
      </c>
      <c r="F120" s="96" t="n">
        <v>1.285169963764338</v>
      </c>
    </row>
    <row r="121" outlineLevel="1">
      <c r="A121" s="69" t="inlineStr">
        <is>
          <t>Rennes</t>
        </is>
      </c>
      <c r="B121" s="71" t="n">
        <v>781650</v>
      </c>
      <c r="C121" s="93" t="n">
        <v>0.1449663745012991</v>
      </c>
      <c r="D121" s="93" t="n">
        <v>0.1503580858999045</v>
      </c>
      <c r="E121" s="73" t="n">
        <v>0.1524550932414553</v>
      </c>
      <c r="F121" s="94" t="n">
        <v>0.7488718740156136</v>
      </c>
    </row>
    <row r="122" hidden="1" outlineLevel="2">
      <c r="A122" s="74" t="inlineStr">
        <is>
          <t>BAC_CCE</t>
        </is>
      </c>
      <c r="B122" s="76" t="n">
        <v>781650</v>
      </c>
      <c r="C122" s="95" t="n">
        <v>0.1449663745012991</v>
      </c>
      <c r="D122" s="95" t="n">
        <v>0.1503580858999045</v>
      </c>
      <c r="E122" s="78" t="n">
        <v>0.1524550932414553</v>
      </c>
      <c r="F122" s="96" t="n">
        <v>0.7488718740156136</v>
      </c>
    </row>
    <row r="123" hidden="1" outlineLevel="3">
      <c r="A123" s="79" t="inlineStr">
        <is>
          <t>B1</t>
        </is>
      </c>
      <c r="B123" s="76" t="n">
        <v>269600</v>
      </c>
      <c r="C123" s="95" t="n">
        <v>0.126351350766999</v>
      </c>
      <c r="D123" s="95" t="n">
        <v>0.1298086531408456</v>
      </c>
      <c r="E123" s="78" t="n">
        <v>0.1299157645796032</v>
      </c>
      <c r="F123" s="96" t="n">
        <v>0.3564413812604195</v>
      </c>
    </row>
    <row r="124" hidden="1" outlineLevel="4">
      <c r="A124" s="80" t="inlineStr">
        <is>
          <t>Alternance</t>
        </is>
      </c>
      <c r="B124" s="76" t="n">
        <v>269600</v>
      </c>
      <c r="C124" s="95" t="n">
        <v>0.126351350766999</v>
      </c>
      <c r="D124" s="95" t="n">
        <v>0.1298086531408456</v>
      </c>
      <c r="E124" s="78" t="n">
        <v>0.1299157645796032</v>
      </c>
      <c r="F124" s="96" t="n">
        <v>0.3564413812604195</v>
      </c>
    </row>
    <row r="125" hidden="1" outlineLevel="3">
      <c r="A125" s="79" t="inlineStr">
        <is>
          <t>B2</t>
        </is>
      </c>
      <c r="B125" s="76" t="n">
        <v>259350</v>
      </c>
      <c r="C125" s="95" t="n">
        <v>0.15867305699809</v>
      </c>
      <c r="D125" s="95" t="n">
        <v>0.164812092069081</v>
      </c>
      <c r="E125" s="78" t="n">
        <v>0.1677263975736566</v>
      </c>
      <c r="F125" s="96" t="n">
        <v>0.9053340575566615</v>
      </c>
    </row>
    <row r="126" hidden="1" outlineLevel="4">
      <c r="A126" s="80" t="inlineStr">
        <is>
          <t>Alternance</t>
        </is>
      </c>
      <c r="B126" s="76" t="n">
        <v>259350</v>
      </c>
      <c r="C126" s="95" t="n">
        <v>0.15867305699809</v>
      </c>
      <c r="D126" s="95" t="n">
        <v>0.164812092069081</v>
      </c>
      <c r="E126" s="78" t="n">
        <v>0.1677263975736566</v>
      </c>
      <c r="F126" s="96" t="n">
        <v>0.9053340575566615</v>
      </c>
    </row>
    <row r="127" hidden="1" outlineLevel="3">
      <c r="A127" s="79" t="inlineStr">
        <is>
          <t>B3</t>
        </is>
      </c>
      <c r="B127" s="76" t="n">
        <v>252700</v>
      </c>
      <c r="C127" s="95" t="n">
        <v>0.1508333316342602</v>
      </c>
      <c r="D127" s="95" t="n">
        <v>0.1574872107968313</v>
      </c>
      <c r="E127" s="78" t="n">
        <v>0.1608286200664607</v>
      </c>
      <c r="F127" s="96" t="n">
        <v>0.9995288432200544</v>
      </c>
    </row>
    <row r="128" hidden="1" outlineLevel="4">
      <c r="A128" s="80" t="inlineStr">
        <is>
          <t>Alternance</t>
        </is>
      </c>
      <c r="B128" s="76" t="n">
        <v>252700</v>
      </c>
      <c r="C128" s="95" t="n">
        <v>0.1508333316342602</v>
      </c>
      <c r="D128" s="95" t="n">
        <v>0.1574872107968313</v>
      </c>
      <c r="E128" s="78" t="n">
        <v>0.1608286200664607</v>
      </c>
      <c r="F128" s="96" t="n">
        <v>0.9995288432200544</v>
      </c>
    </row>
    <row r="129">
      <c r="A129" s="64" t="inlineStr">
        <is>
          <t>Pigier</t>
        </is>
      </c>
      <c r="B129" s="66" t="n">
        <v>2152220</v>
      </c>
      <c r="C129" s="98" t="n">
        <v>0.01701342245969789</v>
      </c>
      <c r="D129" s="98" t="n">
        <v>0.02185341597747861</v>
      </c>
      <c r="E129" s="86" t="n">
        <v>0.03322773657408915</v>
      </c>
      <c r="F129" s="92" t="n">
        <v>1.621431411439126</v>
      </c>
    </row>
    <row r="130" outlineLevel="1">
      <c r="A130" s="69" t="inlineStr">
        <is>
          <t>Bordeaux</t>
        </is>
      </c>
      <c r="B130" s="71" t="n">
        <v>901790</v>
      </c>
      <c r="C130" s="97" t="n">
        <v>-0.06095466087081688</v>
      </c>
      <c r="D130" s="97" t="n">
        <v>-0.04849698355498679</v>
      </c>
      <c r="E130" s="84" t="n">
        <v>-0.0408786527493479</v>
      </c>
      <c r="F130" s="94" t="n">
        <v>2.007600812146898</v>
      </c>
    </row>
    <row r="131" hidden="1" outlineLevel="2">
      <c r="A131" s="74" t="inlineStr">
        <is>
          <t>BAC_RH</t>
        </is>
      </c>
      <c r="B131" s="76" t="n">
        <v>485330</v>
      </c>
      <c r="C131" s="95" t="n">
        <v>0.07472969919630912</v>
      </c>
      <c r="D131" s="95" t="n">
        <v>0.08530072201835441</v>
      </c>
      <c r="E131" s="78" t="n">
        <v>0.09170826881888799</v>
      </c>
      <c r="F131" s="96" t="n">
        <v>1.697856962257888</v>
      </c>
    </row>
    <row r="132" hidden="1" outlineLevel="3">
      <c r="A132" s="79" t="inlineStr">
        <is>
          <t>B1</t>
        </is>
      </c>
      <c r="B132" s="76" t="n">
        <v>247680</v>
      </c>
      <c r="C132" s="95" t="n">
        <v>0.06448935685190699</v>
      </c>
      <c r="D132" s="95" t="n">
        <v>0.07395648022138393</v>
      </c>
      <c r="E132" s="78" t="n">
        <v>0.079240719550255</v>
      </c>
      <c r="F132" s="96" t="n">
        <v>1.475136269834801</v>
      </c>
    </row>
    <row r="133" hidden="1" outlineLevel="4">
      <c r="A133" s="80" t="inlineStr">
        <is>
          <t>Alternance</t>
        </is>
      </c>
      <c r="B133" s="76" t="n">
        <v>247680</v>
      </c>
      <c r="C133" s="95" t="n">
        <v>0.06448935685190699</v>
      </c>
      <c r="D133" s="95" t="n">
        <v>0.07395648022138393</v>
      </c>
      <c r="E133" s="78" t="n">
        <v>0.079240719550255</v>
      </c>
      <c r="F133" s="96" t="n">
        <v>1.475136269834801</v>
      </c>
    </row>
    <row r="134" hidden="1" outlineLevel="3">
      <c r="A134" s="79" t="inlineStr">
        <is>
          <t>B3</t>
        </is>
      </c>
      <c r="B134" s="76" t="n">
        <v>237650</v>
      </c>
      <c r="C134" s="95" t="n">
        <v>0.08544048721732471</v>
      </c>
      <c r="D134" s="95" t="n">
        <v>0.09714365075110459</v>
      </c>
      <c r="E134" s="78" t="n">
        <v>0.1047020100469756</v>
      </c>
      <c r="F134" s="96" t="n">
        <v>1.926152282965088</v>
      </c>
    </row>
    <row r="135" hidden="1" outlineLevel="4">
      <c r="A135" s="80" t="inlineStr">
        <is>
          <t>Alternance</t>
        </is>
      </c>
      <c r="B135" s="76" t="n">
        <v>237650</v>
      </c>
      <c r="C135" s="95" t="n">
        <v>0.08544048721732471</v>
      </c>
      <c r="D135" s="95" t="n">
        <v>0.09714365075110459</v>
      </c>
      <c r="E135" s="78" t="n">
        <v>0.1047020100469756</v>
      </c>
      <c r="F135" s="96" t="n">
        <v>1.926152282965088</v>
      </c>
    </row>
    <row r="136" hidden="1" outlineLevel="2">
      <c r="A136" s="74" t="inlineStr">
        <is>
          <t>BTS_GES</t>
        </is>
      </c>
      <c r="B136" s="76" t="n">
        <v>416460</v>
      </c>
      <c r="C136" s="82" t="n">
        <v>-0.219076838883773</v>
      </c>
      <c r="D136" s="82" t="n">
        <v>-0.2044206761135988</v>
      </c>
      <c r="E136" s="82" t="n">
        <v>-0.1953914766573149</v>
      </c>
      <c r="F136" s="96" t="n">
        <v>2.368536222645814</v>
      </c>
    </row>
    <row r="137" hidden="1" outlineLevel="3">
      <c r="A137" s="79" t="inlineStr">
        <is>
          <t>BTS1</t>
        </is>
      </c>
      <c r="B137" s="76" t="n">
        <v>212760</v>
      </c>
      <c r="C137" s="82" t="n">
        <v>-0.2266128553060711</v>
      </c>
      <c r="D137" s="82" t="n">
        <v>-0.2134328746965717</v>
      </c>
      <c r="E137" s="82" t="n">
        <v>-0.2058630044138041</v>
      </c>
      <c r="F137" s="96" t="n">
        <v>2.074985089226697</v>
      </c>
    </row>
    <row r="138" hidden="1" outlineLevel="4">
      <c r="A138" s="80" t="inlineStr">
        <is>
          <t>Alternance</t>
        </is>
      </c>
      <c r="B138" s="76" t="n">
        <v>212760</v>
      </c>
      <c r="C138" s="82" t="n">
        <v>-0.2266128553060711</v>
      </c>
      <c r="D138" s="82" t="n">
        <v>-0.2134328746965717</v>
      </c>
      <c r="E138" s="82" t="n">
        <v>-0.2058630044138041</v>
      </c>
      <c r="F138" s="96" t="n">
        <v>2.074985089226697</v>
      </c>
    </row>
    <row r="139" hidden="1" outlineLevel="3">
      <c r="A139" s="79" t="inlineStr">
        <is>
          <t>BTS2</t>
        </is>
      </c>
      <c r="B139" s="76" t="n">
        <v>203700</v>
      </c>
      <c r="C139" s="82" t="n">
        <v>-0.2111774295844436</v>
      </c>
      <c r="D139" s="82" t="n">
        <v>-0.1949917935599044</v>
      </c>
      <c r="E139" s="82" t="n">
        <v>-0.1844542049564281</v>
      </c>
      <c r="F139" s="96" t="n">
        <v>2.672322462801557</v>
      </c>
    </row>
    <row r="140" hidden="1" outlineLevel="4">
      <c r="A140" s="80" t="inlineStr">
        <is>
          <t>Alternance</t>
        </is>
      </c>
      <c r="B140" s="76" t="n">
        <v>203700</v>
      </c>
      <c r="C140" s="82" t="n">
        <v>-0.2111774295844436</v>
      </c>
      <c r="D140" s="82" t="n">
        <v>-0.1949917935599044</v>
      </c>
      <c r="E140" s="82" t="n">
        <v>-0.1844542049564281</v>
      </c>
      <c r="F140" s="96" t="n">
        <v>2.672322462801557</v>
      </c>
    </row>
    <row r="141" outlineLevel="1">
      <c r="A141" s="69" t="inlineStr">
        <is>
          <t>Lyon</t>
        </is>
      </c>
      <c r="B141" s="71" t="n">
        <v>1250430</v>
      </c>
      <c r="C141" s="93" t="n">
        <v>0.07306697052241373</v>
      </c>
      <c r="D141" s="93" t="n">
        <v>0.07311026449341858</v>
      </c>
      <c r="E141" s="73" t="n">
        <v>0.08667207238495606</v>
      </c>
      <c r="F141" s="94" t="n">
        <v>1.360510186254232</v>
      </c>
    </row>
    <row r="142" hidden="1" outlineLevel="2">
      <c r="A142" s="74" t="inlineStr">
        <is>
          <t>BAC_RH</t>
        </is>
      </c>
      <c r="B142" s="76" t="n">
        <v>672990</v>
      </c>
      <c r="C142" s="95" t="n">
        <v>0.184277132703755</v>
      </c>
      <c r="D142" s="95" t="n">
        <v>0.1841637023002014</v>
      </c>
      <c r="E142" s="78" t="n">
        <v>0.195797230332167</v>
      </c>
      <c r="F142" s="96" t="n">
        <v>1.152009762841202</v>
      </c>
    </row>
    <row r="143" hidden="1" outlineLevel="3">
      <c r="A143" s="79" t="inlineStr">
        <is>
          <t>B1</t>
        </is>
      </c>
      <c r="B143" s="76" t="n">
        <v>342240</v>
      </c>
      <c r="C143" s="95" t="n">
        <v>0.167059776913769</v>
      </c>
      <c r="D143" s="95" t="n">
        <v>0.1656190037363901</v>
      </c>
      <c r="E143" s="78" t="n">
        <v>0.1762454996154851</v>
      </c>
      <c r="F143" s="96" t="n">
        <v>0.9185722701716165</v>
      </c>
    </row>
    <row r="144" hidden="1" outlineLevel="4">
      <c r="A144" s="80" t="inlineStr">
        <is>
          <t>Alternance</t>
        </is>
      </c>
      <c r="B144" s="76" t="n">
        <v>342240</v>
      </c>
      <c r="C144" s="95" t="n">
        <v>0.167059776913769</v>
      </c>
      <c r="D144" s="95" t="n">
        <v>0.1656190037363901</v>
      </c>
      <c r="E144" s="78" t="n">
        <v>0.1762454996154851</v>
      </c>
      <c r="F144" s="96" t="n">
        <v>0.9185722701716165</v>
      </c>
    </row>
    <row r="145" hidden="1" outlineLevel="3">
      <c r="A145" s="79" t="inlineStr">
        <is>
          <t>B3</t>
        </is>
      </c>
      <c r="B145" s="76" t="n">
        <v>330750</v>
      </c>
      <c r="C145" s="95" t="n">
        <v>0.2021410177723853</v>
      </c>
      <c r="D145" s="95" t="n">
        <v>0.2033824258652631</v>
      </c>
      <c r="E145" s="78" t="n">
        <v>0.2160281731000497</v>
      </c>
      <c r="F145" s="96" t="n">
        <v>1.388715532766438</v>
      </c>
    </row>
    <row r="146" hidden="1" outlineLevel="4">
      <c r="A146" s="80" t="inlineStr">
        <is>
          <t>Alternance</t>
        </is>
      </c>
      <c r="B146" s="76" t="n">
        <v>330750</v>
      </c>
      <c r="C146" s="95" t="n">
        <v>0.2021410177723853</v>
      </c>
      <c r="D146" s="95" t="n">
        <v>0.2033824258652631</v>
      </c>
      <c r="E146" s="78" t="n">
        <v>0.2160281731000497</v>
      </c>
      <c r="F146" s="96" t="n">
        <v>1.388715532766438</v>
      </c>
    </row>
    <row r="147" hidden="1" outlineLevel="2">
      <c r="A147" s="74" t="inlineStr">
        <is>
          <t>BTS_GES</t>
        </is>
      </c>
      <c r="B147" s="76" t="n">
        <v>577440</v>
      </c>
      <c r="C147" s="82" t="n">
        <v>-0.05654515335764355</v>
      </c>
      <c r="D147" s="82" t="n">
        <v>-0.05631927751688947</v>
      </c>
      <c r="E147" s="82" t="n">
        <v>-0.04051021503346574</v>
      </c>
      <c r="F147" s="96" t="n">
        <v>1.603493832417781</v>
      </c>
    </row>
    <row r="148" hidden="1" outlineLevel="3">
      <c r="A148" s="79" t="inlineStr">
        <is>
          <t>BTS1</t>
        </is>
      </c>
      <c r="B148" s="76" t="n">
        <v>293940</v>
      </c>
      <c r="C148" s="82" t="n">
        <v>-0.07363484913470056</v>
      </c>
      <c r="D148" s="82" t="n">
        <v>-0.07501956527922528</v>
      </c>
      <c r="E148" s="82" t="n">
        <v>-0.06051452172783946</v>
      </c>
      <c r="F148" s="96" t="n">
        <v>1.31203274068611</v>
      </c>
    </row>
    <row r="149" hidden="1" outlineLevel="4">
      <c r="A149" s="80" t="inlineStr">
        <is>
          <t>Alternance</t>
        </is>
      </c>
      <c r="B149" s="76" t="n">
        <v>293940</v>
      </c>
      <c r="C149" s="82" t="n">
        <v>-0.07363484913470056</v>
      </c>
      <c r="D149" s="82" t="n">
        <v>-0.07501956527922528</v>
      </c>
      <c r="E149" s="82" t="n">
        <v>-0.06051452172783946</v>
      </c>
      <c r="F149" s="96" t="n">
        <v>1.31203274068611</v>
      </c>
    </row>
    <row r="150" hidden="1" outlineLevel="3">
      <c r="A150" s="79" t="inlineStr">
        <is>
          <t>BTS2</t>
        </is>
      </c>
      <c r="B150" s="76" t="n">
        <v>283500</v>
      </c>
      <c r="C150" s="82" t="n">
        <v>-0.03877797321228178</v>
      </c>
      <c r="D150" s="82" t="n">
        <v>-0.03690023719770198</v>
      </c>
      <c r="E150" s="82" t="n">
        <v>-0.01976924180685477</v>
      </c>
      <c r="F150" s="96" t="n">
        <v>1.900873140542701</v>
      </c>
    </row>
    <row r="151" hidden="1" outlineLevel="4">
      <c r="A151" s="80" t="inlineStr">
        <is>
          <t>Alternance</t>
        </is>
      </c>
      <c r="B151" s="76" t="n">
        <v>283500</v>
      </c>
      <c r="C151" s="82" t="n">
        <v>-0.03877797321228178</v>
      </c>
      <c r="D151" s="82" t="n">
        <v>-0.03690023719770198</v>
      </c>
      <c r="E151" s="82" t="n">
        <v>-0.01976924180685477</v>
      </c>
      <c r="F151" s="96" t="n">
        <v>1.900873140542701</v>
      </c>
    </row>
    <row r="152">
      <c r="A152" s="64" t="inlineStr">
        <is>
          <t>Tunon</t>
        </is>
      </c>
      <c r="B152" s="66" t="n">
        <v>1949700</v>
      </c>
      <c r="C152" s="98" t="n">
        <v>0.02403813013691491</v>
      </c>
      <c r="D152" s="98" t="n">
        <v>0.02712584130666648</v>
      </c>
      <c r="E152" s="86" t="n">
        <v>0.03658446946636765</v>
      </c>
      <c r="F152" s="92" t="n">
        <v>1.254633932945274</v>
      </c>
    </row>
    <row r="153" outlineLevel="1">
      <c r="A153" s="69" t="inlineStr">
        <is>
          <t>Lyon</t>
        </is>
      </c>
      <c r="B153" s="71" t="n">
        <v>863550</v>
      </c>
      <c r="C153" s="93" t="n">
        <v>0.09681892184159968</v>
      </c>
      <c r="D153" s="93" t="n">
        <v>0.1028915613296934</v>
      </c>
      <c r="E153" s="73" t="n">
        <v>0.105385442387657</v>
      </c>
      <c r="F153" s="94" t="n">
        <v>0.856652054605729</v>
      </c>
    </row>
    <row r="154" hidden="1" outlineLevel="2">
      <c r="A154" s="74" t="inlineStr">
        <is>
          <t>BAC_TOU</t>
        </is>
      </c>
      <c r="B154" s="76" t="n">
        <v>863550</v>
      </c>
      <c r="C154" s="95" t="n">
        <v>0.09681892184159968</v>
      </c>
      <c r="D154" s="95" t="n">
        <v>0.1028915613296934</v>
      </c>
      <c r="E154" s="78" t="n">
        <v>0.105385442387657</v>
      </c>
      <c r="F154" s="96" t="n">
        <v>0.856652054605729</v>
      </c>
    </row>
    <row r="155" hidden="1" outlineLevel="3">
      <c r="A155" s="79" t="inlineStr">
        <is>
          <t>B1</t>
        </is>
      </c>
      <c r="B155" s="76" t="n">
        <v>297600</v>
      </c>
      <c r="C155" s="95" t="n">
        <v>0.07355991013002675</v>
      </c>
      <c r="D155" s="95" t="n">
        <v>0.07746039245278678</v>
      </c>
      <c r="E155" s="78" t="n">
        <v>0.07770930839750617</v>
      </c>
      <c r="F155" s="96" t="n">
        <v>0.4149398267479426</v>
      </c>
    </row>
    <row r="156" hidden="1" outlineLevel="4">
      <c r="A156" s="80" t="inlineStr">
        <is>
          <t>Alternance</t>
        </is>
      </c>
      <c r="B156" s="76" t="n">
        <v>297600</v>
      </c>
      <c r="C156" s="95" t="n">
        <v>0.07355991013002675</v>
      </c>
      <c r="D156" s="95" t="n">
        <v>0.07746039245278678</v>
      </c>
      <c r="E156" s="78" t="n">
        <v>0.07770930839750617</v>
      </c>
      <c r="F156" s="96" t="n">
        <v>0.4149398267479426</v>
      </c>
    </row>
    <row r="157" hidden="1" outlineLevel="3">
      <c r="A157" s="79" t="inlineStr">
        <is>
          <t>B2</t>
        </is>
      </c>
      <c r="B157" s="76" t="n">
        <v>286650</v>
      </c>
      <c r="C157" s="95" t="n">
        <v>0.113212434386811</v>
      </c>
      <c r="D157" s="95" t="n">
        <v>0.1201347912613567</v>
      </c>
      <c r="E157" s="78" t="n">
        <v>0.1235602055629527</v>
      </c>
      <c r="F157" s="96" t="n">
        <v>1.034777117614173</v>
      </c>
    </row>
    <row r="158" hidden="1" outlineLevel="4">
      <c r="A158" s="80" t="inlineStr">
        <is>
          <t>Alternance</t>
        </is>
      </c>
      <c r="B158" s="76" t="n">
        <v>286650</v>
      </c>
      <c r="C158" s="95" t="n">
        <v>0.113212434386811</v>
      </c>
      <c r="D158" s="95" t="n">
        <v>0.1201347912613567</v>
      </c>
      <c r="E158" s="78" t="n">
        <v>0.1235602055629527</v>
      </c>
      <c r="F158" s="96" t="n">
        <v>1.034777117614173</v>
      </c>
    </row>
    <row r="159" hidden="1" outlineLevel="3">
      <c r="A159" s="79" t="inlineStr">
        <is>
          <t>B3</t>
        </is>
      </c>
      <c r="B159" s="76" t="n">
        <v>279300</v>
      </c>
      <c r="C159" s="95" t="n">
        <v>0.1048719934485308</v>
      </c>
      <c r="D159" s="95" t="n">
        <v>0.1123420665638701</v>
      </c>
      <c r="E159" s="78" t="n">
        <v>0.1162218964201323</v>
      </c>
      <c r="F159" s="96" t="n">
        <v>1.13499029716015</v>
      </c>
    </row>
    <row r="160" hidden="1" outlineLevel="4">
      <c r="A160" s="80" t="inlineStr">
        <is>
          <t>Alternance</t>
        </is>
      </c>
      <c r="B160" s="76" t="n">
        <v>279300</v>
      </c>
      <c r="C160" s="95" t="n">
        <v>0.1048719934485308</v>
      </c>
      <c r="D160" s="95" t="n">
        <v>0.1123420665638701</v>
      </c>
      <c r="E160" s="78" t="n">
        <v>0.1162218964201323</v>
      </c>
      <c r="F160" s="96" t="n">
        <v>1.13499029716015</v>
      </c>
    </row>
    <row r="161" outlineLevel="1">
      <c r="A161" s="69" t="inlineStr">
        <is>
          <t>Paris</t>
        </is>
      </c>
      <c r="B161" s="71" t="n">
        <v>1086150</v>
      </c>
      <c r="C161" s="97" t="n">
        <v>-0.03422484451778362</v>
      </c>
      <c r="D161" s="97" t="n">
        <v>-0.03401013694971106</v>
      </c>
      <c r="E161" s="84" t="n">
        <v>-0.01811615214775505</v>
      </c>
      <c r="F161" s="94" t="n">
        <v>1.610869237002856</v>
      </c>
    </row>
    <row r="162" hidden="1" outlineLevel="2">
      <c r="A162" s="74" t="inlineStr">
        <is>
          <t>BAC_TOU</t>
        </is>
      </c>
      <c r="B162" s="76" t="n">
        <v>1086150</v>
      </c>
      <c r="C162" s="82" t="n">
        <v>-0.03422484451778362</v>
      </c>
      <c r="D162" s="82" t="n">
        <v>-0.03401013694971106</v>
      </c>
      <c r="E162" s="82" t="n">
        <v>-0.01811615214775505</v>
      </c>
      <c r="F162" s="96" t="n">
        <v>1.610869237002856</v>
      </c>
    </row>
    <row r="163" hidden="1" outlineLevel="3">
      <c r="A163" s="79" t="inlineStr">
        <is>
          <t>B1</t>
        </is>
      </c>
      <c r="B163" s="76" t="n">
        <v>372710</v>
      </c>
      <c r="C163" s="82" t="n">
        <v>-0.0689034282028821</v>
      </c>
      <c r="D163" s="82" t="n">
        <v>-0.07152341575160272</v>
      </c>
      <c r="E163" s="82" t="n">
        <v>-0.05788397780607987</v>
      </c>
      <c r="F163" s="96" t="n">
        <v>1.101945039680223</v>
      </c>
    </row>
    <row r="164" hidden="1" outlineLevel="4">
      <c r="A164" s="80" t="inlineStr">
        <is>
          <t>Alternance</t>
        </is>
      </c>
      <c r="B164" s="76" t="n">
        <v>372710</v>
      </c>
      <c r="C164" s="82" t="n">
        <v>-0.0689034282028821</v>
      </c>
      <c r="D164" s="82" t="n">
        <v>-0.07152341575160272</v>
      </c>
      <c r="E164" s="82" t="n">
        <v>-0.05788397780607987</v>
      </c>
      <c r="F164" s="96" t="n">
        <v>1.101945039680223</v>
      </c>
    </row>
    <row r="165" hidden="1" outlineLevel="3">
      <c r="A165" s="79" t="inlineStr">
        <is>
          <t>B2</t>
        </is>
      </c>
      <c r="B165" s="76" t="n">
        <v>360640</v>
      </c>
      <c r="C165" s="82" t="n">
        <v>-0.01236215361878448</v>
      </c>
      <c r="D165" s="82" t="n">
        <v>-0.01087661391372076</v>
      </c>
      <c r="E165" s="82" t="n">
        <v>0.005853613339910389</v>
      </c>
      <c r="F165" s="96" t="n">
        <v>1.821576695869487</v>
      </c>
    </row>
    <row r="166" hidden="1" outlineLevel="4">
      <c r="A166" s="80" t="inlineStr">
        <is>
          <t>Alternance</t>
        </is>
      </c>
      <c r="B166" s="76" t="n">
        <v>360640</v>
      </c>
      <c r="C166" s="82" t="n">
        <v>-0.01236215361878448</v>
      </c>
      <c r="D166" s="82" t="n">
        <v>-0.01087661391372076</v>
      </c>
      <c r="E166" s="82" t="n">
        <v>0.005853613339910389</v>
      </c>
      <c r="F166" s="96" t="n">
        <v>1.821576695869487</v>
      </c>
    </row>
    <row r="167" hidden="1" outlineLevel="3">
      <c r="A167" s="79" t="inlineStr">
        <is>
          <t>B3</t>
        </is>
      </c>
      <c r="B167" s="76" t="n">
        <v>352800</v>
      </c>
      <c r="C167" s="82" t="n">
        <v>-0.0198035890344143</v>
      </c>
      <c r="D167" s="82" t="n">
        <v>-0.01794368908265873</v>
      </c>
      <c r="E167" s="82" t="n">
        <v>-0.0006064864004688316</v>
      </c>
      <c r="F167" s="96" t="n">
        <v>1.919710263394547</v>
      </c>
    </row>
    <row r="168" hidden="1" outlineLevel="4">
      <c r="A168" s="80" t="inlineStr">
        <is>
          <t>Alternance</t>
        </is>
      </c>
      <c r="B168" s="76" t="n">
        <v>352800</v>
      </c>
      <c r="C168" s="82" t="n">
        <v>-0.0198035890344143</v>
      </c>
      <c r="D168" s="82" t="n">
        <v>-0.01794368908265873</v>
      </c>
      <c r="E168" s="82" t="n">
        <v>-0.0006064864004688316</v>
      </c>
      <c r="F168" s="96" t="n">
        <v>1.919710263394547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2026-08-31T01:04:44Z</dcterms:created>
  <dcterms:modified xsi:type="dcterms:W3CDTF">2026-08-31T01:04:44Z</dcterms:modified>
</cp:coreProperties>
</file>