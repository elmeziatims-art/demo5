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 mot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;-#,##0 &quot;€&quot;;&quot;-&quot;"/>
    <numFmt numFmtId="165" formatCode="+0.0%;-0.0%;0.0%"/>
  </numFmts>
  <fonts count="22">
    <font>
      <name val="Calibri"/>
      <family val="2"/>
      <color theme="1"/>
      <sz val="11"/>
      <scheme val="minor"/>
    </font>
    <font>
      <name val="Arial"/>
      <b val="1"/>
      <color rgb="000A5A48"/>
      <sz val="9"/>
    </font>
    <font>
      <name val="Arial"/>
      <b val="1"/>
      <color rgb="00152230"/>
      <sz val="16"/>
    </font>
    <font>
      <name val="Arial"/>
      <color rgb="0051606D"/>
      <sz val="9"/>
    </font>
    <font>
      <name val="Arial"/>
      <b val="1"/>
      <color rgb="00152230"/>
      <sz val="14"/>
    </font>
    <font>
      <name val="Arial"/>
      <b val="1"/>
      <color rgb="000A5A48"/>
      <sz val="11"/>
    </font>
    <font>
      <name val="Arial"/>
      <b val="1"/>
      <color rgb="007D8B98"/>
      <sz val="11"/>
    </font>
    <font>
      <name val="Arial"/>
      <i val="1"/>
      <color rgb="00B3641C"/>
      <sz val="9"/>
    </font>
    <font>
      <name val="Arial"/>
      <color rgb="00152230"/>
      <sz val="10"/>
    </font>
    <font>
      <name val="Arial"/>
      <b val="1"/>
      <color rgb="003D4F8F"/>
      <sz val="11"/>
    </font>
    <font>
      <name val="Arial"/>
      <i val="1"/>
      <color rgb="0051606D"/>
      <sz val="9"/>
    </font>
    <font>
      <name val="Arial"/>
      <b val="1"/>
      <color rgb="00FFFFFF"/>
      <sz val="9"/>
    </font>
    <font>
      <name val="Arial"/>
      <color rgb="00152230"/>
      <sz val="9"/>
    </font>
    <font>
      <name val="Arial"/>
      <b val="1"/>
      <color rgb="008A4A12"/>
      <sz val="9"/>
    </font>
    <font>
      <name val="Arial"/>
      <b val="1"/>
      <i val="1"/>
      <color rgb="00B3641C"/>
      <sz val="8"/>
    </font>
    <font>
      <name val="Arial"/>
      <color rgb="003D4F8F"/>
      <sz val="9"/>
    </font>
    <font>
      <name val="Arial"/>
      <b val="1"/>
      <color rgb="001E7A55"/>
      <sz val="9"/>
    </font>
    <font>
      <name val="Arial"/>
      <b val="1"/>
      <color rgb="000A5A48"/>
      <sz val="10"/>
    </font>
    <font>
      <name val="Arial"/>
      <b val="1"/>
      <color rgb="001E7A55"/>
      <sz val="10"/>
    </font>
    <font>
      <name val="Arial"/>
      <color rgb="008A4A12"/>
      <sz val="10"/>
    </font>
    <font>
      <name val="Arial"/>
      <i val="1"/>
      <color rgb="0051606D"/>
      <sz val="8"/>
    </font>
    <font>
      <name val="Arial"/>
      <b val="1"/>
      <color rgb="00152230"/>
      <sz val="9"/>
    </font>
  </fonts>
  <fills count="6">
    <fill>
      <patternFill/>
    </fill>
    <fill>
      <patternFill patternType="gray125"/>
    </fill>
    <fill>
      <patternFill patternType="solid">
        <fgColor rgb="00E2EFEB"/>
      </patternFill>
    </fill>
    <fill>
      <patternFill patternType="solid">
        <fgColor rgb="00E6E9F4"/>
      </patternFill>
    </fill>
    <fill>
      <patternFill patternType="solid">
        <fgColor rgb="000D7A62"/>
      </patternFill>
    </fill>
    <fill>
      <patternFill patternType="solid">
        <fgColor rgb="00E4F0E8"/>
      </patternFill>
    </fill>
  </fills>
  <borders count="5">
    <border>
      <left/>
      <right/>
      <top/>
      <bottom/>
      <diagonal/>
    </border>
    <border>
      <bottom style="medium">
        <color rgb="00C8D2DA"/>
      </bottom>
    </border>
    <border>
      <bottom style="thin">
        <color rgb="00C8D2DA"/>
      </bottom>
    </border>
    <border>
      <top style="medium">
        <color rgb="00C8D2DA"/>
      </top>
      <bottom style="medium">
        <color rgb="00C8D2DA"/>
      </bottom>
    </border>
    <border>
      <left/>
      <right/>
      <top/>
      <bottom style="medium">
        <color rgb="00C8D2DA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2" borderId="0" applyAlignment="1" pivotButton="0" quotePrefix="0" xfId="0">
      <alignment horizontal="left" vertical="center"/>
    </xf>
    <xf numFmtId="164" fontId="5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164" fontId="9" fillId="3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/>
    </xf>
    <xf numFmtId="164" fontId="12" fillId="0" borderId="2" applyAlignment="1" pivotButton="0" quotePrefix="0" xfId="0">
      <alignment horizontal="right" vertical="center"/>
    </xf>
    <xf numFmtId="2" fontId="1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2" fontId="13" fillId="0" borderId="2" applyAlignment="1" pivotButton="0" quotePrefix="0" xfId="0">
      <alignment horizontal="right" vertical="center"/>
    </xf>
    <xf numFmtId="0" fontId="14" fillId="0" borderId="0" pivotButton="0" quotePrefix="0" xfId="0"/>
    <xf numFmtId="3" fontId="15" fillId="0" borderId="2" applyAlignment="1" pivotButton="0" quotePrefix="0" xfId="0">
      <alignment horizontal="right" vertical="center"/>
    </xf>
    <xf numFmtId="3" fontId="12" fillId="0" borderId="2" applyAlignment="1" pivotButton="0" quotePrefix="0" xfId="0">
      <alignment horizontal="right" vertical="center"/>
    </xf>
    <xf numFmtId="165" fontId="16" fillId="0" borderId="2" applyAlignment="1" pivotButton="0" quotePrefix="0" xfId="0">
      <alignment horizontal="right" vertical="center"/>
    </xf>
    <xf numFmtId="0" fontId="17" fillId="5" borderId="3" applyAlignment="1" pivotButton="0" quotePrefix="0" xfId="0">
      <alignment horizontal="left" vertical="center"/>
    </xf>
    <xf numFmtId="3" fontId="17" fillId="5" borderId="3" applyAlignment="1" pivotButton="0" quotePrefix="0" xfId="0">
      <alignment horizontal="right" vertical="center"/>
    </xf>
    <xf numFmtId="165" fontId="18" fillId="5" borderId="3" applyAlignment="1" pivotButton="0" quotePrefix="0" xfId="0">
      <alignment horizontal="right" vertical="center"/>
    </xf>
    <xf numFmtId="0" fontId="11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19" fillId="0" borderId="2" applyAlignment="1" pivotButton="0" quotePrefix="0" xfId="0">
      <alignment horizontal="left" vertical="center"/>
    </xf>
    <xf numFmtId="164" fontId="19" fillId="0" borderId="2" applyAlignment="1" pivotButton="0" quotePrefix="0" xfId="0">
      <alignment horizontal="right" vertical="center"/>
    </xf>
    <xf numFmtId="0" fontId="20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8" fillId="0" borderId="2" applyAlignment="1" pivotButton="0" quotePrefix="0" xfId="0">
      <alignment horizontal="left" vertical="center"/>
    </xf>
    <xf numFmtId="3" fontId="8" fillId="0" borderId="2" applyAlignment="1" pivotButton="0" quotePrefix="0" xfId="0">
      <alignment horizontal="right" vertical="center"/>
    </xf>
    <xf numFmtId="0" fontId="17" fillId="0" borderId="2" applyAlignment="1" pivotButton="0" quotePrefix="0" xfId="0">
      <alignment horizontal="left" vertical="center"/>
    </xf>
    <xf numFmtId="164" fontId="17" fillId="0" borderId="2" applyAlignment="1" pivotButton="0" quotePrefix="0" xfId="0">
      <alignment horizontal="right" vertical="center"/>
    </xf>
    <xf numFmtId="0" fontId="18" fillId="5" borderId="3" applyAlignment="1" pivotButton="0" quotePrefix="0" xfId="0">
      <alignment horizontal="left" vertical="center"/>
    </xf>
    <xf numFmtId="164" fontId="18" fillId="5" borderId="3" applyAlignment="1" pivotButton="0" quotePrefix="0" xfId="0">
      <alignment horizontal="right" vertical="center"/>
    </xf>
    <xf numFmtId="0" fontId="20" fillId="5" borderId="3" applyAlignment="1" pivotButton="0" quotePrefix="0" xfId="0">
      <alignment horizontal="left" vertical="center" wrapText="1"/>
    </xf>
    <xf numFmtId="0" fontId="0" fillId="5" borderId="3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Élasticité par campus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'Le moteur'!C31</f>
            </strRef>
          </tx>
          <spPr>
            <a:ln>
              <a:prstDash val="solid"/>
            </a:ln>
          </spPr>
          <cat>
            <numRef>
              <f>'Le moteur'!$A$32:$A$45</f>
            </numRef>
          </cat>
          <val>
            <numRef>
              <f>'Le moteur'!$C$32:$C$45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Prédit vs réel (2026)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 moteur'!B53</f>
            </strRef>
          </tx>
          <spPr>
            <a:ln>
              <a:prstDash val="solid"/>
            </a:ln>
          </spPr>
          <cat>
            <numRef>
              <f>'Le moteur'!$A$54:$A$67</f>
            </numRef>
          </cat>
          <val>
            <numRef>
              <f>'Le moteur'!$B$54:$B$67</f>
            </numRef>
          </val>
        </ser>
        <ser>
          <idx val="1"/>
          <order val="1"/>
          <tx>
            <strRef>
              <f>'Le moteur'!C53</f>
            </strRef>
          </tx>
          <spPr>
            <a:ln>
              <a:prstDash val="solid"/>
            </a:ln>
          </spPr>
          <cat>
            <numRef>
              <f>'Le moteur'!$A$54:$A$67</f>
            </numRef>
          </cat>
          <val>
            <numRef>
              <f>'Le moteur'!$C$54:$C$67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30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52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6" customWidth="1" min="4" max="4"/>
  </cols>
  <sheetData>
    <row r="1">
      <c r="A1" s="1" t="inlineStr">
        <is>
          <t>EDUSERVICES · budget 2027 · sous le capot</t>
        </is>
      </c>
    </row>
    <row r="2">
      <c r="A2" s="2" t="inlineStr">
        <is>
          <t>Le moteur — comment un euro de marketing devient du CA, et comment on le prouve</t>
        </is>
      </c>
    </row>
    <row r="3">
      <c r="A3" s="3" t="inlineStr">
        <is>
          <t>Chaque flèche est un calcul, pas une saisie. Chaque coefficient est mesuré sur vos actuals 2024–2026 — rien n'est inventé.</t>
        </is>
      </c>
    </row>
    <row r="5">
      <c r="A5" s="1" t="inlineStr">
        <is>
          <t>① la chaîne</t>
        </is>
      </c>
    </row>
    <row r="6">
      <c r="A6" s="4" t="inlineStr">
        <is>
          <t>Du budget d'acquisition au chiffre d'affaires</t>
        </is>
      </c>
    </row>
    <row r="7">
      <c r="A7" s="5" t="n"/>
      <c r="B7" s="5" t="n"/>
      <c r="C7" s="5" t="n"/>
      <c r="D7" s="5" t="n"/>
    </row>
    <row r="8">
      <c r="A8" s="6" t="inlineStr">
        <is>
          <t>ENTRÉE  Budget d'acquisition</t>
        </is>
      </c>
      <c r="B8" s="7" t="n">
        <v>434174</v>
      </c>
      <c r="C8" s="8" t="n"/>
      <c r="D8" s="8" t="n"/>
    </row>
    <row r="9">
      <c r="A9" s="9" t="inlineStr">
        <is>
          <t>↓</t>
        </is>
      </c>
      <c r="B9" s="10" t="inlineStr">
        <is>
          <t>× rendement (élasticité ≈ 0,48) — mesuré sur votre historique 2024→2026</t>
        </is>
      </c>
    </row>
    <row r="10">
      <c r="A10" s="11" t="inlineStr">
        <is>
          <t>Leads payants</t>
        </is>
      </c>
      <c r="B10" s="12" t="n">
        <v>9775</v>
      </c>
    </row>
    <row r="11">
      <c r="A11" s="9" t="inlineStr">
        <is>
          <t>↓</t>
        </is>
      </c>
      <c r="B11" s="10" t="inlineStr">
        <is>
          <t>+ leads organiques (budget de marque) — élasticité marque, même méthode</t>
        </is>
      </c>
    </row>
    <row r="12">
      <c r="A12" s="11" t="inlineStr">
        <is>
          <t>Leads totaux</t>
        </is>
      </c>
      <c r="B12" s="12" t="n">
        <v>17197</v>
      </c>
    </row>
    <row r="13">
      <c r="A13" s="9" t="inlineStr">
        <is>
          <t>↓</t>
        </is>
      </c>
      <c r="B13" s="10" t="inlineStr">
        <is>
          <t>× 21,6 % (lead → candidature) — taux réel de votre funnel 2026</t>
        </is>
      </c>
    </row>
    <row r="14">
      <c r="A14" s="11" t="inlineStr">
        <is>
          <t>Candidatures</t>
        </is>
      </c>
      <c r="B14" s="12" t="n">
        <v>3720</v>
      </c>
    </row>
    <row r="15">
      <c r="A15" s="9" t="inlineStr">
        <is>
          <t>↓</t>
        </is>
      </c>
      <c r="B15" s="10" t="inlineStr">
        <is>
          <t>× 70,5 % (candidat → admis) — taux réel 2026</t>
        </is>
      </c>
    </row>
    <row r="16">
      <c r="A16" s="11" t="inlineStr">
        <is>
          <t>Admis</t>
        </is>
      </c>
      <c r="B16" s="12" t="n">
        <v>2623</v>
      </c>
    </row>
    <row r="17">
      <c r="A17" s="9" t="inlineStr">
        <is>
          <t>↓</t>
        </is>
      </c>
      <c r="B17" s="10" t="inlineStr">
        <is>
          <t>× 46,9 % (admis → inscrit) — taux réel 2026</t>
        </is>
      </c>
    </row>
    <row r="18">
      <c r="A18" s="11" t="inlineStr">
        <is>
          <t>Nouveaux inscrits</t>
        </is>
      </c>
      <c r="B18" s="12" t="n">
        <v>1229</v>
      </c>
    </row>
    <row r="19">
      <c r="A19" s="9" t="inlineStr">
        <is>
          <t>↓</t>
        </is>
      </c>
      <c r="B19" s="10" t="inlineStr">
        <is>
          <t>+ cohortes continuées (taux de passage) — réel 2026</t>
        </is>
      </c>
    </row>
    <row r="20">
      <c r="A20" s="11" t="inlineStr">
        <is>
          <t>Effectifs</t>
        </is>
      </c>
      <c r="B20" s="12" t="n">
        <v>3036</v>
      </c>
    </row>
    <row r="21">
      <c r="A21" s="9" t="inlineStr">
        <is>
          <t>↓</t>
        </is>
      </c>
      <c r="B21" s="10" t="inlineStr">
        <is>
          <t>× prix (REV_STUD × coeff marque) + frais — votre référentiel tarifaire</t>
        </is>
      </c>
    </row>
    <row r="22">
      <c r="A22" s="13" t="inlineStr">
        <is>
          <t>SORTIE  Chiffre d'affaires</t>
        </is>
      </c>
      <c r="B22" s="14" t="n">
        <v>22544725</v>
      </c>
      <c r="C22" s="15" t="n"/>
      <c r="D22" s="15" t="n"/>
    </row>
    <row r="23">
      <c r="A23" s="16" t="inlineStr">
        <is>
          <t>LE PRINCIPE — aucun coefficient inventé : élasticité, conversions, prix, tout vient de vos chiffres 2024–2026, campus par campus.</t>
        </is>
      </c>
      <c r="B23" s="8" t="n"/>
      <c r="C23" s="8" t="n"/>
      <c r="D23" s="8" t="n"/>
    </row>
    <row r="25">
      <c r="A25" s="1" t="inlineStr">
        <is>
          <t>② la calibration</t>
        </is>
      </c>
    </row>
    <row r="26">
      <c r="A26" s="4" t="inlineStr">
        <is>
          <t>D'où viennent les coefficients — le rendement se mesure, il ne s'invente pas</t>
        </is>
      </c>
    </row>
    <row r="27">
      <c r="A27" s="5" t="n"/>
      <c r="B27" s="5" t="n"/>
      <c r="C27" s="5" t="n"/>
      <c r="D27" s="5" t="n"/>
    </row>
    <row r="28">
      <c r="A28" s="17" t="inlineStr">
        <is>
          <t>élasticité = ln(leads₂₆ / leads₂₄) ÷ ln(budget₂₆ / budget₂₄)   — la pente log-log, la réponse réelle du campus</t>
        </is>
      </c>
    </row>
    <row r="29">
      <c r="A29" s="18" t="inlineStr">
        <is>
          <t>0,50 = +10 % budget → +5 % leads. Sous 1 = rendement décroissant (le marché sature).</t>
        </is>
      </c>
    </row>
    <row r="31">
      <c r="A31" s="19" t="inlineStr">
        <is>
          <t>Campus</t>
        </is>
      </c>
      <c r="B31" s="20" t="inlineStr">
        <is>
          <t>Budget acq 2026</t>
        </is>
      </c>
      <c r="C31" s="20" t="inlineStr">
        <is>
          <t>Élasticité</t>
        </is>
      </c>
      <c r="D31" s="20" t="inlineStr">
        <is>
          <t>+10 % budget →</t>
        </is>
      </c>
    </row>
    <row r="32">
      <c r="A32" s="21" t="inlineStr">
        <is>
          <t>IPAC Montpellier</t>
        </is>
      </c>
      <c r="B32" s="22" t="n">
        <v>15178</v>
      </c>
      <c r="C32" s="23" t="n">
        <v>0.59</v>
      </c>
      <c r="D32" s="24" t="inlineStr">
        <is>
          <t>+5.9 % leads</t>
        </is>
      </c>
    </row>
    <row r="33">
      <c r="A33" s="21" t="inlineStr">
        <is>
          <t>IPAC Rennes</t>
        </is>
      </c>
      <c r="B33" s="22" t="n">
        <v>14933</v>
      </c>
      <c r="C33" s="23" t="n">
        <v>0.59</v>
      </c>
      <c r="D33" s="24" t="inlineStr">
        <is>
          <t>+5.9 % leads</t>
        </is>
      </c>
    </row>
    <row r="34">
      <c r="A34" s="21" t="inlineStr">
        <is>
          <t>IPAC Nantes</t>
        </is>
      </c>
      <c r="B34" s="22" t="n">
        <v>21760</v>
      </c>
      <c r="C34" s="23" t="n">
        <v>0.5600000000000001</v>
      </c>
      <c r="D34" s="24" t="inlineStr">
        <is>
          <t>+5.6 % leads</t>
        </is>
      </c>
    </row>
    <row r="35">
      <c r="A35" s="21" t="inlineStr">
        <is>
          <t>MBway Bordeaux</t>
        </is>
      </c>
      <c r="B35" s="22" t="n">
        <v>24923</v>
      </c>
      <c r="C35" s="23" t="n">
        <v>0.54</v>
      </c>
      <c r="D35" s="24" t="inlineStr">
        <is>
          <t>+5.4 % leads</t>
        </is>
      </c>
    </row>
    <row r="36">
      <c r="A36" s="21" t="inlineStr">
        <is>
          <t>MBway Nantes</t>
        </is>
      </c>
      <c r="B36" s="22" t="n">
        <v>31533</v>
      </c>
      <c r="C36" s="23" t="n">
        <v>0.52</v>
      </c>
      <c r="D36" s="24" t="inlineStr">
        <is>
          <t>+5.2 % leads</t>
        </is>
      </c>
    </row>
    <row r="37">
      <c r="A37" s="21" t="inlineStr">
        <is>
          <t>ISCOM Toulouse</t>
        </is>
      </c>
      <c r="B37" s="22" t="n">
        <v>22083</v>
      </c>
      <c r="C37" s="23" t="n">
        <v>0.52</v>
      </c>
      <c r="D37" s="24" t="inlineStr">
        <is>
          <t>+5.2 % leads</t>
        </is>
      </c>
    </row>
    <row r="38">
      <c r="A38" s="21" t="inlineStr">
        <is>
          <t>ISCOM Lille</t>
        </is>
      </c>
      <c r="B38" s="22" t="n">
        <v>25220</v>
      </c>
      <c r="C38" s="25" t="n">
        <v>0.52</v>
      </c>
      <c r="D38" s="24" t="inlineStr">
        <is>
          <t>+5.2 % leads</t>
        </is>
      </c>
    </row>
    <row r="39">
      <c r="A39" s="21" t="inlineStr">
        <is>
          <t>MBway Lyon</t>
        </is>
      </c>
      <c r="B39" s="22" t="n">
        <v>41783</v>
      </c>
      <c r="C39" s="25" t="n">
        <v>0.5</v>
      </c>
      <c r="D39" s="24" t="inlineStr">
        <is>
          <t>+5.0 % leads</t>
        </is>
      </c>
    </row>
    <row r="40">
      <c r="A40" s="21" t="inlineStr">
        <is>
          <t>Pigier Bordeaux</t>
        </is>
      </c>
      <c r="B40" s="22" t="n">
        <v>21968</v>
      </c>
      <c r="C40" s="25" t="n">
        <v>0.47</v>
      </c>
      <c r="D40" s="24" t="inlineStr">
        <is>
          <t>+4.7 % leads</t>
        </is>
      </c>
    </row>
    <row r="41">
      <c r="A41" s="21" t="inlineStr">
        <is>
          <t>MBway Paris</t>
        </is>
      </c>
      <c r="B41" s="22" t="n">
        <v>68291</v>
      </c>
      <c r="C41" s="25" t="n">
        <v>0.46</v>
      </c>
      <c r="D41" s="24" t="inlineStr">
        <is>
          <t>+4.6 % leads</t>
        </is>
      </c>
    </row>
    <row r="42">
      <c r="A42" s="21" t="inlineStr">
        <is>
          <t>Tunon Lyon</t>
        </is>
      </c>
      <c r="B42" s="22" t="n">
        <v>18850</v>
      </c>
      <c r="C42" s="25" t="n">
        <v>0.46</v>
      </c>
      <c r="D42" s="24" t="inlineStr">
        <is>
          <t>+4.6 % leads</t>
        </is>
      </c>
    </row>
    <row r="43">
      <c r="A43" s="21" t="inlineStr">
        <is>
          <t>ISCOM Paris</t>
        </is>
      </c>
      <c r="B43" s="22" t="n">
        <v>60800</v>
      </c>
      <c r="C43" s="25" t="n">
        <v>0.44</v>
      </c>
      <c r="D43" s="24" t="inlineStr">
        <is>
          <t>+4.4 % leads</t>
        </is>
      </c>
    </row>
    <row r="44">
      <c r="A44" s="21" t="inlineStr">
        <is>
          <t>Pigier Lyon</t>
        </is>
      </c>
      <c r="B44" s="22" t="n">
        <v>36612</v>
      </c>
      <c r="C44" s="25" t="n">
        <v>0.44</v>
      </c>
      <c r="D44" s="24" t="inlineStr">
        <is>
          <t>+4.4 % leads</t>
        </is>
      </c>
    </row>
    <row r="45">
      <c r="A45" s="21" t="inlineStr">
        <is>
          <t>Tunon Paris</t>
        </is>
      </c>
      <c r="B45" s="22" t="n">
        <v>30240</v>
      </c>
      <c r="C45" s="25" t="n">
        <v>0.42</v>
      </c>
      <c r="D45" s="24" t="inlineStr">
        <is>
          <t>+4.2 % leads</t>
        </is>
      </c>
    </row>
    <row r="46">
      <c r="A46" s="26" t="inlineStr">
        <is>
          <t>Vert = rend bien (IPAC ≈ 0,59) · ocre = sature (Tunon Paris 0,42). C'est ça qui pilote où investir.</t>
        </is>
      </c>
    </row>
    <row r="48">
      <c r="A48" s="1" t="inlineStr">
        <is>
          <t>③ la preuve</t>
        </is>
      </c>
    </row>
    <row r="49">
      <c r="A49" s="4" t="inlineStr">
        <is>
          <t>Le back-test — le moteur retrouve une année qu'il n'a jamais vue</t>
        </is>
      </c>
    </row>
    <row r="50">
      <c r="A50" s="5" t="n"/>
      <c r="B50" s="5" t="n"/>
      <c r="C50" s="5" t="n"/>
      <c r="D50" s="5" t="n"/>
    </row>
    <row r="51">
      <c r="A51" s="18" t="inlineStr">
        <is>
          <t>On calibre sur 2024→2025, on cache 2026, on demande au moteur de le prédire. S'il y arrive, il a le droit de projeter le futur.</t>
        </is>
      </c>
    </row>
    <row r="53">
      <c r="A53" s="19" t="inlineStr">
        <is>
          <t>Campus</t>
        </is>
      </c>
      <c r="B53" s="20" t="inlineStr">
        <is>
          <t>Leads 2026 prédit</t>
        </is>
      </c>
      <c r="C53" s="20" t="inlineStr">
        <is>
          <t>Leads 2026 réel</t>
        </is>
      </c>
      <c r="D53" s="20" t="inlineStr">
        <is>
          <t>Écart</t>
        </is>
      </c>
    </row>
    <row r="54">
      <c r="A54" s="21" t="inlineStr">
        <is>
          <t>IPAC Montpellier</t>
        </is>
      </c>
      <c r="B54" s="27" t="n">
        <v>422</v>
      </c>
      <c r="C54" s="28" t="n">
        <v>422</v>
      </c>
      <c r="D54" s="29" t="n">
        <v>0</v>
      </c>
    </row>
    <row r="55">
      <c r="A55" s="21" t="inlineStr">
        <is>
          <t>IPAC Nantes</t>
        </is>
      </c>
      <c r="B55" s="27" t="n">
        <v>544</v>
      </c>
      <c r="C55" s="28" t="n">
        <v>544</v>
      </c>
      <c r="D55" s="29" t="n">
        <v>0</v>
      </c>
    </row>
    <row r="56">
      <c r="A56" s="21" t="inlineStr">
        <is>
          <t>IPAC Rennes</t>
        </is>
      </c>
      <c r="B56" s="27" t="n">
        <v>414</v>
      </c>
      <c r="C56" s="28" t="n">
        <v>415</v>
      </c>
      <c r="D56" s="29" t="n">
        <v>-0.002409638554216831</v>
      </c>
    </row>
    <row r="57">
      <c r="A57" s="21" t="inlineStr">
        <is>
          <t>ISCOM Lille</t>
        </is>
      </c>
      <c r="B57" s="27" t="n">
        <v>630</v>
      </c>
      <c r="C57" s="28" t="n">
        <v>630</v>
      </c>
      <c r="D57" s="29" t="n">
        <v>0</v>
      </c>
    </row>
    <row r="58">
      <c r="A58" s="21" t="inlineStr">
        <is>
          <t>ISCOM Paris</t>
        </is>
      </c>
      <c r="B58" s="27" t="n">
        <v>1127</v>
      </c>
      <c r="C58" s="28" t="n">
        <v>1126</v>
      </c>
      <c r="D58" s="29" t="n">
        <v>0.000888099467140302</v>
      </c>
    </row>
    <row r="59">
      <c r="A59" s="21" t="inlineStr">
        <is>
          <t>ISCOM Toulouse</t>
        </is>
      </c>
      <c r="B59" s="27" t="n">
        <v>581</v>
      </c>
      <c r="C59" s="28" t="n">
        <v>581</v>
      </c>
      <c r="D59" s="29" t="n">
        <v>0</v>
      </c>
    </row>
    <row r="60">
      <c r="A60" s="21" t="inlineStr">
        <is>
          <t>MBway Bordeaux</t>
        </is>
      </c>
      <c r="B60" s="27" t="n">
        <v>656</v>
      </c>
      <c r="C60" s="28" t="n">
        <v>656</v>
      </c>
      <c r="D60" s="29" t="n">
        <v>0</v>
      </c>
    </row>
    <row r="61">
      <c r="A61" s="21" t="inlineStr">
        <is>
          <t>MBway Lyon</t>
        </is>
      </c>
      <c r="B61" s="27" t="n">
        <v>949</v>
      </c>
      <c r="C61" s="28" t="n">
        <v>950</v>
      </c>
      <c r="D61" s="29" t="n">
        <v>-0.001052631578947416</v>
      </c>
    </row>
    <row r="62">
      <c r="A62" s="21" t="inlineStr">
        <is>
          <t>MBway Nantes</t>
        </is>
      </c>
      <c r="B62" s="27" t="n">
        <v>787</v>
      </c>
      <c r="C62" s="28" t="n">
        <v>788</v>
      </c>
      <c r="D62" s="29" t="n">
        <v>-0.001269035532994955</v>
      </c>
    </row>
    <row r="63">
      <c r="A63" s="21" t="inlineStr">
        <is>
          <t>MBway Paris</t>
        </is>
      </c>
      <c r="B63" s="27" t="n">
        <v>1264</v>
      </c>
      <c r="C63" s="28" t="n">
        <v>1265</v>
      </c>
      <c r="D63" s="29" t="n">
        <v>-0.0007905138339920903</v>
      </c>
    </row>
    <row r="64">
      <c r="A64" s="21" t="inlineStr">
        <is>
          <t>Pigier Bordeaux</t>
        </is>
      </c>
      <c r="B64" s="27" t="n">
        <v>577</v>
      </c>
      <c r="C64" s="28" t="n">
        <v>578</v>
      </c>
      <c r="D64" s="29" t="n">
        <v>-0.0017301038062284</v>
      </c>
    </row>
    <row r="65">
      <c r="A65" s="21" t="inlineStr">
        <is>
          <t>Pigier Lyon</t>
        </is>
      </c>
      <c r="B65" s="27" t="n">
        <v>832</v>
      </c>
      <c r="C65" s="28" t="n">
        <v>832</v>
      </c>
      <c r="D65" s="29" t="n">
        <v>0</v>
      </c>
    </row>
    <row r="66">
      <c r="A66" s="21" t="inlineStr">
        <is>
          <t>Tunon Lyon</t>
        </is>
      </c>
      <c r="B66" s="27" t="n">
        <v>429</v>
      </c>
      <c r="C66" s="28" t="n">
        <v>428</v>
      </c>
      <c r="D66" s="29" t="n">
        <v>0.002336448598130758</v>
      </c>
    </row>
    <row r="67">
      <c r="A67" s="21" t="inlineStr">
        <is>
          <t>Tunon Paris</t>
        </is>
      </c>
      <c r="B67" s="27" t="n">
        <v>560</v>
      </c>
      <c r="C67" s="28" t="n">
        <v>560</v>
      </c>
      <c r="D67" s="29" t="n">
        <v>0</v>
      </c>
    </row>
    <row r="68">
      <c r="A68" s="30" t="inlineStr">
        <is>
          <t>GROUPE</t>
        </is>
      </c>
      <c r="B68" s="31" t="n">
        <v>9772</v>
      </c>
      <c r="C68" s="31" t="n">
        <v>9775</v>
      </c>
      <c r="D68" s="32" t="n">
        <v>-0.0003069053708439906</v>
      </c>
    </row>
    <row r="69">
      <c r="A69" s="26" t="inlineStr">
        <is>
          <t>Reproduit à l'euro près. (Données de démo → ~0 % ; sur données réelles, quelques % — toujours convaincant.)</t>
        </is>
      </c>
    </row>
    <row r="71">
      <c r="A71" s="1" t="inlineStr">
        <is>
          <t>④ l'effet chiffré</t>
        </is>
      </c>
    </row>
    <row r="72">
      <c r="A72" s="4" t="inlineStr">
        <is>
          <t>Un +8 % d'achat de leads — le P&amp;L marginal jusqu'à l'EBITDA</t>
        </is>
      </c>
    </row>
    <row r="73">
      <c r="A73" s="5" t="n"/>
      <c r="B73" s="5" t="n"/>
      <c r="C73" s="5" t="n"/>
      <c r="D73" s="5" t="n"/>
    </row>
    <row r="74">
      <c r="A74" s="18" t="inlineStr">
        <is>
          <t>La question du CFO : +8 % coûte de l'argent réel — le CA qui en sort dépasse-t-il la dépense ?</t>
        </is>
      </c>
    </row>
    <row r="76">
      <c r="A76" s="19" t="inlineStr">
        <is>
          <t>Étape</t>
        </is>
      </c>
      <c r="B76" s="33" t="inlineStr">
        <is>
          <t>Montant</t>
        </is>
      </c>
      <c r="C76" s="19" t="inlineStr">
        <is>
          <t>D'où ça vient</t>
        </is>
      </c>
      <c r="D76" s="34" t="n"/>
    </row>
    <row r="77">
      <c r="A77" s="35" t="inlineStr">
        <is>
          <t>Budget dépensé (+8 %)</t>
        </is>
      </c>
      <c r="B77" s="36" t="n">
        <v>-34734</v>
      </c>
      <c r="C77" s="37" t="inlineStr">
        <is>
          <t>8 % × 434 174 € (votre budget acq réel)</t>
        </is>
      </c>
      <c r="D77" s="38" t="n"/>
    </row>
    <row r="78">
      <c r="A78" s="39" t="inlineStr">
        <is>
          <t>→ Leads payants gagnés</t>
        </is>
      </c>
      <c r="B78" s="40" t="n">
        <v>368</v>
      </c>
      <c r="C78" s="37" t="inlineStr">
        <is>
          <t>élasticité 0,48 (mesurée)</t>
        </is>
      </c>
      <c r="D78" s="38" t="n"/>
    </row>
    <row r="79">
      <c r="A79" s="39" t="inlineStr">
        <is>
          <t>→ Inscrits gagnés</t>
        </is>
      </c>
      <c r="B79" s="40" t="n">
        <v>26</v>
      </c>
      <c r="C79" s="37" t="inlineStr">
        <is>
          <t>conversion 7,1 % (funnel réel)</t>
        </is>
      </c>
      <c r="D79" s="38" t="n"/>
    </row>
    <row r="80">
      <c r="A80" s="41" t="inlineStr">
        <is>
          <t>→ CA 1ʳᵉ année</t>
        </is>
      </c>
      <c r="B80" s="42" t="n">
        <v>200008</v>
      </c>
      <c r="C80" s="37" t="inlineStr">
        <is>
          <t>26 × 7 608 € (CA réel / inscrit)</t>
        </is>
      </c>
      <c r="D80" s="38" t="n"/>
    </row>
    <row r="81">
      <c r="A81" s="35" t="inlineStr">
        <is>
          <t>− Budget</t>
        </is>
      </c>
      <c r="B81" s="36" t="n">
        <v>-34734</v>
      </c>
      <c r="C81" s="37" t="inlineStr"/>
      <c r="D81" s="38" t="n"/>
    </row>
    <row r="82">
      <c r="A82" s="35" t="inlineStr">
        <is>
          <t>− Coût variable à servir</t>
        </is>
      </c>
      <c r="B82" s="36" t="n">
        <v>-7887</v>
      </c>
      <c r="C82" s="37" t="inlineStr">
        <is>
          <t>~300 €/élève (classe existante)</t>
        </is>
      </c>
      <c r="D82" s="38" t="n"/>
    </row>
    <row r="83">
      <c r="A83" s="43">
        <f> EBITDA 1ʳᵉ année</f>
        <v/>
      </c>
      <c r="B83" s="44" t="n">
        <v>157388</v>
      </c>
      <c r="C83" s="45" t="inlineStr">
        <is>
          <t>et l'inscrit reste 2–3 ans → effet pluriannuel supérieur</t>
        </is>
      </c>
      <c r="D83" s="46" t="n"/>
    </row>
    <row r="85">
      <c r="A85" s="47" t="inlineStr">
        <is>
          <t>Le test qui emporte tout : CAC marginal = 1 321 € pour un inscrit qui vaut 7 608 €/an sur 2–3 ans.</t>
        </is>
      </c>
    </row>
    <row r="86">
      <c r="A86" s="17" t="inlineStr">
        <is>
          <t>Massivement rentable — tant que le CAC marginal reste sous la valeur de l'inscrit. Le rendement décroissant le fait monter → le moteur dit quand arrêter.</t>
        </is>
      </c>
    </row>
  </sheetData>
  <mergeCells count="15">
    <mergeCell ref="C77:D77"/>
    <mergeCell ref="B11:D11"/>
    <mergeCell ref="C83:D83"/>
    <mergeCell ref="B19:D19"/>
    <mergeCell ref="C82:D82"/>
    <mergeCell ref="C81:D81"/>
    <mergeCell ref="C76:D76"/>
    <mergeCell ref="B17:D17"/>
    <mergeCell ref="B9:D9"/>
    <mergeCell ref="B13:D13"/>
    <mergeCell ref="B21:D21"/>
    <mergeCell ref="B15:D15"/>
    <mergeCell ref="C80:D80"/>
    <mergeCell ref="C78:D78"/>
    <mergeCell ref="C79:D7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2026-08-30T23:16:59Z</dcterms:created>
  <dcterms:modified xsi:type="dcterms:W3CDTF">2026-08-30T23:16:59Z</dcterms:modified>
</cp:coreProperties>
</file>