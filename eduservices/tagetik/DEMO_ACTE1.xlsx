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ire" sheetId="1" state="visible" r:id="rId1"/>
    <sheet name="Cockpit" sheetId="2" state="visible" r:id="rId2"/>
    <sheet name="Diagnostic CAC" sheetId="3" state="visible" r:id="rId3"/>
    <sheet name="Structure &amp; M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,,&quot; M€&quot;"/>
    <numFmt numFmtId="165" formatCode="0.0%"/>
    <numFmt numFmtId="166" formatCode="#,##0;(#,##0);&quot;-&quot;"/>
    <numFmt numFmtId="167" formatCode="&quot;▲ &quot;0.0%"/>
    <numFmt numFmtId="168" formatCode="&quot;▲ &quot;0.0&quot; pt&quot;"/>
    <numFmt numFmtId="169" formatCode="#,##0&quot; €&quot;"/>
  </numFmts>
  <fonts count="29">
    <font>
      <name val="Calibri"/>
      <family val="2"/>
      <color theme="1"/>
      <sz val="11"/>
      <scheme val="minor"/>
    </font>
    <font>
      <name val="Arial"/>
      <b val="1"/>
      <color rgb="00152230"/>
      <sz val="16"/>
    </font>
    <font>
      <name val="Arial"/>
      <color rgb="000A5A48"/>
      <sz val="10"/>
    </font>
    <font>
      <name val="Arial"/>
      <i val="1"/>
      <color rgb="007D8B98"/>
      <sz val="9"/>
    </font>
    <font>
      <name val="Arial"/>
      <b val="1"/>
      <color rgb="00FFFFFF"/>
      <sz val="9"/>
    </font>
    <font>
      <name val="Arial"/>
      <b val="1"/>
      <color rgb="000D7A62"/>
      <sz val="12"/>
    </font>
    <font>
      <name val="Arial"/>
      <color rgb="00152230"/>
      <sz val="9"/>
    </font>
    <font>
      <name val="Arial"/>
      <i val="1"/>
      <color rgb="00152230"/>
      <sz val="9"/>
    </font>
    <font>
      <name val="Arial"/>
      <b val="1"/>
      <i val="1"/>
      <color rgb="00B3641C"/>
      <sz val="9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0000FF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color rgb="00152230"/>
      <sz val="10"/>
    </font>
    <font>
      <name val="Arial"/>
      <b val="1"/>
      <color rgb="00B3641C"/>
      <sz val="10"/>
    </font>
    <font>
      <name val="Arial"/>
      <i val="1"/>
      <color rgb="00B3641C"/>
      <sz val="8"/>
    </font>
    <font>
      <name val="Arial"/>
      <color rgb="00B3641C"/>
      <sz val="10"/>
    </font>
    <font>
      <name val="Arial"/>
      <b val="1"/>
      <i val="1"/>
      <color rgb="00B3641C"/>
      <sz val="8"/>
    </font>
    <font>
      <name val="Arial"/>
      <b val="1"/>
      <color rgb="00152230"/>
      <sz val="9"/>
    </font>
    <font>
      <name val="Arial"/>
      <b val="1"/>
      <color rgb="00152230"/>
      <sz val="15"/>
    </font>
    <font>
      <name val="Arial"/>
      <b val="1"/>
      <color rgb="000A5A48"/>
      <sz val="11"/>
    </font>
    <font>
      <name val="Arial"/>
      <b val="1"/>
      <color rgb="00B3641C"/>
      <sz val="9"/>
    </font>
    <font>
      <name val="Arial"/>
      <color rgb="007D8B98"/>
      <sz val="8"/>
    </font>
    <font>
      <name val="Arial"/>
      <color rgb="000000FF"/>
      <sz val="9"/>
    </font>
    <font>
      <name val="Arial"/>
      <color rgb="00FFFFFF"/>
      <sz val="8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</fills>
  <borders count="2">
    <border>
      <left/>
      <right/>
      <top/>
      <bottom/>
      <diagonal/>
    </border>
    <border>
      <bottom style="thin">
        <color rgb="00DBE2E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164" fontId="11" fillId="4" borderId="0" applyAlignment="1" pivotButton="0" quotePrefix="0" xfId="0">
      <alignment horizontal="left" vertical="center" wrapText="1"/>
    </xf>
    <xf numFmtId="165" fontId="11" fillId="4" borderId="0" applyAlignment="1" pivotButton="0" quotePrefix="0" xfId="0">
      <alignment horizontal="left" vertical="center" wrapText="1"/>
    </xf>
    <xf numFmtId="0" fontId="12" fillId="3" borderId="0" pivotButton="0" quotePrefix="0" xfId="0"/>
    <xf numFmtId="0" fontId="0" fillId="3" borderId="0" pivotButton="0" quotePrefix="0" xfId="0"/>
    <xf numFmtId="0" fontId="13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165" fontId="1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3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167" fontId="18" fillId="0" borderId="0" applyAlignment="1" pivotButton="0" quotePrefix="0" xfId="0">
      <alignment horizontal="right" vertical="center"/>
    </xf>
    <xf numFmtId="0" fontId="19" fillId="0" borderId="0" pivotButton="0" quotePrefix="0" xfId="0"/>
    <xf numFmtId="169" fontId="20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15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right" vertical="center"/>
    </xf>
    <xf numFmtId="0" fontId="10" fillId="0" borderId="0" pivotButton="0" quotePrefix="0" xfId="0"/>
    <xf numFmtId="165" fontId="18" fillId="0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25" fillId="0" borderId="0" pivotButton="0" quotePrefix="0" xfId="0"/>
    <xf numFmtId="0" fontId="22" fillId="0" borderId="0" applyAlignment="1" pivotButton="0" quotePrefix="0" xfId="0">
      <alignment horizontal="left" vertical="center" wrapText="1"/>
    </xf>
    <xf numFmtId="169" fontId="28" fillId="0" borderId="0" pivotButton="0" quotePrefix="0" xfId="0"/>
    <xf numFmtId="169" fontId="22" fillId="0" borderId="0" applyAlignment="1" pivotButton="0" quotePrefix="0" xfId="0">
      <alignment horizontal="right" vertical="center"/>
    </xf>
    <xf numFmtId="0" fontId="26" fillId="0" borderId="0" pivotButton="0" quotePrefix="0" xfId="0"/>
    <xf numFmtId="3" fontId="27" fillId="0" borderId="0" pivotButton="0" quotePrefix="0" xfId="0"/>
    <xf numFmtId="165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(inscrits, barres) vs coût par inscrit (CAC, courbe)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'Cockpit'!A21</f>
            </strRef>
          </tx>
          <spPr>
            <a:solidFill>
              <a:srgbClr val="E4F0EC"/>
            </a:solidFill>
            <a:ln>
              <a:prstDash val="solid"/>
            </a:ln>
          </spPr>
          <cat>
            <numRef>
              <f>'Cockpit'!$B$20:$D$20</f>
            </numRef>
          </cat>
          <val>
            <numRef>
              <f>'Cockpit'!$B$21:$D$21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'Cockpit'!A22</f>
            </strRef>
          </tx>
          <spPr>
            <a:ln w="28000">
              <a:solidFill>
                <a:srgbClr val="B364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'Cockpit'!$B$22:$D$22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Inscrits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Funnel : le volume fond à chaque étape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CAC'!$A$6:$A$9</f>
            </numRef>
          </cat>
          <val>
            <numRef>
              <f>'Diagnostic CAC'!$B$6:$B$9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par marque : Tunon décroche (564 € vs ~320 €)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CAC'!$A$15:$A$19</f>
            </numRef>
          </cat>
          <val>
            <numRef>
              <f>'Diagnostic CAC'!$D$15:$D$19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Bridge du CAC : +34 € (dépenses) − 21 € (volume) = +13 € net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FFFFFF"/>
            </a:solidFill>
            <a:ln>
              <a:prstDash val="solid"/>
            </a:ln>
          </spPr>
          <cat>
            <numRef>
              <f>'Diagnostic CAC'!$A$30:$A$33</f>
            </numRef>
          </cat>
          <val>
            <numRef>
              <f>'Diagnostic CAC'!$B$30:$B$33</f>
            </numRef>
          </val>
        </ser>
        <ser>
          <idx val="1"/>
          <order val="1"/>
          <spPr>
            <a:ln>
              <a:prstDash val="solid"/>
            </a:ln>
          </spPr>
          <dPt>
            <idx val="0"/>
            <spPr>
              <a:solidFill>
                <a:srgbClr val="9AA7B0"/>
              </a:solidFill>
              <a:ln>
                <a:prstDash val="solid"/>
              </a:ln>
            </spPr>
          </dPt>
          <dPt>
            <idx val="1"/>
            <spPr>
              <a:solidFill>
                <a:srgbClr val="B3641C"/>
              </a:solidFill>
              <a:ln>
                <a:prstDash val="solid"/>
              </a:ln>
            </spPr>
          </dPt>
          <dPt>
            <idx val="2"/>
            <spPr>
              <a:solidFill>
                <a:srgbClr val="0D7A62"/>
              </a:solidFill>
              <a:ln>
                <a:prstDash val="solid"/>
              </a:ln>
            </spPr>
          </dPt>
          <dPt>
            <idx val="3"/>
            <spPr>
              <a:solidFill>
                <a:srgbClr val="3D4F8F"/>
              </a:solidFill>
              <a:ln>
                <a:prstDash val="solid"/>
              </a:ln>
            </spPr>
          </dPt>
          <cat>
            <numRef>
              <f>'Diagnostic CAC'!$A$30:$A$33</f>
            </numRef>
          </cat>
          <val>
            <numRef>
              <f>'Diagnostic CAC'!$C$30:$C$33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initiale / alternance : 3 marques 100% OPCO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'Structure &amp; Mix'!B5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Mix'!$B$6:$B$11</f>
            </numRef>
          </val>
        </ser>
        <ser>
          <idx val="1"/>
          <order val="1"/>
          <tx>
            <strRef>
              <f>'Structure &amp; Mix'!C5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Mix'!$C$6:$C$11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: MBway + ISCOM ≈ 70% du CA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'Structure &amp; Mix'!$A$15:$A$19</f>
            </numRef>
          </cat>
          <val>
            <numRef>
              <f>'Structure &amp; Mix'!$B$15:$B$19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28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26" customWidth="1" min="5" max="5"/>
  </cols>
  <sheetData>
    <row r="1">
      <c r="A1" s="1" t="inlineStr">
        <is>
          <t>EDUSERVICES · BUDGET 2027 — l'Acte 1, du chargement au diagnostic</t>
        </is>
      </c>
    </row>
    <row r="2">
      <c r="A2" s="2" t="inlineStr">
        <is>
          <t>Le fil : on POSE (un seul écran, le cockpit), puis on CREUSE (à la demande). Rien n'est affiché en bloc.</t>
        </is>
      </c>
    </row>
    <row r="3">
      <c r="A3" s="3" t="inlineStr">
        <is>
          <t>Vocabulaire : 2024-2025 réalisé · 2026 atterrissage (estimé) · 2027 budget (à construire).</t>
        </is>
      </c>
    </row>
    <row r="5">
      <c r="A5" s="4" t="inlineStr">
        <is>
          <t>#</t>
        </is>
      </c>
      <c r="B5" s="5" t="inlineStr">
        <is>
          <t>Ce qu'on FAIT</t>
        </is>
      </c>
      <c r="C5" s="5" t="inlineStr">
        <is>
          <t>Ce qu'on AFFICHE</t>
        </is>
      </c>
      <c r="D5" s="5" t="inlineStr">
        <is>
          <t>Ce qu'on DIT</t>
        </is>
      </c>
      <c r="E5" s="5" t="inlineStr">
        <is>
          <t>Drill / suite</t>
        </is>
      </c>
    </row>
    <row r="6" ht="56" customHeight="1">
      <c r="A6" s="6" t="inlineStr">
        <is>
          <t>0</t>
        </is>
      </c>
      <c r="B6" s="7" t="inlineStr">
        <is>
          <t>Chargement compta + CRM</t>
        </is>
      </c>
      <c r="C6" s="7" t="inlineStr">
        <is>
          <t>(transition, pas d'écran)</t>
        </is>
      </c>
      <c r="D6" s="8" t="inlineStr">
        <is>
          <t>« Deux mondes — finance et commercial — entrent sans friction dans le même modèle. »</t>
        </is>
      </c>
      <c r="E6" s="7" t="inlineStr">
        <is>
          <t>→ le cockpit</t>
        </is>
      </c>
    </row>
    <row r="7" ht="56" customHeight="1">
      <c r="A7" s="9" t="inlineStr">
        <is>
          <t>1</t>
        </is>
      </c>
      <c r="B7" s="7" t="inlineStr">
        <is>
          <t>On POSE l'état + la tension</t>
        </is>
      </c>
      <c r="C7" s="7" t="inlineStr">
        <is>
          <t>COCKPIT d'atterrissage 2026 : bandeau CA/EBITDA/Marge + tuiles KPI (finance &amp; commercial, dont Dépenses) + 1 graphe de tension</t>
        </is>
      </c>
      <c r="D7" s="8" t="inlineStr">
        <is>
          <t>« On progresse partout… mais les dépenses d'acquisition montent plus vite que le volume : le CAC se dégrade. C'est le départ du budget 2027. »</t>
        </is>
      </c>
      <c r="E7" s="7" t="inlineStr">
        <is>
          <t>clic tuile CAC → Diagnostic</t>
        </is>
      </c>
    </row>
    <row r="8" ht="56" customHeight="1">
      <c r="A8" s="9" t="inlineStr">
        <is>
          <t>2</t>
        </is>
      </c>
      <c r="B8" s="7" t="inlineStr">
        <is>
          <t>On CREUSE le CAC (drill principal)</t>
        </is>
      </c>
      <c r="C8" s="7" t="inlineStr">
        <is>
          <t>DIAGNOSTIC CAC : funnel (taux de passage) + CAC par marque (Tunon 564 €)</t>
        </is>
      </c>
      <c r="D8" s="8" t="inlineStr">
        <is>
          <t>« Le CAC n'est pas une fatalité : c'est un taux de conversion. On sait où agir — Tunon en priorité. »</t>
        </is>
      </c>
      <c r="E8" s="7" t="inlineStr">
        <is>
          <t>clic tuile CAC ; clic marque → funnel campus ; puis → construction 2027</t>
        </is>
      </c>
    </row>
    <row r="9" ht="56" customHeight="1">
      <c r="A9" s="6" t="inlineStr">
        <is>
          <t>~</t>
        </is>
      </c>
      <c r="B9" s="7" t="inlineStr">
        <is>
          <t>2e drill (OPTIONNEL) — le contexte</t>
        </is>
      </c>
      <c r="C9" s="7" t="inlineStr">
        <is>
          <t>STRUCTURE &amp; MIX : mix initiale/alternance (OPCO) + CA par marque</t>
        </is>
      </c>
      <c r="D9" s="8" t="inlineStr">
        <is>
          <t>« D'où vient le CA et comment il est financé : 2 marques = 70 % du CA, et 3 marques 100 % OPCO — dépendance à surveiller. »</t>
        </is>
      </c>
      <c r="E9" s="7" t="inlineStr">
        <is>
          <t>clic tuile CA → Structure &amp; Mix (selon l'audience, hors fil principal)</t>
        </is>
      </c>
    </row>
    <row r="10" ht="56" customHeight="1">
      <c r="A10" s="6" t="inlineStr">
        <is>
          <t>→</t>
        </is>
      </c>
      <c r="B10" s="7" t="inlineStr">
        <is>
          <t>On construit</t>
        </is>
      </c>
      <c r="C10" s="7" t="inlineStr">
        <is>
          <t>(Acte 2 — cadrage, moteur, scénarios)</t>
        </is>
      </c>
      <c r="D10" s="8" t="inlineStr">
        <is>
          <t>« Maintenant qu'on sait d'où on part et où ça tire, on construit le budget 2027. »</t>
        </is>
      </c>
      <c r="E10" s="7" t="inlineStr">
        <is>
          <t>suite de la démo</t>
        </is>
      </c>
    </row>
    <row r="12">
      <c r="A12" s="10" t="inlineStr">
        <is>
          <t>Point clé : après le chargement, on n'affiche QUE le cockpit. Le Diagnostic et le Structure&amp;Mix s'ouvrent APRÈS, quand on creuse.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11" t="inlineStr">
        <is>
          <t>Point de départ du budget 2027 · réalisé 2024-2025, atterrissage 2026 · commercial + financier, un seul écran</t>
        </is>
      </c>
    </row>
    <row r="4">
      <c r="A4" s="12" t="inlineStr">
        <is>
          <t>Chiffre d'affaires 2026</t>
        </is>
      </c>
      <c r="B4" s="13" t="n"/>
      <c r="C4" s="12" t="inlineStr">
        <is>
          <t>EBITDA 2026</t>
        </is>
      </c>
      <c r="D4" s="13" t="n"/>
      <c r="E4" s="12" t="inlineStr">
        <is>
          <t>Marge EBITDA 2026</t>
        </is>
      </c>
      <c r="F4" s="13" t="n"/>
    </row>
    <row r="5">
      <c r="A5" s="14">
        <f>D9</f>
        <v/>
      </c>
      <c r="B5" s="13" t="n"/>
      <c r="C5" s="14">
        <f>D10</f>
        <v/>
      </c>
      <c r="D5" s="13" t="n"/>
      <c r="E5" s="15">
        <f>D10/D9</f>
        <v/>
      </c>
      <c r="F5" s="13" t="n"/>
    </row>
    <row r="7">
      <c r="A7" s="4" t="inlineStr">
        <is>
          <t>KPI</t>
        </is>
      </c>
      <c r="B7" s="5" t="inlineStr">
        <is>
          <t>2024 réalisé</t>
        </is>
      </c>
      <c r="C7" s="5" t="inlineStr">
        <is>
          <t>2025 réalisé</t>
        </is>
      </c>
      <c r="D7" s="5" t="inlineStr">
        <is>
          <t>2026 atterrissage</t>
        </is>
      </c>
      <c r="E7" s="5" t="inlineStr">
        <is>
          <t>YoY 25→26</t>
        </is>
      </c>
      <c r="F7" s="5" t="inlineStr">
        <is>
          <t>sens</t>
        </is>
      </c>
    </row>
    <row r="8">
      <c r="A8" s="16" t="inlineStr">
        <is>
          <t>FINANCE</t>
        </is>
      </c>
      <c r="B8" s="17" t="n"/>
      <c r="C8" s="17" t="n"/>
      <c r="D8" s="17" t="n"/>
      <c r="E8" s="17" t="n"/>
      <c r="F8" s="17" t="n"/>
    </row>
    <row r="9">
      <c r="A9" s="18" t="inlineStr">
        <is>
          <t>Chiffre d'affaires (€)</t>
        </is>
      </c>
      <c r="B9" s="19" t="n">
        <v>20064725</v>
      </c>
      <c r="C9" s="19" t="n">
        <v>21268606</v>
      </c>
      <c r="D9" s="19" t="n">
        <v>22544725</v>
      </c>
      <c r="E9" s="20">
        <f>D9/C9-1</f>
        <v/>
      </c>
      <c r="F9" s="21" t="inlineStr">
        <is>
          <t>bon sens</t>
        </is>
      </c>
    </row>
    <row r="10">
      <c r="A10" s="18" t="inlineStr">
        <is>
          <t>EBITDA (€)</t>
        </is>
      </c>
      <c r="B10" s="19" t="n">
        <v>2648550</v>
      </c>
      <c r="C10" s="19" t="n">
        <v>2977604</v>
      </c>
      <c r="D10" s="19" t="n">
        <v>3291530</v>
      </c>
      <c r="E10" s="20">
        <f>D10/C10-1</f>
        <v/>
      </c>
      <c r="F10" s="21" t="inlineStr">
        <is>
          <t>bon sens</t>
        </is>
      </c>
    </row>
    <row r="11">
      <c r="A11" s="18" t="inlineStr">
        <is>
          <t>Marge EBITDA %</t>
        </is>
      </c>
      <c r="B11" s="22">
        <f>B10/B9</f>
        <v/>
      </c>
      <c r="C11" s="22">
        <f>C10/C9</f>
        <v/>
      </c>
      <c r="D11" s="22">
        <f>D10/D9</f>
        <v/>
      </c>
      <c r="E11" s="23">
        <f>(D11-C11)*100</f>
        <v/>
      </c>
      <c r="F11" s="21" t="inlineStr">
        <is>
          <t>bon sens</t>
        </is>
      </c>
    </row>
    <row r="12">
      <c r="A12" s="16" t="inlineStr">
        <is>
          <t>COMMERCIAL</t>
        </is>
      </c>
      <c r="B12" s="17" t="n"/>
      <c r="C12" s="17" t="n"/>
      <c r="D12" s="17" t="n"/>
      <c r="E12" s="17" t="n"/>
      <c r="F12" s="17" t="n"/>
    </row>
    <row r="13">
      <c r="A13" s="18" t="inlineStr">
        <is>
          <t>Leads</t>
        </is>
      </c>
      <c r="B13" s="24" t="n">
        <v>15305</v>
      </c>
      <c r="C13" s="24" t="n">
        <v>16226</v>
      </c>
      <c r="D13" s="24" t="n">
        <v>17197</v>
      </c>
      <c r="E13" s="20">
        <f>D13/C13-1</f>
        <v/>
      </c>
      <c r="F13" s="21" t="inlineStr">
        <is>
          <t>bon sens</t>
        </is>
      </c>
    </row>
    <row r="14">
      <c r="A14" s="18" t="inlineStr">
        <is>
          <t>Inscrits</t>
        </is>
      </c>
      <c r="B14" s="24" t="n">
        <v>1092</v>
      </c>
      <c r="C14" s="24" t="n">
        <v>1159</v>
      </c>
      <c r="D14" s="24" t="n">
        <v>1229</v>
      </c>
      <c r="E14" s="20">
        <f>D14/C14-1</f>
        <v/>
      </c>
      <c r="F14" s="21" t="inlineStr">
        <is>
          <t>bon sens</t>
        </is>
      </c>
    </row>
    <row r="15">
      <c r="A15" s="25" t="inlineStr">
        <is>
          <t>Dépenses acquisition (€)</t>
        </is>
      </c>
      <c r="B15" s="19" t="n">
        <v>358819</v>
      </c>
      <c r="C15" s="19" t="n">
        <v>394702</v>
      </c>
      <c r="D15" s="19" t="n">
        <v>434174</v>
      </c>
      <c r="E15" s="26">
        <f>D15/C15-1</f>
        <v/>
      </c>
      <c r="F15" s="27" t="inlineStr">
        <is>
          <t>à surveiller</t>
        </is>
      </c>
    </row>
    <row r="16">
      <c r="A16" s="25" t="inlineStr">
        <is>
          <t>CAC (€/inscrit)</t>
        </is>
      </c>
      <c r="B16" s="28">
        <f>B15/B14</f>
        <v/>
      </c>
      <c r="C16" s="28">
        <f>C15/C14</f>
        <v/>
      </c>
      <c r="D16" s="28">
        <f>D15/D14</f>
        <v/>
      </c>
      <c r="E16" s="26">
        <f>D16/C16-1</f>
        <v/>
      </c>
      <c r="F16" s="27" t="inlineStr">
        <is>
          <t>à surveiller</t>
        </is>
      </c>
    </row>
    <row r="17">
      <c r="A17" s="29" t="inlineStr">
        <is>
          <t>CAC +3,7 % : les dépenses (+10 %) montent plus vite que le volume (+6 %) → chaque inscrit coûte un peu plus. Enjeu 2027 : croître SANS laisser filer le CAC.</t>
        </is>
      </c>
    </row>
    <row r="19">
      <c r="A19" s="30" t="inlineStr">
        <is>
          <t>TENSION — le volume monte, mais le coût unitaire aussi</t>
        </is>
      </c>
    </row>
    <row r="20">
      <c r="B20" s="31" t="n">
        <v>2024</v>
      </c>
      <c r="C20" s="31" t="n">
        <v>2025</v>
      </c>
      <c r="D20" s="31" t="n">
        <v>2026</v>
      </c>
    </row>
    <row r="21">
      <c r="A21" s="32" t="inlineStr">
        <is>
          <t>Inscrits</t>
        </is>
      </c>
      <c r="B21" s="33">
        <f>B14</f>
        <v/>
      </c>
      <c r="C21" s="33">
        <f>C14</f>
        <v/>
      </c>
      <c r="D21" s="33">
        <f>D14</f>
        <v/>
      </c>
    </row>
    <row r="22">
      <c r="A22" s="32" t="inlineStr">
        <is>
          <t>CAC (€)</t>
        </is>
      </c>
      <c r="B22" s="34">
        <f>B16</f>
        <v/>
      </c>
      <c r="C22" s="34">
        <f>C16</f>
        <v/>
      </c>
      <c r="D22" s="34">
        <f>D16</f>
        <v/>
      </c>
    </row>
    <row r="24">
      <c r="A24" s="29" t="inlineStr">
        <is>
          <t>Les inscrits progressent (barres) mais le CAC grimpe (courbe) : les dépenses montent plus vite que le volume. Clic tuile CAC → Diagnostic.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>
      <c r="A1" s="35" t="inlineStr">
        <is>
          <t>DIAGNOSTIC CAC  ·  pourquoi le coût d'acquisition se dégrade  ·  2026</t>
        </is>
      </c>
    </row>
    <row r="2">
      <c r="A2" s="11" t="inlineStr">
        <is>
          <t>1er drill depuis la tuile CAC du cockpit. Le funnel explique COMMENT ; le CAC par marque dit OÙ agir.</t>
        </is>
      </c>
    </row>
    <row r="4">
      <c r="A4" s="36" t="inlineStr">
        <is>
          <t>Funnel de conversion (groupe)</t>
        </is>
      </c>
    </row>
    <row r="5">
      <c r="A5" s="4" t="inlineStr">
        <is>
          <t>Étape</t>
        </is>
      </c>
      <c r="B5" s="5" t="inlineStr">
        <is>
          <t>Volume</t>
        </is>
      </c>
      <c r="C5" s="5" t="inlineStr">
        <is>
          <t>Taux de passage</t>
        </is>
      </c>
    </row>
    <row r="6">
      <c r="A6" s="37" t="inlineStr">
        <is>
          <t>Leads</t>
        </is>
      </c>
      <c r="B6" s="24" t="n">
        <v>17197</v>
      </c>
    </row>
    <row r="7">
      <c r="A7" s="37" t="inlineStr">
        <is>
          <t>Candidatures</t>
        </is>
      </c>
      <c r="B7" s="24" t="n">
        <v>3720</v>
      </c>
      <c r="C7" s="38">
        <f>B7/B6</f>
        <v/>
      </c>
    </row>
    <row r="8">
      <c r="A8" s="37" t="inlineStr">
        <is>
          <t>Admis</t>
        </is>
      </c>
      <c r="B8" s="24" t="n">
        <v>2623</v>
      </c>
      <c r="C8" s="38">
        <f>B8/B7</f>
        <v/>
      </c>
    </row>
    <row r="9">
      <c r="A9" s="37" t="inlineStr">
        <is>
          <t>Inscrits</t>
        </is>
      </c>
      <c r="B9" s="24" t="n">
        <v>1229</v>
      </c>
      <c r="C9" s="38">
        <f>B9/B8</f>
        <v/>
      </c>
    </row>
    <row r="10">
      <c r="A10" s="39" t="inlineStr">
        <is>
          <t>Global lead → inscrit</t>
        </is>
      </c>
      <c r="C10" s="40">
        <f>B9/B6</f>
        <v/>
      </c>
    </row>
    <row r="13">
      <c r="A13" s="36" t="inlineStr">
        <is>
          <t>CAC par marque — où le coût dérape</t>
        </is>
      </c>
    </row>
    <row r="14">
      <c r="A14" s="4" t="inlineStr">
        <is>
          <t>Marque</t>
        </is>
      </c>
      <c r="B14" s="5" t="inlineStr">
        <is>
          <t>Dépense acq.</t>
        </is>
      </c>
      <c r="C14" s="5" t="inlineStr">
        <is>
          <t>Inscrits</t>
        </is>
      </c>
      <c r="D14" s="5" t="inlineStr">
        <is>
          <t>CAC (€/inscrit)</t>
        </is>
      </c>
    </row>
    <row r="15">
      <c r="A15" s="18" t="inlineStr">
        <is>
          <t>MBway</t>
        </is>
      </c>
      <c r="B15" s="19" t="n">
        <v>166530</v>
      </c>
      <c r="C15" s="24" t="n">
        <v>510</v>
      </c>
      <c r="D15" s="41">
        <f>B15/C15</f>
        <v/>
      </c>
    </row>
    <row r="16">
      <c r="A16" s="18" t="inlineStr">
        <is>
          <t>ISCOM</t>
        </is>
      </c>
      <c r="B16" s="19" t="n">
        <v>108103</v>
      </c>
      <c r="C16" s="24" t="n">
        <v>338</v>
      </c>
      <c r="D16" s="41">
        <f>B16/C16</f>
        <v/>
      </c>
    </row>
    <row r="17">
      <c r="A17" s="18" t="inlineStr">
        <is>
          <t>IPAC</t>
        </is>
      </c>
      <c r="B17" s="19" t="n">
        <v>51871</v>
      </c>
      <c r="C17" s="24" t="n">
        <v>130</v>
      </c>
      <c r="D17" s="41">
        <f>B17/C17</f>
        <v/>
      </c>
    </row>
    <row r="18">
      <c r="A18" s="18" t="inlineStr">
        <is>
          <t>Pigier</t>
        </is>
      </c>
      <c r="B18" s="19" t="n">
        <v>58580</v>
      </c>
      <c r="C18" s="24" t="n">
        <v>164</v>
      </c>
      <c r="D18" s="41">
        <f>B18/C18</f>
        <v/>
      </c>
    </row>
    <row r="19">
      <c r="A19" s="25" t="inlineStr">
        <is>
          <t>Tunon</t>
        </is>
      </c>
      <c r="B19" s="19" t="n">
        <v>49090</v>
      </c>
      <c r="C19" s="24" t="n">
        <v>87</v>
      </c>
      <c r="D19" s="42">
        <f>B19/C19</f>
        <v/>
      </c>
      <c r="E19" s="43" t="inlineStr">
        <is>
          <t>◄ 1,7× la moyenne</t>
        </is>
      </c>
    </row>
    <row r="21">
      <c r="A21" s="29" t="inlineStr">
        <is>
          <t>Le funnel dit COMMENT (taux) ; le CAC par marque dit OÙ agir → Tunon en priorité. Clic marque → funnel du campus.</t>
        </is>
      </c>
    </row>
    <row r="29">
      <c r="A29" s="36" t="inlineStr">
        <is>
          <t>Bridge du CAC — d'où vient la hausse 2025 → 2026</t>
        </is>
      </c>
    </row>
    <row r="30">
      <c r="A30" s="44" t="inlineStr">
        <is>
          <t>CAC 2025</t>
        </is>
      </c>
      <c r="B30" s="45" t="n">
        <v>0</v>
      </c>
      <c r="C30" s="46">
        <f>F30/F32</f>
        <v/>
      </c>
      <c r="E30" s="47" t="inlineStr">
        <is>
          <t>Dépenses 2025</t>
        </is>
      </c>
      <c r="F30" s="48" t="n">
        <v>394702</v>
      </c>
    </row>
    <row r="31">
      <c r="A31" s="44" t="inlineStr">
        <is>
          <t>+ Effet dépenses</t>
        </is>
      </c>
      <c r="B31" s="45">
        <f>F30/F32</f>
        <v/>
      </c>
      <c r="C31" s="46">
        <f>(F31-F30)/F32</f>
        <v/>
      </c>
      <c r="E31" s="47" t="inlineStr">
        <is>
          <t>Dépenses 2026</t>
        </is>
      </c>
      <c r="F31" s="48" t="n">
        <v>434174</v>
      </c>
    </row>
    <row r="32">
      <c r="A32" s="44" t="inlineStr">
        <is>
          <t>− Effet volume</t>
        </is>
      </c>
      <c r="B32" s="45">
        <f>F31/F33</f>
        <v/>
      </c>
      <c r="C32" s="46">
        <f>F31/F32-F31/F33</f>
        <v/>
      </c>
      <c r="E32" s="47" t="inlineStr">
        <is>
          <t>Inscrits 2025</t>
        </is>
      </c>
      <c r="F32" s="48" t="n">
        <v>1159</v>
      </c>
    </row>
    <row r="33">
      <c r="A33" s="44" t="inlineStr">
        <is>
          <t>CAC 2026</t>
        </is>
      </c>
      <c r="B33" s="45" t="n">
        <v>0</v>
      </c>
      <c r="C33" s="46">
        <f>F31/F33</f>
        <v/>
      </c>
      <c r="E33" s="47" t="inlineStr">
        <is>
          <t>Inscrits 2026</t>
        </is>
      </c>
      <c r="F33" s="48" t="n">
        <v>1229</v>
      </c>
    </row>
    <row r="35">
      <c r="A35" s="29" t="inlineStr">
        <is>
          <t>Lecture : les dépenses poussent le CAC de +34 € ; le volume supplémentaire l'amortit de −21 € ; net +13 €. La tension = l'effet dépenses &gt; l'effet volume.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3" customWidth="1" min="4" max="4"/>
    <col width="13" customWidth="1" min="5" max="5"/>
  </cols>
  <sheetData>
    <row r="1">
      <c r="A1" s="35" t="inlineStr">
        <is>
          <t>STRUCTURE &amp; MIX DE FINANCEMENT  ·  2026</t>
        </is>
      </c>
    </row>
    <row r="2">
      <c r="A2" s="11" t="inlineStr">
        <is>
          <t>Ce que le CRM ne montre pas : la dépendance à l'alternance (OPCO). Vraie question DAF — risque réglementaire.</t>
        </is>
      </c>
    </row>
    <row r="4">
      <c r="A4" s="36" t="inlineStr">
        <is>
          <t>Mix scolarité : initiale vs alternance (OPCO), par marque</t>
        </is>
      </c>
    </row>
    <row r="5">
      <c r="A5" s="4" t="inlineStr">
        <is>
          <t>Marque</t>
        </is>
      </c>
      <c r="B5" s="5" t="inlineStr">
        <is>
          <t>Initiale (706)</t>
        </is>
      </c>
      <c r="C5" s="5" t="inlineStr">
        <is>
          <t>Alternance (7062)</t>
        </is>
      </c>
      <c r="D5" s="5" t="inlineStr">
        <is>
          <t>% alternance</t>
        </is>
      </c>
    </row>
    <row r="6">
      <c r="A6" s="18" t="inlineStr">
        <is>
          <t>MBway</t>
        </is>
      </c>
      <c r="B6" s="19" t="n">
        <v>1995975</v>
      </c>
      <c r="C6" s="19" t="n">
        <v>7525580</v>
      </c>
      <c r="D6" s="49">
        <f>C6/(B6+C6)</f>
        <v/>
      </c>
    </row>
    <row r="7">
      <c r="A7" s="18" t="inlineStr">
        <is>
          <t>ISCOM</t>
        </is>
      </c>
      <c r="B7" s="19" t="n">
        <v>1310700</v>
      </c>
      <c r="C7" s="19" t="n">
        <v>4951430</v>
      </c>
      <c r="D7" s="49">
        <f>C7/(B7+C7)</f>
        <v/>
      </c>
    </row>
    <row r="8">
      <c r="A8" s="25" t="inlineStr">
        <is>
          <t>IPAC</t>
        </is>
      </c>
      <c r="B8" s="19" t="n">
        <v>0</v>
      </c>
      <c r="C8" s="19" t="n">
        <v>2571100</v>
      </c>
      <c r="D8" s="40">
        <f>C8/(B8+C8)</f>
        <v/>
      </c>
      <c r="E8" s="43" t="inlineStr">
        <is>
          <t>100 % OPCO</t>
        </is>
      </c>
    </row>
    <row r="9">
      <c r="A9" s="25" t="inlineStr">
        <is>
          <t>Pigier</t>
        </is>
      </c>
      <c r="B9" s="19" t="n">
        <v>0</v>
      </c>
      <c r="C9" s="19" t="n">
        <v>2137460</v>
      </c>
      <c r="D9" s="40">
        <f>C9/(B9+C9)</f>
        <v/>
      </c>
      <c r="E9" s="43" t="inlineStr">
        <is>
          <t>100 % OPCO</t>
        </is>
      </c>
    </row>
    <row r="10">
      <c r="A10" s="25" t="inlineStr">
        <is>
          <t>Tunon</t>
        </is>
      </c>
      <c r="B10" s="19" t="n">
        <v>0</v>
      </c>
      <c r="C10" s="19" t="n">
        <v>1941870</v>
      </c>
      <c r="D10" s="40">
        <f>C10/(B10+C10)</f>
        <v/>
      </c>
      <c r="E10" s="43" t="inlineStr">
        <is>
          <t>100 % OPCO</t>
        </is>
      </c>
    </row>
    <row r="13">
      <c r="A13" s="36" t="inlineStr">
        <is>
          <t>CA total par marque — concentration</t>
        </is>
      </c>
    </row>
    <row r="14">
      <c r="A14" s="4" t="inlineStr">
        <is>
          <t>Marque</t>
        </is>
      </c>
      <c r="B14" s="5" t="inlineStr">
        <is>
          <t>CA total</t>
        </is>
      </c>
    </row>
    <row r="15">
      <c r="A15" s="18" t="inlineStr">
        <is>
          <t>MBway</t>
        </is>
      </c>
      <c r="B15" s="19" t="n">
        <v>9567455</v>
      </c>
    </row>
    <row r="16">
      <c r="A16" s="18" t="inlineStr">
        <is>
          <t>ISCOM</t>
        </is>
      </c>
      <c r="B16" s="19" t="n">
        <v>6292550</v>
      </c>
    </row>
    <row r="17">
      <c r="A17" s="18" t="inlineStr">
        <is>
          <t>IPAC</t>
        </is>
      </c>
      <c r="B17" s="19" t="n">
        <v>2582800</v>
      </c>
    </row>
    <row r="18">
      <c r="A18" s="18" t="inlineStr">
        <is>
          <t>Pigier</t>
        </is>
      </c>
      <c r="B18" s="19" t="n">
        <v>2152220</v>
      </c>
    </row>
    <row r="19">
      <c r="A19" s="18" t="inlineStr">
        <is>
          <t>Tunon</t>
        </is>
      </c>
      <c r="B19" s="19" t="n">
        <v>1949700</v>
      </c>
    </row>
    <row r="21">
      <c r="A21" s="29" t="inlineStr">
        <is>
          <t>INSIGHT DAF : groupe massivement financé par l'alternance (OPCO). MBway/ISCOM ~79%, les 3 autres 100%. Dépendance à surveiller.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2026-08-27T22:08:16Z</dcterms:created>
  <dcterms:modified xsi:type="dcterms:W3CDTF">2026-08-27T22:08:16Z</dcterms:modified>
</cp:coreProperties>
</file>