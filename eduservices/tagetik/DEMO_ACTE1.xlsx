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ire" sheetId="1" state="visible" r:id="rId1"/>
    <sheet name="Cockpit" sheetId="2" state="visible" r:id="rId2"/>
    <sheet name="Diagnostic CAC" sheetId="3" state="visible" r:id="rId3"/>
    <sheet name="Structure &amp; Mix" sheetId="4" state="visible" r:id="rId4"/>
    <sheet name="Donné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#,##0.00,,&quot; M€&quot;"/>
    <numFmt numFmtId="166" formatCode="0.0%"/>
    <numFmt numFmtId="167" formatCode="&quot;▲ &quot;0.0%"/>
    <numFmt numFmtId="168" formatCode="&quot;▲ &quot;0.0&quot; pt&quot;"/>
    <numFmt numFmtId="169" formatCode="#,##0&quot; €&quot;"/>
    <numFmt numFmtId="170" formatCode="0.0"/>
  </numFmts>
  <fonts count="28">
    <font>
      <name val="Calibri"/>
      <family val="2"/>
      <color theme="1"/>
      <sz val="11"/>
      <scheme val="minor"/>
    </font>
    <font>
      <name val="Arial"/>
      <b val="1"/>
      <color rgb="00152230"/>
      <sz val="16"/>
    </font>
    <font>
      <name val="Arial"/>
      <color rgb="000A5A48"/>
      <sz val="10"/>
    </font>
    <font>
      <name val="Arial"/>
      <i val="1"/>
      <color rgb="007D8B98"/>
      <sz val="9"/>
    </font>
    <font>
      <name val="Arial"/>
      <b val="1"/>
      <color rgb="00FFFFFF"/>
      <sz val="9"/>
    </font>
    <font>
      <name val="Arial"/>
      <b val="1"/>
      <color rgb="000D7A62"/>
      <sz val="12"/>
    </font>
    <font>
      <name val="Arial"/>
      <color rgb="00152230"/>
      <sz val="9"/>
    </font>
    <font>
      <name val="Arial"/>
      <i val="1"/>
      <color rgb="00152230"/>
      <sz val="9"/>
    </font>
    <font>
      <name val="Arial"/>
      <b val="1"/>
      <i val="1"/>
      <color rgb="00B3641C"/>
      <sz val="9"/>
    </font>
    <font>
      <name val="Arial"/>
      <b val="1"/>
      <color rgb="000A5A48"/>
      <sz val="11"/>
    </font>
    <font>
      <name val="Arial"/>
      <i val="1"/>
      <color rgb="007D8B98"/>
      <sz val="8"/>
    </font>
    <font>
      <name val="Arial"/>
      <color rgb="000000FF"/>
      <sz val="9"/>
    </font>
    <font>
      <name val="Arial"/>
      <color rgb="000A5A48"/>
      <sz val="9"/>
    </font>
    <font>
      <name val="Arial"/>
      <b val="1"/>
      <color rgb="007D8B98"/>
      <sz val="9"/>
    </font>
    <font>
      <name val="Arial"/>
      <b val="1"/>
      <color rgb="000A5A48"/>
      <sz val="16"/>
    </font>
    <font>
      <name val="Arial"/>
      <b val="1"/>
      <color rgb="000A5A48"/>
      <sz val="9"/>
    </font>
    <font>
      <name val="Arial"/>
      <b val="1"/>
      <color rgb="00152230"/>
      <sz val="10"/>
    </font>
    <font>
      <name val="Arial"/>
      <color rgb="00152230"/>
      <sz val="10"/>
    </font>
    <font>
      <name val="Arial"/>
      <b val="1"/>
      <color rgb="000A5A48"/>
      <sz val="10"/>
    </font>
    <font>
      <name val="Arial"/>
      <i val="1"/>
      <color rgb="000A5A48"/>
      <sz val="8"/>
    </font>
    <font>
      <name val="Arial"/>
      <b val="1"/>
      <color rgb="00B3641C"/>
      <sz val="10"/>
    </font>
    <font>
      <name val="Arial"/>
      <color rgb="00B3641C"/>
      <sz val="10"/>
    </font>
    <font>
      <name val="Arial"/>
      <i val="1"/>
      <color rgb="00B3641C"/>
      <sz val="8"/>
    </font>
    <font>
      <name val="Arial"/>
      <b val="1"/>
      <color rgb="00152230"/>
      <sz val="9"/>
    </font>
    <font>
      <name val="Arial"/>
      <b val="1"/>
      <i val="1"/>
      <color rgb="00B3641C"/>
      <sz val="8"/>
    </font>
    <font>
      <name val="Arial"/>
      <b val="1"/>
      <color rgb="00152230"/>
      <sz val="15"/>
    </font>
    <font>
      <name val="Arial"/>
      <color rgb="000000FF"/>
      <sz val="10"/>
    </font>
    <font>
      <name val="Arial"/>
      <b val="1"/>
      <color rgb="00B3641C"/>
      <sz val="9"/>
    </font>
  </fonts>
  <fills count="5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F5F7F9"/>
      </patternFill>
    </fill>
    <fill>
      <patternFill patternType="solid">
        <fgColor rgb="00E4F0EC"/>
      </patternFill>
    </fill>
  </fills>
  <borders count="2">
    <border>
      <left/>
      <right/>
      <top/>
      <bottom/>
      <diagonal/>
    </border>
    <border>
      <bottom style="thin">
        <color rgb="00DBE2E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165" fontId="14" fillId="4" borderId="0" applyAlignment="1" pivotButton="0" quotePrefix="0" xfId="0">
      <alignment horizontal="left" vertical="center" wrapText="1"/>
    </xf>
    <xf numFmtId="166" fontId="14" fillId="4" borderId="0" applyAlignment="1" pivotButton="0" quotePrefix="0" xfId="0">
      <alignment horizontal="left" vertical="center" wrapText="1"/>
    </xf>
    <xf numFmtId="0" fontId="15" fillId="3" borderId="0" pivotButton="0" quotePrefix="0" xfId="0"/>
    <xf numFmtId="0" fontId="0" fillId="3" borderId="0" pivotButton="0" quotePrefix="0" xfId="0"/>
    <xf numFmtId="0" fontId="16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right" vertical="center"/>
    </xf>
    <xf numFmtId="167" fontId="18" fillId="0" borderId="0" applyAlignment="1" pivotButton="0" quotePrefix="0" xfId="0">
      <alignment horizontal="right" vertical="center"/>
    </xf>
    <xf numFmtId="0" fontId="19" fillId="0" borderId="0" pivotButton="0" quotePrefix="0" xfId="0"/>
    <xf numFmtId="166" fontId="17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3" fontId="17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69" fontId="21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18" fillId="0" borderId="0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170" fontId="0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9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3" fontId="26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13" fillId="0" borderId="0" pivotButton="0" quotePrefix="0" xfId="0"/>
    <xf numFmtId="166" fontId="20" fillId="0" borderId="0" applyAlignment="1" pivotButton="0" quotePrefix="0" xfId="0">
      <alignment horizontal="right" vertical="center"/>
    </xf>
    <xf numFmtId="164" fontId="26" fillId="0" borderId="0" applyAlignment="1" pivotButton="0" quotePrefix="0" xfId="0">
      <alignment horizontal="right" vertical="center"/>
    </xf>
    <xf numFmtId="169" fontId="16" fillId="0" borderId="0" applyAlignment="1" pivotButton="0" quotePrefix="0" xfId="0">
      <alignment horizontal="right" vertical="center"/>
    </xf>
    <xf numFmtId="169" fontId="20" fillId="0" borderId="0" applyAlignment="1" pivotButton="0" quotePrefix="0" xfId="0">
      <alignment horizontal="right" vertical="center"/>
    </xf>
    <xf numFmtId="0" fontId="27" fillId="0" borderId="0" pivotButton="0" quotePrefix="0" xfId="0"/>
    <xf numFmtId="166" fontId="16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Dépenses d'acquisition (+21%) décrochent au-dessus de l'activité (+12%)</a:t>
            </a:r>
          </a:p>
        </rich>
      </tx>
    </title>
    <plotArea>
      <lineChart>
        <grouping val="standard"/>
        <ser>
          <idx val="0"/>
          <order val="0"/>
          <tx>
            <strRef>
              <f>'Cockpit'!A20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'Cockpit'!$B$19:$D$19</f>
            </numRef>
          </cat>
          <val>
            <numRef>
              <f>'Cockpit'!$B$20:$D$20</f>
            </numRef>
          </val>
        </ser>
        <ser>
          <idx val="1"/>
          <order val="1"/>
          <tx>
            <strRef>
              <f>'Cockpit'!A21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'Cockpit'!$B$19:$D$19</f>
            </numRef>
          </cat>
          <val>
            <numRef>
              <f>'Cockpit'!$B$21:$D$21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Funnel : le volume fond à chaque étape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'Diagnostic CAC'!$A$6:$A$9</f>
            </numRef>
          </cat>
          <val>
            <numRef>
              <f>'Diagnostic CAC'!$B$6:$B$9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CAC par marque : Tunon décroche (564 € vs ~320 €)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'Diagnostic CAC'!$A$15:$A$19</f>
            </numRef>
          </cat>
          <val>
            <numRef>
              <f>'Diagnostic CAC'!$D$15:$D$19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initiale / alternance : 3 marques 100% OPCO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'Structure &amp; Mix'!B5</f>
            </strRef>
          </tx>
          <spPr>
            <a:ln>
              <a:prstDash val="solid"/>
            </a:ln>
          </spPr>
          <cat>
            <numRef>
              <f>'Structure &amp; Mix'!$A$6:$A$11</f>
            </numRef>
          </cat>
          <val>
            <numRef>
              <f>'Structure &amp; Mix'!$B$6:$B$11</f>
            </numRef>
          </val>
        </ser>
        <ser>
          <idx val="1"/>
          <order val="1"/>
          <tx>
            <strRef>
              <f>'Structure &amp; Mix'!C5</f>
            </strRef>
          </tx>
          <spPr>
            <a:ln>
              <a:prstDash val="solid"/>
            </a:ln>
          </spPr>
          <cat>
            <numRef>
              <f>'Structure &amp; Mix'!$A$6:$A$11</f>
            </numRef>
          </cat>
          <val>
            <numRef>
              <f>'Structure &amp; Mix'!$C$6:$C$11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par marque : MBway + ISCOM ≈ 70% du CA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'Structure &amp; Mix'!$A$15:$A$19</f>
            </numRef>
          </cat>
          <val>
            <numRef>
              <f>'Structure &amp; Mix'!$B$15:$B$19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396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44" customWidth="1" min="4" max="4"/>
    <col width="26" customWidth="1" min="5" max="5"/>
  </cols>
  <sheetData>
    <row r="1">
      <c r="A1" s="1" t="inlineStr">
        <is>
          <t>EDUSERVICES · BUDGET 2027 — l'Acte 1, du chargement au diagnostic</t>
        </is>
      </c>
    </row>
    <row r="2">
      <c r="A2" s="2" t="inlineStr">
        <is>
          <t>Le fil : on POSE (un seul écran, le cockpit), puis on CREUSE (à la demande). Rien n'est affiché en bloc.</t>
        </is>
      </c>
    </row>
    <row r="3">
      <c r="A3" s="3" t="inlineStr">
        <is>
          <t>Vocabulaire : 2024-2025 réalisé · 2026 atterrissage (estimé) · 2027 budget (à construire).</t>
        </is>
      </c>
    </row>
    <row r="5">
      <c r="A5" s="4" t="inlineStr">
        <is>
          <t>#</t>
        </is>
      </c>
      <c r="B5" s="5" t="inlineStr">
        <is>
          <t>Ce qu'on FAIT</t>
        </is>
      </c>
      <c r="C5" s="5" t="inlineStr">
        <is>
          <t>Ce qu'on AFFICHE</t>
        </is>
      </c>
      <c r="D5" s="5" t="inlineStr">
        <is>
          <t>Ce qu'on DIT</t>
        </is>
      </c>
      <c r="E5" s="5" t="inlineStr">
        <is>
          <t>Drill / suite</t>
        </is>
      </c>
    </row>
    <row r="6" ht="54" customHeight="1">
      <c r="A6" s="6" t="inlineStr">
        <is>
          <t>0</t>
        </is>
      </c>
      <c r="B6" s="7" t="inlineStr">
        <is>
          <t>Chargement compta + CRM</t>
        </is>
      </c>
      <c r="C6" s="7" t="inlineStr">
        <is>
          <t>(transition, pas d'écran)</t>
        </is>
      </c>
      <c r="D6" s="8" t="inlineStr">
        <is>
          <t>« Deux mondes — finance et commercial — entrent sans friction dans le même modèle. »</t>
        </is>
      </c>
      <c r="E6" s="7" t="inlineStr">
        <is>
          <t>→ le cockpit</t>
        </is>
      </c>
    </row>
    <row r="7" ht="54" customHeight="1">
      <c r="A7" s="9" t="inlineStr">
        <is>
          <t>1</t>
        </is>
      </c>
      <c r="B7" s="7" t="inlineStr">
        <is>
          <t>On POSE l'état + la tension</t>
        </is>
      </c>
      <c r="C7" s="7" t="inlineStr">
        <is>
          <t>COCKPIT d'atterrissage 2026 : bandeau CA/EBITDA/Marge + 6 tuiles KPI (finance &amp; commercial) + 1 graphe de tension</t>
        </is>
      </c>
      <c r="D7" s="8" t="inlineStr">
        <is>
          <t>« Voilà où on en est : on progresse partout… sauf un point, le coût d'acquisition se dégrade. C'est le départ du budget 2027. »</t>
        </is>
      </c>
      <c r="E7" s="7" t="inlineStr">
        <is>
          <t>clic tuile CAC → Diagnostic</t>
        </is>
      </c>
    </row>
    <row r="8" ht="54" customHeight="1">
      <c r="A8" s="9" t="inlineStr">
        <is>
          <t>2</t>
        </is>
      </c>
      <c r="B8" s="7" t="inlineStr">
        <is>
          <t>On CREUSE le CAC</t>
        </is>
      </c>
      <c r="C8" s="7" t="inlineStr">
        <is>
          <t>DIAGNOSTIC CAC : funnel (taux de passage) + CAC par marque (Tunon 564 €)</t>
        </is>
      </c>
      <c r="D8" s="8" t="inlineStr">
        <is>
          <t>« Le CAC n'est pas une fatalité : c'est un taux de conversion. On sait où agir — Tunon en priorité. »</t>
        </is>
      </c>
      <c r="E8" s="7" t="inlineStr">
        <is>
          <t>clic marque → funnel campus ; puis → construction 2027</t>
        </is>
      </c>
    </row>
    <row r="9" ht="54" customHeight="1">
      <c r="A9" s="6" t="inlineStr">
        <is>
          <t>~</t>
        </is>
      </c>
      <c r="B9" s="7" t="inlineStr">
        <is>
          <t>Pilotage complémentaire</t>
        </is>
      </c>
      <c r="C9" s="7" t="inlineStr">
        <is>
          <t>STRUCTURE &amp; MIX : mix initiale/alternance (OPCO) + CA par marque</t>
        </is>
      </c>
      <c r="D9" s="8" t="inlineStr">
        <is>
          <t>« Attention : 3 marques sont 100 % financées par l'OPCO — dépendance à surveiller. »</t>
        </is>
      </c>
      <c r="E9" s="7" t="inlineStr">
        <is>
          <t>rapport à part (pas dans le flux d'accueil)</t>
        </is>
      </c>
    </row>
    <row r="10" ht="54" customHeight="1">
      <c r="A10" s="6" t="inlineStr">
        <is>
          <t>→</t>
        </is>
      </c>
      <c r="B10" s="7" t="inlineStr">
        <is>
          <t>On construit</t>
        </is>
      </c>
      <c r="C10" s="7" t="inlineStr">
        <is>
          <t>(Acte 2 — cadrage, moteur, scénarios)</t>
        </is>
      </c>
      <c r="D10" s="8" t="inlineStr">
        <is>
          <t>« Maintenant qu'on sait d'où on part et où ça tire, on construit le budget 2027. »</t>
        </is>
      </c>
      <c r="E10" s="7" t="inlineStr">
        <is>
          <t>suite de la démo</t>
        </is>
      </c>
    </row>
    <row r="12">
      <c r="A12" s="10" t="inlineStr">
        <is>
          <t>Point clé : après le chargement, on n'affiche QUE le cockpit. Le Diagnostic et le Structure&amp;Mix s'ouvrent APRÈS, quand on creuse.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5" customWidth="1" min="4" max="4"/>
    <col width="11" customWidth="1" min="5" max="5"/>
    <col width="12" customWidth="1" min="6" max="6"/>
  </cols>
  <sheetData>
    <row r="1">
      <c r="A1" s="1" t="inlineStr">
        <is>
          <t>COCKPIT · ATTERRISSAGE 2026</t>
        </is>
      </c>
    </row>
    <row r="2">
      <c r="A2" s="11" t="inlineStr">
        <is>
          <t>Point de départ du budget 2027 · réalisé 2024-2025, atterrissage 2026 · commercial + financier, un seul écran</t>
        </is>
      </c>
    </row>
    <row r="4">
      <c r="A4" s="12" t="inlineStr">
        <is>
          <t>Chiffre d'affaires 2026</t>
        </is>
      </c>
      <c r="B4" s="13" t="n"/>
      <c r="C4" s="12" t="inlineStr">
        <is>
          <t>EBITDA 2026</t>
        </is>
      </c>
      <c r="D4" s="13" t="n"/>
      <c r="E4" s="12" t="inlineStr">
        <is>
          <t>Marge EBITDA 2026</t>
        </is>
      </c>
      <c r="F4" s="13" t="n"/>
    </row>
    <row r="5">
      <c r="A5" s="14">
        <f>Données!B7</f>
        <v/>
      </c>
      <c r="B5" s="13" t="n"/>
      <c r="C5" s="14">
        <f>Données!C7</f>
        <v/>
      </c>
      <c r="D5" s="13" t="n"/>
      <c r="E5" s="15">
        <f>Données!C7/Données!B7</f>
        <v/>
      </c>
      <c r="F5" s="13" t="n"/>
    </row>
    <row r="7">
      <c r="A7" s="4" t="inlineStr">
        <is>
          <t>KPI</t>
        </is>
      </c>
      <c r="B7" s="5" t="inlineStr">
        <is>
          <t>2024 réalisé</t>
        </is>
      </c>
      <c r="C7" s="5" t="inlineStr">
        <is>
          <t>2025 réalisé</t>
        </is>
      </c>
      <c r="D7" s="5" t="inlineStr">
        <is>
          <t>2026 atterrissage</t>
        </is>
      </c>
      <c r="E7" s="5" t="inlineStr">
        <is>
          <t>YoY 25→26</t>
        </is>
      </c>
      <c r="F7" s="5" t="inlineStr">
        <is>
          <t>sens</t>
        </is>
      </c>
    </row>
    <row r="8">
      <c r="A8" s="16" t="inlineStr">
        <is>
          <t>FINANCE</t>
        </is>
      </c>
      <c r="B8" s="17" t="n"/>
      <c r="C8" s="17" t="n"/>
      <c r="D8" s="17" t="n"/>
      <c r="E8" s="17" t="n"/>
      <c r="F8" s="17" t="n"/>
    </row>
    <row r="9">
      <c r="A9" s="18" t="inlineStr">
        <is>
          <t>Chiffre d'affaires (€)</t>
        </is>
      </c>
      <c r="B9" s="19">
        <f>Données!B5</f>
        <v/>
      </c>
      <c r="C9" s="19">
        <f>Données!B6</f>
        <v/>
      </c>
      <c r="D9" s="19">
        <f>Données!B7</f>
        <v/>
      </c>
      <c r="E9" s="20">
        <f>D9/C9-1</f>
        <v/>
      </c>
      <c r="F9" s="21" t="inlineStr">
        <is>
          <t>bon sens</t>
        </is>
      </c>
    </row>
    <row r="10">
      <c r="A10" s="18" t="inlineStr">
        <is>
          <t>EBITDA (€)</t>
        </is>
      </c>
      <c r="B10" s="19">
        <f>Données!C5</f>
        <v/>
      </c>
      <c r="C10" s="19">
        <f>Données!C6</f>
        <v/>
      </c>
      <c r="D10" s="19">
        <f>Données!C7</f>
        <v/>
      </c>
      <c r="E10" s="20">
        <f>D10/C10-1</f>
        <v/>
      </c>
      <c r="F10" s="21" t="inlineStr">
        <is>
          <t>bon sens</t>
        </is>
      </c>
    </row>
    <row r="11">
      <c r="A11" s="18" t="inlineStr">
        <is>
          <t>Marge EBITDA %</t>
        </is>
      </c>
      <c r="B11" s="22">
        <f>Données!C5/Données!B5</f>
        <v/>
      </c>
      <c r="C11" s="22">
        <f>Données!C6/Données!B6</f>
        <v/>
      </c>
      <c r="D11" s="22">
        <f>Données!C7/Données!B7</f>
        <v/>
      </c>
      <c r="E11" s="23">
        <f>D11-C11</f>
        <v/>
      </c>
      <c r="F11" s="21" t="inlineStr">
        <is>
          <t>bon sens</t>
        </is>
      </c>
    </row>
    <row r="12">
      <c r="A12" s="16" t="inlineStr">
        <is>
          <t>COMMERCIAL</t>
        </is>
      </c>
      <c r="B12" s="17" t="n"/>
      <c r="C12" s="17" t="n"/>
      <c r="D12" s="17" t="n"/>
      <c r="E12" s="17" t="n"/>
      <c r="F12" s="17" t="n"/>
    </row>
    <row r="13">
      <c r="A13" s="18" t="inlineStr">
        <is>
          <t>Leads</t>
        </is>
      </c>
      <c r="B13" s="24">
        <f>Données!D5</f>
        <v/>
      </c>
      <c r="C13" s="24">
        <f>Données!D6</f>
        <v/>
      </c>
      <c r="D13" s="24">
        <f>Données!D7</f>
        <v/>
      </c>
      <c r="E13" s="20">
        <f>D13/C13-1</f>
        <v/>
      </c>
      <c r="F13" s="21" t="inlineStr">
        <is>
          <t>bon sens</t>
        </is>
      </c>
    </row>
    <row r="14">
      <c r="A14" s="18" t="inlineStr">
        <is>
          <t>Inscrits</t>
        </is>
      </c>
      <c r="B14" s="24">
        <f>Données!E5</f>
        <v/>
      </c>
      <c r="C14" s="24">
        <f>Données!E6</f>
        <v/>
      </c>
      <c r="D14" s="24">
        <f>Données!E7</f>
        <v/>
      </c>
      <c r="E14" s="20">
        <f>D14/C14-1</f>
        <v/>
      </c>
      <c r="F14" s="21" t="inlineStr">
        <is>
          <t>bon sens</t>
        </is>
      </c>
    </row>
    <row r="15">
      <c r="A15" s="25" t="inlineStr">
        <is>
          <t>CAC (€/inscrit)</t>
        </is>
      </c>
      <c r="B15" s="26">
        <f>Données!F5/Données!E5</f>
        <v/>
      </c>
      <c r="C15" s="26">
        <f>Données!F6/Données!E6</f>
        <v/>
      </c>
      <c r="D15" s="26">
        <f>Données!F7/Données!E7</f>
        <v/>
      </c>
      <c r="E15" s="27">
        <f>D15/C15-1</f>
        <v/>
      </c>
      <c r="F15" s="28" t="inlineStr">
        <is>
          <t>à surveiller</t>
        </is>
      </c>
    </row>
    <row r="16">
      <c r="A16" s="28" t="inlineStr">
        <is>
          <t>CAC = seul KPI en tension : le coût d'acquisition monte plus vite que le volume. C'est ce que le budget 2027 doit corriger.</t>
        </is>
      </c>
    </row>
    <row r="18">
      <c r="A18" s="29" t="inlineStr">
        <is>
          <t>TENSION — base 100 en 2024</t>
        </is>
      </c>
    </row>
    <row r="19">
      <c r="A19" s="30" t="inlineStr">
        <is>
          <t>Année</t>
        </is>
      </c>
      <c r="B19" s="31" t="n">
        <v>2024</v>
      </c>
      <c r="C19" s="31" t="n">
        <v>2025</v>
      </c>
      <c r="D19" s="31" t="n">
        <v>2026</v>
      </c>
    </row>
    <row r="20">
      <c r="A20" s="32" t="inlineStr">
        <is>
          <t>Activité (CA)</t>
        </is>
      </c>
      <c r="B20" s="33">
        <f>Données!B5/Données!B5*100</f>
        <v/>
      </c>
      <c r="C20" s="33">
        <f>Données!B6/Données!B5*100</f>
        <v/>
      </c>
      <c r="D20" s="33">
        <f>Données!B7/Données!B5*100</f>
        <v/>
      </c>
    </row>
    <row r="21">
      <c r="A21" s="32" t="inlineStr">
        <is>
          <t>Dépenses acq.</t>
        </is>
      </c>
      <c r="B21" s="33">
        <f>Données!F5/Données!F5*100</f>
        <v/>
      </c>
      <c r="C21" s="33">
        <f>Données!F6/Données!F5*100</f>
        <v/>
      </c>
      <c r="D21" s="33">
        <f>Données!F7/Données!F5*100</f>
        <v/>
      </c>
    </row>
    <row r="23">
      <c r="A23" s="34" t="inlineStr">
        <is>
          <t>L'écart entre les 2 courbes = la dégradation du CAC → ce que le budget 2027 doit corriger. Clic tuile CAC → Diagnostic.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5" customWidth="1" min="4" max="4"/>
    <col width="16" customWidth="1" min="5" max="5"/>
  </cols>
  <sheetData>
    <row r="1">
      <c r="A1" s="35" t="inlineStr">
        <is>
          <t>DIAGNOSTIC CAC  ·  pourquoi le coût d'acquisition se dégrade  ·  2026</t>
        </is>
      </c>
    </row>
    <row r="2">
      <c r="A2" s="11" t="inlineStr">
        <is>
          <t>1er drill depuis la tuile CAC du cockpit. Le funnel explique COMMENT ; le CAC par marque dit OÙ agir.</t>
        </is>
      </c>
    </row>
    <row r="4">
      <c r="A4" s="36" t="inlineStr">
        <is>
          <t>Funnel de conversion (groupe)</t>
        </is>
      </c>
    </row>
    <row r="5">
      <c r="A5" s="4" t="inlineStr">
        <is>
          <t>Étape</t>
        </is>
      </c>
      <c r="B5" s="5" t="inlineStr">
        <is>
          <t>Volume</t>
        </is>
      </c>
      <c r="C5" s="5" t="inlineStr">
        <is>
          <t>Taux de passage</t>
        </is>
      </c>
    </row>
    <row r="6">
      <c r="A6" s="37" t="inlineStr">
        <is>
          <t>Leads</t>
        </is>
      </c>
      <c r="B6" s="38" t="n">
        <v>17197</v>
      </c>
    </row>
    <row r="7">
      <c r="A7" s="37" t="inlineStr">
        <is>
          <t>Candidatures</t>
        </is>
      </c>
      <c r="B7" s="38" t="n">
        <v>3720</v>
      </c>
      <c r="C7" s="39">
        <f>B7/B6</f>
        <v/>
      </c>
    </row>
    <row r="8">
      <c r="A8" s="37" t="inlineStr">
        <is>
          <t>Admis</t>
        </is>
      </c>
      <c r="B8" s="38" t="n">
        <v>2623</v>
      </c>
      <c r="C8" s="39">
        <f>B8/B7</f>
        <v/>
      </c>
    </row>
    <row r="9">
      <c r="A9" s="37" t="inlineStr">
        <is>
          <t>Inscrits</t>
        </is>
      </c>
      <c r="B9" s="38" t="n">
        <v>1229</v>
      </c>
      <c r="C9" s="39">
        <f>B9/B8</f>
        <v/>
      </c>
    </row>
    <row r="10">
      <c r="A10" s="40" t="inlineStr">
        <is>
          <t>Global lead → inscrit</t>
        </is>
      </c>
      <c r="C10" s="41">
        <f>B9/B6</f>
        <v/>
      </c>
    </row>
    <row r="13">
      <c r="A13" s="36" t="inlineStr">
        <is>
          <t>CAC par marque — où le coût dérape</t>
        </is>
      </c>
    </row>
    <row r="14">
      <c r="A14" s="4" t="inlineStr">
        <is>
          <t>Marque</t>
        </is>
      </c>
      <c r="B14" s="5" t="inlineStr">
        <is>
          <t>Dépense acq.</t>
        </is>
      </c>
      <c r="C14" s="5" t="inlineStr">
        <is>
          <t>Inscrits</t>
        </is>
      </c>
      <c r="D14" s="5" t="inlineStr">
        <is>
          <t>CAC (€/inscrit)</t>
        </is>
      </c>
    </row>
    <row r="15">
      <c r="A15" s="18" t="inlineStr">
        <is>
          <t>MBway</t>
        </is>
      </c>
      <c r="B15" s="42" t="n">
        <v>166530</v>
      </c>
      <c r="C15" s="38" t="n">
        <v>510</v>
      </c>
      <c r="D15" s="43">
        <f>B15/C15</f>
        <v/>
      </c>
    </row>
    <row r="16">
      <c r="A16" s="18" t="inlineStr">
        <is>
          <t>ISCOM</t>
        </is>
      </c>
      <c r="B16" s="42" t="n">
        <v>108103</v>
      </c>
      <c r="C16" s="38" t="n">
        <v>338</v>
      </c>
      <c r="D16" s="43">
        <f>B16/C16</f>
        <v/>
      </c>
    </row>
    <row r="17">
      <c r="A17" s="18" t="inlineStr">
        <is>
          <t>IPAC</t>
        </is>
      </c>
      <c r="B17" s="42" t="n">
        <v>51871</v>
      </c>
      <c r="C17" s="38" t="n">
        <v>130</v>
      </c>
      <c r="D17" s="43">
        <f>B17/C17</f>
        <v/>
      </c>
    </row>
    <row r="18">
      <c r="A18" s="18" t="inlineStr">
        <is>
          <t>Pigier</t>
        </is>
      </c>
      <c r="B18" s="42" t="n">
        <v>58580</v>
      </c>
      <c r="C18" s="38" t="n">
        <v>164</v>
      </c>
      <c r="D18" s="43">
        <f>B18/C18</f>
        <v/>
      </c>
    </row>
    <row r="19">
      <c r="A19" s="25" t="inlineStr">
        <is>
          <t>Tunon</t>
        </is>
      </c>
      <c r="B19" s="42" t="n">
        <v>49090</v>
      </c>
      <c r="C19" s="38" t="n">
        <v>87</v>
      </c>
      <c r="D19" s="44">
        <f>B19/C19</f>
        <v/>
      </c>
      <c r="E19" s="45" t="inlineStr">
        <is>
          <t>◄ 1,7× la moyenne</t>
        </is>
      </c>
    </row>
    <row r="21">
      <c r="A21" s="34" t="inlineStr">
        <is>
          <t>Le funnel dit COMMENT (taux) ; le CAC par marque dit OÙ agir → Tunon en priorité. Clic marque → funnel du campus.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3" customWidth="1" min="5" max="5"/>
  </cols>
  <sheetData>
    <row r="1">
      <c r="A1" s="35" t="inlineStr">
        <is>
          <t>STRUCTURE &amp; MIX DE FINANCEMENT  ·  2026</t>
        </is>
      </c>
    </row>
    <row r="2">
      <c r="A2" s="11" t="inlineStr">
        <is>
          <t>Ce que le CRM ne montre pas : la dépendance à l'alternance (OPCO). Vraie question DAF — risque réglementaire.</t>
        </is>
      </c>
    </row>
    <row r="4">
      <c r="A4" s="36" t="inlineStr">
        <is>
          <t>Mix scolarité : initiale vs alternance (OPCO), par marque</t>
        </is>
      </c>
    </row>
    <row r="5">
      <c r="A5" s="4" t="inlineStr">
        <is>
          <t>Marque</t>
        </is>
      </c>
      <c r="B5" s="5" t="inlineStr">
        <is>
          <t>Initiale (706)</t>
        </is>
      </c>
      <c r="C5" s="5" t="inlineStr">
        <is>
          <t>Alternance (7062)</t>
        </is>
      </c>
      <c r="D5" s="5" t="inlineStr">
        <is>
          <t>% alternance</t>
        </is>
      </c>
    </row>
    <row r="6">
      <c r="A6" s="18" t="inlineStr">
        <is>
          <t>MBway</t>
        </is>
      </c>
      <c r="B6" s="42" t="n">
        <v>1995975</v>
      </c>
      <c r="C6" s="42" t="n">
        <v>7525580</v>
      </c>
      <c r="D6" s="46">
        <f>C6/(B6+C6)</f>
        <v/>
      </c>
    </row>
    <row r="7">
      <c r="A7" s="18" t="inlineStr">
        <is>
          <t>ISCOM</t>
        </is>
      </c>
      <c r="B7" s="42" t="n">
        <v>1310700</v>
      </c>
      <c r="C7" s="42" t="n">
        <v>4951430</v>
      </c>
      <c r="D7" s="46">
        <f>C7/(B7+C7)</f>
        <v/>
      </c>
    </row>
    <row r="8">
      <c r="A8" s="25" t="inlineStr">
        <is>
          <t>IPAC</t>
        </is>
      </c>
      <c r="B8" s="42" t="n">
        <v>0</v>
      </c>
      <c r="C8" s="42" t="n">
        <v>2571100</v>
      </c>
      <c r="D8" s="41">
        <f>C8/(B8+C8)</f>
        <v/>
      </c>
      <c r="E8" s="45" t="inlineStr">
        <is>
          <t>100 % OPCO</t>
        </is>
      </c>
    </row>
    <row r="9">
      <c r="A9" s="25" t="inlineStr">
        <is>
          <t>Pigier</t>
        </is>
      </c>
      <c r="B9" s="42" t="n">
        <v>0</v>
      </c>
      <c r="C9" s="42" t="n">
        <v>2137460</v>
      </c>
      <c r="D9" s="41">
        <f>C9/(B9+C9)</f>
        <v/>
      </c>
      <c r="E9" s="45" t="inlineStr">
        <is>
          <t>100 % OPCO</t>
        </is>
      </c>
    </row>
    <row r="10">
      <c r="A10" s="25" t="inlineStr">
        <is>
          <t>Tunon</t>
        </is>
      </c>
      <c r="B10" s="42" t="n">
        <v>0</v>
      </c>
      <c r="C10" s="42" t="n">
        <v>1941870</v>
      </c>
      <c r="D10" s="41">
        <f>C10/(B10+C10)</f>
        <v/>
      </c>
      <c r="E10" s="45" t="inlineStr">
        <is>
          <t>100 % OPCO</t>
        </is>
      </c>
    </row>
    <row r="13">
      <c r="A13" s="36" t="inlineStr">
        <is>
          <t>CA total par marque — concentration</t>
        </is>
      </c>
    </row>
    <row r="14">
      <c r="A14" s="4" t="inlineStr">
        <is>
          <t>Marque</t>
        </is>
      </c>
      <c r="B14" s="5" t="inlineStr">
        <is>
          <t>CA total</t>
        </is>
      </c>
    </row>
    <row r="15">
      <c r="A15" s="18" t="inlineStr">
        <is>
          <t>MBway</t>
        </is>
      </c>
      <c r="B15" s="42" t="n">
        <v>9567455</v>
      </c>
    </row>
    <row r="16">
      <c r="A16" s="18" t="inlineStr">
        <is>
          <t>ISCOM</t>
        </is>
      </c>
      <c r="B16" s="42" t="n">
        <v>6292550</v>
      </c>
    </row>
    <row r="17">
      <c r="A17" s="18" t="inlineStr">
        <is>
          <t>IPAC</t>
        </is>
      </c>
      <c r="B17" s="42" t="n">
        <v>2582800</v>
      </c>
    </row>
    <row r="18">
      <c r="A18" s="18" t="inlineStr">
        <is>
          <t>Pigier</t>
        </is>
      </c>
      <c r="B18" s="42" t="n">
        <v>2152220</v>
      </c>
    </row>
    <row r="19">
      <c r="A19" s="18" t="inlineStr">
        <is>
          <t>Tunon</t>
        </is>
      </c>
      <c r="B19" s="42" t="n">
        <v>1949700</v>
      </c>
    </row>
    <row r="21">
      <c r="A21" s="34" t="inlineStr">
        <is>
          <t>INSIGHT DAF : groupe massivement financé par l'alternance (OPCO). MBway/ISCOM ~79%, les 3 autres 100%. Dépendance à surveiller.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>
      <c r="A1" s="36" t="inlineStr">
        <is>
          <t>DONNÉES — agrégats annuels groupe (compta produits + socle CRM)</t>
        </is>
      </c>
    </row>
    <row r="2">
      <c r="A2" s="47" t="inlineStr">
        <is>
          <t>2024-2025 réalisé · 2026 atterrissage. Bleu = donnée.</t>
        </is>
      </c>
    </row>
    <row r="4">
      <c r="A4" s="4" t="inlineStr">
        <is>
          <t>Exercice</t>
        </is>
      </c>
      <c r="B4" s="5" t="inlineStr">
        <is>
          <t>CA</t>
        </is>
      </c>
      <c r="C4" s="5" t="inlineStr">
        <is>
          <t>EBITDA</t>
        </is>
      </c>
      <c r="D4" s="5" t="inlineStr">
        <is>
          <t>Leads</t>
        </is>
      </c>
      <c r="E4" s="5" t="inlineStr">
        <is>
          <t>Inscrits</t>
        </is>
      </c>
      <c r="F4" s="5" t="inlineStr">
        <is>
          <t>Dépense acq.</t>
        </is>
      </c>
    </row>
    <row r="5">
      <c r="A5" s="48" t="inlineStr">
        <is>
          <t>2024</t>
        </is>
      </c>
      <c r="B5" s="49" t="n">
        <v>20064725</v>
      </c>
      <c r="C5" s="49" t="n">
        <v>2648550</v>
      </c>
      <c r="D5" s="50" t="n">
        <v>15305</v>
      </c>
      <c r="E5" s="50" t="n">
        <v>1092</v>
      </c>
      <c r="F5" s="49" t="n">
        <v>358819</v>
      </c>
    </row>
    <row r="6">
      <c r="A6" s="48" t="inlineStr">
        <is>
          <t>2025</t>
        </is>
      </c>
      <c r="B6" s="49" t="n">
        <v>21268606</v>
      </c>
      <c r="C6" s="49" t="n">
        <v>2977604</v>
      </c>
      <c r="D6" s="50" t="n">
        <v>16226</v>
      </c>
      <c r="E6" s="50" t="n">
        <v>1159</v>
      </c>
      <c r="F6" s="49" t="n">
        <v>394702</v>
      </c>
    </row>
    <row r="7">
      <c r="A7" s="48" t="inlineStr">
        <is>
          <t>2026</t>
        </is>
      </c>
      <c r="B7" s="49" t="n">
        <v>22544725</v>
      </c>
      <c r="C7" s="49" t="n">
        <v>3291530</v>
      </c>
      <c r="D7" s="50" t="n">
        <v>17197</v>
      </c>
      <c r="E7" s="50" t="n">
        <v>1229</v>
      </c>
      <c r="F7" s="49" t="n">
        <v>434174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2026-08-27T16:39:22Z</dcterms:created>
  <dcterms:modified xsi:type="dcterms:W3CDTF">2026-08-27T16:39:22Z</dcterms:modified>
</cp:coreProperties>
</file>