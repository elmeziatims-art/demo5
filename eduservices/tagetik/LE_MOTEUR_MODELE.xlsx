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 moteur (modèle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&quot;€&quot;;-#,##0 &quot;€&quot;;&quot;-&quot;"/>
    <numFmt numFmtId="165" formatCode="0.000"/>
    <numFmt numFmtId="166" formatCode="0.0%"/>
    <numFmt numFmtId="167" formatCode="+0.0%;-0.0%;0.0%"/>
  </numFmts>
  <fonts count="28">
    <font>
      <name val="Calibri"/>
      <family val="2"/>
      <color theme="1"/>
      <sz val="11"/>
      <scheme val="minor"/>
    </font>
    <font>
      <name val="Arial"/>
      <b val="1"/>
      <color rgb="000A5A48"/>
      <sz val="9"/>
    </font>
    <font>
      <name val="Arial"/>
      <b val="1"/>
      <color rgb="00152230"/>
      <sz val="16"/>
    </font>
    <font>
      <name val="Arial"/>
      <color rgb="0051606D"/>
      <sz val="9"/>
    </font>
    <font>
      <name val="Arial"/>
      <b val="1"/>
      <color rgb="000A5A48"/>
      <sz val="12"/>
    </font>
    <font>
      <name val="Arial"/>
      <b val="1"/>
      <i val="1"/>
      <color rgb="00B3641C"/>
      <sz val="9"/>
    </font>
    <font>
      <name val="Arial"/>
      <b val="1"/>
      <color rgb="00FFFFFF"/>
      <sz val="8.5"/>
    </font>
    <font>
      <name val="Arial"/>
      <color rgb="00152230"/>
      <sz val="9"/>
    </font>
    <font>
      <name val="Arial"/>
      <i val="1"/>
      <color rgb="007D8B98"/>
      <sz val="8"/>
    </font>
    <font>
      <name val="Arial"/>
      <i val="1"/>
      <color rgb="0051606D"/>
      <sz val="9"/>
    </font>
    <font>
      <name val="Arial"/>
      <color rgb="00152230"/>
      <sz val="8.5"/>
    </font>
    <font>
      <name val="Arial"/>
      <color rgb="0051606D"/>
      <sz val="8.5"/>
    </font>
    <font>
      <name val="Arial"/>
      <color rgb="003D4F8F"/>
      <sz val="8.5"/>
    </font>
    <font>
      <name val="Arial"/>
      <color rgb="007D8B98"/>
      <sz val="8"/>
    </font>
    <font>
      <name val="Arial"/>
      <b val="1"/>
      <color rgb="003D4F8F"/>
      <sz val="8.5"/>
    </font>
    <font>
      <name val="Arial"/>
      <b val="1"/>
      <color rgb="001E7A55"/>
      <sz val="8.5"/>
    </font>
    <font>
      <name val="Arial"/>
      <color rgb="00152230"/>
      <sz val="10"/>
    </font>
    <font>
      <name val="Arial"/>
      <b val="1"/>
      <color rgb="001E7A55"/>
      <sz val="9"/>
    </font>
    <font>
      <name val="Arial"/>
      <i val="1"/>
      <color rgb="00B3641C"/>
      <sz val="8"/>
    </font>
    <font>
      <name val="Arial"/>
      <b val="1"/>
      <color rgb="008A4A12"/>
      <sz val="10"/>
    </font>
    <font>
      <name val="Arial"/>
      <b val="1"/>
      <color rgb="00152230"/>
      <sz val="10"/>
    </font>
    <font>
      <name val="Arial"/>
      <b val="1"/>
      <color rgb="00152230"/>
      <sz val="9"/>
    </font>
    <font>
      <name val="Arial"/>
      <color rgb="008A4A12"/>
      <sz val="9"/>
    </font>
    <font>
      <name val="Arial"/>
      <color rgb="000A5A48"/>
      <sz val="9"/>
    </font>
    <font>
      <name val="Arial"/>
      <color rgb="003D4F8F"/>
      <sz val="9"/>
    </font>
    <font>
      <name val="Arial"/>
      <b val="1"/>
      <color rgb="000A5A48"/>
      <sz val="10"/>
    </font>
    <font>
      <name val="Arial"/>
      <b val="1"/>
      <color rgb="003D4F8F"/>
      <sz val="10"/>
    </font>
    <font>
      <name val="Arial"/>
      <b val="1"/>
      <color rgb="00B3641C"/>
      <sz val="9"/>
    </font>
  </fonts>
  <fills count="5">
    <fill>
      <patternFill/>
    </fill>
    <fill>
      <patternFill patternType="gray125"/>
    </fill>
    <fill>
      <patternFill patternType="solid">
        <fgColor rgb="000D7A62"/>
      </patternFill>
    </fill>
    <fill>
      <patternFill patternType="solid">
        <fgColor rgb="00FFF6DA"/>
      </patternFill>
    </fill>
    <fill>
      <patternFill patternType="solid">
        <fgColor rgb="00E4F0E8"/>
      </patternFill>
    </fill>
  </fills>
  <borders count="5">
    <border>
      <left/>
      <right/>
      <top/>
      <bottom/>
      <diagonal/>
    </border>
    <border>
      <bottom style="medium">
        <color rgb="00C8D2DA"/>
      </bottom>
    </border>
    <border>
      <bottom style="thin">
        <color rgb="00C8D2DA"/>
      </bottom>
    </border>
    <border>
      <top style="medium">
        <color rgb="00C8D2DA"/>
      </top>
      <bottom style="medium">
        <color rgb="00C8D2DA"/>
      </bottom>
    </border>
    <border>
      <left style="medium">
        <color rgb="00D9B94A"/>
      </left>
      <right style="medium">
        <color rgb="00D9B94A"/>
      </right>
      <top style="medium">
        <color rgb="00D9B94A"/>
      </top>
      <bottom style="medium">
        <color rgb="00D9B94A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/>
    </xf>
    <xf numFmtId="3" fontId="7" fillId="3" borderId="2" applyAlignment="1" pivotButton="0" quotePrefix="0" xfId="0">
      <alignment horizontal="right" vertical="center"/>
    </xf>
    <xf numFmtId="164" fontId="7" fillId="3" borderId="2" applyAlignment="1" pivotButton="0" quotePrefix="0" xfId="0">
      <alignment horizontal="right" vertical="center"/>
    </xf>
    <xf numFmtId="165" fontId="1" fillId="0" borderId="2" applyAlignment="1" pivotButton="0" quotePrefix="0" xfId="0">
      <alignment horizontal="right" vertical="center"/>
    </xf>
    <xf numFmtId="166" fontId="3" fillId="0" borderId="2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2" applyAlignment="1" pivotButton="0" quotePrefix="0" xfId="0">
      <alignment horizontal="left" vertical="center"/>
    </xf>
    <xf numFmtId="3" fontId="10" fillId="3" borderId="2" applyAlignment="1" pivotButton="0" quotePrefix="0" xfId="0">
      <alignment horizontal="right" vertical="center"/>
    </xf>
    <xf numFmtId="165" fontId="11" fillId="0" borderId="2" applyAlignment="1" pivotButton="0" quotePrefix="0" xfId="0">
      <alignment horizontal="right" vertical="center"/>
    </xf>
    <xf numFmtId="3" fontId="12" fillId="0" borderId="2" applyAlignment="1" pivotButton="0" quotePrefix="0" xfId="0">
      <alignment horizontal="right" vertical="center"/>
    </xf>
    <xf numFmtId="166" fontId="11" fillId="0" borderId="2" applyAlignment="1" pivotButton="0" quotePrefix="0" xfId="0">
      <alignment horizontal="right" vertical="center"/>
    </xf>
    <xf numFmtId="3" fontId="14" fillId="0" borderId="2" applyAlignment="1" pivotButton="0" quotePrefix="0" xfId="0">
      <alignment horizontal="right" vertical="center"/>
    </xf>
    <xf numFmtId="3" fontId="10" fillId="0" borderId="2" applyAlignment="1" pivotButton="0" quotePrefix="0" xfId="0">
      <alignment horizontal="right" vertical="center"/>
    </xf>
    <xf numFmtId="167" fontId="15" fillId="0" borderId="2" applyAlignment="1" pivotButton="0" quotePrefix="0" xfId="0">
      <alignment horizontal="right" vertical="center"/>
    </xf>
    <xf numFmtId="3" fontId="13" fillId="0" borderId="0" applyAlignment="1" pivotButton="0" quotePrefix="0" xfId="0">
      <alignment horizontal="right" vertical="center"/>
    </xf>
    <xf numFmtId="0" fontId="16" fillId="0" borderId="2" applyAlignment="1" pivotButton="0" quotePrefix="0" xfId="0">
      <alignment horizontal="left" vertical="center"/>
    </xf>
    <xf numFmtId="0" fontId="1" fillId="4" borderId="3" applyAlignment="1" pivotButton="0" quotePrefix="0" xfId="0">
      <alignment horizontal="left" vertical="center"/>
    </xf>
    <xf numFmtId="0" fontId="0" fillId="4" borderId="3" pivotButton="0" quotePrefix="0" xfId="0"/>
    <xf numFmtId="3" fontId="1" fillId="4" borderId="3" applyAlignment="1" pivotButton="0" quotePrefix="0" xfId="0">
      <alignment horizontal="right" vertical="center"/>
    </xf>
    <xf numFmtId="167" fontId="17" fillId="4" borderId="3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6" fontId="20" fillId="3" borderId="4" applyAlignment="1" pivotButton="0" quotePrefix="0" xfId="0">
      <alignment horizontal="right" vertical="center"/>
    </xf>
    <xf numFmtId="164" fontId="20" fillId="3" borderId="4" applyAlignment="1" pivotButton="0" quotePrefix="0" xfId="0">
      <alignment horizontal="right" vertical="center"/>
    </xf>
    <xf numFmtId="0" fontId="21" fillId="0" borderId="2" applyAlignment="1" pivotButton="0" quotePrefix="0" xfId="0">
      <alignment horizontal="left" vertical="center"/>
    </xf>
    <xf numFmtId="164" fontId="22" fillId="0" borderId="2" applyAlignment="1" pivotButton="0" quotePrefix="0" xfId="0">
      <alignment horizontal="right" vertical="center"/>
    </xf>
    <xf numFmtId="3" fontId="7" fillId="0" borderId="2" applyAlignment="1" pivotButton="0" quotePrefix="0" xfId="0">
      <alignment horizontal="right" vertical="center"/>
    </xf>
    <xf numFmtId="164" fontId="23" fillId="0" borderId="2" applyAlignment="1" pivotButton="0" quotePrefix="0" xfId="0">
      <alignment horizontal="right" vertical="center"/>
    </xf>
    <xf numFmtId="164" fontId="17" fillId="0" borderId="2" applyAlignment="1" pivotButton="0" quotePrefix="0" xfId="0">
      <alignment horizontal="right" vertical="center"/>
    </xf>
    <xf numFmtId="164" fontId="24" fillId="0" borderId="2" applyAlignment="1" pivotButton="0" quotePrefix="0" xfId="0">
      <alignment horizontal="right" vertical="center"/>
    </xf>
    <xf numFmtId="0" fontId="25" fillId="4" borderId="3" applyAlignment="1" pivotButton="0" quotePrefix="0" xfId="0">
      <alignment horizontal="left" vertical="center"/>
    </xf>
    <xf numFmtId="164" fontId="25" fillId="4" borderId="3" applyAlignment="1" pivotButton="0" quotePrefix="0" xfId="0">
      <alignment horizontal="right" vertical="center"/>
    </xf>
    <xf numFmtId="3" fontId="25" fillId="4" borderId="3" applyAlignment="1" pivotButton="0" quotePrefix="0" xfId="0">
      <alignment horizontal="right" vertical="center"/>
    </xf>
    <xf numFmtId="164" fontId="26" fillId="4" borderId="3" applyAlignment="1" pivotButton="0" quotePrefix="0" xfId="0">
      <alignment horizontal="right" vertical="center"/>
    </xf>
    <xf numFmtId="0" fontId="27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6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8" customWidth="1" min="18" max="18"/>
    <col width="8" customWidth="1" min="19" max="19"/>
    <col width="8" customWidth="1" min="20" max="20"/>
    <col width="8" customWidth="1" min="21" max="21"/>
  </cols>
  <sheetData>
    <row r="1">
      <c r="A1" s="1" t="inlineStr">
        <is>
          <t>EDUSERVICES · budget 2027 · le moteur, à nu</t>
        </is>
      </c>
    </row>
    <row r="2">
      <c r="A2" s="2" t="inlineStr">
        <is>
          <t>Le moteur — données réelles + formules cliquables</t>
        </is>
      </c>
    </row>
    <row r="3">
      <c r="A3" s="3" t="inlineStr">
        <is>
          <t>Fond jaune = actuals (seule saisie). Tout le reste = formule : cliquez pour voir le calcul, ou changez une case jaune → tout recalcule.</t>
        </is>
      </c>
    </row>
    <row r="5">
      <c r="A5" s="4" t="inlineStr">
        <is>
          <t>①  L'élasticité — la formule, sur vos vraies données</t>
        </is>
      </c>
    </row>
    <row r="6">
      <c r="A6" s="5" t="inlineStr">
        <is>
          <t>Élasticité = LN(leads pay. 2026 ÷ leads pay. 2024) ÷ LN(budget acq 2026 ÷ budget acq 2024)   — la pente log-log</t>
        </is>
      </c>
    </row>
    <row r="8">
      <c r="A8" s="6" t="inlineStr">
        <is>
          <t>Campus</t>
        </is>
      </c>
      <c r="B8" s="7" t="inlineStr">
        <is>
          <t>Leads pay 2024</t>
        </is>
      </c>
      <c r="C8" s="7" t="inlineStr">
        <is>
          <t>Leads pay 2026</t>
        </is>
      </c>
      <c r="D8" s="7" t="inlineStr">
        <is>
          <t>Budget acq 2024</t>
        </is>
      </c>
      <c r="E8" s="7" t="inlineStr">
        <is>
          <t>Budget acq 2026</t>
        </is>
      </c>
      <c r="F8" s="7" t="inlineStr">
        <is>
          <t>Élasticité =LN/LN</t>
        </is>
      </c>
      <c r="G8" s="7" t="inlineStr">
        <is>
          <t>+10% budget→</t>
        </is>
      </c>
    </row>
    <row r="9">
      <c r="A9" s="8" t="inlineStr">
        <is>
          <t>IPAC Montpellier</t>
        </is>
      </c>
      <c r="B9" s="9" t="n">
        <v>377</v>
      </c>
      <c r="C9" s="9" t="n">
        <v>422</v>
      </c>
      <c r="D9" s="10" t="n">
        <v>12543</v>
      </c>
      <c r="E9" s="10" t="n">
        <v>15178</v>
      </c>
      <c r="F9" s="11">
        <f>LN(C9/B9)/LN(E9/D9)</f>
        <v/>
      </c>
      <c r="G9" s="12">
        <f>(1.1^F9)-1</f>
        <v/>
      </c>
    </row>
    <row r="10">
      <c r="A10" s="8" t="inlineStr">
        <is>
          <t>IPAC Nantes</t>
        </is>
      </c>
      <c r="B10" s="9" t="n">
        <v>489</v>
      </c>
      <c r="C10" s="9" t="n">
        <v>544</v>
      </c>
      <c r="D10" s="10" t="n">
        <v>17983</v>
      </c>
      <c r="E10" s="10" t="n">
        <v>21760</v>
      </c>
      <c r="F10" s="11">
        <f>LN(C10/B10)/LN(E10/D10)</f>
        <v/>
      </c>
      <c r="G10" s="12">
        <f>(1.1^F10)-1</f>
        <v/>
      </c>
    </row>
    <row r="11">
      <c r="A11" s="8" t="inlineStr">
        <is>
          <t>IPAC Rennes</t>
        </is>
      </c>
      <c r="B11" s="9" t="n">
        <v>371</v>
      </c>
      <c r="C11" s="9" t="n">
        <v>415</v>
      </c>
      <c r="D11" s="10" t="n">
        <v>12341</v>
      </c>
      <c r="E11" s="10" t="n">
        <v>14933</v>
      </c>
      <c r="F11" s="11">
        <f>LN(C11/B11)/LN(E11/D11)</f>
        <v/>
      </c>
      <c r="G11" s="12">
        <f>(1.1^F11)-1</f>
        <v/>
      </c>
    </row>
    <row r="12">
      <c r="A12" s="8" t="inlineStr">
        <is>
          <t>ISCOM Lille</t>
        </is>
      </c>
      <c r="B12" s="9" t="n">
        <v>571</v>
      </c>
      <c r="C12" s="9" t="n">
        <v>630</v>
      </c>
      <c r="D12" s="10" t="n">
        <v>20843</v>
      </c>
      <c r="E12" s="10" t="n">
        <v>25220</v>
      </c>
      <c r="F12" s="11">
        <f>LN(C12/B12)/LN(E12/D12)</f>
        <v/>
      </c>
      <c r="G12" s="12">
        <f>(1.1^F12)-1</f>
        <v/>
      </c>
    </row>
    <row r="13">
      <c r="A13" s="8" t="inlineStr">
        <is>
          <t>ISCOM Paris</t>
        </is>
      </c>
      <c r="B13" s="9" t="n">
        <v>1035</v>
      </c>
      <c r="C13" s="9" t="n">
        <v>1126</v>
      </c>
      <c r="D13" s="10" t="n">
        <v>50248</v>
      </c>
      <c r="E13" s="10" t="n">
        <v>60800</v>
      </c>
      <c r="F13" s="11">
        <f>LN(C13/B13)/LN(E13/D13)</f>
        <v/>
      </c>
      <c r="G13" s="12">
        <f>(1.1^F13)-1</f>
        <v/>
      </c>
    </row>
    <row r="14">
      <c r="A14" s="8" t="inlineStr">
        <is>
          <t>ISCOM Toulouse</t>
        </is>
      </c>
      <c r="B14" s="9" t="n">
        <v>526</v>
      </c>
      <c r="C14" s="9" t="n">
        <v>581</v>
      </c>
      <c r="D14" s="10" t="n">
        <v>18251</v>
      </c>
      <c r="E14" s="10" t="n">
        <v>22083</v>
      </c>
      <c r="F14" s="11">
        <f>LN(C14/B14)/LN(E14/D14)</f>
        <v/>
      </c>
      <c r="G14" s="12">
        <f>(1.1^F14)-1</f>
        <v/>
      </c>
    </row>
    <row r="15">
      <c r="A15" s="8" t="inlineStr">
        <is>
          <t>MBway Bordeaux</t>
        </is>
      </c>
      <c r="B15" s="9" t="n">
        <v>592</v>
      </c>
      <c r="C15" s="9" t="n">
        <v>656</v>
      </c>
      <c r="D15" s="10" t="n">
        <v>20597</v>
      </c>
      <c r="E15" s="10" t="n">
        <v>24923</v>
      </c>
      <c r="F15" s="11">
        <f>LN(C15/B15)/LN(E15/D15)</f>
        <v/>
      </c>
      <c r="G15" s="12">
        <f>(1.1^F15)-1</f>
        <v/>
      </c>
    </row>
    <row r="16">
      <c r="A16" s="8" t="inlineStr">
        <is>
          <t>MBway Lyon</t>
        </is>
      </c>
      <c r="B16" s="9" t="n">
        <v>863</v>
      </c>
      <c r="C16" s="9" t="n">
        <v>950</v>
      </c>
      <c r="D16" s="10" t="n">
        <v>34532</v>
      </c>
      <c r="E16" s="10" t="n">
        <v>41783</v>
      </c>
      <c r="F16" s="11">
        <f>LN(C16/B16)/LN(E16/D16)</f>
        <v/>
      </c>
      <c r="G16" s="12">
        <f>(1.1^F16)-1</f>
        <v/>
      </c>
    </row>
    <row r="17">
      <c r="A17" s="8" t="inlineStr">
        <is>
          <t>MBway Nantes</t>
        </is>
      </c>
      <c r="B17" s="9" t="n">
        <v>713</v>
      </c>
      <c r="C17" s="9" t="n">
        <v>788</v>
      </c>
      <c r="D17" s="10" t="n">
        <v>26060</v>
      </c>
      <c r="E17" s="10" t="n">
        <v>31533</v>
      </c>
      <c r="F17" s="11">
        <f>LN(C17/B17)/LN(E17/D17)</f>
        <v/>
      </c>
      <c r="G17" s="12">
        <f>(1.1^F17)-1</f>
        <v/>
      </c>
    </row>
    <row r="18">
      <c r="A18" s="8" t="inlineStr">
        <is>
          <t>MBway Paris</t>
        </is>
      </c>
      <c r="B18" s="9" t="n">
        <v>1158</v>
      </c>
      <c r="C18" s="9" t="n">
        <v>1265</v>
      </c>
      <c r="D18" s="10" t="n">
        <v>56438</v>
      </c>
      <c r="E18" s="10" t="n">
        <v>68291</v>
      </c>
      <c r="F18" s="11">
        <f>LN(C18/B18)/LN(E18/D18)</f>
        <v/>
      </c>
      <c r="G18" s="12">
        <f>(1.1^F18)-1</f>
        <v/>
      </c>
    </row>
    <row r="19">
      <c r="A19" s="8" t="inlineStr">
        <is>
          <t>Pigier Bordeaux</t>
        </is>
      </c>
      <c r="B19" s="9" t="n">
        <v>528</v>
      </c>
      <c r="C19" s="9" t="n">
        <v>578</v>
      </c>
      <c r="D19" s="10" t="n">
        <v>18155</v>
      </c>
      <c r="E19" s="10" t="n">
        <v>21968</v>
      </c>
      <c r="F19" s="11">
        <f>LN(C19/B19)/LN(E19/D19)</f>
        <v/>
      </c>
      <c r="G19" s="12">
        <f>(1.1^F19)-1</f>
        <v/>
      </c>
    </row>
    <row r="20">
      <c r="A20" s="8" t="inlineStr">
        <is>
          <t>Pigier Lyon</t>
        </is>
      </c>
      <c r="B20" s="9" t="n">
        <v>765</v>
      </c>
      <c r="C20" s="9" t="n">
        <v>832</v>
      </c>
      <c r="D20" s="10" t="n">
        <v>30258</v>
      </c>
      <c r="E20" s="10" t="n">
        <v>36612</v>
      </c>
      <c r="F20" s="11">
        <f>LN(C20/B20)/LN(E20/D20)</f>
        <v/>
      </c>
      <c r="G20" s="12">
        <f>(1.1^F20)-1</f>
        <v/>
      </c>
    </row>
    <row r="21">
      <c r="A21" s="8" t="inlineStr">
        <is>
          <t>Tunon Lyon</t>
        </is>
      </c>
      <c r="B21" s="9" t="n">
        <v>392</v>
      </c>
      <c r="C21" s="9" t="n">
        <v>428</v>
      </c>
      <c r="D21" s="10" t="n">
        <v>15578</v>
      </c>
      <c r="E21" s="10" t="n">
        <v>18850</v>
      </c>
      <c r="F21" s="11">
        <f>LN(C21/B21)/LN(E21/D21)</f>
        <v/>
      </c>
      <c r="G21" s="12">
        <f>(1.1^F21)-1</f>
        <v/>
      </c>
    </row>
    <row r="22">
      <c r="A22" s="8" t="inlineStr">
        <is>
          <t>Tunon Paris</t>
        </is>
      </c>
      <c r="B22" s="9" t="n">
        <v>517</v>
      </c>
      <c r="C22" s="9" t="n">
        <v>560</v>
      </c>
      <c r="D22" s="10" t="n">
        <v>24992</v>
      </c>
      <c r="E22" s="10" t="n">
        <v>30240</v>
      </c>
      <c r="F22" s="11">
        <f>LN(C22/B22)/LN(E22/D22)</f>
        <v/>
      </c>
      <c r="G22" s="12">
        <f>(1.1^F22)-1</f>
        <v/>
      </c>
    </row>
    <row r="23">
      <c r="A23" s="13" t="inlineStr">
        <is>
          <t>Cliquez une cellule « Élasticité » : vous verrez =LN(…)/LN(…) sur les chiffres réels du campus.</t>
        </is>
      </c>
    </row>
    <row r="25">
      <c r="A25" s="4" t="inlineStr">
        <is>
          <t>②  La preuve — back-test complet : du budget jusqu'aux INSCRITS, sur l'année cachée</t>
        </is>
      </c>
    </row>
    <row r="26">
      <c r="A26" s="14" t="inlineStr">
        <is>
          <t>Élasticité calculée sur 2024→2025 seulement, puis on prédit 2026 : leads, PUIS inscrits (× conversion 2025). Tout en formules.</t>
        </is>
      </c>
    </row>
    <row r="28">
      <c r="A28" s="6" t="inlineStr">
        <is>
          <t>Campus</t>
        </is>
      </c>
      <c r="B28" s="7" t="inlineStr">
        <is>
          <t>L.pay24</t>
        </is>
      </c>
      <c r="C28" s="7" t="inlineStr">
        <is>
          <t>L.pay25</t>
        </is>
      </c>
      <c r="D28" s="7" t="inlineStr">
        <is>
          <t>Bud24</t>
        </is>
      </c>
      <c r="E28" s="7" t="inlineStr">
        <is>
          <t>Bud25</t>
        </is>
      </c>
      <c r="F28" s="7" t="inlineStr">
        <is>
          <t>Bud26</t>
        </is>
      </c>
      <c r="G28" s="7" t="inlineStr">
        <is>
          <t>Élast 24→25</t>
        </is>
      </c>
      <c r="H28" s="7" t="inlineStr">
        <is>
          <t>Préd. leads pay26</t>
        </is>
      </c>
      <c r="I28" s="7" t="inlineStr">
        <is>
          <t>+ org.26</t>
        </is>
      </c>
      <c r="J28" s="7">
        <f> leads26 préd.</f>
        <v/>
      </c>
      <c r="K28" s="7" t="inlineStr">
        <is>
          <t>Conv.25</t>
        </is>
      </c>
      <c r="L28" s="7" t="inlineStr">
        <is>
          <t>Inscrits26 préd.</t>
        </is>
      </c>
      <c r="M28" s="7" t="inlineStr">
        <is>
          <t>Inscrits26 réel</t>
        </is>
      </c>
      <c r="N28" s="7" t="inlineStr">
        <is>
          <t>Écart inscrits</t>
        </is>
      </c>
    </row>
    <row r="29">
      <c r="A29" s="15" t="inlineStr">
        <is>
          <t>IPAC Montpellier</t>
        </is>
      </c>
      <c r="B29" s="16" t="n">
        <v>377</v>
      </c>
      <c r="C29" s="16" t="n">
        <v>399</v>
      </c>
      <c r="D29" s="16" t="n">
        <v>12543</v>
      </c>
      <c r="E29" s="16" t="n">
        <v>13798</v>
      </c>
      <c r="F29" s="16" t="n">
        <v>15178</v>
      </c>
      <c r="G29" s="17">
        <f>LN(C29/B29)/LN(E29/D29)</f>
        <v/>
      </c>
      <c r="H29" s="18">
        <f>C29*(F29/E29)^G29</f>
        <v/>
      </c>
      <c r="I29" s="16" t="n">
        <v>258</v>
      </c>
      <c r="J29" s="18">
        <f>H29+I29</f>
        <v/>
      </c>
      <c r="K29" s="19">
        <f>S29/R29</f>
        <v/>
      </c>
      <c r="L29" s="20">
        <f>J29*K29</f>
        <v/>
      </c>
      <c r="M29" s="21" t="n">
        <v>40</v>
      </c>
      <c r="N29" s="22">
        <f>L29/M29-1</f>
        <v/>
      </c>
      <c r="R29" s="23" t="n">
        <v>642</v>
      </c>
      <c r="S29" s="23" t="n">
        <v>38</v>
      </c>
    </row>
    <row r="30">
      <c r="A30" s="15" t="inlineStr">
        <is>
          <t>IPAC Nantes</t>
        </is>
      </c>
      <c r="B30" s="16" t="n">
        <v>489</v>
      </c>
      <c r="C30" s="16" t="n">
        <v>516</v>
      </c>
      <c r="D30" s="16" t="n">
        <v>17983</v>
      </c>
      <c r="E30" s="16" t="n">
        <v>19782</v>
      </c>
      <c r="F30" s="16" t="n">
        <v>21760</v>
      </c>
      <c r="G30" s="17">
        <f>LN(C30/B30)/LN(E30/D30)</f>
        <v/>
      </c>
      <c r="H30" s="18">
        <f>C30*(F30/E30)^G30</f>
        <v/>
      </c>
      <c r="I30" s="16" t="n">
        <v>306</v>
      </c>
      <c r="J30" s="18">
        <f>H30+I30</f>
        <v/>
      </c>
      <c r="K30" s="19">
        <f>S30/R30</f>
        <v/>
      </c>
      <c r="L30" s="20">
        <f>J30*K30</f>
        <v/>
      </c>
      <c r="M30" s="21" t="n">
        <v>50</v>
      </c>
      <c r="N30" s="22">
        <f>L30/M30-1</f>
        <v/>
      </c>
      <c r="R30" s="23" t="n">
        <v>802</v>
      </c>
      <c r="S30" s="23" t="n">
        <v>47</v>
      </c>
    </row>
    <row r="31">
      <c r="A31" s="15" t="inlineStr">
        <is>
          <t>IPAC Rennes</t>
        </is>
      </c>
      <c r="B31" s="16" t="n">
        <v>371</v>
      </c>
      <c r="C31" s="16" t="n">
        <v>392</v>
      </c>
      <c r="D31" s="16" t="n">
        <v>12341</v>
      </c>
      <c r="E31" s="16" t="n">
        <v>13575</v>
      </c>
      <c r="F31" s="16" t="n">
        <v>14933</v>
      </c>
      <c r="G31" s="17">
        <f>LN(C31/B31)/LN(E31/D31)</f>
        <v/>
      </c>
      <c r="H31" s="18">
        <f>C31*(F31/E31)^G31</f>
        <v/>
      </c>
      <c r="I31" s="16" t="n">
        <v>265</v>
      </c>
      <c r="J31" s="18">
        <f>H31+I31</f>
        <v/>
      </c>
      <c r="K31" s="19">
        <f>S31/R31</f>
        <v/>
      </c>
      <c r="L31" s="20">
        <f>J31*K31</f>
        <v/>
      </c>
      <c r="M31" s="21" t="n">
        <v>40</v>
      </c>
      <c r="N31" s="22">
        <f>L31/M31-1</f>
        <v/>
      </c>
      <c r="R31" s="23" t="n">
        <v>642</v>
      </c>
      <c r="S31" s="23" t="n">
        <v>38</v>
      </c>
    </row>
    <row r="32">
      <c r="A32" s="15" t="inlineStr">
        <is>
          <t>ISCOM Lille</t>
        </is>
      </c>
      <c r="B32" s="16" t="n">
        <v>571</v>
      </c>
      <c r="C32" s="16" t="n">
        <v>600</v>
      </c>
      <c r="D32" s="16" t="n">
        <v>20843</v>
      </c>
      <c r="E32" s="16" t="n">
        <v>22927</v>
      </c>
      <c r="F32" s="16" t="n">
        <v>25220</v>
      </c>
      <c r="G32" s="17">
        <f>LN(C32/B32)/LN(E32/D32)</f>
        <v/>
      </c>
      <c r="H32" s="18">
        <f>C32*(F32/E32)^G32</f>
        <v/>
      </c>
      <c r="I32" s="16" t="n">
        <v>630</v>
      </c>
      <c r="J32" s="18">
        <f>H32+I32</f>
        <v/>
      </c>
      <c r="K32" s="19">
        <f>S32/R32</f>
        <v/>
      </c>
      <c r="L32" s="20">
        <f>J32*K32</f>
        <v/>
      </c>
      <c r="M32" s="21" t="n">
        <v>100</v>
      </c>
      <c r="N32" s="22">
        <f>L32/M32-1</f>
        <v/>
      </c>
      <c r="R32" s="23" t="n">
        <v>1190</v>
      </c>
      <c r="S32" s="23" t="n">
        <v>94</v>
      </c>
    </row>
    <row r="33">
      <c r="A33" s="15" t="inlineStr">
        <is>
          <t>ISCOM Paris</t>
        </is>
      </c>
      <c r="B33" s="16" t="n">
        <v>1035</v>
      </c>
      <c r="C33" s="16" t="n">
        <v>1080</v>
      </c>
      <c r="D33" s="16" t="n">
        <v>50248</v>
      </c>
      <c r="E33" s="16" t="n">
        <v>55272</v>
      </c>
      <c r="F33" s="16" t="n">
        <v>60800</v>
      </c>
      <c r="G33" s="17">
        <f>LN(C33/B33)/LN(E33/D33)</f>
        <v/>
      </c>
      <c r="H33" s="18">
        <f>C33*(F33/E33)^G33</f>
        <v/>
      </c>
      <c r="I33" s="16" t="n">
        <v>690</v>
      </c>
      <c r="J33" s="18">
        <f>H33+I33</f>
        <v/>
      </c>
      <c r="K33" s="19">
        <f>S33/R33</f>
        <v/>
      </c>
      <c r="L33" s="20">
        <f>J33*K33</f>
        <v/>
      </c>
      <c r="M33" s="21" t="n">
        <v>144</v>
      </c>
      <c r="N33" s="22">
        <f>L33/M33-1</f>
        <v/>
      </c>
      <c r="R33" s="23" t="n">
        <v>1713</v>
      </c>
      <c r="S33" s="23" t="n">
        <v>136</v>
      </c>
    </row>
    <row r="34">
      <c r="A34" s="15" t="inlineStr">
        <is>
          <t>ISCOM Toulouse</t>
        </is>
      </c>
      <c r="B34" s="16" t="n">
        <v>526</v>
      </c>
      <c r="C34" s="16" t="n">
        <v>553</v>
      </c>
      <c r="D34" s="16" t="n">
        <v>18251</v>
      </c>
      <c r="E34" s="16" t="n">
        <v>20076</v>
      </c>
      <c r="F34" s="16" t="n">
        <v>22083</v>
      </c>
      <c r="G34" s="17">
        <f>LN(C34/B34)/LN(E34/D34)</f>
        <v/>
      </c>
      <c r="H34" s="18">
        <f>C34*(F34/E34)^G34</f>
        <v/>
      </c>
      <c r="I34" s="16" t="n">
        <v>605</v>
      </c>
      <c r="J34" s="18">
        <f>H34+I34</f>
        <v/>
      </c>
      <c r="K34" s="19">
        <f>S34/R34</f>
        <v/>
      </c>
      <c r="L34" s="20">
        <f>J34*K34</f>
        <v/>
      </c>
      <c r="M34" s="21" t="n">
        <v>94</v>
      </c>
      <c r="N34" s="22">
        <f>L34/M34-1</f>
        <v/>
      </c>
      <c r="R34" s="23" t="n">
        <v>1119</v>
      </c>
      <c r="S34" s="23" t="n">
        <v>88</v>
      </c>
    </row>
    <row r="35">
      <c r="A35" s="15" t="inlineStr">
        <is>
          <t>MBway Bordeaux</t>
        </is>
      </c>
      <c r="B35" s="16" t="n">
        <v>592</v>
      </c>
      <c r="C35" s="16" t="n">
        <v>623</v>
      </c>
      <c r="D35" s="16" t="n">
        <v>20597</v>
      </c>
      <c r="E35" s="16" t="n">
        <v>22657</v>
      </c>
      <c r="F35" s="16" t="n">
        <v>24923</v>
      </c>
      <c r="G35" s="17">
        <f>LN(C35/B35)/LN(E35/D35)</f>
        <v/>
      </c>
      <c r="H35" s="18">
        <f>C35*(F35/E35)^G35</f>
        <v/>
      </c>
      <c r="I35" s="16" t="n">
        <v>630</v>
      </c>
      <c r="J35" s="18">
        <f>H35+I35</f>
        <v/>
      </c>
      <c r="K35" s="19">
        <f>S35/R35</f>
        <v/>
      </c>
      <c r="L35" s="20">
        <f>J35*K35</f>
        <v/>
      </c>
      <c r="M35" s="21" t="n">
        <v>102</v>
      </c>
      <c r="N35" s="22">
        <f>L35/M35-1</f>
        <v/>
      </c>
      <c r="R35" s="23" t="n">
        <v>1213</v>
      </c>
      <c r="S35" s="23" t="n">
        <v>96</v>
      </c>
    </row>
    <row r="36">
      <c r="A36" s="15" t="inlineStr">
        <is>
          <t>MBway Lyon</t>
        </is>
      </c>
      <c r="B36" s="16" t="n">
        <v>863</v>
      </c>
      <c r="C36" s="16" t="n">
        <v>905</v>
      </c>
      <c r="D36" s="16" t="n">
        <v>34532</v>
      </c>
      <c r="E36" s="16" t="n">
        <v>37985</v>
      </c>
      <c r="F36" s="16" t="n">
        <v>41783</v>
      </c>
      <c r="G36" s="17">
        <f>LN(C36/B36)/LN(E36/D36)</f>
        <v/>
      </c>
      <c r="H36" s="18">
        <f>C36*(F36/E36)^G36</f>
        <v/>
      </c>
      <c r="I36" s="16" t="n">
        <v>716</v>
      </c>
      <c r="J36" s="18">
        <f>H36+I36</f>
        <v/>
      </c>
      <c r="K36" s="19">
        <f>S36/R36</f>
        <v/>
      </c>
      <c r="L36" s="20">
        <f>J36*K36</f>
        <v/>
      </c>
      <c r="M36" s="21" t="n">
        <v>132</v>
      </c>
      <c r="N36" s="22">
        <f>L36/M36-1</f>
        <v/>
      </c>
      <c r="R36" s="23" t="n">
        <v>1572</v>
      </c>
      <c r="S36" s="23" t="n">
        <v>124</v>
      </c>
    </row>
    <row r="37">
      <c r="A37" s="15" t="inlineStr">
        <is>
          <t>MBway Nantes</t>
        </is>
      </c>
      <c r="B37" s="16" t="n">
        <v>713</v>
      </c>
      <c r="C37" s="16" t="n">
        <v>749</v>
      </c>
      <c r="D37" s="16" t="n">
        <v>26060</v>
      </c>
      <c r="E37" s="16" t="n">
        <v>28666</v>
      </c>
      <c r="F37" s="16" t="n">
        <v>31533</v>
      </c>
      <c r="G37" s="17">
        <f>LN(C37/B37)/LN(E37/D37)</f>
        <v/>
      </c>
      <c r="H37" s="18">
        <f>C37*(F37/E37)^G37</f>
        <v/>
      </c>
      <c r="I37" s="16" t="n">
        <v>728</v>
      </c>
      <c r="J37" s="18">
        <f>H37+I37</f>
        <v/>
      </c>
      <c r="K37" s="19">
        <f>S37/R37</f>
        <v/>
      </c>
      <c r="L37" s="20">
        <f>J37*K37</f>
        <v/>
      </c>
      <c r="M37" s="21" t="n">
        <v>120</v>
      </c>
      <c r="N37" s="22">
        <f>L37/M37-1</f>
        <v/>
      </c>
      <c r="R37" s="23" t="n">
        <v>1430</v>
      </c>
      <c r="S37" s="23" t="n">
        <v>114</v>
      </c>
    </row>
    <row r="38">
      <c r="A38" s="15" t="inlineStr">
        <is>
          <t>MBway Paris</t>
        </is>
      </c>
      <c r="B38" s="16" t="n">
        <v>1158</v>
      </c>
      <c r="C38" s="16" t="n">
        <v>1210</v>
      </c>
      <c r="D38" s="16" t="n">
        <v>56438</v>
      </c>
      <c r="E38" s="16" t="n">
        <v>62082</v>
      </c>
      <c r="F38" s="16" t="n">
        <v>68291</v>
      </c>
      <c r="G38" s="17">
        <f>LN(C38/B38)/LN(E38/D38)</f>
        <v/>
      </c>
      <c r="H38" s="18">
        <f>C38*(F38/E38)^G38</f>
        <v/>
      </c>
      <c r="I38" s="16" t="n">
        <v>711</v>
      </c>
      <c r="J38" s="18">
        <f>H38+I38</f>
        <v/>
      </c>
      <c r="K38" s="19">
        <f>S38/R38</f>
        <v/>
      </c>
      <c r="L38" s="20">
        <f>J38*K38</f>
        <v/>
      </c>
      <c r="M38" s="21" t="n">
        <v>156</v>
      </c>
      <c r="N38" s="22">
        <f>L38/M38-1</f>
        <v/>
      </c>
      <c r="R38" s="23" t="n">
        <v>1864</v>
      </c>
      <c r="S38" s="23" t="n">
        <v>148</v>
      </c>
    </row>
    <row r="39">
      <c r="A39" s="15" t="inlineStr">
        <is>
          <t>Pigier Bordeaux</t>
        </is>
      </c>
      <c r="B39" s="16" t="n">
        <v>528</v>
      </c>
      <c r="C39" s="16" t="n">
        <v>552</v>
      </c>
      <c r="D39" s="16" t="n">
        <v>18155</v>
      </c>
      <c r="E39" s="16" t="n">
        <v>19971</v>
      </c>
      <c r="F39" s="16" t="n">
        <v>21968</v>
      </c>
      <c r="G39" s="17">
        <f>LN(C39/B39)/LN(E39/D39)</f>
        <v/>
      </c>
      <c r="H39" s="18">
        <f>C39*(F39/E39)^G39</f>
        <v/>
      </c>
      <c r="I39" s="16" t="n">
        <v>652</v>
      </c>
      <c r="J39" s="18">
        <f>H39+I39</f>
        <v/>
      </c>
      <c r="K39" s="19">
        <f>S39/R39</f>
        <v/>
      </c>
      <c r="L39" s="20">
        <f>J39*K39</f>
        <v/>
      </c>
      <c r="M39" s="21" t="n">
        <v>72</v>
      </c>
      <c r="N39" s="22">
        <f>L39/M39-1</f>
        <v/>
      </c>
      <c r="R39" s="23" t="n">
        <v>1160</v>
      </c>
      <c r="S39" s="23" t="n">
        <v>68</v>
      </c>
    </row>
    <row r="40">
      <c r="A40" s="15" t="inlineStr">
        <is>
          <t>Pigier Lyon</t>
        </is>
      </c>
      <c r="B40" s="16" t="n">
        <v>765</v>
      </c>
      <c r="C40" s="16" t="n">
        <v>798</v>
      </c>
      <c r="D40" s="16" t="n">
        <v>30258</v>
      </c>
      <c r="E40" s="16" t="n">
        <v>33284</v>
      </c>
      <c r="F40" s="16" t="n">
        <v>36612</v>
      </c>
      <c r="G40" s="17">
        <f>LN(C40/B40)/LN(E40/D40)</f>
        <v/>
      </c>
      <c r="H40" s="18">
        <f>C40*(F40/E40)^G40</f>
        <v/>
      </c>
      <c r="I40" s="16" t="n">
        <v>738</v>
      </c>
      <c r="J40" s="18">
        <f>H40+I40</f>
        <v/>
      </c>
      <c r="K40" s="19">
        <f>S40/R40</f>
        <v/>
      </c>
      <c r="L40" s="20">
        <f>J40*K40</f>
        <v/>
      </c>
      <c r="M40" s="21" t="n">
        <v>92</v>
      </c>
      <c r="N40" s="22">
        <f>L40/M40-1</f>
        <v/>
      </c>
      <c r="R40" s="23" t="n">
        <v>1482</v>
      </c>
      <c r="S40" s="23" t="n">
        <v>86</v>
      </c>
    </row>
    <row r="41">
      <c r="A41" s="15" t="inlineStr">
        <is>
          <t>Tunon Lyon</t>
        </is>
      </c>
      <c r="B41" s="16" t="n">
        <v>392</v>
      </c>
      <c r="C41" s="16" t="n">
        <v>410</v>
      </c>
      <c r="D41" s="16" t="n">
        <v>15578</v>
      </c>
      <c r="E41" s="16" t="n">
        <v>17136</v>
      </c>
      <c r="F41" s="16" t="n">
        <v>18850</v>
      </c>
      <c r="G41" s="17">
        <f>LN(C41/B41)/LN(E41/D41)</f>
        <v/>
      </c>
      <c r="H41" s="18">
        <f>C41*(F41/E41)^G41</f>
        <v/>
      </c>
      <c r="I41" s="16" t="n">
        <v>252</v>
      </c>
      <c r="J41" s="18">
        <f>H41+I41</f>
        <v/>
      </c>
      <c r="K41" s="19">
        <f>S41/R41</f>
        <v/>
      </c>
      <c r="L41" s="20">
        <f>J41*K41</f>
        <v/>
      </c>
      <c r="M41" s="21" t="n">
        <v>40</v>
      </c>
      <c r="N41" s="22">
        <f>L41/M41-1</f>
        <v/>
      </c>
      <c r="R41" s="23" t="n">
        <v>642</v>
      </c>
      <c r="S41" s="23" t="n">
        <v>38</v>
      </c>
    </row>
    <row r="42">
      <c r="A42" s="24" t="inlineStr"/>
      <c r="B42" s="16" t="n">
        <v>517</v>
      </c>
      <c r="C42" s="16" t="n">
        <v>538</v>
      </c>
      <c r="D42" s="16" t="n">
        <v>24992</v>
      </c>
      <c r="E42" s="16" t="n">
        <v>27491</v>
      </c>
      <c r="F42" s="16" t="n">
        <v>30240</v>
      </c>
      <c r="G42" s="17">
        <f>LN(C42/B42)/LN(E42/D42)</f>
        <v/>
      </c>
      <c r="H42" s="18">
        <f>C42*(F42/E42)^G42</f>
        <v/>
      </c>
      <c r="I42" s="16" t="n">
        <v>240</v>
      </c>
      <c r="J42" s="18">
        <f>H42+I42</f>
        <v/>
      </c>
      <c r="K42" s="19">
        <f>S42/R42</f>
        <v/>
      </c>
      <c r="L42" s="20">
        <f>J42*K42</f>
        <v/>
      </c>
      <c r="M42" s="21" t="n">
        <v>47</v>
      </c>
      <c r="N42" s="22">
        <f>L42/M42-1</f>
        <v/>
      </c>
      <c r="R42" s="23" t="n">
        <v>755</v>
      </c>
      <c r="S42" s="23" t="n">
        <v>44</v>
      </c>
    </row>
    <row r="43">
      <c r="A43" s="25" t="inlineStr">
        <is>
          <t>GROUPE</t>
        </is>
      </c>
      <c r="B43" s="26" t="n"/>
      <c r="C43" s="26" t="n"/>
      <c r="D43" s="26" t="n"/>
      <c r="E43" s="26" t="n"/>
      <c r="F43" s="26" t="n"/>
      <c r="G43" s="26" t="n"/>
      <c r="H43" s="26" t="n"/>
      <c r="I43" s="26" t="n"/>
      <c r="J43" s="27">
        <f>SUM(J29:J42)</f>
        <v/>
      </c>
      <c r="K43" s="26" t="n"/>
      <c r="L43" s="27">
        <f>SUM(L29:L42)</f>
        <v/>
      </c>
      <c r="M43" s="27">
        <f>SUM(M29:M42)</f>
        <v/>
      </c>
      <c r="N43" s="28">
        <f>L43/M43-1</f>
        <v/>
      </c>
    </row>
    <row r="44">
      <c r="A44" s="29" t="inlineStr">
        <is>
          <t>Colonnes R/S (gris, à droite) = leads &amp; inscrits 2025, pour la conversion. Le moteur retrouve les inscrits 2026 qu'il n'a jamais vus.</t>
        </is>
      </c>
    </row>
    <row r="46">
      <c r="A46" s="4" t="inlineStr">
        <is>
          <t>③  L'effet d'un +Δ% d'acquisition — modèle vivant (changez les cases jaunes)</t>
        </is>
      </c>
    </row>
    <row r="47">
      <c r="A47" s="30" t="inlineStr">
        <is>
          <t>HYPOTHÈSES</t>
        </is>
      </c>
      <c r="D47" s="13" t="inlineStr">
        <is>
          <t>↓ modifiables (jaune)</t>
        </is>
      </c>
    </row>
    <row r="48">
      <c r="A48" s="31" t="inlineStr">
        <is>
          <t>Δ budget d'acquisition</t>
        </is>
      </c>
      <c r="B48" s="32" t="n">
        <v>0.08</v>
      </c>
      <c r="C48" s="13" t="inlineStr">
        <is>
          <t>le geste</t>
        </is>
      </c>
    </row>
    <row r="49">
      <c r="A49" s="31" t="inlineStr">
        <is>
          <t>CA 1ʳᵉ année / inscrit</t>
        </is>
      </c>
      <c r="B49" s="33" t="n">
        <v>7608</v>
      </c>
      <c r="C49" s="13" t="inlineStr">
        <is>
          <t>référentiel</t>
        </is>
      </c>
    </row>
    <row r="50">
      <c r="A50" s="31" t="inlineStr">
        <is>
          <t>Coût variable / élève</t>
        </is>
      </c>
      <c r="B50" s="33" t="n">
        <v>300</v>
      </c>
      <c r="C50" s="13" t="inlineStr">
        <is>
          <t>marginal, classe existante</t>
        </is>
      </c>
    </row>
    <row r="52">
      <c r="A52" s="6" t="inlineStr">
        <is>
          <t>Marque</t>
        </is>
      </c>
      <c r="B52" s="7" t="inlineStr">
        <is>
          <t>L.pay24</t>
        </is>
      </c>
      <c r="C52" s="7" t="inlineStr">
        <is>
          <t>L.pay26</t>
        </is>
      </c>
      <c r="D52" s="7" t="inlineStr">
        <is>
          <t>Bud.24</t>
        </is>
      </c>
      <c r="E52" s="7" t="inlineStr">
        <is>
          <t>Bud.26</t>
        </is>
      </c>
      <c r="F52" s="7" t="inlineStr">
        <is>
          <t>Élasticité</t>
        </is>
      </c>
      <c r="G52" s="7" t="inlineStr">
        <is>
          <t>Conv.</t>
        </is>
      </c>
      <c r="H52" s="7" t="inlineStr">
        <is>
          <t>Δ budget</t>
        </is>
      </c>
      <c r="I52" s="7" t="inlineStr">
        <is>
          <t>Leads gagnés</t>
        </is>
      </c>
      <c r="J52" s="7" t="inlineStr">
        <is>
          <t>Inscrits gagnés</t>
        </is>
      </c>
      <c r="K52" s="7" t="inlineStr">
        <is>
          <t>CA gagné</t>
        </is>
      </c>
      <c r="L52" s="7" t="inlineStr">
        <is>
          <t>EBITDA gagné</t>
        </is>
      </c>
      <c r="M52" s="7" t="inlineStr">
        <is>
          <t>CAC marg.</t>
        </is>
      </c>
    </row>
    <row r="53">
      <c r="A53" s="34" t="inlineStr">
        <is>
          <t>MBway</t>
        </is>
      </c>
      <c r="B53" s="9" t="n">
        <v>3326</v>
      </c>
      <c r="C53" s="9" t="n">
        <v>3659</v>
      </c>
      <c r="D53" s="9" t="n">
        <v>137627</v>
      </c>
      <c r="E53" s="9" t="n">
        <v>166530</v>
      </c>
      <c r="F53" s="11">
        <f>LN(C53/B53)/LN(E53/D53)</f>
        <v/>
      </c>
      <c r="G53" s="12">
        <f>U53/T53</f>
        <v/>
      </c>
      <c r="H53" s="35">
        <f>E53*$B$48</f>
        <v/>
      </c>
      <c r="I53" s="36">
        <f>C53*((1+$B$48)^F53-1)</f>
        <v/>
      </c>
      <c r="J53" s="36">
        <f>I53*G53</f>
        <v/>
      </c>
      <c r="K53" s="37">
        <f>J53*$B$49</f>
        <v/>
      </c>
      <c r="L53" s="38">
        <f>K53-H53-J53*$B$50</f>
        <v/>
      </c>
      <c r="M53" s="39">
        <f>H53/J53</f>
        <v/>
      </c>
      <c r="T53" s="23" t="n">
        <v>6444</v>
      </c>
      <c r="U53" s="23" t="n">
        <v>510</v>
      </c>
    </row>
    <row r="54">
      <c r="A54" s="34" t="inlineStr">
        <is>
          <t>Iscom</t>
        </is>
      </c>
      <c r="B54" s="9" t="n">
        <v>2132</v>
      </c>
      <c r="C54" s="9" t="n">
        <v>2337</v>
      </c>
      <c r="D54" s="9" t="n">
        <v>89342</v>
      </c>
      <c r="E54" s="9" t="n">
        <v>108103</v>
      </c>
      <c r="F54" s="11">
        <f>LN(C54/B54)/LN(E54/D54)</f>
        <v/>
      </c>
      <c r="G54" s="12">
        <f>U54/T54</f>
        <v/>
      </c>
      <c r="H54" s="35">
        <f>E54*$B$48</f>
        <v/>
      </c>
      <c r="I54" s="36">
        <f>C54*((1+$B$48)^F54-1)</f>
        <v/>
      </c>
      <c r="J54" s="36">
        <f>I54*G54</f>
        <v/>
      </c>
      <c r="K54" s="37">
        <f>J54*$B$49</f>
        <v/>
      </c>
      <c r="L54" s="38">
        <f>K54-H54-J54*$B$50</f>
        <v/>
      </c>
      <c r="M54" s="39">
        <f>H54/J54</f>
        <v/>
      </c>
      <c r="T54" s="23" t="n">
        <v>4263</v>
      </c>
      <c r="U54" s="23" t="n">
        <v>338</v>
      </c>
    </row>
    <row r="55">
      <c r="A55" s="34" t="inlineStr">
        <is>
          <t>Ipac</t>
        </is>
      </c>
      <c r="B55" s="9" t="n">
        <v>1237</v>
      </c>
      <c r="C55" s="9" t="n">
        <v>1381</v>
      </c>
      <c r="D55" s="9" t="n">
        <v>42867</v>
      </c>
      <c r="E55" s="9" t="n">
        <v>51871</v>
      </c>
      <c r="F55" s="11">
        <f>LN(C55/B55)/LN(E55/D55)</f>
        <v/>
      </c>
      <c r="G55" s="12">
        <f>U55/T55</f>
        <v/>
      </c>
      <c r="H55" s="35">
        <f>E55*$B$48</f>
        <v/>
      </c>
      <c r="I55" s="36">
        <f>C55*((1+$B$48)^F55-1)</f>
        <v/>
      </c>
      <c r="J55" s="36">
        <f>I55*G55</f>
        <v/>
      </c>
      <c r="K55" s="37">
        <f>J55*$B$49</f>
        <v/>
      </c>
      <c r="L55" s="38">
        <f>K55-H55-J55*$B$50</f>
        <v/>
      </c>
      <c r="M55" s="39">
        <f>H55/J55</f>
        <v/>
      </c>
      <c r="T55" s="23" t="n">
        <v>2210</v>
      </c>
      <c r="U55" s="23" t="n">
        <v>130</v>
      </c>
    </row>
    <row r="56">
      <c r="A56" s="34" t="inlineStr">
        <is>
          <t>Pigier</t>
        </is>
      </c>
      <c r="B56" s="9" t="n">
        <v>1293</v>
      </c>
      <c r="C56" s="9" t="n">
        <v>1410</v>
      </c>
      <c r="D56" s="9" t="n">
        <v>48413</v>
      </c>
      <c r="E56" s="9" t="n">
        <v>58580</v>
      </c>
      <c r="F56" s="11">
        <f>LN(C56/B56)/LN(E56/D56)</f>
        <v/>
      </c>
      <c r="G56" s="12">
        <f>U56/T56</f>
        <v/>
      </c>
      <c r="H56" s="35">
        <f>E56*$B$48</f>
        <v/>
      </c>
      <c r="I56" s="36">
        <f>C56*((1+$B$48)^F56-1)</f>
        <v/>
      </c>
      <c r="J56" s="36">
        <f>I56*G56</f>
        <v/>
      </c>
      <c r="K56" s="37">
        <f>J56*$B$49</f>
        <v/>
      </c>
      <c r="L56" s="38">
        <f>K56-H56-J56*$B$50</f>
        <v/>
      </c>
      <c r="M56" s="39">
        <f>H56/J56</f>
        <v/>
      </c>
      <c r="T56" s="23" t="n">
        <v>2800</v>
      </c>
      <c r="U56" s="23" t="n">
        <v>164</v>
      </c>
    </row>
    <row r="57">
      <c r="A57" s="34" t="inlineStr">
        <is>
          <t>Tunon</t>
        </is>
      </c>
      <c r="B57" s="9" t="n">
        <v>909</v>
      </c>
      <c r="C57" s="9" t="n">
        <v>988</v>
      </c>
      <c r="D57" s="9" t="n">
        <v>40570</v>
      </c>
      <c r="E57" s="9" t="n">
        <v>49090</v>
      </c>
      <c r="F57" s="11">
        <f>LN(C57/B57)/LN(E57/D57)</f>
        <v/>
      </c>
      <c r="G57" s="12">
        <f>U57/T57</f>
        <v/>
      </c>
      <c r="H57" s="35">
        <f>E57*$B$48</f>
        <v/>
      </c>
      <c r="I57" s="36">
        <f>C57*((1+$B$48)^F57-1)</f>
        <v/>
      </c>
      <c r="J57" s="36">
        <f>I57*G57</f>
        <v/>
      </c>
      <c r="K57" s="37">
        <f>J57*$B$49</f>
        <v/>
      </c>
      <c r="L57" s="38">
        <f>K57-H57-J57*$B$50</f>
        <v/>
      </c>
      <c r="M57" s="39">
        <f>H57/J57</f>
        <v/>
      </c>
      <c r="T57" s="23" t="n">
        <v>1480</v>
      </c>
      <c r="U57" s="23" t="n">
        <v>87</v>
      </c>
    </row>
    <row r="58">
      <c r="A58" s="40" t="inlineStr">
        <is>
          <t>GROUPE</t>
        </is>
      </c>
      <c r="B58" s="26" t="n"/>
      <c r="C58" s="26" t="n"/>
      <c r="D58" s="26" t="n"/>
      <c r="E58" s="26" t="n"/>
      <c r="F58" s="26" t="n"/>
      <c r="G58" s="26" t="n"/>
      <c r="H58" s="41">
        <f>SUM(H53:H57)</f>
        <v/>
      </c>
      <c r="I58" s="42">
        <f>SUM(I53:I57)</f>
        <v/>
      </c>
      <c r="J58" s="42">
        <f>SUM(J53:J57)</f>
        <v/>
      </c>
      <c r="K58" s="41">
        <f>SUM(K53:K57)</f>
        <v/>
      </c>
      <c r="L58" s="41">
        <f>SUM(L53:L57)</f>
        <v/>
      </c>
      <c r="M58" s="43">
        <f>H58/J58</f>
        <v/>
      </c>
    </row>
    <row r="60">
      <c r="A60" s="44" t="inlineStr">
        <is>
          <t>Change la case Δ (8 % → 12 %) : les 5 marques recalculent. La marque au CAC marginal le plus BAS mérite l'euro suivant → c'est ce qui ouvrira la question du cap (réallocation).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2026-08-30T23:29:55Z</dcterms:created>
  <dcterms:modified xsi:type="dcterms:W3CDTF">2026-08-30T23:29:55Z</dcterms:modified>
</cp:coreProperties>
</file>