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 moteur (modèle)" sheetId="1" state="visible" r:id="rId1"/>
    <sheet name="Budget de marque (organiqu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 &quot;€&quot;;-#,##0 &quot;€&quot;;&quot;-&quot;"/>
    <numFmt numFmtId="166" formatCode="0.000"/>
    <numFmt numFmtId="167" formatCode="+0.0%;-0.0%;0.0%"/>
  </numFmts>
  <fonts count="28">
    <font>
      <name val="Calibri"/>
      <family val="2"/>
      <color theme="1"/>
      <sz val="11"/>
      <scheme val="minor"/>
    </font>
    <font>
      <name val="Arial"/>
      <b val="1"/>
      <color rgb="000A5A48"/>
      <sz val="9"/>
    </font>
    <font>
      <name val="Arial"/>
      <b val="1"/>
      <color rgb="00152230"/>
      <sz val="15"/>
    </font>
    <font>
      <name val="Arial"/>
      <color rgb="0051606D"/>
      <sz val="9"/>
    </font>
    <font>
      <name val="Arial"/>
      <b val="1"/>
      <color rgb="008A4A12"/>
      <sz val="11"/>
    </font>
    <font>
      <name val="Arial"/>
      <color rgb="00152230"/>
      <sz val="10"/>
    </font>
    <font>
      <name val="Arial"/>
      <b val="1"/>
      <color rgb="00152230"/>
      <sz val="10"/>
    </font>
    <font>
      <name val="Arial"/>
      <i val="1"/>
      <color rgb="007D8B98"/>
      <sz val="8"/>
    </font>
    <font>
      <name val="Arial"/>
      <b val="1"/>
      <color rgb="000A5A48"/>
      <sz val="12"/>
    </font>
    <font>
      <name val="Arial"/>
      <b val="1"/>
      <color rgb="00FFFFFF"/>
      <sz val="8.5"/>
    </font>
    <font>
      <name val="Arial"/>
      <b val="1"/>
      <color rgb="000A5A48"/>
      <sz val="10"/>
    </font>
    <font>
      <name val="Arial"/>
      <color rgb="007D8B98"/>
      <sz val="9"/>
    </font>
    <font>
      <name val="Arial"/>
      <b val="1"/>
      <color rgb="003D4F8F"/>
      <sz val="10"/>
    </font>
    <font>
      <name val="Arial"/>
      <color rgb="00152230"/>
      <sz val="9"/>
    </font>
    <font>
      <name val="Arial"/>
      <color rgb="008A4A12"/>
      <sz val="9"/>
    </font>
    <font>
      <name val="Arial"/>
      <color rgb="000A5A48"/>
      <sz val="9"/>
    </font>
    <font>
      <name val="Arial"/>
      <b val="1"/>
      <color rgb="001E7A55"/>
      <sz val="9"/>
    </font>
    <font>
      <name val="Arial"/>
      <color rgb="003D4F8F"/>
      <sz val="9"/>
    </font>
    <font>
      <name val="Arial"/>
      <b val="1"/>
      <color rgb="000D7A62"/>
      <sz val="11"/>
    </font>
    <font>
      <name val="Arial"/>
      <b val="1"/>
      <color rgb="003D4F8F"/>
      <sz val="11"/>
    </font>
    <font>
      <name val="Arial"/>
      <i val="1"/>
      <color rgb="00B3641C"/>
      <sz val="8"/>
    </font>
    <font>
      <name val="Arial"/>
      <i val="1"/>
      <color rgb="0051606D"/>
      <sz val="8"/>
    </font>
    <font>
      <name val="Arial"/>
      <color rgb="00152230"/>
      <sz val="8"/>
    </font>
    <font>
      <name val="Arial"/>
      <color rgb="0051606D"/>
      <sz val="8"/>
    </font>
    <font>
      <name val="Arial"/>
      <color rgb="003D4F8F"/>
      <sz val="8"/>
    </font>
    <font>
      <name val="Arial"/>
      <b val="1"/>
      <color rgb="003D4F8F"/>
      <sz val="8"/>
    </font>
    <font>
      <name val="Arial"/>
      <b val="1"/>
      <color rgb="001E7A55"/>
      <sz val="8"/>
    </font>
    <font>
      <name val="Arial"/>
      <b val="1"/>
      <color rgb="00B3641C"/>
      <sz val="9"/>
    </font>
  </fonts>
  <fills count="6">
    <fill>
      <patternFill/>
    </fill>
    <fill>
      <patternFill patternType="gray125"/>
    </fill>
    <fill>
      <patternFill patternType="solid">
        <fgColor rgb="00FFF6DA"/>
      </patternFill>
    </fill>
    <fill>
      <patternFill patternType="solid">
        <fgColor rgb="000D7A62"/>
      </patternFill>
    </fill>
    <fill>
      <patternFill patternType="solid">
        <fgColor rgb="00EEF2F6"/>
      </patternFill>
    </fill>
    <fill>
      <patternFill patternType="solid">
        <fgColor rgb="00E4F0E8"/>
      </patternFill>
    </fill>
  </fills>
  <borders count="6">
    <border>
      <left/>
      <right/>
      <top/>
      <bottom/>
      <diagonal/>
    </border>
    <border>
      <left style="medium">
        <color rgb="00D9B94A"/>
      </left>
      <right style="medium">
        <color rgb="00D9B94A"/>
      </right>
      <top style="medium">
        <color rgb="00D9B94A"/>
      </top>
      <bottom style="medium">
        <color rgb="00D9B94A"/>
      </bottom>
    </border>
    <border>
      <bottom style="medium">
        <color rgb="00C8D2DA"/>
      </bottom>
    </border>
    <border>
      <top style="medium">
        <color rgb="00C8D2DA"/>
      </top>
      <bottom style="thin">
        <color rgb="00C8D2DA"/>
      </bottom>
    </border>
    <border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6" fillId="2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6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left" vertical="center"/>
    </xf>
    <xf numFmtId="0" fontId="0" fillId="4" borderId="3" pivotButton="0" quotePrefix="0" xfId="0"/>
    <xf numFmtId="0" fontId="11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left" vertical="center"/>
    </xf>
    <xf numFmtId="165" fontId="10" fillId="4" borderId="3" applyAlignment="1" pivotButton="0" quotePrefix="0" xfId="0">
      <alignment horizontal="right" vertical="center"/>
    </xf>
    <xf numFmtId="3" fontId="10" fillId="4" borderId="3" applyAlignment="1" pivotButton="0" quotePrefix="0" xfId="0">
      <alignment horizontal="right" vertical="center"/>
    </xf>
    <xf numFmtId="165" fontId="12" fillId="4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left" vertical="center" indent="1"/>
    </xf>
    <xf numFmtId="3" fontId="13" fillId="2" borderId="4" applyAlignment="1" pivotButton="0" quotePrefix="0" xfId="0">
      <alignment horizontal="right" vertical="center"/>
    </xf>
    <xf numFmtId="166" fontId="1" fillId="0" borderId="4" applyAlignment="1" pivotButton="0" quotePrefix="0" xfId="0">
      <alignment horizontal="right" vertical="center"/>
    </xf>
    <xf numFmtId="164" fontId="3" fillId="0" borderId="4" applyAlignment="1" pivotButton="0" quotePrefix="0" xfId="0">
      <alignment horizontal="right" vertical="center"/>
    </xf>
    <xf numFmtId="165" fontId="14" fillId="0" borderId="4" applyAlignment="1" pivotButton="0" quotePrefix="0" xfId="0">
      <alignment horizontal="right" vertical="center"/>
    </xf>
    <xf numFmtId="3" fontId="13" fillId="0" borderId="4" applyAlignment="1" pivotButton="0" quotePrefix="0" xfId="0">
      <alignment horizontal="right" vertical="center"/>
    </xf>
    <xf numFmtId="165" fontId="15" fillId="0" borderId="4" applyAlignment="1" pivotButton="0" quotePrefix="0" xfId="0">
      <alignment horizontal="right" vertical="center"/>
    </xf>
    <xf numFmtId="165" fontId="16" fillId="0" borderId="4" applyAlignment="1" pivotButton="0" quotePrefix="0" xfId="0">
      <alignment horizontal="right" vertical="center"/>
    </xf>
    <xf numFmtId="165" fontId="17" fillId="0" borderId="4" applyAlignment="1" pivotButton="0" quotePrefix="0" xfId="0">
      <alignment horizontal="right" vertical="center"/>
    </xf>
    <xf numFmtId="0" fontId="18" fillId="5" borderId="5" applyAlignment="1" pivotButton="0" quotePrefix="0" xfId="0">
      <alignment horizontal="left" vertical="center"/>
    </xf>
    <xf numFmtId="0" fontId="0" fillId="5" borderId="5" pivotButton="0" quotePrefix="0" xfId="0"/>
    <xf numFmtId="165" fontId="18" fillId="5" borderId="5" applyAlignment="1" pivotButton="0" quotePrefix="0" xfId="0">
      <alignment horizontal="right" vertical="center"/>
    </xf>
    <xf numFmtId="3" fontId="18" fillId="5" borderId="5" applyAlignment="1" pivotButton="0" quotePrefix="0" xfId="0">
      <alignment horizontal="right" vertical="center"/>
    </xf>
    <xf numFmtId="165" fontId="19" fillId="5" borderId="5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4" applyAlignment="1" pivotButton="0" quotePrefix="0" xfId="0">
      <alignment horizontal="left" vertical="center"/>
    </xf>
    <xf numFmtId="3" fontId="22" fillId="2" borderId="4" applyAlignment="1" pivotButton="0" quotePrefix="0" xfId="0">
      <alignment horizontal="right" vertical="center"/>
    </xf>
    <xf numFmtId="166" fontId="23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3" fontId="25" fillId="0" borderId="4" applyAlignment="1" pivotButton="0" quotePrefix="0" xfId="0">
      <alignment horizontal="right" vertical="center"/>
    </xf>
    <xf numFmtId="164" fontId="23" fillId="0" borderId="4" applyAlignment="1" pivotButton="0" quotePrefix="0" xfId="0">
      <alignment horizontal="right" vertical="center"/>
    </xf>
    <xf numFmtId="3" fontId="22" fillId="0" borderId="4" applyAlignment="1" pivotButton="0" quotePrefix="0" xfId="0">
      <alignment horizontal="right" vertical="center"/>
    </xf>
    <xf numFmtId="167" fontId="26" fillId="0" borderId="4" applyAlignment="1" pivotButton="0" quotePrefix="0" xfId="0">
      <alignment horizontal="right" vertical="center"/>
    </xf>
    <xf numFmtId="0" fontId="1" fillId="5" borderId="5" applyAlignment="1" pivotButton="0" quotePrefix="0" xfId="0">
      <alignment horizontal="left" vertical="center"/>
    </xf>
    <xf numFmtId="3" fontId="1" fillId="5" borderId="5" applyAlignment="1" pivotButton="0" quotePrefix="0" xfId="0">
      <alignment horizontal="right" vertical="center"/>
    </xf>
    <xf numFmtId="167" fontId="16" fillId="5" borderId="5" applyAlignment="1" pivotButton="0" quotePrefix="0" xfId="0">
      <alignment horizontal="right" vertical="center"/>
    </xf>
    <xf numFmtId="0" fontId="13" fillId="0" borderId="4" applyAlignment="1" pivotButton="0" quotePrefix="0" xfId="0">
      <alignment horizontal="left" vertical="center"/>
    </xf>
    <xf numFmtId="165" fontId="13" fillId="2" borderId="4" applyAlignment="1" pivotButton="0" quotePrefix="0" xfId="0">
      <alignment horizontal="right" vertical="center"/>
    </xf>
    <xf numFmtId="0" fontId="2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R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>
      <c r="A1" s="1" t="inlineStr">
        <is>
          <t>EDUSERVICES · budget 2027 · le moteur, à nu</t>
        </is>
      </c>
    </row>
    <row r="2">
      <c r="A2" s="2" t="inlineStr">
        <is>
          <t>Le moteur — par campus, groupé par marque (déplie avec les +)</t>
        </is>
      </c>
    </row>
    <row r="3">
      <c r="A3" s="3" t="inlineStr">
        <is>
          <t>L'élasticité vit au campus (le moteur en a 14, pas 5). La marque = sous-total. Jaune = saisie ; le reste = formule cliquable.</t>
        </is>
      </c>
    </row>
    <row r="5">
      <c r="A5" s="4" t="inlineStr">
        <is>
          <t>PARAMÈTRES</t>
        </is>
      </c>
    </row>
    <row r="6">
      <c r="A6" s="5" t="inlineStr">
        <is>
          <t>Δ budget d'acquisition</t>
        </is>
      </c>
      <c r="B6" s="6" t="n">
        <v>0.08</v>
      </c>
      <c r="C6" s="7" t="inlineStr">
        <is>
          <t>le geste testé — passez 8→12 %</t>
        </is>
      </c>
    </row>
    <row r="7">
      <c r="A7" s="5" t="inlineStr">
        <is>
          <t>CA 1ʳᵉ année / inscrit</t>
        </is>
      </c>
      <c r="B7" s="8" t="n">
        <v>7608</v>
      </c>
    </row>
    <row r="8">
      <c r="A8" s="5" t="inlineStr">
        <is>
          <t>Coût variable / élève</t>
        </is>
      </c>
      <c r="B8" s="8" t="n">
        <v>300</v>
      </c>
    </row>
    <row r="10">
      <c r="A10" s="9" t="inlineStr">
        <is>
          <t>①  Calibration &amp; effet d'un +Δ% — campus groupé par marque</t>
        </is>
      </c>
    </row>
    <row r="11">
      <c r="A11" s="7" t="inlineStr">
        <is>
          <t>Élasticité = régression 3 ans =SLOPE(LN(leads);LN(budget)) — la même que la vue V_CAMPAGNES. La marque n'a pas d'élasticité propre (sous-total à blanc).</t>
        </is>
      </c>
    </row>
    <row r="13">
      <c r="A13" s="10" t="inlineStr">
        <is>
          <t>Marque ▸ Campus</t>
        </is>
      </c>
      <c r="B13" s="11" t="inlineStr">
        <is>
          <t>L.pay24</t>
        </is>
      </c>
      <c r="C13" s="11" t="inlineStr">
        <is>
          <t>L.pay25</t>
        </is>
      </c>
      <c r="D13" s="11" t="inlineStr">
        <is>
          <t>L.pay26</t>
        </is>
      </c>
      <c r="E13" s="11" t="inlineStr">
        <is>
          <t>Bud.24</t>
        </is>
      </c>
      <c r="F13" s="11" t="inlineStr">
        <is>
          <t>Bud.25</t>
        </is>
      </c>
      <c r="G13" s="11" t="inlineStr">
        <is>
          <t>Bud.26</t>
        </is>
      </c>
      <c r="H13" s="11" t="inlineStr">
        <is>
          <t>Élasticité</t>
        </is>
      </c>
      <c r="I13" s="11" t="inlineStr">
        <is>
          <t>Conv.</t>
        </is>
      </c>
      <c r="J13" s="11" t="inlineStr">
        <is>
          <t>Δ budget</t>
        </is>
      </c>
      <c r="K13" s="11" t="inlineStr">
        <is>
          <t>Inscrits gagnés</t>
        </is>
      </c>
      <c r="L13" s="11" t="inlineStr">
        <is>
          <t>CA gagné</t>
        </is>
      </c>
      <c r="M13" s="11" t="inlineStr">
        <is>
          <t>EBITDA gagné</t>
        </is>
      </c>
      <c r="N13" s="11" t="inlineStr">
        <is>
          <t>CAC marg.</t>
        </is>
      </c>
    </row>
    <row r="14">
      <c r="A14" s="12" t="inlineStr">
        <is>
          <t>MBway</t>
        </is>
      </c>
      <c r="B14" s="13" t="n"/>
      <c r="C14" s="13" t="n"/>
      <c r="D14" s="13" t="n"/>
      <c r="E14" s="13" t="n"/>
      <c r="F14" s="13" t="n"/>
      <c r="G14" s="13" t="n"/>
      <c r="H14" s="14" t="inlineStr">
        <is>
          <t>—</t>
        </is>
      </c>
      <c r="I14" s="15" t="inlineStr"/>
      <c r="J14" s="16">
        <f>SUM(J15:J18)</f>
        <v/>
      </c>
      <c r="K14" s="17">
        <f>SUM(K15:K18)</f>
        <v/>
      </c>
      <c r="L14" s="16">
        <f>SUM(L15:L18)</f>
        <v/>
      </c>
      <c r="M14" s="16">
        <f>SUM(M15:M18)</f>
        <v/>
      </c>
      <c r="N14" s="18">
        <f>J14/K14</f>
        <v/>
      </c>
    </row>
    <row r="15" hidden="1" outlineLevel="1">
      <c r="A15" s="19" t="inlineStr">
        <is>
          <t>Bordeaux</t>
        </is>
      </c>
      <c r="B15" s="20" t="n">
        <v>592</v>
      </c>
      <c r="C15" s="20" t="n">
        <v>623</v>
      </c>
      <c r="D15" s="20" t="n">
        <v>656</v>
      </c>
      <c r="E15" s="20" t="n">
        <v>20597</v>
      </c>
      <c r="F15" s="20" t="n">
        <v>22657</v>
      </c>
      <c r="G15" s="20" t="n">
        <v>24923</v>
      </c>
      <c r="H15" s="21">
        <f>SLOPE(LN(B15:D15),LN(E15:G15))</f>
        <v/>
      </c>
      <c r="I15" s="22">
        <f>102/1286</f>
        <v/>
      </c>
      <c r="J15" s="23">
        <f>G15*$B$6</f>
        <v/>
      </c>
      <c r="K15" s="24">
        <f>D15*((1+$B$6)^H15-1)*I15</f>
        <v/>
      </c>
      <c r="L15" s="25">
        <f>K15*$B$7</f>
        <v/>
      </c>
      <c r="M15" s="26">
        <f>L15-J15-K15*$B$8</f>
        <v/>
      </c>
      <c r="N15" s="27">
        <f>J15/K15</f>
        <v/>
      </c>
    </row>
    <row r="16" hidden="1" outlineLevel="1">
      <c r="A16" s="19" t="inlineStr">
        <is>
          <t>Lyon</t>
        </is>
      </c>
      <c r="B16" s="20" t="n">
        <v>863</v>
      </c>
      <c r="C16" s="20" t="n">
        <v>905</v>
      </c>
      <c r="D16" s="20" t="n">
        <v>950</v>
      </c>
      <c r="E16" s="20" t="n">
        <v>34532</v>
      </c>
      <c r="F16" s="20" t="n">
        <v>37985</v>
      </c>
      <c r="G16" s="20" t="n">
        <v>41783</v>
      </c>
      <c r="H16" s="21">
        <f>SLOPE(LN(B16:D16),LN(E16:G16))</f>
        <v/>
      </c>
      <c r="I16" s="22">
        <f>132/1666</f>
        <v/>
      </c>
      <c r="J16" s="23">
        <f>G16*$B$6</f>
        <v/>
      </c>
      <c r="K16" s="24">
        <f>D16*((1+$B$6)^H16-1)*I16</f>
        <v/>
      </c>
      <c r="L16" s="25">
        <f>K16*$B$7</f>
        <v/>
      </c>
      <c r="M16" s="26">
        <f>L16-J16-K16*$B$8</f>
        <v/>
      </c>
      <c r="N16" s="27">
        <f>J16/K16</f>
        <v/>
      </c>
    </row>
    <row r="17" hidden="1" outlineLevel="1">
      <c r="A17" s="19" t="inlineStr">
        <is>
          <t>Nantes</t>
        </is>
      </c>
      <c r="B17" s="20" t="n">
        <v>713</v>
      </c>
      <c r="C17" s="20" t="n">
        <v>749</v>
      </c>
      <c r="D17" s="20" t="n">
        <v>788</v>
      </c>
      <c r="E17" s="20" t="n">
        <v>26060</v>
      </c>
      <c r="F17" s="20" t="n">
        <v>28666</v>
      </c>
      <c r="G17" s="20" t="n">
        <v>31533</v>
      </c>
      <c r="H17" s="21">
        <f>SLOPE(LN(B17:D17),LN(E17:G17))</f>
        <v/>
      </c>
      <c r="I17" s="22">
        <f>120/1516</f>
        <v/>
      </c>
      <c r="J17" s="23">
        <f>G17*$B$6</f>
        <v/>
      </c>
      <c r="K17" s="24">
        <f>D17*((1+$B$6)^H17-1)*I17</f>
        <v/>
      </c>
      <c r="L17" s="25">
        <f>K17*$B$7</f>
        <v/>
      </c>
      <c r="M17" s="26">
        <f>L17-J17-K17*$B$8</f>
        <v/>
      </c>
      <c r="N17" s="27">
        <f>J17/K17</f>
        <v/>
      </c>
    </row>
    <row r="18" hidden="1" outlineLevel="1">
      <c r="A18" s="19" t="inlineStr">
        <is>
          <t>Paris</t>
        </is>
      </c>
      <c r="B18" s="20" t="n">
        <v>1158</v>
      </c>
      <c r="C18" s="20" t="n">
        <v>1210</v>
      </c>
      <c r="D18" s="20" t="n">
        <v>1265</v>
      </c>
      <c r="E18" s="20" t="n">
        <v>56438</v>
      </c>
      <c r="F18" s="20" t="n">
        <v>62082</v>
      </c>
      <c r="G18" s="20" t="n">
        <v>68291</v>
      </c>
      <c r="H18" s="21">
        <f>SLOPE(LN(B18:D18),LN(E18:G18))</f>
        <v/>
      </c>
      <c r="I18" s="22">
        <f>156/1976</f>
        <v/>
      </c>
      <c r="J18" s="23">
        <f>G18*$B$6</f>
        <v/>
      </c>
      <c r="K18" s="24">
        <f>D18*((1+$B$6)^H18-1)*I18</f>
        <v/>
      </c>
      <c r="L18" s="25">
        <f>K18*$B$7</f>
        <v/>
      </c>
      <c r="M18" s="26">
        <f>L18-J18-K18*$B$8</f>
        <v/>
      </c>
      <c r="N18" s="27">
        <f>J18/K18</f>
        <v/>
      </c>
    </row>
    <row r="19">
      <c r="A19" s="12" t="inlineStr">
        <is>
          <t>Iscom</t>
        </is>
      </c>
      <c r="B19" s="13" t="n"/>
      <c r="C19" s="13" t="n"/>
      <c r="D19" s="13" t="n"/>
      <c r="E19" s="13" t="n"/>
      <c r="F19" s="13" t="n"/>
      <c r="G19" s="13" t="n"/>
      <c r="H19" s="14" t="inlineStr">
        <is>
          <t>—</t>
        </is>
      </c>
      <c r="I19" s="15" t="inlineStr"/>
      <c r="J19" s="16">
        <f>SUM(J20:J22)</f>
        <v/>
      </c>
      <c r="K19" s="17">
        <f>SUM(K20:K22)</f>
        <v/>
      </c>
      <c r="L19" s="16">
        <f>SUM(L20:L22)</f>
        <v/>
      </c>
      <c r="M19" s="16">
        <f>SUM(M20:M22)</f>
        <v/>
      </c>
      <c r="N19" s="18">
        <f>J19/K19</f>
        <v/>
      </c>
    </row>
    <row r="20" hidden="1" outlineLevel="1">
      <c r="A20" s="19" t="inlineStr">
        <is>
          <t>Lille</t>
        </is>
      </c>
      <c r="B20" s="20" t="n">
        <v>571</v>
      </c>
      <c r="C20" s="20" t="n">
        <v>600</v>
      </c>
      <c r="D20" s="20" t="n">
        <v>630</v>
      </c>
      <c r="E20" s="20" t="n">
        <v>20843</v>
      </c>
      <c r="F20" s="20" t="n">
        <v>22927</v>
      </c>
      <c r="G20" s="20" t="n">
        <v>25220</v>
      </c>
      <c r="H20" s="21">
        <f>SLOPE(LN(B20:D20),LN(E20:G20))</f>
        <v/>
      </c>
      <c r="I20" s="22">
        <f>100/1260</f>
        <v/>
      </c>
      <c r="J20" s="23">
        <f>G20*$B$6</f>
        <v/>
      </c>
      <c r="K20" s="24">
        <f>D20*((1+$B$6)^H20-1)*I20</f>
        <v/>
      </c>
      <c r="L20" s="25">
        <f>K20*$B$7</f>
        <v/>
      </c>
      <c r="M20" s="26">
        <f>L20-J20-K20*$B$8</f>
        <v/>
      </c>
      <c r="N20" s="27">
        <f>J20/K20</f>
        <v/>
      </c>
    </row>
    <row r="21" hidden="1" outlineLevel="1">
      <c r="A21" s="19" t="inlineStr">
        <is>
          <t>Paris</t>
        </is>
      </c>
      <c r="B21" s="20" t="n">
        <v>1035</v>
      </c>
      <c r="C21" s="20" t="n">
        <v>1080</v>
      </c>
      <c r="D21" s="20" t="n">
        <v>1126</v>
      </c>
      <c r="E21" s="20" t="n">
        <v>50248</v>
      </c>
      <c r="F21" s="20" t="n">
        <v>55272</v>
      </c>
      <c r="G21" s="20" t="n">
        <v>60800</v>
      </c>
      <c r="H21" s="21">
        <f>SLOPE(LN(B21:D21),LN(E21:G21))</f>
        <v/>
      </c>
      <c r="I21" s="22">
        <f>144/1816</f>
        <v/>
      </c>
      <c r="J21" s="23">
        <f>G21*$B$6</f>
        <v/>
      </c>
      <c r="K21" s="24">
        <f>D21*((1+$B$6)^H21-1)*I21</f>
        <v/>
      </c>
      <c r="L21" s="25">
        <f>K21*$B$7</f>
        <v/>
      </c>
      <c r="M21" s="26">
        <f>L21-J21-K21*$B$8</f>
        <v/>
      </c>
      <c r="N21" s="27">
        <f>J21/K21</f>
        <v/>
      </c>
    </row>
    <row r="22" hidden="1" outlineLevel="1">
      <c r="A22" s="19" t="inlineStr">
        <is>
          <t>Toulouse</t>
        </is>
      </c>
      <c r="B22" s="20" t="n">
        <v>526</v>
      </c>
      <c r="C22" s="20" t="n">
        <v>553</v>
      </c>
      <c r="D22" s="20" t="n">
        <v>581</v>
      </c>
      <c r="E22" s="20" t="n">
        <v>18251</v>
      </c>
      <c r="F22" s="20" t="n">
        <v>20076</v>
      </c>
      <c r="G22" s="20" t="n">
        <v>22083</v>
      </c>
      <c r="H22" s="21">
        <f>SLOPE(LN(B22:D22),LN(E22:G22))</f>
        <v/>
      </c>
      <c r="I22" s="22">
        <f>94/1186</f>
        <v/>
      </c>
      <c r="J22" s="23">
        <f>G22*$B$6</f>
        <v/>
      </c>
      <c r="K22" s="24">
        <f>D22*((1+$B$6)^H22-1)*I22</f>
        <v/>
      </c>
      <c r="L22" s="25">
        <f>K22*$B$7</f>
        <v/>
      </c>
      <c r="M22" s="26">
        <f>L22-J22-K22*$B$8</f>
        <v/>
      </c>
      <c r="N22" s="27">
        <f>J22/K22</f>
        <v/>
      </c>
    </row>
    <row r="23">
      <c r="A23" s="12" t="inlineStr">
        <is>
          <t>Ipac</t>
        </is>
      </c>
      <c r="B23" s="13" t="n"/>
      <c r="C23" s="13" t="n"/>
      <c r="D23" s="13" t="n"/>
      <c r="E23" s="13" t="n"/>
      <c r="F23" s="13" t="n"/>
      <c r="G23" s="13" t="n"/>
      <c r="H23" s="14" t="inlineStr">
        <is>
          <t>—</t>
        </is>
      </c>
      <c r="I23" s="15" t="inlineStr"/>
      <c r="J23" s="16">
        <f>SUM(J24:J26)</f>
        <v/>
      </c>
      <c r="K23" s="17">
        <f>SUM(K24:K26)</f>
        <v/>
      </c>
      <c r="L23" s="16">
        <f>SUM(L24:L26)</f>
        <v/>
      </c>
      <c r="M23" s="16">
        <f>SUM(M24:M26)</f>
        <v/>
      </c>
      <c r="N23" s="18">
        <f>J23/K23</f>
        <v/>
      </c>
    </row>
    <row r="24" hidden="1" outlineLevel="1">
      <c r="A24" s="19" t="inlineStr">
        <is>
          <t>Montpellier</t>
        </is>
      </c>
      <c r="B24" s="20" t="n">
        <v>377</v>
      </c>
      <c r="C24" s="20" t="n">
        <v>399</v>
      </c>
      <c r="D24" s="20" t="n">
        <v>422</v>
      </c>
      <c r="E24" s="20" t="n">
        <v>12543</v>
      </c>
      <c r="F24" s="20" t="n">
        <v>13798</v>
      </c>
      <c r="G24" s="20" t="n">
        <v>15178</v>
      </c>
      <c r="H24" s="21">
        <f>SLOPE(LN(B24:D24),LN(E24:G24))</f>
        <v/>
      </c>
      <c r="I24" s="22">
        <f>40/680</f>
        <v/>
      </c>
      <c r="J24" s="23">
        <f>G24*$B$6</f>
        <v/>
      </c>
      <c r="K24" s="24">
        <f>D24*((1+$B$6)^H24-1)*I24</f>
        <v/>
      </c>
      <c r="L24" s="25">
        <f>K24*$B$7</f>
        <v/>
      </c>
      <c r="M24" s="26">
        <f>L24-J24-K24*$B$8</f>
        <v/>
      </c>
      <c r="N24" s="27">
        <f>J24/K24</f>
        <v/>
      </c>
    </row>
    <row r="25" hidden="1" outlineLevel="1">
      <c r="A25" s="19" t="inlineStr">
        <is>
          <t>Nantes</t>
        </is>
      </c>
      <c r="B25" s="20" t="n">
        <v>489</v>
      </c>
      <c r="C25" s="20" t="n">
        <v>516</v>
      </c>
      <c r="D25" s="20" t="n">
        <v>544</v>
      </c>
      <c r="E25" s="20" t="n">
        <v>17983</v>
      </c>
      <c r="F25" s="20" t="n">
        <v>19782</v>
      </c>
      <c r="G25" s="20" t="n">
        <v>21760</v>
      </c>
      <c r="H25" s="21">
        <f>SLOPE(LN(B25:D25),LN(E25:G25))</f>
        <v/>
      </c>
      <c r="I25" s="22">
        <f>50/850</f>
        <v/>
      </c>
      <c r="J25" s="23">
        <f>G25*$B$6</f>
        <v/>
      </c>
      <c r="K25" s="24">
        <f>D25*((1+$B$6)^H25-1)*I25</f>
        <v/>
      </c>
      <c r="L25" s="25">
        <f>K25*$B$7</f>
        <v/>
      </c>
      <c r="M25" s="26">
        <f>L25-J25-K25*$B$8</f>
        <v/>
      </c>
      <c r="N25" s="27">
        <f>J25/K25</f>
        <v/>
      </c>
    </row>
    <row r="26" hidden="1" outlineLevel="1">
      <c r="A26" s="19" t="inlineStr">
        <is>
          <t>Rennes</t>
        </is>
      </c>
      <c r="B26" s="20" t="n">
        <v>371</v>
      </c>
      <c r="C26" s="20" t="n">
        <v>392</v>
      </c>
      <c r="D26" s="20" t="n">
        <v>415</v>
      </c>
      <c r="E26" s="20" t="n">
        <v>12341</v>
      </c>
      <c r="F26" s="20" t="n">
        <v>13575</v>
      </c>
      <c r="G26" s="20" t="n">
        <v>14933</v>
      </c>
      <c r="H26" s="21">
        <f>SLOPE(LN(B26:D26),LN(E26:G26))</f>
        <v/>
      </c>
      <c r="I26" s="22">
        <f>40/680</f>
        <v/>
      </c>
      <c r="J26" s="23">
        <f>G26*$B$6</f>
        <v/>
      </c>
      <c r="K26" s="24">
        <f>D26*((1+$B$6)^H26-1)*I26</f>
        <v/>
      </c>
      <c r="L26" s="25">
        <f>K26*$B$7</f>
        <v/>
      </c>
      <c r="M26" s="26">
        <f>L26-J26-K26*$B$8</f>
        <v/>
      </c>
      <c r="N26" s="27">
        <f>J26/K26</f>
        <v/>
      </c>
    </row>
    <row r="27">
      <c r="A27" s="12" t="inlineStr">
        <is>
          <t>Pigier</t>
        </is>
      </c>
      <c r="B27" s="13" t="n"/>
      <c r="C27" s="13" t="n"/>
      <c r="D27" s="13" t="n"/>
      <c r="E27" s="13" t="n"/>
      <c r="F27" s="13" t="n"/>
      <c r="G27" s="13" t="n"/>
      <c r="H27" s="14" t="inlineStr">
        <is>
          <t>—</t>
        </is>
      </c>
      <c r="I27" s="15" t="inlineStr"/>
      <c r="J27" s="16">
        <f>SUM(J28:J29)</f>
        <v/>
      </c>
      <c r="K27" s="17">
        <f>SUM(K28:K29)</f>
        <v/>
      </c>
      <c r="L27" s="16">
        <f>SUM(L28:L29)</f>
        <v/>
      </c>
      <c r="M27" s="16">
        <f>SUM(M28:M29)</f>
        <v/>
      </c>
      <c r="N27" s="18">
        <f>J27/K27</f>
        <v/>
      </c>
    </row>
    <row r="28" hidden="1" outlineLevel="1">
      <c r="A28" s="19" t="inlineStr">
        <is>
          <t>Bordeaux</t>
        </is>
      </c>
      <c r="B28" s="20" t="n">
        <v>528</v>
      </c>
      <c r="C28" s="20" t="n">
        <v>552</v>
      </c>
      <c r="D28" s="20" t="n">
        <v>578</v>
      </c>
      <c r="E28" s="20" t="n">
        <v>18155</v>
      </c>
      <c r="F28" s="20" t="n">
        <v>19971</v>
      </c>
      <c r="G28" s="20" t="n">
        <v>21968</v>
      </c>
      <c r="H28" s="21">
        <f>SLOPE(LN(B28:D28),LN(E28:G28))</f>
        <v/>
      </c>
      <c r="I28" s="22">
        <f>72/1230</f>
        <v/>
      </c>
      <c r="J28" s="23">
        <f>G28*$B$6</f>
        <v/>
      </c>
      <c r="K28" s="24">
        <f>D28*((1+$B$6)^H28-1)*I28</f>
        <v/>
      </c>
      <c r="L28" s="25">
        <f>K28*$B$7</f>
        <v/>
      </c>
      <c r="M28" s="26">
        <f>L28-J28-K28*$B$8</f>
        <v/>
      </c>
      <c r="N28" s="27">
        <f>J28/K28</f>
        <v/>
      </c>
    </row>
    <row r="29" hidden="1" outlineLevel="1">
      <c r="A29" s="19" t="inlineStr">
        <is>
          <t>Lyon</t>
        </is>
      </c>
      <c r="B29" s="20" t="n">
        <v>765</v>
      </c>
      <c r="C29" s="20" t="n">
        <v>798</v>
      </c>
      <c r="D29" s="20" t="n">
        <v>832</v>
      </c>
      <c r="E29" s="20" t="n">
        <v>30258</v>
      </c>
      <c r="F29" s="20" t="n">
        <v>33284</v>
      </c>
      <c r="G29" s="20" t="n">
        <v>36612</v>
      </c>
      <c r="H29" s="21">
        <f>SLOPE(LN(B29:D29),LN(E29:G29))</f>
        <v/>
      </c>
      <c r="I29" s="22">
        <f>92/1570</f>
        <v/>
      </c>
      <c r="J29" s="23">
        <f>G29*$B$6</f>
        <v/>
      </c>
      <c r="K29" s="24">
        <f>D29*((1+$B$6)^H29-1)*I29</f>
        <v/>
      </c>
      <c r="L29" s="25">
        <f>K29*$B$7</f>
        <v/>
      </c>
      <c r="M29" s="26">
        <f>L29-J29-K29*$B$8</f>
        <v/>
      </c>
      <c r="N29" s="27">
        <f>J29/K29</f>
        <v/>
      </c>
    </row>
    <row r="30">
      <c r="A30" s="12" t="inlineStr">
        <is>
          <t>Tunon</t>
        </is>
      </c>
      <c r="B30" s="13" t="n"/>
      <c r="C30" s="13" t="n"/>
      <c r="D30" s="13" t="n"/>
      <c r="E30" s="13" t="n"/>
      <c r="F30" s="13" t="n"/>
      <c r="G30" s="13" t="n"/>
      <c r="H30" s="14" t="inlineStr">
        <is>
          <t>—</t>
        </is>
      </c>
      <c r="I30" s="15" t="inlineStr"/>
      <c r="J30" s="16">
        <f>SUM(J31:J32)</f>
        <v/>
      </c>
      <c r="K30" s="17">
        <f>SUM(K31:K32)</f>
        <v/>
      </c>
      <c r="L30" s="16">
        <f>SUM(L31:L32)</f>
        <v/>
      </c>
      <c r="M30" s="16">
        <f>SUM(M31:M32)</f>
        <v/>
      </c>
      <c r="N30" s="18">
        <f>J30/K30</f>
        <v/>
      </c>
    </row>
    <row r="31" hidden="1" outlineLevel="1">
      <c r="A31" s="19" t="inlineStr">
        <is>
          <t>Lyon</t>
        </is>
      </c>
      <c r="B31" s="20" t="n">
        <v>392</v>
      </c>
      <c r="C31" s="20" t="n">
        <v>410</v>
      </c>
      <c r="D31" s="20" t="n">
        <v>428</v>
      </c>
      <c r="E31" s="20" t="n">
        <v>15578</v>
      </c>
      <c r="F31" s="20" t="n">
        <v>17136</v>
      </c>
      <c r="G31" s="20" t="n">
        <v>18850</v>
      </c>
      <c r="H31" s="21">
        <f>SLOPE(LN(B31:D31),LN(E31:G31))</f>
        <v/>
      </c>
      <c r="I31" s="22">
        <f>40/680</f>
        <v/>
      </c>
      <c r="J31" s="23">
        <f>G31*$B$6</f>
        <v/>
      </c>
      <c r="K31" s="24">
        <f>D31*((1+$B$6)^H31-1)*I31</f>
        <v/>
      </c>
      <c r="L31" s="25">
        <f>K31*$B$7</f>
        <v/>
      </c>
      <c r="M31" s="26">
        <f>L31-J31-K31*$B$8</f>
        <v/>
      </c>
      <c r="N31" s="27">
        <f>J31/K31</f>
        <v/>
      </c>
    </row>
    <row r="32" hidden="1" outlineLevel="1">
      <c r="A32" s="19" t="inlineStr">
        <is>
          <t>Paris</t>
        </is>
      </c>
      <c r="B32" s="20" t="n">
        <v>517</v>
      </c>
      <c r="C32" s="20" t="n">
        <v>538</v>
      </c>
      <c r="D32" s="20" t="n">
        <v>560</v>
      </c>
      <c r="E32" s="20" t="n">
        <v>24992</v>
      </c>
      <c r="F32" s="20" t="n">
        <v>27491</v>
      </c>
      <c r="G32" s="20" t="n">
        <v>30240</v>
      </c>
      <c r="H32" s="21">
        <f>SLOPE(LN(B32:D32),LN(E32:G32))</f>
        <v/>
      </c>
      <c r="I32" s="22">
        <f>47/800</f>
        <v/>
      </c>
      <c r="J32" s="23">
        <f>G32*$B$6</f>
        <v/>
      </c>
      <c r="K32" s="24">
        <f>D32*((1+$B$6)^H32-1)*I32</f>
        <v/>
      </c>
      <c r="L32" s="25">
        <f>K32*$B$7</f>
        <v/>
      </c>
      <c r="M32" s="26">
        <f>L32-J32-K32*$B$8</f>
        <v/>
      </c>
      <c r="N32" s="27">
        <f>J32/K32</f>
        <v/>
      </c>
    </row>
    <row r="33">
      <c r="A33" s="28" t="inlineStr">
        <is>
          <t>GROUPE</t>
        </is>
      </c>
      <c r="B33" s="29" t="n"/>
      <c r="C33" s="29" t="n"/>
      <c r="D33" s="29" t="n"/>
      <c r="E33" s="29" t="n"/>
      <c r="F33" s="29" t="n"/>
      <c r="G33" s="29" t="n"/>
      <c r="H33" s="29" t="n"/>
      <c r="I33" s="29" t="n"/>
      <c r="J33" s="30">
        <f>J15+J16+J17+J18+J20+J21+J22+J24+J25+J26+J28+J29+J31+J32</f>
        <v/>
      </c>
      <c r="K33" s="31">
        <f>K15+K16+K17+K18+K20+K21+K22+K24+K25+K26+K28+K29+K31+K32</f>
        <v/>
      </c>
      <c r="L33" s="30">
        <f>L15+L16+L17+L18+L20+L21+L22+L24+L25+L26+L28+L29+L31+L32</f>
        <v/>
      </c>
      <c r="M33" s="30">
        <f>M15+M16+M17+M18+M20+M21+M22+M24+M25+M26+M28+M29+M31+M32</f>
        <v/>
      </c>
      <c r="N33" s="32">
        <f>J33/K33</f>
        <v/>
      </c>
    </row>
    <row r="35">
      <c r="A35" s="33" t="inlineStr">
        <is>
          <t>Déplie une marque (le +) : chaque campus a SA vraie élasticité (=SLOPE, comme le moteur). Le CAC marginal marque = Σbudget ÷ Σinscrits (agrégat réel).</t>
        </is>
      </c>
    </row>
    <row r="38">
      <c r="A38" s="9" t="inlineStr">
        <is>
          <t>②  La preuve — back-test (calibré ≤2025, prédit 2026, jusqu'aux inscrits)</t>
        </is>
      </c>
    </row>
    <row r="39">
      <c r="A39" s="34" t="inlineStr">
        <is>
          <t>Payants : élasticité 24→25 × budget26. Organiques : leur tendance 24→25. × conversion 2025 → inscrits. Rien de 2026 en entrée.</t>
        </is>
      </c>
    </row>
    <row r="41">
      <c r="A41" s="10" t="inlineStr">
        <is>
          <t>Campus</t>
        </is>
      </c>
      <c r="B41" s="11" t="inlineStr">
        <is>
          <t>L.pay24</t>
        </is>
      </c>
      <c r="C41" s="11" t="inlineStr">
        <is>
          <t>L.pay25</t>
        </is>
      </c>
      <c r="D41" s="11" t="inlineStr">
        <is>
          <t>Bud.24</t>
        </is>
      </c>
      <c r="E41" s="11" t="inlineStr">
        <is>
          <t>Bud.25</t>
        </is>
      </c>
      <c r="F41" s="11" t="inlineStr">
        <is>
          <t>Bud.26</t>
        </is>
      </c>
      <c r="G41" s="11" t="inlineStr">
        <is>
          <t>Élast 24→25</t>
        </is>
      </c>
      <c r="H41" s="11" t="inlineStr">
        <is>
          <t>Préd.pay26</t>
        </is>
      </c>
      <c r="I41" s="11" t="inlineStr">
        <is>
          <t>Org.24</t>
        </is>
      </c>
      <c r="J41" s="11" t="inlineStr">
        <is>
          <t>Org.25</t>
        </is>
      </c>
      <c r="K41" s="11" t="inlineStr">
        <is>
          <t>Préd.org26</t>
        </is>
      </c>
      <c r="L41" s="11" t="inlineStr">
        <is>
          <t>Leads26 préd</t>
        </is>
      </c>
      <c r="M41" s="11" t="inlineStr">
        <is>
          <t>Leads25</t>
        </is>
      </c>
      <c r="N41" s="11" t="inlineStr">
        <is>
          <t>Inscrits25</t>
        </is>
      </c>
      <c r="O41" s="11" t="inlineStr">
        <is>
          <t>Conv.25</t>
        </is>
      </c>
      <c r="P41" s="11" t="inlineStr">
        <is>
          <t>Inscrits26 préd</t>
        </is>
      </c>
      <c r="Q41" s="11" t="inlineStr">
        <is>
          <t>Inscrits26 réel</t>
        </is>
      </c>
      <c r="R41" s="11" t="inlineStr">
        <is>
          <t>Écart</t>
        </is>
      </c>
    </row>
    <row r="42">
      <c r="A42" s="35" t="inlineStr">
        <is>
          <t>Ipac Montpellier</t>
        </is>
      </c>
      <c r="B42" s="36" t="n">
        <v>377</v>
      </c>
      <c r="C42" s="36" t="n">
        <v>399</v>
      </c>
      <c r="D42" s="36" t="n">
        <v>12543</v>
      </c>
      <c r="E42" s="36" t="n">
        <v>13798</v>
      </c>
      <c r="F42" s="36" t="n">
        <v>15178</v>
      </c>
      <c r="G42" s="37">
        <f>LN(C42/B42)/LN(E42/D42)</f>
        <v/>
      </c>
      <c r="H42" s="38">
        <f>C42*(F42/E42)^G42</f>
        <v/>
      </c>
      <c r="I42" s="36" t="n">
        <v>217</v>
      </c>
      <c r="J42" s="36" t="n">
        <v>237</v>
      </c>
      <c r="K42" s="38">
        <f>J42*(J42/I42)</f>
        <v/>
      </c>
      <c r="L42" s="39">
        <f>H42+K42</f>
        <v/>
      </c>
      <c r="M42" s="36" t="n">
        <v>642</v>
      </c>
      <c r="N42" s="36" t="n">
        <v>38</v>
      </c>
      <c r="O42" s="40">
        <f>N42/M42</f>
        <v/>
      </c>
      <c r="P42" s="39">
        <f>L42*O42</f>
        <v/>
      </c>
      <c r="Q42" s="41" t="n">
        <v>40</v>
      </c>
      <c r="R42" s="42">
        <f>P42/Q42-1</f>
        <v/>
      </c>
    </row>
    <row r="43">
      <c r="A43" s="35" t="inlineStr">
        <is>
          <t>Ipac Nantes</t>
        </is>
      </c>
      <c r="B43" s="36" t="n">
        <v>489</v>
      </c>
      <c r="C43" s="36" t="n">
        <v>516</v>
      </c>
      <c r="D43" s="36" t="n">
        <v>17983</v>
      </c>
      <c r="E43" s="36" t="n">
        <v>19782</v>
      </c>
      <c r="F43" s="36" t="n">
        <v>21760</v>
      </c>
      <c r="G43" s="37">
        <f>LN(C43/B43)/LN(E43/D43)</f>
        <v/>
      </c>
      <c r="H43" s="38">
        <f>C43*(F43/E43)^G43</f>
        <v/>
      </c>
      <c r="I43" s="36" t="n">
        <v>258</v>
      </c>
      <c r="J43" s="36" t="n">
        <v>281</v>
      </c>
      <c r="K43" s="38">
        <f>J43*(J43/I43)</f>
        <v/>
      </c>
      <c r="L43" s="39">
        <f>H43+K43</f>
        <v/>
      </c>
      <c r="M43" s="36" t="n">
        <v>802</v>
      </c>
      <c r="N43" s="36" t="n">
        <v>47</v>
      </c>
      <c r="O43" s="40">
        <f>N43/M43</f>
        <v/>
      </c>
      <c r="P43" s="39">
        <f>L43*O43</f>
        <v/>
      </c>
      <c r="Q43" s="41" t="n">
        <v>50</v>
      </c>
      <c r="R43" s="42">
        <f>P43/Q43-1</f>
        <v/>
      </c>
    </row>
    <row r="44">
      <c r="A44" s="35" t="inlineStr">
        <is>
          <t>Ipac Rennes</t>
        </is>
      </c>
      <c r="B44" s="36" t="n">
        <v>371</v>
      </c>
      <c r="C44" s="36" t="n">
        <v>392</v>
      </c>
      <c r="D44" s="36" t="n">
        <v>12341</v>
      </c>
      <c r="E44" s="36" t="n">
        <v>13575</v>
      </c>
      <c r="F44" s="36" t="n">
        <v>14933</v>
      </c>
      <c r="G44" s="37">
        <f>LN(C44/B44)/LN(E44/D44)</f>
        <v/>
      </c>
      <c r="H44" s="38">
        <f>C44*(F44/E44)^G44</f>
        <v/>
      </c>
      <c r="I44" s="36" t="n">
        <v>223</v>
      </c>
      <c r="J44" s="36" t="n">
        <v>243</v>
      </c>
      <c r="K44" s="38">
        <f>J44*(J44/I44)</f>
        <v/>
      </c>
      <c r="L44" s="39">
        <f>H44+K44</f>
        <v/>
      </c>
      <c r="M44" s="36" t="n">
        <v>642</v>
      </c>
      <c r="N44" s="36" t="n">
        <v>38</v>
      </c>
      <c r="O44" s="40">
        <f>N44/M44</f>
        <v/>
      </c>
      <c r="P44" s="39">
        <f>L44*O44</f>
        <v/>
      </c>
      <c r="Q44" s="41" t="n">
        <v>40</v>
      </c>
      <c r="R44" s="42">
        <f>P44/Q44-1</f>
        <v/>
      </c>
    </row>
    <row r="45">
      <c r="A45" s="35" t="inlineStr">
        <is>
          <t>Iscom Lille</t>
        </is>
      </c>
      <c r="B45" s="36" t="n">
        <v>571</v>
      </c>
      <c r="C45" s="36" t="n">
        <v>600</v>
      </c>
      <c r="D45" s="36" t="n">
        <v>20843</v>
      </c>
      <c r="E45" s="36" t="n">
        <v>22927</v>
      </c>
      <c r="F45" s="36" t="n">
        <v>25220</v>
      </c>
      <c r="G45" s="37">
        <f>LN(C45/B45)/LN(E45/D45)</f>
        <v/>
      </c>
      <c r="H45" s="38">
        <f>C45*(F45/E45)^G45</f>
        <v/>
      </c>
      <c r="I45" s="36" t="n">
        <v>594</v>
      </c>
      <c r="J45" s="36" t="n">
        <v>612</v>
      </c>
      <c r="K45" s="38">
        <f>J45*(J45/I45)</f>
        <v/>
      </c>
      <c r="L45" s="39">
        <f>H45+K45</f>
        <v/>
      </c>
      <c r="M45" s="36" t="n">
        <v>1190</v>
      </c>
      <c r="N45" s="36" t="n">
        <v>94</v>
      </c>
      <c r="O45" s="40">
        <f>N45/M45</f>
        <v/>
      </c>
      <c r="P45" s="39">
        <f>L45*O45</f>
        <v/>
      </c>
      <c r="Q45" s="41" t="n">
        <v>100</v>
      </c>
      <c r="R45" s="42">
        <f>P45/Q45-1</f>
        <v/>
      </c>
    </row>
    <row r="46">
      <c r="A46" s="35" t="inlineStr">
        <is>
          <t>Iscom Paris</t>
        </is>
      </c>
      <c r="B46" s="36" t="n">
        <v>1035</v>
      </c>
      <c r="C46" s="36" t="n">
        <v>1080</v>
      </c>
      <c r="D46" s="36" t="n">
        <v>50248</v>
      </c>
      <c r="E46" s="36" t="n">
        <v>55272</v>
      </c>
      <c r="F46" s="36" t="n">
        <v>60800</v>
      </c>
      <c r="G46" s="37">
        <f>LN(C46/B46)/LN(E46/D46)</f>
        <v/>
      </c>
      <c r="H46" s="38">
        <f>C46*(F46/E46)^G46</f>
        <v/>
      </c>
      <c r="I46" s="36" t="n">
        <v>650</v>
      </c>
      <c r="J46" s="36" t="n">
        <v>670</v>
      </c>
      <c r="K46" s="38">
        <f>J46*(J46/I46)</f>
        <v/>
      </c>
      <c r="L46" s="39">
        <f>H46+K46</f>
        <v/>
      </c>
      <c r="M46" s="36" t="n">
        <v>1713</v>
      </c>
      <c r="N46" s="36" t="n">
        <v>136</v>
      </c>
      <c r="O46" s="40">
        <f>N46/M46</f>
        <v/>
      </c>
      <c r="P46" s="39">
        <f>L46*O46</f>
        <v/>
      </c>
      <c r="Q46" s="41" t="n">
        <v>144</v>
      </c>
      <c r="R46" s="42">
        <f>P46/Q46-1</f>
        <v/>
      </c>
    </row>
    <row r="47">
      <c r="A47" s="35" t="inlineStr">
        <is>
          <t>Iscom Toulouse</t>
        </is>
      </c>
      <c r="B47" s="36" t="n">
        <v>526</v>
      </c>
      <c r="C47" s="36" t="n">
        <v>553</v>
      </c>
      <c r="D47" s="36" t="n">
        <v>18251</v>
      </c>
      <c r="E47" s="36" t="n">
        <v>20076</v>
      </c>
      <c r="F47" s="36" t="n">
        <v>22083</v>
      </c>
      <c r="G47" s="37">
        <f>LN(C47/B47)/LN(E47/D47)</f>
        <v/>
      </c>
      <c r="H47" s="38">
        <f>C47*(F47/E47)^G47</f>
        <v/>
      </c>
      <c r="I47" s="36" t="n">
        <v>570</v>
      </c>
      <c r="J47" s="36" t="n">
        <v>587</v>
      </c>
      <c r="K47" s="38">
        <f>J47*(J47/I47)</f>
        <v/>
      </c>
      <c r="L47" s="39">
        <f>H47+K47</f>
        <v/>
      </c>
      <c r="M47" s="36" t="n">
        <v>1119</v>
      </c>
      <c r="N47" s="36" t="n">
        <v>88</v>
      </c>
      <c r="O47" s="40">
        <f>N47/M47</f>
        <v/>
      </c>
      <c r="P47" s="39">
        <f>L47*O47</f>
        <v/>
      </c>
      <c r="Q47" s="41" t="n">
        <v>94</v>
      </c>
      <c r="R47" s="42">
        <f>P47/Q47-1</f>
        <v/>
      </c>
    </row>
    <row r="48">
      <c r="A48" s="35" t="inlineStr">
        <is>
          <t>MBway Bordeaux</t>
        </is>
      </c>
      <c r="B48" s="36" t="n">
        <v>592</v>
      </c>
      <c r="C48" s="36" t="n">
        <v>623</v>
      </c>
      <c r="D48" s="36" t="n">
        <v>20597</v>
      </c>
      <c r="E48" s="36" t="n">
        <v>22657</v>
      </c>
      <c r="F48" s="36" t="n">
        <v>24923</v>
      </c>
      <c r="G48" s="37">
        <f>LN(C48/B48)/LN(E48/D48)</f>
        <v/>
      </c>
      <c r="H48" s="38">
        <f>C48*(F48/E48)^G48</f>
        <v/>
      </c>
      <c r="I48" s="36" t="n">
        <v>550</v>
      </c>
      <c r="J48" s="36" t="n">
        <v>589</v>
      </c>
      <c r="K48" s="38">
        <f>J48*(J48/I48)</f>
        <v/>
      </c>
      <c r="L48" s="39">
        <f>H48+K48</f>
        <v/>
      </c>
      <c r="M48" s="36" t="n">
        <v>1213</v>
      </c>
      <c r="N48" s="36" t="n">
        <v>96</v>
      </c>
      <c r="O48" s="40">
        <f>N48/M48</f>
        <v/>
      </c>
      <c r="P48" s="39">
        <f>L48*O48</f>
        <v/>
      </c>
      <c r="Q48" s="41" t="n">
        <v>102</v>
      </c>
      <c r="R48" s="42">
        <f>P48/Q48-1</f>
        <v/>
      </c>
    </row>
    <row r="49">
      <c r="A49" s="35" t="inlineStr">
        <is>
          <t>MBway Lyon</t>
        </is>
      </c>
      <c r="B49" s="36" t="n">
        <v>863</v>
      </c>
      <c r="C49" s="36" t="n">
        <v>905</v>
      </c>
      <c r="D49" s="36" t="n">
        <v>34532</v>
      </c>
      <c r="E49" s="36" t="n">
        <v>37985</v>
      </c>
      <c r="F49" s="36" t="n">
        <v>41783</v>
      </c>
      <c r="G49" s="37">
        <f>LN(C49/B49)/LN(E49/D49)</f>
        <v/>
      </c>
      <c r="H49" s="38">
        <f>C49*(F49/E49)^G49</f>
        <v/>
      </c>
      <c r="I49" s="36" t="n">
        <v>626</v>
      </c>
      <c r="J49" s="36" t="n">
        <v>670</v>
      </c>
      <c r="K49" s="38">
        <f>J49*(J49/I49)</f>
        <v/>
      </c>
      <c r="L49" s="39">
        <f>H49+K49</f>
        <v/>
      </c>
      <c r="M49" s="36" t="n">
        <v>1572</v>
      </c>
      <c r="N49" s="36" t="n">
        <v>124</v>
      </c>
      <c r="O49" s="40">
        <f>N49/M49</f>
        <v/>
      </c>
      <c r="P49" s="39">
        <f>L49*O49</f>
        <v/>
      </c>
      <c r="Q49" s="41" t="n">
        <v>132</v>
      </c>
      <c r="R49" s="42">
        <f>P49/Q49-1</f>
        <v/>
      </c>
    </row>
    <row r="50">
      <c r="A50" s="35" t="inlineStr">
        <is>
          <t>MBway Nantes</t>
        </is>
      </c>
      <c r="B50" s="36" t="n">
        <v>713</v>
      </c>
      <c r="C50" s="36" t="n">
        <v>749</v>
      </c>
      <c r="D50" s="36" t="n">
        <v>26060</v>
      </c>
      <c r="E50" s="36" t="n">
        <v>28666</v>
      </c>
      <c r="F50" s="36" t="n">
        <v>31533</v>
      </c>
      <c r="G50" s="37">
        <f>LN(C50/B50)/LN(E50/D50)</f>
        <v/>
      </c>
      <c r="H50" s="38">
        <f>C50*(F50/E50)^G50</f>
        <v/>
      </c>
      <c r="I50" s="36" t="n">
        <v>636</v>
      </c>
      <c r="J50" s="36" t="n">
        <v>680</v>
      </c>
      <c r="K50" s="38">
        <f>J50*(J50/I50)</f>
        <v/>
      </c>
      <c r="L50" s="39">
        <f>H50+K50</f>
        <v/>
      </c>
      <c r="M50" s="36" t="n">
        <v>1430</v>
      </c>
      <c r="N50" s="36" t="n">
        <v>114</v>
      </c>
      <c r="O50" s="40">
        <f>N50/M50</f>
        <v/>
      </c>
      <c r="P50" s="39">
        <f>L50*O50</f>
        <v/>
      </c>
      <c r="Q50" s="41" t="n">
        <v>120</v>
      </c>
      <c r="R50" s="42">
        <f>P50/Q50-1</f>
        <v/>
      </c>
    </row>
    <row r="51">
      <c r="A51" s="35" t="inlineStr">
        <is>
          <t>MBway Paris</t>
        </is>
      </c>
      <c r="B51" s="36" t="n">
        <v>1158</v>
      </c>
      <c r="C51" s="36" t="n">
        <v>1210</v>
      </c>
      <c r="D51" s="36" t="n">
        <v>56438</v>
      </c>
      <c r="E51" s="36" t="n">
        <v>62082</v>
      </c>
      <c r="F51" s="36" t="n">
        <v>68291</v>
      </c>
      <c r="G51" s="37">
        <f>LN(C51/B51)/LN(E51/D51)</f>
        <v/>
      </c>
      <c r="H51" s="38">
        <f>C51*(F51/E51)^G51</f>
        <v/>
      </c>
      <c r="I51" s="36" t="n">
        <v>621</v>
      </c>
      <c r="J51" s="36" t="n">
        <v>665</v>
      </c>
      <c r="K51" s="38">
        <f>J51*(J51/I51)</f>
        <v/>
      </c>
      <c r="L51" s="39">
        <f>H51+K51</f>
        <v/>
      </c>
      <c r="M51" s="36" t="n">
        <v>1864</v>
      </c>
      <c r="N51" s="36" t="n">
        <v>148</v>
      </c>
      <c r="O51" s="40">
        <f>N51/M51</f>
        <v/>
      </c>
      <c r="P51" s="39">
        <f>L51*O51</f>
        <v/>
      </c>
      <c r="Q51" s="41" t="n">
        <v>156</v>
      </c>
      <c r="R51" s="42">
        <f>P51/Q51-1</f>
        <v/>
      </c>
    </row>
    <row r="52">
      <c r="A52" s="35" t="inlineStr">
        <is>
          <t>Pigier Bordeaux</t>
        </is>
      </c>
      <c r="B52" s="36" t="n">
        <v>528</v>
      </c>
      <c r="C52" s="36" t="n">
        <v>552</v>
      </c>
      <c r="D52" s="36" t="n">
        <v>18155</v>
      </c>
      <c r="E52" s="36" t="n">
        <v>19971</v>
      </c>
      <c r="F52" s="36" t="n">
        <v>21968</v>
      </c>
      <c r="G52" s="37">
        <f>LN(C52/B52)/LN(E52/D52)</f>
        <v/>
      </c>
      <c r="H52" s="38">
        <f>C52*(F52/E52)^G52</f>
        <v/>
      </c>
      <c r="I52" s="36" t="n">
        <v>603</v>
      </c>
      <c r="J52" s="36" t="n">
        <v>627</v>
      </c>
      <c r="K52" s="38">
        <f>J52*(J52/I52)</f>
        <v/>
      </c>
      <c r="L52" s="39">
        <f>H52+K52</f>
        <v/>
      </c>
      <c r="M52" s="36" t="n">
        <v>1160</v>
      </c>
      <c r="N52" s="36" t="n">
        <v>68</v>
      </c>
      <c r="O52" s="40">
        <f>N52/M52</f>
        <v/>
      </c>
      <c r="P52" s="39">
        <f>L52*O52</f>
        <v/>
      </c>
      <c r="Q52" s="41" t="n">
        <v>72</v>
      </c>
      <c r="R52" s="42">
        <f>P52/Q52-1</f>
        <v/>
      </c>
    </row>
    <row r="53">
      <c r="A53" s="35" t="inlineStr">
        <is>
          <t>Pigier Lyon</t>
        </is>
      </c>
      <c r="B53" s="36" t="n">
        <v>765</v>
      </c>
      <c r="C53" s="36" t="n">
        <v>798</v>
      </c>
      <c r="D53" s="36" t="n">
        <v>30258</v>
      </c>
      <c r="E53" s="36" t="n">
        <v>33284</v>
      </c>
      <c r="F53" s="36" t="n">
        <v>36612</v>
      </c>
      <c r="G53" s="37">
        <f>LN(C53/B53)/LN(E53/D53)</f>
        <v/>
      </c>
      <c r="H53" s="38">
        <f>C53*(F53/E53)^G53</f>
        <v/>
      </c>
      <c r="I53" s="36" t="n">
        <v>682</v>
      </c>
      <c r="J53" s="36" t="n">
        <v>710</v>
      </c>
      <c r="K53" s="38">
        <f>J53*(J53/I53)</f>
        <v/>
      </c>
      <c r="L53" s="39">
        <f>H53+K53</f>
        <v/>
      </c>
      <c r="M53" s="36" t="n">
        <v>1482</v>
      </c>
      <c r="N53" s="36" t="n">
        <v>86</v>
      </c>
      <c r="O53" s="40">
        <f>N53/M53</f>
        <v/>
      </c>
      <c r="P53" s="39">
        <f>L53*O53</f>
        <v/>
      </c>
      <c r="Q53" s="41" t="n">
        <v>92</v>
      </c>
      <c r="R53" s="42">
        <f>P53/Q53-1</f>
        <v/>
      </c>
    </row>
    <row r="54">
      <c r="A54" s="35" t="inlineStr">
        <is>
          <t>Tunon Lyon</t>
        </is>
      </c>
      <c r="B54" s="36" t="n">
        <v>392</v>
      </c>
      <c r="C54" s="36" t="n">
        <v>410</v>
      </c>
      <c r="D54" s="36" t="n">
        <v>15578</v>
      </c>
      <c r="E54" s="36" t="n">
        <v>17136</v>
      </c>
      <c r="F54" s="36" t="n">
        <v>18850</v>
      </c>
      <c r="G54" s="37">
        <f>LN(C54/B54)/LN(E54/D54)</f>
        <v/>
      </c>
      <c r="H54" s="38">
        <f>C54*(F54/E54)^G54</f>
        <v/>
      </c>
      <c r="I54" s="36" t="n">
        <v>242</v>
      </c>
      <c r="J54" s="36" t="n">
        <v>247</v>
      </c>
      <c r="K54" s="38">
        <f>J54*(J54/I54)</f>
        <v/>
      </c>
      <c r="L54" s="39">
        <f>H54+K54</f>
        <v/>
      </c>
      <c r="M54" s="36" t="n">
        <v>642</v>
      </c>
      <c r="N54" s="36" t="n">
        <v>38</v>
      </c>
      <c r="O54" s="40">
        <f>N54/M54</f>
        <v/>
      </c>
      <c r="P54" s="39">
        <f>L54*O54</f>
        <v/>
      </c>
      <c r="Q54" s="41" t="n">
        <v>40</v>
      </c>
      <c r="R54" s="42">
        <f>P54/Q54-1</f>
        <v/>
      </c>
    </row>
    <row r="55">
      <c r="A55" s="35" t="inlineStr">
        <is>
          <t>Tunon Paris</t>
        </is>
      </c>
      <c r="B55" s="36" t="n">
        <v>517</v>
      </c>
      <c r="C55" s="36" t="n">
        <v>538</v>
      </c>
      <c r="D55" s="36" t="n">
        <v>24992</v>
      </c>
      <c r="E55" s="36" t="n">
        <v>27491</v>
      </c>
      <c r="F55" s="36" t="n">
        <v>30240</v>
      </c>
      <c r="G55" s="37">
        <f>LN(C55/B55)/LN(E55/D55)</f>
        <v/>
      </c>
      <c r="H55" s="38">
        <f>C55*(F55/E55)^G55</f>
        <v/>
      </c>
      <c r="I55" s="36" t="n">
        <v>231</v>
      </c>
      <c r="J55" s="36" t="n">
        <v>235</v>
      </c>
      <c r="K55" s="38">
        <f>J55*(J55/I55)</f>
        <v/>
      </c>
      <c r="L55" s="39">
        <f>H55+K55</f>
        <v/>
      </c>
      <c r="M55" s="36" t="n">
        <v>755</v>
      </c>
      <c r="N55" s="36" t="n">
        <v>44</v>
      </c>
      <c r="O55" s="40">
        <f>N55/M55</f>
        <v/>
      </c>
      <c r="P55" s="39">
        <f>L55*O55</f>
        <v/>
      </c>
      <c r="Q55" s="41" t="n">
        <v>47</v>
      </c>
      <c r="R55" s="42">
        <f>P55/Q55-1</f>
        <v/>
      </c>
    </row>
    <row r="56">
      <c r="A56" s="43" t="inlineStr">
        <is>
          <t>GROUPE</t>
        </is>
      </c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44">
        <f>SUM(L42:L55)</f>
        <v/>
      </c>
      <c r="M56" s="29" t="n"/>
      <c r="N56" s="29" t="n"/>
      <c r="O56" s="29" t="n"/>
      <c r="P56" s="44">
        <f>SUM(P42:P55)</f>
        <v/>
      </c>
      <c r="Q56" s="44">
        <f>SUM(Q42:Q55)</f>
        <v/>
      </c>
      <c r="R56" s="45">
        <f>P56/Q56-1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EDUSERVICES · le moteur, à nu</t>
        </is>
      </c>
    </row>
    <row r="2">
      <c r="A2" s="2" t="inlineStr">
        <is>
          <t>Le budget de marque → les leads organiques</t>
        </is>
      </c>
    </row>
    <row r="3">
      <c r="A3" s="3" t="inlineStr">
        <is>
          <t>Autre levier : le budget de marque nourrit les organiques, avec sa propre élasticité (plus basse). Régression 3 ans, comme l'acquisition.</t>
        </is>
      </c>
    </row>
    <row r="5">
      <c r="A5" s="5" t="inlineStr">
        <is>
          <t>Δ budget de marque</t>
        </is>
      </c>
      <c r="B5" s="6" t="n">
        <v>0.1</v>
      </c>
    </row>
    <row r="7">
      <c r="A7" s="10" t="inlineStr">
        <is>
          <t>Campus</t>
        </is>
      </c>
      <c r="B7" s="11" t="inlineStr">
        <is>
          <t>Bud.mq24</t>
        </is>
      </c>
      <c r="C7" s="11" t="inlineStr">
        <is>
          <t>Bud.mq25</t>
        </is>
      </c>
      <c r="D7" s="11" t="inlineStr">
        <is>
          <t>Bud.mq26</t>
        </is>
      </c>
      <c r="E7" s="11" t="inlineStr">
        <is>
          <t>Org.24</t>
        </is>
      </c>
      <c r="F7" s="11" t="inlineStr">
        <is>
          <t>Org.25</t>
        </is>
      </c>
      <c r="G7" s="11" t="inlineStr">
        <is>
          <t>Org.26</t>
        </is>
      </c>
      <c r="H7" s="11" t="inlineStr">
        <is>
          <t>Élasticité marque</t>
        </is>
      </c>
      <c r="I7" s="11" t="inlineStr">
        <is>
          <t>Org. gagnés (+Δ)</t>
        </is>
      </c>
    </row>
    <row r="8">
      <c r="A8" s="46" t="inlineStr">
        <is>
          <t>Ipac Montpellier</t>
        </is>
      </c>
      <c r="B8" s="47" t="n">
        <v>13581</v>
      </c>
      <c r="C8" s="47" t="n">
        <v>17870</v>
      </c>
      <c r="D8" s="47" t="n">
        <v>23514</v>
      </c>
      <c r="E8" s="20" t="n">
        <v>217</v>
      </c>
      <c r="F8" s="20" t="n">
        <v>237</v>
      </c>
      <c r="G8" s="20" t="n">
        <v>258</v>
      </c>
      <c r="H8" s="21">
        <f>SLOPE(LN(E8:G8),LN(B8:D8))</f>
        <v/>
      </c>
      <c r="I8" s="24">
        <f>G8*((1+$B$5)^H8-1)</f>
        <v/>
      </c>
    </row>
    <row r="9">
      <c r="A9" s="46" t="inlineStr">
        <is>
          <t>Ipac Nantes</t>
        </is>
      </c>
      <c r="B9" s="47" t="n">
        <v>15937</v>
      </c>
      <c r="C9" s="47" t="n">
        <v>21082</v>
      </c>
      <c r="D9" s="47" t="n">
        <v>27889</v>
      </c>
      <c r="E9" s="20" t="n">
        <v>258</v>
      </c>
      <c r="F9" s="20" t="n">
        <v>281</v>
      </c>
      <c r="G9" s="20" t="n">
        <v>306</v>
      </c>
      <c r="H9" s="21">
        <f>SLOPE(LN(E9:G9),LN(B9:D9))</f>
        <v/>
      </c>
      <c r="I9" s="24">
        <f>G9*((1+$B$5)^H9-1)</f>
        <v/>
      </c>
    </row>
    <row r="10">
      <c r="A10" s="46" t="inlineStr">
        <is>
          <t>Ipac Rennes</t>
        </is>
      </c>
      <c r="B10" s="47" t="n">
        <v>14022</v>
      </c>
      <c r="C10" s="47" t="n">
        <v>18403</v>
      </c>
      <c r="D10" s="47" t="n">
        <v>24152</v>
      </c>
      <c r="E10" s="20" t="n">
        <v>223</v>
      </c>
      <c r="F10" s="20" t="n">
        <v>243</v>
      </c>
      <c r="G10" s="20" t="n">
        <v>265</v>
      </c>
      <c r="H10" s="21">
        <f>SLOPE(LN(E10:G10),LN(B10:D10))</f>
        <v/>
      </c>
      <c r="I10" s="24">
        <f>G10*((1+$B$5)^H10-1)</f>
        <v/>
      </c>
    </row>
    <row r="11">
      <c r="A11" s="46" t="inlineStr">
        <is>
          <t>Iscom Lille</t>
        </is>
      </c>
      <c r="B11" s="47" t="n">
        <v>48495</v>
      </c>
      <c r="C11" s="47" t="n">
        <v>52768</v>
      </c>
      <c r="D11" s="47" t="n">
        <v>57418</v>
      </c>
      <c r="E11" s="20" t="n">
        <v>594</v>
      </c>
      <c r="F11" s="20" t="n">
        <v>612</v>
      </c>
      <c r="G11" s="20" t="n">
        <v>630</v>
      </c>
      <c r="H11" s="21">
        <f>SLOPE(LN(E11:G11),LN(B11:D11))</f>
        <v/>
      </c>
      <c r="I11" s="24">
        <f>G11*((1+$B$5)^H11-1)</f>
        <v/>
      </c>
    </row>
    <row r="12">
      <c r="A12" s="46" t="inlineStr">
        <is>
          <t>Iscom Paris</t>
        </is>
      </c>
      <c r="B12" s="47" t="n">
        <v>52094</v>
      </c>
      <c r="C12" s="47" t="n">
        <v>57236</v>
      </c>
      <c r="D12" s="47" t="n">
        <v>62886</v>
      </c>
      <c r="E12" s="20" t="n">
        <v>650</v>
      </c>
      <c r="F12" s="20" t="n">
        <v>670</v>
      </c>
      <c r="G12" s="20" t="n">
        <v>690</v>
      </c>
      <c r="H12" s="21">
        <f>SLOPE(LN(E12:G12),LN(B12:D12))</f>
        <v/>
      </c>
      <c r="I12" s="24">
        <f>G12*((1+$B$5)^H12-1)</f>
        <v/>
      </c>
    </row>
    <row r="13">
      <c r="A13" s="46" t="inlineStr">
        <is>
          <t>Iscom Toulouse</t>
        </is>
      </c>
      <c r="B13" s="47" t="n">
        <v>46637</v>
      </c>
      <c r="C13" s="47" t="n">
        <v>50710</v>
      </c>
      <c r="D13" s="47" t="n">
        <v>55139</v>
      </c>
      <c r="E13" s="20" t="n">
        <v>570</v>
      </c>
      <c r="F13" s="20" t="n">
        <v>587</v>
      </c>
      <c r="G13" s="20" t="n">
        <v>605</v>
      </c>
      <c r="H13" s="21">
        <f>SLOPE(LN(E13:G13),LN(B13:D13))</f>
        <v/>
      </c>
      <c r="I13" s="24">
        <f>G13*((1+$B$5)^H13-1)</f>
        <v/>
      </c>
    </row>
    <row r="14">
      <c r="A14" s="46" t="inlineStr">
        <is>
          <t>MBway Bordeaux</t>
        </is>
      </c>
      <c r="B14" s="47" t="n">
        <v>38877</v>
      </c>
      <c r="C14" s="47" t="n">
        <v>47246</v>
      </c>
      <c r="D14" s="47" t="n">
        <v>57418</v>
      </c>
      <c r="E14" s="20" t="n">
        <v>550</v>
      </c>
      <c r="F14" s="20" t="n">
        <v>589</v>
      </c>
      <c r="G14" s="20" t="n">
        <v>630</v>
      </c>
      <c r="H14" s="21">
        <f>SLOPE(LN(E14:G14),LN(B14:D14))</f>
        <v/>
      </c>
      <c r="I14" s="24">
        <f>G14*((1+$B$5)^H14-1)</f>
        <v/>
      </c>
    </row>
    <row r="15">
      <c r="A15" s="46" t="inlineStr">
        <is>
          <t>MBway Lyon</t>
        </is>
      </c>
      <c r="B15" s="47" t="n">
        <v>43250</v>
      </c>
      <c r="C15" s="47" t="n">
        <v>53125</v>
      </c>
      <c r="D15" s="47" t="n">
        <v>65255</v>
      </c>
      <c r="E15" s="20" t="n">
        <v>626</v>
      </c>
      <c r="F15" s="20" t="n">
        <v>670</v>
      </c>
      <c r="G15" s="20" t="n">
        <v>716</v>
      </c>
      <c r="H15" s="21">
        <f>SLOPE(LN(E15:G15),LN(B15:D15))</f>
        <v/>
      </c>
      <c r="I15" s="24">
        <f>G15*((1+$B$5)^H15-1)</f>
        <v/>
      </c>
    </row>
    <row r="16">
      <c r="A16" s="46" t="inlineStr">
        <is>
          <t>MBway Nantes</t>
        </is>
      </c>
      <c r="B16" s="47" t="n">
        <v>44771</v>
      </c>
      <c r="C16" s="47" t="n">
        <v>54502</v>
      </c>
      <c r="D16" s="47" t="n">
        <v>66349</v>
      </c>
      <c r="E16" s="20" t="n">
        <v>636</v>
      </c>
      <c r="F16" s="20" t="n">
        <v>680</v>
      </c>
      <c r="G16" s="20" t="n">
        <v>728</v>
      </c>
      <c r="H16" s="21">
        <f>SLOPE(LN(E16:G16),LN(B16:D16))</f>
        <v/>
      </c>
      <c r="I16" s="24">
        <f>G16*((1+$B$5)^H16-1)</f>
        <v/>
      </c>
    </row>
    <row r="17">
      <c r="A17" s="46" t="inlineStr">
        <is>
          <t>MBway Paris</t>
        </is>
      </c>
      <c r="B17" s="47" t="n">
        <v>41761</v>
      </c>
      <c r="C17" s="47" t="n">
        <v>52020</v>
      </c>
      <c r="D17" s="47" t="n">
        <v>64800</v>
      </c>
      <c r="E17" s="20" t="n">
        <v>621</v>
      </c>
      <c r="F17" s="20" t="n">
        <v>665</v>
      </c>
      <c r="G17" s="20" t="n">
        <v>711</v>
      </c>
      <c r="H17" s="21">
        <f>SLOPE(LN(E17:G17),LN(B17:D17))</f>
        <v/>
      </c>
      <c r="I17" s="24">
        <f>G17*((1+$B$5)^H17-1)</f>
        <v/>
      </c>
    </row>
    <row r="18">
      <c r="A18" s="46" t="inlineStr">
        <is>
          <t>Pigier Bordeaux</t>
        </is>
      </c>
      <c r="B18" s="47" t="n">
        <v>47760</v>
      </c>
      <c r="C18" s="47" t="n">
        <v>53273</v>
      </c>
      <c r="D18" s="47" t="n">
        <v>59423</v>
      </c>
      <c r="E18" s="20" t="n">
        <v>603</v>
      </c>
      <c r="F18" s="20" t="n">
        <v>627</v>
      </c>
      <c r="G18" s="20" t="n">
        <v>652</v>
      </c>
      <c r="H18" s="21">
        <f>SLOPE(LN(E18:G18),LN(B18:D18))</f>
        <v/>
      </c>
      <c r="I18" s="24">
        <f>G18*((1+$B$5)^H18-1)</f>
        <v/>
      </c>
    </row>
    <row r="19">
      <c r="A19" s="46" t="inlineStr">
        <is>
          <t>Pigier Lyon</t>
        </is>
      </c>
      <c r="B19" s="47" t="n">
        <v>53439</v>
      </c>
      <c r="C19" s="47" t="n">
        <v>59953</v>
      </c>
      <c r="D19" s="47" t="n">
        <v>67261</v>
      </c>
      <c r="E19" s="20" t="n">
        <v>682</v>
      </c>
      <c r="F19" s="20" t="n">
        <v>710</v>
      </c>
      <c r="G19" s="20" t="n">
        <v>738</v>
      </c>
      <c r="H19" s="21">
        <f>SLOPE(LN(E19:G19),LN(B19:D19))</f>
        <v/>
      </c>
      <c r="I19" s="24">
        <f>G19*((1+$B$5)^H19-1)</f>
        <v/>
      </c>
    </row>
    <row r="20">
      <c r="A20" s="46" t="inlineStr">
        <is>
          <t>Tunon Lyon</t>
        </is>
      </c>
      <c r="B20" s="47" t="n">
        <v>20221</v>
      </c>
      <c r="C20" s="47" t="n">
        <v>21550</v>
      </c>
      <c r="D20" s="47" t="n">
        <v>22967</v>
      </c>
      <c r="E20" s="20" t="n">
        <v>242</v>
      </c>
      <c r="F20" s="20" t="n">
        <v>247</v>
      </c>
      <c r="G20" s="20" t="n">
        <v>252</v>
      </c>
      <c r="H20" s="21">
        <f>SLOPE(LN(E20:G20),LN(B20:D20))</f>
        <v/>
      </c>
      <c r="I20" s="24">
        <f>G20*((1+$B$5)^H20-1)</f>
        <v/>
      </c>
    </row>
    <row r="21">
      <c r="A21" s="46" t="inlineStr">
        <is>
          <t>Tunon Paris</t>
        </is>
      </c>
      <c r="B21" s="47" t="n">
        <v>19081</v>
      </c>
      <c r="C21" s="47" t="n">
        <v>20429</v>
      </c>
      <c r="D21" s="47" t="n">
        <v>21873</v>
      </c>
      <c r="E21" s="20" t="n">
        <v>231</v>
      </c>
      <c r="F21" s="20" t="n">
        <v>235</v>
      </c>
      <c r="G21" s="20" t="n">
        <v>240</v>
      </c>
      <c r="H21" s="21">
        <f>SLOPE(LN(E21:G21),LN(B21:D21))</f>
        <v/>
      </c>
      <c r="I21" s="24">
        <f>G21*((1+$B$5)^H21-1)</f>
        <v/>
      </c>
    </row>
    <row r="22">
      <c r="A22" s="43" t="inlineStr">
        <is>
          <t>GROUPE</t>
        </is>
      </c>
      <c r="B22" s="29" t="n"/>
      <c r="C22" s="29" t="n"/>
      <c r="D22" s="29" t="n"/>
      <c r="E22" s="29" t="n"/>
      <c r="F22" s="29" t="n"/>
      <c r="G22" s="29" t="n"/>
      <c r="H22" s="29" t="n"/>
      <c r="I22" s="44">
        <f>SUM(I8:I21)</f>
        <v/>
      </c>
    </row>
    <row r="24">
      <c r="A24" s="48" t="inlineStr">
        <is>
          <t>Les deux leviers (acquisition + marque) alimentent le MÊME funnel → candidatures → inscrits → 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2026-08-31T00:03:47Z</dcterms:created>
  <dcterms:modified xsi:type="dcterms:W3CDTF">2026-08-31T00:03:47Z</dcterms:modified>
</cp:coreProperties>
</file>