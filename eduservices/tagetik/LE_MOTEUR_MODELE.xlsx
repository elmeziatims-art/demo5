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 moteur (modèle)" sheetId="1" state="visible" r:id="rId1"/>
    <sheet name="Budget de marque (organique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,##0 &quot;€&quot;;-#,##0 &quot;€&quot;;&quot;-&quot;"/>
    <numFmt numFmtId="166" formatCode="0.000"/>
    <numFmt numFmtId="167" formatCode="+0.0%;-0.0%;0.0%"/>
  </numFmts>
  <fonts count="28">
    <font>
      <name val="Calibri"/>
      <family val="2"/>
      <color theme="1"/>
      <sz val="11"/>
      <scheme val="minor"/>
    </font>
    <font>
      <name val="Arial"/>
      <b val="1"/>
      <color rgb="000A5A48"/>
      <sz val="9"/>
    </font>
    <font>
      <name val="Arial"/>
      <b val="1"/>
      <color rgb="00152230"/>
      <sz val="16"/>
    </font>
    <font>
      <name val="Arial"/>
      <color rgb="0051606D"/>
      <sz val="9"/>
    </font>
    <font>
      <name val="Arial"/>
      <b val="1"/>
      <color rgb="008A4A12"/>
      <sz val="11"/>
    </font>
    <font>
      <name val="Arial"/>
      <color rgb="00152230"/>
      <sz val="10"/>
    </font>
    <font>
      <name val="Arial"/>
      <b val="1"/>
      <color rgb="00152230"/>
      <sz val="10"/>
    </font>
    <font>
      <name val="Arial"/>
      <i val="1"/>
      <color rgb="007D8B98"/>
      <sz val="8"/>
    </font>
    <font>
      <name val="Arial"/>
      <b val="1"/>
      <color rgb="000A5A48"/>
      <sz val="12"/>
    </font>
    <font>
      <name val="Arial"/>
      <b val="1"/>
      <i val="1"/>
      <color rgb="00B3641C"/>
      <sz val="9"/>
    </font>
    <font>
      <name val="Arial"/>
      <b val="1"/>
      <color rgb="00FFFFFF"/>
      <sz val="8.5"/>
    </font>
    <font>
      <name val="Arial"/>
      <color rgb="00152230"/>
      <sz val="9"/>
    </font>
    <font>
      <name val="Arial"/>
      <i val="1"/>
      <color rgb="0051606D"/>
      <sz val="9"/>
    </font>
    <font>
      <name val="Arial"/>
      <color rgb="00152230"/>
      <sz val="8"/>
    </font>
    <font>
      <name val="Arial"/>
      <color rgb="0051606D"/>
      <sz val="8"/>
    </font>
    <font>
      <name val="Arial"/>
      <color rgb="003D4F8F"/>
      <sz val="8"/>
    </font>
    <font>
      <name val="Arial"/>
      <b val="1"/>
      <color rgb="003D4F8F"/>
      <sz val="8"/>
    </font>
    <font>
      <name val="Arial"/>
      <b val="1"/>
      <color rgb="001E7A55"/>
      <sz val="8"/>
    </font>
    <font>
      <name val="Arial"/>
      <b val="1"/>
      <color rgb="001E7A55"/>
      <sz val="9"/>
    </font>
    <font>
      <name val="Arial"/>
      <i val="1"/>
      <color rgb="00B3641C"/>
      <sz val="8"/>
    </font>
    <font>
      <name val="Arial"/>
      <b val="1"/>
      <color rgb="00152230"/>
      <sz val="9"/>
    </font>
    <font>
      <name val="Arial"/>
      <color rgb="008A4A12"/>
      <sz val="9"/>
    </font>
    <font>
      <name val="Arial"/>
      <color rgb="000A5A48"/>
      <sz val="9"/>
    </font>
    <font>
      <name val="Arial"/>
      <color rgb="003D4F8F"/>
      <sz val="9"/>
    </font>
    <font>
      <name val="Arial"/>
      <b val="1"/>
      <color rgb="000A5A48"/>
      <sz val="10"/>
    </font>
    <font>
      <name val="Arial"/>
      <b val="1"/>
      <color rgb="003D4F8F"/>
      <sz val="10"/>
    </font>
    <font>
      <name val="Arial"/>
      <b val="1"/>
      <color rgb="00B3641C"/>
      <sz val="9"/>
    </font>
    <font>
      <name val="Arial"/>
      <b val="1"/>
      <color rgb="003D4F8F"/>
      <sz val="9"/>
    </font>
  </fonts>
  <fills count="5">
    <fill>
      <patternFill/>
    </fill>
    <fill>
      <patternFill patternType="gray125"/>
    </fill>
    <fill>
      <patternFill patternType="solid">
        <fgColor rgb="00FFF6DA"/>
      </patternFill>
    </fill>
    <fill>
      <patternFill patternType="solid">
        <fgColor rgb="000D7A62"/>
      </patternFill>
    </fill>
    <fill>
      <patternFill patternType="solid">
        <fgColor rgb="00E4F0E8"/>
      </patternFill>
    </fill>
  </fills>
  <borders count="5">
    <border>
      <left/>
      <right/>
      <top/>
      <bottom/>
      <diagonal/>
    </border>
    <border>
      <left style="medium">
        <color rgb="00D9B94A"/>
      </left>
      <right style="medium">
        <color rgb="00D9B94A"/>
      </right>
      <top style="medium">
        <color rgb="00D9B94A"/>
      </top>
      <bottom style="medium">
        <color rgb="00D9B94A"/>
      </bottom>
    </border>
    <border>
      <bottom style="medium">
        <color rgb="00C8D2DA"/>
      </bottom>
    </border>
    <border>
      <bottom style="thin">
        <color rgb="00C8D2DA"/>
      </bottom>
    </border>
    <border>
      <top style="medium">
        <color rgb="00C8D2DA"/>
      </top>
      <bottom style="medium">
        <color rgb="00C8D2DA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6" fillId="2" borderId="1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165" fontId="6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3" borderId="2" applyAlignment="1" pivotButton="0" quotePrefix="0" xfId="0">
      <alignment horizontal="left" vertical="center"/>
    </xf>
    <xf numFmtId="0" fontId="10" fillId="3" borderId="2" applyAlignment="1" pivotButton="0" quotePrefix="0" xfId="0">
      <alignment horizontal="center" vertical="center" wrapText="1"/>
    </xf>
    <xf numFmtId="0" fontId="11" fillId="0" borderId="3" applyAlignment="1" pivotButton="0" quotePrefix="0" xfId="0">
      <alignment horizontal="left" vertical="center"/>
    </xf>
    <xf numFmtId="3" fontId="11" fillId="2" borderId="3" applyAlignment="1" pivotButton="0" quotePrefix="0" xfId="0">
      <alignment horizontal="right" vertical="center"/>
    </xf>
    <xf numFmtId="165" fontId="11" fillId="2" borderId="3" applyAlignment="1" pivotButton="0" quotePrefix="0" xfId="0">
      <alignment horizontal="right" vertical="center"/>
    </xf>
    <xf numFmtId="166" fontId="1" fillId="0" borderId="3" applyAlignment="1" pivotButton="0" quotePrefix="0" xfId="0">
      <alignment horizontal="right" vertical="center"/>
    </xf>
    <xf numFmtId="164" fontId="3" fillId="0" borderId="3" applyAlignment="1" pivotButton="0" quotePrefix="0" xfId="0">
      <alignment horizontal="right" vertical="center"/>
    </xf>
    <xf numFmtId="3" fontId="11" fillId="0" borderId="3" applyAlignment="1" pivotButton="0" quotePrefix="0" xfId="0">
      <alignment horizontal="right" vertical="center"/>
    </xf>
    <xf numFmtId="165" fontId="1" fillId="0" borderId="3" applyAlignment="1" pivotButton="0" quotePrefix="0" xfId="0">
      <alignment horizontal="right" vertical="center"/>
    </xf>
    <xf numFmtId="0" fontId="1" fillId="4" borderId="4" applyAlignment="1" pivotButton="0" quotePrefix="0" xfId="0">
      <alignment horizontal="left" vertical="center"/>
    </xf>
    <xf numFmtId="0" fontId="0" fillId="4" borderId="4" pivotButton="0" quotePrefix="0" xfId="0"/>
    <xf numFmtId="3" fontId="1" fillId="4" borderId="4" applyAlignment="1" pivotButton="0" quotePrefix="0" xfId="0">
      <alignment horizontal="right" vertical="center"/>
    </xf>
    <xf numFmtId="165" fontId="1" fillId="4" borderId="4" applyAlignment="1" pivotButton="0" quotePrefix="0" xfId="0">
      <alignment horizontal="right" vertical="center"/>
    </xf>
    <xf numFmtId="0" fontId="12" fillId="0" borderId="0" applyAlignment="1" pivotButton="0" quotePrefix="0" xfId="0">
      <alignment horizontal="left" vertical="center"/>
    </xf>
    <xf numFmtId="0" fontId="13" fillId="0" borderId="3" applyAlignment="1" pivotButton="0" quotePrefix="0" xfId="0">
      <alignment horizontal="left" vertical="center"/>
    </xf>
    <xf numFmtId="3" fontId="13" fillId="2" borderId="3" applyAlignment="1" pivotButton="0" quotePrefix="0" xfId="0">
      <alignment horizontal="right" vertical="center"/>
    </xf>
    <xf numFmtId="166" fontId="14" fillId="0" borderId="3" applyAlignment="1" pivotButton="0" quotePrefix="0" xfId="0">
      <alignment horizontal="right" vertical="center"/>
    </xf>
    <xf numFmtId="3" fontId="15" fillId="0" borderId="3" applyAlignment="1" pivotButton="0" quotePrefix="0" xfId="0">
      <alignment horizontal="right" vertical="center"/>
    </xf>
    <xf numFmtId="3" fontId="16" fillId="0" borderId="3" applyAlignment="1" pivotButton="0" quotePrefix="0" xfId="0">
      <alignment horizontal="right" vertical="center"/>
    </xf>
    <xf numFmtId="164" fontId="14" fillId="0" borderId="3" applyAlignment="1" pivotButton="0" quotePrefix="0" xfId="0">
      <alignment horizontal="right" vertical="center"/>
    </xf>
    <xf numFmtId="3" fontId="13" fillId="0" borderId="3" applyAlignment="1" pivotButton="0" quotePrefix="0" xfId="0">
      <alignment horizontal="right" vertical="center"/>
    </xf>
    <xf numFmtId="167" fontId="17" fillId="0" borderId="3" applyAlignment="1" pivotButton="0" quotePrefix="0" xfId="0">
      <alignment horizontal="right" vertical="center"/>
    </xf>
    <xf numFmtId="167" fontId="18" fillId="4" borderId="4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center"/>
    </xf>
    <xf numFmtId="0" fontId="20" fillId="0" borderId="3" applyAlignment="1" pivotButton="0" quotePrefix="0" xfId="0">
      <alignment horizontal="left" vertical="center"/>
    </xf>
    <xf numFmtId="165" fontId="21" fillId="0" borderId="3" applyAlignment="1" pivotButton="0" quotePrefix="0" xfId="0">
      <alignment horizontal="right" vertical="center"/>
    </xf>
    <xf numFmtId="165" fontId="22" fillId="0" borderId="3" applyAlignment="1" pivotButton="0" quotePrefix="0" xfId="0">
      <alignment horizontal="right" vertical="center"/>
    </xf>
    <xf numFmtId="165" fontId="18" fillId="0" borderId="3" applyAlignment="1" pivotButton="0" quotePrefix="0" xfId="0">
      <alignment horizontal="right" vertical="center"/>
    </xf>
    <xf numFmtId="165" fontId="23" fillId="0" borderId="3" applyAlignment="1" pivotButton="0" quotePrefix="0" xfId="0">
      <alignment horizontal="right" vertical="center"/>
    </xf>
    <xf numFmtId="0" fontId="24" fillId="4" borderId="4" applyAlignment="1" pivotButton="0" quotePrefix="0" xfId="0">
      <alignment horizontal="left" vertical="center"/>
    </xf>
    <xf numFmtId="165" fontId="24" fillId="4" borderId="4" applyAlignment="1" pivotButton="0" quotePrefix="0" xfId="0">
      <alignment horizontal="right" vertical="center"/>
    </xf>
    <xf numFmtId="3" fontId="24" fillId="4" borderId="4" applyAlignment="1" pivotButton="0" quotePrefix="0" xfId="0">
      <alignment horizontal="right" vertical="center"/>
    </xf>
    <xf numFmtId="165" fontId="25" fillId="4" borderId="4" applyAlignment="1" pivotButton="0" quotePrefix="0" xfId="0">
      <alignment horizontal="right" vertical="center"/>
    </xf>
    <xf numFmtId="0" fontId="26" fillId="0" borderId="0" applyAlignment="1" pivotButton="0" quotePrefix="0" xfId="0">
      <alignment horizontal="left" vertical="center"/>
    </xf>
    <xf numFmtId="166" fontId="3" fillId="0" borderId="3" applyAlignment="1" pivotButton="0" quotePrefix="0" xfId="0">
      <alignment horizontal="right" vertical="center"/>
    </xf>
    <xf numFmtId="3" fontId="27" fillId="0" borderId="3" applyAlignment="1" pivotButton="0" quotePrefix="0" xfId="0">
      <alignment horizontal="right" vertical="center"/>
    </xf>
    <xf numFmtId="167" fontId="18" fillId="0" borderId="3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6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</cols>
  <sheetData>
    <row r="1">
      <c r="A1" s="1" t="inlineStr">
        <is>
          <t>EDUSERVICES · budget 2027 · le moteur, à nu</t>
        </is>
      </c>
    </row>
    <row r="2">
      <c r="A2" s="2" t="inlineStr">
        <is>
          <t>Le moteur — données réelles + formules cliquables</t>
        </is>
      </c>
    </row>
    <row r="3">
      <c r="A3" s="3" t="inlineStr">
        <is>
          <t>Jaune = actuals ou hypothèse (saisie). Tout le reste = formule. Changez une case jaune → tout recalcule.</t>
        </is>
      </c>
    </row>
    <row r="5">
      <c r="A5" s="4" t="inlineStr">
        <is>
          <t>PARAMÈTRES  (les 3 leviers de lecture)</t>
        </is>
      </c>
    </row>
    <row r="6">
      <c r="A6" s="5" t="inlineStr">
        <is>
          <t>Δ budget d'acquisition (le geste testé)</t>
        </is>
      </c>
      <c r="B6" s="6" t="n">
        <v>0.08</v>
      </c>
      <c r="C6" s="7" t="inlineStr">
        <is>
          <t>passez 8 % → 12 %, tout suit</t>
        </is>
      </c>
    </row>
    <row r="7">
      <c r="A7" s="5" t="inlineStr">
        <is>
          <t>CA 1ʳᵉ année / inscrit</t>
        </is>
      </c>
      <c r="B7" s="8" t="n">
        <v>7608</v>
      </c>
      <c r="C7" s="7" t="inlineStr">
        <is>
          <t>votre référentiel</t>
        </is>
      </c>
    </row>
    <row r="8">
      <c r="A8" s="5" t="inlineStr">
        <is>
          <t>Coût variable / élève</t>
        </is>
      </c>
      <c r="B8" s="8" t="n">
        <v>300</v>
      </c>
      <c r="C8" s="7" t="inlineStr">
        <is>
          <t>marginal, classe existante</t>
        </is>
      </c>
    </row>
    <row r="10">
      <c r="A10" s="9" t="inlineStr">
        <is>
          <t>①  De l'élasticité au CA — par campus (piloté par Δ)</t>
        </is>
      </c>
    </row>
    <row r="11">
      <c r="A11" s="10" t="inlineStr">
        <is>
          <t>Élasticité = LN(leads pay.26 ÷ leads pay.24) ÷ LN(budget26 ÷ budget24). Puis : leads gagnés → inscrits → CA, pour le Δ ci-dessus.</t>
        </is>
      </c>
    </row>
    <row r="13">
      <c r="A13" s="11" t="inlineStr">
        <is>
          <t>Campus</t>
        </is>
      </c>
      <c r="B13" s="12" t="inlineStr">
        <is>
          <t>L.pay24</t>
        </is>
      </c>
      <c r="C13" s="12" t="inlineStr">
        <is>
          <t>L.pay26</t>
        </is>
      </c>
      <c r="D13" s="12" t="inlineStr">
        <is>
          <t>Bud.24</t>
        </is>
      </c>
      <c r="E13" s="12" t="inlineStr">
        <is>
          <t>Bud.26</t>
        </is>
      </c>
      <c r="F13" s="12" t="inlineStr">
        <is>
          <t>Élasticité</t>
        </is>
      </c>
      <c r="G13" s="12" t="inlineStr">
        <is>
          <t>Leads 2026</t>
        </is>
      </c>
      <c r="H13" s="12" t="inlineStr">
        <is>
          <t>Inscrits 2026</t>
        </is>
      </c>
      <c r="I13" s="12" t="inlineStr">
        <is>
          <t>Conv.</t>
        </is>
      </c>
      <c r="J13" s="12" t="inlineStr">
        <is>
          <t>Leads gagnés</t>
        </is>
      </c>
      <c r="K13" s="12" t="inlineStr">
        <is>
          <t>Inscrits gagnés</t>
        </is>
      </c>
      <c r="L13" s="12" t="inlineStr">
        <is>
          <t>CA gagné (+Δ)</t>
        </is>
      </c>
    </row>
    <row r="14">
      <c r="A14" s="13" t="inlineStr">
        <is>
          <t>IPAC Montpellier</t>
        </is>
      </c>
      <c r="B14" s="14" t="n">
        <v>377</v>
      </c>
      <c r="C14" s="14" t="n">
        <v>422</v>
      </c>
      <c r="D14" s="15" t="n">
        <v>12543</v>
      </c>
      <c r="E14" s="15" t="n">
        <v>15178</v>
      </c>
      <c r="F14" s="16">
        <f>LN(C14/B14)/LN(E14/D14)</f>
        <v/>
      </c>
      <c r="G14" s="14" t="n">
        <v>680</v>
      </c>
      <c r="H14" s="14" t="n">
        <v>40</v>
      </c>
      <c r="I14" s="17">
        <f>H14/G14</f>
        <v/>
      </c>
      <c r="J14" s="18">
        <f>C14*((1+$B$6)^F14-1)</f>
        <v/>
      </c>
      <c r="K14" s="18">
        <f>J14*I14</f>
        <v/>
      </c>
      <c r="L14" s="19">
        <f>K14*$B$7</f>
        <v/>
      </c>
    </row>
    <row r="15">
      <c r="A15" s="13" t="inlineStr">
        <is>
          <t>IPAC Nantes</t>
        </is>
      </c>
      <c r="B15" s="14" t="n">
        <v>489</v>
      </c>
      <c r="C15" s="14" t="n">
        <v>544</v>
      </c>
      <c r="D15" s="15" t="n">
        <v>17983</v>
      </c>
      <c r="E15" s="15" t="n">
        <v>21760</v>
      </c>
      <c r="F15" s="16">
        <f>LN(C15/B15)/LN(E15/D15)</f>
        <v/>
      </c>
      <c r="G15" s="14" t="n">
        <v>850</v>
      </c>
      <c r="H15" s="14" t="n">
        <v>50</v>
      </c>
      <c r="I15" s="17">
        <f>H15/G15</f>
        <v/>
      </c>
      <c r="J15" s="18">
        <f>C15*((1+$B$6)^F15-1)</f>
        <v/>
      </c>
      <c r="K15" s="18">
        <f>J15*I15</f>
        <v/>
      </c>
      <c r="L15" s="19">
        <f>K15*$B$7</f>
        <v/>
      </c>
    </row>
    <row r="16">
      <c r="A16" s="13" t="inlineStr">
        <is>
          <t>IPAC Rennes</t>
        </is>
      </c>
      <c r="B16" s="14" t="n">
        <v>371</v>
      </c>
      <c r="C16" s="14" t="n">
        <v>415</v>
      </c>
      <c r="D16" s="15" t="n">
        <v>12341</v>
      </c>
      <c r="E16" s="15" t="n">
        <v>14933</v>
      </c>
      <c r="F16" s="16">
        <f>LN(C16/B16)/LN(E16/D16)</f>
        <v/>
      </c>
      <c r="G16" s="14" t="n">
        <v>680</v>
      </c>
      <c r="H16" s="14" t="n">
        <v>40</v>
      </c>
      <c r="I16" s="17">
        <f>H16/G16</f>
        <v/>
      </c>
      <c r="J16" s="18">
        <f>C16*((1+$B$6)^F16-1)</f>
        <v/>
      </c>
      <c r="K16" s="18">
        <f>J16*I16</f>
        <v/>
      </c>
      <c r="L16" s="19">
        <f>K16*$B$7</f>
        <v/>
      </c>
    </row>
    <row r="17">
      <c r="A17" s="13" t="inlineStr">
        <is>
          <t>ISCOM Lille</t>
        </is>
      </c>
      <c r="B17" s="14" t="n">
        <v>571</v>
      </c>
      <c r="C17" s="14" t="n">
        <v>630</v>
      </c>
      <c r="D17" s="15" t="n">
        <v>20843</v>
      </c>
      <c r="E17" s="15" t="n">
        <v>25220</v>
      </c>
      <c r="F17" s="16">
        <f>LN(C17/B17)/LN(E17/D17)</f>
        <v/>
      </c>
      <c r="G17" s="14" t="n">
        <v>1260</v>
      </c>
      <c r="H17" s="14" t="n">
        <v>100</v>
      </c>
      <c r="I17" s="17">
        <f>H17/G17</f>
        <v/>
      </c>
      <c r="J17" s="18">
        <f>C17*((1+$B$6)^F17-1)</f>
        <v/>
      </c>
      <c r="K17" s="18">
        <f>J17*I17</f>
        <v/>
      </c>
      <c r="L17" s="19">
        <f>K17*$B$7</f>
        <v/>
      </c>
    </row>
    <row r="18">
      <c r="A18" s="13" t="inlineStr">
        <is>
          <t>ISCOM Paris</t>
        </is>
      </c>
      <c r="B18" s="14" t="n">
        <v>1035</v>
      </c>
      <c r="C18" s="14" t="n">
        <v>1126</v>
      </c>
      <c r="D18" s="15" t="n">
        <v>50248</v>
      </c>
      <c r="E18" s="15" t="n">
        <v>60800</v>
      </c>
      <c r="F18" s="16">
        <f>LN(C18/B18)/LN(E18/D18)</f>
        <v/>
      </c>
      <c r="G18" s="14" t="n">
        <v>1816</v>
      </c>
      <c r="H18" s="14" t="n">
        <v>144</v>
      </c>
      <c r="I18" s="17">
        <f>H18/G18</f>
        <v/>
      </c>
      <c r="J18" s="18">
        <f>C18*((1+$B$6)^F18-1)</f>
        <v/>
      </c>
      <c r="K18" s="18">
        <f>J18*I18</f>
        <v/>
      </c>
      <c r="L18" s="19">
        <f>K18*$B$7</f>
        <v/>
      </c>
    </row>
    <row r="19">
      <c r="A19" s="13" t="inlineStr">
        <is>
          <t>ISCOM Toulouse</t>
        </is>
      </c>
      <c r="B19" s="14" t="n">
        <v>526</v>
      </c>
      <c r="C19" s="14" t="n">
        <v>581</v>
      </c>
      <c r="D19" s="15" t="n">
        <v>18251</v>
      </c>
      <c r="E19" s="15" t="n">
        <v>22083</v>
      </c>
      <c r="F19" s="16">
        <f>LN(C19/B19)/LN(E19/D19)</f>
        <v/>
      </c>
      <c r="G19" s="14" t="n">
        <v>1186</v>
      </c>
      <c r="H19" s="14" t="n">
        <v>94</v>
      </c>
      <c r="I19" s="17">
        <f>H19/G19</f>
        <v/>
      </c>
      <c r="J19" s="18">
        <f>C19*((1+$B$6)^F19-1)</f>
        <v/>
      </c>
      <c r="K19" s="18">
        <f>J19*I19</f>
        <v/>
      </c>
      <c r="L19" s="19">
        <f>K19*$B$7</f>
        <v/>
      </c>
    </row>
    <row r="20">
      <c r="A20" s="13" t="inlineStr">
        <is>
          <t>MBway Bordeaux</t>
        </is>
      </c>
      <c r="B20" s="14" t="n">
        <v>592</v>
      </c>
      <c r="C20" s="14" t="n">
        <v>656</v>
      </c>
      <c r="D20" s="15" t="n">
        <v>20597</v>
      </c>
      <c r="E20" s="15" t="n">
        <v>24923</v>
      </c>
      <c r="F20" s="16">
        <f>LN(C20/B20)/LN(E20/D20)</f>
        <v/>
      </c>
      <c r="G20" s="14" t="n">
        <v>1286</v>
      </c>
      <c r="H20" s="14" t="n">
        <v>102</v>
      </c>
      <c r="I20" s="17">
        <f>H20/G20</f>
        <v/>
      </c>
      <c r="J20" s="18">
        <f>C20*((1+$B$6)^F20-1)</f>
        <v/>
      </c>
      <c r="K20" s="18">
        <f>J20*I20</f>
        <v/>
      </c>
      <c r="L20" s="19">
        <f>K20*$B$7</f>
        <v/>
      </c>
    </row>
    <row r="21">
      <c r="A21" s="13" t="inlineStr">
        <is>
          <t>MBway Lyon</t>
        </is>
      </c>
      <c r="B21" s="14" t="n">
        <v>863</v>
      </c>
      <c r="C21" s="14" t="n">
        <v>950</v>
      </c>
      <c r="D21" s="15" t="n">
        <v>34532</v>
      </c>
      <c r="E21" s="15" t="n">
        <v>41783</v>
      </c>
      <c r="F21" s="16">
        <f>LN(C21/B21)/LN(E21/D21)</f>
        <v/>
      </c>
      <c r="G21" s="14" t="n">
        <v>1666</v>
      </c>
      <c r="H21" s="14" t="n">
        <v>132</v>
      </c>
      <c r="I21" s="17">
        <f>H21/G21</f>
        <v/>
      </c>
      <c r="J21" s="18">
        <f>C21*((1+$B$6)^F21-1)</f>
        <v/>
      </c>
      <c r="K21" s="18">
        <f>J21*I21</f>
        <v/>
      </c>
      <c r="L21" s="19">
        <f>K21*$B$7</f>
        <v/>
      </c>
    </row>
    <row r="22">
      <c r="A22" s="13" t="inlineStr">
        <is>
          <t>MBway Nantes</t>
        </is>
      </c>
      <c r="B22" s="14" t="n">
        <v>713</v>
      </c>
      <c r="C22" s="14" t="n">
        <v>788</v>
      </c>
      <c r="D22" s="15" t="n">
        <v>26060</v>
      </c>
      <c r="E22" s="15" t="n">
        <v>31533</v>
      </c>
      <c r="F22" s="16">
        <f>LN(C22/B22)/LN(E22/D22)</f>
        <v/>
      </c>
      <c r="G22" s="14" t="n">
        <v>1516</v>
      </c>
      <c r="H22" s="14" t="n">
        <v>120</v>
      </c>
      <c r="I22" s="17">
        <f>H22/G22</f>
        <v/>
      </c>
      <c r="J22" s="18">
        <f>C22*((1+$B$6)^F22-1)</f>
        <v/>
      </c>
      <c r="K22" s="18">
        <f>J22*I22</f>
        <v/>
      </c>
      <c r="L22" s="19">
        <f>K22*$B$7</f>
        <v/>
      </c>
    </row>
    <row r="23">
      <c r="A23" s="13" t="inlineStr">
        <is>
          <t>MBway Paris</t>
        </is>
      </c>
      <c r="B23" s="14" t="n">
        <v>1158</v>
      </c>
      <c r="C23" s="14" t="n">
        <v>1265</v>
      </c>
      <c r="D23" s="15" t="n">
        <v>56438</v>
      </c>
      <c r="E23" s="15" t="n">
        <v>68291</v>
      </c>
      <c r="F23" s="16">
        <f>LN(C23/B23)/LN(E23/D23)</f>
        <v/>
      </c>
      <c r="G23" s="14" t="n">
        <v>1976</v>
      </c>
      <c r="H23" s="14" t="n">
        <v>156</v>
      </c>
      <c r="I23" s="17">
        <f>H23/G23</f>
        <v/>
      </c>
      <c r="J23" s="18">
        <f>C23*((1+$B$6)^F23-1)</f>
        <v/>
      </c>
      <c r="K23" s="18">
        <f>J23*I23</f>
        <v/>
      </c>
      <c r="L23" s="19">
        <f>K23*$B$7</f>
        <v/>
      </c>
    </row>
    <row r="24">
      <c r="A24" s="13" t="inlineStr">
        <is>
          <t>Pigier Bordeaux</t>
        </is>
      </c>
      <c r="B24" s="14" t="n">
        <v>528</v>
      </c>
      <c r="C24" s="14" t="n">
        <v>578</v>
      </c>
      <c r="D24" s="15" t="n">
        <v>18155</v>
      </c>
      <c r="E24" s="15" t="n">
        <v>21968</v>
      </c>
      <c r="F24" s="16">
        <f>LN(C24/B24)/LN(E24/D24)</f>
        <v/>
      </c>
      <c r="G24" s="14" t="n">
        <v>1230</v>
      </c>
      <c r="H24" s="14" t="n">
        <v>72</v>
      </c>
      <c r="I24" s="17">
        <f>H24/G24</f>
        <v/>
      </c>
      <c r="J24" s="18">
        <f>C24*((1+$B$6)^F24-1)</f>
        <v/>
      </c>
      <c r="K24" s="18">
        <f>J24*I24</f>
        <v/>
      </c>
      <c r="L24" s="19">
        <f>K24*$B$7</f>
        <v/>
      </c>
    </row>
    <row r="25">
      <c r="A25" s="13" t="inlineStr">
        <is>
          <t>Pigier Lyon</t>
        </is>
      </c>
      <c r="B25" s="14" t="n">
        <v>765</v>
      </c>
      <c r="C25" s="14" t="n">
        <v>832</v>
      </c>
      <c r="D25" s="15" t="n">
        <v>30258</v>
      </c>
      <c r="E25" s="15" t="n">
        <v>36612</v>
      </c>
      <c r="F25" s="16">
        <f>LN(C25/B25)/LN(E25/D25)</f>
        <v/>
      </c>
      <c r="G25" s="14" t="n">
        <v>1570</v>
      </c>
      <c r="H25" s="14" t="n">
        <v>92</v>
      </c>
      <c r="I25" s="17">
        <f>H25/G25</f>
        <v/>
      </c>
      <c r="J25" s="18">
        <f>C25*((1+$B$6)^F25-1)</f>
        <v/>
      </c>
      <c r="K25" s="18">
        <f>J25*I25</f>
        <v/>
      </c>
      <c r="L25" s="19">
        <f>K25*$B$7</f>
        <v/>
      </c>
    </row>
    <row r="26">
      <c r="A26" s="13" t="inlineStr">
        <is>
          <t>Tunon Lyon</t>
        </is>
      </c>
      <c r="B26" s="14" t="n">
        <v>392</v>
      </c>
      <c r="C26" s="14" t="n">
        <v>428</v>
      </c>
      <c r="D26" s="15" t="n">
        <v>15578</v>
      </c>
      <c r="E26" s="15" t="n">
        <v>18850</v>
      </c>
      <c r="F26" s="16">
        <f>LN(C26/B26)/LN(E26/D26)</f>
        <v/>
      </c>
      <c r="G26" s="14" t="n">
        <v>680</v>
      </c>
      <c r="H26" s="14" t="n">
        <v>40</v>
      </c>
      <c r="I26" s="17">
        <f>H26/G26</f>
        <v/>
      </c>
      <c r="J26" s="18">
        <f>C26*((1+$B$6)^F26-1)</f>
        <v/>
      </c>
      <c r="K26" s="18">
        <f>J26*I26</f>
        <v/>
      </c>
      <c r="L26" s="19">
        <f>K26*$B$7</f>
        <v/>
      </c>
    </row>
    <row r="27">
      <c r="A27" s="13" t="inlineStr">
        <is>
          <t>Tunon Paris</t>
        </is>
      </c>
      <c r="B27" s="14" t="n">
        <v>517</v>
      </c>
      <c r="C27" s="14" t="n">
        <v>560</v>
      </c>
      <c r="D27" s="15" t="n">
        <v>24992</v>
      </c>
      <c r="E27" s="15" t="n">
        <v>30240</v>
      </c>
      <c r="F27" s="16">
        <f>LN(C27/B27)/LN(E27/D27)</f>
        <v/>
      </c>
      <c r="G27" s="14" t="n">
        <v>800</v>
      </c>
      <c r="H27" s="14" t="n">
        <v>47</v>
      </c>
      <c r="I27" s="17">
        <f>H27/G27</f>
        <v/>
      </c>
      <c r="J27" s="18">
        <f>C27*((1+$B$6)^F27-1)</f>
        <v/>
      </c>
      <c r="K27" s="18">
        <f>J27*I27</f>
        <v/>
      </c>
      <c r="L27" s="19">
        <f>K27*$B$7</f>
        <v/>
      </c>
    </row>
    <row r="28">
      <c r="A28" s="20" t="inlineStr">
        <is>
          <t>GROUPE</t>
        </is>
      </c>
      <c r="B28" s="21" t="n"/>
      <c r="C28" s="21" t="n"/>
      <c r="D28" s="21" t="n"/>
      <c r="E28" s="21" t="n"/>
      <c r="F28" s="21" t="n"/>
      <c r="G28" s="21" t="n"/>
      <c r="H28" s="21" t="n"/>
      <c r="I28" s="21" t="n"/>
      <c r="J28" s="22">
        <f>SUM(J14:J27)</f>
        <v/>
      </c>
      <c r="K28" s="22">
        <f>SUM(K14:K27)</f>
        <v/>
      </c>
      <c r="L28" s="23">
        <f>SUM(L14:L27)</f>
        <v/>
      </c>
    </row>
    <row r="29">
      <c r="A29" s="7" t="inlineStr">
        <is>
          <t>Cliquez « Élasticité » : =LN(…)/LN(…) sur les chiffres réels. Cliquez « CA gagné » : la chaîne complète jusqu'au CA.</t>
        </is>
      </c>
    </row>
    <row r="31">
      <c r="A31" s="9" t="inlineStr">
        <is>
          <t>②  La preuve — back-test complet : leads payants ET organiques PRÉDITS, jusqu'aux inscrits</t>
        </is>
      </c>
    </row>
    <row r="32">
      <c r="A32" s="24" t="inlineStr">
        <is>
          <t>Rien de 2026 en entrée. Payants : élasticité 24→25 × budget26. Organiques : leur propre tendance 24→25. Puis × conversion 2025 → inscrits.</t>
        </is>
      </c>
    </row>
    <row r="34">
      <c r="A34" s="11" t="inlineStr">
        <is>
          <t>Campus</t>
        </is>
      </c>
      <c r="B34" s="12" t="inlineStr">
        <is>
          <t>L.pay24</t>
        </is>
      </c>
      <c r="C34" s="12" t="inlineStr">
        <is>
          <t>L.pay25</t>
        </is>
      </c>
      <c r="D34" s="12" t="inlineStr">
        <is>
          <t>Bud.24</t>
        </is>
      </c>
      <c r="E34" s="12" t="inlineStr">
        <is>
          <t>Bud.25</t>
        </is>
      </c>
      <c r="F34" s="12" t="inlineStr">
        <is>
          <t>Bud.26</t>
        </is>
      </c>
      <c r="G34" s="12" t="inlineStr">
        <is>
          <t>Élast 24→25</t>
        </is>
      </c>
      <c r="H34" s="12" t="inlineStr">
        <is>
          <t>Préd. pay.26</t>
        </is>
      </c>
      <c r="I34" s="12" t="inlineStr">
        <is>
          <t>Org.24</t>
        </is>
      </c>
      <c r="J34" s="12" t="inlineStr">
        <is>
          <t>Org.25</t>
        </is>
      </c>
      <c r="K34" s="12" t="inlineStr">
        <is>
          <t>Préd. org.26</t>
        </is>
      </c>
      <c r="L34" s="12">
        <f> Leads26 préd.</f>
        <v/>
      </c>
      <c r="M34" s="12" t="inlineStr">
        <is>
          <t>Leads25</t>
        </is>
      </c>
      <c r="N34" s="12" t="inlineStr">
        <is>
          <t>Inscrits25</t>
        </is>
      </c>
      <c r="O34" s="12" t="inlineStr">
        <is>
          <t>Conv.25</t>
        </is>
      </c>
      <c r="P34" s="12" t="inlineStr">
        <is>
          <t>Inscrits26 préd.</t>
        </is>
      </c>
      <c r="Q34" s="12" t="inlineStr">
        <is>
          <t>Inscrits26 réel</t>
        </is>
      </c>
      <c r="R34" s="12" t="inlineStr">
        <is>
          <t>Écart</t>
        </is>
      </c>
    </row>
    <row r="35">
      <c r="A35" s="25" t="inlineStr">
        <is>
          <t>IPAC Montpellier</t>
        </is>
      </c>
      <c r="B35" s="26" t="n">
        <v>377</v>
      </c>
      <c r="C35" s="26" t="n">
        <v>399</v>
      </c>
      <c r="D35" s="26" t="n">
        <v>12543</v>
      </c>
      <c r="E35" s="26" t="n">
        <v>13798</v>
      </c>
      <c r="F35" s="26" t="n">
        <v>15178</v>
      </c>
      <c r="G35" s="27">
        <f>LN(C35/B35)/LN(E35/D35)</f>
        <v/>
      </c>
      <c r="H35" s="28">
        <f>C35*(F35/E35)^G35</f>
        <v/>
      </c>
      <c r="I35" s="26" t="n">
        <v>217</v>
      </c>
      <c r="J35" s="26" t="n">
        <v>237</v>
      </c>
      <c r="K35" s="28">
        <f>J35*(J35/I35)</f>
        <v/>
      </c>
      <c r="L35" s="29">
        <f>H35+K35</f>
        <v/>
      </c>
      <c r="M35" s="26" t="n">
        <v>642</v>
      </c>
      <c r="N35" s="26" t="n">
        <v>38</v>
      </c>
      <c r="O35" s="30">
        <f>N35/M35</f>
        <v/>
      </c>
      <c r="P35" s="29">
        <f>L35*O35</f>
        <v/>
      </c>
      <c r="Q35" s="31" t="n">
        <v>40</v>
      </c>
      <c r="R35" s="32">
        <f>P35/Q35-1</f>
        <v/>
      </c>
    </row>
    <row r="36">
      <c r="A36" s="25" t="inlineStr">
        <is>
          <t>IPAC Nantes</t>
        </is>
      </c>
      <c r="B36" s="26" t="n">
        <v>489</v>
      </c>
      <c r="C36" s="26" t="n">
        <v>516</v>
      </c>
      <c r="D36" s="26" t="n">
        <v>17983</v>
      </c>
      <c r="E36" s="26" t="n">
        <v>19782</v>
      </c>
      <c r="F36" s="26" t="n">
        <v>21760</v>
      </c>
      <c r="G36" s="27">
        <f>LN(C36/B36)/LN(E36/D36)</f>
        <v/>
      </c>
      <c r="H36" s="28">
        <f>C36*(F36/E36)^G36</f>
        <v/>
      </c>
      <c r="I36" s="26" t="n">
        <v>258</v>
      </c>
      <c r="J36" s="26" t="n">
        <v>281</v>
      </c>
      <c r="K36" s="28">
        <f>J36*(J36/I36)</f>
        <v/>
      </c>
      <c r="L36" s="29">
        <f>H36+K36</f>
        <v/>
      </c>
      <c r="M36" s="26" t="n">
        <v>802</v>
      </c>
      <c r="N36" s="26" t="n">
        <v>47</v>
      </c>
      <c r="O36" s="30">
        <f>N36/M36</f>
        <v/>
      </c>
      <c r="P36" s="29">
        <f>L36*O36</f>
        <v/>
      </c>
      <c r="Q36" s="31" t="n">
        <v>50</v>
      </c>
      <c r="R36" s="32">
        <f>P36/Q36-1</f>
        <v/>
      </c>
    </row>
    <row r="37">
      <c r="A37" s="25" t="inlineStr">
        <is>
          <t>IPAC Rennes</t>
        </is>
      </c>
      <c r="B37" s="26" t="n">
        <v>371</v>
      </c>
      <c r="C37" s="26" t="n">
        <v>392</v>
      </c>
      <c r="D37" s="26" t="n">
        <v>12341</v>
      </c>
      <c r="E37" s="26" t="n">
        <v>13575</v>
      </c>
      <c r="F37" s="26" t="n">
        <v>14933</v>
      </c>
      <c r="G37" s="27">
        <f>LN(C37/B37)/LN(E37/D37)</f>
        <v/>
      </c>
      <c r="H37" s="28">
        <f>C37*(F37/E37)^G37</f>
        <v/>
      </c>
      <c r="I37" s="26" t="n">
        <v>223</v>
      </c>
      <c r="J37" s="26" t="n">
        <v>243</v>
      </c>
      <c r="K37" s="28">
        <f>J37*(J37/I37)</f>
        <v/>
      </c>
      <c r="L37" s="29">
        <f>H37+K37</f>
        <v/>
      </c>
      <c r="M37" s="26" t="n">
        <v>642</v>
      </c>
      <c r="N37" s="26" t="n">
        <v>38</v>
      </c>
      <c r="O37" s="30">
        <f>N37/M37</f>
        <v/>
      </c>
      <c r="P37" s="29">
        <f>L37*O37</f>
        <v/>
      </c>
      <c r="Q37" s="31" t="n">
        <v>40</v>
      </c>
      <c r="R37" s="32">
        <f>P37/Q37-1</f>
        <v/>
      </c>
    </row>
    <row r="38">
      <c r="A38" s="25" t="inlineStr">
        <is>
          <t>ISCOM Lille</t>
        </is>
      </c>
      <c r="B38" s="26" t="n">
        <v>571</v>
      </c>
      <c r="C38" s="26" t="n">
        <v>600</v>
      </c>
      <c r="D38" s="26" t="n">
        <v>20843</v>
      </c>
      <c r="E38" s="26" t="n">
        <v>22927</v>
      </c>
      <c r="F38" s="26" t="n">
        <v>25220</v>
      </c>
      <c r="G38" s="27">
        <f>LN(C38/B38)/LN(E38/D38)</f>
        <v/>
      </c>
      <c r="H38" s="28">
        <f>C38*(F38/E38)^G38</f>
        <v/>
      </c>
      <c r="I38" s="26" t="n">
        <v>594</v>
      </c>
      <c r="J38" s="26" t="n">
        <v>612</v>
      </c>
      <c r="K38" s="28">
        <f>J38*(J38/I38)</f>
        <v/>
      </c>
      <c r="L38" s="29">
        <f>H38+K38</f>
        <v/>
      </c>
      <c r="M38" s="26" t="n">
        <v>1190</v>
      </c>
      <c r="N38" s="26" t="n">
        <v>94</v>
      </c>
      <c r="O38" s="30">
        <f>N38/M38</f>
        <v/>
      </c>
      <c r="P38" s="29">
        <f>L38*O38</f>
        <v/>
      </c>
      <c r="Q38" s="31" t="n">
        <v>100</v>
      </c>
      <c r="R38" s="32">
        <f>P38/Q38-1</f>
        <v/>
      </c>
    </row>
    <row r="39">
      <c r="A39" s="25" t="inlineStr">
        <is>
          <t>ISCOM Paris</t>
        </is>
      </c>
      <c r="B39" s="26" t="n">
        <v>1035</v>
      </c>
      <c r="C39" s="26" t="n">
        <v>1080</v>
      </c>
      <c r="D39" s="26" t="n">
        <v>50248</v>
      </c>
      <c r="E39" s="26" t="n">
        <v>55272</v>
      </c>
      <c r="F39" s="26" t="n">
        <v>60800</v>
      </c>
      <c r="G39" s="27">
        <f>LN(C39/B39)/LN(E39/D39)</f>
        <v/>
      </c>
      <c r="H39" s="28">
        <f>C39*(F39/E39)^G39</f>
        <v/>
      </c>
      <c r="I39" s="26" t="n">
        <v>650</v>
      </c>
      <c r="J39" s="26" t="n">
        <v>670</v>
      </c>
      <c r="K39" s="28">
        <f>J39*(J39/I39)</f>
        <v/>
      </c>
      <c r="L39" s="29">
        <f>H39+K39</f>
        <v/>
      </c>
      <c r="M39" s="26" t="n">
        <v>1713</v>
      </c>
      <c r="N39" s="26" t="n">
        <v>136</v>
      </c>
      <c r="O39" s="30">
        <f>N39/M39</f>
        <v/>
      </c>
      <c r="P39" s="29">
        <f>L39*O39</f>
        <v/>
      </c>
      <c r="Q39" s="31" t="n">
        <v>144</v>
      </c>
      <c r="R39" s="32">
        <f>P39/Q39-1</f>
        <v/>
      </c>
    </row>
    <row r="40">
      <c r="A40" s="25" t="inlineStr">
        <is>
          <t>ISCOM Toulouse</t>
        </is>
      </c>
      <c r="B40" s="26" t="n">
        <v>526</v>
      </c>
      <c r="C40" s="26" t="n">
        <v>553</v>
      </c>
      <c r="D40" s="26" t="n">
        <v>18251</v>
      </c>
      <c r="E40" s="26" t="n">
        <v>20076</v>
      </c>
      <c r="F40" s="26" t="n">
        <v>22083</v>
      </c>
      <c r="G40" s="27">
        <f>LN(C40/B40)/LN(E40/D40)</f>
        <v/>
      </c>
      <c r="H40" s="28">
        <f>C40*(F40/E40)^G40</f>
        <v/>
      </c>
      <c r="I40" s="26" t="n">
        <v>570</v>
      </c>
      <c r="J40" s="26" t="n">
        <v>587</v>
      </c>
      <c r="K40" s="28">
        <f>J40*(J40/I40)</f>
        <v/>
      </c>
      <c r="L40" s="29">
        <f>H40+K40</f>
        <v/>
      </c>
      <c r="M40" s="26" t="n">
        <v>1119</v>
      </c>
      <c r="N40" s="26" t="n">
        <v>88</v>
      </c>
      <c r="O40" s="30">
        <f>N40/M40</f>
        <v/>
      </c>
      <c r="P40" s="29">
        <f>L40*O40</f>
        <v/>
      </c>
      <c r="Q40" s="31" t="n">
        <v>94</v>
      </c>
      <c r="R40" s="32">
        <f>P40/Q40-1</f>
        <v/>
      </c>
    </row>
    <row r="41">
      <c r="A41" s="25" t="inlineStr">
        <is>
          <t>MBway Bordeaux</t>
        </is>
      </c>
      <c r="B41" s="26" t="n">
        <v>592</v>
      </c>
      <c r="C41" s="26" t="n">
        <v>623</v>
      </c>
      <c r="D41" s="26" t="n">
        <v>20597</v>
      </c>
      <c r="E41" s="26" t="n">
        <v>22657</v>
      </c>
      <c r="F41" s="26" t="n">
        <v>24923</v>
      </c>
      <c r="G41" s="27">
        <f>LN(C41/B41)/LN(E41/D41)</f>
        <v/>
      </c>
      <c r="H41" s="28">
        <f>C41*(F41/E41)^G41</f>
        <v/>
      </c>
      <c r="I41" s="26" t="n">
        <v>550</v>
      </c>
      <c r="J41" s="26" t="n">
        <v>589</v>
      </c>
      <c r="K41" s="28">
        <f>J41*(J41/I41)</f>
        <v/>
      </c>
      <c r="L41" s="29">
        <f>H41+K41</f>
        <v/>
      </c>
      <c r="M41" s="26" t="n">
        <v>1213</v>
      </c>
      <c r="N41" s="26" t="n">
        <v>96</v>
      </c>
      <c r="O41" s="30">
        <f>N41/M41</f>
        <v/>
      </c>
      <c r="P41" s="29">
        <f>L41*O41</f>
        <v/>
      </c>
      <c r="Q41" s="31" t="n">
        <v>102</v>
      </c>
      <c r="R41" s="32">
        <f>P41/Q41-1</f>
        <v/>
      </c>
    </row>
    <row r="42">
      <c r="A42" s="25" t="inlineStr">
        <is>
          <t>MBway Lyon</t>
        </is>
      </c>
      <c r="B42" s="26" t="n">
        <v>863</v>
      </c>
      <c r="C42" s="26" t="n">
        <v>905</v>
      </c>
      <c r="D42" s="26" t="n">
        <v>34532</v>
      </c>
      <c r="E42" s="26" t="n">
        <v>37985</v>
      </c>
      <c r="F42" s="26" t="n">
        <v>41783</v>
      </c>
      <c r="G42" s="27">
        <f>LN(C42/B42)/LN(E42/D42)</f>
        <v/>
      </c>
      <c r="H42" s="28">
        <f>C42*(F42/E42)^G42</f>
        <v/>
      </c>
      <c r="I42" s="26" t="n">
        <v>626</v>
      </c>
      <c r="J42" s="26" t="n">
        <v>670</v>
      </c>
      <c r="K42" s="28">
        <f>J42*(J42/I42)</f>
        <v/>
      </c>
      <c r="L42" s="29">
        <f>H42+K42</f>
        <v/>
      </c>
      <c r="M42" s="26" t="n">
        <v>1572</v>
      </c>
      <c r="N42" s="26" t="n">
        <v>124</v>
      </c>
      <c r="O42" s="30">
        <f>N42/M42</f>
        <v/>
      </c>
      <c r="P42" s="29">
        <f>L42*O42</f>
        <v/>
      </c>
      <c r="Q42" s="31" t="n">
        <v>132</v>
      </c>
      <c r="R42" s="32">
        <f>P42/Q42-1</f>
        <v/>
      </c>
    </row>
    <row r="43">
      <c r="A43" s="25" t="inlineStr">
        <is>
          <t>MBway Nantes</t>
        </is>
      </c>
      <c r="B43" s="26" t="n">
        <v>713</v>
      </c>
      <c r="C43" s="26" t="n">
        <v>749</v>
      </c>
      <c r="D43" s="26" t="n">
        <v>26060</v>
      </c>
      <c r="E43" s="26" t="n">
        <v>28666</v>
      </c>
      <c r="F43" s="26" t="n">
        <v>31533</v>
      </c>
      <c r="G43" s="27">
        <f>LN(C43/B43)/LN(E43/D43)</f>
        <v/>
      </c>
      <c r="H43" s="28">
        <f>C43*(F43/E43)^G43</f>
        <v/>
      </c>
      <c r="I43" s="26" t="n">
        <v>636</v>
      </c>
      <c r="J43" s="26" t="n">
        <v>680</v>
      </c>
      <c r="K43" s="28">
        <f>J43*(J43/I43)</f>
        <v/>
      </c>
      <c r="L43" s="29">
        <f>H43+K43</f>
        <v/>
      </c>
      <c r="M43" s="26" t="n">
        <v>1430</v>
      </c>
      <c r="N43" s="26" t="n">
        <v>114</v>
      </c>
      <c r="O43" s="30">
        <f>N43/M43</f>
        <v/>
      </c>
      <c r="P43" s="29">
        <f>L43*O43</f>
        <v/>
      </c>
      <c r="Q43" s="31" t="n">
        <v>120</v>
      </c>
      <c r="R43" s="32">
        <f>P43/Q43-1</f>
        <v/>
      </c>
    </row>
    <row r="44">
      <c r="A44" s="25" t="inlineStr">
        <is>
          <t>MBway Paris</t>
        </is>
      </c>
      <c r="B44" s="26" t="n">
        <v>1158</v>
      </c>
      <c r="C44" s="26" t="n">
        <v>1210</v>
      </c>
      <c r="D44" s="26" t="n">
        <v>56438</v>
      </c>
      <c r="E44" s="26" t="n">
        <v>62082</v>
      </c>
      <c r="F44" s="26" t="n">
        <v>68291</v>
      </c>
      <c r="G44" s="27">
        <f>LN(C44/B44)/LN(E44/D44)</f>
        <v/>
      </c>
      <c r="H44" s="28">
        <f>C44*(F44/E44)^G44</f>
        <v/>
      </c>
      <c r="I44" s="26" t="n">
        <v>621</v>
      </c>
      <c r="J44" s="26" t="n">
        <v>665</v>
      </c>
      <c r="K44" s="28">
        <f>J44*(J44/I44)</f>
        <v/>
      </c>
      <c r="L44" s="29">
        <f>H44+K44</f>
        <v/>
      </c>
      <c r="M44" s="26" t="n">
        <v>1864</v>
      </c>
      <c r="N44" s="26" t="n">
        <v>148</v>
      </c>
      <c r="O44" s="30">
        <f>N44/M44</f>
        <v/>
      </c>
      <c r="P44" s="29">
        <f>L44*O44</f>
        <v/>
      </c>
      <c r="Q44" s="31" t="n">
        <v>156</v>
      </c>
      <c r="R44" s="32">
        <f>P44/Q44-1</f>
        <v/>
      </c>
    </row>
    <row r="45">
      <c r="A45" s="25" t="inlineStr">
        <is>
          <t>Pigier Bordeaux</t>
        </is>
      </c>
      <c r="B45" s="26" t="n">
        <v>528</v>
      </c>
      <c r="C45" s="26" t="n">
        <v>552</v>
      </c>
      <c r="D45" s="26" t="n">
        <v>18155</v>
      </c>
      <c r="E45" s="26" t="n">
        <v>19971</v>
      </c>
      <c r="F45" s="26" t="n">
        <v>21968</v>
      </c>
      <c r="G45" s="27">
        <f>LN(C45/B45)/LN(E45/D45)</f>
        <v/>
      </c>
      <c r="H45" s="28">
        <f>C45*(F45/E45)^G45</f>
        <v/>
      </c>
      <c r="I45" s="26" t="n">
        <v>603</v>
      </c>
      <c r="J45" s="26" t="n">
        <v>627</v>
      </c>
      <c r="K45" s="28">
        <f>J45*(J45/I45)</f>
        <v/>
      </c>
      <c r="L45" s="29">
        <f>H45+K45</f>
        <v/>
      </c>
      <c r="M45" s="26" t="n">
        <v>1160</v>
      </c>
      <c r="N45" s="26" t="n">
        <v>68</v>
      </c>
      <c r="O45" s="30">
        <f>N45/M45</f>
        <v/>
      </c>
      <c r="P45" s="29">
        <f>L45*O45</f>
        <v/>
      </c>
      <c r="Q45" s="31" t="n">
        <v>72</v>
      </c>
      <c r="R45" s="32">
        <f>P45/Q45-1</f>
        <v/>
      </c>
    </row>
    <row r="46">
      <c r="A46" s="25" t="inlineStr">
        <is>
          <t>Pigier Lyon</t>
        </is>
      </c>
      <c r="B46" s="26" t="n">
        <v>765</v>
      </c>
      <c r="C46" s="26" t="n">
        <v>798</v>
      </c>
      <c r="D46" s="26" t="n">
        <v>30258</v>
      </c>
      <c r="E46" s="26" t="n">
        <v>33284</v>
      </c>
      <c r="F46" s="26" t="n">
        <v>36612</v>
      </c>
      <c r="G46" s="27">
        <f>LN(C46/B46)/LN(E46/D46)</f>
        <v/>
      </c>
      <c r="H46" s="28">
        <f>C46*(F46/E46)^G46</f>
        <v/>
      </c>
      <c r="I46" s="26" t="n">
        <v>682</v>
      </c>
      <c r="J46" s="26" t="n">
        <v>710</v>
      </c>
      <c r="K46" s="28">
        <f>J46*(J46/I46)</f>
        <v/>
      </c>
      <c r="L46" s="29">
        <f>H46+K46</f>
        <v/>
      </c>
      <c r="M46" s="26" t="n">
        <v>1482</v>
      </c>
      <c r="N46" s="26" t="n">
        <v>86</v>
      </c>
      <c r="O46" s="30">
        <f>N46/M46</f>
        <v/>
      </c>
      <c r="P46" s="29">
        <f>L46*O46</f>
        <v/>
      </c>
      <c r="Q46" s="31" t="n">
        <v>92</v>
      </c>
      <c r="R46" s="32">
        <f>P46/Q46-1</f>
        <v/>
      </c>
    </row>
    <row r="47">
      <c r="A47" s="25" t="inlineStr">
        <is>
          <t>Tunon Lyon</t>
        </is>
      </c>
      <c r="B47" s="26" t="n">
        <v>392</v>
      </c>
      <c r="C47" s="26" t="n">
        <v>410</v>
      </c>
      <c r="D47" s="26" t="n">
        <v>15578</v>
      </c>
      <c r="E47" s="26" t="n">
        <v>17136</v>
      </c>
      <c r="F47" s="26" t="n">
        <v>18850</v>
      </c>
      <c r="G47" s="27">
        <f>LN(C47/B47)/LN(E47/D47)</f>
        <v/>
      </c>
      <c r="H47" s="28">
        <f>C47*(F47/E47)^G47</f>
        <v/>
      </c>
      <c r="I47" s="26" t="n">
        <v>242</v>
      </c>
      <c r="J47" s="26" t="n">
        <v>247</v>
      </c>
      <c r="K47" s="28">
        <f>J47*(J47/I47)</f>
        <v/>
      </c>
      <c r="L47" s="29">
        <f>H47+K47</f>
        <v/>
      </c>
      <c r="M47" s="26" t="n">
        <v>642</v>
      </c>
      <c r="N47" s="26" t="n">
        <v>38</v>
      </c>
      <c r="O47" s="30">
        <f>N47/M47</f>
        <v/>
      </c>
      <c r="P47" s="29">
        <f>L47*O47</f>
        <v/>
      </c>
      <c r="Q47" s="31" t="n">
        <v>40</v>
      </c>
      <c r="R47" s="32">
        <f>P47/Q47-1</f>
        <v/>
      </c>
    </row>
    <row r="48">
      <c r="A48" s="25" t="inlineStr">
        <is>
          <t>Tunon Paris</t>
        </is>
      </c>
      <c r="B48" s="26" t="n">
        <v>517</v>
      </c>
      <c r="C48" s="26" t="n">
        <v>538</v>
      </c>
      <c r="D48" s="26" t="n">
        <v>24992</v>
      </c>
      <c r="E48" s="26" t="n">
        <v>27491</v>
      </c>
      <c r="F48" s="26" t="n">
        <v>30240</v>
      </c>
      <c r="G48" s="27">
        <f>LN(C48/B48)/LN(E48/D48)</f>
        <v/>
      </c>
      <c r="H48" s="28">
        <f>C48*(F48/E48)^G48</f>
        <v/>
      </c>
      <c r="I48" s="26" t="n">
        <v>231</v>
      </c>
      <c r="J48" s="26" t="n">
        <v>235</v>
      </c>
      <c r="K48" s="28">
        <f>J48*(J48/I48)</f>
        <v/>
      </c>
      <c r="L48" s="29">
        <f>H48+K48</f>
        <v/>
      </c>
      <c r="M48" s="26" t="n">
        <v>755</v>
      </c>
      <c r="N48" s="26" t="n">
        <v>44</v>
      </c>
      <c r="O48" s="30">
        <f>N48/M48</f>
        <v/>
      </c>
      <c r="P48" s="29">
        <f>L48*O48</f>
        <v/>
      </c>
      <c r="Q48" s="31" t="n">
        <v>47</v>
      </c>
      <c r="R48" s="32">
        <f>P48/Q48-1</f>
        <v/>
      </c>
    </row>
    <row r="49">
      <c r="A49" s="20" t="inlineStr">
        <is>
          <t>GROUPE</t>
        </is>
      </c>
      <c r="B49" s="21" t="n"/>
      <c r="C49" s="21" t="n"/>
      <c r="D49" s="21" t="n"/>
      <c r="E49" s="21" t="n"/>
      <c r="F49" s="21" t="n"/>
      <c r="G49" s="21" t="n"/>
      <c r="H49" s="21" t="n"/>
      <c r="I49" s="21" t="n"/>
      <c r="J49" s="21" t="n"/>
      <c r="K49" s="21" t="n"/>
      <c r="L49" s="22">
        <f>SUM(L35:L48)</f>
        <v/>
      </c>
      <c r="M49" s="21" t="n"/>
      <c r="N49" s="21" t="n"/>
      <c r="O49" s="21" t="n"/>
      <c r="P49" s="22">
        <f>SUM(P35:P48)</f>
        <v/>
      </c>
      <c r="Q49" s="22">
        <f>SUM(Q35:Q48)</f>
        <v/>
      </c>
      <c r="R49" s="33">
        <f>P49/Q49-1</f>
        <v/>
      </c>
    </row>
    <row r="50">
      <c r="A50" s="34" t="inlineStr">
        <is>
          <t>Tout est prédit à partir de ≤2025 : le moteur retrouve les inscrits 2026 qu'il n'a jamais vus. (Données de démo → très serré ; en réel, quelques %.)</t>
        </is>
      </c>
    </row>
    <row r="52">
      <c r="A52" s="9" t="inlineStr">
        <is>
          <t>③  L'effet d'un +Δ% d'acquisition — la décision, par marque</t>
        </is>
      </c>
    </row>
    <row r="53">
      <c r="A53" s="24" t="inlineStr">
        <is>
          <t>Même Δ que là-haut. On va jusqu'à l'EBITDA et au CAC marginal : la marque au CAC marginal le plus BAS mérite l'euro suivant (→ le cap).</t>
        </is>
      </c>
    </row>
    <row r="55">
      <c r="A55" s="11" t="inlineStr">
        <is>
          <t>Marque</t>
        </is>
      </c>
      <c r="B55" s="12" t="inlineStr">
        <is>
          <t>L.pay24</t>
        </is>
      </c>
      <c r="C55" s="12" t="inlineStr">
        <is>
          <t>L.pay26</t>
        </is>
      </c>
      <c r="D55" s="12" t="inlineStr">
        <is>
          <t>Bud.24</t>
        </is>
      </c>
      <c r="E55" s="12" t="inlineStr">
        <is>
          <t>Bud.26</t>
        </is>
      </c>
      <c r="F55" s="12" t="inlineStr">
        <is>
          <t>Élasticité</t>
        </is>
      </c>
      <c r="G55" s="12" t="inlineStr">
        <is>
          <t>Leads 2026</t>
        </is>
      </c>
      <c r="H55" s="12" t="inlineStr">
        <is>
          <t>Inscrits 2026</t>
        </is>
      </c>
      <c r="I55" s="12" t="inlineStr">
        <is>
          <t>Conv.</t>
        </is>
      </c>
      <c r="J55" s="12" t="inlineStr">
        <is>
          <t>Δ budget</t>
        </is>
      </c>
      <c r="K55" s="12" t="inlineStr">
        <is>
          <t>Inscrits gagnés</t>
        </is>
      </c>
      <c r="L55" s="12" t="inlineStr">
        <is>
          <t>CA gagné</t>
        </is>
      </c>
      <c r="M55" s="12" t="inlineStr">
        <is>
          <t>EBITDA gagné</t>
        </is>
      </c>
      <c r="N55" s="12" t="inlineStr">
        <is>
          <t>CAC marg.</t>
        </is>
      </c>
    </row>
    <row r="56">
      <c r="A56" s="35" t="inlineStr">
        <is>
          <t>MBway</t>
        </is>
      </c>
      <c r="B56" s="14" t="n">
        <v>3326</v>
      </c>
      <c r="C56" s="14" t="n">
        <v>3659</v>
      </c>
      <c r="D56" s="14" t="n">
        <v>137627</v>
      </c>
      <c r="E56" s="14" t="n">
        <v>166530</v>
      </c>
      <c r="F56" s="16">
        <f>LN(C56/B56)/LN(E56/D56)</f>
        <v/>
      </c>
      <c r="G56" s="14" t="n">
        <v>6444</v>
      </c>
      <c r="H56" s="14" t="n">
        <v>510</v>
      </c>
      <c r="I56" s="17">
        <f>H56/G56</f>
        <v/>
      </c>
      <c r="J56" s="36">
        <f>E56*$B$6</f>
        <v/>
      </c>
      <c r="K56" s="18">
        <f>C56*((1+$B$6)^F56-1)*I56</f>
        <v/>
      </c>
      <c r="L56" s="37">
        <f>K56*$B$7</f>
        <v/>
      </c>
      <c r="M56" s="38">
        <f>L56-J56-K56*$B$8</f>
        <v/>
      </c>
      <c r="N56" s="39">
        <f>J56/K56</f>
        <v/>
      </c>
    </row>
    <row r="57">
      <c r="A57" s="35" t="inlineStr">
        <is>
          <t>Iscom</t>
        </is>
      </c>
      <c r="B57" s="14" t="n">
        <v>2132</v>
      </c>
      <c r="C57" s="14" t="n">
        <v>2337</v>
      </c>
      <c r="D57" s="14" t="n">
        <v>89342</v>
      </c>
      <c r="E57" s="14" t="n">
        <v>108103</v>
      </c>
      <c r="F57" s="16">
        <f>LN(C57/B57)/LN(E57/D57)</f>
        <v/>
      </c>
      <c r="G57" s="14" t="n">
        <v>4263</v>
      </c>
      <c r="H57" s="14" t="n">
        <v>338</v>
      </c>
      <c r="I57" s="17">
        <f>H57/G57</f>
        <v/>
      </c>
      <c r="J57" s="36">
        <f>E57*$B$6</f>
        <v/>
      </c>
      <c r="K57" s="18">
        <f>C57*((1+$B$6)^F57-1)*I57</f>
        <v/>
      </c>
      <c r="L57" s="37">
        <f>K57*$B$7</f>
        <v/>
      </c>
      <c r="M57" s="38">
        <f>L57-J57-K57*$B$8</f>
        <v/>
      </c>
      <c r="N57" s="39">
        <f>J57/K57</f>
        <v/>
      </c>
    </row>
    <row r="58">
      <c r="A58" s="35" t="inlineStr">
        <is>
          <t>Ipac</t>
        </is>
      </c>
      <c r="B58" s="14" t="n">
        <v>1237</v>
      </c>
      <c r="C58" s="14" t="n">
        <v>1381</v>
      </c>
      <c r="D58" s="14" t="n">
        <v>42867</v>
      </c>
      <c r="E58" s="14" t="n">
        <v>51871</v>
      </c>
      <c r="F58" s="16">
        <f>LN(C58/B58)/LN(E58/D58)</f>
        <v/>
      </c>
      <c r="G58" s="14" t="n">
        <v>2210</v>
      </c>
      <c r="H58" s="14" t="n">
        <v>130</v>
      </c>
      <c r="I58" s="17">
        <f>H58/G58</f>
        <v/>
      </c>
      <c r="J58" s="36">
        <f>E58*$B$6</f>
        <v/>
      </c>
      <c r="K58" s="18">
        <f>C58*((1+$B$6)^F58-1)*I58</f>
        <v/>
      </c>
      <c r="L58" s="37">
        <f>K58*$B$7</f>
        <v/>
      </c>
      <c r="M58" s="38">
        <f>L58-J58-K58*$B$8</f>
        <v/>
      </c>
      <c r="N58" s="39">
        <f>J58/K58</f>
        <v/>
      </c>
    </row>
    <row r="59">
      <c r="A59" s="35" t="inlineStr">
        <is>
          <t>Pigier</t>
        </is>
      </c>
      <c r="B59" s="14" t="n">
        <v>1293</v>
      </c>
      <c r="C59" s="14" t="n">
        <v>1410</v>
      </c>
      <c r="D59" s="14" t="n">
        <v>48413</v>
      </c>
      <c r="E59" s="14" t="n">
        <v>58580</v>
      </c>
      <c r="F59" s="16">
        <f>LN(C59/B59)/LN(E59/D59)</f>
        <v/>
      </c>
      <c r="G59" s="14" t="n">
        <v>2800</v>
      </c>
      <c r="H59" s="14" t="n">
        <v>164</v>
      </c>
      <c r="I59" s="17">
        <f>H59/G59</f>
        <v/>
      </c>
      <c r="J59" s="36">
        <f>E59*$B$6</f>
        <v/>
      </c>
      <c r="K59" s="18">
        <f>C59*((1+$B$6)^F59-1)*I59</f>
        <v/>
      </c>
      <c r="L59" s="37">
        <f>K59*$B$7</f>
        <v/>
      </c>
      <c r="M59" s="38">
        <f>L59-J59-K59*$B$8</f>
        <v/>
      </c>
      <c r="N59" s="39">
        <f>J59/K59</f>
        <v/>
      </c>
    </row>
    <row r="60">
      <c r="A60" s="35" t="inlineStr">
        <is>
          <t>Tunon</t>
        </is>
      </c>
      <c r="B60" s="14" t="n">
        <v>909</v>
      </c>
      <c r="C60" s="14" t="n">
        <v>988</v>
      </c>
      <c r="D60" s="14" t="n">
        <v>40570</v>
      </c>
      <c r="E60" s="14" t="n">
        <v>49090</v>
      </c>
      <c r="F60" s="16">
        <f>LN(C60/B60)/LN(E60/D60)</f>
        <v/>
      </c>
      <c r="G60" s="14" t="n">
        <v>1480</v>
      </c>
      <c r="H60" s="14" t="n">
        <v>87</v>
      </c>
      <c r="I60" s="17">
        <f>H60/G60</f>
        <v/>
      </c>
      <c r="J60" s="36">
        <f>E60*$B$6</f>
        <v/>
      </c>
      <c r="K60" s="18">
        <f>C60*((1+$B$6)^F60-1)*I60</f>
        <v/>
      </c>
      <c r="L60" s="37">
        <f>K60*$B$7</f>
        <v/>
      </c>
      <c r="M60" s="38">
        <f>L60-J60-K60*$B$8</f>
        <v/>
      </c>
      <c r="N60" s="39">
        <f>J60/K60</f>
        <v/>
      </c>
    </row>
    <row r="61">
      <c r="A61" s="40" t="inlineStr">
        <is>
          <t>GROUPE</t>
        </is>
      </c>
      <c r="B61" s="21" t="n"/>
      <c r="C61" s="21" t="n"/>
      <c r="D61" s="21" t="n"/>
      <c r="E61" s="21" t="n"/>
      <c r="F61" s="21" t="n"/>
      <c r="G61" s="21" t="n"/>
      <c r="H61" s="21" t="n"/>
      <c r="I61" s="21" t="n"/>
      <c r="J61" s="41">
        <f>SUM(J56:J60)</f>
        <v/>
      </c>
      <c r="K61" s="42">
        <f>SUM(K56:K60)</f>
        <v/>
      </c>
      <c r="L61" s="41">
        <f>SUM(L56:L60)</f>
        <v/>
      </c>
      <c r="M61" s="41">
        <f>SUM(M56:M60)</f>
        <v/>
      </c>
      <c r="N61" s="43">
        <f>J61/K61</f>
        <v/>
      </c>
    </row>
    <row r="63">
      <c r="A63" s="44" t="inlineStr">
        <is>
          <t>Le CAC marginal diverge d'une marque à l'autre → c'est ce qui ouvre l'arbitrage du cap (réallouer vers les CAC marginaux les plus bas).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9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EDUSERVICES · budget 2027 · le moteur, à nu</t>
        </is>
      </c>
    </row>
    <row r="2">
      <c r="A2" s="2" t="inlineStr">
        <is>
          <t>Le budget de marque → les leads organiques</t>
        </is>
      </c>
    </row>
    <row r="3">
      <c r="A3" s="3" t="inlineStr">
        <is>
          <t>Même méthode que l'acquisition, autre levier : le budget de marque nourrit les leads ORGANIQUES (bouche-à-oreille, notoriété), avec sa propre élasticité — plus basse, car l'effet est plus diffus.</t>
        </is>
      </c>
    </row>
    <row r="5">
      <c r="A5" s="4" t="inlineStr">
        <is>
          <t>PARAMÈTRE</t>
        </is>
      </c>
    </row>
    <row r="6">
      <c r="A6" s="5" t="inlineStr">
        <is>
          <t>Δ budget de marque (le geste testé)</t>
        </is>
      </c>
      <c r="B6" s="6" t="n">
        <v>0.1</v>
      </c>
      <c r="C6" s="7" t="inlineStr">
        <is>
          <t>organique = jeu plus lent, effet plus faible</t>
        </is>
      </c>
    </row>
    <row r="8">
      <c r="A8" s="9" t="inlineStr">
        <is>
          <t>①  L'élasticité de marque — et ce qu'un +Δ% de budget de marque rapporte en leads</t>
        </is>
      </c>
    </row>
    <row r="9">
      <c r="A9" s="10" t="inlineStr">
        <is>
          <t>Élasticité marque = LN(organiques 2026 ÷ organiques 2024) ÷ LN(budget marque 2026 ÷ budget marque 2024)</t>
        </is>
      </c>
    </row>
    <row r="11">
      <c r="A11" s="11" t="inlineStr">
        <is>
          <t>Campus</t>
        </is>
      </c>
      <c r="B11" s="12" t="inlineStr">
        <is>
          <t>Bud. marque 24</t>
        </is>
      </c>
      <c r="C11" s="12" t="inlineStr">
        <is>
          <t>Bud. marque 26</t>
        </is>
      </c>
      <c r="D11" s="12" t="inlineStr">
        <is>
          <t>Organiques 24</t>
        </is>
      </c>
      <c r="E11" s="12" t="inlineStr">
        <is>
          <t>Organiques 26</t>
        </is>
      </c>
      <c r="F11" s="12" t="inlineStr">
        <is>
          <t>Élasticité marque</t>
        </is>
      </c>
      <c r="G11" s="12" t="inlineStr">
        <is>
          <t>Org. gagnés (+Δ)</t>
        </is>
      </c>
    </row>
    <row r="12">
      <c r="A12" s="13" t="inlineStr">
        <is>
          <t>IPAC Montpellier</t>
        </is>
      </c>
      <c r="B12" s="15" t="n">
        <v>13581</v>
      </c>
      <c r="C12" s="15" t="n">
        <v>23514</v>
      </c>
      <c r="D12" s="14" t="n">
        <v>217</v>
      </c>
      <c r="E12" s="14" t="n">
        <v>258</v>
      </c>
      <c r="F12" s="16">
        <f>LN(E12/D12)/LN(C12/B12)</f>
        <v/>
      </c>
      <c r="G12" s="18">
        <f>E12*((1+$B$6)^F12-1)</f>
        <v/>
      </c>
    </row>
    <row r="13">
      <c r="A13" s="13" t="inlineStr">
        <is>
          <t>IPAC Nantes</t>
        </is>
      </c>
      <c r="B13" s="15" t="n">
        <v>15937</v>
      </c>
      <c r="C13" s="15" t="n">
        <v>27889</v>
      </c>
      <c r="D13" s="14" t="n">
        <v>258</v>
      </c>
      <c r="E13" s="14" t="n">
        <v>306</v>
      </c>
      <c r="F13" s="16">
        <f>LN(E13/D13)/LN(C13/B13)</f>
        <v/>
      </c>
      <c r="G13" s="18">
        <f>E13*((1+$B$6)^F13-1)</f>
        <v/>
      </c>
    </row>
    <row r="14">
      <c r="A14" s="13" t="inlineStr">
        <is>
          <t>IPAC Rennes</t>
        </is>
      </c>
      <c r="B14" s="15" t="n">
        <v>14022</v>
      </c>
      <c r="C14" s="15" t="n">
        <v>24152</v>
      </c>
      <c r="D14" s="14" t="n">
        <v>223</v>
      </c>
      <c r="E14" s="14" t="n">
        <v>265</v>
      </c>
      <c r="F14" s="16">
        <f>LN(E14/D14)/LN(C14/B14)</f>
        <v/>
      </c>
      <c r="G14" s="18">
        <f>E14*((1+$B$6)^F14-1)</f>
        <v/>
      </c>
    </row>
    <row r="15">
      <c r="A15" s="13" t="inlineStr">
        <is>
          <t>ISCOM Lille</t>
        </is>
      </c>
      <c r="B15" s="15" t="n">
        <v>48495</v>
      </c>
      <c r="C15" s="15" t="n">
        <v>57418</v>
      </c>
      <c r="D15" s="14" t="n">
        <v>594</v>
      </c>
      <c r="E15" s="14" t="n">
        <v>630</v>
      </c>
      <c r="F15" s="16">
        <f>LN(E15/D15)/LN(C15/B15)</f>
        <v/>
      </c>
      <c r="G15" s="18">
        <f>E15*((1+$B$6)^F15-1)</f>
        <v/>
      </c>
    </row>
    <row r="16">
      <c r="A16" s="13" t="inlineStr">
        <is>
          <t>ISCOM Paris</t>
        </is>
      </c>
      <c r="B16" s="15" t="n">
        <v>52094</v>
      </c>
      <c r="C16" s="15" t="n">
        <v>62886</v>
      </c>
      <c r="D16" s="14" t="n">
        <v>650</v>
      </c>
      <c r="E16" s="14" t="n">
        <v>690</v>
      </c>
      <c r="F16" s="16">
        <f>LN(E16/D16)/LN(C16/B16)</f>
        <v/>
      </c>
      <c r="G16" s="18">
        <f>E16*((1+$B$6)^F16-1)</f>
        <v/>
      </c>
    </row>
    <row r="17">
      <c r="A17" s="13" t="inlineStr">
        <is>
          <t>ISCOM Toulouse</t>
        </is>
      </c>
      <c r="B17" s="15" t="n">
        <v>46637</v>
      </c>
      <c r="C17" s="15" t="n">
        <v>55139</v>
      </c>
      <c r="D17" s="14" t="n">
        <v>570</v>
      </c>
      <c r="E17" s="14" t="n">
        <v>605</v>
      </c>
      <c r="F17" s="16">
        <f>LN(E17/D17)/LN(C17/B17)</f>
        <v/>
      </c>
      <c r="G17" s="18">
        <f>E17*((1+$B$6)^F17-1)</f>
        <v/>
      </c>
    </row>
    <row r="18">
      <c r="A18" s="13" t="inlineStr">
        <is>
          <t>MBway Bordeaux</t>
        </is>
      </c>
      <c r="B18" s="15" t="n">
        <v>38877</v>
      </c>
      <c r="C18" s="15" t="n">
        <v>57418</v>
      </c>
      <c r="D18" s="14" t="n">
        <v>550</v>
      </c>
      <c r="E18" s="14" t="n">
        <v>630</v>
      </c>
      <c r="F18" s="16">
        <f>LN(E18/D18)/LN(C18/B18)</f>
        <v/>
      </c>
      <c r="G18" s="18">
        <f>E18*((1+$B$6)^F18-1)</f>
        <v/>
      </c>
    </row>
    <row r="19">
      <c r="A19" s="13" t="inlineStr">
        <is>
          <t>MBway Lyon</t>
        </is>
      </c>
      <c r="B19" s="15" t="n">
        <v>43250</v>
      </c>
      <c r="C19" s="15" t="n">
        <v>65255</v>
      </c>
      <c r="D19" s="14" t="n">
        <v>626</v>
      </c>
      <c r="E19" s="14" t="n">
        <v>716</v>
      </c>
      <c r="F19" s="16">
        <f>LN(E19/D19)/LN(C19/B19)</f>
        <v/>
      </c>
      <c r="G19" s="18">
        <f>E19*((1+$B$6)^F19-1)</f>
        <v/>
      </c>
    </row>
    <row r="20">
      <c r="A20" s="13" t="inlineStr">
        <is>
          <t>MBway Nantes</t>
        </is>
      </c>
      <c r="B20" s="15" t="n">
        <v>44771</v>
      </c>
      <c r="C20" s="15" t="n">
        <v>66349</v>
      </c>
      <c r="D20" s="14" t="n">
        <v>636</v>
      </c>
      <c r="E20" s="14" t="n">
        <v>728</v>
      </c>
      <c r="F20" s="16">
        <f>LN(E20/D20)/LN(C20/B20)</f>
        <v/>
      </c>
      <c r="G20" s="18">
        <f>E20*((1+$B$6)^F20-1)</f>
        <v/>
      </c>
    </row>
    <row r="21">
      <c r="A21" s="13" t="inlineStr">
        <is>
          <t>MBway Paris</t>
        </is>
      </c>
      <c r="B21" s="15" t="n">
        <v>41761</v>
      </c>
      <c r="C21" s="15" t="n">
        <v>64800</v>
      </c>
      <c r="D21" s="14" t="n">
        <v>621</v>
      </c>
      <c r="E21" s="14" t="n">
        <v>711</v>
      </c>
      <c r="F21" s="16">
        <f>LN(E21/D21)/LN(C21/B21)</f>
        <v/>
      </c>
      <c r="G21" s="18">
        <f>E21*((1+$B$6)^F21-1)</f>
        <v/>
      </c>
    </row>
    <row r="22">
      <c r="A22" s="13" t="inlineStr">
        <is>
          <t>Pigier Bordeaux</t>
        </is>
      </c>
      <c r="B22" s="15" t="n">
        <v>47760</v>
      </c>
      <c r="C22" s="15" t="n">
        <v>59423</v>
      </c>
      <c r="D22" s="14" t="n">
        <v>603</v>
      </c>
      <c r="E22" s="14" t="n">
        <v>652</v>
      </c>
      <c r="F22" s="16">
        <f>LN(E22/D22)/LN(C22/B22)</f>
        <v/>
      </c>
      <c r="G22" s="18">
        <f>E22*((1+$B$6)^F22-1)</f>
        <v/>
      </c>
    </row>
    <row r="23">
      <c r="A23" s="13" t="inlineStr">
        <is>
          <t>Pigier Lyon</t>
        </is>
      </c>
      <c r="B23" s="15" t="n">
        <v>53439</v>
      </c>
      <c r="C23" s="15" t="n">
        <v>67261</v>
      </c>
      <c r="D23" s="14" t="n">
        <v>682</v>
      </c>
      <c r="E23" s="14" t="n">
        <v>738</v>
      </c>
      <c r="F23" s="16">
        <f>LN(E23/D23)/LN(C23/B23)</f>
        <v/>
      </c>
      <c r="G23" s="18">
        <f>E23*((1+$B$6)^F23-1)</f>
        <v/>
      </c>
    </row>
    <row r="24">
      <c r="A24" s="13" t="inlineStr">
        <is>
          <t>Tunon Lyon</t>
        </is>
      </c>
      <c r="B24" s="15" t="n">
        <v>20221</v>
      </c>
      <c r="C24" s="15" t="n">
        <v>22967</v>
      </c>
      <c r="D24" s="14" t="n">
        <v>242</v>
      </c>
      <c r="E24" s="14" t="n">
        <v>252</v>
      </c>
      <c r="F24" s="16">
        <f>LN(E24/D24)/LN(C24/B24)</f>
        <v/>
      </c>
      <c r="G24" s="18">
        <f>E24*((1+$B$6)^F24-1)</f>
        <v/>
      </c>
    </row>
    <row r="25">
      <c r="A25" s="13" t="inlineStr">
        <is>
          <t>Tunon Paris</t>
        </is>
      </c>
      <c r="B25" s="15" t="n">
        <v>19081</v>
      </c>
      <c r="C25" s="15" t="n">
        <v>21873</v>
      </c>
      <c r="D25" s="14" t="n">
        <v>231</v>
      </c>
      <c r="E25" s="14" t="n">
        <v>240</v>
      </c>
      <c r="F25" s="16">
        <f>LN(E25/D25)/LN(C25/B25)</f>
        <v/>
      </c>
      <c r="G25" s="18">
        <f>E25*((1+$B$6)^F25-1)</f>
        <v/>
      </c>
    </row>
    <row r="26">
      <c r="A26" s="20" t="inlineStr">
        <is>
          <t>GROUPE</t>
        </is>
      </c>
      <c r="B26" s="21" t="n"/>
      <c r="C26" s="21" t="n"/>
      <c r="D26" s="21" t="n"/>
      <c r="E26" s="21" t="n"/>
      <c r="F26" s="21" t="n"/>
      <c r="G26" s="22">
        <f>SUM(G12:G25)</f>
        <v/>
      </c>
    </row>
    <row r="27">
      <c r="A27" s="7" t="inlineStr">
        <is>
          <t>Élasticité ~0,3 (vs ~0,5 pour l'acquisition) : le budget de marque agit, mais moins directement.</t>
        </is>
      </c>
    </row>
    <row r="29">
      <c r="A29" s="9" t="inlineStr">
        <is>
          <t>②  La preuve — back-test organique (calibré 24→25, prédit 26)</t>
        </is>
      </c>
    </row>
    <row r="30">
      <c r="A30" s="24" t="inlineStr">
        <is>
          <t>organiques 2026 prédits = organiques 2025 × (budget marque 2026 ÷ budget marque 2025) ^ élasticité(24→25)</t>
        </is>
      </c>
    </row>
    <row r="32">
      <c r="A32" s="11" t="inlineStr">
        <is>
          <t>Campus</t>
        </is>
      </c>
      <c r="B32" s="12" t="inlineStr">
        <is>
          <t>Org.24</t>
        </is>
      </c>
      <c r="C32" s="12" t="inlineStr">
        <is>
          <t>Org.25</t>
        </is>
      </c>
      <c r="D32" s="12" t="inlineStr">
        <is>
          <t>Bud.mq 24</t>
        </is>
      </c>
      <c r="E32" s="12" t="inlineStr">
        <is>
          <t>Bud.mq 25</t>
        </is>
      </c>
      <c r="F32" s="12" t="inlineStr">
        <is>
          <t>Bud.mq 26</t>
        </is>
      </c>
      <c r="G32" s="12" t="inlineStr">
        <is>
          <t>Élast 24→25</t>
        </is>
      </c>
      <c r="H32" s="12" t="inlineStr">
        <is>
          <t>Org.26 prédit</t>
        </is>
      </c>
      <c r="I32" s="12" t="inlineStr">
        <is>
          <t>Org.26 réel</t>
        </is>
      </c>
      <c r="J32" s="12" t="inlineStr">
        <is>
          <t>Écart</t>
        </is>
      </c>
    </row>
    <row r="33">
      <c r="A33" s="13" t="inlineStr">
        <is>
          <t>IPAC Montpellier</t>
        </is>
      </c>
      <c r="B33" s="14" t="n">
        <v>217</v>
      </c>
      <c r="C33" s="14" t="n">
        <v>237</v>
      </c>
      <c r="D33" s="14" t="n">
        <v>13581</v>
      </c>
      <c r="E33" s="14" t="n">
        <v>17870</v>
      </c>
      <c r="F33" s="14" t="n">
        <v>23514</v>
      </c>
      <c r="G33" s="45">
        <f>LN(C33/B33)/LN(E33/D33)</f>
        <v/>
      </c>
      <c r="H33" s="46">
        <f>C33*(F33/E33)^G33</f>
        <v/>
      </c>
      <c r="I33" s="18" t="n">
        <v>258</v>
      </c>
      <c r="J33" s="47">
        <f>H33/I33-1</f>
        <v/>
      </c>
    </row>
    <row r="34">
      <c r="A34" s="13" t="inlineStr">
        <is>
          <t>IPAC Nantes</t>
        </is>
      </c>
      <c r="B34" s="14" t="n">
        <v>258</v>
      </c>
      <c r="C34" s="14" t="n">
        <v>281</v>
      </c>
      <c r="D34" s="14" t="n">
        <v>15937</v>
      </c>
      <c r="E34" s="14" t="n">
        <v>21082</v>
      </c>
      <c r="F34" s="14" t="n">
        <v>27889</v>
      </c>
      <c r="G34" s="45">
        <f>LN(C34/B34)/LN(E34/D34)</f>
        <v/>
      </c>
      <c r="H34" s="46">
        <f>C34*(F34/E34)^G34</f>
        <v/>
      </c>
      <c r="I34" s="18" t="n">
        <v>306</v>
      </c>
      <c r="J34" s="47">
        <f>H34/I34-1</f>
        <v/>
      </c>
    </row>
    <row r="35">
      <c r="A35" s="13" t="inlineStr">
        <is>
          <t>IPAC Rennes</t>
        </is>
      </c>
      <c r="B35" s="14" t="n">
        <v>223</v>
      </c>
      <c r="C35" s="14" t="n">
        <v>243</v>
      </c>
      <c r="D35" s="14" t="n">
        <v>14022</v>
      </c>
      <c r="E35" s="14" t="n">
        <v>18403</v>
      </c>
      <c r="F35" s="14" t="n">
        <v>24152</v>
      </c>
      <c r="G35" s="45">
        <f>LN(C35/B35)/LN(E35/D35)</f>
        <v/>
      </c>
      <c r="H35" s="46">
        <f>C35*(F35/E35)^G35</f>
        <v/>
      </c>
      <c r="I35" s="18" t="n">
        <v>265</v>
      </c>
      <c r="J35" s="47">
        <f>H35/I35-1</f>
        <v/>
      </c>
    </row>
    <row r="36">
      <c r="A36" s="13" t="inlineStr">
        <is>
          <t>ISCOM Lille</t>
        </is>
      </c>
      <c r="B36" s="14" t="n">
        <v>594</v>
      </c>
      <c r="C36" s="14" t="n">
        <v>612</v>
      </c>
      <c r="D36" s="14" t="n">
        <v>48495</v>
      </c>
      <c r="E36" s="14" t="n">
        <v>52768</v>
      </c>
      <c r="F36" s="14" t="n">
        <v>57418</v>
      </c>
      <c r="G36" s="45">
        <f>LN(C36/B36)/LN(E36/D36)</f>
        <v/>
      </c>
      <c r="H36" s="46">
        <f>C36*(F36/E36)^G36</f>
        <v/>
      </c>
      <c r="I36" s="18" t="n">
        <v>630</v>
      </c>
      <c r="J36" s="47">
        <f>H36/I36-1</f>
        <v/>
      </c>
    </row>
    <row r="37">
      <c r="A37" s="13" t="inlineStr">
        <is>
          <t>ISCOM Paris</t>
        </is>
      </c>
      <c r="B37" s="14" t="n">
        <v>650</v>
      </c>
      <c r="C37" s="14" t="n">
        <v>670</v>
      </c>
      <c r="D37" s="14" t="n">
        <v>52094</v>
      </c>
      <c r="E37" s="14" t="n">
        <v>57236</v>
      </c>
      <c r="F37" s="14" t="n">
        <v>62886</v>
      </c>
      <c r="G37" s="45">
        <f>LN(C37/B37)/LN(E37/D37)</f>
        <v/>
      </c>
      <c r="H37" s="46">
        <f>C37*(F37/E37)^G37</f>
        <v/>
      </c>
      <c r="I37" s="18" t="n">
        <v>690</v>
      </c>
      <c r="J37" s="47">
        <f>H37/I37-1</f>
        <v/>
      </c>
    </row>
    <row r="38">
      <c r="A38" s="13" t="inlineStr">
        <is>
          <t>ISCOM Toulouse</t>
        </is>
      </c>
      <c r="B38" s="14" t="n">
        <v>570</v>
      </c>
      <c r="C38" s="14" t="n">
        <v>587</v>
      </c>
      <c r="D38" s="14" t="n">
        <v>46637</v>
      </c>
      <c r="E38" s="14" t="n">
        <v>50710</v>
      </c>
      <c r="F38" s="14" t="n">
        <v>55139</v>
      </c>
      <c r="G38" s="45">
        <f>LN(C38/B38)/LN(E38/D38)</f>
        <v/>
      </c>
      <c r="H38" s="46">
        <f>C38*(F38/E38)^G38</f>
        <v/>
      </c>
      <c r="I38" s="18" t="n">
        <v>605</v>
      </c>
      <c r="J38" s="47">
        <f>H38/I38-1</f>
        <v/>
      </c>
    </row>
    <row r="39">
      <c r="A39" s="13" t="inlineStr">
        <is>
          <t>MBway Bordeaux</t>
        </is>
      </c>
      <c r="B39" s="14" t="n">
        <v>550</v>
      </c>
      <c r="C39" s="14" t="n">
        <v>589</v>
      </c>
      <c r="D39" s="14" t="n">
        <v>38877</v>
      </c>
      <c r="E39" s="14" t="n">
        <v>47246</v>
      </c>
      <c r="F39" s="14" t="n">
        <v>57418</v>
      </c>
      <c r="G39" s="45">
        <f>LN(C39/B39)/LN(E39/D39)</f>
        <v/>
      </c>
      <c r="H39" s="46">
        <f>C39*(F39/E39)^G39</f>
        <v/>
      </c>
      <c r="I39" s="18" t="n">
        <v>630</v>
      </c>
      <c r="J39" s="47">
        <f>H39/I39-1</f>
        <v/>
      </c>
    </row>
    <row r="40">
      <c r="A40" s="13" t="inlineStr">
        <is>
          <t>MBway Lyon</t>
        </is>
      </c>
      <c r="B40" s="14" t="n">
        <v>626</v>
      </c>
      <c r="C40" s="14" t="n">
        <v>670</v>
      </c>
      <c r="D40" s="14" t="n">
        <v>43250</v>
      </c>
      <c r="E40" s="14" t="n">
        <v>53125</v>
      </c>
      <c r="F40" s="14" t="n">
        <v>65255</v>
      </c>
      <c r="G40" s="45">
        <f>LN(C40/B40)/LN(E40/D40)</f>
        <v/>
      </c>
      <c r="H40" s="46">
        <f>C40*(F40/E40)^G40</f>
        <v/>
      </c>
      <c r="I40" s="18" t="n">
        <v>716</v>
      </c>
      <c r="J40" s="47">
        <f>H40/I40-1</f>
        <v/>
      </c>
    </row>
    <row r="41">
      <c r="A41" s="13" t="inlineStr">
        <is>
          <t>MBway Nantes</t>
        </is>
      </c>
      <c r="B41" s="14" t="n">
        <v>636</v>
      </c>
      <c r="C41" s="14" t="n">
        <v>680</v>
      </c>
      <c r="D41" s="14" t="n">
        <v>44771</v>
      </c>
      <c r="E41" s="14" t="n">
        <v>54502</v>
      </c>
      <c r="F41" s="14" t="n">
        <v>66349</v>
      </c>
      <c r="G41" s="45">
        <f>LN(C41/B41)/LN(E41/D41)</f>
        <v/>
      </c>
      <c r="H41" s="46">
        <f>C41*(F41/E41)^G41</f>
        <v/>
      </c>
      <c r="I41" s="18" t="n">
        <v>728</v>
      </c>
      <c r="J41" s="47">
        <f>H41/I41-1</f>
        <v/>
      </c>
    </row>
    <row r="42">
      <c r="A42" s="13" t="inlineStr">
        <is>
          <t>MBway Paris</t>
        </is>
      </c>
      <c r="B42" s="14" t="n">
        <v>621</v>
      </c>
      <c r="C42" s="14" t="n">
        <v>665</v>
      </c>
      <c r="D42" s="14" t="n">
        <v>41761</v>
      </c>
      <c r="E42" s="14" t="n">
        <v>52020</v>
      </c>
      <c r="F42" s="14" t="n">
        <v>64800</v>
      </c>
      <c r="G42" s="45">
        <f>LN(C42/B42)/LN(E42/D42)</f>
        <v/>
      </c>
      <c r="H42" s="46">
        <f>C42*(F42/E42)^G42</f>
        <v/>
      </c>
      <c r="I42" s="18" t="n">
        <v>711</v>
      </c>
      <c r="J42" s="47">
        <f>H42/I42-1</f>
        <v/>
      </c>
    </row>
    <row r="43">
      <c r="A43" s="13" t="inlineStr">
        <is>
          <t>Pigier Bordeaux</t>
        </is>
      </c>
      <c r="B43" s="14" t="n">
        <v>603</v>
      </c>
      <c r="C43" s="14" t="n">
        <v>627</v>
      </c>
      <c r="D43" s="14" t="n">
        <v>47760</v>
      </c>
      <c r="E43" s="14" t="n">
        <v>53273</v>
      </c>
      <c r="F43" s="14" t="n">
        <v>59423</v>
      </c>
      <c r="G43" s="45">
        <f>LN(C43/B43)/LN(E43/D43)</f>
        <v/>
      </c>
      <c r="H43" s="46">
        <f>C43*(F43/E43)^G43</f>
        <v/>
      </c>
      <c r="I43" s="18" t="n">
        <v>652</v>
      </c>
      <c r="J43" s="47">
        <f>H43/I43-1</f>
        <v/>
      </c>
    </row>
    <row r="44">
      <c r="A44" s="13" t="inlineStr">
        <is>
          <t>Pigier Lyon</t>
        </is>
      </c>
      <c r="B44" s="14" t="n">
        <v>682</v>
      </c>
      <c r="C44" s="14" t="n">
        <v>710</v>
      </c>
      <c r="D44" s="14" t="n">
        <v>53439</v>
      </c>
      <c r="E44" s="14" t="n">
        <v>59953</v>
      </c>
      <c r="F44" s="14" t="n">
        <v>67261</v>
      </c>
      <c r="G44" s="45">
        <f>LN(C44/B44)/LN(E44/D44)</f>
        <v/>
      </c>
      <c r="H44" s="46">
        <f>C44*(F44/E44)^G44</f>
        <v/>
      </c>
      <c r="I44" s="18" t="n">
        <v>738</v>
      </c>
      <c r="J44" s="47">
        <f>H44/I44-1</f>
        <v/>
      </c>
    </row>
    <row r="45">
      <c r="A45" s="13" t="inlineStr">
        <is>
          <t>Tunon Lyon</t>
        </is>
      </c>
      <c r="B45" s="14" t="n">
        <v>242</v>
      </c>
      <c r="C45" s="14" t="n">
        <v>247</v>
      </c>
      <c r="D45" s="14" t="n">
        <v>20221</v>
      </c>
      <c r="E45" s="14" t="n">
        <v>21550</v>
      </c>
      <c r="F45" s="14" t="n">
        <v>22967</v>
      </c>
      <c r="G45" s="45">
        <f>LN(C45/B45)/LN(E45/D45)</f>
        <v/>
      </c>
      <c r="H45" s="46">
        <f>C45*(F45/E45)^G45</f>
        <v/>
      </c>
      <c r="I45" s="18" t="n">
        <v>252</v>
      </c>
      <c r="J45" s="47">
        <f>H45/I45-1</f>
        <v/>
      </c>
    </row>
    <row r="46">
      <c r="A46" s="13" t="inlineStr">
        <is>
          <t>Tunon Paris</t>
        </is>
      </c>
      <c r="B46" s="14" t="n">
        <v>231</v>
      </c>
      <c r="C46" s="14" t="n">
        <v>235</v>
      </c>
      <c r="D46" s="14" t="n">
        <v>19081</v>
      </c>
      <c r="E46" s="14" t="n">
        <v>20429</v>
      </c>
      <c r="F46" s="14" t="n">
        <v>21873</v>
      </c>
      <c r="G46" s="45">
        <f>LN(C46/B46)/LN(E46/D46)</f>
        <v/>
      </c>
      <c r="H46" s="46">
        <f>C46*(F46/E46)^G46</f>
        <v/>
      </c>
      <c r="I46" s="18" t="n">
        <v>240</v>
      </c>
      <c r="J46" s="47">
        <f>H46/I46-1</f>
        <v/>
      </c>
    </row>
    <row r="47">
      <c r="A47" s="20" t="inlineStr">
        <is>
          <t>GROUPE</t>
        </is>
      </c>
      <c r="B47" s="21" t="n"/>
      <c r="C47" s="21" t="n"/>
      <c r="D47" s="21" t="n"/>
      <c r="E47" s="21" t="n"/>
      <c r="F47" s="21" t="n"/>
      <c r="G47" s="21" t="n"/>
      <c r="H47" s="22">
        <f>SUM(H33:H46)</f>
        <v/>
      </c>
      <c r="I47" s="22">
        <f>SUM(I33:I46)</f>
        <v/>
      </c>
      <c r="J47" s="33">
        <f>H47/I47-1</f>
        <v/>
      </c>
    </row>
    <row r="49">
      <c r="A49" s="44" t="inlineStr">
        <is>
          <t>Les deux leviers (acquisition + marque) alimentent le MÊME funnel. Total leads = payants + organiques → candidatures → inscrits → CA.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2026-08-30T23:38:13Z</dcterms:created>
  <dcterms:modified xsi:type="dcterms:W3CDTF">2026-08-30T23:38:13Z</dcterms:modified>
</cp:coreProperties>
</file>