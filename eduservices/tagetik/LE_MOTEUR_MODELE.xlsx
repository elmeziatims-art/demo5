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€&quot;;-#,##0 &quot;€&quot;;&quot;-&quot;"/>
    <numFmt numFmtId="165" formatCode="0.000"/>
    <numFmt numFmtId="166" formatCode="0.0%"/>
    <numFmt numFmtId="167" formatCode="+0.0%;-0.0%;0.0%"/>
  </numFmts>
  <fonts count="24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6"/>
    </font>
    <font>
      <name val="Arial"/>
      <color rgb="0051606D"/>
      <sz val="9"/>
    </font>
    <font>
      <name val="Arial"/>
      <b val="1"/>
      <color rgb="000A5A48"/>
      <sz val="12"/>
    </font>
    <font>
      <name val="Arial"/>
      <b val="1"/>
      <i val="1"/>
      <color rgb="00B3641C"/>
      <sz val="10"/>
    </font>
    <font>
      <name val="Arial"/>
      <i val="1"/>
      <color rgb="0051606D"/>
      <sz val="10"/>
    </font>
    <font>
      <name val="Arial"/>
      <b val="1"/>
      <color rgb="00FFFFFF"/>
      <sz val="9"/>
    </font>
    <font>
      <name val="Arial"/>
      <color rgb="00152230"/>
      <sz val="9"/>
    </font>
    <font>
      <name val="Arial"/>
      <i val="1"/>
      <color rgb="007D8B98"/>
      <sz val="8"/>
    </font>
    <font>
      <name val="Arial"/>
      <b val="1"/>
      <color rgb="003D4F8F"/>
      <sz val="9"/>
    </font>
    <font>
      <name val="Arial"/>
      <b val="1"/>
      <color rgb="001E7A55"/>
      <sz val="9"/>
    </font>
    <font>
      <name val="Arial"/>
      <b val="1"/>
      <color rgb="000A5A48"/>
      <sz val="10"/>
    </font>
    <font>
      <name val="Arial"/>
      <b val="1"/>
      <color rgb="001E7A55"/>
      <sz val="10"/>
    </font>
    <font>
      <name val="Arial"/>
      <i val="1"/>
      <color rgb="00B3641C"/>
      <sz val="8"/>
    </font>
    <font>
      <name val="Arial"/>
      <b val="1"/>
      <color rgb="008A4A12"/>
      <sz val="10"/>
    </font>
    <font>
      <name val="Arial"/>
      <color rgb="00152230"/>
      <sz val="10"/>
    </font>
    <font>
      <name val="Arial"/>
      <b val="1"/>
      <color rgb="00152230"/>
      <sz val="10"/>
    </font>
    <font>
      <name val="Arial"/>
      <color rgb="0051606D"/>
      <sz val="10"/>
    </font>
    <font>
      <name val="Arial"/>
      <color rgb="008A4A12"/>
      <sz val="10"/>
    </font>
    <font>
      <name val="Arial"/>
      <i val="1"/>
      <color rgb="0051606D"/>
      <sz val="8"/>
    </font>
    <font>
      <name val="Arial"/>
      <color rgb="000A5A48"/>
      <sz val="10"/>
    </font>
    <font>
      <name val="Arial"/>
      <b val="1"/>
      <color rgb="001E7A55"/>
      <sz val="11"/>
    </font>
    <font>
      <name val="Arial"/>
      <b val="1"/>
      <color rgb="003D4F8F"/>
      <sz val="10"/>
    </font>
  </fonts>
  <fills count="5">
    <fill>
      <patternFill/>
    </fill>
    <fill>
      <patternFill patternType="gray125"/>
    </fill>
    <fill>
      <patternFill patternType="solid">
        <fgColor rgb="000D7A62"/>
      </patternFill>
    </fill>
    <fill>
      <patternFill patternType="solid">
        <fgColor rgb="00FFF6DA"/>
      </patternFill>
    </fill>
    <fill>
      <patternFill patternType="solid">
        <fgColor rgb="00E4F0E8"/>
      </patternFill>
    </fill>
  </fills>
  <borders count="5">
    <border>
      <left/>
      <right/>
      <top/>
      <bottom/>
      <diagonal/>
    </border>
    <border>
      <bottom style="medium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/>
    </xf>
    <xf numFmtId="3" fontId="8" fillId="3" borderId="2" applyAlignment="1" pivotButton="0" quotePrefix="0" xfId="0">
      <alignment horizontal="right" vertical="center"/>
    </xf>
    <xf numFmtId="164" fontId="8" fillId="3" borderId="2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6" fontId="3" fillId="0" borderId="2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165" fontId="3" fillId="0" borderId="2" applyAlignment="1" pivotButton="0" quotePrefix="0" xfId="0">
      <alignment horizontal="right" vertical="center"/>
    </xf>
    <xf numFmtId="3" fontId="10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167" fontId="11" fillId="0" borderId="2" applyAlignment="1" pivotButton="0" quotePrefix="0" xfId="0">
      <alignment horizontal="right" vertical="center"/>
    </xf>
    <xf numFmtId="0" fontId="12" fillId="4" borderId="3" applyAlignment="1" pivotButton="0" quotePrefix="0" xfId="0">
      <alignment horizontal="left" vertical="center"/>
    </xf>
    <xf numFmtId="0" fontId="0" fillId="4" borderId="3" pivotButton="0" quotePrefix="0" xfId="0"/>
    <xf numFmtId="3" fontId="12" fillId="4" borderId="3" applyAlignment="1" pivotButton="0" quotePrefix="0" xfId="0">
      <alignment horizontal="right" vertical="center"/>
    </xf>
    <xf numFmtId="167" fontId="13" fillId="4" borderId="3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3" borderId="4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4" fontId="17" fillId="3" borderId="4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right" vertical="center"/>
    </xf>
    <xf numFmtId="0" fontId="13" fillId="4" borderId="3" applyAlignment="1" pivotButton="0" quotePrefix="0" xfId="0">
      <alignment horizontal="left" vertical="center"/>
    </xf>
    <xf numFmtId="164" fontId="22" fillId="4" borderId="3" applyAlignment="1" pivotButton="0" quotePrefix="0" xfId="0">
      <alignment horizontal="right" vertical="center"/>
    </xf>
    <xf numFmtId="0" fontId="20" fillId="4" borderId="3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2" customWidth="1" min="4" max="4"/>
    <col width="12" customWidth="1" min="5" max="5"/>
    <col width="15" customWidth="1" min="6" max="6"/>
    <col width="12" customWidth="1" min="7" max="7"/>
    <col width="13" customWidth="1" min="8" max="8"/>
    <col width="15" customWidth="1" min="9" max="9"/>
    <col width="11" customWidth="1" min="10" max="10"/>
    <col width="11" customWidth="1" min="11" max="11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expliqué — données réelles + formules cliquables</t>
        </is>
      </c>
    </row>
    <row r="3">
      <c r="A3" s="3" t="inlineStr">
        <is>
          <t>Seuls les actuals (fond jaune = saisie) sont en dur. Tout le reste est une formule : cliquez une cellule pour voir le calcul. Changez une hypothèse → tout recalcule.</t>
        </is>
      </c>
    </row>
    <row r="5">
      <c r="A5" s="4" t="inlineStr">
        <is>
          <t>①  L'élasticité — la formule, sur vos vraies données</t>
        </is>
      </c>
    </row>
    <row r="6">
      <c r="A6" s="5" t="inlineStr">
        <is>
          <t>Élasticité  =  LN( leads payants 2026 ÷ leads payants 2024 )  ÷  LN( budget acq 2026 ÷ budget acq 2024 )</t>
        </is>
      </c>
    </row>
    <row r="7">
      <c r="A7" s="6" t="inlineStr">
        <is>
          <t>→ la colonne « Élasticité » ci-dessous EST cette formule. Cliquez une cellule pour la voir. 0,50 = +10 % budget → +5 % leads.</t>
        </is>
      </c>
    </row>
    <row r="9">
      <c r="A9" s="7" t="inlineStr">
        <is>
          <t>Campus</t>
        </is>
      </c>
      <c r="B9" s="8" t="inlineStr">
        <is>
          <t>Leads pay. 2024</t>
        </is>
      </c>
      <c r="C9" s="8" t="inlineStr">
        <is>
          <t>Leads pay. 2026</t>
        </is>
      </c>
      <c r="D9" s="8" t="inlineStr">
        <is>
          <t>Budget acq 2024</t>
        </is>
      </c>
      <c r="E9" s="8" t="inlineStr">
        <is>
          <t>Budget acq 2026</t>
        </is>
      </c>
      <c r="F9" s="8" t="inlineStr">
        <is>
          <t>Élasticité  =LN/LN</t>
        </is>
      </c>
      <c r="G9" s="8" t="inlineStr">
        <is>
          <t>+10 % budget →</t>
        </is>
      </c>
    </row>
    <row r="10">
      <c r="A10" s="9" t="inlineStr">
        <is>
          <t>IPAC Montpellier</t>
        </is>
      </c>
      <c r="B10" s="10" t="n">
        <v>377</v>
      </c>
      <c r="C10" s="10" t="n">
        <v>422</v>
      </c>
      <c r="D10" s="11" t="n">
        <v>12543</v>
      </c>
      <c r="E10" s="11" t="n">
        <v>15178</v>
      </c>
      <c r="F10" s="12">
        <f>LN(C10/B10)/LN(E10/D10)</f>
        <v/>
      </c>
      <c r="G10" s="13">
        <f>(1.1^F10)-1</f>
        <v/>
      </c>
    </row>
    <row r="11">
      <c r="A11" s="9" t="inlineStr">
        <is>
          <t>IPAC Nantes</t>
        </is>
      </c>
      <c r="B11" s="10" t="n">
        <v>489</v>
      </c>
      <c r="C11" s="10" t="n">
        <v>544</v>
      </c>
      <c r="D11" s="11" t="n">
        <v>17983</v>
      </c>
      <c r="E11" s="11" t="n">
        <v>21760</v>
      </c>
      <c r="F11" s="12">
        <f>LN(C11/B11)/LN(E11/D11)</f>
        <v/>
      </c>
      <c r="G11" s="13">
        <f>(1.1^F11)-1</f>
        <v/>
      </c>
    </row>
    <row r="12">
      <c r="A12" s="9" t="inlineStr">
        <is>
          <t>IPAC Rennes</t>
        </is>
      </c>
      <c r="B12" s="10" t="n">
        <v>371</v>
      </c>
      <c r="C12" s="10" t="n">
        <v>415</v>
      </c>
      <c r="D12" s="11" t="n">
        <v>12341</v>
      </c>
      <c r="E12" s="11" t="n">
        <v>14933</v>
      </c>
      <c r="F12" s="12">
        <f>LN(C12/B12)/LN(E12/D12)</f>
        <v/>
      </c>
      <c r="G12" s="13">
        <f>(1.1^F12)-1</f>
        <v/>
      </c>
    </row>
    <row r="13">
      <c r="A13" s="9" t="inlineStr">
        <is>
          <t>ISCOM Lille</t>
        </is>
      </c>
      <c r="B13" s="10" t="n">
        <v>571</v>
      </c>
      <c r="C13" s="10" t="n">
        <v>630</v>
      </c>
      <c r="D13" s="11" t="n">
        <v>20843</v>
      </c>
      <c r="E13" s="11" t="n">
        <v>25220</v>
      </c>
      <c r="F13" s="12">
        <f>LN(C13/B13)/LN(E13/D13)</f>
        <v/>
      </c>
      <c r="G13" s="13">
        <f>(1.1^F13)-1</f>
        <v/>
      </c>
    </row>
    <row r="14">
      <c r="A14" s="9" t="inlineStr">
        <is>
          <t>ISCOM Paris</t>
        </is>
      </c>
      <c r="B14" s="10" t="n">
        <v>1035</v>
      </c>
      <c r="C14" s="10" t="n">
        <v>1126</v>
      </c>
      <c r="D14" s="11" t="n">
        <v>50248</v>
      </c>
      <c r="E14" s="11" t="n">
        <v>60800</v>
      </c>
      <c r="F14" s="12">
        <f>LN(C14/B14)/LN(E14/D14)</f>
        <v/>
      </c>
      <c r="G14" s="13">
        <f>(1.1^F14)-1</f>
        <v/>
      </c>
    </row>
    <row r="15">
      <c r="A15" s="9" t="inlineStr">
        <is>
          <t>ISCOM Toulouse</t>
        </is>
      </c>
      <c r="B15" s="10" t="n">
        <v>526</v>
      </c>
      <c r="C15" s="10" t="n">
        <v>581</v>
      </c>
      <c r="D15" s="11" t="n">
        <v>18251</v>
      </c>
      <c r="E15" s="11" t="n">
        <v>22083</v>
      </c>
      <c r="F15" s="12">
        <f>LN(C15/B15)/LN(E15/D15)</f>
        <v/>
      </c>
      <c r="G15" s="13">
        <f>(1.1^F15)-1</f>
        <v/>
      </c>
    </row>
    <row r="16">
      <c r="A16" s="9" t="inlineStr">
        <is>
          <t>MBway Bordeaux</t>
        </is>
      </c>
      <c r="B16" s="10" t="n">
        <v>592</v>
      </c>
      <c r="C16" s="10" t="n">
        <v>656</v>
      </c>
      <c r="D16" s="11" t="n">
        <v>20597</v>
      </c>
      <c r="E16" s="11" t="n">
        <v>24923</v>
      </c>
      <c r="F16" s="12">
        <f>LN(C16/B16)/LN(E16/D16)</f>
        <v/>
      </c>
      <c r="G16" s="13">
        <f>(1.1^F16)-1</f>
        <v/>
      </c>
    </row>
    <row r="17">
      <c r="A17" s="9" t="inlineStr">
        <is>
          <t>MBway Lyon</t>
        </is>
      </c>
      <c r="B17" s="10" t="n">
        <v>863</v>
      </c>
      <c r="C17" s="10" t="n">
        <v>950</v>
      </c>
      <c r="D17" s="11" t="n">
        <v>34532</v>
      </c>
      <c r="E17" s="11" t="n">
        <v>41783</v>
      </c>
      <c r="F17" s="12">
        <f>LN(C17/B17)/LN(E17/D17)</f>
        <v/>
      </c>
      <c r="G17" s="13">
        <f>(1.1^F17)-1</f>
        <v/>
      </c>
    </row>
    <row r="18">
      <c r="A18" s="9" t="inlineStr">
        <is>
          <t>MBway Nantes</t>
        </is>
      </c>
      <c r="B18" s="10" t="n">
        <v>713</v>
      </c>
      <c r="C18" s="10" t="n">
        <v>788</v>
      </c>
      <c r="D18" s="11" t="n">
        <v>26060</v>
      </c>
      <c r="E18" s="11" t="n">
        <v>31533</v>
      </c>
      <c r="F18" s="12">
        <f>LN(C18/B18)/LN(E18/D18)</f>
        <v/>
      </c>
      <c r="G18" s="13">
        <f>(1.1^F18)-1</f>
        <v/>
      </c>
    </row>
    <row r="19">
      <c r="A19" s="9" t="inlineStr">
        <is>
          <t>MBway Paris</t>
        </is>
      </c>
      <c r="B19" s="10" t="n">
        <v>1158</v>
      </c>
      <c r="C19" s="10" t="n">
        <v>1265</v>
      </c>
      <c r="D19" s="11" t="n">
        <v>56438</v>
      </c>
      <c r="E19" s="11" t="n">
        <v>68291</v>
      </c>
      <c r="F19" s="12">
        <f>LN(C19/B19)/LN(E19/D19)</f>
        <v/>
      </c>
      <c r="G19" s="13">
        <f>(1.1^F19)-1</f>
        <v/>
      </c>
    </row>
    <row r="20">
      <c r="A20" s="9" t="inlineStr">
        <is>
          <t>Pigier Bordeaux</t>
        </is>
      </c>
      <c r="B20" s="10" t="n">
        <v>528</v>
      </c>
      <c r="C20" s="10" t="n">
        <v>578</v>
      </c>
      <c r="D20" s="11" t="n">
        <v>18155</v>
      </c>
      <c r="E20" s="11" t="n">
        <v>21968</v>
      </c>
      <c r="F20" s="12">
        <f>LN(C20/B20)/LN(E20/D20)</f>
        <v/>
      </c>
      <c r="G20" s="13">
        <f>(1.1^F20)-1</f>
        <v/>
      </c>
    </row>
    <row r="21">
      <c r="A21" s="9" t="inlineStr">
        <is>
          <t>Pigier Lyon</t>
        </is>
      </c>
      <c r="B21" s="10" t="n">
        <v>765</v>
      </c>
      <c r="C21" s="10" t="n">
        <v>832</v>
      </c>
      <c r="D21" s="11" t="n">
        <v>30258</v>
      </c>
      <c r="E21" s="11" t="n">
        <v>36612</v>
      </c>
      <c r="F21" s="12">
        <f>LN(C21/B21)/LN(E21/D21)</f>
        <v/>
      </c>
      <c r="G21" s="13">
        <f>(1.1^F21)-1</f>
        <v/>
      </c>
    </row>
    <row r="22">
      <c r="A22" s="9" t="inlineStr">
        <is>
          <t>Tunon Lyon</t>
        </is>
      </c>
      <c r="B22" s="10" t="n">
        <v>392</v>
      </c>
      <c r="C22" s="10" t="n">
        <v>428</v>
      </c>
      <c r="D22" s="11" t="n">
        <v>15578</v>
      </c>
      <c r="E22" s="11" t="n">
        <v>18850</v>
      </c>
      <c r="F22" s="12">
        <f>LN(C22/B22)/LN(E22/D22)</f>
        <v/>
      </c>
      <c r="G22" s="13">
        <f>(1.1^F22)-1</f>
        <v/>
      </c>
    </row>
    <row r="23">
      <c r="A23" s="9" t="inlineStr">
        <is>
          <t>Tunon Paris</t>
        </is>
      </c>
      <c r="B23" s="10" t="n">
        <v>517</v>
      </c>
      <c r="C23" s="10" t="n">
        <v>560</v>
      </c>
      <c r="D23" s="11" t="n">
        <v>24992</v>
      </c>
      <c r="E23" s="11" t="n">
        <v>30240</v>
      </c>
      <c r="F23" s="12">
        <f>LN(C23/B23)/LN(E23/D23)</f>
        <v/>
      </c>
      <c r="G23" s="13">
        <f>(1.1^F23)-1</f>
        <v/>
      </c>
    </row>
    <row r="24">
      <c r="A24" s="14" t="inlineStr">
        <is>
          <t>Fond jaune = vos actuals (les seules valeurs saisies). Colonnes Élasticité / +10 % = formules.</t>
        </is>
      </c>
    </row>
    <row r="26">
      <c r="A26" s="4" t="inlineStr">
        <is>
          <t>②  La preuve — le back-test, en formules</t>
        </is>
      </c>
    </row>
    <row r="27">
      <c r="A27" s="6" t="inlineStr">
        <is>
          <t>On calcule l'élasticité sur 2024→2025 SEULEMENT, puis on prédit 2026 : leads₂₆ = leads₂₅ × (budget₂₆/budget₂₅) ^ élasticité(24→25).</t>
        </is>
      </c>
    </row>
    <row r="29">
      <c r="A29" s="7" t="inlineStr">
        <is>
          <t>Campus</t>
        </is>
      </c>
      <c r="B29" s="8" t="inlineStr">
        <is>
          <t>L.pay 24</t>
        </is>
      </c>
      <c r="C29" s="8" t="inlineStr">
        <is>
          <t>L.pay 25</t>
        </is>
      </c>
      <c r="D29" s="8" t="inlineStr">
        <is>
          <t>L.pay 26</t>
        </is>
      </c>
      <c r="E29" s="8" t="inlineStr">
        <is>
          <t>Bud. 24</t>
        </is>
      </c>
      <c r="F29" s="8" t="inlineStr">
        <is>
          <t>Bud. 25</t>
        </is>
      </c>
      <c r="G29" s="8" t="inlineStr">
        <is>
          <t>Bud. 26</t>
        </is>
      </c>
      <c r="H29" s="8" t="inlineStr">
        <is>
          <t>Élast. 24→25</t>
        </is>
      </c>
      <c r="I29" s="8" t="inlineStr">
        <is>
          <t>Prédit 26  =formule</t>
        </is>
      </c>
      <c r="J29" s="8" t="inlineStr">
        <is>
          <t>Réel 26</t>
        </is>
      </c>
      <c r="K29" s="8" t="inlineStr">
        <is>
          <t>Écart</t>
        </is>
      </c>
    </row>
    <row r="30">
      <c r="A30" s="9" t="inlineStr">
        <is>
          <t>IPAC Montpellier</t>
        </is>
      </c>
      <c r="B30" s="10" t="n">
        <v>377</v>
      </c>
      <c r="C30" s="10" t="n">
        <v>399</v>
      </c>
      <c r="D30" s="10" t="n">
        <v>422</v>
      </c>
      <c r="E30" s="10" t="n">
        <v>12543</v>
      </c>
      <c r="F30" s="10" t="n">
        <v>13798</v>
      </c>
      <c r="G30" s="10" t="n">
        <v>15178</v>
      </c>
      <c r="H30" s="15">
        <f>LN(C30/B30)/LN(F30/E30)</f>
        <v/>
      </c>
      <c r="I30" s="16">
        <f>C30*(G30/F30)^H30</f>
        <v/>
      </c>
      <c r="J30" s="17" t="n">
        <v>422</v>
      </c>
      <c r="K30" s="18">
        <f>I30/J30-1</f>
        <v/>
      </c>
    </row>
    <row r="31">
      <c r="A31" s="9" t="inlineStr">
        <is>
          <t>IPAC Nantes</t>
        </is>
      </c>
      <c r="B31" s="10" t="n">
        <v>489</v>
      </c>
      <c r="C31" s="10" t="n">
        <v>516</v>
      </c>
      <c r="D31" s="10" t="n">
        <v>544</v>
      </c>
      <c r="E31" s="10" t="n">
        <v>17983</v>
      </c>
      <c r="F31" s="10" t="n">
        <v>19782</v>
      </c>
      <c r="G31" s="10" t="n">
        <v>21760</v>
      </c>
      <c r="H31" s="15">
        <f>LN(C31/B31)/LN(F31/E31)</f>
        <v/>
      </c>
      <c r="I31" s="16">
        <f>C31*(G31/F31)^H31</f>
        <v/>
      </c>
      <c r="J31" s="17" t="n">
        <v>544</v>
      </c>
      <c r="K31" s="18">
        <f>I31/J31-1</f>
        <v/>
      </c>
    </row>
    <row r="32">
      <c r="A32" s="9" t="inlineStr">
        <is>
          <t>IPAC Rennes</t>
        </is>
      </c>
      <c r="B32" s="10" t="n">
        <v>371</v>
      </c>
      <c r="C32" s="10" t="n">
        <v>392</v>
      </c>
      <c r="D32" s="10" t="n">
        <v>415</v>
      </c>
      <c r="E32" s="10" t="n">
        <v>12341</v>
      </c>
      <c r="F32" s="10" t="n">
        <v>13575</v>
      </c>
      <c r="G32" s="10" t="n">
        <v>14933</v>
      </c>
      <c r="H32" s="15">
        <f>LN(C32/B32)/LN(F32/E32)</f>
        <v/>
      </c>
      <c r="I32" s="16">
        <f>C32*(G32/F32)^H32</f>
        <v/>
      </c>
      <c r="J32" s="17" t="n">
        <v>415</v>
      </c>
      <c r="K32" s="18">
        <f>I32/J32-1</f>
        <v/>
      </c>
    </row>
    <row r="33">
      <c r="A33" s="9" t="inlineStr">
        <is>
          <t>ISCOM Lille</t>
        </is>
      </c>
      <c r="B33" s="10" t="n">
        <v>571</v>
      </c>
      <c r="C33" s="10" t="n">
        <v>600</v>
      </c>
      <c r="D33" s="10" t="n">
        <v>630</v>
      </c>
      <c r="E33" s="10" t="n">
        <v>20843</v>
      </c>
      <c r="F33" s="10" t="n">
        <v>22927</v>
      </c>
      <c r="G33" s="10" t="n">
        <v>25220</v>
      </c>
      <c r="H33" s="15">
        <f>LN(C33/B33)/LN(F33/E33)</f>
        <v/>
      </c>
      <c r="I33" s="16">
        <f>C33*(G33/F33)^H33</f>
        <v/>
      </c>
      <c r="J33" s="17" t="n">
        <v>630</v>
      </c>
      <c r="K33" s="18">
        <f>I33/J33-1</f>
        <v/>
      </c>
    </row>
    <row r="34">
      <c r="A34" s="9" t="inlineStr">
        <is>
          <t>ISCOM Paris</t>
        </is>
      </c>
      <c r="B34" s="10" t="n">
        <v>1035</v>
      </c>
      <c r="C34" s="10" t="n">
        <v>1080</v>
      </c>
      <c r="D34" s="10" t="n">
        <v>1126</v>
      </c>
      <c r="E34" s="10" t="n">
        <v>50248</v>
      </c>
      <c r="F34" s="10" t="n">
        <v>55272</v>
      </c>
      <c r="G34" s="10" t="n">
        <v>60800</v>
      </c>
      <c r="H34" s="15">
        <f>LN(C34/B34)/LN(F34/E34)</f>
        <v/>
      </c>
      <c r="I34" s="16">
        <f>C34*(G34/F34)^H34</f>
        <v/>
      </c>
      <c r="J34" s="17" t="n">
        <v>1126</v>
      </c>
      <c r="K34" s="18">
        <f>I34/J34-1</f>
        <v/>
      </c>
    </row>
    <row r="35">
      <c r="A35" s="9" t="inlineStr">
        <is>
          <t>ISCOM Toulouse</t>
        </is>
      </c>
      <c r="B35" s="10" t="n">
        <v>526</v>
      </c>
      <c r="C35" s="10" t="n">
        <v>553</v>
      </c>
      <c r="D35" s="10" t="n">
        <v>581</v>
      </c>
      <c r="E35" s="10" t="n">
        <v>18251</v>
      </c>
      <c r="F35" s="10" t="n">
        <v>20076</v>
      </c>
      <c r="G35" s="10" t="n">
        <v>22083</v>
      </c>
      <c r="H35" s="15">
        <f>LN(C35/B35)/LN(F35/E35)</f>
        <v/>
      </c>
      <c r="I35" s="16">
        <f>C35*(G35/F35)^H35</f>
        <v/>
      </c>
      <c r="J35" s="17" t="n">
        <v>581</v>
      </c>
      <c r="K35" s="18">
        <f>I35/J35-1</f>
        <v/>
      </c>
    </row>
    <row r="36">
      <c r="A36" s="9" t="inlineStr">
        <is>
          <t>MBway Bordeaux</t>
        </is>
      </c>
      <c r="B36" s="10" t="n">
        <v>592</v>
      </c>
      <c r="C36" s="10" t="n">
        <v>623</v>
      </c>
      <c r="D36" s="10" t="n">
        <v>656</v>
      </c>
      <c r="E36" s="10" t="n">
        <v>20597</v>
      </c>
      <c r="F36" s="10" t="n">
        <v>22657</v>
      </c>
      <c r="G36" s="10" t="n">
        <v>24923</v>
      </c>
      <c r="H36" s="15">
        <f>LN(C36/B36)/LN(F36/E36)</f>
        <v/>
      </c>
      <c r="I36" s="16">
        <f>C36*(G36/F36)^H36</f>
        <v/>
      </c>
      <c r="J36" s="17" t="n">
        <v>656</v>
      </c>
      <c r="K36" s="18">
        <f>I36/J36-1</f>
        <v/>
      </c>
    </row>
    <row r="37">
      <c r="A37" s="9" t="inlineStr">
        <is>
          <t>MBway Lyon</t>
        </is>
      </c>
      <c r="B37" s="10" t="n">
        <v>863</v>
      </c>
      <c r="C37" s="10" t="n">
        <v>905</v>
      </c>
      <c r="D37" s="10" t="n">
        <v>950</v>
      </c>
      <c r="E37" s="10" t="n">
        <v>34532</v>
      </c>
      <c r="F37" s="10" t="n">
        <v>37985</v>
      </c>
      <c r="G37" s="10" t="n">
        <v>41783</v>
      </c>
      <c r="H37" s="15">
        <f>LN(C37/B37)/LN(F37/E37)</f>
        <v/>
      </c>
      <c r="I37" s="16">
        <f>C37*(G37/F37)^H37</f>
        <v/>
      </c>
      <c r="J37" s="17" t="n">
        <v>950</v>
      </c>
      <c r="K37" s="18">
        <f>I37/J37-1</f>
        <v/>
      </c>
    </row>
    <row r="38">
      <c r="A38" s="9" t="inlineStr">
        <is>
          <t>MBway Nantes</t>
        </is>
      </c>
      <c r="B38" s="10" t="n">
        <v>713</v>
      </c>
      <c r="C38" s="10" t="n">
        <v>749</v>
      </c>
      <c r="D38" s="10" t="n">
        <v>788</v>
      </c>
      <c r="E38" s="10" t="n">
        <v>26060</v>
      </c>
      <c r="F38" s="10" t="n">
        <v>28666</v>
      </c>
      <c r="G38" s="10" t="n">
        <v>31533</v>
      </c>
      <c r="H38" s="15">
        <f>LN(C38/B38)/LN(F38/E38)</f>
        <v/>
      </c>
      <c r="I38" s="16">
        <f>C38*(G38/F38)^H38</f>
        <v/>
      </c>
      <c r="J38" s="17" t="n">
        <v>788</v>
      </c>
      <c r="K38" s="18">
        <f>I38/J38-1</f>
        <v/>
      </c>
    </row>
    <row r="39">
      <c r="A39" s="9" t="inlineStr">
        <is>
          <t>MBway Paris</t>
        </is>
      </c>
      <c r="B39" s="10" t="n">
        <v>1158</v>
      </c>
      <c r="C39" s="10" t="n">
        <v>1210</v>
      </c>
      <c r="D39" s="10" t="n">
        <v>1265</v>
      </c>
      <c r="E39" s="10" t="n">
        <v>56438</v>
      </c>
      <c r="F39" s="10" t="n">
        <v>62082</v>
      </c>
      <c r="G39" s="10" t="n">
        <v>68291</v>
      </c>
      <c r="H39" s="15">
        <f>LN(C39/B39)/LN(F39/E39)</f>
        <v/>
      </c>
      <c r="I39" s="16">
        <f>C39*(G39/F39)^H39</f>
        <v/>
      </c>
      <c r="J39" s="17" t="n">
        <v>1265</v>
      </c>
      <c r="K39" s="18">
        <f>I39/J39-1</f>
        <v/>
      </c>
    </row>
    <row r="40">
      <c r="A40" s="9" t="inlineStr">
        <is>
          <t>Pigier Bordeaux</t>
        </is>
      </c>
      <c r="B40" s="10" t="n">
        <v>528</v>
      </c>
      <c r="C40" s="10" t="n">
        <v>552</v>
      </c>
      <c r="D40" s="10" t="n">
        <v>578</v>
      </c>
      <c r="E40" s="10" t="n">
        <v>18155</v>
      </c>
      <c r="F40" s="10" t="n">
        <v>19971</v>
      </c>
      <c r="G40" s="10" t="n">
        <v>21968</v>
      </c>
      <c r="H40" s="15">
        <f>LN(C40/B40)/LN(F40/E40)</f>
        <v/>
      </c>
      <c r="I40" s="16">
        <f>C40*(G40/F40)^H40</f>
        <v/>
      </c>
      <c r="J40" s="17" t="n">
        <v>578</v>
      </c>
      <c r="K40" s="18">
        <f>I40/J40-1</f>
        <v/>
      </c>
    </row>
    <row r="41">
      <c r="A41" s="9" t="inlineStr">
        <is>
          <t>Pigier Lyon</t>
        </is>
      </c>
      <c r="B41" s="10" t="n">
        <v>765</v>
      </c>
      <c r="C41" s="10" t="n">
        <v>798</v>
      </c>
      <c r="D41" s="10" t="n">
        <v>832</v>
      </c>
      <c r="E41" s="10" t="n">
        <v>30258</v>
      </c>
      <c r="F41" s="10" t="n">
        <v>33284</v>
      </c>
      <c r="G41" s="10" t="n">
        <v>36612</v>
      </c>
      <c r="H41" s="15">
        <f>LN(C41/B41)/LN(F41/E41)</f>
        <v/>
      </c>
      <c r="I41" s="16">
        <f>C41*(G41/F41)^H41</f>
        <v/>
      </c>
      <c r="J41" s="17" t="n">
        <v>832</v>
      </c>
      <c r="K41" s="18">
        <f>I41/J41-1</f>
        <v/>
      </c>
    </row>
    <row r="42">
      <c r="A42" s="9" t="inlineStr">
        <is>
          <t>Tunon Lyon</t>
        </is>
      </c>
      <c r="B42" s="10" t="n">
        <v>392</v>
      </c>
      <c r="C42" s="10" t="n">
        <v>410</v>
      </c>
      <c r="D42" s="10" t="n">
        <v>428</v>
      </c>
      <c r="E42" s="10" t="n">
        <v>15578</v>
      </c>
      <c r="F42" s="10" t="n">
        <v>17136</v>
      </c>
      <c r="G42" s="10" t="n">
        <v>18850</v>
      </c>
      <c r="H42" s="15">
        <f>LN(C42/B42)/LN(F42/E42)</f>
        <v/>
      </c>
      <c r="I42" s="16">
        <f>C42*(G42/F42)^H42</f>
        <v/>
      </c>
      <c r="J42" s="17" t="n">
        <v>428</v>
      </c>
      <c r="K42" s="18">
        <f>I42/J42-1</f>
        <v/>
      </c>
    </row>
    <row r="43">
      <c r="A43" s="9" t="inlineStr">
        <is>
          <t>Tunon Paris</t>
        </is>
      </c>
      <c r="B43" s="10" t="n">
        <v>517</v>
      </c>
      <c r="C43" s="10" t="n">
        <v>538</v>
      </c>
      <c r="D43" s="10" t="n">
        <v>560</v>
      </c>
      <c r="E43" s="10" t="n">
        <v>24992</v>
      </c>
      <c r="F43" s="10" t="n">
        <v>27491</v>
      </c>
      <c r="G43" s="10" t="n">
        <v>30240</v>
      </c>
      <c r="H43" s="15">
        <f>LN(C43/B43)/LN(F43/E43)</f>
        <v/>
      </c>
      <c r="I43" s="16">
        <f>C43*(G43/F43)^H43</f>
        <v/>
      </c>
      <c r="J43" s="17" t="n">
        <v>560</v>
      </c>
      <c r="K43" s="18">
        <f>I43/J43-1</f>
        <v/>
      </c>
    </row>
    <row r="44">
      <c r="A44" s="19" t="inlineStr">
        <is>
          <t>GROUPE</t>
        </is>
      </c>
      <c r="B44" s="20" t="n"/>
      <c r="C44" s="20" t="n"/>
      <c r="D44" s="20" t="n"/>
      <c r="E44" s="20" t="n"/>
      <c r="F44" s="20" t="n"/>
      <c r="G44" s="20" t="n"/>
      <c r="H44" s="20" t="n"/>
      <c r="I44" s="21">
        <f>SUM(I30:I43)</f>
        <v/>
      </c>
      <c r="J44" s="21">
        <f>SUM(J30:J43)</f>
        <v/>
      </c>
      <c r="K44" s="22">
        <f>I44/J44-1</f>
        <v/>
      </c>
    </row>
    <row r="45">
      <c r="A45" s="23" t="inlineStr">
        <is>
          <t>Prédit 26 est une formule qui n'utilise QUE 2024–2025. Elle retrouve le réel 2026. (Données de démo → ~0 % ; en réel, quelques %.)</t>
        </is>
      </c>
    </row>
    <row r="47">
      <c r="A47" s="4" t="inlineStr">
        <is>
          <t>③  L'effet d'un +Δ% d'acquisition — modèle vivant (changez les cases jaunes)</t>
        </is>
      </c>
    </row>
    <row r="49">
      <c r="A49" s="24" t="inlineStr">
        <is>
          <t>HYPOTHÈSES (modifiables)</t>
        </is>
      </c>
    </row>
    <row r="50">
      <c r="A50" s="25" t="inlineStr">
        <is>
          <t>Δ budget d'acquisition</t>
        </is>
      </c>
      <c r="B50" s="26" t="n">
        <v>0.08</v>
      </c>
      <c r="C50" s="14" t="inlineStr">
        <is>
          <t>le geste : +8 %</t>
        </is>
      </c>
    </row>
    <row r="51">
      <c r="A51" s="25" t="inlineStr">
        <is>
          <t>Élasticité retenue (moyenne)</t>
        </is>
      </c>
      <c r="B51" s="27">
        <f>AVERAGE(F10:F23)</f>
        <v/>
      </c>
      <c r="C51" s="14">
        <f> moyenne des élasticités du bloc ① (formule)</f>
        <v/>
      </c>
    </row>
    <row r="52">
      <c r="A52" s="25" t="inlineStr">
        <is>
          <t>Coût variable / élève</t>
        </is>
      </c>
      <c r="B52" s="28" t="n">
        <v>300</v>
      </c>
      <c r="C52" s="14" t="inlineStr">
        <is>
          <t>marginal, classe existante</t>
        </is>
      </c>
    </row>
    <row r="53">
      <c r="A53" s="25" t="inlineStr">
        <is>
          <t>CA 1ʳᵉ année / inscrit</t>
        </is>
      </c>
      <c r="B53" s="28" t="n">
        <v>7608</v>
      </c>
      <c r="C53" s="14" t="inlineStr">
        <is>
          <t>votre référentiel</t>
        </is>
      </c>
    </row>
    <row r="55">
      <c r="A55" s="29" t="inlineStr">
        <is>
          <t>BASES (calculées)</t>
        </is>
      </c>
    </row>
    <row r="56">
      <c r="A56" s="25" t="inlineStr">
        <is>
          <t>Budget acq total 2026</t>
        </is>
      </c>
      <c r="B56" s="30">
        <f>SUM(E10:E23)</f>
        <v/>
      </c>
      <c r="C56" s="14">
        <f>SUM(budgets 2026)</f>
        <v/>
      </c>
    </row>
    <row r="57">
      <c r="A57" s="25" t="inlineStr">
        <is>
          <t>Leads payants total 2026</t>
        </is>
      </c>
      <c r="B57" s="31">
        <f>SUM(C10:C23)</f>
        <v/>
      </c>
      <c r="C57" s="14">
        <f>SUM(leads payants 2026)</f>
        <v/>
      </c>
    </row>
    <row r="58">
      <c r="A58" s="25" t="inlineStr">
        <is>
          <t>Conversion lead → inscrit</t>
        </is>
      </c>
      <c r="B58" s="26" t="n">
        <v>0.07099999999999999</v>
      </c>
      <c r="C58" s="14" t="inlineStr">
        <is>
          <t>funnel réel 2026</t>
        </is>
      </c>
    </row>
    <row r="60">
      <c r="A60" s="32" t="inlineStr">
        <is>
          <t>LE P&amp;L MARGINAL DU +Δ%</t>
        </is>
      </c>
    </row>
    <row r="61">
      <c r="A61" s="33" t="inlineStr">
        <is>
          <t>Budget dépensé</t>
        </is>
      </c>
      <c r="B61" s="34">
        <f>$B$56*$B$50</f>
        <v/>
      </c>
      <c r="C61" s="35">
        <f> budget total × Δ</f>
        <v/>
      </c>
    </row>
    <row r="62">
      <c r="A62" s="25" t="inlineStr">
        <is>
          <t>Leads payants gagnés</t>
        </is>
      </c>
      <c r="B62" s="36">
        <f>$B$57*((1+$B$50)^$B$51-1)</f>
        <v/>
      </c>
      <c r="C62" s="35">
        <f> leads × ((1+Δ)^élasticité − 1)</f>
        <v/>
      </c>
    </row>
    <row r="63">
      <c r="A63" s="25" t="inlineStr">
        <is>
          <t>Inscrits gagnés</t>
        </is>
      </c>
      <c r="B63" s="36">
        <f>B62*$B$58</f>
        <v/>
      </c>
      <c r="C63" s="35">
        <f> leads gagnés × conversion</f>
        <v/>
      </c>
    </row>
    <row r="64">
      <c r="A64" s="37" t="inlineStr">
        <is>
          <t>CA 1ʳᵉ année</t>
        </is>
      </c>
      <c r="B64" s="38">
        <f>B63*$B$53</f>
        <v/>
      </c>
      <c r="C64" s="35">
        <f> inscrits gagnés × CA/inscrit</f>
        <v/>
      </c>
    </row>
    <row r="65">
      <c r="A65" s="33" t="inlineStr">
        <is>
          <t>− Coût variable à servir</t>
        </is>
      </c>
      <c r="B65" s="34">
        <f>-B63*$B$52</f>
        <v/>
      </c>
      <c r="C65" s="35">
        <f> inscrits × coût variable</f>
        <v/>
      </c>
    </row>
    <row r="66">
      <c r="A66" s="39">
        <f> EBITDA 1ʳᵉ année</f>
        <v/>
      </c>
      <c r="B66" s="40">
        <f>B64-B61+B65</f>
        <v/>
      </c>
      <c r="C66" s="41">
        <f> CA − budget − coût variable</f>
        <v/>
      </c>
    </row>
    <row r="67">
      <c r="A67" s="25" t="inlineStr">
        <is>
          <t>CAC marginal (coût du prochain inscrit)</t>
        </is>
      </c>
      <c r="B67" s="42">
        <f>B61/B63</f>
        <v/>
      </c>
      <c r="C67" s="23">
        <f> budget dépensé ÷ inscrits gagnés  → à comparer aux 7608 €/an de valeur d'un inscrit</f>
        <v/>
      </c>
    </row>
    <row r="69">
      <c r="A69" s="43" t="inlineStr">
        <is>
          <t>Changez Δ (8 % → 12 %), l'élasticité, ou le coût variable dans les cases jaunes : l'EBITDA et le CAC marginal se recalculent tout seuls.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2026-08-30T23:21:38Z</dcterms:created>
  <dcterms:modified xsi:type="dcterms:W3CDTF">2026-08-30T23:21:38Z</dcterms:modified>
</cp:coreProperties>
</file>