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ckpit" sheetId="1" state="visible" r:id="rId1"/>
    <sheet name="Donné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6">
    <numFmt numFmtId="164" formatCode="#,##0;(#,##0);&quot;-&quot;"/>
    <numFmt numFmtId="165" formatCode="#,##0.00,,&quot; M€&quot;"/>
    <numFmt numFmtId="166" formatCode="0.0%"/>
    <numFmt numFmtId="167" formatCode="0.0&quot; pt&quot;"/>
    <numFmt numFmtId="168" formatCode="#,##0&quot; €&quot;"/>
    <numFmt numFmtId="169" formatCode="0.0"/>
  </numFmts>
  <fonts count="20">
    <font>
      <name val="Calibri"/>
      <family val="2"/>
      <color theme="1"/>
      <sz val="11"/>
      <scheme val="minor"/>
    </font>
    <font>
      <name val="Arial"/>
      <b val="1"/>
      <color rgb="000A5A48"/>
      <sz val="11"/>
    </font>
    <font>
      <name val="Arial"/>
      <i val="1"/>
      <color rgb="007D8B98"/>
      <sz val="8"/>
    </font>
    <font>
      <name val="Arial"/>
      <b val="1"/>
      <color rgb="00FFFFFF"/>
      <sz val="9"/>
    </font>
    <font>
      <name val="Arial"/>
      <color rgb="00152230"/>
      <sz val="9"/>
    </font>
    <font>
      <name val="Arial"/>
      <color rgb="000000FF"/>
      <sz val="9"/>
    </font>
    <font>
      <name val="Arial"/>
      <b val="1"/>
      <color rgb="00152230"/>
      <sz val="16"/>
    </font>
    <font>
      <name val="Arial"/>
      <color rgb="000A5A48"/>
      <sz val="9"/>
    </font>
    <font>
      <name val="Arial"/>
      <b val="1"/>
      <color rgb="007D8B98"/>
      <sz val="9"/>
    </font>
    <font>
      <name val="Arial"/>
      <b val="1"/>
      <color rgb="000A5A48"/>
      <sz val="16"/>
    </font>
    <font>
      <name val="Arial"/>
      <b val="1"/>
      <color rgb="000A5A48"/>
      <sz val="9"/>
    </font>
    <font>
      <name val="Arial"/>
      <b val="1"/>
      <color rgb="00152230"/>
      <sz val="10"/>
    </font>
    <font>
      <name val="Arial"/>
      <color rgb="00152230"/>
      <sz val="10"/>
    </font>
    <font>
      <name val="Arial"/>
      <i val="1"/>
      <color rgb="00152230"/>
      <sz val="9"/>
    </font>
    <font>
      <name val="Arial"/>
      <b val="1"/>
      <color rgb="00B3641C"/>
      <sz val="10"/>
    </font>
    <font>
      <name val="Arial"/>
      <color rgb="00B3641C"/>
      <sz val="10"/>
    </font>
    <font>
      <name val="Arial"/>
      <i val="1"/>
      <color rgb="00B3641C"/>
      <sz val="9"/>
    </font>
    <font>
      <name val="Arial"/>
      <i val="1"/>
      <color rgb="00B3641C"/>
      <sz val="8"/>
    </font>
    <font>
      <name val="Arial"/>
      <b val="1"/>
      <color rgb="000A5A48"/>
      <sz val="10"/>
    </font>
    <font>
      <name val="Arial"/>
      <b val="1"/>
      <color rgb="00152230"/>
      <sz val="9"/>
    </font>
  </fonts>
  <fills count="5">
    <fill>
      <patternFill/>
    </fill>
    <fill>
      <patternFill patternType="gray125"/>
    </fill>
    <fill>
      <patternFill patternType="solid">
        <fgColor rgb="000D7A62"/>
      </patternFill>
    </fill>
    <fill>
      <patternFill patternType="solid">
        <fgColor rgb="00E4F0EC"/>
      </patternFill>
    </fill>
    <fill>
      <patternFill patternType="solid">
        <fgColor rgb="00F5F7F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1">
    <xf numFmtId="0" fontId="0" fillId="0" borderId="0" pivotButton="0" quotePrefix="0" xfId="0"/>
    <xf numFmtId="0" fontId="6" fillId="0" borderId="0" pivotButton="0" quotePrefix="0" xfId="0"/>
    <xf numFmtId="0" fontId="7" fillId="0" borderId="0" pivotButton="0" quotePrefix="0" xfId="0"/>
    <xf numFmtId="0" fontId="8" fillId="3" borderId="0" applyAlignment="1" pivotButton="0" quotePrefix="0" xfId="0">
      <alignment horizontal="left" vertical="center"/>
    </xf>
    <xf numFmtId="0" fontId="0" fillId="3" borderId="0" pivotButton="0" quotePrefix="0" xfId="0"/>
    <xf numFmtId="165" fontId="9" fillId="3" borderId="0" applyAlignment="1" pivotButton="0" quotePrefix="0" xfId="0">
      <alignment horizontal="left" vertical="center"/>
    </xf>
    <xf numFmtId="166" fontId="9" fillId="3" borderId="0" applyAlignment="1" pivotButton="0" quotePrefix="0" xfId="0">
      <alignment horizontal="left" vertical="center"/>
    </xf>
    <xf numFmtId="0" fontId="3" fillId="2" borderId="0" applyAlignment="1" pivotButton="0" quotePrefix="0" xfId="0">
      <alignment horizontal="left" vertical="center"/>
    </xf>
    <xf numFmtId="0" fontId="3" fillId="2" borderId="0" applyAlignment="1" pivotButton="0" quotePrefix="0" xfId="0">
      <alignment horizontal="center" vertical="center" wrapText="1"/>
    </xf>
    <xf numFmtId="0" fontId="10" fillId="4" borderId="0" pivotButton="0" quotePrefix="0" xfId="0"/>
    <xf numFmtId="0" fontId="0" fillId="4" borderId="0" pivotButton="0" quotePrefix="0" xfId="0"/>
    <xf numFmtId="0" fontId="11" fillId="0" borderId="0" applyAlignment="1" pivotButton="0" quotePrefix="0" xfId="0">
      <alignment horizontal="left" vertical="center"/>
    </xf>
    <xf numFmtId="164" fontId="12" fillId="0" borderId="0" applyAlignment="1" pivotButton="0" quotePrefix="0" xfId="0">
      <alignment horizontal="right" vertical="center"/>
    </xf>
    <xf numFmtId="166" fontId="13" fillId="0" borderId="0" applyAlignment="1" pivotButton="0" quotePrefix="0" xfId="0">
      <alignment horizontal="right" vertical="center"/>
    </xf>
    <xf numFmtId="166" fontId="12" fillId="0" borderId="0" applyAlignment="1" pivotButton="0" quotePrefix="0" xfId="0">
      <alignment horizontal="right" vertical="center"/>
    </xf>
    <xf numFmtId="167" fontId="13" fillId="0" borderId="0" applyAlignment="1" pivotButton="0" quotePrefix="0" xfId="0">
      <alignment horizontal="right" vertical="center"/>
    </xf>
    <xf numFmtId="3" fontId="12" fillId="0" borderId="0" applyAlignment="1" pivotButton="0" quotePrefix="0" xfId="0">
      <alignment horizontal="right" vertical="center"/>
    </xf>
    <xf numFmtId="0" fontId="14" fillId="0" borderId="0" applyAlignment="1" pivotButton="0" quotePrefix="0" xfId="0">
      <alignment horizontal="left" vertical="center"/>
    </xf>
    <xf numFmtId="168" fontId="15" fillId="0" borderId="0" applyAlignment="1" pivotButton="0" quotePrefix="0" xfId="0">
      <alignment horizontal="right" vertical="center"/>
    </xf>
    <xf numFmtId="166" fontId="16" fillId="0" borderId="0" applyAlignment="1" pivotButton="0" quotePrefix="0" xfId="0">
      <alignment horizontal="right" vertical="center"/>
    </xf>
    <xf numFmtId="0" fontId="17" fillId="0" borderId="0" pivotButton="0" quotePrefix="0" xfId="0"/>
    <xf numFmtId="0" fontId="18" fillId="0" borderId="0" pivotButton="0" quotePrefix="0" xfId="0"/>
    <xf numFmtId="0" fontId="19" fillId="0" borderId="0" pivotButton="0" quotePrefix="0" xfId="0"/>
    <xf numFmtId="0" fontId="19" fillId="0" borderId="0" applyAlignment="1" pivotButton="0" quotePrefix="0" xfId="0">
      <alignment horizontal="center" vertical="center" wrapText="1"/>
    </xf>
    <xf numFmtId="0" fontId="4" fillId="0" borderId="0" pivotButton="0" quotePrefix="0" xfId="0"/>
    <xf numFmtId="169" fontId="0" fillId="0" borderId="0" pivotButton="0" quotePrefix="0" xfId="0"/>
    <xf numFmtId="0" fontId="2" fillId="0" borderId="0" pivotButton="0" quotePrefix="0" xfId="0"/>
    <xf numFmtId="0" fontId="1" fillId="0" borderId="0" pivotButton="0" quotePrefix="0" xfId="0"/>
    <xf numFmtId="0" fontId="4" fillId="0" borderId="0" applyAlignment="1" pivotButton="0" quotePrefix="0" xfId="0">
      <alignment horizontal="center" vertical="center" wrapText="1"/>
    </xf>
    <xf numFmtId="164" fontId="5" fillId="0" borderId="0" applyAlignment="1" pivotButton="0" quotePrefix="0" xfId="0">
      <alignment horizontal="right" vertical="center"/>
    </xf>
    <xf numFmtId="3" fontId="5" fillId="0" borderId="0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Chiffre d'affaires (€)</a:t>
            </a:r>
          </a:p>
        </rich>
      </tx>
    </title>
    <plotArea>
      <lineChart>
        <grouping val="standard"/>
        <ser>
          <idx val="0"/>
          <order val="0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'Cockpit'!$B$7:$D$7</f>
            </numRef>
          </cat>
          <val>
            <numRef>
              <f>'Cockpit'!$B$9:$D$9</f>
            </numRef>
          </val>
        </ser>
        <axId val="10"/>
        <axId val="100"/>
      </lineChart>
      <catAx>
        <axId val="10"/>
        <scaling>
          <orientation val="minMax"/>
        </scaling>
        <delete val="1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1"/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EBITDA (€)</a:t>
            </a:r>
          </a:p>
        </rich>
      </tx>
    </title>
    <plotArea>
      <lineChart>
        <grouping val="standard"/>
        <ser>
          <idx val="0"/>
          <order val="0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'Cockpit'!$B$7:$D$7</f>
            </numRef>
          </cat>
          <val>
            <numRef>
              <f>'Cockpit'!$B$10:$D$10</f>
            </numRef>
          </val>
        </ser>
        <axId val="10"/>
        <axId val="100"/>
      </lineChart>
      <catAx>
        <axId val="10"/>
        <scaling>
          <orientation val="minMax"/>
        </scaling>
        <delete val="1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1"/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Marge EBITDA %</a:t>
            </a:r>
          </a:p>
        </rich>
      </tx>
    </title>
    <plotArea>
      <lineChart>
        <grouping val="standard"/>
        <ser>
          <idx val="0"/>
          <order val="0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'Cockpit'!$B$7:$D$7</f>
            </numRef>
          </cat>
          <val>
            <numRef>
              <f>'Cockpit'!$B$11:$D$11</f>
            </numRef>
          </val>
        </ser>
        <axId val="10"/>
        <axId val="100"/>
      </lineChart>
      <catAx>
        <axId val="10"/>
        <scaling>
          <orientation val="minMax"/>
        </scaling>
        <delete val="1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1"/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4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Leads</a:t>
            </a:r>
          </a:p>
        </rich>
      </tx>
    </title>
    <plotArea>
      <lineChart>
        <grouping val="standard"/>
        <ser>
          <idx val="0"/>
          <order val="0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'Cockpit'!$B$7:$D$7</f>
            </numRef>
          </cat>
          <val>
            <numRef>
              <f>'Cockpit'!$B$13:$D$13</f>
            </numRef>
          </val>
        </ser>
        <axId val="10"/>
        <axId val="100"/>
      </lineChart>
      <catAx>
        <axId val="10"/>
        <scaling>
          <orientation val="minMax"/>
        </scaling>
        <delete val="1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1"/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5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Inscrits</a:t>
            </a:r>
          </a:p>
        </rich>
      </tx>
    </title>
    <plotArea>
      <lineChart>
        <grouping val="standard"/>
        <ser>
          <idx val="0"/>
          <order val="0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'Cockpit'!$B$7:$D$7</f>
            </numRef>
          </cat>
          <val>
            <numRef>
              <f>'Cockpit'!$B$14:$D$14</f>
            </numRef>
          </val>
        </ser>
        <axId val="10"/>
        <axId val="100"/>
      </lineChart>
      <catAx>
        <axId val="10"/>
        <scaling>
          <orientation val="minMax"/>
        </scaling>
        <delete val="1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1"/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6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CAC (€/inscrit)</a:t>
            </a:r>
          </a:p>
        </rich>
      </tx>
    </title>
    <plotArea>
      <lineChart>
        <grouping val="standard"/>
        <ser>
          <idx val="0"/>
          <order val="0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'Cockpit'!$B$7:$D$7</f>
            </numRef>
          </cat>
          <val>
            <numRef>
              <f>'Cockpit'!$B$15:$D$15</f>
            </numRef>
          </val>
        </ser>
        <axId val="10"/>
        <axId val="100"/>
      </lineChart>
      <catAx>
        <axId val="10"/>
        <scaling>
          <orientation val="minMax"/>
        </scaling>
        <delete val="1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1"/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7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Activité vs Dépenses (base 100)</a:t>
            </a:r>
          </a:p>
        </rich>
      </tx>
    </title>
    <plotArea>
      <lineChart>
        <grouping val="standard"/>
        <ser>
          <idx val="0"/>
          <order val="0"/>
          <tx>
            <strRef>
              <f>'Cockpit'!A20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'Cockpit'!$B$19:$D$19</f>
            </numRef>
          </cat>
          <val>
            <numRef>
              <f>'Cockpit'!$B$20:$D$20</f>
            </numRef>
          </val>
        </ser>
        <ser>
          <idx val="1"/>
          <order val="1"/>
          <tx>
            <strRef>
              <f>'Cockpit'!A21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'Cockpit'!$B$19:$D$19</f>
            </numRef>
          </cat>
          <val>
            <numRef>
              <f>'Cockpit'!$B$21:$D$21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Relationship Type="http://schemas.openxmlformats.org/officeDocument/2006/relationships/chart" Target="/xl/charts/chart4.xml" Id="rId4" /><Relationship Type="http://schemas.openxmlformats.org/officeDocument/2006/relationships/chart" Target="/xl/charts/chart5.xml" Id="rId5" /><Relationship Type="http://schemas.openxmlformats.org/officeDocument/2006/relationships/chart" Target="/xl/charts/chart6.xml" Id="rId6" /><Relationship Type="http://schemas.openxmlformats.org/officeDocument/2006/relationships/chart" Target="/xl/charts/chart7.xml" Id="rId7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6</col>
      <colOff>0</colOff>
      <row>6</row>
      <rowOff>0</rowOff>
    </from>
    <ext cx="2304000" cy="827999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6</col>
      <colOff>0</colOff>
      <row>12</row>
      <rowOff>0</rowOff>
    </from>
    <ext cx="2304000" cy="827999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6</col>
      <colOff>0</colOff>
      <row>18</row>
      <rowOff>0</rowOff>
    </from>
    <ext cx="2304000" cy="827999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  <oneCellAnchor>
    <from>
      <col>6</col>
      <colOff>0</colOff>
      <row>24</row>
      <rowOff>0</rowOff>
    </from>
    <ext cx="2304000" cy="827999"/>
    <graphicFrame>
      <nvGraphicFramePr>
        <cNvPr id="4" name="Chart 4"/>
        <cNvGraphicFramePr/>
      </nvGraphicFramePr>
      <xfrm/>
      <a:graphic>
        <a:graphicData uri="http://schemas.openxmlformats.org/drawingml/2006/chart">
          <c:chart r:id="rId4"/>
        </a:graphicData>
      </a:graphic>
    </graphicFrame>
    <clientData/>
  </oneCellAnchor>
  <oneCellAnchor>
    <from>
      <col>6</col>
      <colOff>0</colOff>
      <row>30</row>
      <rowOff>0</rowOff>
    </from>
    <ext cx="2304000" cy="827999"/>
    <graphicFrame>
      <nvGraphicFramePr>
        <cNvPr id="5" name="Chart 5"/>
        <cNvGraphicFramePr/>
      </nvGraphicFramePr>
      <xfrm/>
      <a:graphic>
        <a:graphicData uri="http://schemas.openxmlformats.org/drawingml/2006/chart">
          <c:chart r:id="rId5"/>
        </a:graphicData>
      </a:graphic>
    </graphicFrame>
    <clientData/>
  </oneCellAnchor>
  <oneCellAnchor>
    <from>
      <col>6</col>
      <colOff>0</colOff>
      <row>36</row>
      <rowOff>0</rowOff>
    </from>
    <ext cx="2304000" cy="827999"/>
    <graphicFrame>
      <nvGraphicFramePr>
        <cNvPr id="6" name="Chart 6"/>
        <cNvGraphicFramePr/>
      </nvGraphicFramePr>
      <xfrm/>
      <a:graphic>
        <a:graphicData uri="http://schemas.openxmlformats.org/drawingml/2006/chart">
          <c:chart r:id="rId6"/>
        </a:graphicData>
      </a:graphic>
    </graphicFrame>
    <clientData/>
  </oneCellAnchor>
  <oneCellAnchor>
    <from>
      <col>13</col>
      <colOff>0</colOff>
      <row>17</row>
      <rowOff>0</rowOff>
    </from>
    <ext cx="4320000" cy="2340000"/>
    <graphicFrame>
      <nvGraphicFramePr>
        <cNvPr id="7" name="Chart 7"/>
        <cNvGraphicFramePr/>
      </nvGraphicFramePr>
      <xfrm/>
      <a:graphic>
        <a:graphicData uri="http://schemas.openxmlformats.org/drawingml/2006/chart">
          <c:chart r:id="rId7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3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3" customWidth="1" min="2" max="2"/>
    <col width="13" customWidth="1" min="3" max="3"/>
    <col width="15" customWidth="1" min="4" max="4"/>
    <col width="12" customWidth="1" min="5" max="5"/>
  </cols>
  <sheetData>
    <row r="1">
      <c r="A1" s="1" t="inlineStr">
        <is>
          <t>COCKPIT · ATTERRISSAGE 2026</t>
        </is>
      </c>
    </row>
    <row r="2">
      <c r="A2" s="2" t="inlineStr">
        <is>
          <t>Point de départ du budget 2027 · réalisé 2024-2025, atterrissage 2026 · commercial + financier, un seul écran</t>
        </is>
      </c>
    </row>
    <row r="4">
      <c r="A4" s="3" t="inlineStr">
        <is>
          <t>Chiffre d'affaires 2026</t>
        </is>
      </c>
      <c r="B4" s="4" t="n"/>
      <c r="C4" s="3" t="inlineStr">
        <is>
          <t>EBITDA 2026</t>
        </is>
      </c>
      <c r="D4" s="4" t="n"/>
      <c r="E4" s="3" t="inlineStr">
        <is>
          <t>Marge EBITDA 2026</t>
        </is>
      </c>
      <c r="F4" s="4" t="n"/>
    </row>
    <row r="5">
      <c r="A5" s="5">
        <f>Données!B7</f>
        <v/>
      </c>
      <c r="B5" s="4" t="n"/>
      <c r="C5" s="5">
        <f>Données!C7</f>
        <v/>
      </c>
      <c r="D5" s="4" t="n"/>
      <c r="E5" s="6">
        <f>Données!C7/Données!B7</f>
        <v/>
      </c>
      <c r="F5" s="4" t="n"/>
    </row>
    <row r="7">
      <c r="A7" s="7" t="inlineStr">
        <is>
          <t>KPI</t>
        </is>
      </c>
      <c r="B7" s="8" t="inlineStr">
        <is>
          <t>2024 réalisé</t>
        </is>
      </c>
      <c r="C7" s="8" t="inlineStr">
        <is>
          <t>2025 réalisé</t>
        </is>
      </c>
      <c r="D7" s="8" t="inlineStr">
        <is>
          <t>2026 atterrissage</t>
        </is>
      </c>
      <c r="E7" s="8" t="inlineStr">
        <is>
          <t>YoY 25→26</t>
        </is>
      </c>
    </row>
    <row r="8">
      <c r="A8" s="9" t="inlineStr">
        <is>
          <t>FINANCE</t>
        </is>
      </c>
      <c r="B8" s="10" t="n"/>
      <c r="C8" s="10" t="n"/>
      <c r="D8" s="10" t="n"/>
      <c r="E8" s="10" t="n"/>
    </row>
    <row r="9">
      <c r="A9" s="11" t="inlineStr">
        <is>
          <t>Chiffre d'affaires (€)</t>
        </is>
      </c>
      <c r="B9" s="12">
        <f>Données!B5</f>
        <v/>
      </c>
      <c r="C9" s="12">
        <f>Données!B6</f>
        <v/>
      </c>
      <c r="D9" s="12">
        <f>Données!B7</f>
        <v/>
      </c>
      <c r="E9" s="13">
        <f>D9/C9-1</f>
        <v/>
      </c>
    </row>
    <row r="10">
      <c r="A10" s="11" t="inlineStr">
        <is>
          <t>EBITDA (€)</t>
        </is>
      </c>
      <c r="B10" s="12">
        <f>Données!C5</f>
        <v/>
      </c>
      <c r="C10" s="12">
        <f>Données!C6</f>
        <v/>
      </c>
      <c r="D10" s="12">
        <f>Données!C7</f>
        <v/>
      </c>
      <c r="E10" s="13">
        <f>D10/C10-1</f>
        <v/>
      </c>
    </row>
    <row r="11">
      <c r="A11" s="11" t="inlineStr">
        <is>
          <t>Marge EBITDA %</t>
        </is>
      </c>
      <c r="B11" s="14">
        <f>Données!C5/Données!B5</f>
        <v/>
      </c>
      <c r="C11" s="14">
        <f>Données!C6/Données!B6</f>
        <v/>
      </c>
      <c r="D11" s="14">
        <f>Données!C7/Données!B7</f>
        <v/>
      </c>
      <c r="E11" s="15">
        <f>D11-C11</f>
        <v/>
      </c>
    </row>
    <row r="12">
      <c r="A12" s="9" t="inlineStr">
        <is>
          <t>COMMERCIAL</t>
        </is>
      </c>
      <c r="B12" s="10" t="n"/>
      <c r="C12" s="10" t="n"/>
      <c r="D12" s="10" t="n"/>
      <c r="E12" s="10" t="n"/>
    </row>
    <row r="13">
      <c r="A13" s="11" t="inlineStr">
        <is>
          <t>Leads</t>
        </is>
      </c>
      <c r="B13" s="16">
        <f>Données!D5</f>
        <v/>
      </c>
      <c r="C13" s="16">
        <f>Données!D6</f>
        <v/>
      </c>
      <c r="D13" s="16">
        <f>Données!D7</f>
        <v/>
      </c>
      <c r="E13" s="13">
        <f>D13/C13-1</f>
        <v/>
      </c>
    </row>
    <row r="14">
      <c r="A14" s="11" t="inlineStr">
        <is>
          <t>Inscrits</t>
        </is>
      </c>
      <c r="B14" s="16">
        <f>Données!E5</f>
        <v/>
      </c>
      <c r="C14" s="16">
        <f>Données!E6</f>
        <v/>
      </c>
      <c r="D14" s="16">
        <f>Données!E7</f>
        <v/>
      </c>
      <c r="E14" s="13">
        <f>D14/C14-1</f>
        <v/>
      </c>
    </row>
    <row r="15">
      <c r="A15" s="17" t="inlineStr">
        <is>
          <t>CAC (€/inscrit)</t>
        </is>
      </c>
      <c r="B15" s="18">
        <f>Données!F5/Données!E5</f>
        <v/>
      </c>
      <c r="C15" s="18">
        <f>Données!F6/Données!E6</f>
        <v/>
      </c>
      <c r="D15" s="18">
        <f>Données!F7/Données!E7</f>
        <v/>
      </c>
      <c r="E15" s="19">
        <f>D15/C15-1</f>
        <v/>
      </c>
    </row>
    <row r="16">
      <c r="A16" s="20" t="inlineStr">
        <is>
          <t>CAC = seul KPI en tension : le coût d'acquisition monte plus vite que le volume. C'est ce qu'on ira traiter dans le budget 2027.</t>
        </is>
      </c>
    </row>
    <row r="18">
      <c r="A18" s="21" t="inlineStr">
        <is>
          <t>TENSION — base 100 en 2024 : activité (CA) vs dépenses d'acquisition</t>
        </is>
      </c>
    </row>
    <row r="19">
      <c r="A19" s="22" t="inlineStr">
        <is>
          <t>Année</t>
        </is>
      </c>
      <c r="B19" s="23" t="n">
        <v>2024</v>
      </c>
      <c r="C19" s="23" t="n">
        <v>2025</v>
      </c>
      <c r="D19" s="23" t="n">
        <v>2026</v>
      </c>
    </row>
    <row r="20">
      <c r="A20" s="24" t="inlineStr">
        <is>
          <t>Activité (CA)</t>
        </is>
      </c>
      <c r="B20" s="25">
        <f>Données!B5/Données!B5*100</f>
        <v/>
      </c>
      <c r="C20" s="25">
        <f>Données!B6/Données!B5*100</f>
        <v/>
      </c>
      <c r="D20" s="25">
        <f>Données!B7/Données!B5*100</f>
        <v/>
      </c>
    </row>
    <row r="21">
      <c r="A21" s="24" t="inlineStr">
        <is>
          <t>Dépenses acq.</t>
        </is>
      </c>
      <c r="B21" s="25">
        <f>Données!F5/Données!F5*100</f>
        <v/>
      </c>
      <c r="C21" s="25">
        <f>Données!F6/Données!F5*100</f>
        <v/>
      </c>
      <c r="D21" s="25">
        <f>Données!F7/Données!F5*100</f>
        <v/>
      </c>
    </row>
    <row r="23">
      <c r="A23" s="26" t="inlineStr">
        <is>
          <t>Message : commercial ET financier sur un écran. On progresse (CA/EBITDA), mais le CAC se dégrade -&gt; le budget 2027 doit répondre à ça.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7"/>
  <sheetViews>
    <sheetView showGridLines="0" workbookViewId="0">
      <selection activeCell="A1" sqref="A1"/>
    </sheetView>
  </sheetViews>
  <sheetFormatPr baseColWidth="8" defaultRowHeight="15"/>
  <cols>
    <col width="10" customWidth="1" min="1" max="1"/>
    <col width="13" customWidth="1" min="2" max="2"/>
    <col width="12" customWidth="1" min="3" max="3"/>
    <col width="10" customWidth="1" min="4" max="4"/>
    <col width="10" customWidth="1" min="5" max="5"/>
    <col width="13" customWidth="1" min="6" max="6"/>
  </cols>
  <sheetData>
    <row r="1">
      <c r="A1" s="27" t="inlineStr">
        <is>
          <t>DONNÉES — agrégats annuels groupe (source : compta produits + socle CRM)</t>
        </is>
      </c>
    </row>
    <row r="2">
      <c r="A2" s="26" t="inlineStr">
        <is>
          <t>2024-2025 réalisé · 2026 atterrissage. Bleu = donnée.</t>
        </is>
      </c>
    </row>
    <row r="4">
      <c r="A4" s="7" t="inlineStr">
        <is>
          <t>Exercice</t>
        </is>
      </c>
      <c r="B4" s="8" t="inlineStr">
        <is>
          <t>CA</t>
        </is>
      </c>
      <c r="C4" s="8" t="inlineStr">
        <is>
          <t>EBITDA</t>
        </is>
      </c>
      <c r="D4" s="8" t="inlineStr">
        <is>
          <t>Leads</t>
        </is>
      </c>
      <c r="E4" s="8" t="inlineStr">
        <is>
          <t>Inscrits</t>
        </is>
      </c>
      <c r="F4" s="8" t="inlineStr">
        <is>
          <t>Dépense acq.</t>
        </is>
      </c>
    </row>
    <row r="5">
      <c r="A5" s="28" t="inlineStr">
        <is>
          <t>2024</t>
        </is>
      </c>
      <c r="B5" s="29" t="n">
        <v>20064725</v>
      </c>
      <c r="C5" s="29" t="n">
        <v>2648550</v>
      </c>
      <c r="D5" s="30" t="n">
        <v>15305</v>
      </c>
      <c r="E5" s="30" t="n">
        <v>1092</v>
      </c>
      <c r="F5" s="29" t="n">
        <v>358819</v>
      </c>
    </row>
    <row r="6">
      <c r="A6" s="28" t="inlineStr">
        <is>
          <t>2025</t>
        </is>
      </c>
      <c r="B6" s="29" t="n">
        <v>21268606</v>
      </c>
      <c r="C6" s="29" t="n">
        <v>2977604</v>
      </c>
      <c r="D6" s="30" t="n">
        <v>16226</v>
      </c>
      <c r="E6" s="30" t="n">
        <v>1159</v>
      </c>
      <c r="F6" s="29" t="n">
        <v>394702</v>
      </c>
    </row>
    <row r="7">
      <c r="A7" s="28" t="inlineStr">
        <is>
          <t>2026</t>
        </is>
      </c>
      <c r="B7" s="29" t="n">
        <v>22544725</v>
      </c>
      <c r="C7" s="29" t="n">
        <v>3291530</v>
      </c>
      <c r="D7" s="30" t="n">
        <v>17197</v>
      </c>
      <c r="E7" s="30" t="n">
        <v>1229</v>
      </c>
      <c r="F7" s="29" t="n">
        <v>434174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2026-08-27T15:35:21Z</dcterms:created>
  <dcterms:modified xsi:type="dcterms:W3CDTF">2026-08-27T15:35:21Z</dcterms:modified>
</cp:coreProperties>
</file>