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ckpit" sheetId="1" state="visible" r:id="rId1"/>
    <sheet name="Donné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0,,&quot; M€&quot;"/>
    <numFmt numFmtId="166" formatCode="0.0%"/>
    <numFmt numFmtId="167" formatCode="&quot;▲ &quot;0.0%"/>
    <numFmt numFmtId="168" formatCode="&quot;▲ &quot;0.0&quot; pt&quot;"/>
    <numFmt numFmtId="169" formatCode="#,##0&quot; €&quot;"/>
    <numFmt numFmtId="170" formatCode="0.0"/>
  </numFmts>
  <fonts count="20">
    <font>
      <name val="Calibri"/>
      <family val="2"/>
      <color theme="1"/>
      <sz val="11"/>
      <scheme val="minor"/>
    </font>
    <font>
      <name val="Arial"/>
      <b val="1"/>
      <color rgb="000A5A48"/>
      <sz val="11"/>
    </font>
    <font>
      <name val="Arial"/>
      <i val="1"/>
      <color rgb="007D8B98"/>
      <sz val="8"/>
    </font>
    <font>
      <name val="Arial"/>
      <b val="1"/>
      <color rgb="00FFFFFF"/>
      <sz val="9"/>
    </font>
    <font>
      <name val="Arial"/>
      <color rgb="00152230"/>
      <sz val="9"/>
    </font>
    <font>
      <name val="Arial"/>
      <color rgb="000000FF"/>
      <sz val="9"/>
    </font>
    <font>
      <name val="Arial"/>
      <b val="1"/>
      <color rgb="00152230"/>
      <sz val="16"/>
    </font>
    <font>
      <name val="Arial"/>
      <color rgb="000A5A48"/>
      <sz val="9"/>
    </font>
    <font>
      <name val="Arial"/>
      <b val="1"/>
      <color rgb="007D8B98"/>
      <sz val="9"/>
    </font>
    <font>
      <name val="Arial"/>
      <b val="1"/>
      <color rgb="000A5A48"/>
      <sz val="16"/>
    </font>
    <font>
      <name val="Arial"/>
      <b val="1"/>
      <color rgb="000A5A48"/>
      <sz val="9"/>
    </font>
    <font>
      <name val="Arial"/>
      <b val="1"/>
      <color rgb="00152230"/>
      <sz val="10"/>
    </font>
    <font>
      <name val="Arial"/>
      <color rgb="00152230"/>
      <sz val="10"/>
    </font>
    <font>
      <name val="Arial"/>
      <b val="1"/>
      <color rgb="000A5A48"/>
      <sz val="10"/>
    </font>
    <font>
      <name val="Arial"/>
      <i val="1"/>
      <color rgb="000A5A48"/>
      <sz val="8"/>
    </font>
    <font>
      <name val="Arial"/>
      <b val="1"/>
      <color rgb="00B3641C"/>
      <sz val="10"/>
    </font>
    <font>
      <name val="Arial"/>
      <color rgb="00B3641C"/>
      <sz val="10"/>
    </font>
    <font>
      <name val="Arial"/>
      <i val="1"/>
      <color rgb="00B3641C"/>
      <sz val="8"/>
    </font>
    <font>
      <name val="Arial"/>
      <b val="1"/>
      <color rgb="00152230"/>
      <sz val="9"/>
    </font>
    <font>
      <name val="Arial"/>
      <b val="1"/>
      <i val="1"/>
      <color rgb="00B3641C"/>
      <sz val="8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E4F0EC"/>
      </patternFill>
    </fill>
    <fill>
      <patternFill patternType="solid">
        <fgColor rgb="00F5F7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9" fillId="3" borderId="0" applyAlignment="1" pivotButton="0" quotePrefix="0" xfId="0">
      <alignment horizontal="left" vertical="center"/>
    </xf>
    <xf numFmtId="166" fontId="9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1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right" vertical="center"/>
    </xf>
    <xf numFmtId="167" fontId="13" fillId="0" borderId="0" applyAlignment="1" pivotButton="0" quotePrefix="0" xfId="0">
      <alignment horizontal="right" vertical="center"/>
    </xf>
    <xf numFmtId="0" fontId="14" fillId="0" borderId="0" pivotButton="0" quotePrefix="0" xfId="0"/>
    <xf numFmtId="166" fontId="12" fillId="0" borderId="0" applyAlignment="1" pivotButton="0" quotePrefix="0" xfId="0">
      <alignment horizontal="right" vertical="center"/>
    </xf>
    <xf numFmtId="168" fontId="13" fillId="0" borderId="0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169" fontId="16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3" fillId="0" borderId="0" pivotButton="0" quotePrefix="0" xfId="0"/>
    <xf numFmtId="0" fontId="18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170" fontId="0" fillId="0" borderId="0" pivotButton="0" quotePrefix="0" xfId="0"/>
    <xf numFmtId="0" fontId="19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Dépenses d'acquisition (+21%) décrochent au-dessus de l'activité (+12%)</a:t>
            </a:r>
          </a:p>
        </rich>
      </tx>
    </title>
    <plotArea>
      <lineChart>
        <grouping val="standard"/>
        <ser>
          <idx val="0"/>
          <order val="0"/>
          <tx>
            <strRef>
              <f>'Cockpit'!A20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'Cockpit'!$B$19:$D$19</f>
            </numRef>
          </cat>
          <val>
            <numRef>
              <f>'Cockpit'!$B$20:$D$20</f>
            </numRef>
          </val>
        </ser>
        <ser>
          <idx val="1"/>
          <order val="1"/>
          <tx>
            <strRef>
              <f>'Cockpit'!A21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'Cockpit'!$B$19:$D$19</f>
            </numRef>
          </cat>
          <val>
            <numRef>
              <f>'Cockpit'!$B$21:$D$21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5" customWidth="1" min="4" max="4"/>
    <col width="11" customWidth="1" min="5" max="5"/>
    <col width="12" customWidth="1" min="6" max="6"/>
  </cols>
  <sheetData>
    <row r="1">
      <c r="A1" s="1" t="inlineStr">
        <is>
          <t>COCKPIT · ATTERRISSAGE 2026</t>
        </is>
      </c>
    </row>
    <row r="2">
      <c r="A2" s="2" t="inlineStr">
        <is>
          <t>Point de départ du budget 2027 · réalisé 2024-2025, atterrissage 2026 · commercial + financier, un seul écran</t>
        </is>
      </c>
    </row>
    <row r="4">
      <c r="A4" s="3" t="inlineStr">
        <is>
          <t>Chiffre d'affaires 2026</t>
        </is>
      </c>
      <c r="B4" s="4" t="n"/>
      <c r="C4" s="3" t="inlineStr">
        <is>
          <t>EBITDA 2026</t>
        </is>
      </c>
      <c r="D4" s="4" t="n"/>
      <c r="E4" s="3" t="inlineStr">
        <is>
          <t>Marge EBITDA 2026</t>
        </is>
      </c>
      <c r="F4" s="4" t="n"/>
    </row>
    <row r="5">
      <c r="A5" s="5">
        <f>Données!B7</f>
        <v/>
      </c>
      <c r="B5" s="4" t="n"/>
      <c r="C5" s="5">
        <f>Données!C7</f>
        <v/>
      </c>
      <c r="D5" s="4" t="n"/>
      <c r="E5" s="6">
        <f>Données!C7/Données!B7</f>
        <v/>
      </c>
      <c r="F5" s="4" t="n"/>
    </row>
    <row r="7">
      <c r="A7" s="7" t="inlineStr">
        <is>
          <t>KPI</t>
        </is>
      </c>
      <c r="B7" s="8" t="inlineStr">
        <is>
          <t>2024 réalisé</t>
        </is>
      </c>
      <c r="C7" s="8" t="inlineStr">
        <is>
          <t>2025 réalisé</t>
        </is>
      </c>
      <c r="D7" s="8" t="inlineStr">
        <is>
          <t>2026 atterrissage</t>
        </is>
      </c>
      <c r="E7" s="8" t="inlineStr">
        <is>
          <t>YoY 25→26</t>
        </is>
      </c>
    </row>
    <row r="8">
      <c r="A8" s="9" t="inlineStr">
        <is>
          <t>FINANCE</t>
        </is>
      </c>
      <c r="B8" s="10" t="n"/>
      <c r="C8" s="10" t="n"/>
      <c r="D8" s="10" t="n"/>
      <c r="E8" s="10" t="n"/>
    </row>
    <row r="9">
      <c r="A9" s="11" t="inlineStr">
        <is>
          <t>Chiffre d'affaires (€)</t>
        </is>
      </c>
      <c r="B9" s="12">
        <f>Données!B5</f>
        <v/>
      </c>
      <c r="C9" s="12">
        <f>Données!B6</f>
        <v/>
      </c>
      <c r="D9" s="12">
        <f>Données!B7</f>
        <v/>
      </c>
      <c r="E9" s="13">
        <f>D9/C9-1</f>
        <v/>
      </c>
      <c r="F9" s="14" t="inlineStr">
        <is>
          <t>bon sens</t>
        </is>
      </c>
    </row>
    <row r="10">
      <c r="A10" s="11" t="inlineStr">
        <is>
          <t>EBITDA (€)</t>
        </is>
      </c>
      <c r="B10" s="12">
        <f>Données!C5</f>
        <v/>
      </c>
      <c r="C10" s="12">
        <f>Données!C6</f>
        <v/>
      </c>
      <c r="D10" s="12">
        <f>Données!C7</f>
        <v/>
      </c>
      <c r="E10" s="13">
        <f>D10/C10-1</f>
        <v/>
      </c>
      <c r="F10" s="14" t="inlineStr">
        <is>
          <t>bon sens</t>
        </is>
      </c>
    </row>
    <row r="11">
      <c r="A11" s="11" t="inlineStr">
        <is>
          <t>Marge EBITDA %</t>
        </is>
      </c>
      <c r="B11" s="15">
        <f>Données!C5/Données!B5</f>
        <v/>
      </c>
      <c r="C11" s="15">
        <f>Données!C6/Données!B6</f>
        <v/>
      </c>
      <c r="D11" s="15">
        <f>Données!C7/Données!B7</f>
        <v/>
      </c>
      <c r="E11" s="16">
        <f>D11-C11</f>
        <v/>
      </c>
      <c r="F11" s="14" t="inlineStr">
        <is>
          <t>bon sens</t>
        </is>
      </c>
    </row>
    <row r="12">
      <c r="A12" s="9" t="inlineStr">
        <is>
          <t>COMMERCIAL</t>
        </is>
      </c>
      <c r="B12" s="10" t="n"/>
      <c r="C12" s="10" t="n"/>
      <c r="D12" s="10" t="n"/>
      <c r="E12" s="10" t="n"/>
    </row>
    <row r="13">
      <c r="A13" s="11" t="inlineStr">
        <is>
          <t>Leads</t>
        </is>
      </c>
      <c r="B13" s="17">
        <f>Données!D5</f>
        <v/>
      </c>
      <c r="C13" s="17">
        <f>Données!D6</f>
        <v/>
      </c>
      <c r="D13" s="17">
        <f>Données!D7</f>
        <v/>
      </c>
      <c r="E13" s="13">
        <f>D13/C13-1</f>
        <v/>
      </c>
      <c r="F13" s="14" t="inlineStr">
        <is>
          <t>bon sens</t>
        </is>
      </c>
    </row>
    <row r="14">
      <c r="A14" s="11" t="inlineStr">
        <is>
          <t>Inscrits</t>
        </is>
      </c>
      <c r="B14" s="17">
        <f>Données!E5</f>
        <v/>
      </c>
      <c r="C14" s="17">
        <f>Données!E6</f>
        <v/>
      </c>
      <c r="D14" s="17">
        <f>Données!E7</f>
        <v/>
      </c>
      <c r="E14" s="13">
        <f>D14/C14-1</f>
        <v/>
      </c>
      <c r="F14" s="14" t="inlineStr">
        <is>
          <t>bon sens</t>
        </is>
      </c>
    </row>
    <row r="15">
      <c r="A15" s="18" t="inlineStr">
        <is>
          <t>CAC (€/inscrit)</t>
        </is>
      </c>
      <c r="B15" s="19">
        <f>Données!F5/Données!E5</f>
        <v/>
      </c>
      <c r="C15" s="19">
        <f>Données!F6/Données!E6</f>
        <v/>
      </c>
      <c r="D15" s="19">
        <f>Données!F7/Données!E7</f>
        <v/>
      </c>
      <c r="E15" s="20">
        <f>D15/C15-1</f>
        <v/>
      </c>
      <c r="F15" s="21" t="inlineStr">
        <is>
          <t>à surveiller</t>
        </is>
      </c>
    </row>
    <row r="16">
      <c r="A16" s="21" t="inlineStr">
        <is>
          <t>CAC = seul KPI en tension : le coût d'acquisition monte plus vite que le volume. C'est ce qu'on ira traiter dans le budget 2027.</t>
        </is>
      </c>
    </row>
    <row r="18">
      <c r="A18" s="22" t="inlineStr">
        <is>
          <t>TENSION — base 100 en 2024 : activité (CA) vs dépenses d'acquisition</t>
        </is>
      </c>
    </row>
    <row r="19">
      <c r="A19" s="23" t="inlineStr">
        <is>
          <t>Année</t>
        </is>
      </c>
      <c r="B19" s="24" t="n">
        <v>2024</v>
      </c>
      <c r="C19" s="24" t="n">
        <v>2025</v>
      </c>
      <c r="D19" s="24" t="n">
        <v>2026</v>
      </c>
    </row>
    <row r="20">
      <c r="A20" s="25" t="inlineStr">
        <is>
          <t>Activité (CA)</t>
        </is>
      </c>
      <c r="B20" s="26">
        <f>Données!B5/Données!B5*100</f>
        <v/>
      </c>
      <c r="C20" s="26">
        <f>Données!B6/Données!B5*100</f>
        <v/>
      </c>
      <c r="D20" s="26">
        <f>Données!B7/Données!B5*100</f>
        <v/>
      </c>
    </row>
    <row r="21">
      <c r="A21" s="25" t="inlineStr">
        <is>
          <t>Dépenses acq.</t>
        </is>
      </c>
      <c r="B21" s="26">
        <f>Données!F5/Données!F5*100</f>
        <v/>
      </c>
      <c r="C21" s="26">
        <f>Données!F6/Données!F5*100</f>
        <v/>
      </c>
      <c r="D21" s="26">
        <f>Données!F7/Données!F5*100</f>
        <v/>
      </c>
    </row>
    <row r="23">
      <c r="A23" s="27" t="inlineStr">
        <is>
          <t>LE graphe qui compte : l'écart entre les 2 courbes = la dégradation du CAC. C'est ce que le budget 2027 doit corriger.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>
      <c r="A1" s="28" t="inlineStr">
        <is>
          <t>DONNÉES — agrégats annuels groupe (source : compta produits + socle CRM)</t>
        </is>
      </c>
    </row>
    <row r="2">
      <c r="A2" s="29" t="inlineStr">
        <is>
          <t>2024-2025 réalisé · 2026 atterrissage. Bleu = donnée.</t>
        </is>
      </c>
    </row>
    <row r="4">
      <c r="A4" s="7" t="inlineStr">
        <is>
          <t>Exercice</t>
        </is>
      </c>
      <c r="B4" s="8" t="inlineStr">
        <is>
          <t>CA</t>
        </is>
      </c>
      <c r="C4" s="8" t="inlineStr">
        <is>
          <t>EBITDA</t>
        </is>
      </c>
      <c r="D4" s="8" t="inlineStr">
        <is>
          <t>Leads</t>
        </is>
      </c>
      <c r="E4" s="8" t="inlineStr">
        <is>
          <t>Inscrits</t>
        </is>
      </c>
      <c r="F4" s="8" t="inlineStr">
        <is>
          <t>Dépense acq.</t>
        </is>
      </c>
    </row>
    <row r="5">
      <c r="A5" s="30" t="inlineStr">
        <is>
          <t>2024</t>
        </is>
      </c>
      <c r="B5" s="31" t="n">
        <v>20064725</v>
      </c>
      <c r="C5" s="31" t="n">
        <v>2648550</v>
      </c>
      <c r="D5" s="32" t="n">
        <v>15305</v>
      </c>
      <c r="E5" s="32" t="n">
        <v>1092</v>
      </c>
      <c r="F5" s="31" t="n">
        <v>358819</v>
      </c>
    </row>
    <row r="6">
      <c r="A6" s="30" t="inlineStr">
        <is>
          <t>2025</t>
        </is>
      </c>
      <c r="B6" s="31" t="n">
        <v>21268606</v>
      </c>
      <c r="C6" s="31" t="n">
        <v>2977604</v>
      </c>
      <c r="D6" s="32" t="n">
        <v>16226</v>
      </c>
      <c r="E6" s="32" t="n">
        <v>1159</v>
      </c>
      <c r="F6" s="31" t="n">
        <v>394702</v>
      </c>
    </row>
    <row r="7">
      <c r="A7" s="30" t="inlineStr">
        <is>
          <t>2026</t>
        </is>
      </c>
      <c r="B7" s="31" t="n">
        <v>22544725</v>
      </c>
      <c r="C7" s="31" t="n">
        <v>3291530</v>
      </c>
      <c r="D7" s="32" t="n">
        <v>17197</v>
      </c>
      <c r="E7" s="32" t="n">
        <v>1229</v>
      </c>
      <c r="F7" s="31" t="n">
        <v>434174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2026-08-27T15:44:39Z</dcterms:created>
  <dcterms:modified xsi:type="dcterms:W3CDTF">2026-08-27T15:44:39Z</dcterms:modified>
</cp:coreProperties>
</file>