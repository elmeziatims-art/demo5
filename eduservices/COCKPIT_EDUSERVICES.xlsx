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Données" sheetId="1" state="visible" r:id="rId1"/>
    <sheet name="Cockp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0.0"/>
    <numFmt numFmtId="166" formatCode="#,##0.00,,&quot; M€&quot;"/>
    <numFmt numFmtId="167" formatCode="&quot;▲ &quot;0.0%;&quot;▼ &quot;0.0%"/>
    <numFmt numFmtId="168" formatCode="&quot;↗ +&quot;0.0&quot; pt&quot;;&quot;↘ −&quot;0.0&quot; pt&quot;;&quot;→ &quot;0.0&quot; pt&quot;"/>
    <numFmt numFmtId="169" formatCode="#,##0&quot; €&quot;"/>
    <numFmt numFmtId="170" formatCode="0.0%;-0.0%"/>
  </numFmts>
  <fonts count="20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Segoe UI"/>
      <b val="1"/>
      <color rgb="002A78D6"/>
      <sz val="9.5"/>
    </font>
    <font>
      <name val="Segoe UI"/>
      <b val="1"/>
      <color rgb="00FFFFFF"/>
      <sz val="9"/>
    </font>
    <font>
      <name val="Segoe UI"/>
      <color rgb="00131922"/>
      <sz val="9.5"/>
    </font>
    <font>
      <name val="Segoe UI"/>
      <b val="1"/>
      <color rgb="00131922"/>
      <sz val="9.5"/>
    </font>
    <font>
      <name val="Segoe UI"/>
      <color rgb="007C8798"/>
      <sz val="9"/>
    </font>
    <font>
      <name val="Segoe UI"/>
      <b val="1"/>
      <color rgb="00EB6834"/>
      <sz val="9"/>
    </font>
    <font>
      <name val="Segoe UI"/>
      <b val="1"/>
      <color rgb="00131922"/>
      <sz val="14"/>
    </font>
    <font>
      <name val="Segoe UI"/>
      <color rgb="007C8798"/>
      <sz val="9.5"/>
    </font>
    <font>
      <name val="Segoe UI"/>
      <b val="1"/>
      <color rgb="002A78D6"/>
      <sz val="9"/>
    </font>
    <font>
      <name val="Segoe UI"/>
      <b val="1"/>
      <color rgb="007C8798"/>
      <sz val="8.5"/>
    </font>
    <font>
      <name val="Consolas"/>
      <b val="1"/>
      <color rgb="00131922"/>
      <sz val="20"/>
    </font>
    <font>
      <name val="Segoe UI"/>
      <b val="1"/>
      <color rgb="00131922"/>
      <sz val="10.5"/>
    </font>
    <font>
      <name val="Segoe UI"/>
      <color rgb="007C8798"/>
      <sz val="8.5"/>
    </font>
    <font>
      <name val="Segoe UI"/>
      <b val="1"/>
      <color rgb="00131922"/>
      <sz val="10"/>
    </font>
    <font>
      <name val="Consolas"/>
      <b val="1"/>
      <color rgb="00131922"/>
      <sz val="9.5"/>
    </font>
    <font>
      <name val="Segoe UI"/>
      <b val="1"/>
      <color rgb="00EB6834"/>
      <sz val="8"/>
    </font>
    <font>
      <name val="Segoe UI"/>
      <color rgb="004D5866"/>
      <sz val="9.5"/>
    </font>
    <font>
      <name val="Consolas"/>
      <color rgb="004D5866"/>
      <sz val="9.5"/>
    </font>
  </fonts>
  <fills count="8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4D5866"/>
      </patternFill>
    </fill>
    <fill>
      <patternFill patternType="solid">
        <fgColor rgb="00EEF1F6"/>
      </patternFill>
    </fill>
    <fill>
      <patternFill patternType="solid">
        <fgColor rgb="00FFFFFF"/>
      </patternFill>
    </fill>
    <fill>
      <patternFill patternType="solid">
        <fgColor rgb="00DCE9F9"/>
      </patternFill>
    </fill>
    <fill>
      <patternFill patternType="solid">
        <fgColor rgb="00F7F9FC"/>
      </patternFill>
    </fill>
  </fills>
  <borders count="33">
    <border>
      <left/>
      <right/>
      <top/>
      <bottom/>
      <diagonal/>
    </border>
    <border>
      <left style="thin">
        <color rgb="004D5866"/>
      </left>
      <right style="thin">
        <color rgb="004D5866"/>
      </right>
      <top style="thin">
        <color rgb="004D5866"/>
      </top>
      <bottom style="thin">
        <color rgb="004D5866"/>
      </bottom>
    </border>
    <border>
      <bottom style="thin">
        <color rgb="00DFE4EC"/>
      </bottom>
    </border>
    <border>
      <top style="thin">
        <color rgb="007C8798"/>
      </top>
    </border>
    <border>
      <left style="thin">
        <color rgb="00DFE4EC"/>
      </left>
      <top style="thin">
        <color rgb="00DFE4EC"/>
      </top>
    </border>
    <border>
      <top style="thin">
        <color rgb="00DFE4EC"/>
      </top>
    </border>
    <border>
      <right style="thin">
        <color rgb="00DFE4EC"/>
      </right>
      <top style="thin">
        <color rgb="00DFE4EC"/>
      </top>
    </border>
    <border>
      <left style="thin">
        <color rgb="00DFE4EC"/>
      </left>
      <bottom style="thin">
        <color rgb="00DFE4EC"/>
      </bottom>
    </border>
    <border>
      <right style="thin">
        <color rgb="00DFE4EC"/>
      </right>
      <bottom style="thin">
        <color rgb="00DFE4EC"/>
      </bottom>
    </border>
    <border>
      <left style="thin">
        <color rgb="00DFE4EC"/>
      </left>
      <top style="thin">
        <color rgb="00DFE4EC"/>
      </top>
      <bottom style="thin">
        <color rgb="00DFE4EC"/>
      </bottom>
    </border>
    <border>
      <right style="thin">
        <color rgb="00DFE4EC"/>
      </right>
      <top style="thin">
        <color rgb="00DFE4EC"/>
      </top>
      <bottom style="thin">
        <color rgb="00DFE4EC"/>
      </bottom>
    </border>
    <border>
      <left style="thin">
        <color rgb="002A78D6"/>
      </left>
      <top style="thin">
        <color rgb="002A78D6"/>
      </top>
      <bottom style="thin">
        <color rgb="002A78D6"/>
      </bottom>
    </border>
    <border>
      <right style="thin">
        <color rgb="002A78D6"/>
      </right>
      <top style="thin">
        <color rgb="002A78D6"/>
      </top>
      <bottom style="thin">
        <color rgb="002A78D6"/>
      </bottom>
    </border>
    <border>
      <left style="thin">
        <color rgb="00DFE4EC"/>
      </left>
    </border>
    <border>
      <right style="thin">
        <color rgb="00DFE4EC"/>
      </right>
    </border>
    <border>
      <left style="thin">
        <color rgb="00FAB219"/>
      </left>
      <top style="thin">
        <color rgb="00FAB219"/>
      </top>
    </border>
    <border>
      <right style="thin">
        <color rgb="00FAB219"/>
      </right>
      <top style="thin">
        <color rgb="00FAB219"/>
      </top>
    </border>
    <border>
      <left style="thin">
        <color rgb="00FAB219"/>
      </left>
    </border>
    <border>
      <right style="thin">
        <color rgb="00FAB219"/>
      </right>
    </border>
    <border>
      <left style="thin">
        <color rgb="00FAB219"/>
      </left>
      <bottom style="thin">
        <color rgb="00FAB219"/>
      </bottom>
    </border>
    <border>
      <right style="thin">
        <color rgb="00FAB219"/>
      </right>
      <bottom style="thin">
        <color rgb="00FAB219"/>
      </bottom>
    </border>
    <border/>
    <border>
      <top style="thin">
        <color rgb="00DFE4EC"/>
      </top>
      <bottom style="thin">
        <color rgb="00DFE4EC"/>
      </bottom>
    </border>
    <border>
      <bottom style="thin">
        <color rgb="00EAEEF4"/>
      </bottom>
    </border>
    <border>
      <left style="thin">
        <color rgb="00DFE4EC"/>
      </left>
      <right style="thin">
        <color rgb="00DFE4EC"/>
      </right>
      <top style="thin">
        <color rgb="00DFE4EC"/>
      </top>
      <bottom style="thin">
        <color rgb="00DFE4EC"/>
      </bottom>
    </border>
    <border>
      <left/>
      <right/>
      <top style="thin">
        <color rgb="00DFE4EC"/>
      </top>
      <bottom/>
      <diagonal/>
    </border>
    <border>
      <left style="thin">
        <color rgb="00DFE4EC"/>
      </left>
      <right/>
      <top/>
      <bottom/>
      <diagonal/>
    </border>
    <border>
      <left/>
      <right style="thin">
        <color rgb="00DFE4EC"/>
      </right>
      <top style="thin">
        <color rgb="00DFE4EC"/>
      </top>
      <bottom/>
      <diagonal/>
    </border>
    <border>
      <left/>
      <right style="thin">
        <color rgb="00DFE4EC"/>
      </right>
      <top/>
      <bottom/>
      <diagonal/>
    </border>
    <border>
      <left style="thin">
        <color rgb="00DFE4EC"/>
      </left>
      <right/>
      <top/>
      <bottom style="thin">
        <color rgb="00DFE4EC"/>
      </bottom>
      <diagonal/>
    </border>
    <border>
      <left/>
      <right/>
      <top/>
      <bottom style="thin">
        <color rgb="00DFE4EC"/>
      </bottom>
      <diagonal/>
    </border>
    <border>
      <left/>
      <right style="thin">
        <color rgb="00DFE4EC"/>
      </right>
      <top/>
      <bottom style="thin">
        <color rgb="00DFE4EC"/>
      </bottom>
      <diagonal/>
    </border>
    <border>
      <left style="thick">
        <color rgb="00EB6834"/>
      </left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3" fontId="4" fillId="0" borderId="2" applyAlignment="1" pivotButton="0" quotePrefix="0" xfId="0">
      <alignment horizontal="right" vertical="center"/>
    </xf>
    <xf numFmtId="9" fontId="4" fillId="0" borderId="2" applyAlignment="1" pivotButton="0" quotePrefix="0" xfId="0">
      <alignment horizontal="right" vertical="center"/>
    </xf>
    <xf numFmtId="0" fontId="5" fillId="0" borderId="0" pivotButton="0" quotePrefix="0" xfId="0"/>
    <xf numFmtId="3" fontId="5" fillId="0" borderId="3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164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1" fontId="6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0" fillId="4" borderId="0" pivotButton="0" quotePrefix="0" xfId="0"/>
    <xf numFmtId="0" fontId="8" fillId="5" borderId="4" applyAlignment="1" pivotButton="0" quotePrefix="0" xfId="0">
      <alignment horizontal="left" vertical="center"/>
    </xf>
    <xf numFmtId="0" fontId="0" fillId="5" borderId="5" pivotButton="0" quotePrefix="0" xfId="0"/>
    <xf numFmtId="0" fontId="10" fillId="5" borderId="6" applyAlignment="1" pivotButton="0" quotePrefix="0" xfId="0">
      <alignment horizontal="right" vertical="center"/>
    </xf>
    <xf numFmtId="0" fontId="9" fillId="5" borderId="7" applyAlignment="1" pivotButton="0" quotePrefix="0" xfId="0">
      <alignment horizontal="left" vertical="center"/>
    </xf>
    <xf numFmtId="0" fontId="0" fillId="5" borderId="2" pivotButton="0" quotePrefix="0" xfId="0"/>
    <xf numFmtId="0" fontId="0" fillId="5" borderId="8" pivotButton="0" quotePrefix="0" xfId="0"/>
    <xf numFmtId="0" fontId="6" fillId="5" borderId="9" applyAlignment="1" pivotButton="0" quotePrefix="0" xfId="0">
      <alignment horizontal="left" vertical="center"/>
    </xf>
    <xf numFmtId="0" fontId="5" fillId="5" borderId="10" applyAlignment="1" pivotButton="0" quotePrefix="0" xfId="0">
      <alignment horizontal="left" vertical="center"/>
    </xf>
    <xf numFmtId="0" fontId="6" fillId="6" borderId="11" applyAlignment="1" pivotButton="0" quotePrefix="0" xfId="0">
      <alignment horizontal="left" vertical="center"/>
    </xf>
    <xf numFmtId="0" fontId="2" fillId="6" borderId="12" applyAlignment="1" pivotButton="0" quotePrefix="0" xfId="0">
      <alignment horizontal="left" vertical="center"/>
    </xf>
    <xf numFmtId="0" fontId="11" fillId="5" borderId="4" applyAlignment="1" pivotButton="0" quotePrefix="0" xfId="0">
      <alignment horizontal="left" vertical="center"/>
    </xf>
    <xf numFmtId="0" fontId="0" fillId="5" borderId="6" pivotButton="0" quotePrefix="0" xfId="0"/>
    <xf numFmtId="0" fontId="11" fillId="5" borderId="15" applyAlignment="1" pivotButton="0" quotePrefix="0" xfId="0">
      <alignment horizontal="left" vertical="center"/>
    </xf>
    <xf numFmtId="0" fontId="0" fillId="5" borderId="16" pivotButton="0" quotePrefix="0" xfId="0"/>
    <xf numFmtId="166" fontId="12" fillId="5" borderId="13" applyAlignment="1" pivotButton="0" quotePrefix="0" xfId="0">
      <alignment horizontal="left" vertical="center" indent="1"/>
    </xf>
    <xf numFmtId="0" fontId="0" fillId="5" borderId="14" pivotButton="0" quotePrefix="0" xfId="0"/>
    <xf numFmtId="164" fontId="12" fillId="5" borderId="13" applyAlignment="1" pivotButton="0" quotePrefix="0" xfId="0">
      <alignment horizontal="left" vertical="center" indent="1"/>
    </xf>
    <xf numFmtId="3" fontId="12" fillId="5" borderId="13" applyAlignment="1" pivotButton="0" quotePrefix="0" xfId="0">
      <alignment horizontal="left" vertical="center" indent="1"/>
    </xf>
    <xf numFmtId="169" fontId="12" fillId="5" borderId="17" applyAlignment="1" pivotButton="0" quotePrefix="0" xfId="0">
      <alignment horizontal="left" vertical="center" indent="1"/>
    </xf>
    <xf numFmtId="0" fontId="0" fillId="5" borderId="18" pivotButton="0" quotePrefix="0" xfId="0"/>
    <xf numFmtId="9" fontId="12" fillId="5" borderId="13" applyAlignment="1" pivotButton="0" quotePrefix="0" xfId="0">
      <alignment horizontal="left" vertical="center" indent="1"/>
    </xf>
    <xf numFmtId="167" fontId="5" fillId="5" borderId="7" applyAlignment="1" pivotButton="0" quotePrefix="0" xfId="0">
      <alignment horizontal="left" vertical="center" indent="1"/>
    </xf>
    <xf numFmtId="168" fontId="5" fillId="5" borderId="7" applyAlignment="1" pivotButton="0" quotePrefix="0" xfId="0">
      <alignment horizontal="left" vertical="center" indent="1"/>
    </xf>
    <xf numFmtId="167" fontId="5" fillId="5" borderId="19" applyAlignment="1" pivotButton="0" quotePrefix="0" xfId="0">
      <alignment horizontal="left" vertical="center" indent="1"/>
    </xf>
    <xf numFmtId="0" fontId="0" fillId="5" borderId="20" pivotButton="0" quotePrefix="0" xfId="0"/>
    <xf numFmtId="0" fontId="13" fillId="5" borderId="4" applyAlignment="1" pivotButton="0" quotePrefix="0" xfId="0">
      <alignment horizontal="left" vertical="center"/>
    </xf>
    <xf numFmtId="0" fontId="14" fillId="5" borderId="6" applyAlignment="1" pivotButton="0" quotePrefix="0" xfId="0">
      <alignment horizontal="right" vertical="center"/>
    </xf>
    <xf numFmtId="0" fontId="0" fillId="5" borderId="13" pivotButton="0" quotePrefix="0" xfId="0"/>
    <xf numFmtId="0" fontId="0" fillId="5" borderId="21" pivotButton="0" quotePrefix="0" xfId="0"/>
    <xf numFmtId="0" fontId="0" fillId="5" borderId="7" pivotButton="0" quotePrefix="0" xfId="0"/>
    <xf numFmtId="0" fontId="11" fillId="7" borderId="22" applyAlignment="1" pivotButton="0" quotePrefix="0" xfId="0">
      <alignment horizontal="left" vertical="center"/>
    </xf>
    <xf numFmtId="0" fontId="11" fillId="7" borderId="22" applyAlignment="1" pivotButton="0" quotePrefix="0" xfId="0">
      <alignment horizontal="right" vertical="center"/>
    </xf>
    <xf numFmtId="0" fontId="15" fillId="7" borderId="23" applyAlignment="1" pivotButton="0" quotePrefix="0" xfId="0">
      <alignment horizontal="left" vertical="center"/>
    </xf>
    <xf numFmtId="3" fontId="16" fillId="7" borderId="23" applyAlignment="1" pivotButton="0" quotePrefix="0" xfId="0">
      <alignment horizontal="right" vertical="center"/>
    </xf>
    <xf numFmtId="167" fontId="16" fillId="7" borderId="23" applyAlignment="1" pivotButton="0" quotePrefix="0" xfId="0">
      <alignment horizontal="right" vertical="center"/>
    </xf>
    <xf numFmtId="170" fontId="16" fillId="7" borderId="23" applyAlignment="1" pivotButton="0" quotePrefix="0" xfId="0">
      <alignment horizontal="right" vertical="center"/>
    </xf>
    <xf numFmtId="168" fontId="16" fillId="7" borderId="23" applyAlignment="1" pivotButton="0" quotePrefix="0" xfId="0">
      <alignment horizontal="right" vertical="center"/>
    </xf>
    <xf numFmtId="9" fontId="16" fillId="7" borderId="23" applyAlignment="1" pivotButton="0" quotePrefix="0" xfId="0">
      <alignment horizontal="right" vertical="center"/>
    </xf>
    <xf numFmtId="0" fontId="17" fillId="7" borderId="23" applyAlignment="1" pivotButton="0" quotePrefix="0" xfId="0">
      <alignment horizontal="center" vertical="center"/>
    </xf>
    <xf numFmtId="0" fontId="5" fillId="5" borderId="23" applyAlignment="1" pivotButton="0" quotePrefix="0" xfId="0">
      <alignment horizontal="left" vertical="center" indent="1"/>
    </xf>
    <xf numFmtId="3" fontId="16" fillId="5" borderId="23" applyAlignment="1" pivotButton="0" quotePrefix="0" xfId="0">
      <alignment horizontal="right" vertical="center"/>
    </xf>
    <xf numFmtId="167" fontId="16" fillId="5" borderId="23" applyAlignment="1" pivotButton="0" quotePrefix="0" xfId="0">
      <alignment horizontal="right" vertical="center"/>
    </xf>
    <xf numFmtId="170" fontId="16" fillId="5" borderId="23" applyAlignment="1" pivotButton="0" quotePrefix="0" xfId="0">
      <alignment horizontal="right" vertical="center"/>
    </xf>
    <xf numFmtId="168" fontId="16" fillId="5" borderId="23" applyAlignment="1" pivotButton="0" quotePrefix="0" xfId="0">
      <alignment horizontal="right" vertical="center"/>
    </xf>
    <xf numFmtId="9" fontId="16" fillId="5" borderId="23" applyAlignment="1" pivotButton="0" quotePrefix="0" xfId="0">
      <alignment horizontal="right" vertical="center"/>
    </xf>
    <xf numFmtId="0" fontId="17" fillId="5" borderId="23" applyAlignment="1" pivotButton="0" quotePrefix="0" xfId="0">
      <alignment horizontal="center" vertical="center"/>
    </xf>
    <xf numFmtId="0" fontId="18" fillId="5" borderId="23" applyAlignment="1" pivotButton="0" quotePrefix="0" xfId="0">
      <alignment horizontal="left" vertical="center" indent="2"/>
    </xf>
    <xf numFmtId="3" fontId="19" fillId="5" borderId="23" applyAlignment="1" pivotButton="0" quotePrefix="0" xfId="0">
      <alignment horizontal="right" vertical="center"/>
    </xf>
    <xf numFmtId="167" fontId="19" fillId="5" borderId="23" applyAlignment="1" pivotButton="0" quotePrefix="0" xfId="0">
      <alignment horizontal="right" vertical="center"/>
    </xf>
    <xf numFmtId="170" fontId="19" fillId="5" borderId="23" applyAlignment="1" pivotButton="0" quotePrefix="0" xfId="0">
      <alignment horizontal="right" vertical="center"/>
    </xf>
    <xf numFmtId="168" fontId="19" fillId="5" borderId="23" applyAlignment="1" pivotButton="0" quotePrefix="0" xfId="0">
      <alignment horizontal="right" vertical="center"/>
    </xf>
    <xf numFmtId="9" fontId="19" fillId="5" borderId="23" applyAlignment="1" pivotButton="0" quotePrefix="0" xfId="0">
      <alignment horizontal="right" vertical="center"/>
    </xf>
    <xf numFmtId="0" fontId="18" fillId="7" borderId="32" applyAlignment="1" pivotButton="0" quotePrefix="0" xfId="0">
      <alignment horizontal="left" vertical="top" wrapText="1"/>
    </xf>
    <xf numFmtId="0" fontId="0" fillId="0" borderId="25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31" pivotButton="0" quotePrefix="0" xfId="0"/>
    <xf numFmtId="0" fontId="14" fillId="4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b val="1"/>
        <color rgb="000CA30C"/>
        <sz val="9.5"/>
      </font>
    </dxf>
    <dxf>
      <font>
        <name val="Segoe UI"/>
        <b val="1"/>
        <color rgb="00D03B3B"/>
        <sz val="9.5"/>
      </font>
    </dxf>
    <dxf>
      <font>
        <name val="Consolas"/>
        <color rgb="000CA30C"/>
        <sz val="9.5"/>
      </font>
    </dxf>
    <dxf>
      <font>
        <name val="Consolas"/>
        <color rgb="00D03B3B"/>
        <sz val="9.5"/>
      </font>
    </dxf>
    <dxf>
      <font>
        <name val="Consolas"/>
        <b val="1"/>
        <color rgb="00FAB219"/>
        <sz val="9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stacked"/>
        <ser>
          <idx val="0"/>
          <order val="0"/>
          <spPr>
            <a:noFill/>
            <a:ln>
              <a:noFill/>
              <a:prstDash val="solid"/>
            </a:ln>
          </spPr>
          <cat>
            <numRef>
              <f>'Données'!$A$49:$A$53</f>
            </numRef>
          </cat>
          <val>
            <numRef>
              <f>'Données'!$B$49:$B$53</f>
            </numRef>
          </val>
        </ser>
        <ser>
          <idx val="1"/>
          <order val="1"/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dLbls>
            <numFmt formatCode="#,##0,,.000&quot; M€&quot;"/>
            <dLblPos val="ctr"/>
            <showLegendKey val="0"/>
            <showVal val="1"/>
            <showCatName val="0"/>
            <showSerName val="0"/>
          </dLbls>
          <cat>
            <numRef>
              <f>'Données'!$A$49:$A$53</f>
            </numRef>
          </cat>
          <val>
            <numRef>
              <f>'Données'!$C$49:$C$53</f>
            </numRef>
          </val>
        </ser>
        <ser>
          <idx val="2"/>
          <order val="2"/>
          <spPr>
            <a:solidFill>
              <a:srgbClr val="0CA30C"/>
            </a:solidFill>
            <a:ln>
              <a:solidFill>
                <a:srgbClr val="0CA30C"/>
              </a:solidFill>
              <a:prstDash val="solid"/>
            </a:ln>
          </spPr>
          <dLbls>
            <numFmt formatCode="&quot;+ &quot;#,##0&quot; €&quot;"/>
            <dLblPos val="ctr"/>
            <showLegendKey val="0"/>
            <showVal val="1"/>
            <showCatName val="0"/>
            <showSerName val="0"/>
          </dLbls>
          <cat>
            <numRef>
              <f>'Données'!$A$49:$A$53</f>
            </numRef>
          </cat>
          <val>
            <numRef>
              <f>'Données'!$D$49:$D$53</f>
            </numRef>
          </val>
        </ser>
        <ser>
          <idx val="3"/>
          <order val="3"/>
          <spPr>
            <a:solidFill>
              <a:srgbClr val="D03B3B"/>
            </a:solidFill>
            <a:ln>
              <a:solidFill>
                <a:srgbClr val="D03B3B"/>
              </a:solidFill>
              <a:prstDash val="solid"/>
            </a:ln>
          </spPr>
          <dLbls>
            <numFmt formatCode="&quot;− &quot;#,##0&quot; €&quot;"/>
            <dLblPos val="ctr"/>
            <showLegendKey val="0"/>
            <showVal val="1"/>
            <showCatName val="0"/>
            <showSerName val="0"/>
          </dLbls>
          <cat>
            <numRef>
              <f>'Données'!$A$49:$A$53</f>
            </numRef>
          </cat>
          <val>
            <numRef>
              <f>'Données'!$E$49:$E$53</f>
            </numRef>
          </val>
        </ser>
        <gapWidth val="4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000000"/>
          <min val="3200000"/>
        </scaling>
        <delete val="0"/>
        <axPos val="l"/>
        <majorGridlines/>
        <numFmt formatCode="#,##0,,&quot; M€&quot;" sourceLinked="0"/>
        <majorTickMark val="none"/>
        <minorTickMark val="none"/>
        <crossAx val="10"/>
        <majorUnit val="20000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'Données'!H41</f>
            </strRef>
          </tx>
          <spPr>
            <a:solidFill>
              <a:srgbClr val="C3D9F4"/>
            </a:solidFill>
            <a:ln>
              <a:solidFill>
                <a:srgbClr val="C3D9F4"/>
              </a:solidFill>
              <a:prstDash val="solid"/>
            </a:ln>
          </spPr>
          <cat>
            <numRef>
              <f>'Données'!$A$42:$A$45</f>
            </numRef>
          </cat>
          <val>
            <numRef>
              <f>'Données'!$H$42:$H$45</f>
            </numRef>
          </val>
        </ser>
        <ser>
          <idx val="1"/>
          <order val="1"/>
          <tx>
            <strRef>
              <f>'Données'!I41</f>
            </strRef>
          </tx>
          <spPr>
            <a:solidFill>
              <a:srgbClr val="7AABE6"/>
            </a:solidFill>
            <a:ln>
              <a:solidFill>
                <a:srgbClr val="7AABE6"/>
              </a:solidFill>
              <a:prstDash val="solid"/>
            </a:ln>
          </spPr>
          <cat>
            <numRef>
              <f>'Données'!$A$42:$A$45</f>
            </numRef>
          </cat>
          <val>
            <numRef>
              <f>'Données'!$I$42:$I$45</f>
            </numRef>
          </val>
        </ser>
        <ser>
          <idx val="2"/>
          <order val="2"/>
          <tx>
            <strRef>
              <f>'Données'!J41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dLbls>
            <numFmt formatCode="0.0%"/>
            <dLblPos val="outEnd"/>
            <showLegendKey val="0"/>
            <showVal val="1"/>
            <showCatName val="0"/>
            <showSerName val="0"/>
          </dLbls>
          <cat>
            <numRef>
              <f>'Données'!$A$42:$A$45</f>
            </numRef>
          </cat>
          <val>
            <numRef>
              <f>'Données'!$J$42:$J$45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22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05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'Données'!B56</f>
            </strRef>
          </tx>
          <spPr>
            <a:ln w="25000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>
                <a:srgbClr val="EB6834"/>
              </a:solidFill>
              <a:ln>
                <a:solidFill>
                  <a:srgbClr val="EB6834"/>
                </a:solidFill>
                <a:prstDash val="solid"/>
              </a:ln>
            </spPr>
          </marker>
          <cat>
            <numRef>
              <f>'Données'!$A$57:$A$59</f>
            </numRef>
          </cat>
          <val>
            <numRef>
              <f>'Données'!$B$57:$B$59</f>
            </numRef>
          </val>
          <smooth val="0"/>
        </ser>
        <ser>
          <idx val="1"/>
          <order val="1"/>
          <tx>
            <strRef>
              <f>'Données'!C56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cat>
            <numRef>
              <f>'Données'!$A$57:$A$59</f>
            </numRef>
          </cat>
          <val>
            <numRef>
              <f>'Données'!$C$57:$C$59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5"/>
          <min val="95"/>
        </scaling>
        <delete val="0"/>
        <axPos val="l"/>
        <majorGridlines/>
        <numFmt formatCode="0" sourceLinked="0"/>
        <majorTickMark val="none"/>
        <minorTickMark val="none"/>
        <crossAx val="10"/>
        <majorUnit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3671999" cy="284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11</row>
      <rowOff>0</rowOff>
    </from>
    <ext cx="3024000" cy="284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</row>
      <rowOff>0</rowOff>
    </from>
    <ext cx="3024000" cy="284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1" customWidth="1" min="9" max="9"/>
    <col width="12" customWidth="1" min="10" max="10"/>
    <col width="11" customWidth="1" min="11" max="11"/>
  </cols>
  <sheetData>
    <row r="1" ht="24" customHeight="1">
      <c r="A1" s="1" t="inlineStr">
        <is>
          <t>SOCLE DE DONNÉES — cockpit EDUSERVICES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3">
      <c r="A3" s="3" t="inlineStr">
        <is>
          <t>① PÉRIMÈTRE (les filtres du cockpit)</t>
        </is>
      </c>
    </row>
    <row r="4">
      <c r="A4" s="4" t="inlineStr">
        <is>
          <t>Filtre</t>
        </is>
      </c>
      <c r="B4" s="4" t="inlineStr">
        <is>
          <t>Valeur</t>
        </is>
      </c>
    </row>
    <row r="5">
      <c r="A5" s="5" t="inlineStr">
        <is>
          <t>Scénario</t>
        </is>
      </c>
      <c r="B5" s="6" t="inlineStr">
        <is>
          <t>REEL</t>
        </is>
      </c>
    </row>
    <row r="6">
      <c r="A6" s="5" t="inlineStr">
        <is>
          <t>Version</t>
        </is>
      </c>
      <c r="B6" s="6" t="inlineStr">
        <is>
          <t>V_FINAL</t>
        </is>
      </c>
    </row>
    <row r="7">
      <c r="A7" s="5" t="inlineStr">
        <is>
          <t>Exercice</t>
        </is>
      </c>
      <c r="B7" s="6" t="n">
        <v>2026</v>
      </c>
    </row>
    <row r="8">
      <c r="A8" s="5" t="inlineStr">
        <is>
          <t>Période</t>
        </is>
      </c>
      <c r="B8" s="6" t="inlineStr">
        <is>
          <t>12 — Cumul</t>
        </is>
      </c>
    </row>
    <row r="9">
      <c r="A9" s="5" t="inlineStr">
        <is>
          <t>Marque</t>
        </is>
      </c>
      <c r="B9" s="6" t="inlineStr">
        <is>
          <t>Toutes</t>
        </is>
      </c>
    </row>
    <row r="10">
      <c r="A10" s="5" t="inlineStr">
        <is>
          <t>Campus</t>
        </is>
      </c>
      <c r="B10" s="6" t="inlineStr">
        <is>
          <t>Tous</t>
        </is>
      </c>
    </row>
    <row r="11">
      <c r="A11" s="5" t="inlineStr">
        <is>
          <t>Modalité</t>
        </is>
      </c>
      <c r="B11" s="6" t="inlineStr">
        <is>
          <t>Toutes</t>
        </is>
      </c>
    </row>
    <row r="13">
      <c r="A13" s="3" t="inlineStr">
        <is>
          <t>② SOCLE CAMPUS — la seule saisie  (source : V_COCKPIT / V_ALLOCATION, grain campus × exercice)</t>
        </is>
      </c>
    </row>
    <row r="14">
      <c r="A14" s="4" t="inlineStr">
        <is>
          <t>Entity</t>
        </is>
      </c>
      <c r="B14" s="4" t="inlineStr">
        <is>
          <t>Marque</t>
        </is>
      </c>
      <c r="C14" s="4" t="inlineStr">
        <is>
          <t>CA 2024</t>
        </is>
      </c>
      <c r="D14" s="4" t="inlineStr">
        <is>
          <t>CA 2025</t>
        </is>
      </c>
      <c r="E14" s="4" t="inlineStr">
        <is>
          <t>CA 2026</t>
        </is>
      </c>
      <c r="F14" s="4" t="inlineStr">
        <is>
          <t>EBITDA 2024</t>
        </is>
      </c>
      <c r="G14" s="4" t="inlineStr">
        <is>
          <t>EBITDA 2025</t>
        </is>
      </c>
      <c r="H14" s="4" t="inlineStr">
        <is>
          <t>EBITDA 2026</t>
        </is>
      </c>
      <c r="I14" s="4" t="inlineStr">
        <is>
          <t>Inscrits 26</t>
        </is>
      </c>
      <c r="J14" s="4" t="inlineStr">
        <is>
          <t>Rempl. 26</t>
        </is>
      </c>
      <c r="K14" s="4" t="inlineStr">
        <is>
          <t>Mix alt. 26</t>
        </is>
      </c>
    </row>
    <row r="15">
      <c r="A15" s="7" t="inlineStr">
        <is>
          <t>MBWAY_PAR</t>
        </is>
      </c>
      <c r="B15" s="7" t="inlineStr">
        <is>
          <t>MBway</t>
        </is>
      </c>
      <c r="C15" s="8" t="n">
        <v>3640000</v>
      </c>
      <c r="D15" s="8" t="n">
        <v>3920664</v>
      </c>
      <c r="E15" s="8" t="n">
        <v>4250000</v>
      </c>
      <c r="F15" s="8" t="n">
        <v>596000</v>
      </c>
      <c r="G15" s="8" t="n">
        <v>678784</v>
      </c>
      <c r="H15" s="8" t="n">
        <v>812000</v>
      </c>
      <c r="I15" s="8" t="n">
        <v>224</v>
      </c>
      <c r="J15" s="9" t="n">
        <v>0.9399999999999999</v>
      </c>
      <c r="K15" s="9" t="n">
        <v>0.8100000000000001</v>
      </c>
    </row>
    <row r="16">
      <c r="A16" s="7" t="inlineStr">
        <is>
          <t>MBWAY_LYO</t>
        </is>
      </c>
      <c r="B16" s="7" t="inlineStr">
        <is>
          <t>MBway</t>
        </is>
      </c>
      <c r="C16" s="8" t="n">
        <v>2790000</v>
      </c>
      <c r="D16" s="8" t="n">
        <v>2974742</v>
      </c>
      <c r="E16" s="8" t="n">
        <v>3180000</v>
      </c>
      <c r="F16" s="8" t="n">
        <v>427000</v>
      </c>
      <c r="G16" s="8" t="n">
        <v>479129</v>
      </c>
      <c r="H16" s="8" t="n">
        <v>528000</v>
      </c>
      <c r="I16" s="8" t="n">
        <v>168</v>
      </c>
      <c r="J16" s="9" t="n">
        <v>0.86</v>
      </c>
      <c r="K16" s="9" t="n">
        <v>0.77</v>
      </c>
    </row>
    <row r="17">
      <c r="A17" s="7" t="inlineStr">
        <is>
          <t>MBWAY_BOR</t>
        </is>
      </c>
      <c r="B17" s="7" t="inlineStr">
        <is>
          <t>MBway</t>
        </is>
      </c>
      <c r="C17" s="8" t="n">
        <v>2040000</v>
      </c>
      <c r="D17" s="8" t="n">
        <v>2149621</v>
      </c>
      <c r="E17" s="8" t="n">
        <v>2270000</v>
      </c>
      <c r="F17" s="8" t="n">
        <v>298000</v>
      </c>
      <c r="G17" s="8" t="n">
        <v>325885</v>
      </c>
      <c r="H17" s="8" t="n">
        <v>350000</v>
      </c>
      <c r="I17" s="8" t="n">
        <v>120</v>
      </c>
      <c r="J17" s="9" t="n">
        <v>0.8100000000000001</v>
      </c>
      <c r="K17" s="9" t="n">
        <v>0.74</v>
      </c>
    </row>
    <row r="18">
      <c r="A18" s="7" t="inlineStr">
        <is>
          <t>ISCOM_PAR</t>
        </is>
      </c>
      <c r="B18" s="7" t="inlineStr">
        <is>
          <t>Iscom</t>
        </is>
      </c>
      <c r="C18" s="8" t="n">
        <v>3590000</v>
      </c>
      <c r="D18" s="8" t="n">
        <v>3783019</v>
      </c>
      <c r="E18" s="8" t="n">
        <v>4010000</v>
      </c>
      <c r="F18" s="8" t="n">
        <v>560000</v>
      </c>
      <c r="G18" s="8" t="n">
        <v>645000</v>
      </c>
      <c r="H18" s="8" t="n">
        <v>690000</v>
      </c>
      <c r="I18" s="8" t="n">
        <v>205</v>
      </c>
      <c r="J18" s="9" t="n">
        <v>0.88</v>
      </c>
      <c r="K18" s="9" t="n">
        <v>0.67</v>
      </c>
    </row>
    <row r="19">
      <c r="A19" s="7" t="inlineStr">
        <is>
          <t>ISCOM_LIL</t>
        </is>
      </c>
      <c r="B19" s="7" t="inlineStr">
        <is>
          <t>Iscom</t>
        </is>
      </c>
      <c r="C19" s="8" t="n">
        <v>2420000</v>
      </c>
      <c r="D19" s="8" t="n">
        <v>2498727</v>
      </c>
      <c r="E19" s="8" t="n">
        <v>2591085</v>
      </c>
      <c r="F19" s="8" t="n">
        <v>342000</v>
      </c>
      <c r="G19" s="8" t="n">
        <v>363500</v>
      </c>
      <c r="H19" s="8" t="n">
        <v>391990</v>
      </c>
      <c r="I19" s="8" t="n">
        <v>136</v>
      </c>
      <c r="J19" s="9" t="n">
        <v>0.8100000000000001</v>
      </c>
      <c r="K19" s="9" t="n">
        <v>0.62</v>
      </c>
    </row>
    <row r="20">
      <c r="A20" s="7" t="inlineStr">
        <is>
          <t>PIGIER_BOR</t>
        </is>
      </c>
      <c r="B20" s="7" t="inlineStr">
        <is>
          <t>Pigier</t>
        </is>
      </c>
      <c r="C20" s="8" t="n">
        <v>2310000</v>
      </c>
      <c r="D20" s="8" t="n">
        <v>2462687</v>
      </c>
      <c r="E20" s="8" t="n">
        <v>2640000</v>
      </c>
      <c r="F20" s="8" t="n">
        <v>430000</v>
      </c>
      <c r="G20" s="8" t="n">
        <v>488000</v>
      </c>
      <c r="H20" s="8" t="n">
        <v>545000</v>
      </c>
      <c r="I20" s="8" t="n">
        <v>143</v>
      </c>
      <c r="J20" s="9" t="n">
        <v>0.85</v>
      </c>
      <c r="K20" s="9" t="n">
        <v>0.83</v>
      </c>
    </row>
    <row r="21">
      <c r="A21" s="7" t="inlineStr">
        <is>
          <t>PIGIER_LYO</t>
        </is>
      </c>
      <c r="B21" s="7" t="inlineStr">
        <is>
          <t>Pigier</t>
        </is>
      </c>
      <c r="C21" s="8" t="n">
        <v>2050000</v>
      </c>
      <c r="D21" s="8" t="n">
        <v>2173095</v>
      </c>
      <c r="E21" s="8" t="n">
        <v>2310000</v>
      </c>
      <c r="F21" s="8" t="n">
        <v>384652</v>
      </c>
      <c r="G21" s="8" t="n">
        <v>410500</v>
      </c>
      <c r="H21" s="8" t="n">
        <v>454900</v>
      </c>
      <c r="I21" s="8" t="n">
        <v>125</v>
      </c>
      <c r="J21" s="9" t="n">
        <v>0.8100000000000001</v>
      </c>
      <c r="K21" s="9" t="n">
        <v>0.8100000000000001</v>
      </c>
    </row>
    <row r="22">
      <c r="A22" s="7" t="inlineStr">
        <is>
          <t>TUNON_PAR</t>
        </is>
      </c>
      <c r="B22" s="7" t="inlineStr">
        <is>
          <t>Tunon</t>
        </is>
      </c>
      <c r="C22" s="8" t="n">
        <v>1030000</v>
      </c>
      <c r="D22" s="8" t="n">
        <v>1069253</v>
      </c>
      <c r="E22" s="8" t="n">
        <v>1102400</v>
      </c>
      <c r="F22" s="8" t="n">
        <v>105000</v>
      </c>
      <c r="G22" s="8" t="n">
        <v>106800</v>
      </c>
      <c r="H22" s="8" t="n">
        <v>96300</v>
      </c>
      <c r="I22" s="8" t="n">
        <v>64</v>
      </c>
      <c r="J22" s="9" t="n">
        <v>0.79</v>
      </c>
      <c r="K22" s="9" t="n">
        <v>0.72</v>
      </c>
    </row>
    <row r="23">
      <c r="A23" s="7" t="inlineStr">
        <is>
          <t>TUNON_LYO</t>
        </is>
      </c>
      <c r="B23" s="7" t="inlineStr">
        <is>
          <t>Tunon</t>
        </is>
      </c>
      <c r="C23" s="8" t="n">
        <v>682827</v>
      </c>
      <c r="D23" s="8" t="n">
        <v>744012</v>
      </c>
      <c r="E23" s="8" t="n">
        <v>745500</v>
      </c>
      <c r="F23" s="8" t="n">
        <v>-6000</v>
      </c>
      <c r="G23" s="8" t="n">
        <v>-12780</v>
      </c>
      <c r="H23" s="8" t="n">
        <v>-22400</v>
      </c>
      <c r="I23" s="8" t="n">
        <v>44</v>
      </c>
      <c r="J23" s="9" t="n">
        <v>0.67</v>
      </c>
      <c r="K23" s="9" t="n">
        <v>0.66</v>
      </c>
    </row>
    <row r="24">
      <c r="A24" s="10" t="inlineStr">
        <is>
          <t>TOTAL GROUPE</t>
        </is>
      </c>
      <c r="C24" s="11">
        <f>SUM(C15:C23)</f>
        <v/>
      </c>
      <c r="D24" s="11">
        <f>SUM(D15:D23)</f>
        <v/>
      </c>
      <c r="E24" s="11">
        <f>SUM(E15:E23)</f>
        <v/>
      </c>
      <c r="F24" s="11">
        <f>SUM(F15:F23)</f>
        <v/>
      </c>
      <c r="G24" s="11">
        <f>SUM(G15:G23)</f>
        <v/>
      </c>
      <c r="H24" s="11">
        <f>SUM(H15:H23)</f>
        <v/>
      </c>
      <c r="I24" s="11">
        <f>SUM(I15:I23)</f>
        <v/>
      </c>
    </row>
    <row r="26">
      <c r="A26" s="3" t="inlineStr">
        <is>
          <t>③ ACQUISITION &amp; CAPACITÉ (groupe)</t>
        </is>
      </c>
    </row>
    <row r="27">
      <c r="A27" s="4" t="inlineStr">
        <is>
          <t>Mesure</t>
        </is>
      </c>
      <c r="B27" s="4" t="inlineStr">
        <is>
          <t>2024</t>
        </is>
      </c>
      <c r="C27" s="4" t="inlineStr">
        <is>
          <t>2025</t>
        </is>
      </c>
      <c r="D27" s="4" t="inlineStr">
        <is>
          <t>2026</t>
        </is>
      </c>
    </row>
    <row r="28">
      <c r="A28" s="5" t="inlineStr">
        <is>
          <t>Dépenses d'acquisition (€)</t>
        </is>
      </c>
      <c r="B28" s="8" t="n">
        <v>358170</v>
      </c>
      <c r="C28" s="8" t="n">
        <v>394702</v>
      </c>
      <c r="D28" s="8" t="n">
        <v>434174</v>
      </c>
    </row>
    <row r="29">
      <c r="A29" s="5" t="inlineStr">
        <is>
          <t>Inscrits (nouveaux)</t>
        </is>
      </c>
      <c r="B29" s="8" t="n">
        <v>1092</v>
      </c>
      <c r="C29" s="8" t="n">
        <v>1159</v>
      </c>
      <c r="D29" s="8" t="n">
        <v>1229</v>
      </c>
    </row>
    <row r="30">
      <c r="A30" s="5" t="inlineStr">
        <is>
          <t>Remplissage moyen</t>
        </is>
      </c>
      <c r="B30" s="9" t="n">
        <v>0.87</v>
      </c>
      <c r="C30" s="9" t="n">
        <v>0.86</v>
      </c>
      <c r="D30" s="9" t="n">
        <v>0.85</v>
      </c>
    </row>
    <row r="32">
      <c r="A32" s="3" t="inlineStr">
        <is>
          <t>④ BRIDGE EBITDA 2025 → 2026  (l'effet coûts est le résidu : le pont boucle toujours)</t>
        </is>
      </c>
    </row>
    <row r="33">
      <c r="A33" s="4" t="inlineStr">
        <is>
          <t>Étape</t>
        </is>
      </c>
      <c r="B33" s="4" t="inlineStr">
        <is>
          <t>Montant (€)</t>
        </is>
      </c>
    </row>
    <row r="34">
      <c r="A34" s="5" t="inlineStr">
        <is>
          <t>EBITDA 2025</t>
        </is>
      </c>
      <c r="B34" s="8">
        <f>SUM(G15:G23)</f>
        <v/>
      </c>
    </row>
    <row r="35">
      <c r="A35" s="5" t="inlineStr">
        <is>
          <t>Effet activité</t>
        </is>
      </c>
      <c r="B35" s="8" t="n">
        <v>211706</v>
      </c>
    </row>
    <row r="36">
      <c r="A36" s="5" t="inlineStr">
        <is>
          <t>Effet prix / mix</t>
        </is>
      </c>
      <c r="B36" s="8" t="n">
        <v>289000</v>
      </c>
    </row>
    <row r="37">
      <c r="A37" s="5" t="inlineStr">
        <is>
          <t>Effet coûts (résidu)</t>
        </is>
      </c>
      <c r="B37" s="8">
        <f>B38-B34-B35-B36</f>
        <v/>
      </c>
    </row>
    <row r="38">
      <c r="A38" s="6" t="inlineStr">
        <is>
          <t>EBITDA 2026</t>
        </is>
      </c>
      <c r="B38" s="12">
        <f>SUM(H15:H23)</f>
        <v/>
      </c>
    </row>
    <row r="40">
      <c r="A40" s="3" t="inlineStr">
        <is>
          <t>⑤ AGRÉGATS PAR MARQUE — 100% calculés depuis ②</t>
        </is>
      </c>
    </row>
    <row r="41">
      <c r="A41" s="4" t="inlineStr">
        <is>
          <t>Marque</t>
        </is>
      </c>
      <c r="B41" s="4" t="inlineStr">
        <is>
          <t>CA 2024</t>
        </is>
      </c>
      <c r="C41" s="4" t="inlineStr">
        <is>
          <t>CA 2025</t>
        </is>
      </c>
      <c r="D41" s="4" t="inlineStr">
        <is>
          <t>CA 2026</t>
        </is>
      </c>
      <c r="E41" s="4" t="inlineStr">
        <is>
          <t>EBITDA 2024</t>
        </is>
      </c>
      <c r="F41" s="4" t="inlineStr">
        <is>
          <t>EBITDA 2025</t>
        </is>
      </c>
      <c r="G41" s="4" t="inlineStr">
        <is>
          <t>EBITDA 2026</t>
        </is>
      </c>
      <c r="H41" s="4" t="inlineStr">
        <is>
          <t>Marge 2024</t>
        </is>
      </c>
      <c r="I41" s="4" t="inlineStr">
        <is>
          <t>Marge 2025</t>
        </is>
      </c>
      <c r="J41" s="4" t="inlineStr">
        <is>
          <t>Marge 2026</t>
        </is>
      </c>
    </row>
    <row r="42">
      <c r="A42" s="7" t="inlineStr">
        <is>
          <t>MBway</t>
        </is>
      </c>
      <c r="B42" s="8">
        <f>SUMIF($B$15:$B$23,$A42,C$15:C$23)</f>
        <v/>
      </c>
      <c r="C42" s="8">
        <f>SUMIF($B$15:$B$23,$A42,D$15:D$23)</f>
        <v/>
      </c>
      <c r="D42" s="8">
        <f>SUMIF($B$15:$B$23,$A42,E$15:E$23)</f>
        <v/>
      </c>
      <c r="E42" s="8">
        <f>SUMIF($B$15:$B$23,$A42,F$15:F$23)</f>
        <v/>
      </c>
      <c r="F42" s="8">
        <f>SUMIF($B$15:$B$23,$A42,G$15:G$23)</f>
        <v/>
      </c>
      <c r="G42" s="8">
        <f>SUMIF($B$15:$B$23,$A42,H$15:H$23)</f>
        <v/>
      </c>
      <c r="H42" s="13">
        <f>E42/B42</f>
        <v/>
      </c>
      <c r="I42" s="13">
        <f>F42/C42</f>
        <v/>
      </c>
      <c r="J42" s="13">
        <f>G42/D42</f>
        <v/>
      </c>
    </row>
    <row r="43">
      <c r="A43" s="7" t="inlineStr">
        <is>
          <t>Iscom</t>
        </is>
      </c>
      <c r="B43" s="8">
        <f>SUMIF($B$15:$B$23,$A43,C$15:C$23)</f>
        <v/>
      </c>
      <c r="C43" s="8">
        <f>SUMIF($B$15:$B$23,$A43,D$15:D$23)</f>
        <v/>
      </c>
      <c r="D43" s="8">
        <f>SUMIF($B$15:$B$23,$A43,E$15:E$23)</f>
        <v/>
      </c>
      <c r="E43" s="8">
        <f>SUMIF($B$15:$B$23,$A43,F$15:F$23)</f>
        <v/>
      </c>
      <c r="F43" s="8">
        <f>SUMIF($B$15:$B$23,$A43,G$15:G$23)</f>
        <v/>
      </c>
      <c r="G43" s="8">
        <f>SUMIF($B$15:$B$23,$A43,H$15:H$23)</f>
        <v/>
      </c>
      <c r="H43" s="13">
        <f>E43/B43</f>
        <v/>
      </c>
      <c r="I43" s="13">
        <f>F43/C43</f>
        <v/>
      </c>
      <c r="J43" s="13">
        <f>G43/D43</f>
        <v/>
      </c>
    </row>
    <row r="44">
      <c r="A44" s="7" t="inlineStr">
        <is>
          <t>Pigier</t>
        </is>
      </c>
      <c r="B44" s="8">
        <f>SUMIF($B$15:$B$23,$A44,C$15:C$23)</f>
        <v/>
      </c>
      <c r="C44" s="8">
        <f>SUMIF($B$15:$B$23,$A44,D$15:D$23)</f>
        <v/>
      </c>
      <c r="D44" s="8">
        <f>SUMIF($B$15:$B$23,$A44,E$15:E$23)</f>
        <v/>
      </c>
      <c r="E44" s="8">
        <f>SUMIF($B$15:$B$23,$A44,F$15:F$23)</f>
        <v/>
      </c>
      <c r="F44" s="8">
        <f>SUMIF($B$15:$B$23,$A44,G$15:G$23)</f>
        <v/>
      </c>
      <c r="G44" s="8">
        <f>SUMIF($B$15:$B$23,$A44,H$15:H$23)</f>
        <v/>
      </c>
      <c r="H44" s="13">
        <f>E44/B44</f>
        <v/>
      </c>
      <c r="I44" s="13">
        <f>F44/C44</f>
        <v/>
      </c>
      <c r="J44" s="13">
        <f>G44/D44</f>
        <v/>
      </c>
    </row>
    <row r="45">
      <c r="A45" s="7" t="inlineStr">
        <is>
          <t>Tunon</t>
        </is>
      </c>
      <c r="B45" s="8">
        <f>SUMIF($B$15:$B$23,$A45,C$15:C$23)</f>
        <v/>
      </c>
      <c r="C45" s="8">
        <f>SUMIF($B$15:$B$23,$A45,D$15:D$23)</f>
        <v/>
      </c>
      <c r="D45" s="8">
        <f>SUMIF($B$15:$B$23,$A45,E$15:E$23)</f>
        <v/>
      </c>
      <c r="E45" s="8">
        <f>SUMIF($B$15:$B$23,$A45,F$15:F$23)</f>
        <v/>
      </c>
      <c r="F45" s="8">
        <f>SUMIF($B$15:$B$23,$A45,G$15:G$23)</f>
        <v/>
      </c>
      <c r="G45" s="8">
        <f>SUMIF($B$15:$B$23,$A45,H$15:H$23)</f>
        <v/>
      </c>
      <c r="H45" s="13">
        <f>E45/B45</f>
        <v/>
      </c>
      <c r="I45" s="13">
        <f>F45/C45</f>
        <v/>
      </c>
      <c r="J45" s="13">
        <f>G45/D45</f>
        <v/>
      </c>
    </row>
    <row r="47">
      <c r="A47" s="3" t="inlineStr">
        <is>
          <t>⑥ ZONE TECHNIQUE — séries des graphes (ne pas saisir)</t>
        </is>
      </c>
    </row>
    <row r="48">
      <c r="A48" s="4" t="inlineStr">
        <is>
          <t>Étape (waterfall)</t>
        </is>
      </c>
      <c r="B48" s="4" t="inlineStr">
        <is>
          <t>Socle</t>
        </is>
      </c>
      <c r="C48" s="4" t="inlineStr">
        <is>
          <t>Ancre</t>
        </is>
      </c>
      <c r="D48" s="4" t="inlineStr">
        <is>
          <t>Hausse</t>
        </is>
      </c>
      <c r="E48" s="4" t="inlineStr">
        <is>
          <t>Baisse</t>
        </is>
      </c>
    </row>
    <row r="49">
      <c r="A49" s="14" t="inlineStr">
        <is>
          <t>EBITDA 2025</t>
        </is>
      </c>
      <c r="B49" s="15" t="inlineStr">
        <is>
          <t>0</t>
        </is>
      </c>
      <c r="C49" s="15">
        <f>B34</f>
        <v/>
      </c>
      <c r="D49" s="15" t="inlineStr">
        <is>
          <t>0</t>
        </is>
      </c>
      <c r="E49" s="15" t="inlineStr">
        <is>
          <t>0</t>
        </is>
      </c>
    </row>
    <row r="50">
      <c r="A50" s="14" t="inlineStr">
        <is>
          <t>Activité</t>
        </is>
      </c>
      <c r="B50" s="15">
        <f>B34</f>
        <v/>
      </c>
      <c r="C50" s="15" t="inlineStr">
        <is>
          <t>0</t>
        </is>
      </c>
      <c r="D50" s="15">
        <f>B35</f>
        <v/>
      </c>
      <c r="E50" s="15" t="inlineStr">
        <is>
          <t>0</t>
        </is>
      </c>
    </row>
    <row r="51">
      <c r="A51" s="14" t="inlineStr">
        <is>
          <t>Prix / mix</t>
        </is>
      </c>
      <c r="B51" s="15">
        <f>B34+B35</f>
        <v/>
      </c>
      <c r="C51" s="15" t="inlineStr">
        <is>
          <t>0</t>
        </is>
      </c>
      <c r="D51" s="15">
        <f>B36</f>
        <v/>
      </c>
      <c r="E51" s="15" t="inlineStr">
        <is>
          <t>0</t>
        </is>
      </c>
    </row>
    <row r="52">
      <c r="A52" s="14" t="inlineStr">
        <is>
          <t>Coûts</t>
        </is>
      </c>
      <c r="B52" s="15">
        <f>B38</f>
        <v/>
      </c>
      <c r="C52" s="15" t="inlineStr">
        <is>
          <t>0</t>
        </is>
      </c>
      <c r="D52" s="15" t="inlineStr">
        <is>
          <t>0</t>
        </is>
      </c>
      <c r="E52" s="15">
        <f>B34+B35+B36-B38</f>
        <v/>
      </c>
    </row>
    <row r="53">
      <c r="A53" s="14" t="inlineStr">
        <is>
          <t>EBITDA 2026</t>
        </is>
      </c>
      <c r="B53" s="15" t="inlineStr">
        <is>
          <t>0</t>
        </is>
      </c>
      <c r="C53" s="15">
        <f>B38</f>
        <v/>
      </c>
      <c r="D53" s="15" t="inlineStr">
        <is>
          <t>0</t>
        </is>
      </c>
      <c r="E53" s="15" t="inlineStr">
        <is>
          <t>0</t>
        </is>
      </c>
    </row>
    <row r="56">
      <c r="A56" s="4" t="inlineStr">
        <is>
          <t>Exercice</t>
        </is>
      </c>
      <c r="B56" s="4" t="inlineStr">
        <is>
          <t>Dépenses (base 100)</t>
        </is>
      </c>
      <c r="C56" s="4" t="inlineStr">
        <is>
          <t>Inscrits (base 100)</t>
        </is>
      </c>
    </row>
    <row r="57">
      <c r="A57" s="16" t="n">
        <v>2024</v>
      </c>
      <c r="B57" s="17">
        <f>B28/$B$28*100</f>
        <v/>
      </c>
      <c r="C57" s="17">
        <f>B29/$B$29*100</f>
        <v/>
      </c>
    </row>
    <row r="58">
      <c r="A58" s="16" t="n">
        <v>2025</v>
      </c>
      <c r="B58" s="17">
        <f>C28/$B$28*100</f>
        <v/>
      </c>
      <c r="C58" s="17">
        <f>C29/$B$29*100</f>
        <v/>
      </c>
    </row>
    <row r="59">
      <c r="A59" s="16" t="n">
        <v>2026</v>
      </c>
      <c r="B59" s="17">
        <f>D28/$B$28*100</f>
        <v/>
      </c>
      <c r="C59" s="17">
        <f>D29/$B$29*100</f>
        <v/>
      </c>
    </row>
    <row r="62">
      <c r="A62" s="18" t="inlineStr">
        <is>
          <t>Règle de lecture : la variation d'une MARGE se lit en POINTS (différence), jamais en % relatif.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O5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" customWidth="1" min="14" max="14"/>
  </cols>
  <sheetData>
    <row r="1" ht="6" customHeight="1">
      <c r="A1" s="19" t="n"/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 ht="30" customHeight="1">
      <c r="A2" s="19" t="n"/>
      <c r="B2" s="20" t="inlineStr">
        <is>
          <t xml:space="preserve">  Cockpit de performance — EDUSERVICES GROUP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2" t="inlineStr">
        <is>
          <t xml:space="preserve">RÉEL · CLÔTURE 2026  </t>
        </is>
      </c>
      <c r="N2" s="19" t="n"/>
      <c r="O2" s="19" t="n"/>
    </row>
    <row r="3" ht="16" customHeight="1">
      <c r="A3" s="19" t="n"/>
      <c r="B3" s="23" t="inlineStr">
        <is>
          <t xml:space="preserve">  Constat 2024 → 2026 · socle CRM &amp; comptabilité rapprochés · base du cadrage 2027</t>
        </is>
      </c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5" t="n"/>
      <c r="N3" s="19" t="n"/>
      <c r="O3" s="19" t="n"/>
    </row>
    <row r="4" ht="6" customHeight="1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 ht="20" customHeight="1">
      <c r="A5" s="19" t="n"/>
      <c r="B5" s="26" t="inlineStr">
        <is>
          <t xml:space="preserve">  Scénario</t>
        </is>
      </c>
      <c r="C5" s="27">
        <f>Données!B5</f>
        <v/>
      </c>
      <c r="D5" s="26" t="inlineStr">
        <is>
          <t xml:space="preserve">  Version</t>
        </is>
      </c>
      <c r="E5" s="27">
        <f>Données!B6</f>
        <v/>
      </c>
      <c r="F5" s="28" t="inlineStr">
        <is>
          <t xml:space="preserve">  Exercice</t>
        </is>
      </c>
      <c r="G5" s="29">
        <f>Données!B7</f>
        <v/>
      </c>
      <c r="H5" s="26" t="inlineStr">
        <is>
          <t xml:space="preserve">  Période</t>
        </is>
      </c>
      <c r="I5" s="27">
        <f>Données!B8</f>
        <v/>
      </c>
      <c r="J5" s="26" t="inlineStr">
        <is>
          <t xml:space="preserve">  Marque</t>
        </is>
      </c>
      <c r="K5" s="27">
        <f>Données!B9</f>
        <v/>
      </c>
      <c r="L5" s="26" t="inlineStr">
        <is>
          <t xml:space="preserve">  Campus</t>
        </is>
      </c>
      <c r="M5" s="27">
        <f>Données!B10</f>
        <v/>
      </c>
      <c r="N5" s="19" t="n"/>
      <c r="O5" s="19" t="n"/>
    </row>
    <row r="6" ht="6" customHeight="1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19" t="n"/>
      <c r="B7" s="30" t="inlineStr">
        <is>
          <t xml:space="preserve">  CHIFFRE D'AFFAIRES</t>
        </is>
      </c>
      <c r="C7" s="31" t="n"/>
      <c r="D7" s="30" t="inlineStr">
        <is>
          <t xml:space="preserve">  EBITDA</t>
        </is>
      </c>
      <c r="E7" s="31" t="n"/>
      <c r="F7" s="30" t="inlineStr">
        <is>
          <t xml:space="preserve">  MARGE EBITDA</t>
        </is>
      </c>
      <c r="G7" s="31" t="n"/>
      <c r="H7" s="30" t="inlineStr">
        <is>
          <t xml:space="preserve">  INSCRITS (NOUVEAUX)</t>
        </is>
      </c>
      <c r="I7" s="31" t="n"/>
      <c r="J7" s="32" t="inlineStr">
        <is>
          <t xml:space="preserve">  COÛT D'ACQUISITION</t>
        </is>
      </c>
      <c r="K7" s="33" t="n"/>
      <c r="L7" s="30" t="inlineStr">
        <is>
          <t xml:space="preserve">  REMPLISSAGE MOYEN</t>
        </is>
      </c>
      <c r="M7" s="31" t="n"/>
      <c r="N7" s="19" t="n"/>
      <c r="O7" s="19" t="n"/>
    </row>
    <row r="8" ht="28" customHeight="1">
      <c r="A8" s="19" t="n"/>
      <c r="B8" s="34">
        <f>C35</f>
        <v/>
      </c>
      <c r="C8" s="35" t="n"/>
      <c r="D8" s="34">
        <f>E35</f>
        <v/>
      </c>
      <c r="E8" s="35" t="n"/>
      <c r="F8" s="36">
        <f>H35</f>
        <v/>
      </c>
      <c r="G8" s="35" t="n"/>
      <c r="H8" s="37">
        <f>J35</f>
        <v/>
      </c>
      <c r="I8" s="35" t="n"/>
      <c r="J8" s="38">
        <f>Données!D28/Données!D29</f>
        <v/>
      </c>
      <c r="K8" s="39" t="n"/>
      <c r="L8" s="40">
        <f>K35</f>
        <v/>
      </c>
      <c r="M8" s="35" t="n"/>
      <c r="N8" s="19" t="n"/>
      <c r="O8" s="19" t="n"/>
    </row>
    <row r="9" ht="16" customHeight="1">
      <c r="A9" s="19" t="n"/>
      <c r="B9" s="41">
        <f>D35</f>
        <v/>
      </c>
      <c r="C9" s="25" t="n"/>
      <c r="D9" s="41">
        <f>F35</f>
        <v/>
      </c>
      <c r="E9" s="25" t="n"/>
      <c r="F9" s="42">
        <f>I35</f>
        <v/>
      </c>
      <c r="G9" s="25" t="n"/>
      <c r="H9" s="41">
        <f>J35/Données!C29-1</f>
        <v/>
      </c>
      <c r="I9" s="25" t="n"/>
      <c r="J9" s="43">
        <f>(Données!D28/Données!D29)/(Données!C28/Données!C29)-1</f>
        <v/>
      </c>
      <c r="K9" s="44" t="n"/>
      <c r="L9" s="42">
        <f>(K35-Données!C30)*100</f>
        <v/>
      </c>
      <c r="M9" s="25" t="n"/>
      <c r="N9" s="19" t="n"/>
      <c r="O9" s="19" t="n"/>
    </row>
    <row r="10" ht="8" customHeight="1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20" customHeight="1">
      <c r="A11" s="19" t="n"/>
      <c r="B11" s="45" t="inlineStr">
        <is>
          <t xml:space="preserve">  Bridge EBITDA 2025 → 2026</t>
        </is>
      </c>
      <c r="C11" s="21" t="n"/>
      <c r="D11" s="21" t="n"/>
      <c r="E11" s="46" t="inlineStr">
        <is>
          <t xml:space="preserve">M€ · axe tronqué à 3,2  </t>
        </is>
      </c>
      <c r="F11" s="45" t="inlineStr">
        <is>
          <t xml:space="preserve">  Marge EBITDA par marque</t>
        </is>
      </c>
      <c r="G11" s="21" t="n"/>
      <c r="H11" s="21" t="n"/>
      <c r="I11" s="46" t="inlineStr">
        <is>
          <t xml:space="preserve">2024 · 2025 · 2026  </t>
        </is>
      </c>
      <c r="J11" s="45" t="inlineStr">
        <is>
          <t xml:space="preserve">  Tension acquisition</t>
        </is>
      </c>
      <c r="K11" s="21" t="n"/>
      <c r="L11" s="21" t="n"/>
      <c r="M11" s="46" t="inlineStr">
        <is>
          <t xml:space="preserve">base 100 = 2024  </t>
        </is>
      </c>
      <c r="N11" s="19" t="n"/>
      <c r="O11" s="19" t="n"/>
    </row>
    <row r="12" ht="16" customHeight="1">
      <c r="A12" s="19" t="n"/>
      <c r="B12" s="47" t="n"/>
      <c r="C12" s="48" t="n"/>
      <c r="D12" s="48" t="n"/>
      <c r="E12" s="35" t="n"/>
      <c r="F12" s="47" t="n"/>
      <c r="G12" s="48" t="n"/>
      <c r="H12" s="48" t="n"/>
      <c r="I12" s="35" t="n"/>
      <c r="J12" s="47" t="n"/>
      <c r="K12" s="48" t="n"/>
      <c r="L12" s="48" t="n"/>
      <c r="M12" s="35" t="n"/>
      <c r="N12" s="19" t="n"/>
      <c r="O12" s="19" t="n"/>
    </row>
    <row r="13" ht="16" customHeight="1">
      <c r="A13" s="19" t="n"/>
      <c r="B13" s="47" t="n"/>
      <c r="C13" s="48" t="n"/>
      <c r="D13" s="48" t="n"/>
      <c r="E13" s="35" t="n"/>
      <c r="F13" s="47" t="n"/>
      <c r="G13" s="48" t="n"/>
      <c r="H13" s="48" t="n"/>
      <c r="I13" s="35" t="n"/>
      <c r="J13" s="47" t="n"/>
      <c r="K13" s="48" t="n"/>
      <c r="L13" s="48" t="n"/>
      <c r="M13" s="35" t="n"/>
      <c r="N13" s="19" t="n"/>
      <c r="O13" s="19" t="n"/>
    </row>
    <row r="14" ht="16" customHeight="1">
      <c r="A14" s="19" t="n"/>
      <c r="B14" s="47" t="n"/>
      <c r="C14" s="48" t="n"/>
      <c r="D14" s="48" t="n"/>
      <c r="E14" s="35" t="n"/>
      <c r="F14" s="47" t="n"/>
      <c r="G14" s="48" t="n"/>
      <c r="H14" s="48" t="n"/>
      <c r="I14" s="35" t="n"/>
      <c r="J14" s="47" t="n"/>
      <c r="K14" s="48" t="n"/>
      <c r="L14" s="48" t="n"/>
      <c r="M14" s="35" t="n"/>
      <c r="N14" s="19" t="n"/>
      <c r="O14" s="19" t="n"/>
    </row>
    <row r="15" ht="16" customHeight="1">
      <c r="A15" s="19" t="n"/>
      <c r="B15" s="47" t="n"/>
      <c r="C15" s="48" t="n"/>
      <c r="D15" s="48" t="n"/>
      <c r="E15" s="35" t="n"/>
      <c r="F15" s="47" t="n"/>
      <c r="G15" s="48" t="n"/>
      <c r="H15" s="48" t="n"/>
      <c r="I15" s="35" t="n"/>
      <c r="J15" s="47" t="n"/>
      <c r="K15" s="48" t="n"/>
      <c r="L15" s="48" t="n"/>
      <c r="M15" s="35" t="n"/>
      <c r="N15" s="19" t="n"/>
      <c r="O15" s="19" t="n"/>
    </row>
    <row r="16" ht="16" customHeight="1">
      <c r="A16" s="19" t="n"/>
      <c r="B16" s="47" t="n"/>
      <c r="C16" s="48" t="n"/>
      <c r="D16" s="48" t="n"/>
      <c r="E16" s="35" t="n"/>
      <c r="F16" s="47" t="n"/>
      <c r="G16" s="48" t="n"/>
      <c r="H16" s="48" t="n"/>
      <c r="I16" s="35" t="n"/>
      <c r="J16" s="47" t="n"/>
      <c r="K16" s="48" t="n"/>
      <c r="L16" s="48" t="n"/>
      <c r="M16" s="35" t="n"/>
      <c r="N16" s="19" t="n"/>
      <c r="O16" s="19" t="n"/>
    </row>
    <row r="17" ht="16" customHeight="1">
      <c r="A17" s="19" t="n"/>
      <c r="B17" s="47" t="n"/>
      <c r="C17" s="48" t="n"/>
      <c r="D17" s="48" t="n"/>
      <c r="E17" s="35" t="n"/>
      <c r="F17" s="47" t="n"/>
      <c r="G17" s="48" t="n"/>
      <c r="H17" s="48" t="n"/>
      <c r="I17" s="35" t="n"/>
      <c r="J17" s="47" t="n"/>
      <c r="K17" s="48" t="n"/>
      <c r="L17" s="48" t="n"/>
      <c r="M17" s="35" t="n"/>
      <c r="N17" s="19" t="n"/>
      <c r="O17" s="19" t="n"/>
    </row>
    <row r="18" ht="16" customHeight="1">
      <c r="A18" s="19" t="n"/>
      <c r="B18" s="47" t="n"/>
      <c r="C18" s="48" t="n"/>
      <c r="D18" s="48" t="n"/>
      <c r="E18" s="35" t="n"/>
      <c r="F18" s="47" t="n"/>
      <c r="G18" s="48" t="n"/>
      <c r="H18" s="48" t="n"/>
      <c r="I18" s="35" t="n"/>
      <c r="J18" s="47" t="n"/>
      <c r="K18" s="48" t="n"/>
      <c r="L18" s="48" t="n"/>
      <c r="M18" s="35" t="n"/>
      <c r="N18" s="19" t="n"/>
      <c r="O18" s="19" t="n"/>
    </row>
    <row r="19" ht="16" customHeight="1">
      <c r="A19" s="19" t="n"/>
      <c r="B19" s="47" t="n"/>
      <c r="C19" s="48" t="n"/>
      <c r="D19" s="48" t="n"/>
      <c r="E19" s="35" t="n"/>
      <c r="F19" s="47" t="n"/>
      <c r="G19" s="48" t="n"/>
      <c r="H19" s="48" t="n"/>
      <c r="I19" s="35" t="n"/>
      <c r="J19" s="47" t="n"/>
      <c r="K19" s="48" t="n"/>
      <c r="L19" s="48" t="n"/>
      <c r="M19" s="35" t="n"/>
      <c r="N19" s="19" t="n"/>
      <c r="O19" s="19" t="n"/>
    </row>
    <row r="20" ht="16" customHeight="1">
      <c r="A20" s="19" t="n"/>
      <c r="B20" s="47" t="n"/>
      <c r="C20" s="48" t="n"/>
      <c r="D20" s="48" t="n"/>
      <c r="E20" s="35" t="n"/>
      <c r="F20" s="47" t="n"/>
      <c r="G20" s="48" t="n"/>
      <c r="H20" s="48" t="n"/>
      <c r="I20" s="35" t="n"/>
      <c r="J20" s="47" t="n"/>
      <c r="K20" s="48" t="n"/>
      <c r="L20" s="48" t="n"/>
      <c r="M20" s="35" t="n"/>
      <c r="N20" s="19" t="n"/>
      <c r="O20" s="19" t="n"/>
    </row>
    <row r="21" ht="16" customHeight="1">
      <c r="A21" s="19" t="n"/>
      <c r="B21" s="47" t="n"/>
      <c r="C21" s="48" t="n"/>
      <c r="D21" s="48" t="n"/>
      <c r="E21" s="35" t="n"/>
      <c r="F21" s="47" t="n"/>
      <c r="G21" s="48" t="n"/>
      <c r="H21" s="48" t="n"/>
      <c r="I21" s="35" t="n"/>
      <c r="J21" s="47" t="n"/>
      <c r="K21" s="48" t="n"/>
      <c r="L21" s="48" t="n"/>
      <c r="M21" s="35" t="n"/>
      <c r="N21" s="19" t="n"/>
      <c r="O21" s="19" t="n"/>
    </row>
    <row r="22" ht="16" customHeight="1">
      <c r="A22" s="19" t="n"/>
      <c r="B22" s="47" t="n"/>
      <c r="C22" s="48" t="n"/>
      <c r="D22" s="48" t="n"/>
      <c r="E22" s="35" t="n"/>
      <c r="F22" s="47" t="n"/>
      <c r="G22" s="48" t="n"/>
      <c r="H22" s="48" t="n"/>
      <c r="I22" s="35" t="n"/>
      <c r="J22" s="47" t="n"/>
      <c r="K22" s="48" t="n"/>
      <c r="L22" s="48" t="n"/>
      <c r="M22" s="35" t="n"/>
      <c r="N22" s="19" t="n"/>
      <c r="O22" s="19" t="n"/>
    </row>
    <row r="23" ht="16" customHeight="1">
      <c r="A23" s="19" t="n"/>
      <c r="B23" s="47" t="n"/>
      <c r="C23" s="48" t="n"/>
      <c r="D23" s="48" t="n"/>
      <c r="E23" s="35" t="n"/>
      <c r="F23" s="47" t="n"/>
      <c r="G23" s="48" t="n"/>
      <c r="H23" s="48" t="n"/>
      <c r="I23" s="35" t="n"/>
      <c r="J23" s="47" t="n"/>
      <c r="K23" s="48" t="n"/>
      <c r="L23" s="48" t="n"/>
      <c r="M23" s="35" t="n"/>
      <c r="N23" s="19" t="n"/>
      <c r="O23" s="19" t="n"/>
    </row>
    <row r="24" ht="16" customHeight="1">
      <c r="A24" s="19" t="n"/>
      <c r="B24" s="47" t="n"/>
      <c r="C24" s="48" t="n"/>
      <c r="D24" s="48" t="n"/>
      <c r="E24" s="35" t="n"/>
      <c r="F24" s="47" t="n"/>
      <c r="G24" s="48" t="n"/>
      <c r="H24" s="48" t="n"/>
      <c r="I24" s="35" t="n"/>
      <c r="J24" s="47" t="n"/>
      <c r="K24" s="48" t="n"/>
      <c r="L24" s="48" t="n"/>
      <c r="M24" s="35" t="n"/>
      <c r="N24" s="19" t="n"/>
      <c r="O24" s="19" t="n"/>
    </row>
    <row r="25" ht="16" customHeight="1">
      <c r="A25" s="19" t="n"/>
      <c r="B25" s="47" t="n"/>
      <c r="C25" s="48" t="n"/>
      <c r="D25" s="48" t="n"/>
      <c r="E25" s="35" t="n"/>
      <c r="F25" s="47" t="n"/>
      <c r="G25" s="48" t="n"/>
      <c r="H25" s="48" t="n"/>
      <c r="I25" s="35" t="n"/>
      <c r="J25" s="47" t="n"/>
      <c r="K25" s="48" t="n"/>
      <c r="L25" s="48" t="n"/>
      <c r="M25" s="35" t="n"/>
      <c r="N25" s="19" t="n"/>
      <c r="O25" s="19" t="n"/>
    </row>
    <row r="26" ht="16" customHeight="1">
      <c r="A26" s="19" t="n"/>
      <c r="B26" s="47" t="n"/>
      <c r="C26" s="48" t="n"/>
      <c r="D26" s="48" t="n"/>
      <c r="E26" s="35" t="n"/>
      <c r="F26" s="47" t="n"/>
      <c r="G26" s="48" t="n"/>
      <c r="H26" s="48" t="n"/>
      <c r="I26" s="35" t="n"/>
      <c r="J26" s="47" t="n"/>
      <c r="K26" s="48" t="n"/>
      <c r="L26" s="48" t="n"/>
      <c r="M26" s="35" t="n"/>
      <c r="N26" s="19" t="n"/>
      <c r="O26" s="19" t="n"/>
    </row>
    <row r="27" ht="16" customHeight="1">
      <c r="A27" s="19" t="n"/>
      <c r="B27" s="47" t="n"/>
      <c r="C27" s="48" t="n"/>
      <c r="D27" s="48" t="n"/>
      <c r="E27" s="35" t="n"/>
      <c r="F27" s="47" t="n"/>
      <c r="G27" s="48" t="n"/>
      <c r="H27" s="48" t="n"/>
      <c r="I27" s="35" t="n"/>
      <c r="J27" s="47" t="n"/>
      <c r="K27" s="48" t="n"/>
      <c r="L27" s="48" t="n"/>
      <c r="M27" s="35" t="n"/>
      <c r="N27" s="19" t="n"/>
      <c r="O27" s="19" t="n"/>
    </row>
    <row r="28" ht="16" customHeight="1">
      <c r="A28" s="19" t="n"/>
      <c r="B28" s="47" t="n"/>
      <c r="C28" s="48" t="n"/>
      <c r="D28" s="48" t="n"/>
      <c r="E28" s="35" t="n"/>
      <c r="F28" s="47" t="n"/>
      <c r="G28" s="48" t="n"/>
      <c r="H28" s="48" t="n"/>
      <c r="I28" s="35" t="n"/>
      <c r="J28" s="47" t="n"/>
      <c r="K28" s="48" t="n"/>
      <c r="L28" s="48" t="n"/>
      <c r="M28" s="35" t="n"/>
      <c r="N28" s="19" t="n"/>
      <c r="O28" s="19" t="n"/>
    </row>
    <row r="29" ht="16" customHeight="1">
      <c r="A29" s="19" t="n"/>
      <c r="B29" s="47" t="n"/>
      <c r="C29" s="48" t="n"/>
      <c r="D29" s="48" t="n"/>
      <c r="E29" s="35" t="n"/>
      <c r="F29" s="47" t="n"/>
      <c r="G29" s="48" t="n"/>
      <c r="H29" s="48" t="n"/>
      <c r="I29" s="35" t="n"/>
      <c r="J29" s="47" t="n"/>
      <c r="K29" s="48" t="n"/>
      <c r="L29" s="48" t="n"/>
      <c r="M29" s="35" t="n"/>
      <c r="N29" s="19" t="n"/>
      <c r="O29" s="19" t="n"/>
    </row>
    <row r="30" ht="16" customHeight="1">
      <c r="A30" s="19" t="n"/>
      <c r="B30" s="47" t="n"/>
      <c r="C30" s="48" t="n"/>
      <c r="D30" s="48" t="n"/>
      <c r="E30" s="35" t="n"/>
      <c r="F30" s="47" t="n"/>
      <c r="G30" s="48" t="n"/>
      <c r="H30" s="48" t="n"/>
      <c r="I30" s="35" t="n"/>
      <c r="J30" s="47" t="n"/>
      <c r="K30" s="48" t="n"/>
      <c r="L30" s="48" t="n"/>
      <c r="M30" s="35" t="n"/>
      <c r="N30" s="19" t="n"/>
      <c r="O30" s="19" t="n"/>
    </row>
    <row r="31" ht="16" customHeight="1">
      <c r="A31" s="19" t="n"/>
      <c r="B31" s="49" t="n"/>
      <c r="C31" s="24" t="n"/>
      <c r="D31" s="24" t="n"/>
      <c r="E31" s="25" t="n"/>
      <c r="F31" s="49" t="n"/>
      <c r="G31" s="24" t="n"/>
      <c r="H31" s="24" t="n"/>
      <c r="I31" s="25" t="n"/>
      <c r="J31" s="49" t="n"/>
      <c r="K31" s="24" t="n"/>
      <c r="L31" s="24" t="n"/>
      <c r="M31" s="25" t="n"/>
      <c r="N31" s="19" t="n"/>
      <c r="O31" s="19" t="n"/>
    </row>
    <row r="32" ht="8" customHeight="1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20" customHeight="1">
      <c r="A33" s="19" t="n"/>
      <c r="B33" s="45" t="inlineStr">
        <is>
          <t xml:space="preserve">  Portefeuille — marque &amp; campus</t>
        </is>
      </c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46" t="inlineStr">
        <is>
          <t xml:space="preserve">exercice 2026 · variation vs 2025  </t>
        </is>
      </c>
      <c r="N33" s="19" t="n"/>
      <c r="O33" s="19" t="n"/>
    </row>
    <row r="34" ht="18" customHeight="1">
      <c r="A34" s="19" t="n"/>
      <c r="B34" s="50" t="inlineStr">
        <is>
          <t>Marque / campus</t>
        </is>
      </c>
      <c r="C34" s="51" t="inlineStr">
        <is>
          <t>CA 2026</t>
        </is>
      </c>
      <c r="D34" s="51" t="inlineStr">
        <is>
          <t>Δ CA</t>
        </is>
      </c>
      <c r="E34" s="51" t="inlineStr">
        <is>
          <t>EBITDA</t>
        </is>
      </c>
      <c r="F34" s="51" t="inlineStr">
        <is>
          <t>Δ EBITDA</t>
        </is>
      </c>
      <c r="G34" s="51" t="inlineStr">
        <is>
          <t>Part EBITDA</t>
        </is>
      </c>
      <c r="H34" s="51" t="inlineStr">
        <is>
          <t>Marge EBITDA</t>
        </is>
      </c>
      <c r="I34" s="51" t="inlineStr">
        <is>
          <t>Δ marge</t>
        </is>
      </c>
      <c r="J34" s="51" t="inlineStr">
        <is>
          <t>Inscrits</t>
        </is>
      </c>
      <c r="K34" s="51" t="inlineStr">
        <is>
          <t>Rempl.</t>
        </is>
      </c>
      <c r="L34" s="51" t="inlineStr">
        <is>
          <t>Mix alt.</t>
        </is>
      </c>
      <c r="M34" s="51" t="inlineStr">
        <is>
          <t>Alerte</t>
        </is>
      </c>
      <c r="N34" s="19" t="n"/>
      <c r="O34" s="19" t="n"/>
    </row>
    <row r="35" ht="17" customHeight="1">
      <c r="A35" s="19" t="n"/>
      <c r="B35" s="52" t="inlineStr">
        <is>
          <t>GROUPE</t>
        </is>
      </c>
      <c r="C35" s="53">
        <f>SUM(Données!$E$15:$E$23)</f>
        <v/>
      </c>
      <c r="D35" s="54">
        <f>C35/SUM(Données!$D$15:$D$23)-1</f>
        <v/>
      </c>
      <c r="E35" s="53">
        <f>SUM(Données!$H$15:$H$23)</f>
        <v/>
      </c>
      <c r="F35" s="54">
        <f>E35/SUM(Données!$G$15:$G$23)-1</f>
        <v/>
      </c>
      <c r="G35" s="55">
        <f>E35/$E$35</f>
        <v/>
      </c>
      <c r="H35" s="55">
        <f>E35/C35</f>
        <v/>
      </c>
      <c r="I35" s="56">
        <f>(H35-SUM(Données!$G$15:$G$23)/SUM(Données!$D$15:$D$23))*100</f>
        <v/>
      </c>
      <c r="J35" s="53">
        <f>SUM(Données!$I$15:$I$23)</f>
        <v/>
      </c>
      <c r="K35" s="57">
        <f>SUMPRODUCT(Données!$I$15:$I$23,Données!$J$15:$J$23)/J35</f>
        <v/>
      </c>
      <c r="L35" s="57">
        <f>SUMPRODUCT(Données!$I$15:$I$23,Données!$K$15:$K$23)/J35</f>
        <v/>
      </c>
      <c r="M35" s="58">
        <f>IF(H35&lt;0.08,"FRAGILE","")</f>
        <v/>
      </c>
      <c r="N35" s="19" t="n"/>
      <c r="O35" s="19" t="n"/>
    </row>
    <row r="36" outlineLevel="1" ht="17" customHeight="1">
      <c r="A36" s="19" t="n"/>
      <c r="B36" s="59" t="inlineStr">
        <is>
          <t>MBway</t>
        </is>
      </c>
      <c r="C36" s="60">
        <f>SUMIF(Données!$B$15:$B$23,$B36,Données!$E$15:$E$23)</f>
        <v/>
      </c>
      <c r="D36" s="61">
        <f>C36/SUMIF(Données!$B$15:$B$23,$B36,Données!$D$15:$D$23)-1</f>
        <v/>
      </c>
      <c r="E36" s="60">
        <f>SUMIF(Données!$B$15:$B$23,$B36,Données!$H$15:$H$23)</f>
        <v/>
      </c>
      <c r="F36" s="61">
        <f>E36/SUMIF(Données!$B$15:$B$23,$B36,Données!$G$15:$G$23)-1</f>
        <v/>
      </c>
      <c r="G36" s="62">
        <f>E36/$E$35</f>
        <v/>
      </c>
      <c r="H36" s="62">
        <f>E36/C36</f>
        <v/>
      </c>
      <c r="I36" s="63">
        <f>(H36-SUMIF(Données!$B$15:$B$23,$B36,Données!$G$15:$G$23)/SUMIF(Données!$B$15:$B$23,$B36,Données!$D$15:$D$23))*100</f>
        <v/>
      </c>
      <c r="J36" s="60">
        <f>SUMIF(Données!$B$15:$B$23,$B36,Données!$I$15:$I$23)</f>
        <v/>
      </c>
      <c r="K36" s="64">
        <f>SUMPRODUCT((Données!$B$15:$B$23=$B36)*Données!$I$15:$I$23*Données!$J$15:$J$23)/J36</f>
        <v/>
      </c>
      <c r="L36" s="64">
        <f>SUMPRODUCT((Données!$B$15:$B$23=$B36)*Données!$I$15:$I$23*Données!$K$15:$K$23)/J36</f>
        <v/>
      </c>
      <c r="M36" s="65">
        <f>IF(H36&lt;0.08,"FRAGILE","")</f>
        <v/>
      </c>
      <c r="N36" s="19" t="n"/>
      <c r="O36" s="19" t="n"/>
    </row>
    <row r="37" outlineLevel="2" ht="17" customHeight="1">
      <c r="A37" s="19" t="n"/>
      <c r="B37" s="66" t="inlineStr">
        <is>
          <t>MBWAY_PAR</t>
        </is>
      </c>
      <c r="C37" s="67">
        <f>VLOOKUP($B37,Données!$A$15:$K$23,5,0)</f>
        <v/>
      </c>
      <c r="D37" s="68">
        <f>C37/VLOOKUP($B37,Données!$A$15:$K$23,4,0)-1</f>
        <v/>
      </c>
      <c r="E37" s="67">
        <f>VLOOKUP($B37,Données!$A$15:$K$23,8,0)</f>
        <v/>
      </c>
      <c r="F37" s="68">
        <f>IF(VLOOKUP($B37,Données!$A$15:$K$23,7,0)&lt;=0,"n/s",E37/VLOOKUP($B37,Données!$A$15:$K$23,7,0)-1)</f>
        <v/>
      </c>
      <c r="G37" s="69">
        <f>E37/$E$35</f>
        <v/>
      </c>
      <c r="H37" s="69">
        <f>E37/C37</f>
        <v/>
      </c>
      <c r="I37" s="70">
        <f>(H37-VLOOKUP($B37,Données!$A$15:$K$23,7,0)/VLOOKUP($B37,Données!$A$15:$K$23,4,0))*100</f>
        <v/>
      </c>
      <c r="J37" s="67">
        <f>VLOOKUP($B37,Données!$A$15:$K$23,9,0)</f>
        <v/>
      </c>
      <c r="K37" s="71">
        <f>VLOOKUP($B37,Données!$A$15:$K$23,10,0)</f>
        <v/>
      </c>
      <c r="L37" s="71">
        <f>VLOOKUP($B37,Données!$A$15:$K$23,11,0)</f>
        <v/>
      </c>
      <c r="M37" s="65">
        <f>IF(H37&lt;0.08,"FRAGILE","")</f>
        <v/>
      </c>
      <c r="N37" s="19" t="n"/>
      <c r="O37" s="19" t="n"/>
    </row>
    <row r="38" outlineLevel="2" ht="17" customHeight="1">
      <c r="A38" s="19" t="n"/>
      <c r="B38" s="66" t="inlineStr">
        <is>
          <t>MBWAY_LYO</t>
        </is>
      </c>
      <c r="C38" s="67">
        <f>VLOOKUP($B38,Données!$A$15:$K$23,5,0)</f>
        <v/>
      </c>
      <c r="D38" s="68">
        <f>C38/VLOOKUP($B38,Données!$A$15:$K$23,4,0)-1</f>
        <v/>
      </c>
      <c r="E38" s="67">
        <f>VLOOKUP($B38,Données!$A$15:$K$23,8,0)</f>
        <v/>
      </c>
      <c r="F38" s="68">
        <f>IF(VLOOKUP($B38,Données!$A$15:$K$23,7,0)&lt;=0,"n/s",E38/VLOOKUP($B38,Données!$A$15:$K$23,7,0)-1)</f>
        <v/>
      </c>
      <c r="G38" s="69">
        <f>E38/$E$35</f>
        <v/>
      </c>
      <c r="H38" s="69">
        <f>E38/C38</f>
        <v/>
      </c>
      <c r="I38" s="70">
        <f>(H38-VLOOKUP($B38,Données!$A$15:$K$23,7,0)/VLOOKUP($B38,Données!$A$15:$K$23,4,0))*100</f>
        <v/>
      </c>
      <c r="J38" s="67">
        <f>VLOOKUP($B38,Données!$A$15:$K$23,9,0)</f>
        <v/>
      </c>
      <c r="K38" s="71">
        <f>VLOOKUP($B38,Données!$A$15:$K$23,10,0)</f>
        <v/>
      </c>
      <c r="L38" s="71">
        <f>VLOOKUP($B38,Données!$A$15:$K$23,11,0)</f>
        <v/>
      </c>
      <c r="M38" s="65">
        <f>IF(H38&lt;0.08,"FRAGILE","")</f>
        <v/>
      </c>
      <c r="N38" s="19" t="n"/>
      <c r="O38" s="19" t="n"/>
    </row>
    <row r="39" outlineLevel="2" ht="17" customHeight="1">
      <c r="A39" s="19" t="n"/>
      <c r="B39" s="66" t="inlineStr">
        <is>
          <t>MBWAY_BOR</t>
        </is>
      </c>
      <c r="C39" s="67">
        <f>VLOOKUP($B39,Données!$A$15:$K$23,5,0)</f>
        <v/>
      </c>
      <c r="D39" s="68">
        <f>C39/VLOOKUP($B39,Données!$A$15:$K$23,4,0)-1</f>
        <v/>
      </c>
      <c r="E39" s="67">
        <f>VLOOKUP($B39,Données!$A$15:$K$23,8,0)</f>
        <v/>
      </c>
      <c r="F39" s="68">
        <f>IF(VLOOKUP($B39,Données!$A$15:$K$23,7,0)&lt;=0,"n/s",E39/VLOOKUP($B39,Données!$A$15:$K$23,7,0)-1)</f>
        <v/>
      </c>
      <c r="G39" s="69">
        <f>E39/$E$35</f>
        <v/>
      </c>
      <c r="H39" s="69">
        <f>E39/C39</f>
        <v/>
      </c>
      <c r="I39" s="70">
        <f>(H39-VLOOKUP($B39,Données!$A$15:$K$23,7,0)/VLOOKUP($B39,Données!$A$15:$K$23,4,0))*100</f>
        <v/>
      </c>
      <c r="J39" s="67">
        <f>VLOOKUP($B39,Données!$A$15:$K$23,9,0)</f>
        <v/>
      </c>
      <c r="K39" s="71">
        <f>VLOOKUP($B39,Données!$A$15:$K$23,10,0)</f>
        <v/>
      </c>
      <c r="L39" s="71">
        <f>VLOOKUP($B39,Données!$A$15:$K$23,11,0)</f>
        <v/>
      </c>
      <c r="M39" s="65">
        <f>IF(H39&lt;0.08,"FRAGILE","")</f>
        <v/>
      </c>
      <c r="N39" s="19" t="n"/>
      <c r="O39" s="19" t="n"/>
    </row>
    <row r="40" outlineLevel="1" ht="17" customHeight="1">
      <c r="A40" s="19" t="n"/>
      <c r="B40" s="59" t="inlineStr">
        <is>
          <t>Iscom</t>
        </is>
      </c>
      <c r="C40" s="60">
        <f>SUMIF(Données!$B$15:$B$23,$B40,Données!$E$15:$E$23)</f>
        <v/>
      </c>
      <c r="D40" s="61">
        <f>C40/SUMIF(Données!$B$15:$B$23,$B40,Données!$D$15:$D$23)-1</f>
        <v/>
      </c>
      <c r="E40" s="60">
        <f>SUMIF(Données!$B$15:$B$23,$B40,Données!$H$15:$H$23)</f>
        <v/>
      </c>
      <c r="F40" s="61">
        <f>E40/SUMIF(Données!$B$15:$B$23,$B40,Données!$G$15:$G$23)-1</f>
        <v/>
      </c>
      <c r="G40" s="62">
        <f>E40/$E$35</f>
        <v/>
      </c>
      <c r="H40" s="62">
        <f>E40/C40</f>
        <v/>
      </c>
      <c r="I40" s="63">
        <f>(H40-SUMIF(Données!$B$15:$B$23,$B40,Données!$G$15:$G$23)/SUMIF(Données!$B$15:$B$23,$B40,Données!$D$15:$D$23))*100</f>
        <v/>
      </c>
      <c r="J40" s="60">
        <f>SUMIF(Données!$B$15:$B$23,$B40,Données!$I$15:$I$23)</f>
        <v/>
      </c>
      <c r="K40" s="64">
        <f>SUMPRODUCT((Données!$B$15:$B$23=$B40)*Données!$I$15:$I$23*Données!$J$15:$J$23)/J40</f>
        <v/>
      </c>
      <c r="L40" s="64">
        <f>SUMPRODUCT((Données!$B$15:$B$23=$B40)*Données!$I$15:$I$23*Données!$K$15:$K$23)/J40</f>
        <v/>
      </c>
      <c r="M40" s="65">
        <f>IF(H40&lt;0.08,"FRAGILE","")</f>
        <v/>
      </c>
      <c r="N40" s="19" t="n"/>
      <c r="O40" s="19" t="n"/>
    </row>
    <row r="41" outlineLevel="2" ht="17" customHeight="1">
      <c r="A41" s="19" t="n"/>
      <c r="B41" s="66" t="inlineStr">
        <is>
          <t>ISCOM_PAR</t>
        </is>
      </c>
      <c r="C41" s="67">
        <f>VLOOKUP($B41,Données!$A$15:$K$23,5,0)</f>
        <v/>
      </c>
      <c r="D41" s="68">
        <f>C41/VLOOKUP($B41,Données!$A$15:$K$23,4,0)-1</f>
        <v/>
      </c>
      <c r="E41" s="67">
        <f>VLOOKUP($B41,Données!$A$15:$K$23,8,0)</f>
        <v/>
      </c>
      <c r="F41" s="68">
        <f>IF(VLOOKUP($B41,Données!$A$15:$K$23,7,0)&lt;=0,"n/s",E41/VLOOKUP($B41,Données!$A$15:$K$23,7,0)-1)</f>
        <v/>
      </c>
      <c r="G41" s="69">
        <f>E41/$E$35</f>
        <v/>
      </c>
      <c r="H41" s="69">
        <f>E41/C41</f>
        <v/>
      </c>
      <c r="I41" s="70">
        <f>(H41-VLOOKUP($B41,Données!$A$15:$K$23,7,0)/VLOOKUP($B41,Données!$A$15:$K$23,4,0))*100</f>
        <v/>
      </c>
      <c r="J41" s="67">
        <f>VLOOKUP($B41,Données!$A$15:$K$23,9,0)</f>
        <v/>
      </c>
      <c r="K41" s="71">
        <f>VLOOKUP($B41,Données!$A$15:$K$23,10,0)</f>
        <v/>
      </c>
      <c r="L41" s="71">
        <f>VLOOKUP($B41,Données!$A$15:$K$23,11,0)</f>
        <v/>
      </c>
      <c r="M41" s="65">
        <f>IF(H41&lt;0.08,"FRAGILE","")</f>
        <v/>
      </c>
      <c r="N41" s="19" t="n"/>
      <c r="O41" s="19" t="n"/>
    </row>
    <row r="42" outlineLevel="2" ht="17" customHeight="1">
      <c r="A42" s="19" t="n"/>
      <c r="B42" s="66" t="inlineStr">
        <is>
          <t>ISCOM_LIL</t>
        </is>
      </c>
      <c r="C42" s="67">
        <f>VLOOKUP($B42,Données!$A$15:$K$23,5,0)</f>
        <v/>
      </c>
      <c r="D42" s="68">
        <f>C42/VLOOKUP($B42,Données!$A$15:$K$23,4,0)-1</f>
        <v/>
      </c>
      <c r="E42" s="67">
        <f>VLOOKUP($B42,Données!$A$15:$K$23,8,0)</f>
        <v/>
      </c>
      <c r="F42" s="68">
        <f>IF(VLOOKUP($B42,Données!$A$15:$K$23,7,0)&lt;=0,"n/s",E42/VLOOKUP($B42,Données!$A$15:$K$23,7,0)-1)</f>
        <v/>
      </c>
      <c r="G42" s="69">
        <f>E42/$E$35</f>
        <v/>
      </c>
      <c r="H42" s="69">
        <f>E42/C42</f>
        <v/>
      </c>
      <c r="I42" s="70">
        <f>(H42-VLOOKUP($B42,Données!$A$15:$K$23,7,0)/VLOOKUP($B42,Données!$A$15:$K$23,4,0))*100</f>
        <v/>
      </c>
      <c r="J42" s="67">
        <f>VLOOKUP($B42,Données!$A$15:$K$23,9,0)</f>
        <v/>
      </c>
      <c r="K42" s="71">
        <f>VLOOKUP($B42,Données!$A$15:$K$23,10,0)</f>
        <v/>
      </c>
      <c r="L42" s="71">
        <f>VLOOKUP($B42,Données!$A$15:$K$23,11,0)</f>
        <v/>
      </c>
      <c r="M42" s="65">
        <f>IF(H42&lt;0.08,"FRAGILE","")</f>
        <v/>
      </c>
      <c r="N42" s="19" t="n"/>
      <c r="O42" s="19" t="n"/>
    </row>
    <row r="43" outlineLevel="1" ht="17" customHeight="1">
      <c r="A43" s="19" t="n"/>
      <c r="B43" s="59" t="inlineStr">
        <is>
          <t>Pigier</t>
        </is>
      </c>
      <c r="C43" s="60">
        <f>SUMIF(Données!$B$15:$B$23,$B43,Données!$E$15:$E$23)</f>
        <v/>
      </c>
      <c r="D43" s="61">
        <f>C43/SUMIF(Données!$B$15:$B$23,$B43,Données!$D$15:$D$23)-1</f>
        <v/>
      </c>
      <c r="E43" s="60">
        <f>SUMIF(Données!$B$15:$B$23,$B43,Données!$H$15:$H$23)</f>
        <v/>
      </c>
      <c r="F43" s="61">
        <f>E43/SUMIF(Données!$B$15:$B$23,$B43,Données!$G$15:$G$23)-1</f>
        <v/>
      </c>
      <c r="G43" s="62">
        <f>E43/$E$35</f>
        <v/>
      </c>
      <c r="H43" s="62">
        <f>E43/C43</f>
        <v/>
      </c>
      <c r="I43" s="63">
        <f>(H43-SUMIF(Données!$B$15:$B$23,$B43,Données!$G$15:$G$23)/SUMIF(Données!$B$15:$B$23,$B43,Données!$D$15:$D$23))*100</f>
        <v/>
      </c>
      <c r="J43" s="60">
        <f>SUMIF(Données!$B$15:$B$23,$B43,Données!$I$15:$I$23)</f>
        <v/>
      </c>
      <c r="K43" s="64">
        <f>SUMPRODUCT((Données!$B$15:$B$23=$B43)*Données!$I$15:$I$23*Données!$J$15:$J$23)/J43</f>
        <v/>
      </c>
      <c r="L43" s="64">
        <f>SUMPRODUCT((Données!$B$15:$B$23=$B43)*Données!$I$15:$I$23*Données!$K$15:$K$23)/J43</f>
        <v/>
      </c>
      <c r="M43" s="65">
        <f>IF(H43&lt;0.08,"FRAGILE","")</f>
        <v/>
      </c>
      <c r="N43" s="19" t="n"/>
      <c r="O43" s="19" t="n"/>
    </row>
    <row r="44" outlineLevel="2" ht="17" customHeight="1">
      <c r="A44" s="19" t="n"/>
      <c r="B44" s="66" t="inlineStr">
        <is>
          <t>PIGIER_BOR</t>
        </is>
      </c>
      <c r="C44" s="67">
        <f>VLOOKUP($B44,Données!$A$15:$K$23,5,0)</f>
        <v/>
      </c>
      <c r="D44" s="68">
        <f>C44/VLOOKUP($B44,Données!$A$15:$K$23,4,0)-1</f>
        <v/>
      </c>
      <c r="E44" s="67">
        <f>VLOOKUP($B44,Données!$A$15:$K$23,8,0)</f>
        <v/>
      </c>
      <c r="F44" s="68">
        <f>IF(VLOOKUP($B44,Données!$A$15:$K$23,7,0)&lt;=0,"n/s",E44/VLOOKUP($B44,Données!$A$15:$K$23,7,0)-1)</f>
        <v/>
      </c>
      <c r="G44" s="69">
        <f>E44/$E$35</f>
        <v/>
      </c>
      <c r="H44" s="69">
        <f>E44/C44</f>
        <v/>
      </c>
      <c r="I44" s="70">
        <f>(H44-VLOOKUP($B44,Données!$A$15:$K$23,7,0)/VLOOKUP($B44,Données!$A$15:$K$23,4,0))*100</f>
        <v/>
      </c>
      <c r="J44" s="67">
        <f>VLOOKUP($B44,Données!$A$15:$K$23,9,0)</f>
        <v/>
      </c>
      <c r="K44" s="71">
        <f>VLOOKUP($B44,Données!$A$15:$K$23,10,0)</f>
        <v/>
      </c>
      <c r="L44" s="71">
        <f>VLOOKUP($B44,Données!$A$15:$K$23,11,0)</f>
        <v/>
      </c>
      <c r="M44" s="65">
        <f>IF(H44&lt;0.08,"FRAGILE","")</f>
        <v/>
      </c>
      <c r="N44" s="19" t="n"/>
      <c r="O44" s="19" t="n"/>
    </row>
    <row r="45" outlineLevel="2" ht="17" customHeight="1">
      <c r="A45" s="19" t="n"/>
      <c r="B45" s="66" t="inlineStr">
        <is>
          <t>PIGIER_LYO</t>
        </is>
      </c>
      <c r="C45" s="67">
        <f>VLOOKUP($B45,Données!$A$15:$K$23,5,0)</f>
        <v/>
      </c>
      <c r="D45" s="68">
        <f>C45/VLOOKUP($B45,Données!$A$15:$K$23,4,0)-1</f>
        <v/>
      </c>
      <c r="E45" s="67">
        <f>VLOOKUP($B45,Données!$A$15:$K$23,8,0)</f>
        <v/>
      </c>
      <c r="F45" s="68">
        <f>IF(VLOOKUP($B45,Données!$A$15:$K$23,7,0)&lt;=0,"n/s",E45/VLOOKUP($B45,Données!$A$15:$K$23,7,0)-1)</f>
        <v/>
      </c>
      <c r="G45" s="69">
        <f>E45/$E$35</f>
        <v/>
      </c>
      <c r="H45" s="69">
        <f>E45/C45</f>
        <v/>
      </c>
      <c r="I45" s="70">
        <f>(H45-VLOOKUP($B45,Données!$A$15:$K$23,7,0)/VLOOKUP($B45,Données!$A$15:$K$23,4,0))*100</f>
        <v/>
      </c>
      <c r="J45" s="67">
        <f>VLOOKUP($B45,Données!$A$15:$K$23,9,0)</f>
        <v/>
      </c>
      <c r="K45" s="71">
        <f>VLOOKUP($B45,Données!$A$15:$K$23,10,0)</f>
        <v/>
      </c>
      <c r="L45" s="71">
        <f>VLOOKUP($B45,Données!$A$15:$K$23,11,0)</f>
        <v/>
      </c>
      <c r="M45" s="65">
        <f>IF(H45&lt;0.08,"FRAGILE","")</f>
        <v/>
      </c>
      <c r="N45" s="19" t="n"/>
      <c r="O45" s="19" t="n"/>
    </row>
    <row r="46" outlineLevel="1" ht="17" customHeight="1">
      <c r="A46" s="19" t="n"/>
      <c r="B46" s="59" t="inlineStr">
        <is>
          <t>Tunon</t>
        </is>
      </c>
      <c r="C46" s="60">
        <f>SUMIF(Données!$B$15:$B$23,$B46,Données!$E$15:$E$23)</f>
        <v/>
      </c>
      <c r="D46" s="61">
        <f>C46/SUMIF(Données!$B$15:$B$23,$B46,Données!$D$15:$D$23)-1</f>
        <v/>
      </c>
      <c r="E46" s="60">
        <f>SUMIF(Données!$B$15:$B$23,$B46,Données!$H$15:$H$23)</f>
        <v/>
      </c>
      <c r="F46" s="61">
        <f>E46/SUMIF(Données!$B$15:$B$23,$B46,Données!$G$15:$G$23)-1</f>
        <v/>
      </c>
      <c r="G46" s="62">
        <f>E46/$E$35</f>
        <v/>
      </c>
      <c r="H46" s="62">
        <f>E46/C46</f>
        <v/>
      </c>
      <c r="I46" s="63">
        <f>(H46-SUMIF(Données!$B$15:$B$23,$B46,Données!$G$15:$G$23)/SUMIF(Données!$B$15:$B$23,$B46,Données!$D$15:$D$23))*100</f>
        <v/>
      </c>
      <c r="J46" s="60">
        <f>SUMIF(Données!$B$15:$B$23,$B46,Données!$I$15:$I$23)</f>
        <v/>
      </c>
      <c r="K46" s="64">
        <f>SUMPRODUCT((Données!$B$15:$B$23=$B46)*Données!$I$15:$I$23*Données!$J$15:$J$23)/J46</f>
        <v/>
      </c>
      <c r="L46" s="64">
        <f>SUMPRODUCT((Données!$B$15:$B$23=$B46)*Données!$I$15:$I$23*Données!$K$15:$K$23)/J46</f>
        <v/>
      </c>
      <c r="M46" s="65">
        <f>IF(H46&lt;0.08,"FRAGILE","")</f>
        <v/>
      </c>
      <c r="N46" s="19" t="n"/>
      <c r="O46" s="19" t="n"/>
    </row>
    <row r="47" outlineLevel="2" ht="17" customHeight="1">
      <c r="A47" s="19" t="n"/>
      <c r="B47" s="66" t="inlineStr">
        <is>
          <t>TUNON_PAR</t>
        </is>
      </c>
      <c r="C47" s="67">
        <f>VLOOKUP($B47,Données!$A$15:$K$23,5,0)</f>
        <v/>
      </c>
      <c r="D47" s="68">
        <f>C47/VLOOKUP($B47,Données!$A$15:$K$23,4,0)-1</f>
        <v/>
      </c>
      <c r="E47" s="67">
        <f>VLOOKUP($B47,Données!$A$15:$K$23,8,0)</f>
        <v/>
      </c>
      <c r="F47" s="68">
        <f>IF(VLOOKUP($B47,Données!$A$15:$K$23,7,0)&lt;=0,"n/s",E47/VLOOKUP($B47,Données!$A$15:$K$23,7,0)-1)</f>
        <v/>
      </c>
      <c r="G47" s="69">
        <f>E47/$E$35</f>
        <v/>
      </c>
      <c r="H47" s="69">
        <f>E47/C47</f>
        <v/>
      </c>
      <c r="I47" s="70">
        <f>(H47-VLOOKUP($B47,Données!$A$15:$K$23,7,0)/VLOOKUP($B47,Données!$A$15:$K$23,4,0))*100</f>
        <v/>
      </c>
      <c r="J47" s="67">
        <f>VLOOKUP($B47,Données!$A$15:$K$23,9,0)</f>
        <v/>
      </c>
      <c r="K47" s="71">
        <f>VLOOKUP($B47,Données!$A$15:$K$23,10,0)</f>
        <v/>
      </c>
      <c r="L47" s="71">
        <f>VLOOKUP($B47,Données!$A$15:$K$23,11,0)</f>
        <v/>
      </c>
      <c r="M47" s="65">
        <f>IF(H47&lt;0.08,"FRAGILE","")</f>
        <v/>
      </c>
      <c r="N47" s="19" t="n"/>
      <c r="O47" s="19" t="n"/>
    </row>
    <row r="48" outlineLevel="2" ht="17" customHeight="1">
      <c r="A48" s="19" t="n"/>
      <c r="B48" s="66" t="inlineStr">
        <is>
          <t>TUNON_LYO</t>
        </is>
      </c>
      <c r="C48" s="67">
        <f>VLOOKUP($B48,Données!$A$15:$K$23,5,0)</f>
        <v/>
      </c>
      <c r="D48" s="68">
        <f>C48/VLOOKUP($B48,Données!$A$15:$K$23,4,0)-1</f>
        <v/>
      </c>
      <c r="E48" s="67">
        <f>VLOOKUP($B48,Données!$A$15:$K$23,8,0)</f>
        <v/>
      </c>
      <c r="F48" s="68">
        <f>IF(VLOOKUP($B48,Données!$A$15:$K$23,7,0)&lt;=0,"n/s",E48/VLOOKUP($B48,Données!$A$15:$K$23,7,0)-1)</f>
        <v/>
      </c>
      <c r="G48" s="69">
        <f>E48/$E$35</f>
        <v/>
      </c>
      <c r="H48" s="69">
        <f>E48/C48</f>
        <v/>
      </c>
      <c r="I48" s="70">
        <f>(H48-VLOOKUP($B48,Données!$A$15:$K$23,7,0)/VLOOKUP($B48,Données!$A$15:$K$23,4,0))*100</f>
        <v/>
      </c>
      <c r="J48" s="67">
        <f>VLOOKUP($B48,Données!$A$15:$K$23,9,0)</f>
        <v/>
      </c>
      <c r="K48" s="71">
        <f>VLOOKUP($B48,Données!$A$15:$K$23,10,0)</f>
        <v/>
      </c>
      <c r="L48" s="71">
        <f>VLOOKUP($B48,Données!$A$15:$K$23,11,0)</f>
        <v/>
      </c>
      <c r="M48" s="65">
        <f>IF(H48&lt;0.08,"FRAGILE","")</f>
        <v/>
      </c>
      <c r="N48" s="19" t="n"/>
      <c r="O48" s="19" t="n"/>
    </row>
    <row r="49" ht="8" customHeight="1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19" t="n"/>
      <c r="B50" s="72" t="inlineStr">
        <is>
          <t xml:space="preserve">  Le signal du cockpit.  Tunon pèse 8,0 % du CA mais 1,9 % de l'EBITDA — et son campus de Lyon est en marge négative à 67 % de remplissage. À l'inverse, Pigier est la plus petite des trois autres marques et la plus rentable (20,2 %). Le cadrage 2027 ne peut pas être un « + x % » uniforme : c'est là que s'ouvre la discussion EBITDA par marque.</t>
        </is>
      </c>
      <c r="C50" s="73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4" t="n"/>
      <c r="N50" s="19" t="n"/>
      <c r="O50" s="19" t="n"/>
    </row>
    <row r="51" ht="15" customHeight="1">
      <c r="A51" s="19" t="n"/>
      <c r="B51" s="75" t="n"/>
      <c r="M51" s="76" t="n"/>
      <c r="N51" s="19" t="n"/>
      <c r="O51" s="19" t="n"/>
    </row>
    <row r="52" ht="15" customHeight="1">
      <c r="A52" s="19" t="n"/>
      <c r="B52" s="75" t="n"/>
      <c r="C52" s="77" t="n"/>
      <c r="D52" s="77" t="n"/>
      <c r="E52" s="77" t="n"/>
      <c r="F52" s="77" t="n"/>
      <c r="G52" s="77" t="n"/>
      <c r="H52" s="77" t="n"/>
      <c r="I52" s="77" t="n"/>
      <c r="J52" s="77" t="n"/>
      <c r="K52" s="77" t="n"/>
      <c r="L52" s="77" t="n"/>
      <c r="M52" s="78" t="n"/>
      <c r="N52" s="19" t="n"/>
      <c r="O52" s="19" t="n"/>
    </row>
    <row r="53" ht="6" customHeight="1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>
      <c r="A54" s="19" t="n"/>
      <c r="B54" s="79" t="inlineStr">
        <is>
          <t>Source : socle CRM et comptabilité rapprochés (écart 0) · vues V_COCKPIT, V_MOTEUR_CAL, V_ALLOCATION · les marges se lisent en POINTS. Tout le cockpit est en formules : seul l'onglet Données se saisit.</t>
        </is>
      </c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</row>
  </sheetData>
  <mergeCells count="1">
    <mergeCell ref="B50:M52"/>
  </mergeCells>
  <conditionalFormatting sqref="B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H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9">
    <cfRule type="cellIs" priority="9" operator="greaterThan" dxfId="0">
      <formula>0</formula>
    </cfRule>
    <cfRule type="cellIs" priority="10" operator="lessThan" dxfId="1">
      <formula>0</formula>
    </cfRule>
    <cfRule type="cellIs" priority="13" operator="greaterThan" dxfId="1">
      <formula>0</formula>
    </cfRule>
  </conditionalFormatting>
  <conditionalFormatting sqref="L9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H35:H48">
    <cfRule type="dataBar" priority="14">
      <dataBar showValue="1">
        <cfvo type="num" val="0"/>
        <cfvo type="num" val="0.22"/>
        <color rgb="FF2A78D6"/>
      </dataBar>
    </cfRule>
  </conditionalFormatting>
  <conditionalFormatting sqref="D35:D48">
    <cfRule type="cellIs" priority="15" operator="greaterThan" dxfId="2">
      <formula>0</formula>
    </cfRule>
    <cfRule type="cellIs" priority="16" operator="lessThan" dxfId="3">
      <formula>0</formula>
    </cfRule>
  </conditionalFormatting>
  <conditionalFormatting sqref="F35:F48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35:I48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35:K48">
    <cfRule type="cellIs" priority="21" operator="lessThan" dxfId="4">
      <formula>0.75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2026-09-03T00:17:23Z</dcterms:created>
  <dcterms:modified xsi:type="dcterms:W3CDTF">2026-09-03T00:17:23Z</dcterms:modified>
</cp:coreProperties>
</file>