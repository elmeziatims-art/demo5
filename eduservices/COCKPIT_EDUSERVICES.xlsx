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onnées" sheetId="1" state="visible" r:id="rId1"/>
    <sheet name="Cockp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"/>
    <numFmt numFmtId="166" formatCode="#,##0.00,,&quot; M€&quot;"/>
    <numFmt numFmtId="167" formatCode="&quot;▲ &quot;0.0%;&quot;▼ &quot;0.0%"/>
    <numFmt numFmtId="168" formatCode="&quot;↗ +&quot;0.0&quot; pt&quot;;&quot;↘ −&quot;0.0&quot; pt&quot;;&quot;→ &quot;0.0&quot; pt&quot;"/>
    <numFmt numFmtId="169" formatCode="#,##0&quot; €&quot;"/>
    <numFmt numFmtId="170" formatCode="#,##0&quot; places libres&quot;"/>
    <numFmt numFmtId="171" formatCode="0.0%;-0.0%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2A78D6"/>
      <sz val="9.5"/>
    </font>
    <font>
      <name val="Segoe UI"/>
      <b val="1"/>
      <color rgb="00FFFFFF"/>
      <sz val="9"/>
    </font>
    <font>
      <name val="Segoe UI"/>
      <color rgb="00131922"/>
      <sz val="9.5"/>
    </font>
    <font>
      <name val="Segoe UI"/>
      <b val="1"/>
      <color rgb="00131922"/>
      <sz val="9.5"/>
    </font>
    <font>
      <name val="Segoe UI"/>
      <color rgb="007C8798"/>
      <sz val="9"/>
    </font>
    <font>
      <name val="Segoe UI"/>
      <b val="1"/>
      <color rgb="00EB6834"/>
      <sz val="9"/>
    </font>
    <font>
      <name val="Segoe UI"/>
      <b val="1"/>
      <color rgb="00131922"/>
      <sz val="14"/>
    </font>
    <font>
      <name val="Segoe UI"/>
      <color rgb="007C8798"/>
      <sz val="9.5"/>
    </font>
    <font>
      <name val="Segoe UI"/>
      <b val="1"/>
      <color rgb="002A78D6"/>
      <sz val="9"/>
    </font>
    <font>
      <name val="Segoe UI"/>
      <b val="1"/>
      <color rgb="007C8798"/>
      <sz val="8.5"/>
    </font>
    <font>
      <name val="Consolas"/>
      <b val="1"/>
      <color rgb="00131922"/>
      <sz val="20"/>
    </font>
    <font>
      <name val="Segoe UI"/>
      <b val="1"/>
      <color rgb="007C8798"/>
      <sz val="9.5"/>
    </font>
    <font>
      <name val="Segoe UI"/>
      <b val="1"/>
      <color rgb="00131922"/>
      <sz val="10.5"/>
    </font>
    <font>
      <name val="Segoe UI"/>
      <color rgb="007C8798"/>
      <sz val="8.5"/>
    </font>
    <font>
      <name val="Segoe UI"/>
      <b val="1"/>
      <color rgb="00131922"/>
      <sz val="10"/>
    </font>
    <font>
      <name val="Consolas"/>
      <b val="1"/>
      <color rgb="00131922"/>
      <sz val="9.5"/>
    </font>
    <font>
      <name val="Segoe UI"/>
      <b val="1"/>
      <color rgb="00EB6834"/>
      <sz val="8"/>
    </font>
    <font>
      <name val="Segoe UI"/>
      <color rgb="004D5866"/>
      <sz val="9.5"/>
    </font>
    <font>
      <name val="Consolas"/>
      <color rgb="004D5866"/>
      <sz val="9.5"/>
    </font>
  </fonts>
  <fills count="8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4D5866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DCE9F9"/>
      </patternFill>
    </fill>
    <fill>
      <patternFill patternType="solid">
        <fgColor rgb="00F7F9FC"/>
      </patternFill>
    </fill>
  </fills>
  <borders count="33">
    <border>
      <left/>
      <right/>
      <top/>
      <bottom/>
      <diagonal/>
    </border>
    <border>
      <left style="thin">
        <color rgb="004D5866"/>
      </left>
      <right style="thin">
        <color rgb="004D5866"/>
      </right>
      <top style="thin">
        <color rgb="004D5866"/>
      </top>
      <bottom style="thin">
        <color rgb="004D5866"/>
      </bottom>
    </border>
    <border>
      <bottom style="thin">
        <color rgb="00EAEEF4"/>
      </bottom>
    </border>
    <border>
      <top style="thin">
        <color rgb="007C8798"/>
      </top>
    </border>
    <border>
      <bottom style="thin">
        <color rgb="00DFE4EC"/>
      </bottom>
    </border>
    <border>
      <left style="thin">
        <color rgb="00DFE4EC"/>
      </left>
      <top style="thin">
        <color rgb="00DFE4EC"/>
      </top>
    </border>
    <border>
      <top style="thin">
        <color rgb="00DFE4EC"/>
      </top>
    </border>
    <border>
      <right style="thin">
        <color rgb="00DFE4EC"/>
      </right>
      <top style="thin">
        <color rgb="00DFE4EC"/>
      </top>
    </border>
    <border>
      <left style="thin">
        <color rgb="00DFE4EC"/>
      </left>
      <bottom style="thin">
        <color rgb="00DFE4EC"/>
      </bottom>
    </border>
    <border>
      <right style="thin">
        <color rgb="00DFE4EC"/>
      </right>
      <bottom style="thin">
        <color rgb="00DFE4EC"/>
      </bottom>
    </border>
    <border>
      <left style="thin">
        <color rgb="00DFE4EC"/>
      </left>
      <top style="thin">
        <color rgb="00DFE4EC"/>
      </top>
      <bottom style="thin">
        <color rgb="00DFE4EC"/>
      </bottom>
    </border>
    <border>
      <right style="thin">
        <color rgb="00DFE4EC"/>
      </right>
      <top style="thin">
        <color rgb="00DFE4EC"/>
      </top>
      <bottom style="thin">
        <color rgb="00DFE4EC"/>
      </bottom>
    </border>
    <border>
      <left style="thin">
        <color rgb="002A78D6"/>
      </left>
      <top style="thin">
        <color rgb="002A78D6"/>
      </top>
      <bottom style="thin">
        <color rgb="002A78D6"/>
      </bottom>
    </border>
    <border>
      <right style="thin">
        <color rgb="002A78D6"/>
      </right>
      <top style="thin">
        <color rgb="002A78D6"/>
      </top>
      <bottom style="thin">
        <color rgb="002A78D6"/>
      </bottom>
    </border>
    <border>
      <left style="thin">
        <color rgb="00DFE4EC"/>
      </left>
    </border>
    <border>
      <right style="thin">
        <color rgb="00DFE4EC"/>
      </right>
    </border>
    <border>
      <left style="thin">
        <color rgb="00FAB219"/>
      </left>
      <top style="thin">
        <color rgb="00FAB219"/>
      </top>
    </border>
    <border>
      <right style="thin">
        <color rgb="00FAB219"/>
      </right>
      <top style="thin">
        <color rgb="00FAB219"/>
      </top>
    </border>
    <border>
      <left style="thin">
        <color rgb="00FAB219"/>
      </left>
    </border>
    <border>
      <right style="thin">
        <color rgb="00FAB219"/>
      </right>
    </border>
    <border>
      <left style="thin">
        <color rgb="00FAB219"/>
      </left>
      <bottom style="thin">
        <color rgb="00FAB219"/>
      </bottom>
    </border>
    <border>
      <right style="thin">
        <color rgb="00FAB219"/>
      </right>
      <bottom style="thin">
        <color rgb="00FAB219"/>
      </bottom>
    </border>
    <border/>
    <border>
      <top style="thin">
        <color rgb="00DFE4EC"/>
      </top>
      <bottom style="thin">
        <color rgb="00DFE4EC"/>
      </bottom>
    </border>
    <border>
      <left style="thin">
        <color rgb="00DFE4EC"/>
      </left>
      <right style="thin">
        <color rgb="00DFE4EC"/>
      </right>
      <top style="thin">
        <color rgb="00DFE4EC"/>
      </top>
      <bottom style="thin">
        <color rgb="00DFE4EC"/>
      </bottom>
    </border>
    <border>
      <left/>
      <right/>
      <top style="thin">
        <color rgb="00DFE4EC"/>
      </top>
      <bottom/>
      <diagonal/>
    </border>
    <border>
      <left style="thin">
        <color rgb="00DFE4EC"/>
      </left>
      <right/>
      <top/>
      <bottom/>
      <diagonal/>
    </border>
    <border>
      <left/>
      <right style="thin">
        <color rgb="00DFE4EC"/>
      </right>
      <top style="thin">
        <color rgb="00DFE4EC"/>
      </top>
      <bottom/>
      <diagonal/>
    </border>
    <border>
      <left/>
      <right style="thin">
        <color rgb="00DFE4EC"/>
      </right>
      <top/>
      <bottom/>
      <diagonal/>
    </border>
    <border>
      <left style="thin">
        <color rgb="00DFE4EC"/>
      </left>
      <right/>
      <top/>
      <bottom style="thin">
        <color rgb="00DFE4EC"/>
      </bottom>
      <diagonal/>
    </border>
    <border>
      <left/>
      <right/>
      <top/>
      <bottom style="thin">
        <color rgb="00DFE4EC"/>
      </bottom>
      <diagonal/>
    </border>
    <border>
      <left/>
      <right style="thin">
        <color rgb="00DFE4EC"/>
      </right>
      <top/>
      <bottom style="thin">
        <color rgb="00DFE4EC"/>
      </bottom>
      <diagonal/>
    </border>
    <border>
      <left style="thick">
        <color rgb="00EB6834"/>
      </left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9" fontId="4" fillId="0" borderId="2" applyAlignment="1" pivotButton="0" quotePrefix="0" xfId="0">
      <alignment horizontal="right" vertical="center"/>
    </xf>
    <xf numFmtId="0" fontId="5" fillId="0" borderId="0" pivotButton="0" quotePrefix="0" xfId="0"/>
    <xf numFmtId="3" fontId="5" fillId="0" borderId="3" applyAlignment="1" pivotButton="0" quotePrefix="0" xfId="0">
      <alignment horizontal="right" vertical="center"/>
    </xf>
    <xf numFmtId="3" fontId="4" fillId="0" borderId="4" applyAlignment="1" pivotButton="0" quotePrefix="0" xfId="0">
      <alignment horizontal="right" vertical="center"/>
    </xf>
    <xf numFmtId="3" fontId="5" fillId="0" borderId="4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1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0" fillId="4" borderId="0" pivotButton="0" quotePrefix="0" xfId="0"/>
    <xf numFmtId="0" fontId="8" fillId="5" borderId="5" applyAlignment="1" pivotButton="0" quotePrefix="0" xfId="0">
      <alignment horizontal="left" vertical="center"/>
    </xf>
    <xf numFmtId="0" fontId="0" fillId="5" borderId="6" pivotButton="0" quotePrefix="0" xfId="0"/>
    <xf numFmtId="0" fontId="10" fillId="5" borderId="7" applyAlignment="1" pivotButton="0" quotePrefix="0" xfId="0">
      <alignment horizontal="right" vertical="center"/>
    </xf>
    <xf numFmtId="0" fontId="9" fillId="5" borderId="8" applyAlignment="1" pivotButton="0" quotePrefix="0" xfId="0">
      <alignment horizontal="left" vertical="center"/>
    </xf>
    <xf numFmtId="0" fontId="0" fillId="5" borderId="4" pivotButton="0" quotePrefix="0" xfId="0"/>
    <xf numFmtId="0" fontId="0" fillId="5" borderId="9" pivotButton="0" quotePrefix="0" xfId="0"/>
    <xf numFmtId="0" fontId="6" fillId="5" borderId="10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6" fillId="6" borderId="12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11" fillId="5" borderId="5" applyAlignment="1" pivotButton="0" quotePrefix="0" xfId="0">
      <alignment horizontal="left" vertical="center"/>
    </xf>
    <xf numFmtId="0" fontId="0" fillId="5" borderId="7" pivotButton="0" quotePrefix="0" xfId="0"/>
    <xf numFmtId="0" fontId="11" fillId="5" borderId="16" applyAlignment="1" pivotButton="0" quotePrefix="0" xfId="0">
      <alignment horizontal="left" vertical="center"/>
    </xf>
    <xf numFmtId="0" fontId="0" fillId="5" borderId="17" pivotButton="0" quotePrefix="0" xfId="0"/>
    <xf numFmtId="166" fontId="12" fillId="5" borderId="14" applyAlignment="1" pivotButton="0" quotePrefix="0" xfId="0">
      <alignment horizontal="left" vertical="center" indent="1"/>
    </xf>
    <xf numFmtId="0" fontId="0" fillId="5" borderId="15" pivotButton="0" quotePrefix="0" xfId="0"/>
    <xf numFmtId="164" fontId="12" fillId="5" borderId="14" applyAlignment="1" pivotButton="0" quotePrefix="0" xfId="0">
      <alignment horizontal="left" vertical="center" indent="1"/>
    </xf>
    <xf numFmtId="3" fontId="12" fillId="5" borderId="14" applyAlignment="1" pivotButton="0" quotePrefix="0" xfId="0">
      <alignment horizontal="left" vertical="center" indent="1"/>
    </xf>
    <xf numFmtId="169" fontId="12" fillId="5" borderId="18" applyAlignment="1" pivotButton="0" quotePrefix="0" xfId="0">
      <alignment horizontal="left" vertical="center" indent="1"/>
    </xf>
    <xf numFmtId="0" fontId="0" fillId="5" borderId="19" pivotButton="0" quotePrefix="0" xfId="0"/>
    <xf numFmtId="9" fontId="12" fillId="5" borderId="14" applyAlignment="1" pivotButton="0" quotePrefix="0" xfId="0">
      <alignment horizontal="left" vertical="center" indent="1"/>
    </xf>
    <xf numFmtId="167" fontId="5" fillId="5" borderId="8" applyAlignment="1" pivotButton="0" quotePrefix="0" xfId="0">
      <alignment horizontal="left" vertical="center" indent="1"/>
    </xf>
    <xf numFmtId="168" fontId="5" fillId="5" borderId="8" applyAlignment="1" pivotButton="0" quotePrefix="0" xfId="0">
      <alignment horizontal="left" vertical="center" indent="1"/>
    </xf>
    <xf numFmtId="167" fontId="5" fillId="5" borderId="20" applyAlignment="1" pivotButton="0" quotePrefix="0" xfId="0">
      <alignment horizontal="left" vertical="center" indent="1"/>
    </xf>
    <xf numFmtId="0" fontId="0" fillId="5" borderId="21" pivotButton="0" quotePrefix="0" xfId="0"/>
    <xf numFmtId="170" fontId="13" fillId="5" borderId="8" applyAlignment="1" pivotButton="0" quotePrefix="0" xfId="0">
      <alignment horizontal="left" vertical="center" indent="1"/>
    </xf>
    <xf numFmtId="0" fontId="14" fillId="5" borderId="5" applyAlignment="1" pivotButton="0" quotePrefix="0" xfId="0">
      <alignment horizontal="left" vertical="center"/>
    </xf>
    <xf numFmtId="0" fontId="15" fillId="5" borderId="7" applyAlignment="1" pivotButton="0" quotePrefix="0" xfId="0">
      <alignment horizontal="right" vertical="center"/>
    </xf>
    <xf numFmtId="0" fontId="0" fillId="5" borderId="14" pivotButton="0" quotePrefix="0" xfId="0"/>
    <xf numFmtId="0" fontId="0" fillId="5" borderId="22" pivotButton="0" quotePrefix="0" xfId="0"/>
    <xf numFmtId="0" fontId="0" fillId="5" borderId="8" pivotButton="0" quotePrefix="0" xfId="0"/>
    <xf numFmtId="0" fontId="11" fillId="7" borderId="23" applyAlignment="1" pivotButton="0" quotePrefix="0" xfId="0">
      <alignment horizontal="left" vertical="center"/>
    </xf>
    <xf numFmtId="0" fontId="11" fillId="7" borderId="23" applyAlignment="1" pivotButton="0" quotePrefix="0" xfId="0">
      <alignment horizontal="right" vertical="center"/>
    </xf>
    <xf numFmtId="0" fontId="16" fillId="7" borderId="2" applyAlignment="1" pivotButton="0" quotePrefix="0" xfId="0">
      <alignment horizontal="left" vertical="center"/>
    </xf>
    <xf numFmtId="3" fontId="17" fillId="7" borderId="2" applyAlignment="1" pivotButton="0" quotePrefix="0" xfId="0">
      <alignment horizontal="right" vertical="center"/>
    </xf>
    <xf numFmtId="167" fontId="17" fillId="7" borderId="2" applyAlignment="1" pivotButton="0" quotePrefix="0" xfId="0">
      <alignment horizontal="right" vertical="center"/>
    </xf>
    <xf numFmtId="171" fontId="17" fillId="7" borderId="2" applyAlignment="1" pivotButton="0" quotePrefix="0" xfId="0">
      <alignment horizontal="right" vertical="center"/>
    </xf>
    <xf numFmtId="168" fontId="17" fillId="7" borderId="2" applyAlignment="1" pivotButton="0" quotePrefix="0" xfId="0">
      <alignment horizontal="right" vertical="center"/>
    </xf>
    <xf numFmtId="9" fontId="17" fillId="7" borderId="2" applyAlignment="1" pivotButton="0" quotePrefix="0" xfId="0">
      <alignment horizontal="right" vertical="center"/>
    </xf>
    <xf numFmtId="0" fontId="18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3" fontId="17" fillId="5" borderId="2" applyAlignment="1" pivotButton="0" quotePrefix="0" xfId="0">
      <alignment horizontal="right" vertical="center"/>
    </xf>
    <xf numFmtId="167" fontId="17" fillId="5" borderId="2" applyAlignment="1" pivotButton="0" quotePrefix="0" xfId="0">
      <alignment horizontal="right" vertical="center"/>
    </xf>
    <xf numFmtId="171" fontId="17" fillId="5" borderId="2" applyAlignment="1" pivotButton="0" quotePrefix="0" xfId="0">
      <alignment horizontal="right" vertical="center"/>
    </xf>
    <xf numFmtId="168" fontId="17" fillId="5" borderId="2" applyAlignment="1" pivotButton="0" quotePrefix="0" xfId="0">
      <alignment horizontal="right" vertical="center"/>
    </xf>
    <xf numFmtId="9" fontId="17" fillId="5" borderId="2" applyAlignment="1" pivotButton="0" quotePrefix="0" xfId="0">
      <alignment horizontal="right" vertical="center"/>
    </xf>
    <xf numFmtId="0" fontId="18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 indent="2"/>
    </xf>
    <xf numFmtId="3" fontId="20" fillId="5" borderId="2" applyAlignment="1" pivotButton="0" quotePrefix="0" xfId="0">
      <alignment horizontal="right" vertical="center"/>
    </xf>
    <xf numFmtId="167" fontId="20" fillId="5" borderId="2" applyAlignment="1" pivotButton="0" quotePrefix="0" xfId="0">
      <alignment horizontal="right" vertical="center"/>
    </xf>
    <xf numFmtId="171" fontId="20" fillId="5" borderId="2" applyAlignment="1" pivotButton="0" quotePrefix="0" xfId="0">
      <alignment horizontal="right" vertical="center"/>
    </xf>
    <xf numFmtId="168" fontId="20" fillId="5" borderId="2" applyAlignment="1" pivotButton="0" quotePrefix="0" xfId="0">
      <alignment horizontal="right" vertical="center"/>
    </xf>
    <xf numFmtId="9" fontId="20" fillId="5" borderId="2" applyAlignment="1" pivotButton="0" quotePrefix="0" xfId="0">
      <alignment horizontal="right" vertical="center"/>
    </xf>
    <xf numFmtId="0" fontId="19" fillId="7" borderId="32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15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b val="1"/>
        <color rgb="000CA30C"/>
        <sz val="9.5"/>
      </font>
    </dxf>
    <dxf>
      <font>
        <name val="Segoe UI"/>
        <b val="1"/>
        <color rgb="00D03B3B"/>
        <sz val="9.5"/>
      </font>
    </dxf>
    <dxf>
      <font>
        <name val="Consolas"/>
        <color rgb="000CA30C"/>
        <sz val="9.5"/>
      </font>
    </dxf>
    <dxf>
      <font>
        <name val="Consolas"/>
        <color rgb="00D03B3B"/>
        <sz val="9.5"/>
      </font>
    </dxf>
    <dxf>
      <font>
        <name val="Consolas"/>
        <b val="1"/>
        <color rgb="00FAB219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'Données'!$A$54:$A$58</f>
            </numRef>
          </cat>
          <val>
            <numRef>
              <f>'Données'!$B$54:$B$58</f>
            </numRef>
          </val>
        </ser>
        <ser>
          <idx val="1"/>
          <order val="1"/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#,##0,,.000&quot; M€&quot;"/>
            <dLblPos val="ctr"/>
            <showLegendKey val="0"/>
            <showVal val="1"/>
            <showCatName val="0"/>
            <showSerName val="0"/>
          </dLbls>
          <cat>
            <numRef>
              <f>'Données'!$A$54:$A$58</f>
            </numRef>
          </cat>
          <val>
            <numRef>
              <f>'Données'!$C$54:$C$58</f>
            </numRef>
          </val>
        </ser>
        <ser>
          <idx val="2"/>
          <order val="2"/>
          <spPr>
            <a:solidFill>
              <a:srgbClr val="0CA30C"/>
            </a:solidFill>
            <a:ln>
              <a:solidFill>
                <a:srgbClr val="0CA30C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'Données'!$A$54:$A$58</f>
            </numRef>
          </cat>
          <val>
            <numRef>
              <f>'Données'!$D$54:$D$58</f>
            </numRef>
          </val>
        </ser>
        <ser>
          <idx val="3"/>
          <order val="3"/>
          <spPr>
            <a:solidFill>
              <a:srgbClr val="D03B3B"/>
            </a:solidFill>
            <a:ln>
              <a:solidFill>
                <a:srgbClr val="D03B3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'Données'!$A$54:$A$58</f>
            </numRef>
          </cat>
          <val>
            <numRef>
              <f>'Données'!$E$54:$E$58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000000"/>
          <min val="3200000"/>
        </scaling>
        <delete val="0"/>
        <axPos val="l"/>
        <majorGridlines/>
        <numFmt formatCode="#,##0,,&quot; M€&quot;" sourceLinked="0"/>
        <majorTickMark val="none"/>
        <minorTickMark val="none"/>
        <crossAx val="10"/>
        <majorUnit val="20000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'Données'!H44</f>
            </strRef>
          </tx>
          <spPr>
            <a:solidFill>
              <a:srgbClr val="C3D9F4"/>
            </a:solidFill>
            <a:ln>
              <a:solidFill>
                <a:srgbClr val="C3D9F4"/>
              </a:solidFill>
              <a:prstDash val="solid"/>
            </a:ln>
          </spPr>
          <cat>
            <numRef>
              <f>'Données'!$A$46:$A$50</f>
            </numRef>
          </cat>
          <val>
            <numRef>
              <f>'Données'!$H$45:$H$50</f>
            </numRef>
          </val>
        </ser>
        <ser>
          <idx val="1"/>
          <order val="1"/>
          <tx>
            <strRef>
              <f>'Données'!I44</f>
            </strRef>
          </tx>
          <spPr>
            <a:solidFill>
              <a:srgbClr val="7AABE6"/>
            </a:solidFill>
            <a:ln>
              <a:solidFill>
                <a:srgbClr val="7AABE6"/>
              </a:solidFill>
              <a:prstDash val="solid"/>
            </a:ln>
          </spPr>
          <cat>
            <numRef>
              <f>'Données'!$A$46:$A$50</f>
            </numRef>
          </cat>
          <val>
            <numRef>
              <f>'Données'!$I$45:$I$50</f>
            </numRef>
          </val>
        </ser>
        <ser>
          <idx val="2"/>
          <order val="2"/>
          <tx>
            <strRef>
              <f>'Données'!J44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0.0%"/>
            <dLblPos val="outEnd"/>
            <showLegendKey val="0"/>
            <showVal val="1"/>
            <showCatName val="0"/>
            <showSerName val="0"/>
          </dLbls>
          <cat>
            <numRef>
              <f>'Données'!$A$46:$A$50</f>
            </numRef>
          </cat>
          <val>
            <numRef>
              <f>'Données'!$J$45:$J$50</f>
            </numRef>
          </val>
        </ser>
        <gapWidth val="55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24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majorUnit val="0.05"/>
      </valAx>
    </plotArea>
    <legend>
      <legendPos val="b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'Données'!B61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'Données'!$A$62:$A$64</f>
            </numRef>
          </cat>
          <val>
            <numRef>
              <f>'Données'!$B$62:$B$64</f>
            </numRef>
          </val>
          <smooth val="0"/>
        </ser>
        <ser>
          <idx val="1"/>
          <order val="1"/>
          <tx>
            <strRef>
              <f>'Données'!C61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'Données'!$A$62:$A$64</f>
            </numRef>
          </cat>
          <val>
            <numRef>
              <f>'Données'!$C$62:$C$64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5"/>
          <min val="95"/>
        </scaling>
        <delete val="0"/>
        <axPos val="l"/>
        <majorGridlines/>
        <numFmt formatCode="0" sourceLinked="0"/>
        <majorTickMark val="none"/>
        <minorTickMark val="none"/>
        <crossAx val="10"/>
        <majorUnit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3671999" cy="284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11</row>
      <rowOff>0</rowOff>
    </from>
    <ext cx="3024000" cy="284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11</row>
      <rowOff>0</rowOff>
    </from>
    <ext cx="3024000" cy="284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0" customWidth="1" min="11" max="11"/>
    <col width="11" customWidth="1" min="12" max="12"/>
  </cols>
  <sheetData>
    <row r="1" ht="24" customHeight="1">
      <c r="A1" s="1" t="inlineStr">
        <is>
          <t>SOCLE DE DONNÉES — cockpit EDUSERVICES  ·  14 campus × 5 marques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① PÉRIMÈTRE (les filtres du cockpit)</t>
        </is>
      </c>
    </row>
    <row r="4">
      <c r="A4" s="4" t="inlineStr">
        <is>
          <t>Filtre</t>
        </is>
      </c>
      <c r="B4" s="4" t="inlineStr">
        <is>
          <t>Valeur</t>
        </is>
      </c>
    </row>
    <row r="5">
      <c r="A5" s="5" t="inlineStr">
        <is>
          <t>Scénario</t>
        </is>
      </c>
      <c r="B5" s="6" t="inlineStr">
        <is>
          <t>REEL</t>
        </is>
      </c>
    </row>
    <row r="6">
      <c r="A6" s="5" t="inlineStr">
        <is>
          <t>Version</t>
        </is>
      </c>
      <c r="B6" s="6" t="inlineStr">
        <is>
          <t>V_FINAL</t>
        </is>
      </c>
    </row>
    <row r="7">
      <c r="A7" s="5" t="inlineStr">
        <is>
          <t>Exercice</t>
        </is>
      </c>
      <c r="B7" s="6" t="n">
        <v>2026</v>
      </c>
    </row>
    <row r="8">
      <c r="A8" s="5" t="inlineStr">
        <is>
          <t>Période</t>
        </is>
      </c>
      <c r="B8" s="6" t="inlineStr">
        <is>
          <t>12 — Cumul</t>
        </is>
      </c>
    </row>
    <row r="9">
      <c r="A9" s="5" t="inlineStr">
        <is>
          <t>Marque</t>
        </is>
      </c>
      <c r="B9" s="6" t="inlineStr">
        <is>
          <t>Toutes</t>
        </is>
      </c>
    </row>
    <row r="10">
      <c r="A10" s="5" t="inlineStr">
        <is>
          <t>Campus</t>
        </is>
      </c>
      <c r="B10" s="6" t="inlineStr">
        <is>
          <t>Tous</t>
        </is>
      </c>
    </row>
    <row r="11">
      <c r="A11" s="5" t="inlineStr">
        <is>
          <t>Modalité</t>
        </is>
      </c>
      <c r="B11" s="6" t="inlineStr">
        <is>
          <t>Toutes</t>
        </is>
      </c>
    </row>
    <row r="13">
      <c r="A13" s="3" t="inlineStr">
        <is>
          <t>② SOCLE CAMPUS — la seule saisie  (source : V_COCKPIT / V_ALLOCATION, grain campus × exercice)</t>
        </is>
      </c>
    </row>
    <row r="14">
      <c r="A14" s="4" t="inlineStr">
        <is>
          <t>Entity</t>
        </is>
      </c>
      <c r="B14" s="4" t="inlineStr">
        <is>
          <t>Marque</t>
        </is>
      </c>
      <c r="C14" s="4" t="inlineStr">
        <is>
          <t>CA 2024</t>
        </is>
      </c>
      <c r="D14" s="4" t="inlineStr">
        <is>
          <t>CA 2025</t>
        </is>
      </c>
      <c r="E14" s="4" t="inlineStr">
        <is>
          <t>CA 2026</t>
        </is>
      </c>
      <c r="F14" s="4" t="inlineStr">
        <is>
          <t>EBITDA 2024</t>
        </is>
      </c>
      <c r="G14" s="4" t="inlineStr">
        <is>
          <t>EBITDA 2025</t>
        </is>
      </c>
      <c r="H14" s="4" t="inlineStr">
        <is>
          <t>EBITDA 2026</t>
        </is>
      </c>
      <c r="I14" s="4" t="inlineStr">
        <is>
          <t>Inscrits 26</t>
        </is>
      </c>
      <c r="J14" s="4" t="inlineStr">
        <is>
          <t>Effectifs 26</t>
        </is>
      </c>
      <c r="K14" s="4" t="inlineStr">
        <is>
          <t>Places 26</t>
        </is>
      </c>
      <c r="L14" s="4" t="inlineStr">
        <is>
          <t>Mix alt. 26</t>
        </is>
      </c>
    </row>
    <row r="15">
      <c r="A15" s="7" t="inlineStr">
        <is>
          <t>MBWAY_BOR</t>
        </is>
      </c>
      <c r="B15" s="7" t="inlineStr">
        <is>
          <t>MBway</t>
        </is>
      </c>
      <c r="C15" s="8" t="n">
        <v>1537990</v>
      </c>
      <c r="D15" s="8" t="n">
        <v>1656282</v>
      </c>
      <c r="E15" s="8" t="n">
        <v>1784942</v>
      </c>
      <c r="F15" s="8" t="n">
        <v>237542</v>
      </c>
      <c r="G15" s="8" t="n">
        <v>268273</v>
      </c>
      <c r="H15" s="8" t="n">
        <v>307544</v>
      </c>
      <c r="I15" s="8" t="n">
        <v>102</v>
      </c>
      <c r="J15" s="8" t="n">
        <v>251</v>
      </c>
      <c r="K15" s="8" t="n">
        <v>296</v>
      </c>
      <c r="L15" s="9" t="n">
        <v>0.7959000000000001</v>
      </c>
    </row>
    <row r="16">
      <c r="A16" s="7" t="inlineStr">
        <is>
          <t>MBWAY_LYO</t>
        </is>
      </c>
      <c r="B16" s="7" t="inlineStr">
        <is>
          <t>MBway</t>
        </is>
      </c>
      <c r="C16" s="8" t="n">
        <v>2154491</v>
      </c>
      <c r="D16" s="8" t="n">
        <v>2320201</v>
      </c>
      <c r="E16" s="8" t="n">
        <v>2500434</v>
      </c>
      <c r="F16" s="8" t="n">
        <v>354945</v>
      </c>
      <c r="G16" s="8" t="n">
        <v>399596</v>
      </c>
      <c r="H16" s="8" t="n">
        <v>456436</v>
      </c>
      <c r="I16" s="8" t="n">
        <v>132</v>
      </c>
      <c r="J16" s="8" t="n">
        <v>324</v>
      </c>
      <c r="K16" s="8" t="n">
        <v>412</v>
      </c>
      <c r="L16" s="9" t="n">
        <v>0.7959000000000001</v>
      </c>
    </row>
    <row r="17">
      <c r="A17" s="7" t="inlineStr">
        <is>
          <t>MBWAY_NAN</t>
        </is>
      </c>
      <c r="B17" s="7" t="inlineStr">
        <is>
          <t>MBway</t>
        </is>
      </c>
      <c r="C17" s="8" t="n">
        <v>1865360</v>
      </c>
      <c r="D17" s="8" t="n">
        <v>2008832</v>
      </c>
      <c r="E17" s="8" t="n">
        <v>2164878</v>
      </c>
      <c r="F17" s="8" t="n">
        <v>299628</v>
      </c>
      <c r="G17" s="8" t="n">
        <v>337733</v>
      </c>
      <c r="H17" s="8" t="n">
        <v>386312</v>
      </c>
      <c r="I17" s="8" t="n">
        <v>120</v>
      </c>
      <c r="J17" s="8" t="n">
        <v>295</v>
      </c>
      <c r="K17" s="8" t="n">
        <v>348</v>
      </c>
      <c r="L17" s="9" t="n">
        <v>0.7959000000000001</v>
      </c>
    </row>
    <row r="18">
      <c r="A18" s="7" t="inlineStr">
        <is>
          <t>MBWAY_PAR</t>
        </is>
      </c>
      <c r="B18" s="7" t="inlineStr">
        <is>
          <t>MBway</t>
        </is>
      </c>
      <c r="C18" s="8" t="n">
        <v>2715965</v>
      </c>
      <c r="D18" s="8" t="n">
        <v>2924860</v>
      </c>
      <c r="E18" s="8" t="n">
        <v>3152062</v>
      </c>
      <c r="F18" s="8" t="n">
        <v>469817</v>
      </c>
      <c r="G18" s="8" t="n">
        <v>527720</v>
      </c>
      <c r="H18" s="8" t="n">
        <v>601217</v>
      </c>
      <c r="I18" s="8" t="n">
        <v>156</v>
      </c>
      <c r="J18" s="8" t="n">
        <v>383</v>
      </c>
      <c r="K18" s="8" t="n">
        <v>470</v>
      </c>
      <c r="L18" s="9" t="n">
        <v>0.7959000000000001</v>
      </c>
    </row>
    <row r="19">
      <c r="A19" s="7" t="inlineStr">
        <is>
          <t>ISCOM_LIL</t>
        </is>
      </c>
      <c r="B19" s="7" t="inlineStr">
        <is>
          <t>ISCOM</t>
        </is>
      </c>
      <c r="C19" s="8" t="n">
        <v>1627556</v>
      </c>
      <c r="D19" s="8" t="n">
        <v>1687214</v>
      </c>
      <c r="E19" s="8" t="n">
        <v>1750304</v>
      </c>
      <c r="F19" s="8" t="n">
        <v>246201</v>
      </c>
      <c r="G19" s="8" t="n">
        <v>272204</v>
      </c>
      <c r="H19" s="8" t="n">
        <v>288015</v>
      </c>
      <c r="I19" s="8" t="n">
        <v>99</v>
      </c>
      <c r="J19" s="8" t="n">
        <v>243</v>
      </c>
      <c r="K19" s="8" t="n">
        <v>296</v>
      </c>
      <c r="L19" s="9" t="n">
        <v>0.7959000000000001</v>
      </c>
    </row>
    <row r="20">
      <c r="A20" s="7" t="inlineStr">
        <is>
          <t>ISCOM_PAR</t>
        </is>
      </c>
      <c r="B20" s="7" t="inlineStr">
        <is>
          <t>ISCOM</t>
        </is>
      </c>
      <c r="C20" s="8" t="n">
        <v>2686759</v>
      </c>
      <c r="D20" s="8" t="n">
        <v>2785243</v>
      </c>
      <c r="E20" s="8" t="n">
        <v>2889390</v>
      </c>
      <c r="F20" s="8" t="n">
        <v>450936</v>
      </c>
      <c r="G20" s="8" t="n">
        <v>495292</v>
      </c>
      <c r="H20" s="8" t="n">
        <v>523028</v>
      </c>
      <c r="I20" s="8" t="n">
        <v>143</v>
      </c>
      <c r="J20" s="8" t="n">
        <v>351</v>
      </c>
      <c r="K20" s="8" t="n">
        <v>444</v>
      </c>
      <c r="L20" s="9" t="n">
        <v>0.7959000000000001</v>
      </c>
    </row>
    <row r="21">
      <c r="A21" s="7" t="inlineStr">
        <is>
          <t>ISCOM_TLS</t>
        </is>
      </c>
      <c r="B21" s="7" t="inlineStr">
        <is>
          <t>ISCOM</t>
        </is>
      </c>
      <c r="C21" s="8" t="n">
        <v>1505766</v>
      </c>
      <c r="D21" s="8" t="n">
        <v>1560960</v>
      </c>
      <c r="E21" s="8" t="n">
        <v>1619329</v>
      </c>
      <c r="F21" s="8" t="n">
        <v>224660</v>
      </c>
      <c r="G21" s="8" t="n">
        <v>248616</v>
      </c>
      <c r="H21" s="8" t="n">
        <v>263130</v>
      </c>
      <c r="I21" s="8" t="n">
        <v>94</v>
      </c>
      <c r="J21" s="8" t="n">
        <v>230</v>
      </c>
      <c r="K21" s="8" t="n">
        <v>296</v>
      </c>
      <c r="L21" s="9" t="n">
        <v>0.7959000000000001</v>
      </c>
    </row>
    <row r="22">
      <c r="A22" s="7" t="inlineStr">
        <is>
          <t>IPAC_MTP</t>
        </is>
      </c>
      <c r="B22" s="7" t="inlineStr">
        <is>
          <t>Ipac</t>
        </is>
      </c>
      <c r="C22" s="8" t="n">
        <v>650230</v>
      </c>
      <c r="D22" s="8" t="n">
        <v>713330</v>
      </c>
      <c r="E22" s="8" t="n">
        <v>783111</v>
      </c>
      <c r="F22" s="8" t="n">
        <v>74568</v>
      </c>
      <c r="G22" s="8" t="n">
        <v>90342</v>
      </c>
      <c r="H22" s="8" t="n">
        <v>108000</v>
      </c>
      <c r="I22" s="8" t="n">
        <v>40</v>
      </c>
      <c r="J22" s="8" t="n">
        <v>117</v>
      </c>
      <c r="K22" s="8" t="n">
        <v>192</v>
      </c>
      <c r="L22" s="9" t="n">
        <v>1</v>
      </c>
    </row>
    <row r="23">
      <c r="A23" s="7" t="inlineStr">
        <is>
          <t>IPAC_NAN</t>
        </is>
      </c>
      <c r="B23" s="7" t="inlineStr">
        <is>
          <t>Ipac</t>
        </is>
      </c>
      <c r="C23" s="8" t="n">
        <v>855566</v>
      </c>
      <c r="D23" s="8" t="n">
        <v>938593</v>
      </c>
      <c r="E23" s="8" t="n">
        <v>1030409</v>
      </c>
      <c r="F23" s="8" t="n">
        <v>105663</v>
      </c>
      <c r="G23" s="8" t="n">
        <v>127069</v>
      </c>
      <c r="H23" s="8" t="n">
        <v>151056</v>
      </c>
      <c r="I23" s="8" t="n">
        <v>50</v>
      </c>
      <c r="J23" s="8" t="n">
        <v>146</v>
      </c>
      <c r="K23" s="8" t="n">
        <v>192</v>
      </c>
      <c r="L23" s="9" t="n">
        <v>1</v>
      </c>
    </row>
    <row r="24">
      <c r="A24" s="7" t="inlineStr">
        <is>
          <t>IPAC_REN</t>
        </is>
      </c>
      <c r="B24" s="7" t="inlineStr">
        <is>
          <t>Ipac</t>
        </is>
      </c>
      <c r="C24" s="8" t="n">
        <v>650230</v>
      </c>
      <c r="D24" s="8" t="n">
        <v>713330</v>
      </c>
      <c r="E24" s="8" t="n">
        <v>783111</v>
      </c>
      <c r="F24" s="8" t="n">
        <v>74568</v>
      </c>
      <c r="G24" s="8" t="n">
        <v>90342</v>
      </c>
      <c r="H24" s="8" t="n">
        <v>108000</v>
      </c>
      <c r="I24" s="8" t="n">
        <v>40</v>
      </c>
      <c r="J24" s="8" t="n">
        <v>117</v>
      </c>
      <c r="K24" s="8" t="n">
        <v>192</v>
      </c>
      <c r="L24" s="9" t="n">
        <v>1</v>
      </c>
    </row>
    <row r="25">
      <c r="A25" s="7" t="inlineStr">
        <is>
          <t>PIGIER_BOR</t>
        </is>
      </c>
      <c r="B25" s="7" t="inlineStr">
        <is>
          <t>Pigier</t>
        </is>
      </c>
      <c r="C25" s="8" t="n">
        <v>1027213</v>
      </c>
      <c r="D25" s="8" t="n">
        <v>1075204</v>
      </c>
      <c r="E25" s="8" t="n">
        <v>1126238</v>
      </c>
      <c r="F25" s="8" t="n">
        <v>196141</v>
      </c>
      <c r="G25" s="8" t="n">
        <v>212061</v>
      </c>
      <c r="H25" s="8" t="n">
        <v>231329</v>
      </c>
      <c r="I25" s="8" t="n">
        <v>72</v>
      </c>
      <c r="J25" s="8" t="n">
        <v>175</v>
      </c>
      <c r="K25" s="8" t="n">
        <v>312</v>
      </c>
      <c r="L25" s="9" t="n">
        <v>1</v>
      </c>
    </row>
    <row r="26">
      <c r="A26" s="7" t="inlineStr">
        <is>
          <t>PIGIER_LYO</t>
        </is>
      </c>
      <c r="B26" s="7" t="inlineStr">
        <is>
          <t>Pigier</t>
        </is>
      </c>
      <c r="C26" s="8" t="n">
        <v>1438970</v>
      </c>
      <c r="D26" s="8" t="n">
        <v>1506199</v>
      </c>
      <c r="E26" s="8" t="n">
        <v>1577690</v>
      </c>
      <c r="F26" s="8" t="n">
        <v>289961</v>
      </c>
      <c r="G26" s="8" t="n">
        <v>312883</v>
      </c>
      <c r="H26" s="8" t="n">
        <v>340591</v>
      </c>
      <c r="I26" s="8" t="n">
        <v>93</v>
      </c>
      <c r="J26" s="8" t="n">
        <v>227</v>
      </c>
      <c r="K26" s="8" t="n">
        <v>312</v>
      </c>
      <c r="L26" s="9" t="n">
        <v>1</v>
      </c>
    </row>
    <row r="27">
      <c r="A27" s="7" t="inlineStr">
        <is>
          <t>TUNON_LYO</t>
        </is>
      </c>
      <c r="B27" s="7" t="inlineStr">
        <is>
          <t>Tunon</t>
        </is>
      </c>
      <c r="C27" s="8" t="n">
        <v>812495</v>
      </c>
      <c r="D27" s="8" t="n">
        <v>834100</v>
      </c>
      <c r="E27" s="8" t="n">
        <v>856888</v>
      </c>
      <c r="F27" s="8" t="n">
        <v>46217</v>
      </c>
      <c r="G27" s="8" t="n">
        <v>42067</v>
      </c>
      <c r="H27" s="8" t="n">
        <v>32586</v>
      </c>
      <c r="I27" s="8" t="n">
        <v>40</v>
      </c>
      <c r="J27" s="8" t="n">
        <v>116</v>
      </c>
      <c r="K27" s="8" t="n">
        <v>192</v>
      </c>
      <c r="L27" s="9" t="n">
        <v>1</v>
      </c>
    </row>
    <row r="28">
      <c r="A28" s="7" t="inlineStr">
        <is>
          <t>TUNON_PAR</t>
        </is>
      </c>
      <c r="B28" s="7" t="inlineStr">
        <is>
          <t>Tunon</t>
        </is>
      </c>
      <c r="C28" s="8" t="n">
        <v>1024236</v>
      </c>
      <c r="D28" s="8" t="n">
        <v>1051471</v>
      </c>
      <c r="E28" s="8" t="n">
        <v>1080198</v>
      </c>
      <c r="F28" s="8" t="n">
        <v>65804</v>
      </c>
      <c r="G28" s="8" t="n">
        <v>60619</v>
      </c>
      <c r="H28" s="8" t="n">
        <v>48547</v>
      </c>
      <c r="I28" s="8" t="n">
        <v>47</v>
      </c>
      <c r="J28" s="8" t="n">
        <v>137</v>
      </c>
      <c r="K28" s="8" t="n">
        <v>192</v>
      </c>
      <c r="L28" s="9" t="n">
        <v>1</v>
      </c>
    </row>
    <row r="29">
      <c r="A29" s="10" t="inlineStr">
        <is>
          <t>TOTAL GROUPE</t>
        </is>
      </c>
      <c r="C29" s="11">
        <f>SUM(C15:C28)</f>
        <v/>
      </c>
      <c r="D29" s="11">
        <f>SUM(D15:D28)</f>
        <v/>
      </c>
      <c r="E29" s="11">
        <f>SUM(E15:E28)</f>
        <v/>
      </c>
      <c r="F29" s="11">
        <f>SUM(F15:F28)</f>
        <v/>
      </c>
      <c r="G29" s="11">
        <f>SUM(G15:G28)</f>
        <v/>
      </c>
      <c r="H29" s="11">
        <f>SUM(H15:H28)</f>
        <v/>
      </c>
      <c r="I29" s="11">
        <f>SUM(I15:I28)</f>
        <v/>
      </c>
      <c r="J29" s="11">
        <f>SUM(J15:J28)</f>
        <v/>
      </c>
      <c r="K29" s="11">
        <f>SUM(K15:K28)</f>
        <v/>
      </c>
    </row>
    <row r="30">
      <c r="A30" s="3" t="inlineStr">
        <is>
          <t>③ ACQUISITION (groupe)</t>
        </is>
      </c>
    </row>
    <row r="31">
      <c r="A31" s="4" t="inlineStr">
        <is>
          <t>Mesure</t>
        </is>
      </c>
      <c r="B31" s="4" t="inlineStr">
        <is>
          <t>2024</t>
        </is>
      </c>
      <c r="C31" s="4" t="inlineStr">
        <is>
          <t>2025</t>
        </is>
      </c>
      <c r="D31" s="4" t="inlineStr">
        <is>
          <t>2026</t>
        </is>
      </c>
    </row>
    <row r="32">
      <c r="A32" s="5" t="inlineStr">
        <is>
          <t>Dépenses d'acquisition (€)</t>
        </is>
      </c>
      <c r="B32" s="12" t="n">
        <v>358170</v>
      </c>
      <c r="C32" s="12" t="n">
        <v>394702</v>
      </c>
      <c r="D32" s="12" t="n">
        <v>434174</v>
      </c>
    </row>
    <row r="33">
      <c r="A33" s="5" t="inlineStr">
        <is>
          <t>Inscrits (nouveaux)</t>
        </is>
      </c>
      <c r="B33" s="12" t="n">
        <v>1092</v>
      </c>
      <c r="C33" s="12" t="n">
        <v>1159</v>
      </c>
      <c r="D33" s="12" t="n">
        <v>1229</v>
      </c>
    </row>
    <row r="34">
      <c r="A34" s="3" t="inlineStr">
        <is>
          <t>④ BRIDGE EBITDA 2025 → 2026  (l'effet coûts est le résidu : le pont boucle toujours)</t>
        </is>
      </c>
    </row>
    <row r="35">
      <c r="A35" s="4" t="inlineStr">
        <is>
          <t>Étape</t>
        </is>
      </c>
      <c r="B35" s="4" t="inlineStr">
        <is>
          <t>Montant (€)</t>
        </is>
      </c>
    </row>
    <row r="37">
      <c r="A37" s="5" t="inlineStr">
        <is>
          <t>EBITDA 2025</t>
        </is>
      </c>
      <c r="B37" s="12">
        <f>SUM($G$15:$G$28)</f>
        <v/>
      </c>
    </row>
    <row r="38">
      <c r="A38" s="5" t="inlineStr">
        <is>
          <t>Effet activité</t>
        </is>
      </c>
      <c r="B38" s="12" t="n">
        <v>211706</v>
      </c>
    </row>
    <row r="39">
      <c r="A39" s="5" t="inlineStr">
        <is>
          <t>Effet prix / mix</t>
        </is>
      </c>
      <c r="B39" s="12" t="n">
        <v>289000</v>
      </c>
    </row>
    <row r="40">
      <c r="A40" s="5" t="inlineStr">
        <is>
          <t>Effet coûts (résidu)</t>
        </is>
      </c>
      <c r="B40" s="12">
        <f>B41-B37-B38-B39</f>
        <v/>
      </c>
    </row>
    <row r="41">
      <c r="A41" s="6" t="inlineStr">
        <is>
          <t>EBITDA 2026</t>
        </is>
      </c>
      <c r="B41" s="13">
        <f>SUM($H$15:$H$28)</f>
        <v/>
      </c>
    </row>
    <row r="43">
      <c r="A43" s="3" t="inlineStr">
        <is>
          <t>⑤ AGRÉGATS PAR MARQUE — 100 % calculés depuis ②</t>
        </is>
      </c>
    </row>
    <row r="44">
      <c r="A44" s="4" t="inlineStr">
        <is>
          <t>Marque</t>
        </is>
      </c>
      <c r="B44" s="4" t="inlineStr">
        <is>
          <t>CA 2024</t>
        </is>
      </c>
      <c r="C44" s="4" t="inlineStr">
        <is>
          <t>CA 2025</t>
        </is>
      </c>
      <c r="D44" s="4" t="inlineStr">
        <is>
          <t>CA 2026</t>
        </is>
      </c>
      <c r="E44" s="4" t="inlineStr">
        <is>
          <t>EBITDA 2024</t>
        </is>
      </c>
      <c r="F44" s="4" t="inlineStr">
        <is>
          <t>EBITDA 2025</t>
        </is>
      </c>
      <c r="G44" s="4" t="inlineStr">
        <is>
          <t>EBITDA 2026</t>
        </is>
      </c>
      <c r="H44" s="4" t="inlineStr">
        <is>
          <t>Marge 2024</t>
        </is>
      </c>
      <c r="I44" s="4" t="inlineStr">
        <is>
          <t>Marge 2025</t>
        </is>
      </c>
      <c r="J44" s="4" t="inlineStr">
        <is>
          <t>Marge 2026</t>
        </is>
      </c>
    </row>
    <row r="46">
      <c r="A46" s="7" t="inlineStr">
        <is>
          <t>MBway</t>
        </is>
      </c>
      <c r="B46" s="8">
        <f>SUMIF(Données!$B$15:$B$28,$A46,Données!$C$15:$C$28)</f>
        <v/>
      </c>
      <c r="C46" s="8">
        <f>SUMIF(Données!$B$15:$B$28,$A46,Données!$D$15:$D$28)</f>
        <v/>
      </c>
      <c r="D46" s="8">
        <f>SUMIF(Données!$B$15:$B$28,$A46,Données!$E$15:$E$28)</f>
        <v/>
      </c>
      <c r="E46" s="8">
        <f>SUMIF(Données!$B$15:$B$28,$A46,Données!$F$15:$F$28)</f>
        <v/>
      </c>
      <c r="F46" s="8">
        <f>SUMIF(Données!$B$15:$B$28,$A46,Données!$G$15:$G$28)</f>
        <v/>
      </c>
      <c r="G46" s="8">
        <f>SUMIF(Données!$B$15:$B$28,$A46,Données!$H$15:$H$28)</f>
        <v/>
      </c>
      <c r="H46" s="14">
        <f>E46/B46</f>
        <v/>
      </c>
      <c r="I46" s="14">
        <f>F46/C46</f>
        <v/>
      </c>
      <c r="J46" s="14">
        <f>G46/D46</f>
        <v/>
      </c>
    </row>
    <row r="47">
      <c r="A47" s="7" t="inlineStr">
        <is>
          <t>ISCOM</t>
        </is>
      </c>
      <c r="B47" s="8">
        <f>SUMIF(Données!$B$15:$B$28,$A47,Données!$C$15:$C$28)</f>
        <v/>
      </c>
      <c r="C47" s="8">
        <f>SUMIF(Données!$B$15:$B$28,$A47,Données!$D$15:$D$28)</f>
        <v/>
      </c>
      <c r="D47" s="8">
        <f>SUMIF(Données!$B$15:$B$28,$A47,Données!$E$15:$E$28)</f>
        <v/>
      </c>
      <c r="E47" s="8">
        <f>SUMIF(Données!$B$15:$B$28,$A47,Données!$F$15:$F$28)</f>
        <v/>
      </c>
      <c r="F47" s="8">
        <f>SUMIF(Données!$B$15:$B$28,$A47,Données!$G$15:$G$28)</f>
        <v/>
      </c>
      <c r="G47" s="8">
        <f>SUMIF(Données!$B$15:$B$28,$A47,Données!$H$15:$H$28)</f>
        <v/>
      </c>
      <c r="H47" s="14">
        <f>E47/B47</f>
        <v/>
      </c>
      <c r="I47" s="14">
        <f>F47/C47</f>
        <v/>
      </c>
      <c r="J47" s="14">
        <f>G47/D47</f>
        <v/>
      </c>
    </row>
    <row r="48">
      <c r="A48" s="7" t="inlineStr">
        <is>
          <t>Ipac</t>
        </is>
      </c>
      <c r="B48" s="8">
        <f>SUMIF(Données!$B$15:$B$28,$A48,Données!$C$15:$C$28)</f>
        <v/>
      </c>
      <c r="C48" s="8">
        <f>SUMIF(Données!$B$15:$B$28,$A48,Données!$D$15:$D$28)</f>
        <v/>
      </c>
      <c r="D48" s="8">
        <f>SUMIF(Données!$B$15:$B$28,$A48,Données!$E$15:$E$28)</f>
        <v/>
      </c>
      <c r="E48" s="8">
        <f>SUMIF(Données!$B$15:$B$28,$A48,Données!$F$15:$F$28)</f>
        <v/>
      </c>
      <c r="F48" s="8">
        <f>SUMIF(Données!$B$15:$B$28,$A48,Données!$G$15:$G$28)</f>
        <v/>
      </c>
      <c r="G48" s="8">
        <f>SUMIF(Données!$B$15:$B$28,$A48,Données!$H$15:$H$28)</f>
        <v/>
      </c>
      <c r="H48" s="14">
        <f>E48/B48</f>
        <v/>
      </c>
      <c r="I48" s="14">
        <f>F48/C48</f>
        <v/>
      </c>
      <c r="J48" s="14">
        <f>G48/D48</f>
        <v/>
      </c>
    </row>
    <row r="49">
      <c r="A49" s="7" t="inlineStr">
        <is>
          <t>Pigier</t>
        </is>
      </c>
      <c r="B49" s="8">
        <f>SUMIF(Données!$B$15:$B$28,$A49,Données!$C$15:$C$28)</f>
        <v/>
      </c>
      <c r="C49" s="8">
        <f>SUMIF(Données!$B$15:$B$28,$A49,Données!$D$15:$D$28)</f>
        <v/>
      </c>
      <c r="D49" s="8">
        <f>SUMIF(Données!$B$15:$B$28,$A49,Données!$E$15:$E$28)</f>
        <v/>
      </c>
      <c r="E49" s="8">
        <f>SUMIF(Données!$B$15:$B$28,$A49,Données!$F$15:$F$28)</f>
        <v/>
      </c>
      <c r="F49" s="8">
        <f>SUMIF(Données!$B$15:$B$28,$A49,Données!$G$15:$G$28)</f>
        <v/>
      </c>
      <c r="G49" s="8">
        <f>SUMIF(Données!$B$15:$B$28,$A49,Données!$H$15:$H$28)</f>
        <v/>
      </c>
      <c r="H49" s="14">
        <f>E49/B49</f>
        <v/>
      </c>
      <c r="I49" s="14">
        <f>F49/C49</f>
        <v/>
      </c>
      <c r="J49" s="14">
        <f>G49/D49</f>
        <v/>
      </c>
    </row>
    <row r="50">
      <c r="A50" s="7" t="inlineStr">
        <is>
          <t>Tunon</t>
        </is>
      </c>
      <c r="B50" s="8">
        <f>SUMIF(Données!$B$15:$B$28,$A50,Données!$C$15:$C$28)</f>
        <v/>
      </c>
      <c r="C50" s="8">
        <f>SUMIF(Données!$B$15:$B$28,$A50,Données!$D$15:$D$28)</f>
        <v/>
      </c>
      <c r="D50" s="8">
        <f>SUMIF(Données!$B$15:$B$28,$A50,Données!$E$15:$E$28)</f>
        <v/>
      </c>
      <c r="E50" s="8">
        <f>SUMIF(Données!$B$15:$B$28,$A50,Données!$F$15:$F$28)</f>
        <v/>
      </c>
      <c r="F50" s="8">
        <f>SUMIF(Données!$B$15:$B$28,$A50,Données!$G$15:$G$28)</f>
        <v/>
      </c>
      <c r="G50" s="8">
        <f>SUMIF(Données!$B$15:$B$28,$A50,Données!$H$15:$H$28)</f>
        <v/>
      </c>
      <c r="H50" s="14">
        <f>E50/B50</f>
        <v/>
      </c>
      <c r="I50" s="14">
        <f>F50/C50</f>
        <v/>
      </c>
      <c r="J50" s="14">
        <f>G50/D50</f>
        <v/>
      </c>
    </row>
    <row r="52">
      <c r="A52" s="3" t="inlineStr">
        <is>
          <t>⑥ ZONE TECHNIQUE — séries des graphes (ne pas saisir)</t>
        </is>
      </c>
    </row>
    <row r="53">
      <c r="A53" s="4" t="inlineStr">
        <is>
          <t>Étape (waterfall)</t>
        </is>
      </c>
      <c r="B53" s="4" t="inlineStr">
        <is>
          <t>Socle</t>
        </is>
      </c>
      <c r="C53" s="4" t="inlineStr">
        <is>
          <t>Ancre</t>
        </is>
      </c>
      <c r="D53" s="4" t="inlineStr">
        <is>
          <t>Hausse</t>
        </is>
      </c>
      <c r="E53" s="4" t="inlineStr">
        <is>
          <t>Baisse</t>
        </is>
      </c>
    </row>
    <row r="54">
      <c r="A54" s="15" t="inlineStr">
        <is>
          <t>EBITDA 2025</t>
        </is>
      </c>
      <c r="B54" s="16" t="inlineStr">
        <is>
          <t>0</t>
        </is>
      </c>
      <c r="C54" s="16">
        <f>B37</f>
        <v/>
      </c>
      <c r="D54" s="16" t="inlineStr">
        <is>
          <t>0</t>
        </is>
      </c>
      <c r="E54" s="16" t="inlineStr">
        <is>
          <t>0</t>
        </is>
      </c>
    </row>
    <row r="55">
      <c r="A55" s="15" t="inlineStr">
        <is>
          <t>Activité</t>
        </is>
      </c>
      <c r="B55" s="16">
        <f>B37</f>
        <v/>
      </c>
      <c r="C55" s="16" t="inlineStr">
        <is>
          <t>0</t>
        </is>
      </c>
      <c r="D55" s="16">
        <f>B38</f>
        <v/>
      </c>
      <c r="E55" s="16" t="inlineStr">
        <is>
          <t>0</t>
        </is>
      </c>
    </row>
    <row r="56">
      <c r="A56" s="15" t="inlineStr">
        <is>
          <t>Prix / mix</t>
        </is>
      </c>
      <c r="B56" s="16">
        <f>B37+B38</f>
        <v/>
      </c>
      <c r="C56" s="16" t="inlineStr">
        <is>
          <t>0</t>
        </is>
      </c>
      <c r="D56" s="16">
        <f>B39</f>
        <v/>
      </c>
      <c r="E56" s="16" t="inlineStr">
        <is>
          <t>0</t>
        </is>
      </c>
    </row>
    <row r="57">
      <c r="A57" s="15" t="inlineStr">
        <is>
          <t>Coûts</t>
        </is>
      </c>
      <c r="B57" s="16">
        <f>B41</f>
        <v/>
      </c>
      <c r="C57" s="16" t="inlineStr">
        <is>
          <t>0</t>
        </is>
      </c>
      <c r="D57" s="16" t="inlineStr">
        <is>
          <t>0</t>
        </is>
      </c>
      <c r="E57" s="16">
        <f>B37+B38+B39-B41</f>
        <v/>
      </c>
    </row>
    <row r="58">
      <c r="A58" s="15" t="inlineStr">
        <is>
          <t>EBITDA 2026</t>
        </is>
      </c>
      <c r="B58" s="16" t="inlineStr">
        <is>
          <t>0</t>
        </is>
      </c>
      <c r="C58" s="16">
        <f>B41</f>
        <v/>
      </c>
      <c r="D58" s="16" t="inlineStr">
        <is>
          <t>0</t>
        </is>
      </c>
      <c r="E58" s="16" t="inlineStr">
        <is>
          <t>0</t>
        </is>
      </c>
    </row>
    <row r="61">
      <c r="A61" s="4" t="inlineStr">
        <is>
          <t>Exercice</t>
        </is>
      </c>
      <c r="B61" s="4" t="inlineStr">
        <is>
          <t>Dépenses (base 100)</t>
        </is>
      </c>
      <c r="C61" s="4" t="inlineStr">
        <is>
          <t>Inscrits (base 100)</t>
        </is>
      </c>
    </row>
    <row r="62">
      <c r="A62" s="17" t="n">
        <v>2024</v>
      </c>
      <c r="B62" s="18">
        <f>B32/$B$32*100</f>
        <v/>
      </c>
      <c r="C62" s="18">
        <f>B33/$B$33*100</f>
        <v/>
      </c>
    </row>
    <row r="63">
      <c r="A63" s="17" t="n">
        <v>2025</v>
      </c>
      <c r="B63" s="18">
        <f>C32/$B$32*100</f>
        <v/>
      </c>
      <c r="C63" s="18">
        <f>C33/$B$33*100</f>
        <v/>
      </c>
    </row>
    <row r="64">
      <c r="A64" s="17" t="n">
        <v>2026</v>
      </c>
      <c r="B64" s="18">
        <f>D32/$B$32*100</f>
        <v/>
      </c>
      <c r="C64" s="18">
        <f>D33/$B$33*100</f>
        <v/>
      </c>
    </row>
    <row r="67">
      <c r="A67" s="19" t="inlineStr">
        <is>
          <t>Règle de lecture : la variation d'une MARGE se lit en POINTS (différence), jamais en % relatif.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O6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6" customHeight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</row>
    <row r="2" ht="30" customHeight="1">
      <c r="A2" s="20" t="n"/>
      <c r="B2" s="21" t="inlineStr">
        <is>
          <t xml:space="preserve">  Cockpit de performance — EDUSERVICES GROUP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3" t="inlineStr">
        <is>
          <t xml:space="preserve">RÉEL · CLÔTURE 2026  </t>
        </is>
      </c>
      <c r="N2" s="20" t="n"/>
      <c r="O2" s="20" t="n"/>
    </row>
    <row r="3" ht="16" customHeight="1">
      <c r="A3" s="20" t="n"/>
      <c r="B3" s="24" t="inlineStr">
        <is>
          <t xml:space="preserve">  Constat 2024 → 2026 · 14 campus · 5 marques · socle CRM &amp; comptabilité rapprochés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20" t="n"/>
      <c r="O3" s="20" t="n"/>
    </row>
    <row r="4" ht="6" customHeight="1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</row>
    <row r="5" ht="20" customHeight="1">
      <c r="A5" s="20" t="n"/>
      <c r="B5" s="27" t="inlineStr">
        <is>
          <t xml:space="preserve">  Scénario</t>
        </is>
      </c>
      <c r="C5" s="28">
        <f>Données!B5</f>
        <v/>
      </c>
      <c r="D5" s="27" t="inlineStr">
        <is>
          <t xml:space="preserve">  Version</t>
        </is>
      </c>
      <c r="E5" s="28">
        <f>Données!B6</f>
        <v/>
      </c>
      <c r="F5" s="29" t="inlineStr">
        <is>
          <t xml:space="preserve">  Exercice</t>
        </is>
      </c>
      <c r="G5" s="30">
        <f>Données!B7</f>
        <v/>
      </c>
      <c r="H5" s="27" t="inlineStr">
        <is>
          <t xml:space="preserve">  Période</t>
        </is>
      </c>
      <c r="I5" s="28">
        <f>Données!B8</f>
        <v/>
      </c>
      <c r="J5" s="27" t="inlineStr">
        <is>
          <t xml:space="preserve">  Marque</t>
        </is>
      </c>
      <c r="K5" s="28">
        <f>Données!B9</f>
        <v/>
      </c>
      <c r="L5" s="27" t="inlineStr">
        <is>
          <t xml:space="preserve">  Campus</t>
        </is>
      </c>
      <c r="M5" s="28">
        <f>Données!B10</f>
        <v/>
      </c>
      <c r="N5" s="20" t="n"/>
      <c r="O5" s="20" t="n"/>
    </row>
    <row r="6" ht="6" customHeight="1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 ht="15" customHeight="1">
      <c r="A7" s="20" t="n"/>
      <c r="B7" s="31" t="inlineStr">
        <is>
          <t xml:space="preserve">  CHIFFRE D'AFFAIRES</t>
        </is>
      </c>
      <c r="C7" s="32" t="n"/>
      <c r="D7" s="31" t="inlineStr">
        <is>
          <t xml:space="preserve">  EBITDA</t>
        </is>
      </c>
      <c r="E7" s="32" t="n"/>
      <c r="F7" s="31" t="inlineStr">
        <is>
          <t xml:space="preserve">  MARGE EBITDA</t>
        </is>
      </c>
      <c r="G7" s="32" t="n"/>
      <c r="H7" s="31" t="inlineStr">
        <is>
          <t xml:space="preserve">  INSCRITS (NOUVEAUX)</t>
        </is>
      </c>
      <c r="I7" s="32" t="n"/>
      <c r="J7" s="33" t="inlineStr">
        <is>
          <t xml:space="preserve">  COÛT D'ACQUISITION</t>
        </is>
      </c>
      <c r="K7" s="34" t="n"/>
      <c r="L7" s="31" t="inlineStr">
        <is>
          <t xml:space="preserve">  REMPLISSAGE MOYEN</t>
        </is>
      </c>
      <c r="M7" s="32" t="n"/>
      <c r="N7" s="20" t="n"/>
      <c r="O7" s="20" t="n"/>
    </row>
    <row r="8" ht="28" customHeight="1">
      <c r="A8" s="20" t="n"/>
      <c r="B8" s="35">
        <f>C35</f>
        <v/>
      </c>
      <c r="C8" s="36" t="n"/>
      <c r="D8" s="35">
        <f>E35</f>
        <v/>
      </c>
      <c r="E8" s="36" t="n"/>
      <c r="F8" s="37">
        <f>H35</f>
        <v/>
      </c>
      <c r="G8" s="36" t="n"/>
      <c r="H8" s="38">
        <f>J35</f>
        <v/>
      </c>
      <c r="I8" s="36" t="n"/>
      <c r="J8" s="39">
        <f>Données!D32/Données!D33</f>
        <v/>
      </c>
      <c r="K8" s="40" t="n"/>
      <c r="L8" s="41">
        <f>K35</f>
        <v/>
      </c>
      <c r="M8" s="36" t="n"/>
      <c r="N8" s="20" t="n"/>
      <c r="O8" s="20" t="n"/>
    </row>
    <row r="9" ht="16" customHeight="1">
      <c r="A9" s="20" t="n"/>
      <c r="B9" s="42">
        <f>D35</f>
        <v/>
      </c>
      <c r="C9" s="26" t="n"/>
      <c r="D9" s="42">
        <f>F35</f>
        <v/>
      </c>
      <c r="E9" s="26" t="n"/>
      <c r="F9" s="43">
        <f>I35</f>
        <v/>
      </c>
      <c r="G9" s="26" t="n"/>
      <c r="H9" s="42">
        <f>J35/Données!C33-1</f>
        <v/>
      </c>
      <c r="I9" s="26" t="n"/>
      <c r="J9" s="44">
        <f>(Données!D32/Données!D33)/(Données!C32/Données!C33)-1</f>
        <v/>
      </c>
      <c r="K9" s="45" t="n"/>
      <c r="L9" s="46">
        <f>SUM(Données!$K$15:$K$28)-SUM(Données!$J$15:$J$28)</f>
        <v/>
      </c>
      <c r="M9" s="26" t="n"/>
      <c r="N9" s="20" t="n"/>
      <c r="O9" s="20" t="n"/>
    </row>
    <row r="10" ht="8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20" customHeight="1">
      <c r="A11" s="20" t="n"/>
      <c r="B11" s="47" t="inlineStr">
        <is>
          <t xml:space="preserve">  Bridge EBITDA 2025 → 2026</t>
        </is>
      </c>
      <c r="C11" s="22" t="n"/>
      <c r="D11" s="22" t="n"/>
      <c r="E11" s="48" t="inlineStr">
        <is>
          <t xml:space="preserve">M€ · axe tronqué à 3,2  </t>
        </is>
      </c>
      <c r="F11" s="47" t="inlineStr">
        <is>
          <t xml:space="preserve">  Marge EBITDA par marque</t>
        </is>
      </c>
      <c r="G11" s="22" t="n"/>
      <c r="H11" s="22" t="n"/>
      <c r="I11" s="48" t="inlineStr">
        <is>
          <t xml:space="preserve">2024 · 2025 · 2026  </t>
        </is>
      </c>
      <c r="J11" s="47" t="inlineStr">
        <is>
          <t xml:space="preserve">  Tension acquisition</t>
        </is>
      </c>
      <c r="K11" s="22" t="n"/>
      <c r="L11" s="22" t="n"/>
      <c r="M11" s="48" t="inlineStr">
        <is>
          <t xml:space="preserve">base 100 = 2024  </t>
        </is>
      </c>
      <c r="N11" s="20" t="n"/>
      <c r="O11" s="20" t="n"/>
    </row>
    <row r="12" ht="16" customHeight="1">
      <c r="A12" s="20" t="n"/>
      <c r="B12" s="49" t="n"/>
      <c r="C12" s="50" t="n"/>
      <c r="D12" s="50" t="n"/>
      <c r="E12" s="36" t="n"/>
      <c r="F12" s="49" t="n"/>
      <c r="G12" s="50" t="n"/>
      <c r="H12" s="50" t="n"/>
      <c r="I12" s="36" t="n"/>
      <c r="J12" s="49" t="n"/>
      <c r="K12" s="50" t="n"/>
      <c r="L12" s="50" t="n"/>
      <c r="M12" s="36" t="n"/>
      <c r="N12" s="20" t="n"/>
      <c r="O12" s="20" t="n"/>
    </row>
    <row r="13" ht="16" customHeight="1">
      <c r="A13" s="20" t="n"/>
      <c r="B13" s="49" t="n"/>
      <c r="C13" s="50" t="n"/>
      <c r="D13" s="50" t="n"/>
      <c r="E13" s="36" t="n"/>
      <c r="F13" s="49" t="n"/>
      <c r="G13" s="50" t="n"/>
      <c r="H13" s="50" t="n"/>
      <c r="I13" s="36" t="n"/>
      <c r="J13" s="49" t="n"/>
      <c r="K13" s="50" t="n"/>
      <c r="L13" s="50" t="n"/>
      <c r="M13" s="36" t="n"/>
      <c r="N13" s="20" t="n"/>
      <c r="O13" s="20" t="n"/>
    </row>
    <row r="14" ht="16" customHeight="1">
      <c r="A14" s="20" t="n"/>
      <c r="B14" s="49" t="n"/>
      <c r="C14" s="50" t="n"/>
      <c r="D14" s="50" t="n"/>
      <c r="E14" s="36" t="n"/>
      <c r="F14" s="49" t="n"/>
      <c r="G14" s="50" t="n"/>
      <c r="H14" s="50" t="n"/>
      <c r="I14" s="36" t="n"/>
      <c r="J14" s="49" t="n"/>
      <c r="K14" s="50" t="n"/>
      <c r="L14" s="50" t="n"/>
      <c r="M14" s="36" t="n"/>
      <c r="N14" s="20" t="n"/>
      <c r="O14" s="20" t="n"/>
    </row>
    <row r="15" ht="16" customHeight="1">
      <c r="A15" s="20" t="n"/>
      <c r="B15" s="49" t="n"/>
      <c r="C15" s="50" t="n"/>
      <c r="D15" s="50" t="n"/>
      <c r="E15" s="36" t="n"/>
      <c r="F15" s="49" t="n"/>
      <c r="G15" s="50" t="n"/>
      <c r="H15" s="50" t="n"/>
      <c r="I15" s="36" t="n"/>
      <c r="J15" s="49" t="n"/>
      <c r="K15" s="50" t="n"/>
      <c r="L15" s="50" t="n"/>
      <c r="M15" s="36" t="n"/>
      <c r="N15" s="20" t="n"/>
      <c r="O15" s="20" t="n"/>
    </row>
    <row r="16" ht="16" customHeight="1">
      <c r="A16" s="20" t="n"/>
      <c r="B16" s="49" t="n"/>
      <c r="C16" s="50" t="n"/>
      <c r="D16" s="50" t="n"/>
      <c r="E16" s="36" t="n"/>
      <c r="F16" s="49" t="n"/>
      <c r="G16" s="50" t="n"/>
      <c r="H16" s="50" t="n"/>
      <c r="I16" s="36" t="n"/>
      <c r="J16" s="49" t="n"/>
      <c r="K16" s="50" t="n"/>
      <c r="L16" s="50" t="n"/>
      <c r="M16" s="36" t="n"/>
      <c r="N16" s="20" t="n"/>
      <c r="O16" s="20" t="n"/>
    </row>
    <row r="17" ht="16" customHeight="1">
      <c r="A17" s="20" t="n"/>
      <c r="B17" s="49" t="n"/>
      <c r="C17" s="50" t="n"/>
      <c r="D17" s="50" t="n"/>
      <c r="E17" s="36" t="n"/>
      <c r="F17" s="49" t="n"/>
      <c r="G17" s="50" t="n"/>
      <c r="H17" s="50" t="n"/>
      <c r="I17" s="36" t="n"/>
      <c r="J17" s="49" t="n"/>
      <c r="K17" s="50" t="n"/>
      <c r="L17" s="50" t="n"/>
      <c r="M17" s="36" t="n"/>
      <c r="N17" s="20" t="n"/>
      <c r="O17" s="20" t="n"/>
    </row>
    <row r="18" ht="16" customHeight="1">
      <c r="A18" s="20" t="n"/>
      <c r="B18" s="49" t="n"/>
      <c r="C18" s="50" t="n"/>
      <c r="D18" s="50" t="n"/>
      <c r="E18" s="36" t="n"/>
      <c r="F18" s="49" t="n"/>
      <c r="G18" s="50" t="n"/>
      <c r="H18" s="50" t="n"/>
      <c r="I18" s="36" t="n"/>
      <c r="J18" s="49" t="n"/>
      <c r="K18" s="50" t="n"/>
      <c r="L18" s="50" t="n"/>
      <c r="M18" s="36" t="n"/>
      <c r="N18" s="20" t="n"/>
      <c r="O18" s="20" t="n"/>
    </row>
    <row r="19" ht="16" customHeight="1">
      <c r="A19" s="20" t="n"/>
      <c r="B19" s="49" t="n"/>
      <c r="C19" s="50" t="n"/>
      <c r="D19" s="50" t="n"/>
      <c r="E19" s="36" t="n"/>
      <c r="F19" s="49" t="n"/>
      <c r="G19" s="50" t="n"/>
      <c r="H19" s="50" t="n"/>
      <c r="I19" s="36" t="n"/>
      <c r="J19" s="49" t="n"/>
      <c r="K19" s="50" t="n"/>
      <c r="L19" s="50" t="n"/>
      <c r="M19" s="36" t="n"/>
      <c r="N19" s="20" t="n"/>
      <c r="O19" s="20" t="n"/>
    </row>
    <row r="20" ht="16" customHeight="1">
      <c r="A20" s="20" t="n"/>
      <c r="B20" s="49" t="n"/>
      <c r="C20" s="50" t="n"/>
      <c r="D20" s="50" t="n"/>
      <c r="E20" s="36" t="n"/>
      <c r="F20" s="49" t="n"/>
      <c r="G20" s="50" t="n"/>
      <c r="H20" s="50" t="n"/>
      <c r="I20" s="36" t="n"/>
      <c r="J20" s="49" t="n"/>
      <c r="K20" s="50" t="n"/>
      <c r="L20" s="50" t="n"/>
      <c r="M20" s="36" t="n"/>
      <c r="N20" s="20" t="n"/>
      <c r="O20" s="20" t="n"/>
    </row>
    <row r="21" ht="16" customHeight="1">
      <c r="A21" s="20" t="n"/>
      <c r="B21" s="49" t="n"/>
      <c r="C21" s="50" t="n"/>
      <c r="D21" s="50" t="n"/>
      <c r="E21" s="36" t="n"/>
      <c r="F21" s="49" t="n"/>
      <c r="G21" s="50" t="n"/>
      <c r="H21" s="50" t="n"/>
      <c r="I21" s="36" t="n"/>
      <c r="J21" s="49" t="n"/>
      <c r="K21" s="50" t="n"/>
      <c r="L21" s="50" t="n"/>
      <c r="M21" s="36" t="n"/>
      <c r="N21" s="20" t="n"/>
      <c r="O21" s="20" t="n"/>
    </row>
    <row r="22" ht="16" customHeight="1">
      <c r="A22" s="20" t="n"/>
      <c r="B22" s="49" t="n"/>
      <c r="C22" s="50" t="n"/>
      <c r="D22" s="50" t="n"/>
      <c r="E22" s="36" t="n"/>
      <c r="F22" s="49" t="n"/>
      <c r="G22" s="50" t="n"/>
      <c r="H22" s="50" t="n"/>
      <c r="I22" s="36" t="n"/>
      <c r="J22" s="49" t="n"/>
      <c r="K22" s="50" t="n"/>
      <c r="L22" s="50" t="n"/>
      <c r="M22" s="36" t="n"/>
      <c r="N22" s="20" t="n"/>
      <c r="O22" s="20" t="n"/>
    </row>
    <row r="23" ht="16" customHeight="1">
      <c r="A23" s="20" t="n"/>
      <c r="B23" s="49" t="n"/>
      <c r="C23" s="50" t="n"/>
      <c r="D23" s="50" t="n"/>
      <c r="E23" s="36" t="n"/>
      <c r="F23" s="49" t="n"/>
      <c r="G23" s="50" t="n"/>
      <c r="H23" s="50" t="n"/>
      <c r="I23" s="36" t="n"/>
      <c r="J23" s="49" t="n"/>
      <c r="K23" s="50" t="n"/>
      <c r="L23" s="50" t="n"/>
      <c r="M23" s="36" t="n"/>
      <c r="N23" s="20" t="n"/>
      <c r="O23" s="20" t="n"/>
    </row>
    <row r="24" ht="16" customHeight="1">
      <c r="A24" s="20" t="n"/>
      <c r="B24" s="49" t="n"/>
      <c r="C24" s="50" t="n"/>
      <c r="D24" s="50" t="n"/>
      <c r="E24" s="36" t="n"/>
      <c r="F24" s="49" t="n"/>
      <c r="G24" s="50" t="n"/>
      <c r="H24" s="50" t="n"/>
      <c r="I24" s="36" t="n"/>
      <c r="J24" s="49" t="n"/>
      <c r="K24" s="50" t="n"/>
      <c r="L24" s="50" t="n"/>
      <c r="M24" s="36" t="n"/>
      <c r="N24" s="20" t="n"/>
      <c r="O24" s="20" t="n"/>
    </row>
    <row r="25" ht="16" customHeight="1">
      <c r="A25" s="20" t="n"/>
      <c r="B25" s="49" t="n"/>
      <c r="C25" s="50" t="n"/>
      <c r="D25" s="50" t="n"/>
      <c r="E25" s="36" t="n"/>
      <c r="F25" s="49" t="n"/>
      <c r="G25" s="50" t="n"/>
      <c r="H25" s="50" t="n"/>
      <c r="I25" s="36" t="n"/>
      <c r="J25" s="49" t="n"/>
      <c r="K25" s="50" t="n"/>
      <c r="L25" s="50" t="n"/>
      <c r="M25" s="36" t="n"/>
      <c r="N25" s="20" t="n"/>
      <c r="O25" s="20" t="n"/>
    </row>
    <row r="26" ht="16" customHeight="1">
      <c r="A26" s="20" t="n"/>
      <c r="B26" s="49" t="n"/>
      <c r="C26" s="50" t="n"/>
      <c r="D26" s="50" t="n"/>
      <c r="E26" s="36" t="n"/>
      <c r="F26" s="49" t="n"/>
      <c r="G26" s="50" t="n"/>
      <c r="H26" s="50" t="n"/>
      <c r="I26" s="36" t="n"/>
      <c r="J26" s="49" t="n"/>
      <c r="K26" s="50" t="n"/>
      <c r="L26" s="50" t="n"/>
      <c r="M26" s="36" t="n"/>
      <c r="N26" s="20" t="n"/>
      <c r="O26" s="20" t="n"/>
    </row>
    <row r="27" ht="16" customHeight="1">
      <c r="A27" s="20" t="n"/>
      <c r="B27" s="49" t="n"/>
      <c r="C27" s="50" t="n"/>
      <c r="D27" s="50" t="n"/>
      <c r="E27" s="36" t="n"/>
      <c r="F27" s="49" t="n"/>
      <c r="G27" s="50" t="n"/>
      <c r="H27" s="50" t="n"/>
      <c r="I27" s="36" t="n"/>
      <c r="J27" s="49" t="n"/>
      <c r="K27" s="50" t="n"/>
      <c r="L27" s="50" t="n"/>
      <c r="M27" s="36" t="n"/>
      <c r="N27" s="20" t="n"/>
      <c r="O27" s="20" t="n"/>
    </row>
    <row r="28" ht="16" customHeight="1">
      <c r="A28" s="20" t="n"/>
      <c r="B28" s="49" t="n"/>
      <c r="C28" s="50" t="n"/>
      <c r="D28" s="50" t="n"/>
      <c r="E28" s="36" t="n"/>
      <c r="F28" s="49" t="n"/>
      <c r="G28" s="50" t="n"/>
      <c r="H28" s="50" t="n"/>
      <c r="I28" s="36" t="n"/>
      <c r="J28" s="49" t="n"/>
      <c r="K28" s="50" t="n"/>
      <c r="L28" s="50" t="n"/>
      <c r="M28" s="36" t="n"/>
      <c r="N28" s="20" t="n"/>
      <c r="O28" s="20" t="n"/>
    </row>
    <row r="29" ht="16" customHeight="1">
      <c r="A29" s="20" t="n"/>
      <c r="B29" s="49" t="n"/>
      <c r="C29" s="50" t="n"/>
      <c r="D29" s="50" t="n"/>
      <c r="E29" s="36" t="n"/>
      <c r="F29" s="49" t="n"/>
      <c r="G29" s="50" t="n"/>
      <c r="H29" s="50" t="n"/>
      <c r="I29" s="36" t="n"/>
      <c r="J29" s="49" t="n"/>
      <c r="K29" s="50" t="n"/>
      <c r="L29" s="50" t="n"/>
      <c r="M29" s="36" t="n"/>
      <c r="N29" s="20" t="n"/>
      <c r="O29" s="20" t="n"/>
    </row>
    <row r="30" ht="16" customHeight="1">
      <c r="A30" s="20" t="n"/>
      <c r="B30" s="49" t="n"/>
      <c r="C30" s="50" t="n"/>
      <c r="D30" s="50" t="n"/>
      <c r="E30" s="36" t="n"/>
      <c r="F30" s="49" t="n"/>
      <c r="G30" s="50" t="n"/>
      <c r="H30" s="50" t="n"/>
      <c r="I30" s="36" t="n"/>
      <c r="J30" s="49" t="n"/>
      <c r="K30" s="50" t="n"/>
      <c r="L30" s="50" t="n"/>
      <c r="M30" s="36" t="n"/>
      <c r="N30" s="20" t="n"/>
      <c r="O30" s="20" t="n"/>
    </row>
    <row r="31" ht="16" customHeight="1">
      <c r="A31" s="20" t="n"/>
      <c r="B31" s="51" t="n"/>
      <c r="C31" s="25" t="n"/>
      <c r="D31" s="25" t="n"/>
      <c r="E31" s="26" t="n"/>
      <c r="F31" s="51" t="n"/>
      <c r="G31" s="25" t="n"/>
      <c r="H31" s="25" t="n"/>
      <c r="I31" s="26" t="n"/>
      <c r="J31" s="51" t="n"/>
      <c r="K31" s="25" t="n"/>
      <c r="L31" s="25" t="n"/>
      <c r="M31" s="26" t="n"/>
      <c r="N31" s="20" t="n"/>
      <c r="O31" s="20" t="n"/>
    </row>
    <row r="32" ht="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</row>
    <row r="33" ht="20" customHeight="1">
      <c r="A33" s="20" t="n"/>
      <c r="B33" s="47" t="inlineStr">
        <is>
          <t xml:space="preserve">  Portefeuille — marque &amp; campus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48" t="inlineStr">
        <is>
          <t xml:space="preserve">exercice 2026 · variation vs 2025  </t>
        </is>
      </c>
      <c r="N33" s="20" t="n"/>
      <c r="O33" s="20" t="n"/>
    </row>
    <row r="34" ht="18" customHeight="1">
      <c r="A34" s="20" t="n"/>
      <c r="B34" s="52" t="inlineStr">
        <is>
          <t>Marque / campus</t>
        </is>
      </c>
      <c r="C34" s="53" t="inlineStr">
        <is>
          <t>CA 2026</t>
        </is>
      </c>
      <c r="D34" s="53" t="inlineStr">
        <is>
          <t>Δ CA</t>
        </is>
      </c>
      <c r="E34" s="53" t="inlineStr">
        <is>
          <t>EBITDA</t>
        </is>
      </c>
      <c r="F34" s="53" t="inlineStr">
        <is>
          <t>Δ EBITDA</t>
        </is>
      </c>
      <c r="G34" s="53" t="inlineStr">
        <is>
          <t>Part EBITDA</t>
        </is>
      </c>
      <c r="H34" s="53" t="inlineStr">
        <is>
          <t>Marge EBITDA</t>
        </is>
      </c>
      <c r="I34" s="53" t="inlineStr">
        <is>
          <t>Δ marge</t>
        </is>
      </c>
      <c r="J34" s="53" t="inlineStr">
        <is>
          <t>Inscrits</t>
        </is>
      </c>
      <c r="K34" s="53" t="inlineStr">
        <is>
          <t>Rempl.</t>
        </is>
      </c>
      <c r="L34" s="53" t="inlineStr">
        <is>
          <t>Mix alt.</t>
        </is>
      </c>
      <c r="M34" s="53" t="inlineStr">
        <is>
          <t>Alerte</t>
        </is>
      </c>
      <c r="N34" s="20" t="n"/>
      <c r="O34" s="20" t="n"/>
    </row>
    <row r="35" ht="17" customHeight="1">
      <c r="A35" s="20" t="n"/>
      <c r="B35" s="54" t="inlineStr">
        <is>
          <t>GROUPE</t>
        </is>
      </c>
      <c r="C35" s="55">
        <f>SUM(Données!$E$15:$E$28)</f>
        <v/>
      </c>
      <c r="D35" s="56">
        <f>C35/SUM(Données!$D$15:$D$28)-1</f>
        <v/>
      </c>
      <c r="E35" s="55">
        <f>SUM(Données!$H$15:$H$28)</f>
        <v/>
      </c>
      <c r="F35" s="56">
        <f>E35/SUM(Données!$G$15:$G$28)-1</f>
        <v/>
      </c>
      <c r="G35" s="57">
        <f>E35/$E$35</f>
        <v/>
      </c>
      <c r="H35" s="57">
        <f>E35/C35</f>
        <v/>
      </c>
      <c r="I35" s="58">
        <f>(H35-SUM(Données!$G$15:$G$28)/SUM(Données!$D$15:$D$28))*100</f>
        <v/>
      </c>
      <c r="J35" s="55">
        <f>SUM(Données!$I$15:$I$28)</f>
        <v/>
      </c>
      <c r="K35" s="59">
        <f>SUM(Données!$J$15:$J$28)/SUM(Données!$K$15:$K$28)</f>
        <v/>
      </c>
      <c r="L35" s="59">
        <f>SUMPRODUCT(Données!$J$15:$J$28,Données!$L$15:$L$28)/SUM(Données!$J$15:$J$28)</f>
        <v/>
      </c>
      <c r="M35" s="60">
        <f>IF(H35&lt;0.08,"FRAGILE","")</f>
        <v/>
      </c>
      <c r="N35" s="20" t="n"/>
      <c r="O35" s="20" t="n"/>
    </row>
    <row r="36" outlineLevel="1" ht="17" customHeight="1">
      <c r="A36" s="20" t="n"/>
      <c r="B36" s="61" t="inlineStr">
        <is>
          <t>MBway</t>
        </is>
      </c>
      <c r="C36" s="62">
        <f>SUMIF(Données!$B$15:$B$28,$B36,Données!$E$15:$E$28)</f>
        <v/>
      </c>
      <c r="D36" s="63">
        <f>C36/SUMIF(Données!$B$15:$B$28,$B36,Données!$D$15:$D$28)-1</f>
        <v/>
      </c>
      <c r="E36" s="62">
        <f>SUMIF(Données!$B$15:$B$28,$B36,Données!$H$15:$H$28)</f>
        <v/>
      </c>
      <c r="F36" s="63">
        <f>E36/SUMIF(Données!$B$15:$B$28,$B36,Données!$G$15:$G$28)-1</f>
        <v/>
      </c>
      <c r="G36" s="64">
        <f>E36/$E$35</f>
        <v/>
      </c>
      <c r="H36" s="64">
        <f>E36/C36</f>
        <v/>
      </c>
      <c r="I36" s="65">
        <f>(H36-SUMIF(Données!$B$15:$B$28,$B36,Données!$G$15:$G$28)/SUMIF(Données!$B$15:$B$28,$B36,Données!$D$15:$D$28))*100</f>
        <v/>
      </c>
      <c r="J36" s="62">
        <f>SUMIF(Données!$B$15:$B$28,$B36,Données!$I$15:$I$28)</f>
        <v/>
      </c>
      <c r="K36" s="66">
        <f>SUMIF(Données!$B$15:$B$28,$B36,Données!$J$15:$J$28)/SUMIF(Données!$B$15:$B$28,$B36,Données!$K$15:$K$28)</f>
        <v/>
      </c>
      <c r="L36" s="66">
        <f>SUMPRODUCT((Données!$B$15:$B$28=$B36)*Données!$J$15:$J$28*Données!$L$15:$L$28)/SUMIF(Données!$B$15:$B$28,$B36,Données!$J$15:$J$28)</f>
        <v/>
      </c>
      <c r="M36" s="67">
        <f>IF(H36&lt;0.08,"FRAGILE","")</f>
        <v/>
      </c>
      <c r="N36" s="20" t="n"/>
      <c r="O36" s="20" t="n"/>
    </row>
    <row r="37" outlineLevel="2" ht="17" customHeight="1">
      <c r="A37" s="20" t="n"/>
      <c r="B37" s="68" t="inlineStr">
        <is>
          <t>MBWAY_BOR</t>
        </is>
      </c>
      <c r="C37" s="69">
        <f>VLOOKUP($B37,Données!$A$15:$L$28,5,0)</f>
        <v/>
      </c>
      <c r="D37" s="70">
        <f>C37/VLOOKUP($B37,Données!$A$15:$L$28,4,0)-1</f>
        <v/>
      </c>
      <c r="E37" s="69">
        <f>VLOOKUP($B37,Données!$A$15:$L$28,8,0)</f>
        <v/>
      </c>
      <c r="F37" s="70">
        <f>IF(VLOOKUP($B37,Données!$A$15:$L$28,7,0)&lt;=0,"n/s",E37/VLOOKUP($B37,Données!$A$15:$L$28,7,0)-1)</f>
        <v/>
      </c>
      <c r="G37" s="71">
        <f>E37/$E$35</f>
        <v/>
      </c>
      <c r="H37" s="71">
        <f>E37/C37</f>
        <v/>
      </c>
      <c r="I37" s="72">
        <f>(H37-VLOOKUP($B37,Données!$A$15:$L$28,7,0)/VLOOKUP($B37,Données!$A$15:$L$28,4,0))*100</f>
        <v/>
      </c>
      <c r="J37" s="69">
        <f>VLOOKUP($B37,Données!$A$15:$L$28,9,0)</f>
        <v/>
      </c>
      <c r="K37" s="73">
        <f>VLOOKUP($B37,Données!$A$15:$L$28,10,0)/VLOOKUP($B37,Données!$A$15:$L$28,11,0)</f>
        <v/>
      </c>
      <c r="L37" s="73">
        <f>VLOOKUP($B37,Données!$A$15:$L$28,12,0)</f>
        <v/>
      </c>
      <c r="M37" s="67">
        <f>IF(H37&lt;0.08,"FRAGILE","")</f>
        <v/>
      </c>
      <c r="N37" s="20" t="n"/>
      <c r="O37" s="20" t="n"/>
    </row>
    <row r="38" outlineLevel="2" ht="17" customHeight="1">
      <c r="A38" s="20" t="n"/>
      <c r="B38" s="68" t="inlineStr">
        <is>
          <t>MBWAY_LYO</t>
        </is>
      </c>
      <c r="C38" s="69">
        <f>VLOOKUP($B38,Données!$A$15:$L$28,5,0)</f>
        <v/>
      </c>
      <c r="D38" s="70">
        <f>C38/VLOOKUP($B38,Données!$A$15:$L$28,4,0)-1</f>
        <v/>
      </c>
      <c r="E38" s="69">
        <f>VLOOKUP($B38,Données!$A$15:$L$28,8,0)</f>
        <v/>
      </c>
      <c r="F38" s="70">
        <f>IF(VLOOKUP($B38,Données!$A$15:$L$28,7,0)&lt;=0,"n/s",E38/VLOOKUP($B38,Données!$A$15:$L$28,7,0)-1)</f>
        <v/>
      </c>
      <c r="G38" s="71">
        <f>E38/$E$35</f>
        <v/>
      </c>
      <c r="H38" s="71">
        <f>E38/C38</f>
        <v/>
      </c>
      <c r="I38" s="72">
        <f>(H38-VLOOKUP($B38,Données!$A$15:$L$28,7,0)/VLOOKUP($B38,Données!$A$15:$L$28,4,0))*100</f>
        <v/>
      </c>
      <c r="J38" s="69">
        <f>VLOOKUP($B38,Données!$A$15:$L$28,9,0)</f>
        <v/>
      </c>
      <c r="K38" s="73">
        <f>VLOOKUP($B38,Données!$A$15:$L$28,10,0)/VLOOKUP($B38,Données!$A$15:$L$28,11,0)</f>
        <v/>
      </c>
      <c r="L38" s="73">
        <f>VLOOKUP($B38,Données!$A$15:$L$28,12,0)</f>
        <v/>
      </c>
      <c r="M38" s="67">
        <f>IF(H38&lt;0.08,"FRAGILE","")</f>
        <v/>
      </c>
      <c r="N38" s="20" t="n"/>
      <c r="O38" s="20" t="n"/>
    </row>
    <row r="39" outlineLevel="2" ht="17" customHeight="1">
      <c r="A39" s="20" t="n"/>
      <c r="B39" s="68" t="inlineStr">
        <is>
          <t>MBWAY_NAN</t>
        </is>
      </c>
      <c r="C39" s="69">
        <f>VLOOKUP($B39,Données!$A$15:$L$28,5,0)</f>
        <v/>
      </c>
      <c r="D39" s="70">
        <f>C39/VLOOKUP($B39,Données!$A$15:$L$28,4,0)-1</f>
        <v/>
      </c>
      <c r="E39" s="69">
        <f>VLOOKUP($B39,Données!$A$15:$L$28,8,0)</f>
        <v/>
      </c>
      <c r="F39" s="70">
        <f>IF(VLOOKUP($B39,Données!$A$15:$L$28,7,0)&lt;=0,"n/s",E39/VLOOKUP($B39,Données!$A$15:$L$28,7,0)-1)</f>
        <v/>
      </c>
      <c r="G39" s="71">
        <f>E39/$E$35</f>
        <v/>
      </c>
      <c r="H39" s="71">
        <f>E39/C39</f>
        <v/>
      </c>
      <c r="I39" s="72">
        <f>(H39-VLOOKUP($B39,Données!$A$15:$L$28,7,0)/VLOOKUP($B39,Données!$A$15:$L$28,4,0))*100</f>
        <v/>
      </c>
      <c r="J39" s="69">
        <f>VLOOKUP($B39,Données!$A$15:$L$28,9,0)</f>
        <v/>
      </c>
      <c r="K39" s="73">
        <f>VLOOKUP($B39,Données!$A$15:$L$28,10,0)/VLOOKUP($B39,Données!$A$15:$L$28,11,0)</f>
        <v/>
      </c>
      <c r="L39" s="73">
        <f>VLOOKUP($B39,Données!$A$15:$L$28,12,0)</f>
        <v/>
      </c>
      <c r="M39" s="67">
        <f>IF(H39&lt;0.08,"FRAGILE","")</f>
        <v/>
      </c>
      <c r="N39" s="20" t="n"/>
      <c r="O39" s="20" t="n"/>
    </row>
    <row r="40" outlineLevel="2" ht="17" customHeight="1">
      <c r="A40" s="20" t="n"/>
      <c r="B40" s="68" t="inlineStr">
        <is>
          <t>MBWAY_PAR</t>
        </is>
      </c>
      <c r="C40" s="69">
        <f>VLOOKUP($B40,Données!$A$15:$L$28,5,0)</f>
        <v/>
      </c>
      <c r="D40" s="70">
        <f>C40/VLOOKUP($B40,Données!$A$15:$L$28,4,0)-1</f>
        <v/>
      </c>
      <c r="E40" s="69">
        <f>VLOOKUP($B40,Données!$A$15:$L$28,8,0)</f>
        <v/>
      </c>
      <c r="F40" s="70">
        <f>IF(VLOOKUP($B40,Données!$A$15:$L$28,7,0)&lt;=0,"n/s",E40/VLOOKUP($B40,Données!$A$15:$L$28,7,0)-1)</f>
        <v/>
      </c>
      <c r="G40" s="71">
        <f>E40/$E$35</f>
        <v/>
      </c>
      <c r="H40" s="71">
        <f>E40/C40</f>
        <v/>
      </c>
      <c r="I40" s="72">
        <f>(H40-VLOOKUP($B40,Données!$A$15:$L$28,7,0)/VLOOKUP($B40,Données!$A$15:$L$28,4,0))*100</f>
        <v/>
      </c>
      <c r="J40" s="69">
        <f>VLOOKUP($B40,Données!$A$15:$L$28,9,0)</f>
        <v/>
      </c>
      <c r="K40" s="73">
        <f>VLOOKUP($B40,Données!$A$15:$L$28,10,0)/VLOOKUP($B40,Données!$A$15:$L$28,11,0)</f>
        <v/>
      </c>
      <c r="L40" s="73">
        <f>VLOOKUP($B40,Données!$A$15:$L$28,12,0)</f>
        <v/>
      </c>
      <c r="M40" s="67">
        <f>IF(H40&lt;0.08,"FRAGILE","")</f>
        <v/>
      </c>
      <c r="N40" s="20" t="n"/>
      <c r="O40" s="20" t="n"/>
    </row>
    <row r="41" outlineLevel="1" ht="17" customHeight="1">
      <c r="A41" s="20" t="n"/>
      <c r="B41" s="61" t="inlineStr">
        <is>
          <t>ISCOM</t>
        </is>
      </c>
      <c r="C41" s="62">
        <f>SUMIF(Données!$B$15:$B$28,$B41,Données!$E$15:$E$28)</f>
        <v/>
      </c>
      <c r="D41" s="63">
        <f>C41/SUMIF(Données!$B$15:$B$28,$B41,Données!$D$15:$D$28)-1</f>
        <v/>
      </c>
      <c r="E41" s="62">
        <f>SUMIF(Données!$B$15:$B$28,$B41,Données!$H$15:$H$28)</f>
        <v/>
      </c>
      <c r="F41" s="63">
        <f>E41/SUMIF(Données!$B$15:$B$28,$B41,Données!$G$15:$G$28)-1</f>
        <v/>
      </c>
      <c r="G41" s="64">
        <f>E41/$E$35</f>
        <v/>
      </c>
      <c r="H41" s="64">
        <f>E41/C41</f>
        <v/>
      </c>
      <c r="I41" s="65">
        <f>(H41-SUMIF(Données!$B$15:$B$28,$B41,Données!$G$15:$G$28)/SUMIF(Données!$B$15:$B$28,$B41,Données!$D$15:$D$28))*100</f>
        <v/>
      </c>
      <c r="J41" s="62">
        <f>SUMIF(Données!$B$15:$B$28,$B41,Données!$I$15:$I$28)</f>
        <v/>
      </c>
      <c r="K41" s="66">
        <f>SUMIF(Données!$B$15:$B$28,$B41,Données!$J$15:$J$28)/SUMIF(Données!$B$15:$B$28,$B41,Données!$K$15:$K$28)</f>
        <v/>
      </c>
      <c r="L41" s="66">
        <f>SUMPRODUCT((Données!$B$15:$B$28=$B41)*Données!$J$15:$J$28*Données!$L$15:$L$28)/SUMIF(Données!$B$15:$B$28,$B41,Données!$J$15:$J$28)</f>
        <v/>
      </c>
      <c r="M41" s="67">
        <f>IF(H41&lt;0.08,"FRAGILE","")</f>
        <v/>
      </c>
      <c r="N41" s="20" t="n"/>
      <c r="O41" s="20" t="n"/>
    </row>
    <row r="42" outlineLevel="2" ht="17" customHeight="1">
      <c r="A42" s="20" t="n"/>
      <c r="B42" s="68" t="inlineStr">
        <is>
          <t>ISCOM_LIL</t>
        </is>
      </c>
      <c r="C42" s="69">
        <f>VLOOKUP($B42,Données!$A$15:$L$28,5,0)</f>
        <v/>
      </c>
      <c r="D42" s="70">
        <f>C42/VLOOKUP($B42,Données!$A$15:$L$28,4,0)-1</f>
        <v/>
      </c>
      <c r="E42" s="69">
        <f>VLOOKUP($B42,Données!$A$15:$L$28,8,0)</f>
        <v/>
      </c>
      <c r="F42" s="70">
        <f>IF(VLOOKUP($B42,Données!$A$15:$L$28,7,0)&lt;=0,"n/s",E42/VLOOKUP($B42,Données!$A$15:$L$28,7,0)-1)</f>
        <v/>
      </c>
      <c r="G42" s="71">
        <f>E42/$E$35</f>
        <v/>
      </c>
      <c r="H42" s="71">
        <f>E42/C42</f>
        <v/>
      </c>
      <c r="I42" s="72">
        <f>(H42-VLOOKUP($B42,Données!$A$15:$L$28,7,0)/VLOOKUP($B42,Données!$A$15:$L$28,4,0))*100</f>
        <v/>
      </c>
      <c r="J42" s="69">
        <f>VLOOKUP($B42,Données!$A$15:$L$28,9,0)</f>
        <v/>
      </c>
      <c r="K42" s="73">
        <f>VLOOKUP($B42,Données!$A$15:$L$28,10,0)/VLOOKUP($B42,Données!$A$15:$L$28,11,0)</f>
        <v/>
      </c>
      <c r="L42" s="73">
        <f>VLOOKUP($B42,Données!$A$15:$L$28,12,0)</f>
        <v/>
      </c>
      <c r="M42" s="67">
        <f>IF(H42&lt;0.08,"FRAGILE","")</f>
        <v/>
      </c>
      <c r="N42" s="20" t="n"/>
      <c r="O42" s="20" t="n"/>
    </row>
    <row r="43" outlineLevel="2" ht="17" customHeight="1">
      <c r="A43" s="20" t="n"/>
      <c r="B43" s="68" t="inlineStr">
        <is>
          <t>ISCOM_PAR</t>
        </is>
      </c>
      <c r="C43" s="69">
        <f>VLOOKUP($B43,Données!$A$15:$L$28,5,0)</f>
        <v/>
      </c>
      <c r="D43" s="70">
        <f>C43/VLOOKUP($B43,Données!$A$15:$L$28,4,0)-1</f>
        <v/>
      </c>
      <c r="E43" s="69">
        <f>VLOOKUP($B43,Données!$A$15:$L$28,8,0)</f>
        <v/>
      </c>
      <c r="F43" s="70">
        <f>IF(VLOOKUP($B43,Données!$A$15:$L$28,7,0)&lt;=0,"n/s",E43/VLOOKUP($B43,Données!$A$15:$L$28,7,0)-1)</f>
        <v/>
      </c>
      <c r="G43" s="71">
        <f>E43/$E$35</f>
        <v/>
      </c>
      <c r="H43" s="71">
        <f>E43/C43</f>
        <v/>
      </c>
      <c r="I43" s="72">
        <f>(H43-VLOOKUP($B43,Données!$A$15:$L$28,7,0)/VLOOKUP($B43,Données!$A$15:$L$28,4,0))*100</f>
        <v/>
      </c>
      <c r="J43" s="69">
        <f>VLOOKUP($B43,Données!$A$15:$L$28,9,0)</f>
        <v/>
      </c>
      <c r="K43" s="73">
        <f>VLOOKUP($B43,Données!$A$15:$L$28,10,0)/VLOOKUP($B43,Données!$A$15:$L$28,11,0)</f>
        <v/>
      </c>
      <c r="L43" s="73">
        <f>VLOOKUP($B43,Données!$A$15:$L$28,12,0)</f>
        <v/>
      </c>
      <c r="M43" s="67">
        <f>IF(H43&lt;0.08,"FRAGILE","")</f>
        <v/>
      </c>
      <c r="N43" s="20" t="n"/>
      <c r="O43" s="20" t="n"/>
    </row>
    <row r="44" outlineLevel="2" ht="17" customHeight="1">
      <c r="A44" s="20" t="n"/>
      <c r="B44" s="68" t="inlineStr">
        <is>
          <t>ISCOM_TLS</t>
        </is>
      </c>
      <c r="C44" s="69">
        <f>VLOOKUP($B44,Données!$A$15:$L$28,5,0)</f>
        <v/>
      </c>
      <c r="D44" s="70">
        <f>C44/VLOOKUP($B44,Données!$A$15:$L$28,4,0)-1</f>
        <v/>
      </c>
      <c r="E44" s="69">
        <f>VLOOKUP($B44,Données!$A$15:$L$28,8,0)</f>
        <v/>
      </c>
      <c r="F44" s="70">
        <f>IF(VLOOKUP($B44,Données!$A$15:$L$28,7,0)&lt;=0,"n/s",E44/VLOOKUP($B44,Données!$A$15:$L$28,7,0)-1)</f>
        <v/>
      </c>
      <c r="G44" s="71">
        <f>E44/$E$35</f>
        <v/>
      </c>
      <c r="H44" s="71">
        <f>E44/C44</f>
        <v/>
      </c>
      <c r="I44" s="72">
        <f>(H44-VLOOKUP($B44,Données!$A$15:$L$28,7,0)/VLOOKUP($B44,Données!$A$15:$L$28,4,0))*100</f>
        <v/>
      </c>
      <c r="J44" s="69">
        <f>VLOOKUP($B44,Données!$A$15:$L$28,9,0)</f>
        <v/>
      </c>
      <c r="K44" s="73">
        <f>VLOOKUP($B44,Données!$A$15:$L$28,10,0)/VLOOKUP($B44,Données!$A$15:$L$28,11,0)</f>
        <v/>
      </c>
      <c r="L44" s="73">
        <f>VLOOKUP($B44,Données!$A$15:$L$28,12,0)</f>
        <v/>
      </c>
      <c r="M44" s="67">
        <f>IF(H44&lt;0.08,"FRAGILE","")</f>
        <v/>
      </c>
      <c r="N44" s="20" t="n"/>
      <c r="O44" s="20" t="n"/>
    </row>
    <row r="45" outlineLevel="1" ht="17" customHeight="1">
      <c r="A45" s="20" t="n"/>
      <c r="B45" s="61" t="inlineStr">
        <is>
          <t>Ipac</t>
        </is>
      </c>
      <c r="C45" s="62">
        <f>SUMIF(Données!$B$15:$B$28,$B45,Données!$E$15:$E$28)</f>
        <v/>
      </c>
      <c r="D45" s="63">
        <f>C45/SUMIF(Données!$B$15:$B$28,$B45,Données!$D$15:$D$28)-1</f>
        <v/>
      </c>
      <c r="E45" s="62">
        <f>SUMIF(Données!$B$15:$B$28,$B45,Données!$H$15:$H$28)</f>
        <v/>
      </c>
      <c r="F45" s="63">
        <f>E45/SUMIF(Données!$B$15:$B$28,$B45,Données!$G$15:$G$28)-1</f>
        <v/>
      </c>
      <c r="G45" s="64">
        <f>E45/$E$35</f>
        <v/>
      </c>
      <c r="H45" s="64">
        <f>E45/C45</f>
        <v/>
      </c>
      <c r="I45" s="65">
        <f>(H45-SUMIF(Données!$B$15:$B$28,$B45,Données!$G$15:$G$28)/SUMIF(Données!$B$15:$B$28,$B45,Données!$D$15:$D$28))*100</f>
        <v/>
      </c>
      <c r="J45" s="62">
        <f>SUMIF(Données!$B$15:$B$28,$B45,Données!$I$15:$I$28)</f>
        <v/>
      </c>
      <c r="K45" s="66">
        <f>SUMIF(Données!$B$15:$B$28,$B45,Données!$J$15:$J$28)/SUMIF(Données!$B$15:$B$28,$B45,Données!$K$15:$K$28)</f>
        <v/>
      </c>
      <c r="L45" s="66">
        <f>SUMPRODUCT((Données!$B$15:$B$28=$B45)*Données!$J$15:$J$28*Données!$L$15:$L$28)/SUMIF(Données!$B$15:$B$28,$B45,Données!$J$15:$J$28)</f>
        <v/>
      </c>
      <c r="M45" s="67">
        <f>IF(H45&lt;0.08,"FRAGILE","")</f>
        <v/>
      </c>
      <c r="N45" s="20" t="n"/>
      <c r="O45" s="20" t="n"/>
    </row>
    <row r="46" outlineLevel="2" ht="17" customHeight="1">
      <c r="A46" s="20" t="n"/>
      <c r="B46" s="68" t="inlineStr">
        <is>
          <t>IPAC_MTP</t>
        </is>
      </c>
      <c r="C46" s="69">
        <f>VLOOKUP($B46,Données!$A$15:$L$28,5,0)</f>
        <v/>
      </c>
      <c r="D46" s="70">
        <f>C46/VLOOKUP($B46,Données!$A$15:$L$28,4,0)-1</f>
        <v/>
      </c>
      <c r="E46" s="69">
        <f>VLOOKUP($B46,Données!$A$15:$L$28,8,0)</f>
        <v/>
      </c>
      <c r="F46" s="70">
        <f>IF(VLOOKUP($B46,Données!$A$15:$L$28,7,0)&lt;=0,"n/s",E46/VLOOKUP($B46,Données!$A$15:$L$28,7,0)-1)</f>
        <v/>
      </c>
      <c r="G46" s="71">
        <f>E46/$E$35</f>
        <v/>
      </c>
      <c r="H46" s="71">
        <f>E46/C46</f>
        <v/>
      </c>
      <c r="I46" s="72">
        <f>(H46-VLOOKUP($B46,Données!$A$15:$L$28,7,0)/VLOOKUP($B46,Données!$A$15:$L$28,4,0))*100</f>
        <v/>
      </c>
      <c r="J46" s="69">
        <f>VLOOKUP($B46,Données!$A$15:$L$28,9,0)</f>
        <v/>
      </c>
      <c r="K46" s="73">
        <f>VLOOKUP($B46,Données!$A$15:$L$28,10,0)/VLOOKUP($B46,Données!$A$15:$L$28,11,0)</f>
        <v/>
      </c>
      <c r="L46" s="73">
        <f>VLOOKUP($B46,Données!$A$15:$L$28,12,0)</f>
        <v/>
      </c>
      <c r="M46" s="67">
        <f>IF(H46&lt;0.08,"FRAGILE","")</f>
        <v/>
      </c>
      <c r="N46" s="20" t="n"/>
      <c r="O46" s="20" t="n"/>
    </row>
    <row r="47" outlineLevel="2" ht="17" customHeight="1">
      <c r="A47" s="20" t="n"/>
      <c r="B47" s="68" t="inlineStr">
        <is>
          <t>IPAC_NAN</t>
        </is>
      </c>
      <c r="C47" s="69">
        <f>VLOOKUP($B47,Données!$A$15:$L$28,5,0)</f>
        <v/>
      </c>
      <c r="D47" s="70">
        <f>C47/VLOOKUP($B47,Données!$A$15:$L$28,4,0)-1</f>
        <v/>
      </c>
      <c r="E47" s="69">
        <f>VLOOKUP($B47,Données!$A$15:$L$28,8,0)</f>
        <v/>
      </c>
      <c r="F47" s="70">
        <f>IF(VLOOKUP($B47,Données!$A$15:$L$28,7,0)&lt;=0,"n/s",E47/VLOOKUP($B47,Données!$A$15:$L$28,7,0)-1)</f>
        <v/>
      </c>
      <c r="G47" s="71">
        <f>E47/$E$35</f>
        <v/>
      </c>
      <c r="H47" s="71">
        <f>E47/C47</f>
        <v/>
      </c>
      <c r="I47" s="72">
        <f>(H47-VLOOKUP($B47,Données!$A$15:$L$28,7,0)/VLOOKUP($B47,Données!$A$15:$L$28,4,0))*100</f>
        <v/>
      </c>
      <c r="J47" s="69">
        <f>VLOOKUP($B47,Données!$A$15:$L$28,9,0)</f>
        <v/>
      </c>
      <c r="K47" s="73">
        <f>VLOOKUP($B47,Données!$A$15:$L$28,10,0)/VLOOKUP($B47,Données!$A$15:$L$28,11,0)</f>
        <v/>
      </c>
      <c r="L47" s="73">
        <f>VLOOKUP($B47,Données!$A$15:$L$28,12,0)</f>
        <v/>
      </c>
      <c r="M47" s="67">
        <f>IF(H47&lt;0.08,"FRAGILE","")</f>
        <v/>
      </c>
      <c r="N47" s="20" t="n"/>
      <c r="O47" s="20" t="n"/>
    </row>
    <row r="48" outlineLevel="2" ht="17" customHeight="1">
      <c r="A48" s="20" t="n"/>
      <c r="B48" s="68" t="inlineStr">
        <is>
          <t>IPAC_REN</t>
        </is>
      </c>
      <c r="C48" s="69">
        <f>VLOOKUP($B48,Données!$A$15:$L$28,5,0)</f>
        <v/>
      </c>
      <c r="D48" s="70">
        <f>C48/VLOOKUP($B48,Données!$A$15:$L$28,4,0)-1</f>
        <v/>
      </c>
      <c r="E48" s="69">
        <f>VLOOKUP($B48,Données!$A$15:$L$28,8,0)</f>
        <v/>
      </c>
      <c r="F48" s="70">
        <f>IF(VLOOKUP($B48,Données!$A$15:$L$28,7,0)&lt;=0,"n/s",E48/VLOOKUP($B48,Données!$A$15:$L$28,7,0)-1)</f>
        <v/>
      </c>
      <c r="G48" s="71">
        <f>E48/$E$35</f>
        <v/>
      </c>
      <c r="H48" s="71">
        <f>E48/C48</f>
        <v/>
      </c>
      <c r="I48" s="72">
        <f>(H48-VLOOKUP($B48,Données!$A$15:$L$28,7,0)/VLOOKUP($B48,Données!$A$15:$L$28,4,0))*100</f>
        <v/>
      </c>
      <c r="J48" s="69">
        <f>VLOOKUP($B48,Données!$A$15:$L$28,9,0)</f>
        <v/>
      </c>
      <c r="K48" s="73">
        <f>VLOOKUP($B48,Données!$A$15:$L$28,10,0)/VLOOKUP($B48,Données!$A$15:$L$28,11,0)</f>
        <v/>
      </c>
      <c r="L48" s="73">
        <f>VLOOKUP($B48,Données!$A$15:$L$28,12,0)</f>
        <v/>
      </c>
      <c r="M48" s="67">
        <f>IF(H48&lt;0.08,"FRAGILE","")</f>
        <v/>
      </c>
      <c r="N48" s="20" t="n"/>
      <c r="O48" s="20" t="n"/>
    </row>
    <row r="49" outlineLevel="1" ht="17" customHeight="1">
      <c r="A49" s="20" t="n"/>
      <c r="B49" s="61" t="inlineStr">
        <is>
          <t>Pigier</t>
        </is>
      </c>
      <c r="C49" s="62">
        <f>SUMIF(Données!$B$15:$B$28,$B49,Données!$E$15:$E$28)</f>
        <v/>
      </c>
      <c r="D49" s="63">
        <f>C49/SUMIF(Données!$B$15:$B$28,$B49,Données!$D$15:$D$28)-1</f>
        <v/>
      </c>
      <c r="E49" s="62">
        <f>SUMIF(Données!$B$15:$B$28,$B49,Données!$H$15:$H$28)</f>
        <v/>
      </c>
      <c r="F49" s="63">
        <f>E49/SUMIF(Données!$B$15:$B$28,$B49,Données!$G$15:$G$28)-1</f>
        <v/>
      </c>
      <c r="G49" s="64">
        <f>E49/$E$35</f>
        <v/>
      </c>
      <c r="H49" s="64">
        <f>E49/C49</f>
        <v/>
      </c>
      <c r="I49" s="65">
        <f>(H49-SUMIF(Données!$B$15:$B$28,$B49,Données!$G$15:$G$28)/SUMIF(Données!$B$15:$B$28,$B49,Données!$D$15:$D$28))*100</f>
        <v/>
      </c>
      <c r="J49" s="62">
        <f>SUMIF(Données!$B$15:$B$28,$B49,Données!$I$15:$I$28)</f>
        <v/>
      </c>
      <c r="K49" s="66">
        <f>SUMIF(Données!$B$15:$B$28,$B49,Données!$J$15:$J$28)/SUMIF(Données!$B$15:$B$28,$B49,Données!$K$15:$K$28)</f>
        <v/>
      </c>
      <c r="L49" s="66">
        <f>SUMPRODUCT((Données!$B$15:$B$28=$B49)*Données!$J$15:$J$28*Données!$L$15:$L$28)/SUMIF(Données!$B$15:$B$28,$B49,Données!$J$15:$J$28)</f>
        <v/>
      </c>
      <c r="M49" s="67">
        <f>IF(H49&lt;0.08,"FRAGILE","")</f>
        <v/>
      </c>
      <c r="N49" s="20" t="n"/>
      <c r="O49" s="20" t="n"/>
    </row>
    <row r="50" outlineLevel="2" ht="17" customHeight="1">
      <c r="A50" s="20" t="n"/>
      <c r="B50" s="68" t="inlineStr">
        <is>
          <t>PIGIER_BOR</t>
        </is>
      </c>
      <c r="C50" s="69">
        <f>VLOOKUP($B50,Données!$A$15:$L$28,5,0)</f>
        <v/>
      </c>
      <c r="D50" s="70">
        <f>C50/VLOOKUP($B50,Données!$A$15:$L$28,4,0)-1</f>
        <v/>
      </c>
      <c r="E50" s="69">
        <f>VLOOKUP($B50,Données!$A$15:$L$28,8,0)</f>
        <v/>
      </c>
      <c r="F50" s="70">
        <f>IF(VLOOKUP($B50,Données!$A$15:$L$28,7,0)&lt;=0,"n/s",E50/VLOOKUP($B50,Données!$A$15:$L$28,7,0)-1)</f>
        <v/>
      </c>
      <c r="G50" s="71">
        <f>E50/$E$35</f>
        <v/>
      </c>
      <c r="H50" s="71">
        <f>E50/C50</f>
        <v/>
      </c>
      <c r="I50" s="72">
        <f>(H50-VLOOKUP($B50,Données!$A$15:$L$28,7,0)/VLOOKUP($B50,Données!$A$15:$L$28,4,0))*100</f>
        <v/>
      </c>
      <c r="J50" s="69">
        <f>VLOOKUP($B50,Données!$A$15:$L$28,9,0)</f>
        <v/>
      </c>
      <c r="K50" s="73">
        <f>VLOOKUP($B50,Données!$A$15:$L$28,10,0)/VLOOKUP($B50,Données!$A$15:$L$28,11,0)</f>
        <v/>
      </c>
      <c r="L50" s="73">
        <f>VLOOKUP($B50,Données!$A$15:$L$28,12,0)</f>
        <v/>
      </c>
      <c r="M50" s="67">
        <f>IF(H50&lt;0.08,"FRAGILE","")</f>
        <v/>
      </c>
      <c r="N50" s="20" t="n"/>
      <c r="O50" s="20" t="n"/>
    </row>
    <row r="51" outlineLevel="2" ht="17" customHeight="1">
      <c r="A51" s="20" t="n"/>
      <c r="B51" s="68" t="inlineStr">
        <is>
          <t>PIGIER_LYO</t>
        </is>
      </c>
      <c r="C51" s="69">
        <f>VLOOKUP($B51,Données!$A$15:$L$28,5,0)</f>
        <v/>
      </c>
      <c r="D51" s="70">
        <f>C51/VLOOKUP($B51,Données!$A$15:$L$28,4,0)-1</f>
        <v/>
      </c>
      <c r="E51" s="69">
        <f>VLOOKUP($B51,Données!$A$15:$L$28,8,0)</f>
        <v/>
      </c>
      <c r="F51" s="70">
        <f>IF(VLOOKUP($B51,Données!$A$15:$L$28,7,0)&lt;=0,"n/s",E51/VLOOKUP($B51,Données!$A$15:$L$28,7,0)-1)</f>
        <v/>
      </c>
      <c r="G51" s="71">
        <f>E51/$E$35</f>
        <v/>
      </c>
      <c r="H51" s="71">
        <f>E51/C51</f>
        <v/>
      </c>
      <c r="I51" s="72">
        <f>(H51-VLOOKUP($B51,Données!$A$15:$L$28,7,0)/VLOOKUP($B51,Données!$A$15:$L$28,4,0))*100</f>
        <v/>
      </c>
      <c r="J51" s="69">
        <f>VLOOKUP($B51,Données!$A$15:$L$28,9,0)</f>
        <v/>
      </c>
      <c r="K51" s="73">
        <f>VLOOKUP($B51,Données!$A$15:$L$28,10,0)/VLOOKUP($B51,Données!$A$15:$L$28,11,0)</f>
        <v/>
      </c>
      <c r="L51" s="73">
        <f>VLOOKUP($B51,Données!$A$15:$L$28,12,0)</f>
        <v/>
      </c>
      <c r="M51" s="67">
        <f>IF(H51&lt;0.08,"FRAGILE","")</f>
        <v/>
      </c>
      <c r="N51" s="20" t="n"/>
      <c r="O51" s="20" t="n"/>
    </row>
    <row r="52" outlineLevel="1" ht="17" customHeight="1">
      <c r="A52" s="20" t="n"/>
      <c r="B52" s="61" t="inlineStr">
        <is>
          <t>Tunon</t>
        </is>
      </c>
      <c r="C52" s="62">
        <f>SUMIF(Données!$B$15:$B$28,$B52,Données!$E$15:$E$28)</f>
        <v/>
      </c>
      <c r="D52" s="63">
        <f>C52/SUMIF(Données!$B$15:$B$28,$B52,Données!$D$15:$D$28)-1</f>
        <v/>
      </c>
      <c r="E52" s="62">
        <f>SUMIF(Données!$B$15:$B$28,$B52,Données!$H$15:$H$28)</f>
        <v/>
      </c>
      <c r="F52" s="63">
        <f>E52/SUMIF(Données!$B$15:$B$28,$B52,Données!$G$15:$G$28)-1</f>
        <v/>
      </c>
      <c r="G52" s="64">
        <f>E52/$E$35</f>
        <v/>
      </c>
      <c r="H52" s="64">
        <f>E52/C52</f>
        <v/>
      </c>
      <c r="I52" s="65">
        <f>(H52-SUMIF(Données!$B$15:$B$28,$B52,Données!$G$15:$G$28)/SUMIF(Données!$B$15:$B$28,$B52,Données!$D$15:$D$28))*100</f>
        <v/>
      </c>
      <c r="J52" s="62">
        <f>SUMIF(Données!$B$15:$B$28,$B52,Données!$I$15:$I$28)</f>
        <v/>
      </c>
      <c r="K52" s="66">
        <f>SUMIF(Données!$B$15:$B$28,$B52,Données!$J$15:$J$28)/SUMIF(Données!$B$15:$B$28,$B52,Données!$K$15:$K$28)</f>
        <v/>
      </c>
      <c r="L52" s="66">
        <f>SUMPRODUCT((Données!$B$15:$B$28=$B52)*Données!$J$15:$J$28*Données!$L$15:$L$28)/SUMIF(Données!$B$15:$B$28,$B52,Données!$J$15:$J$28)</f>
        <v/>
      </c>
      <c r="M52" s="67">
        <f>IF(H52&lt;0.08,"FRAGILE","")</f>
        <v/>
      </c>
      <c r="N52" s="20" t="n"/>
      <c r="O52" s="20" t="n"/>
    </row>
    <row r="53" outlineLevel="2" ht="17" customHeight="1">
      <c r="A53" s="20" t="n"/>
      <c r="B53" s="68" t="inlineStr">
        <is>
          <t>TUNON_LYO</t>
        </is>
      </c>
      <c r="C53" s="69">
        <f>VLOOKUP($B53,Données!$A$15:$L$28,5,0)</f>
        <v/>
      </c>
      <c r="D53" s="70">
        <f>C53/VLOOKUP($B53,Données!$A$15:$L$28,4,0)-1</f>
        <v/>
      </c>
      <c r="E53" s="69">
        <f>VLOOKUP($B53,Données!$A$15:$L$28,8,0)</f>
        <v/>
      </c>
      <c r="F53" s="70">
        <f>IF(VLOOKUP($B53,Données!$A$15:$L$28,7,0)&lt;=0,"n/s",E53/VLOOKUP($B53,Données!$A$15:$L$28,7,0)-1)</f>
        <v/>
      </c>
      <c r="G53" s="71">
        <f>E53/$E$35</f>
        <v/>
      </c>
      <c r="H53" s="71">
        <f>E53/C53</f>
        <v/>
      </c>
      <c r="I53" s="72">
        <f>(H53-VLOOKUP($B53,Données!$A$15:$L$28,7,0)/VLOOKUP($B53,Données!$A$15:$L$28,4,0))*100</f>
        <v/>
      </c>
      <c r="J53" s="69">
        <f>VLOOKUP($B53,Données!$A$15:$L$28,9,0)</f>
        <v/>
      </c>
      <c r="K53" s="73">
        <f>VLOOKUP($B53,Données!$A$15:$L$28,10,0)/VLOOKUP($B53,Données!$A$15:$L$28,11,0)</f>
        <v/>
      </c>
      <c r="L53" s="73">
        <f>VLOOKUP($B53,Données!$A$15:$L$28,12,0)</f>
        <v/>
      </c>
      <c r="M53" s="67">
        <f>IF(H53&lt;0.08,"FRAGILE","")</f>
        <v/>
      </c>
      <c r="N53" s="20" t="n"/>
      <c r="O53" s="20" t="n"/>
    </row>
    <row r="54" outlineLevel="2" ht="17" customHeight="1">
      <c r="A54" s="20" t="n"/>
      <c r="B54" s="68" t="inlineStr">
        <is>
          <t>TUNON_PAR</t>
        </is>
      </c>
      <c r="C54" s="69">
        <f>VLOOKUP($B54,Données!$A$15:$L$28,5,0)</f>
        <v/>
      </c>
      <c r="D54" s="70">
        <f>C54/VLOOKUP($B54,Données!$A$15:$L$28,4,0)-1</f>
        <v/>
      </c>
      <c r="E54" s="69">
        <f>VLOOKUP($B54,Données!$A$15:$L$28,8,0)</f>
        <v/>
      </c>
      <c r="F54" s="70">
        <f>IF(VLOOKUP($B54,Données!$A$15:$L$28,7,0)&lt;=0,"n/s",E54/VLOOKUP($B54,Données!$A$15:$L$28,7,0)-1)</f>
        <v/>
      </c>
      <c r="G54" s="71">
        <f>E54/$E$35</f>
        <v/>
      </c>
      <c r="H54" s="71">
        <f>E54/C54</f>
        <v/>
      </c>
      <c r="I54" s="72">
        <f>(H54-VLOOKUP($B54,Données!$A$15:$L$28,7,0)/VLOOKUP($B54,Données!$A$15:$L$28,4,0))*100</f>
        <v/>
      </c>
      <c r="J54" s="69">
        <f>VLOOKUP($B54,Données!$A$15:$L$28,9,0)</f>
        <v/>
      </c>
      <c r="K54" s="73">
        <f>VLOOKUP($B54,Données!$A$15:$L$28,10,0)/VLOOKUP($B54,Données!$A$15:$L$28,11,0)</f>
        <v/>
      </c>
      <c r="L54" s="73">
        <f>VLOOKUP($B54,Données!$A$15:$L$28,12,0)</f>
        <v/>
      </c>
      <c r="M54" s="67">
        <f>IF(H54&lt;0.08,"FRAGILE","")</f>
        <v/>
      </c>
      <c r="N54" s="20" t="n"/>
      <c r="O54" s="20" t="n"/>
    </row>
    <row r="55" ht="8" customHeight="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</row>
    <row r="56" ht="15" customHeight="1">
      <c r="A56" s="20" t="n"/>
      <c r="B56" s="74" t="inlineStr">
        <is>
          <t xml:space="preserve">  Le signal du cockpit.  Tunon pèse 8,4 % du CA mais 2,1 % de l'EBITDA. Ipac, le réseau le plus jeune, pèse 11,2 % du CA pour 9,5 % de l'EBITDA — il monte en charge, avec Rennes et Montpellier à 61 % de remplissage. À l'inverse Pigier, la plus petite des cinq, est la plus rentable (21,2 %). Et le groupe n'occupe que 75 % de ses places : 1 032 places ouvertes et vides. Le cadrage 2027 ne peut pas être un « + x % » uniforme.</t>
        </is>
      </c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6" t="n"/>
      <c r="N56" s="20" t="n"/>
      <c r="O56" s="20" t="n"/>
    </row>
    <row r="57" ht="15" customHeight="1">
      <c r="A57" s="20" t="n"/>
      <c r="B57" s="77" t="n"/>
      <c r="M57" s="78" t="n"/>
      <c r="N57" s="20" t="n"/>
      <c r="O57" s="20" t="n"/>
    </row>
    <row r="58" ht="15" customHeight="1">
      <c r="A58" s="20" t="n"/>
      <c r="B58" s="77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80" t="n"/>
      <c r="N58" s="20" t="n"/>
      <c r="O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</row>
    <row r="60" ht="6" customHeight="1">
      <c r="A60" s="20" t="n"/>
      <c r="B60" s="81" t="inlineStr">
        <is>
          <t>Source : socle CRM et comptabilité rapprochés · vues V_COCKPIT, V_MOTEUR_CAL, V_ALLOCATION · les marges se lisent en POINTS. Tout le cockpit est en formules : seul l'onglet Données se saisit.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</row>
  </sheetData>
  <mergeCells count="1">
    <mergeCell ref="B56:M58"/>
  </mergeCells>
  <conditionalFormatting sqref="B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9"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1">
      <formula>0</formula>
    </cfRule>
  </conditionalFormatting>
  <conditionalFormatting sqref="H35:H54">
    <cfRule type="dataBar" priority="12">
      <dataBar showValue="1">
        <cfvo type="num" val="0"/>
        <cfvo type="num" val="0.24"/>
        <color rgb="FF2A78D6"/>
      </dataBar>
    </cfRule>
  </conditionalFormatting>
  <conditionalFormatting sqref="D35:D54">
    <cfRule type="cellIs" priority="13" operator="greaterThan" dxfId="2">
      <formula>0</formula>
    </cfRule>
    <cfRule type="cellIs" priority="14" operator="lessThan" dxfId="3">
      <formula>0</formula>
    </cfRule>
  </conditionalFormatting>
  <conditionalFormatting sqref="F35:F54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I35:I54">
    <cfRule type="cellIs" priority="17" operator="greaterThan" dxfId="2">
      <formula>0</formula>
    </cfRule>
    <cfRule type="cellIs" priority="18" operator="lessThan" dxfId="3">
      <formula>0</formula>
    </cfRule>
  </conditionalFormatting>
  <conditionalFormatting sqref="K35:K54">
    <cfRule type="cellIs" priority="19" operator="lessThan" dxfId="4">
      <formula>0.70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2026-09-04T23:18:21Z</dcterms:created>
  <dcterms:modified xsi:type="dcterms:W3CDTF">2026-09-04T23:18:21Z</dcterms:modified>
</cp:coreProperties>
</file>