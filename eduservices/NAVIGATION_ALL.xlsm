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9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"/>
    </font>
    <font>
      <name val="Arial"/>
      <color rgb="0069778B"/>
      <sz val="7.5"/>
    </font>
    <font>
      <name val="Arial"/>
      <color rgb="00202733"/>
      <sz val="8.5"/>
    </font>
    <font>
      <name val="Arial"/>
      <color rgb="0069778B"/>
      <sz val="8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39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27" fillId="21" borderId="27" applyAlignment="1" pivotButton="0" quotePrefix="1" xfId="0">
      <alignment horizontal="left" vertical="center"/>
    </xf>
    <xf numFmtId="0" fontId="27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0" fillId="19" borderId="11" applyAlignment="1" pivotButton="0" quotePrefix="0" xfId="56">
      <alignment horizontal="left" vertical="center"/>
    </xf>
    <xf numFmtId="0" fontId="1" fillId="19" borderId="12" pivotButton="0" quotePrefix="0" xfId="56"/>
    <xf numFmtId="0" fontId="26" fillId="19" borderId="18" applyAlignment="1" pivotButton="0" quotePrefix="0" xfId="56">
      <alignment horizontal="left" vertical="center" indent="1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0" fontId="0" fillId="22" borderId="31" pivotButton="0" quotePrefix="0" xfId="0"/>
    <xf numFmtId="170" fontId="21" fillId="19" borderId="13" applyAlignment="1" pivotButton="0" quotePrefix="0" xfId="56">
      <alignment horizontal="centerContinuous" vertical="center"/>
    </xf>
    <xf numFmtId="0" fontId="1" fillId="19" borderId="14" applyAlignment="1" pivotButton="0" quotePrefix="0" xfId="56">
      <alignment horizontal="centerContinuous"/>
    </xf>
    <xf numFmtId="164" fontId="28" fillId="19" borderId="20" applyAlignment="1" pivotButton="0" quotePrefix="0" xfId="56">
      <alignment horizontal="left" vertical="center" indent="1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0" fontId="0" fillId="22" borderId="32" pivotButton="0" quotePrefix="0" xfId="0"/>
    <xf numFmtId="171" fontId="19" fillId="19" borderId="15" applyAlignment="1" pivotButton="0" quotePrefix="0" xfId="56">
      <alignment horizontal="left" vertical="center" indent="1"/>
    </xf>
    <xf numFmtId="0" fontId="1" fillId="19" borderId="16" pivotButton="0" quotePrefix="0" xfId="56"/>
    <xf numFmtId="167" fontId="29" fillId="19" borderId="22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4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0" fontId="0" fillId="22" borderId="33" pivotButton="0" quotePrefix="0" xfId="0"/>
    <xf numFmtId="0" fontId="30" fillId="19" borderId="18" applyAlignment="1" pivotButton="0" quotePrefix="0" xfId="0">
      <alignment horizontal="left" vertical="center" indent="2"/>
    </xf>
    <xf numFmtId="0" fontId="48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6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center" vertical="center"/>
    </xf>
    <xf numFmtId="0" fontId="45" fillId="19" borderId="35" applyAlignment="1" pivotButton="0" quotePrefix="1" xfId="56">
      <alignment horizontal="center" vertical="center"/>
    </xf>
    <xf numFmtId="3" fontId="46" fillId="19" borderId="35" applyAlignment="1" pivotButton="0" quotePrefix="1" xfId="0">
      <alignment horizontal="left" vertical="center"/>
    </xf>
    <xf numFmtId="3" fontId="47" fillId="19" borderId="35" applyAlignment="1" pivotButton="0" quotePrefix="0" xfId="0">
      <alignment horizontal="left" vertical="center"/>
    </xf>
    <xf numFmtId="172" fontId="47" fillId="19" borderId="35" applyAlignment="1" pivotButton="0" quotePrefix="0" xfId="0">
      <alignment horizontal="left" vertical="center"/>
    </xf>
    <xf numFmtId="3" fontId="46" fillId="19" borderId="35" applyAlignment="1" pivotButton="0" quotePrefix="0" xfId="0">
      <alignment horizontal="right" vertical="center"/>
    </xf>
    <xf numFmtId="177" fontId="46" fillId="19" borderId="35" applyAlignment="1" pivotButton="0" quotePrefix="0" xfId="0">
      <alignment horizontal="right" vertical="center"/>
    </xf>
    <xf numFmtId="165" fontId="46" fillId="19" borderId="35" applyAlignment="1" pivotButton="0" quotePrefix="0" xfId="0">
      <alignment horizontal="right" vertical="center"/>
    </xf>
    <xf numFmtId="178" fontId="46" fillId="19" borderId="35" applyAlignment="1" pivotButton="0" quotePrefix="0" xfId="0">
      <alignment horizontal="right" vertical="center"/>
    </xf>
    <xf numFmtId="165" fontId="46" fillId="19" borderId="35" applyAlignment="1" pivotButton="0" quotePrefix="0" xfId="38">
      <alignment horizontal="right" vertical="center"/>
    </xf>
    <xf numFmtId="0" fontId="45" fillId="19" borderId="35" applyAlignment="1" pivotButton="0" quotePrefix="0" xfId="56">
      <alignment horizontal="center" vertical="center"/>
    </xf>
    <xf numFmtId="0" fontId="45" fillId="19" borderId="35" applyAlignment="1" pivotButton="0" quotePrefix="0" xfId="0">
      <alignment horizontal="center" vertical="center"/>
    </xf>
    <xf numFmtId="0" fontId="46" fillId="19" borderId="35" applyAlignment="1" pivotButton="0" quotePrefix="0" xfId="0">
      <alignment horizontal="left" vertical="center"/>
    </xf>
    <xf numFmtId="0" fontId="47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4" fontId="40" fillId="22" borderId="30" applyAlignment="1" pivotButton="0" quotePrefix="0" xfId="0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6" fillId="19" borderId="35" applyAlignment="1" pivotButton="0" quotePrefix="0" xfId="0">
      <alignment horizontal="right" vertical="center"/>
    </xf>
    <xf numFmtId="178" fontId="46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9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b val="1"/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font>
        <color rgb="0069778B"/>
      </font>
      <fill>
        <patternFill>
          <bgColor rgb="00FBFCFE"/>
        </patternFill>
      </fill>
      <border>
        <bottom style="thin">
          <color rgb="00E9EDF3"/>
        </bottom>
      </border>
    </dxf>
    <dxf>
      <numFmt numFmtId="186" formatCode="#,##0&quot; €&quot;"/>
    </dxf>
    <dxf>
      <numFmt numFmtId="188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'2'!$AB$7:$AB$11</f>
            </strRef>
          </cat>
          <val>
            <numRef>
              <f>'2'!$AC$7:$AC$11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'2'!$AB$7:$AB$11</f>
            </strRef>
          </cat>
          <val>
            <numRef>
              <f>'2'!$AD$7:$AD$11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'2'!$AB$7:$AB$11</f>
            </strRef>
          </cat>
          <val>
            <numRef>
              <f>'2'!$AE$7:$AE$11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'2'!$AB$7:$AB$11</f>
            </strRef>
          </cat>
          <val>
            <numRef>
              <f>'2'!$AF$7:$AF$11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'2'!$AH$7:$AH$11</f>
            </strRef>
          </cat>
          <val>
            <numRef>
              <f>'2'!$AI$7:$AI$11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'2'!$AH$7:$AH$11</f>
            </strRef>
          </cat>
          <val>
            <numRef>
              <f>'2'!$AJ$7:$AJ$11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'2'!$AH$7:$AH$11</f>
            </strRef>
          </cat>
          <val>
            <numRef>
              <f>'2'!$AK$7:$AK$11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'2'!$AM$7:$AM$9</f>
            </strRef>
          </cat>
          <val>
            <numRef>
              <f>'2'!$AN$7:$AN$9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'2'!$AM$7:$AM$9</f>
            </strRef>
          </cat>
          <val>
            <numRef>
              <f>'2'!$AO$7:$AO$9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13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G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hidden="1" width="4.5" customWidth="1" min="2" max="2"/>
    <col width="33" customWidth="1" min="3" max="8"/>
    <col width="13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55" t="n"/>
      <c r="Q1" s="55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55" t="n"/>
      <c r="Q2" s="55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55" t="n"/>
      <c r="Q3" s="55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58" t="n"/>
      <c r="Q4" s="58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62" t="inlineStr">
        <is>
          <t>Version</t>
        </is>
      </c>
      <c r="I5" s="63" t="inlineStr">
        <is>
          <t>V_FINAL</t>
        </is>
      </c>
      <c r="J5" s="59" t="inlineStr">
        <is>
          <t>VERSION</t>
        </is>
      </c>
      <c r="K5" s="64" t="inlineStr">
        <is>
          <t>V_FINAL</t>
        </is>
      </c>
      <c r="L5" s="65" t="inlineStr">
        <is>
          <t>$Entity(HIERARCHY("EDU")).desc</t>
        </is>
      </c>
      <c r="M5" s="66" t="n"/>
      <c r="N5" s="59" t="inlineStr">
        <is>
          <t>ENTITÉ</t>
        </is>
      </c>
      <c r="O5" s="64" t="inlineStr">
        <is>
          <t>EDUSERVICES</t>
        </is>
      </c>
      <c r="P5" s="67" t="n"/>
      <c r="Q5" s="67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58" t="n"/>
      <c r="Q6" s="58" t="n"/>
      <c r="AB6" s="2" t="inlineStr">
        <is>
          <t>ETAPE</t>
        </is>
      </c>
      <c r="AC6" s="1" t="inlineStr">
        <is>
          <t>SOCLE</t>
        </is>
      </c>
      <c r="AD6" s="1" t="inlineStr">
        <is>
          <t>ANCRE</t>
        </is>
      </c>
      <c r="AE6" s="1" t="inlineStr">
        <is>
          <t>HAUSSE</t>
        </is>
      </c>
      <c r="AF6" s="1" t="inlineStr">
        <is>
          <t>BAISSE</t>
        </is>
      </c>
      <c r="AG6" s="1" t="n"/>
      <c r="AH6" t="inlineStr">
        <is>
          <t>LIBELLE</t>
        </is>
      </c>
      <c r="AI6" s="2" t="inlineStr">
        <is>
          <t>MARGE_2024</t>
        </is>
      </c>
      <c r="AJ6" s="1" t="inlineStr">
        <is>
          <t>MARGE_2025</t>
        </is>
      </c>
      <c r="AK6" s="1" t="inlineStr">
        <is>
          <t>MARGE_2026</t>
        </is>
      </c>
      <c r="AL6" s="1" t="n"/>
      <c r="AM6" s="1" t="inlineStr">
        <is>
          <t>EXERCICE</t>
        </is>
      </c>
      <c r="AN6" s="1" t="inlineStr">
        <is>
          <t>IND_DEPENSES</t>
        </is>
      </c>
      <c r="AO6" s="1" t="inlineStr">
        <is>
          <t>IND_INSCRITS</t>
        </is>
      </c>
      <c r="AP6" s="1" t="n"/>
      <c r="AQ6" s="1" t="n"/>
      <c r="AR6" s="1" t="n"/>
      <c r="AS6" s="1" t="n"/>
      <c r="AT6" s="1" t="n"/>
      <c r="AU6" s="1" t="n"/>
      <c r="AZ6" s="1" t="n"/>
      <c r="BA6" s="1" t="n"/>
      <c r="BB6" s="1" t="n"/>
      <c r="BC6" s="1" t="n"/>
      <c r="BD6" s="1" t="n"/>
      <c r="BE6" s="1" t="n"/>
      <c r="BF6" s="1" t="n"/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58" t="n"/>
      <c r="Q7" s="58" t="n"/>
      <c r="AB7" s="1" t="inlineStr">
        <is>
          <t>EBITDA 2025</t>
        </is>
      </c>
      <c r="AC7" s="1" t="n">
        <v>0</v>
      </c>
      <c r="AD7" s="1" t="n">
        <v>3467768</v>
      </c>
      <c r="AE7" s="1" t="n">
        <v>0</v>
      </c>
      <c r="AF7" s="1" t="n">
        <v>0</v>
      </c>
      <c r="AG7" s="1" t="n"/>
      <c r="AH7" t="inlineStr">
        <is>
          <t>Ipac Bachelor Factory</t>
        </is>
      </c>
      <c r="AI7" s="1" t="n">
        <v>0.1193</v>
      </c>
      <c r="AJ7" s="1" t="n">
        <v>0.13</v>
      </c>
      <c r="AK7" s="1" t="n">
        <v>0.1416</v>
      </c>
      <c r="AL7" s="1" t="n"/>
      <c r="AM7" s="1" t="inlineStr">
        <is>
          <t>2024</t>
        </is>
      </c>
      <c r="AN7" s="1" t="n">
        <v>100</v>
      </c>
      <c r="AO7" s="1" t="n">
        <v>100</v>
      </c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8" t="n"/>
      <c r="D8" s="69" t="n"/>
      <c r="E8" s="70" t="n"/>
      <c r="F8" s="71" t="inlineStr">
        <is>
          <t>CHIFFRE D'AFFAIRES</t>
        </is>
      </c>
      <c r="G8" s="72" t="n"/>
      <c r="H8" s="71" t="inlineStr">
        <is>
          <t>EBITDA</t>
        </is>
      </c>
      <c r="I8" s="72" t="n"/>
      <c r="J8" s="71" t="inlineStr">
        <is>
          <t>MARGE EBITDA</t>
        </is>
      </c>
      <c r="K8" s="72" t="n"/>
      <c r="L8" s="71" t="inlineStr">
        <is>
          <t>INSCRITS (NOUVEAUX)</t>
        </is>
      </c>
      <c r="M8" s="72" t="n"/>
      <c r="N8" s="73" t="inlineStr">
        <is>
          <t>COÛT D'ACQUISITION</t>
        </is>
      </c>
      <c r="O8" s="74" t="n"/>
      <c r="P8" s="73" t="inlineStr">
        <is>
          <t>REMPLISSAGE MOYEN</t>
        </is>
      </c>
      <c r="Q8" s="75" t="n"/>
      <c r="AB8" t="inlineStr">
        <is>
          <t>Activite</t>
        </is>
      </c>
      <c r="AC8" t="n">
        <v>3467768</v>
      </c>
      <c r="AD8" t="n">
        <v>0</v>
      </c>
      <c r="AE8" t="n">
        <v>1157203</v>
      </c>
      <c r="AF8" t="n">
        <v>0</v>
      </c>
      <c r="AH8" t="inlineStr">
        <is>
          <t>ISCOM</t>
        </is>
      </c>
      <c r="AI8" t="n">
        <v>0.158</v>
      </c>
      <c r="AJ8" t="n">
        <v>0.1643</v>
      </c>
      <c r="AK8" t="n">
        <v>0.1717</v>
      </c>
      <c r="AM8" t="inlineStr">
        <is>
          <t>2025</t>
        </is>
      </c>
      <c r="AN8" t="n">
        <v>110</v>
      </c>
      <c r="AO8" t="n">
        <v>106.1</v>
      </c>
    </row>
    <row r="9" ht="26" customHeight="1">
      <c r="A9" s="58" t="n"/>
      <c r="B9" s="58" t="n"/>
      <c r="C9" s="76" t="n"/>
      <c r="D9" s="77" t="n"/>
      <c r="E9" s="78" t="n"/>
      <c r="F9" s="79">
        <f>F38</f>
        <v/>
      </c>
      <c r="G9" s="80" t="n"/>
      <c r="H9" s="79">
        <f>H38</f>
        <v/>
      </c>
      <c r="I9" s="81" t="n"/>
      <c r="J9" s="82">
        <f>K38</f>
        <v/>
      </c>
      <c r="K9" s="83" t="n"/>
      <c r="L9" s="84">
        <f>M38</f>
        <v/>
      </c>
      <c r="M9" s="85" t="n"/>
      <c r="N9" s="86">
        <f>U38/M38</f>
        <v/>
      </c>
      <c r="O9" s="87" t="n"/>
      <c r="P9" s="88">
        <f>N38</f>
        <v/>
      </c>
      <c r="Q9" s="89" t="n"/>
      <c r="AB9" t="inlineStr">
        <is>
          <t>Prix / mix</t>
        </is>
      </c>
      <c r="AC9" t="n">
        <v>4624364</v>
      </c>
      <c r="AD9" t="n">
        <v>0</v>
      </c>
      <c r="AE9" t="n">
        <v>0</v>
      </c>
      <c r="AF9" t="n">
        <v>607</v>
      </c>
      <c r="AH9" t="inlineStr">
        <is>
          <t>MBway</t>
        </is>
      </c>
      <c r="AI9" t="n">
        <v>0.165</v>
      </c>
      <c r="AJ9" t="n">
        <v>0.1731</v>
      </c>
      <c r="AK9" t="n">
        <v>0.1825</v>
      </c>
      <c r="AM9" t="inlineStr">
        <is>
          <t>2026</t>
        </is>
      </c>
      <c r="AN9" t="n">
        <v>121</v>
      </c>
      <c r="AO9" t="n">
        <v>112.5</v>
      </c>
    </row>
    <row r="10" ht="14" customHeight="1">
      <c r="A10" s="58" t="n"/>
      <c r="B10" s="58" t="n"/>
      <c r="C10" s="90" t="n"/>
      <c r="D10" s="91" t="n"/>
      <c r="E10" s="92" t="n"/>
      <c r="F10" s="133">
        <f>G38</f>
        <v/>
      </c>
      <c r="G10" s="94" t="n"/>
      <c r="H10" s="133">
        <f>I38</f>
        <v/>
      </c>
      <c r="I10" s="95" t="n"/>
      <c r="J10" s="134">
        <f>L38</f>
        <v/>
      </c>
      <c r="K10" s="94" t="n"/>
      <c r="L10" s="133">
        <f>AA38</f>
        <v/>
      </c>
      <c r="M10" s="94" t="n"/>
      <c r="N10" s="135">
        <f>IFERROR(N9/(V38/Y38)-1,"")</f>
        <v/>
      </c>
      <c r="O10" s="98" t="n"/>
      <c r="P10" s="136">
        <f>Q38-P38</f>
        <v/>
      </c>
      <c r="Q10" s="100" t="n"/>
      <c r="AB10" t="inlineStr">
        <is>
          <t>Couts</t>
        </is>
      </c>
      <c r="AC10" t="n">
        <v>3845790</v>
      </c>
      <c r="AD10" t="n">
        <v>0</v>
      </c>
      <c r="AE10" t="n">
        <v>0</v>
      </c>
      <c r="AF10" t="n">
        <v>778574</v>
      </c>
      <c r="AH10" t="inlineStr">
        <is>
          <t>Pigier</t>
        </is>
      </c>
      <c r="AI10" t="n">
        <v>0.1984</v>
      </c>
      <c r="AJ10" t="n">
        <v>0.2041</v>
      </c>
      <c r="AK10" t="n">
        <v>0.2114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inlineStr">
        <is>
          <t>EBITDA 2026</t>
        </is>
      </c>
      <c r="AC11" s="6" t="n">
        <v>0</v>
      </c>
      <c r="AD11" s="6" t="n">
        <v>3845790</v>
      </c>
      <c r="AE11" s="6" t="n">
        <v>0</v>
      </c>
      <c r="AF11" s="6" t="n">
        <v>0</v>
      </c>
      <c r="AG11" s="6" t="n"/>
      <c r="AH11" s="6" t="inlineStr">
        <is>
          <t>Tunon</t>
        </is>
      </c>
      <c r="AI11" s="6" t="n">
        <v>0.0629</v>
      </c>
      <c r="AJ11" s="6" t="n">
        <v>0.0531</v>
      </c>
      <c r="AK11" t="n">
        <v>0.0419</v>
      </c>
    </row>
    <row r="12" ht="15.5" customHeight="1">
      <c r="A12" s="58" t="n"/>
      <c r="B12" s="58" t="n"/>
      <c r="C12" s="101" t="inlineStr">
        <is>
          <t xml:space="preserve">  Pont d'EBITDA 2025 → 2026</t>
        </is>
      </c>
      <c r="D12" s="102" t="inlineStr">
        <is>
          <t xml:space="preserve">  Pont d'EBITDA 2025 → 2026</t>
        </is>
      </c>
      <c r="E12" s="103" t="n"/>
      <c r="F12" s="103" t="n"/>
      <c r="G12" s="103" t="n"/>
      <c r="H12" s="104" t="n"/>
      <c r="I12" s="102" t="inlineStr">
        <is>
          <t xml:space="preserve">  Marge EBITDA — 3 exercices</t>
        </is>
      </c>
      <c r="J12" s="103" t="n"/>
      <c r="K12" s="103" t="n"/>
      <c r="L12" s="103" t="n"/>
      <c r="M12" s="104" t="n"/>
      <c r="N12" s="102" t="inlineStr">
        <is>
          <t xml:space="preserve">  Acquisition — dépenses vs inscrits</t>
        </is>
      </c>
      <c r="O12" s="103" t="n"/>
      <c r="P12" s="103" t="n"/>
      <c r="Q12" s="105" t="inlineStr">
        <is>
          <t xml:space="preserve">base 100  </t>
        </is>
      </c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106" t="n"/>
      <c r="D13" s="107" t="n"/>
      <c r="E13" s="108" t="n"/>
      <c r="F13" s="108" t="n"/>
      <c r="G13" s="108" t="n"/>
      <c r="H13" s="89" t="n"/>
      <c r="I13" s="107" t="n"/>
      <c r="J13" s="108" t="n"/>
      <c r="K13" s="108" t="n"/>
      <c r="L13" s="108" t="n"/>
      <c r="M13" s="89" t="n"/>
      <c r="N13" s="107" t="n"/>
      <c r="O13" s="108" t="n"/>
      <c r="P13" s="108" t="n"/>
      <c r="Q13" s="89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106" t="n"/>
      <c r="D14" s="107" t="n"/>
      <c r="E14" s="108" t="n"/>
      <c r="F14" s="108" t="n"/>
      <c r="G14" s="108" t="n"/>
      <c r="H14" s="89" t="n"/>
      <c r="I14" s="107" t="n"/>
      <c r="J14" s="108" t="n"/>
      <c r="K14" s="108" t="n"/>
      <c r="L14" s="108" t="n"/>
      <c r="M14" s="89" t="n"/>
      <c r="N14" s="107" t="n"/>
      <c r="O14" s="108" t="n"/>
      <c r="P14" s="108" t="n"/>
      <c r="Q14" s="89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106" t="n"/>
      <c r="D15" s="107" t="n"/>
      <c r="E15" s="108" t="n"/>
      <c r="F15" s="108" t="n"/>
      <c r="G15" s="108" t="n"/>
      <c r="H15" s="89" t="n"/>
      <c r="I15" s="107" t="n"/>
      <c r="J15" s="108" t="n"/>
      <c r="K15" s="108" t="n"/>
      <c r="L15" s="108" t="n"/>
      <c r="M15" s="89" t="n"/>
      <c r="N15" s="107" t="n"/>
      <c r="O15" s="108" t="n"/>
      <c r="P15" s="108" t="n"/>
      <c r="Q15" s="89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106" t="n"/>
      <c r="D16" s="107" t="n"/>
      <c r="E16" s="108" t="n"/>
      <c r="F16" s="108" t="n"/>
      <c r="G16" s="108" t="n"/>
      <c r="H16" s="89" t="n"/>
      <c r="I16" s="107" t="n"/>
      <c r="J16" s="108" t="n"/>
      <c r="K16" s="108" t="n"/>
      <c r="L16" s="108" t="n"/>
      <c r="M16" s="89" t="n"/>
      <c r="N16" s="107" t="n"/>
      <c r="O16" s="108" t="n"/>
      <c r="P16" s="108" t="n"/>
      <c r="Q16" s="89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106" t="n"/>
      <c r="D17" s="107" t="n"/>
      <c r="E17" s="108" t="n"/>
      <c r="F17" s="108" t="n"/>
      <c r="G17" s="108" t="n"/>
      <c r="H17" s="89" t="n"/>
      <c r="I17" s="107" t="n"/>
      <c r="J17" s="108" t="n"/>
      <c r="K17" s="108" t="n"/>
      <c r="L17" s="108" t="n"/>
      <c r="M17" s="89" t="n"/>
      <c r="N17" s="107" t="n"/>
      <c r="O17" s="108" t="n"/>
      <c r="P17" s="108" t="n"/>
      <c r="Q17" s="89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106" t="n"/>
      <c r="D18" s="107" t="n"/>
      <c r="E18" s="108" t="n"/>
      <c r="F18" s="108" t="n"/>
      <c r="G18" s="108" t="n"/>
      <c r="H18" s="89" t="n"/>
      <c r="I18" s="107" t="n"/>
      <c r="J18" s="108" t="n"/>
      <c r="K18" s="108" t="n"/>
      <c r="L18" s="108" t="n"/>
      <c r="M18" s="89" t="n"/>
      <c r="N18" s="107" t="n"/>
      <c r="O18" s="108" t="n"/>
      <c r="P18" s="108" t="n"/>
      <c r="Q18" s="89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106" t="n"/>
      <c r="D19" s="107" t="n"/>
      <c r="E19" s="108" t="n"/>
      <c r="F19" s="108" t="n"/>
      <c r="G19" s="108" t="n"/>
      <c r="H19" s="89" t="n"/>
      <c r="I19" s="107" t="n"/>
      <c r="J19" s="108" t="n"/>
      <c r="K19" s="108" t="n"/>
      <c r="L19" s="108" t="n"/>
      <c r="M19" s="89" t="n"/>
      <c r="N19" s="107" t="n"/>
      <c r="O19" s="108" t="n"/>
      <c r="P19" s="108" t="n"/>
      <c r="Q19" s="89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106" t="n"/>
      <c r="D20" s="107" t="n"/>
      <c r="E20" s="108" t="n"/>
      <c r="F20" s="108" t="n"/>
      <c r="G20" s="108" t="n"/>
      <c r="H20" s="89" t="n"/>
      <c r="I20" s="107" t="n"/>
      <c r="J20" s="108" t="n"/>
      <c r="K20" s="108" t="n"/>
      <c r="L20" s="108" t="n"/>
      <c r="M20" s="89" t="n"/>
      <c r="N20" s="107" t="n"/>
      <c r="O20" s="108" t="n"/>
      <c r="P20" s="108" t="n"/>
      <c r="Q20" s="89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106" t="n"/>
      <c r="D21" s="107" t="n"/>
      <c r="E21" s="108" t="n"/>
      <c r="F21" s="108" t="n"/>
      <c r="G21" s="108" t="n"/>
      <c r="H21" s="89" t="n"/>
      <c r="I21" s="107" t="n"/>
      <c r="J21" s="108" t="n"/>
      <c r="K21" s="108" t="n"/>
      <c r="L21" s="108" t="n"/>
      <c r="M21" s="89" t="n"/>
      <c r="N21" s="107" t="n"/>
      <c r="O21" s="108" t="n"/>
      <c r="P21" s="108" t="n"/>
      <c r="Q21" s="89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106" t="n"/>
      <c r="D22" s="107" t="n"/>
      <c r="E22" s="108" t="n"/>
      <c r="F22" s="108" t="n"/>
      <c r="G22" s="108" t="n"/>
      <c r="H22" s="89" t="n"/>
      <c r="I22" s="107" t="n"/>
      <c r="J22" s="108" t="n"/>
      <c r="K22" s="108" t="n"/>
      <c r="L22" s="108" t="n"/>
      <c r="M22" s="89" t="n"/>
      <c r="N22" s="107" t="n"/>
      <c r="O22" s="108" t="n"/>
      <c r="P22" s="108" t="n"/>
      <c r="Q22" s="89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106" t="n"/>
      <c r="D23" s="107" t="n"/>
      <c r="E23" s="108" t="n"/>
      <c r="F23" s="108" t="n"/>
      <c r="G23" s="108" t="n"/>
      <c r="H23" s="89" t="n"/>
      <c r="I23" s="107" t="n"/>
      <c r="J23" s="108" t="n"/>
      <c r="K23" s="108" t="n"/>
      <c r="L23" s="108" t="n"/>
      <c r="M23" s="89" t="n"/>
      <c r="N23" s="107" t="n"/>
      <c r="O23" s="108" t="n"/>
      <c r="P23" s="108" t="n"/>
      <c r="Q23" s="89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106" t="n"/>
      <c r="D24" s="107" t="n"/>
      <c r="E24" s="108" t="n"/>
      <c r="F24" s="108" t="n"/>
      <c r="G24" s="108" t="n"/>
      <c r="H24" s="89" t="n"/>
      <c r="I24" s="107" t="n"/>
      <c r="J24" s="108" t="n"/>
      <c r="K24" s="108" t="n"/>
      <c r="L24" s="108" t="n"/>
      <c r="M24" s="89" t="n"/>
      <c r="N24" s="107" t="n"/>
      <c r="O24" s="108" t="n"/>
      <c r="P24" s="108" t="n"/>
      <c r="Q24" s="89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106" t="n"/>
      <c r="D25" s="107" t="n"/>
      <c r="E25" s="108" t="n"/>
      <c r="F25" s="108" t="n"/>
      <c r="G25" s="108" t="n"/>
      <c r="H25" s="89" t="n"/>
      <c r="I25" s="107" t="n"/>
      <c r="J25" s="108" t="n"/>
      <c r="K25" s="108" t="n"/>
      <c r="L25" s="108" t="n"/>
      <c r="M25" s="89" t="n"/>
      <c r="N25" s="107" t="n"/>
      <c r="O25" s="108" t="n"/>
      <c r="P25" s="108" t="n"/>
      <c r="Q25" s="89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106" t="n"/>
      <c r="D26" s="107" t="n"/>
      <c r="E26" s="108" t="n"/>
      <c r="F26" s="108" t="n"/>
      <c r="G26" s="108" t="n"/>
      <c r="H26" s="89" t="n"/>
      <c r="I26" s="107" t="n"/>
      <c r="J26" s="108" t="n"/>
      <c r="K26" s="108" t="n"/>
      <c r="L26" s="108" t="n"/>
      <c r="M26" s="89" t="n"/>
      <c r="N26" s="107" t="n"/>
      <c r="O26" s="108" t="n"/>
      <c r="P26" s="108" t="n"/>
      <c r="Q26" s="89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106" t="n"/>
      <c r="D27" s="107" t="n"/>
      <c r="E27" s="108" t="n"/>
      <c r="F27" s="108" t="n"/>
      <c r="G27" s="108" t="n"/>
      <c r="H27" s="89" t="n"/>
      <c r="I27" s="107" t="n"/>
      <c r="J27" s="108" t="n"/>
      <c r="K27" s="108" t="n"/>
      <c r="L27" s="108" t="n"/>
      <c r="M27" s="89" t="n"/>
      <c r="N27" s="107" t="n"/>
      <c r="O27" s="108" t="n"/>
      <c r="P27" s="108" t="n"/>
      <c r="Q27" s="89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106" t="n"/>
      <c r="D28" s="107" t="n"/>
      <c r="E28" s="108" t="n"/>
      <c r="F28" s="108" t="n"/>
      <c r="G28" s="108" t="n"/>
      <c r="H28" s="89" t="n"/>
      <c r="I28" s="107" t="n"/>
      <c r="J28" s="108" t="n"/>
      <c r="K28" s="108" t="n"/>
      <c r="L28" s="108" t="n"/>
      <c r="M28" s="89" t="n"/>
      <c r="N28" s="107" t="n"/>
      <c r="O28" s="108" t="n"/>
      <c r="P28" s="108" t="n"/>
      <c r="Q28" s="89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106" t="n"/>
      <c r="D29" s="107" t="n"/>
      <c r="E29" s="108" t="n"/>
      <c r="F29" s="108" t="n"/>
      <c r="G29" s="108" t="n"/>
      <c r="H29" s="89" t="n"/>
      <c r="I29" s="107" t="n"/>
      <c r="J29" s="108" t="n"/>
      <c r="K29" s="108" t="n"/>
      <c r="L29" s="108" t="n"/>
      <c r="M29" s="89" t="n"/>
      <c r="N29" s="107" t="n"/>
      <c r="O29" s="108" t="n"/>
      <c r="P29" s="108" t="n"/>
      <c r="Q29" s="89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106" t="n"/>
      <c r="D30" s="107" t="n"/>
      <c r="E30" s="108" t="n"/>
      <c r="F30" s="108" t="n"/>
      <c r="G30" s="108" t="n"/>
      <c r="H30" s="89" t="n"/>
      <c r="I30" s="107" t="n"/>
      <c r="J30" s="108" t="n"/>
      <c r="K30" s="108" t="n"/>
      <c r="L30" s="108" t="n"/>
      <c r="M30" s="89" t="n"/>
      <c r="N30" s="107" t="n"/>
      <c r="O30" s="108" t="n"/>
      <c r="P30" s="108" t="n"/>
      <c r="Q30" s="89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106" t="n"/>
      <c r="D31" s="107" t="n"/>
      <c r="E31" s="108" t="n"/>
      <c r="F31" s="108" t="n"/>
      <c r="G31" s="108" t="n"/>
      <c r="H31" s="89" t="n"/>
      <c r="I31" s="107" t="n"/>
      <c r="J31" s="108" t="n"/>
      <c r="K31" s="108" t="n"/>
      <c r="L31" s="108" t="n"/>
      <c r="M31" s="89" t="n"/>
      <c r="N31" s="107" t="n"/>
      <c r="O31" s="108" t="n"/>
      <c r="P31" s="108" t="n"/>
      <c r="Q31" s="89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9" t="n"/>
      <c r="D32" s="107" t="n"/>
      <c r="E32" s="108" t="n"/>
      <c r="F32" s="108" t="n"/>
      <c r="G32" s="108" t="n"/>
      <c r="H32" s="89" t="n"/>
      <c r="I32" s="107" t="n"/>
      <c r="J32" s="108" t="n"/>
      <c r="K32" s="108" t="n"/>
      <c r="L32" s="108" t="n"/>
      <c r="M32" s="89" t="n"/>
      <c r="N32" s="107" t="n"/>
      <c r="O32" s="108" t="n"/>
      <c r="P32" s="108" t="n"/>
      <c r="Q32" s="89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107" t="n"/>
      <c r="E33" s="108" t="n"/>
      <c r="F33" s="108" t="n"/>
      <c r="G33" s="108" t="n"/>
      <c r="H33" s="89" t="n"/>
      <c r="I33" s="107" t="n"/>
      <c r="J33" s="108" t="n"/>
      <c r="K33" s="108" t="n"/>
      <c r="L33" s="108" t="n"/>
      <c r="M33" s="89" t="n"/>
      <c r="N33" s="107" t="n"/>
      <c r="O33" s="108" t="n"/>
      <c r="P33" s="108" t="n"/>
      <c r="Q33" s="89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107" t="n"/>
      <c r="E34" s="108" t="n"/>
      <c r="F34" s="108" t="n"/>
      <c r="G34" s="108" t="n"/>
      <c r="H34" s="89" t="n"/>
      <c r="I34" s="107" t="n"/>
      <c r="J34" s="108" t="n"/>
      <c r="K34" s="108" t="n"/>
      <c r="L34" s="108" t="n"/>
      <c r="M34" s="89" t="n"/>
      <c r="N34" s="107" t="n"/>
      <c r="O34" s="108" t="n"/>
      <c r="P34" s="108" t="n"/>
      <c r="Q34" s="89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10" t="n"/>
      <c r="E35" s="111" t="n"/>
      <c r="F35" s="111" t="n"/>
      <c r="G35" s="111" t="n"/>
      <c r="H35" s="100" t="n"/>
      <c r="I35" s="110" t="n"/>
      <c r="J35" s="111" t="n"/>
      <c r="K35" s="111" t="n"/>
      <c r="L35" s="111" t="n"/>
      <c r="M35" s="100" t="n"/>
      <c r="N35" s="110" t="n"/>
      <c r="O35" s="111" t="n"/>
      <c r="P35" s="111" t="n"/>
      <c r="Q35" s="100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12" t="inlineStr">
        <is>
          <t>PORTEFEUILLE — MARQUE, CAMPUS, PROGRAMME ET MODALITÉ</t>
        </is>
      </c>
      <c r="D36" s="58" t="n"/>
      <c r="E36" s="58" t="n"/>
      <c r="F36" s="58" t="n"/>
      <c r="G36" s="58" t="n"/>
      <c r="H36" s="113" t="inlineStr">
        <is>
          <t>graisse et fond donnent le niveau · échelle de couleur = performance relative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14" t="inlineStr">
        <is>
          <t>Niv.</t>
        </is>
      </c>
      <c r="C37" s="115" t="inlineStr">
        <is>
          <t>Entité</t>
        </is>
      </c>
      <c r="D37" s="115" t="inlineStr">
        <is>
          <t>Programme</t>
        </is>
      </c>
      <c r="E37" s="115" t="inlineStr">
        <is>
          <t>Modalité</t>
        </is>
      </c>
      <c r="F37" s="116" t="inlineStr">
        <is>
          <t>CA</t>
        </is>
      </c>
      <c r="G37" s="116" t="inlineStr">
        <is>
          <t>Δ CA</t>
        </is>
      </c>
      <c r="H37" s="116" t="inlineStr">
        <is>
          <t>EBITDA</t>
        </is>
      </c>
      <c r="I37" s="116" t="inlineStr">
        <is>
          <t>Δ EBITDA</t>
        </is>
      </c>
      <c r="J37" s="116" t="inlineStr">
        <is>
          <t>Part EBITDA</t>
        </is>
      </c>
      <c r="K37" s="116" t="inlineStr">
        <is>
          <t>Marge EBITDA</t>
        </is>
      </c>
      <c r="L37" s="116" t="inlineStr">
        <is>
          <t>Δ Marge (pt)</t>
        </is>
      </c>
      <c r="M37" s="116" t="inlineStr">
        <is>
          <t>Inscrits</t>
        </is>
      </c>
      <c r="N37" s="116" t="inlineStr">
        <is>
          <t>Remplissage</t>
        </is>
      </c>
      <c r="O37" s="116" t="inlineStr">
        <is>
          <t>Mix alternance</t>
        </is>
      </c>
      <c r="P37" s="114" t="inlineStr">
        <is>
          <t>Effectifs</t>
        </is>
      </c>
      <c r="Q37" s="114" t="inlineStr">
        <is>
          <t>Places</t>
        </is>
      </c>
      <c r="R37" s="117" t="inlineStr">
        <is>
          <t>EFFECTIFS_ALT</t>
        </is>
      </c>
      <c r="S37" s="117" t="inlineStr">
        <is>
          <t>EBITDA_N1</t>
        </is>
      </c>
      <c r="T37" s="117" t="inlineStr">
        <is>
          <t>CA_N1</t>
        </is>
      </c>
      <c r="U37" s="117" t="inlineStr">
        <is>
          <t>SPEND_ACQ</t>
        </is>
      </c>
      <c r="V37" s="117" t="inlineStr">
        <is>
          <t>SPEND_ACQ_N1</t>
        </is>
      </c>
      <c r="W37" s="117" t="inlineStr">
        <is>
          <t>MARGE_EBITDA_N1</t>
        </is>
      </c>
      <c r="X37" s="117" t="inlineStr">
        <is>
          <t>PLACES_N1</t>
        </is>
      </c>
      <c r="Y37" s="117" t="inlineStr">
        <is>
          <t>INSCRITS_N1</t>
        </is>
      </c>
      <c r="Z37" s="117" t="inlineStr">
        <is>
          <t>EFFECTIFS_N1</t>
        </is>
      </c>
      <c r="AA37" s="118" t="inlineStr">
        <is>
          <t>PCT_NOUVEAUX_INSCRITS</t>
        </is>
      </c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19" t="n">
        <v>2</v>
      </c>
      <c r="C38" s="120" t="inlineStr">
        <is>
          <t>EDUSERVICES</t>
        </is>
      </c>
      <c r="D38" s="121" t="n"/>
      <c r="E38" s="122" t="n"/>
      <c r="F38" s="123">
        <f>SUBTOTAL(9,F39:F87)</f>
        <v/>
      </c>
      <c r="G38" s="137">
        <f>IFERROR((F38-T38)/T38,"")</f>
        <v/>
      </c>
      <c r="H38" s="123">
        <f>SUBTOTAL(9,H39:H87)</f>
        <v/>
      </c>
      <c r="I38" s="137">
        <f>IFERROR((H38-S38)/S38,"")</f>
        <v/>
      </c>
      <c r="J38" s="125">
        <f>SUBTOTAL(9,J39:J87)</f>
        <v/>
      </c>
      <c r="K38" s="125">
        <f>IFERROR(H38/F38,"")</f>
        <v/>
      </c>
      <c r="L38" s="138">
        <f>IFERROR((K38-W38)*100,"")</f>
        <v/>
      </c>
      <c r="M38" s="123">
        <f>SUBTOTAL(9,M39:M87)</f>
        <v/>
      </c>
      <c r="N38" s="127">
        <f>IFERROR(P38/Q38,"")</f>
        <v/>
      </c>
      <c r="O38" s="127">
        <f>IFERROR(R38/P38,"")</f>
        <v/>
      </c>
      <c r="P38" s="123">
        <f>SUBTOTAL(9,P39:P87)</f>
        <v/>
      </c>
      <c r="Q38" s="123">
        <f>SUBTOTAL(9,Q39:Q87)</f>
        <v/>
      </c>
      <c r="R38" s="6">
        <f>SUBTOTAL(9,R39:R87)</f>
        <v/>
      </c>
      <c r="S38" s="6">
        <f>SUBTOTAL(9,S39:S87)</f>
        <v/>
      </c>
      <c r="T38" s="6">
        <f>SUBTOTAL(9,T39:T87)</f>
        <v/>
      </c>
      <c r="U38" s="6">
        <f>SUBTOTAL(9,U39:U87)</f>
        <v/>
      </c>
      <c r="V38" s="6">
        <f>SUBTOTAL(9,V39:V87)</f>
        <v/>
      </c>
      <c r="W38" s="6">
        <f>IFERROR(S38/T38,"")</f>
        <v/>
      </c>
      <c r="X38" s="6">
        <f>SUBTOTAL(9,X39:X87)</f>
        <v/>
      </c>
      <c r="Y38" s="6">
        <f>SUBTOTAL(9,Y39:Y87)</f>
        <v/>
      </c>
      <c r="Z38" s="6">
        <f>SUBTOTAL(9,Z39:Z87)</f>
        <v/>
      </c>
      <c r="AA38">
        <f>IFERROR((M38-Y38)/Y38,"")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28" t="n">
        <v>3</v>
      </c>
      <c r="C39" s="120" t="inlineStr">
        <is>
          <t>Ipac Bachelor Factory</t>
        </is>
      </c>
      <c r="D39" s="121" t="n"/>
      <c r="E39" s="122" t="n"/>
      <c r="F39" s="123">
        <f>SUBTOTAL(9,F40:F45)</f>
        <v/>
      </c>
      <c r="G39" s="137">
        <f>IFERROR((F39-T39)/T39,"")</f>
        <v/>
      </c>
      <c r="H39" s="123">
        <f>SUBTOTAL(9,H40:H45)</f>
        <v/>
      </c>
      <c r="I39" s="137">
        <f>IFERROR((H39-S39)/S39,"")</f>
        <v/>
      </c>
      <c r="J39" s="125">
        <f>SUBTOTAL(9,J40:J45)</f>
        <v/>
      </c>
      <c r="K39" s="125">
        <f>IFERROR(H39/F39,"")</f>
        <v/>
      </c>
      <c r="L39" s="138">
        <f>IFERROR((K39-W39)*100,"")</f>
        <v/>
      </c>
      <c r="M39" s="123">
        <f>SUBTOTAL(9,M40:M45)</f>
        <v/>
      </c>
      <c r="N39" s="125">
        <f>IFERROR(P39/Q39,"")</f>
        <v/>
      </c>
      <c r="O39" s="125">
        <f>IFERROR(R39/P39,"")</f>
        <v/>
      </c>
      <c r="P39" s="123">
        <f>SUBTOTAL(9,P40:P45)</f>
        <v/>
      </c>
      <c r="Q39" s="123">
        <f>SUBTOTAL(9,Q40:Q45)</f>
        <v/>
      </c>
      <c r="R39" s="6">
        <f>SUBTOTAL(9,R40:R45)</f>
        <v/>
      </c>
      <c r="S39" s="6">
        <f>SUBTOTAL(9,S40:S45)</f>
        <v/>
      </c>
      <c r="T39" s="6">
        <f>SUBTOTAL(9,T40:T45)</f>
        <v/>
      </c>
      <c r="U39" s="6">
        <f>SUBTOTAL(9,U40:U45)</f>
        <v/>
      </c>
      <c r="V39" s="6">
        <f>SUBTOTAL(9,V40:V45)</f>
        <v/>
      </c>
      <c r="W39" s="6">
        <f>IFERROR(S39/T39,"")</f>
        <v/>
      </c>
      <c r="X39" s="6">
        <f>SUBTOTAL(9,X40:X45)</f>
        <v/>
      </c>
      <c r="Y39" s="6">
        <f>SUBTOTAL(9,Y40:Y45)</f>
        <v/>
      </c>
      <c r="Z39" s="6">
        <f>SUBTOTAL(9,Z40:Z45)</f>
        <v/>
      </c>
      <c r="AA39" s="6">
        <f>IFERROR((M39-Y39)/Y39,"")</f>
        <v/>
      </c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28" t="n">
        <v>4</v>
      </c>
      <c r="C40" s="120" t="inlineStr">
        <is>
          <t>Ipac Bachelor Factory Montpellier</t>
        </is>
      </c>
      <c r="D40" s="121" t="n"/>
      <c r="E40" s="122" t="n"/>
      <c r="F40" s="123">
        <f>SUBTOTAL(9,F41:F41)</f>
        <v/>
      </c>
      <c r="G40" s="137">
        <f>IFERROR((F40-T40)/T40,"")</f>
        <v/>
      </c>
      <c r="H40" s="123">
        <f>SUBTOTAL(9,H41:H41)</f>
        <v/>
      </c>
      <c r="I40" s="137">
        <f>IFERROR((H40-S40)/S40,"")</f>
        <v/>
      </c>
      <c r="J40" s="125">
        <f>SUBTOTAL(9,J41:J41)</f>
        <v/>
      </c>
      <c r="K40" s="125">
        <f>IFERROR(H40/F40,"")</f>
        <v/>
      </c>
      <c r="L40" s="138">
        <f>IFERROR((K40-W40)*100,"")</f>
        <v/>
      </c>
      <c r="M40" s="123">
        <f>SUBTOTAL(9,M41:M41)</f>
        <v/>
      </c>
      <c r="N40" s="125">
        <f>IFERROR(P40/Q40,"")</f>
        <v/>
      </c>
      <c r="O40" s="125">
        <f>IFERROR(R40/P40,"")</f>
        <v/>
      </c>
      <c r="P40" s="123">
        <f>SUBTOTAL(9,P41:P41)</f>
        <v/>
      </c>
      <c r="Q40" s="123">
        <f>SUBTOTAL(9,Q41:Q41)</f>
        <v/>
      </c>
      <c r="R40" s="6">
        <f>SUBTOTAL(9,R41:R41)</f>
        <v/>
      </c>
      <c r="S40" s="6">
        <f>SUBTOTAL(9,S41:S41)</f>
        <v/>
      </c>
      <c r="T40" s="6">
        <f>SUBTOTAL(9,T41:T41)</f>
        <v/>
      </c>
      <c r="U40" s="6">
        <f>SUBTOTAL(9,U41:U41)</f>
        <v/>
      </c>
      <c r="V40" s="6">
        <f>SUBTOTAL(9,V41:V41)</f>
        <v/>
      </c>
      <c r="W40" s="6">
        <f>IFERROR(S40/T40,"")</f>
        <v/>
      </c>
      <c r="X40" s="6">
        <f>SUBTOTAL(9,X41:X41)</f>
        <v/>
      </c>
      <c r="Y40" s="6">
        <f>SUBTOTAL(9,Y41:Y41)</f>
        <v/>
      </c>
      <c r="Z40" s="6">
        <f>SUBTOTAL(9,Z41:Z41)</f>
        <v/>
      </c>
      <c r="AA40" s="6">
        <f>IFERROR((M40-Y40)/Y40,"")</f>
        <v/>
      </c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28" t="n">
        <v>5</v>
      </c>
      <c r="C41" s="120" t="n"/>
      <c r="D41" s="121" t="inlineStr">
        <is>
          <t>BAC_CCE</t>
        </is>
      </c>
      <c r="E41" s="122" t="inlineStr">
        <is>
          <t>Alternance</t>
        </is>
      </c>
      <c r="F41" s="123" t="n">
        <v>781650</v>
      </c>
      <c r="G41" s="137">
        <f>IFERROR((F41-T41)/T41,"")</f>
        <v/>
      </c>
      <c r="H41" s="123" t="n">
        <v>107889.5143840583</v>
      </c>
      <c r="I41" s="137">
        <f>IFERROR((H41-S41)/S41,"")</f>
        <v/>
      </c>
      <c r="J41" s="125" t="n">
        <v>0.02805392756846293</v>
      </c>
      <c r="K41" s="125">
        <f>IFERROR(H41/F41,"")</f>
        <v/>
      </c>
      <c r="L41" s="138">
        <f>IFERROR((K41-W41)*100,"")</f>
        <v/>
      </c>
      <c r="M41" s="123" t="n">
        <v>40</v>
      </c>
      <c r="N41" s="125">
        <f>IFERROR(P41/Q41,"")</f>
        <v/>
      </c>
      <c r="O41" s="125">
        <f>IFERROR(R41/P41,"")</f>
        <v/>
      </c>
      <c r="P41" s="123" t="n">
        <v>117</v>
      </c>
      <c r="Q41" s="123" t="n">
        <v>192</v>
      </c>
      <c r="R41" s="6" t="n">
        <v>117</v>
      </c>
      <c r="S41" s="6" t="n">
        <v>93787.67525796837</v>
      </c>
      <c r="T41" s="6" t="n">
        <v>741570</v>
      </c>
      <c r="U41" s="6" t="n">
        <v>15178</v>
      </c>
      <c r="V41" s="6" t="n">
        <v>13798</v>
      </c>
      <c r="W41" s="6">
        <f>IFERROR(S41/T41,"")</f>
        <v/>
      </c>
      <c r="X41" s="6" t="n">
        <v>192</v>
      </c>
      <c r="Y41" s="6" t="n">
        <v>38</v>
      </c>
      <c r="Z41" s="6" t="n">
        <v>111</v>
      </c>
      <c r="AA41" s="6">
        <f>IFERROR((M41-Y41)/Y41,"")</f>
        <v/>
      </c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28" t="n">
        <v>4</v>
      </c>
      <c r="C42" s="120" t="inlineStr">
        <is>
          <t>Ipac Bachelor Factory Nantes</t>
        </is>
      </c>
      <c r="D42" s="121" t="n"/>
      <c r="E42" s="122" t="n"/>
      <c r="F42" s="123">
        <f>SUBTOTAL(9,F43:F43)</f>
        <v/>
      </c>
      <c r="G42" s="137">
        <f>IFERROR((F42-T42)/T42,"")</f>
        <v/>
      </c>
      <c r="H42" s="123">
        <f>SUBTOTAL(9,H43:H43)</f>
        <v/>
      </c>
      <c r="I42" s="137">
        <f>IFERROR((H42-S42)/S42,"")</f>
        <v/>
      </c>
      <c r="J42" s="125">
        <f>SUBTOTAL(9,J43:J43)</f>
        <v/>
      </c>
      <c r="K42" s="125">
        <f>IFERROR(H42/F42,"")</f>
        <v/>
      </c>
      <c r="L42" s="138">
        <f>IFERROR((K42-W42)*100,"")</f>
        <v/>
      </c>
      <c r="M42" s="123">
        <f>SUBTOTAL(9,M43:M43)</f>
        <v/>
      </c>
      <c r="N42" s="125">
        <f>IFERROR(P42/Q42,"")</f>
        <v/>
      </c>
      <c r="O42" s="125">
        <f>IFERROR(R42/P42,"")</f>
        <v/>
      </c>
      <c r="P42" s="123">
        <f>SUBTOTAL(9,P43:P43)</f>
        <v/>
      </c>
      <c r="Q42" s="123">
        <f>SUBTOTAL(9,Q43:Q43)</f>
        <v/>
      </c>
      <c r="R42" s="6">
        <f>SUBTOTAL(9,R43:R43)</f>
        <v/>
      </c>
      <c r="S42" s="6">
        <f>SUBTOTAL(9,S43:S43)</f>
        <v/>
      </c>
      <c r="T42" s="6">
        <f>SUBTOTAL(9,T43:T43)</f>
        <v/>
      </c>
      <c r="U42" s="6">
        <f>SUBTOTAL(9,U43:U43)</f>
        <v/>
      </c>
      <c r="V42" s="6">
        <f>SUBTOTAL(9,V43:V43)</f>
        <v/>
      </c>
      <c r="W42" s="6">
        <f>IFERROR(S42/T42,"")</f>
        <v/>
      </c>
      <c r="X42" s="6">
        <f>SUBTOTAL(9,X43:X43)</f>
        <v/>
      </c>
      <c r="Y42" s="6">
        <f>SUBTOTAL(9,Y43:Y43)</f>
        <v/>
      </c>
      <c r="Z42" s="6">
        <f>SUBTOTAL(9,Z43:Z43)</f>
        <v/>
      </c>
      <c r="AA42" s="6">
        <f>IFERROR((M42-Y42)/Y42,"")</f>
        <v/>
      </c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28" t="n">
        <v>5</v>
      </c>
      <c r="C43" s="120" t="n"/>
      <c r="D43" s="121" t="inlineStr">
        <is>
          <t>BAC_CCE</t>
        </is>
      </c>
      <c r="E43" s="122" t="inlineStr">
        <is>
          <t>Alternance</t>
        </is>
      </c>
      <c r="F43" s="123" t="n">
        <v>1019500</v>
      </c>
      <c r="G43" s="137">
        <f>IFERROR((F43-T43)/T43,"")</f>
        <v/>
      </c>
      <c r="H43" s="123" t="n">
        <v>149897.0666309474</v>
      </c>
      <c r="I43" s="137">
        <f>IFERROR((H43-S43)/S43,"")</f>
        <v/>
      </c>
      <c r="J43" s="125" t="n">
        <v>0.03897692443975833</v>
      </c>
      <c r="K43" s="125">
        <f>IFERROR(H43/F43,"")</f>
        <v/>
      </c>
      <c r="L43" s="138">
        <f>IFERROR((K43-W43)*100,"")</f>
        <v/>
      </c>
      <c r="M43" s="123" t="n">
        <v>50</v>
      </c>
      <c r="N43" s="125">
        <f>IFERROR(P43/Q43,"")</f>
        <v/>
      </c>
      <c r="O43" s="125">
        <f>IFERROR(R43/P43,"")</f>
        <v/>
      </c>
      <c r="P43" s="123" t="n">
        <v>145</v>
      </c>
      <c r="Q43" s="123" t="n">
        <v>192</v>
      </c>
      <c r="R43" s="6" t="n">
        <v>145</v>
      </c>
      <c r="S43" s="6" t="n">
        <v>129574.6177060797</v>
      </c>
      <c r="T43" s="6" t="n">
        <v>956230</v>
      </c>
      <c r="U43" s="6" t="n">
        <v>21760</v>
      </c>
      <c r="V43" s="6" t="n">
        <v>19782</v>
      </c>
      <c r="W43" s="6">
        <f>IFERROR(S43/T43,"")</f>
        <v/>
      </c>
      <c r="X43" s="6" t="n">
        <v>192</v>
      </c>
      <c r="Y43" s="6" t="n">
        <v>47</v>
      </c>
      <c r="Z43" s="6" t="n">
        <v>136</v>
      </c>
      <c r="AA43" s="6">
        <f>IFERROR((M43-Y43)/Y43,"")</f>
        <v/>
      </c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28" t="n">
        <v>4</v>
      </c>
      <c r="C44" s="120" t="inlineStr">
        <is>
          <t>Ipac Bachelor Factory Rennes</t>
        </is>
      </c>
      <c r="D44" s="121" t="n"/>
      <c r="E44" s="122" t="n"/>
      <c r="F44" s="123">
        <f>SUBTOTAL(9,F45:F45)</f>
        <v/>
      </c>
      <c r="G44" s="137">
        <f>IFERROR((F44-T44)/T44,"")</f>
        <v/>
      </c>
      <c r="H44" s="123">
        <f>SUBTOTAL(9,H45:H45)</f>
        <v/>
      </c>
      <c r="I44" s="137">
        <f>IFERROR((H44-S44)/S44,"")</f>
        <v/>
      </c>
      <c r="J44" s="125">
        <f>SUBTOTAL(9,J45:J45)</f>
        <v/>
      </c>
      <c r="K44" s="125">
        <f>IFERROR(H44/F44,"")</f>
        <v/>
      </c>
      <c r="L44" s="138">
        <f>IFERROR((K44-W44)*100,"")</f>
        <v/>
      </c>
      <c r="M44" s="123">
        <f>SUBTOTAL(9,M45:M45)</f>
        <v/>
      </c>
      <c r="N44" s="125">
        <f>IFERROR(P44/Q44,"")</f>
        <v/>
      </c>
      <c r="O44" s="125">
        <f>IFERROR(R44/P44,"")</f>
        <v/>
      </c>
      <c r="P44" s="123">
        <f>SUBTOTAL(9,P45:P45)</f>
        <v/>
      </c>
      <c r="Q44" s="123">
        <f>SUBTOTAL(9,Q45:Q45)</f>
        <v/>
      </c>
      <c r="R44" s="6">
        <f>SUBTOTAL(9,R45:R45)</f>
        <v/>
      </c>
      <c r="S44" s="6">
        <f>SUBTOTAL(9,S45:S45)</f>
        <v/>
      </c>
      <c r="T44" s="6">
        <f>SUBTOTAL(9,T45:T45)</f>
        <v/>
      </c>
      <c r="U44" s="6">
        <f>SUBTOTAL(9,U45:U45)</f>
        <v/>
      </c>
      <c r="V44" s="6">
        <f>SUBTOTAL(9,V45:V45)</f>
        <v/>
      </c>
      <c r="W44" s="6">
        <f>IFERROR(S44/T44,"")</f>
        <v/>
      </c>
      <c r="X44" s="6">
        <f>SUBTOTAL(9,X45:X45)</f>
        <v/>
      </c>
      <c r="Y44" s="6">
        <f>SUBTOTAL(9,Y45:Y45)</f>
        <v/>
      </c>
      <c r="Z44" s="6">
        <f>SUBTOTAL(9,Z45:Z45)</f>
        <v/>
      </c>
      <c r="AA44" s="6">
        <f>IFERROR((M44-Y44)/Y44,"")</f>
        <v/>
      </c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28" t="n">
        <v>5</v>
      </c>
      <c r="C45" s="120" t="n"/>
      <c r="D45" s="121" t="inlineStr">
        <is>
          <t>BAC_CCE</t>
        </is>
      </c>
      <c r="E45" s="122" t="inlineStr">
        <is>
          <t>Alternance</t>
        </is>
      </c>
      <c r="F45" s="123" t="n">
        <v>781650</v>
      </c>
      <c r="G45" s="137">
        <f>IFERROR((F45-T45)/T45,"")</f>
        <v/>
      </c>
      <c r="H45" s="123" t="n">
        <v>107889.5143840583</v>
      </c>
      <c r="I45" s="137">
        <f>IFERROR((H45-S45)/S45,"")</f>
        <v/>
      </c>
      <c r="J45" s="125" t="n">
        <v>0.02805392756846293</v>
      </c>
      <c r="K45" s="125">
        <f>IFERROR(H45/F45,"")</f>
        <v/>
      </c>
      <c r="L45" s="138">
        <f>IFERROR((K45-W45)*100,"")</f>
        <v/>
      </c>
      <c r="M45" s="123" t="n">
        <v>40</v>
      </c>
      <c r="N45" s="125">
        <f>IFERROR(P45/Q45,"")</f>
        <v/>
      </c>
      <c r="O45" s="125">
        <f>IFERROR(R45/P45,"")</f>
        <v/>
      </c>
      <c r="P45" s="123" t="n">
        <v>117</v>
      </c>
      <c r="Q45" s="123" t="n">
        <v>192</v>
      </c>
      <c r="R45" s="6" t="n">
        <v>117</v>
      </c>
      <c r="S45" s="6" t="n">
        <v>93787.65525796846</v>
      </c>
      <c r="T45" s="6" t="n">
        <v>741570</v>
      </c>
      <c r="U45" s="6" t="n">
        <v>14933</v>
      </c>
      <c r="V45" s="6" t="n">
        <v>13575</v>
      </c>
      <c r="W45" s="6">
        <f>IFERROR(S45/T45,"")</f>
        <v/>
      </c>
      <c r="X45" s="6" t="n">
        <v>192</v>
      </c>
      <c r="Y45" s="6" t="n">
        <v>38</v>
      </c>
      <c r="Z45" s="6" t="n">
        <v>111</v>
      </c>
      <c r="AA45" s="6">
        <f>IFERROR((M45-Y45)/Y45,"")</f>
        <v/>
      </c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28" t="n">
        <v>3</v>
      </c>
      <c r="C46" s="120" t="inlineStr">
        <is>
          <t>ISCOM</t>
        </is>
      </c>
      <c r="D46" s="121" t="n"/>
      <c r="E46" s="122" t="n"/>
      <c r="F46" s="123">
        <f>SUBTOTAL(9,F47:F58)</f>
        <v/>
      </c>
      <c r="G46" s="137">
        <f>IFERROR((F46-T46)/T46,"")</f>
        <v/>
      </c>
      <c r="H46" s="123">
        <f>SUBTOTAL(9,H47:H58)</f>
        <v/>
      </c>
      <c r="I46" s="137">
        <f>IFERROR((H46-S46)/S46,"")</f>
        <v/>
      </c>
      <c r="J46" s="125">
        <f>SUBTOTAL(9,J47:J58)</f>
        <v/>
      </c>
      <c r="K46" s="125">
        <f>IFERROR(H46/F46,"")</f>
        <v/>
      </c>
      <c r="L46" s="138">
        <f>IFERROR((K46-W46)*100,"")</f>
        <v/>
      </c>
      <c r="M46" s="123">
        <f>SUBTOTAL(9,M47:M58)</f>
        <v/>
      </c>
      <c r="N46" s="125">
        <f>IFERROR(P46/Q46,"")</f>
        <v/>
      </c>
      <c r="O46" s="125">
        <f>IFERROR(R46/P46,"")</f>
        <v/>
      </c>
      <c r="P46" s="123">
        <f>SUBTOTAL(9,P47:P58)</f>
        <v/>
      </c>
      <c r="Q46" s="123">
        <f>SUBTOTAL(9,Q47:Q58)</f>
        <v/>
      </c>
      <c r="R46" s="6">
        <f>SUBTOTAL(9,R47:R58)</f>
        <v/>
      </c>
      <c r="S46" s="6">
        <f>SUBTOTAL(9,S47:S58)</f>
        <v/>
      </c>
      <c r="T46" s="6">
        <f>SUBTOTAL(9,T47:T58)</f>
        <v/>
      </c>
      <c r="U46" s="6">
        <f>SUBTOTAL(9,U47:U58)</f>
        <v/>
      </c>
      <c r="V46" s="6">
        <f>SUBTOTAL(9,V47:V58)</f>
        <v/>
      </c>
      <c r="W46" s="6">
        <f>IFERROR(S46/T46,"")</f>
        <v/>
      </c>
      <c r="X46" s="6">
        <f>SUBTOTAL(9,X47:X58)</f>
        <v/>
      </c>
      <c r="Y46" s="6">
        <f>SUBTOTAL(9,Y47:Y58)</f>
        <v/>
      </c>
      <c r="Z46" s="6">
        <f>SUBTOTAL(9,Z47:Z58)</f>
        <v/>
      </c>
      <c r="AA46" s="6">
        <f>IFERROR((M46-Y46)/Y46,"")</f>
        <v/>
      </c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28" t="n">
        <v>4</v>
      </c>
      <c r="C47" s="120" t="inlineStr">
        <is>
          <t>ISCOM Lille</t>
        </is>
      </c>
      <c r="D47" s="121" t="n"/>
      <c r="E47" s="122" t="n"/>
      <c r="F47" s="123">
        <f>SUBTOTAL(9,F48:F50)</f>
        <v/>
      </c>
      <c r="G47" s="137">
        <f>IFERROR((F47-T47)/T47,"")</f>
        <v/>
      </c>
      <c r="H47" s="123">
        <f>SUBTOTAL(9,H48:H50)</f>
        <v/>
      </c>
      <c r="I47" s="137">
        <f>IFERROR((H47-S47)/S47,"")</f>
        <v/>
      </c>
      <c r="J47" s="125">
        <f>SUBTOTAL(9,J48:J50)</f>
        <v/>
      </c>
      <c r="K47" s="125">
        <f>IFERROR(H47/F47,"")</f>
        <v/>
      </c>
      <c r="L47" s="138">
        <f>IFERROR((K47-W47)*100,"")</f>
        <v/>
      </c>
      <c r="M47" s="123">
        <f>SUBTOTAL(9,M48:M50)</f>
        <v/>
      </c>
      <c r="N47" s="125">
        <f>IFERROR(P47/Q47,"")</f>
        <v/>
      </c>
      <c r="O47" s="125">
        <f>IFERROR(R47/P47,"")</f>
        <v/>
      </c>
      <c r="P47" s="123">
        <f>SUBTOTAL(9,P48:P50)</f>
        <v/>
      </c>
      <c r="Q47" s="123">
        <f>SUBTOTAL(9,Q48:Q50)</f>
        <v/>
      </c>
      <c r="R47" s="6">
        <f>SUBTOTAL(9,R48:R50)</f>
        <v/>
      </c>
      <c r="S47" s="6">
        <f>SUBTOTAL(9,S48:S50)</f>
        <v/>
      </c>
      <c r="T47" s="6">
        <f>SUBTOTAL(9,T48:T50)</f>
        <v/>
      </c>
      <c r="U47" s="6">
        <f>SUBTOTAL(9,U48:U50)</f>
        <v/>
      </c>
      <c r="V47" s="6">
        <f>SUBTOTAL(9,V48:V50)</f>
        <v/>
      </c>
      <c r="W47" s="6">
        <f>IFERROR(S47/T47,"")</f>
        <v/>
      </c>
      <c r="X47" s="6">
        <f>SUBTOTAL(9,X48:X50)</f>
        <v/>
      </c>
      <c r="Y47" s="6">
        <f>SUBTOTAL(9,Y48:Y50)</f>
        <v/>
      </c>
      <c r="Z47" s="6">
        <f>SUBTOTAL(9,Z48:Z50)</f>
        <v/>
      </c>
      <c r="AA47" s="6">
        <f>IFERROR((M47-Y47)/Y47,"")</f>
        <v/>
      </c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28" t="n">
        <v>5</v>
      </c>
      <c r="C48" s="120" t="n"/>
      <c r="D48" s="121" t="inlineStr">
        <is>
          <t>BAC_COM</t>
        </is>
      </c>
      <c r="E48" s="122" t="inlineStr">
        <is>
          <t>Alternance</t>
        </is>
      </c>
      <c r="F48" s="123" t="n">
        <v>651700</v>
      </c>
      <c r="G48" s="137">
        <f>IFERROR((F48-T48)/T48,"")</f>
        <v/>
      </c>
      <c r="H48" s="123" t="n">
        <v>80890.11931545741</v>
      </c>
      <c r="I48" s="137">
        <f>IFERROR((H48-S48)/S48,"")</f>
        <v/>
      </c>
      <c r="J48" s="125" t="n">
        <v>0.02103342072893299</v>
      </c>
      <c r="K48" s="125">
        <f>IFERROR(H48/F48,"")</f>
        <v/>
      </c>
      <c r="L48" s="138">
        <f>IFERROR((K48-W48)*100,"")</f>
        <v/>
      </c>
      <c r="M48" s="123" t="n">
        <v>0</v>
      </c>
      <c r="N48" s="125">
        <f>IFERROR(P48/Q48,"")</f>
        <v/>
      </c>
      <c r="O48" s="125">
        <f>IFERROR(R48/P48,"")</f>
        <v/>
      </c>
      <c r="P48" s="123" t="n">
        <v>95</v>
      </c>
      <c r="Q48" s="123" t="n">
        <v>128</v>
      </c>
      <c r="R48" s="6" t="n">
        <v>95</v>
      </c>
      <c r="S48" s="6" t="n">
        <v>70982.76073430222</v>
      </c>
      <c r="T48" s="6" t="n">
        <v>610540</v>
      </c>
      <c r="U48" s="6" t="n">
        <v>0</v>
      </c>
      <c r="V48" s="6" t="n">
        <v>0</v>
      </c>
      <c r="W48" s="6">
        <f>IFERROR(S48/T48,"")</f>
        <v/>
      </c>
      <c r="X48" s="6" t="n">
        <v>128</v>
      </c>
      <c r="Y48" s="6" t="n">
        <v>0</v>
      </c>
      <c r="Z48" s="6" t="n">
        <v>89</v>
      </c>
      <c r="AA48" s="6">
        <f>IFERROR((M48-Y48)/Y48,"")</f>
        <v/>
      </c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28" t="n">
        <v>5</v>
      </c>
      <c r="C49" s="120" t="n"/>
      <c r="D49" s="121" t="inlineStr">
        <is>
          <t>BAC_COM</t>
        </is>
      </c>
      <c r="E49" s="122" t="inlineStr">
        <is>
          <t>Initial</t>
        </is>
      </c>
      <c r="F49" s="123" t="n">
        <v>372000</v>
      </c>
      <c r="G49" s="137">
        <f>IFERROR((F49-T49)/T49,"")</f>
        <v/>
      </c>
      <c r="H49" s="123" t="n">
        <v>71573.74700813548</v>
      </c>
      <c r="I49" s="137">
        <f>IFERROR((H49-S49)/S49,"")</f>
        <v/>
      </c>
      <c r="J49" s="125" t="n">
        <v>0.01861093476815587</v>
      </c>
      <c r="K49" s="125">
        <f>IFERROR(H49/F49,"")</f>
        <v/>
      </c>
      <c r="L49" s="138">
        <f>IFERROR((K49-W49)*100,"")</f>
        <v/>
      </c>
      <c r="M49" s="123" t="n">
        <v>50</v>
      </c>
      <c r="N49" s="125">
        <f>IFERROR(P49/Q49,"")</f>
        <v/>
      </c>
      <c r="O49" s="125">
        <f>IFERROR(R49/P49,"")</f>
        <v/>
      </c>
      <c r="P49" s="123" t="n">
        <v>50</v>
      </c>
      <c r="Q49" s="123" t="n">
        <v>64</v>
      </c>
      <c r="R49" s="6" t="n">
        <v>0</v>
      </c>
      <c r="S49" s="6" t="n">
        <v>64745.27814058657</v>
      </c>
      <c r="T49" s="6" t="n">
        <v>349680</v>
      </c>
      <c r="U49" s="6" t="n">
        <v>8220</v>
      </c>
      <c r="V49" s="6" t="n">
        <v>7473</v>
      </c>
      <c r="W49" s="6">
        <f>IFERROR(S49/T49,"")</f>
        <v/>
      </c>
      <c r="X49" s="6" t="n">
        <v>64</v>
      </c>
      <c r="Y49" s="6" t="n">
        <v>47</v>
      </c>
      <c r="Z49" s="6" t="n">
        <v>47</v>
      </c>
      <c r="AA49" s="6">
        <f>IFERROR((M49-Y49)/Y49,"")</f>
        <v/>
      </c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28" t="n">
        <v>5</v>
      </c>
      <c r="C50" s="120" t="n"/>
      <c r="D50" s="121" t="inlineStr">
        <is>
          <t>MAS_COM</t>
        </is>
      </c>
      <c r="E50" s="122" t="inlineStr">
        <is>
          <t>Alternance</t>
        </is>
      </c>
      <c r="F50" s="123" t="n">
        <v>732150</v>
      </c>
      <c r="G50" s="137">
        <f>IFERROR((F50-T50)/T50,"")</f>
        <v/>
      </c>
      <c r="H50" s="123" t="n">
        <v>137306.0190761082</v>
      </c>
      <c r="I50" s="137">
        <f>IFERROR((H50-S50)/S50,"")</f>
        <v/>
      </c>
      <c r="J50" s="125" t="n">
        <v>0.03570294236530826</v>
      </c>
      <c r="K50" s="125">
        <f>IFERROR(H50/F50,"")</f>
        <v/>
      </c>
      <c r="L50" s="138">
        <f>IFERROR((K50-W50)*100,"")</f>
        <v/>
      </c>
      <c r="M50" s="123" t="n">
        <v>50</v>
      </c>
      <c r="N50" s="125">
        <f>IFERROR(P50/Q50,"")</f>
        <v/>
      </c>
      <c r="O50" s="125">
        <f>IFERROR(R50/P50,"")</f>
        <v/>
      </c>
      <c r="P50" s="123" t="n">
        <v>99</v>
      </c>
      <c r="Q50" s="123" t="n">
        <v>104</v>
      </c>
      <c r="R50" s="6" t="n">
        <v>99</v>
      </c>
      <c r="S50" s="6" t="n">
        <v>123972.997171799</v>
      </c>
      <c r="T50" s="6" t="n">
        <v>687780</v>
      </c>
      <c r="U50" s="6" t="n">
        <v>17000</v>
      </c>
      <c r="V50" s="6" t="n">
        <v>15454</v>
      </c>
      <c r="W50" s="6">
        <f>IFERROR(S50/T50,"")</f>
        <v/>
      </c>
      <c r="X50" s="6" t="n">
        <v>104</v>
      </c>
      <c r="Y50" s="6" t="n">
        <v>47</v>
      </c>
      <c r="Z50" s="6" t="n">
        <v>93</v>
      </c>
      <c r="AA50" s="6">
        <f>IFERROR((M50-Y50)/Y50,"")</f>
        <v/>
      </c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28" t="n">
        <v>4</v>
      </c>
      <c r="C51" s="120" t="inlineStr">
        <is>
          <t>ISCOM Paris</t>
        </is>
      </c>
      <c r="D51" s="121" t="n"/>
      <c r="E51" s="122" t="n"/>
      <c r="F51" s="123">
        <f>SUBTOTAL(9,F52:F54)</f>
        <v/>
      </c>
      <c r="G51" s="137">
        <f>IFERROR((F51-T51)/T51,"")</f>
        <v/>
      </c>
      <c r="H51" s="123">
        <f>SUBTOTAL(9,H52:H54)</f>
        <v/>
      </c>
      <c r="I51" s="137">
        <f>IFERROR((H51-S51)/S51,"")</f>
        <v/>
      </c>
      <c r="J51" s="125">
        <f>SUBTOTAL(9,J52:J54)</f>
        <v/>
      </c>
      <c r="K51" s="125">
        <f>IFERROR(H51/F51,"")</f>
        <v/>
      </c>
      <c r="L51" s="138">
        <f>IFERROR((K51-W51)*100,"")</f>
        <v/>
      </c>
      <c r="M51" s="123">
        <f>SUBTOTAL(9,M52:M54)</f>
        <v/>
      </c>
      <c r="N51" s="125">
        <f>IFERROR(P51/Q51,"")</f>
        <v/>
      </c>
      <c r="O51" s="125">
        <f>IFERROR(R51/P51,"")</f>
        <v/>
      </c>
      <c r="P51" s="123">
        <f>SUBTOTAL(9,P52:P54)</f>
        <v/>
      </c>
      <c r="Q51" s="123">
        <f>SUBTOTAL(9,Q52:Q54)</f>
        <v/>
      </c>
      <c r="R51" s="6">
        <f>SUBTOTAL(9,R52:R54)</f>
        <v/>
      </c>
      <c r="S51" s="6">
        <f>SUBTOTAL(9,S52:S54)</f>
        <v/>
      </c>
      <c r="T51" s="6">
        <f>SUBTOTAL(9,T52:T54)</f>
        <v/>
      </c>
      <c r="U51" s="6">
        <f>SUBTOTAL(9,U52:U54)</f>
        <v/>
      </c>
      <c r="V51" s="6">
        <f>SUBTOTAL(9,V52:V54)</f>
        <v/>
      </c>
      <c r="W51" s="6">
        <f>IFERROR(S51/T51,"")</f>
        <v/>
      </c>
      <c r="X51" s="6">
        <f>SUBTOTAL(9,X52:X54)</f>
        <v/>
      </c>
      <c r="Y51" s="6">
        <f>SUBTOTAL(9,Y52:Y54)</f>
        <v/>
      </c>
      <c r="Z51" s="6">
        <f>SUBTOTAL(9,Z52:Z54)</f>
        <v/>
      </c>
      <c r="AA51" s="6">
        <f>IFERROR((M51-Y51)/Y51,"")</f>
        <v/>
      </c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28" t="n">
        <v>5</v>
      </c>
      <c r="C52" s="120" t="n"/>
      <c r="D52" s="121" t="inlineStr">
        <is>
          <t>BAC_COM</t>
        </is>
      </c>
      <c r="E52" s="122" t="inlineStr">
        <is>
          <t>Alternance</t>
        </is>
      </c>
      <c r="F52" s="123" t="n">
        <v>1089760</v>
      </c>
      <c r="G52" s="137">
        <f>IFERROR((F52-T52)/T52,"")</f>
        <v/>
      </c>
      <c r="H52" s="123" t="n">
        <v>154399.4500625439</v>
      </c>
      <c r="I52" s="137">
        <f>IFERROR((H52-S52)/S52,"")</f>
        <v/>
      </c>
      <c r="J52" s="125" t="n">
        <v>0.04014765488002916</v>
      </c>
      <c r="K52" s="125">
        <f>IFERROR(H52/F52,"")</f>
        <v/>
      </c>
      <c r="L52" s="138">
        <f>IFERROR((K52-W52)*100,"")</f>
        <v/>
      </c>
      <c r="M52" s="123" t="n">
        <v>0</v>
      </c>
      <c r="N52" s="125">
        <f>IFERROR(P52/Q52,"")</f>
        <v/>
      </c>
      <c r="O52" s="125">
        <f>IFERROR(R52/P52,"")</f>
        <v/>
      </c>
      <c r="P52" s="123" t="n">
        <v>139</v>
      </c>
      <c r="Q52" s="123" t="n">
        <v>192</v>
      </c>
      <c r="R52" s="6" t="n">
        <v>139</v>
      </c>
      <c r="S52" s="6" t="n">
        <v>137529.2384237769</v>
      </c>
      <c r="T52" s="6" t="n">
        <v>1027040</v>
      </c>
      <c r="U52" s="6" t="n">
        <v>0</v>
      </c>
      <c r="V52" s="6" t="n">
        <v>0</v>
      </c>
      <c r="W52" s="6">
        <f>IFERROR(S52/T52,"")</f>
        <v/>
      </c>
      <c r="X52" s="6" t="n">
        <v>192</v>
      </c>
      <c r="Y52" s="6" t="n">
        <v>0</v>
      </c>
      <c r="Z52" s="6" t="n">
        <v>131</v>
      </c>
      <c r="AA52" s="6">
        <f>IFERROR((M52-Y52)/Y52,"")</f>
        <v/>
      </c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28" t="n">
        <v>5</v>
      </c>
      <c r="C53" s="120" t="n"/>
      <c r="D53" s="121" t="inlineStr">
        <is>
          <t>BAC_COM</t>
        </is>
      </c>
      <c r="E53" s="122" t="inlineStr">
        <is>
          <t>Initial</t>
        </is>
      </c>
      <c r="F53" s="123" t="n">
        <v>611280</v>
      </c>
      <c r="G53" s="137">
        <f>IFERROR((F53-T53)/T53,"")</f>
        <v/>
      </c>
      <c r="H53" s="123" t="n">
        <v>126776.6935575766</v>
      </c>
      <c r="I53" s="137">
        <f>IFERROR((H53-S53)/S53,"")</f>
        <v/>
      </c>
      <c r="J53" s="125" t="n">
        <v>0.03296505873381699</v>
      </c>
      <c r="K53" s="125">
        <f>IFERROR(H53/F53,"")</f>
        <v/>
      </c>
      <c r="L53" s="138">
        <f>IFERROR((K53-W53)*100,"")</f>
        <v/>
      </c>
      <c r="M53" s="123" t="n">
        <v>72</v>
      </c>
      <c r="N53" s="125">
        <f>IFERROR(P53/Q53,"")</f>
        <v/>
      </c>
      <c r="O53" s="125">
        <f>IFERROR(R53/P53,"")</f>
        <v/>
      </c>
      <c r="P53" s="123" t="n">
        <v>72</v>
      </c>
      <c r="Q53" s="123" t="n">
        <v>96</v>
      </c>
      <c r="R53" s="6" t="n">
        <v>0</v>
      </c>
      <c r="S53" s="6" t="n">
        <v>115589.2229986017</v>
      </c>
      <c r="T53" s="6" t="n">
        <v>577320</v>
      </c>
      <c r="U53" s="6" t="n">
        <v>19954</v>
      </c>
      <c r="V53" s="6" t="n">
        <v>18140</v>
      </c>
      <c r="W53" s="6">
        <f>IFERROR(S53/T53,"")</f>
        <v/>
      </c>
      <c r="X53" s="6" t="n">
        <v>96</v>
      </c>
      <c r="Y53" s="6" t="n">
        <v>68</v>
      </c>
      <c r="Z53" s="6" t="n">
        <v>68</v>
      </c>
      <c r="AA53" s="6">
        <f>IFERROR((M53-Y53)/Y53,"")</f>
        <v/>
      </c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28" t="n">
        <v>5</v>
      </c>
      <c r="C54" s="120" t="n"/>
      <c r="D54" s="121" t="inlineStr">
        <is>
          <t>MAS_COM</t>
        </is>
      </c>
      <c r="E54" s="122" t="inlineStr">
        <is>
          <t>Alternance</t>
        </is>
      </c>
      <c r="F54" s="123" t="n">
        <v>1207680</v>
      </c>
      <c r="G54" s="137">
        <f>IFERROR((F54-T54)/T54,"")</f>
        <v/>
      </c>
      <c r="H54" s="123" t="n">
        <v>245402.5997046315</v>
      </c>
      <c r="I54" s="137">
        <f>IFERROR((H54-S54)/S54,"")</f>
        <v/>
      </c>
      <c r="J54" s="125" t="n">
        <v>0.06381071225067526</v>
      </c>
      <c r="K54" s="125">
        <f>IFERROR(H54/F54,"")</f>
        <v/>
      </c>
      <c r="L54" s="138">
        <f>IFERROR((K54-W54)*100,"")</f>
        <v/>
      </c>
      <c r="M54" s="123" t="n">
        <v>72</v>
      </c>
      <c r="N54" s="125">
        <f>IFERROR(P54/Q54,"")</f>
        <v/>
      </c>
      <c r="O54" s="125">
        <f>IFERROR(R54/P54,"")</f>
        <v/>
      </c>
      <c r="P54" s="123" t="n">
        <v>143</v>
      </c>
      <c r="Q54" s="123" t="n">
        <v>156</v>
      </c>
      <c r="R54" s="6" t="n">
        <v>143</v>
      </c>
      <c r="S54" s="6" t="n">
        <v>223448.604482518</v>
      </c>
      <c r="T54" s="6" t="n">
        <v>1140120</v>
      </c>
      <c r="U54" s="6" t="n">
        <v>40846</v>
      </c>
      <c r="V54" s="6" t="n">
        <v>37132</v>
      </c>
      <c r="W54" s="6">
        <f>IFERROR(S54/T54,"")</f>
        <v/>
      </c>
      <c r="X54" s="6" t="n">
        <v>156</v>
      </c>
      <c r="Y54" s="6" t="n">
        <v>68</v>
      </c>
      <c r="Z54" s="6" t="n">
        <v>135</v>
      </c>
      <c r="AA54" s="6">
        <f>IFERROR((M54-Y54)/Y54,"")</f>
        <v/>
      </c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28" t="n">
        <v>4</v>
      </c>
      <c r="C55" s="120" t="inlineStr">
        <is>
          <t>ISCOM Toulouse</t>
        </is>
      </c>
      <c r="D55" s="121" t="n"/>
      <c r="E55" s="122" t="n"/>
      <c r="F55" s="123">
        <f>SUBTOTAL(9,F56:F58)</f>
        <v/>
      </c>
      <c r="G55" s="137">
        <f>IFERROR((F55-T55)/T55,"")</f>
        <v/>
      </c>
      <c r="H55" s="123">
        <f>SUBTOTAL(9,H56:H58)</f>
        <v/>
      </c>
      <c r="I55" s="137">
        <f>IFERROR((H55-S55)/S55,"")</f>
        <v/>
      </c>
      <c r="J55" s="125">
        <f>SUBTOTAL(9,J56:J58)</f>
        <v/>
      </c>
      <c r="K55" s="125">
        <f>IFERROR(H55/F55,"")</f>
        <v/>
      </c>
      <c r="L55" s="138">
        <f>IFERROR((K55-W55)*100,"")</f>
        <v/>
      </c>
      <c r="M55" s="123">
        <f>SUBTOTAL(9,M56:M58)</f>
        <v/>
      </c>
      <c r="N55" s="125">
        <f>IFERROR(P55/Q55,"")</f>
        <v/>
      </c>
      <c r="O55" s="125">
        <f>IFERROR(R55/P55,"")</f>
        <v/>
      </c>
      <c r="P55" s="123">
        <f>SUBTOTAL(9,P56:P58)</f>
        <v/>
      </c>
      <c r="Q55" s="123">
        <f>SUBTOTAL(9,Q56:Q58)</f>
        <v/>
      </c>
      <c r="R55" s="6">
        <f>SUBTOTAL(9,R56:R58)</f>
        <v/>
      </c>
      <c r="S55" s="6">
        <f>SUBTOTAL(9,S56:S58)</f>
        <v/>
      </c>
      <c r="T55" s="6">
        <f>SUBTOTAL(9,T56:T58)</f>
        <v/>
      </c>
      <c r="U55" s="6">
        <f>SUBTOTAL(9,U56:U58)</f>
        <v/>
      </c>
      <c r="V55" s="6">
        <f>SUBTOTAL(9,V56:V58)</f>
        <v/>
      </c>
      <c r="W55" s="6">
        <f>IFERROR(S55/T55,"")</f>
        <v/>
      </c>
      <c r="X55" s="6">
        <f>SUBTOTAL(9,X56:X58)</f>
        <v/>
      </c>
      <c r="Y55" s="6">
        <f>SUBTOTAL(9,Y56:Y58)</f>
        <v/>
      </c>
      <c r="Z55" s="6">
        <f>SUBTOTAL(9,Z56:Z58)</f>
        <v/>
      </c>
      <c r="AA55" s="6">
        <f>IFERROR((M55-Y55)/Y55,"")</f>
        <v/>
      </c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28" t="n">
        <v>5</v>
      </c>
      <c r="C56" s="120" t="n"/>
      <c r="D56" s="121" t="inlineStr">
        <is>
          <t>BAC_COM</t>
        </is>
      </c>
      <c r="E56" s="122" t="inlineStr">
        <is>
          <t>Alternance</t>
        </is>
      </c>
      <c r="F56" s="123" t="n">
        <v>611520</v>
      </c>
      <c r="G56" s="137">
        <f>IFERROR((F56-T56)/T56,"")</f>
        <v/>
      </c>
      <c r="H56" s="123" t="n">
        <v>74108.98601237312</v>
      </c>
      <c r="I56" s="137">
        <f>IFERROR((H56-S56)/S56,"")</f>
        <v/>
      </c>
      <c r="J56" s="125" t="n">
        <v>0.01927015927018156</v>
      </c>
      <c r="K56" s="125">
        <f>IFERROR(H56/F56,"")</f>
        <v/>
      </c>
      <c r="L56" s="138">
        <f>IFERROR((K56-W56)*100,"")</f>
        <v/>
      </c>
      <c r="M56" s="123" t="n">
        <v>0</v>
      </c>
      <c r="N56" s="125">
        <f>IFERROR(P56/Q56,"")</f>
        <v/>
      </c>
      <c r="O56" s="125">
        <f>IFERROR(R56/P56,"")</f>
        <v/>
      </c>
      <c r="P56" s="123" t="n">
        <v>91</v>
      </c>
      <c r="Q56" s="123" t="n">
        <v>128</v>
      </c>
      <c r="R56" s="6" t="n">
        <v>91</v>
      </c>
      <c r="S56" s="6" t="n">
        <v>64738.50825261691</v>
      </c>
      <c r="T56" s="6" t="n">
        <v>571200</v>
      </c>
      <c r="U56" s="6" t="n">
        <v>0</v>
      </c>
      <c r="V56" s="6" t="n">
        <v>0</v>
      </c>
      <c r="W56" s="6">
        <f>IFERROR(S56/T56,"")</f>
        <v/>
      </c>
      <c r="X56" s="6" t="n">
        <v>128</v>
      </c>
      <c r="Y56" s="6" t="n">
        <v>0</v>
      </c>
      <c r="Z56" s="6" t="n">
        <v>85</v>
      </c>
      <c r="AA56" s="6">
        <f>IFERROR((M56-Y56)/Y56,"")</f>
        <v/>
      </c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28" t="n">
        <v>5</v>
      </c>
      <c r="C57" s="120" t="n"/>
      <c r="D57" s="121" t="inlineStr">
        <is>
          <t>BAC_COM</t>
        </is>
      </c>
      <c r="E57" s="122" t="inlineStr">
        <is>
          <t>Initial</t>
        </is>
      </c>
      <c r="F57" s="123" t="n">
        <v>342630</v>
      </c>
      <c r="G57" s="137">
        <f>IFERROR((F57-T57)/T57,"")</f>
        <v/>
      </c>
      <c r="H57" s="123" t="n">
        <v>65066.06969869824</v>
      </c>
      <c r="I57" s="137">
        <f>IFERROR((H57-S57)/S57,"")</f>
        <v/>
      </c>
      <c r="J57" s="125" t="n">
        <v>0.01691877859412773</v>
      </c>
      <c r="K57" s="125">
        <f>IFERROR(H57/F57,"")</f>
        <v/>
      </c>
      <c r="L57" s="138">
        <f>IFERROR((K57-W57)*100,"")</f>
        <v/>
      </c>
      <c r="M57" s="123" t="n">
        <v>47</v>
      </c>
      <c r="N57" s="125">
        <f>IFERROR(P57/Q57,"")</f>
        <v/>
      </c>
      <c r="O57" s="125">
        <f>IFERROR(R57/P57,"")</f>
        <v/>
      </c>
      <c r="P57" s="123" t="n">
        <v>47</v>
      </c>
      <c r="Q57" s="123" t="n">
        <v>64</v>
      </c>
      <c r="R57" s="6" t="n">
        <v>0</v>
      </c>
      <c r="S57" s="6" t="n">
        <v>58591.69838958996</v>
      </c>
      <c r="T57" s="6" t="n">
        <v>320760</v>
      </c>
      <c r="U57" s="6" t="n">
        <v>7187</v>
      </c>
      <c r="V57" s="6" t="n">
        <v>6534</v>
      </c>
      <c r="W57" s="6">
        <f>IFERROR(S57/T57,"")</f>
        <v/>
      </c>
      <c r="X57" s="6" t="n">
        <v>64</v>
      </c>
      <c r="Y57" s="6" t="n">
        <v>44</v>
      </c>
      <c r="Z57" s="6" t="n">
        <v>44</v>
      </c>
      <c r="AA57" s="6">
        <f>IFERROR((M57-Y57)/Y57,"")</f>
        <v/>
      </c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 ht="15.5" customHeight="1">
      <c r="A58" s="58" t="n"/>
      <c r="B58" s="129" t="n">
        <v>5</v>
      </c>
      <c r="C58" s="130" t="n"/>
      <c r="D58" s="131" t="inlineStr">
        <is>
          <t>MAS_COM</t>
        </is>
      </c>
      <c r="E58" s="131" t="inlineStr">
        <is>
          <t>Alternance</t>
        </is>
      </c>
      <c r="F58" s="123" t="n">
        <v>673830</v>
      </c>
      <c r="G58" s="137">
        <f>IFERROR((F58-T58)/T58,"")</f>
        <v/>
      </c>
      <c r="H58" s="123" t="n">
        <v>124607.754935722</v>
      </c>
      <c r="I58" s="137">
        <f>IFERROR((H58-S58)/S58,"")</f>
        <v/>
      </c>
      <c r="J58" s="125" t="n">
        <v>0.0324010813413398</v>
      </c>
      <c r="K58" s="125">
        <f>IFERROR(H58/F58,"")</f>
        <v/>
      </c>
      <c r="L58" s="138">
        <f>IFERROR((K58-W58)*100,"")</f>
        <v/>
      </c>
      <c r="M58" s="123" t="n">
        <v>47</v>
      </c>
      <c r="N58" s="125">
        <f>IFERROR(P58/Q58,"")</f>
        <v/>
      </c>
      <c r="O58" s="125">
        <f>IFERROR(R58/P58,"")</f>
        <v/>
      </c>
      <c r="P58" s="123" t="n">
        <v>93</v>
      </c>
      <c r="Q58" s="123" t="n">
        <v>104</v>
      </c>
      <c r="R58" s="6" t="n">
        <v>93</v>
      </c>
      <c r="S58" s="6" t="n">
        <v>111981.7672703256</v>
      </c>
      <c r="T58" s="6" t="n">
        <v>630360</v>
      </c>
      <c r="U58" s="6" t="n">
        <v>14896</v>
      </c>
      <c r="V58" s="6" t="n">
        <v>13542</v>
      </c>
      <c r="W58" s="6">
        <f>IFERROR(S58/T58,"")</f>
        <v/>
      </c>
      <c r="X58" s="6" t="n">
        <v>104</v>
      </c>
      <c r="Y58" s="6" t="n">
        <v>44</v>
      </c>
      <c r="Z58" s="6" t="n">
        <v>87</v>
      </c>
      <c r="AA58" s="6">
        <f>IFERROR((M58-Y58)/Y58,"")</f>
        <v/>
      </c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 ht="15.5" customHeight="1">
      <c r="A59" s="58" t="n"/>
      <c r="B59" s="129" t="n">
        <v>3</v>
      </c>
      <c r="C59" s="130" t="inlineStr">
        <is>
          <t>MBway</t>
        </is>
      </c>
      <c r="D59" s="131" t="n"/>
      <c r="E59" s="131" t="n"/>
      <c r="F59" s="123">
        <f>SUBTOTAL(9,F60:F75)</f>
        <v/>
      </c>
      <c r="G59" s="137">
        <f>IFERROR((F59-T59)/T59,"")</f>
        <v/>
      </c>
      <c r="H59" s="123">
        <f>SUBTOTAL(9,H60:H75)</f>
        <v/>
      </c>
      <c r="I59" s="137">
        <f>IFERROR((H59-S59)/S59,"")</f>
        <v/>
      </c>
      <c r="J59" s="125">
        <f>SUBTOTAL(9,J60:J75)</f>
        <v/>
      </c>
      <c r="K59" s="125">
        <f>IFERROR(H59/F59,"")</f>
        <v/>
      </c>
      <c r="L59" s="138">
        <f>IFERROR((K59-W59)*100,"")</f>
        <v/>
      </c>
      <c r="M59" s="123">
        <f>SUBTOTAL(9,M60:M75)</f>
        <v/>
      </c>
      <c r="N59" s="125">
        <f>IFERROR(P59/Q59,"")</f>
        <v/>
      </c>
      <c r="O59" s="125">
        <f>IFERROR(R59/P59,"")</f>
        <v/>
      </c>
      <c r="P59" s="123">
        <f>SUBTOTAL(9,P60:P75)</f>
        <v/>
      </c>
      <c r="Q59" s="123">
        <f>SUBTOTAL(9,Q60:Q75)</f>
        <v/>
      </c>
      <c r="R59" s="6">
        <f>SUBTOTAL(9,R60:R75)</f>
        <v/>
      </c>
      <c r="S59" s="6">
        <f>SUBTOTAL(9,S60:S75)</f>
        <v/>
      </c>
      <c r="T59" s="6">
        <f>SUBTOTAL(9,T60:T75)</f>
        <v/>
      </c>
      <c r="U59" s="6">
        <f>SUBTOTAL(9,U60:U75)</f>
        <v/>
      </c>
      <c r="V59" s="6">
        <f>SUBTOTAL(9,V60:V75)</f>
        <v/>
      </c>
      <c r="W59" s="6">
        <f>IFERROR(S59/T59,"")</f>
        <v/>
      </c>
      <c r="X59" s="6">
        <f>SUBTOTAL(9,X60:X75)</f>
        <v/>
      </c>
      <c r="Y59" s="6">
        <f>SUBTOTAL(9,Y60:Y75)</f>
        <v/>
      </c>
      <c r="Z59" s="6">
        <f>SUBTOTAL(9,Z60:Z75)</f>
        <v/>
      </c>
      <c r="AA59" s="6">
        <f>IFERROR((M59-Y59)/Y59,"")</f>
        <v/>
      </c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 ht="15.5" customHeight="1">
      <c r="A60" s="58" t="n"/>
      <c r="B60" s="129" t="n">
        <v>4</v>
      </c>
      <c r="C60" s="130" t="inlineStr">
        <is>
          <t>MBway Bordeaux</t>
        </is>
      </c>
      <c r="D60" s="131" t="n"/>
      <c r="E60" s="131" t="n"/>
      <c r="F60" s="123">
        <f>SUBTOTAL(9,F61:F63)</f>
        <v/>
      </c>
      <c r="G60" s="137">
        <f>IFERROR((F60-T60)/T60,"")</f>
        <v/>
      </c>
      <c r="H60" s="123">
        <f>SUBTOTAL(9,H61:H63)</f>
        <v/>
      </c>
      <c r="I60" s="137">
        <f>IFERROR((H60-S60)/S60,"")</f>
        <v/>
      </c>
      <c r="J60" s="125">
        <f>SUBTOTAL(9,J61:J63)</f>
        <v/>
      </c>
      <c r="K60" s="125">
        <f>IFERROR(H60/F60,"")</f>
        <v/>
      </c>
      <c r="L60" s="138">
        <f>IFERROR((K60-W60)*100,"")</f>
        <v/>
      </c>
      <c r="M60" s="123">
        <f>SUBTOTAL(9,M61:M63)</f>
        <v/>
      </c>
      <c r="N60" s="125">
        <f>IFERROR(P60/Q60,"")</f>
        <v/>
      </c>
      <c r="O60" s="125">
        <f>IFERROR(R60/P60,"")</f>
        <v/>
      </c>
      <c r="P60" s="123">
        <f>SUBTOTAL(9,P61:P63)</f>
        <v/>
      </c>
      <c r="Q60" s="123">
        <f>SUBTOTAL(9,Q61:Q63)</f>
        <v/>
      </c>
      <c r="R60" s="6">
        <f>SUBTOTAL(9,R61:R63)</f>
        <v/>
      </c>
      <c r="S60" s="6">
        <f>SUBTOTAL(9,S61:S63)</f>
        <v/>
      </c>
      <c r="T60" s="6">
        <f>SUBTOTAL(9,T61:T63)</f>
        <v/>
      </c>
      <c r="U60" s="6">
        <f>SUBTOTAL(9,U61:U63)</f>
        <v/>
      </c>
      <c r="V60" s="6">
        <f>SUBTOTAL(9,V61:V63)</f>
        <v/>
      </c>
      <c r="W60" s="6">
        <f>IFERROR(S60/T60,"")</f>
        <v/>
      </c>
      <c r="X60" s="6">
        <f>SUBTOTAL(9,X61:X63)</f>
        <v/>
      </c>
      <c r="Y60" s="6">
        <f>SUBTOTAL(9,Y61:Y63)</f>
        <v/>
      </c>
      <c r="Z60" s="6">
        <f>SUBTOTAL(9,Z61:Z63)</f>
        <v/>
      </c>
      <c r="AA60" s="6">
        <f>IFERROR((M60-Y60)/Y60,"")</f>
        <v/>
      </c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 ht="15.5" customHeight="1">
      <c r="A61" s="58" t="n"/>
      <c r="B61" s="129" t="n">
        <v>5</v>
      </c>
      <c r="C61" s="130" t="n"/>
      <c r="D61" s="131" t="inlineStr">
        <is>
          <t>BAC_MGT</t>
        </is>
      </c>
      <c r="E61" s="131" t="inlineStr">
        <is>
          <t>Alternance</t>
        </is>
      </c>
      <c r="F61" s="123" t="n">
        <v>658630</v>
      </c>
      <c r="G61" s="137">
        <f>IFERROR((F61-T61)/T61,"")</f>
        <v/>
      </c>
      <c r="H61" s="123" t="n">
        <v>86573.42251142324</v>
      </c>
      <c r="I61" s="137">
        <f>IFERROR((H61-S61)/S61,"")</f>
        <v/>
      </c>
      <c r="J61" s="125" t="n">
        <v>0.02251121935579193</v>
      </c>
      <c r="K61" s="125">
        <f>IFERROR(H61/F61,"")</f>
        <v/>
      </c>
      <c r="L61" s="138">
        <f>IFERROR((K61-W61)*100,"")</f>
        <v/>
      </c>
      <c r="M61" s="123" t="n">
        <v>0</v>
      </c>
      <c r="N61" s="125">
        <f>IFERROR(P61/Q61,"")</f>
        <v/>
      </c>
      <c r="O61" s="125">
        <f>IFERROR(R61/P61,"")</f>
        <v/>
      </c>
      <c r="P61" s="123" t="n">
        <v>97</v>
      </c>
      <c r="Q61" s="123" t="n">
        <v>128</v>
      </c>
      <c r="R61" s="6" t="n">
        <v>97</v>
      </c>
      <c r="S61" s="6" t="n">
        <v>75078.10807074525</v>
      </c>
      <c r="T61" s="6" t="n">
        <v>617890</v>
      </c>
      <c r="U61" s="6" t="n">
        <v>0</v>
      </c>
      <c r="V61" s="6" t="n">
        <v>0</v>
      </c>
      <c r="W61" s="6">
        <f>IFERROR(S61/T61,"")</f>
        <v/>
      </c>
      <c r="X61" s="6" t="n">
        <v>128</v>
      </c>
      <c r="Y61" s="6" t="n">
        <v>0</v>
      </c>
      <c r="Z61" s="6" t="n">
        <v>91</v>
      </c>
      <c r="AA61" s="6">
        <f>IFERROR((M61-Y61)/Y61,"")</f>
        <v/>
      </c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 ht="15.5" customHeight="1">
      <c r="A62" s="58" t="n"/>
      <c r="B62" s="129" t="n">
        <v>5</v>
      </c>
      <c r="C62" s="130" t="n"/>
      <c r="D62" s="131" t="inlineStr">
        <is>
          <t>BAC_MGT</t>
        </is>
      </c>
      <c r="E62" s="131" t="inlineStr">
        <is>
          <t>Initial</t>
        </is>
      </c>
      <c r="F62" s="123" t="n">
        <v>375615</v>
      </c>
      <c r="G62" s="137">
        <f>IFERROR((F62-T62)/T62,"")</f>
        <v/>
      </c>
      <c r="H62" s="123" t="n">
        <v>74842.98503177927</v>
      </c>
      <c r="I62" s="137">
        <f>IFERROR((H62-S62)/S62,"")</f>
        <v/>
      </c>
      <c r="J62" s="125" t="n">
        <v>0.01946101706987878</v>
      </c>
      <c r="K62" s="125">
        <f>IFERROR(H62/F62,"")</f>
        <v/>
      </c>
      <c r="L62" s="138">
        <f>IFERROR((K62-W62)*100,"")</f>
        <v/>
      </c>
      <c r="M62" s="123" t="n">
        <v>51</v>
      </c>
      <c r="N62" s="125">
        <f>IFERROR(P62/Q62,"")</f>
        <v/>
      </c>
      <c r="O62" s="125">
        <f>IFERROR(R62/P62,"")</f>
        <v/>
      </c>
      <c r="P62" s="123" t="n">
        <v>51</v>
      </c>
      <c r="Q62" s="123" t="n">
        <v>64</v>
      </c>
      <c r="R62" s="6" t="n">
        <v>0</v>
      </c>
      <c r="S62" s="6" t="n">
        <v>67201.63942193153</v>
      </c>
      <c r="T62" s="6" t="n">
        <v>353520</v>
      </c>
      <c r="U62" s="6" t="n">
        <v>8159</v>
      </c>
      <c r="V62" s="6" t="n">
        <v>7417</v>
      </c>
      <c r="W62" s="6">
        <f>IFERROR(S62/T62,"")</f>
        <v/>
      </c>
      <c r="X62" s="6" t="n">
        <v>64</v>
      </c>
      <c r="Y62" s="6" t="n">
        <v>48</v>
      </c>
      <c r="Z62" s="6" t="n">
        <v>48</v>
      </c>
      <c r="AA62" s="6">
        <f>IFERROR((M62-Y62)/Y62,"")</f>
        <v/>
      </c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 ht="15.5" customHeight="1">
      <c r="A63" s="58" t="n"/>
      <c r="B63" s="129" t="n">
        <v>5</v>
      </c>
      <c r="C63" s="130" t="n"/>
      <c r="D63" s="131" t="inlineStr">
        <is>
          <t>MAS_MGT</t>
        </is>
      </c>
      <c r="E63" s="131" t="inlineStr">
        <is>
          <t>Alternance</t>
        </is>
      </c>
      <c r="F63" s="123" t="n">
        <v>739365</v>
      </c>
      <c r="G63" s="137">
        <f>IFERROR((F63-T63)/T63,"")</f>
        <v/>
      </c>
      <c r="H63" s="123" t="n">
        <v>143718.4605531314</v>
      </c>
      <c r="I63" s="137">
        <f>IFERROR((H63-S63)/S63,"")</f>
        <v/>
      </c>
      <c r="J63" s="125" t="n">
        <v>0.03737033488033099</v>
      </c>
      <c r="K63" s="125">
        <f>IFERROR(H63/F63,"")</f>
        <v/>
      </c>
      <c r="L63" s="138">
        <f>IFERROR((K63-W63)*100,"")</f>
        <v/>
      </c>
      <c r="M63" s="123" t="n">
        <v>51</v>
      </c>
      <c r="N63" s="125">
        <f>IFERROR(P63/Q63,"")</f>
        <v/>
      </c>
      <c r="O63" s="125">
        <f>IFERROR(R63/P63,"")</f>
        <v/>
      </c>
      <c r="P63" s="123" t="n">
        <v>101</v>
      </c>
      <c r="Q63" s="123" t="n">
        <v>104</v>
      </c>
      <c r="R63" s="6" t="n">
        <v>101</v>
      </c>
      <c r="S63" s="6" t="n">
        <v>128773.2446892395</v>
      </c>
      <c r="T63" s="6" t="n">
        <v>695445</v>
      </c>
      <c r="U63" s="6" t="n">
        <v>16764</v>
      </c>
      <c r="V63" s="6" t="n">
        <v>15240</v>
      </c>
      <c r="W63" s="6">
        <f>IFERROR(S63/T63,"")</f>
        <v/>
      </c>
      <c r="X63" s="6" t="n">
        <v>104</v>
      </c>
      <c r="Y63" s="6" t="n">
        <v>48</v>
      </c>
      <c r="Z63" s="6" t="n">
        <v>95</v>
      </c>
      <c r="AA63" s="6">
        <f>IFERROR((M63-Y63)/Y63,"")</f>
        <v/>
      </c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 ht="15.5" customHeight="1">
      <c r="A64" s="58" t="n"/>
      <c r="B64" s="129" t="n">
        <v>4</v>
      </c>
      <c r="C64" s="130" t="inlineStr">
        <is>
          <t>MBway Lyon</t>
        </is>
      </c>
      <c r="D64" s="131" t="n"/>
      <c r="E64" s="131" t="n"/>
      <c r="F64" s="123">
        <f>SUBTOTAL(9,F65:F67)</f>
        <v/>
      </c>
      <c r="G64" s="137">
        <f>IFERROR((F64-T64)/T64,"")</f>
        <v/>
      </c>
      <c r="H64" s="123">
        <f>SUBTOTAL(9,H65:H67)</f>
        <v/>
      </c>
      <c r="I64" s="137">
        <f>IFERROR((H64-S64)/S64,"")</f>
        <v/>
      </c>
      <c r="J64" s="125">
        <f>SUBTOTAL(9,J65:J67)</f>
        <v/>
      </c>
      <c r="K64" s="125">
        <f>IFERROR(H64/F64,"")</f>
        <v/>
      </c>
      <c r="L64" s="138">
        <f>IFERROR((K64-W64)*100,"")</f>
        <v/>
      </c>
      <c r="M64" s="123">
        <f>SUBTOTAL(9,M65:M67)</f>
        <v/>
      </c>
      <c r="N64" s="125">
        <f>IFERROR(P64/Q64,"")</f>
        <v/>
      </c>
      <c r="O64" s="125">
        <f>IFERROR(R64/P64,"")</f>
        <v/>
      </c>
      <c r="P64" s="123">
        <f>SUBTOTAL(9,P65:P67)</f>
        <v/>
      </c>
      <c r="Q64" s="123">
        <f>SUBTOTAL(9,Q65:Q67)</f>
        <v/>
      </c>
      <c r="R64" s="6">
        <f>SUBTOTAL(9,R65:R67)</f>
        <v/>
      </c>
      <c r="S64" s="6">
        <f>SUBTOTAL(9,S65:S67)</f>
        <v/>
      </c>
      <c r="T64" s="6">
        <f>SUBTOTAL(9,T65:T67)</f>
        <v/>
      </c>
      <c r="U64" s="6">
        <f>SUBTOTAL(9,U65:U67)</f>
        <v/>
      </c>
      <c r="V64" s="6">
        <f>SUBTOTAL(9,V65:V67)</f>
        <v/>
      </c>
      <c r="W64" s="6">
        <f>IFERROR(S64/T64,"")</f>
        <v/>
      </c>
      <c r="X64" s="6">
        <f>SUBTOTAL(9,X65:X67)</f>
        <v/>
      </c>
      <c r="Y64" s="6">
        <f>SUBTOTAL(9,Y65:Y67)</f>
        <v/>
      </c>
      <c r="Z64" s="6">
        <f>SUBTOTAL(9,Z65:Z67)</f>
        <v/>
      </c>
      <c r="AA64" s="6">
        <f>IFERROR((M64-Y64)/Y64,"")</f>
        <v/>
      </c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 ht="15.5" customHeight="1">
      <c r="A65" s="58" t="n"/>
      <c r="B65" s="129" t="n">
        <v>5</v>
      </c>
      <c r="C65" s="130" t="n"/>
      <c r="D65" s="131" t="inlineStr">
        <is>
          <t>BAC_MGT</t>
        </is>
      </c>
      <c r="E65" s="131" t="inlineStr">
        <is>
          <t>Alternance</t>
        </is>
      </c>
      <c r="F65" s="123" t="n">
        <v>933450</v>
      </c>
      <c r="G65" s="137">
        <f>IFERROR((F65-T65)/T65,"")</f>
        <v/>
      </c>
      <c r="H65" s="123" t="n">
        <v>133925.4907076367</v>
      </c>
      <c r="I65" s="137">
        <f>IFERROR((H65-S65)/S65,"")</f>
        <v/>
      </c>
      <c r="J65" s="125" t="n">
        <v>0.03482392183644908</v>
      </c>
      <c r="K65" s="125">
        <f>IFERROR(H65/F65,"")</f>
        <v/>
      </c>
      <c r="L65" s="138">
        <f>IFERROR((K65-W65)*100,"")</f>
        <v/>
      </c>
      <c r="M65" s="123" t="n">
        <v>0</v>
      </c>
      <c r="N65" s="125">
        <f>IFERROR(P65/Q65,"")</f>
        <v/>
      </c>
      <c r="O65" s="125">
        <f>IFERROR(R65/P65,"")</f>
        <v/>
      </c>
      <c r="P65" s="123" t="n">
        <v>127</v>
      </c>
      <c r="Q65" s="123" t="n">
        <v>128</v>
      </c>
      <c r="R65" s="6" t="n">
        <v>127</v>
      </c>
      <c r="S65" s="6" t="n">
        <v>116847.7342664016</v>
      </c>
      <c r="T65" s="6" t="n">
        <v>874650</v>
      </c>
      <c r="U65" s="6" t="n">
        <v>0</v>
      </c>
      <c r="V65" s="6" t="n">
        <v>0</v>
      </c>
      <c r="W65" s="6">
        <f>IFERROR(S65/T65,"")</f>
        <v/>
      </c>
      <c r="X65" s="6" t="n">
        <v>128</v>
      </c>
      <c r="Y65" s="6" t="n">
        <v>0</v>
      </c>
      <c r="Z65" s="6" t="n">
        <v>119</v>
      </c>
      <c r="AA65" s="6">
        <f>IFERROR((M65-Y65)/Y65,"")</f>
        <v/>
      </c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 ht="15.5" customHeight="1">
      <c r="A66" s="58" t="n"/>
      <c r="B66" s="129" t="n">
        <v>5</v>
      </c>
      <c r="C66" s="130" t="n"/>
      <c r="D66" s="131" t="inlineStr">
        <is>
          <t>BAC_MGT</t>
        </is>
      </c>
      <c r="E66" s="131" t="inlineStr">
        <is>
          <t>Initial</t>
        </is>
      </c>
      <c r="F66" s="123" t="n">
        <v>525690</v>
      </c>
      <c r="G66" s="137">
        <f>IFERROR((F66-T66)/T66,"")</f>
        <v/>
      </c>
      <c r="H66" s="123" t="n">
        <v>110189.0739110553</v>
      </c>
      <c r="I66" s="137">
        <f>IFERROR((H66-S66)/S66,"")</f>
        <v/>
      </c>
      <c r="J66" s="125" t="n">
        <v>0.02865186960924457</v>
      </c>
      <c r="K66" s="125">
        <f>IFERROR(H66/F66,"")</f>
        <v/>
      </c>
      <c r="L66" s="138">
        <f>IFERROR((K66-W66)*100,"")</f>
        <v/>
      </c>
      <c r="M66" s="123" t="n">
        <v>66</v>
      </c>
      <c r="N66" s="125">
        <f>IFERROR(P66/Q66,"")</f>
        <v/>
      </c>
      <c r="O66" s="125">
        <f>IFERROR(R66/P66,"")</f>
        <v/>
      </c>
      <c r="P66" s="123" t="n">
        <v>66</v>
      </c>
      <c r="Q66" s="123" t="n">
        <v>96</v>
      </c>
      <c r="R66" s="6" t="n">
        <v>0</v>
      </c>
      <c r="S66" s="6" t="n">
        <v>99008.65146652859</v>
      </c>
      <c r="T66" s="6" t="n">
        <v>493830</v>
      </c>
      <c r="U66" s="6" t="n">
        <v>13694</v>
      </c>
      <c r="V66" s="6" t="n">
        <v>12449</v>
      </c>
      <c r="W66" s="6">
        <f>IFERROR(S66/T66,"")</f>
        <v/>
      </c>
      <c r="X66" s="6" t="n">
        <v>96</v>
      </c>
      <c r="Y66" s="6" t="n">
        <v>62</v>
      </c>
      <c r="Z66" s="6" t="n">
        <v>62</v>
      </c>
      <c r="AA66" s="6">
        <f>IFERROR((M66-Y66)/Y66,"")</f>
        <v/>
      </c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 ht="15.5" customHeight="1">
      <c r="A67" s="58" t="n"/>
      <c r="B67" s="129" t="n">
        <v>5</v>
      </c>
      <c r="C67" s="130" t="n"/>
      <c r="D67" s="131" t="inlineStr">
        <is>
          <t>MAS_MGT</t>
        </is>
      </c>
      <c r="E67" s="131" t="inlineStr">
        <is>
          <t>Alternance</t>
        </is>
      </c>
      <c r="F67" s="123" t="n">
        <v>1037565</v>
      </c>
      <c r="G67" s="137">
        <f>IFERROR((F67-T67)/T67,"")</f>
        <v/>
      </c>
      <c r="H67" s="123" t="n">
        <v>212858.6163992158</v>
      </c>
      <c r="I67" s="137">
        <f>IFERROR((H67-S67)/S67,"")</f>
        <v/>
      </c>
      <c r="J67" s="125" t="n">
        <v>0.05534847608572778</v>
      </c>
      <c r="K67" s="125">
        <f>IFERROR(H67/F67,"")</f>
        <v/>
      </c>
      <c r="L67" s="138">
        <f>IFERROR((K67-W67)*100,"")</f>
        <v/>
      </c>
      <c r="M67" s="123" t="n">
        <v>66</v>
      </c>
      <c r="N67" s="125">
        <f>IFERROR(P67/Q67,"")</f>
        <v/>
      </c>
      <c r="O67" s="125">
        <f>IFERROR(R67/P67,"")</f>
        <v/>
      </c>
      <c r="P67" s="123" t="n">
        <v>131</v>
      </c>
      <c r="Q67" s="123" t="n">
        <v>156</v>
      </c>
      <c r="R67" s="6" t="n">
        <v>131</v>
      </c>
      <c r="S67" s="6" t="n">
        <v>190930.3891997261</v>
      </c>
      <c r="T67" s="6" t="n">
        <v>974205</v>
      </c>
      <c r="U67" s="6" t="n">
        <v>28089</v>
      </c>
      <c r="V67" s="6" t="n">
        <v>25536</v>
      </c>
      <c r="W67" s="6">
        <f>IFERROR(S67/T67,"")</f>
        <v/>
      </c>
      <c r="X67" s="6" t="n">
        <v>156</v>
      </c>
      <c r="Y67" s="6" t="n">
        <v>62</v>
      </c>
      <c r="Z67" s="6" t="n">
        <v>123</v>
      </c>
      <c r="AA67" s="6">
        <f>IFERROR((M67-Y67)/Y67,"")</f>
        <v/>
      </c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 ht="15.5" customHeight="1">
      <c r="A68" s="58" t="n"/>
      <c r="B68" s="129" t="n">
        <v>4</v>
      </c>
      <c r="C68" s="130" t="inlineStr">
        <is>
          <t>MBway Nantes</t>
        </is>
      </c>
      <c r="D68" s="131" t="n"/>
      <c r="E68" s="131" t="n"/>
      <c r="F68" s="123">
        <f>SUBTOTAL(9,F69:F71)</f>
        <v/>
      </c>
      <c r="G68" s="137">
        <f>IFERROR((F68-T68)/T68,"")</f>
        <v/>
      </c>
      <c r="H68" s="123">
        <f>SUBTOTAL(9,H69:H71)</f>
        <v/>
      </c>
      <c r="I68" s="137">
        <f>IFERROR((H68-S68)/S68,"")</f>
        <v/>
      </c>
      <c r="J68" s="125">
        <f>SUBTOTAL(9,J69:J71)</f>
        <v/>
      </c>
      <c r="K68" s="125">
        <f>IFERROR(H68/F68,"")</f>
        <v/>
      </c>
      <c r="L68" s="138">
        <f>IFERROR((K68-W68)*100,"")</f>
        <v/>
      </c>
      <c r="M68" s="123">
        <f>SUBTOTAL(9,M69:M71)</f>
        <v/>
      </c>
      <c r="N68" s="125">
        <f>IFERROR(P68/Q68,"")</f>
        <v/>
      </c>
      <c r="O68" s="125">
        <f>IFERROR(R68/P68,"")</f>
        <v/>
      </c>
      <c r="P68" s="123">
        <f>SUBTOTAL(9,P69:P71)</f>
        <v/>
      </c>
      <c r="Q68" s="123">
        <f>SUBTOTAL(9,Q69:Q71)</f>
        <v/>
      </c>
      <c r="R68" s="6">
        <f>SUBTOTAL(9,R69:R71)</f>
        <v/>
      </c>
      <c r="S68" s="6">
        <f>SUBTOTAL(9,S69:S71)</f>
        <v/>
      </c>
      <c r="T68" s="6">
        <f>SUBTOTAL(9,T69:T71)</f>
        <v/>
      </c>
      <c r="U68" s="6">
        <f>SUBTOTAL(9,U69:U71)</f>
        <v/>
      </c>
      <c r="V68" s="6">
        <f>SUBTOTAL(9,V69:V71)</f>
        <v/>
      </c>
      <c r="W68" s="6">
        <f>IFERROR(S68/T68,"")</f>
        <v/>
      </c>
      <c r="X68" s="6">
        <f>SUBTOTAL(9,X69:X71)</f>
        <v/>
      </c>
      <c r="Y68" s="6">
        <f>SUBTOTAL(9,Y69:Y71)</f>
        <v/>
      </c>
      <c r="Z68" s="6">
        <f>SUBTOTAL(9,Z69:Z71)</f>
        <v/>
      </c>
      <c r="AA68" s="6">
        <f>IFERROR((M68-Y68)/Y68,"")</f>
        <v/>
      </c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 ht="15.5" customHeight="1">
      <c r="A69" s="58" t="n"/>
      <c r="B69" s="129" t="n">
        <v>5</v>
      </c>
      <c r="C69" s="130" t="n"/>
      <c r="D69" s="131" t="inlineStr">
        <is>
          <t>BAC_MGT</t>
        </is>
      </c>
      <c r="E69" s="131" t="inlineStr">
        <is>
          <t>Alternance</t>
        </is>
      </c>
      <c r="F69" s="123" t="n">
        <v>805000</v>
      </c>
      <c r="G69" s="137">
        <f>IFERROR((F69-T69)/T69,"")</f>
        <v/>
      </c>
      <c r="H69" s="123" t="n">
        <v>111076.6505535722</v>
      </c>
      <c r="I69" s="137">
        <f>IFERROR((H69-S69)/S69,"")</f>
        <v/>
      </c>
      <c r="J69" s="125" t="n">
        <v>0.02888266136859933</v>
      </c>
      <c r="K69" s="125">
        <f>IFERROR(H69/F69,"")</f>
        <v/>
      </c>
      <c r="L69" s="138">
        <f>IFERROR((K69-W69)*100,"")</f>
        <v/>
      </c>
      <c r="M69" s="123" t="n">
        <v>0</v>
      </c>
      <c r="N69" s="125">
        <f>IFERROR(P69/Q69,"")</f>
        <v/>
      </c>
      <c r="O69" s="125">
        <f>IFERROR(R69/P69,"")</f>
        <v/>
      </c>
      <c r="P69" s="123" t="n">
        <v>115</v>
      </c>
      <c r="Q69" s="123" t="n">
        <v>128</v>
      </c>
      <c r="R69" s="6" t="n">
        <v>115</v>
      </c>
      <c r="S69" s="6" t="n">
        <v>97728.85054563219</v>
      </c>
      <c r="T69" s="6" t="n">
        <v>763000</v>
      </c>
      <c r="U69" s="6" t="n">
        <v>0</v>
      </c>
      <c r="V69" s="6" t="n">
        <v>0</v>
      </c>
      <c r="W69" s="6">
        <f>IFERROR(S69/T69,"")</f>
        <v/>
      </c>
      <c r="X69" s="6" t="n">
        <v>128</v>
      </c>
      <c r="Y69" s="6" t="n">
        <v>0</v>
      </c>
      <c r="Z69" s="6" t="n">
        <v>109</v>
      </c>
      <c r="AA69" s="6">
        <f>IFERROR((M69-Y69)/Y69,"")</f>
        <v/>
      </c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 ht="15.5" customHeight="1">
      <c r="A70" s="58" t="n"/>
      <c r="B70" s="129" t="n">
        <v>5</v>
      </c>
      <c r="C70" s="130" t="n"/>
      <c r="D70" s="131" t="inlineStr">
        <is>
          <t>BAC_MGT</t>
        </is>
      </c>
      <c r="E70" s="131" t="inlineStr">
        <is>
          <t>Initial</t>
        </is>
      </c>
      <c r="F70" s="123" t="n">
        <v>455400</v>
      </c>
      <c r="G70" s="137">
        <f>IFERROR((F70-T70)/T70,"")</f>
        <v/>
      </c>
      <c r="H70" s="123" t="n">
        <v>93353.03507142898</v>
      </c>
      <c r="I70" s="137">
        <f>IFERROR((H70-S70)/S70,"")</f>
        <v/>
      </c>
      <c r="J70" s="125" t="n">
        <v>0.02427408538393624</v>
      </c>
      <c r="K70" s="125">
        <f>IFERROR(H70/F70,"")</f>
        <v/>
      </c>
      <c r="L70" s="138">
        <f>IFERROR((K70-W70)*100,"")</f>
        <v/>
      </c>
      <c r="M70" s="123" t="n">
        <v>60</v>
      </c>
      <c r="N70" s="125">
        <f>IFERROR(P70/Q70,"")</f>
        <v/>
      </c>
      <c r="O70" s="125">
        <f>IFERROR(R70/P70,"")</f>
        <v/>
      </c>
      <c r="P70" s="123" t="n">
        <v>60</v>
      </c>
      <c r="Q70" s="123" t="n">
        <v>64</v>
      </c>
      <c r="R70" s="6" t="n">
        <v>0</v>
      </c>
      <c r="S70" s="6" t="n">
        <v>84735.91267065174</v>
      </c>
      <c r="T70" s="6" t="n">
        <v>432630</v>
      </c>
      <c r="U70" s="6" t="n">
        <v>10317</v>
      </c>
      <c r="V70" s="6" t="n">
        <v>9379</v>
      </c>
      <c r="W70" s="6">
        <f>IFERROR(S70/T70,"")</f>
        <v/>
      </c>
      <c r="X70" s="6" t="n">
        <v>64</v>
      </c>
      <c r="Y70" s="6" t="n">
        <v>57</v>
      </c>
      <c r="Z70" s="6" t="n">
        <v>57</v>
      </c>
      <c r="AA70" s="6">
        <f>IFERROR((M70-Y70)/Y70,"")</f>
        <v/>
      </c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 ht="15.5" customHeight="1">
      <c r="A71" s="58" t="n"/>
      <c r="B71" s="129" t="n">
        <v>5</v>
      </c>
      <c r="C71" s="130" t="n"/>
      <c r="D71" s="131" t="inlineStr">
        <is>
          <t>MAS_MGT</t>
        </is>
      </c>
      <c r="E71" s="131" t="inlineStr">
        <is>
          <t>Alternance</t>
        </is>
      </c>
      <c r="F71" s="123" t="n">
        <v>897900</v>
      </c>
      <c r="G71" s="137">
        <f>IFERROR((F71-T71)/T71,"")</f>
        <v/>
      </c>
      <c r="H71" s="123" t="n">
        <v>179840.1862250009</v>
      </c>
      <c r="I71" s="137">
        <f>IFERROR((H71-S71)/S71,"")</f>
        <v/>
      </c>
      <c r="J71" s="125" t="n">
        <v>0.04676287206461408</v>
      </c>
      <c r="K71" s="125">
        <f>IFERROR(H71/F71,"")</f>
        <v/>
      </c>
      <c r="L71" s="138">
        <f>IFERROR((K71-W71)*100,"")</f>
        <v/>
      </c>
      <c r="M71" s="123" t="n">
        <v>60</v>
      </c>
      <c r="N71" s="125">
        <f>IFERROR(P71/Q71,"")</f>
        <v/>
      </c>
      <c r="O71" s="125">
        <f>IFERROR(R71/P71,"")</f>
        <v/>
      </c>
      <c r="P71" s="123" t="n">
        <v>119</v>
      </c>
      <c r="Q71" s="123" t="n">
        <v>156</v>
      </c>
      <c r="R71" s="6" t="n">
        <v>119</v>
      </c>
      <c r="S71" s="6" t="n">
        <v>162945.2303821692</v>
      </c>
      <c r="T71" s="6" t="n">
        <v>852630</v>
      </c>
      <c r="U71" s="6" t="n">
        <v>21216</v>
      </c>
      <c r="V71" s="6" t="n">
        <v>19287</v>
      </c>
      <c r="W71" s="6">
        <f>IFERROR(S71/T71,"")</f>
        <v/>
      </c>
      <c r="X71" s="6" t="n">
        <v>156</v>
      </c>
      <c r="Y71" s="6" t="n">
        <v>57</v>
      </c>
      <c r="Z71" s="6" t="n">
        <v>113</v>
      </c>
      <c r="AA71" s="6">
        <f>IFERROR((M71-Y71)/Y71,"")</f>
        <v/>
      </c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 ht="15.5" customHeight="1">
      <c r="A72" s="58" t="n"/>
      <c r="B72" s="129" t="n">
        <v>4</v>
      </c>
      <c r="C72" s="130" t="inlineStr">
        <is>
          <t>MBway Paris</t>
        </is>
      </c>
      <c r="D72" s="131" t="n"/>
      <c r="E72" s="131" t="n"/>
      <c r="F72" s="123">
        <f>SUBTOTAL(9,F73:F75)</f>
        <v/>
      </c>
      <c r="G72" s="137">
        <f>IFERROR((F72-T72)/T72,"")</f>
        <v/>
      </c>
      <c r="H72" s="123">
        <f>SUBTOTAL(9,H73:H75)</f>
        <v/>
      </c>
      <c r="I72" s="137">
        <f>IFERROR((H72-S72)/S72,"")</f>
        <v/>
      </c>
      <c r="J72" s="125">
        <f>SUBTOTAL(9,J73:J75)</f>
        <v/>
      </c>
      <c r="K72" s="125">
        <f>IFERROR(H72/F72,"")</f>
        <v/>
      </c>
      <c r="L72" s="138">
        <f>IFERROR((K72-W72)*100,"")</f>
        <v/>
      </c>
      <c r="M72" s="123">
        <f>SUBTOTAL(9,M73:M75)</f>
        <v/>
      </c>
      <c r="N72" s="125">
        <f>IFERROR(P72/Q72,"")</f>
        <v/>
      </c>
      <c r="O72" s="125">
        <f>IFERROR(R72/P72,"")</f>
        <v/>
      </c>
      <c r="P72" s="123">
        <f>SUBTOTAL(9,P73:P75)</f>
        <v/>
      </c>
      <c r="Q72" s="123">
        <f>SUBTOTAL(9,Q73:Q75)</f>
        <v/>
      </c>
      <c r="R72" s="6">
        <f>SUBTOTAL(9,R73:R75)</f>
        <v/>
      </c>
      <c r="S72" s="6">
        <f>SUBTOTAL(9,S73:S75)</f>
        <v/>
      </c>
      <c r="T72" s="6">
        <f>SUBTOTAL(9,T73:T75)</f>
        <v/>
      </c>
      <c r="U72" s="6">
        <f>SUBTOTAL(9,U73:U75)</f>
        <v/>
      </c>
      <c r="V72" s="6">
        <f>SUBTOTAL(9,V73:V75)</f>
        <v/>
      </c>
      <c r="W72" s="6">
        <f>IFERROR(S72/T72,"")</f>
        <v/>
      </c>
      <c r="X72" s="6">
        <f>SUBTOTAL(9,X73:X75)</f>
        <v/>
      </c>
      <c r="Y72" s="6">
        <f>SUBTOTAL(9,Y73:Y75)</f>
        <v/>
      </c>
      <c r="Z72" s="6">
        <f>SUBTOTAL(9,Z73:Z75)</f>
        <v/>
      </c>
      <c r="AA72" s="6">
        <f>IFERROR((M72-Y72)/Y72,"")</f>
        <v/>
      </c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 ht="15.5" customHeight="1">
      <c r="A73" s="58" t="n"/>
      <c r="B73" s="129" t="n">
        <v>5</v>
      </c>
      <c r="C73" s="130" t="n"/>
      <c r="D73" s="131" t="inlineStr">
        <is>
          <t>BAC_MGT</t>
        </is>
      </c>
      <c r="E73" s="131" t="inlineStr">
        <is>
          <t>Alternance</t>
        </is>
      </c>
      <c r="F73" s="123" t="n">
        <v>1176000</v>
      </c>
      <c r="G73" s="137">
        <f>IFERROR((F73-T73)/T73,"")</f>
        <v/>
      </c>
      <c r="H73" s="123" t="n">
        <v>178924.1385111533</v>
      </c>
      <c r="I73" s="137">
        <f>IFERROR((H73-S73)/S73,"")</f>
        <v/>
      </c>
      <c r="J73" s="125" t="n">
        <v>0.04652467712639186</v>
      </c>
      <c r="K73" s="125">
        <f>IFERROR(H73/F73,"")</f>
        <v/>
      </c>
      <c r="L73" s="138">
        <f>IFERROR((K73-W73)*100,"")</f>
        <v/>
      </c>
      <c r="M73" s="123" t="n">
        <v>0</v>
      </c>
      <c r="N73" s="125">
        <f>IFERROR(P73/Q73,"")</f>
        <v/>
      </c>
      <c r="O73" s="125">
        <f>IFERROR(R73/P73,"")</f>
        <v/>
      </c>
      <c r="P73" s="123" t="n">
        <v>150</v>
      </c>
      <c r="Q73" s="123" t="n">
        <v>192</v>
      </c>
      <c r="R73" s="6" t="n">
        <v>150</v>
      </c>
      <c r="S73" s="6" t="n">
        <v>158428.076483196</v>
      </c>
      <c r="T73" s="6" t="n">
        <v>1113280</v>
      </c>
      <c r="U73" s="6" t="n">
        <v>0</v>
      </c>
      <c r="V73" s="6" t="n">
        <v>0</v>
      </c>
      <c r="W73" s="6">
        <f>IFERROR(S73/T73,"")</f>
        <v/>
      </c>
      <c r="X73" s="6" t="n">
        <v>192</v>
      </c>
      <c r="Y73" s="6" t="n">
        <v>0</v>
      </c>
      <c r="Z73" s="6" t="n">
        <v>142</v>
      </c>
      <c r="AA73" s="6">
        <f>IFERROR((M73-Y73)/Y73,"")</f>
        <v/>
      </c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 ht="15.5" customHeight="1">
      <c r="A74" s="58" t="n"/>
      <c r="B74" s="129" t="n">
        <v>5</v>
      </c>
      <c r="C74" s="130" t="n"/>
      <c r="D74" s="131" t="inlineStr">
        <is>
          <t>BAC_MGT</t>
        </is>
      </c>
      <c r="E74" s="131" t="inlineStr">
        <is>
          <t>Initial</t>
        </is>
      </c>
      <c r="F74" s="123" t="n">
        <v>662220</v>
      </c>
      <c r="G74" s="137">
        <f>IFERROR((F74-T74)/T74,"")</f>
        <v/>
      </c>
      <c r="H74" s="123" t="n">
        <v>143740.5520257998</v>
      </c>
      <c r="I74" s="137">
        <f>IFERROR((H74-S74)/S74,"")</f>
        <v/>
      </c>
      <c r="J74" s="125" t="n">
        <v>0.0373760792066231</v>
      </c>
      <c r="K74" s="125">
        <f>IFERROR(H74/F74,"")</f>
        <v/>
      </c>
      <c r="L74" s="138">
        <f>IFERROR((K74-W74)*100,"")</f>
        <v/>
      </c>
      <c r="M74" s="123" t="n">
        <v>78</v>
      </c>
      <c r="N74" s="125">
        <f>IFERROR(P74/Q74,"")</f>
        <v/>
      </c>
      <c r="O74" s="125">
        <f>IFERROR(R74/P74,"")</f>
        <v/>
      </c>
      <c r="P74" s="123" t="n">
        <v>78</v>
      </c>
      <c r="Q74" s="123" t="n">
        <v>96</v>
      </c>
      <c r="R74" s="6" t="n">
        <v>0</v>
      </c>
      <c r="S74" s="6" t="n">
        <v>130661.1102799753</v>
      </c>
      <c r="T74" s="6" t="n">
        <v>628260</v>
      </c>
      <c r="U74" s="6" t="n">
        <v>22326</v>
      </c>
      <c r="V74" s="6" t="n">
        <v>20296</v>
      </c>
      <c r="W74" s="6">
        <f>IFERROR(S74/T74,"")</f>
        <v/>
      </c>
      <c r="X74" s="6" t="n">
        <v>96</v>
      </c>
      <c r="Y74" s="6" t="n">
        <v>74</v>
      </c>
      <c r="Z74" s="6" t="n">
        <v>74</v>
      </c>
      <c r="AA74" s="6">
        <f>IFERROR((M74-Y74)/Y74,"")</f>
        <v/>
      </c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 ht="15.5" customHeight="1">
      <c r="A75" s="58" t="n"/>
      <c r="B75" s="129" t="n">
        <v>5</v>
      </c>
      <c r="C75" s="130" t="n"/>
      <c r="D75" s="131" t="inlineStr">
        <is>
          <t>MAS_MGT</t>
        </is>
      </c>
      <c r="E75" s="131" t="inlineStr">
        <is>
          <t>Alternance</t>
        </is>
      </c>
      <c r="F75" s="123" t="n">
        <v>1300620</v>
      </c>
      <c r="G75" s="137">
        <f>IFERROR((F75-T75)/T75,"")</f>
        <v/>
      </c>
      <c r="H75" s="123" t="n">
        <v>276955.4488714508</v>
      </c>
      <c r="I75" s="137">
        <f>IFERROR((H75-S75)/S75,"")</f>
        <v/>
      </c>
      <c r="J75" s="125" t="n">
        <v>0.07201522916001618</v>
      </c>
      <c r="K75" s="125">
        <f>IFERROR(H75/F75,"")</f>
        <v/>
      </c>
      <c r="L75" s="138">
        <f>IFERROR((K75-W75)*100,"")</f>
        <v/>
      </c>
      <c r="M75" s="123" t="n">
        <v>78</v>
      </c>
      <c r="N75" s="125">
        <f>IFERROR(P75/Q75,"")</f>
        <v/>
      </c>
      <c r="O75" s="125">
        <f>IFERROR(R75/P75,"")</f>
        <v/>
      </c>
      <c r="P75" s="123" t="n">
        <v>154</v>
      </c>
      <c r="Q75" s="123" t="n">
        <v>156</v>
      </c>
      <c r="R75" s="6" t="n">
        <v>154</v>
      </c>
      <c r="S75" s="6" t="n">
        <v>251310.8392010324</v>
      </c>
      <c r="T75" s="6" t="n">
        <v>1233060</v>
      </c>
      <c r="U75" s="6" t="n">
        <v>45965</v>
      </c>
      <c r="V75" s="6" t="n">
        <v>41786</v>
      </c>
      <c r="W75" s="6">
        <f>IFERROR(S75/T75,"")</f>
        <v/>
      </c>
      <c r="X75" s="6" t="n">
        <v>156</v>
      </c>
      <c r="Y75" s="6" t="n">
        <v>74</v>
      </c>
      <c r="Z75" s="6" t="n">
        <v>146</v>
      </c>
      <c r="AA75" s="6">
        <f>IFERROR((M75-Y75)/Y75,"")</f>
        <v/>
      </c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 ht="15.5" customHeight="1">
      <c r="A76" s="58" t="n"/>
      <c r="B76" s="129" t="n">
        <v>3</v>
      </c>
      <c r="C76" s="130" t="inlineStr">
        <is>
          <t>Pigier</t>
        </is>
      </c>
      <c r="D76" s="131" t="n"/>
      <c r="E76" s="131" t="n"/>
      <c r="F76" s="123">
        <f>SUBTOTAL(9,F77:F82)</f>
        <v/>
      </c>
      <c r="G76" s="137">
        <f>IFERROR((F76-T76)/T76,"")</f>
        <v/>
      </c>
      <c r="H76" s="123">
        <f>SUBTOTAL(9,H77:H82)</f>
        <v/>
      </c>
      <c r="I76" s="137">
        <f>IFERROR((H76-S76)/S76,"")</f>
        <v/>
      </c>
      <c r="J76" s="125">
        <f>SUBTOTAL(9,J77:J82)</f>
        <v/>
      </c>
      <c r="K76" s="125">
        <f>IFERROR(H76/F76,"")</f>
        <v/>
      </c>
      <c r="L76" s="138">
        <f>IFERROR((K76-W76)*100,"")</f>
        <v/>
      </c>
      <c r="M76" s="123">
        <f>SUBTOTAL(9,M77:M82)</f>
        <v/>
      </c>
      <c r="N76" s="125">
        <f>IFERROR(P76/Q76,"")</f>
        <v/>
      </c>
      <c r="O76" s="125">
        <f>IFERROR(R76/P76,"")</f>
        <v/>
      </c>
      <c r="P76" s="123">
        <f>SUBTOTAL(9,P77:P82)</f>
        <v/>
      </c>
      <c r="Q76" s="123">
        <f>SUBTOTAL(9,Q77:Q82)</f>
        <v/>
      </c>
      <c r="R76" s="6">
        <f>SUBTOTAL(9,R77:R82)</f>
        <v/>
      </c>
      <c r="S76" s="6">
        <f>SUBTOTAL(9,S77:S82)</f>
        <v/>
      </c>
      <c r="T76" s="6">
        <f>SUBTOTAL(9,T77:T82)</f>
        <v/>
      </c>
      <c r="U76" s="6">
        <f>SUBTOTAL(9,U77:U82)</f>
        <v/>
      </c>
      <c r="V76" s="6">
        <f>SUBTOTAL(9,V77:V82)</f>
        <v/>
      </c>
      <c r="W76" s="6">
        <f>IFERROR(S76/T76,"")</f>
        <v/>
      </c>
      <c r="X76" s="6">
        <f>SUBTOTAL(9,X77:X82)</f>
        <v/>
      </c>
      <c r="Y76" s="6">
        <f>SUBTOTAL(9,Y77:Y82)</f>
        <v/>
      </c>
      <c r="Z76" s="6">
        <f>SUBTOTAL(9,Z77:Z82)</f>
        <v/>
      </c>
      <c r="AA76" s="6">
        <f>IFERROR((M76-Y76)/Y76,"")</f>
        <v/>
      </c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 ht="15.5" customHeight="1">
      <c r="A77" s="58" t="n"/>
      <c r="B77" s="129" t="n">
        <v>4</v>
      </c>
      <c r="C77" s="130" t="inlineStr">
        <is>
          <t>Pigier Bordeaux</t>
        </is>
      </c>
      <c r="D77" s="131" t="n"/>
      <c r="E77" s="131" t="n"/>
      <c r="F77" s="123">
        <f>SUBTOTAL(9,F78:F79)</f>
        <v/>
      </c>
      <c r="G77" s="137">
        <f>IFERROR((F77-T77)/T77,"")</f>
        <v/>
      </c>
      <c r="H77" s="123">
        <f>SUBTOTAL(9,H78:H79)</f>
        <v/>
      </c>
      <c r="I77" s="137">
        <f>IFERROR((H77-S77)/S77,"")</f>
        <v/>
      </c>
      <c r="J77" s="125">
        <f>SUBTOTAL(9,J78:J79)</f>
        <v/>
      </c>
      <c r="K77" s="125">
        <f>IFERROR(H77/F77,"")</f>
        <v/>
      </c>
      <c r="L77" s="138">
        <f>IFERROR((K77-W77)*100,"")</f>
        <v/>
      </c>
      <c r="M77" s="123">
        <f>SUBTOTAL(9,M78:M79)</f>
        <v/>
      </c>
      <c r="N77" s="125">
        <f>IFERROR(P77/Q77,"")</f>
        <v/>
      </c>
      <c r="O77" s="125">
        <f>IFERROR(R77/P77,"")</f>
        <v/>
      </c>
      <c r="P77" s="123">
        <f>SUBTOTAL(9,P78:P79)</f>
        <v/>
      </c>
      <c r="Q77" s="123">
        <f>SUBTOTAL(9,Q78:Q79)</f>
        <v/>
      </c>
      <c r="R77" s="6">
        <f>SUBTOTAL(9,R78:R79)</f>
        <v/>
      </c>
      <c r="S77" s="6">
        <f>SUBTOTAL(9,S78:S79)</f>
        <v/>
      </c>
      <c r="T77" s="6">
        <f>SUBTOTAL(9,T78:T79)</f>
        <v/>
      </c>
      <c r="U77" s="6">
        <f>SUBTOTAL(9,U78:U79)</f>
        <v/>
      </c>
      <c r="V77" s="6">
        <f>SUBTOTAL(9,V78:V79)</f>
        <v/>
      </c>
      <c r="W77" s="6">
        <f>IFERROR(S77/T77,"")</f>
        <v/>
      </c>
      <c r="X77" s="6">
        <f>SUBTOTAL(9,X78:X79)</f>
        <v/>
      </c>
      <c r="Y77" s="6">
        <f>SUBTOTAL(9,Y78:Y79)</f>
        <v/>
      </c>
      <c r="Z77" s="6">
        <f>SUBTOTAL(9,Z78:Z79)</f>
        <v/>
      </c>
      <c r="AA77" s="6">
        <f>IFERROR((M77-Y77)/Y77,"")</f>
        <v/>
      </c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 ht="15.5" customHeight="1">
      <c r="A78" s="58" t="n"/>
      <c r="B78" s="129" t="n">
        <v>5</v>
      </c>
      <c r="C78" s="130" t="n"/>
      <c r="D78" s="131" t="inlineStr">
        <is>
          <t>BAC_RH</t>
        </is>
      </c>
      <c r="E78" s="131" t="inlineStr">
        <is>
          <t>Alternance</t>
        </is>
      </c>
      <c r="F78" s="123" t="n">
        <v>716190</v>
      </c>
      <c r="G78" s="137">
        <f>IFERROR((F78-T78)/T78,"")</f>
        <v/>
      </c>
      <c r="H78" s="123" t="n">
        <v>179014.645036037</v>
      </c>
      <c r="I78" s="137">
        <f>IFERROR((H78-S78)/S78,"")</f>
        <v/>
      </c>
      <c r="J78" s="125" t="n">
        <v>0.04654821104910951</v>
      </c>
      <c r="K78" s="125">
        <f>IFERROR(H78/F78,"")</f>
        <v/>
      </c>
      <c r="L78" s="138">
        <f>IFERROR((K78-W78)*100,"")</f>
        <v/>
      </c>
      <c r="M78" s="123" t="n">
        <v>36</v>
      </c>
      <c r="N78" s="125">
        <f>IFERROR(P78/Q78,"")</f>
        <v/>
      </c>
      <c r="O78" s="125">
        <f>IFERROR(R78/P78,"")</f>
        <v/>
      </c>
      <c r="P78" s="123" t="n">
        <v>105</v>
      </c>
      <c r="Q78" s="123" t="n">
        <v>192</v>
      </c>
      <c r="R78" s="6" t="n">
        <v>105</v>
      </c>
      <c r="S78" s="6" t="n">
        <v>164148.8722051452</v>
      </c>
      <c r="T78" s="6" t="n">
        <v>675270</v>
      </c>
      <c r="U78" s="6" t="n">
        <v>10984</v>
      </c>
      <c r="V78" s="6" t="n">
        <v>9985</v>
      </c>
      <c r="W78" s="6">
        <f>IFERROR(S78/T78,"")</f>
        <v/>
      </c>
      <c r="X78" s="6" t="n">
        <v>192</v>
      </c>
      <c r="Y78" s="6" t="n">
        <v>34</v>
      </c>
      <c r="Z78" s="6" t="n">
        <v>99</v>
      </c>
      <c r="AA78" s="6">
        <f>IFERROR((M78-Y78)/Y78,"")</f>
        <v/>
      </c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 ht="15.5" customHeight="1">
      <c r="A79" s="58" t="n"/>
      <c r="B79" s="129" t="n">
        <v>5</v>
      </c>
      <c r="C79" s="130" t="n"/>
      <c r="D79" s="131" t="inlineStr">
        <is>
          <t>BTS_GES</t>
        </is>
      </c>
      <c r="E79" s="131" t="inlineStr">
        <is>
          <t>Alternance</t>
        </is>
      </c>
      <c r="F79" s="123" t="n">
        <v>416460</v>
      </c>
      <c r="G79" s="137">
        <f>IFERROR((F79-T79)/T79,"")</f>
        <v/>
      </c>
      <c r="H79" s="123" t="n">
        <v>53227.14092912973</v>
      </c>
      <c r="I79" s="137">
        <f>IFERROR((H79-S79)/S79,"")</f>
        <v/>
      </c>
      <c r="J79" s="125" t="n">
        <v>0.01384036590420332</v>
      </c>
      <c r="K79" s="125">
        <f>IFERROR(H79/F79,"")</f>
        <v/>
      </c>
      <c r="L79" s="138">
        <f>IFERROR((K79-W79)*100,"")</f>
        <v/>
      </c>
      <c r="M79" s="123" t="n">
        <v>36</v>
      </c>
      <c r="N79" s="125">
        <f>IFERROR(P79/Q79,"")</f>
        <v/>
      </c>
      <c r="O79" s="125">
        <f>IFERROR(R79/P79,"")</f>
        <v/>
      </c>
      <c r="P79" s="123" t="n">
        <v>71</v>
      </c>
      <c r="Q79" s="123" t="n">
        <v>120</v>
      </c>
      <c r="R79" s="6" t="n">
        <v>71</v>
      </c>
      <c r="S79" s="6" t="n">
        <v>47089.74179540126</v>
      </c>
      <c r="T79" s="6" t="n">
        <v>393000</v>
      </c>
      <c r="U79" s="6" t="n">
        <v>10984</v>
      </c>
      <c r="V79" s="6" t="n">
        <v>9986</v>
      </c>
      <c r="W79" s="6">
        <f>IFERROR(S79/T79,"")</f>
        <v/>
      </c>
      <c r="X79" s="6" t="n">
        <v>120</v>
      </c>
      <c r="Y79" s="6" t="n">
        <v>34</v>
      </c>
      <c r="Z79" s="6" t="n">
        <v>67</v>
      </c>
      <c r="AA79" s="6">
        <f>IFERROR((M79-Y79)/Y79,"")</f>
        <v/>
      </c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 ht="15.5" customHeight="1">
      <c r="A80" s="58" t="n"/>
      <c r="B80" s="129" t="n">
        <v>4</v>
      </c>
      <c r="C80" s="130" t="inlineStr">
        <is>
          <t>Pigier Lyon</t>
        </is>
      </c>
      <c r="D80" s="131" t="n"/>
      <c r="E80" s="131" t="n"/>
      <c r="F80" s="123">
        <f>SUBTOTAL(9,F81:F82)</f>
        <v/>
      </c>
      <c r="G80" s="137">
        <f>IFERROR((F80-T80)/T80,"")</f>
        <v/>
      </c>
      <c r="H80" s="123">
        <f>SUBTOTAL(9,H81:H82)</f>
        <v/>
      </c>
      <c r="I80" s="137">
        <f>IFERROR((H80-S80)/S80,"")</f>
        <v/>
      </c>
      <c r="J80" s="125">
        <f>SUBTOTAL(9,J81:J82)</f>
        <v/>
      </c>
      <c r="K80" s="125">
        <f>IFERROR(H80/F80,"")</f>
        <v/>
      </c>
      <c r="L80" s="138">
        <f>IFERROR((K80-W80)*100,"")</f>
        <v/>
      </c>
      <c r="M80" s="123">
        <f>SUBTOTAL(9,M81:M82)</f>
        <v/>
      </c>
      <c r="N80" s="125">
        <f>IFERROR(P80/Q80,"")</f>
        <v/>
      </c>
      <c r="O80" s="125">
        <f>IFERROR(R80/P80,"")</f>
        <v/>
      </c>
      <c r="P80" s="123">
        <f>SUBTOTAL(9,P81:P82)</f>
        <v/>
      </c>
      <c r="Q80" s="123">
        <f>SUBTOTAL(9,Q81:Q82)</f>
        <v/>
      </c>
      <c r="R80" s="6">
        <f>SUBTOTAL(9,R81:R82)</f>
        <v/>
      </c>
      <c r="S80" s="6">
        <f>SUBTOTAL(9,S81:S82)</f>
        <v/>
      </c>
      <c r="T80" s="6">
        <f>SUBTOTAL(9,T81:T82)</f>
        <v/>
      </c>
      <c r="U80" s="6">
        <f>SUBTOTAL(9,U81:U82)</f>
        <v/>
      </c>
      <c r="V80" s="6">
        <f>SUBTOTAL(9,V81:V82)</f>
        <v/>
      </c>
      <c r="W80" s="6">
        <f>IFERROR(S80/T80,"")</f>
        <v/>
      </c>
      <c r="X80" s="6">
        <f>SUBTOTAL(9,X81:X82)</f>
        <v/>
      </c>
      <c r="Y80" s="6">
        <f>SUBTOTAL(9,Y81:Y82)</f>
        <v/>
      </c>
      <c r="Z80" s="6">
        <f>SUBTOTAL(9,Z81:Z82)</f>
        <v/>
      </c>
      <c r="AA80" s="6">
        <f>IFERROR((M80-Y80)/Y80,"")</f>
        <v/>
      </c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 ht="15.5" customHeight="1">
      <c r="A81" s="58" t="n"/>
      <c r="B81" s="129" t="n">
        <v>5</v>
      </c>
      <c r="C81" s="130" t="n"/>
      <c r="D81" s="131" t="inlineStr">
        <is>
          <t>BAC_RH</t>
        </is>
      </c>
      <c r="E81" s="131" t="inlineStr">
        <is>
          <t>Alternance</t>
        </is>
      </c>
      <c r="F81" s="123" t="n">
        <v>996390</v>
      </c>
      <c r="G81" s="137">
        <f>IFERROR((F81-T81)/T81,"")</f>
        <v/>
      </c>
      <c r="H81" s="123" t="n">
        <v>259378.1087048069</v>
      </c>
      <c r="I81" s="137">
        <f>IFERROR((H81-S81)/S81,"")</f>
        <v/>
      </c>
      <c r="J81" s="125" t="n">
        <v>0.06744468835541204</v>
      </c>
      <c r="K81" s="125">
        <f>IFERROR(H81/F81,"")</f>
        <v/>
      </c>
      <c r="L81" s="138">
        <f>IFERROR((K81-W81)*100,"")</f>
        <v/>
      </c>
      <c r="M81" s="123" t="n">
        <v>46</v>
      </c>
      <c r="N81" s="125">
        <f>IFERROR(P81/Q81,"")</f>
        <v/>
      </c>
      <c r="O81" s="125">
        <f>IFERROR(R81/P81,"")</f>
        <v/>
      </c>
      <c r="P81" s="123" t="n">
        <v>135</v>
      </c>
      <c r="Q81" s="123" t="n">
        <v>192</v>
      </c>
      <c r="R81" s="6" t="n">
        <v>135</v>
      </c>
      <c r="S81" s="6" t="n">
        <v>235732.9018390568</v>
      </c>
      <c r="T81" s="6" t="n">
        <v>929970</v>
      </c>
      <c r="U81" s="6" t="n">
        <v>18306</v>
      </c>
      <c r="V81" s="6" t="n">
        <v>16642</v>
      </c>
      <c r="W81" s="6">
        <f>IFERROR(S81/T81,"")</f>
        <v/>
      </c>
      <c r="X81" s="6" t="n">
        <v>192</v>
      </c>
      <c r="Y81" s="6" t="n">
        <v>43</v>
      </c>
      <c r="Z81" s="6" t="n">
        <v>126</v>
      </c>
      <c r="AA81" s="6">
        <f>IFERROR((M81-Y81)/Y81,"")</f>
        <v/>
      </c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 ht="15.5" customHeight="1">
      <c r="A82" s="58" t="n"/>
      <c r="B82" s="129" t="n">
        <v>5</v>
      </c>
      <c r="C82" s="130" t="n"/>
      <c r="D82" s="131" t="inlineStr">
        <is>
          <t>BTS_GES</t>
        </is>
      </c>
      <c r="E82" s="131" t="inlineStr">
        <is>
          <t>Alternance</t>
        </is>
      </c>
      <c r="F82" s="123" t="n">
        <v>577440</v>
      </c>
      <c r="G82" s="137">
        <f>IFERROR((F82-T82)/T82,"")</f>
        <v/>
      </c>
      <c r="H82" s="123" t="n">
        <v>80639.39179361059</v>
      </c>
      <c r="I82" s="137">
        <f>IFERROR((H82-S82)/S82,"")</f>
        <v/>
      </c>
      <c r="J82" s="125" t="n">
        <v>0.02096822540594477</v>
      </c>
      <c r="K82" s="125">
        <f>IFERROR(H82/F82,"")</f>
        <v/>
      </c>
      <c r="L82" s="138">
        <f>IFERROR((K82-W82)*100,"")</f>
        <v/>
      </c>
      <c r="M82" s="123" t="n">
        <v>46</v>
      </c>
      <c r="N82" s="125">
        <f>IFERROR(P82/Q82,"")</f>
        <v/>
      </c>
      <c r="O82" s="125">
        <f>IFERROR(R82/P82,"")</f>
        <v/>
      </c>
      <c r="P82" s="123" t="n">
        <v>91</v>
      </c>
      <c r="Q82" s="123" t="n">
        <v>120</v>
      </c>
      <c r="R82" s="6" t="n">
        <v>91</v>
      </c>
      <c r="S82" s="6" t="n">
        <v>71035.44965333195</v>
      </c>
      <c r="T82" s="6" t="n">
        <v>539370</v>
      </c>
      <c r="U82" s="6" t="n">
        <v>18306</v>
      </c>
      <c r="V82" s="6" t="n">
        <v>16642</v>
      </c>
      <c r="W82" s="6">
        <f>IFERROR(S82/T82,"")</f>
        <v/>
      </c>
      <c r="X82" s="6" t="n">
        <v>120</v>
      </c>
      <c r="Y82" s="6" t="n">
        <v>43</v>
      </c>
      <c r="Z82" s="6" t="n">
        <v>85</v>
      </c>
      <c r="AA82" s="6">
        <f>IFERROR((M82-Y82)/Y82,"")</f>
        <v/>
      </c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 ht="15.5" customHeight="1">
      <c r="A83" s="58" t="n"/>
      <c r="B83" s="129" t="n">
        <v>3</v>
      </c>
      <c r="C83" s="130" t="inlineStr">
        <is>
          <t>Tunon</t>
        </is>
      </c>
      <c r="D83" s="131" t="n"/>
      <c r="E83" s="131" t="n"/>
      <c r="F83" s="123">
        <f>SUBTOTAL(9,F84:F87)</f>
        <v/>
      </c>
      <c r="G83" s="137">
        <f>IFERROR((F83-T83)/T83,"")</f>
        <v/>
      </c>
      <c r="H83" s="123">
        <f>SUBTOTAL(9,H84:H87)</f>
        <v/>
      </c>
      <c r="I83" s="137">
        <f>IFERROR((H83-S83)/S83,"")</f>
        <v/>
      </c>
      <c r="J83" s="125">
        <f>SUBTOTAL(9,J84:J87)</f>
        <v/>
      </c>
      <c r="K83" s="125">
        <f>IFERROR(H83/F83,"")</f>
        <v/>
      </c>
      <c r="L83" s="138">
        <f>IFERROR((K83-W83)*100,"")</f>
        <v/>
      </c>
      <c r="M83" s="123">
        <f>SUBTOTAL(9,M84:M87)</f>
        <v/>
      </c>
      <c r="N83" s="125">
        <f>IFERROR(P83/Q83,"")</f>
        <v/>
      </c>
      <c r="O83" s="125">
        <f>IFERROR(R83/P83,"")</f>
        <v/>
      </c>
      <c r="P83" s="123">
        <f>SUBTOTAL(9,P84:P87)</f>
        <v/>
      </c>
      <c r="Q83" s="123">
        <f>SUBTOTAL(9,Q84:Q87)</f>
        <v/>
      </c>
      <c r="R83" s="6">
        <f>SUBTOTAL(9,R84:R87)</f>
        <v/>
      </c>
      <c r="S83" s="6">
        <f>SUBTOTAL(9,S84:S87)</f>
        <v/>
      </c>
      <c r="T83" s="6">
        <f>SUBTOTAL(9,T84:T87)</f>
        <v/>
      </c>
      <c r="U83" s="6">
        <f>SUBTOTAL(9,U84:U87)</f>
        <v/>
      </c>
      <c r="V83" s="6">
        <f>SUBTOTAL(9,V84:V87)</f>
        <v/>
      </c>
      <c r="W83" s="6">
        <f>IFERROR(S83/T83,"")</f>
        <v/>
      </c>
      <c r="X83" s="6">
        <f>SUBTOTAL(9,X84:X87)</f>
        <v/>
      </c>
      <c r="Y83" s="6">
        <f>SUBTOTAL(9,Y84:Y87)</f>
        <v/>
      </c>
      <c r="Z83" s="6">
        <f>SUBTOTAL(9,Z84:Z87)</f>
        <v/>
      </c>
      <c r="AA83" s="6">
        <f>IFERROR((M83-Y83)/Y83,"")</f>
        <v/>
      </c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 ht="15.5" customHeight="1">
      <c r="A84" s="58" t="n"/>
      <c r="B84" s="129" t="n">
        <v>4</v>
      </c>
      <c r="C84" s="130" t="inlineStr">
        <is>
          <t>Tunon Lyon</t>
        </is>
      </c>
      <c r="D84" s="131" t="n"/>
      <c r="E84" s="131" t="n"/>
      <c r="F84" s="123">
        <f>SUBTOTAL(9,F85:F85)</f>
        <v/>
      </c>
      <c r="G84" s="137">
        <f>IFERROR((F84-T84)/T84,"")</f>
        <v/>
      </c>
      <c r="H84" s="123">
        <f>SUBTOTAL(9,H85:H85)</f>
        <v/>
      </c>
      <c r="I84" s="137">
        <f>IFERROR((H84-S84)/S84,"")</f>
        <v/>
      </c>
      <c r="J84" s="125">
        <f>SUBTOTAL(9,J85:J85)</f>
        <v/>
      </c>
      <c r="K84" s="125">
        <f>IFERROR(H84/F84,"")</f>
        <v/>
      </c>
      <c r="L84" s="138">
        <f>IFERROR((K84-W84)*100,"")</f>
        <v/>
      </c>
      <c r="M84" s="123">
        <f>SUBTOTAL(9,M85:M85)</f>
        <v/>
      </c>
      <c r="N84" s="125">
        <f>IFERROR(P84/Q84,"")</f>
        <v/>
      </c>
      <c r="O84" s="125">
        <f>IFERROR(R84/P84,"")</f>
        <v/>
      </c>
      <c r="P84" s="123">
        <f>SUBTOTAL(9,P85:P85)</f>
        <v/>
      </c>
      <c r="Q84" s="123">
        <f>SUBTOTAL(9,Q85:Q85)</f>
        <v/>
      </c>
      <c r="R84" s="6">
        <f>SUBTOTAL(9,R85:R85)</f>
        <v/>
      </c>
      <c r="S84" s="6">
        <f>SUBTOTAL(9,S85:S85)</f>
        <v/>
      </c>
      <c r="T84" s="6">
        <f>SUBTOTAL(9,T85:T85)</f>
        <v/>
      </c>
      <c r="U84" s="6">
        <f>SUBTOTAL(9,U85:U85)</f>
        <v/>
      </c>
      <c r="V84" s="6">
        <f>SUBTOTAL(9,V85:V85)</f>
        <v/>
      </c>
      <c r="W84" s="6">
        <f>IFERROR(S84/T84,"")</f>
        <v/>
      </c>
      <c r="X84" s="6">
        <f>SUBTOTAL(9,X85:X85)</f>
        <v/>
      </c>
      <c r="Y84" s="6">
        <f>SUBTOTAL(9,Y85:Y85)</f>
        <v/>
      </c>
      <c r="Z84" s="6">
        <f>SUBTOTAL(9,Z85:Z85)</f>
        <v/>
      </c>
      <c r="AA84" s="6">
        <f>IFERROR((M84-Y84)/Y84,"")</f>
        <v/>
      </c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 ht="15.5" customHeight="1">
      <c r="A85" s="58" t="n"/>
      <c r="B85" s="129" t="n">
        <v>5</v>
      </c>
      <c r="C85" s="130" t="n"/>
      <c r="D85" s="131" t="inlineStr">
        <is>
          <t>BAC_TOU</t>
        </is>
      </c>
      <c r="E85" s="131" t="inlineStr">
        <is>
          <t>Alternance</t>
        </is>
      </c>
      <c r="F85" s="123" t="n">
        <v>863550</v>
      </c>
      <c r="G85" s="137">
        <f>IFERROR((F85-T85)/T85,"")</f>
        <v/>
      </c>
      <c r="H85" s="123" t="n">
        <v>32829.34196884639</v>
      </c>
      <c r="I85" s="137">
        <f>IFERROR((H85-S85)/S85,"")</f>
        <v/>
      </c>
      <c r="J85" s="125" t="n">
        <v>0.008536436436592231</v>
      </c>
      <c r="K85" s="125">
        <f>IFERROR(H85/F85,"")</f>
        <v/>
      </c>
      <c r="L85" s="138">
        <f>IFERROR((K85-W85)*100,"")</f>
        <v/>
      </c>
      <c r="M85" s="123" t="n">
        <v>40</v>
      </c>
      <c r="N85" s="125">
        <f>IFERROR(P85/Q85,"")</f>
        <v/>
      </c>
      <c r="O85" s="125">
        <f>IFERROR(R85/P85,"")</f>
        <v/>
      </c>
      <c r="P85" s="123" t="n">
        <v>117</v>
      </c>
      <c r="Q85" s="123" t="n">
        <v>192</v>
      </c>
      <c r="R85" s="6" t="n">
        <v>117</v>
      </c>
      <c r="S85" s="6" t="n">
        <v>40301.88030074025</v>
      </c>
      <c r="T85" s="6" t="n">
        <v>819270</v>
      </c>
      <c r="U85" s="6" t="n">
        <v>18850</v>
      </c>
      <c r="V85" s="6" t="n">
        <v>17136</v>
      </c>
      <c r="W85" s="6">
        <f>IFERROR(S85/T85,"")</f>
        <v/>
      </c>
      <c r="X85" s="6" t="n">
        <v>192</v>
      </c>
      <c r="Y85" s="6" t="n">
        <v>38</v>
      </c>
      <c r="Z85" s="6" t="n">
        <v>111</v>
      </c>
      <c r="AA85" s="6">
        <f>IFERROR((M85-Y85)/Y85,"")</f>
        <v/>
      </c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 ht="15.5" customHeight="1">
      <c r="A86" s="58" t="n"/>
      <c r="B86" s="129" t="n">
        <v>4</v>
      </c>
      <c r="C86" s="130" t="inlineStr">
        <is>
          <t>Tunon Paris</t>
        </is>
      </c>
      <c r="D86" s="131" t="n"/>
      <c r="E86" s="131" t="n"/>
      <c r="F86" s="123">
        <f>SUBTOTAL(9,F87:F87)</f>
        <v/>
      </c>
      <c r="G86" s="137">
        <f>IFERROR((F86-T86)/T86,"")</f>
        <v/>
      </c>
      <c r="H86" s="123">
        <f>SUBTOTAL(9,H87:H87)</f>
        <v/>
      </c>
      <c r="I86" s="137">
        <f>IFERROR((H86-S86)/S86,"")</f>
        <v/>
      </c>
      <c r="J86" s="125">
        <f>SUBTOTAL(9,J87:J87)</f>
        <v/>
      </c>
      <c r="K86" s="125">
        <f>IFERROR(H86/F86,"")</f>
        <v/>
      </c>
      <c r="L86" s="138">
        <f>IFERROR((K86-W86)*100,"")</f>
        <v/>
      </c>
      <c r="M86" s="123">
        <f>SUBTOTAL(9,M87:M87)</f>
        <v/>
      </c>
      <c r="N86" s="125">
        <f>IFERROR(P86/Q86,"")</f>
        <v/>
      </c>
      <c r="O86" s="125">
        <f>IFERROR(R86/P86,"")</f>
        <v/>
      </c>
      <c r="P86" s="123">
        <f>SUBTOTAL(9,P87:P87)</f>
        <v/>
      </c>
      <c r="Q86" s="123">
        <f>SUBTOTAL(9,Q87:Q87)</f>
        <v/>
      </c>
      <c r="R86" s="6">
        <f>SUBTOTAL(9,R87:R87)</f>
        <v/>
      </c>
      <c r="S86" s="6">
        <f>SUBTOTAL(9,S87:S87)</f>
        <v/>
      </c>
      <c r="T86" s="6">
        <f>SUBTOTAL(9,T87:T87)</f>
        <v/>
      </c>
      <c r="U86" s="6">
        <f>SUBTOTAL(9,U87:U87)</f>
        <v/>
      </c>
      <c r="V86" s="6">
        <f>SUBTOTAL(9,V87:V87)</f>
        <v/>
      </c>
      <c r="W86" s="6">
        <f>IFERROR(S86/T86,"")</f>
        <v/>
      </c>
      <c r="X86" s="6">
        <f>SUBTOTAL(9,X87:X87)</f>
        <v/>
      </c>
      <c r="Y86" s="6">
        <f>SUBTOTAL(9,Y87:Y87)</f>
        <v/>
      </c>
      <c r="Z86" s="6">
        <f>SUBTOTAL(9,Z87:Z87)</f>
        <v/>
      </c>
      <c r="AA86" s="6">
        <f>IFERROR((M86-Y86)/Y86,"")</f>
        <v/>
      </c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 ht="15.5" customHeight="1">
      <c r="A87" s="58" t="n"/>
      <c r="B87" s="129" t="n">
        <v>5</v>
      </c>
      <c r="C87" s="130" t="n"/>
      <c r="D87" s="131" t="inlineStr">
        <is>
          <t>BAC_TOU</t>
        </is>
      </c>
      <c r="E87" s="131" t="inlineStr">
        <is>
          <t>Alternance</t>
        </is>
      </c>
      <c r="F87" s="123" t="n">
        <v>1086150</v>
      </c>
      <c r="G87" s="137">
        <f>IFERROR((F87-T87)/T87,"")</f>
        <v/>
      </c>
      <c r="H87" s="123" t="n">
        <v>48895.78642460995</v>
      </c>
      <c r="I87" s="137">
        <f>IFERROR((H87-S87)/S87,"")</f>
        <v/>
      </c>
      <c r="J87" s="125" t="n">
        <v>0.01271410719188226</v>
      </c>
      <c r="K87" s="125">
        <f>IFERROR(H87/F87,"")</f>
        <v/>
      </c>
      <c r="L87" s="138">
        <f>IFERROR((K87-W87)*100,"")</f>
        <v/>
      </c>
      <c r="M87" s="123" t="n">
        <v>47</v>
      </c>
      <c r="N87" s="125">
        <f>IFERROR(P87/Q87,"")</f>
        <v/>
      </c>
      <c r="O87" s="125">
        <f>IFERROR(R87/P87,"")</f>
        <v/>
      </c>
      <c r="P87" s="123" t="n">
        <v>138</v>
      </c>
      <c r="Q87" s="123" t="n">
        <v>192</v>
      </c>
      <c r="R87" s="6" t="n">
        <v>138</v>
      </c>
      <c r="S87" s="6" t="n">
        <v>57079.30344296084</v>
      </c>
      <c r="T87" s="6" t="n">
        <v>1015320</v>
      </c>
      <c r="U87" s="6" t="n">
        <v>30240</v>
      </c>
      <c r="V87" s="6" t="n">
        <v>27491</v>
      </c>
      <c r="W87" s="6">
        <f>IFERROR(S87/T87,"")</f>
        <v/>
      </c>
      <c r="X87" s="6" t="n">
        <v>192</v>
      </c>
      <c r="Y87" s="6" t="n">
        <v>44</v>
      </c>
      <c r="Z87" s="6" t="n">
        <v>129</v>
      </c>
      <c r="AA87" s="6">
        <f>IFERROR((M87-Y87)/Y87,"")</f>
        <v/>
      </c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 ht="15.5" customHeight="1">
      <c r="A88" s="58" t="n"/>
      <c r="B88" s="129" t="n"/>
      <c r="C88" s="130" t="n"/>
      <c r="D88" s="131" t="n"/>
      <c r="E88" s="131" t="n"/>
      <c r="F88" s="123" t="n"/>
      <c r="G88" s="137" t="n"/>
      <c r="H88" s="123" t="n"/>
      <c r="I88" s="137" t="n"/>
      <c r="J88" s="125" t="n"/>
      <c r="K88" s="125" t="n"/>
      <c r="L88" s="138" t="n"/>
      <c r="M88" s="123" t="n"/>
      <c r="N88" s="125" t="n"/>
      <c r="O88" s="125" t="n"/>
      <c r="P88" s="123" t="n"/>
      <c r="Q88" s="123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 ht="15.5" customHeight="1">
      <c r="A89" s="58" t="n"/>
      <c r="B89" s="129" t="n"/>
      <c r="C89" s="132" t="inlineStr">
        <is>
          <t>Source : V_ALLOCATION et AW_002_000002_000001. Marges, remplissage et coût d'acquisition sont divisés après somme, jamais moyennés.</t>
        </is>
      </c>
      <c r="D89" s="131" t="n"/>
      <c r="E89" s="131" t="n"/>
      <c r="F89" s="123" t="n"/>
      <c r="G89" s="137" t="n"/>
      <c r="H89" s="123" t="n"/>
      <c r="I89" s="137" t="n"/>
      <c r="J89" s="125" t="n"/>
      <c r="K89" s="125" t="n"/>
      <c r="L89" s="138" t="n"/>
      <c r="M89" s="123" t="n"/>
      <c r="N89" s="125" t="n"/>
      <c r="O89" s="125" t="n"/>
      <c r="P89" s="123" t="n"/>
      <c r="Q89" s="123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 ht="15.5" customHeight="1">
      <c r="A90" s="58" t="n"/>
      <c r="B90" s="129" t="n"/>
      <c r="C90" s="132" t="inlineStr">
        <is>
          <t>Sur les lignes de niveau 5, les volumes, le CA, les places et l'acquisition sont lus ligne par ligne dans le socle. Les COÛTS y sont répartis au prorata des effectifs du campus, parce que la cascade K1..K4 vit dans V_ALLOCATION, en base : chaque total de campus, de marque et de groupe est donc exact, seule la répartition entre les programmes d'un même campus est approchée dans cette simulation.</t>
        </is>
      </c>
      <c r="D90" s="131" t="n"/>
      <c r="E90" s="131" t="n"/>
      <c r="F90" s="123" t="n"/>
      <c r="G90" s="137" t="n"/>
      <c r="H90" s="123" t="n"/>
      <c r="I90" s="137" t="n"/>
      <c r="J90" s="125" t="n"/>
      <c r="K90" s="125" t="n"/>
      <c r="L90" s="138" t="n"/>
      <c r="M90" s="123" t="n"/>
      <c r="N90" s="125" t="n"/>
      <c r="O90" s="125" t="n"/>
      <c r="P90" s="123" t="n"/>
      <c r="Q90" s="123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29" t="n"/>
      <c r="C91" s="130" t="n"/>
      <c r="D91" s="131" t="n"/>
      <c r="E91" s="131" t="n"/>
      <c r="F91" s="123" t="n"/>
      <c r="G91" s="137" t="n"/>
      <c r="H91" s="123" t="n"/>
      <c r="I91" s="137" t="n"/>
      <c r="J91" s="125" t="n"/>
      <c r="K91" s="125" t="n"/>
      <c r="L91" s="138" t="n"/>
      <c r="M91" s="123" t="n"/>
      <c r="N91" s="125" t="n"/>
      <c r="O91" s="125" t="n"/>
      <c r="P91" s="123" t="n"/>
      <c r="Q91" s="123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29" t="n"/>
      <c r="C92" s="132" t="n"/>
      <c r="D92" s="131" t="n"/>
      <c r="E92" s="131" t="n"/>
      <c r="F92" s="123" t="n"/>
      <c r="G92" s="137" t="n"/>
      <c r="H92" s="123" t="n"/>
      <c r="I92" s="137" t="n"/>
      <c r="J92" s="125" t="n"/>
      <c r="K92" s="125" t="n"/>
      <c r="L92" s="138" t="n"/>
      <c r="M92" s="123" t="n"/>
      <c r="N92" s="125" t="n"/>
      <c r="O92" s="125" t="n"/>
      <c r="P92" s="123" t="n"/>
      <c r="Q92" s="123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29" t="n"/>
      <c r="C93" s="130" t="n"/>
      <c r="D93" s="131" t="n"/>
      <c r="E93" s="131" t="n"/>
      <c r="F93" s="123" t="n"/>
      <c r="G93" s="137" t="n"/>
      <c r="H93" s="123" t="n"/>
      <c r="I93" s="137" t="n"/>
      <c r="J93" s="125" t="n"/>
      <c r="K93" s="125" t="n"/>
      <c r="L93" s="138" t="n"/>
      <c r="M93" s="123" t="n"/>
      <c r="N93" s="125" t="n"/>
      <c r="O93" s="125" t="n"/>
      <c r="P93" s="123" t="n"/>
      <c r="Q93" s="123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29" t="n"/>
      <c r="C94" s="130" t="n"/>
      <c r="D94" s="131" t="n"/>
      <c r="E94" s="131" t="n"/>
      <c r="F94" s="123" t="n"/>
      <c r="G94" s="137" t="n"/>
      <c r="H94" s="123" t="n"/>
      <c r="I94" s="137" t="n"/>
      <c r="J94" s="125" t="n"/>
      <c r="K94" s="125" t="n"/>
      <c r="L94" s="138" t="n"/>
      <c r="M94" s="123" t="n"/>
      <c r="N94" s="125" t="n"/>
      <c r="O94" s="125" t="n"/>
      <c r="P94" s="123" t="n"/>
      <c r="Q94" s="123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29" t="n"/>
      <c r="C95" s="130" t="n"/>
      <c r="D95" s="131" t="n"/>
      <c r="E95" s="131" t="n"/>
      <c r="F95" s="123" t="n"/>
      <c r="G95" s="137" t="n"/>
      <c r="H95" s="123" t="n"/>
      <c r="I95" s="137" t="n"/>
      <c r="J95" s="125" t="n"/>
      <c r="K95" s="125" t="n"/>
      <c r="L95" s="138" t="n"/>
      <c r="M95" s="123" t="n"/>
      <c r="N95" s="125" t="n"/>
      <c r="O95" s="125" t="n"/>
      <c r="P95" s="123" t="n"/>
      <c r="Q95" s="123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29" t="n"/>
      <c r="C96" s="130" t="n"/>
      <c r="D96" s="131" t="n"/>
      <c r="E96" s="131" t="n"/>
      <c r="F96" s="123" t="n"/>
      <c r="G96" s="137" t="n"/>
      <c r="H96" s="123" t="n"/>
      <c r="I96" s="137" t="n"/>
      <c r="J96" s="125" t="n"/>
      <c r="K96" s="125" t="n"/>
      <c r="L96" s="138" t="n"/>
      <c r="M96" s="123" t="n"/>
      <c r="N96" s="125" t="n"/>
      <c r="O96" s="125" t="n"/>
      <c r="P96" s="123" t="n"/>
      <c r="Q96" s="123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29" t="n"/>
      <c r="C97" s="130" t="n"/>
      <c r="D97" s="131" t="n"/>
      <c r="E97" s="131" t="n"/>
      <c r="F97" s="123" t="n"/>
      <c r="G97" s="137" t="n"/>
      <c r="H97" s="123" t="n"/>
      <c r="I97" s="137" t="n"/>
      <c r="J97" s="125" t="n"/>
      <c r="K97" s="125" t="n"/>
      <c r="L97" s="138" t="n"/>
      <c r="M97" s="123" t="n"/>
      <c r="N97" s="125" t="n"/>
      <c r="O97" s="125" t="n"/>
      <c r="P97" s="123" t="n"/>
      <c r="Q97" s="123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29" t="n"/>
      <c r="C98" s="130" t="n"/>
      <c r="D98" s="131" t="n"/>
      <c r="E98" s="131" t="n"/>
      <c r="F98" s="123" t="n"/>
      <c r="G98" s="137" t="n"/>
      <c r="H98" s="123" t="n"/>
      <c r="I98" s="137" t="n"/>
      <c r="J98" s="125" t="n"/>
      <c r="K98" s="125" t="n"/>
      <c r="L98" s="138" t="n"/>
      <c r="M98" s="123" t="n"/>
      <c r="N98" s="125" t="n"/>
      <c r="O98" s="125" t="n"/>
      <c r="P98" s="123" t="n"/>
      <c r="Q98" s="123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29" t="n"/>
      <c r="C99" s="130" t="n"/>
      <c r="D99" s="131" t="n"/>
      <c r="E99" s="131" t="n"/>
      <c r="F99" s="123" t="n"/>
      <c r="G99" s="137" t="n"/>
      <c r="H99" s="123" t="n"/>
      <c r="I99" s="137" t="n"/>
      <c r="J99" s="125" t="n"/>
      <c r="K99" s="125" t="n"/>
      <c r="L99" s="138" t="n"/>
      <c r="M99" s="123" t="n"/>
      <c r="N99" s="125" t="n"/>
      <c r="O99" s="125" t="n"/>
      <c r="P99" s="123" t="n"/>
      <c r="Q99" s="123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29" t="n"/>
      <c r="C100" s="130" t="n"/>
      <c r="D100" s="131" t="n"/>
      <c r="E100" s="131" t="n"/>
      <c r="F100" s="123" t="n"/>
      <c r="G100" s="137" t="n"/>
      <c r="H100" s="123" t="n"/>
      <c r="I100" s="137" t="n"/>
      <c r="J100" s="125" t="n"/>
      <c r="K100" s="125" t="n"/>
      <c r="L100" s="138" t="n"/>
      <c r="M100" s="123" t="n"/>
      <c r="N100" s="125" t="n"/>
      <c r="O100" s="125" t="n"/>
      <c r="P100" s="123" t="n"/>
      <c r="Q100" s="123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29" t="n"/>
      <c r="C101" s="130" t="n"/>
      <c r="D101" s="131" t="n"/>
      <c r="E101" s="131" t="n"/>
      <c r="F101" s="123" t="n"/>
      <c r="G101" s="137" t="n"/>
      <c r="H101" s="123" t="n"/>
      <c r="I101" s="137" t="n"/>
      <c r="J101" s="125" t="n"/>
      <c r="K101" s="125" t="n"/>
      <c r="L101" s="138" t="n"/>
      <c r="M101" s="123" t="n"/>
      <c r="N101" s="125" t="n"/>
      <c r="O101" s="125" t="n"/>
      <c r="P101" s="123" t="n"/>
      <c r="Q101" s="123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29" t="n"/>
      <c r="C102" s="130" t="n"/>
      <c r="D102" s="131" t="n"/>
      <c r="E102" s="131" t="n"/>
      <c r="F102" s="123" t="n"/>
      <c r="G102" s="137" t="n"/>
      <c r="H102" s="123" t="n"/>
      <c r="I102" s="137" t="n"/>
      <c r="J102" s="125" t="n"/>
      <c r="K102" s="125" t="n"/>
      <c r="L102" s="138" t="n"/>
      <c r="M102" s="123" t="n"/>
      <c r="N102" s="125" t="n"/>
      <c r="O102" s="125" t="n"/>
      <c r="P102" s="123" t="n"/>
      <c r="Q102" s="123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29" t="n"/>
      <c r="C103" s="130" t="n"/>
      <c r="D103" s="131" t="n"/>
      <c r="E103" s="131" t="n"/>
      <c r="F103" s="123" t="n"/>
      <c r="G103" s="137" t="n"/>
      <c r="H103" s="123" t="n"/>
      <c r="I103" s="137" t="n"/>
      <c r="J103" s="125" t="n"/>
      <c r="K103" s="125" t="n"/>
      <c r="L103" s="138" t="n"/>
      <c r="M103" s="123" t="n"/>
      <c r="N103" s="125" t="n"/>
      <c r="O103" s="125" t="n"/>
      <c r="P103" s="123" t="n"/>
      <c r="Q103" s="123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29" t="n"/>
      <c r="C104" s="130" t="n"/>
      <c r="D104" s="131" t="n"/>
      <c r="E104" s="131" t="n"/>
      <c r="F104" s="123" t="n"/>
      <c r="G104" s="137" t="n"/>
      <c r="H104" s="123" t="n"/>
      <c r="I104" s="137" t="n"/>
      <c r="J104" s="125" t="n"/>
      <c r="K104" s="125" t="n"/>
      <c r="L104" s="138" t="n"/>
      <c r="M104" s="123" t="n"/>
      <c r="N104" s="125" t="n"/>
      <c r="O104" s="125" t="n"/>
      <c r="P104" s="123" t="n"/>
      <c r="Q104" s="123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29" t="n"/>
      <c r="C105" s="130" t="n"/>
      <c r="D105" s="131" t="n"/>
      <c r="E105" s="131" t="n"/>
      <c r="F105" s="123" t="n"/>
      <c r="G105" s="137" t="n"/>
      <c r="H105" s="123" t="n"/>
      <c r="I105" s="137" t="n"/>
      <c r="J105" s="125" t="n"/>
      <c r="K105" s="125" t="n"/>
      <c r="L105" s="138" t="n"/>
      <c r="M105" s="123" t="n"/>
      <c r="N105" s="125" t="n"/>
      <c r="O105" s="125" t="n"/>
      <c r="P105" s="123" t="n"/>
      <c r="Q105" s="123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29" t="n"/>
      <c r="C106" s="130" t="n"/>
      <c r="D106" s="131" t="n"/>
      <c r="E106" s="131" t="n"/>
      <c r="F106" s="123" t="n"/>
      <c r="G106" s="137" t="n"/>
      <c r="H106" s="123" t="n"/>
      <c r="I106" s="137" t="n"/>
      <c r="J106" s="125" t="n"/>
      <c r="K106" s="125" t="n"/>
      <c r="L106" s="138" t="n"/>
      <c r="M106" s="123" t="n"/>
      <c r="N106" s="125" t="n"/>
      <c r="O106" s="125" t="n"/>
      <c r="P106" s="123" t="n"/>
      <c r="Q106" s="123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29" t="n"/>
      <c r="C107" s="130" t="n"/>
      <c r="D107" s="131" t="n"/>
      <c r="E107" s="131" t="n"/>
      <c r="F107" s="123" t="n"/>
      <c r="G107" s="137" t="n"/>
      <c r="H107" s="123" t="n"/>
      <c r="I107" s="137" t="n"/>
      <c r="J107" s="125" t="n"/>
      <c r="K107" s="125" t="n"/>
      <c r="L107" s="138" t="n"/>
      <c r="M107" s="123" t="n"/>
      <c r="N107" s="125" t="n"/>
      <c r="O107" s="125" t="n"/>
      <c r="P107" s="123" t="n"/>
      <c r="Q107" s="123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29" t="n"/>
      <c r="C108" s="130" t="n"/>
      <c r="D108" s="131" t="n"/>
      <c r="E108" s="131" t="n"/>
      <c r="F108" s="123" t="n"/>
      <c r="G108" s="137" t="n"/>
      <c r="H108" s="123" t="n"/>
      <c r="I108" s="137" t="n"/>
      <c r="J108" s="125" t="n"/>
      <c r="K108" s="125" t="n"/>
      <c r="L108" s="138" t="n"/>
      <c r="M108" s="123" t="n"/>
      <c r="N108" s="125" t="n"/>
      <c r="O108" s="125" t="n"/>
      <c r="P108" s="123" t="n"/>
      <c r="Q108" s="123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29" t="n"/>
      <c r="C109" s="130" t="n"/>
      <c r="D109" s="131" t="n"/>
      <c r="E109" s="131" t="n"/>
      <c r="F109" s="123" t="n"/>
      <c r="G109" s="137" t="n"/>
      <c r="H109" s="123" t="n"/>
      <c r="I109" s="137" t="n"/>
      <c r="J109" s="125" t="n"/>
      <c r="K109" s="125" t="n"/>
      <c r="L109" s="138" t="n"/>
      <c r="M109" s="123" t="n"/>
      <c r="N109" s="125" t="n"/>
      <c r="O109" s="125" t="n"/>
      <c r="P109" s="123" t="n"/>
      <c r="Q109" s="123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29" t="n"/>
      <c r="C110" s="130" t="n"/>
      <c r="D110" s="131" t="n"/>
      <c r="E110" s="131" t="n"/>
      <c r="F110" s="123" t="n"/>
      <c r="G110" s="137" t="n"/>
      <c r="H110" s="123" t="n"/>
      <c r="I110" s="137" t="n"/>
      <c r="J110" s="125" t="n"/>
      <c r="K110" s="125" t="n"/>
      <c r="L110" s="138" t="n"/>
      <c r="M110" s="123" t="n"/>
      <c r="N110" s="125" t="n"/>
      <c r="O110" s="125" t="n"/>
      <c r="P110" s="123" t="n"/>
      <c r="Q110" s="123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29" t="n"/>
      <c r="C111" s="130" t="n"/>
      <c r="D111" s="131" t="n"/>
      <c r="E111" s="131" t="n"/>
      <c r="F111" s="123" t="n"/>
      <c r="G111" s="137" t="n"/>
      <c r="H111" s="123" t="n"/>
      <c r="I111" s="137" t="n"/>
      <c r="J111" s="125" t="n"/>
      <c r="K111" s="125" t="n"/>
      <c r="L111" s="138" t="n"/>
      <c r="M111" s="123" t="n"/>
      <c r="N111" s="125" t="n"/>
      <c r="O111" s="125" t="n"/>
      <c r="P111" s="123" t="n"/>
      <c r="Q111" s="123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29" t="n"/>
      <c r="C112" s="130" t="n"/>
      <c r="D112" s="131" t="n"/>
      <c r="E112" s="131" t="n"/>
      <c r="F112" s="123" t="n"/>
      <c r="G112" s="137" t="n"/>
      <c r="H112" s="123" t="n"/>
      <c r="I112" s="137" t="n"/>
      <c r="J112" s="125" t="n"/>
      <c r="K112" s="125" t="n"/>
      <c r="L112" s="138" t="n"/>
      <c r="M112" s="123" t="n"/>
      <c r="N112" s="125" t="n"/>
      <c r="O112" s="125" t="n"/>
      <c r="P112" s="123" t="n"/>
      <c r="Q112" s="123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29" t="n"/>
      <c r="C113" s="130" t="n"/>
      <c r="D113" s="131" t="n"/>
      <c r="E113" s="131" t="n"/>
      <c r="F113" s="123" t="n"/>
      <c r="G113" s="137" t="n"/>
      <c r="H113" s="123" t="n"/>
      <c r="I113" s="137" t="n"/>
      <c r="J113" s="125" t="n"/>
      <c r="K113" s="125" t="n"/>
      <c r="L113" s="138" t="n"/>
      <c r="M113" s="123" t="n"/>
      <c r="N113" s="125" t="n"/>
      <c r="O113" s="125" t="n"/>
      <c r="P113" s="123" t="n"/>
      <c r="Q113" s="123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29" t="n"/>
      <c r="C114" s="130" t="n"/>
      <c r="D114" s="131" t="n"/>
      <c r="E114" s="131" t="n"/>
      <c r="F114" s="123" t="n"/>
      <c r="G114" s="137" t="n"/>
      <c r="H114" s="123" t="n"/>
      <c r="I114" s="137" t="n"/>
      <c r="J114" s="125" t="n"/>
      <c r="K114" s="125" t="n"/>
      <c r="L114" s="138" t="n"/>
      <c r="M114" s="123" t="n"/>
      <c r="N114" s="125" t="n"/>
      <c r="O114" s="125" t="n"/>
      <c r="P114" s="123" t="n"/>
      <c r="Q114" s="123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29" t="n"/>
      <c r="C115" s="130" t="n"/>
      <c r="D115" s="131" t="n"/>
      <c r="E115" s="131" t="n"/>
      <c r="F115" s="123" t="n"/>
      <c r="G115" s="137" t="n"/>
      <c r="H115" s="123" t="n"/>
      <c r="I115" s="137" t="n"/>
      <c r="J115" s="125" t="n"/>
      <c r="K115" s="125" t="n"/>
      <c r="L115" s="138" t="n"/>
      <c r="M115" s="123" t="n"/>
      <c r="N115" s="125" t="n"/>
      <c r="O115" s="125" t="n"/>
      <c r="P115" s="123" t="n"/>
      <c r="Q115" s="123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29" t="n"/>
      <c r="C116" s="130" t="n"/>
      <c r="D116" s="131" t="n"/>
      <c r="E116" s="131" t="n"/>
      <c r="F116" s="123" t="n"/>
      <c r="G116" s="137" t="n"/>
      <c r="H116" s="123" t="n"/>
      <c r="I116" s="137" t="n"/>
      <c r="J116" s="125" t="n"/>
      <c r="K116" s="125" t="n"/>
      <c r="L116" s="138" t="n"/>
      <c r="M116" s="123" t="n"/>
      <c r="N116" s="125" t="n"/>
      <c r="O116" s="125" t="n"/>
      <c r="P116" s="123" t="n"/>
      <c r="Q116" s="123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29" t="n"/>
      <c r="C117" s="130" t="n"/>
      <c r="D117" s="131" t="n"/>
      <c r="E117" s="131" t="n"/>
      <c r="F117" s="123" t="n"/>
      <c r="G117" s="137" t="n"/>
      <c r="H117" s="123" t="n"/>
      <c r="I117" s="137" t="n"/>
      <c r="J117" s="125" t="n"/>
      <c r="K117" s="125" t="n"/>
      <c r="L117" s="138" t="n"/>
      <c r="M117" s="123" t="n"/>
      <c r="N117" s="125" t="n"/>
      <c r="O117" s="125" t="n"/>
      <c r="P117" s="123" t="n"/>
      <c r="Q117" s="123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29" t="n"/>
      <c r="C118" s="130" t="n"/>
      <c r="D118" s="131" t="n"/>
      <c r="E118" s="131" t="n"/>
      <c r="F118" s="123" t="n"/>
      <c r="G118" s="137" t="n"/>
      <c r="H118" s="123" t="n"/>
      <c r="I118" s="137" t="n"/>
      <c r="J118" s="125" t="n"/>
      <c r="K118" s="125" t="n"/>
      <c r="L118" s="138" t="n"/>
      <c r="M118" s="123" t="n"/>
      <c r="N118" s="125" t="n"/>
      <c r="O118" s="125" t="n"/>
      <c r="P118" s="123" t="n"/>
      <c r="Q118" s="123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29" t="n"/>
      <c r="C119" s="130" t="n"/>
      <c r="D119" s="131" t="n"/>
      <c r="E119" s="131" t="n"/>
      <c r="F119" s="123" t="n"/>
      <c r="G119" s="137" t="n"/>
      <c r="H119" s="123" t="n"/>
      <c r="I119" s="137" t="n"/>
      <c r="J119" s="125" t="n"/>
      <c r="K119" s="125" t="n"/>
      <c r="L119" s="138" t="n"/>
      <c r="M119" s="123" t="n"/>
      <c r="N119" s="125" t="n"/>
      <c r="O119" s="125" t="n"/>
      <c r="P119" s="123" t="n"/>
      <c r="Q119" s="123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29" t="n"/>
      <c r="C120" s="130" t="n"/>
      <c r="D120" s="131" t="n"/>
      <c r="E120" s="131" t="n"/>
      <c r="F120" s="123" t="n"/>
      <c r="G120" s="137" t="n"/>
      <c r="H120" s="123" t="n"/>
      <c r="I120" s="137" t="n"/>
      <c r="J120" s="125" t="n"/>
      <c r="K120" s="125" t="n"/>
      <c r="L120" s="138" t="n"/>
      <c r="M120" s="123" t="n"/>
      <c r="N120" s="125" t="n"/>
      <c r="O120" s="125" t="n"/>
      <c r="P120" s="123" t="n"/>
      <c r="Q120" s="123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58" t="n"/>
      <c r="Q121" s="58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58" t="n"/>
      <c r="Q122" s="58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58" t="n"/>
      <c r="Q123" s="58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K38:K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N38:N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J38:J120">
    <cfRule type="dataBar" priority="3">
      <dataBar showValue="1">
        <cfvo type="num" val="0"/>
        <cfvo type="num" val="1"/>
        <color rgb="FFB8CFEC"/>
      </dataBar>
    </cfRule>
  </conditionalFormatting>
  <conditionalFormatting sqref="G38:G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I38:I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L38:L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Q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  <cfRule type="expression" priority="13" dxfId="24">
      <formula>$B38=5</formula>
    </cfRule>
  </conditionalFormatting>
  <conditionalFormatting sqref="F9">
    <cfRule type="cellIs" priority="14" operator="lessThan" dxfId="25">
      <formula>1000000</formula>
    </cfRule>
  </conditionalFormatting>
  <conditionalFormatting sqref="H9">
    <cfRule type="cellIs" priority="15" operator="lessThan" dxfId="26">
      <formula>1000000</formula>
    </cfRule>
  </conditionalFormatting>
  <conditionalFormatting sqref="F10">
    <cfRule type="cellIs" priority="16" operator="greaterThan" dxfId="27">
      <formula>0</formula>
    </cfRule>
    <cfRule type="cellIs" priority="17" operator="lessThan" dxfId="28">
      <formula>0</formula>
    </cfRule>
  </conditionalFormatting>
  <conditionalFormatting sqref="H10">
    <cfRule type="cellIs" priority="18" operator="greaterThan" dxfId="27">
      <formula>0</formula>
    </cfRule>
    <cfRule type="cellIs" priority="19" operator="lessThan" dxfId="28">
      <formula>0</formula>
    </cfRule>
  </conditionalFormatting>
  <conditionalFormatting sqref="J10">
    <cfRule type="cellIs" priority="20" operator="greaterThan" dxfId="27">
      <formula>0</formula>
    </cfRule>
    <cfRule type="cellIs" priority="21" operator="lessThan" dxfId="28">
      <formula>0</formula>
    </cfRule>
  </conditionalFormatting>
  <conditionalFormatting sqref="L10">
    <cfRule type="cellIs" priority="22" operator="greaterThan" dxfId="27">
      <formula>0</formula>
    </cfRule>
    <cfRule type="cellIs" priority="23" operator="lessThan" dxfId="28">
      <formula>0</formula>
    </cfRule>
  </conditionalFormatting>
  <conditionalFormatting sqref="N10">
    <cfRule type="cellIs" priority="24" operator="greaterThan" dxfId="28">
      <formula>0</formula>
    </cfRule>
    <cfRule type="cellIs" priority="25" operator="lessThan" dxfId="27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2026-09-07T01:42:58Z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