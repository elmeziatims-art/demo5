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-120" yWindow="-120" windowWidth="29040" windowHeight="15720" tabRatio="600" firstSheet="1" activeTab="1" autoFilterDateGrouping="1"/>
  </bookViews>
  <sheets>
    <sheet name="_TGK_HIDDEN" sheetId="1" state="veryHidden" r:id="rId1"/>
    <sheet name="2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19">
    <numFmt numFmtId="164" formatCode="0.0,,&quot; M€&quot;"/>
    <numFmt numFmtId="165" formatCode="0.0%"/>
    <numFmt numFmtId="166" formatCode="#,##0&quot; €&quot;"/>
    <numFmt numFmtId="167" formatCode="&quot;+&quot;0.0%;&quot;-&quot;0.0%;&quot;—&quot;"/>
    <numFmt numFmtId="168" formatCode="&quot;+&quot;0.00&quot; pt&quot;;&quot;-&quot;0.00&quot; pt&quot;;&quot;—&quot;"/>
    <numFmt numFmtId="169" formatCode="#,##0&quot; places libres&quot;"/>
    <numFmt numFmtId="170" formatCode="#,##0.00,,&quot; M€&quot;"/>
    <numFmt numFmtId="171" formatCode="&quot;▲ &quot;0.0%;&quot;▼ &quot;0.0%"/>
    <numFmt numFmtId="172" formatCode="&quot;+&quot;0.0%;&quot;-&quot;0.0%;&quot;&quot;"/>
    <numFmt numFmtId="173" formatCode="&quot;+&quot;0.00;&quot;-&quot;0.00;&quot;&quot;"/>
    <numFmt numFmtId="174" formatCode="&quot;▲ &quot;0.0%;&quot;▼ &quot;0.0%;&quot;—&quot;"/>
    <numFmt numFmtId="175" formatCode="&quot;▲ &quot;0.00&quot; pt&quot;;&quot;▼ &quot;0.00&quot; pt&quot;;&quot;—&quot;"/>
    <numFmt numFmtId="176" formatCode="#,##0&quot; places libres&quot;;-#,##0&quot; places libres&quot;;&quot;—&quot;"/>
    <numFmt numFmtId="177" formatCode="&quot;▲ &quot;0.0%;&quot;▼ &quot;0.0%;&quot;&quot;"/>
    <numFmt numFmtId="178" formatCode="&quot;▲ &quot;0.00;&quot;▼ &quot;0.00;&quot;&quot;"/>
    <numFmt numFmtId="179" formatCode="#,##0.00,"/>
    <numFmt numFmtId="180" formatCode="#,##0,"/>
    <numFmt numFmtId="181" formatCode="mm/dd/yy;@"/>
    <numFmt numFmtId="182" formatCode="&quot;$&quot;#,##0.00"/>
  </numFmts>
  <fonts count="47">
    <font>
      <name val="Aptos Narrow"/>
      <family val="2"/>
      <color theme="1"/>
      <sz val="11"/>
      <scheme val="minor"/>
    </font>
    <font>
      <name val="Aptos Narrow"/>
      <family val="2"/>
      <color theme="1"/>
      <sz val="11"/>
      <scheme val="minor"/>
    </font>
    <font>
      <name val="Aptos Narrow"/>
      <family val="2"/>
      <color theme="0"/>
      <sz val="11"/>
      <scheme val="minor"/>
    </font>
    <font>
      <name val="Tahoma"/>
      <family val="2"/>
      <color theme="3"/>
      <sz val="8"/>
    </font>
    <font>
      <name val="Aptos Narrow"/>
      <family val="2"/>
      <color theme="3"/>
      <sz val="11"/>
      <scheme val="minor"/>
    </font>
    <font>
      <name val="Tahoma"/>
      <family val="2"/>
      <color theme="0"/>
      <sz val="8"/>
    </font>
    <font>
      <name val="Tahoma"/>
      <family val="2"/>
      <b val="1"/>
      <color theme="3"/>
      <sz val="8"/>
    </font>
    <font>
      <name val="Tahoma"/>
      <family val="2"/>
      <b val="1"/>
      <i val="1"/>
      <color theme="3"/>
      <sz val="8"/>
    </font>
    <font>
      <name val="Tahoma"/>
      <family val="2"/>
      <color theme="3"/>
      <sz val="8"/>
      <u val="single"/>
    </font>
    <font>
      <name val="Tahoma"/>
      <family val="2"/>
      <sz val="8"/>
    </font>
    <font>
      <name val="Aptos Narrow"/>
      <family val="2"/>
      <color rgb="FF9C6500"/>
      <sz val="11"/>
      <scheme val="minor"/>
    </font>
    <font>
      <name val="Tahoma"/>
      <family val="2"/>
      <color theme="3"/>
      <sz val="11"/>
    </font>
    <font>
      <name val="Webdings"/>
      <charset val="2"/>
      <family val="1"/>
      <color theme="3"/>
      <sz val="10"/>
    </font>
    <font>
      <name val="Aptos Display"/>
      <family val="2"/>
      <b val="1"/>
      <color theme="3"/>
      <sz val="18"/>
      <scheme val="major"/>
    </font>
    <font>
      <name val="Webdings"/>
      <charset val="2"/>
      <family val="1"/>
      <color rgb="FFFF0000"/>
      <sz val="8"/>
    </font>
    <font>
      <name val="Webdings"/>
      <charset val="2"/>
      <family val="1"/>
      <color rgb="FFFF0000"/>
      <sz val="14"/>
    </font>
    <font>
      <name val="Webdings"/>
      <charset val="2"/>
      <family val="1"/>
      <color theme="1"/>
      <sz val="8"/>
    </font>
    <font>
      <name val="Webdings"/>
      <charset val="2"/>
      <family val="1"/>
      <color rgb="FF00B050"/>
      <sz val="14"/>
    </font>
    <font>
      <name val="Aptos Narrow"/>
      <family val="2"/>
      <b val="1"/>
      <color theme="1"/>
      <sz val="11"/>
      <scheme val="minor"/>
    </font>
    <font>
      <name val="Segoe UI"/>
      <family val="2"/>
      <b val="1"/>
      <color rgb="FF131922"/>
      <sz val="9.5"/>
    </font>
    <font>
      <name val="Segoe UI"/>
      <family val="2"/>
      <b val="1"/>
      <color rgb="FF7C8798"/>
      <sz val="8.5"/>
    </font>
    <font>
      <name val="Consolas"/>
      <family val="3"/>
      <b val="1"/>
      <color rgb="FF131922"/>
      <sz val="20"/>
    </font>
    <font>
      <name val="Segoe UI"/>
      <family val="2"/>
      <color rgb="FF7C8798"/>
      <sz val="9"/>
    </font>
    <font>
      <name val="Aptos Narrow"/>
      <family val="2"/>
      <b val="1"/>
      <i val="1"/>
      <color theme="1"/>
      <sz val="11"/>
      <scheme val="minor"/>
    </font>
    <font>
      <name val="Fira Sans Medium"/>
      <b val="1"/>
      <color rgb="FFFFFFFF"/>
      <sz val="15"/>
    </font>
    <font>
      <name val="Arial"/>
      <family val="2"/>
      <b val="1"/>
      <color rgb="FFB8C6DA"/>
      <sz val="8"/>
    </font>
    <font>
      <name val="Arial"/>
      <family val="2"/>
      <b val="1"/>
      <color rgb="FF526071"/>
      <sz val="7.5"/>
    </font>
    <font>
      <name val="Arial"/>
      <family val="2"/>
      <b val="1"/>
      <color rgb="FF202733"/>
      <sz val="9"/>
    </font>
    <font>
      <name val="Fira Sans Medium"/>
      <b val="1"/>
      <color rgb="FF202733"/>
      <sz val="18"/>
    </font>
    <font>
      <name val="Arial"/>
      <family val="2"/>
      <b val="1"/>
      <color rgb="FF69778B"/>
      <sz val="8.5"/>
    </font>
    <font>
      <name val="Fira Sans Medium"/>
      <b val="1"/>
      <color rgb="FF202733"/>
      <sz val="9"/>
    </font>
    <font>
      <name val="Arial"/>
      <family val="2"/>
      <i val="1"/>
      <color rgb="FF69778B"/>
      <sz val="7.5"/>
    </font>
    <font>
      <name val="Fira Sans Medium"/>
      <b val="1"/>
      <color rgb="FFFFFFFF"/>
      <sz val="8"/>
    </font>
    <font>
      <name val="Arial"/>
      <family val="2"/>
      <color rgb="FF69778B"/>
      <sz val="7.5"/>
    </font>
    <font>
      <name val="Arial"/>
      <family val="2"/>
      <color rgb="FF202733"/>
      <sz val="8.5"/>
    </font>
    <font>
      <name val="Fira Sans Medium"/>
      <b val="1"/>
      <color rgb="00FFFFFF"/>
      <sz val="15"/>
    </font>
    <font>
      <name val="Arial"/>
      <color rgb="00B8C6DA"/>
      <sz val="8"/>
    </font>
    <font>
      <name val="Arial"/>
      <b val="1"/>
      <color rgb="00526071"/>
      <sz val="7.5"/>
    </font>
    <font>
      <name val="Arial"/>
      <b val="1"/>
      <color rgb="00202733"/>
      <sz val="9"/>
    </font>
    <font>
      <name val="Fira Sans Medium"/>
      <b val="1"/>
      <color rgb="00202733"/>
      <sz val="18"/>
    </font>
    <font>
      <name val="Arial"/>
      <b val="1"/>
      <color rgb="0069778B"/>
      <sz val="9"/>
    </font>
    <font>
      <name val="Fira Sans Medium"/>
      <b val="1"/>
      <color rgb="00202733"/>
      <sz val="10"/>
    </font>
    <font>
      <name val="Arial"/>
      <i val="1"/>
      <color rgb="0069778B"/>
      <sz val="7.5"/>
    </font>
    <font>
      <name val="Fira Sans Medium"/>
      <b val="1"/>
      <color rgb="00FFFFFF"/>
      <sz val="8"/>
    </font>
    <font>
      <name val="Arial"/>
      <color rgb="0069778B"/>
      <sz val="7.5"/>
    </font>
    <font>
      <name val="Arial"/>
      <color rgb="00202733"/>
      <sz val="8.5"/>
    </font>
    <font>
      <name val="Fira Sans Medium"/>
      <b val="1"/>
      <color rgb="00202733"/>
      <sz val="9"/>
    </font>
  </fonts>
  <fills count="24">
    <fill>
      <patternFill/>
    </fill>
    <fill>
      <patternFill patternType="gray125"/>
    </fill>
    <fill>
      <patternFill patternType="solid">
        <fgColor rgb="FFFFEB9C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rgb="FFF8F8F2"/>
        <bgColor indexed="64"/>
      </patternFill>
    </fill>
    <fill>
      <patternFill patternType="solid">
        <fgColor theme="3" tint="0.7999816888943144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</patternFill>
    </fill>
    <fill>
      <patternFill patternType="solid">
        <fgColor rgb="FF172033"/>
      </patternFill>
    </fill>
    <fill>
      <patternFill patternType="solid">
        <fgColor rgb="FFF3F6FA"/>
      </patternFill>
    </fill>
    <fill>
      <patternFill patternType="solid">
        <fgColor rgb="FFEAF2FC"/>
      </patternFill>
    </fill>
    <fill>
      <patternFill patternType="solid">
        <fgColor rgb="FF526071"/>
      </patternFill>
    </fill>
    <fill>
      <patternFill patternType="solid">
        <fgColor rgb="00F3F6FA"/>
      </patternFill>
    </fill>
    <fill>
      <patternFill patternType="solid">
        <fgColor rgb="00172033"/>
      </patternFill>
    </fill>
    <fill>
      <patternFill patternType="solid">
        <fgColor rgb="00EAF2FC"/>
      </patternFill>
    </fill>
    <fill>
      <patternFill patternType="solid">
        <fgColor rgb="00FFFFFF"/>
      </patternFill>
    </fill>
    <fill>
      <patternFill patternType="solid">
        <fgColor rgb="00526071"/>
      </patternFill>
    </fill>
  </fills>
  <borders count="38">
    <border>
      <left/>
      <right/>
      <top/>
      <bottom/>
      <diagonal/>
    </border>
    <border>
      <left style="thin">
        <color theme="0"/>
      </left>
      <right style="thin">
        <color theme="0"/>
      </right>
      <top/>
      <bottom style="thick">
        <color theme="1" tint="0.499984740745262"/>
      </bottom>
      <diagonal/>
    </border>
    <border>
      <left/>
      <right/>
      <top/>
      <bottom style="thin">
        <color theme="3" tint="0.7999816888943144"/>
      </bottom>
      <diagonal/>
    </border>
    <border>
      <left/>
      <right/>
      <top/>
      <bottom style="thick">
        <color theme="3" tint="0.3999450666829432"/>
      </bottom>
      <diagonal/>
    </border>
    <border>
      <left style="thin">
        <color theme="0"/>
      </left>
      <right style="thin">
        <color theme="0"/>
      </right>
      <top/>
      <bottom style="thin">
        <color theme="3" tint="0.7999816888943144"/>
      </bottom>
      <diagonal/>
    </border>
    <border>
      <left style="thin">
        <color theme="0"/>
      </left>
      <right style="thin">
        <color theme="0"/>
      </right>
      <top/>
      <bottom style="thick">
        <color theme="3"/>
      </bottom>
      <diagonal/>
    </border>
    <border>
      <left/>
      <right/>
      <top/>
      <bottom style="thick">
        <color theme="3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 style="thin">
        <color theme="3" tint="0.7999816888943144"/>
      </top>
      <bottom style="thin">
        <color theme="3" tint="0.7999816888943144"/>
      </bottom>
      <diagonal/>
    </border>
    <border>
      <left/>
      <right/>
      <top/>
      <bottom style="medium">
        <color theme="3"/>
      </bottom>
      <diagonal/>
    </border>
    <border>
      <left style="thin">
        <color rgb="FFDFE4EC"/>
      </left>
      <right/>
      <top style="thin">
        <color rgb="FFDFE4EC"/>
      </top>
      <bottom/>
      <diagonal/>
    </border>
    <border>
      <left/>
      <right style="thin">
        <color rgb="FFDFE4EC"/>
      </right>
      <top style="thin">
        <color rgb="FFDFE4EC"/>
      </top>
      <bottom/>
      <diagonal/>
    </border>
    <border>
      <left style="thin">
        <color rgb="FFDFE4EC"/>
      </left>
      <right/>
      <top/>
      <bottom/>
      <diagonal/>
    </border>
    <border>
      <left/>
      <right style="thin">
        <color rgb="FFDFE4EC"/>
      </right>
      <top/>
      <bottom/>
      <diagonal/>
    </border>
    <border>
      <left style="thin">
        <color rgb="FFDFE4EC"/>
      </left>
      <right/>
      <top/>
      <bottom style="thin">
        <color rgb="FFDFE4EC"/>
      </bottom>
      <diagonal/>
    </border>
    <border>
      <left/>
      <right style="thin">
        <color rgb="FFDFE4EC"/>
      </right>
      <top/>
      <bottom style="thin">
        <color rgb="FFDFE4EC"/>
      </bottom>
      <diagonal/>
    </border>
    <border>
      <left/>
      <right/>
      <top style="thin">
        <color rgb="FFB8CFEC"/>
      </top>
      <bottom style="thin">
        <color rgb="FFB8CFEC"/>
      </bottom>
      <diagonal/>
    </border>
    <border>
      <left style="thin">
        <color rgb="FFE9EDF3"/>
      </left>
      <right/>
      <top style="thin">
        <color rgb="FFE9EDF3"/>
      </top>
      <bottom/>
      <diagonal/>
    </border>
    <border>
      <left/>
      <right style="thin">
        <color rgb="FFE9EDF3"/>
      </right>
      <top style="thin">
        <color rgb="FFE9EDF3"/>
      </top>
      <bottom/>
      <diagonal/>
    </border>
    <border>
      <left style="thin">
        <color rgb="FFE9EDF3"/>
      </left>
      <right/>
      <top/>
      <bottom/>
      <diagonal/>
    </border>
    <border>
      <left/>
      <right style="thin">
        <color rgb="FFE9EDF3"/>
      </right>
      <top/>
      <bottom/>
      <diagonal/>
    </border>
    <border>
      <left style="thin">
        <color rgb="FFE9EDF3"/>
      </left>
      <right/>
      <top/>
      <bottom style="thin">
        <color rgb="FFE9EDF3"/>
      </bottom>
      <diagonal/>
    </border>
    <border>
      <left/>
      <right style="thin">
        <color rgb="FFE9EDF3"/>
      </right>
      <top/>
      <bottom style="thin">
        <color rgb="FFE9EDF3"/>
      </bottom>
      <diagonal/>
    </border>
    <border>
      <left/>
      <right/>
      <top style="thin">
        <color rgb="FFE9EDF3"/>
      </top>
      <bottom/>
      <diagonal/>
    </border>
    <border>
      <left/>
      <right/>
      <top/>
      <bottom style="thin">
        <color rgb="FFE9EDF3"/>
      </bottom>
      <diagonal/>
    </border>
    <border>
      <left style="thin">
        <color rgb="FF526071"/>
      </left>
      <right style="thin">
        <color rgb="FF526071"/>
      </right>
      <top style="thin">
        <color rgb="FF526071"/>
      </top>
      <bottom style="thin">
        <color rgb="FF526071"/>
      </bottom>
      <diagonal/>
    </border>
    <border>
      <top style="thin">
        <color rgb="00B8CFEC"/>
      </top>
      <bottom style="thin">
        <color rgb="00B8CFEC"/>
      </bottom>
    </border>
    <border>
      <left style="thin">
        <color rgb="00E9EDF3"/>
      </left>
      <top style="thin">
        <color rgb="00E9EDF3"/>
      </top>
    </border>
    <border>
      <left style="thin">
        <color rgb="00E9EDF3"/>
      </left>
    </border>
    <border>
      <left style="thin">
        <color rgb="00E9EDF3"/>
      </left>
      <bottom style="thin">
        <color rgb="00E9EDF3"/>
      </bottom>
    </border>
    <border>
      <right style="thin">
        <color rgb="00E9EDF3"/>
      </right>
      <top style="thin">
        <color rgb="00E9EDF3"/>
      </top>
    </border>
    <border>
      <right style="thin">
        <color rgb="00E9EDF3"/>
      </right>
    </border>
    <border>
      <right style="thin">
        <color rgb="00E9EDF3"/>
      </right>
      <bottom style="thin">
        <color rgb="00E9EDF3"/>
      </bottom>
    </border>
    <border>
      <left style="thin">
        <color rgb="00526071"/>
      </left>
      <right style="thin">
        <color rgb="00526071"/>
      </right>
      <top style="thin">
        <color rgb="00526071"/>
      </top>
      <bottom style="thin">
        <color rgb="00526071"/>
      </bottom>
    </border>
    <border/>
    <border>
      <top style="thin">
        <color rgb="00E9EDF3"/>
      </top>
    </border>
    <border>
      <bottom style="thin">
        <color rgb="00E9EDF3"/>
      </bottom>
    </border>
  </borders>
  <cellStyleXfs count="57">
    <xf numFmtId="0" fontId="1" fillId="0" borderId="0"/>
    <xf numFmtId="0" fontId="13" fillId="0" borderId="0"/>
    <xf numFmtId="0" fontId="10" fillId="2" borderId="0"/>
    <xf numFmtId="0" fontId="2" fillId="3" borderId="0"/>
    <xf numFmtId="0" fontId="2" fillId="4" borderId="0"/>
    <xf numFmtId="0" fontId="2" fillId="5" borderId="0"/>
    <xf numFmtId="0" fontId="2" fillId="6" borderId="0"/>
    <xf numFmtId="0" fontId="2" fillId="7" borderId="0"/>
    <xf numFmtId="0" fontId="2" fillId="8" borderId="0"/>
    <xf numFmtId="9" fontId="1" fillId="0" borderId="0"/>
    <xf numFmtId="165" fontId="1" fillId="0" borderId="0" applyAlignment="1">
      <alignment horizontal="center"/>
    </xf>
    <xf numFmtId="10" fontId="1" fillId="0" borderId="0"/>
    <xf numFmtId="179" fontId="3" fillId="9" borderId="1" applyAlignment="1">
      <alignment horizontal="center" vertical="center" wrapText="1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/>
    </xf>
    <xf numFmtId="9" fontId="1" fillId="0" borderId="0" applyAlignment="1">
      <alignment horizontal="center" vertical="center"/>
    </xf>
    <xf numFmtId="9" fontId="1" fillId="0" borderId="0" applyAlignment="1">
      <alignment horizontal="left" vertical="center" wrapText="1"/>
    </xf>
    <xf numFmtId="2" fontId="4" fillId="0" borderId="0" applyAlignment="1">
      <alignment horizontal="left"/>
    </xf>
    <xf numFmtId="9" fontId="1" fillId="0" borderId="2"/>
    <xf numFmtId="180" fontId="1" fillId="0" borderId="0"/>
    <xf numFmtId="179" fontId="3" fillId="0" borderId="3" applyAlignment="1">
      <alignment horizontal="center" vertical="center" wrapText="1"/>
    </xf>
    <xf numFmtId="9" fontId="5" fillId="0" borderId="0"/>
    <xf numFmtId="9" fontId="6" fillId="0" borderId="0"/>
    <xf numFmtId="9" fontId="7" fillId="0" borderId="0"/>
    <xf numFmtId="179" fontId="1" fillId="10" borderId="4"/>
    <xf numFmtId="0" fontId="3" fillId="9" borderId="5" applyAlignment="1">
      <alignment horizontal="center" vertical="center" wrapText="1"/>
    </xf>
    <xf numFmtId="181" fontId="1" fillId="0" borderId="0"/>
    <xf numFmtId="9" fontId="1" fillId="11" borderId="0"/>
    <xf numFmtId="179" fontId="6" fillId="0" borderId="0" applyAlignment="1">
      <alignment horizontal="right"/>
    </xf>
    <xf numFmtId="0" fontId="3" fillId="0" borderId="2" applyAlignment="1">
      <alignment horizontal="left" vertical="center"/>
    </xf>
    <xf numFmtId="9" fontId="8" fillId="0" borderId="0"/>
    <xf numFmtId="9" fontId="8" fillId="0" borderId="0"/>
    <xf numFmtId="0" fontId="1" fillId="0" borderId="0" applyAlignment="1">
      <alignment horizontal="center" vertical="center" wrapText="1"/>
    </xf>
    <xf numFmtId="42" fontId="3" fillId="0" borderId="0"/>
    <xf numFmtId="182" fontId="9" fillId="0" borderId="0" applyAlignment="1">
      <alignment horizontal="center"/>
    </xf>
    <xf numFmtId="0" fontId="3" fillId="0" borderId="4"/>
    <xf numFmtId="9" fontId="6" fillId="0" borderId="6"/>
    <xf numFmtId="9" fontId="2" fillId="9" borderId="7"/>
    <xf numFmtId="3" fontId="3" fillId="0" borderId="0" applyAlignment="1">
      <alignment horizontal="right" vertical="center"/>
    </xf>
    <xf numFmtId="37" fontId="11" fillId="0" borderId="0" applyAlignment="1">
      <alignment horizontal="right" vertical="center"/>
    </xf>
    <xf numFmtId="179" fontId="3" fillId="0" borderId="0" applyAlignment="1">
      <alignment horizontal="left"/>
    </xf>
    <xf numFmtId="0" fontId="3" fillId="0" borderId="0" applyAlignment="1">
      <alignment horizontal="right" vertical="center" wrapText="1"/>
    </xf>
    <xf numFmtId="9" fontId="1" fillId="12" borderId="0"/>
    <xf numFmtId="9" fontId="12" fillId="0" borderId="0"/>
    <xf numFmtId="9" fontId="1" fillId="0" borderId="0"/>
    <xf numFmtId="9" fontId="6" fillId="13" borderId="0" applyAlignment="1">
      <alignment horizontal="right" vertical="center"/>
    </xf>
    <xf numFmtId="9" fontId="6" fillId="13" borderId="0" applyAlignment="1">
      <alignment horizontal="left" vertical="center" wrapText="1"/>
    </xf>
    <xf numFmtId="179" fontId="6" fillId="13" borderId="8"/>
    <xf numFmtId="0" fontId="4" fillId="0" borderId="0" applyAlignment="1">
      <alignment horizontal="right"/>
    </xf>
    <xf numFmtId="9" fontId="14" fillId="0" borderId="0" applyAlignment="1">
      <alignment horizontal="center" vertical="center"/>
    </xf>
    <xf numFmtId="0" fontId="15" fillId="0" borderId="0" applyAlignment="1">
      <alignment horizontal="center" vertical="center"/>
    </xf>
    <xf numFmtId="1" fontId="16" fillId="0" borderId="0" applyAlignment="1">
      <alignment horizontal="center" vertical="center"/>
    </xf>
    <xf numFmtId="0" fontId="15" fillId="0" borderId="9" applyAlignment="1">
      <alignment horizontal="center" vertical="center"/>
    </xf>
    <xf numFmtId="0" fontId="17" fillId="0" borderId="9" applyAlignment="1">
      <alignment horizontal="center"/>
    </xf>
    <xf numFmtId="9" fontId="6" fillId="0" borderId="10" applyAlignment="1">
      <alignment horizontal="left"/>
    </xf>
    <xf numFmtId="0" fontId="3" fillId="0" borderId="2" applyAlignment="1" applyProtection="1">
      <alignment horizontal="left" vertical="top" wrapText="1"/>
      <protection locked="0" hidden="0"/>
    </xf>
    <xf numFmtId="0" fontId="1" fillId="0" borderId="0"/>
  </cellStyleXfs>
  <cellXfs count="125">
    <xf numFmtId="0" fontId="0" fillId="0" borderId="0" pivotButton="0" quotePrefix="0" xfId="0"/>
    <xf numFmtId="0" fontId="18" fillId="0" borderId="0" pivotButton="0" quotePrefix="1" xfId="0"/>
    <xf numFmtId="0" fontId="23" fillId="0" borderId="0" pivotButton="0" quotePrefix="1" xfId="0"/>
    <xf numFmtId="0" fontId="0" fillId="15" borderId="0" pivotButton="0" quotePrefix="0" xfId="0"/>
    <xf numFmtId="0" fontId="24" fillId="15" borderId="0" applyAlignment="1" pivotButton="0" quotePrefix="0" xfId="0">
      <alignment horizontal="left" vertical="center"/>
    </xf>
    <xf numFmtId="0" fontId="25" fillId="15" borderId="0" applyAlignment="1" pivotButton="0" quotePrefix="0" xfId="0">
      <alignment horizontal="left" vertical="center"/>
    </xf>
    <xf numFmtId="0" fontId="0" fillId="16" borderId="0" pivotButton="0" quotePrefix="0" xfId="0"/>
    <xf numFmtId="0" fontId="27" fillId="17" borderId="17" applyAlignment="1" pivotButton="0" quotePrefix="1" xfId="0">
      <alignment horizontal="left" vertical="center"/>
    </xf>
    <xf numFmtId="0" fontId="22" fillId="17" borderId="17" applyAlignment="1" pivotButton="0" quotePrefix="0" xfId="0">
      <alignment horizontal="left" vertical="center"/>
    </xf>
    <xf numFmtId="0" fontId="27" fillId="17" borderId="17" applyAlignment="1" pivotButton="0" quotePrefix="0" xfId="0">
      <alignment horizontal="left" vertical="center"/>
    </xf>
    <xf numFmtId="0" fontId="0" fillId="17" borderId="17" pivotButton="0" quotePrefix="0" xfId="0"/>
    <xf numFmtId="0" fontId="26" fillId="14" borderId="18" applyAlignment="1" pivotButton="0" quotePrefix="0" xfId="56">
      <alignment horizontal="left" vertical="center" indent="1"/>
    </xf>
    <xf numFmtId="0" fontId="1" fillId="14" borderId="19" pivotButton="0" quotePrefix="0" xfId="56"/>
    <xf numFmtId="0" fontId="0" fillId="14" borderId="19" pivotButton="0" quotePrefix="0" xfId="0"/>
    <xf numFmtId="0" fontId="26" fillId="14" borderId="18" applyAlignment="1" pivotButton="0" quotePrefix="0" xfId="0">
      <alignment horizontal="left" vertical="center" indent="1"/>
    </xf>
    <xf numFmtId="164" fontId="28" fillId="14" borderId="20" applyAlignment="1" pivotButton="0" quotePrefix="0" xfId="56">
      <alignment horizontal="left" vertical="center" indent="1"/>
    </xf>
    <xf numFmtId="0" fontId="1" fillId="14" borderId="21" applyAlignment="1" pivotButton="0" quotePrefix="0" xfId="56">
      <alignment horizontal="centerContinuous"/>
    </xf>
    <xf numFmtId="165" fontId="28" fillId="14" borderId="20" applyAlignment="1" pivotButton="0" quotePrefix="0" xfId="56">
      <alignment horizontal="left" vertical="center" indent="1"/>
    </xf>
    <xf numFmtId="3" fontId="28" fillId="14" borderId="20" applyAlignment="1" pivotButton="0" quotePrefix="0" xfId="56">
      <alignment horizontal="left" vertical="center" indent="1"/>
    </xf>
    <xf numFmtId="166" fontId="28" fillId="14" borderId="20" applyAlignment="1" pivotButton="0" quotePrefix="0" xfId="56">
      <alignment horizontal="left" vertical="center" indent="1"/>
    </xf>
    <xf numFmtId="0" fontId="0" fillId="14" borderId="21" applyAlignment="1" pivotButton="0" quotePrefix="0" xfId="0">
      <alignment horizontal="centerContinuous"/>
    </xf>
    <xf numFmtId="165" fontId="28" fillId="14" borderId="20" applyAlignment="1" pivotButton="0" quotePrefix="0" xfId="0">
      <alignment horizontal="left" vertical="center" indent="1"/>
    </xf>
    <xf numFmtId="0" fontId="0" fillId="14" borderId="21" pivotButton="0" quotePrefix="0" xfId="0"/>
    <xf numFmtId="167" fontId="29" fillId="14" borderId="22" applyAlignment="1" pivotButton="0" quotePrefix="0" xfId="56">
      <alignment horizontal="left" vertical="center" indent="1"/>
    </xf>
    <xf numFmtId="0" fontId="1" fillId="14" borderId="23" pivotButton="0" quotePrefix="0" xfId="56"/>
    <xf numFmtId="168" fontId="29" fillId="14" borderId="22" applyAlignment="1" pivotButton="0" quotePrefix="0" xfId="56">
      <alignment horizontal="left" vertical="center" indent="1"/>
    </xf>
    <xf numFmtId="0" fontId="0" fillId="14" borderId="23" pivotButton="0" quotePrefix="0" xfId="0"/>
    <xf numFmtId="169" fontId="29" fillId="14" borderId="22" applyAlignment="1" pivotButton="0" quotePrefix="0" xfId="0">
      <alignment horizontal="left" vertical="center" indent="1"/>
    </xf>
    <xf numFmtId="0" fontId="26" fillId="17" borderId="17" applyAlignment="1" pivotButton="0" quotePrefix="0" xfId="0">
      <alignment horizontal="left" vertical="center"/>
    </xf>
    <xf numFmtId="0" fontId="26" fillId="17" borderId="17" applyAlignment="1" pivotButton="0" quotePrefix="0" xfId="0">
      <alignment horizontal="center" vertical="center"/>
    </xf>
    <xf numFmtId="0" fontId="27" fillId="17" borderId="17" applyAlignment="1" pivotButton="0" quotePrefix="0" xfId="0">
      <alignment horizontal="left" vertical="center" indent="1"/>
    </xf>
    <xf numFmtId="0" fontId="0" fillId="14" borderId="24" pivotButton="0" quotePrefix="0" xfId="0"/>
    <xf numFmtId="0" fontId="31" fillId="14" borderId="24" applyAlignment="1" pivotButton="0" quotePrefix="0" xfId="0">
      <alignment horizontal="right" vertical="center"/>
    </xf>
    <xf numFmtId="0" fontId="0" fillId="14" borderId="20" pivotButton="0" quotePrefix="0" xfId="0"/>
    <xf numFmtId="0" fontId="0" fillId="14" borderId="0" pivotButton="0" quotePrefix="0" xfId="0"/>
    <xf numFmtId="0" fontId="0" fillId="14" borderId="22" pivotButton="0" quotePrefix="0" xfId="0"/>
    <xf numFmtId="0" fontId="0" fillId="14" borderId="25" pivotButton="0" quotePrefix="0" xfId="0"/>
    <xf numFmtId="0" fontId="20" fillId="9" borderId="11" applyAlignment="1" pivotButton="0" quotePrefix="0" xfId="56">
      <alignment horizontal="left" vertical="center"/>
    </xf>
    <xf numFmtId="0" fontId="1" fillId="9" borderId="12" pivotButton="0" quotePrefix="0" xfId="56"/>
    <xf numFmtId="170" fontId="21" fillId="9" borderId="13" applyAlignment="1" pivotButton="0" quotePrefix="0" xfId="56">
      <alignment horizontal="centerContinuous" vertical="center"/>
    </xf>
    <xf numFmtId="0" fontId="1" fillId="9" borderId="14" applyAlignment="1" pivotButton="0" quotePrefix="0" xfId="56">
      <alignment horizontal="centerContinuous"/>
    </xf>
    <xf numFmtId="171" fontId="19" fillId="9" borderId="15" applyAlignment="1" pivotButton="0" quotePrefix="0" xfId="56">
      <alignment horizontal="left" vertical="center" indent="1"/>
    </xf>
    <xf numFmtId="0" fontId="1" fillId="9" borderId="16" pivotButton="0" quotePrefix="0" xfId="56"/>
    <xf numFmtId="0" fontId="30" fillId="14" borderId="18" applyAlignment="1" pivotButton="0" quotePrefix="0" xfId="0">
      <alignment horizontal="left" vertical="center" indent="2"/>
    </xf>
    <xf numFmtId="0" fontId="32" fillId="18" borderId="26" applyAlignment="1" pivotButton="0" quotePrefix="0" xfId="0">
      <alignment horizontal="center" vertical="center"/>
    </xf>
    <xf numFmtId="0" fontId="32" fillId="18" borderId="26" applyAlignment="1" pivotButton="0" quotePrefix="1" xfId="25">
      <alignment horizontal="left" vertical="center" indent="1"/>
    </xf>
    <xf numFmtId="0" fontId="32" fillId="18" borderId="26" applyAlignment="1" pivotButton="0" quotePrefix="1" xfId="25">
      <alignment horizontal="center" vertical="center"/>
    </xf>
    <xf numFmtId="0" fontId="33" fillId="14" borderId="25" applyAlignment="1" pivotButton="0" quotePrefix="1" xfId="56">
      <alignment horizontal="center" vertical="center"/>
    </xf>
    <xf numFmtId="3" fontId="34" fillId="14" borderId="25" applyAlignment="1" pivotButton="0" quotePrefix="1" xfId="0">
      <alignment horizontal="left" vertical="center"/>
    </xf>
    <xf numFmtId="3" fontId="34" fillId="14" borderId="25" applyAlignment="1" pivotButton="0" quotePrefix="0" xfId="0">
      <alignment horizontal="right" vertical="center"/>
    </xf>
    <xf numFmtId="172" fontId="34" fillId="14" borderId="25" applyAlignment="1" pivotButton="0" quotePrefix="0" xfId="0">
      <alignment horizontal="right" vertical="center"/>
    </xf>
    <xf numFmtId="165" fontId="34" fillId="14" borderId="25" applyAlignment="1" pivotButton="0" quotePrefix="0" xfId="0">
      <alignment horizontal="right" vertical="center"/>
    </xf>
    <xf numFmtId="173" fontId="34" fillId="14" borderId="25" applyAlignment="1" pivotButton="0" quotePrefix="0" xfId="0">
      <alignment horizontal="right" vertical="center"/>
    </xf>
    <xf numFmtId="3" fontId="34" fillId="14" borderId="25" applyAlignment="1" pivotButton="0" quotePrefix="0" xfId="38">
      <alignment horizontal="right" vertical="center"/>
    </xf>
    <xf numFmtId="0" fontId="33" fillId="14" borderId="25" applyAlignment="1" pivotButton="0" quotePrefix="0" xfId="56">
      <alignment horizontal="center" vertical="center"/>
    </xf>
    <xf numFmtId="0" fontId="0" fillId="20" borderId="0" pivotButton="0" quotePrefix="0" xfId="0"/>
    <xf numFmtId="0" fontId="35" fillId="20" borderId="0" applyAlignment="1" pivotButton="0" quotePrefix="0" xfId="0">
      <alignment horizontal="left" vertical="center"/>
    </xf>
    <xf numFmtId="0" fontId="36" fillId="20" borderId="0" applyAlignment="1" pivotButton="0" quotePrefix="0" xfId="0">
      <alignment horizontal="left" vertical="center"/>
    </xf>
    <xf numFmtId="0" fontId="0" fillId="19" borderId="0" pivotButton="0" quotePrefix="0" xfId="0"/>
    <xf numFmtId="0" fontId="37" fillId="21" borderId="27" applyAlignment="1" pivotButton="0" quotePrefix="0" xfId="0">
      <alignment horizontal="left" vertical="center" indent="1"/>
    </xf>
    <xf numFmtId="0" fontId="38" fillId="21" borderId="27" applyAlignment="1" pivotButton="0" quotePrefix="1" xfId="0">
      <alignment horizontal="left" vertical="center"/>
    </xf>
    <xf numFmtId="0" fontId="22" fillId="21" borderId="27" applyAlignment="1" pivotButton="0" quotePrefix="0" xfId="0">
      <alignment horizontal="left" vertical="center"/>
    </xf>
    <xf numFmtId="0" fontId="26" fillId="21" borderId="27" applyAlignment="1" pivotButton="0" quotePrefix="0" xfId="0">
      <alignment horizontal="left" vertical="center"/>
    </xf>
    <xf numFmtId="0" fontId="27" fillId="21" borderId="27" applyAlignment="1" pivotButton="0" quotePrefix="0" xfId="0">
      <alignment horizontal="left" vertical="center" indent="1"/>
    </xf>
    <xf numFmtId="0" fontId="38" fillId="21" borderId="27" applyAlignment="1" pivotButton="0" quotePrefix="0" xfId="0">
      <alignment horizontal="left" vertical="center"/>
    </xf>
    <xf numFmtId="0" fontId="0" fillId="21" borderId="27" pivotButton="0" quotePrefix="0" xfId="0"/>
    <xf numFmtId="0" fontId="27" fillId="21" borderId="27" applyAlignment="1" pivotButton="0" quotePrefix="0" xfId="0">
      <alignment horizontal="left" vertical="center"/>
    </xf>
    <xf numFmtId="0" fontId="20" fillId="19" borderId="11" applyAlignment="1" pivotButton="0" quotePrefix="0" xfId="56">
      <alignment horizontal="left" vertical="center"/>
    </xf>
    <xf numFmtId="0" fontId="37" fillId="22" borderId="28" applyAlignment="1" pivotButton="0" quotePrefix="0" xfId="56">
      <alignment horizontal="left" vertical="center" indent="1"/>
    </xf>
    <xf numFmtId="0" fontId="26" fillId="22" borderId="31" applyAlignment="1" pivotButton="0" quotePrefix="0" xfId="56">
      <alignment horizontal="left" vertical="center" indent="1"/>
    </xf>
    <xf numFmtId="0" fontId="37" fillId="22" borderId="28" applyAlignment="1" pivotButton="0" quotePrefix="0" xfId="0">
      <alignment horizontal="left" vertical="center" indent="1"/>
    </xf>
    <xf numFmtId="0" fontId="26" fillId="22" borderId="31" applyAlignment="1" pivotButton="0" quotePrefix="0" xfId="0">
      <alignment horizontal="left" vertical="center" indent="1"/>
    </xf>
    <xf numFmtId="170" fontId="21" fillId="19" borderId="13" applyAlignment="1" pivotButton="0" quotePrefix="0" xfId="56">
      <alignment horizontal="centerContinuous" vertical="center"/>
    </xf>
    <xf numFmtId="164" fontId="39" fillId="22" borderId="29" applyAlignment="1" pivotButton="0" quotePrefix="0" xfId="56">
      <alignment horizontal="left" vertical="center" indent="1"/>
    </xf>
    <xf numFmtId="164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56">
      <alignment horizontal="left" vertical="center" indent="1"/>
    </xf>
    <xf numFmtId="165" fontId="28" fillId="22" borderId="32" applyAlignment="1" pivotButton="0" quotePrefix="0" xfId="56">
      <alignment horizontal="left" vertical="center" indent="1"/>
    </xf>
    <xf numFmtId="3" fontId="39" fillId="22" borderId="29" applyAlignment="1" pivotButton="0" quotePrefix="0" xfId="56">
      <alignment horizontal="left" vertical="center" indent="1"/>
    </xf>
    <xf numFmtId="3" fontId="28" fillId="22" borderId="32" applyAlignment="1" pivotButton="0" quotePrefix="0" xfId="56">
      <alignment horizontal="left" vertical="center" indent="1"/>
    </xf>
    <xf numFmtId="166" fontId="39" fillId="22" borderId="29" applyAlignment="1" pivotButton="0" quotePrefix="0" xfId="56">
      <alignment horizontal="left" vertical="center" indent="1"/>
    </xf>
    <xf numFmtId="166" fontId="28" fillId="22" borderId="32" applyAlignment="1" pivotButton="0" quotePrefix="0" xfId="56">
      <alignment horizontal="left" vertical="center" indent="1"/>
    </xf>
    <xf numFmtId="165" fontId="39" fillId="22" borderId="29" applyAlignment="1" pivotButton="0" quotePrefix="0" xfId="0">
      <alignment horizontal="left" vertical="center" indent="1"/>
    </xf>
    <xf numFmtId="165" fontId="28" fillId="22" borderId="32" applyAlignment="1" pivotButton="0" quotePrefix="0" xfId="0">
      <alignment horizontal="left" vertical="center" indent="1"/>
    </xf>
    <xf numFmtId="171" fontId="19" fillId="19" borderId="15" applyAlignment="1" pivotButton="0" quotePrefix="0" xfId="56">
      <alignment horizontal="left" vertical="center" indent="1"/>
    </xf>
    <xf numFmtId="174" fontId="40" fillId="22" borderId="30" applyAlignment="1" pivotButton="0" quotePrefix="0" xfId="56">
      <alignment horizontal="left" vertical="center" indent="1"/>
    </xf>
    <xf numFmtId="167" fontId="29" fillId="22" borderId="33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68" fontId="29" fillId="22" borderId="33" applyAlignment="1" pivotButton="0" quotePrefix="0" xfId="56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69" fontId="29" fillId="22" borderId="33" applyAlignment="1" pivotButton="0" quotePrefix="0" xfId="0">
      <alignment horizontal="left" vertical="center" indent="1"/>
    </xf>
    <xf numFmtId="0" fontId="30" fillId="19" borderId="18" applyAlignment="1" pivotButton="0" quotePrefix="0" xfId="0">
      <alignment horizontal="left" vertical="center" indent="2"/>
    </xf>
    <xf numFmtId="0" fontId="46" fillId="22" borderId="28" applyAlignment="1" pivotButton="0" quotePrefix="0" xfId="0">
      <alignment horizontal="left" vertical="center"/>
    </xf>
    <xf numFmtId="0" fontId="31" fillId="22" borderId="36" applyAlignment="1" pivotButton="0" quotePrefix="0" xfId="0">
      <alignment horizontal="right" vertical="center"/>
    </xf>
    <xf numFmtId="0" fontId="31" fillId="22" borderId="31" applyAlignment="1" pivotButton="0" quotePrefix="0" xfId="0">
      <alignment horizontal="right" vertical="center"/>
    </xf>
    <xf numFmtId="0" fontId="30" fillId="22" borderId="36" applyAlignment="1" pivotButton="0" quotePrefix="0" xfId="0">
      <alignment horizontal="left" vertical="center" indent="2"/>
    </xf>
    <xf numFmtId="0" fontId="42" fillId="22" borderId="31" applyAlignment="1" pivotButton="0" quotePrefix="0" xfId="0">
      <alignment horizontal="right" vertical="center"/>
    </xf>
    <xf numFmtId="0" fontId="0" fillId="19" borderId="20" pivotButton="0" quotePrefix="0" xfId="0"/>
    <xf numFmtId="0" fontId="0" fillId="22" borderId="29" pivotButton="0" quotePrefix="0" xfId="0"/>
    <xf numFmtId="0" fontId="0" fillId="22" borderId="35" pivotButton="0" quotePrefix="0" xfId="0"/>
    <xf numFmtId="0" fontId="0" fillId="22" borderId="32" pivotButton="0" quotePrefix="0" xfId="0"/>
    <xf numFmtId="0" fontId="0" fillId="19" borderId="22" pivotButton="0" quotePrefix="0" xfId="0"/>
    <xf numFmtId="0" fontId="0" fillId="22" borderId="30" pivotButton="0" quotePrefix="0" xfId="0"/>
    <xf numFmtId="0" fontId="0" fillId="22" borderId="37" pivotButton="0" quotePrefix="0" xfId="0"/>
    <xf numFmtId="0" fontId="0" fillId="22" borderId="33" pivotButton="0" quotePrefix="0" xfId="0"/>
    <xf numFmtId="0" fontId="41" fillId="19" borderId="0" applyAlignment="1" pivotButton="0" quotePrefix="0" xfId="0">
      <alignment horizontal="left" vertical="center"/>
    </xf>
    <xf numFmtId="0" fontId="42" fillId="19" borderId="0" applyAlignment="1" pivotButton="0" quotePrefix="0" xfId="0">
      <alignment horizontal="left" vertical="center"/>
    </xf>
    <xf numFmtId="0" fontId="43" fillId="23" borderId="34" applyAlignment="1" pivotButton="0" quotePrefix="0" xfId="0">
      <alignment horizontal="center" vertical="center"/>
    </xf>
    <xf numFmtId="0" fontId="43" fillId="23" borderId="34" applyAlignment="1" pivotButton="0" quotePrefix="1" xfId="25">
      <alignment horizontal="left" vertical="center" indent="1"/>
    </xf>
    <xf numFmtId="0" fontId="43" fillId="23" borderId="34" applyAlignment="1" pivotButton="0" quotePrefix="1" xfId="25">
      <alignment horizontal="center" vertical="center"/>
    </xf>
    <xf numFmtId="0" fontId="44" fillId="19" borderId="35" applyAlignment="1" pivotButton="0" quotePrefix="1" xfId="56">
      <alignment horizontal="center" vertical="center"/>
    </xf>
    <xf numFmtId="3" fontId="45" fillId="19" borderId="35" applyAlignment="1" pivotButton="0" quotePrefix="1" xfId="0">
      <alignment horizontal="left" vertical="center"/>
    </xf>
    <xf numFmtId="3" fontId="45" fillId="19" borderId="35" applyAlignment="1" pivotButton="0" quotePrefix="0" xfId="0">
      <alignment horizontal="right" vertical="center"/>
    </xf>
    <xf numFmtId="177" fontId="45" fillId="19" borderId="35" applyAlignment="1" pivotButton="0" quotePrefix="0" xfId="0">
      <alignment horizontal="right" vertical="center"/>
    </xf>
    <xf numFmtId="165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  <xf numFmtId="3" fontId="45" fillId="19" borderId="35" applyAlignment="1" pivotButton="0" quotePrefix="0" xfId="38">
      <alignment horizontal="right" vertical="center"/>
    </xf>
    <xf numFmtId="0" fontId="44" fillId="19" borderId="35" applyAlignment="1" pivotButton="0" quotePrefix="0" xfId="56">
      <alignment horizontal="center" vertical="center"/>
    </xf>
    <xf numFmtId="0" fontId="44" fillId="19" borderId="35" applyAlignment="1" pivotButton="0" quotePrefix="0" xfId="0">
      <alignment horizontal="center" vertical="center"/>
    </xf>
    <xf numFmtId="0" fontId="45" fillId="19" borderId="35" applyAlignment="1" pivotButton="0" quotePrefix="0" xfId="0">
      <alignment horizontal="left" vertical="center"/>
    </xf>
    <xf numFmtId="0" fontId="42" fillId="19" borderId="35" applyAlignment="1" pivotButton="0" quotePrefix="0" xfId="0">
      <alignment horizontal="left" vertical="center"/>
    </xf>
    <xf numFmtId="174" fontId="40" fillId="22" borderId="30" applyAlignment="1" pivotButton="0" quotePrefix="0" xfId="56">
      <alignment horizontal="left" vertical="center" indent="1"/>
    </xf>
    <xf numFmtId="175" fontId="40" fillId="22" borderId="30" applyAlignment="1" pivotButton="0" quotePrefix="0" xfId="56">
      <alignment horizontal="left" vertical="center" indent="1"/>
    </xf>
    <xf numFmtId="176" fontId="40" fillId="22" borderId="30" applyAlignment="1" pivotButton="0" quotePrefix="0" xfId="0">
      <alignment horizontal="left" vertical="center" indent="1"/>
    </xf>
    <xf numFmtId="177" fontId="45" fillId="19" borderId="35" applyAlignment="1" pivotButton="0" quotePrefix="0" xfId="0">
      <alignment horizontal="right" vertical="center"/>
    </xf>
    <xf numFmtId="178" fontId="45" fillId="19" borderId="35" applyAlignment="1" pivotButton="0" quotePrefix="0" xfId="0">
      <alignment horizontal="right" vertical="center"/>
    </xf>
  </cellXfs>
  <cellStyles count="57">
    <cellStyle name="Normal" xfId="0" builtinId="0"/>
    <cellStyle name="Titre" xfId="1" builtinId="15"/>
    <cellStyle name="Neutre" xfId="2" builtinId="28"/>
    <cellStyle name="60 % - Accent1" xfId="3" builtinId="32"/>
    <cellStyle name="60 % - Accent2" xfId="4" builtinId="36"/>
    <cellStyle name="60 % - Accent3" xfId="5" builtinId="40"/>
    <cellStyle name="60 % - Accent4" xfId="6" builtinId="44"/>
    <cellStyle name="60 % - Accent5" xfId="7" builtinId="48"/>
    <cellStyle name="60 % - Accent6" xfId="8" builtinId="52"/>
    <cellStyle name="%0." xfId="9"/>
    <cellStyle name="%0.0" xfId="10"/>
    <cellStyle name="%0.00" xfId="11"/>
    <cellStyle name="ACT" xfId="12"/>
    <cellStyle name="Alighment Center" xfId="13"/>
    <cellStyle name="Alighment Left" xfId="14"/>
    <cellStyle name="Alignment H&amp;V center" xfId="15"/>
    <cellStyle name="Amounts left nolocked" xfId="16"/>
    <cellStyle name="Amounts w/ 2 Decimals" xfId="17"/>
    <cellStyle name="Amounts_Board" xfId="18"/>
    <cellStyle name="Amounts-1000" xfId="19"/>
    <cellStyle name="BDG" xfId="20"/>
    <cellStyle name="Blank_Row" xfId="21"/>
    <cellStyle name="Bold" xfId="22"/>
    <cellStyle name="Bold+Italic" xfId="23"/>
    <cellStyle name="C_Amount_ACT" xfId="24"/>
    <cellStyle name="C_Head" xfId="25"/>
    <cellStyle name="Date" xfId="26"/>
    <cellStyle name="Fill light blue" xfId="27"/>
    <cellStyle name="Formula" xfId="28"/>
    <cellStyle name="Head_left" xfId="29"/>
    <cellStyle name="Hyperlink for amounts" xfId="30"/>
    <cellStyle name="Hyperlnk row header underlined bold" xfId="31"/>
    <cellStyle name="Middle Headers Centered" xfId="32"/>
    <cellStyle name="NA Currency" xfId="33"/>
    <cellStyle name="NA Currency 2 dec" xfId="34"/>
    <cellStyle name="Placeholder" xfId="35"/>
    <cellStyle name="Placeholder Header Underlined bold" xfId="36"/>
    <cellStyle name="Placeholder_column_blank" xfId="37"/>
    <cellStyle name="R_Area_font" xfId="38"/>
    <cellStyle name="R_AREA_FONT_UC" xfId="39"/>
    <cellStyle name="R_formula" xfId="40"/>
    <cellStyle name="R_head_font" xfId="41"/>
    <cellStyle name="Row_Grey" xfId="42"/>
    <cellStyle name="Status Check" xfId="43"/>
    <cellStyle name="Style0" xfId="44"/>
    <cellStyle name="Subtotal Amounts row fill" xfId="45"/>
    <cellStyle name="Subtotal head row fill" xfId="46"/>
    <cellStyle name="Subtotal_amounts" xfId="47"/>
    <cellStyle name="TGK_TOC_PAGE_COLUMN" xfId="48"/>
    <cellStyle name="Visual Check" xfId="49"/>
    <cellStyle name="Webdings" xfId="50"/>
    <cellStyle name="Webdings1" xfId="51"/>
    <cellStyle name="Webdings14" xfId="52"/>
    <cellStyle name="Webdings14Green" xfId="53"/>
    <cellStyle name="Work new book placeholder header underlined" xfId="54"/>
    <cellStyle name="WrappedText" xfId="55"/>
    <cellStyle name="Normal 2" xfId="56"/>
  </cellStyles>
  <dxfs count="28">
    <dxf>
      <numFmt numFmtId="179" formatCode="&quot;      &quot;@"/>
    </dxf>
    <dxf>
      <numFmt numFmtId="180" formatCode="&quot;  &quot;@"/>
    </dxf>
    <dxf>
      <border>
        <top style="medium">
          <color rgb="FF526071"/>
        </top>
      </border>
    </dxf>
    <dxf>
      <font>
        <color rgb="FF202733"/>
      </font>
      <fill>
        <patternFill>
          <bgColor rgb="FFFFFFFF"/>
        </patternFill>
      </fill>
    </dxf>
    <dxf>
      <font>
        <b val="1"/>
        <color rgb="FF202733"/>
      </font>
      <fill>
        <patternFill>
          <bgColor rgb="FFEAF2FC"/>
        </patternFill>
      </fill>
    </dxf>
    <dxf>
      <font>
        <b val="1"/>
        <color rgb="FF202733"/>
      </font>
      <fill>
        <patternFill>
          <bgColor rgb="FFD9E2EF"/>
        </patternFill>
      </fill>
    </dxf>
    <dxf>
      <font>
        <name val="Arial"/>
        <b val="1"/>
        <color rgb="FFB97800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FFD64545"/>
        <sz val="8.5"/>
      </font>
    </dxf>
    <dxf>
      <font>
        <name val="Arial"/>
        <color rgb="FF1E9E89"/>
        <sz val="8.5"/>
      </font>
    </dxf>
    <dxf>
      <font>
        <name val="Arial"/>
        <b val="1"/>
        <color rgb="FFD64545"/>
        <sz val="8.5"/>
      </font>
    </dxf>
    <dxf>
      <font>
        <name val="Arial"/>
        <b val="1"/>
        <color rgb="FF1E9E89"/>
        <sz val="8.5"/>
      </font>
    </dxf>
    <dxf>
      <font>
        <name val="Arial"/>
        <color rgb="001E9E89"/>
        <sz val="8.5"/>
      </font>
    </dxf>
    <dxf>
      <font>
        <name val="Arial"/>
        <color rgb="00D64545"/>
        <sz val="8.5"/>
      </font>
    </dxf>
    <dxf>
      <font>
        <b val="1"/>
        <color rgb="00202733"/>
      </font>
      <fill>
        <patternFill>
          <bgColor rgb="00D9E2EF"/>
        </patternFill>
      </fill>
      <border>
        <top style="medium">
          <color rgb="00526071"/>
        </top>
        <bottom style="thin">
          <color rgb="00E9EDF3"/>
        </bottom>
      </border>
    </dxf>
    <dxf>
      <font>
        <b val="1"/>
        <color rgb="00202733"/>
      </font>
      <fill>
        <patternFill>
          <bgColor rgb="00EAF2FC"/>
        </patternFill>
      </fill>
      <border>
        <bottom style="thin">
          <color rgb="00E9EDF3"/>
        </bottom>
      </border>
    </dxf>
    <dxf>
      <font>
        <color rgb="00202733"/>
      </font>
      <fill>
        <patternFill>
          <bgColor rgb="00FFFFFF"/>
        </patternFill>
      </fill>
      <border>
        <bottom style="thin">
          <color rgb="00E9EDF3"/>
        </bottom>
      </border>
    </dxf>
    <dxf>
      <numFmt numFmtId="184" formatCode="#,##0&quot; €&quot;"/>
    </dxf>
    <dxf>
      <numFmt numFmtId="186" formatCode="#,##0&quot; €&quot;"/>
    </dxf>
    <dxf>
      <font>
        <name val="Arial"/>
        <b val="1"/>
        <color rgb="001E9E89"/>
        <sz val="9"/>
      </font>
    </dxf>
    <dxf>
      <font>
        <name val="Arial"/>
        <b val="1"/>
        <color rgb="00D64545"/>
        <sz val="9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harts/chart1.xml><?xml version="1.0" encoding="utf-8"?>
<chartSpace xmlns:a="http://schemas.openxmlformats.org/drawingml/2006/main" xmlns="http://schemas.openxmlformats.org/drawingml/2006/chart">
  <chart>
    <plotArea>
      <barChart>
        <barDir val="col"/>
        <grouping val="stacked"/>
        <ser>
          <idx val="0"/>
          <order val="0"/>
          <spPr>
            <a:noFill/>
            <a:ln>
              <a:prstDash val="solid"/>
            </a:ln>
          </spPr>
          <cat>
            <strRef>
              <f>'2'!$AC$7:$AC$11</f>
            </strRef>
          </cat>
          <val>
            <numRef>
              <f>'2'!$AD$7:$AD$11</f>
            </numRef>
          </val>
        </ser>
        <ser>
          <idx val="1"/>
          <order val="1"/>
          <spPr>
            <a:solidFill>
              <a:srgbClr val="526071"/>
            </a:solidFill>
            <a:ln>
              <a:noFill/>
              <a:prstDash val="solid"/>
            </a:ln>
          </spPr>
          <cat>
            <strRef>
              <f>'2'!$AC$7:$AC$11</f>
            </strRef>
          </cat>
          <val>
            <numRef>
              <f>'2'!$AE$7:$AE$11</f>
            </numRef>
          </val>
        </ser>
        <ser>
          <idx val="2"/>
          <order val="2"/>
          <spPr>
            <a:solidFill>
              <a:srgbClr val="1E9E89"/>
            </a:solidFill>
            <a:ln>
              <a:noFill/>
              <a:prstDash val="solid"/>
            </a:ln>
          </spPr>
          <cat>
            <strRef>
              <f>'2'!$AC$7:$AC$11</f>
            </strRef>
          </cat>
          <val>
            <numRef>
              <f>'2'!$AF$7:$AF$11</f>
            </numRef>
          </val>
        </ser>
        <ser>
          <idx val="3"/>
          <order val="3"/>
          <spPr>
            <a:solidFill>
              <a:srgbClr val="D64545"/>
            </a:solidFill>
            <a:ln>
              <a:noFill/>
              <a:prstDash val="solid"/>
            </a:ln>
          </spPr>
          <cat>
            <strRef>
              <f>'2'!$AC$7:$AC$11</f>
            </strRef>
          </cat>
          <val>
            <numRef>
              <f>'2'!$AG$7:$AG$11</f>
            </numRef>
          </val>
        </ser>
        <gapWidth val="55"/>
        <overlap val="10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.0,,&quot; M€&quot;" sourceLinked="0"/>
        <majorTickMark val="none"/>
        <minorTickMark val="none"/>
        <crossAx val="10"/>
      </valAx>
    </plotArea>
    <plotVisOnly val="0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barChart>
        <barDir val="col"/>
        <grouping val="clustered"/>
        <ser>
          <idx val="0"/>
          <order val="0"/>
          <tx>
            <v>2024</v>
          </tx>
          <spPr>
            <a:solidFill>
              <a:srgbClr val="B8CFEC"/>
            </a:solidFill>
            <a:ln>
              <a:noFill/>
              <a:prstDash val="solid"/>
            </a:ln>
          </spPr>
          <cat>
            <strRef>
              <f>'2'!$AI$7:$AI$11</f>
            </strRef>
          </cat>
          <val>
            <numRef>
              <f>'2'!$AJ$7:$AJ$11</f>
            </numRef>
          </val>
        </ser>
        <ser>
          <idx val="1"/>
          <order val="1"/>
          <tx>
            <v>2025</v>
          </tx>
          <spPr>
            <a:solidFill>
              <a:srgbClr val="6FA5DC"/>
            </a:solidFill>
            <a:ln>
              <a:noFill/>
              <a:prstDash val="solid"/>
            </a:ln>
          </spPr>
          <cat>
            <strRef>
              <f>'2'!$AI$7:$AI$11</f>
            </strRef>
          </cat>
          <val>
            <numRef>
              <f>'2'!$AK$7:$AK$11</f>
            </numRef>
          </val>
        </ser>
        <ser>
          <idx val="2"/>
          <order val="2"/>
          <tx>
            <v>2026</v>
          </tx>
          <spPr>
            <a:solidFill>
              <a:srgbClr val="2A78D6"/>
            </a:solidFill>
            <a:ln>
              <a:noFill/>
              <a:prstDash val="solid"/>
            </a:ln>
          </spPr>
          <cat>
            <strRef>
              <f>'2'!$AI$7:$AI$11</f>
            </strRef>
          </cat>
          <val>
            <numRef>
              <f>'2'!$AL$7:$AL$11</f>
            </numRef>
          </val>
        </ser>
        <gapWidth val="60"/>
        <overlap val="-10"/>
        <axId val="10"/>
        <axId val="100"/>
      </bar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</scaling>
        <delete val="0"/>
        <axPos val="l"/>
        <majorGridlines/>
        <numFmt formatCode="0%" sourceLinked="0"/>
        <majorTickMark val="none"/>
        <minorTickMark val="none"/>
        <crossAx val="10"/>
      </valAx>
    </plotArea>
    <legend>
      <legendPos val="b"/>
    </legend>
    <plotVisOnly val="0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ineChart>
        <grouping val="standard"/>
        <ser>
          <idx val="0"/>
          <order val="0"/>
          <tx>
            <v>Dépenses</v>
          </tx>
          <spPr>
            <a:ln w="25000">
              <a:solidFill>
                <a:srgbClr val="F07B32"/>
              </a:solidFill>
              <a:prstDash val="solid"/>
            </a:ln>
          </spPr>
          <marker>
            <symbol val="circle"/>
            <size val="6"/>
            <spPr>
              <a:solidFill>
                <a:srgbClr val="F07B32"/>
              </a:solidFill>
              <a:ln>
                <a:solidFill>
                  <a:srgbClr val="F07B32"/>
                </a:solidFill>
                <a:prstDash val="solid"/>
              </a:ln>
            </spPr>
          </marker>
          <cat>
            <strRef>
              <f>'2'!$AZ$7:$AZ$9</f>
            </strRef>
          </cat>
          <val>
            <numRef>
              <f>'2'!$BA$7:$BA$9</f>
            </numRef>
          </val>
          <smooth val="0"/>
        </ser>
        <ser>
          <idx val="1"/>
          <order val="1"/>
          <tx>
            <v>Inscrits</v>
          </tx>
          <spPr>
            <a:ln w="25000">
              <a:solidFill>
                <a:srgbClr val="2A78D6"/>
              </a:solidFill>
              <a:prstDash val="solid"/>
            </a:ln>
          </spPr>
          <marker>
            <symbol val="circle"/>
            <size val="6"/>
            <spPr>
              <a:solidFill>
                <a:srgbClr val="2A78D6"/>
              </a:solidFill>
              <a:ln>
                <a:solidFill>
                  <a:srgbClr val="2A78D6"/>
                </a:solidFill>
                <a:prstDash val="solid"/>
              </a:ln>
            </spPr>
          </marker>
          <cat>
            <strRef>
              <f>'2'!$AZ$7:$AZ$9</f>
            </strRef>
          </cat>
          <val>
            <numRef>
              <f>'2'!$BB$7:$BB$9</f>
            </numRef>
          </val>
          <smooth val="0"/>
        </ser>
        <axId val="10"/>
        <axId val="100"/>
      </lineChart>
      <catAx>
        <axId val="10"/>
        <scaling>
          <orientation val="minMax"/>
        </scaling>
        <delete val="0"/>
        <axPos val="l"/>
        <majorTickMark val="none"/>
        <minorTickMark val="none"/>
        <crossAx val="100"/>
        <lblOffset val="100"/>
      </catAx>
      <valAx>
        <axId val="100"/>
        <scaling>
          <orientation val="minMax"/>
          <max val="125"/>
          <min val="95"/>
        </scaling>
        <delete val="0"/>
        <axPos val="l"/>
        <majorGridlines/>
        <numFmt formatCode="0" sourceLinked="0"/>
        <majorTickMark val="none"/>
        <minorTickMark val="none"/>
        <crossAx val="10"/>
        <majorUnit val="10"/>
      </valAx>
    </plotArea>
    <legend>
      <legendPos val="b"/>
    </legend>
    <plotVisOnly val="0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oneCellAnchor>
    <from>
      <col>3</col>
      <colOff>0</colOff>
      <row>12</row>
      <rowOff>0</rowOff>
    </from>
    <ext cx="2916000" cy="3240000"/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oneCellAnchor>
  <oneCellAnchor>
    <from>
      <col>7</col>
      <colOff>0</colOff>
      <row>12</row>
      <rowOff>0</rowOff>
    </from>
    <ext cx="2916000" cy="3240000"/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oneCellAnchor>
  <oneCellAnchor>
    <from>
      <col>11</col>
      <colOff>0</colOff>
      <row>12</row>
      <rowOff>0</rowOff>
    </from>
    <ext cx="2916000" cy="3240000"/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oneCellAnchor>
</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2:B2"/>
  <sheetViews>
    <sheetView workbookViewId="0">
      <selection activeCell="A1" sqref="A1"/>
    </sheetView>
  </sheetViews>
  <sheetFormatPr baseColWidth="10" defaultRowHeight="14.25"/>
  <sheetData>
    <row r="2">
      <c r="A2" t="inlineStr">
        <is>
          <t>Template01</t>
        </is>
      </c>
      <c r="B2">
        <f>'2'!A65557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F205"/>
  <sheetViews>
    <sheetView showGridLines="0" tabSelected="1" workbookViewId="0">
      <selection activeCell="C5" sqref="C5"/>
    </sheetView>
  </sheetViews>
  <sheetFormatPr baseColWidth="10" defaultRowHeight="14.25"/>
  <cols>
    <col width="2.5" customWidth="1" min="1" max="2"/>
    <col width="4.5" customWidth="1" min="2" max="2"/>
    <col width="33" customWidth="1" min="3" max="8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6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hidden="1" width="13" customWidth="1" min="16" max="16"/>
    <col hidden="1" width="11.1328125" bestFit="1" customWidth="1" min="17" max="17"/>
    <col hidden="1" width="11.3984375" bestFit="1" customWidth="1" min="18" max="18"/>
    <col hidden="1" width="11.53125" bestFit="1" customWidth="1" min="19" max="19"/>
    <col hidden="1" width="9.265625" bestFit="1" customWidth="1" min="20" max="20"/>
    <col hidden="1" width="12.59765625" customWidth="1" min="21" max="21"/>
    <col hidden="1" width="15.53125" bestFit="1" customWidth="1" min="22" max="22"/>
    <col hidden="1" width="9.9296875" bestFit="1" customWidth="1" min="23" max="23"/>
    <col hidden="1" width="11.265625" bestFit="1" customWidth="1" min="24" max="24"/>
    <col hidden="1" width="13.9296875" bestFit="1" customWidth="1" min="25" max="25"/>
    <col hidden="1" width="17.265625" bestFit="1" customWidth="1" min="26" max="26"/>
    <col hidden="1" width="4.59765625" bestFit="1" customWidth="1" min="27" max="27"/>
    <col hidden="1" width="9.265625" bestFit="1" customWidth="1" min="28" max="28"/>
    <col hidden="1" width="13" customWidth="1" min="29" max="29"/>
    <col hidden="1" width="13" customWidth="1" min="30" max="30"/>
    <col hidden="1" width="13" customWidth="1" min="31" max="31"/>
    <col hidden="1" width="13" customWidth="1" min="32" max="32"/>
    <col hidden="1" width="13" customWidth="1" min="33" max="33"/>
    <col hidden="1" width="13" customWidth="1" min="34" max="34"/>
    <col hidden="1" width="13" customWidth="1" min="35" max="35"/>
    <col hidden="1" width="13" customWidth="1" min="36" max="36"/>
    <col hidden="1" width="13" customWidth="1" min="37" max="37"/>
    <col hidden="1" width="13" customWidth="1" min="38" max="38"/>
    <col hidden="1" width="13" customWidth="1" min="39" max="39"/>
    <col hidden="1" width="13" customWidth="1" min="40" max="40"/>
    <col hidden="1" width="13" customWidth="1" min="41" max="41"/>
    <col hidden="1" width="13" customWidth="1" min="42" max="42"/>
    <col hidden="1" width="13" customWidth="1" min="43" max="43"/>
    <col hidden="1" width="13" customWidth="1" min="44" max="44"/>
    <col hidden="1" width="13" customWidth="1" min="45" max="45"/>
    <col hidden="1" width="13" customWidth="1" min="46" max="46"/>
    <col hidden="1" width="13" customWidth="1" min="47" max="47"/>
    <col hidden="1" width="13" customWidth="1" min="48" max="48"/>
    <col hidden="1" width="13" customWidth="1" min="49" max="49"/>
    <col hidden="1" width="13" customWidth="1" min="50" max="50"/>
    <col hidden="1" width="13" customWidth="1" min="51" max="51"/>
    <col hidden="1" width="13" customWidth="1" min="52" max="52"/>
    <col hidden="1" width="13" customWidth="1" min="53" max="53"/>
    <col hidden="1" width="13" customWidth="1" min="54" max="54"/>
    <col hidden="1" width="13" customWidth="1" min="55" max="55"/>
    <col hidden="1" width="13" customWidth="1" min="56" max="56"/>
    <col hidden="1" width="13" customWidth="1" min="57" max="57"/>
    <col hidden="1" width="13" customWidth="1" min="58" max="58"/>
    <col hidden="1" width="13" customWidth="1" min="59" max="59"/>
    <col hidden="1" width="13" customWidth="1" min="60" max="60"/>
    <col hidden="1" width="13" customWidth="1" min="61" max="61"/>
    <col hidden="1" width="13" customWidth="1" min="62" max="62"/>
    <col hidden="1" width="13" customWidth="1" min="63" max="63"/>
    <col hidden="1" width="13" customWidth="1" min="64" max="64"/>
    <col hidden="1" width="13" customWidth="1" min="65" max="65"/>
    <col hidden="1" width="13" customWidth="1" min="66" max="66"/>
    <col hidden="1" width="13" customWidth="1" min="67" max="67"/>
    <col hidden="1" width="13" customWidth="1" min="68" max="68"/>
    <col hidden="1" width="13" customWidth="1" min="69" max="69"/>
    <col hidden="1" width="13" customWidth="1" min="70" max="70"/>
    <col hidden="1" width="13" customWidth="1" min="71" max="71"/>
    <col hidden="1" width="13" customWidth="1" min="72" max="72"/>
    <col hidden="1" width="13" customWidth="1" min="73" max="73"/>
    <col hidden="1" width="13" customWidth="1" min="74" max="74"/>
    <col hidden="1" width="13" customWidth="1" min="75" max="75"/>
    <col hidden="1" width="13" customWidth="1" min="76" max="76"/>
    <col hidden="1" width="13" customWidth="1" min="77" max="77"/>
    <col hidden="1" width="13" customWidth="1" min="78" max="78"/>
    <col hidden="1" width="13" customWidth="1" min="79" max="79"/>
    <col hidden="1" width="13" customWidth="1" min="80" max="80"/>
  </cols>
  <sheetData>
    <row r="1" ht="8" customHeight="1">
      <c r="A1" s="55" t="n"/>
      <c r="B1" s="55" t="n"/>
      <c r="C1" s="55" t="n"/>
      <c r="D1" s="55" t="n"/>
      <c r="E1" s="55" t="n"/>
      <c r="F1" s="55" t="n"/>
      <c r="G1" s="55" t="n"/>
      <c r="H1" s="55" t="n"/>
      <c r="I1" s="55" t="n"/>
      <c r="J1" s="55" t="n"/>
      <c r="K1" s="55" t="n"/>
      <c r="L1" s="55" t="n"/>
      <c r="M1" s="55" t="n"/>
      <c r="N1" s="55" t="n"/>
      <c r="O1" s="55" t="n"/>
      <c r="P1" s="3" t="n"/>
    </row>
    <row r="2" ht="26" customHeight="1">
      <c r="A2" s="55" t="n"/>
      <c r="B2" s="55" t="n"/>
      <c r="C2" s="56" t="inlineStr">
        <is>
          <t>COCKPIT EDUSERVICES — PILOTAGE DE LA MARGE</t>
        </is>
      </c>
      <c r="D2" s="55" t="n"/>
      <c r="E2" s="55" t="n"/>
      <c r="F2" s="55" t="n"/>
      <c r="G2" s="55" t="n"/>
      <c r="H2" s="55" t="n"/>
      <c r="I2" s="55" t="n"/>
      <c r="J2" s="55" t="n"/>
      <c r="K2" s="55" t="n"/>
      <c r="L2" s="55" t="n"/>
      <c r="M2" s="55" t="n"/>
      <c r="N2" s="55" t="n"/>
      <c r="O2" s="55" t="n"/>
      <c r="P2" s="3" t="n"/>
    </row>
    <row r="3" ht="15" customHeight="1">
      <c r="A3" s="55" t="n"/>
      <c r="B3" s="55" t="n"/>
      <c r="C3" s="57" t="inlineStr">
        <is>
          <t>Exercice 2026 · variation contre 2025 · V_ALLOCATION et socle CRM</t>
        </is>
      </c>
      <c r="D3" s="55" t="n"/>
      <c r="E3" s="55" t="n"/>
      <c r="F3" s="55" t="n"/>
      <c r="G3" s="55" t="n"/>
      <c r="H3" s="55" t="n"/>
      <c r="I3" s="55" t="n"/>
      <c r="J3" s="55" t="n"/>
      <c r="K3" s="55" t="n"/>
      <c r="L3" s="55" t="n"/>
      <c r="M3" s="55" t="n"/>
      <c r="N3" s="55" t="n"/>
      <c r="O3" s="55" t="n"/>
      <c r="P3" s="3" t="n"/>
    </row>
    <row r="4" ht="6" customHeight="1">
      <c r="A4" s="58" t="n"/>
      <c r="B4" s="58" t="n"/>
      <c r="C4" s="58" t="n"/>
      <c r="D4" s="58" t="n"/>
      <c r="E4" s="58" t="n"/>
      <c r="F4" s="58" t="n"/>
      <c r="G4" s="58" t="n"/>
      <c r="H4" s="58" t="n"/>
      <c r="I4" s="58" t="n"/>
      <c r="J4" s="58" t="n"/>
      <c r="K4" s="58" t="n"/>
      <c r="L4" s="58" t="n"/>
      <c r="M4" s="58" t="n"/>
      <c r="N4" s="58" t="n"/>
      <c r="O4" s="58" t="n"/>
      <c r="P4" s="6" t="n"/>
    </row>
    <row r="5" ht="20" customHeight="1">
      <c r="A5" s="58" t="n"/>
      <c r="B5" s="58" t="n"/>
      <c r="C5" s="59" t="inlineStr">
        <is>
          <t>SCÉNARIO</t>
        </is>
      </c>
      <c r="D5" s="60" t="inlineStr">
        <is>
          <t>Forecast 2026</t>
        </is>
      </c>
      <c r="E5" s="61" t="n"/>
      <c r="F5" s="62" t="n"/>
      <c r="G5" s="63" t="n"/>
      <c r="H5" s="59" t="inlineStr">
        <is>
          <t>VERSION</t>
        </is>
      </c>
      <c r="I5" s="64" t="inlineStr">
        <is>
          <t>V_FINAL</t>
        </is>
      </c>
      <c r="J5" s="65" t="n"/>
      <c r="K5" s="59" t="inlineStr">
        <is>
          <t>ENTITÉ</t>
        </is>
      </c>
      <c r="L5" s="60" t="inlineStr">
        <is>
          <t>EDUSERVICES</t>
        </is>
      </c>
      <c r="M5" s="66" t="n"/>
      <c r="N5" s="65" t="n"/>
      <c r="O5" s="65" t="n"/>
      <c r="P5" s="10" t="n"/>
    </row>
    <row r="6" ht="6" customHeight="1">
      <c r="A6" s="58" t="n"/>
      <c r="B6" s="58" t="n"/>
      <c r="C6" s="58" t="n"/>
      <c r="D6" s="58" t="n"/>
      <c r="E6" s="58" t="n"/>
      <c r="F6" s="58" t="n"/>
      <c r="G6" s="58" t="n"/>
      <c r="H6" s="58" t="n"/>
      <c r="I6" s="58" t="n"/>
      <c r="J6" s="58" t="n"/>
      <c r="K6" s="58" t="n"/>
      <c r="L6" s="58" t="n"/>
      <c r="M6" s="58" t="n"/>
      <c r="N6" s="58" t="n"/>
      <c r="O6" s="58" t="n"/>
      <c r="P6" s="6" t="n"/>
      <c r="AB6" s="2" t="inlineStr">
        <is>
          <t>RANG</t>
        </is>
      </c>
      <c r="AC6" s="1" t="inlineStr">
        <is>
          <t>ETAPE</t>
        </is>
      </c>
      <c r="AD6" s="1" t="inlineStr">
        <is>
          <t>SOCLE</t>
        </is>
      </c>
      <c r="AE6" s="1" t="inlineStr">
        <is>
          <t>ANCRE</t>
        </is>
      </c>
      <c r="AF6" s="1" t="inlineStr">
        <is>
          <t>HAUSSE</t>
        </is>
      </c>
      <c r="AG6" s="1" t="inlineStr">
        <is>
          <t>BAISSE</t>
        </is>
      </c>
      <c r="AI6" s="2" t="inlineStr">
        <is>
          <t>NIVEAU</t>
        </is>
      </c>
      <c r="AJ6" s="1" t="inlineStr">
        <is>
          <t>CODE</t>
        </is>
      </c>
      <c r="AK6" s="1" t="inlineStr">
        <is>
          <t>LIBELLE</t>
        </is>
      </c>
      <c r="AL6" s="1" t="inlineStr">
        <is>
          <t>CA_2024</t>
        </is>
      </c>
      <c r="AM6" s="1" t="inlineStr">
        <is>
          <t>EBITDA_2024</t>
        </is>
      </c>
      <c r="AN6" s="1" t="inlineStr">
        <is>
          <t>MARGE_2024</t>
        </is>
      </c>
      <c r="AO6" s="1" t="inlineStr">
        <is>
          <t>CA_2025</t>
        </is>
      </c>
      <c r="AP6" s="1" t="inlineStr">
        <is>
          <t>EBITDA_2025</t>
        </is>
      </c>
      <c r="AQ6" s="1" t="inlineStr">
        <is>
          <t>MARGE_2025</t>
        </is>
      </c>
      <c r="AR6" s="1" t="inlineStr">
        <is>
          <t>CA_2026</t>
        </is>
      </c>
      <c r="AS6" s="1" t="inlineStr">
        <is>
          <t>EBITDA_2026</t>
        </is>
      </c>
      <c r="AT6" s="1" t="inlineStr">
        <is>
          <t>MARGE_2026</t>
        </is>
      </c>
      <c r="AU6" s="1" t="inlineStr">
        <is>
          <t>ECART_PT</t>
        </is>
      </c>
      <c r="AZ6" s="1" t="inlineStr">
        <is>
          <t>EXERCICE</t>
        </is>
      </c>
      <c r="BA6" s="1" t="inlineStr">
        <is>
          <t>DEPENSES</t>
        </is>
      </c>
      <c r="BB6" s="1" t="inlineStr">
        <is>
          <t>INSCRITS</t>
        </is>
      </c>
      <c r="BC6" s="1" t="inlineStr">
        <is>
          <t>IND_DEPENSES</t>
        </is>
      </c>
      <c r="BD6" s="1" t="inlineStr">
        <is>
          <t>IND_INSCRITS</t>
        </is>
      </c>
      <c r="BE6" s="1" t="inlineStr">
        <is>
          <t>CAC</t>
        </is>
      </c>
      <c r="BF6" s="1" t="inlineStr">
        <is>
          <t>ECART_PT</t>
        </is>
      </c>
    </row>
    <row r="7" ht="10" customHeight="1">
      <c r="A7" s="58" t="n"/>
      <c r="B7" s="58" t="n"/>
      <c r="C7" s="58" t="n"/>
      <c r="D7" s="58" t="n"/>
      <c r="E7" s="58" t="n"/>
      <c r="F7" s="58" t="n"/>
      <c r="G7" s="58" t="n"/>
      <c r="H7" s="58" t="n"/>
      <c r="I7" s="58" t="n"/>
      <c r="J7" s="58" t="n"/>
      <c r="K7" s="58" t="n"/>
      <c r="L7" s="58" t="n"/>
      <c r="M7" s="58" t="n"/>
      <c r="N7" s="58" t="n"/>
      <c r="O7" s="58" t="n"/>
      <c r="P7" s="6" t="n"/>
      <c r="AB7" s="1" t="n">
        <v>1</v>
      </c>
      <c r="AC7" s="1" t="inlineStr">
        <is>
          <t>EBITDA 2025</t>
        </is>
      </c>
      <c r="AD7" s="1" t="n">
        <v>0</v>
      </c>
      <c r="AE7" s="1" t="n">
        <v>3467768</v>
      </c>
      <c r="AF7" s="1" t="n">
        <v>0</v>
      </c>
      <c r="AG7" s="1" t="n">
        <v>0</v>
      </c>
      <c r="AI7" s="1" t="inlineStr">
        <is>
          <t>Ipac Bachelor Factory</t>
        </is>
      </c>
      <c r="AJ7" s="1" t="n">
        <v>0.1193</v>
      </c>
      <c r="AK7" s="1" t="n">
        <v>0.13</v>
      </c>
      <c r="AL7" s="1" t="n">
        <v>0.1416</v>
      </c>
      <c r="AM7" s="1" t="n">
        <v>2.22</v>
      </c>
      <c r="AN7" s="1" t="inlineStr">
        <is>
          <t>MARQUE</t>
        </is>
      </c>
      <c r="AO7" s="1" t="inlineStr">
        <is>
          <t>IPAC</t>
        </is>
      </c>
      <c r="AP7" s="1" t="n">
        <v>2309940</v>
      </c>
      <c r="AQ7" s="1" t="n">
        <v>275689</v>
      </c>
      <c r="AR7" s="1" t="n">
        <v>2439370</v>
      </c>
      <c r="AS7" s="1" t="n">
        <v>317150</v>
      </c>
      <c r="AT7" t="n">
        <v>2582800</v>
      </c>
      <c r="AU7" s="2" t="n">
        <v>365676</v>
      </c>
      <c r="AZ7" s="1" t="inlineStr">
        <is>
          <t>2024</t>
        </is>
      </c>
      <c r="BA7" s="1" t="n">
        <v>100</v>
      </c>
      <c r="BB7" s="1" t="n">
        <v>100</v>
      </c>
      <c r="BC7" s="1" t="n">
        <v>329</v>
      </c>
      <c r="BD7" s="1" t="n">
        <v>0</v>
      </c>
      <c r="BE7" s="1" t="n">
        <v>358819</v>
      </c>
      <c r="BF7" s="1" t="n">
        <v>1092</v>
      </c>
    </row>
    <row r="8" ht="13" customHeight="1">
      <c r="A8" s="58" t="n"/>
      <c r="B8" s="58" t="n"/>
      <c r="C8" s="67" t="n"/>
      <c r="D8" s="68" t="inlineStr">
        <is>
          <t>CHIFFRE D'AFFAIRES</t>
        </is>
      </c>
      <c r="E8" s="69" t="n"/>
      <c r="F8" s="68" t="inlineStr">
        <is>
          <t>EBITDA</t>
        </is>
      </c>
      <c r="G8" s="69" t="n"/>
      <c r="H8" s="68" t="inlineStr">
        <is>
          <t>MARGE EBITDA</t>
        </is>
      </c>
      <c r="I8" s="69" t="n"/>
      <c r="J8" s="68" t="inlineStr">
        <is>
          <t>INSCRITS (NOUVEAUX)</t>
        </is>
      </c>
      <c r="K8" s="69" t="n"/>
      <c r="L8" s="68" t="inlineStr">
        <is>
          <t>COÛT D'ACQUISITION</t>
        </is>
      </c>
      <c r="M8" s="69" t="n"/>
      <c r="N8" s="70" t="inlineStr">
        <is>
          <t>REMPLISSAGE MOYEN</t>
        </is>
      </c>
      <c r="O8" s="71" t="n"/>
      <c r="P8" s="13" t="n"/>
      <c r="AB8" t="n">
        <v>2</v>
      </c>
      <c r="AC8" t="inlineStr">
        <is>
          <t>Activité</t>
        </is>
      </c>
      <c r="AD8" t="n">
        <v>3467768</v>
      </c>
      <c r="AE8" t="n">
        <v>0</v>
      </c>
      <c r="AF8" t="n">
        <v>1157203</v>
      </c>
      <c r="AG8" t="n">
        <v>0</v>
      </c>
      <c r="AI8" t="inlineStr">
        <is>
          <t>ISCOM</t>
        </is>
      </c>
      <c r="AJ8" t="n">
        <v>0.158</v>
      </c>
      <c r="AK8" t="n">
        <v>0.1643</v>
      </c>
      <c r="AL8" t="n">
        <v>0.1717</v>
      </c>
      <c r="AM8" t="n">
        <v>1.36</v>
      </c>
      <c r="AN8" t="inlineStr">
        <is>
          <t>MARQUE</t>
        </is>
      </c>
      <c r="AO8" t="inlineStr">
        <is>
          <t>ISCOM</t>
        </is>
      </c>
      <c r="AP8" t="n">
        <v>5593340</v>
      </c>
      <c r="AQ8" t="n">
        <v>883765</v>
      </c>
      <c r="AR8" t="n">
        <v>5914800</v>
      </c>
      <c r="AS8" t="n">
        <v>971580</v>
      </c>
      <c r="AT8" t="n">
        <v>6292550</v>
      </c>
      <c r="AU8" t="n">
        <v>1080131</v>
      </c>
      <c r="AZ8" t="inlineStr">
        <is>
          <t>2025</t>
        </is>
      </c>
      <c r="BA8" t="n">
        <v>110</v>
      </c>
      <c r="BB8" t="n">
        <v>106.1</v>
      </c>
      <c r="BC8" t="n">
        <v>341</v>
      </c>
      <c r="BD8" t="n">
        <v>3.9</v>
      </c>
      <c r="BE8" t="n">
        <v>394702</v>
      </c>
      <c r="BF8" t="n">
        <v>1159</v>
      </c>
    </row>
    <row r="9" ht="26" customHeight="1">
      <c r="A9" s="58" t="n"/>
      <c r="B9" s="58" t="n"/>
      <c r="C9" s="72" t="n"/>
      <c r="D9" s="73">
        <f>D38</f>
        <v/>
      </c>
      <c r="E9" s="74" t="n"/>
      <c r="F9" s="73">
        <f>F38</f>
        <v/>
      </c>
      <c r="G9" s="74" t="n"/>
      <c r="H9" s="75">
        <f>I38</f>
        <v/>
      </c>
      <c r="I9" s="76" t="n"/>
      <c r="J9" s="77">
        <f>K38</f>
        <v/>
      </c>
      <c r="K9" s="78" t="n"/>
      <c r="L9" s="79">
        <f>S38/K38</f>
        <v/>
      </c>
      <c r="M9" s="80" t="n"/>
      <c r="N9" s="81">
        <f>L38</f>
        <v/>
      </c>
      <c r="O9" s="82" t="n"/>
      <c r="P9" s="22" t="n"/>
      <c r="AB9" t="n">
        <v>3</v>
      </c>
      <c r="AC9" t="inlineStr">
        <is>
          <t>Prix / mix</t>
        </is>
      </c>
      <c r="AD9" t="n">
        <v>4624364</v>
      </c>
      <c r="AE9" t="n">
        <v>0</v>
      </c>
      <c r="AF9" t="n">
        <v>0</v>
      </c>
      <c r="AG9" t="n">
        <v>607</v>
      </c>
      <c r="AI9" t="inlineStr">
        <is>
          <t>MBway</t>
        </is>
      </c>
      <c r="AJ9" t="n">
        <v>0.165</v>
      </c>
      <c r="AK9" t="n">
        <v>0.1731</v>
      </c>
      <c r="AL9" t="n">
        <v>0.1825</v>
      </c>
      <c r="AM9" t="n">
        <v>1.75</v>
      </c>
      <c r="AN9" t="inlineStr">
        <is>
          <t>MARQUE</t>
        </is>
      </c>
      <c r="AO9" t="inlineStr">
        <is>
          <t>MBWAY</t>
        </is>
      </c>
      <c r="AP9" t="n">
        <v>8517270</v>
      </c>
      <c r="AQ9" t="n">
        <v>1405098</v>
      </c>
      <c r="AR9" t="n">
        <v>9032400</v>
      </c>
      <c r="AS9" t="n">
        <v>1563650</v>
      </c>
      <c r="AT9" t="n">
        <v>9567455</v>
      </c>
      <c r="AU9" t="n">
        <v>1745998</v>
      </c>
      <c r="AZ9" t="inlineStr">
        <is>
          <t>2026</t>
        </is>
      </c>
      <c r="BA9" t="n">
        <v>121</v>
      </c>
      <c r="BB9" t="n">
        <v>112.5</v>
      </c>
      <c r="BC9" t="n">
        <v>353</v>
      </c>
      <c r="BD9" t="n">
        <v>8.5</v>
      </c>
      <c r="BE9" t="n">
        <v>434174</v>
      </c>
      <c r="BF9" t="n">
        <v>1229</v>
      </c>
    </row>
    <row r="10" ht="14" customHeight="1">
      <c r="A10" s="58" t="n"/>
      <c r="B10" s="58" t="n"/>
      <c r="C10" s="83" t="n"/>
      <c r="D10" s="120">
        <f>E38</f>
        <v/>
      </c>
      <c r="E10" s="85" t="n"/>
      <c r="F10" s="120">
        <f>G38</f>
        <v/>
      </c>
      <c r="G10" s="85" t="n"/>
      <c r="H10" s="121">
        <f>J38</f>
        <v/>
      </c>
      <c r="I10" s="87" t="n"/>
      <c r="J10" s="120">
        <f>Y38</f>
        <v/>
      </c>
      <c r="K10" s="85" t="n"/>
      <c r="L10" s="120">
        <f>IFERROR(L9/(T38/W38)-1,"")</f>
        <v/>
      </c>
      <c r="M10" s="85" t="n"/>
      <c r="N10" s="122">
        <f>O38-N38</f>
        <v/>
      </c>
      <c r="O10" s="89" t="n"/>
      <c r="P10" s="26" t="n"/>
      <c r="AB10" t="n">
        <v>4</v>
      </c>
      <c r="AC10" t="inlineStr">
        <is>
          <t>Coûts</t>
        </is>
      </c>
      <c r="AD10" t="n">
        <v>3845790</v>
      </c>
      <c r="AE10" t="n">
        <v>0</v>
      </c>
      <c r="AF10" t="n">
        <v>0</v>
      </c>
      <c r="AG10" t="n">
        <v>778574</v>
      </c>
      <c r="AI10" t="inlineStr">
        <is>
          <t>Pigier</t>
        </is>
      </c>
      <c r="AJ10" t="n">
        <v>0.1984</v>
      </c>
      <c r="AK10" t="n">
        <v>0.2041</v>
      </c>
      <c r="AL10" t="n">
        <v>0.2114</v>
      </c>
      <c r="AM10" t="n">
        <v>1.3</v>
      </c>
      <c r="AN10" t="inlineStr">
        <is>
          <t>MARQUE</t>
        </is>
      </c>
      <c r="AO10" t="inlineStr">
        <is>
          <t>PIGIER</t>
        </is>
      </c>
      <c r="AP10" t="n">
        <v>2403570</v>
      </c>
      <c r="AQ10" t="n">
        <v>476927</v>
      </c>
      <c r="AR10" t="n">
        <v>2537610</v>
      </c>
      <c r="AS10" t="n">
        <v>518007</v>
      </c>
      <c r="AT10" t="n">
        <v>2706480</v>
      </c>
      <c r="AU10" t="n">
        <v>572259</v>
      </c>
    </row>
    <row r="11" ht="10" customHeight="1">
      <c r="A11" s="58" t="n"/>
      <c r="B11" s="58" t="n"/>
      <c r="C11" s="58" t="n"/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6" t="n"/>
      <c r="Q11" s="6" t="n"/>
      <c r="R11" s="6" t="n"/>
      <c r="S11" s="6" t="n"/>
      <c r="T11" s="6" t="n"/>
      <c r="U11" s="6" t="n"/>
      <c r="V11" s="6" t="n"/>
      <c r="W11" s="6" t="n"/>
      <c r="X11" s="6" t="n"/>
      <c r="Y11" s="6" t="n"/>
      <c r="Z11" s="6" t="n"/>
      <c r="AA11" s="6" t="n"/>
      <c r="AB11" s="6" t="n">
        <v>5</v>
      </c>
      <c r="AC11" s="6" t="inlineStr">
        <is>
          <t>EBITDA 2026</t>
        </is>
      </c>
      <c r="AD11" s="6" t="n">
        <v>0</v>
      </c>
      <c r="AE11" s="6" t="n">
        <v>3845790</v>
      </c>
      <c r="AF11" s="6" t="n">
        <v>0</v>
      </c>
      <c r="AG11" s="6" t="n">
        <v>0</v>
      </c>
      <c r="AH11" s="6" t="n"/>
      <c r="AI11" s="6" t="inlineStr">
        <is>
          <t>Tunon</t>
        </is>
      </c>
      <c r="AJ11" s="6" t="n">
        <v>0.0629</v>
      </c>
      <c r="AK11" t="n">
        <v>0.0531</v>
      </c>
      <c r="AL11" t="n">
        <v>0.0419</v>
      </c>
      <c r="AM11" t="n">
        <v>-2.09</v>
      </c>
      <c r="AN11" t="inlineStr">
        <is>
          <t>MARQUE</t>
        </is>
      </c>
      <c r="AO11" t="inlineStr">
        <is>
          <t>TUNON</t>
        </is>
      </c>
      <c r="AP11" t="n">
        <v>1743090</v>
      </c>
      <c r="AQ11" t="n">
        <v>109557</v>
      </c>
      <c r="AR11" t="n">
        <v>1834590</v>
      </c>
      <c r="AS11" t="n">
        <v>97381</v>
      </c>
      <c r="AT11" t="n">
        <v>1949700</v>
      </c>
      <c r="AU11" t="n">
        <v>81725</v>
      </c>
    </row>
    <row r="12" ht="15.5" customHeight="1">
      <c r="A12" s="58" t="n"/>
      <c r="B12" s="58" t="n"/>
      <c r="C12" s="90" t="inlineStr">
        <is>
          <t xml:space="preserve">  Pont d'EBITDA 2025 → 2026</t>
        </is>
      </c>
      <c r="D12" s="91" t="inlineStr">
        <is>
          <t xml:space="preserve">  Pont d'EBITDA 2025 → 2026</t>
        </is>
      </c>
      <c r="E12" s="92" t="n"/>
      <c r="F12" s="92" t="n"/>
      <c r="G12" s="93" t="n"/>
      <c r="H12" s="91" t="inlineStr">
        <is>
          <t xml:space="preserve">  Marge EBITDA — 3 exercices</t>
        </is>
      </c>
      <c r="I12" s="94" t="inlineStr">
        <is>
          <t xml:space="preserve">  Marge EBITDA par marque</t>
        </is>
      </c>
      <c r="J12" s="92" t="n"/>
      <c r="K12" s="93" t="n"/>
      <c r="L12" s="91" t="inlineStr">
        <is>
          <t xml:space="preserve">  Acquisition — dépenses vs inscrits</t>
        </is>
      </c>
      <c r="M12" s="92" t="n"/>
      <c r="N12" s="92" t="n"/>
      <c r="O12" s="95" t="inlineStr">
        <is>
          <t xml:space="preserve">base 100  </t>
        </is>
      </c>
      <c r="P12" s="32" t="n"/>
      <c r="Q12" s="6" t="n"/>
      <c r="R12" s="6" t="n"/>
      <c r="S12" s="6" t="n"/>
      <c r="T12" s="6" t="n"/>
      <c r="U12" s="6" t="n"/>
      <c r="V12" s="6" t="n"/>
      <c r="W12" s="6" t="n"/>
      <c r="X12" s="6" t="n"/>
      <c r="Y12" s="6" t="n"/>
      <c r="Z12" s="6" t="n"/>
      <c r="AA12" s="6" t="n"/>
      <c r="AB12" s="6" t="n"/>
      <c r="AC12" s="6" t="n"/>
      <c r="AD12" s="6" t="n"/>
      <c r="AE12" s="6" t="n"/>
      <c r="AF12" s="6" t="n"/>
      <c r="AG12" s="6" t="n"/>
      <c r="AH12" s="6" t="n"/>
      <c r="AI12" s="6" t="n"/>
      <c r="AJ12" s="6" t="n"/>
    </row>
    <row r="13" ht="15.5" customHeight="1">
      <c r="A13" s="58" t="n"/>
      <c r="B13" s="58" t="n"/>
      <c r="C13" s="96" t="n"/>
      <c r="D13" s="97" t="n"/>
      <c r="E13" s="98" t="n"/>
      <c r="F13" s="98" t="n"/>
      <c r="G13" s="99" t="n"/>
      <c r="H13" s="97" t="n"/>
      <c r="I13" s="98" t="n"/>
      <c r="J13" s="98" t="n"/>
      <c r="K13" s="99" t="n"/>
      <c r="L13" s="97" t="n"/>
      <c r="M13" s="98" t="n"/>
      <c r="N13" s="98" t="n"/>
      <c r="O13" s="99" t="n"/>
      <c r="P13" s="34" t="n"/>
      <c r="Q13" s="6" t="n"/>
      <c r="R13" s="6" t="n"/>
      <c r="S13" s="6" t="n"/>
      <c r="T13" s="6" t="n"/>
      <c r="U13" s="6" t="n"/>
      <c r="V13" s="6" t="n"/>
      <c r="W13" s="6" t="n"/>
      <c r="X13" s="6" t="n"/>
      <c r="Y13" s="6" t="n"/>
      <c r="Z13" s="6" t="n"/>
      <c r="AA13" s="6" t="n"/>
      <c r="AB13" s="6" t="n"/>
      <c r="AC13" s="6" t="n"/>
      <c r="AD13" s="6" t="n"/>
      <c r="AE13" s="6" t="n"/>
      <c r="AF13" s="6" t="n"/>
      <c r="AG13" s="6" t="n"/>
      <c r="AH13" s="6" t="n"/>
      <c r="AI13" s="6" t="n"/>
      <c r="AJ13" s="6" t="n"/>
    </row>
    <row r="14" ht="15.5" customHeight="1">
      <c r="A14" s="58" t="n"/>
      <c r="B14" s="58" t="n"/>
      <c r="C14" s="96" t="n"/>
      <c r="D14" s="97" t="n"/>
      <c r="E14" s="98" t="n"/>
      <c r="F14" s="98" t="n"/>
      <c r="G14" s="99" t="n"/>
      <c r="H14" s="97" t="n"/>
      <c r="I14" s="98" t="n"/>
      <c r="J14" s="98" t="n"/>
      <c r="K14" s="99" t="n"/>
      <c r="L14" s="97" t="n"/>
      <c r="M14" s="98" t="n"/>
      <c r="N14" s="98" t="n"/>
      <c r="O14" s="99" t="n"/>
      <c r="P14" s="34" t="n"/>
      <c r="Q14" s="6" t="n"/>
      <c r="R14" s="6" t="n"/>
      <c r="S14" s="6" t="n"/>
      <c r="T14" s="6" t="n"/>
      <c r="U14" s="6" t="n"/>
      <c r="V14" s="6" t="n"/>
      <c r="W14" s="6" t="n"/>
      <c r="X14" s="6" t="n"/>
      <c r="Y14" s="6" t="n"/>
      <c r="Z14" s="6" t="n"/>
      <c r="AA14" s="6" t="n"/>
      <c r="AB14" s="6" t="n"/>
      <c r="AC14" s="6" t="n"/>
      <c r="AD14" s="6" t="n"/>
      <c r="AE14" s="6" t="n"/>
      <c r="AF14" s="6" t="n"/>
      <c r="AG14" s="6" t="n"/>
      <c r="AH14" s="6" t="n"/>
      <c r="AI14" s="6" t="n"/>
      <c r="AJ14" s="6" t="n"/>
    </row>
    <row r="15" ht="15.5" customHeight="1">
      <c r="A15" s="58" t="n"/>
      <c r="B15" s="58" t="n"/>
      <c r="C15" s="96" t="n"/>
      <c r="D15" s="97" t="n"/>
      <c r="E15" s="98" t="n"/>
      <c r="F15" s="98" t="n"/>
      <c r="G15" s="99" t="n"/>
      <c r="H15" s="97" t="n"/>
      <c r="I15" s="98" t="n"/>
      <c r="J15" s="98" t="n"/>
      <c r="K15" s="99" t="n"/>
      <c r="L15" s="97" t="n"/>
      <c r="M15" s="98" t="n"/>
      <c r="N15" s="98" t="n"/>
      <c r="O15" s="99" t="n"/>
      <c r="P15" s="34" t="n"/>
      <c r="Q15" s="6" t="n"/>
      <c r="R15" s="6" t="n"/>
      <c r="S15" s="6" t="n"/>
      <c r="T15" s="6" t="n"/>
      <c r="U15" s="6" t="n"/>
      <c r="V15" s="6" t="n"/>
      <c r="W15" s="6" t="n"/>
      <c r="X15" s="6" t="n"/>
      <c r="Y15" s="6" t="n"/>
      <c r="Z15" s="6" t="n"/>
      <c r="AA15" s="6" t="n"/>
      <c r="AB15" s="6" t="n"/>
      <c r="AC15" s="6" t="n"/>
      <c r="AD15" s="6" t="n"/>
      <c r="AE15" s="6" t="n"/>
      <c r="AF15" s="6" t="n"/>
      <c r="AG15" s="6" t="n"/>
      <c r="AH15" s="6" t="n"/>
      <c r="AI15" s="6" t="n"/>
      <c r="AJ15" s="6" t="n"/>
    </row>
    <row r="16" ht="15.5" customHeight="1">
      <c r="A16" s="58" t="n"/>
      <c r="B16" s="58" t="n"/>
      <c r="C16" s="96" t="n"/>
      <c r="D16" s="97" t="n"/>
      <c r="E16" s="98" t="n"/>
      <c r="F16" s="98" t="n"/>
      <c r="G16" s="99" t="n"/>
      <c r="H16" s="97" t="n"/>
      <c r="I16" s="98" t="n"/>
      <c r="J16" s="98" t="n"/>
      <c r="K16" s="99" t="n"/>
      <c r="L16" s="97" t="n"/>
      <c r="M16" s="98" t="n"/>
      <c r="N16" s="98" t="n"/>
      <c r="O16" s="99" t="n"/>
      <c r="P16" s="34" t="n"/>
      <c r="Q16" s="6" t="n"/>
      <c r="R16" s="6" t="n"/>
      <c r="S16" s="6" t="n"/>
      <c r="T16" s="6" t="n"/>
      <c r="U16" s="6" t="n"/>
      <c r="V16" s="6" t="n"/>
      <c r="W16" s="6" t="n"/>
      <c r="X16" s="6" t="n"/>
      <c r="Y16" s="6" t="n"/>
      <c r="Z16" s="6" t="n"/>
      <c r="AA16" s="6" t="n"/>
      <c r="AB16" s="6" t="n"/>
      <c r="AC16" s="6" t="n"/>
      <c r="AD16" s="6" t="n"/>
      <c r="AE16" s="6" t="n"/>
      <c r="AF16" s="6" t="n"/>
      <c r="AG16" s="6" t="n"/>
      <c r="AH16" s="6" t="n"/>
      <c r="AI16" s="6" t="n"/>
      <c r="AJ16" s="6" t="n"/>
    </row>
    <row r="17" ht="15.5" customHeight="1">
      <c r="A17" s="58" t="n"/>
      <c r="B17" s="58" t="n"/>
      <c r="C17" s="96" t="n"/>
      <c r="D17" s="97" t="n"/>
      <c r="E17" s="98" t="n"/>
      <c r="F17" s="98" t="n"/>
      <c r="G17" s="99" t="n"/>
      <c r="H17" s="97" t="n"/>
      <c r="I17" s="98" t="n"/>
      <c r="J17" s="98" t="n"/>
      <c r="K17" s="99" t="n"/>
      <c r="L17" s="97" t="n"/>
      <c r="M17" s="98" t="n"/>
      <c r="N17" s="98" t="n"/>
      <c r="O17" s="99" t="n"/>
      <c r="P17" s="34" t="n"/>
      <c r="Q17" s="6" t="n"/>
      <c r="R17" s="6" t="n"/>
      <c r="S17" s="6" t="n"/>
      <c r="T17" s="6" t="n"/>
      <c r="U17" s="6" t="n"/>
      <c r="V17" s="6" t="n"/>
      <c r="W17" s="6" t="n"/>
      <c r="X17" s="6" t="n"/>
      <c r="Y17" s="6" t="n"/>
      <c r="Z17" s="6" t="n"/>
      <c r="AA17" s="6" t="n"/>
      <c r="AB17" s="6" t="n"/>
      <c r="AC17" s="6" t="n"/>
      <c r="AD17" s="6" t="n"/>
      <c r="AE17" s="6" t="n"/>
      <c r="AF17" s="6" t="n"/>
      <c r="AG17" s="6" t="n"/>
      <c r="AH17" s="6" t="n"/>
      <c r="AI17" s="6" t="n"/>
      <c r="AJ17" s="6" t="n"/>
    </row>
    <row r="18" ht="15.5" customHeight="1">
      <c r="A18" s="58" t="n"/>
      <c r="B18" s="58" t="n"/>
      <c r="C18" s="96" t="n"/>
      <c r="D18" s="97" t="n"/>
      <c r="E18" s="98" t="n"/>
      <c r="F18" s="98" t="n"/>
      <c r="G18" s="99" t="n"/>
      <c r="H18" s="97" t="n"/>
      <c r="I18" s="98" t="n"/>
      <c r="J18" s="98" t="n"/>
      <c r="K18" s="99" t="n"/>
      <c r="L18" s="97" t="n"/>
      <c r="M18" s="98" t="n"/>
      <c r="N18" s="98" t="n"/>
      <c r="O18" s="99" t="n"/>
      <c r="P18" s="34" t="n"/>
      <c r="Q18" s="6" t="n"/>
      <c r="R18" s="6" t="n"/>
      <c r="S18" s="6" t="n"/>
      <c r="T18" s="6" t="n"/>
      <c r="U18" s="6" t="n"/>
      <c r="V18" s="6" t="n"/>
      <c r="W18" s="6" t="n"/>
      <c r="X18" s="6" t="n"/>
      <c r="Y18" s="6" t="n"/>
      <c r="Z18" s="6" t="n"/>
      <c r="AA18" s="6" t="n"/>
      <c r="AB18" s="6" t="n"/>
      <c r="AC18" s="6" t="n"/>
      <c r="AD18" s="6" t="n"/>
      <c r="AE18" s="6" t="n"/>
      <c r="AF18" s="6" t="n"/>
      <c r="AG18" s="6" t="n"/>
      <c r="AH18" s="6" t="n"/>
      <c r="AI18" s="6" t="n"/>
      <c r="AJ18" s="6" t="n"/>
    </row>
    <row r="19" ht="15.5" customHeight="1">
      <c r="A19" s="58" t="n"/>
      <c r="B19" s="58" t="n"/>
      <c r="C19" s="96" t="n"/>
      <c r="D19" s="97" t="n"/>
      <c r="E19" s="98" t="n"/>
      <c r="F19" s="98" t="n"/>
      <c r="G19" s="99" t="n"/>
      <c r="H19" s="97" t="n"/>
      <c r="I19" s="98" t="n"/>
      <c r="J19" s="98" t="n"/>
      <c r="K19" s="99" t="n"/>
      <c r="L19" s="97" t="n"/>
      <c r="M19" s="98" t="n"/>
      <c r="N19" s="98" t="n"/>
      <c r="O19" s="99" t="n"/>
      <c r="P19" s="34" t="n"/>
      <c r="Q19" s="6" t="n"/>
      <c r="R19" s="6" t="n"/>
      <c r="S19" s="6" t="n"/>
      <c r="T19" s="6" t="n"/>
      <c r="U19" s="6" t="n"/>
      <c r="V19" s="6" t="n"/>
      <c r="W19" s="6" t="n"/>
      <c r="X19" s="6" t="n"/>
      <c r="Y19" s="6" t="n"/>
      <c r="Z19" s="6" t="n"/>
      <c r="AA19" s="6" t="n"/>
      <c r="AB19" s="6" t="n"/>
      <c r="AC19" s="6" t="n"/>
      <c r="AD19" s="6" t="n"/>
      <c r="AE19" s="6" t="n"/>
      <c r="AF19" s="6" t="n"/>
      <c r="AG19" s="6" t="n"/>
      <c r="AH19" s="6" t="n"/>
      <c r="AI19" s="6" t="n"/>
      <c r="AJ19" s="6" t="n"/>
    </row>
    <row r="20" ht="15.5" customHeight="1">
      <c r="A20" s="58" t="n"/>
      <c r="B20" s="58" t="n"/>
      <c r="C20" s="96" t="n"/>
      <c r="D20" s="97" t="n"/>
      <c r="E20" s="98" t="n"/>
      <c r="F20" s="98" t="n"/>
      <c r="G20" s="99" t="n"/>
      <c r="H20" s="97" t="n"/>
      <c r="I20" s="98" t="n"/>
      <c r="J20" s="98" t="n"/>
      <c r="K20" s="99" t="n"/>
      <c r="L20" s="97" t="n"/>
      <c r="M20" s="98" t="n"/>
      <c r="N20" s="98" t="n"/>
      <c r="O20" s="99" t="n"/>
      <c r="P20" s="34" t="n"/>
      <c r="Q20" s="6" t="n"/>
      <c r="R20" s="6" t="n"/>
      <c r="S20" s="6" t="n"/>
      <c r="T20" s="6" t="n"/>
      <c r="U20" s="6" t="n"/>
      <c r="V20" s="6" t="n"/>
      <c r="W20" s="6" t="n"/>
      <c r="X20" s="6" t="n"/>
      <c r="Y20" s="6" t="n"/>
      <c r="Z20" s="6" t="n"/>
      <c r="AA20" s="6" t="n"/>
      <c r="AB20" s="6" t="n"/>
      <c r="AC20" s="6" t="n"/>
      <c r="AD20" s="6" t="n"/>
      <c r="AE20" s="6" t="n"/>
      <c r="AF20" s="6" t="n"/>
      <c r="AG20" s="6" t="n"/>
      <c r="AH20" s="6" t="n"/>
      <c r="AI20" s="6" t="n"/>
      <c r="AJ20" s="6" t="n"/>
    </row>
    <row r="21" ht="15.5" customHeight="1">
      <c r="A21" s="58" t="n"/>
      <c r="B21" s="58" t="n"/>
      <c r="C21" s="96" t="n"/>
      <c r="D21" s="97" t="n"/>
      <c r="E21" s="98" t="n"/>
      <c r="F21" s="98" t="n"/>
      <c r="G21" s="99" t="n"/>
      <c r="H21" s="97" t="n"/>
      <c r="I21" s="98" t="n"/>
      <c r="J21" s="98" t="n"/>
      <c r="K21" s="99" t="n"/>
      <c r="L21" s="97" t="n"/>
      <c r="M21" s="98" t="n"/>
      <c r="N21" s="98" t="n"/>
      <c r="O21" s="99" t="n"/>
      <c r="P21" s="34" t="n"/>
      <c r="Q21" s="6" t="n"/>
      <c r="R21" s="6" t="n"/>
      <c r="S21" s="6" t="n"/>
      <c r="T21" s="6" t="n"/>
      <c r="U21" s="6" t="n"/>
      <c r="V21" s="6" t="n"/>
      <c r="W21" s="6" t="n"/>
      <c r="X21" s="6" t="n"/>
      <c r="Y21" s="6" t="n"/>
      <c r="Z21" s="6" t="n"/>
      <c r="AA21" s="6" t="n"/>
      <c r="AB21" s="6" t="n"/>
      <c r="AC21" s="6" t="n"/>
      <c r="AD21" s="6" t="n"/>
      <c r="AE21" s="6" t="n"/>
      <c r="AF21" s="6" t="n"/>
      <c r="AG21" s="6" t="n"/>
      <c r="AH21" s="6" t="n"/>
      <c r="AI21" s="6" t="n"/>
      <c r="AJ21" s="6" t="n"/>
    </row>
    <row r="22" ht="15.5" customHeight="1">
      <c r="A22" s="58" t="n"/>
      <c r="B22" s="58" t="n"/>
      <c r="C22" s="96" t="n"/>
      <c r="D22" s="97" t="n"/>
      <c r="E22" s="98" t="n"/>
      <c r="F22" s="98" t="n"/>
      <c r="G22" s="99" t="n"/>
      <c r="H22" s="97" t="n"/>
      <c r="I22" s="98" t="n"/>
      <c r="J22" s="98" t="n"/>
      <c r="K22" s="99" t="n"/>
      <c r="L22" s="97" t="n"/>
      <c r="M22" s="98" t="n"/>
      <c r="N22" s="98" t="n"/>
      <c r="O22" s="99" t="n"/>
      <c r="P22" s="34" t="n"/>
      <c r="Q22" s="6" t="n"/>
      <c r="R22" s="6" t="n"/>
      <c r="S22" s="6" t="n"/>
      <c r="T22" s="6" t="n"/>
      <c r="U22" s="6" t="n"/>
      <c r="V22" s="6" t="n"/>
      <c r="W22" s="6" t="n"/>
      <c r="X22" s="6" t="n"/>
      <c r="Y22" s="6" t="n"/>
      <c r="Z22" s="6" t="n"/>
      <c r="AA22" s="6" t="n"/>
      <c r="AB22" s="6" t="n"/>
      <c r="AC22" s="6" t="n"/>
      <c r="AD22" s="6" t="n"/>
      <c r="AE22" s="6" t="n"/>
      <c r="AF22" s="6" t="n"/>
      <c r="AG22" s="6" t="n"/>
      <c r="AH22" s="6" t="n"/>
      <c r="AI22" s="6" t="n"/>
      <c r="AJ22" s="6" t="n"/>
    </row>
    <row r="23" ht="15.5" customHeight="1">
      <c r="A23" s="58" t="n"/>
      <c r="B23" s="58" t="n"/>
      <c r="C23" s="96" t="n"/>
      <c r="D23" s="97" t="n"/>
      <c r="E23" s="98" t="n"/>
      <c r="F23" s="98" t="n"/>
      <c r="G23" s="99" t="n"/>
      <c r="H23" s="97" t="n"/>
      <c r="I23" s="98" t="n"/>
      <c r="J23" s="98" t="n"/>
      <c r="K23" s="99" t="n"/>
      <c r="L23" s="97" t="n"/>
      <c r="M23" s="98" t="n"/>
      <c r="N23" s="98" t="n"/>
      <c r="O23" s="99" t="n"/>
      <c r="P23" s="34" t="n"/>
      <c r="Q23" s="6" t="n"/>
      <c r="R23" s="6" t="n"/>
      <c r="S23" s="6" t="n"/>
      <c r="T23" s="6" t="n"/>
      <c r="U23" s="6" t="n"/>
      <c r="V23" s="6" t="n"/>
      <c r="W23" s="6" t="n"/>
      <c r="X23" s="6" t="n"/>
      <c r="Y23" s="6" t="n"/>
      <c r="Z23" s="6" t="n"/>
      <c r="AA23" s="6" t="n"/>
      <c r="AB23" s="6" t="n"/>
      <c r="AC23" s="6" t="n"/>
      <c r="AD23" s="6" t="n"/>
      <c r="AE23" s="6" t="n"/>
      <c r="AF23" s="6" t="n"/>
      <c r="AG23" s="6" t="n"/>
      <c r="AH23" s="6" t="n"/>
      <c r="AI23" s="6" t="n"/>
      <c r="AJ23" s="6" t="n"/>
    </row>
    <row r="24" ht="15.5" customHeight="1">
      <c r="A24" s="58" t="n"/>
      <c r="B24" s="58" t="n"/>
      <c r="C24" s="96" t="n"/>
      <c r="D24" s="97" t="n"/>
      <c r="E24" s="98" t="n"/>
      <c r="F24" s="98" t="n"/>
      <c r="G24" s="99" t="n"/>
      <c r="H24" s="97" t="n"/>
      <c r="I24" s="98" t="n"/>
      <c r="J24" s="98" t="n"/>
      <c r="K24" s="99" t="n"/>
      <c r="L24" s="97" t="n"/>
      <c r="M24" s="98" t="n"/>
      <c r="N24" s="98" t="n"/>
      <c r="O24" s="99" t="n"/>
      <c r="P24" s="34" t="n"/>
      <c r="Q24" s="6" t="n"/>
      <c r="R24" s="6" t="n"/>
      <c r="S24" s="6" t="n"/>
      <c r="T24" s="6" t="n"/>
      <c r="U24" s="6" t="n"/>
      <c r="V24" s="6" t="n"/>
      <c r="W24" s="6" t="n"/>
      <c r="X24" s="6" t="n"/>
      <c r="Y24" s="6" t="n"/>
      <c r="Z24" s="6" t="n"/>
      <c r="AA24" s="6" t="n"/>
      <c r="AB24" s="6" t="n"/>
      <c r="AC24" s="6" t="n"/>
      <c r="AD24" s="6" t="n"/>
      <c r="AE24" s="6" t="n"/>
      <c r="AF24" s="6" t="n"/>
      <c r="AG24" s="6" t="n"/>
      <c r="AH24" s="6" t="n"/>
      <c r="AI24" s="6" t="n"/>
      <c r="AJ24" s="6" t="n"/>
    </row>
    <row r="25" ht="15.5" customHeight="1">
      <c r="A25" s="58" t="n"/>
      <c r="B25" s="58" t="n"/>
      <c r="C25" s="96" t="n"/>
      <c r="D25" s="97" t="n"/>
      <c r="E25" s="98" t="n"/>
      <c r="F25" s="98" t="n"/>
      <c r="G25" s="99" t="n"/>
      <c r="H25" s="97" t="n"/>
      <c r="I25" s="98" t="n"/>
      <c r="J25" s="98" t="n"/>
      <c r="K25" s="99" t="n"/>
      <c r="L25" s="97" t="n"/>
      <c r="M25" s="98" t="n"/>
      <c r="N25" s="98" t="n"/>
      <c r="O25" s="99" t="n"/>
      <c r="P25" s="34" t="n"/>
      <c r="Q25" s="6" t="n"/>
      <c r="R25" s="6" t="n"/>
      <c r="S25" s="6" t="n"/>
      <c r="T25" s="6" t="n"/>
      <c r="U25" s="6" t="n"/>
      <c r="V25" s="6" t="n"/>
      <c r="W25" s="6" t="n"/>
      <c r="X25" s="6" t="n"/>
      <c r="Y25" s="6" t="n"/>
      <c r="Z25" s="6" t="n"/>
      <c r="AA25" s="6" t="n"/>
      <c r="AB25" s="6" t="n"/>
      <c r="AC25" s="6" t="n"/>
      <c r="AD25" s="6" t="n"/>
      <c r="AE25" s="6" t="n"/>
      <c r="AF25" s="6" t="n"/>
      <c r="AG25" s="6" t="n"/>
      <c r="AH25" s="6" t="n"/>
      <c r="AI25" s="6" t="n"/>
      <c r="AJ25" s="6" t="n"/>
    </row>
    <row r="26" ht="15.5" customHeight="1">
      <c r="A26" s="58" t="n"/>
      <c r="B26" s="58" t="n"/>
      <c r="C26" s="96" t="n"/>
      <c r="D26" s="97" t="n"/>
      <c r="E26" s="98" t="n"/>
      <c r="F26" s="98" t="n"/>
      <c r="G26" s="99" t="n"/>
      <c r="H26" s="97" t="n"/>
      <c r="I26" s="98" t="n"/>
      <c r="J26" s="98" t="n"/>
      <c r="K26" s="99" t="n"/>
      <c r="L26" s="97" t="n"/>
      <c r="M26" s="98" t="n"/>
      <c r="N26" s="98" t="n"/>
      <c r="O26" s="99" t="n"/>
      <c r="P26" s="34" t="n"/>
      <c r="Q26" s="6" t="n"/>
      <c r="R26" s="6" t="n"/>
      <c r="S26" s="6" t="n"/>
      <c r="T26" s="6" t="n"/>
      <c r="U26" s="6" t="n"/>
      <c r="V26" s="6" t="n"/>
      <c r="W26" s="6" t="n"/>
      <c r="X26" s="6" t="n"/>
      <c r="Y26" s="6" t="n"/>
      <c r="Z26" s="6" t="n"/>
      <c r="AA26" s="6" t="n"/>
      <c r="AB26" s="6" t="n"/>
      <c r="AC26" s="6" t="n"/>
      <c r="AD26" s="6" t="n"/>
      <c r="AE26" s="6" t="n"/>
      <c r="AF26" s="6" t="n"/>
      <c r="AG26" s="6" t="n"/>
      <c r="AH26" s="6" t="n"/>
      <c r="AI26" s="6" t="n"/>
      <c r="AJ26" s="6" t="n"/>
    </row>
    <row r="27" ht="15.5" customHeight="1">
      <c r="A27" s="58" t="n"/>
      <c r="B27" s="58" t="n"/>
      <c r="C27" s="96" t="n"/>
      <c r="D27" s="97" t="n"/>
      <c r="E27" s="98" t="n"/>
      <c r="F27" s="98" t="n"/>
      <c r="G27" s="99" t="n"/>
      <c r="H27" s="97" t="n"/>
      <c r="I27" s="98" t="n"/>
      <c r="J27" s="98" t="n"/>
      <c r="K27" s="99" t="n"/>
      <c r="L27" s="97" t="n"/>
      <c r="M27" s="98" t="n"/>
      <c r="N27" s="98" t="n"/>
      <c r="O27" s="99" t="n"/>
      <c r="P27" s="34" t="n"/>
      <c r="Q27" s="6" t="n"/>
      <c r="R27" s="6" t="n"/>
      <c r="S27" s="6" t="n"/>
      <c r="T27" s="6" t="n"/>
      <c r="U27" s="6" t="n"/>
      <c r="V27" s="6" t="n"/>
      <c r="W27" s="6" t="n"/>
      <c r="X27" s="6" t="n"/>
      <c r="Y27" s="6" t="n"/>
      <c r="Z27" s="6" t="n"/>
      <c r="AA27" s="6" t="n"/>
      <c r="AB27" s="6" t="n"/>
      <c r="AC27" s="6" t="n"/>
      <c r="AD27" s="6" t="n"/>
      <c r="AE27" s="6" t="n"/>
      <c r="AF27" s="6" t="n"/>
      <c r="AG27" s="6" t="n"/>
      <c r="AH27" s="6" t="n"/>
      <c r="AI27" s="6" t="n"/>
      <c r="AJ27" s="6" t="n"/>
    </row>
    <row r="28" ht="15.5" customHeight="1">
      <c r="A28" s="58" t="n"/>
      <c r="B28" s="58" t="n"/>
      <c r="C28" s="96" t="n"/>
      <c r="D28" s="97" t="n"/>
      <c r="E28" s="98" t="n"/>
      <c r="F28" s="98" t="n"/>
      <c r="G28" s="99" t="n"/>
      <c r="H28" s="97" t="n"/>
      <c r="I28" s="98" t="n"/>
      <c r="J28" s="98" t="n"/>
      <c r="K28" s="99" t="n"/>
      <c r="L28" s="97" t="n"/>
      <c r="M28" s="98" t="n"/>
      <c r="N28" s="98" t="n"/>
      <c r="O28" s="99" t="n"/>
      <c r="P28" s="34" t="n"/>
      <c r="Q28" s="6" t="n"/>
      <c r="R28" s="6" t="n"/>
      <c r="S28" s="6" t="n"/>
      <c r="T28" s="6" t="n"/>
      <c r="U28" s="6" t="n"/>
      <c r="V28" s="6" t="n"/>
      <c r="W28" s="6" t="n"/>
      <c r="X28" s="6" t="n"/>
      <c r="Y28" s="6" t="n"/>
      <c r="Z28" s="6" t="n"/>
      <c r="AA28" s="6" t="n"/>
      <c r="AB28" s="6" t="n"/>
      <c r="AC28" s="6" t="n"/>
      <c r="AD28" s="6" t="n"/>
      <c r="AE28" s="6" t="n"/>
      <c r="AF28" s="6" t="n"/>
      <c r="AG28" s="6" t="n"/>
      <c r="AH28" s="6" t="n"/>
      <c r="AI28" s="6" t="n"/>
      <c r="AJ28" s="6" t="n"/>
    </row>
    <row r="29" ht="15.5" customHeight="1">
      <c r="A29" s="58" t="n"/>
      <c r="B29" s="58" t="n"/>
      <c r="C29" s="96" t="n"/>
      <c r="D29" s="97" t="n"/>
      <c r="E29" s="98" t="n"/>
      <c r="F29" s="98" t="n"/>
      <c r="G29" s="99" t="n"/>
      <c r="H29" s="97" t="n"/>
      <c r="I29" s="98" t="n"/>
      <c r="J29" s="98" t="n"/>
      <c r="K29" s="99" t="n"/>
      <c r="L29" s="97" t="n"/>
      <c r="M29" s="98" t="n"/>
      <c r="N29" s="98" t="n"/>
      <c r="O29" s="99" t="n"/>
      <c r="P29" s="34" t="n"/>
      <c r="Q29" s="6" t="n"/>
      <c r="R29" s="6" t="n"/>
      <c r="S29" s="6" t="n"/>
      <c r="T29" s="6" t="n"/>
      <c r="U29" s="6" t="n"/>
      <c r="V29" s="6" t="n"/>
      <c r="W29" s="6" t="n"/>
      <c r="X29" s="6" t="n"/>
      <c r="Y29" s="6" t="n"/>
      <c r="Z29" s="6" t="n"/>
      <c r="AA29" s="6" t="n"/>
      <c r="AB29" s="6" t="n"/>
      <c r="AC29" s="6" t="n"/>
      <c r="AD29" s="6" t="n"/>
      <c r="AE29" s="6" t="n"/>
      <c r="AF29" s="6" t="n"/>
      <c r="AG29" s="6" t="n"/>
      <c r="AH29" s="6" t="n"/>
      <c r="AI29" s="6" t="n"/>
      <c r="AJ29" s="6" t="n"/>
    </row>
    <row r="30" ht="15.5" customHeight="1">
      <c r="A30" s="58" t="n"/>
      <c r="B30" s="58" t="n"/>
      <c r="C30" s="96" t="n"/>
      <c r="D30" s="97" t="n"/>
      <c r="E30" s="98" t="n"/>
      <c r="F30" s="98" t="n"/>
      <c r="G30" s="99" t="n"/>
      <c r="H30" s="97" t="n"/>
      <c r="I30" s="98" t="n"/>
      <c r="J30" s="98" t="n"/>
      <c r="K30" s="99" t="n"/>
      <c r="L30" s="97" t="n"/>
      <c r="M30" s="98" t="n"/>
      <c r="N30" s="98" t="n"/>
      <c r="O30" s="99" t="n"/>
      <c r="P30" s="34" t="n"/>
      <c r="Q30" s="6" t="n"/>
      <c r="R30" s="6" t="n"/>
      <c r="S30" s="6" t="n"/>
      <c r="T30" s="6" t="n"/>
      <c r="U30" s="6" t="n"/>
      <c r="V30" s="6" t="n"/>
      <c r="W30" s="6" t="n"/>
      <c r="X30" s="6" t="n"/>
      <c r="Y30" s="6" t="n"/>
      <c r="Z30" s="6" t="n"/>
      <c r="AA30" s="6" t="n"/>
      <c r="AB30" s="6" t="n"/>
      <c r="AC30" s="6" t="n"/>
      <c r="AD30" s="6" t="n"/>
      <c r="AE30" s="6" t="n"/>
      <c r="AF30" s="6" t="n"/>
      <c r="AG30" s="6" t="n"/>
      <c r="AH30" s="6" t="n"/>
      <c r="AI30" s="6" t="n"/>
      <c r="AJ30" s="6" t="n"/>
    </row>
    <row r="31" ht="15.5" customHeight="1">
      <c r="A31" s="58" t="n"/>
      <c r="B31" s="58" t="n"/>
      <c r="C31" s="96" t="n"/>
      <c r="D31" s="97" t="n"/>
      <c r="E31" s="98" t="n"/>
      <c r="F31" s="98" t="n"/>
      <c r="G31" s="99" t="n"/>
      <c r="H31" s="97" t="n"/>
      <c r="I31" s="98" t="n"/>
      <c r="J31" s="98" t="n"/>
      <c r="K31" s="99" t="n"/>
      <c r="L31" s="97" t="n"/>
      <c r="M31" s="98" t="n"/>
      <c r="N31" s="98" t="n"/>
      <c r="O31" s="99" t="n"/>
      <c r="P31" s="34" t="n"/>
      <c r="Q31" s="6" t="n"/>
      <c r="R31" s="6" t="n"/>
      <c r="S31" s="6" t="n"/>
      <c r="T31" s="6" t="n"/>
      <c r="U31" s="6" t="n"/>
      <c r="V31" s="6" t="n"/>
      <c r="W31" s="6" t="n"/>
      <c r="X31" s="6" t="n"/>
      <c r="Y31" s="6" t="n"/>
      <c r="Z31" s="6" t="n"/>
      <c r="AA31" s="6" t="n"/>
      <c r="AB31" s="6" t="n"/>
      <c r="AC31" s="6" t="n"/>
      <c r="AD31" s="6" t="n"/>
      <c r="AE31" s="6" t="n"/>
      <c r="AF31" s="6" t="n"/>
      <c r="AG31" s="6" t="n"/>
      <c r="AH31" s="6" t="n"/>
      <c r="AI31" s="6" t="n"/>
      <c r="AJ31" s="6" t="n"/>
    </row>
    <row r="32" ht="15.5" customHeight="1">
      <c r="A32" s="58" t="n"/>
      <c r="B32" s="58" t="n"/>
      <c r="C32" s="100" t="n"/>
      <c r="D32" s="97" t="n"/>
      <c r="E32" s="98" t="n"/>
      <c r="F32" s="98" t="n"/>
      <c r="G32" s="99" t="n"/>
      <c r="H32" s="97" t="n"/>
      <c r="I32" s="98" t="n"/>
      <c r="J32" s="98" t="n"/>
      <c r="K32" s="99" t="n"/>
      <c r="L32" s="97" t="n"/>
      <c r="M32" s="98" t="n"/>
      <c r="N32" s="98" t="n"/>
      <c r="O32" s="99" t="n"/>
      <c r="P32" s="36" t="n"/>
      <c r="Q32" s="6" t="n"/>
      <c r="R32" s="6" t="n"/>
      <c r="S32" s="6" t="n"/>
      <c r="T32" s="6" t="n"/>
      <c r="U32" s="6" t="n"/>
      <c r="V32" s="6" t="n"/>
      <c r="W32" s="6" t="n"/>
      <c r="X32" s="6" t="n"/>
      <c r="Y32" s="6" t="n"/>
      <c r="Z32" s="6" t="n"/>
      <c r="AA32" s="6" t="n"/>
      <c r="AB32" s="6" t="n"/>
      <c r="AC32" s="6" t="n"/>
      <c r="AD32" s="6" t="n"/>
      <c r="AE32" s="6" t="n"/>
      <c r="AF32" s="6" t="n"/>
      <c r="AG32" s="6" t="n"/>
      <c r="AH32" s="6" t="n"/>
      <c r="AI32" s="6" t="n"/>
      <c r="AJ32" s="6" t="n"/>
    </row>
    <row r="33" ht="15.5" customHeight="1">
      <c r="A33" s="58" t="n"/>
      <c r="B33" s="58" t="n"/>
      <c r="C33" s="58" t="n"/>
      <c r="D33" s="97" t="n"/>
      <c r="E33" s="98" t="n"/>
      <c r="F33" s="98" t="n"/>
      <c r="G33" s="99" t="n"/>
      <c r="H33" s="97" t="n"/>
      <c r="I33" s="98" t="n"/>
      <c r="J33" s="98" t="n"/>
      <c r="K33" s="99" t="n"/>
      <c r="L33" s="97" t="n"/>
      <c r="M33" s="98" t="n"/>
      <c r="N33" s="98" t="n"/>
      <c r="O33" s="99" t="n"/>
      <c r="P33" s="6" t="n"/>
      <c r="Q33" s="6" t="n"/>
      <c r="R33" s="6" t="n"/>
      <c r="S33" s="6" t="n"/>
      <c r="T33" s="6" t="n"/>
      <c r="U33" s="6" t="n"/>
      <c r="V33" s="6" t="n"/>
      <c r="W33" s="6" t="n"/>
      <c r="X33" s="6" t="n"/>
      <c r="Y33" s="6" t="n"/>
      <c r="Z33" s="6" t="n"/>
      <c r="AA33" s="6" t="n"/>
      <c r="AB33" s="6" t="n"/>
      <c r="AC33" s="6" t="n"/>
      <c r="AD33" s="6" t="n"/>
      <c r="AE33" s="6" t="n"/>
      <c r="AF33" s="6" t="n"/>
      <c r="AG33" s="6" t="n"/>
      <c r="AH33" s="6" t="n"/>
      <c r="AI33" s="6" t="n"/>
      <c r="AJ33" s="6" t="n"/>
    </row>
    <row r="34" ht="15.5" customHeight="1">
      <c r="A34" s="58" t="n"/>
      <c r="B34" s="58" t="n"/>
      <c r="C34" s="58" t="n"/>
      <c r="D34" s="97" t="n"/>
      <c r="E34" s="98" t="n"/>
      <c r="F34" s="98" t="n"/>
      <c r="G34" s="99" t="n"/>
      <c r="H34" s="97" t="n"/>
      <c r="I34" s="98" t="n"/>
      <c r="J34" s="98" t="n"/>
      <c r="K34" s="99" t="n"/>
      <c r="L34" s="97" t="n"/>
      <c r="M34" s="98" t="n"/>
      <c r="N34" s="98" t="n"/>
      <c r="O34" s="99" t="n"/>
      <c r="P34" s="6" t="n"/>
      <c r="Q34" s="6" t="n"/>
      <c r="R34" s="6" t="n"/>
      <c r="S34" s="6" t="n"/>
      <c r="T34" s="6" t="n"/>
      <c r="U34" s="6" t="n"/>
      <c r="V34" s="6" t="n"/>
      <c r="W34" s="6" t="n"/>
      <c r="X34" s="6" t="n"/>
      <c r="Y34" s="6" t="n"/>
      <c r="Z34" s="6" t="n"/>
      <c r="AA34" s="6" t="n"/>
      <c r="AB34" s="6" t="n"/>
      <c r="AC34" s="6" t="n"/>
      <c r="AD34" s="6" t="n"/>
      <c r="AE34" s="6" t="n"/>
      <c r="AF34" s="6" t="n"/>
      <c r="AG34" s="6" t="n"/>
      <c r="AH34" s="6" t="n"/>
      <c r="AI34" s="6" t="n"/>
      <c r="AJ34" s="6" t="n"/>
    </row>
    <row r="35" ht="15.5" customHeight="1">
      <c r="A35" s="58" t="n"/>
      <c r="B35" s="58" t="n"/>
      <c r="C35" s="58" t="n"/>
      <c r="D35" s="101" t="n"/>
      <c r="E35" s="102" t="n"/>
      <c r="F35" s="102" t="n"/>
      <c r="G35" s="103" t="n"/>
      <c r="H35" s="101" t="n"/>
      <c r="I35" s="102" t="n"/>
      <c r="J35" s="102" t="n"/>
      <c r="K35" s="103" t="n"/>
      <c r="L35" s="101" t="n"/>
      <c r="M35" s="102" t="n"/>
      <c r="N35" s="102" t="n"/>
      <c r="O35" s="103" t="n"/>
      <c r="P35" s="6" t="n"/>
      <c r="Q35" s="6" t="n"/>
      <c r="R35" s="6" t="n"/>
      <c r="S35" s="6" t="n"/>
      <c r="T35" s="6" t="n"/>
      <c r="U35" s="6" t="n"/>
      <c r="V35" s="6" t="n"/>
      <c r="W35" s="6" t="n"/>
      <c r="X35" s="6" t="n"/>
      <c r="Y35" s="6" t="n"/>
      <c r="Z35" s="6" t="n"/>
      <c r="AA35" s="6" t="n"/>
      <c r="AB35" s="6" t="n"/>
      <c r="AC35" s="6" t="n"/>
      <c r="AD35" s="6" t="n"/>
      <c r="AE35" s="6" t="n"/>
      <c r="AF35" s="6" t="n"/>
      <c r="AG35" s="6" t="n"/>
      <c r="AH35" s="6" t="n"/>
      <c r="AI35" s="6" t="n"/>
      <c r="AJ35" s="6" t="n"/>
    </row>
    <row r="36" ht="20" customHeight="1">
      <c r="A36" s="58" t="n"/>
      <c r="B36" s="58" t="n"/>
      <c r="C36" s="104" t="inlineStr">
        <is>
          <t>PORTEFEUILLE — MARQUE ET CAMPUS</t>
        </is>
      </c>
      <c r="D36" s="58" t="n"/>
      <c r="E36" s="58" t="n"/>
      <c r="F36" s="105" t="inlineStr">
        <is>
          <t>graisse et fond donnent le niveau · échelle de couleur = performance relative</t>
        </is>
      </c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6" t="n"/>
      <c r="Q36" s="6" t="n"/>
      <c r="R36" s="6" t="n"/>
      <c r="S36" s="6" t="n"/>
      <c r="T36" s="6" t="n"/>
      <c r="U36" s="6" t="n"/>
      <c r="V36" s="6" t="n"/>
      <c r="W36" s="6" t="n"/>
      <c r="X36" s="6" t="n"/>
      <c r="Y36" s="6" t="n"/>
      <c r="Z36" s="6" t="n"/>
      <c r="AA36" s="6" t="n"/>
      <c r="AB36" s="6" t="n"/>
      <c r="AC36" s="6" t="n"/>
      <c r="AD36" s="6" t="n"/>
      <c r="AE36" s="6" t="n"/>
      <c r="AF36" s="6" t="n"/>
      <c r="AG36" s="6" t="n"/>
      <c r="AH36" s="6" t="n"/>
      <c r="AI36" s="6" t="n"/>
      <c r="AJ36" s="6" t="n"/>
    </row>
    <row r="37" ht="17" customHeight="1">
      <c r="A37" s="58" t="n"/>
      <c r="B37" s="106" t="inlineStr">
        <is>
          <t>Niv.</t>
        </is>
      </c>
      <c r="C37" s="107" t="inlineStr">
        <is>
          <t>Entité</t>
        </is>
      </c>
      <c r="D37" s="108" t="inlineStr">
        <is>
          <t>CA</t>
        </is>
      </c>
      <c r="E37" s="108" t="inlineStr">
        <is>
          <t>Δ CA</t>
        </is>
      </c>
      <c r="F37" s="108" t="inlineStr">
        <is>
          <t>EBITDA</t>
        </is>
      </c>
      <c r="G37" s="108" t="inlineStr">
        <is>
          <t>Δ EBITDA</t>
        </is>
      </c>
      <c r="H37" s="108" t="inlineStr">
        <is>
          <t>Part EBITDA</t>
        </is>
      </c>
      <c r="I37" s="108" t="inlineStr">
        <is>
          <t>Marge EBITDA</t>
        </is>
      </c>
      <c r="J37" s="108" t="inlineStr">
        <is>
          <t>Δ Marge (pt)</t>
        </is>
      </c>
      <c r="K37" s="108" t="inlineStr">
        <is>
          <t>Inscrits</t>
        </is>
      </c>
      <c r="L37" s="108" t="inlineStr">
        <is>
          <t>Remplissage</t>
        </is>
      </c>
      <c r="M37" s="108" t="inlineStr">
        <is>
          <t>Mix alternance</t>
        </is>
      </c>
      <c r="N37" s="108" t="inlineStr">
        <is>
          <t>Effectifs</t>
        </is>
      </c>
      <c r="O37" s="108" t="inlineStr">
        <is>
          <t>Places</t>
        </is>
      </c>
      <c r="P37" s="6" t="inlineStr">
        <is>
          <t>EFFECTIFS_ALT</t>
        </is>
      </c>
      <c r="Q37" s="6" t="inlineStr">
        <is>
          <t>EBITDA_N1</t>
        </is>
      </c>
      <c r="R37" s="6" t="inlineStr">
        <is>
          <t>CA_N1</t>
        </is>
      </c>
      <c r="S37" s="6" t="inlineStr">
        <is>
          <t>SPEND_ACQ</t>
        </is>
      </c>
      <c r="T37" s="6" t="inlineStr">
        <is>
          <t>SPEND_ACQ_N1</t>
        </is>
      </c>
      <c r="U37" s="6" t="inlineStr">
        <is>
          <t>Marge EBTIDA N-1</t>
        </is>
      </c>
      <c r="V37" s="6" t="inlineStr">
        <is>
          <t>PLACES_N1</t>
        </is>
      </c>
      <c r="W37" s="6" t="inlineStr">
        <is>
          <t>INSCRITS_N1</t>
        </is>
      </c>
      <c r="X37" s="6" t="inlineStr">
        <is>
          <t>EFFECTIFS_N1</t>
        </is>
      </c>
      <c r="Y37" s="6" t="inlineStr">
        <is>
          <t>% nouveaux inscrits</t>
        </is>
      </c>
      <c r="Z37" s="6" t="n"/>
      <c r="AB37" s="6" t="n"/>
      <c r="AC37" s="6" t="n"/>
      <c r="AD37" s="6" t="n"/>
      <c r="AE37" s="6" t="n"/>
      <c r="AF37" s="6" t="n"/>
      <c r="AG37" s="6" t="n"/>
      <c r="AH37" s="6" t="n"/>
      <c r="AI37" s="6" t="n"/>
      <c r="AJ37" s="6" t="n"/>
    </row>
    <row r="38" ht="15.5" customHeight="1">
      <c r="A38" s="58" t="n"/>
      <c r="B38" s="109" t="n">
        <v>2</v>
      </c>
      <c r="C38" s="110" t="inlineStr">
        <is>
          <t>EDUSERVICES</t>
        </is>
      </c>
      <c r="D38" s="111">
        <f>SUBTOTAL(9,D39:D57)</f>
        <v/>
      </c>
      <c r="E38" s="123">
        <f>IFERROR((D38-R38)/R38,"")</f>
        <v/>
      </c>
      <c r="F38" s="111">
        <f>SUBTOTAL(9,F39:F57)</f>
        <v/>
      </c>
      <c r="G38" s="123">
        <f>IFERROR((F38-Q38)/Q38,"")</f>
        <v/>
      </c>
      <c r="H38" s="113">
        <f>SUBTOTAL(9,H39:H57)</f>
        <v/>
      </c>
      <c r="I38" s="113">
        <f>IFERROR(F38/D38,"")</f>
        <v/>
      </c>
      <c r="J38" s="124">
        <f>IFERROR((I38-U38)*100,"")</f>
        <v/>
      </c>
      <c r="K38" s="111">
        <f>SUBTOTAL(9,K39:K57)</f>
        <v/>
      </c>
      <c r="L38" s="113">
        <f>IFERROR(N38/O38,"")</f>
        <v/>
      </c>
      <c r="M38" s="113">
        <f>IFERROR(P38/N38,"")</f>
        <v/>
      </c>
      <c r="N38" s="115">
        <f>SUBTOTAL(9,N39:N57)</f>
        <v/>
      </c>
      <c r="O38" s="115">
        <f>SUBTOTAL(9,O39:O57)</f>
        <v/>
      </c>
      <c r="P38" s="6">
        <f>SUBTOTAL(9,P39:P57)</f>
        <v/>
      </c>
      <c r="Q38" s="6">
        <f>SUBTOTAL(9,Q39:Q57)</f>
        <v/>
      </c>
      <c r="R38" s="6">
        <f>SUBTOTAL(9,R39:R57)</f>
        <v/>
      </c>
      <c r="S38" s="6">
        <f>SUBTOTAL(9,S39:S57)</f>
        <v/>
      </c>
      <c r="T38" s="6">
        <f>SUBTOTAL(9,T39:T57)</f>
        <v/>
      </c>
      <c r="U38" s="6">
        <f>IFERROR(Q38/R38,"")</f>
        <v/>
      </c>
      <c r="V38" s="6">
        <f>SUBTOTAL(9,V39:V57)</f>
        <v/>
      </c>
      <c r="W38" s="6">
        <f>SUBTOTAL(9,W39:W57)</f>
        <v/>
      </c>
      <c r="X38" s="6">
        <f>SUBTOTAL(9,X39:X57)</f>
        <v/>
      </c>
      <c r="Y38" s="6">
        <f>IFERROR((K38-W38)/W38,"")</f>
        <v/>
      </c>
      <c r="Z38" s="6">
        <f>IFERROR((S38-R38)/R38,"")</f>
        <v/>
      </c>
      <c r="AB38" s="6" t="n"/>
      <c r="AC38" s="6" t="n"/>
      <c r="AD38" s="6" t="n"/>
      <c r="AE38" s="6" t="n"/>
      <c r="AF38" s="6" t="n"/>
      <c r="AG38" s="6" t="n"/>
      <c r="AH38" s="6" t="n"/>
      <c r="AI38" s="6" t="n"/>
      <c r="AJ38" s="6" t="n"/>
    </row>
    <row r="39" ht="15.5" customHeight="1">
      <c r="A39" s="58" t="n"/>
      <c r="B39" s="116" t="n">
        <v>3</v>
      </c>
      <c r="C39" s="110" t="inlineStr">
        <is>
          <t>Ipac Bachelor Factory</t>
        </is>
      </c>
      <c r="D39" s="111">
        <f>SUBTOTAL(9,D40:D42)</f>
        <v/>
      </c>
      <c r="E39" s="123">
        <f>IFERROR((D39-R39)/R39,"")</f>
        <v/>
      </c>
      <c r="F39" s="111">
        <f>SUBTOTAL(9,F40:F42)</f>
        <v/>
      </c>
      <c r="G39" s="123">
        <f>IFERROR((F39-Q39)/Q39,"")</f>
        <v/>
      </c>
      <c r="H39" s="113">
        <f>SUBTOTAL(9,H40:H42)</f>
        <v/>
      </c>
      <c r="I39" s="113">
        <f>IFERROR(F39/D39,"")</f>
        <v/>
      </c>
      <c r="J39" s="124">
        <f>IFERROR((I39-U39)*100,"")</f>
        <v/>
      </c>
      <c r="K39" s="111">
        <f>SUBTOTAL(9,K40:K42)</f>
        <v/>
      </c>
      <c r="L39" s="113">
        <f>IFERROR(N39/O39,"")</f>
        <v/>
      </c>
      <c r="M39" s="113">
        <f>IFERROR(P39/N39,"")</f>
        <v/>
      </c>
      <c r="N39" s="111">
        <f>SUBTOTAL(9,N40:N42)</f>
        <v/>
      </c>
      <c r="O39" s="111">
        <f>SUBTOTAL(9,O40:O42)</f>
        <v/>
      </c>
      <c r="P39">
        <f>SUBTOTAL(9,P40:P42)</f>
        <v/>
      </c>
      <c r="Q39" s="6">
        <f>SUBTOTAL(9,Q40:Q42)</f>
        <v/>
      </c>
      <c r="R39" s="6">
        <f>SUBTOTAL(9,R40:R42)</f>
        <v/>
      </c>
      <c r="S39" s="6">
        <f>SUBTOTAL(9,S40:S42)</f>
        <v/>
      </c>
      <c r="T39" s="6">
        <f>SUBTOTAL(9,T40:T42)</f>
        <v/>
      </c>
      <c r="U39" s="6">
        <f>IFERROR(Q39/R39,"")</f>
        <v/>
      </c>
      <c r="V39" s="6">
        <f>SUBTOTAL(9,V40:V42)</f>
        <v/>
      </c>
      <c r="W39" s="6">
        <f>SUBTOTAL(9,W40:W42)</f>
        <v/>
      </c>
      <c r="X39" s="6">
        <f>SUBTOTAL(9,X40:X42)</f>
        <v/>
      </c>
      <c r="Y39" s="6">
        <f>IFERROR((K39-W39)/W39,"")</f>
        <v/>
      </c>
      <c r="Z39" s="6" t="n"/>
      <c r="AA39" s="6" t="n"/>
      <c r="AB39" s="6" t="n"/>
      <c r="AC39" s="6" t="n"/>
      <c r="AD39" s="6" t="n"/>
      <c r="AE39" s="6" t="n"/>
      <c r="AF39" s="6" t="n"/>
      <c r="AG39" s="6" t="n"/>
      <c r="AH39" s="6" t="n"/>
      <c r="AI39" s="6" t="n"/>
      <c r="AJ39" s="6" t="n"/>
    </row>
    <row r="40" ht="15.5" customHeight="1">
      <c r="A40" s="58" t="n"/>
      <c r="B40" s="116" t="n">
        <v>4</v>
      </c>
      <c r="C40" s="110" t="inlineStr">
        <is>
          <t>Ipac Bachelor Factory Montpellier</t>
        </is>
      </c>
      <c r="D40" s="111" t="n">
        <v>781650</v>
      </c>
      <c r="E40" s="123">
        <f>IFERROR((D40-R40)/R40,"")</f>
        <v/>
      </c>
      <c r="F40" s="111" t="n">
        <v>107889.5143840583</v>
      </c>
      <c r="G40" s="123">
        <f>IFERROR((F40-Q40)/Q40,"")</f>
        <v/>
      </c>
      <c r="H40" s="113" t="n">
        <v>0.02805392756846294</v>
      </c>
      <c r="I40" s="113">
        <f>IFERROR(F40/D40,"")</f>
        <v/>
      </c>
      <c r="J40" s="124">
        <f>IFERROR((I40-U40)*100,"")</f>
        <v/>
      </c>
      <c r="K40" s="111" t="n">
        <v>40</v>
      </c>
      <c r="L40" s="113">
        <f>IFERROR(N40/O40,"")</f>
        <v/>
      </c>
      <c r="M40" s="113">
        <f>IFERROR(P40/N40,"")</f>
        <v/>
      </c>
      <c r="N40" s="111" t="n">
        <v>117</v>
      </c>
      <c r="O40" s="111" t="n">
        <v>192</v>
      </c>
      <c r="P40" t="n">
        <v>117</v>
      </c>
      <c r="Q40" s="6" t="n">
        <v>93787.6752579684</v>
      </c>
      <c r="R40" s="6" t="n">
        <v>741570</v>
      </c>
      <c r="S40" s="6" t="n">
        <v>15178</v>
      </c>
      <c r="T40" s="6" t="n">
        <v>13798</v>
      </c>
      <c r="U40" s="6">
        <f>IFERROR(Q40/R40,"")</f>
        <v/>
      </c>
      <c r="V40" s="6" t="n">
        <v>192</v>
      </c>
      <c r="W40" s="6" t="n">
        <v>38</v>
      </c>
      <c r="X40" s="6" t="n">
        <v>111</v>
      </c>
      <c r="Y40" s="6">
        <f>IFERROR((K40-W40)/W40,"")</f>
        <v/>
      </c>
      <c r="Z40" s="6" t="n"/>
      <c r="AA40" s="6" t="n"/>
      <c r="AB40" s="6" t="n"/>
      <c r="AC40" s="6" t="n"/>
      <c r="AD40" s="6" t="n"/>
      <c r="AE40" s="6" t="n"/>
      <c r="AF40" s="6" t="n"/>
      <c r="AG40" s="6" t="n"/>
      <c r="AH40" s="6" t="n"/>
      <c r="AI40" s="6" t="n"/>
      <c r="AJ40" s="6" t="n"/>
    </row>
    <row r="41" ht="15.5" customHeight="1">
      <c r="A41" s="58" t="n"/>
      <c r="B41" s="116" t="n">
        <v>4</v>
      </c>
      <c r="C41" s="110" t="inlineStr">
        <is>
          <t>Ipac Bachelor Factory Nantes</t>
        </is>
      </c>
      <c r="D41" s="111" t="n">
        <v>1019500</v>
      </c>
      <c r="E41" s="123">
        <f>IFERROR((D41-R41)/R41,"")</f>
        <v/>
      </c>
      <c r="F41" s="111" t="n">
        <v>149897.0666309475</v>
      </c>
      <c r="G41" s="123">
        <f>IFERROR((F41-Q41)/Q41,"")</f>
        <v/>
      </c>
      <c r="H41" s="113" t="n">
        <v>0.03897692443975834</v>
      </c>
      <c r="I41" s="113">
        <f>IFERROR(F41/D41,"")</f>
        <v/>
      </c>
      <c r="J41" s="124">
        <f>IFERROR((I41-U41)*100,"")</f>
        <v/>
      </c>
      <c r="K41" s="111" t="n">
        <v>50</v>
      </c>
      <c r="L41" s="113">
        <f>IFERROR(N41/O41,"")</f>
        <v/>
      </c>
      <c r="M41" s="113">
        <f>IFERROR(P41/N41,"")</f>
        <v/>
      </c>
      <c r="N41" s="111" t="n">
        <v>145</v>
      </c>
      <c r="O41" s="111" t="n">
        <v>192</v>
      </c>
      <c r="P41" t="n">
        <v>145</v>
      </c>
      <c r="Q41" s="6" t="n">
        <v>129574.6177060797</v>
      </c>
      <c r="R41" s="6" t="n">
        <v>956230</v>
      </c>
      <c r="S41" s="6" t="n">
        <v>21760</v>
      </c>
      <c r="T41" s="6" t="n">
        <v>19782</v>
      </c>
      <c r="U41" s="6">
        <f>IFERROR(Q41/R41,"")</f>
        <v/>
      </c>
      <c r="V41" s="6" t="n">
        <v>192</v>
      </c>
      <c r="W41" s="6" t="n">
        <v>47</v>
      </c>
      <c r="X41" s="6" t="n">
        <v>136</v>
      </c>
      <c r="Y41" s="6">
        <f>IFERROR((K41-W41)/W41,"")</f>
        <v/>
      </c>
      <c r="Z41" s="6" t="n"/>
      <c r="AA41" s="6" t="n"/>
      <c r="AB41" s="6" t="n"/>
      <c r="AC41" s="6" t="n"/>
      <c r="AD41" s="6" t="n"/>
      <c r="AE41" s="6" t="n"/>
      <c r="AF41" s="6" t="n"/>
      <c r="AG41" s="6" t="n"/>
      <c r="AH41" s="6" t="n"/>
      <c r="AI41" s="6" t="n"/>
      <c r="AJ41" s="6" t="n"/>
    </row>
    <row r="42" ht="15.5" customHeight="1">
      <c r="A42" s="58" t="n"/>
      <c r="B42" s="116" t="n">
        <v>4</v>
      </c>
      <c r="C42" s="110" t="inlineStr">
        <is>
          <t>Ipac Bachelor Factory Rennes</t>
        </is>
      </c>
      <c r="D42" s="111" t="n">
        <v>781650</v>
      </c>
      <c r="E42" s="123">
        <f>IFERROR((D42-R42)/R42,"")</f>
        <v/>
      </c>
      <c r="F42" s="111" t="n">
        <v>107889.5143840584</v>
      </c>
      <c r="G42" s="123">
        <f>IFERROR((F42-Q42)/Q42,"")</f>
        <v/>
      </c>
      <c r="H42" s="113" t="n">
        <v>0.02805392756846295</v>
      </c>
      <c r="I42" s="113">
        <f>IFERROR(F42/D42,"")</f>
        <v/>
      </c>
      <c r="J42" s="124">
        <f>IFERROR((I42-U42)*100,"")</f>
        <v/>
      </c>
      <c r="K42" s="111" t="n">
        <v>40</v>
      </c>
      <c r="L42" s="113">
        <f>IFERROR(N42/O42,"")</f>
        <v/>
      </c>
      <c r="M42" s="113">
        <f>IFERROR(P42/N42,"")</f>
        <v/>
      </c>
      <c r="N42" s="111" t="n">
        <v>117</v>
      </c>
      <c r="O42" s="111" t="n">
        <v>192</v>
      </c>
      <c r="P42" t="n">
        <v>117</v>
      </c>
      <c r="Q42" s="6" t="n">
        <v>93787.65525796849</v>
      </c>
      <c r="R42" s="6" t="n">
        <v>741570</v>
      </c>
      <c r="S42" s="6" t="n">
        <v>14933</v>
      </c>
      <c r="T42" s="6" t="n">
        <v>13575</v>
      </c>
      <c r="U42" s="6">
        <f>IFERROR(Q42/R42,"")</f>
        <v/>
      </c>
      <c r="V42" s="6" t="n">
        <v>192</v>
      </c>
      <c r="W42" s="6" t="n">
        <v>38</v>
      </c>
      <c r="X42" s="6" t="n">
        <v>111</v>
      </c>
      <c r="Y42" s="6">
        <f>IFERROR((K42-W42)/W42,"")</f>
        <v/>
      </c>
      <c r="Z42" s="6" t="n"/>
      <c r="AA42" s="6" t="n"/>
      <c r="AB42" s="6" t="n"/>
      <c r="AC42" s="6" t="n"/>
      <c r="AD42" s="6" t="n"/>
      <c r="AE42" s="6" t="n"/>
      <c r="AF42" s="6" t="n"/>
      <c r="AG42" s="6" t="n"/>
      <c r="AH42" s="6" t="n"/>
      <c r="AI42" s="6" t="n"/>
      <c r="AJ42" s="6" t="n"/>
    </row>
    <row r="43" ht="15.5" customHeight="1">
      <c r="A43" s="58" t="n"/>
      <c r="B43" s="116" t="n">
        <v>3</v>
      </c>
      <c r="C43" s="110" t="inlineStr">
        <is>
          <t>ISCOM</t>
        </is>
      </c>
      <c r="D43" s="111">
        <f>SUBTOTAL(9,D44:D46)</f>
        <v/>
      </c>
      <c r="E43" s="123">
        <f>IFERROR((D43-R43)/R43,"")</f>
        <v/>
      </c>
      <c r="F43" s="111">
        <f>SUBTOTAL(9,F44:F46)</f>
        <v/>
      </c>
      <c r="G43" s="123">
        <f>IFERROR((F43-Q43)/Q43,"")</f>
        <v/>
      </c>
      <c r="H43" s="113">
        <f>SUBTOTAL(9,H44:H46)</f>
        <v/>
      </c>
      <c r="I43" s="113">
        <f>IFERROR(F43/D43,"")</f>
        <v/>
      </c>
      <c r="J43" s="124">
        <f>IFERROR((I43-U43)*100,"")</f>
        <v/>
      </c>
      <c r="K43" s="111">
        <f>SUBTOTAL(9,K44:K46)</f>
        <v/>
      </c>
      <c r="L43" s="113">
        <f>IFERROR(N43/O43,"")</f>
        <v/>
      </c>
      <c r="M43" s="113">
        <f>IFERROR(P43/N43,"")</f>
        <v/>
      </c>
      <c r="N43" s="111">
        <f>SUBTOTAL(9,N44:N46)</f>
        <v/>
      </c>
      <c r="O43" s="111">
        <f>SUBTOTAL(9,O44:O46)</f>
        <v/>
      </c>
      <c r="P43">
        <f>SUBTOTAL(9,P44:P46)</f>
        <v/>
      </c>
      <c r="Q43" s="6">
        <f>SUBTOTAL(9,Q44:Q46)</f>
        <v/>
      </c>
      <c r="R43" s="6">
        <f>SUBTOTAL(9,R44:R46)</f>
        <v/>
      </c>
      <c r="S43" s="6">
        <f>SUBTOTAL(9,S44:S46)</f>
        <v/>
      </c>
      <c r="T43" s="6">
        <f>SUBTOTAL(9,T44:T46)</f>
        <v/>
      </c>
      <c r="U43" s="6">
        <f>IFERROR(Q43/R43,"")</f>
        <v/>
      </c>
      <c r="V43" s="6">
        <f>SUBTOTAL(9,V44:V46)</f>
        <v/>
      </c>
      <c r="W43" s="6">
        <f>SUBTOTAL(9,W44:W46)</f>
        <v/>
      </c>
      <c r="X43" s="6">
        <f>SUBTOTAL(9,X44:X46)</f>
        <v/>
      </c>
      <c r="Y43" s="6">
        <f>IFERROR((K43-W43)/W43,"")</f>
        <v/>
      </c>
      <c r="Z43" s="6" t="n"/>
      <c r="AA43" s="6" t="n"/>
      <c r="AB43" s="6" t="n"/>
      <c r="AC43" s="6" t="n"/>
      <c r="AD43" s="6" t="n"/>
      <c r="AE43" s="6" t="n"/>
      <c r="AF43" s="6" t="n"/>
      <c r="AG43" s="6" t="n"/>
      <c r="AH43" s="6" t="n"/>
      <c r="AI43" s="6" t="n"/>
      <c r="AJ43" s="6" t="n"/>
    </row>
    <row r="44" ht="15.5" customHeight="1">
      <c r="A44" s="58" t="n"/>
      <c r="B44" s="116" t="n">
        <v>4</v>
      </c>
      <c r="C44" s="110" t="inlineStr">
        <is>
          <t>ISCOM Lille</t>
        </is>
      </c>
      <c r="D44" s="111" t="n">
        <v>1755850</v>
      </c>
      <c r="E44" s="123">
        <f>IFERROR((D44-R44)/R44,"")</f>
        <v/>
      </c>
      <c r="F44" s="111" t="n">
        <v>289769.8853997011</v>
      </c>
      <c r="G44" s="123">
        <f>IFERROR((F44-Q44)/Q44,"")</f>
        <v/>
      </c>
      <c r="H44" s="113" t="n">
        <v>0.07534729786239711</v>
      </c>
      <c r="I44" s="113">
        <f>IFERROR(F44/D44,"")</f>
        <v/>
      </c>
      <c r="J44" s="124">
        <f>IFERROR((I44-U44)*100,"")</f>
        <v/>
      </c>
      <c r="K44" s="111" t="n">
        <v>100</v>
      </c>
      <c r="L44" s="113">
        <f>IFERROR(N44/O44,"")</f>
        <v/>
      </c>
      <c r="M44" s="113">
        <f>IFERROR(P44/N44,"")</f>
        <v/>
      </c>
      <c r="N44" s="111" t="n">
        <v>244</v>
      </c>
      <c r="O44" s="111" t="n">
        <v>296</v>
      </c>
      <c r="P44" t="n">
        <v>194</v>
      </c>
      <c r="Q44" s="6" t="n">
        <v>259701.0360466878</v>
      </c>
      <c r="R44" s="6" t="n">
        <v>1648000</v>
      </c>
      <c r="S44" s="6" t="n">
        <v>25220</v>
      </c>
      <c r="T44" s="6" t="n">
        <v>22927</v>
      </c>
      <c r="U44" s="6">
        <f>IFERROR(Q44/R44,"")</f>
        <v/>
      </c>
      <c r="V44" s="6" t="n">
        <v>296</v>
      </c>
      <c r="W44" s="6" t="n">
        <v>94</v>
      </c>
      <c r="X44" s="6" t="n">
        <v>229</v>
      </c>
      <c r="Y44" s="6">
        <f>IFERROR((K44-W44)/W44,"")</f>
        <v/>
      </c>
      <c r="Z44" s="6" t="n"/>
      <c r="AA44" s="6" t="n"/>
      <c r="AB44" s="6" t="n"/>
      <c r="AC44" s="6" t="n"/>
      <c r="AD44" s="6" t="n"/>
      <c r="AE44" s="6" t="n"/>
      <c r="AF44" s="6" t="n"/>
      <c r="AG44" s="6" t="n"/>
      <c r="AH44" s="6" t="n"/>
      <c r="AI44" s="6" t="n"/>
      <c r="AJ44" s="6" t="n"/>
    </row>
    <row r="45" ht="15.5" customHeight="1">
      <c r="A45" s="58" t="n"/>
      <c r="B45" s="116" t="n">
        <v>4</v>
      </c>
      <c r="C45" s="110" t="inlineStr">
        <is>
          <t>ISCOM Paris</t>
        </is>
      </c>
      <c r="D45" s="111" t="n">
        <v>2908720</v>
      </c>
      <c r="E45" s="123">
        <f>IFERROR((D45-R45)/R45,"")</f>
        <v/>
      </c>
      <c r="F45" s="111" t="n">
        <v>526578.7433247521</v>
      </c>
      <c r="G45" s="123">
        <f>IFERROR((F45-Q45)/Q45,"")</f>
        <v/>
      </c>
      <c r="H45" s="113" t="n">
        <v>0.1369234258645214</v>
      </c>
      <c r="I45" s="113">
        <f>IFERROR(F45/D45,"")</f>
        <v/>
      </c>
      <c r="J45" s="124">
        <f>IFERROR((I45-U45)*100,"")</f>
        <v/>
      </c>
      <c r="K45" s="111" t="n">
        <v>144</v>
      </c>
      <c r="L45" s="113">
        <f>IFERROR(N45/O45,"")</f>
        <v/>
      </c>
      <c r="M45" s="113">
        <f>IFERROR(P45/N45,"")</f>
        <v/>
      </c>
      <c r="N45" s="111" t="n">
        <v>354</v>
      </c>
      <c r="O45" s="111" t="n">
        <v>444</v>
      </c>
      <c r="P45" t="n">
        <v>282</v>
      </c>
      <c r="Q45" s="6" t="n">
        <v>476567.0659048968</v>
      </c>
      <c r="R45" s="6" t="n">
        <v>2744480</v>
      </c>
      <c r="S45" s="6" t="n">
        <v>60800</v>
      </c>
      <c r="T45" s="6" t="n">
        <v>55272</v>
      </c>
      <c r="U45" s="6">
        <f>IFERROR(Q45/R45,"")</f>
        <v/>
      </c>
      <c r="V45" s="6" t="n">
        <v>444</v>
      </c>
      <c r="W45" s="6" t="n">
        <v>136</v>
      </c>
      <c r="X45" s="6" t="n">
        <v>334</v>
      </c>
      <c r="Y45" s="6">
        <f>IFERROR((K45-W45)/W45,"")</f>
        <v/>
      </c>
      <c r="Z45" s="6" t="n"/>
      <c r="AA45" s="6" t="n"/>
      <c r="AB45" s="6" t="n"/>
      <c r="AC45" s="6" t="n"/>
      <c r="AD45" s="6" t="n"/>
      <c r="AE45" s="6" t="n"/>
      <c r="AF45" s="6" t="n"/>
      <c r="AG45" s="6" t="n"/>
      <c r="AH45" s="6" t="n"/>
      <c r="AI45" s="6" t="n"/>
      <c r="AJ45" s="6" t="n"/>
    </row>
    <row r="46" ht="15.5" customHeight="1">
      <c r="A46" s="58" t="n"/>
      <c r="B46" s="116" t="n">
        <v>4</v>
      </c>
      <c r="C46" s="110" t="inlineStr">
        <is>
          <t>ISCOM Toulouse</t>
        </is>
      </c>
      <c r="D46" s="111" t="n">
        <v>1627980</v>
      </c>
      <c r="E46" s="123">
        <f>IFERROR((D46-R46)/R46,"")</f>
        <v/>
      </c>
      <c r="F46" s="111" t="n">
        <v>263782.8106467934</v>
      </c>
      <c r="G46" s="123">
        <f>IFERROR((F46-Q46)/Q46,"")</f>
        <v/>
      </c>
      <c r="H46" s="113" t="n">
        <v>0.0685900192056491</v>
      </c>
      <c r="I46" s="113">
        <f>IFERROR(F46/D46,"")</f>
        <v/>
      </c>
      <c r="J46" s="124">
        <f>IFERROR((I46-U46)*100,"")</f>
        <v/>
      </c>
      <c r="K46" s="111" t="n">
        <v>94</v>
      </c>
      <c r="L46" s="113">
        <f>IFERROR(N46/O46,"")</f>
        <v/>
      </c>
      <c r="M46" s="113">
        <f>IFERROR(P46/N46,"")</f>
        <v/>
      </c>
      <c r="N46" s="111" t="n">
        <v>231</v>
      </c>
      <c r="O46" s="111" t="n">
        <v>296</v>
      </c>
      <c r="P46" t="n">
        <v>184</v>
      </c>
      <c r="Q46" s="6" t="n">
        <v>235311.9739125325</v>
      </c>
      <c r="R46" s="6" t="n">
        <v>1522320</v>
      </c>
      <c r="S46" s="6" t="n">
        <v>22083</v>
      </c>
      <c r="T46" s="6" t="n">
        <v>20076</v>
      </c>
      <c r="U46" s="6">
        <f>IFERROR(Q46/R46,"")</f>
        <v/>
      </c>
      <c r="V46" s="6" t="n">
        <v>296</v>
      </c>
      <c r="W46" s="6" t="n">
        <v>88</v>
      </c>
      <c r="X46" s="6" t="n">
        <v>216</v>
      </c>
      <c r="Y46" s="6">
        <f>IFERROR((K46-W46)/W46,"")</f>
        <v/>
      </c>
      <c r="Z46" s="6" t="n"/>
      <c r="AA46" s="6" t="n"/>
      <c r="AB46" s="6" t="n"/>
      <c r="AC46" s="6" t="n"/>
      <c r="AD46" s="6" t="n"/>
      <c r="AE46" s="6" t="n"/>
      <c r="AF46" s="6" t="n"/>
      <c r="AG46" s="6" t="n"/>
      <c r="AH46" s="6" t="n"/>
      <c r="AI46" s="6" t="n"/>
      <c r="AJ46" s="6" t="n"/>
    </row>
    <row r="47" ht="15.5" customHeight="1">
      <c r="A47" s="58" t="n"/>
      <c r="B47" s="116" t="n">
        <v>3</v>
      </c>
      <c r="C47" s="110" t="inlineStr">
        <is>
          <t>MBway</t>
        </is>
      </c>
      <c r="D47" s="111">
        <f>SUBTOTAL(9,D48:D51)</f>
        <v/>
      </c>
      <c r="E47" s="123">
        <f>IFERROR((D47-R47)/R47,"")</f>
        <v/>
      </c>
      <c r="F47" s="111">
        <f>SUBTOTAL(9,F48:F51)</f>
        <v/>
      </c>
      <c r="G47" s="123">
        <f>IFERROR((F47-Q47)/Q47,"")</f>
        <v/>
      </c>
      <c r="H47" s="113">
        <f>SUBTOTAL(9,H48:H51)</f>
        <v/>
      </c>
      <c r="I47" s="113">
        <f>IFERROR(F47/D47,"")</f>
        <v/>
      </c>
      <c r="J47" s="124">
        <f>IFERROR((I47-U47)*100,"")</f>
        <v/>
      </c>
      <c r="K47" s="111">
        <f>SUBTOTAL(9,K48:K51)</f>
        <v/>
      </c>
      <c r="L47" s="113">
        <f>IFERROR(N47/O47,"")</f>
        <v/>
      </c>
      <c r="M47" s="113">
        <f>IFERROR(P47/N47,"")</f>
        <v/>
      </c>
      <c r="N47" s="111">
        <f>SUBTOTAL(9,N48:N51)</f>
        <v/>
      </c>
      <c r="O47" s="111">
        <f>SUBTOTAL(9,O48:O51)</f>
        <v/>
      </c>
      <c r="P47">
        <f>SUBTOTAL(9,P48:P51)</f>
        <v/>
      </c>
      <c r="Q47" s="6">
        <f>SUBTOTAL(9,Q48:Q51)</f>
        <v/>
      </c>
      <c r="R47" s="6">
        <f>SUBTOTAL(9,R48:R51)</f>
        <v/>
      </c>
      <c r="S47" s="6">
        <f>SUBTOTAL(9,S48:S51)</f>
        <v/>
      </c>
      <c r="T47" s="6">
        <f>SUBTOTAL(9,T48:T51)</f>
        <v/>
      </c>
      <c r="U47" s="6">
        <f>IFERROR(Q47/R47,"")</f>
        <v/>
      </c>
      <c r="V47" s="6">
        <f>SUBTOTAL(9,V48:V51)</f>
        <v/>
      </c>
      <c r="W47" s="6">
        <f>SUBTOTAL(9,W48:W51)</f>
        <v/>
      </c>
      <c r="X47" s="6">
        <f>SUBTOTAL(9,X48:X51)</f>
        <v/>
      </c>
      <c r="Y47" s="6">
        <f>IFERROR((K47-W47)/W47,"")</f>
        <v/>
      </c>
      <c r="Z47" s="6" t="n"/>
      <c r="AA47" s="6" t="n"/>
      <c r="AB47" s="6" t="n"/>
      <c r="AC47" s="6" t="n"/>
      <c r="AD47" s="6" t="n"/>
      <c r="AE47" s="6" t="n"/>
      <c r="AF47" s="6" t="n"/>
      <c r="AG47" s="6" t="n"/>
      <c r="AH47" s="6" t="n"/>
      <c r="AI47" s="6" t="n"/>
      <c r="AJ47" s="6" t="n"/>
    </row>
    <row r="48" ht="15.5" customHeight="1">
      <c r="A48" s="58" t="n"/>
      <c r="B48" s="116" t="n">
        <v>4</v>
      </c>
      <c r="C48" s="110" t="inlineStr">
        <is>
          <t>MBway Bordeaux</t>
        </is>
      </c>
      <c r="D48" s="111" t="n">
        <v>1773610</v>
      </c>
      <c r="E48" s="123">
        <f>IFERROR((D48-R48)/R48,"")</f>
        <v/>
      </c>
      <c r="F48" s="111" t="n">
        <v>305134.8680963339</v>
      </c>
      <c r="G48" s="123">
        <f>IFERROR((F48-Q48)/Q48,"")</f>
        <v/>
      </c>
      <c r="H48" s="113" t="n">
        <v>0.0793425713060017</v>
      </c>
      <c r="I48" s="113">
        <f>IFERROR(F48/D48,"")</f>
        <v/>
      </c>
      <c r="J48" s="124">
        <f>IFERROR((I48-U48)*100,"")</f>
        <v/>
      </c>
      <c r="K48" s="111" t="n">
        <v>102</v>
      </c>
      <c r="L48" s="113">
        <f>IFERROR(N48/O48,"")</f>
        <v/>
      </c>
      <c r="M48" s="113">
        <f>IFERROR(P48/N48,"")</f>
        <v/>
      </c>
      <c r="N48" s="111" t="n">
        <v>249</v>
      </c>
      <c r="O48" s="111" t="n">
        <v>296</v>
      </c>
      <c r="P48" t="n">
        <v>198</v>
      </c>
      <c r="Q48" s="6" t="n">
        <v>271052.9921819164</v>
      </c>
      <c r="R48" s="6" t="n">
        <v>1666855</v>
      </c>
      <c r="S48" s="6" t="n">
        <v>24923</v>
      </c>
      <c r="T48" s="6" t="n">
        <v>22657</v>
      </c>
      <c r="U48" s="6">
        <f>IFERROR(Q48/R48,"")</f>
        <v/>
      </c>
      <c r="V48" s="6" t="n">
        <v>296</v>
      </c>
      <c r="W48" s="6" t="n">
        <v>96</v>
      </c>
      <c r="X48" s="6" t="n">
        <v>234</v>
      </c>
      <c r="Y48" s="6">
        <f>IFERROR((K48-W48)/W48,"")</f>
        <v/>
      </c>
      <c r="Z48" s="6" t="n"/>
      <c r="AA48" s="6" t="n"/>
      <c r="AB48" s="6" t="n"/>
      <c r="AC48" s="6" t="n"/>
      <c r="AD48" s="6" t="n"/>
      <c r="AE48" s="6" t="n"/>
      <c r="AF48" s="6" t="n"/>
      <c r="AG48" s="6" t="n"/>
      <c r="AH48" s="6" t="n"/>
      <c r="AI48" s="6" t="n"/>
      <c r="AJ48" s="6" t="n"/>
    </row>
    <row r="49" ht="15.5" customHeight="1">
      <c r="A49" s="58" t="n"/>
      <c r="B49" s="116" t="n">
        <v>4</v>
      </c>
      <c r="C49" s="110" t="inlineStr">
        <is>
          <t>MBway Lyon</t>
        </is>
      </c>
      <c r="D49" s="111" t="n">
        <v>2496705</v>
      </c>
      <c r="E49" s="123">
        <f>IFERROR((D49-R49)/R49,"")</f>
        <v/>
      </c>
      <c r="F49" s="111" t="n">
        <v>456973.1810179077</v>
      </c>
      <c r="G49" s="123">
        <f>IFERROR((F49-Q49)/Q49,"")</f>
        <v/>
      </c>
      <c r="H49" s="113" t="n">
        <v>0.1188242675314214</v>
      </c>
      <c r="I49" s="113">
        <f>IFERROR(F49/D49,"")</f>
        <v/>
      </c>
      <c r="J49" s="124">
        <f>IFERROR((I49-U49)*100,"")</f>
        <v/>
      </c>
      <c r="K49" s="111" t="n">
        <v>132</v>
      </c>
      <c r="L49" s="113">
        <f>IFERROR(N49/O49,"")</f>
        <v/>
      </c>
      <c r="M49" s="113">
        <f>IFERROR(P49/N49,"")</f>
        <v/>
      </c>
      <c r="N49" s="111" t="n">
        <v>324</v>
      </c>
      <c r="O49" s="111" t="n">
        <v>380</v>
      </c>
      <c r="P49" t="n">
        <v>258</v>
      </c>
      <c r="Q49" s="6" t="n">
        <v>406786.7749326563</v>
      </c>
      <c r="R49" s="6" t="n">
        <v>2342685</v>
      </c>
      <c r="S49" s="6" t="n">
        <v>41783</v>
      </c>
      <c r="T49" s="6" t="n">
        <v>37985</v>
      </c>
      <c r="U49" s="6">
        <f>IFERROR(Q49/R49,"")</f>
        <v/>
      </c>
      <c r="V49" s="6" t="n">
        <v>380</v>
      </c>
      <c r="W49" s="6" t="n">
        <v>124</v>
      </c>
      <c r="X49" s="6" t="n">
        <v>304</v>
      </c>
      <c r="Y49" s="6">
        <f>IFERROR((K49-W49)/W49,"")</f>
        <v/>
      </c>
      <c r="Z49" s="6" t="n"/>
      <c r="AA49" s="6" t="n"/>
      <c r="AB49" s="6" t="n"/>
      <c r="AC49" s="6" t="n"/>
      <c r="AD49" s="6" t="n"/>
      <c r="AE49" s="6" t="n"/>
      <c r="AF49" s="6" t="n"/>
      <c r="AG49" s="6" t="n"/>
      <c r="AH49" s="6" t="n"/>
      <c r="AI49" s="6" t="n"/>
      <c r="AJ49" s="6" t="n"/>
    </row>
    <row r="50" ht="15.5" customHeight="1">
      <c r="A50" s="58" t="n"/>
      <c r="B50" s="116" t="n">
        <v>4</v>
      </c>
      <c r="C50" s="110" t="inlineStr">
        <is>
          <t>MBway Nantes</t>
        </is>
      </c>
      <c r="D50" s="111" t="n">
        <v>2158300</v>
      </c>
      <c r="E50" s="123">
        <f>IFERROR((D50-R50)/R50,"")</f>
        <v/>
      </c>
      <c r="F50" s="111" t="n">
        <v>384269.8718500021</v>
      </c>
      <c r="G50" s="123">
        <f>IFERROR((F50-Q50)/Q50,"")</f>
        <v/>
      </c>
      <c r="H50" s="113" t="n">
        <v>0.09991961881714967</v>
      </c>
      <c r="I50" s="113">
        <f>IFERROR(F50/D50,"")</f>
        <v/>
      </c>
      <c r="J50" s="124">
        <f>IFERROR((I50-U50)*100,"")</f>
        <v/>
      </c>
      <c r="K50" s="111" t="n">
        <v>120</v>
      </c>
      <c r="L50" s="113">
        <f>IFERROR(N50/O50,"")</f>
        <v/>
      </c>
      <c r="M50" s="113">
        <f>IFERROR(P50/N50,"")</f>
        <v/>
      </c>
      <c r="N50" s="111" t="n">
        <v>294</v>
      </c>
      <c r="O50" s="111" t="n">
        <v>348</v>
      </c>
      <c r="P50" t="n">
        <v>234</v>
      </c>
      <c r="Q50" s="6" t="n">
        <v>345409.9935984532</v>
      </c>
      <c r="R50" s="6" t="n">
        <v>2048260</v>
      </c>
      <c r="S50" s="6" t="n">
        <v>31533</v>
      </c>
      <c r="T50" s="6" t="n">
        <v>28666</v>
      </c>
      <c r="U50" s="6">
        <f>IFERROR(Q50/R50,"")</f>
        <v/>
      </c>
      <c r="V50" s="6" t="n">
        <v>348</v>
      </c>
      <c r="W50" s="6" t="n">
        <v>114</v>
      </c>
      <c r="X50" s="6" t="n">
        <v>279</v>
      </c>
      <c r="Y50" s="6">
        <f>IFERROR((K50-W50)/W50,"")</f>
        <v/>
      </c>
      <c r="Z50" s="6" t="n"/>
      <c r="AA50" s="6" t="n"/>
      <c r="AB50" s="6" t="n"/>
      <c r="AC50" s="6" t="n"/>
      <c r="AD50" s="6" t="n"/>
      <c r="AE50" s="6" t="n"/>
      <c r="AF50" s="6" t="n"/>
      <c r="AG50" s="6" t="n"/>
      <c r="AH50" s="6" t="n"/>
      <c r="AI50" s="6" t="n"/>
      <c r="AJ50" s="6" t="n"/>
    </row>
    <row r="51" ht="15.5" customHeight="1">
      <c r="A51" s="58" t="n"/>
      <c r="B51" s="116" t="n">
        <v>4</v>
      </c>
      <c r="C51" s="110" t="inlineStr">
        <is>
          <t>MBway Paris</t>
        </is>
      </c>
      <c r="D51" s="111" t="n">
        <v>3138840</v>
      </c>
      <c r="E51" s="123">
        <f>IFERROR((D51-R51)/R51,"")</f>
        <v/>
      </c>
      <c r="F51" s="111" t="n">
        <v>599620.1394084045</v>
      </c>
      <c r="G51" s="123">
        <f>IFERROR((F51-Q51)/Q51,"")</f>
        <v/>
      </c>
      <c r="H51" s="113" t="n">
        <v>0.1559159854930313</v>
      </c>
      <c r="I51" s="113">
        <f>IFERROR(F51/D51,"")</f>
        <v/>
      </c>
      <c r="J51" s="124">
        <f>IFERROR((I51-U51)*100,"")</f>
        <v/>
      </c>
      <c r="K51" s="111" t="n">
        <v>156</v>
      </c>
      <c r="L51" s="113">
        <f>IFERROR(N51/O51,"")</f>
        <v/>
      </c>
      <c r="M51" s="113">
        <f>IFERROR(P51/N51,"")</f>
        <v/>
      </c>
      <c r="N51" s="111" t="n">
        <v>382</v>
      </c>
      <c r="O51" s="111" t="n">
        <v>444</v>
      </c>
      <c r="P51" t="n">
        <v>304</v>
      </c>
      <c r="Q51" s="6" t="n">
        <v>540400.0259642038</v>
      </c>
      <c r="R51" s="6" t="n">
        <v>2974600</v>
      </c>
      <c r="S51" s="6" t="n">
        <v>68291</v>
      </c>
      <c r="T51" s="6" t="n">
        <v>62082</v>
      </c>
      <c r="U51" s="6">
        <f>IFERROR(Q51/R51,"")</f>
        <v/>
      </c>
      <c r="V51" s="6" t="n">
        <v>444</v>
      </c>
      <c r="W51" s="6" t="n">
        <v>148</v>
      </c>
      <c r="X51" s="6" t="n">
        <v>362</v>
      </c>
      <c r="Y51" s="6">
        <f>IFERROR((K51-W51)/W51,"")</f>
        <v/>
      </c>
      <c r="Z51" s="6" t="n"/>
      <c r="AA51" s="6" t="n"/>
      <c r="AB51" s="6" t="n"/>
      <c r="AC51" s="6" t="n"/>
      <c r="AD51" s="6" t="n"/>
      <c r="AE51" s="6" t="n"/>
      <c r="AF51" s="6" t="n"/>
      <c r="AG51" s="6" t="n"/>
      <c r="AH51" s="6" t="n"/>
      <c r="AI51" s="6" t="n"/>
      <c r="AJ51" s="6" t="n"/>
    </row>
    <row r="52" ht="15.5" customHeight="1">
      <c r="A52" s="58" t="n"/>
      <c r="B52" s="116" t="n">
        <v>3</v>
      </c>
      <c r="C52" s="110" t="inlineStr">
        <is>
          <t>Pigier</t>
        </is>
      </c>
      <c r="D52" s="111">
        <f>SUBTOTAL(9,D53:D54)</f>
        <v/>
      </c>
      <c r="E52" s="123">
        <f>IFERROR((D52-R52)/R52,"")</f>
        <v/>
      </c>
      <c r="F52" s="111">
        <f>SUBTOTAL(9,F53:F54)</f>
        <v/>
      </c>
      <c r="G52" s="123">
        <f>IFERROR((F52-Q52)/Q52,"")</f>
        <v/>
      </c>
      <c r="H52" s="113">
        <f>SUBTOTAL(9,H53:H54)</f>
        <v/>
      </c>
      <c r="I52" s="113">
        <f>IFERROR(F52/D52,"")</f>
        <v/>
      </c>
      <c r="J52" s="124">
        <f>IFERROR((I52-U52)*100,"")</f>
        <v/>
      </c>
      <c r="K52" s="111">
        <f>SUBTOTAL(9,K53:K54)</f>
        <v/>
      </c>
      <c r="L52" s="113">
        <f>IFERROR(N52/O52,"")</f>
        <v/>
      </c>
      <c r="M52" s="113">
        <f>IFERROR(P52/N52,"")</f>
        <v/>
      </c>
      <c r="N52" s="111">
        <f>SUBTOTAL(9,N53:N54)</f>
        <v/>
      </c>
      <c r="O52" s="111">
        <f>SUBTOTAL(9,O53:O54)</f>
        <v/>
      </c>
      <c r="P52">
        <f>SUBTOTAL(9,P53:P54)</f>
        <v/>
      </c>
      <c r="Q52" s="6">
        <f>SUBTOTAL(9,Q53:Q54)</f>
        <v/>
      </c>
      <c r="R52" s="6">
        <f>SUBTOTAL(9,R53:R54)</f>
        <v/>
      </c>
      <c r="S52" s="6">
        <f>SUBTOTAL(9,S53:S54)</f>
        <v/>
      </c>
      <c r="T52" s="6">
        <f>SUBTOTAL(9,T53:T54)</f>
        <v/>
      </c>
      <c r="U52" s="6">
        <f>IFERROR(Q52/R52,"")</f>
        <v/>
      </c>
      <c r="V52" s="6">
        <f>SUBTOTAL(9,V53:V54)</f>
        <v/>
      </c>
      <c r="W52" s="6">
        <f>SUBTOTAL(9,W53:W54)</f>
        <v/>
      </c>
      <c r="X52" s="6">
        <f>SUBTOTAL(9,X53:X54)</f>
        <v/>
      </c>
      <c r="Y52" s="6">
        <f>IFERROR((K52-W52)/W52,"")</f>
        <v/>
      </c>
      <c r="Z52" s="6" t="n"/>
      <c r="AA52" s="6" t="n"/>
      <c r="AB52" s="6" t="n"/>
      <c r="AC52" s="6" t="n"/>
      <c r="AD52" s="6" t="n"/>
      <c r="AE52" s="6" t="n"/>
      <c r="AF52" s="6" t="n"/>
      <c r="AG52" s="6" t="n"/>
      <c r="AH52" s="6" t="n"/>
      <c r="AI52" s="6" t="n"/>
      <c r="AJ52" s="6" t="n"/>
    </row>
    <row r="53" ht="15.5" customHeight="1">
      <c r="A53" s="58" t="n"/>
      <c r="B53" s="116" t="n">
        <v>4</v>
      </c>
      <c r="C53" s="110" t="inlineStr">
        <is>
          <t>Pigier Bordeaux</t>
        </is>
      </c>
      <c r="D53" s="111" t="n">
        <v>1132650</v>
      </c>
      <c r="E53" s="123">
        <f>IFERROR((D53-R53)/R53,"")</f>
        <v/>
      </c>
      <c r="F53" s="111" t="n">
        <v>232241.7859651666</v>
      </c>
      <c r="G53" s="123">
        <f>IFERROR((F53-Q53)/Q53,"")</f>
        <v/>
      </c>
      <c r="H53" s="113" t="n">
        <v>0.06038857695331281</v>
      </c>
      <c r="I53" s="113">
        <f>IFERROR(F53/D53,"")</f>
        <v/>
      </c>
      <c r="J53" s="124">
        <f>IFERROR((I53-U53)*100,"")</f>
        <v/>
      </c>
      <c r="K53" s="111" t="n">
        <v>72</v>
      </c>
      <c r="L53" s="113">
        <f>IFERROR(N53/O53,"")</f>
        <v/>
      </c>
      <c r="M53" s="113">
        <f>IFERROR(P53/N53,"")</f>
        <v/>
      </c>
      <c r="N53" s="111" t="n">
        <v>176</v>
      </c>
      <c r="O53" s="111" t="n">
        <v>312</v>
      </c>
      <c r="P53" t="n">
        <v>176</v>
      </c>
      <c r="Q53" s="6" t="n">
        <v>211238.6140005465</v>
      </c>
      <c r="R53" s="6" t="n">
        <v>1068270</v>
      </c>
      <c r="S53" s="6" t="n">
        <v>21968</v>
      </c>
      <c r="T53" s="6" t="n">
        <v>19971</v>
      </c>
      <c r="U53" s="6">
        <f>IFERROR(Q53/R53,"")</f>
        <v/>
      </c>
      <c r="V53" s="6" t="n">
        <v>312</v>
      </c>
      <c r="W53" s="6" t="n">
        <v>68</v>
      </c>
      <c r="X53" s="6" t="n">
        <v>166</v>
      </c>
      <c r="Y53" s="6">
        <f>IFERROR((K53-W53)/W53,"")</f>
        <v/>
      </c>
      <c r="Z53" s="6" t="n"/>
      <c r="AA53" s="6" t="n"/>
      <c r="AB53" s="6" t="n"/>
      <c r="AC53" s="6" t="n"/>
      <c r="AD53" s="6" t="n"/>
      <c r="AE53" s="6" t="n"/>
      <c r="AF53" s="6" t="n"/>
      <c r="AG53" s="6" t="n"/>
      <c r="AH53" s="6" t="n"/>
      <c r="AI53" s="6" t="n"/>
      <c r="AJ53" s="6" t="n"/>
    </row>
    <row r="54" ht="15.5" customHeight="1">
      <c r="A54" s="58" t="n"/>
      <c r="B54" s="116" t="n">
        <v>4</v>
      </c>
      <c r="C54" s="110" t="inlineStr">
        <is>
          <t>Pigier Lyon</t>
        </is>
      </c>
      <c r="D54" s="111" t="n">
        <v>1573830</v>
      </c>
      <c r="E54" s="123">
        <f>IFERROR((D54-R54)/R54,"")</f>
        <v/>
      </c>
      <c r="F54" s="111" t="n">
        <v>340017.5004984176</v>
      </c>
      <c r="G54" s="123">
        <f>IFERROR((F54-Q54)/Q54,"")</f>
        <v/>
      </c>
      <c r="H54" s="113" t="n">
        <v>0.08841291376135685</v>
      </c>
      <c r="I54" s="113">
        <f>IFERROR(F54/D54,"")</f>
        <v/>
      </c>
      <c r="J54" s="124">
        <f>IFERROR((I54-U54)*100,"")</f>
        <v/>
      </c>
      <c r="K54" s="111" t="n">
        <v>92</v>
      </c>
      <c r="L54" s="113">
        <f>IFERROR(N54/O54,"")</f>
        <v/>
      </c>
      <c r="M54" s="113">
        <f>IFERROR(P54/N54,"")</f>
        <v/>
      </c>
      <c r="N54" s="111" t="n">
        <v>226</v>
      </c>
      <c r="O54" s="111" t="n">
        <v>312</v>
      </c>
      <c r="P54" t="n">
        <v>226</v>
      </c>
      <c r="Q54" s="6" t="n">
        <v>306768.3514923886</v>
      </c>
      <c r="R54" s="6" t="n">
        <v>1469340</v>
      </c>
      <c r="S54" s="6" t="n">
        <v>36612</v>
      </c>
      <c r="T54" s="6" t="n">
        <v>33284</v>
      </c>
      <c r="U54" s="6">
        <f>IFERROR(Q54/R54,"")</f>
        <v/>
      </c>
      <c r="V54" s="6" t="n">
        <v>312</v>
      </c>
      <c r="W54" s="6" t="n">
        <v>86</v>
      </c>
      <c r="X54" s="6" t="n">
        <v>211</v>
      </c>
      <c r="Y54" s="6">
        <f>IFERROR((K54-W54)/W54,"")</f>
        <v/>
      </c>
      <c r="Z54" s="6" t="n"/>
      <c r="AA54" s="6" t="n"/>
      <c r="AB54" s="6" t="n"/>
      <c r="AC54" s="6" t="n"/>
      <c r="AD54" s="6" t="n"/>
      <c r="AE54" s="6" t="n"/>
      <c r="AF54" s="6" t="n"/>
      <c r="AG54" s="6" t="n"/>
      <c r="AH54" s="6" t="n"/>
      <c r="AI54" s="6" t="n"/>
      <c r="AJ54" s="6" t="n"/>
    </row>
    <row r="55" ht="15.5" customHeight="1">
      <c r="A55" s="58" t="n"/>
      <c r="B55" s="116" t="n">
        <v>3</v>
      </c>
      <c r="C55" s="110" t="inlineStr">
        <is>
          <t>Tunon</t>
        </is>
      </c>
      <c r="D55" s="111">
        <f>SUBTOTAL(9,D56:D57)</f>
        <v/>
      </c>
      <c r="E55" s="123">
        <f>IFERROR((D55-R55)/R55,"")</f>
        <v/>
      </c>
      <c r="F55" s="111">
        <f>SUBTOTAL(9,F56:F57)</f>
        <v/>
      </c>
      <c r="G55" s="123">
        <f>IFERROR((F55-Q55)/Q55,"")</f>
        <v/>
      </c>
      <c r="H55" s="113">
        <f>SUBTOTAL(9,H56:H57)</f>
        <v/>
      </c>
      <c r="I55" s="113">
        <f>IFERROR(F55/D55,"")</f>
        <v/>
      </c>
      <c r="J55" s="124">
        <f>IFERROR((I55-U55)*100,"")</f>
        <v/>
      </c>
      <c r="K55" s="111">
        <f>SUBTOTAL(9,K56:K57)</f>
        <v/>
      </c>
      <c r="L55" s="113">
        <f>IFERROR(N55/O55,"")</f>
        <v/>
      </c>
      <c r="M55" s="113">
        <f>IFERROR(P55/N55,"")</f>
        <v/>
      </c>
      <c r="N55" s="111">
        <f>SUBTOTAL(9,N56:N57)</f>
        <v/>
      </c>
      <c r="O55" s="111">
        <f>SUBTOTAL(9,O56:O57)</f>
        <v/>
      </c>
      <c r="P55">
        <f>SUBTOTAL(9,P56:P57)</f>
        <v/>
      </c>
      <c r="Q55" s="6">
        <f>SUBTOTAL(9,Q56:Q57)</f>
        <v/>
      </c>
      <c r="R55" s="6">
        <f>SUBTOTAL(9,R56:R57)</f>
        <v/>
      </c>
      <c r="S55" s="6">
        <f>SUBTOTAL(9,S56:S57)</f>
        <v/>
      </c>
      <c r="T55" s="6">
        <f>SUBTOTAL(9,T56:T57)</f>
        <v/>
      </c>
      <c r="U55" s="6">
        <f>IFERROR(Q55/R55,"")</f>
        <v/>
      </c>
      <c r="V55" s="6">
        <f>SUBTOTAL(9,V56:V57)</f>
        <v/>
      </c>
      <c r="W55" s="6">
        <f>SUBTOTAL(9,W56:W57)</f>
        <v/>
      </c>
      <c r="X55" s="6">
        <f>SUBTOTAL(9,X56:X57)</f>
        <v/>
      </c>
      <c r="Y55" s="6">
        <f>IFERROR((K55-W55)/W55,"")</f>
        <v/>
      </c>
      <c r="Z55" s="6" t="n"/>
      <c r="AA55" s="6" t="n"/>
      <c r="AB55" s="6" t="n"/>
      <c r="AC55" s="6" t="n"/>
      <c r="AD55" s="6" t="n"/>
      <c r="AE55" s="6" t="n"/>
      <c r="AF55" s="6" t="n"/>
      <c r="AG55" s="6" t="n"/>
      <c r="AH55" s="6" t="n"/>
      <c r="AI55" s="6" t="n"/>
      <c r="AJ55" s="6" t="n"/>
    </row>
    <row r="56" ht="15.5" customHeight="1">
      <c r="A56" s="58" t="n"/>
      <c r="B56" s="116" t="n">
        <v>4</v>
      </c>
      <c r="C56" s="110" t="inlineStr">
        <is>
          <t>Tunon Lyon</t>
        </is>
      </c>
      <c r="D56" s="111" t="n">
        <v>863550</v>
      </c>
      <c r="E56" s="123">
        <f>IFERROR((D56-R56)/R56,"")</f>
        <v/>
      </c>
      <c r="F56" s="111" t="n">
        <v>32829.34196884636</v>
      </c>
      <c r="G56" s="123">
        <f>IFERROR((F56-Q56)/Q56,"")</f>
        <v/>
      </c>
      <c r="H56" s="113" t="n">
        <v>0.008536436436592222</v>
      </c>
      <c r="I56" s="113">
        <f>IFERROR(F56/D56,"")</f>
        <v/>
      </c>
      <c r="J56" s="124">
        <f>IFERROR((I56-U56)*100,"")</f>
        <v/>
      </c>
      <c r="K56" s="111" t="n">
        <v>40</v>
      </c>
      <c r="L56" s="113">
        <f>IFERROR(N56/O56,"")</f>
        <v/>
      </c>
      <c r="M56" s="113">
        <f>IFERROR(P56/N56,"")</f>
        <v/>
      </c>
      <c r="N56" s="111" t="n">
        <v>117</v>
      </c>
      <c r="O56" s="111" t="n">
        <v>192</v>
      </c>
      <c r="P56" t="n">
        <v>117</v>
      </c>
      <c r="Q56" s="6" t="n">
        <v>40301.88030074014</v>
      </c>
      <c r="R56" s="6" t="n">
        <v>819270</v>
      </c>
      <c r="S56" s="6" t="n">
        <v>18850</v>
      </c>
      <c r="T56" s="6" t="n">
        <v>17136</v>
      </c>
      <c r="U56" s="6">
        <f>IFERROR(Q56/R56,"")</f>
        <v/>
      </c>
      <c r="V56" s="6" t="n">
        <v>192</v>
      </c>
      <c r="W56" s="6" t="n">
        <v>38</v>
      </c>
      <c r="X56" s="6" t="n">
        <v>111</v>
      </c>
      <c r="Y56" s="6">
        <f>IFERROR((K56-W56)/W56,"")</f>
        <v/>
      </c>
      <c r="Z56" s="6" t="n"/>
      <c r="AA56" s="6" t="n"/>
      <c r="AB56" s="6" t="n"/>
      <c r="AC56" s="6" t="n"/>
      <c r="AD56" s="6" t="n"/>
      <c r="AE56" s="6" t="n"/>
      <c r="AF56" s="6" t="n"/>
      <c r="AG56" s="6" t="n"/>
      <c r="AH56" s="6" t="n"/>
      <c r="AI56" s="6" t="n"/>
      <c r="AJ56" s="6" t="n"/>
    </row>
    <row r="57" ht="15.5" customHeight="1">
      <c r="A57" s="58" t="n"/>
      <c r="B57" s="116" t="n">
        <v>4</v>
      </c>
      <c r="C57" s="110" t="inlineStr">
        <is>
          <t>Tunon Paris</t>
        </is>
      </c>
      <c r="D57" s="111" t="n">
        <v>1086150</v>
      </c>
      <c r="E57" s="123">
        <f>IFERROR((D57-R57)/R57,"")</f>
        <v/>
      </c>
      <c r="F57" s="111" t="n">
        <v>48895.78642460998</v>
      </c>
      <c r="G57" s="123">
        <f>IFERROR((F57-Q57)/Q57,"")</f>
        <v/>
      </c>
      <c r="H57" s="113" t="n">
        <v>0.01271410719188227</v>
      </c>
      <c r="I57" s="113">
        <f>IFERROR(F57/D57,"")</f>
        <v/>
      </c>
      <c r="J57" s="124">
        <f>IFERROR((I57-U57)*100,"")</f>
        <v/>
      </c>
      <c r="K57" s="111" t="n">
        <v>47</v>
      </c>
      <c r="L57" s="113">
        <f>IFERROR(N57/O57,"")</f>
        <v/>
      </c>
      <c r="M57" s="113">
        <f>IFERROR(P57/N57,"")</f>
        <v/>
      </c>
      <c r="N57" s="111" t="n">
        <v>138</v>
      </c>
      <c r="O57" s="111" t="n">
        <v>192</v>
      </c>
      <c r="P57" t="n">
        <v>138</v>
      </c>
      <c r="Q57" s="6" t="n">
        <v>57079.30344296087</v>
      </c>
      <c r="R57" s="6" t="n">
        <v>1015320</v>
      </c>
      <c r="S57" s="6" t="n">
        <v>30240</v>
      </c>
      <c r="T57" s="6" t="n">
        <v>27491</v>
      </c>
      <c r="U57" s="6">
        <f>IFERROR(Q57/R57,"")</f>
        <v/>
      </c>
      <c r="V57" s="6" t="n">
        <v>192</v>
      </c>
      <c r="W57" s="6" t="n">
        <v>44</v>
      </c>
      <c r="X57" s="6" t="n">
        <v>129</v>
      </c>
      <c r="Y57" s="6">
        <f>IFERROR((K57-W57)/W57,"")</f>
        <v/>
      </c>
      <c r="Z57" s="6" t="n"/>
      <c r="AA57" s="6" t="n"/>
      <c r="AB57" s="6" t="n"/>
      <c r="AC57" s="6" t="n"/>
      <c r="AD57" s="6" t="n"/>
      <c r="AE57" s="6" t="n"/>
      <c r="AF57" s="6" t="n"/>
      <c r="AG57" s="6" t="n"/>
      <c r="AH57" s="6" t="n"/>
      <c r="AI57" s="6" t="n"/>
      <c r="AJ57" s="6" t="n"/>
    </row>
    <row r="58">
      <c r="A58" s="58" t="n"/>
      <c r="B58" s="117" t="n"/>
      <c r="C58" s="118" t="n"/>
      <c r="D58" s="111" t="n"/>
      <c r="E58" s="123" t="n"/>
      <c r="F58" s="111" t="n"/>
      <c r="G58" s="123" t="n"/>
      <c r="H58" s="113" t="n"/>
      <c r="I58" s="113" t="n"/>
      <c r="J58" s="124" t="n"/>
      <c r="K58" s="111" t="n"/>
      <c r="L58" s="113" t="n"/>
      <c r="M58" s="113" t="n"/>
      <c r="N58" s="111" t="n"/>
      <c r="O58" s="111" t="n"/>
      <c r="P58" s="6" t="n"/>
      <c r="Q58" s="6" t="n"/>
      <c r="R58" s="6" t="n"/>
      <c r="S58" s="6" t="n"/>
      <c r="T58" s="6" t="n"/>
      <c r="U58" s="6" t="n"/>
      <c r="V58" s="6" t="n"/>
      <c r="W58" s="6" t="n"/>
      <c r="X58" s="6" t="n"/>
      <c r="Y58" s="6" t="n"/>
      <c r="Z58" s="6" t="n"/>
      <c r="AA58" s="6" t="n"/>
      <c r="AB58" s="6" t="n"/>
      <c r="AC58" s="6" t="n"/>
      <c r="AD58" s="6" t="n"/>
      <c r="AE58" s="6" t="n"/>
      <c r="AF58" s="6" t="n"/>
      <c r="AG58" s="6" t="n"/>
      <c r="AH58" s="6" t="n"/>
      <c r="AI58" s="6" t="n"/>
      <c r="AJ58" s="6" t="n"/>
    </row>
    <row r="59">
      <c r="A59" s="58" t="n"/>
      <c r="B59" s="117" t="n"/>
      <c r="C59" s="119" t="inlineStr">
        <is>
          <t>Source : V_ALLOCATION et AW_002_000002_000001. Marges et indices divisés après somme, jamais moyennés.</t>
        </is>
      </c>
      <c r="D59" s="111" t="n"/>
      <c r="E59" s="123" t="n"/>
      <c r="F59" s="111" t="n"/>
      <c r="G59" s="123" t="n"/>
      <c r="H59" s="113" t="n"/>
      <c r="I59" s="113" t="n"/>
      <c r="J59" s="124" t="n"/>
      <c r="K59" s="111" t="n"/>
      <c r="L59" s="113" t="n"/>
      <c r="M59" s="113" t="n"/>
      <c r="N59" s="111" t="n"/>
      <c r="O59" s="111" t="n"/>
      <c r="P59" s="6" t="n"/>
      <c r="Q59" s="6" t="n"/>
      <c r="R59" s="6" t="n"/>
      <c r="S59" s="6" t="n"/>
      <c r="T59" s="6" t="n"/>
      <c r="U59" s="6" t="n"/>
      <c r="V59" s="6" t="n"/>
      <c r="W59" s="6" t="n"/>
      <c r="X59" s="6" t="n"/>
      <c r="Y59" s="6" t="n"/>
      <c r="Z59" s="6" t="n"/>
      <c r="AA59" s="6" t="n"/>
      <c r="AB59" s="6" t="n"/>
      <c r="AC59" s="6" t="n"/>
      <c r="AD59" s="6" t="n"/>
      <c r="AE59" s="6" t="n"/>
      <c r="AF59" s="6" t="n"/>
      <c r="AG59" s="6" t="n"/>
      <c r="AH59" s="6" t="n"/>
      <c r="AI59" s="6" t="n"/>
      <c r="AJ59" s="6" t="n"/>
    </row>
    <row r="60">
      <c r="A60" s="58" t="n"/>
      <c r="B60" s="117" t="n"/>
      <c r="C60" s="118" t="n"/>
      <c r="D60" s="111" t="n"/>
      <c r="E60" s="123" t="n"/>
      <c r="F60" s="111" t="n"/>
      <c r="G60" s="123" t="n"/>
      <c r="H60" s="113" t="n"/>
      <c r="I60" s="113" t="n"/>
      <c r="J60" s="124" t="n"/>
      <c r="K60" s="111" t="n"/>
      <c r="L60" s="113" t="n"/>
      <c r="M60" s="113" t="n"/>
      <c r="N60" s="111" t="n"/>
      <c r="O60" s="111" t="n"/>
      <c r="P60" s="6" t="n"/>
      <c r="Q60" s="6" t="n"/>
      <c r="R60" s="6" t="n"/>
      <c r="S60" s="6" t="n"/>
      <c r="T60" s="6" t="n"/>
      <c r="U60" s="6" t="n"/>
      <c r="V60" s="6" t="n"/>
      <c r="W60" s="6" t="n"/>
      <c r="X60" s="6" t="n"/>
      <c r="Y60" s="6" t="n"/>
      <c r="Z60" s="6" t="n"/>
      <c r="AA60" s="6" t="n"/>
      <c r="AB60" s="6" t="n"/>
      <c r="AC60" s="6" t="n"/>
      <c r="AD60" s="6" t="n"/>
      <c r="AE60" s="6" t="n"/>
      <c r="AF60" s="6" t="n"/>
      <c r="AG60" s="6" t="n"/>
      <c r="AH60" s="6" t="n"/>
      <c r="AI60" s="6" t="n"/>
      <c r="AJ60" s="6" t="n"/>
    </row>
    <row r="61">
      <c r="A61" s="58" t="n"/>
      <c r="B61" s="117" t="n"/>
      <c r="C61" s="118" t="n"/>
      <c r="D61" s="111" t="n"/>
      <c r="E61" s="123" t="n"/>
      <c r="F61" s="111" t="n"/>
      <c r="G61" s="123" t="n"/>
      <c r="H61" s="113" t="n"/>
      <c r="I61" s="113" t="n"/>
      <c r="J61" s="124" t="n"/>
      <c r="K61" s="111" t="n"/>
      <c r="L61" s="113" t="n"/>
      <c r="M61" s="113" t="n"/>
      <c r="N61" s="111" t="n"/>
      <c r="O61" s="111" t="n"/>
      <c r="P61" s="6" t="n"/>
      <c r="Q61" s="6" t="n"/>
      <c r="R61" s="6" t="n"/>
      <c r="S61" s="6" t="n"/>
      <c r="T61" s="6" t="n"/>
      <c r="U61" s="6" t="n"/>
      <c r="V61" s="6" t="n"/>
      <c r="W61" s="6" t="n"/>
      <c r="X61" s="6" t="n"/>
      <c r="Y61" s="6" t="n"/>
      <c r="Z61" s="6" t="n"/>
      <c r="AA61" s="6" t="n"/>
      <c r="AB61" s="6" t="n"/>
      <c r="AC61" s="6" t="n"/>
      <c r="AD61" s="6" t="n"/>
      <c r="AE61" s="6" t="n"/>
      <c r="AF61" s="6" t="n"/>
      <c r="AG61" s="6" t="n"/>
      <c r="AH61" s="6" t="n"/>
      <c r="AI61" s="6" t="n"/>
      <c r="AJ61" s="6" t="n"/>
    </row>
    <row r="62">
      <c r="A62" s="58" t="n"/>
      <c r="B62" s="117" t="n"/>
      <c r="C62" s="118" t="n"/>
      <c r="D62" s="111" t="n"/>
      <c r="E62" s="123" t="n"/>
      <c r="F62" s="111" t="n"/>
      <c r="G62" s="123" t="n"/>
      <c r="H62" s="113" t="n"/>
      <c r="I62" s="113" t="n"/>
      <c r="J62" s="124" t="n"/>
      <c r="K62" s="111" t="n"/>
      <c r="L62" s="113" t="n"/>
      <c r="M62" s="113" t="n"/>
      <c r="N62" s="111" t="n"/>
      <c r="O62" s="111" t="n"/>
      <c r="P62" s="6" t="n"/>
      <c r="Q62" s="6" t="n"/>
      <c r="R62" s="6" t="n"/>
      <c r="S62" s="6" t="n"/>
      <c r="T62" s="6" t="n"/>
      <c r="U62" s="6" t="n"/>
      <c r="V62" s="6" t="n"/>
      <c r="W62" s="6" t="n"/>
      <c r="X62" s="6" t="n"/>
      <c r="Y62" s="6" t="n"/>
      <c r="Z62" s="6" t="n"/>
      <c r="AA62" s="6" t="n"/>
      <c r="AB62" s="6" t="n"/>
      <c r="AC62" s="6" t="n"/>
      <c r="AD62" s="6" t="n"/>
      <c r="AE62" s="6" t="n"/>
      <c r="AF62" s="6" t="n"/>
      <c r="AG62" s="6" t="n"/>
      <c r="AH62" s="6" t="n"/>
      <c r="AI62" s="6" t="n"/>
      <c r="AJ62" s="6" t="n"/>
    </row>
    <row r="63">
      <c r="A63" s="58" t="n"/>
      <c r="B63" s="117" t="n"/>
      <c r="C63" s="118" t="n"/>
      <c r="D63" s="111" t="n"/>
      <c r="E63" s="123" t="n"/>
      <c r="F63" s="111" t="n"/>
      <c r="G63" s="123" t="n"/>
      <c r="H63" s="113" t="n"/>
      <c r="I63" s="113" t="n"/>
      <c r="J63" s="124" t="n"/>
      <c r="K63" s="111" t="n"/>
      <c r="L63" s="113" t="n"/>
      <c r="M63" s="113" t="n"/>
      <c r="N63" s="111" t="n"/>
      <c r="O63" s="111" t="n"/>
      <c r="P63" s="6" t="n"/>
      <c r="Q63" s="6" t="n"/>
      <c r="R63" s="6" t="n"/>
      <c r="S63" s="6" t="n"/>
      <c r="T63" s="6" t="n"/>
      <c r="U63" s="6" t="n"/>
      <c r="V63" s="6" t="n"/>
      <c r="W63" s="6" t="n"/>
      <c r="X63" s="6" t="n"/>
      <c r="Y63" s="6" t="n"/>
      <c r="Z63" s="6" t="n"/>
      <c r="AA63" s="6" t="n"/>
      <c r="AB63" s="6" t="n"/>
      <c r="AC63" s="6" t="n"/>
      <c r="AD63" s="6" t="n"/>
      <c r="AE63" s="6" t="n"/>
      <c r="AF63" s="6" t="n"/>
      <c r="AG63" s="6" t="n"/>
      <c r="AH63" s="6" t="n"/>
      <c r="AI63" s="6" t="n"/>
      <c r="AJ63" s="6" t="n"/>
    </row>
    <row r="64">
      <c r="A64" s="58" t="n"/>
      <c r="B64" s="117" t="n"/>
      <c r="C64" s="118" t="n"/>
      <c r="D64" s="111" t="n"/>
      <c r="E64" s="123" t="n"/>
      <c r="F64" s="111" t="n"/>
      <c r="G64" s="123" t="n"/>
      <c r="H64" s="113" t="n"/>
      <c r="I64" s="113" t="n"/>
      <c r="J64" s="124" t="n"/>
      <c r="K64" s="111" t="n"/>
      <c r="L64" s="113" t="n"/>
      <c r="M64" s="113" t="n"/>
      <c r="N64" s="111" t="n"/>
      <c r="O64" s="111" t="n"/>
      <c r="P64" s="6" t="n"/>
      <c r="Q64" s="6" t="n"/>
      <c r="R64" s="6" t="n"/>
      <c r="S64" s="6" t="n"/>
      <c r="T64" s="6" t="n"/>
      <c r="U64" s="6" t="n"/>
      <c r="V64" s="6" t="n"/>
      <c r="W64" s="6" t="n"/>
      <c r="X64" s="6" t="n"/>
      <c r="Y64" s="6" t="n"/>
      <c r="Z64" s="6" t="n"/>
      <c r="AA64" s="6" t="n"/>
      <c r="AB64" s="6" t="n"/>
      <c r="AC64" s="6" t="n"/>
      <c r="AD64" s="6" t="n"/>
      <c r="AE64" s="6" t="n"/>
      <c r="AF64" s="6" t="n"/>
      <c r="AG64" s="6" t="n"/>
      <c r="AH64" s="6" t="n"/>
      <c r="AI64" s="6" t="n"/>
      <c r="AJ64" s="6" t="n"/>
    </row>
    <row r="65">
      <c r="A65" s="58" t="n"/>
      <c r="B65" s="117" t="n"/>
      <c r="C65" s="118" t="n"/>
      <c r="D65" s="111" t="n"/>
      <c r="E65" s="123" t="n"/>
      <c r="F65" s="111" t="n"/>
      <c r="G65" s="123" t="n"/>
      <c r="H65" s="113" t="n"/>
      <c r="I65" s="113" t="n"/>
      <c r="J65" s="124" t="n"/>
      <c r="K65" s="111" t="n"/>
      <c r="L65" s="113" t="n"/>
      <c r="M65" s="113" t="n"/>
      <c r="N65" s="111" t="n"/>
      <c r="O65" s="111" t="n"/>
      <c r="P65" s="6" t="n"/>
      <c r="Q65" s="6" t="n"/>
      <c r="R65" s="6" t="n"/>
      <c r="S65" s="6" t="n"/>
      <c r="T65" s="6" t="n"/>
      <c r="U65" s="6" t="n"/>
      <c r="V65" s="6" t="n"/>
      <c r="W65" s="6" t="n"/>
      <c r="X65" s="6" t="n"/>
      <c r="Y65" s="6" t="n"/>
      <c r="Z65" s="6" t="n"/>
      <c r="AA65" s="6" t="n"/>
      <c r="AB65" s="6" t="n"/>
      <c r="AC65" s="6" t="n"/>
      <c r="AD65" s="6" t="n"/>
      <c r="AE65" s="6" t="n"/>
      <c r="AF65" s="6" t="n"/>
      <c r="AG65" s="6" t="n"/>
      <c r="AH65" s="6" t="n"/>
      <c r="AI65" s="6" t="n"/>
      <c r="AJ65" s="6" t="n"/>
    </row>
    <row r="66">
      <c r="A66" s="58" t="n"/>
      <c r="B66" s="117" t="n"/>
      <c r="C66" s="118" t="n"/>
      <c r="D66" s="111" t="n"/>
      <c r="E66" s="123" t="n"/>
      <c r="F66" s="111" t="n"/>
      <c r="G66" s="123" t="n"/>
      <c r="H66" s="113" t="n"/>
      <c r="I66" s="113" t="n"/>
      <c r="J66" s="124" t="n"/>
      <c r="K66" s="111" t="n"/>
      <c r="L66" s="113" t="n"/>
      <c r="M66" s="113" t="n"/>
      <c r="N66" s="111" t="n"/>
      <c r="O66" s="111" t="n"/>
      <c r="P66" s="6" t="n"/>
      <c r="Q66" s="6" t="n"/>
      <c r="R66" s="6" t="n"/>
      <c r="S66" s="6" t="n"/>
      <c r="T66" s="6" t="n"/>
      <c r="U66" s="6" t="n"/>
      <c r="V66" s="6" t="n"/>
      <c r="W66" s="6" t="n"/>
      <c r="X66" s="6" t="n"/>
      <c r="Y66" s="6" t="n"/>
      <c r="Z66" s="6" t="n"/>
      <c r="AA66" s="6" t="n"/>
      <c r="AB66" s="6" t="n"/>
      <c r="AC66" s="6" t="n"/>
      <c r="AD66" s="6" t="n"/>
      <c r="AE66" s="6" t="n"/>
      <c r="AF66" s="6" t="n"/>
      <c r="AG66" s="6" t="n"/>
      <c r="AH66" s="6" t="n"/>
      <c r="AI66" s="6" t="n"/>
      <c r="AJ66" s="6" t="n"/>
    </row>
    <row r="67">
      <c r="A67" s="58" t="n"/>
      <c r="B67" s="117" t="n"/>
      <c r="C67" s="118" t="n"/>
      <c r="D67" s="111" t="n"/>
      <c r="E67" s="123" t="n"/>
      <c r="F67" s="111" t="n"/>
      <c r="G67" s="123" t="n"/>
      <c r="H67" s="113" t="n"/>
      <c r="I67" s="113" t="n"/>
      <c r="J67" s="124" t="n"/>
      <c r="K67" s="111" t="n"/>
      <c r="L67" s="113" t="n"/>
      <c r="M67" s="113" t="n"/>
      <c r="N67" s="111" t="n"/>
      <c r="O67" s="111" t="n"/>
      <c r="P67" s="6" t="n"/>
      <c r="Q67" s="6" t="n"/>
      <c r="R67" s="6" t="n"/>
      <c r="S67" s="6" t="n"/>
      <c r="T67" s="6" t="n"/>
      <c r="U67" s="6" t="n"/>
      <c r="V67" s="6" t="n"/>
      <c r="W67" s="6" t="n"/>
      <c r="X67" s="6" t="n"/>
      <c r="Y67" s="6" t="n"/>
      <c r="Z67" s="6" t="n"/>
      <c r="AA67" s="6" t="n"/>
      <c r="AB67" s="6" t="n"/>
      <c r="AC67" s="6" t="n"/>
      <c r="AD67" s="6" t="n"/>
      <c r="AE67" s="6" t="n"/>
      <c r="AF67" s="6" t="n"/>
      <c r="AG67" s="6" t="n"/>
      <c r="AH67" s="6" t="n"/>
      <c r="AI67" s="6" t="n"/>
      <c r="AJ67" s="6" t="n"/>
    </row>
    <row r="68">
      <c r="A68" s="58" t="n"/>
      <c r="B68" s="117" t="n"/>
      <c r="C68" s="118" t="n"/>
      <c r="D68" s="111" t="n"/>
      <c r="E68" s="123" t="n"/>
      <c r="F68" s="111" t="n"/>
      <c r="G68" s="123" t="n"/>
      <c r="H68" s="113" t="n"/>
      <c r="I68" s="113" t="n"/>
      <c r="J68" s="124" t="n"/>
      <c r="K68" s="111" t="n"/>
      <c r="L68" s="113" t="n"/>
      <c r="M68" s="113" t="n"/>
      <c r="N68" s="111" t="n"/>
      <c r="O68" s="111" t="n"/>
      <c r="P68" s="6" t="n"/>
      <c r="Q68" s="6" t="n"/>
      <c r="R68" s="6" t="n"/>
      <c r="S68" s="6" t="n"/>
      <c r="T68" s="6" t="n"/>
      <c r="U68" s="6" t="n"/>
      <c r="V68" s="6" t="n"/>
      <c r="W68" s="6" t="n"/>
      <c r="X68" s="6" t="n"/>
      <c r="Y68" s="6" t="n"/>
      <c r="Z68" s="6" t="n"/>
      <c r="AA68" s="6" t="n"/>
      <c r="AB68" s="6" t="n"/>
      <c r="AC68" s="6" t="n"/>
      <c r="AD68" s="6" t="n"/>
      <c r="AE68" s="6" t="n"/>
      <c r="AF68" s="6" t="n"/>
      <c r="AG68" s="6" t="n"/>
      <c r="AH68" s="6" t="n"/>
      <c r="AI68" s="6" t="n"/>
      <c r="AJ68" s="6" t="n"/>
    </row>
    <row r="69">
      <c r="A69" s="58" t="n"/>
      <c r="B69" s="117" t="n"/>
      <c r="C69" s="118" t="n"/>
      <c r="D69" s="111" t="n"/>
      <c r="E69" s="123" t="n"/>
      <c r="F69" s="111" t="n"/>
      <c r="G69" s="123" t="n"/>
      <c r="H69" s="113" t="n"/>
      <c r="I69" s="113" t="n"/>
      <c r="J69" s="124" t="n"/>
      <c r="K69" s="111" t="n"/>
      <c r="L69" s="113" t="n"/>
      <c r="M69" s="113" t="n"/>
      <c r="N69" s="111" t="n"/>
      <c r="O69" s="111" t="n"/>
      <c r="P69" s="6" t="n"/>
      <c r="Q69" s="6" t="n"/>
      <c r="R69" s="6" t="n"/>
      <c r="S69" s="6" t="n"/>
      <c r="T69" s="6" t="n"/>
      <c r="U69" s="6" t="n"/>
      <c r="V69" s="6" t="n"/>
      <c r="W69" s="6" t="n"/>
      <c r="X69" s="6" t="n"/>
      <c r="Y69" s="6" t="n"/>
      <c r="Z69" s="6" t="n"/>
      <c r="AA69" s="6" t="n"/>
      <c r="AB69" s="6" t="n"/>
      <c r="AC69" s="6" t="n"/>
      <c r="AD69" s="6" t="n"/>
      <c r="AE69" s="6" t="n"/>
      <c r="AF69" s="6" t="n"/>
      <c r="AG69" s="6" t="n"/>
      <c r="AH69" s="6" t="n"/>
      <c r="AI69" s="6" t="n"/>
      <c r="AJ69" s="6" t="n"/>
    </row>
    <row r="70">
      <c r="A70" s="58" t="n"/>
      <c r="B70" s="117" t="n"/>
      <c r="C70" s="118" t="n"/>
      <c r="D70" s="111" t="n"/>
      <c r="E70" s="123" t="n"/>
      <c r="F70" s="111" t="n"/>
      <c r="G70" s="123" t="n"/>
      <c r="H70" s="113" t="n"/>
      <c r="I70" s="113" t="n"/>
      <c r="J70" s="124" t="n"/>
      <c r="K70" s="111" t="n"/>
      <c r="L70" s="113" t="n"/>
      <c r="M70" s="113" t="n"/>
      <c r="N70" s="111" t="n"/>
      <c r="O70" s="111" t="n"/>
      <c r="P70" s="6" t="n"/>
      <c r="Q70" s="6" t="n"/>
      <c r="R70" s="6" t="n"/>
      <c r="S70" s="6" t="n"/>
      <c r="T70" s="6" t="n"/>
      <c r="U70" s="6" t="n"/>
      <c r="V70" s="6" t="n"/>
      <c r="W70" s="6" t="n"/>
      <c r="X70" s="6" t="n"/>
      <c r="Y70" s="6" t="n"/>
      <c r="Z70" s="6" t="n"/>
      <c r="AA70" s="6" t="n"/>
      <c r="AB70" s="6" t="n"/>
      <c r="AC70" s="6" t="n"/>
      <c r="AD70" s="6" t="n"/>
      <c r="AE70" s="6" t="n"/>
      <c r="AF70" s="6" t="n"/>
      <c r="AG70" s="6" t="n"/>
      <c r="AH70" s="6" t="n"/>
      <c r="AI70" s="6" t="n"/>
      <c r="AJ70" s="6" t="n"/>
    </row>
    <row r="71">
      <c r="A71" s="58" t="n"/>
      <c r="B71" s="117" t="n"/>
      <c r="C71" s="118" t="n"/>
      <c r="D71" s="111" t="n"/>
      <c r="E71" s="123" t="n"/>
      <c r="F71" s="111" t="n"/>
      <c r="G71" s="123" t="n"/>
      <c r="H71" s="113" t="n"/>
      <c r="I71" s="113" t="n"/>
      <c r="J71" s="124" t="n"/>
      <c r="K71" s="111" t="n"/>
      <c r="L71" s="113" t="n"/>
      <c r="M71" s="113" t="n"/>
      <c r="N71" s="111" t="n"/>
      <c r="O71" s="111" t="n"/>
      <c r="P71" s="6" t="n"/>
      <c r="Q71" s="6" t="n"/>
      <c r="R71" s="6" t="n"/>
      <c r="S71" s="6" t="n"/>
      <c r="T71" s="6" t="n"/>
      <c r="U71" s="6" t="n"/>
      <c r="V71" s="6" t="n"/>
      <c r="W71" s="6" t="n"/>
      <c r="X71" s="6" t="n"/>
      <c r="Y71" s="6" t="n"/>
      <c r="Z71" s="6" t="n"/>
      <c r="AA71" s="6" t="n"/>
      <c r="AB71" s="6" t="n"/>
      <c r="AC71" s="6" t="n"/>
      <c r="AD71" s="6" t="n"/>
      <c r="AE71" s="6" t="n"/>
      <c r="AF71" s="6" t="n"/>
      <c r="AG71" s="6" t="n"/>
      <c r="AH71" s="6" t="n"/>
      <c r="AI71" s="6" t="n"/>
      <c r="AJ71" s="6" t="n"/>
    </row>
    <row r="72">
      <c r="A72" s="58" t="n"/>
      <c r="B72" s="117" t="n"/>
      <c r="C72" s="118" t="n"/>
      <c r="D72" s="111" t="n"/>
      <c r="E72" s="123" t="n"/>
      <c r="F72" s="111" t="n"/>
      <c r="G72" s="123" t="n"/>
      <c r="H72" s="113" t="n"/>
      <c r="I72" s="113" t="n"/>
      <c r="J72" s="124" t="n"/>
      <c r="K72" s="111" t="n"/>
      <c r="L72" s="113" t="n"/>
      <c r="M72" s="113" t="n"/>
      <c r="N72" s="111" t="n"/>
      <c r="O72" s="111" t="n"/>
      <c r="P72" s="6" t="n"/>
      <c r="Q72" s="6" t="n"/>
      <c r="R72" s="6" t="n"/>
      <c r="S72" s="6" t="n"/>
      <c r="T72" s="6" t="n"/>
      <c r="U72" s="6" t="n"/>
      <c r="V72" s="6" t="n"/>
      <c r="W72" s="6" t="n"/>
      <c r="X72" s="6" t="n"/>
      <c r="Y72" s="6" t="n"/>
      <c r="Z72" s="6" t="n"/>
      <c r="AA72" s="6" t="n"/>
      <c r="AB72" s="6" t="n"/>
      <c r="AC72" s="6" t="n"/>
      <c r="AD72" s="6" t="n"/>
      <c r="AE72" s="6" t="n"/>
      <c r="AF72" s="6" t="n"/>
      <c r="AG72" s="6" t="n"/>
      <c r="AH72" s="6" t="n"/>
      <c r="AI72" s="6" t="n"/>
      <c r="AJ72" s="6" t="n"/>
    </row>
    <row r="73">
      <c r="A73" s="58" t="n"/>
      <c r="B73" s="117" t="n"/>
      <c r="C73" s="118" t="n"/>
      <c r="D73" s="111" t="n"/>
      <c r="E73" s="123" t="n"/>
      <c r="F73" s="111" t="n"/>
      <c r="G73" s="123" t="n"/>
      <c r="H73" s="113" t="n"/>
      <c r="I73" s="113" t="n"/>
      <c r="J73" s="124" t="n"/>
      <c r="K73" s="111" t="n"/>
      <c r="L73" s="113" t="n"/>
      <c r="M73" s="113" t="n"/>
      <c r="N73" s="111" t="n"/>
      <c r="O73" s="111" t="n"/>
      <c r="P73" s="6" t="n"/>
      <c r="Q73" s="6" t="n"/>
      <c r="R73" s="6" t="n"/>
      <c r="S73" s="6" t="n"/>
      <c r="T73" s="6" t="n"/>
      <c r="U73" s="6" t="n"/>
      <c r="V73" s="6" t="n"/>
      <c r="W73" s="6" t="n"/>
      <c r="X73" s="6" t="n"/>
      <c r="Y73" s="6" t="n"/>
      <c r="Z73" s="6" t="n"/>
      <c r="AA73" s="6" t="n"/>
      <c r="AB73" s="6" t="n"/>
      <c r="AC73" s="6" t="n"/>
      <c r="AD73" s="6" t="n"/>
      <c r="AE73" s="6" t="n"/>
      <c r="AF73" s="6" t="n"/>
      <c r="AG73" s="6" t="n"/>
      <c r="AH73" s="6" t="n"/>
      <c r="AI73" s="6" t="n"/>
      <c r="AJ73" s="6" t="n"/>
    </row>
    <row r="74">
      <c r="A74" s="58" t="n"/>
      <c r="B74" s="117" t="n"/>
      <c r="C74" s="118" t="n"/>
      <c r="D74" s="111" t="n"/>
      <c r="E74" s="123" t="n"/>
      <c r="F74" s="111" t="n"/>
      <c r="G74" s="123" t="n"/>
      <c r="H74" s="113" t="n"/>
      <c r="I74" s="113" t="n"/>
      <c r="J74" s="124" t="n"/>
      <c r="K74" s="111" t="n"/>
      <c r="L74" s="113" t="n"/>
      <c r="M74" s="113" t="n"/>
      <c r="N74" s="111" t="n"/>
      <c r="O74" s="111" t="n"/>
      <c r="P74" s="6" t="n"/>
      <c r="Q74" s="6" t="n"/>
      <c r="R74" s="6" t="n"/>
      <c r="S74" s="6" t="n"/>
      <c r="T74" s="6" t="n"/>
      <c r="U74" s="6" t="n"/>
      <c r="V74" s="6" t="n"/>
      <c r="W74" s="6" t="n"/>
      <c r="X74" s="6" t="n"/>
      <c r="Y74" s="6" t="n"/>
      <c r="Z74" s="6" t="n"/>
      <c r="AA74" s="6" t="n"/>
      <c r="AB74" s="6" t="n"/>
      <c r="AC74" s="6" t="n"/>
      <c r="AD74" s="6" t="n"/>
      <c r="AE74" s="6" t="n"/>
      <c r="AF74" s="6" t="n"/>
      <c r="AG74" s="6" t="n"/>
      <c r="AH74" s="6" t="n"/>
      <c r="AI74" s="6" t="n"/>
      <c r="AJ74" s="6" t="n"/>
    </row>
    <row r="75">
      <c r="A75" s="58" t="n"/>
      <c r="B75" s="117" t="n"/>
      <c r="C75" s="118" t="n"/>
      <c r="D75" s="111" t="n"/>
      <c r="E75" s="123" t="n"/>
      <c r="F75" s="111" t="n"/>
      <c r="G75" s="123" t="n"/>
      <c r="H75" s="113" t="n"/>
      <c r="I75" s="113" t="n"/>
      <c r="J75" s="124" t="n"/>
      <c r="K75" s="111" t="n"/>
      <c r="L75" s="113" t="n"/>
      <c r="M75" s="113" t="n"/>
      <c r="N75" s="111" t="n"/>
      <c r="O75" s="111" t="n"/>
      <c r="P75" s="6" t="n"/>
      <c r="Q75" s="6" t="n"/>
      <c r="R75" s="6" t="n"/>
      <c r="S75" s="6" t="n"/>
      <c r="T75" s="6" t="n"/>
      <c r="U75" s="6" t="n"/>
      <c r="V75" s="6" t="n"/>
      <c r="W75" s="6" t="n"/>
      <c r="X75" s="6" t="n"/>
      <c r="Y75" s="6" t="n"/>
      <c r="Z75" s="6" t="n"/>
      <c r="AA75" s="6" t="n"/>
      <c r="AB75" s="6" t="n"/>
      <c r="AC75" s="6" t="n"/>
      <c r="AD75" s="6" t="n"/>
      <c r="AE75" s="6" t="n"/>
      <c r="AF75" s="6" t="n"/>
      <c r="AG75" s="6" t="n"/>
      <c r="AH75" s="6" t="n"/>
      <c r="AI75" s="6" t="n"/>
      <c r="AJ75" s="6" t="n"/>
    </row>
    <row r="76">
      <c r="A76" s="58" t="n"/>
      <c r="B76" s="117" t="n"/>
      <c r="C76" s="118" t="n"/>
      <c r="D76" s="111" t="n"/>
      <c r="E76" s="123" t="n"/>
      <c r="F76" s="111" t="n"/>
      <c r="G76" s="123" t="n"/>
      <c r="H76" s="113" t="n"/>
      <c r="I76" s="113" t="n"/>
      <c r="J76" s="124" t="n"/>
      <c r="K76" s="111" t="n"/>
      <c r="L76" s="113" t="n"/>
      <c r="M76" s="113" t="n"/>
      <c r="N76" s="111" t="n"/>
      <c r="O76" s="111" t="n"/>
      <c r="P76" s="6" t="n"/>
      <c r="Q76" s="6" t="n"/>
      <c r="R76" s="6" t="n"/>
      <c r="S76" s="6" t="n"/>
      <c r="T76" s="6" t="n"/>
      <c r="U76" s="6" t="n"/>
      <c r="V76" s="6" t="n"/>
      <c r="W76" s="6" t="n"/>
      <c r="X76" s="6" t="n"/>
      <c r="Y76" s="6" t="n"/>
      <c r="Z76" s="6" t="n"/>
      <c r="AA76" s="6" t="n"/>
      <c r="AB76" s="6" t="n"/>
      <c r="AC76" s="6" t="n"/>
      <c r="AD76" s="6" t="n"/>
      <c r="AE76" s="6" t="n"/>
      <c r="AF76" s="6" t="n"/>
      <c r="AG76" s="6" t="n"/>
      <c r="AH76" s="6" t="n"/>
      <c r="AI76" s="6" t="n"/>
      <c r="AJ76" s="6" t="n"/>
    </row>
    <row r="77">
      <c r="A77" s="58" t="n"/>
      <c r="B77" s="117" t="n"/>
      <c r="C77" s="118" t="n"/>
      <c r="D77" s="111" t="n"/>
      <c r="E77" s="123" t="n"/>
      <c r="F77" s="111" t="n"/>
      <c r="G77" s="123" t="n"/>
      <c r="H77" s="113" t="n"/>
      <c r="I77" s="113" t="n"/>
      <c r="J77" s="124" t="n"/>
      <c r="K77" s="111" t="n"/>
      <c r="L77" s="113" t="n"/>
      <c r="M77" s="113" t="n"/>
      <c r="N77" s="111" t="n"/>
      <c r="O77" s="111" t="n"/>
      <c r="P77" s="6" t="n"/>
      <c r="Q77" s="6" t="n"/>
      <c r="R77" s="6" t="n"/>
      <c r="S77" s="6" t="n"/>
      <c r="T77" s="6" t="n"/>
      <c r="U77" s="6" t="n"/>
      <c r="V77" s="6" t="n"/>
      <c r="W77" s="6" t="n"/>
      <c r="X77" s="6" t="n"/>
      <c r="Y77" s="6" t="n"/>
      <c r="Z77" s="6" t="n"/>
      <c r="AA77" s="6" t="n"/>
      <c r="AB77" s="6" t="n"/>
      <c r="AC77" s="6" t="n"/>
      <c r="AD77" s="6" t="n"/>
      <c r="AE77" s="6" t="n"/>
      <c r="AF77" s="6" t="n"/>
      <c r="AG77" s="6" t="n"/>
      <c r="AH77" s="6" t="n"/>
      <c r="AI77" s="6" t="n"/>
      <c r="AJ77" s="6" t="n"/>
    </row>
    <row r="78">
      <c r="A78" s="58" t="n"/>
      <c r="B78" s="117" t="n"/>
      <c r="C78" s="118" t="n"/>
      <c r="D78" s="111" t="n"/>
      <c r="E78" s="123" t="n"/>
      <c r="F78" s="111" t="n"/>
      <c r="G78" s="123" t="n"/>
      <c r="H78" s="113" t="n"/>
      <c r="I78" s="113" t="n"/>
      <c r="J78" s="124" t="n"/>
      <c r="K78" s="111" t="n"/>
      <c r="L78" s="113" t="n"/>
      <c r="M78" s="113" t="n"/>
      <c r="N78" s="111" t="n"/>
      <c r="O78" s="111" t="n"/>
      <c r="P78" s="6" t="n"/>
      <c r="Q78" s="6" t="n"/>
      <c r="R78" s="6" t="n"/>
      <c r="S78" s="6" t="n"/>
      <c r="T78" s="6" t="n"/>
      <c r="U78" s="6" t="n"/>
      <c r="V78" s="6" t="n"/>
      <c r="W78" s="6" t="n"/>
      <c r="X78" s="6" t="n"/>
      <c r="Y78" s="6" t="n"/>
      <c r="Z78" s="6" t="n"/>
      <c r="AA78" s="6" t="n"/>
      <c r="AB78" s="6" t="n"/>
      <c r="AC78" s="6" t="n"/>
      <c r="AD78" s="6" t="n"/>
      <c r="AE78" s="6" t="n"/>
      <c r="AF78" s="6" t="n"/>
      <c r="AG78" s="6" t="n"/>
      <c r="AH78" s="6" t="n"/>
      <c r="AI78" s="6" t="n"/>
      <c r="AJ78" s="6" t="n"/>
    </row>
    <row r="79">
      <c r="A79" s="58" t="n"/>
      <c r="B79" s="117" t="n"/>
      <c r="C79" s="118" t="n"/>
      <c r="D79" s="111" t="n"/>
      <c r="E79" s="123" t="n"/>
      <c r="F79" s="111" t="n"/>
      <c r="G79" s="123" t="n"/>
      <c r="H79" s="113" t="n"/>
      <c r="I79" s="113" t="n"/>
      <c r="J79" s="124" t="n"/>
      <c r="K79" s="111" t="n"/>
      <c r="L79" s="113" t="n"/>
      <c r="M79" s="113" t="n"/>
      <c r="N79" s="111" t="n"/>
      <c r="O79" s="111" t="n"/>
      <c r="P79" s="6" t="n"/>
      <c r="Q79" s="6" t="n"/>
      <c r="R79" s="6" t="n"/>
      <c r="S79" s="6" t="n"/>
      <c r="T79" s="6" t="n"/>
      <c r="U79" s="6" t="n"/>
      <c r="V79" s="6" t="n"/>
      <c r="W79" s="6" t="n"/>
      <c r="X79" s="6" t="n"/>
      <c r="Y79" s="6" t="n"/>
      <c r="Z79" s="6" t="n"/>
      <c r="AA79" s="6" t="n"/>
      <c r="AB79" s="6" t="n"/>
      <c r="AC79" s="6" t="n"/>
      <c r="AD79" s="6" t="n"/>
      <c r="AE79" s="6" t="n"/>
      <c r="AF79" s="6" t="n"/>
      <c r="AG79" s="6" t="n"/>
      <c r="AH79" s="6" t="n"/>
      <c r="AI79" s="6" t="n"/>
      <c r="AJ79" s="6" t="n"/>
    </row>
    <row r="80">
      <c r="A80" s="58" t="n"/>
      <c r="B80" s="117" t="n"/>
      <c r="C80" s="118" t="n"/>
      <c r="D80" s="111" t="n"/>
      <c r="E80" s="123" t="n"/>
      <c r="F80" s="111" t="n"/>
      <c r="G80" s="123" t="n"/>
      <c r="H80" s="113" t="n"/>
      <c r="I80" s="113" t="n"/>
      <c r="J80" s="124" t="n"/>
      <c r="K80" s="111" t="n"/>
      <c r="L80" s="113" t="n"/>
      <c r="M80" s="113" t="n"/>
      <c r="N80" s="111" t="n"/>
      <c r="O80" s="111" t="n"/>
      <c r="P80" s="6" t="n"/>
      <c r="Q80" s="6" t="n"/>
      <c r="R80" s="6" t="n"/>
      <c r="S80" s="6" t="n"/>
      <c r="T80" s="6" t="n"/>
      <c r="U80" s="6" t="n"/>
      <c r="V80" s="6" t="n"/>
      <c r="W80" s="6" t="n"/>
      <c r="X80" s="6" t="n"/>
      <c r="Y80" s="6" t="n"/>
      <c r="Z80" s="6" t="n"/>
      <c r="AA80" s="6" t="n"/>
      <c r="AB80" s="6" t="n"/>
      <c r="AC80" s="6" t="n"/>
      <c r="AD80" s="6" t="n"/>
      <c r="AE80" s="6" t="n"/>
      <c r="AF80" s="6" t="n"/>
      <c r="AG80" s="6" t="n"/>
      <c r="AH80" s="6" t="n"/>
      <c r="AI80" s="6" t="n"/>
      <c r="AJ80" s="6" t="n"/>
    </row>
    <row r="81">
      <c r="A81" s="58" t="n"/>
      <c r="B81" s="117" t="n"/>
      <c r="C81" s="118" t="n"/>
      <c r="D81" s="111" t="n"/>
      <c r="E81" s="123" t="n"/>
      <c r="F81" s="111" t="n"/>
      <c r="G81" s="123" t="n"/>
      <c r="H81" s="113" t="n"/>
      <c r="I81" s="113" t="n"/>
      <c r="J81" s="124" t="n"/>
      <c r="K81" s="111" t="n"/>
      <c r="L81" s="113" t="n"/>
      <c r="M81" s="113" t="n"/>
      <c r="N81" s="111" t="n"/>
      <c r="O81" s="111" t="n"/>
      <c r="P81" s="6" t="n"/>
      <c r="Q81" s="6" t="n"/>
      <c r="R81" s="6" t="n"/>
      <c r="S81" s="6" t="n"/>
      <c r="T81" s="6" t="n"/>
      <c r="U81" s="6" t="n"/>
      <c r="V81" s="6" t="n"/>
      <c r="W81" s="6" t="n"/>
      <c r="X81" s="6" t="n"/>
      <c r="Y81" s="6" t="n"/>
      <c r="Z81" s="6" t="n"/>
      <c r="AA81" s="6" t="n"/>
      <c r="AB81" s="6" t="n"/>
      <c r="AC81" s="6" t="n"/>
      <c r="AD81" s="6" t="n"/>
      <c r="AE81" s="6" t="n"/>
      <c r="AF81" s="6" t="n"/>
      <c r="AG81" s="6" t="n"/>
      <c r="AH81" s="6" t="n"/>
      <c r="AI81" s="6" t="n"/>
      <c r="AJ81" s="6" t="n"/>
    </row>
    <row r="82">
      <c r="A82" s="58" t="n"/>
      <c r="B82" s="117" t="n"/>
      <c r="C82" s="118" t="n"/>
      <c r="D82" s="111" t="n"/>
      <c r="E82" s="123" t="n"/>
      <c r="F82" s="111" t="n"/>
      <c r="G82" s="123" t="n"/>
      <c r="H82" s="113" t="n"/>
      <c r="I82" s="113" t="n"/>
      <c r="J82" s="124" t="n"/>
      <c r="K82" s="111" t="n"/>
      <c r="L82" s="113" t="n"/>
      <c r="M82" s="113" t="n"/>
      <c r="N82" s="111" t="n"/>
      <c r="O82" s="111" t="n"/>
      <c r="P82" s="6" t="n"/>
      <c r="Q82" s="6" t="n"/>
      <c r="R82" s="6" t="n"/>
      <c r="S82" s="6" t="n"/>
      <c r="T82" s="6" t="n"/>
      <c r="U82" s="6" t="n"/>
      <c r="V82" s="6" t="n"/>
      <c r="W82" s="6" t="n"/>
      <c r="X82" s="6" t="n"/>
      <c r="Y82" s="6" t="n"/>
      <c r="Z82" s="6" t="n"/>
      <c r="AA82" s="6" t="n"/>
      <c r="AB82" s="6" t="n"/>
      <c r="AC82" s="6" t="n"/>
      <c r="AD82" s="6" t="n"/>
      <c r="AE82" s="6" t="n"/>
      <c r="AF82" s="6" t="n"/>
      <c r="AG82" s="6" t="n"/>
      <c r="AH82" s="6" t="n"/>
      <c r="AI82" s="6" t="n"/>
      <c r="AJ82" s="6" t="n"/>
    </row>
    <row r="83">
      <c r="A83" s="58" t="n"/>
      <c r="B83" s="117" t="n"/>
      <c r="C83" s="118" t="n"/>
      <c r="D83" s="111" t="n"/>
      <c r="E83" s="123" t="n"/>
      <c r="F83" s="111" t="n"/>
      <c r="G83" s="123" t="n"/>
      <c r="H83" s="113" t="n"/>
      <c r="I83" s="113" t="n"/>
      <c r="J83" s="124" t="n"/>
      <c r="K83" s="111" t="n"/>
      <c r="L83" s="113" t="n"/>
      <c r="M83" s="113" t="n"/>
      <c r="N83" s="111" t="n"/>
      <c r="O83" s="111" t="n"/>
      <c r="P83" s="6" t="n"/>
      <c r="Q83" s="6" t="n"/>
      <c r="R83" s="6" t="n"/>
      <c r="S83" s="6" t="n"/>
      <c r="T83" s="6" t="n"/>
      <c r="U83" s="6" t="n"/>
      <c r="V83" s="6" t="n"/>
      <c r="W83" s="6" t="n"/>
      <c r="X83" s="6" t="n"/>
      <c r="Y83" s="6" t="n"/>
      <c r="Z83" s="6" t="n"/>
      <c r="AA83" s="6" t="n"/>
      <c r="AB83" s="6" t="n"/>
      <c r="AC83" s="6" t="n"/>
      <c r="AD83" s="6" t="n"/>
      <c r="AE83" s="6" t="n"/>
      <c r="AF83" s="6" t="n"/>
      <c r="AG83" s="6" t="n"/>
      <c r="AH83" s="6" t="n"/>
      <c r="AI83" s="6" t="n"/>
      <c r="AJ83" s="6" t="n"/>
    </row>
    <row r="84">
      <c r="A84" s="58" t="n"/>
      <c r="B84" s="117" t="n"/>
      <c r="C84" s="118" t="n"/>
      <c r="D84" s="111" t="n"/>
      <c r="E84" s="123" t="n"/>
      <c r="F84" s="111" t="n"/>
      <c r="G84" s="123" t="n"/>
      <c r="H84" s="113" t="n"/>
      <c r="I84" s="113" t="n"/>
      <c r="J84" s="124" t="n"/>
      <c r="K84" s="111" t="n"/>
      <c r="L84" s="113" t="n"/>
      <c r="M84" s="113" t="n"/>
      <c r="N84" s="111" t="n"/>
      <c r="O84" s="111" t="n"/>
      <c r="P84" s="6" t="n"/>
      <c r="Q84" s="6" t="n"/>
      <c r="R84" s="6" t="n"/>
      <c r="S84" s="6" t="n"/>
      <c r="T84" s="6" t="n"/>
      <c r="U84" s="6" t="n"/>
      <c r="V84" s="6" t="n"/>
      <c r="W84" s="6" t="n"/>
      <c r="X84" s="6" t="n"/>
      <c r="Y84" s="6" t="n"/>
      <c r="Z84" s="6" t="n"/>
      <c r="AA84" s="6" t="n"/>
      <c r="AB84" s="6" t="n"/>
      <c r="AC84" s="6" t="n"/>
      <c r="AD84" s="6" t="n"/>
      <c r="AE84" s="6" t="n"/>
      <c r="AF84" s="6" t="n"/>
      <c r="AG84" s="6" t="n"/>
      <c r="AH84" s="6" t="n"/>
      <c r="AI84" s="6" t="n"/>
      <c r="AJ84" s="6" t="n"/>
    </row>
    <row r="85">
      <c r="A85" s="58" t="n"/>
      <c r="B85" s="117" t="n"/>
      <c r="C85" s="118" t="n"/>
      <c r="D85" s="111" t="n"/>
      <c r="E85" s="123" t="n"/>
      <c r="F85" s="111" t="n"/>
      <c r="G85" s="123" t="n"/>
      <c r="H85" s="113" t="n"/>
      <c r="I85" s="113" t="n"/>
      <c r="J85" s="124" t="n"/>
      <c r="K85" s="111" t="n"/>
      <c r="L85" s="113" t="n"/>
      <c r="M85" s="113" t="n"/>
      <c r="N85" s="111" t="n"/>
      <c r="O85" s="111" t="n"/>
      <c r="P85" s="6" t="n"/>
      <c r="Q85" s="6" t="n"/>
      <c r="R85" s="6" t="n"/>
      <c r="S85" s="6" t="n"/>
      <c r="T85" s="6" t="n"/>
      <c r="U85" s="6" t="n"/>
      <c r="V85" s="6" t="n"/>
      <c r="W85" s="6" t="n"/>
      <c r="X85" s="6" t="n"/>
      <c r="Y85" s="6" t="n"/>
      <c r="Z85" s="6" t="n"/>
      <c r="AA85" s="6" t="n"/>
      <c r="AB85" s="6" t="n"/>
      <c r="AC85" s="6" t="n"/>
      <c r="AD85" s="6" t="n"/>
      <c r="AE85" s="6" t="n"/>
      <c r="AF85" s="6" t="n"/>
      <c r="AG85" s="6" t="n"/>
      <c r="AH85" s="6" t="n"/>
      <c r="AI85" s="6" t="n"/>
      <c r="AJ85" s="6" t="n"/>
    </row>
    <row r="86">
      <c r="A86" s="58" t="n"/>
      <c r="B86" s="117" t="n"/>
      <c r="C86" s="118" t="n"/>
      <c r="D86" s="111" t="n"/>
      <c r="E86" s="123" t="n"/>
      <c r="F86" s="111" t="n"/>
      <c r="G86" s="123" t="n"/>
      <c r="H86" s="113" t="n"/>
      <c r="I86" s="113" t="n"/>
      <c r="J86" s="124" t="n"/>
      <c r="K86" s="111" t="n"/>
      <c r="L86" s="113" t="n"/>
      <c r="M86" s="113" t="n"/>
      <c r="N86" s="111" t="n"/>
      <c r="O86" s="111" t="n"/>
      <c r="P86" s="6" t="n"/>
      <c r="Q86" s="6" t="n"/>
      <c r="R86" s="6" t="n"/>
      <c r="S86" s="6" t="n"/>
      <c r="T86" s="6" t="n"/>
      <c r="U86" s="6" t="n"/>
      <c r="V86" s="6" t="n"/>
      <c r="W86" s="6" t="n"/>
      <c r="X86" s="6" t="n"/>
      <c r="Y86" s="6" t="n"/>
      <c r="Z86" s="6" t="n"/>
      <c r="AA86" s="6" t="n"/>
      <c r="AB86" s="6" t="n"/>
      <c r="AC86" s="6" t="n"/>
      <c r="AD86" s="6" t="n"/>
      <c r="AE86" s="6" t="n"/>
      <c r="AF86" s="6" t="n"/>
      <c r="AG86" s="6" t="n"/>
      <c r="AH86" s="6" t="n"/>
      <c r="AI86" s="6" t="n"/>
      <c r="AJ86" s="6" t="n"/>
    </row>
    <row r="87">
      <c r="A87" s="58" t="n"/>
      <c r="B87" s="117" t="n"/>
      <c r="C87" s="118" t="n"/>
      <c r="D87" s="111" t="n"/>
      <c r="E87" s="123" t="n"/>
      <c r="F87" s="111" t="n"/>
      <c r="G87" s="123" t="n"/>
      <c r="H87" s="113" t="n"/>
      <c r="I87" s="113" t="n"/>
      <c r="J87" s="124" t="n"/>
      <c r="K87" s="111" t="n"/>
      <c r="L87" s="113" t="n"/>
      <c r="M87" s="113" t="n"/>
      <c r="N87" s="111" t="n"/>
      <c r="O87" s="111" t="n"/>
      <c r="P87" s="6" t="n"/>
      <c r="Q87" s="6" t="n"/>
      <c r="R87" s="6" t="n"/>
      <c r="S87" s="6" t="n"/>
      <c r="T87" s="6" t="n"/>
      <c r="U87" s="6" t="n"/>
      <c r="V87" s="6" t="n"/>
      <c r="W87" s="6" t="n"/>
      <c r="X87" s="6" t="n"/>
      <c r="Y87" s="6" t="n"/>
      <c r="Z87" s="6" t="n"/>
      <c r="AA87" s="6" t="n"/>
      <c r="AB87" s="6" t="n"/>
      <c r="AC87" s="6" t="n"/>
      <c r="AD87" s="6" t="n"/>
      <c r="AE87" s="6" t="n"/>
      <c r="AF87" s="6" t="n"/>
      <c r="AG87" s="6" t="n"/>
      <c r="AH87" s="6" t="n"/>
      <c r="AI87" s="6" t="n"/>
      <c r="AJ87" s="6" t="n"/>
    </row>
    <row r="88">
      <c r="A88" s="58" t="n"/>
      <c r="B88" s="117" t="n"/>
      <c r="C88" s="118" t="n"/>
      <c r="D88" s="111" t="n"/>
      <c r="E88" s="123" t="n"/>
      <c r="F88" s="111" t="n"/>
      <c r="G88" s="123" t="n"/>
      <c r="H88" s="113" t="n"/>
      <c r="I88" s="113" t="n"/>
      <c r="J88" s="124" t="n"/>
      <c r="K88" s="111" t="n"/>
      <c r="L88" s="113" t="n"/>
      <c r="M88" s="113" t="n"/>
      <c r="N88" s="111" t="n"/>
      <c r="O88" s="111" t="n"/>
      <c r="P88" s="6" t="n"/>
      <c r="Q88" s="6" t="n"/>
      <c r="R88" s="6" t="n"/>
      <c r="S88" s="6" t="n"/>
      <c r="T88" s="6" t="n"/>
      <c r="U88" s="6" t="n"/>
      <c r="V88" s="6" t="n"/>
      <c r="W88" s="6" t="n"/>
      <c r="X88" s="6" t="n"/>
      <c r="Y88" s="6" t="n"/>
      <c r="Z88" s="6" t="n"/>
      <c r="AA88" s="6" t="n"/>
      <c r="AB88" s="6" t="n"/>
      <c r="AC88" s="6" t="n"/>
      <c r="AD88" s="6" t="n"/>
      <c r="AE88" s="6" t="n"/>
      <c r="AF88" s="6" t="n"/>
      <c r="AG88" s="6" t="n"/>
      <c r="AH88" s="6" t="n"/>
      <c r="AI88" s="6" t="n"/>
      <c r="AJ88" s="6" t="n"/>
    </row>
    <row r="89">
      <c r="A89" s="58" t="n"/>
      <c r="B89" s="117" t="n"/>
      <c r="C89" s="118" t="n"/>
      <c r="D89" s="111" t="n"/>
      <c r="E89" s="123" t="n"/>
      <c r="F89" s="111" t="n"/>
      <c r="G89" s="123" t="n"/>
      <c r="H89" s="113" t="n"/>
      <c r="I89" s="113" t="n"/>
      <c r="J89" s="124" t="n"/>
      <c r="K89" s="111" t="n"/>
      <c r="L89" s="113" t="n"/>
      <c r="M89" s="113" t="n"/>
      <c r="N89" s="111" t="n"/>
      <c r="O89" s="111" t="n"/>
      <c r="P89" s="6" t="n"/>
      <c r="Q89" s="6" t="n"/>
      <c r="R89" s="6" t="n"/>
      <c r="S89" s="6" t="n"/>
      <c r="T89" s="6" t="n"/>
      <c r="U89" s="6" t="n"/>
      <c r="V89" s="6" t="n"/>
      <c r="W89" s="6" t="n"/>
      <c r="X89" s="6" t="n"/>
      <c r="Y89" s="6" t="n"/>
      <c r="Z89" s="6" t="n"/>
      <c r="AA89" s="6" t="n"/>
      <c r="AB89" s="6" t="n"/>
      <c r="AC89" s="6" t="n"/>
      <c r="AD89" s="6" t="n"/>
      <c r="AE89" s="6" t="n"/>
      <c r="AF89" s="6" t="n"/>
      <c r="AG89" s="6" t="n"/>
      <c r="AH89" s="6" t="n"/>
      <c r="AI89" s="6" t="n"/>
      <c r="AJ89" s="6" t="n"/>
    </row>
    <row r="90">
      <c r="A90" s="58" t="n"/>
      <c r="B90" s="117" t="n"/>
      <c r="C90" s="118" t="n"/>
      <c r="D90" s="111" t="n"/>
      <c r="E90" s="123" t="n"/>
      <c r="F90" s="111" t="n"/>
      <c r="G90" s="123" t="n"/>
      <c r="H90" s="113" t="n"/>
      <c r="I90" s="113" t="n"/>
      <c r="J90" s="124" t="n"/>
      <c r="K90" s="111" t="n"/>
      <c r="L90" s="113" t="n"/>
      <c r="M90" s="113" t="n"/>
      <c r="N90" s="111" t="n"/>
      <c r="O90" s="111" t="n"/>
      <c r="P90" s="6" t="n"/>
      <c r="Q90" s="6" t="n"/>
      <c r="R90" s="6" t="n"/>
      <c r="S90" s="6" t="n"/>
      <c r="T90" s="6" t="n"/>
      <c r="U90" s="6" t="n"/>
      <c r="V90" s="6" t="n"/>
      <c r="W90" s="6" t="n"/>
      <c r="X90" s="6" t="n"/>
      <c r="Y90" s="6" t="n"/>
      <c r="Z90" s="6" t="n"/>
      <c r="AA90" s="6" t="n"/>
      <c r="AB90" s="6" t="n"/>
      <c r="AC90" s="6" t="n"/>
      <c r="AD90" s="6" t="n"/>
      <c r="AE90" s="6" t="n"/>
      <c r="AF90" s="6" t="n"/>
      <c r="AG90" s="6" t="n"/>
      <c r="AH90" s="6" t="n"/>
      <c r="AI90" s="6" t="n"/>
      <c r="AJ90" s="6" t="n"/>
    </row>
    <row r="91">
      <c r="A91" s="58" t="n"/>
      <c r="B91" s="117" t="n"/>
      <c r="C91" s="118" t="n"/>
      <c r="D91" s="111" t="n"/>
      <c r="E91" s="123" t="n"/>
      <c r="F91" s="111" t="n"/>
      <c r="G91" s="123" t="n"/>
      <c r="H91" s="113" t="n"/>
      <c r="I91" s="113" t="n"/>
      <c r="J91" s="124" t="n"/>
      <c r="K91" s="111" t="n"/>
      <c r="L91" s="113" t="n"/>
      <c r="M91" s="113" t="n"/>
      <c r="N91" s="111" t="n"/>
      <c r="O91" s="111" t="n"/>
      <c r="P91" s="6" t="n"/>
      <c r="Q91" s="6" t="n"/>
      <c r="R91" s="6" t="n"/>
      <c r="S91" s="6" t="n"/>
      <c r="T91" s="6" t="n"/>
      <c r="U91" s="6" t="n"/>
      <c r="V91" s="6" t="n"/>
      <c r="W91" s="6" t="n"/>
      <c r="X91" s="6" t="n"/>
      <c r="Y91" s="6" t="n"/>
      <c r="Z91" s="6" t="n"/>
      <c r="AA91" s="6" t="n"/>
      <c r="AB91" s="6" t="n"/>
      <c r="AC91" s="6" t="n"/>
      <c r="AD91" s="6" t="n"/>
      <c r="AE91" s="6" t="n"/>
      <c r="AF91" s="6" t="n"/>
      <c r="AG91" s="6" t="n"/>
      <c r="AH91" s="6" t="n"/>
      <c r="AI91" s="6" t="n"/>
      <c r="AJ91" s="6" t="n"/>
    </row>
    <row r="92">
      <c r="A92" s="58" t="n"/>
      <c r="B92" s="117" t="n"/>
      <c r="C92" s="118" t="n"/>
      <c r="D92" s="111" t="n"/>
      <c r="E92" s="123" t="n"/>
      <c r="F92" s="111" t="n"/>
      <c r="G92" s="123" t="n"/>
      <c r="H92" s="113" t="n"/>
      <c r="I92" s="113" t="n"/>
      <c r="J92" s="124" t="n"/>
      <c r="K92" s="111" t="n"/>
      <c r="L92" s="113" t="n"/>
      <c r="M92" s="113" t="n"/>
      <c r="N92" s="111" t="n"/>
      <c r="O92" s="111" t="n"/>
      <c r="P92" s="6" t="n"/>
      <c r="Q92" s="6" t="n"/>
      <c r="R92" s="6" t="n"/>
      <c r="S92" s="6" t="n"/>
      <c r="T92" s="6" t="n"/>
      <c r="U92" s="6" t="n"/>
      <c r="V92" s="6" t="n"/>
      <c r="W92" s="6" t="n"/>
      <c r="X92" s="6" t="n"/>
      <c r="Y92" s="6" t="n"/>
      <c r="Z92" s="6" t="n"/>
      <c r="AA92" s="6" t="n"/>
      <c r="AB92" s="6" t="n"/>
      <c r="AC92" s="6" t="n"/>
      <c r="AD92" s="6" t="n"/>
      <c r="AE92" s="6" t="n"/>
      <c r="AF92" s="6" t="n"/>
      <c r="AG92" s="6" t="n"/>
      <c r="AH92" s="6" t="n"/>
      <c r="AI92" s="6" t="n"/>
      <c r="AJ92" s="6" t="n"/>
    </row>
    <row r="93">
      <c r="A93" s="58" t="n"/>
      <c r="B93" s="117" t="n"/>
      <c r="C93" s="118" t="n"/>
      <c r="D93" s="111" t="n"/>
      <c r="E93" s="123" t="n"/>
      <c r="F93" s="111" t="n"/>
      <c r="G93" s="123" t="n"/>
      <c r="H93" s="113" t="n"/>
      <c r="I93" s="113" t="n"/>
      <c r="J93" s="124" t="n"/>
      <c r="K93" s="111" t="n"/>
      <c r="L93" s="113" t="n"/>
      <c r="M93" s="113" t="n"/>
      <c r="N93" s="111" t="n"/>
      <c r="O93" s="111" t="n"/>
      <c r="P93" s="6" t="n"/>
      <c r="Q93" s="6" t="n"/>
      <c r="R93" s="6" t="n"/>
      <c r="S93" s="6" t="n"/>
      <c r="T93" s="6" t="n"/>
      <c r="U93" s="6" t="n"/>
      <c r="V93" s="6" t="n"/>
      <c r="W93" s="6" t="n"/>
      <c r="X93" s="6" t="n"/>
      <c r="Y93" s="6" t="n"/>
      <c r="Z93" s="6" t="n"/>
      <c r="AA93" s="6" t="n"/>
      <c r="AB93" s="6" t="n"/>
      <c r="AC93" s="6" t="n"/>
      <c r="AD93" s="6" t="n"/>
      <c r="AE93" s="6" t="n"/>
      <c r="AF93" s="6" t="n"/>
      <c r="AG93" s="6" t="n"/>
      <c r="AH93" s="6" t="n"/>
      <c r="AI93" s="6" t="n"/>
      <c r="AJ93" s="6" t="n"/>
    </row>
    <row r="94">
      <c r="A94" s="58" t="n"/>
      <c r="B94" s="117" t="n"/>
      <c r="C94" s="118" t="n"/>
      <c r="D94" s="111" t="n"/>
      <c r="E94" s="123" t="n"/>
      <c r="F94" s="111" t="n"/>
      <c r="G94" s="123" t="n"/>
      <c r="H94" s="113" t="n"/>
      <c r="I94" s="113" t="n"/>
      <c r="J94" s="124" t="n"/>
      <c r="K94" s="111" t="n"/>
      <c r="L94" s="113" t="n"/>
      <c r="M94" s="113" t="n"/>
      <c r="N94" s="111" t="n"/>
      <c r="O94" s="111" t="n"/>
      <c r="P94" s="6" t="n"/>
      <c r="Q94" s="6" t="n"/>
      <c r="R94" s="6" t="n"/>
      <c r="S94" s="6" t="n"/>
      <c r="T94" s="6" t="n"/>
      <c r="U94" s="6" t="n"/>
      <c r="V94" s="6" t="n"/>
      <c r="W94" s="6" t="n"/>
      <c r="X94" s="6" t="n"/>
      <c r="Y94" s="6" t="n"/>
      <c r="Z94" s="6" t="n"/>
      <c r="AA94" s="6" t="n"/>
      <c r="AB94" s="6" t="n"/>
      <c r="AC94" s="6" t="n"/>
      <c r="AD94" s="6" t="n"/>
      <c r="AE94" s="6" t="n"/>
      <c r="AF94" s="6" t="n"/>
      <c r="AG94" s="6" t="n"/>
      <c r="AH94" s="6" t="n"/>
      <c r="AI94" s="6" t="n"/>
      <c r="AJ94" s="6" t="n"/>
    </row>
    <row r="95">
      <c r="A95" s="58" t="n"/>
      <c r="B95" s="117" t="n"/>
      <c r="C95" s="118" t="n"/>
      <c r="D95" s="111" t="n"/>
      <c r="E95" s="123" t="n"/>
      <c r="F95" s="111" t="n"/>
      <c r="G95" s="123" t="n"/>
      <c r="H95" s="113" t="n"/>
      <c r="I95" s="113" t="n"/>
      <c r="J95" s="124" t="n"/>
      <c r="K95" s="111" t="n"/>
      <c r="L95" s="113" t="n"/>
      <c r="M95" s="113" t="n"/>
      <c r="N95" s="111" t="n"/>
      <c r="O95" s="111" t="n"/>
      <c r="P95" s="6" t="n"/>
      <c r="Q95" s="6" t="n"/>
      <c r="R95" s="6" t="n"/>
      <c r="S95" s="6" t="n"/>
      <c r="T95" s="6" t="n"/>
      <c r="U95" s="6" t="n"/>
      <c r="V95" s="6" t="n"/>
      <c r="W95" s="6" t="n"/>
      <c r="X95" s="6" t="n"/>
      <c r="Y95" s="6" t="n"/>
      <c r="Z95" s="6" t="n"/>
      <c r="AA95" s="6" t="n"/>
      <c r="AB95" s="6" t="n"/>
      <c r="AC95" s="6" t="n"/>
      <c r="AD95" s="6" t="n"/>
      <c r="AE95" s="6" t="n"/>
      <c r="AF95" s="6" t="n"/>
      <c r="AG95" s="6" t="n"/>
      <c r="AH95" s="6" t="n"/>
      <c r="AI95" s="6" t="n"/>
      <c r="AJ95" s="6" t="n"/>
    </row>
    <row r="96">
      <c r="A96" s="58" t="n"/>
      <c r="B96" s="117" t="n"/>
      <c r="C96" s="118" t="n"/>
      <c r="D96" s="111" t="n"/>
      <c r="E96" s="123" t="n"/>
      <c r="F96" s="111" t="n"/>
      <c r="G96" s="123" t="n"/>
      <c r="H96" s="113" t="n"/>
      <c r="I96" s="113" t="n"/>
      <c r="J96" s="124" t="n"/>
      <c r="K96" s="111" t="n"/>
      <c r="L96" s="113" t="n"/>
      <c r="M96" s="113" t="n"/>
      <c r="N96" s="111" t="n"/>
      <c r="O96" s="111" t="n"/>
      <c r="P96" s="6" t="n"/>
      <c r="Q96" s="6" t="n"/>
      <c r="R96" s="6" t="n"/>
      <c r="S96" s="6" t="n"/>
      <c r="T96" s="6" t="n"/>
      <c r="U96" s="6" t="n"/>
      <c r="V96" s="6" t="n"/>
      <c r="W96" s="6" t="n"/>
      <c r="X96" s="6" t="n"/>
      <c r="Y96" s="6" t="n"/>
      <c r="Z96" s="6" t="n"/>
      <c r="AA96" s="6" t="n"/>
      <c r="AB96" s="6" t="n"/>
      <c r="AC96" s="6" t="n"/>
      <c r="AD96" s="6" t="n"/>
      <c r="AE96" s="6" t="n"/>
      <c r="AF96" s="6" t="n"/>
      <c r="AG96" s="6" t="n"/>
      <c r="AH96" s="6" t="n"/>
      <c r="AI96" s="6" t="n"/>
      <c r="AJ96" s="6" t="n"/>
    </row>
    <row r="97">
      <c r="A97" s="58" t="n"/>
      <c r="B97" s="117" t="n"/>
      <c r="C97" s="118" t="n"/>
      <c r="D97" s="111" t="n"/>
      <c r="E97" s="123" t="n"/>
      <c r="F97" s="111" t="n"/>
      <c r="G97" s="123" t="n"/>
      <c r="H97" s="113" t="n"/>
      <c r="I97" s="113" t="n"/>
      <c r="J97" s="124" t="n"/>
      <c r="K97" s="111" t="n"/>
      <c r="L97" s="113" t="n"/>
      <c r="M97" s="113" t="n"/>
      <c r="N97" s="111" t="n"/>
      <c r="O97" s="111" t="n"/>
      <c r="P97" s="6" t="n"/>
      <c r="Q97" s="6" t="n"/>
      <c r="R97" s="6" t="n"/>
      <c r="S97" s="6" t="n"/>
      <c r="T97" s="6" t="n"/>
      <c r="U97" s="6" t="n"/>
      <c r="V97" s="6" t="n"/>
      <c r="W97" s="6" t="n"/>
      <c r="X97" s="6" t="n"/>
      <c r="Y97" s="6" t="n"/>
      <c r="Z97" s="6" t="n"/>
      <c r="AA97" s="6" t="n"/>
      <c r="AB97" s="6" t="n"/>
      <c r="AC97" s="6" t="n"/>
      <c r="AD97" s="6" t="n"/>
      <c r="AE97" s="6" t="n"/>
      <c r="AF97" s="6" t="n"/>
      <c r="AG97" s="6" t="n"/>
      <c r="AH97" s="6" t="n"/>
      <c r="AI97" s="6" t="n"/>
      <c r="AJ97" s="6" t="n"/>
    </row>
    <row r="98">
      <c r="A98" s="58" t="n"/>
      <c r="B98" s="117" t="n"/>
      <c r="C98" s="118" t="n"/>
      <c r="D98" s="111" t="n"/>
      <c r="E98" s="123" t="n"/>
      <c r="F98" s="111" t="n"/>
      <c r="G98" s="123" t="n"/>
      <c r="H98" s="113" t="n"/>
      <c r="I98" s="113" t="n"/>
      <c r="J98" s="124" t="n"/>
      <c r="K98" s="111" t="n"/>
      <c r="L98" s="113" t="n"/>
      <c r="M98" s="113" t="n"/>
      <c r="N98" s="111" t="n"/>
      <c r="O98" s="111" t="n"/>
      <c r="P98" s="6" t="n"/>
      <c r="Q98" s="6" t="n"/>
      <c r="R98" s="6" t="n"/>
      <c r="S98" s="6" t="n"/>
      <c r="T98" s="6" t="n"/>
      <c r="U98" s="6" t="n"/>
      <c r="V98" s="6" t="n"/>
      <c r="W98" s="6" t="n"/>
      <c r="X98" s="6" t="n"/>
      <c r="Y98" s="6" t="n"/>
      <c r="Z98" s="6" t="n"/>
      <c r="AA98" s="6" t="n"/>
      <c r="AB98" s="6" t="n"/>
      <c r="AC98" s="6" t="n"/>
      <c r="AD98" s="6" t="n"/>
      <c r="AE98" s="6" t="n"/>
      <c r="AF98" s="6" t="n"/>
      <c r="AG98" s="6" t="n"/>
      <c r="AH98" s="6" t="n"/>
      <c r="AI98" s="6" t="n"/>
      <c r="AJ98" s="6" t="n"/>
    </row>
    <row r="99">
      <c r="A99" s="58" t="n"/>
      <c r="B99" s="117" t="n"/>
      <c r="C99" s="118" t="n"/>
      <c r="D99" s="111" t="n"/>
      <c r="E99" s="123" t="n"/>
      <c r="F99" s="111" t="n"/>
      <c r="G99" s="123" t="n"/>
      <c r="H99" s="113" t="n"/>
      <c r="I99" s="113" t="n"/>
      <c r="J99" s="124" t="n"/>
      <c r="K99" s="111" t="n"/>
      <c r="L99" s="113" t="n"/>
      <c r="M99" s="113" t="n"/>
      <c r="N99" s="111" t="n"/>
      <c r="O99" s="111" t="n"/>
      <c r="P99" s="6" t="n"/>
      <c r="Q99" s="6" t="n"/>
      <c r="R99" s="6" t="n"/>
      <c r="S99" s="6" t="n"/>
      <c r="T99" s="6" t="n"/>
      <c r="U99" s="6" t="n"/>
      <c r="V99" s="6" t="n"/>
      <c r="W99" s="6" t="n"/>
      <c r="X99" s="6" t="n"/>
      <c r="Y99" s="6" t="n"/>
      <c r="Z99" s="6" t="n"/>
      <c r="AA99" s="6" t="n"/>
      <c r="AB99" s="6" t="n"/>
      <c r="AC99" s="6" t="n"/>
      <c r="AD99" s="6" t="n"/>
      <c r="AE99" s="6" t="n"/>
      <c r="AF99" s="6" t="n"/>
      <c r="AG99" s="6" t="n"/>
      <c r="AH99" s="6" t="n"/>
      <c r="AI99" s="6" t="n"/>
      <c r="AJ99" s="6" t="n"/>
    </row>
    <row r="100">
      <c r="A100" s="58" t="n"/>
      <c r="B100" s="117" t="n"/>
      <c r="C100" s="118" t="n"/>
      <c r="D100" s="111" t="n"/>
      <c r="E100" s="123" t="n"/>
      <c r="F100" s="111" t="n"/>
      <c r="G100" s="123" t="n"/>
      <c r="H100" s="113" t="n"/>
      <c r="I100" s="113" t="n"/>
      <c r="J100" s="124" t="n"/>
      <c r="K100" s="111" t="n"/>
      <c r="L100" s="113" t="n"/>
      <c r="M100" s="113" t="n"/>
      <c r="N100" s="111" t="n"/>
      <c r="O100" s="111" t="n"/>
      <c r="P100" s="6" t="n"/>
      <c r="Q100" s="6" t="n"/>
      <c r="R100" s="6" t="n"/>
      <c r="S100" s="6" t="n"/>
      <c r="T100" s="6" t="n"/>
      <c r="U100" s="6" t="n"/>
      <c r="V100" s="6" t="n"/>
      <c r="W100" s="6" t="n"/>
      <c r="X100" s="6" t="n"/>
      <c r="Y100" s="6" t="n"/>
      <c r="Z100" s="6" t="n"/>
      <c r="AA100" s="6" t="n"/>
      <c r="AB100" s="6" t="n"/>
      <c r="AC100" s="6" t="n"/>
      <c r="AD100" s="6" t="n"/>
      <c r="AE100" s="6" t="n"/>
      <c r="AF100" s="6" t="n"/>
      <c r="AG100" s="6" t="n"/>
      <c r="AH100" s="6" t="n"/>
      <c r="AI100" s="6" t="n"/>
      <c r="AJ100" s="6" t="n"/>
    </row>
    <row r="101">
      <c r="A101" s="58" t="n"/>
      <c r="B101" s="117" t="n"/>
      <c r="C101" s="118" t="n"/>
      <c r="D101" s="111" t="n"/>
      <c r="E101" s="123" t="n"/>
      <c r="F101" s="111" t="n"/>
      <c r="G101" s="123" t="n"/>
      <c r="H101" s="113" t="n"/>
      <c r="I101" s="113" t="n"/>
      <c r="J101" s="124" t="n"/>
      <c r="K101" s="111" t="n"/>
      <c r="L101" s="113" t="n"/>
      <c r="M101" s="113" t="n"/>
      <c r="N101" s="111" t="n"/>
      <c r="O101" s="111" t="n"/>
      <c r="P101" s="6" t="n"/>
      <c r="Q101" s="6" t="n"/>
      <c r="R101" s="6" t="n"/>
      <c r="S101" s="6" t="n"/>
      <c r="T101" s="6" t="n"/>
      <c r="U101" s="6" t="n"/>
      <c r="V101" s="6" t="n"/>
      <c r="W101" s="6" t="n"/>
      <c r="X101" s="6" t="n"/>
      <c r="Y101" s="6" t="n"/>
      <c r="Z101" s="6" t="n"/>
      <c r="AA101" s="6" t="n"/>
      <c r="AB101" s="6" t="n"/>
      <c r="AC101" s="6" t="n"/>
      <c r="AD101" s="6" t="n"/>
      <c r="AE101" s="6" t="n"/>
      <c r="AF101" s="6" t="n"/>
      <c r="AG101" s="6" t="n"/>
      <c r="AH101" s="6" t="n"/>
      <c r="AI101" s="6" t="n"/>
      <c r="AJ101" s="6" t="n"/>
    </row>
    <row r="102">
      <c r="A102" s="58" t="n"/>
      <c r="B102" s="117" t="n"/>
      <c r="C102" s="118" t="n"/>
      <c r="D102" s="111" t="n"/>
      <c r="E102" s="123" t="n"/>
      <c r="F102" s="111" t="n"/>
      <c r="G102" s="123" t="n"/>
      <c r="H102" s="113" t="n"/>
      <c r="I102" s="113" t="n"/>
      <c r="J102" s="124" t="n"/>
      <c r="K102" s="111" t="n"/>
      <c r="L102" s="113" t="n"/>
      <c r="M102" s="113" t="n"/>
      <c r="N102" s="111" t="n"/>
      <c r="O102" s="111" t="n"/>
      <c r="P102" s="6" t="n"/>
      <c r="Q102" s="6" t="n"/>
      <c r="R102" s="6" t="n"/>
      <c r="S102" s="6" t="n"/>
      <c r="T102" s="6" t="n"/>
      <c r="U102" s="6" t="n"/>
      <c r="V102" s="6" t="n"/>
      <c r="W102" s="6" t="n"/>
      <c r="X102" s="6" t="n"/>
      <c r="Y102" s="6" t="n"/>
      <c r="Z102" s="6" t="n"/>
      <c r="AA102" s="6" t="n"/>
      <c r="AB102" s="6" t="n"/>
      <c r="AC102" s="6" t="n"/>
      <c r="AD102" s="6" t="n"/>
      <c r="AE102" s="6" t="n"/>
      <c r="AF102" s="6" t="n"/>
      <c r="AG102" s="6" t="n"/>
      <c r="AH102" s="6" t="n"/>
      <c r="AI102" s="6" t="n"/>
      <c r="AJ102" s="6" t="n"/>
    </row>
    <row r="103">
      <c r="A103" s="58" t="n"/>
      <c r="B103" s="117" t="n"/>
      <c r="C103" s="118" t="n"/>
      <c r="D103" s="111" t="n"/>
      <c r="E103" s="123" t="n"/>
      <c r="F103" s="111" t="n"/>
      <c r="G103" s="123" t="n"/>
      <c r="H103" s="113" t="n"/>
      <c r="I103" s="113" t="n"/>
      <c r="J103" s="124" t="n"/>
      <c r="K103" s="111" t="n"/>
      <c r="L103" s="113" t="n"/>
      <c r="M103" s="113" t="n"/>
      <c r="N103" s="111" t="n"/>
      <c r="O103" s="111" t="n"/>
      <c r="P103" s="6" t="n"/>
      <c r="Q103" s="6" t="n"/>
      <c r="R103" s="6" t="n"/>
      <c r="S103" s="6" t="n"/>
      <c r="T103" s="6" t="n"/>
      <c r="U103" s="6" t="n"/>
      <c r="V103" s="6" t="n"/>
      <c r="W103" s="6" t="n"/>
      <c r="X103" s="6" t="n"/>
      <c r="Y103" s="6" t="n"/>
      <c r="Z103" s="6" t="n"/>
      <c r="AA103" s="6" t="n"/>
      <c r="AB103" s="6" t="n"/>
      <c r="AC103" s="6" t="n"/>
      <c r="AD103" s="6" t="n"/>
      <c r="AE103" s="6" t="n"/>
      <c r="AF103" s="6" t="n"/>
      <c r="AG103" s="6" t="n"/>
      <c r="AH103" s="6" t="n"/>
      <c r="AI103" s="6" t="n"/>
      <c r="AJ103" s="6" t="n"/>
    </row>
    <row r="104">
      <c r="A104" s="58" t="n"/>
      <c r="B104" s="117" t="n"/>
      <c r="C104" s="118" t="n"/>
      <c r="D104" s="111" t="n"/>
      <c r="E104" s="123" t="n"/>
      <c r="F104" s="111" t="n"/>
      <c r="G104" s="123" t="n"/>
      <c r="H104" s="113" t="n"/>
      <c r="I104" s="113" t="n"/>
      <c r="J104" s="124" t="n"/>
      <c r="K104" s="111" t="n"/>
      <c r="L104" s="113" t="n"/>
      <c r="M104" s="113" t="n"/>
      <c r="N104" s="111" t="n"/>
      <c r="O104" s="111" t="n"/>
      <c r="P104" s="6" t="n"/>
      <c r="Q104" s="6" t="n"/>
      <c r="R104" s="6" t="n"/>
      <c r="S104" s="6" t="n"/>
      <c r="T104" s="6" t="n"/>
      <c r="U104" s="6" t="n"/>
      <c r="V104" s="6" t="n"/>
      <c r="W104" s="6" t="n"/>
      <c r="X104" s="6" t="n"/>
      <c r="Y104" s="6" t="n"/>
      <c r="Z104" s="6" t="n"/>
      <c r="AA104" s="6" t="n"/>
      <c r="AB104" s="6" t="n"/>
      <c r="AC104" s="6" t="n"/>
      <c r="AD104" s="6" t="n"/>
      <c r="AE104" s="6" t="n"/>
      <c r="AF104" s="6" t="n"/>
      <c r="AG104" s="6" t="n"/>
      <c r="AH104" s="6" t="n"/>
      <c r="AI104" s="6" t="n"/>
      <c r="AJ104" s="6" t="n"/>
    </row>
    <row r="105">
      <c r="A105" s="58" t="n"/>
      <c r="B105" s="117" t="n"/>
      <c r="C105" s="118" t="n"/>
      <c r="D105" s="111" t="n"/>
      <c r="E105" s="123" t="n"/>
      <c r="F105" s="111" t="n"/>
      <c r="G105" s="123" t="n"/>
      <c r="H105" s="113" t="n"/>
      <c r="I105" s="113" t="n"/>
      <c r="J105" s="124" t="n"/>
      <c r="K105" s="111" t="n"/>
      <c r="L105" s="113" t="n"/>
      <c r="M105" s="113" t="n"/>
      <c r="N105" s="111" t="n"/>
      <c r="O105" s="111" t="n"/>
      <c r="P105" s="6" t="n"/>
      <c r="Q105" s="6" t="n"/>
      <c r="R105" s="6" t="n"/>
      <c r="S105" s="6" t="n"/>
      <c r="T105" s="6" t="n"/>
      <c r="U105" s="6" t="n"/>
      <c r="V105" s="6" t="n"/>
      <c r="W105" s="6" t="n"/>
      <c r="X105" s="6" t="n"/>
      <c r="Y105" s="6" t="n"/>
      <c r="Z105" s="6" t="n"/>
      <c r="AA105" s="6" t="n"/>
      <c r="AB105" s="6" t="n"/>
      <c r="AC105" s="6" t="n"/>
      <c r="AD105" s="6" t="n"/>
      <c r="AE105" s="6" t="n"/>
      <c r="AF105" s="6" t="n"/>
      <c r="AG105" s="6" t="n"/>
      <c r="AH105" s="6" t="n"/>
      <c r="AI105" s="6" t="n"/>
      <c r="AJ105" s="6" t="n"/>
    </row>
    <row r="106">
      <c r="A106" s="58" t="n"/>
      <c r="B106" s="117" t="n"/>
      <c r="C106" s="118" t="n"/>
      <c r="D106" s="111" t="n"/>
      <c r="E106" s="123" t="n"/>
      <c r="F106" s="111" t="n"/>
      <c r="G106" s="123" t="n"/>
      <c r="H106" s="113" t="n"/>
      <c r="I106" s="113" t="n"/>
      <c r="J106" s="124" t="n"/>
      <c r="K106" s="111" t="n"/>
      <c r="L106" s="113" t="n"/>
      <c r="M106" s="113" t="n"/>
      <c r="N106" s="111" t="n"/>
      <c r="O106" s="111" t="n"/>
      <c r="P106" s="6" t="n"/>
      <c r="Q106" s="6" t="n"/>
      <c r="R106" s="6" t="n"/>
      <c r="S106" s="6" t="n"/>
      <c r="T106" s="6" t="n"/>
      <c r="U106" s="6" t="n"/>
      <c r="V106" s="6" t="n"/>
      <c r="W106" s="6" t="n"/>
      <c r="X106" s="6" t="n"/>
      <c r="Y106" s="6" t="n"/>
      <c r="Z106" s="6" t="n"/>
      <c r="AA106" s="6" t="n"/>
      <c r="AB106" s="6" t="n"/>
      <c r="AC106" s="6" t="n"/>
      <c r="AD106" s="6" t="n"/>
      <c r="AE106" s="6" t="n"/>
      <c r="AF106" s="6" t="n"/>
      <c r="AG106" s="6" t="n"/>
      <c r="AH106" s="6" t="n"/>
      <c r="AI106" s="6" t="n"/>
      <c r="AJ106" s="6" t="n"/>
    </row>
    <row r="107">
      <c r="A107" s="58" t="n"/>
      <c r="B107" s="117" t="n"/>
      <c r="C107" s="118" t="n"/>
      <c r="D107" s="111" t="n"/>
      <c r="E107" s="123" t="n"/>
      <c r="F107" s="111" t="n"/>
      <c r="G107" s="123" t="n"/>
      <c r="H107" s="113" t="n"/>
      <c r="I107" s="113" t="n"/>
      <c r="J107" s="124" t="n"/>
      <c r="K107" s="111" t="n"/>
      <c r="L107" s="113" t="n"/>
      <c r="M107" s="113" t="n"/>
      <c r="N107" s="111" t="n"/>
      <c r="O107" s="111" t="n"/>
      <c r="P107" s="6" t="n"/>
      <c r="Q107" s="6" t="n"/>
      <c r="R107" s="6" t="n"/>
      <c r="S107" s="6" t="n"/>
      <c r="T107" s="6" t="n"/>
      <c r="U107" s="6" t="n"/>
      <c r="V107" s="6" t="n"/>
      <c r="W107" s="6" t="n"/>
      <c r="X107" s="6" t="n"/>
      <c r="Y107" s="6" t="n"/>
      <c r="Z107" s="6" t="n"/>
      <c r="AA107" s="6" t="n"/>
      <c r="AB107" s="6" t="n"/>
      <c r="AC107" s="6" t="n"/>
      <c r="AD107" s="6" t="n"/>
      <c r="AE107" s="6" t="n"/>
      <c r="AF107" s="6" t="n"/>
      <c r="AG107" s="6" t="n"/>
      <c r="AH107" s="6" t="n"/>
      <c r="AI107" s="6" t="n"/>
      <c r="AJ107" s="6" t="n"/>
    </row>
    <row r="108">
      <c r="A108" s="58" t="n"/>
      <c r="B108" s="117" t="n"/>
      <c r="C108" s="118" t="n"/>
      <c r="D108" s="111" t="n"/>
      <c r="E108" s="123" t="n"/>
      <c r="F108" s="111" t="n"/>
      <c r="G108" s="123" t="n"/>
      <c r="H108" s="113" t="n"/>
      <c r="I108" s="113" t="n"/>
      <c r="J108" s="124" t="n"/>
      <c r="K108" s="111" t="n"/>
      <c r="L108" s="113" t="n"/>
      <c r="M108" s="113" t="n"/>
      <c r="N108" s="111" t="n"/>
      <c r="O108" s="111" t="n"/>
      <c r="P108" s="6" t="n"/>
      <c r="Q108" s="6" t="n"/>
      <c r="R108" s="6" t="n"/>
      <c r="S108" s="6" t="n"/>
      <c r="T108" s="6" t="n"/>
      <c r="U108" s="6" t="n"/>
      <c r="V108" s="6" t="n"/>
      <c r="W108" s="6" t="n"/>
      <c r="X108" s="6" t="n"/>
      <c r="Y108" s="6" t="n"/>
      <c r="Z108" s="6" t="n"/>
      <c r="AA108" s="6" t="n"/>
      <c r="AB108" s="6" t="n"/>
      <c r="AC108" s="6" t="n"/>
      <c r="AD108" s="6" t="n"/>
      <c r="AE108" s="6" t="n"/>
      <c r="AF108" s="6" t="n"/>
      <c r="AG108" s="6" t="n"/>
      <c r="AH108" s="6" t="n"/>
      <c r="AI108" s="6" t="n"/>
      <c r="AJ108" s="6" t="n"/>
    </row>
    <row r="109">
      <c r="A109" s="58" t="n"/>
      <c r="B109" s="117" t="n"/>
      <c r="C109" s="118" t="n"/>
      <c r="D109" s="111" t="n"/>
      <c r="E109" s="123" t="n"/>
      <c r="F109" s="111" t="n"/>
      <c r="G109" s="123" t="n"/>
      <c r="H109" s="113" t="n"/>
      <c r="I109" s="113" t="n"/>
      <c r="J109" s="124" t="n"/>
      <c r="K109" s="111" t="n"/>
      <c r="L109" s="113" t="n"/>
      <c r="M109" s="113" t="n"/>
      <c r="N109" s="111" t="n"/>
      <c r="O109" s="111" t="n"/>
      <c r="P109" s="6" t="n"/>
      <c r="Q109" s="6" t="n"/>
      <c r="R109" s="6" t="n"/>
      <c r="S109" s="6" t="n"/>
      <c r="T109" s="6" t="n"/>
      <c r="U109" s="6" t="n"/>
      <c r="V109" s="6" t="n"/>
      <c r="W109" s="6" t="n"/>
      <c r="X109" s="6" t="n"/>
      <c r="Y109" s="6" t="n"/>
      <c r="Z109" s="6" t="n"/>
      <c r="AA109" s="6" t="n"/>
      <c r="AB109" s="6" t="n"/>
      <c r="AC109" s="6" t="n"/>
      <c r="AD109" s="6" t="n"/>
      <c r="AE109" s="6" t="n"/>
      <c r="AF109" s="6" t="n"/>
      <c r="AG109" s="6" t="n"/>
      <c r="AH109" s="6" t="n"/>
      <c r="AI109" s="6" t="n"/>
      <c r="AJ109" s="6" t="n"/>
    </row>
    <row r="110">
      <c r="A110" s="58" t="n"/>
      <c r="B110" s="117" t="n"/>
      <c r="C110" s="118" t="n"/>
      <c r="D110" s="111" t="n"/>
      <c r="E110" s="123" t="n"/>
      <c r="F110" s="111" t="n"/>
      <c r="G110" s="123" t="n"/>
      <c r="H110" s="113" t="n"/>
      <c r="I110" s="113" t="n"/>
      <c r="J110" s="124" t="n"/>
      <c r="K110" s="111" t="n"/>
      <c r="L110" s="113" t="n"/>
      <c r="M110" s="113" t="n"/>
      <c r="N110" s="111" t="n"/>
      <c r="O110" s="111" t="n"/>
      <c r="P110" s="6" t="n"/>
      <c r="Q110" s="6" t="n"/>
      <c r="R110" s="6" t="n"/>
      <c r="S110" s="6" t="n"/>
      <c r="T110" s="6" t="n"/>
      <c r="U110" s="6" t="n"/>
      <c r="V110" s="6" t="n"/>
      <c r="W110" s="6" t="n"/>
      <c r="X110" s="6" t="n"/>
      <c r="Y110" s="6" t="n"/>
      <c r="Z110" s="6" t="n"/>
      <c r="AA110" s="6" t="n"/>
      <c r="AB110" s="6" t="n"/>
      <c r="AC110" s="6" t="n"/>
      <c r="AD110" s="6" t="n"/>
      <c r="AE110" s="6" t="n"/>
      <c r="AF110" s="6" t="n"/>
      <c r="AG110" s="6" t="n"/>
      <c r="AH110" s="6" t="n"/>
      <c r="AI110" s="6" t="n"/>
      <c r="AJ110" s="6" t="n"/>
    </row>
    <row r="111">
      <c r="A111" s="58" t="n"/>
      <c r="B111" s="117" t="n"/>
      <c r="C111" s="118" t="n"/>
      <c r="D111" s="111" t="n"/>
      <c r="E111" s="123" t="n"/>
      <c r="F111" s="111" t="n"/>
      <c r="G111" s="123" t="n"/>
      <c r="H111" s="113" t="n"/>
      <c r="I111" s="113" t="n"/>
      <c r="J111" s="124" t="n"/>
      <c r="K111" s="111" t="n"/>
      <c r="L111" s="113" t="n"/>
      <c r="M111" s="113" t="n"/>
      <c r="N111" s="111" t="n"/>
      <c r="O111" s="111" t="n"/>
      <c r="P111" s="6" t="n"/>
      <c r="Q111" s="6" t="n"/>
      <c r="R111" s="6" t="n"/>
      <c r="S111" s="6" t="n"/>
      <c r="T111" s="6" t="n"/>
      <c r="U111" s="6" t="n"/>
      <c r="V111" s="6" t="n"/>
      <c r="W111" s="6" t="n"/>
      <c r="X111" s="6" t="n"/>
      <c r="Y111" s="6" t="n"/>
      <c r="Z111" s="6" t="n"/>
      <c r="AA111" s="6" t="n"/>
      <c r="AB111" s="6" t="n"/>
      <c r="AC111" s="6" t="n"/>
      <c r="AD111" s="6" t="n"/>
      <c r="AE111" s="6" t="n"/>
      <c r="AF111" s="6" t="n"/>
      <c r="AG111" s="6" t="n"/>
      <c r="AH111" s="6" t="n"/>
      <c r="AI111" s="6" t="n"/>
      <c r="AJ111" s="6" t="n"/>
    </row>
    <row r="112">
      <c r="A112" s="58" t="n"/>
      <c r="B112" s="117" t="n"/>
      <c r="C112" s="118" t="n"/>
      <c r="D112" s="111" t="n"/>
      <c r="E112" s="123" t="n"/>
      <c r="F112" s="111" t="n"/>
      <c r="G112" s="123" t="n"/>
      <c r="H112" s="113" t="n"/>
      <c r="I112" s="113" t="n"/>
      <c r="J112" s="124" t="n"/>
      <c r="K112" s="111" t="n"/>
      <c r="L112" s="113" t="n"/>
      <c r="M112" s="113" t="n"/>
      <c r="N112" s="111" t="n"/>
      <c r="O112" s="111" t="n"/>
      <c r="P112" s="6" t="n"/>
      <c r="Q112" s="6" t="n"/>
      <c r="R112" s="6" t="n"/>
      <c r="S112" s="6" t="n"/>
      <c r="T112" s="6" t="n"/>
      <c r="U112" s="6" t="n"/>
      <c r="V112" s="6" t="n"/>
      <c r="W112" s="6" t="n"/>
      <c r="X112" s="6" t="n"/>
      <c r="Y112" s="6" t="n"/>
      <c r="Z112" s="6" t="n"/>
      <c r="AA112" s="6" t="n"/>
      <c r="AB112" s="6" t="n"/>
      <c r="AC112" s="6" t="n"/>
      <c r="AD112" s="6" t="n"/>
      <c r="AE112" s="6" t="n"/>
      <c r="AF112" s="6" t="n"/>
      <c r="AG112" s="6" t="n"/>
      <c r="AH112" s="6" t="n"/>
      <c r="AI112" s="6" t="n"/>
      <c r="AJ112" s="6" t="n"/>
    </row>
    <row r="113">
      <c r="A113" s="58" t="n"/>
      <c r="B113" s="117" t="n"/>
      <c r="C113" s="118" t="n"/>
      <c r="D113" s="111" t="n"/>
      <c r="E113" s="123" t="n"/>
      <c r="F113" s="111" t="n"/>
      <c r="G113" s="123" t="n"/>
      <c r="H113" s="113" t="n"/>
      <c r="I113" s="113" t="n"/>
      <c r="J113" s="124" t="n"/>
      <c r="K113" s="111" t="n"/>
      <c r="L113" s="113" t="n"/>
      <c r="M113" s="113" t="n"/>
      <c r="N113" s="111" t="n"/>
      <c r="O113" s="111" t="n"/>
      <c r="P113" s="6" t="n"/>
      <c r="Q113" s="6" t="n"/>
      <c r="R113" s="6" t="n"/>
      <c r="S113" s="6" t="n"/>
      <c r="T113" s="6" t="n"/>
      <c r="U113" s="6" t="n"/>
      <c r="V113" s="6" t="n"/>
      <c r="W113" s="6" t="n"/>
      <c r="X113" s="6" t="n"/>
      <c r="Y113" s="6" t="n"/>
      <c r="Z113" s="6" t="n"/>
      <c r="AA113" s="6" t="n"/>
      <c r="AB113" s="6" t="n"/>
      <c r="AC113" s="6" t="n"/>
      <c r="AD113" s="6" t="n"/>
      <c r="AE113" s="6" t="n"/>
      <c r="AF113" s="6" t="n"/>
      <c r="AG113" s="6" t="n"/>
      <c r="AH113" s="6" t="n"/>
      <c r="AI113" s="6" t="n"/>
      <c r="AJ113" s="6" t="n"/>
    </row>
    <row r="114">
      <c r="A114" s="58" t="n"/>
      <c r="B114" s="117" t="n"/>
      <c r="C114" s="118" t="n"/>
      <c r="D114" s="111" t="n"/>
      <c r="E114" s="123" t="n"/>
      <c r="F114" s="111" t="n"/>
      <c r="G114" s="123" t="n"/>
      <c r="H114" s="113" t="n"/>
      <c r="I114" s="113" t="n"/>
      <c r="J114" s="124" t="n"/>
      <c r="K114" s="111" t="n"/>
      <c r="L114" s="113" t="n"/>
      <c r="M114" s="113" t="n"/>
      <c r="N114" s="111" t="n"/>
      <c r="O114" s="111" t="n"/>
      <c r="P114" s="6" t="n"/>
      <c r="Q114" s="6" t="n"/>
      <c r="R114" s="6" t="n"/>
      <c r="S114" s="6" t="n"/>
      <c r="T114" s="6" t="n"/>
      <c r="U114" s="6" t="n"/>
      <c r="V114" s="6" t="n"/>
      <c r="W114" s="6" t="n"/>
      <c r="X114" s="6" t="n"/>
      <c r="Y114" s="6" t="n"/>
      <c r="Z114" s="6" t="n"/>
      <c r="AA114" s="6" t="n"/>
      <c r="AB114" s="6" t="n"/>
      <c r="AC114" s="6" t="n"/>
      <c r="AD114" s="6" t="n"/>
      <c r="AE114" s="6" t="n"/>
      <c r="AF114" s="6" t="n"/>
      <c r="AG114" s="6" t="n"/>
      <c r="AH114" s="6" t="n"/>
      <c r="AI114" s="6" t="n"/>
      <c r="AJ114" s="6" t="n"/>
    </row>
    <row r="115">
      <c r="A115" s="58" t="n"/>
      <c r="B115" s="117" t="n"/>
      <c r="C115" s="118" t="n"/>
      <c r="D115" s="111" t="n"/>
      <c r="E115" s="123" t="n"/>
      <c r="F115" s="111" t="n"/>
      <c r="G115" s="123" t="n"/>
      <c r="H115" s="113" t="n"/>
      <c r="I115" s="113" t="n"/>
      <c r="J115" s="124" t="n"/>
      <c r="K115" s="111" t="n"/>
      <c r="L115" s="113" t="n"/>
      <c r="M115" s="113" t="n"/>
      <c r="N115" s="111" t="n"/>
      <c r="O115" s="111" t="n"/>
      <c r="P115" s="6" t="n"/>
      <c r="Q115" s="6" t="n"/>
      <c r="R115" s="6" t="n"/>
      <c r="S115" s="6" t="n"/>
      <c r="T115" s="6" t="n"/>
      <c r="U115" s="6" t="n"/>
      <c r="V115" s="6" t="n"/>
      <c r="W115" s="6" t="n"/>
      <c r="X115" s="6" t="n"/>
      <c r="Y115" s="6" t="n"/>
      <c r="Z115" s="6" t="n"/>
      <c r="AA115" s="6" t="n"/>
      <c r="AB115" s="6" t="n"/>
      <c r="AC115" s="6" t="n"/>
      <c r="AD115" s="6" t="n"/>
      <c r="AE115" s="6" t="n"/>
      <c r="AF115" s="6" t="n"/>
      <c r="AG115" s="6" t="n"/>
      <c r="AH115" s="6" t="n"/>
      <c r="AI115" s="6" t="n"/>
      <c r="AJ115" s="6" t="n"/>
    </row>
    <row r="116">
      <c r="A116" s="58" t="n"/>
      <c r="B116" s="117" t="n"/>
      <c r="C116" s="118" t="n"/>
      <c r="D116" s="111" t="n"/>
      <c r="E116" s="123" t="n"/>
      <c r="F116" s="111" t="n"/>
      <c r="G116" s="123" t="n"/>
      <c r="H116" s="113" t="n"/>
      <c r="I116" s="113" t="n"/>
      <c r="J116" s="124" t="n"/>
      <c r="K116" s="111" t="n"/>
      <c r="L116" s="113" t="n"/>
      <c r="M116" s="113" t="n"/>
      <c r="N116" s="111" t="n"/>
      <c r="O116" s="111" t="n"/>
      <c r="P116" s="6" t="n"/>
      <c r="Q116" s="6" t="n"/>
      <c r="R116" s="6" t="n"/>
      <c r="S116" s="6" t="n"/>
      <c r="T116" s="6" t="n"/>
      <c r="U116" s="6" t="n"/>
      <c r="V116" s="6" t="n"/>
      <c r="W116" s="6" t="n"/>
      <c r="X116" s="6" t="n"/>
      <c r="Y116" s="6" t="n"/>
      <c r="Z116" s="6" t="n"/>
      <c r="AA116" s="6" t="n"/>
      <c r="AB116" s="6" t="n"/>
      <c r="AC116" s="6" t="n"/>
      <c r="AD116" s="6" t="n"/>
      <c r="AE116" s="6" t="n"/>
      <c r="AF116" s="6" t="n"/>
      <c r="AG116" s="6" t="n"/>
      <c r="AH116" s="6" t="n"/>
      <c r="AI116" s="6" t="n"/>
      <c r="AJ116" s="6" t="n"/>
    </row>
    <row r="117">
      <c r="A117" s="58" t="n"/>
      <c r="B117" s="117" t="n"/>
      <c r="C117" s="118" t="n"/>
      <c r="D117" s="111" t="n"/>
      <c r="E117" s="123" t="n"/>
      <c r="F117" s="111" t="n"/>
      <c r="G117" s="123" t="n"/>
      <c r="H117" s="113" t="n"/>
      <c r="I117" s="113" t="n"/>
      <c r="J117" s="124" t="n"/>
      <c r="K117" s="111" t="n"/>
      <c r="L117" s="113" t="n"/>
      <c r="M117" s="113" t="n"/>
      <c r="N117" s="111" t="n"/>
      <c r="O117" s="111" t="n"/>
      <c r="P117" s="6" t="n"/>
      <c r="Q117" s="6" t="n"/>
      <c r="R117" s="6" t="n"/>
      <c r="S117" s="6" t="n"/>
      <c r="T117" s="6" t="n"/>
      <c r="U117" s="6" t="n"/>
      <c r="V117" s="6" t="n"/>
      <c r="W117" s="6" t="n"/>
      <c r="X117" s="6" t="n"/>
      <c r="Y117" s="6" t="n"/>
      <c r="Z117" s="6" t="n"/>
      <c r="AA117" s="6" t="n"/>
      <c r="AB117" s="6" t="n"/>
      <c r="AC117" s="6" t="n"/>
      <c r="AD117" s="6" t="n"/>
      <c r="AE117" s="6" t="n"/>
      <c r="AF117" s="6" t="n"/>
      <c r="AG117" s="6" t="n"/>
      <c r="AH117" s="6" t="n"/>
      <c r="AI117" s="6" t="n"/>
      <c r="AJ117" s="6" t="n"/>
    </row>
    <row r="118">
      <c r="A118" s="58" t="n"/>
      <c r="B118" s="117" t="n"/>
      <c r="C118" s="118" t="n"/>
      <c r="D118" s="111" t="n"/>
      <c r="E118" s="123" t="n"/>
      <c r="F118" s="111" t="n"/>
      <c r="G118" s="123" t="n"/>
      <c r="H118" s="113" t="n"/>
      <c r="I118" s="113" t="n"/>
      <c r="J118" s="124" t="n"/>
      <c r="K118" s="111" t="n"/>
      <c r="L118" s="113" t="n"/>
      <c r="M118" s="113" t="n"/>
      <c r="N118" s="111" t="n"/>
      <c r="O118" s="111" t="n"/>
      <c r="P118" s="6" t="n"/>
      <c r="Q118" s="6" t="n"/>
      <c r="R118" s="6" t="n"/>
      <c r="S118" s="6" t="n"/>
      <c r="T118" s="6" t="n"/>
      <c r="U118" s="6" t="n"/>
      <c r="V118" s="6" t="n"/>
      <c r="W118" s="6" t="n"/>
      <c r="X118" s="6" t="n"/>
      <c r="Y118" s="6" t="n"/>
      <c r="Z118" s="6" t="n"/>
      <c r="AA118" s="6" t="n"/>
      <c r="AB118" s="6" t="n"/>
      <c r="AC118" s="6" t="n"/>
      <c r="AD118" s="6" t="n"/>
      <c r="AE118" s="6" t="n"/>
      <c r="AF118" s="6" t="n"/>
      <c r="AG118" s="6" t="n"/>
      <c r="AH118" s="6" t="n"/>
      <c r="AI118" s="6" t="n"/>
      <c r="AJ118" s="6" t="n"/>
    </row>
    <row r="119">
      <c r="A119" s="58" t="n"/>
      <c r="B119" s="117" t="n"/>
      <c r="C119" s="118" t="n"/>
      <c r="D119" s="111" t="n"/>
      <c r="E119" s="123" t="n"/>
      <c r="F119" s="111" t="n"/>
      <c r="G119" s="123" t="n"/>
      <c r="H119" s="113" t="n"/>
      <c r="I119" s="113" t="n"/>
      <c r="J119" s="124" t="n"/>
      <c r="K119" s="111" t="n"/>
      <c r="L119" s="113" t="n"/>
      <c r="M119" s="113" t="n"/>
      <c r="N119" s="111" t="n"/>
      <c r="O119" s="111" t="n"/>
      <c r="P119" s="6" t="n"/>
      <c r="Q119" s="6" t="n"/>
      <c r="R119" s="6" t="n"/>
      <c r="S119" s="6" t="n"/>
      <c r="T119" s="6" t="n"/>
      <c r="U119" s="6" t="n"/>
      <c r="V119" s="6" t="n"/>
      <c r="W119" s="6" t="n"/>
      <c r="X119" s="6" t="n"/>
      <c r="Y119" s="6" t="n"/>
      <c r="Z119" s="6" t="n"/>
      <c r="AA119" s="6" t="n"/>
      <c r="AB119" s="6" t="n"/>
      <c r="AC119" s="6" t="n"/>
      <c r="AD119" s="6" t="n"/>
      <c r="AE119" s="6" t="n"/>
      <c r="AF119" s="6" t="n"/>
      <c r="AG119" s="6" t="n"/>
      <c r="AH119" s="6" t="n"/>
      <c r="AI119" s="6" t="n"/>
      <c r="AJ119" s="6" t="n"/>
    </row>
    <row r="120">
      <c r="A120" s="58" t="n"/>
      <c r="B120" s="117" t="n"/>
      <c r="C120" s="118" t="n"/>
      <c r="D120" s="111" t="n"/>
      <c r="E120" s="123" t="n"/>
      <c r="F120" s="111" t="n"/>
      <c r="G120" s="123" t="n"/>
      <c r="H120" s="113" t="n"/>
      <c r="I120" s="113" t="n"/>
      <c r="J120" s="124" t="n"/>
      <c r="K120" s="111" t="n"/>
      <c r="L120" s="113" t="n"/>
      <c r="M120" s="113" t="n"/>
      <c r="N120" s="111" t="n"/>
      <c r="O120" s="111" t="n"/>
      <c r="P120" s="6" t="n"/>
      <c r="Q120" s="6" t="n"/>
      <c r="R120" s="6" t="n"/>
      <c r="S120" s="6" t="n"/>
      <c r="T120" s="6" t="n"/>
      <c r="U120" s="6" t="n"/>
      <c r="V120" s="6" t="n"/>
      <c r="W120" s="6" t="n"/>
      <c r="X120" s="6" t="n"/>
      <c r="Y120" s="6" t="n"/>
      <c r="Z120" s="6" t="n"/>
      <c r="AA120" s="6" t="n"/>
      <c r="AB120" s="6" t="n"/>
      <c r="AC120" s="6" t="n"/>
      <c r="AD120" s="6" t="n"/>
      <c r="AE120" s="6" t="n"/>
      <c r="AF120" s="6" t="n"/>
      <c r="AG120" s="6" t="n"/>
      <c r="AH120" s="6" t="n"/>
      <c r="AI120" s="6" t="n"/>
      <c r="AJ120" s="6" t="n"/>
    </row>
    <row r="121">
      <c r="A121" s="58" t="n"/>
      <c r="B121" s="58" t="n"/>
      <c r="C121" s="58" t="n"/>
      <c r="D121" s="58" t="n"/>
      <c r="E121" s="58" t="n"/>
      <c r="F121" s="58" t="n"/>
      <c r="G121" s="58" t="n"/>
      <c r="H121" s="58" t="n"/>
      <c r="I121" s="58" t="n"/>
      <c r="J121" s="58" t="n"/>
      <c r="K121" s="58" t="n"/>
      <c r="L121" s="58" t="n"/>
      <c r="M121" s="58" t="n"/>
      <c r="N121" s="58" t="n"/>
      <c r="O121" s="58" t="n"/>
      <c r="P121" s="6" t="n"/>
      <c r="Q121" s="6" t="n"/>
      <c r="R121" s="6" t="n"/>
      <c r="S121" s="6" t="n"/>
      <c r="T121" s="6" t="n"/>
      <c r="U121" s="6" t="n"/>
      <c r="V121" s="6" t="n"/>
      <c r="W121" s="6" t="n"/>
      <c r="X121" s="6" t="n"/>
      <c r="Y121" s="6" t="n"/>
      <c r="Z121" s="6" t="n"/>
      <c r="AA121" s="6" t="n"/>
      <c r="AB121" s="6" t="n"/>
      <c r="AC121" s="6" t="n"/>
      <c r="AD121" s="6" t="n"/>
      <c r="AE121" s="6" t="n"/>
      <c r="AF121" s="6" t="n"/>
      <c r="AG121" s="6" t="n"/>
      <c r="AH121" s="6" t="n"/>
      <c r="AI121" s="6" t="n"/>
      <c r="AJ121" s="6" t="n"/>
    </row>
    <row r="122">
      <c r="A122" s="58" t="n"/>
      <c r="B122" s="58" t="n"/>
      <c r="C122" s="58" t="n"/>
      <c r="D122" s="58" t="n"/>
      <c r="E122" s="58" t="n"/>
      <c r="F122" s="58" t="n"/>
      <c r="G122" s="58" t="n"/>
      <c r="H122" s="58" t="n"/>
      <c r="I122" s="58" t="n"/>
      <c r="J122" s="58" t="n"/>
      <c r="K122" s="58" t="n"/>
      <c r="L122" s="58" t="n"/>
      <c r="M122" s="58" t="n"/>
      <c r="N122" s="58" t="n"/>
      <c r="O122" s="58" t="n"/>
      <c r="P122" s="6" t="n"/>
      <c r="Q122" s="6" t="n"/>
      <c r="R122" s="6" t="n"/>
      <c r="S122" s="6" t="n"/>
      <c r="T122" s="6" t="n"/>
      <c r="U122" s="6" t="n"/>
      <c r="V122" s="6" t="n"/>
      <c r="W122" s="6" t="n"/>
      <c r="X122" s="6" t="n"/>
      <c r="Y122" s="6" t="n"/>
      <c r="Z122" s="6" t="n"/>
      <c r="AA122" s="6" t="n"/>
      <c r="AB122" s="6" t="n"/>
      <c r="AC122" s="6" t="n"/>
      <c r="AD122" s="6" t="n"/>
      <c r="AE122" s="6" t="n"/>
      <c r="AF122" s="6" t="n"/>
      <c r="AG122" s="6" t="n"/>
      <c r="AH122" s="6" t="n"/>
      <c r="AI122" s="6" t="n"/>
      <c r="AJ122" s="6" t="n"/>
    </row>
    <row r="123">
      <c r="A123" s="58" t="n"/>
      <c r="B123" s="58" t="n"/>
      <c r="C123" s="58" t="n"/>
      <c r="D123" s="58" t="n"/>
      <c r="E123" s="58" t="n"/>
      <c r="F123" s="58" t="n"/>
      <c r="G123" s="58" t="n"/>
      <c r="H123" s="58" t="n"/>
      <c r="I123" s="58" t="n"/>
      <c r="J123" s="58" t="n"/>
      <c r="K123" s="58" t="n"/>
      <c r="L123" s="58" t="n"/>
      <c r="M123" s="58" t="n"/>
      <c r="N123" s="58" t="n"/>
      <c r="O123" s="58" t="n"/>
      <c r="P123" s="6" t="n"/>
      <c r="Q123" s="6" t="n"/>
      <c r="R123" s="6" t="n"/>
      <c r="S123" s="6" t="n"/>
      <c r="T123" s="6" t="n"/>
      <c r="U123" s="6" t="n"/>
      <c r="V123" s="6" t="n"/>
      <c r="W123" s="6" t="n"/>
      <c r="X123" s="6" t="n"/>
      <c r="Y123" s="6" t="n"/>
      <c r="Z123" s="6" t="n"/>
      <c r="AA123" s="6" t="n"/>
      <c r="AB123" s="6" t="n"/>
      <c r="AC123" s="6" t="n"/>
      <c r="AD123" s="6" t="n"/>
      <c r="AE123" s="6" t="n"/>
      <c r="AF123" s="6" t="n"/>
      <c r="AG123" s="6" t="n"/>
      <c r="AH123" s="6" t="n"/>
      <c r="AI123" s="6" t="n"/>
      <c r="AJ123" s="6" t="n"/>
    </row>
    <row r="124">
      <c r="A124" s="6" t="n"/>
      <c r="B124" s="6" t="n"/>
      <c r="C124" s="6" t="n"/>
      <c r="D124" s="6" t="n"/>
      <c r="E124" s="6" t="n"/>
      <c r="F124" s="6" t="n"/>
      <c r="G124" s="6" t="n"/>
      <c r="H124" s="6" t="n"/>
      <c r="I124" s="6" t="n"/>
      <c r="J124" s="6" t="n"/>
      <c r="K124" s="6" t="n"/>
      <c r="L124" s="6" t="n"/>
      <c r="M124" s="6" t="n"/>
      <c r="N124" s="6" t="n"/>
      <c r="O124" s="6" t="n"/>
      <c r="P124" s="6" t="n"/>
      <c r="Q124" s="6" t="n"/>
      <c r="R124" s="6" t="n"/>
      <c r="S124" s="6" t="n"/>
      <c r="T124" s="6" t="n"/>
      <c r="U124" s="6" t="n"/>
      <c r="V124" s="6" t="n"/>
      <c r="W124" s="6" t="n"/>
      <c r="X124" s="6" t="n"/>
      <c r="Y124" s="6" t="n"/>
      <c r="Z124" s="6" t="n"/>
      <c r="AA124" s="6" t="n"/>
      <c r="AB124" s="6" t="n"/>
      <c r="AC124" s="6" t="n"/>
      <c r="AD124" s="6" t="n"/>
      <c r="AE124" s="6" t="n"/>
      <c r="AF124" s="6" t="n"/>
      <c r="AG124" s="6" t="n"/>
      <c r="AH124" s="6" t="n"/>
      <c r="AI124" s="6" t="n"/>
      <c r="AJ124" s="6" t="n"/>
    </row>
    <row r="125">
      <c r="A125" s="6" t="n"/>
      <c r="B125" s="6" t="n"/>
      <c r="C125" s="6" t="n"/>
      <c r="D125" s="6" t="n"/>
      <c r="E125" s="6" t="n"/>
      <c r="F125" s="6" t="n"/>
      <c r="G125" s="6" t="n"/>
      <c r="H125" s="6" t="n"/>
      <c r="I125" s="6" t="n"/>
      <c r="J125" s="6" t="n"/>
      <c r="K125" s="6" t="n"/>
      <c r="L125" s="6" t="n"/>
      <c r="M125" s="6" t="n"/>
      <c r="N125" s="6" t="n"/>
      <c r="O125" s="6" t="n"/>
      <c r="P125" s="6" t="n"/>
      <c r="Q125" s="6" t="n"/>
      <c r="R125" s="6" t="n"/>
      <c r="S125" s="6" t="n"/>
      <c r="T125" s="6" t="n"/>
      <c r="U125" s="6" t="n"/>
      <c r="V125" s="6" t="n"/>
      <c r="W125" s="6" t="n"/>
      <c r="X125" s="6" t="n"/>
      <c r="Y125" s="6" t="n"/>
      <c r="Z125" s="6" t="n"/>
      <c r="AA125" s="6" t="n"/>
      <c r="AB125" s="6" t="n"/>
      <c r="AC125" s="6" t="n"/>
      <c r="AD125" s="6" t="n"/>
      <c r="AE125" s="6" t="n"/>
      <c r="AF125" s="6" t="n"/>
      <c r="AG125" s="6" t="n"/>
      <c r="AH125" s="6" t="n"/>
      <c r="AI125" s="6" t="n"/>
      <c r="AJ125" s="6" t="n"/>
    </row>
    <row r="126">
      <c r="A126" s="6" t="n"/>
      <c r="B126" s="6" t="n"/>
      <c r="C126" s="6" t="n"/>
      <c r="D126" s="6" t="n"/>
      <c r="E126" s="6" t="n"/>
      <c r="F126" s="6" t="n"/>
      <c r="G126" s="6" t="n"/>
      <c r="H126" s="6" t="n"/>
      <c r="I126" s="6" t="n"/>
      <c r="J126" s="6" t="n"/>
      <c r="K126" s="6" t="n"/>
      <c r="L126" s="6" t="n"/>
      <c r="M126" s="6" t="n"/>
      <c r="N126" s="6" t="n"/>
      <c r="O126" s="6" t="n"/>
      <c r="P126" s="6" t="n"/>
      <c r="Q126" s="6" t="n"/>
      <c r="R126" s="6" t="n"/>
      <c r="S126" s="6" t="n"/>
      <c r="T126" s="6" t="n"/>
      <c r="U126" s="6" t="n"/>
      <c r="V126" s="6" t="n"/>
      <c r="W126" s="6" t="n"/>
      <c r="X126" s="6" t="n"/>
      <c r="Y126" s="6" t="n"/>
      <c r="Z126" s="6" t="n"/>
      <c r="AA126" s="6" t="n"/>
      <c r="AB126" s="6" t="n"/>
      <c r="AC126" s="6" t="n"/>
      <c r="AD126" s="6" t="n"/>
      <c r="AE126" s="6" t="n"/>
      <c r="AF126" s="6" t="n"/>
      <c r="AG126" s="6" t="n"/>
      <c r="AH126" s="6" t="n"/>
      <c r="AI126" s="6" t="n"/>
      <c r="AJ126" s="6" t="n"/>
    </row>
    <row r="127">
      <c r="A127" s="6" t="n"/>
      <c r="B127" s="6" t="n"/>
      <c r="C127" s="6" t="n"/>
      <c r="D127" s="6" t="n"/>
      <c r="E127" s="6" t="n"/>
      <c r="F127" s="6" t="n"/>
      <c r="G127" s="6" t="n"/>
      <c r="H127" s="6" t="n"/>
      <c r="I127" s="6" t="n"/>
      <c r="J127" s="6" t="n"/>
      <c r="K127" s="6" t="n"/>
      <c r="L127" s="6" t="n"/>
      <c r="M127" s="6" t="n"/>
      <c r="N127" s="6" t="n"/>
      <c r="O127" s="6" t="n"/>
      <c r="P127" s="6" t="n"/>
      <c r="Q127" s="6" t="n"/>
      <c r="R127" s="6" t="n"/>
      <c r="S127" s="6" t="n"/>
      <c r="T127" s="6" t="n"/>
      <c r="U127" s="6" t="n"/>
      <c r="V127" s="6" t="n"/>
      <c r="W127" s="6" t="n"/>
      <c r="X127" s="6" t="n"/>
      <c r="Y127" s="6" t="n"/>
      <c r="Z127" s="6" t="n"/>
      <c r="AA127" s="6" t="n"/>
      <c r="AB127" s="6" t="n"/>
      <c r="AC127" s="6" t="n"/>
      <c r="AD127" s="6" t="n"/>
      <c r="AE127" s="6" t="n"/>
      <c r="AF127" s="6" t="n"/>
      <c r="AG127" s="6" t="n"/>
      <c r="AH127" s="6" t="n"/>
      <c r="AI127" s="6" t="n"/>
      <c r="AJ127" s="6" t="n"/>
    </row>
    <row r="128">
      <c r="A128" s="6" t="n"/>
      <c r="B128" s="6" t="n"/>
      <c r="C128" s="6" t="n"/>
      <c r="D128" s="6" t="n"/>
      <c r="E128" s="6" t="n"/>
      <c r="F128" s="6" t="n"/>
      <c r="G128" s="6" t="n"/>
      <c r="H128" s="6" t="n"/>
      <c r="I128" s="6" t="n"/>
      <c r="J128" s="6" t="n"/>
      <c r="K128" s="6" t="n"/>
      <c r="L128" s="6" t="n"/>
      <c r="M128" s="6" t="n"/>
      <c r="N128" s="6" t="n"/>
      <c r="O128" s="6" t="n"/>
      <c r="P128" s="6" t="n"/>
      <c r="Q128" s="6" t="n"/>
      <c r="R128" s="6" t="n"/>
      <c r="S128" s="6" t="n"/>
      <c r="T128" s="6" t="n"/>
      <c r="U128" s="6" t="n"/>
      <c r="V128" s="6" t="n"/>
      <c r="W128" s="6" t="n"/>
      <c r="X128" s="6" t="n"/>
      <c r="Y128" s="6" t="n"/>
      <c r="Z128" s="6" t="n"/>
      <c r="AA128" s="6" t="n"/>
      <c r="AB128" s="6" t="n"/>
      <c r="AC128" s="6" t="n"/>
      <c r="AD128" s="6" t="n"/>
      <c r="AE128" s="6" t="n"/>
      <c r="AF128" s="6" t="n"/>
      <c r="AG128" s="6" t="n"/>
      <c r="AH128" s="6" t="n"/>
      <c r="AI128" s="6" t="n"/>
      <c r="AJ128" s="6" t="n"/>
    </row>
    <row r="129">
      <c r="A129" s="6" t="n"/>
      <c r="B129" s="6" t="n"/>
      <c r="C129" s="6" t="n"/>
      <c r="D129" s="6" t="n"/>
      <c r="E129" s="6" t="n"/>
      <c r="F129" s="6" t="n"/>
      <c r="G129" s="6" t="n"/>
      <c r="H129" s="6" t="n"/>
      <c r="I129" s="6" t="n"/>
      <c r="J129" s="6" t="n"/>
      <c r="K129" s="6" t="n"/>
      <c r="L129" s="6" t="n"/>
      <c r="M129" s="6" t="n"/>
      <c r="N129" s="6" t="n"/>
      <c r="O129" s="6" t="n"/>
      <c r="P129" s="6" t="n"/>
      <c r="Q129" s="6" t="n"/>
      <c r="R129" s="6" t="n"/>
      <c r="S129" s="6" t="n"/>
      <c r="T129" s="6" t="n"/>
      <c r="U129" s="6" t="n"/>
      <c r="V129" s="6" t="n"/>
      <c r="W129" s="6" t="n"/>
      <c r="X129" s="6" t="n"/>
      <c r="Y129" s="6" t="n"/>
      <c r="Z129" s="6" t="n"/>
      <c r="AA129" s="6" t="n"/>
      <c r="AB129" s="6" t="n"/>
      <c r="AC129" s="6" t="n"/>
      <c r="AD129" s="6" t="n"/>
      <c r="AE129" s="6" t="n"/>
      <c r="AF129" s="6" t="n"/>
      <c r="AG129" s="6" t="n"/>
      <c r="AH129" s="6" t="n"/>
      <c r="AI129" s="6" t="n"/>
      <c r="AJ129" s="6" t="n"/>
    </row>
    <row r="130">
      <c r="A130" s="6" t="n"/>
      <c r="B130" s="6" t="n"/>
      <c r="C130" s="6" t="n"/>
      <c r="D130" s="6" t="n"/>
      <c r="E130" s="6" t="n"/>
      <c r="F130" s="6" t="n"/>
      <c r="G130" s="6" t="n"/>
      <c r="H130" s="6" t="n"/>
      <c r="I130" s="6" t="n"/>
      <c r="J130" s="6" t="n"/>
      <c r="K130" s="6" t="n"/>
      <c r="L130" s="6" t="n"/>
      <c r="M130" s="6" t="n"/>
      <c r="N130" s="6" t="n"/>
      <c r="O130" s="6" t="n"/>
      <c r="P130" s="6" t="n"/>
      <c r="Q130" s="6" t="n"/>
      <c r="R130" s="6" t="n"/>
      <c r="S130" s="6" t="n"/>
      <c r="T130" s="6" t="n"/>
      <c r="U130" s="6" t="n"/>
      <c r="V130" s="6" t="n"/>
      <c r="W130" s="6" t="n"/>
      <c r="X130" s="6" t="n"/>
      <c r="Y130" s="6" t="n"/>
      <c r="Z130" s="6" t="n"/>
      <c r="AA130" s="6" t="n"/>
      <c r="AB130" s="6" t="n"/>
      <c r="AC130" s="6" t="n"/>
      <c r="AD130" s="6" t="n"/>
      <c r="AE130" s="6" t="n"/>
      <c r="AF130" s="6" t="n"/>
      <c r="AG130" s="6" t="n"/>
      <c r="AH130" s="6" t="n"/>
      <c r="AI130" s="6" t="n"/>
      <c r="AJ130" s="6" t="n"/>
    </row>
    <row r="131">
      <c r="A131" s="6" t="n"/>
      <c r="B131" s="6" t="n"/>
      <c r="C131" s="6" t="n"/>
      <c r="D131" s="6" t="n"/>
      <c r="E131" s="6" t="n"/>
      <c r="F131" s="6" t="n"/>
      <c r="G131" s="6" t="n"/>
      <c r="H131" s="6" t="n"/>
      <c r="I131" s="6" t="n"/>
      <c r="J131" s="6" t="n"/>
      <c r="K131" s="6" t="n"/>
      <c r="L131" s="6" t="n"/>
      <c r="M131" s="6" t="n"/>
      <c r="N131" s="6" t="n"/>
      <c r="O131" s="6" t="n"/>
      <c r="P131" s="6" t="n"/>
      <c r="Q131" s="6" t="n"/>
      <c r="R131" s="6" t="n"/>
      <c r="S131" s="6" t="n"/>
      <c r="T131" s="6" t="n"/>
      <c r="U131" s="6" t="n"/>
      <c r="V131" s="6" t="n"/>
      <c r="W131" s="6" t="n"/>
      <c r="X131" s="6" t="n"/>
      <c r="Y131" s="6" t="n"/>
      <c r="Z131" s="6" t="n"/>
      <c r="AA131" s="6" t="n"/>
      <c r="AB131" s="6" t="n"/>
      <c r="AC131" s="6" t="n"/>
      <c r="AD131" s="6" t="n"/>
      <c r="AE131" s="6" t="n"/>
      <c r="AF131" s="6" t="n"/>
      <c r="AG131" s="6" t="n"/>
      <c r="AH131" s="6" t="n"/>
      <c r="AI131" s="6" t="n"/>
      <c r="AJ131" s="6" t="n"/>
    </row>
    <row r="132">
      <c r="A132" s="6" t="n"/>
      <c r="B132" s="6" t="n"/>
      <c r="C132" s="6" t="n"/>
      <c r="D132" s="6" t="n"/>
      <c r="E132" s="6" t="n"/>
      <c r="F132" s="6" t="n"/>
      <c r="G132" s="6" t="n"/>
      <c r="H132" s="6" t="n"/>
      <c r="I132" s="6" t="n"/>
      <c r="J132" s="6" t="n"/>
      <c r="K132" s="6" t="n"/>
      <c r="L132" s="6" t="n"/>
      <c r="M132" s="6" t="n"/>
      <c r="N132" s="6" t="n"/>
      <c r="O132" s="6" t="n"/>
      <c r="P132" s="6" t="n"/>
      <c r="Q132" s="6" t="n"/>
      <c r="R132" s="6" t="n"/>
      <c r="S132" s="6" t="n"/>
      <c r="T132" s="6" t="n"/>
      <c r="U132" s="6" t="n"/>
      <c r="V132" s="6" t="n"/>
      <c r="W132" s="6" t="n"/>
      <c r="X132" s="6" t="n"/>
      <c r="Y132" s="6" t="n"/>
      <c r="Z132" s="6" t="n"/>
      <c r="AA132" s="6" t="n"/>
      <c r="AB132" s="6" t="n"/>
      <c r="AC132" s="6" t="n"/>
      <c r="AD132" s="6" t="n"/>
      <c r="AE132" s="6" t="n"/>
      <c r="AF132" s="6" t="n"/>
      <c r="AG132" s="6" t="n"/>
      <c r="AH132" s="6" t="n"/>
      <c r="AI132" s="6" t="n"/>
      <c r="AJ132" s="6" t="n"/>
    </row>
    <row r="133">
      <c r="A133" s="6" t="n"/>
      <c r="B133" s="6" t="n"/>
      <c r="C133" s="6" t="n"/>
      <c r="D133" s="6" t="n"/>
      <c r="E133" s="6" t="n"/>
      <c r="F133" s="6" t="n"/>
      <c r="G133" s="6" t="n"/>
      <c r="H133" s="6" t="n"/>
      <c r="I133" s="6" t="n"/>
      <c r="J133" s="6" t="n"/>
      <c r="K133" s="6" t="n"/>
      <c r="L133" s="6" t="n"/>
      <c r="M133" s="6" t="n"/>
      <c r="N133" s="6" t="n"/>
      <c r="O133" s="6" t="n"/>
      <c r="P133" s="6" t="n"/>
      <c r="Q133" s="6" t="n"/>
      <c r="R133" s="6" t="n"/>
      <c r="S133" s="6" t="n"/>
      <c r="T133" s="6" t="n"/>
      <c r="U133" s="6" t="n"/>
      <c r="V133" s="6" t="n"/>
      <c r="W133" s="6" t="n"/>
      <c r="X133" s="6" t="n"/>
      <c r="Y133" s="6" t="n"/>
      <c r="Z133" s="6" t="n"/>
      <c r="AA133" s="6" t="n"/>
      <c r="AB133" s="6" t="n"/>
      <c r="AC133" s="6" t="n"/>
      <c r="AD133" s="6" t="n"/>
      <c r="AE133" s="6" t="n"/>
      <c r="AF133" s="6" t="n"/>
      <c r="AG133" s="6" t="n"/>
      <c r="AH133" s="6" t="n"/>
      <c r="AI133" s="6" t="n"/>
      <c r="AJ133" s="6" t="n"/>
    </row>
    <row r="134">
      <c r="A134" s="6" t="n"/>
      <c r="B134" s="6" t="n"/>
      <c r="C134" s="6" t="n"/>
      <c r="D134" s="6" t="n"/>
      <c r="E134" s="6" t="n"/>
      <c r="F134" s="6" t="n"/>
      <c r="G134" s="6" t="n"/>
      <c r="H134" s="6" t="n"/>
      <c r="I134" s="6" t="n"/>
      <c r="J134" s="6" t="n"/>
      <c r="K134" s="6" t="n"/>
      <c r="L134" s="6" t="n"/>
      <c r="M134" s="6" t="n"/>
      <c r="N134" s="6" t="n"/>
      <c r="O134" s="6" t="n"/>
      <c r="P134" s="6" t="n"/>
      <c r="Q134" s="6" t="n"/>
      <c r="R134" s="6" t="n"/>
      <c r="S134" s="6" t="n"/>
      <c r="T134" s="6" t="n"/>
      <c r="U134" s="6" t="n"/>
      <c r="V134" s="6" t="n"/>
      <c r="W134" s="6" t="n"/>
      <c r="X134" s="6" t="n"/>
      <c r="Y134" s="6" t="n"/>
      <c r="Z134" s="6" t="n"/>
      <c r="AA134" s="6" t="n"/>
      <c r="AB134" s="6" t="n"/>
      <c r="AC134" s="6" t="n"/>
      <c r="AD134" s="6" t="n"/>
      <c r="AE134" s="6" t="n"/>
      <c r="AF134" s="6" t="n"/>
      <c r="AG134" s="6" t="n"/>
      <c r="AH134" s="6" t="n"/>
      <c r="AI134" s="6" t="n"/>
      <c r="AJ134" s="6" t="n"/>
    </row>
    <row r="135">
      <c r="A135" s="6" t="n"/>
      <c r="B135" s="6" t="n"/>
      <c r="C135" s="6" t="n"/>
      <c r="D135" s="6" t="n"/>
      <c r="E135" s="6" t="n"/>
      <c r="F135" s="6" t="n"/>
      <c r="G135" s="6" t="n"/>
      <c r="H135" s="6" t="n"/>
      <c r="I135" s="6" t="n"/>
      <c r="J135" s="6" t="n"/>
      <c r="K135" s="6" t="n"/>
      <c r="L135" s="6" t="n"/>
      <c r="M135" s="6" t="n"/>
      <c r="N135" s="6" t="n"/>
      <c r="O135" s="6" t="n"/>
      <c r="P135" s="6" t="n"/>
      <c r="Q135" s="6" t="n"/>
      <c r="R135" s="6" t="n"/>
      <c r="S135" s="6" t="n"/>
      <c r="T135" s="6" t="n"/>
      <c r="U135" s="6" t="n"/>
      <c r="V135" s="6" t="n"/>
      <c r="W135" s="6" t="n"/>
      <c r="X135" s="6" t="n"/>
      <c r="Y135" s="6" t="n"/>
      <c r="Z135" s="6" t="n"/>
      <c r="AA135" s="6" t="n"/>
      <c r="AB135" s="6" t="n"/>
      <c r="AC135" s="6" t="n"/>
      <c r="AD135" s="6" t="n"/>
      <c r="AE135" s="6" t="n"/>
      <c r="AF135" s="6" t="n"/>
      <c r="AG135" s="6" t="n"/>
      <c r="AH135" s="6" t="n"/>
      <c r="AI135" s="6" t="n"/>
      <c r="AJ135" s="6" t="n"/>
    </row>
    <row r="136">
      <c r="A136" s="6" t="n"/>
      <c r="B136" s="6" t="n"/>
      <c r="C136" s="6" t="n"/>
      <c r="D136" s="6" t="n"/>
      <c r="E136" s="6" t="n"/>
      <c r="F136" s="6" t="n"/>
      <c r="G136" s="6" t="n"/>
      <c r="H136" s="6" t="n"/>
      <c r="I136" s="6" t="n"/>
      <c r="J136" s="6" t="n"/>
      <c r="K136" s="6" t="n"/>
      <c r="L136" s="6" t="n"/>
      <c r="M136" s="6" t="n"/>
      <c r="N136" s="6" t="n"/>
      <c r="O136" s="6" t="n"/>
      <c r="P136" s="6" t="n"/>
      <c r="Q136" s="6" t="n"/>
      <c r="R136" s="6" t="n"/>
      <c r="S136" s="6" t="n"/>
      <c r="T136" s="6" t="n"/>
      <c r="U136" s="6" t="n"/>
      <c r="V136" s="6" t="n"/>
      <c r="W136" s="6" t="n"/>
      <c r="X136" s="6" t="n"/>
      <c r="Y136" s="6" t="n"/>
      <c r="Z136" s="6" t="n"/>
      <c r="AA136" s="6" t="n"/>
      <c r="AB136" s="6" t="n"/>
      <c r="AC136" s="6" t="n"/>
      <c r="AD136" s="6" t="n"/>
      <c r="AE136" s="6" t="n"/>
      <c r="AF136" s="6" t="n"/>
      <c r="AG136" s="6" t="n"/>
      <c r="AH136" s="6" t="n"/>
      <c r="AI136" s="6" t="n"/>
      <c r="AJ136" s="6" t="n"/>
    </row>
    <row r="137">
      <c r="A137" s="6" t="n"/>
      <c r="B137" s="6" t="n"/>
      <c r="C137" s="6" t="n"/>
      <c r="D137" s="6" t="n"/>
      <c r="E137" s="6" t="n"/>
      <c r="F137" s="6" t="n"/>
      <c r="G137" s="6" t="n"/>
      <c r="H137" s="6" t="n"/>
      <c r="I137" s="6" t="n"/>
      <c r="J137" s="6" t="n"/>
      <c r="K137" s="6" t="n"/>
      <c r="L137" s="6" t="n"/>
      <c r="M137" s="6" t="n"/>
      <c r="N137" s="6" t="n"/>
      <c r="O137" s="6" t="n"/>
      <c r="P137" s="6" t="n"/>
      <c r="Q137" s="6" t="n"/>
      <c r="R137" s="6" t="n"/>
      <c r="S137" s="6" t="n"/>
      <c r="T137" s="6" t="n"/>
      <c r="U137" s="6" t="n"/>
      <c r="V137" s="6" t="n"/>
      <c r="W137" s="6" t="n"/>
      <c r="X137" s="6" t="n"/>
      <c r="Y137" s="6" t="n"/>
      <c r="Z137" s="6" t="n"/>
      <c r="AA137" s="6" t="n"/>
      <c r="AB137" s="6" t="n"/>
      <c r="AC137" s="6" t="n"/>
      <c r="AD137" s="6" t="n"/>
      <c r="AE137" s="6" t="n"/>
      <c r="AF137" s="6" t="n"/>
      <c r="AG137" s="6" t="n"/>
      <c r="AH137" s="6" t="n"/>
      <c r="AI137" s="6" t="n"/>
      <c r="AJ137" s="6" t="n"/>
    </row>
    <row r="138">
      <c r="A138" s="6" t="n"/>
      <c r="B138" s="6" t="n"/>
      <c r="C138" s="6" t="n"/>
      <c r="D138" s="6" t="n"/>
      <c r="E138" s="6" t="n"/>
      <c r="F138" s="6" t="n"/>
      <c r="G138" s="6" t="n"/>
      <c r="H138" s="6" t="n"/>
      <c r="I138" s="6" t="n"/>
      <c r="J138" s="6" t="n"/>
      <c r="K138" s="6" t="n"/>
      <c r="L138" s="6" t="n"/>
      <c r="M138" s="6" t="n"/>
      <c r="N138" s="6" t="n"/>
      <c r="O138" s="6" t="n"/>
      <c r="P138" s="6" t="n"/>
      <c r="Q138" s="6" t="n"/>
      <c r="R138" s="6" t="n"/>
      <c r="S138" s="6" t="n"/>
      <c r="T138" s="6" t="n"/>
      <c r="U138" s="6" t="n"/>
      <c r="V138" s="6" t="n"/>
      <c r="W138" s="6" t="n"/>
      <c r="X138" s="6" t="n"/>
      <c r="Y138" s="6" t="n"/>
      <c r="Z138" s="6" t="n"/>
      <c r="AA138" s="6" t="n"/>
      <c r="AB138" s="6" t="n"/>
      <c r="AC138" s="6" t="n"/>
      <c r="AD138" s="6" t="n"/>
      <c r="AE138" s="6" t="n"/>
      <c r="AF138" s="6" t="n"/>
      <c r="AG138" s="6" t="n"/>
      <c r="AH138" s="6" t="n"/>
      <c r="AI138" s="6" t="n"/>
      <c r="AJ138" s="6" t="n"/>
    </row>
    <row r="139">
      <c r="A139" s="6" t="n"/>
      <c r="B139" s="6" t="n"/>
      <c r="C139" s="6" t="n"/>
      <c r="D139" s="6" t="n"/>
      <c r="E139" s="6" t="n"/>
      <c r="F139" s="6" t="n"/>
      <c r="G139" s="6" t="n"/>
      <c r="H139" s="6" t="n"/>
      <c r="I139" s="6" t="n"/>
      <c r="J139" s="6" t="n"/>
      <c r="K139" s="6" t="n"/>
      <c r="L139" s="6" t="n"/>
      <c r="M139" s="6" t="n"/>
      <c r="N139" s="6" t="n"/>
      <c r="O139" s="6" t="n"/>
      <c r="P139" s="6" t="n"/>
      <c r="Q139" s="6" t="n"/>
      <c r="R139" s="6" t="n"/>
      <c r="S139" s="6" t="n"/>
      <c r="T139" s="6" t="n"/>
      <c r="U139" s="6" t="n"/>
      <c r="V139" s="6" t="n"/>
      <c r="W139" s="6" t="n"/>
      <c r="X139" s="6" t="n"/>
      <c r="Y139" s="6" t="n"/>
      <c r="Z139" s="6" t="n"/>
      <c r="AA139" s="6" t="n"/>
      <c r="AB139" s="6" t="n"/>
      <c r="AC139" s="6" t="n"/>
      <c r="AD139" s="6" t="n"/>
      <c r="AE139" s="6" t="n"/>
      <c r="AF139" s="6" t="n"/>
      <c r="AG139" s="6" t="n"/>
      <c r="AH139" s="6" t="n"/>
      <c r="AI139" s="6" t="n"/>
      <c r="AJ139" s="6" t="n"/>
    </row>
    <row r="140">
      <c r="A140" s="6" t="n"/>
      <c r="B140" s="6" t="n"/>
      <c r="C140" s="6" t="n"/>
      <c r="D140" s="6" t="n"/>
      <c r="E140" s="6" t="n"/>
      <c r="F140" s="6" t="n"/>
      <c r="G140" s="6" t="n"/>
      <c r="H140" s="6" t="n"/>
      <c r="I140" s="6" t="n"/>
      <c r="J140" s="6" t="n"/>
      <c r="K140" s="6" t="n"/>
      <c r="L140" s="6" t="n"/>
      <c r="M140" s="6" t="n"/>
      <c r="N140" s="6" t="n"/>
      <c r="O140" s="6" t="n"/>
      <c r="P140" s="6" t="n"/>
      <c r="Q140" s="6" t="n"/>
      <c r="R140" s="6" t="n"/>
      <c r="S140" s="6" t="n"/>
      <c r="T140" s="6" t="n"/>
      <c r="U140" s="6" t="n"/>
      <c r="V140" s="6" t="n"/>
      <c r="W140" s="6" t="n"/>
      <c r="X140" s="6" t="n"/>
      <c r="Y140" s="6" t="n"/>
      <c r="Z140" s="6" t="n"/>
      <c r="AA140" s="6" t="n"/>
      <c r="AB140" s="6" t="n"/>
      <c r="AC140" s="6" t="n"/>
      <c r="AD140" s="6" t="n"/>
      <c r="AE140" s="6" t="n"/>
      <c r="AF140" s="6" t="n"/>
      <c r="AG140" s="6" t="n"/>
      <c r="AH140" s="6" t="n"/>
      <c r="AI140" s="6" t="n"/>
      <c r="AJ140" s="6" t="n"/>
    </row>
    <row r="141">
      <c r="A141" s="6" t="n"/>
      <c r="B141" s="6" t="n"/>
      <c r="C141" s="6" t="n"/>
      <c r="D141" s="6" t="n"/>
      <c r="E141" s="6" t="n"/>
      <c r="F141" s="6" t="n"/>
      <c r="G141" s="6" t="n"/>
      <c r="H141" s="6" t="n"/>
      <c r="I141" s="6" t="n"/>
      <c r="J141" s="6" t="n"/>
      <c r="K141" s="6" t="n"/>
      <c r="L141" s="6" t="n"/>
      <c r="M141" s="6" t="n"/>
      <c r="N141" s="6" t="n"/>
      <c r="O141" s="6" t="n"/>
      <c r="P141" s="6" t="n"/>
      <c r="Q141" s="6" t="n"/>
      <c r="R141" s="6" t="n"/>
      <c r="S141" s="6" t="n"/>
      <c r="T141" s="6" t="n"/>
      <c r="U141" s="6" t="n"/>
      <c r="V141" s="6" t="n"/>
      <c r="W141" s="6" t="n"/>
      <c r="X141" s="6" t="n"/>
      <c r="Y141" s="6" t="n"/>
      <c r="Z141" s="6" t="n"/>
      <c r="AA141" s="6" t="n"/>
      <c r="AB141" s="6" t="n"/>
      <c r="AC141" s="6" t="n"/>
      <c r="AD141" s="6" t="n"/>
      <c r="AE141" s="6" t="n"/>
      <c r="AF141" s="6" t="n"/>
      <c r="AG141" s="6" t="n"/>
      <c r="AH141" s="6" t="n"/>
      <c r="AI141" s="6" t="n"/>
      <c r="AJ141" s="6" t="n"/>
    </row>
    <row r="142">
      <c r="A142" s="6" t="n"/>
      <c r="B142" s="6" t="n"/>
      <c r="C142" s="6" t="n"/>
      <c r="D142" s="6" t="n"/>
      <c r="E142" s="6" t="n"/>
      <c r="F142" s="6" t="n"/>
      <c r="G142" s="6" t="n"/>
      <c r="H142" s="6" t="n"/>
      <c r="I142" s="6" t="n"/>
      <c r="J142" s="6" t="n"/>
      <c r="K142" s="6" t="n"/>
      <c r="L142" s="6" t="n"/>
      <c r="M142" s="6" t="n"/>
      <c r="N142" s="6" t="n"/>
      <c r="O142" s="6" t="n"/>
      <c r="P142" s="6" t="n"/>
      <c r="Q142" s="6" t="n"/>
      <c r="R142" s="6" t="n"/>
      <c r="S142" s="6" t="n"/>
      <c r="T142" s="6" t="n"/>
      <c r="U142" s="6" t="n"/>
      <c r="V142" s="6" t="n"/>
      <c r="W142" s="6" t="n"/>
      <c r="X142" s="6" t="n"/>
      <c r="Y142" s="6" t="n"/>
      <c r="Z142" s="6" t="n"/>
      <c r="AA142" s="6" t="n"/>
      <c r="AB142" s="6" t="n"/>
      <c r="AC142" s="6" t="n"/>
      <c r="AD142" s="6" t="n"/>
      <c r="AE142" s="6" t="n"/>
      <c r="AF142" s="6" t="n"/>
      <c r="AG142" s="6" t="n"/>
      <c r="AH142" s="6" t="n"/>
      <c r="AI142" s="6" t="n"/>
      <c r="AJ142" s="6" t="n"/>
    </row>
    <row r="143">
      <c r="A143" s="6" t="n"/>
      <c r="B143" s="6" t="n"/>
      <c r="C143" s="6" t="n"/>
      <c r="D143" s="6" t="n"/>
      <c r="E143" s="6" t="n"/>
      <c r="F143" s="6" t="n"/>
      <c r="G143" s="6" t="n"/>
      <c r="H143" s="6" t="n"/>
      <c r="I143" s="6" t="n"/>
      <c r="J143" s="6" t="n"/>
      <c r="K143" s="6" t="n"/>
      <c r="L143" s="6" t="n"/>
      <c r="M143" s="6" t="n"/>
      <c r="N143" s="6" t="n"/>
      <c r="O143" s="6" t="n"/>
      <c r="P143" s="6" t="n"/>
      <c r="Q143" s="6" t="n"/>
      <c r="R143" s="6" t="n"/>
      <c r="S143" s="6" t="n"/>
      <c r="T143" s="6" t="n"/>
      <c r="U143" s="6" t="n"/>
      <c r="V143" s="6" t="n"/>
      <c r="W143" s="6" t="n"/>
      <c r="X143" s="6" t="n"/>
      <c r="Y143" s="6" t="n"/>
      <c r="Z143" s="6" t="n"/>
      <c r="AA143" s="6" t="n"/>
      <c r="AB143" s="6" t="n"/>
      <c r="AC143" s="6" t="n"/>
      <c r="AD143" s="6" t="n"/>
      <c r="AE143" s="6" t="n"/>
      <c r="AF143" s="6" t="n"/>
      <c r="AG143" s="6" t="n"/>
      <c r="AH143" s="6" t="n"/>
      <c r="AI143" s="6" t="n"/>
      <c r="AJ143" s="6" t="n"/>
    </row>
    <row r="144">
      <c r="A144" s="6" t="n"/>
      <c r="B144" s="6" t="n"/>
      <c r="C144" s="6" t="n"/>
      <c r="D144" s="6" t="n"/>
      <c r="E144" s="6" t="n"/>
      <c r="F144" s="6" t="n"/>
      <c r="G144" s="6" t="n"/>
      <c r="H144" s="6" t="n"/>
      <c r="I144" s="6" t="n"/>
      <c r="J144" s="6" t="n"/>
      <c r="K144" s="6" t="n"/>
      <c r="L144" s="6" t="n"/>
      <c r="M144" s="6" t="n"/>
      <c r="N144" s="6" t="n"/>
      <c r="O144" s="6" t="n"/>
      <c r="P144" s="6" t="n"/>
      <c r="Q144" s="6" t="n"/>
      <c r="R144" s="6" t="n"/>
      <c r="S144" s="6" t="n"/>
      <c r="T144" s="6" t="n"/>
      <c r="U144" s="6" t="n"/>
      <c r="V144" s="6" t="n"/>
      <c r="W144" s="6" t="n"/>
      <c r="X144" s="6" t="n"/>
      <c r="Y144" s="6" t="n"/>
      <c r="Z144" s="6" t="n"/>
      <c r="AA144" s="6" t="n"/>
      <c r="AB144" s="6" t="n"/>
      <c r="AC144" s="6" t="n"/>
      <c r="AD144" s="6" t="n"/>
      <c r="AE144" s="6" t="n"/>
      <c r="AF144" s="6" t="n"/>
      <c r="AG144" s="6" t="n"/>
      <c r="AH144" s="6" t="n"/>
      <c r="AI144" s="6" t="n"/>
      <c r="AJ144" s="6" t="n"/>
    </row>
    <row r="145">
      <c r="A145" s="6" t="n"/>
      <c r="B145" s="6" t="n"/>
      <c r="C145" s="6" t="n"/>
      <c r="D145" s="6" t="n"/>
      <c r="E145" s="6" t="n"/>
      <c r="F145" s="6" t="n"/>
      <c r="G145" s="6" t="n"/>
      <c r="H145" s="6" t="n"/>
      <c r="I145" s="6" t="n"/>
      <c r="J145" s="6" t="n"/>
      <c r="K145" s="6" t="n"/>
      <c r="L145" s="6" t="n"/>
      <c r="M145" s="6" t="n"/>
      <c r="N145" s="6" t="n"/>
      <c r="O145" s="6" t="n"/>
      <c r="P145" s="6" t="n"/>
      <c r="Q145" s="6" t="n"/>
      <c r="R145" s="6" t="n"/>
      <c r="S145" s="6" t="n"/>
      <c r="T145" s="6" t="n"/>
      <c r="U145" s="6" t="n"/>
      <c r="V145" s="6" t="n"/>
      <c r="W145" s="6" t="n"/>
      <c r="X145" s="6" t="n"/>
      <c r="Y145" s="6" t="n"/>
      <c r="Z145" s="6" t="n"/>
      <c r="AA145" s="6" t="n"/>
      <c r="AB145" s="6" t="n"/>
      <c r="AC145" s="6" t="n"/>
      <c r="AD145" s="6" t="n"/>
      <c r="AE145" s="6" t="n"/>
      <c r="AF145" s="6" t="n"/>
      <c r="AG145" s="6" t="n"/>
      <c r="AH145" s="6" t="n"/>
      <c r="AI145" s="6" t="n"/>
      <c r="AJ145" s="6" t="n"/>
    </row>
    <row r="146">
      <c r="A146" s="6" t="n"/>
      <c r="B146" s="6" t="n"/>
      <c r="C146" s="6" t="n"/>
      <c r="D146" s="6" t="n"/>
      <c r="E146" s="6" t="n"/>
      <c r="F146" s="6" t="n"/>
      <c r="G146" s="6" t="n"/>
      <c r="H146" s="6" t="n"/>
      <c r="I146" s="6" t="n"/>
      <c r="J146" s="6" t="n"/>
      <c r="K146" s="6" t="n"/>
      <c r="L146" s="6" t="n"/>
      <c r="M146" s="6" t="n"/>
      <c r="N146" s="6" t="n"/>
      <c r="O146" s="6" t="n"/>
      <c r="P146" s="6" t="n"/>
      <c r="Q146" s="6" t="n"/>
      <c r="R146" s="6" t="n"/>
      <c r="S146" s="6" t="n"/>
      <c r="T146" s="6" t="n"/>
      <c r="U146" s="6" t="n"/>
      <c r="V146" s="6" t="n"/>
      <c r="W146" s="6" t="n"/>
      <c r="X146" s="6" t="n"/>
      <c r="Y146" s="6" t="n"/>
      <c r="Z146" s="6" t="n"/>
      <c r="AA146" s="6" t="n"/>
      <c r="AB146" s="6" t="n"/>
      <c r="AC146" s="6" t="n"/>
      <c r="AD146" s="6" t="n"/>
      <c r="AE146" s="6" t="n"/>
      <c r="AF146" s="6" t="n"/>
      <c r="AG146" s="6" t="n"/>
      <c r="AH146" s="6" t="n"/>
      <c r="AI146" s="6" t="n"/>
      <c r="AJ146" s="6" t="n"/>
    </row>
    <row r="147">
      <c r="A147" s="6" t="n"/>
      <c r="B147" s="6" t="n"/>
      <c r="C147" s="6" t="n"/>
      <c r="D147" s="6" t="n"/>
      <c r="E147" s="6" t="n"/>
      <c r="F147" s="6" t="n"/>
      <c r="G147" s="6" t="n"/>
      <c r="H147" s="6" t="n"/>
      <c r="I147" s="6" t="n"/>
      <c r="J147" s="6" t="n"/>
      <c r="K147" s="6" t="n"/>
      <c r="L147" s="6" t="n"/>
      <c r="M147" s="6" t="n"/>
      <c r="N147" s="6" t="n"/>
      <c r="O147" s="6" t="n"/>
      <c r="P147" s="6" t="n"/>
      <c r="Q147" s="6" t="n"/>
      <c r="R147" s="6" t="n"/>
      <c r="S147" s="6" t="n"/>
      <c r="T147" s="6" t="n"/>
      <c r="U147" s="6" t="n"/>
      <c r="V147" s="6" t="n"/>
      <c r="W147" s="6" t="n"/>
      <c r="X147" s="6" t="n"/>
      <c r="Y147" s="6" t="n"/>
      <c r="Z147" s="6" t="n"/>
      <c r="AA147" s="6" t="n"/>
      <c r="AB147" s="6" t="n"/>
      <c r="AC147" s="6" t="n"/>
      <c r="AD147" s="6" t="n"/>
      <c r="AE147" s="6" t="n"/>
      <c r="AF147" s="6" t="n"/>
      <c r="AG147" s="6" t="n"/>
      <c r="AH147" s="6" t="n"/>
      <c r="AI147" s="6" t="n"/>
      <c r="AJ147" s="6" t="n"/>
    </row>
    <row r="148">
      <c r="A148" s="6" t="n"/>
      <c r="B148" s="6" t="n"/>
      <c r="C148" s="6" t="n"/>
      <c r="D148" s="6" t="n"/>
      <c r="E148" s="6" t="n"/>
      <c r="F148" s="6" t="n"/>
      <c r="G148" s="6" t="n"/>
      <c r="H148" s="6" t="n"/>
      <c r="I148" s="6" t="n"/>
      <c r="J148" s="6" t="n"/>
      <c r="K148" s="6" t="n"/>
      <c r="L148" s="6" t="n"/>
      <c r="M148" s="6" t="n"/>
      <c r="N148" s="6" t="n"/>
      <c r="O148" s="6" t="n"/>
      <c r="P148" s="6" t="n"/>
      <c r="Q148" s="6" t="n"/>
      <c r="R148" s="6" t="n"/>
      <c r="S148" s="6" t="n"/>
      <c r="T148" s="6" t="n"/>
      <c r="U148" s="6" t="n"/>
      <c r="V148" s="6" t="n"/>
      <c r="W148" s="6" t="n"/>
      <c r="X148" s="6" t="n"/>
      <c r="Y148" s="6" t="n"/>
      <c r="Z148" s="6" t="n"/>
      <c r="AA148" s="6" t="n"/>
      <c r="AB148" s="6" t="n"/>
      <c r="AC148" s="6" t="n"/>
      <c r="AD148" s="6" t="n"/>
      <c r="AE148" s="6" t="n"/>
      <c r="AF148" s="6" t="n"/>
      <c r="AG148" s="6" t="n"/>
      <c r="AH148" s="6" t="n"/>
      <c r="AI148" s="6" t="n"/>
      <c r="AJ148" s="6" t="n"/>
    </row>
    <row r="149">
      <c r="A149" s="6" t="n"/>
      <c r="B149" s="6" t="n"/>
    </row>
    <row r="150">
      <c r="A150" s="6" t="n"/>
      <c r="B150" s="6" t="n"/>
    </row>
    <row r="151">
      <c r="A151" s="6" t="n"/>
      <c r="B151" s="6" t="n"/>
    </row>
    <row r="152">
      <c r="A152" s="6" t="n"/>
      <c r="B152" s="6" t="n"/>
    </row>
    <row r="153">
      <c r="A153" s="6" t="n"/>
      <c r="B153" s="6" t="n"/>
    </row>
    <row r="154">
      <c r="A154" s="6" t="n"/>
      <c r="B154" s="6" t="n"/>
    </row>
    <row r="155">
      <c r="A155" s="6" t="n"/>
      <c r="B155" s="6" t="n"/>
    </row>
    <row r="156">
      <c r="A156" s="6" t="n"/>
      <c r="B156" s="6" t="n"/>
    </row>
    <row r="157">
      <c r="A157" s="6" t="n"/>
      <c r="B157" s="6" t="n"/>
    </row>
    <row r="158">
      <c r="A158" s="6" t="n"/>
      <c r="B158" s="6" t="n"/>
    </row>
    <row r="159">
      <c r="A159" s="6" t="n"/>
      <c r="B159" s="6" t="n"/>
    </row>
    <row r="160">
      <c r="A160" s="6" t="n"/>
      <c r="B160" s="6" t="n"/>
    </row>
    <row r="161">
      <c r="A161" s="6" t="n"/>
      <c r="B161" s="6" t="n"/>
    </row>
    <row r="162">
      <c r="A162" s="6" t="n"/>
      <c r="B162" s="6" t="n"/>
    </row>
    <row r="163">
      <c r="A163" s="6" t="n"/>
      <c r="B163" s="6" t="n"/>
    </row>
    <row r="164">
      <c r="A164" s="6" t="n"/>
      <c r="B164" s="6" t="n"/>
    </row>
    <row r="165">
      <c r="A165" s="6" t="n"/>
      <c r="B165" s="6" t="n"/>
    </row>
    <row r="166">
      <c r="A166" s="6" t="n"/>
      <c r="B166" s="6" t="n"/>
    </row>
    <row r="167">
      <c r="A167" s="6" t="n"/>
      <c r="B167" s="6" t="n"/>
    </row>
    <row r="168">
      <c r="A168" s="6" t="n"/>
      <c r="B168" s="6" t="n"/>
    </row>
    <row r="169">
      <c r="A169" s="6" t="n"/>
      <c r="B169" s="6" t="n"/>
    </row>
    <row r="170">
      <c r="A170" s="6" t="n"/>
      <c r="B170" s="6" t="n"/>
    </row>
    <row r="171">
      <c r="A171" s="6" t="n"/>
      <c r="B171" s="6" t="n"/>
    </row>
    <row r="172">
      <c r="A172" s="6" t="n"/>
      <c r="B172" s="6" t="n"/>
    </row>
    <row r="173">
      <c r="A173" s="6" t="n"/>
      <c r="B173" s="6" t="n"/>
    </row>
    <row r="174">
      <c r="A174" s="6" t="n"/>
      <c r="B174" s="6" t="n"/>
    </row>
    <row r="175">
      <c r="A175" s="6" t="n"/>
      <c r="B175" s="6" t="n"/>
    </row>
    <row r="176">
      <c r="A176" s="6" t="n"/>
      <c r="B176" s="6" t="n"/>
    </row>
    <row r="177">
      <c r="A177" s="6" t="n"/>
      <c r="B177" s="6" t="n"/>
    </row>
    <row r="178">
      <c r="A178" s="6" t="n"/>
      <c r="B178" s="6" t="n"/>
    </row>
    <row r="179">
      <c r="A179" s="6" t="n"/>
      <c r="B179" s="6" t="n"/>
    </row>
    <row r="180">
      <c r="A180" s="6" t="n"/>
      <c r="B180" s="6" t="n"/>
    </row>
    <row r="181">
      <c r="A181" s="6" t="n"/>
      <c r="B181" s="6" t="n"/>
    </row>
    <row r="182">
      <c r="A182" s="6" t="n"/>
      <c r="B182" s="6" t="n"/>
    </row>
    <row r="183">
      <c r="A183" s="6" t="n"/>
      <c r="B183" s="6" t="n"/>
    </row>
    <row r="184">
      <c r="A184" s="6" t="n"/>
      <c r="B184" s="6" t="n"/>
    </row>
    <row r="185">
      <c r="A185" s="6" t="n"/>
      <c r="B185" s="6" t="n"/>
    </row>
    <row r="186">
      <c r="A186" s="6" t="n"/>
      <c r="B186" s="6" t="n"/>
    </row>
    <row r="187">
      <c r="A187" s="6" t="n"/>
      <c r="B187" s="6" t="n"/>
    </row>
    <row r="188">
      <c r="A188" s="6" t="n"/>
      <c r="B188" s="6" t="n"/>
    </row>
    <row r="189">
      <c r="A189" s="6" t="n"/>
      <c r="B189" s="6" t="n"/>
    </row>
    <row r="190">
      <c r="A190" s="6" t="n"/>
      <c r="B190" s="6" t="n"/>
    </row>
    <row r="191">
      <c r="A191" s="6" t="n"/>
      <c r="B191" s="6" t="n"/>
    </row>
    <row r="192">
      <c r="A192" s="6" t="n"/>
      <c r="B192" s="6" t="n"/>
    </row>
    <row r="193">
      <c r="A193" s="6" t="n"/>
      <c r="B193" s="6" t="n"/>
    </row>
    <row r="194">
      <c r="A194" s="6" t="n"/>
      <c r="B194" s="6" t="n"/>
    </row>
    <row r="195">
      <c r="A195" s="6" t="n"/>
      <c r="B195" s="6" t="n"/>
    </row>
    <row r="196">
      <c r="A196" s="6" t="n"/>
      <c r="B196" s="6" t="n"/>
    </row>
    <row r="197">
      <c r="A197" s="6" t="n"/>
      <c r="B197" s="6" t="n"/>
    </row>
    <row r="198">
      <c r="A198" s="6" t="n"/>
      <c r="B198" s="6" t="n"/>
    </row>
    <row r="199">
      <c r="A199" s="6" t="n"/>
      <c r="B199" s="6" t="n"/>
    </row>
    <row r="200">
      <c r="A200" s="6" t="n"/>
      <c r="B200" s="6" t="n"/>
    </row>
    <row r="201">
      <c r="A201" s="6" t="n"/>
      <c r="B201" s="6" t="n"/>
    </row>
    <row r="202">
      <c r="A202" s="6" t="n"/>
      <c r="B202" s="6" t="n"/>
    </row>
    <row r="203">
      <c r="A203" s="6" t="n"/>
      <c r="B203" s="6" t="n"/>
    </row>
    <row r="204">
      <c r="A204" s="6" t="n"/>
      <c r="B204" s="6" t="n"/>
    </row>
    <row r="205">
      <c r="A205" s="6" t="n"/>
      <c r="B205" s="6" t="n"/>
    </row>
  </sheetData>
  <conditionalFormatting sqref="I38:I120">
    <cfRule type="colorScale" priority="1">
      <colorScale>
        <cfvo type="num" val="0.02"/>
        <cfvo type="num" val="0.12"/>
        <cfvo type="num" val="0.22"/>
        <color rgb="FFF7CFCF"/>
        <color rgb="FFFDF0CE"/>
        <color rgb="FFCDE9DF"/>
      </colorScale>
    </cfRule>
  </conditionalFormatting>
  <conditionalFormatting sqref="L38:L120">
    <cfRule type="colorScale" priority="2">
      <colorScale>
        <cfvo type="num" val="0.55"/>
        <cfvo type="num" val="0.75"/>
        <cfvo type="num" val="0.95"/>
        <color rgb="FFF7CFCF"/>
        <color rgb="FFFDF0CE"/>
        <color rgb="FFCDE9DF"/>
      </colorScale>
    </cfRule>
  </conditionalFormatting>
  <conditionalFormatting sqref="H38:H120">
    <cfRule type="dataBar" priority="3">
      <dataBar showValue="1">
        <cfvo type="num" val="0"/>
        <cfvo type="num" val="1"/>
        <color rgb="FFB8CFEC"/>
      </dataBar>
    </cfRule>
  </conditionalFormatting>
  <conditionalFormatting sqref="E38:E120">
    <cfRule type="cellIs" priority="4" operator="greaterThan" dxfId="19">
      <formula>0</formula>
    </cfRule>
    <cfRule type="cellIs" priority="5" operator="lessThan" dxfId="20">
      <formula>0</formula>
    </cfRule>
  </conditionalFormatting>
  <conditionalFormatting sqref="G38:G120">
    <cfRule type="cellIs" priority="6" operator="greaterThan" dxfId="19">
      <formula>0</formula>
    </cfRule>
    <cfRule type="cellIs" priority="7" operator="lessThan" dxfId="20">
      <formula>0</formula>
    </cfRule>
  </conditionalFormatting>
  <conditionalFormatting sqref="J38:J120">
    <cfRule type="cellIs" priority="8" operator="greaterThan" dxfId="19">
      <formula>0</formula>
    </cfRule>
    <cfRule type="cellIs" priority="9" operator="lessThan" dxfId="20">
      <formula>0</formula>
    </cfRule>
  </conditionalFormatting>
  <conditionalFormatting sqref="B38:O120">
    <cfRule type="expression" priority="10" dxfId="21">
      <formula>$B38=2</formula>
    </cfRule>
    <cfRule type="expression" priority="11" dxfId="22">
      <formula>$B38=3</formula>
    </cfRule>
    <cfRule type="expression" priority="12" dxfId="23">
      <formula>$B38=4</formula>
    </cfRule>
  </conditionalFormatting>
  <conditionalFormatting sqref="D9">
    <cfRule type="cellIs" priority="13" operator="lessThan" dxfId="24">
      <formula>1000000</formula>
    </cfRule>
  </conditionalFormatting>
  <conditionalFormatting sqref="F9">
    <cfRule type="cellIs" priority="14" operator="lessThan" dxfId="25">
      <formula>1000000</formula>
    </cfRule>
  </conditionalFormatting>
  <conditionalFormatting sqref="D10">
    <cfRule type="cellIs" priority="15" operator="greaterThan" dxfId="26">
      <formula>0</formula>
    </cfRule>
    <cfRule type="cellIs" priority="16" operator="lessThan" dxfId="27">
      <formula>0</formula>
    </cfRule>
  </conditionalFormatting>
  <conditionalFormatting sqref="F10">
    <cfRule type="cellIs" priority="17" operator="greaterThan" dxfId="26">
      <formula>0</formula>
    </cfRule>
    <cfRule type="cellIs" priority="18" operator="lessThan" dxfId="27">
      <formula>0</formula>
    </cfRule>
  </conditionalFormatting>
  <conditionalFormatting sqref="H10">
    <cfRule type="cellIs" priority="19" operator="greaterThan" dxfId="26">
      <formula>0</formula>
    </cfRule>
    <cfRule type="cellIs" priority="20" operator="lessThan" dxfId="27">
      <formula>0</formula>
    </cfRule>
  </conditionalFormatting>
  <conditionalFormatting sqref="J10">
    <cfRule type="cellIs" priority="21" operator="greaterThan" dxfId="26">
      <formula>0</formula>
    </cfRule>
    <cfRule type="cellIs" priority="22" operator="lessThan" dxfId="27">
      <formula>0</formula>
    </cfRule>
  </conditionalFormatting>
  <conditionalFormatting sqref="L10">
    <cfRule type="cellIs" priority="23" operator="greaterThan" dxfId="27">
      <formula>0</formula>
    </cfRule>
    <cfRule type="cellIs" priority="24" operator="lessThan" dxfId="26">
      <formula>0</formula>
    </cfRule>
  </conditionalFormatting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Saad El meziati</dc:creator>
  <dcterms:created xsi:type="dcterms:W3CDTF">2026-09-04T14:45:38Z</dcterms:created>
  <dcterms:modified xsi:type="dcterms:W3CDTF">2026-09-06T19:11:56Z</dcterms:modified>
  <cp:lastModifiedBy>Saad El meziati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TGK_DBID" fmtid="{D5CDD505-2E9C-101B-9397-08002B2CF9AE}" pid="2">
    <vt:lpwstr>TGK_MSSQL_07</vt:lpwstr>
  </property>
  <property name="TGK_VERSION" fmtid="{D5CDD505-2E9C-101B-9397-08002B2CF9AE}" pid="3">
    <vt:lpwstr>35.0.0.6.tgk.20260209140819</vt:lpwstr>
  </property>
  <property name="TGK_DOCID" fmtid="{D5CDD505-2E9C-101B-9397-08002B2CF9AE}" pid="4">
    <vt:lpwstr>b47b1245-aaf6-447a-845f-a97c344d95df</vt:lpwstr>
  </property>
  <property name="TGK_CUSTOM_XML" fmtid="{D5CDD505-2E9C-101B-9397-08002B2CF9AE}" pid="5">
    <vt:lpwstr>{F76DA344-3860-4C84-A140-6F896B300A2C}</vt:lpwstr>
  </property>
</Properties>
</file>