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'2'!$BH$7:$BH$11</f>
            </strRef>
          </cat>
          <val>
            <numRef>
              <f>'2'!$BI$7:$BI$11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'2'!$BJ$7:$BJ$11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'2'!$BK$7:$BK$11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'2'!$BL$7:$BL$11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'2'!$BO$7:$BO$11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'2'!$BP$7:$BP$11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'2'!$BQ$7:$BQ$11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'2'!$BT$7:$BT$10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'2'!$BU$7:$BU$10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U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MBWAY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1563650</v>
      </c>
      <c r="AF7" s="1" t="n">
        <v>0</v>
      </c>
      <c r="AG7" s="1" t="n">
        <v>0</v>
      </c>
      <c r="AI7" s="1" t="inlineStr">
        <is>
          <t>CAMPUS</t>
        </is>
      </c>
      <c r="AJ7" s="1" t="inlineStr">
        <is>
          <t>MBWAY_BOR</t>
        </is>
      </c>
      <c r="AK7" s="1" t="inlineStr">
        <is>
          <t>MBway Bordeaux</t>
        </is>
      </c>
      <c r="AL7" s="1" t="n">
        <v>1573680</v>
      </c>
      <c r="AM7" s="1" t="n">
        <v>242904</v>
      </c>
      <c r="AN7" s="1" t="n">
        <v>0.1544</v>
      </c>
      <c r="AO7" s="1" t="n">
        <v>1666855</v>
      </c>
      <c r="AP7" s="1" t="n">
        <v>271053</v>
      </c>
      <c r="AQ7" s="1" t="n">
        <v>0.1626</v>
      </c>
      <c r="AR7" s="1" t="n">
        <v>1773610</v>
      </c>
      <c r="AS7" s="1" t="n">
        <v>305135</v>
      </c>
      <c r="AT7" t="n">
        <v>0.172</v>
      </c>
      <c r="AU7" s="2" t="n">
        <v>1.77</v>
      </c>
      <c r="AZ7" s="1" t="inlineStr">
        <is>
          <t>2024</t>
        </is>
      </c>
      <c r="BA7" s="1" t="n">
        <v>137627</v>
      </c>
      <c r="BB7" s="1" t="n">
        <v>452</v>
      </c>
      <c r="BC7" s="1" t="n">
        <v>100</v>
      </c>
      <c r="BD7" s="1" t="n">
        <v>100</v>
      </c>
      <c r="BE7" s="1" t="n">
        <v>304</v>
      </c>
      <c r="BF7" s="1" t="n">
        <v>0</v>
      </c>
      <c r="BH7">
        <f>IF($AC7="","",$AC7)</f>
        <v/>
      </c>
      <c r="BI7">
        <f>IF($AC7="",NA(),$AD7)</f>
        <v/>
      </c>
      <c r="BJ7">
        <f>IF($AC7="",NA(),$AE7)</f>
        <v/>
      </c>
      <c r="BK7">
        <f>IF($AC7="",NA(),$AF7)</f>
        <v/>
      </c>
      <c r="BL7">
        <f>IF($AC7="",NA(),$AG7)</f>
        <v/>
      </c>
      <c r="BN7">
        <f>IF($AK7="","",$AK7)</f>
        <v/>
      </c>
      <c r="BO7">
        <f>IF($AK7="",NA(),$AN7)</f>
        <v/>
      </c>
      <c r="BP7">
        <f>IF($AK7="",NA(),$AQ7)</f>
        <v/>
      </c>
      <c r="BQ7">
        <f>IF($AK7="",NA(),$AT7)</f>
        <v/>
      </c>
      <c r="BS7">
        <f>IF($AZ7="","",$AZ7)</f>
        <v/>
      </c>
      <c r="BT7">
        <f>IF($AZ7="",NA(),$BC7)</f>
        <v/>
      </c>
      <c r="BU7">
        <f>IF($AZ7="",NA(),$BD7)</f>
        <v/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1563650</v>
      </c>
      <c r="AE8" t="n">
        <v>0</v>
      </c>
      <c r="AF8" t="n">
        <v>465942</v>
      </c>
      <c r="AG8" t="n">
        <v>0</v>
      </c>
      <c r="AI8" t="inlineStr">
        <is>
          <t>CAMPUS</t>
        </is>
      </c>
      <c r="AJ8" t="inlineStr">
        <is>
          <t>MBWAY_LYO</t>
        </is>
      </c>
      <c r="AK8" t="inlineStr">
        <is>
          <t>MBway Lyon</t>
        </is>
      </c>
      <c r="AL8" t="n">
        <v>2227170</v>
      </c>
      <c r="AM8" t="n">
        <v>368621</v>
      </c>
      <c r="AN8" t="n">
        <v>0.1655</v>
      </c>
      <c r="AO8" t="n">
        <v>2342685</v>
      </c>
      <c r="AP8" t="n">
        <v>406787</v>
      </c>
      <c r="AQ8" t="n">
        <v>0.1736</v>
      </c>
      <c r="AR8" t="n">
        <v>2496705</v>
      </c>
      <c r="AS8" t="n">
        <v>456973</v>
      </c>
      <c r="AT8" t="n">
        <v>0.183</v>
      </c>
      <c r="AU8" t="n">
        <v>1.75</v>
      </c>
      <c r="AZ8" t="inlineStr">
        <is>
          <t>2025</t>
        </is>
      </c>
      <c r="BA8" t="n">
        <v>151390</v>
      </c>
      <c r="BB8" t="n">
        <v>482</v>
      </c>
      <c r="BC8" t="n">
        <v>110</v>
      </c>
      <c r="BD8" t="n">
        <v>106.6</v>
      </c>
      <c r="BE8" t="n">
        <v>314</v>
      </c>
      <c r="BF8" t="n">
        <v>3.4</v>
      </c>
      <c r="BH8">
        <f>IF($AC8="","",$AC8)</f>
        <v/>
      </c>
      <c r="BI8">
        <f>IF($AC8="",NA(),$AD8)</f>
        <v/>
      </c>
      <c r="BJ8">
        <f>IF($AC8="",NA(),$AE8)</f>
        <v/>
      </c>
      <c r="BK8">
        <f>IF($AC8="",NA(),$AF8)</f>
        <v/>
      </c>
      <c r="BL8">
        <f>IF($AC8="",NA(),$AG8)</f>
        <v/>
      </c>
      <c r="BN8">
        <f>IF($AK8="","",$AK8)</f>
        <v/>
      </c>
      <c r="BO8">
        <f>IF($AK8="",NA(),$AN8)</f>
        <v/>
      </c>
      <c r="BP8">
        <f>IF($AK8="",NA(),$AQ8)</f>
        <v/>
      </c>
      <c r="BQ8">
        <f>IF($AK8="",NA(),$AT8)</f>
        <v/>
      </c>
      <c r="BS8">
        <f>IF($AZ8="","",$AZ8)</f>
        <v/>
      </c>
      <c r="BT8">
        <f>IF($AZ8="",NA(),$BC8)</f>
        <v/>
      </c>
      <c r="BU8">
        <f>IF($AZ8="",NA(),$BD8)</f>
        <v/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2029209</v>
      </c>
      <c r="AE9" t="n">
        <v>0</v>
      </c>
      <c r="AF9" t="n">
        <v>0</v>
      </c>
      <c r="AG9" t="n">
        <v>383</v>
      </c>
      <c r="AI9" t="inlineStr">
        <is>
          <t>CAMPUS</t>
        </is>
      </c>
      <c r="AJ9" t="inlineStr">
        <is>
          <t>MBWAY_NAN</t>
        </is>
      </c>
      <c r="AK9" t="inlineStr">
        <is>
          <t>MBway Nantes</t>
        </is>
      </c>
      <c r="AL9" t="n">
        <v>1923040</v>
      </c>
      <c r="AM9" t="n">
        <v>308546</v>
      </c>
      <c r="AN9" t="n">
        <v>0.1604</v>
      </c>
      <c r="AO9" t="n">
        <v>2048260</v>
      </c>
      <c r="AP9" t="n">
        <v>345410</v>
      </c>
      <c r="AQ9" t="n">
        <v>0.1686</v>
      </c>
      <c r="AR9" t="n">
        <v>2158300</v>
      </c>
      <c r="AS9" t="n">
        <v>384270</v>
      </c>
      <c r="AT9" t="n">
        <v>0.178</v>
      </c>
      <c r="AU9" t="n">
        <v>1.76</v>
      </c>
      <c r="AZ9" t="inlineStr">
        <is>
          <t>2026</t>
        </is>
      </c>
      <c r="BA9" t="n">
        <v>166530</v>
      </c>
      <c r="BB9" t="n">
        <v>510</v>
      </c>
      <c r="BC9" t="n">
        <v>121</v>
      </c>
      <c r="BD9" t="n">
        <v>112.8</v>
      </c>
      <c r="BE9" t="n">
        <v>327</v>
      </c>
      <c r="BF9" t="n">
        <v>8.199999999999999</v>
      </c>
      <c r="BH9">
        <f>IF($AC9="","",$AC9)</f>
        <v/>
      </c>
      <c r="BI9">
        <f>IF($AC9="",NA(),$AD9)</f>
        <v/>
      </c>
      <c r="BJ9">
        <f>IF($AC9="",NA(),$AE9)</f>
        <v/>
      </c>
      <c r="BK9">
        <f>IF($AC9="",NA(),$AF9)</f>
        <v/>
      </c>
      <c r="BL9">
        <f>IF($AC9="",NA(),$AG9)</f>
        <v/>
      </c>
      <c r="BN9">
        <f>IF($AK9="","",$AK9)</f>
        <v/>
      </c>
      <c r="BO9">
        <f>IF($AK9="",NA(),$AN9)</f>
        <v/>
      </c>
      <c r="BP9">
        <f>IF($AK9="",NA(),$AQ9)</f>
        <v/>
      </c>
      <c r="BQ9">
        <f>IF($AK9="",NA(),$AT9)</f>
        <v/>
      </c>
      <c r="BS9">
        <f>IF($AZ9="","",$AZ9)</f>
        <v/>
      </c>
      <c r="BT9">
        <f>IF($AZ9="",NA(),$BC9)</f>
        <v/>
      </c>
      <c r="BU9">
        <f>IF($AZ9="",NA(),$BD9)</f>
        <v/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1745998</v>
      </c>
      <c r="AE10" t="n">
        <v>0</v>
      </c>
      <c r="AF10" t="n">
        <v>0</v>
      </c>
      <c r="AG10" t="n">
        <v>283211</v>
      </c>
      <c r="AI10" t="inlineStr">
        <is>
          <t>CAMPUS</t>
        </is>
      </c>
      <c r="AJ10" t="inlineStr">
        <is>
          <t>MBWAY_PAR</t>
        </is>
      </c>
      <c r="AK10" t="inlineStr">
        <is>
          <t>MBway Paris</t>
        </is>
      </c>
      <c r="AL10" t="n">
        <v>2793380</v>
      </c>
      <c r="AM10" t="n">
        <v>485027</v>
      </c>
      <c r="AN10" t="n">
        <v>0.1736</v>
      </c>
      <c r="AO10" t="n">
        <v>2974600</v>
      </c>
      <c r="AP10" t="n">
        <v>540400</v>
      </c>
      <c r="AQ10" t="n">
        <v>0.1817</v>
      </c>
      <c r="AR10" t="n">
        <v>3138840</v>
      </c>
      <c r="AS10" t="n">
        <v>599620</v>
      </c>
      <c r="AT10" t="n">
        <v>0.191</v>
      </c>
      <c r="AU10" t="n">
        <v>1.74</v>
      </c>
      <c r="BH10">
        <f>IF($AC10="","",$AC10)</f>
        <v/>
      </c>
      <c r="BI10">
        <f>IF($AC10="",NA(),$AD10)</f>
        <v/>
      </c>
      <c r="BJ10">
        <f>IF($AC10="",NA(),$AE10)</f>
        <v/>
      </c>
      <c r="BK10">
        <f>IF($AC10="",NA(),$AF10)</f>
        <v/>
      </c>
      <c r="BL10">
        <f>IF($AC10="",NA(),$AG10)</f>
        <v/>
      </c>
      <c r="BN10">
        <f>IF($AK10="","",$AK10)</f>
        <v/>
      </c>
      <c r="BO10">
        <f>IF($AK10="",NA(),$AN10)</f>
        <v/>
      </c>
      <c r="BP10">
        <f>IF($AK10="",NA(),$AQ10)</f>
        <v/>
      </c>
      <c r="BQ10">
        <f>IF($AK10="",NA(),$AT10)</f>
        <v/>
      </c>
      <c r="BS10">
        <f>IF($AZ10="","",$AZ10)</f>
        <v/>
      </c>
      <c r="BT10">
        <f>IF($AZ10="",NA(),$BC10)</f>
        <v/>
      </c>
      <c r="BU10">
        <f>IF($AZ10="",NA(),$BD10)</f>
        <v/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1745998</v>
      </c>
      <c r="AF11" s="6" t="n">
        <v>0</v>
      </c>
      <c r="AG11" s="6" t="n">
        <v>0</v>
      </c>
      <c r="AH11" s="6" t="n"/>
      <c r="AI11" s="6" t="n"/>
      <c r="AJ11" s="6" t="n"/>
      <c r="BH11">
        <f>IF($AC11="","",$AC11)</f>
        <v/>
      </c>
      <c r="BI11">
        <f>IF($AC11="",NA(),$AD11)</f>
        <v/>
      </c>
      <c r="BJ11">
        <f>IF($AC11="",NA(),$AE11)</f>
        <v/>
      </c>
      <c r="BK11">
        <f>IF($AC11="",NA(),$AF11)</f>
        <v/>
      </c>
      <c r="BL11">
        <f>IF($AC11="",NA(),$AG11)</f>
        <v/>
      </c>
      <c r="BN11">
        <f>IF($AK11="","",$AK11)</f>
        <v/>
      </c>
      <c r="BO11">
        <f>IF($AK11="",NA(),$AN11)</f>
        <v/>
      </c>
      <c r="BP11">
        <f>IF($AK11="",NA(),$AQ11)</f>
        <v/>
      </c>
      <c r="BQ11">
        <f>IF($AK11="",NA(),$AT11)</f>
        <v/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SUBTOTAL(9,D39:D43)</f>
        <v/>
      </c>
      <c r="E38" s="123">
        <f>IFERROR((D38-R38)/R38,"")</f>
        <v/>
      </c>
      <c r="F38" s="111">
        <f>SUBTOTAL(9,F39:F43)</f>
        <v/>
      </c>
      <c r="G38" s="123">
        <f>IFERROR((F38-Q38)/Q38,"")</f>
        <v/>
      </c>
      <c r="H38" s="113">
        <f>SUBTOTAL(9,H39:H43)</f>
        <v/>
      </c>
      <c r="I38" s="113">
        <f>IFERROR(F38/D38,"")</f>
        <v/>
      </c>
      <c r="J38" s="124">
        <f>IFERROR((I38-U38)*100,"")</f>
        <v/>
      </c>
      <c r="K38" s="111">
        <f>SUBTOTAL(9,K39:K43)</f>
        <v/>
      </c>
      <c r="L38" s="113">
        <f>IFERROR(N38/O38,"")</f>
        <v/>
      </c>
      <c r="M38" s="113">
        <f>IFERROR(P38/N38,"")</f>
        <v/>
      </c>
      <c r="N38" s="115">
        <f>SUBTOTAL(9,N39:N43)</f>
        <v/>
      </c>
      <c r="O38" s="115">
        <f>SUBTOTAL(9,O39:O43)</f>
        <v/>
      </c>
      <c r="P38" s="6">
        <f>SUBTOTAL(9,P39:P43)</f>
        <v/>
      </c>
      <c r="Q38" s="6">
        <f>SUBTOTAL(9,Q39:Q43)</f>
        <v/>
      </c>
      <c r="R38" s="6">
        <f>SUBTOTAL(9,R39:R43)</f>
        <v/>
      </c>
      <c r="S38" s="6">
        <f>SUBTOTAL(9,S39:S43)</f>
        <v/>
      </c>
      <c r="T38" s="6">
        <f>SUBTOTAL(9,T39:T43)</f>
        <v/>
      </c>
      <c r="U38" s="6">
        <f>IFERROR(Q38/R38,"")</f>
        <v/>
      </c>
      <c r="V38" s="6">
        <f>SUBTOTAL(9,V39:V43)</f>
        <v/>
      </c>
      <c r="W38" s="6">
        <f>SUBTOTAL(9,W39:W43)</f>
        <v/>
      </c>
      <c r="X38" s="6">
        <f>SUBTOTAL(9,X39:X43)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MBway</t>
        </is>
      </c>
      <c r="D39" s="111">
        <f>SUBTOTAL(9,D40:D43)</f>
        <v/>
      </c>
      <c r="E39" s="123">
        <f>IFERROR((D39-R39)/R39,"")</f>
        <v/>
      </c>
      <c r="F39" s="111">
        <f>SUBTOTAL(9,F40:F43)</f>
        <v/>
      </c>
      <c r="G39" s="123">
        <f>IFERROR((F39-Q39)/Q39,"")</f>
        <v/>
      </c>
      <c r="H39" s="113">
        <f>SUBTOTAL(9,H40:H43)</f>
        <v/>
      </c>
      <c r="I39" s="113">
        <f>IFERROR(F39/D39,"")</f>
        <v/>
      </c>
      <c r="J39" s="124">
        <f>IFERROR((I39-U39)*100,"")</f>
        <v/>
      </c>
      <c r="K39" s="111">
        <f>SUBTOTAL(9,K40:K43)</f>
        <v/>
      </c>
      <c r="L39" s="113">
        <f>IFERROR(N39/O39,"")</f>
        <v/>
      </c>
      <c r="M39" s="113">
        <f>IFERROR(P39/N39,"")</f>
        <v/>
      </c>
      <c r="N39" s="111">
        <f>SUBTOTAL(9,N40:N43)</f>
        <v/>
      </c>
      <c r="O39" s="111">
        <f>SUBTOTAL(9,O40:O43)</f>
        <v/>
      </c>
      <c r="P39">
        <f>SUBTOTAL(9,P40:P43)</f>
        <v/>
      </c>
      <c r="Q39" s="6">
        <f>SUBTOTAL(9,Q40:Q43)</f>
        <v/>
      </c>
      <c r="R39" s="6">
        <f>SUBTOTAL(9,R40:R43)</f>
        <v/>
      </c>
      <c r="S39" s="6">
        <f>SUBTOTAL(9,S40:S43)</f>
        <v/>
      </c>
      <c r="T39" s="6">
        <f>SUBTOTAL(9,T40:T43)</f>
        <v/>
      </c>
      <c r="U39" s="6">
        <f>IFERROR(Q39/R39,"")</f>
        <v/>
      </c>
      <c r="V39" s="6">
        <f>SUBTOTAL(9,V40:V43)</f>
        <v/>
      </c>
      <c r="W39" s="6">
        <f>SUBTOTAL(9,W40:W43)</f>
        <v/>
      </c>
      <c r="X39" s="6">
        <f>SUBTOTAL(9,X40:X43)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MBway Bordeaux</t>
        </is>
      </c>
      <c r="D40" s="111" t="n">
        <v>1773610</v>
      </c>
      <c r="E40" s="123">
        <f>IFERROR((D40-R40)/R40,"")</f>
        <v/>
      </c>
      <c r="F40" s="111" t="n">
        <v>305134.8680963339</v>
      </c>
      <c r="G40" s="123">
        <f>IFERROR((F40-Q40)/Q40,"")</f>
        <v/>
      </c>
      <c r="H40" s="113" t="n">
        <v>0.0793425713060017</v>
      </c>
      <c r="I40" s="113">
        <f>IFERROR(F40/D40,"")</f>
        <v/>
      </c>
      <c r="J40" s="124">
        <f>IFERROR((I40-U40)*100,"")</f>
        <v/>
      </c>
      <c r="K40" s="111" t="n">
        <v>102</v>
      </c>
      <c r="L40" s="113">
        <f>IFERROR(N40/O40,"")</f>
        <v/>
      </c>
      <c r="M40" s="113">
        <f>IFERROR(P40/N40,"")</f>
        <v/>
      </c>
      <c r="N40" s="111" t="n">
        <v>249</v>
      </c>
      <c r="O40" s="111" t="n">
        <v>296</v>
      </c>
      <c r="P40" t="n">
        <v>198</v>
      </c>
      <c r="Q40" s="6" t="n">
        <v>271052.9921819164</v>
      </c>
      <c r="R40" s="6" t="n">
        <v>1666855</v>
      </c>
      <c r="S40" s="6" t="n">
        <v>24923</v>
      </c>
      <c r="T40" s="6" t="n">
        <v>22657</v>
      </c>
      <c r="U40" s="6">
        <f>IFERROR(Q40/R40,"")</f>
        <v/>
      </c>
      <c r="V40" s="6" t="n">
        <v>296</v>
      </c>
      <c r="W40" s="6" t="n">
        <v>96</v>
      </c>
      <c r="X40" s="6" t="n">
        <v>234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MBway Lyon</t>
        </is>
      </c>
      <c r="D41" s="111" t="n">
        <v>2496705</v>
      </c>
      <c r="E41" s="123">
        <f>IFERROR((D41-R41)/R41,"")</f>
        <v/>
      </c>
      <c r="F41" s="111" t="n">
        <v>456973.1810179077</v>
      </c>
      <c r="G41" s="123">
        <f>IFERROR((F41-Q41)/Q41,"")</f>
        <v/>
      </c>
      <c r="H41" s="113" t="n">
        <v>0.1188242675314214</v>
      </c>
      <c r="I41" s="113">
        <f>IFERROR(F41/D41,"")</f>
        <v/>
      </c>
      <c r="J41" s="124">
        <f>IFERROR((I41-U41)*100,"")</f>
        <v/>
      </c>
      <c r="K41" s="111" t="n">
        <v>132</v>
      </c>
      <c r="L41" s="113">
        <f>IFERROR(N41/O41,"")</f>
        <v/>
      </c>
      <c r="M41" s="113">
        <f>IFERROR(P41/N41,"")</f>
        <v/>
      </c>
      <c r="N41" s="111" t="n">
        <v>324</v>
      </c>
      <c r="O41" s="111" t="n">
        <v>380</v>
      </c>
      <c r="P41" t="n">
        <v>258</v>
      </c>
      <c r="Q41" s="6" t="n">
        <v>406786.7749326563</v>
      </c>
      <c r="R41" s="6" t="n">
        <v>2342685</v>
      </c>
      <c r="S41" s="6" t="n">
        <v>41783</v>
      </c>
      <c r="T41" s="6" t="n">
        <v>37985</v>
      </c>
      <c r="U41" s="6">
        <f>IFERROR(Q41/R41,"")</f>
        <v/>
      </c>
      <c r="V41" s="6" t="n">
        <v>380</v>
      </c>
      <c r="W41" s="6" t="n">
        <v>124</v>
      </c>
      <c r="X41" s="6" t="n">
        <v>304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MBway Nantes</t>
        </is>
      </c>
      <c r="D42" s="111" t="n">
        <v>2158300</v>
      </c>
      <c r="E42" s="123">
        <f>IFERROR((D42-R42)/R42,"")</f>
        <v/>
      </c>
      <c r="F42" s="111" t="n">
        <v>384269.8718500021</v>
      </c>
      <c r="G42" s="123">
        <f>IFERROR((F42-Q42)/Q42,"")</f>
        <v/>
      </c>
      <c r="H42" s="113" t="n">
        <v>0.09991961881714967</v>
      </c>
      <c r="I42" s="113">
        <f>IFERROR(F42/D42,"")</f>
        <v/>
      </c>
      <c r="J42" s="124">
        <f>IFERROR((I42-U42)*100,"")</f>
        <v/>
      </c>
      <c r="K42" s="111" t="n">
        <v>120</v>
      </c>
      <c r="L42" s="113">
        <f>IFERROR(N42/O42,"")</f>
        <v/>
      </c>
      <c r="M42" s="113">
        <f>IFERROR(P42/N42,"")</f>
        <v/>
      </c>
      <c r="N42" s="111" t="n">
        <v>294</v>
      </c>
      <c r="O42" s="111" t="n">
        <v>348</v>
      </c>
      <c r="P42" t="n">
        <v>234</v>
      </c>
      <c r="Q42" s="6" t="n">
        <v>345409.9935984532</v>
      </c>
      <c r="R42" s="6" t="n">
        <v>2048260</v>
      </c>
      <c r="S42" s="6" t="n">
        <v>31533</v>
      </c>
      <c r="T42" s="6" t="n">
        <v>28666</v>
      </c>
      <c r="U42" s="6">
        <f>IFERROR(Q42/R42,"")</f>
        <v/>
      </c>
      <c r="V42" s="6" t="n">
        <v>348</v>
      </c>
      <c r="W42" s="6" t="n">
        <v>114</v>
      </c>
      <c r="X42" s="6" t="n">
        <v>279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4</v>
      </c>
      <c r="C43" s="110" t="inlineStr">
        <is>
          <t>MBway Paris</t>
        </is>
      </c>
      <c r="D43" s="111" t="n">
        <v>3138840</v>
      </c>
      <c r="E43" s="123">
        <f>IFERROR((D43-R43)/R43,"")</f>
        <v/>
      </c>
      <c r="F43" s="111" t="n">
        <v>599620.1394084045</v>
      </c>
      <c r="G43" s="123">
        <f>IFERROR((F43-Q43)/Q43,"")</f>
        <v/>
      </c>
      <c r="H43" s="113" t="n">
        <v>0.1559159854930313</v>
      </c>
      <c r="I43" s="113">
        <f>IFERROR(F43/D43,"")</f>
        <v/>
      </c>
      <c r="J43" s="124">
        <f>IFERROR((I43-U43)*100,"")</f>
        <v/>
      </c>
      <c r="K43" s="111" t="n">
        <v>156</v>
      </c>
      <c r="L43" s="113">
        <f>IFERROR(N43/O43,"")</f>
        <v/>
      </c>
      <c r="M43" s="113">
        <f>IFERROR(P43/N43,"")</f>
        <v/>
      </c>
      <c r="N43" s="111" t="n">
        <v>382</v>
      </c>
      <c r="O43" s="111" t="n">
        <v>444</v>
      </c>
      <c r="P43" t="n">
        <v>304</v>
      </c>
      <c r="Q43" s="6" t="n">
        <v>540400.0259642038</v>
      </c>
      <c r="R43" s="6" t="n">
        <v>2974600</v>
      </c>
      <c r="S43" s="6" t="n">
        <v>68291</v>
      </c>
      <c r="T43" s="6" t="n">
        <v>62082</v>
      </c>
      <c r="U43" s="6">
        <f>IFERROR(Q43/R43,"")</f>
        <v/>
      </c>
      <c r="V43" s="6" t="n">
        <v>444</v>
      </c>
      <c r="W43" s="6" t="n">
        <v>148</v>
      </c>
      <c r="X43" s="6" t="n">
        <v>362</v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2026-09-06T18:53:11Z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