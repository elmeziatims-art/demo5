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1c_Cascade" sheetId="14" state="visible" r:id="rId14"/>
    <sheet name="12_Sensibilite" sheetId="15" state="visible" r:id="rId15"/>
    <sheet name="13_Simulation" sheetId="16" state="visible" r:id="rId16"/>
    <sheet name="14_Mapping_Tagetik" sheetId="17" state="visible" r:id="rId17"/>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6"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F14" authorId="0" shapeId="0">
      <text>
        <t>Chiffre d'affaires budget de la promo.</t>
      </text>
    </comment>
    <comment ref="K14" authorId="0" shapeId="0">
      <text>
        <t>Ton choix. Menu restreint selon l'année : entrée = lancer/capter ; poursuite = seulement regrouper.</t>
      </text>
    </comment>
    <comment ref="P14" authorId="0" shapeId="0">
      <text>
        <t>Capacité cible d'une classe (nb d'étudiants).</t>
      </text>
    </comment>
  </commentList>
</comments>
</file>

<file path=xl/comments/comment14.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5.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sheet1.xml><?xml version="1.0" encoding="utf-8"?>
<worksheet xmlns="http://schemas.openxmlformats.org/spreadsheetml/2006/main">
  <sheetPr>
    <outlinePr summaryBelow="1" summaryRight="1"/>
    <pageSetUpPr/>
  </sheetPr>
  <dimension ref="B2:D30"/>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11c_Cascade</t>
        </is>
      </c>
      <c r="C18" s="6" t="inlineStr">
        <is>
          <t>Allocation EN CASCADE sur un VRAI campus (MBway Lyon) + effet d'une fermeture (bénéfique vs entraînement)</t>
        </is>
      </c>
    </row>
    <row r="19">
      <c r="B19" s="5" t="inlineStr">
        <is>
          <t>12_Sensibilite</t>
        </is>
      </c>
      <c r="C19" s="6" t="inlineStr">
        <is>
          <t>Impact € sur l'EBITDA par levier (sens unique)</t>
        </is>
      </c>
    </row>
    <row r="20">
      <c r="B20" s="5" t="inlineStr">
        <is>
          <t>13_Simulation</t>
        </is>
      </c>
      <c r="C20" s="6" t="inlineStr">
        <is>
          <t>KPIs, € à risque, taux d'alternance/sécurisation</t>
        </is>
      </c>
    </row>
    <row r="21">
      <c r="B21" s="5" t="inlineStr">
        <is>
          <t>14_Mapping_Tagetik</t>
        </is>
      </c>
      <c r="C21" s="6" t="inlineStr">
        <is>
          <t>Passerelle Tagetik</t>
        </is>
      </c>
    </row>
    <row r="23" ht="20" customHeight="1">
      <c r="B23" s="3" t="inlineStr">
        <is>
          <t>Légende</t>
        </is>
      </c>
      <c r="C23" s="4" t="n"/>
      <c r="D23" s="4" t="n"/>
    </row>
    <row r="24">
      <c r="B24" s="7" t="inlineStr">
        <is>
          <t xml:space="preserve"> exemple </t>
        </is>
      </c>
      <c r="C24" s="8" t="inlineStr">
        <is>
          <t>Saisie / donnée réelle</t>
        </is>
      </c>
    </row>
    <row r="25">
      <c r="B25" s="9" t="inlineStr">
        <is>
          <t xml:space="preserve"> exemple </t>
        </is>
      </c>
      <c r="C25" s="8" t="inlineStr">
        <is>
          <t>Formule</t>
        </is>
      </c>
    </row>
    <row r="26">
      <c r="B26" s="10" t="inlineStr">
        <is>
          <t xml:space="preserve"> exemple </t>
        </is>
      </c>
      <c r="C26" s="8" t="inlineStr">
        <is>
          <t>Lien inter-feuilles</t>
        </is>
      </c>
    </row>
    <row r="27">
      <c r="B27" s="11" t="inlineStr">
        <is>
          <t xml:space="preserve"> exemple </t>
        </is>
      </c>
      <c r="C27" s="8" t="inlineStr">
        <is>
          <t>Hypothèse à remplir</t>
        </is>
      </c>
    </row>
    <row r="29">
      <c r="B29" s="12" t="inlineStr">
        <is>
          <t>Marques/campus réels EDUSERVICES ; montants ILLUSTRATIFS calibrés sur des ordres de grandeur sourcés (scolarité 8-11 k€, NPEC ~7-10 k€, marge EBITDA ~20 %, classe ~30). À remplacer par le réel.</t>
        </is>
      </c>
    </row>
    <row r="30"/>
  </sheetData>
  <mergeCells count="25">
    <mergeCell ref="C6:D6"/>
    <mergeCell ref="C24:D24"/>
    <mergeCell ref="C15:D15"/>
    <mergeCell ref="B23:D23"/>
    <mergeCell ref="C14:D14"/>
    <mergeCell ref="C26:D26"/>
    <mergeCell ref="C20:D20"/>
    <mergeCell ref="C10:D10"/>
    <mergeCell ref="C16:D16"/>
    <mergeCell ref="C25:D25"/>
    <mergeCell ref="C9:D9"/>
    <mergeCell ref="C12:D12"/>
    <mergeCell ref="B5:D5"/>
    <mergeCell ref="C21:D21"/>
    <mergeCell ref="B29:D30"/>
    <mergeCell ref="C11:D11"/>
    <mergeCell ref="C27:D27"/>
    <mergeCell ref="C17:D17"/>
    <mergeCell ref="C8:D8"/>
    <mergeCell ref="B3:D3"/>
    <mergeCell ref="C7:D7"/>
    <mergeCell ref="C19:D19"/>
    <mergeCell ref="C13:D13"/>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3" t="inlineStr">
        <is>
          <t>Marque</t>
        </is>
      </c>
      <c r="C5" s="13" t="inlineStr">
        <is>
          <t>Ville</t>
        </is>
      </c>
      <c r="D5" s="13" t="inlineStr">
        <is>
          <t>Intensité MARKETING</t>
        </is>
      </c>
      <c r="E5" s="13" t="inlineStr">
        <is>
          <t>Intensité PRIX</t>
        </is>
      </c>
      <c r="F5" s="13" t="inlineStr">
        <is>
          <t>Posture</t>
        </is>
      </c>
      <c r="H5" s="13" t="inlineStr">
        <is>
          <t>Clé (marque|campus)</t>
        </is>
      </c>
    </row>
    <row r="6">
      <c r="B6" s="8" t="inlineStr">
        <is>
          <t>MBway</t>
        </is>
      </c>
      <c r="C6" s="24" t="inlineStr">
        <is>
          <t>Paris</t>
        </is>
      </c>
      <c r="D6" s="33" t="n">
        <v>1.2</v>
      </c>
      <c r="E6" s="33" t="n">
        <v>1</v>
      </c>
      <c r="F6" s="9">
        <f>IF(D6&gt;=1.15,"Pousser",IF(D6&lt;=0.85,"Défendre","Maintenir"))</f>
        <v/>
      </c>
      <c r="H6" s="9">
        <f>B6&amp;"|"&amp;C6</f>
        <v/>
      </c>
    </row>
    <row r="7">
      <c r="B7" s="8" t="inlineStr">
        <is>
          <t>MBway</t>
        </is>
      </c>
      <c r="C7" s="24" t="inlineStr">
        <is>
          <t>Lyon</t>
        </is>
      </c>
      <c r="D7" s="33" t="n">
        <v>1.2</v>
      </c>
      <c r="E7" s="33" t="n">
        <v>1</v>
      </c>
      <c r="F7" s="9">
        <f>IF(D7&gt;=1.15,"Pousser",IF(D7&lt;=0.85,"Défendre","Maintenir"))</f>
        <v/>
      </c>
      <c r="H7" s="9">
        <f>B7&amp;"|"&amp;C7</f>
        <v/>
      </c>
    </row>
    <row r="8">
      <c r="B8" s="8" t="inlineStr">
        <is>
          <t>MBway</t>
        </is>
      </c>
      <c r="C8" s="24" t="inlineStr">
        <is>
          <t>Nantes</t>
        </is>
      </c>
      <c r="D8" s="33" t="n">
        <v>1.2</v>
      </c>
      <c r="E8" s="33" t="n">
        <v>1</v>
      </c>
      <c r="F8" s="9">
        <f>IF(D8&gt;=1.15,"Pousser",IF(D8&lt;=0.85,"Défendre","Maintenir"))</f>
        <v/>
      </c>
      <c r="H8" s="9">
        <f>B8&amp;"|"&amp;C8</f>
        <v/>
      </c>
    </row>
    <row r="9">
      <c r="B9" s="8" t="inlineStr">
        <is>
          <t>MBway</t>
        </is>
      </c>
      <c r="C9" s="24" t="inlineStr">
        <is>
          <t>Bordeaux</t>
        </is>
      </c>
      <c r="D9" s="33" t="n">
        <v>1.2</v>
      </c>
      <c r="E9" s="33" t="n">
        <v>1</v>
      </c>
      <c r="F9" s="9">
        <f>IF(D9&gt;=1.15,"Pousser",IF(D9&lt;=0.85,"Défendre","Maintenir"))</f>
        <v/>
      </c>
      <c r="H9" s="9">
        <f>B9&amp;"|"&amp;C9</f>
        <v/>
      </c>
    </row>
    <row r="10">
      <c r="B10" s="8" t="inlineStr">
        <is>
          <t>ISCOM</t>
        </is>
      </c>
      <c r="C10" s="24" t="inlineStr">
        <is>
          <t>Paris</t>
        </is>
      </c>
      <c r="D10" s="33" t="n">
        <v>1</v>
      </c>
      <c r="E10" s="33" t="n">
        <v>1.2</v>
      </c>
      <c r="F10" s="9">
        <f>IF(D10&gt;=1.15,"Pousser",IF(D10&lt;=0.85,"Défendre","Maintenir"))</f>
        <v/>
      </c>
      <c r="H10" s="9">
        <f>B10&amp;"|"&amp;C10</f>
        <v/>
      </c>
    </row>
    <row r="11">
      <c r="B11" s="8" t="inlineStr">
        <is>
          <t>ISCOM</t>
        </is>
      </c>
      <c r="C11" s="24" t="inlineStr">
        <is>
          <t>Lille</t>
        </is>
      </c>
      <c r="D11" s="33" t="n">
        <v>1</v>
      </c>
      <c r="E11" s="33" t="n">
        <v>1.2</v>
      </c>
      <c r="F11" s="9">
        <f>IF(D11&gt;=1.15,"Pousser",IF(D11&lt;=0.85,"Défendre","Maintenir"))</f>
        <v/>
      </c>
      <c r="H11" s="9">
        <f>B11&amp;"|"&amp;C11</f>
        <v/>
      </c>
    </row>
    <row r="12">
      <c r="B12" s="8" t="inlineStr">
        <is>
          <t>ISCOM</t>
        </is>
      </c>
      <c r="C12" s="24" t="inlineStr">
        <is>
          <t>Toulouse</t>
        </is>
      </c>
      <c r="D12" s="33" t="n">
        <v>1</v>
      </c>
      <c r="E12" s="33" t="n">
        <v>1.2</v>
      </c>
      <c r="F12" s="9">
        <f>IF(D12&gt;=1.15,"Pousser",IF(D12&lt;=0.85,"Défendre","Maintenir"))</f>
        <v/>
      </c>
      <c r="H12" s="9">
        <f>B12&amp;"|"&amp;C12</f>
        <v/>
      </c>
    </row>
    <row r="13">
      <c r="B13" s="8" t="inlineStr">
        <is>
          <t>Ipac Bachelor Factory</t>
        </is>
      </c>
      <c r="C13" s="24" t="inlineStr">
        <is>
          <t>Nantes</t>
        </is>
      </c>
      <c r="D13" s="33" t="n">
        <v>1.3</v>
      </c>
      <c r="E13" s="33" t="n">
        <v>0.8</v>
      </c>
      <c r="F13" s="9">
        <f>IF(D13&gt;=1.15,"Pousser",IF(D13&lt;=0.85,"Défendre","Maintenir"))</f>
        <v/>
      </c>
      <c r="H13" s="9">
        <f>B13&amp;"|"&amp;C13</f>
        <v/>
      </c>
    </row>
    <row r="14">
      <c r="B14" s="8" t="inlineStr">
        <is>
          <t>Ipac Bachelor Factory</t>
        </is>
      </c>
      <c r="C14" s="24" t="inlineStr">
        <is>
          <t>Rennes</t>
        </is>
      </c>
      <c r="D14" s="33" t="n">
        <v>1.3</v>
      </c>
      <c r="E14" s="33" t="n">
        <v>0.8</v>
      </c>
      <c r="F14" s="9">
        <f>IF(D14&gt;=1.15,"Pousser",IF(D14&lt;=0.85,"Défendre","Maintenir"))</f>
        <v/>
      </c>
      <c r="H14" s="9">
        <f>B14&amp;"|"&amp;C14</f>
        <v/>
      </c>
    </row>
    <row r="15">
      <c r="B15" s="8" t="inlineStr">
        <is>
          <t>Ipac Bachelor Factory</t>
        </is>
      </c>
      <c r="C15" s="24" t="inlineStr">
        <is>
          <t>Montpellier</t>
        </is>
      </c>
      <c r="D15" s="33" t="n">
        <v>1.3</v>
      </c>
      <c r="E15" s="33" t="n">
        <v>0.8</v>
      </c>
      <c r="F15" s="9">
        <f>IF(D15&gt;=1.15,"Pousser",IF(D15&lt;=0.85,"Défendre","Maintenir"))</f>
        <v/>
      </c>
      <c r="H15" s="9">
        <f>B15&amp;"|"&amp;C15</f>
        <v/>
      </c>
    </row>
    <row r="16">
      <c r="B16" s="8" t="inlineStr">
        <is>
          <t>Pigier</t>
        </is>
      </c>
      <c r="C16" s="24" t="inlineStr">
        <is>
          <t>Lyon</t>
        </is>
      </c>
      <c r="D16" s="33" t="n">
        <v>0.7</v>
      </c>
      <c r="E16" s="33" t="n">
        <v>1</v>
      </c>
      <c r="F16" s="9">
        <f>IF(D16&gt;=1.15,"Pousser",IF(D16&lt;=0.85,"Défendre","Maintenir"))</f>
        <v/>
      </c>
      <c r="H16" s="9">
        <f>B16&amp;"|"&amp;C16</f>
        <v/>
      </c>
    </row>
    <row r="17">
      <c r="B17" s="8" t="inlineStr">
        <is>
          <t>Pigier</t>
        </is>
      </c>
      <c r="C17" s="24" t="inlineStr">
        <is>
          <t>Bordeaux</t>
        </is>
      </c>
      <c r="D17" s="33" t="n">
        <v>0.7</v>
      </c>
      <c r="E17" s="33" t="n">
        <v>1</v>
      </c>
      <c r="F17" s="9">
        <f>IF(D17&gt;=1.15,"Pousser",IF(D17&lt;=0.85,"Défendre","Maintenir"))</f>
        <v/>
      </c>
      <c r="H17" s="9">
        <f>B17&amp;"|"&amp;C17</f>
        <v/>
      </c>
    </row>
    <row r="18">
      <c r="B18" s="8" t="inlineStr">
        <is>
          <t>Tunon</t>
        </is>
      </c>
      <c r="C18" s="24" t="inlineStr">
        <is>
          <t>Paris</t>
        </is>
      </c>
      <c r="D18" s="33" t="n">
        <v>1</v>
      </c>
      <c r="E18" s="33" t="n">
        <v>1.1</v>
      </c>
      <c r="F18" s="9">
        <f>IF(D18&gt;=1.15,"Pousser",IF(D18&lt;=0.85,"Défendre","Maintenir"))</f>
        <v/>
      </c>
      <c r="H18" s="9">
        <f>B18&amp;"|"&amp;C18</f>
        <v/>
      </c>
    </row>
    <row r="19">
      <c r="B19" s="8" t="inlineStr">
        <is>
          <t>Tunon</t>
        </is>
      </c>
      <c r="C19" s="24" t="inlineStr">
        <is>
          <t>Lyon</t>
        </is>
      </c>
      <c r="D19" s="33" t="n">
        <v>1</v>
      </c>
      <c r="E19" s="33"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32</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0.93</v>
      </c>
    </row>
    <row r="6">
      <c r="A6" s="38" t="inlineStr">
        <is>
          <t>Bachelor Management|B3</t>
        </is>
      </c>
      <c r="B6" s="38" t="inlineStr">
        <is>
          <t>Bachelor Management</t>
        </is>
      </c>
      <c r="C6" s="7" t="inlineStr">
        <is>
          <t>B3</t>
        </is>
      </c>
      <c r="D6" s="7" t="inlineStr">
        <is>
          <t>ALT</t>
        </is>
      </c>
      <c r="E6" s="39" t="n">
        <v>32</v>
      </c>
      <c r="F6" s="39" t="n">
        <v>520</v>
      </c>
      <c r="G6" s="28" t="n">
        <v>58</v>
      </c>
      <c r="H6" s="28" t="n">
        <v>400</v>
      </c>
      <c r="I6" s="28" t="n">
        <v>0</v>
      </c>
      <c r="J6" s="25" t="n">
        <v>0.95</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26</v>
      </c>
      <c r="F8" s="39" t="n">
        <v>440</v>
      </c>
      <c r="G8" s="28" t="n">
        <v>70</v>
      </c>
      <c r="H8" s="28" t="n">
        <v>520</v>
      </c>
      <c r="I8" s="28" t="n">
        <v>0</v>
      </c>
      <c r="J8" s="25" t="n">
        <v>0.96</v>
      </c>
    </row>
    <row r="9">
      <c r="A9" s="38" t="inlineStr">
        <is>
          <t>Bachelor Communication|B1</t>
        </is>
      </c>
      <c r="B9" s="38" t="inlineStr">
        <is>
          <t>Bachelor Communication</t>
        </is>
      </c>
      <c r="C9" s="7" t="inlineStr">
        <is>
          <t>B1</t>
        </is>
      </c>
      <c r="D9" s="7" t="inlineStr">
        <is>
          <t>INIT</t>
        </is>
      </c>
      <c r="E9" s="39" t="n">
        <v>32</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0.93</v>
      </c>
    </row>
    <row r="11">
      <c r="A11" s="38" t="inlineStr">
        <is>
          <t>Bachelor Communication|B3</t>
        </is>
      </c>
      <c r="B11" s="38" t="inlineStr">
        <is>
          <t>Bachelor Communication</t>
        </is>
      </c>
      <c r="C11" s="7" t="inlineStr">
        <is>
          <t>B3</t>
        </is>
      </c>
      <c r="D11" s="7" t="inlineStr">
        <is>
          <t>ALT</t>
        </is>
      </c>
      <c r="E11" s="39" t="n">
        <v>32</v>
      </c>
      <c r="F11" s="39" t="n">
        <v>520</v>
      </c>
      <c r="G11" s="28" t="n">
        <v>62</v>
      </c>
      <c r="H11" s="28" t="n">
        <v>550</v>
      </c>
      <c r="I11" s="28" t="n">
        <v>0</v>
      </c>
      <c r="J11" s="25" t="n">
        <v>0.95</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26</v>
      </c>
      <c r="F13" s="39" t="n">
        <v>440</v>
      </c>
      <c r="G13" s="28" t="n">
        <v>74</v>
      </c>
      <c r="H13" s="28" t="n">
        <v>670</v>
      </c>
      <c r="I13" s="28" t="n">
        <v>0</v>
      </c>
      <c r="J13" s="25" t="n">
        <v>0.96</v>
      </c>
    </row>
    <row r="14">
      <c r="A14" s="38" t="inlineStr">
        <is>
          <t>Bachelor Commerce|B1</t>
        </is>
      </c>
      <c r="B14" s="38" t="inlineStr">
        <is>
          <t>Bachelor Commerce</t>
        </is>
      </c>
      <c r="C14" s="7" t="inlineStr">
        <is>
          <t>B1</t>
        </is>
      </c>
      <c r="D14" s="7" t="inlineStr">
        <is>
          <t>ALT</t>
        </is>
      </c>
      <c r="E14" s="39" t="n">
        <v>32</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0.93</v>
      </c>
    </row>
    <row r="16">
      <c r="A16" s="38" t="inlineStr">
        <is>
          <t>Bachelor Commerce|B3</t>
        </is>
      </c>
      <c r="B16" s="38" t="inlineStr">
        <is>
          <t>Bachelor Commerce</t>
        </is>
      </c>
      <c r="C16" s="7" t="inlineStr">
        <is>
          <t>B3</t>
        </is>
      </c>
      <c r="D16" s="7" t="inlineStr">
        <is>
          <t>ALT</t>
        </is>
      </c>
      <c r="E16" s="39" t="n">
        <v>32</v>
      </c>
      <c r="F16" s="39" t="n">
        <v>520</v>
      </c>
      <c r="G16" s="28" t="n">
        <v>58</v>
      </c>
      <c r="H16" s="28" t="n">
        <v>380</v>
      </c>
      <c r="I16" s="28" t="n">
        <v>0</v>
      </c>
      <c r="J16" s="25" t="n">
        <v>0.95</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0.9399999999999999</v>
      </c>
    </row>
    <row r="19">
      <c r="A19" s="38" t="inlineStr">
        <is>
          <t>Bachelor RH|B1</t>
        </is>
      </c>
      <c r="B19" s="38" t="inlineStr">
        <is>
          <t>Bachelor RH</t>
        </is>
      </c>
      <c r="C19" s="7" t="inlineStr">
        <is>
          <t>B1</t>
        </is>
      </c>
      <c r="D19" s="7" t="inlineStr">
        <is>
          <t>ALT</t>
        </is>
      </c>
      <c r="E19" s="39" t="n">
        <v>32</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32</v>
      </c>
      <c r="F20" s="39" t="n">
        <v>520</v>
      </c>
      <c r="G20" s="28" t="n">
        <v>58</v>
      </c>
      <c r="H20" s="28" t="n">
        <v>380</v>
      </c>
      <c r="I20" s="28" t="n">
        <v>0</v>
      </c>
      <c r="J20" s="25" t="n">
        <v>0.95</v>
      </c>
    </row>
    <row r="21">
      <c r="A21" s="38" t="inlineStr">
        <is>
          <t>Bachelor Tourisme|B1</t>
        </is>
      </c>
      <c r="B21" s="38" t="inlineStr">
        <is>
          <t>Bachelor Tourisme</t>
        </is>
      </c>
      <c r="C21" s="7" t="inlineStr">
        <is>
          <t>B1</t>
        </is>
      </c>
      <c r="D21" s="7" t="inlineStr">
        <is>
          <t>ALT</t>
        </is>
      </c>
      <c r="E21" s="39" t="n">
        <v>32</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0.93</v>
      </c>
    </row>
    <row r="23">
      <c r="A23" s="38" t="inlineStr">
        <is>
          <t>Bachelor Tourisme|B3</t>
        </is>
      </c>
      <c r="B23" s="38" t="inlineStr">
        <is>
          <t>Bachelor Tourisme</t>
        </is>
      </c>
      <c r="C23" s="7" t="inlineStr">
        <is>
          <t>B3</t>
        </is>
      </c>
      <c r="D23" s="7" t="inlineStr">
        <is>
          <t>ALT</t>
        </is>
      </c>
      <c r="E23" s="39" t="n">
        <v>32</v>
      </c>
      <c r="F23" s="39" t="n">
        <v>520</v>
      </c>
      <c r="G23" s="28" t="n">
        <v>56</v>
      </c>
      <c r="H23" s="28" t="n">
        <v>450</v>
      </c>
      <c r="I23" s="28" t="n">
        <v>0</v>
      </c>
      <c r="J23" s="25"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3</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1</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1358988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873430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INDEX('03_Coeff_Strateg'!$D$6:$D$19,MATCH(A3&amp;"|"&amp;B3,'03_Coeff_Strateg'!$H$6:$H$19,0))</f>
        <v/>
      </c>
      <c r="W3" s="42">
        <f>INDEX('03_Coeff_Strateg'!$E$6:$E$19,MATCH(A3&amp;"|"&amp;B3,'03_Coeff_Strateg'!$H$6:$H$19,0))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INDEX('03_Coeff_Strateg'!$D$6:$D$19,MATCH(A4&amp;"|"&amp;B4,'03_Coeff_Strateg'!$H$6:$H$19,0))</f>
        <v/>
      </c>
      <c r="W4" s="42">
        <f>INDEX('03_Coeff_Strateg'!$E$6:$E$19,MATCH(A4&amp;"|"&amp;B4,'03_Coeff_Strateg'!$H$6:$H$19,0))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INDEX('03_Coeff_Strateg'!$D$6:$D$19,MATCH(A5&amp;"|"&amp;B5,'03_Coeff_Strateg'!$H$6:$H$19,0))</f>
        <v/>
      </c>
      <c r="W5" s="42">
        <f>INDEX('03_Coeff_Strateg'!$E$6:$E$19,MATCH(A5&amp;"|"&amp;B5,'03_Coeff_Strateg'!$H$6:$H$19,0))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INDEX('03_Coeff_Strateg'!$D$6:$D$19,MATCH(A6&amp;"|"&amp;B6,'03_Coeff_Strateg'!$H$6:$H$19,0))</f>
        <v/>
      </c>
      <c r="W6" s="42">
        <f>INDEX('03_Coeff_Strateg'!$E$6:$E$19,MATCH(A6&amp;"|"&amp;B6,'03_Coeff_Strateg'!$H$6:$H$19,0))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INDEX('03_Coeff_Strateg'!$D$6:$D$19,MATCH(A7&amp;"|"&amp;B7,'03_Coeff_Strateg'!$H$6:$H$19,0))</f>
        <v/>
      </c>
      <c r="W7" s="42">
        <f>INDEX('03_Coeff_Strateg'!$E$6:$E$19,MATCH(A7&amp;"|"&amp;B7,'03_Coeff_Strateg'!$H$6:$H$19,0))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INDEX('03_Coeff_Strateg'!$D$6:$D$19,MATCH(A8&amp;"|"&amp;B8,'03_Coeff_Strateg'!$H$6:$H$19,0))</f>
        <v/>
      </c>
      <c r="W8" s="42">
        <f>INDEX('03_Coeff_Strateg'!$E$6:$E$19,MATCH(A8&amp;"|"&amp;B8,'03_Coeff_Strateg'!$H$6:$H$19,0))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INDEX('03_Coeff_Strateg'!$D$6:$D$19,MATCH(A9&amp;"|"&amp;B9,'03_Coeff_Strateg'!$H$6:$H$19,0))</f>
        <v/>
      </c>
      <c r="W9" s="42">
        <f>INDEX('03_Coeff_Strateg'!$E$6:$E$19,MATCH(A9&amp;"|"&amp;B9,'03_Coeff_Strateg'!$H$6:$H$19,0))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INDEX('03_Coeff_Strateg'!$D$6:$D$19,MATCH(A10&amp;"|"&amp;B10,'03_Coeff_Strateg'!$H$6:$H$19,0))</f>
        <v/>
      </c>
      <c r="W10" s="42">
        <f>INDEX('03_Coeff_Strateg'!$E$6:$E$19,MATCH(A10&amp;"|"&amp;B10,'03_Coeff_Strateg'!$H$6:$H$19,0))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INDEX('03_Coeff_Strateg'!$D$6:$D$19,MATCH(A11&amp;"|"&amp;B11,'03_Coeff_Strateg'!$H$6:$H$19,0))</f>
        <v/>
      </c>
      <c r="W11" s="42">
        <f>INDEX('03_Coeff_Strateg'!$E$6:$E$19,MATCH(A11&amp;"|"&amp;B11,'03_Coeff_Strateg'!$H$6:$H$19,0))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INDEX('03_Coeff_Strateg'!$D$6:$D$19,MATCH(A12&amp;"|"&amp;B12,'03_Coeff_Strateg'!$H$6:$H$19,0))</f>
        <v/>
      </c>
      <c r="W12" s="42">
        <f>INDEX('03_Coeff_Strateg'!$E$6:$E$19,MATCH(A12&amp;"|"&amp;B12,'03_Coeff_Strateg'!$H$6:$H$19,0))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INDEX('03_Coeff_Strateg'!$D$6:$D$19,MATCH(A13&amp;"|"&amp;B13,'03_Coeff_Strateg'!$H$6:$H$19,0))</f>
        <v/>
      </c>
      <c r="W13" s="42">
        <f>INDEX('03_Coeff_Strateg'!$E$6:$E$19,MATCH(A13&amp;"|"&amp;B13,'03_Coeff_Strateg'!$H$6:$H$19,0))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INDEX('03_Coeff_Strateg'!$D$6:$D$19,MATCH(A14&amp;"|"&amp;B14,'03_Coeff_Strateg'!$H$6:$H$19,0))</f>
        <v/>
      </c>
      <c r="W14" s="42">
        <f>INDEX('03_Coeff_Strateg'!$E$6:$E$19,MATCH(A14&amp;"|"&amp;B14,'03_Coeff_Strateg'!$H$6:$H$19,0))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INDEX('03_Coeff_Strateg'!$D$6:$D$19,MATCH(A15&amp;"|"&amp;B15,'03_Coeff_Strateg'!$H$6:$H$19,0))</f>
        <v/>
      </c>
      <c r="W15" s="42">
        <f>INDEX('03_Coeff_Strateg'!$E$6:$E$19,MATCH(A15&amp;"|"&amp;B15,'03_Coeff_Strateg'!$H$6:$H$19,0))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INDEX('03_Coeff_Strateg'!$D$6:$D$19,MATCH(A16&amp;"|"&amp;B16,'03_Coeff_Strateg'!$H$6:$H$19,0))</f>
        <v/>
      </c>
      <c r="W16" s="42">
        <f>INDEX('03_Coeff_Strateg'!$E$6:$E$19,MATCH(A16&amp;"|"&amp;B16,'03_Coeff_Strateg'!$H$6:$H$19,0))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INDEX('03_Coeff_Strateg'!$D$6:$D$19,MATCH(A17&amp;"|"&amp;B17,'03_Coeff_Strateg'!$H$6:$H$19,0))</f>
        <v/>
      </c>
      <c r="W17" s="42">
        <f>INDEX('03_Coeff_Strateg'!$E$6:$E$19,MATCH(A17&amp;"|"&amp;B17,'03_Coeff_Strateg'!$H$6:$H$19,0))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INDEX('03_Coeff_Strateg'!$D$6:$D$19,MATCH(A18&amp;"|"&amp;B18,'03_Coeff_Strateg'!$H$6:$H$19,0))</f>
        <v/>
      </c>
      <c r="W18" s="42">
        <f>INDEX('03_Coeff_Strateg'!$E$6:$E$19,MATCH(A18&amp;"|"&amp;B18,'03_Coeff_Strateg'!$H$6:$H$19,0))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INDEX('03_Coeff_Strateg'!$D$6:$D$19,MATCH(A19&amp;"|"&amp;B19,'03_Coeff_Strateg'!$H$6:$H$19,0))</f>
        <v/>
      </c>
      <c r="W19" s="42">
        <f>INDEX('03_Coeff_Strateg'!$E$6:$E$19,MATCH(A19&amp;"|"&amp;B19,'03_Coeff_Strateg'!$H$6:$H$19,0))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INDEX('03_Coeff_Strateg'!$D$6:$D$19,MATCH(A20&amp;"|"&amp;B20,'03_Coeff_Strateg'!$H$6:$H$19,0))</f>
        <v/>
      </c>
      <c r="W20" s="42">
        <f>INDEX('03_Coeff_Strateg'!$E$6:$E$19,MATCH(A20&amp;"|"&amp;B20,'03_Coeff_Strateg'!$H$6:$H$19,0))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INDEX('03_Coeff_Strateg'!$D$6:$D$19,MATCH(A21&amp;"|"&amp;B21,'03_Coeff_Strateg'!$H$6:$H$19,0))</f>
        <v/>
      </c>
      <c r="W21" s="42">
        <f>INDEX('03_Coeff_Strateg'!$E$6:$E$19,MATCH(A21&amp;"|"&amp;B21,'03_Coeff_Strateg'!$H$6:$H$19,0))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INDEX('03_Coeff_Strateg'!$D$6:$D$19,MATCH(A22&amp;"|"&amp;B22,'03_Coeff_Strateg'!$H$6:$H$19,0))</f>
        <v/>
      </c>
      <c r="W22" s="42">
        <f>INDEX('03_Coeff_Strateg'!$E$6:$E$19,MATCH(A22&amp;"|"&amp;B22,'03_Coeff_Strateg'!$H$6:$H$19,0))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INDEX('03_Coeff_Strateg'!$D$6:$D$19,MATCH(A23&amp;"|"&amp;B23,'03_Coeff_Strateg'!$H$6:$H$19,0))</f>
        <v/>
      </c>
      <c r="W23" s="42">
        <f>INDEX('03_Coeff_Strateg'!$E$6:$E$19,MATCH(A23&amp;"|"&amp;B23,'03_Coeff_Strateg'!$H$6:$H$19,0))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INDEX('03_Coeff_Strateg'!$D$6:$D$19,MATCH(A24&amp;"|"&amp;B24,'03_Coeff_Strateg'!$H$6:$H$19,0))</f>
        <v/>
      </c>
      <c r="W24" s="42">
        <f>INDEX('03_Coeff_Strateg'!$E$6:$E$19,MATCH(A24&amp;"|"&amp;B24,'03_Coeff_Strateg'!$H$6:$H$19,0))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INDEX('03_Coeff_Strateg'!$D$6:$D$19,MATCH(A25&amp;"|"&amp;B25,'03_Coeff_Strateg'!$H$6:$H$19,0))</f>
        <v/>
      </c>
      <c r="W25" s="42">
        <f>INDEX('03_Coeff_Strateg'!$E$6:$E$19,MATCH(A25&amp;"|"&amp;B25,'03_Coeff_Strateg'!$H$6:$H$19,0))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INDEX('03_Coeff_Strateg'!$D$6:$D$19,MATCH(A26&amp;"|"&amp;B26,'03_Coeff_Strateg'!$H$6:$H$19,0))</f>
        <v/>
      </c>
      <c r="W26" s="42">
        <f>INDEX('03_Coeff_Strateg'!$E$6:$E$19,MATCH(A26&amp;"|"&amp;B26,'03_Coeff_Strateg'!$H$6:$H$19,0))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INDEX('03_Coeff_Strateg'!$D$6:$D$19,MATCH(A27&amp;"|"&amp;B27,'03_Coeff_Strateg'!$H$6:$H$19,0))</f>
        <v/>
      </c>
      <c r="W27" s="42">
        <f>INDEX('03_Coeff_Strateg'!$E$6:$E$19,MATCH(A27&amp;"|"&amp;B27,'03_Coeff_Strateg'!$H$6:$H$19,0))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INDEX('03_Coeff_Strateg'!$D$6:$D$19,MATCH(A28&amp;"|"&amp;B28,'03_Coeff_Strateg'!$H$6:$H$19,0))</f>
        <v/>
      </c>
      <c r="W28" s="42">
        <f>INDEX('03_Coeff_Strateg'!$E$6:$E$19,MATCH(A28&amp;"|"&amp;B28,'03_Coeff_Strateg'!$H$6:$H$19,0))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INDEX('03_Coeff_Strateg'!$D$6:$D$19,MATCH(A29&amp;"|"&amp;B29,'03_Coeff_Strateg'!$H$6:$H$19,0))</f>
        <v/>
      </c>
      <c r="W29" s="42">
        <f>INDEX('03_Coeff_Strateg'!$E$6:$E$19,MATCH(A29&amp;"|"&amp;B29,'03_Coeff_Strateg'!$H$6:$H$19,0))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INDEX('03_Coeff_Strateg'!$D$6:$D$19,MATCH(A30&amp;"|"&amp;B30,'03_Coeff_Strateg'!$H$6:$H$19,0))</f>
        <v/>
      </c>
      <c r="W30" s="42">
        <f>INDEX('03_Coeff_Strateg'!$E$6:$E$19,MATCH(A30&amp;"|"&amp;B30,'03_Coeff_Strateg'!$H$6:$H$19,0))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INDEX('03_Coeff_Strateg'!$D$6:$D$19,MATCH(A31&amp;"|"&amp;B31,'03_Coeff_Strateg'!$H$6:$H$19,0))</f>
        <v/>
      </c>
      <c r="W31" s="42">
        <f>INDEX('03_Coeff_Strateg'!$E$6:$E$19,MATCH(A31&amp;"|"&amp;B31,'03_Coeff_Strateg'!$H$6:$H$19,0))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INDEX('03_Coeff_Strateg'!$D$6:$D$19,MATCH(A32&amp;"|"&amp;B32,'03_Coeff_Strateg'!$H$6:$H$19,0))</f>
        <v/>
      </c>
      <c r="W32" s="42">
        <f>INDEX('03_Coeff_Strateg'!$E$6:$E$19,MATCH(A32&amp;"|"&amp;B32,'03_Coeff_Strateg'!$H$6:$H$19,0))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INDEX('03_Coeff_Strateg'!$D$6:$D$19,MATCH(A33&amp;"|"&amp;B33,'03_Coeff_Strateg'!$H$6:$H$19,0))</f>
        <v/>
      </c>
      <c r="W33" s="42">
        <f>INDEX('03_Coeff_Strateg'!$E$6:$E$19,MATCH(A33&amp;"|"&amp;B33,'03_Coeff_Strateg'!$H$6:$H$19,0))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INDEX('03_Coeff_Strateg'!$D$6:$D$19,MATCH(A34&amp;"|"&amp;B34,'03_Coeff_Strateg'!$H$6:$H$19,0))</f>
        <v/>
      </c>
      <c r="W34" s="42">
        <f>INDEX('03_Coeff_Strateg'!$E$6:$E$19,MATCH(A34&amp;"|"&amp;B34,'03_Coeff_Strateg'!$H$6:$H$19,0))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INDEX('03_Coeff_Strateg'!$D$6:$D$19,MATCH(A35&amp;"|"&amp;B35,'03_Coeff_Strateg'!$H$6:$H$19,0))</f>
        <v/>
      </c>
      <c r="W35" s="42">
        <f>INDEX('03_Coeff_Strateg'!$E$6:$E$19,MATCH(A35&amp;"|"&amp;B35,'03_Coeff_Strateg'!$H$6:$H$19,0))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INDEX('03_Coeff_Strateg'!$D$6:$D$19,MATCH(A36&amp;"|"&amp;B36,'03_Coeff_Strateg'!$H$6:$H$19,0))</f>
        <v/>
      </c>
      <c r="W36" s="42">
        <f>INDEX('03_Coeff_Strateg'!$E$6:$E$19,MATCH(A36&amp;"|"&amp;B36,'03_Coeff_Strateg'!$H$6:$H$19,0))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INDEX('03_Coeff_Strateg'!$D$6:$D$19,MATCH(A37&amp;"|"&amp;B37,'03_Coeff_Strateg'!$H$6:$H$19,0))</f>
        <v/>
      </c>
      <c r="W37" s="42">
        <f>INDEX('03_Coeff_Strateg'!$E$6:$E$19,MATCH(A37&amp;"|"&amp;B37,'03_Coeff_Strateg'!$H$6:$H$19,0))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INDEX('03_Coeff_Strateg'!$D$6:$D$19,MATCH(A38&amp;"|"&amp;B38,'03_Coeff_Strateg'!$H$6:$H$19,0))</f>
        <v/>
      </c>
      <c r="W38" s="42">
        <f>INDEX('03_Coeff_Strateg'!$E$6:$E$19,MATCH(A38&amp;"|"&amp;B38,'03_Coeff_Strateg'!$H$6:$H$19,0))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INDEX('03_Coeff_Strateg'!$D$6:$D$19,MATCH(A39&amp;"|"&amp;B39,'03_Coeff_Strateg'!$H$6:$H$19,0))</f>
        <v/>
      </c>
      <c r="W39" s="42">
        <f>INDEX('03_Coeff_Strateg'!$E$6:$E$19,MATCH(A39&amp;"|"&amp;B39,'03_Coeff_Strateg'!$H$6:$H$19,0))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INDEX('03_Coeff_Strateg'!$D$6:$D$19,MATCH(A40&amp;"|"&amp;B40,'03_Coeff_Strateg'!$H$6:$H$19,0))</f>
        <v/>
      </c>
      <c r="W40" s="42">
        <f>INDEX('03_Coeff_Strateg'!$E$6:$E$19,MATCH(A40&amp;"|"&amp;B40,'03_Coeff_Strateg'!$H$6:$H$19,0))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INDEX('03_Coeff_Strateg'!$D$6:$D$19,MATCH(A41&amp;"|"&amp;B41,'03_Coeff_Strateg'!$H$6:$H$19,0))</f>
        <v/>
      </c>
      <c r="W41" s="42">
        <f>INDEX('03_Coeff_Strateg'!$E$6:$E$19,MATCH(A41&amp;"|"&amp;B41,'03_Coeff_Strateg'!$H$6:$H$19,0))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INDEX('03_Coeff_Strateg'!$D$6:$D$19,MATCH(A42&amp;"|"&amp;B42,'03_Coeff_Strateg'!$H$6:$H$19,0))</f>
        <v/>
      </c>
      <c r="W42" s="42">
        <f>INDEX('03_Coeff_Strateg'!$E$6:$E$19,MATCH(A42&amp;"|"&amp;B42,'03_Coeff_Strateg'!$H$6:$H$19,0))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INDEX('03_Coeff_Strateg'!$D$6:$D$19,MATCH(A43&amp;"|"&amp;B43,'03_Coeff_Strateg'!$H$6:$H$19,0))</f>
        <v/>
      </c>
      <c r="W43" s="42">
        <f>INDEX('03_Coeff_Strateg'!$E$6:$E$19,MATCH(A43&amp;"|"&amp;B43,'03_Coeff_Strateg'!$H$6:$H$19,0))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INDEX('03_Coeff_Strateg'!$D$6:$D$19,MATCH(A44&amp;"|"&amp;B44,'03_Coeff_Strateg'!$H$6:$H$19,0))</f>
        <v/>
      </c>
      <c r="W44" s="42">
        <f>INDEX('03_Coeff_Strateg'!$E$6:$E$19,MATCH(A44&amp;"|"&amp;B44,'03_Coeff_Strateg'!$H$6:$H$19,0))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INDEX('03_Coeff_Strateg'!$D$6:$D$19,MATCH(A45&amp;"|"&amp;B45,'03_Coeff_Strateg'!$H$6:$H$19,0))</f>
        <v/>
      </c>
      <c r="W45" s="42">
        <f>INDEX('03_Coeff_Strateg'!$E$6:$E$19,MATCH(A45&amp;"|"&amp;B45,'03_Coeff_Strateg'!$H$6:$H$19,0))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INDEX('03_Coeff_Strateg'!$D$6:$D$19,MATCH(A46&amp;"|"&amp;B46,'03_Coeff_Strateg'!$H$6:$H$19,0))</f>
        <v/>
      </c>
      <c r="W46" s="42">
        <f>INDEX('03_Coeff_Strateg'!$E$6:$E$19,MATCH(A46&amp;"|"&amp;B46,'03_Coeff_Strateg'!$H$6:$H$19,0))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INDEX('03_Coeff_Strateg'!$D$6:$D$19,MATCH(A47&amp;"|"&amp;B47,'03_Coeff_Strateg'!$H$6:$H$19,0))</f>
        <v/>
      </c>
      <c r="W47" s="42">
        <f>INDEX('03_Coeff_Strateg'!$E$6:$E$19,MATCH(A47&amp;"|"&amp;B47,'03_Coeff_Strateg'!$H$6:$H$19,0))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INDEX('03_Coeff_Strateg'!$D$6:$D$19,MATCH(A48&amp;"|"&amp;B48,'03_Coeff_Strateg'!$H$6:$H$19,0))</f>
        <v/>
      </c>
      <c r="W48" s="42">
        <f>INDEX('03_Coeff_Strateg'!$E$6:$E$19,MATCH(A48&amp;"|"&amp;B48,'03_Coeff_Strateg'!$H$6:$H$19,0))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INDEX('03_Coeff_Strateg'!$D$6:$D$19,MATCH(A49&amp;"|"&amp;B49,'03_Coeff_Strateg'!$H$6:$H$19,0))</f>
        <v/>
      </c>
      <c r="W49" s="42">
        <f>INDEX('03_Coeff_Strateg'!$E$6:$E$19,MATCH(A49&amp;"|"&amp;B49,'03_Coeff_Strateg'!$H$6:$H$19,0))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INDEX('03_Coeff_Strateg'!$D$6:$D$19,MATCH(A50&amp;"|"&amp;B50,'03_Coeff_Strateg'!$H$6:$H$19,0))</f>
        <v/>
      </c>
      <c r="W50" s="42">
        <f>INDEX('03_Coeff_Strateg'!$E$6:$E$19,MATCH(A50&amp;"|"&amp;B50,'03_Coeff_Strateg'!$H$6:$H$19,0))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INDEX('03_Coeff_Strateg'!$D$6:$D$19,MATCH(A51&amp;"|"&amp;B51,'03_Coeff_Strateg'!$H$6:$H$19,0))</f>
        <v/>
      </c>
      <c r="W51" s="42">
        <f>INDEX('03_Coeff_Strateg'!$E$6:$E$19,MATCH(A51&amp;"|"&amp;B51,'03_Coeff_Strateg'!$H$6:$H$19,0))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INDEX('03_Coeff_Strateg'!$D$6:$D$19,MATCH(A52&amp;"|"&amp;B52,'03_Coeff_Strateg'!$H$6:$H$19,0))</f>
        <v/>
      </c>
      <c r="W52" s="42">
        <f>INDEX('03_Coeff_Strateg'!$E$6:$E$19,MATCH(A52&amp;"|"&amp;B52,'03_Coeff_Strateg'!$H$6:$H$19,0))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INDEX('03_Coeff_Strateg'!$D$6:$D$19,MATCH(A53&amp;"|"&amp;B53,'03_Coeff_Strateg'!$H$6:$H$19,0))</f>
        <v/>
      </c>
      <c r="W53" s="42">
        <f>INDEX('03_Coeff_Strateg'!$E$6:$E$19,MATCH(A53&amp;"|"&amp;B53,'03_Coeff_Strateg'!$H$6:$H$19,0))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INDEX('03_Coeff_Strateg'!$D$6:$D$19,MATCH(A54&amp;"|"&amp;B54,'03_Coeff_Strateg'!$H$6:$H$19,0))</f>
        <v/>
      </c>
      <c r="W54" s="42">
        <f>INDEX('03_Coeff_Strateg'!$E$6:$E$19,MATCH(A54&amp;"|"&amp;B54,'03_Coeff_Strateg'!$H$6:$H$19,0))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INDEX('03_Coeff_Strateg'!$D$6:$D$19,MATCH(A55&amp;"|"&amp;B55,'03_Coeff_Strateg'!$H$6:$H$19,0))</f>
        <v/>
      </c>
      <c r="W55" s="42">
        <f>INDEX('03_Coeff_Strateg'!$E$6:$E$19,MATCH(A55&amp;"|"&amp;B55,'03_Coeff_Strateg'!$H$6:$H$19,0))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INDEX('03_Coeff_Strateg'!$D$6:$D$19,MATCH(A56&amp;"|"&amp;B56,'03_Coeff_Strateg'!$H$6:$H$19,0))</f>
        <v/>
      </c>
      <c r="W56" s="42">
        <f>INDEX('03_Coeff_Strateg'!$E$6:$E$19,MATCH(A56&amp;"|"&amp;B56,'03_Coeff_Strateg'!$H$6:$H$19,0))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INDEX('03_Coeff_Strateg'!$D$6:$D$19,MATCH(A57&amp;"|"&amp;B57,'03_Coeff_Strateg'!$H$6:$H$19,0))</f>
        <v/>
      </c>
      <c r="W57" s="42">
        <f>INDEX('03_Coeff_Strateg'!$E$6:$E$19,MATCH(A57&amp;"|"&amp;B57,'03_Coeff_Strateg'!$H$6:$H$19,0))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INDEX('03_Coeff_Strateg'!$D$6:$D$19,MATCH(A58&amp;"|"&amp;B58,'03_Coeff_Strateg'!$H$6:$H$19,0))</f>
        <v/>
      </c>
      <c r="W58" s="42">
        <f>INDEX('03_Coeff_Strateg'!$E$6:$E$19,MATCH(A58&amp;"|"&amp;B58,'03_Coeff_Strateg'!$H$6:$H$19,0))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INDEX('03_Coeff_Strateg'!$D$6:$D$19,MATCH(A59&amp;"|"&amp;B59,'03_Coeff_Strateg'!$H$6:$H$19,0))</f>
        <v/>
      </c>
      <c r="W59" s="42">
        <f>INDEX('03_Coeff_Strateg'!$E$6:$E$19,MATCH(A59&amp;"|"&amp;B59,'03_Coeff_Strateg'!$H$6:$H$19,0))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INDEX('03_Coeff_Strateg'!$D$6:$D$19,MATCH(A60&amp;"|"&amp;B60,'03_Coeff_Strateg'!$H$6:$H$19,0))</f>
        <v/>
      </c>
      <c r="W60" s="42">
        <f>INDEX('03_Coeff_Strateg'!$E$6:$E$19,MATCH(A60&amp;"|"&amp;B60,'03_Coeff_Strateg'!$H$6:$H$19,0))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9" t="inlineStr">
        <is>
          <t>% d'heures mutualisables (tronc commun partagé) :</t>
        </is>
      </c>
      <c r="G4" s="32" t="n">
        <v>0.25</v>
      </c>
      <c r="H4" s="72" t="inlineStr">
        <is>
          <t>← hypothèse : part des heures réellement partageable au sein d'un cycle (le reste reste spécifique à chaque année).</t>
        </is>
      </c>
    </row>
    <row r="5" ht="30" customHeight="1">
      <c r="B5" s="13" t="inlineStr">
        <is>
          <t>Marque</t>
        </is>
      </c>
      <c r="C5" s="13" t="inlineStr">
        <is>
          <t>Ville</t>
        </is>
      </c>
      <c r="D5" s="13" t="inlineStr">
        <is>
          <t>Cycle</t>
        </is>
      </c>
      <c r="E5" s="13" t="inlineStr">
        <is>
          <t>Effectif</t>
        </is>
      </c>
      <c r="F5" s="13" t="inlineStr">
        <is>
          <t>Sections
aujourd'hui</t>
        </is>
      </c>
      <c r="G5" s="13" t="inlineStr">
        <is>
          <t>Capacité
moy.</t>
        </is>
      </c>
      <c r="H5" s="13" t="inlineStr">
        <is>
          <t>Sections si
mutualisé</t>
        </is>
      </c>
      <c r="I5" s="13" t="inlineStr">
        <is>
          <t>Sections
économisables</t>
        </is>
      </c>
      <c r="J5" s="13" t="inlineStr">
        <is>
          <t>Coût moyen
/ classe</t>
        </is>
      </c>
      <c r="K5" s="13" t="inlineStr">
        <is>
          <t>Économie
potentielle €</t>
        </is>
      </c>
    </row>
    <row r="6">
      <c r="B6" s="47" t="inlineStr">
        <is>
          <t>MBway</t>
        </is>
      </c>
      <c r="C6" s="10" t="inlineStr">
        <is>
          <t>Paris</t>
        </is>
      </c>
      <c r="D6" s="10" t="inlineStr">
        <is>
          <t>Bachelor</t>
        </is>
      </c>
      <c r="E6" s="50">
        <f>SUMPRODUCT(('08_Moteur'!$A$3:$A$60="MBway")*('08_Moteur'!$B$3:$B$60="Paris")*(('08_Moteur'!$D$3:$D$60="B1")+('08_Moteur'!$D$3:$D$60="B2")+('08_Moteur'!$D$3:$D$60="B3"))*'08_Moteur'!$AD$3:$AD$60)</f>
        <v/>
      </c>
      <c r="F6" s="50">
        <f>SUMPRODUCT(('08_Moteur'!$A$3:$A$60="MBway")*('08_Moteur'!$B$3:$B$60="Paris")*(('08_Moteur'!$D$3:$D$60="B1")+('08_Moteur'!$D$3:$D$60="B2")+('08_Moteur'!$D$3:$D$60="B3"))*'08_Moteur'!$AI$3:$AI$60)</f>
        <v/>
      </c>
      <c r="G6" s="73">
        <f>IFERROR(SUMPRODUCT(('08_Moteur'!$A$3:$A$60="MBway")*('08_Moteur'!$B$3:$B$60="Paris")*(('08_Moteur'!$D$3:$D$60="B1")+('08_Moteur'!$D$3:$D$60="B2")+('08_Moteur'!$D$3:$D$60="B3"))*'08_Moteur'!$AI$3:$AI$60*'08_Moteur'!$O$3:$O$60)/F6,0)</f>
        <v/>
      </c>
      <c r="H6" s="50">
        <f>IF(E6&lt;=0,0,MAX(1,ROUNDUP(E6/G6,0)))</f>
        <v/>
      </c>
      <c r="I6" s="53">
        <f>MAX(0,F6-H6)</f>
        <v/>
      </c>
      <c r="J6" s="17">
        <f>IFERROR(SUMPRODUCT(('08_Moteur'!$A$3:$A$60="MBway")*('08_Moteur'!$B$3:$B$60="Paris")*(('08_Moteur'!$D$3:$D$60="B1")+('08_Moteur'!$D$3:$D$60="B2")+('08_Moteur'!$D$3:$D$60="B3"))*'08_Moteur'!$AJ$3:$AJ$60)/F6,0)</f>
        <v/>
      </c>
      <c r="K6" s="54">
        <f>I6*J6*$G$4</f>
        <v/>
      </c>
    </row>
    <row r="7">
      <c r="B7" s="47" t="inlineStr">
        <is>
          <t>MBway</t>
        </is>
      </c>
      <c r="C7" s="10" t="inlineStr">
        <is>
          <t>Paris</t>
        </is>
      </c>
      <c r="D7" s="10" t="inlineStr">
        <is>
          <t>Mastère</t>
        </is>
      </c>
      <c r="E7" s="50">
        <f>SUMPRODUCT(('08_Moteur'!$A$3:$A$60="MBway")*('08_Moteur'!$B$3:$B$60="Paris")*(('08_Moteur'!$D$3:$D$60="M1")+('08_Moteur'!$D$3:$D$60="M2"))*'08_Moteur'!$AD$3:$AD$60)</f>
        <v/>
      </c>
      <c r="F7" s="50">
        <f>SUMPRODUCT(('08_Moteur'!$A$3:$A$60="MBway")*('08_Moteur'!$B$3:$B$60="Paris")*(('08_Moteur'!$D$3:$D$60="M1")+('08_Moteur'!$D$3:$D$60="M2"))*'08_Moteur'!$AI$3:$AI$60)</f>
        <v/>
      </c>
      <c r="G7" s="73">
        <f>IFERROR(SUMPRODUCT(('08_Moteur'!$A$3:$A$60="MBway")*('08_Moteur'!$B$3:$B$60="Paris")*(('08_Moteur'!$D$3:$D$60="M1")+('08_Moteur'!$D$3:$D$60="M2"))*'08_Moteur'!$AI$3:$AI$60*'08_Moteur'!$O$3:$O$60)/F7,0)</f>
        <v/>
      </c>
      <c r="H7" s="50">
        <f>IF(E7&lt;=0,0,MAX(1,ROUNDUP(E7/G7,0)))</f>
        <v/>
      </c>
      <c r="I7" s="53">
        <f>MAX(0,F7-H7)</f>
        <v/>
      </c>
      <c r="J7" s="17">
        <f>IFERROR(SUMPRODUCT(('08_Moteur'!$A$3:$A$60="MBway")*('08_Moteur'!$B$3:$B$60="Paris")*(('08_Moteur'!$D$3:$D$60="M1")+('08_Moteur'!$D$3:$D$60="M2"))*'08_Moteur'!$AJ$3:$AJ$60)/F7,0)</f>
        <v/>
      </c>
      <c r="K7" s="54">
        <f>I7*J7*$G$4</f>
        <v/>
      </c>
    </row>
    <row r="8">
      <c r="B8" s="47" t="inlineStr">
        <is>
          <t>MBway</t>
        </is>
      </c>
      <c r="C8" s="10" t="inlineStr">
        <is>
          <t>Lyon</t>
        </is>
      </c>
      <c r="D8" s="10" t="inlineStr">
        <is>
          <t>Bachelor</t>
        </is>
      </c>
      <c r="E8" s="50">
        <f>SUMPRODUCT(('08_Moteur'!$A$3:$A$60="MBway")*('08_Moteur'!$B$3:$B$60="Lyon")*(('08_Moteur'!$D$3:$D$60="B1")+('08_Moteur'!$D$3:$D$60="B2")+('08_Moteur'!$D$3:$D$60="B3"))*'08_Moteur'!$AD$3:$AD$60)</f>
        <v/>
      </c>
      <c r="F8" s="50">
        <f>SUMPRODUCT(('08_Moteur'!$A$3:$A$60="MBway")*('08_Moteur'!$B$3:$B$60="Lyon")*(('08_Moteur'!$D$3:$D$60="B1")+('08_Moteur'!$D$3:$D$60="B2")+('08_Moteur'!$D$3:$D$60="B3"))*'08_Moteur'!$AI$3:$AI$60)</f>
        <v/>
      </c>
      <c r="G8" s="73">
        <f>IFERROR(SUMPRODUCT(('08_Moteur'!$A$3:$A$60="MBway")*('08_Moteur'!$B$3:$B$60="Lyon")*(('08_Moteur'!$D$3:$D$60="B1")+('08_Moteur'!$D$3:$D$60="B2")+('08_Moteur'!$D$3:$D$60="B3"))*'08_Moteur'!$AI$3:$AI$60*'08_Moteur'!$O$3:$O$60)/F8,0)</f>
        <v/>
      </c>
      <c r="H8" s="50">
        <f>IF(E8&lt;=0,0,MAX(1,ROUNDUP(E8/G8,0)))</f>
        <v/>
      </c>
      <c r="I8" s="53">
        <f>MAX(0,F8-H8)</f>
        <v/>
      </c>
      <c r="J8" s="17">
        <f>IFERROR(SUMPRODUCT(('08_Moteur'!$A$3:$A$60="MBway")*('08_Moteur'!$B$3:$B$60="Lyon")*(('08_Moteur'!$D$3:$D$60="B1")+('08_Moteur'!$D$3:$D$60="B2")+('08_Moteur'!$D$3:$D$60="B3"))*'08_Moteur'!$AJ$3:$AJ$60)/F8,0)</f>
        <v/>
      </c>
      <c r="K8" s="54">
        <f>I8*J8*$G$4</f>
        <v/>
      </c>
    </row>
    <row r="9">
      <c r="B9" s="47" t="inlineStr">
        <is>
          <t>MBway</t>
        </is>
      </c>
      <c r="C9" s="10" t="inlineStr">
        <is>
          <t>Lyon</t>
        </is>
      </c>
      <c r="D9" s="10" t="inlineStr">
        <is>
          <t>Mastère</t>
        </is>
      </c>
      <c r="E9" s="50">
        <f>SUMPRODUCT(('08_Moteur'!$A$3:$A$60="MBway")*('08_Moteur'!$B$3:$B$60="Lyon")*(('08_Moteur'!$D$3:$D$60="M1")+('08_Moteur'!$D$3:$D$60="M2"))*'08_Moteur'!$AD$3:$AD$60)</f>
        <v/>
      </c>
      <c r="F9" s="50">
        <f>SUMPRODUCT(('08_Moteur'!$A$3:$A$60="MBway")*('08_Moteur'!$B$3:$B$60="Lyon")*(('08_Moteur'!$D$3:$D$60="M1")+('08_Moteur'!$D$3:$D$60="M2"))*'08_Moteur'!$AI$3:$AI$60)</f>
        <v/>
      </c>
      <c r="G9" s="73">
        <f>IFERROR(SUMPRODUCT(('08_Moteur'!$A$3:$A$60="MBway")*('08_Moteur'!$B$3:$B$60="Lyon")*(('08_Moteur'!$D$3:$D$60="M1")+('08_Moteur'!$D$3:$D$60="M2"))*'08_Moteur'!$AI$3:$AI$60*'08_Moteur'!$O$3:$O$60)/F9,0)</f>
        <v/>
      </c>
      <c r="H9" s="50">
        <f>IF(E9&lt;=0,0,MAX(1,ROUNDUP(E9/G9,0)))</f>
        <v/>
      </c>
      <c r="I9" s="53">
        <f>MAX(0,F9-H9)</f>
        <v/>
      </c>
      <c r="J9" s="17">
        <f>IFERROR(SUMPRODUCT(('08_Moteur'!$A$3:$A$60="MBway")*('08_Moteur'!$B$3:$B$60="Lyon")*(('08_Moteur'!$D$3:$D$60="M1")+('08_Moteur'!$D$3:$D$60="M2"))*'08_Moteur'!$AJ$3:$AJ$60)/F9,0)</f>
        <v/>
      </c>
      <c r="K9" s="54">
        <f>I9*J9*$G$4</f>
        <v/>
      </c>
    </row>
    <row r="10">
      <c r="B10" s="47" t="inlineStr">
        <is>
          <t>MBway</t>
        </is>
      </c>
      <c r="C10" s="10" t="inlineStr">
        <is>
          <t>Nantes</t>
        </is>
      </c>
      <c r="D10" s="10" t="inlineStr">
        <is>
          <t>Bachelor</t>
        </is>
      </c>
      <c r="E10" s="50">
        <f>SUMPRODUCT(('08_Moteur'!$A$3:$A$60="MBway")*('08_Moteur'!$B$3:$B$60="Nantes")*(('08_Moteur'!$D$3:$D$60="B1")+('08_Moteur'!$D$3:$D$60="B2")+('08_Moteur'!$D$3:$D$60="B3"))*'08_Moteur'!$AD$3:$AD$60)</f>
        <v/>
      </c>
      <c r="F10" s="50">
        <f>SUMPRODUCT(('08_Moteur'!$A$3:$A$60="MBway")*('08_Moteur'!$B$3:$B$60="Nantes")*(('08_Moteur'!$D$3:$D$60="B1")+('08_Moteur'!$D$3:$D$60="B2")+('08_Moteur'!$D$3:$D$60="B3"))*'08_Moteur'!$AI$3:$AI$60)</f>
        <v/>
      </c>
      <c r="G10" s="73">
        <f>IFERROR(SUMPRODUCT(('08_Moteur'!$A$3:$A$60="MBway")*('08_Moteur'!$B$3:$B$60="Nantes")*(('08_Moteur'!$D$3:$D$60="B1")+('08_Moteur'!$D$3:$D$60="B2")+('08_Moteur'!$D$3:$D$60="B3"))*'08_Moteur'!$AI$3:$AI$60*'08_Moteur'!$O$3:$O$60)/F10,0)</f>
        <v/>
      </c>
      <c r="H10" s="50">
        <f>IF(E10&lt;=0,0,MAX(1,ROUNDUP(E10/G10,0)))</f>
        <v/>
      </c>
      <c r="I10" s="53">
        <f>MAX(0,F10-H10)</f>
        <v/>
      </c>
      <c r="J10" s="17">
        <f>IFERROR(SUMPRODUCT(('08_Moteur'!$A$3:$A$60="MBway")*('08_Moteur'!$B$3:$B$60="Nantes")*(('08_Moteur'!$D$3:$D$60="B1")+('08_Moteur'!$D$3:$D$60="B2")+('08_Moteur'!$D$3:$D$60="B3"))*'08_Moteur'!$AJ$3:$AJ$60)/F10,0)</f>
        <v/>
      </c>
      <c r="K10" s="54">
        <f>I10*J10*$G$4</f>
        <v/>
      </c>
    </row>
    <row r="11">
      <c r="B11" s="47" t="inlineStr">
        <is>
          <t>MBway</t>
        </is>
      </c>
      <c r="C11" s="10" t="inlineStr">
        <is>
          <t>Nantes</t>
        </is>
      </c>
      <c r="D11" s="10" t="inlineStr">
        <is>
          <t>Mastère</t>
        </is>
      </c>
      <c r="E11" s="50">
        <f>SUMPRODUCT(('08_Moteur'!$A$3:$A$60="MBway")*('08_Moteur'!$B$3:$B$60="Nantes")*(('08_Moteur'!$D$3:$D$60="M1")+('08_Moteur'!$D$3:$D$60="M2"))*'08_Moteur'!$AD$3:$AD$60)</f>
        <v/>
      </c>
      <c r="F11" s="50">
        <f>SUMPRODUCT(('08_Moteur'!$A$3:$A$60="MBway")*('08_Moteur'!$B$3:$B$60="Nantes")*(('08_Moteur'!$D$3:$D$60="M1")+('08_Moteur'!$D$3:$D$60="M2"))*'08_Moteur'!$AI$3:$AI$60)</f>
        <v/>
      </c>
      <c r="G11" s="73">
        <f>IFERROR(SUMPRODUCT(('08_Moteur'!$A$3:$A$60="MBway")*('08_Moteur'!$B$3:$B$60="Nantes")*(('08_Moteur'!$D$3:$D$60="M1")+('08_Moteur'!$D$3:$D$60="M2"))*'08_Moteur'!$AI$3:$AI$60*'08_Moteur'!$O$3:$O$60)/F11,0)</f>
        <v/>
      </c>
      <c r="H11" s="50">
        <f>IF(E11&lt;=0,0,MAX(1,ROUNDUP(E11/G11,0)))</f>
        <v/>
      </c>
      <c r="I11" s="53">
        <f>MAX(0,F11-H11)</f>
        <v/>
      </c>
      <c r="J11" s="17">
        <f>IFERROR(SUMPRODUCT(('08_Moteur'!$A$3:$A$60="MBway")*('08_Moteur'!$B$3:$B$60="Nantes")*(('08_Moteur'!$D$3:$D$60="M1")+('08_Moteur'!$D$3:$D$60="M2"))*'08_Moteur'!$AJ$3:$AJ$60)/F11,0)</f>
        <v/>
      </c>
      <c r="K11" s="54">
        <f>I11*J11*$G$4</f>
        <v/>
      </c>
    </row>
    <row r="12">
      <c r="B12" s="47" t="inlineStr">
        <is>
          <t>MBway</t>
        </is>
      </c>
      <c r="C12" s="10" t="inlineStr">
        <is>
          <t>Bordeaux</t>
        </is>
      </c>
      <c r="D12" s="10" t="inlineStr">
        <is>
          <t>Bachelor</t>
        </is>
      </c>
      <c r="E12" s="50">
        <f>SUMPRODUCT(('08_Moteur'!$A$3:$A$60="MBway")*('08_Moteur'!$B$3:$B$60="Bordeaux")*(('08_Moteur'!$D$3:$D$60="B1")+('08_Moteur'!$D$3:$D$60="B2")+('08_Moteur'!$D$3:$D$60="B3"))*'08_Moteur'!$AD$3:$AD$60)</f>
        <v/>
      </c>
      <c r="F12" s="50">
        <f>SUMPRODUCT(('08_Moteur'!$A$3:$A$60="MBway")*('08_Moteur'!$B$3:$B$60="Bordeaux")*(('08_Moteur'!$D$3:$D$60="B1")+('08_Moteur'!$D$3:$D$60="B2")+('08_Moteur'!$D$3:$D$60="B3"))*'08_Moteur'!$AI$3:$AI$60)</f>
        <v/>
      </c>
      <c r="G12" s="73">
        <f>IFERROR(SUMPRODUCT(('08_Moteur'!$A$3:$A$60="MBway")*('08_Moteur'!$B$3:$B$60="Bordeaux")*(('08_Moteur'!$D$3:$D$60="B1")+('08_Moteur'!$D$3:$D$60="B2")+('08_Moteur'!$D$3:$D$60="B3"))*'08_Moteur'!$AI$3:$AI$60*'08_Moteur'!$O$3:$O$60)/F12,0)</f>
        <v/>
      </c>
      <c r="H12" s="50">
        <f>IF(E12&lt;=0,0,MAX(1,ROUNDUP(E12/G12,0)))</f>
        <v/>
      </c>
      <c r="I12" s="53">
        <f>MAX(0,F12-H12)</f>
        <v/>
      </c>
      <c r="J12" s="17">
        <f>IFERROR(SUMPRODUCT(('08_Moteur'!$A$3:$A$60="MBway")*('08_Moteur'!$B$3:$B$60="Bordeaux")*(('08_Moteur'!$D$3:$D$60="B1")+('08_Moteur'!$D$3:$D$60="B2")+('08_Moteur'!$D$3:$D$60="B3"))*'08_Moteur'!$AJ$3:$AJ$60)/F12,0)</f>
        <v/>
      </c>
      <c r="K12" s="54">
        <f>I12*J12*$G$4</f>
        <v/>
      </c>
    </row>
    <row r="13">
      <c r="B13" s="47" t="inlineStr">
        <is>
          <t>MBway</t>
        </is>
      </c>
      <c r="C13" s="10" t="inlineStr">
        <is>
          <t>Bordeaux</t>
        </is>
      </c>
      <c r="D13" s="10" t="inlineStr">
        <is>
          <t>Mastère</t>
        </is>
      </c>
      <c r="E13" s="50">
        <f>SUMPRODUCT(('08_Moteur'!$A$3:$A$60="MBway")*('08_Moteur'!$B$3:$B$60="Bordeaux")*(('08_Moteur'!$D$3:$D$60="M1")+('08_Moteur'!$D$3:$D$60="M2"))*'08_Moteur'!$AD$3:$AD$60)</f>
        <v/>
      </c>
      <c r="F13" s="50">
        <f>SUMPRODUCT(('08_Moteur'!$A$3:$A$60="MBway")*('08_Moteur'!$B$3:$B$60="Bordeaux")*(('08_Moteur'!$D$3:$D$60="M1")+('08_Moteur'!$D$3:$D$60="M2"))*'08_Moteur'!$AI$3:$AI$60)</f>
        <v/>
      </c>
      <c r="G13" s="73">
        <f>IFERROR(SUMPRODUCT(('08_Moteur'!$A$3:$A$60="MBway")*('08_Moteur'!$B$3:$B$60="Bordeaux")*(('08_Moteur'!$D$3:$D$60="M1")+('08_Moteur'!$D$3:$D$60="M2"))*'08_Moteur'!$AI$3:$AI$60*'08_Moteur'!$O$3:$O$60)/F13,0)</f>
        <v/>
      </c>
      <c r="H13" s="50">
        <f>IF(E13&lt;=0,0,MAX(1,ROUNDUP(E13/G13,0)))</f>
        <v/>
      </c>
      <c r="I13" s="53">
        <f>MAX(0,F13-H13)</f>
        <v/>
      </c>
      <c r="J13" s="17">
        <f>IFERROR(SUMPRODUCT(('08_Moteur'!$A$3:$A$60="MBway")*('08_Moteur'!$B$3:$B$60="Bordeaux")*(('08_Moteur'!$D$3:$D$60="M1")+('08_Moteur'!$D$3:$D$60="M2"))*'08_Moteur'!$AJ$3:$AJ$60)/F13,0)</f>
        <v/>
      </c>
      <c r="K13" s="54">
        <f>I13*J13*$G$4</f>
        <v/>
      </c>
    </row>
    <row r="14">
      <c r="B14" s="47" t="inlineStr">
        <is>
          <t>ISCOM</t>
        </is>
      </c>
      <c r="C14" s="10" t="inlineStr">
        <is>
          <t>Paris</t>
        </is>
      </c>
      <c r="D14" s="10" t="inlineStr">
        <is>
          <t>Bachelor</t>
        </is>
      </c>
      <c r="E14" s="50">
        <f>SUMPRODUCT(('08_Moteur'!$A$3:$A$60="ISCOM")*('08_Moteur'!$B$3:$B$60="Paris")*(('08_Moteur'!$D$3:$D$60="B1")+('08_Moteur'!$D$3:$D$60="B2")+('08_Moteur'!$D$3:$D$60="B3"))*'08_Moteur'!$AD$3:$AD$60)</f>
        <v/>
      </c>
      <c r="F14" s="50">
        <f>SUMPRODUCT(('08_Moteur'!$A$3:$A$60="ISCOM")*('08_Moteur'!$B$3:$B$60="Paris")*(('08_Moteur'!$D$3:$D$60="B1")+('08_Moteur'!$D$3:$D$60="B2")+('08_Moteur'!$D$3:$D$60="B3"))*'08_Moteur'!$AI$3:$AI$60)</f>
        <v/>
      </c>
      <c r="G14" s="73">
        <f>IFERROR(SUMPRODUCT(('08_Moteur'!$A$3:$A$60="ISCOM")*('08_Moteur'!$B$3:$B$60="Paris")*(('08_Moteur'!$D$3:$D$60="B1")+('08_Moteur'!$D$3:$D$60="B2")+('08_Moteur'!$D$3:$D$60="B3"))*'08_Moteur'!$AI$3:$AI$60*'08_Moteur'!$O$3:$O$60)/F14,0)</f>
        <v/>
      </c>
      <c r="H14" s="50">
        <f>IF(E14&lt;=0,0,MAX(1,ROUNDUP(E14/G14,0)))</f>
        <v/>
      </c>
      <c r="I14" s="53">
        <f>MAX(0,F14-H14)</f>
        <v/>
      </c>
      <c r="J14" s="17">
        <f>IFERROR(SUMPRODUCT(('08_Moteur'!$A$3:$A$60="ISCOM")*('08_Moteur'!$B$3:$B$60="Paris")*(('08_Moteur'!$D$3:$D$60="B1")+('08_Moteur'!$D$3:$D$60="B2")+('08_Moteur'!$D$3:$D$60="B3"))*'08_Moteur'!$AJ$3:$AJ$60)/F14,0)</f>
        <v/>
      </c>
      <c r="K14" s="54">
        <f>I14*J14*$G$4</f>
        <v/>
      </c>
    </row>
    <row r="15">
      <c r="B15" s="47" t="inlineStr">
        <is>
          <t>ISCOM</t>
        </is>
      </c>
      <c r="C15" s="10" t="inlineStr">
        <is>
          <t>Paris</t>
        </is>
      </c>
      <c r="D15" s="10" t="inlineStr">
        <is>
          <t>Mastère</t>
        </is>
      </c>
      <c r="E15" s="50">
        <f>SUMPRODUCT(('08_Moteur'!$A$3:$A$60="ISCOM")*('08_Moteur'!$B$3:$B$60="Paris")*(('08_Moteur'!$D$3:$D$60="M1")+('08_Moteur'!$D$3:$D$60="M2"))*'08_Moteur'!$AD$3:$AD$60)</f>
        <v/>
      </c>
      <c r="F15" s="50">
        <f>SUMPRODUCT(('08_Moteur'!$A$3:$A$60="ISCOM")*('08_Moteur'!$B$3:$B$60="Paris")*(('08_Moteur'!$D$3:$D$60="M1")+('08_Moteur'!$D$3:$D$60="M2"))*'08_Moteur'!$AI$3:$AI$60)</f>
        <v/>
      </c>
      <c r="G15" s="73">
        <f>IFERROR(SUMPRODUCT(('08_Moteur'!$A$3:$A$60="ISCOM")*('08_Moteur'!$B$3:$B$60="Paris")*(('08_Moteur'!$D$3:$D$60="M1")+('08_Moteur'!$D$3:$D$60="M2"))*'08_Moteur'!$AI$3:$AI$60*'08_Moteur'!$O$3:$O$60)/F15,0)</f>
        <v/>
      </c>
      <c r="H15" s="50">
        <f>IF(E15&lt;=0,0,MAX(1,ROUNDUP(E15/G15,0)))</f>
        <v/>
      </c>
      <c r="I15" s="53">
        <f>MAX(0,F15-H15)</f>
        <v/>
      </c>
      <c r="J15" s="17">
        <f>IFERROR(SUMPRODUCT(('08_Moteur'!$A$3:$A$60="ISCOM")*('08_Moteur'!$B$3:$B$60="Paris")*(('08_Moteur'!$D$3:$D$60="M1")+('08_Moteur'!$D$3:$D$60="M2"))*'08_Moteur'!$AJ$3:$AJ$60)/F15,0)</f>
        <v/>
      </c>
      <c r="K15" s="54">
        <f>I15*J15*$G$4</f>
        <v/>
      </c>
    </row>
    <row r="16">
      <c r="B16" s="47" t="inlineStr">
        <is>
          <t>ISCOM</t>
        </is>
      </c>
      <c r="C16" s="10" t="inlineStr">
        <is>
          <t>Lille</t>
        </is>
      </c>
      <c r="D16" s="10" t="inlineStr">
        <is>
          <t>Bachelor</t>
        </is>
      </c>
      <c r="E16" s="50">
        <f>SUMPRODUCT(('08_Moteur'!$A$3:$A$60="ISCOM")*('08_Moteur'!$B$3:$B$60="Lille")*(('08_Moteur'!$D$3:$D$60="B1")+('08_Moteur'!$D$3:$D$60="B2")+('08_Moteur'!$D$3:$D$60="B3"))*'08_Moteur'!$AD$3:$AD$60)</f>
        <v/>
      </c>
      <c r="F16" s="50">
        <f>SUMPRODUCT(('08_Moteur'!$A$3:$A$60="ISCOM")*('08_Moteur'!$B$3:$B$60="Lille")*(('08_Moteur'!$D$3:$D$60="B1")+('08_Moteur'!$D$3:$D$60="B2")+('08_Moteur'!$D$3:$D$60="B3"))*'08_Moteur'!$AI$3:$AI$60)</f>
        <v/>
      </c>
      <c r="G16" s="73">
        <f>IFERROR(SUMPRODUCT(('08_Moteur'!$A$3:$A$60="ISCOM")*('08_Moteur'!$B$3:$B$60="Lille")*(('08_Moteur'!$D$3:$D$60="B1")+('08_Moteur'!$D$3:$D$60="B2")+('08_Moteur'!$D$3:$D$60="B3"))*'08_Moteur'!$AI$3:$AI$60*'08_Moteur'!$O$3:$O$60)/F16,0)</f>
        <v/>
      </c>
      <c r="H16" s="50">
        <f>IF(E16&lt;=0,0,MAX(1,ROUNDUP(E16/G16,0)))</f>
        <v/>
      </c>
      <c r="I16" s="53">
        <f>MAX(0,F16-H16)</f>
        <v/>
      </c>
      <c r="J16" s="17">
        <f>IFERROR(SUMPRODUCT(('08_Moteur'!$A$3:$A$60="ISCOM")*('08_Moteur'!$B$3:$B$60="Lille")*(('08_Moteur'!$D$3:$D$60="B1")+('08_Moteur'!$D$3:$D$60="B2")+('08_Moteur'!$D$3:$D$60="B3"))*'08_Moteur'!$AJ$3:$AJ$60)/F16,0)</f>
        <v/>
      </c>
      <c r="K16" s="54">
        <f>I16*J16*$G$4</f>
        <v/>
      </c>
    </row>
    <row r="17">
      <c r="B17" s="47" t="inlineStr">
        <is>
          <t>ISCOM</t>
        </is>
      </c>
      <c r="C17" s="10" t="inlineStr">
        <is>
          <t>Lille</t>
        </is>
      </c>
      <c r="D17" s="10" t="inlineStr">
        <is>
          <t>Mastère</t>
        </is>
      </c>
      <c r="E17" s="50">
        <f>SUMPRODUCT(('08_Moteur'!$A$3:$A$60="ISCOM")*('08_Moteur'!$B$3:$B$60="Lille")*(('08_Moteur'!$D$3:$D$60="M1")+('08_Moteur'!$D$3:$D$60="M2"))*'08_Moteur'!$AD$3:$AD$60)</f>
        <v/>
      </c>
      <c r="F17" s="50">
        <f>SUMPRODUCT(('08_Moteur'!$A$3:$A$60="ISCOM")*('08_Moteur'!$B$3:$B$60="Lille")*(('08_Moteur'!$D$3:$D$60="M1")+('08_Moteur'!$D$3:$D$60="M2"))*'08_Moteur'!$AI$3:$AI$60)</f>
        <v/>
      </c>
      <c r="G17" s="73">
        <f>IFERROR(SUMPRODUCT(('08_Moteur'!$A$3:$A$60="ISCOM")*('08_Moteur'!$B$3:$B$60="Lille")*(('08_Moteur'!$D$3:$D$60="M1")+('08_Moteur'!$D$3:$D$60="M2"))*'08_Moteur'!$AI$3:$AI$60*'08_Moteur'!$O$3:$O$60)/F17,0)</f>
        <v/>
      </c>
      <c r="H17" s="50">
        <f>IF(E17&lt;=0,0,MAX(1,ROUNDUP(E17/G17,0)))</f>
        <v/>
      </c>
      <c r="I17" s="53">
        <f>MAX(0,F17-H17)</f>
        <v/>
      </c>
      <c r="J17" s="17">
        <f>IFERROR(SUMPRODUCT(('08_Moteur'!$A$3:$A$60="ISCOM")*('08_Moteur'!$B$3:$B$60="Lille")*(('08_Moteur'!$D$3:$D$60="M1")+('08_Moteur'!$D$3:$D$60="M2"))*'08_Moteur'!$AJ$3:$AJ$60)/F17,0)</f>
        <v/>
      </c>
      <c r="K17" s="54">
        <f>I17*J17*$G$4</f>
        <v/>
      </c>
    </row>
    <row r="18">
      <c r="B18" s="47" t="inlineStr">
        <is>
          <t>ISCOM</t>
        </is>
      </c>
      <c r="C18" s="10" t="inlineStr">
        <is>
          <t>Toulouse</t>
        </is>
      </c>
      <c r="D18" s="10" t="inlineStr">
        <is>
          <t>Bachelor</t>
        </is>
      </c>
      <c r="E18" s="50">
        <f>SUMPRODUCT(('08_Moteur'!$A$3:$A$60="ISCOM")*('08_Moteur'!$B$3:$B$60="Toulouse")*(('08_Moteur'!$D$3:$D$60="B1")+('08_Moteur'!$D$3:$D$60="B2")+('08_Moteur'!$D$3:$D$60="B3"))*'08_Moteur'!$AD$3:$AD$60)</f>
        <v/>
      </c>
      <c r="F18" s="50">
        <f>SUMPRODUCT(('08_Moteur'!$A$3:$A$60="ISCOM")*('08_Moteur'!$B$3:$B$60="Toulouse")*(('08_Moteur'!$D$3:$D$60="B1")+('08_Moteur'!$D$3:$D$60="B2")+('08_Moteur'!$D$3:$D$60="B3"))*'08_Moteur'!$AI$3:$AI$60)</f>
        <v/>
      </c>
      <c r="G18" s="73">
        <f>IFERROR(SUMPRODUCT(('08_Moteur'!$A$3:$A$60="ISCOM")*('08_Moteur'!$B$3:$B$60="Toulouse")*(('08_Moteur'!$D$3:$D$60="B1")+('08_Moteur'!$D$3:$D$60="B2")+('08_Moteur'!$D$3:$D$60="B3"))*'08_Moteur'!$AI$3:$AI$60*'08_Moteur'!$O$3:$O$60)/F18,0)</f>
        <v/>
      </c>
      <c r="H18" s="50">
        <f>IF(E18&lt;=0,0,MAX(1,ROUNDUP(E18/G18,0)))</f>
        <v/>
      </c>
      <c r="I18" s="53">
        <f>MAX(0,F18-H18)</f>
        <v/>
      </c>
      <c r="J18" s="17">
        <f>IFERROR(SUMPRODUCT(('08_Moteur'!$A$3:$A$60="ISCOM")*('08_Moteur'!$B$3:$B$60="Toulouse")*(('08_Moteur'!$D$3:$D$60="B1")+('08_Moteur'!$D$3:$D$60="B2")+('08_Moteur'!$D$3:$D$60="B3"))*'08_Moteur'!$AJ$3:$AJ$60)/F18,0)</f>
        <v/>
      </c>
      <c r="K18" s="54">
        <f>I18*J18*$G$4</f>
        <v/>
      </c>
    </row>
    <row r="19">
      <c r="B19" s="47" t="inlineStr">
        <is>
          <t>ISCOM</t>
        </is>
      </c>
      <c r="C19" s="10" t="inlineStr">
        <is>
          <t>Toulouse</t>
        </is>
      </c>
      <c r="D19" s="10" t="inlineStr">
        <is>
          <t>Mastère</t>
        </is>
      </c>
      <c r="E19" s="50">
        <f>SUMPRODUCT(('08_Moteur'!$A$3:$A$60="ISCOM")*('08_Moteur'!$B$3:$B$60="Toulouse")*(('08_Moteur'!$D$3:$D$60="M1")+('08_Moteur'!$D$3:$D$60="M2"))*'08_Moteur'!$AD$3:$AD$60)</f>
        <v/>
      </c>
      <c r="F19" s="50">
        <f>SUMPRODUCT(('08_Moteur'!$A$3:$A$60="ISCOM")*('08_Moteur'!$B$3:$B$60="Toulouse")*(('08_Moteur'!$D$3:$D$60="M1")+('08_Moteur'!$D$3:$D$60="M2"))*'08_Moteur'!$AI$3:$AI$60)</f>
        <v/>
      </c>
      <c r="G19" s="73">
        <f>IFERROR(SUMPRODUCT(('08_Moteur'!$A$3:$A$60="ISCOM")*('08_Moteur'!$B$3:$B$60="Toulouse")*(('08_Moteur'!$D$3:$D$60="M1")+('08_Moteur'!$D$3:$D$60="M2"))*'08_Moteur'!$AI$3:$AI$60*'08_Moteur'!$O$3:$O$60)/F19,0)</f>
        <v/>
      </c>
      <c r="H19" s="50">
        <f>IF(E19&lt;=0,0,MAX(1,ROUNDUP(E19/G19,0)))</f>
        <v/>
      </c>
      <c r="I19" s="53">
        <f>MAX(0,F19-H19)</f>
        <v/>
      </c>
      <c r="J19" s="17">
        <f>IFERROR(SUMPRODUCT(('08_Moteur'!$A$3:$A$60="ISCOM")*('08_Moteur'!$B$3:$B$60="Toulouse")*(('08_Moteur'!$D$3:$D$60="M1")+('08_Moteur'!$D$3:$D$60="M2"))*'08_Moteur'!$AJ$3:$AJ$60)/F19,0)</f>
        <v/>
      </c>
      <c r="K19" s="54">
        <f>I19*J19*$G$4</f>
        <v/>
      </c>
    </row>
    <row r="20">
      <c r="B20" s="47" t="inlineStr">
        <is>
          <t>Ipac Bachelor Factory</t>
        </is>
      </c>
      <c r="C20" s="10" t="inlineStr">
        <is>
          <t>Nantes</t>
        </is>
      </c>
      <c r="D20" s="10" t="inlineStr">
        <is>
          <t>Bachelor</t>
        </is>
      </c>
      <c r="E20" s="50">
        <f>SUMPRODUCT(('08_Moteur'!$A$3:$A$60="Ipac Bachelor Factory")*('08_Moteur'!$B$3:$B$60="Nantes")*(('08_Moteur'!$D$3:$D$60="B1")+('08_Moteur'!$D$3:$D$60="B2")+('08_Moteur'!$D$3:$D$60="B3"))*'08_Moteur'!$AD$3:$AD$60)</f>
        <v/>
      </c>
      <c r="F20" s="50">
        <f>SUMPRODUCT(('08_Moteur'!$A$3:$A$60="Ipac Bachelor Factory")*('08_Moteur'!$B$3:$B$60="Nantes")*(('08_Moteur'!$D$3:$D$60="B1")+('08_Moteur'!$D$3:$D$60="B2")+('08_Moteur'!$D$3:$D$60="B3"))*'08_Moteur'!$AI$3:$AI$60)</f>
        <v/>
      </c>
      <c r="G20" s="73">
        <f>IFERROR(SUMPRODUCT(('08_Moteur'!$A$3:$A$60="Ipac Bachelor Factory")*('08_Moteur'!$B$3:$B$60="Nantes")*(('08_Moteur'!$D$3:$D$60="B1")+('08_Moteur'!$D$3:$D$60="B2")+('08_Moteur'!$D$3:$D$60="B3"))*'08_Moteur'!$AI$3:$AI$60*'08_Moteur'!$O$3:$O$60)/F20,0)</f>
        <v/>
      </c>
      <c r="H20" s="50">
        <f>IF(E20&lt;=0,0,MAX(1,ROUNDUP(E20/G20,0)))</f>
        <v/>
      </c>
      <c r="I20" s="53">
        <f>MAX(0,F20-H20)</f>
        <v/>
      </c>
      <c r="J20" s="17">
        <f>IFERROR(SUMPRODUCT(('08_Moteur'!$A$3:$A$60="Ipac Bachelor Factory")*('08_Moteur'!$B$3:$B$60="Nantes")*(('08_Moteur'!$D$3:$D$60="B1")+('08_Moteur'!$D$3:$D$60="B2")+('08_Moteur'!$D$3:$D$60="B3"))*'08_Moteur'!$AJ$3:$AJ$60)/F20,0)</f>
        <v/>
      </c>
      <c r="K20" s="54">
        <f>I20*J20*$G$4</f>
        <v/>
      </c>
    </row>
    <row r="21">
      <c r="B21" s="47" t="inlineStr">
        <is>
          <t>Ipac Bachelor Factory</t>
        </is>
      </c>
      <c r="C21" s="10" t="inlineStr">
        <is>
          <t>Rennes</t>
        </is>
      </c>
      <c r="D21" s="10" t="inlineStr">
        <is>
          <t>Bachelor</t>
        </is>
      </c>
      <c r="E21" s="50">
        <f>SUMPRODUCT(('08_Moteur'!$A$3:$A$60="Ipac Bachelor Factory")*('08_Moteur'!$B$3:$B$60="Rennes")*(('08_Moteur'!$D$3:$D$60="B1")+('08_Moteur'!$D$3:$D$60="B2")+('08_Moteur'!$D$3:$D$60="B3"))*'08_Moteur'!$AD$3:$AD$60)</f>
        <v/>
      </c>
      <c r="F21" s="50">
        <f>SUMPRODUCT(('08_Moteur'!$A$3:$A$60="Ipac Bachelor Factory")*('08_Moteur'!$B$3:$B$60="Rennes")*(('08_Moteur'!$D$3:$D$60="B1")+('08_Moteur'!$D$3:$D$60="B2")+('08_Moteur'!$D$3:$D$60="B3"))*'08_Moteur'!$AI$3:$AI$60)</f>
        <v/>
      </c>
      <c r="G21" s="73">
        <f>IFERROR(SUMPRODUCT(('08_Moteur'!$A$3:$A$60="Ipac Bachelor Factory")*('08_Moteur'!$B$3:$B$60="Rennes")*(('08_Moteur'!$D$3:$D$60="B1")+('08_Moteur'!$D$3:$D$60="B2")+('08_Moteur'!$D$3:$D$60="B3"))*'08_Moteur'!$AI$3:$AI$60*'08_Moteur'!$O$3:$O$60)/F21,0)</f>
        <v/>
      </c>
      <c r="H21" s="50">
        <f>IF(E21&lt;=0,0,MAX(1,ROUNDUP(E21/G21,0)))</f>
        <v/>
      </c>
      <c r="I21" s="53">
        <f>MAX(0,F21-H21)</f>
        <v/>
      </c>
      <c r="J21" s="17">
        <f>IFERROR(SUMPRODUCT(('08_Moteur'!$A$3:$A$60="Ipac Bachelor Factory")*('08_Moteur'!$B$3:$B$60="Rennes")*(('08_Moteur'!$D$3:$D$60="B1")+('08_Moteur'!$D$3:$D$60="B2")+('08_Moteur'!$D$3:$D$60="B3"))*'08_Moteur'!$AJ$3:$AJ$60)/F21,0)</f>
        <v/>
      </c>
      <c r="K21" s="54">
        <f>I21*J21*$G$4</f>
        <v/>
      </c>
    </row>
    <row r="22">
      <c r="B22" s="47" t="inlineStr">
        <is>
          <t>Ipac Bachelor Factory</t>
        </is>
      </c>
      <c r="C22" s="10" t="inlineStr">
        <is>
          <t>Montpellier</t>
        </is>
      </c>
      <c r="D22" s="10" t="inlineStr">
        <is>
          <t>Bachelor</t>
        </is>
      </c>
      <c r="E22" s="50">
        <f>SUMPRODUCT(('08_Moteur'!$A$3:$A$60="Ipac Bachelor Factory")*('08_Moteur'!$B$3:$B$60="Montpellier")*(('08_Moteur'!$D$3:$D$60="B1")+('08_Moteur'!$D$3:$D$60="B2")+('08_Moteur'!$D$3:$D$60="B3"))*'08_Moteur'!$AD$3:$AD$60)</f>
        <v/>
      </c>
      <c r="F22" s="50">
        <f>SUMPRODUCT(('08_Moteur'!$A$3:$A$60="Ipac Bachelor Factory")*('08_Moteur'!$B$3:$B$60="Montpellier")*(('08_Moteur'!$D$3:$D$60="B1")+('08_Moteur'!$D$3:$D$60="B2")+('08_Moteur'!$D$3:$D$60="B3"))*'08_Moteur'!$AI$3:$AI$60)</f>
        <v/>
      </c>
      <c r="G22" s="73">
        <f>IFERROR(SUMPRODUCT(('08_Moteur'!$A$3:$A$60="Ipac Bachelor Factory")*('08_Moteur'!$B$3:$B$60="Montpellier")*(('08_Moteur'!$D$3:$D$60="B1")+('08_Moteur'!$D$3:$D$60="B2")+('08_Moteur'!$D$3:$D$60="B3"))*'08_Moteur'!$AI$3:$AI$60*'08_Moteur'!$O$3:$O$60)/F22,0)</f>
        <v/>
      </c>
      <c r="H22" s="50">
        <f>IF(E22&lt;=0,0,MAX(1,ROUNDUP(E22/G22,0)))</f>
        <v/>
      </c>
      <c r="I22" s="53">
        <f>MAX(0,F22-H22)</f>
        <v/>
      </c>
      <c r="J22" s="17">
        <f>IFERROR(SUMPRODUCT(('08_Moteur'!$A$3:$A$60="Ipac Bachelor Factory")*('08_Moteur'!$B$3:$B$60="Montpellier")*(('08_Moteur'!$D$3:$D$60="B1")+('08_Moteur'!$D$3:$D$60="B2")+('08_Moteur'!$D$3:$D$60="B3"))*'08_Moteur'!$AJ$3:$AJ$60)/F22,0)</f>
        <v/>
      </c>
      <c r="K22" s="54">
        <f>I22*J22*$G$4</f>
        <v/>
      </c>
    </row>
    <row r="23">
      <c r="B23" s="47" t="inlineStr">
        <is>
          <t>Pigier</t>
        </is>
      </c>
      <c r="C23" s="10" t="inlineStr">
        <is>
          <t>Lyon</t>
        </is>
      </c>
      <c r="D23" s="10" t="inlineStr">
        <is>
          <t>BTS</t>
        </is>
      </c>
      <c r="E23" s="50">
        <f>SUMPRODUCT(('08_Moteur'!$A$3:$A$60="Pigier")*('08_Moteur'!$B$3:$B$60="Lyon")*(('08_Moteur'!$D$3:$D$60="1")+('08_Moteur'!$D$3:$D$60="2"))*'08_Moteur'!$AD$3:$AD$60)</f>
        <v/>
      </c>
      <c r="F23" s="50">
        <f>SUMPRODUCT(('08_Moteur'!$A$3:$A$60="Pigier")*('08_Moteur'!$B$3:$B$60="Lyon")*(('08_Moteur'!$D$3:$D$60="1")+('08_Moteur'!$D$3:$D$60="2"))*'08_Moteur'!$AI$3:$AI$60)</f>
        <v/>
      </c>
      <c r="G23" s="73">
        <f>IFERROR(SUMPRODUCT(('08_Moteur'!$A$3:$A$60="Pigier")*('08_Moteur'!$B$3:$B$60="Lyon")*(('08_Moteur'!$D$3:$D$60="1")+('08_Moteur'!$D$3:$D$60="2"))*'08_Moteur'!$AI$3:$AI$60*'08_Moteur'!$O$3:$O$60)/F23,0)</f>
        <v/>
      </c>
      <c r="H23" s="50">
        <f>IF(E23&lt;=0,0,MAX(1,ROUNDUP(E23/G23,0)))</f>
        <v/>
      </c>
      <c r="I23" s="53">
        <f>MAX(0,F23-H23)</f>
        <v/>
      </c>
      <c r="J23" s="17">
        <f>IFERROR(SUMPRODUCT(('08_Moteur'!$A$3:$A$60="Pigier")*('08_Moteur'!$B$3:$B$60="Lyon")*(('08_Moteur'!$D$3:$D$60="1")+('08_Moteur'!$D$3:$D$60="2"))*'08_Moteur'!$AJ$3:$AJ$60)/F23,0)</f>
        <v/>
      </c>
      <c r="K23" s="54">
        <f>I23*J23*$G$4</f>
        <v/>
      </c>
    </row>
    <row r="24">
      <c r="B24" s="47" t="inlineStr">
        <is>
          <t>Pigier</t>
        </is>
      </c>
      <c r="C24" s="10" t="inlineStr">
        <is>
          <t>Lyon</t>
        </is>
      </c>
      <c r="D24" s="10" t="inlineStr">
        <is>
          <t>Bachelor</t>
        </is>
      </c>
      <c r="E24" s="50">
        <f>SUMPRODUCT(('08_Moteur'!$A$3:$A$60="Pigier")*('08_Moteur'!$B$3:$B$60="Lyon")*(('08_Moteur'!$D$3:$D$60="B1")+('08_Moteur'!$D$3:$D$60="B2")+('08_Moteur'!$D$3:$D$60="B3"))*'08_Moteur'!$AD$3:$AD$60)</f>
        <v/>
      </c>
      <c r="F24" s="50">
        <f>SUMPRODUCT(('08_Moteur'!$A$3:$A$60="Pigier")*('08_Moteur'!$B$3:$B$60="Lyon")*(('08_Moteur'!$D$3:$D$60="B1")+('08_Moteur'!$D$3:$D$60="B2")+('08_Moteur'!$D$3:$D$60="B3"))*'08_Moteur'!$AI$3:$AI$60)</f>
        <v/>
      </c>
      <c r="G24" s="73">
        <f>IFERROR(SUMPRODUCT(('08_Moteur'!$A$3:$A$60="Pigier")*('08_Moteur'!$B$3:$B$60="Lyon")*(('08_Moteur'!$D$3:$D$60="B1")+('08_Moteur'!$D$3:$D$60="B2")+('08_Moteur'!$D$3:$D$60="B3"))*'08_Moteur'!$AI$3:$AI$60*'08_Moteur'!$O$3:$O$60)/F24,0)</f>
        <v/>
      </c>
      <c r="H24" s="50">
        <f>IF(E24&lt;=0,0,MAX(1,ROUNDUP(E24/G24,0)))</f>
        <v/>
      </c>
      <c r="I24" s="53">
        <f>MAX(0,F24-H24)</f>
        <v/>
      </c>
      <c r="J24" s="17">
        <f>IFERROR(SUMPRODUCT(('08_Moteur'!$A$3:$A$60="Pigier")*('08_Moteur'!$B$3:$B$60="Lyon")*(('08_Moteur'!$D$3:$D$60="B1")+('08_Moteur'!$D$3:$D$60="B2")+('08_Moteur'!$D$3:$D$60="B3"))*'08_Moteur'!$AJ$3:$AJ$60)/F24,0)</f>
        <v/>
      </c>
      <c r="K24" s="54">
        <f>I24*J24*$G$4</f>
        <v/>
      </c>
    </row>
    <row r="25">
      <c r="B25" s="47" t="inlineStr">
        <is>
          <t>Pigier</t>
        </is>
      </c>
      <c r="C25" s="10" t="inlineStr">
        <is>
          <t>Bordeaux</t>
        </is>
      </c>
      <c r="D25" s="10" t="inlineStr">
        <is>
          <t>BTS</t>
        </is>
      </c>
      <c r="E25" s="50">
        <f>SUMPRODUCT(('08_Moteur'!$A$3:$A$60="Pigier")*('08_Moteur'!$B$3:$B$60="Bordeaux")*(('08_Moteur'!$D$3:$D$60="1")+('08_Moteur'!$D$3:$D$60="2"))*'08_Moteur'!$AD$3:$AD$60)</f>
        <v/>
      </c>
      <c r="F25" s="50">
        <f>SUMPRODUCT(('08_Moteur'!$A$3:$A$60="Pigier")*('08_Moteur'!$B$3:$B$60="Bordeaux")*(('08_Moteur'!$D$3:$D$60="1")+('08_Moteur'!$D$3:$D$60="2"))*'08_Moteur'!$AI$3:$AI$60)</f>
        <v/>
      </c>
      <c r="G25" s="73">
        <f>IFERROR(SUMPRODUCT(('08_Moteur'!$A$3:$A$60="Pigier")*('08_Moteur'!$B$3:$B$60="Bordeaux")*(('08_Moteur'!$D$3:$D$60="1")+('08_Moteur'!$D$3:$D$60="2"))*'08_Moteur'!$AI$3:$AI$60*'08_Moteur'!$O$3:$O$60)/F25,0)</f>
        <v/>
      </c>
      <c r="H25" s="50">
        <f>IF(E25&lt;=0,0,MAX(1,ROUNDUP(E25/G25,0)))</f>
        <v/>
      </c>
      <c r="I25" s="53">
        <f>MAX(0,F25-H25)</f>
        <v/>
      </c>
      <c r="J25" s="17">
        <f>IFERROR(SUMPRODUCT(('08_Moteur'!$A$3:$A$60="Pigier")*('08_Moteur'!$B$3:$B$60="Bordeaux")*(('08_Moteur'!$D$3:$D$60="1")+('08_Moteur'!$D$3:$D$60="2"))*'08_Moteur'!$AJ$3:$AJ$60)/F25,0)</f>
        <v/>
      </c>
      <c r="K25" s="54">
        <f>I25*J25*$G$4</f>
        <v/>
      </c>
    </row>
    <row r="26">
      <c r="B26" s="47" t="inlineStr">
        <is>
          <t>Pigier</t>
        </is>
      </c>
      <c r="C26" s="10" t="inlineStr">
        <is>
          <t>Bordeaux</t>
        </is>
      </c>
      <c r="D26" s="10" t="inlineStr">
        <is>
          <t>Bachelor</t>
        </is>
      </c>
      <c r="E26" s="50">
        <f>SUMPRODUCT(('08_Moteur'!$A$3:$A$60="Pigier")*('08_Moteur'!$B$3:$B$60="Bordeaux")*(('08_Moteur'!$D$3:$D$60="B1")+('08_Moteur'!$D$3:$D$60="B2")+('08_Moteur'!$D$3:$D$60="B3"))*'08_Moteur'!$AD$3:$AD$60)</f>
        <v/>
      </c>
      <c r="F26" s="50">
        <f>SUMPRODUCT(('08_Moteur'!$A$3:$A$60="Pigier")*('08_Moteur'!$B$3:$B$60="Bordeaux")*(('08_Moteur'!$D$3:$D$60="B1")+('08_Moteur'!$D$3:$D$60="B2")+('08_Moteur'!$D$3:$D$60="B3"))*'08_Moteur'!$AI$3:$AI$60)</f>
        <v/>
      </c>
      <c r="G26" s="73">
        <f>IFERROR(SUMPRODUCT(('08_Moteur'!$A$3:$A$60="Pigier")*('08_Moteur'!$B$3:$B$60="Bordeaux")*(('08_Moteur'!$D$3:$D$60="B1")+('08_Moteur'!$D$3:$D$60="B2")+('08_Moteur'!$D$3:$D$60="B3"))*'08_Moteur'!$AI$3:$AI$60*'08_Moteur'!$O$3:$O$60)/F26,0)</f>
        <v/>
      </c>
      <c r="H26" s="50">
        <f>IF(E26&lt;=0,0,MAX(1,ROUNDUP(E26/G26,0)))</f>
        <v/>
      </c>
      <c r="I26" s="53">
        <f>MAX(0,F26-H26)</f>
        <v/>
      </c>
      <c r="J26" s="17">
        <f>IFERROR(SUMPRODUCT(('08_Moteur'!$A$3:$A$60="Pigier")*('08_Moteur'!$B$3:$B$60="Bordeaux")*(('08_Moteur'!$D$3:$D$60="B1")+('08_Moteur'!$D$3:$D$60="B2")+('08_Moteur'!$D$3:$D$60="B3"))*'08_Moteur'!$AJ$3:$AJ$60)/F26,0)</f>
        <v/>
      </c>
      <c r="K26" s="54">
        <f>I26*J26*$G$4</f>
        <v/>
      </c>
    </row>
    <row r="27">
      <c r="B27" s="47" t="inlineStr">
        <is>
          <t>Tunon</t>
        </is>
      </c>
      <c r="C27" s="10" t="inlineStr">
        <is>
          <t>Paris</t>
        </is>
      </c>
      <c r="D27" s="10" t="inlineStr">
        <is>
          <t>Bachelor</t>
        </is>
      </c>
      <c r="E27" s="50">
        <f>SUMPRODUCT(('08_Moteur'!$A$3:$A$60="Tunon")*('08_Moteur'!$B$3:$B$60="Paris")*(('08_Moteur'!$D$3:$D$60="B1")+('08_Moteur'!$D$3:$D$60="B2")+('08_Moteur'!$D$3:$D$60="B3"))*'08_Moteur'!$AD$3:$AD$60)</f>
        <v/>
      </c>
      <c r="F27" s="50">
        <f>SUMPRODUCT(('08_Moteur'!$A$3:$A$60="Tunon")*('08_Moteur'!$B$3:$B$60="Paris")*(('08_Moteur'!$D$3:$D$60="B1")+('08_Moteur'!$D$3:$D$60="B2")+('08_Moteur'!$D$3:$D$60="B3"))*'08_Moteur'!$AI$3:$AI$60)</f>
        <v/>
      </c>
      <c r="G27" s="73">
        <f>IFERROR(SUMPRODUCT(('08_Moteur'!$A$3:$A$60="Tunon")*('08_Moteur'!$B$3:$B$60="Paris")*(('08_Moteur'!$D$3:$D$60="B1")+('08_Moteur'!$D$3:$D$60="B2")+('08_Moteur'!$D$3:$D$60="B3"))*'08_Moteur'!$AI$3:$AI$60*'08_Moteur'!$O$3:$O$60)/F27,0)</f>
        <v/>
      </c>
      <c r="H27" s="50">
        <f>IF(E27&lt;=0,0,MAX(1,ROUNDUP(E27/G27,0)))</f>
        <v/>
      </c>
      <c r="I27" s="53">
        <f>MAX(0,F27-H27)</f>
        <v/>
      </c>
      <c r="J27" s="17">
        <f>IFERROR(SUMPRODUCT(('08_Moteur'!$A$3:$A$60="Tunon")*('08_Moteur'!$B$3:$B$60="Paris")*(('08_Moteur'!$D$3:$D$60="B1")+('08_Moteur'!$D$3:$D$60="B2")+('08_Moteur'!$D$3:$D$60="B3"))*'08_Moteur'!$AJ$3:$AJ$60)/F27,0)</f>
        <v/>
      </c>
      <c r="K27" s="54">
        <f>I27*J27*$G$4</f>
        <v/>
      </c>
    </row>
    <row r="28">
      <c r="B28" s="47" t="inlineStr">
        <is>
          <t>Tunon</t>
        </is>
      </c>
      <c r="C28" s="10" t="inlineStr">
        <is>
          <t>Lyon</t>
        </is>
      </c>
      <c r="D28" s="10" t="inlineStr">
        <is>
          <t>Bachelor</t>
        </is>
      </c>
      <c r="E28" s="50">
        <f>SUMPRODUCT(('08_Moteur'!$A$3:$A$60="Tunon")*('08_Moteur'!$B$3:$B$60="Lyon")*(('08_Moteur'!$D$3:$D$60="B1")+('08_Moteur'!$D$3:$D$60="B2")+('08_Moteur'!$D$3:$D$60="B3"))*'08_Moteur'!$AD$3:$AD$60)</f>
        <v/>
      </c>
      <c r="F28" s="50">
        <f>SUMPRODUCT(('08_Moteur'!$A$3:$A$60="Tunon")*('08_Moteur'!$B$3:$B$60="Lyon")*(('08_Moteur'!$D$3:$D$60="B1")+('08_Moteur'!$D$3:$D$60="B2")+('08_Moteur'!$D$3:$D$60="B3"))*'08_Moteur'!$AI$3:$AI$60)</f>
        <v/>
      </c>
      <c r="G28" s="73">
        <f>IFERROR(SUMPRODUCT(('08_Moteur'!$A$3:$A$60="Tunon")*('08_Moteur'!$B$3:$B$60="Lyon")*(('08_Moteur'!$D$3:$D$60="B1")+('08_Moteur'!$D$3:$D$60="B2")+('08_Moteur'!$D$3:$D$60="B3"))*'08_Moteur'!$AI$3:$AI$60*'08_Moteur'!$O$3:$O$60)/F28,0)</f>
        <v/>
      </c>
      <c r="H28" s="50">
        <f>IF(E28&lt;=0,0,MAX(1,ROUNDUP(E28/G28,0)))</f>
        <v/>
      </c>
      <c r="I28" s="53">
        <f>MAX(0,F28-H28)</f>
        <v/>
      </c>
      <c r="J28" s="17">
        <f>IFERROR(SUMPRODUCT(('08_Moteur'!$A$3:$A$60="Tunon")*('08_Moteur'!$B$3:$B$60="Lyon")*(('08_Moteur'!$D$3:$D$60="B1")+('08_Moteur'!$D$3:$D$60="B2")+('08_Moteur'!$D$3:$D$60="B3"))*'08_Moteur'!$AJ$3:$AJ$60)/F28,0)</f>
        <v/>
      </c>
      <c r="K28" s="54">
        <f>I28*J28*$G$4</f>
        <v/>
      </c>
    </row>
    <row r="29">
      <c r="B29" s="43" t="inlineStr">
        <is>
          <t>TOTAL</t>
        </is>
      </c>
      <c r="C29" s="44" t="inlineStr">
        <is>
          <t> </t>
        </is>
      </c>
      <c r="D29" s="44" t="inlineStr">
        <is>
          <t> </t>
        </is>
      </c>
      <c r="E29" s="45">
        <f>SUM(E6:E28)</f>
        <v/>
      </c>
      <c r="F29" s="45">
        <f>SUM(F6:F28)</f>
        <v/>
      </c>
      <c r="G29" s="44" t="inlineStr">
        <is>
          <t> </t>
        </is>
      </c>
      <c r="H29" s="45">
        <f>SUM(H6:H28)</f>
        <v/>
      </c>
      <c r="I29" s="45">
        <f>SUM(I6:I28)</f>
        <v/>
      </c>
      <c r="J29" s="44" t="inlineStr">
        <is>
          <t> </t>
        </is>
      </c>
      <c r="K29" s="46">
        <f>SUM(K6:K28)</f>
        <v/>
      </c>
    </row>
    <row r="31">
      <c r="B31" s="19" t="inlineStr">
        <is>
          <t>Économie potentielle totale de mutualisation :</t>
        </is>
      </c>
      <c r="G31" s="20">
        <f>K29</f>
        <v/>
      </c>
      <c r="H31" s="30"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2" ht="26" customHeight="1">
      <c r="B2" s="1" t="inlineStr">
        <is>
          <t>Allocation EN CASCADE sur un VRAI campus (MBway Lyon) &amp; effet d'une fermeture</t>
        </is>
      </c>
    </row>
    <row r="3" ht="32" customHeight="1">
      <c r="B3" s="2" t="inlineStr">
        <is>
          <t>Chiffres RÉELS du moteur (structure, CA, effectifs, économie unitaire feuille 05). La structure NON-ÉVITABLE descend en cascade : groupe → marque au CA → campus au nb d'étudiants → promo au NOMBRE DE CLASSES. Change l'effectif SCÉNARIO (bleu) d'une promo : sa contribution se recalcule, et tu vois quand fermer devient bénéfique… ou pas.</t>
        </is>
      </c>
    </row>
    <row r="5" ht="20" customHeight="1">
      <c r="B5" s="3" t="inlineStr">
        <is>
          <t>1) Structure non-évitable de MBway Lyon  —  siège groupe cascadé (CA marque → effectif campus) + loyer &amp; permanents directs (réels, feuille 09)</t>
        </is>
      </c>
      <c r="C5" s="4" t="n"/>
      <c r="D5" s="4" t="n"/>
      <c r="E5" s="4" t="n"/>
      <c r="F5" s="4" t="n"/>
      <c r="G5" s="4" t="n"/>
      <c r="H5" s="4" t="n"/>
      <c r="I5" s="4" t="n"/>
      <c r="J5" s="4" t="n"/>
      <c r="K5" s="4" t="n"/>
      <c r="L5" s="4" t="n"/>
      <c r="M5" s="4" t="n"/>
      <c r="N5" s="4" t="n"/>
    </row>
    <row r="6">
      <c r="B6" s="19" t="inlineStr">
        <is>
          <t>Siège / structure centrale GROUPE (réel) :</t>
        </is>
      </c>
      <c r="G6" s="16">
        <f>'02_Leviers'!$D$17*(1+'02_Leviers'!$G$11)</f>
        <v/>
      </c>
    </row>
    <row r="7">
      <c r="B7" s="19" t="inlineStr">
        <is>
          <t>× Part MBway au CA :</t>
        </is>
      </c>
      <c r="G7" s="69">
        <f>IFERROR(SUMIFS('08_Moteur'!$AH$3:$AH$60,'08_Moteur'!$A$3:$A$60,"MBway")/SUM('08_Moteur'!$AH$3:$AH$60),0)</f>
        <v/>
      </c>
      <c r="H7" s="19" t="inlineStr">
        <is>
          <t>→ Siège MBway :</t>
        </is>
      </c>
      <c r="I7" s="17">
        <f>G6*G7</f>
        <v/>
      </c>
    </row>
    <row r="8">
      <c r="B8" s="19" t="inlineStr">
        <is>
          <t>× Part Lyon dans MBway (aux effectifs) :</t>
        </is>
      </c>
      <c r="G8" s="69">
        <f>IFERROR(SUMIFS('08_Moteur'!$AD$3:$AD$60,'08_Moteur'!$A$3:$A$60,"MBway",'08_Moteur'!$B$3:$B$60,"Lyon")/SUMIFS('08_Moteur'!$AD$3:$AD$60,'08_Moteur'!$A$3:$A$60,"MBway"),0)</f>
        <v/>
      </c>
      <c r="H8" s="19" t="inlineStr">
        <is>
          <t>→ Siège Lyon :</t>
        </is>
      </c>
      <c r="I8" s="17">
        <f>I7*G8</f>
        <v/>
      </c>
    </row>
    <row r="9">
      <c r="B9" s="19" t="inlineStr">
        <is>
          <t>Loyer Lyon (réel, feuille 09) :</t>
        </is>
      </c>
      <c r="I9" s="16">
        <f>'09_Allocation'!E7</f>
        <v/>
      </c>
    </row>
    <row r="10">
      <c r="B10" s="19" t="inlineStr">
        <is>
          <t>Permanents Lyon (réel, feuille 09) :</t>
        </is>
      </c>
      <c r="I10" s="16">
        <f>'09_Allocation'!F7</f>
        <v/>
      </c>
    </row>
    <row r="11">
      <c r="B11" s="19" t="inlineStr">
        <is>
          <t>ENVELOPE Lyon = siège Lyon + loyer + permanents (NON-ÉVITABLE) :</t>
        </is>
      </c>
      <c r="I11" s="46">
        <f>I8+I9+I10</f>
        <v/>
      </c>
    </row>
    <row r="13" ht="20" customHeight="1">
      <c r="B13" s="3" t="inlineStr">
        <is>
          <t>2) Répartition Lyon → promos AU NOMBRE DE CLASSES + décision  (change l'effectif bleu ; le rouge = résultat tout compris &lt; 0)</t>
        </is>
      </c>
      <c r="C13" s="4" t="n"/>
      <c r="D13" s="4" t="n"/>
      <c r="E13" s="4" t="n"/>
      <c r="F13" s="4" t="n"/>
      <c r="G13" s="4" t="n"/>
      <c r="H13" s="4" t="n"/>
      <c r="I13" s="4" t="n"/>
      <c r="J13" s="4" t="n"/>
      <c r="K13" s="4" t="n"/>
      <c r="L13" s="4" t="n"/>
      <c r="M13" s="4" t="n"/>
      <c r="N13" s="4" t="n"/>
      <c r="P13" s="72" t="inlineStr">
        <is>
          <t>Paramètres unitaires (issus du modèle, feuille 05)</t>
        </is>
      </c>
    </row>
    <row r="14" ht="30" customHeight="1">
      <c r="B14" s="13" t="inlineStr">
        <is>
          <t>Promo (MBway Lyon)</t>
        </is>
      </c>
      <c r="C14" s="13" t="inlineStr">
        <is>
          <t>Eff. réel
(moteur)</t>
        </is>
      </c>
      <c r="D14" s="13" t="inlineStr">
        <is>
          <t>Eff.
scénario</t>
        </is>
      </c>
      <c r="E14" s="13" t="inlineStr">
        <is>
          <t>Classes</t>
        </is>
      </c>
      <c r="F14" s="13" t="inlineStr">
        <is>
          <t>CA</t>
        </is>
      </c>
      <c r="G14" s="13" t="inlineStr">
        <is>
          <t>Contribution
(évitable)</t>
        </is>
      </c>
      <c r="H14" s="13" t="inlineStr">
        <is>
          <t>Struct/classe</t>
        </is>
      </c>
      <c r="I14" s="13" t="inlineStr">
        <is>
          <t>Struct allouée</t>
        </is>
      </c>
      <c r="J14" s="13" t="inlineStr">
        <is>
          <t>Résultat t.c.
(avant)</t>
        </is>
      </c>
      <c r="K14" s="13" t="inlineStr">
        <is>
          <t>Décision</t>
        </is>
      </c>
      <c r="L14" s="13" t="inlineStr">
        <is>
          <t>Cl.
après</t>
        </is>
      </c>
      <c r="M14" s="13" t="inlineStr">
        <is>
          <t>Struct après</t>
        </is>
      </c>
      <c r="N14" s="13" t="inlineStr">
        <is>
          <t>Résultat t.c.
(après)</t>
        </is>
      </c>
      <c r="P14" s="13" t="inlineStr">
        <is>
          <t>Capacité</t>
        </is>
      </c>
      <c r="Q14" s="13" t="inlineStr">
        <is>
          <t>Coût/classe</t>
        </is>
      </c>
      <c r="R14" s="13" t="inlineStr">
        <is>
          <t>Tarif</t>
        </is>
      </c>
      <c r="S14" s="13" t="inlineStr">
        <is>
          <t>Charge/étu</t>
        </is>
      </c>
      <c r="T14" s="13" t="inlineStr">
        <is>
          <t>CAC/étu</t>
        </is>
      </c>
    </row>
    <row r="15">
      <c r="B15" s="8" t="inlineStr">
        <is>
          <t>Bachelor 1 (INIT)</t>
        </is>
      </c>
      <c r="C15" s="48">
        <f>'08_Moteur'!AD8</f>
        <v/>
      </c>
      <c r="D15" s="74" t="n">
        <v>73</v>
      </c>
      <c r="E15" s="50">
        <f>IF(D15&lt;=0,0,MAX(1,ROUNDUP(D15/P15,0)))</f>
        <v/>
      </c>
      <c r="F15" s="17">
        <f>D15*R15</f>
        <v/>
      </c>
      <c r="G15" s="54">
        <f>F15-E15*Q15-D15*S15-D15*T15</f>
        <v/>
      </c>
      <c r="H15" s="17">
        <f>IFERROR($I$11/SUM($E$15:$E$19),0)</f>
        <v/>
      </c>
      <c r="I15" s="17">
        <f>E15*H15</f>
        <v/>
      </c>
      <c r="J15" s="54">
        <f>G15-I15</f>
        <v/>
      </c>
      <c r="K15" s="21" t="inlineStr">
        <is>
          <t>Maintenir</t>
        </is>
      </c>
      <c r="L15" s="50">
        <f>IF(K15="Fermer",0,E15)</f>
        <v/>
      </c>
      <c r="M15" s="17">
        <f>IF(K15="Fermer",0,L15*IFERROR($I$11/SUM($L$15:$L$19),0))</f>
        <v/>
      </c>
      <c r="N15" s="54">
        <f>IF(K15="Fermer",0,G15-M15)</f>
        <v/>
      </c>
      <c r="P15" s="39" t="n">
        <v>32</v>
      </c>
      <c r="Q15" s="41" t="n">
        <v>34800</v>
      </c>
      <c r="R15" s="41" t="n">
        <v>8500</v>
      </c>
      <c r="S15" s="41" t="n">
        <v>1334</v>
      </c>
      <c r="T15" s="41" t="n">
        <v>320</v>
      </c>
    </row>
    <row r="16">
      <c r="B16" s="8" t="inlineStr">
        <is>
          <t>Bachelor 2 (ALT)</t>
        </is>
      </c>
      <c r="C16" s="48">
        <f>'08_Moteur'!AD9</f>
        <v/>
      </c>
      <c r="D16" s="74" t="n">
        <v>62</v>
      </c>
      <c r="E16" s="50">
        <f>IF(D16&lt;=0,0,MAX(1,ROUNDUP(D16/P16,0)))</f>
        <v/>
      </c>
      <c r="F16" s="17">
        <f>D16*R16</f>
        <v/>
      </c>
      <c r="G16" s="54">
        <f>F16-E16*Q16-D16*S16-D16*T16</f>
        <v/>
      </c>
      <c r="H16" s="17">
        <f>IFERROR($I$11/SUM($E$15:$E$19),0)</f>
        <v/>
      </c>
      <c r="I16" s="17">
        <f>E16*H16</f>
        <v/>
      </c>
      <c r="J16" s="54">
        <f>G16-I16</f>
        <v/>
      </c>
      <c r="K16" s="21" t="inlineStr">
        <is>
          <t>Maintenir</t>
        </is>
      </c>
      <c r="L16" s="50">
        <f>IF(K16="Fermer",0,E16)</f>
        <v/>
      </c>
      <c r="M16" s="17">
        <f>IF(K16="Fermer",0,L16*IFERROR($I$11/SUM($L$15:$L$19),0))</f>
        <v/>
      </c>
      <c r="N16" s="54">
        <f>IF(K16="Fermer",0,G16-M16)</f>
        <v/>
      </c>
      <c r="P16" s="39" t="n">
        <v>32</v>
      </c>
      <c r="Q16" s="41" t="n">
        <v>32480</v>
      </c>
      <c r="R16" s="41" t="n">
        <v>8000</v>
      </c>
      <c r="S16" s="41" t="n">
        <v>1334</v>
      </c>
      <c r="T16" s="41" t="n">
        <v>0</v>
      </c>
    </row>
    <row r="17">
      <c r="B17" s="8" t="inlineStr">
        <is>
          <t>Bachelor 3 (ALT)</t>
        </is>
      </c>
      <c r="C17" s="48">
        <f>'08_Moteur'!AD10</f>
        <v/>
      </c>
      <c r="D17" s="74" t="n">
        <v>54</v>
      </c>
      <c r="E17" s="50">
        <f>IF(D17&lt;=0,0,MAX(1,ROUNDUP(D17/P17,0)))</f>
        <v/>
      </c>
      <c r="F17" s="17">
        <f>D17*R17</f>
        <v/>
      </c>
      <c r="G17" s="54">
        <f>F17-E17*Q17-D17*S17-D17*T17</f>
        <v/>
      </c>
      <c r="H17" s="17">
        <f>IFERROR($I$11/SUM($E$15:$E$19),0)</f>
        <v/>
      </c>
      <c r="I17" s="17">
        <f>E17*H17</f>
        <v/>
      </c>
      <c r="J17" s="54">
        <f>G17-I17</f>
        <v/>
      </c>
      <c r="K17" s="21" t="inlineStr">
        <is>
          <t>Maintenir</t>
        </is>
      </c>
      <c r="L17" s="50">
        <f>IF(K17="Fermer",0,E17)</f>
        <v/>
      </c>
      <c r="M17" s="17">
        <f>IF(K17="Fermer",0,L17*IFERROR($I$11/SUM($L$15:$L$19),0))</f>
        <v/>
      </c>
      <c r="N17" s="54">
        <f>IF(K17="Fermer",0,G17-M17)</f>
        <v/>
      </c>
      <c r="P17" s="39" t="n">
        <v>32</v>
      </c>
      <c r="Q17" s="41" t="n">
        <v>30160</v>
      </c>
      <c r="R17" s="41" t="n">
        <v>8000</v>
      </c>
      <c r="S17" s="41" t="n">
        <v>1334</v>
      </c>
      <c r="T17" s="41" t="n">
        <v>0</v>
      </c>
    </row>
    <row r="18">
      <c r="B18" s="8" t="inlineStr">
        <is>
          <t>Mastère 1 (ALT)</t>
        </is>
      </c>
      <c r="C18" s="48">
        <f>'08_Moteur'!AD11</f>
        <v/>
      </c>
      <c r="D18" s="74" t="n">
        <v>44</v>
      </c>
      <c r="E18" s="50">
        <f>IF(D18&lt;=0,0,MAX(1,ROUNDUP(D18/P18,0)))</f>
        <v/>
      </c>
      <c r="F18" s="17">
        <f>D18*R18</f>
        <v/>
      </c>
      <c r="G18" s="54">
        <f>F18-E18*Q18-D18*S18-D18*T18</f>
        <v/>
      </c>
      <c r="H18" s="17">
        <f>IFERROR($I$11/SUM($E$15:$E$19),0)</f>
        <v/>
      </c>
      <c r="I18" s="17">
        <f>E18*H18</f>
        <v/>
      </c>
      <c r="J18" s="54">
        <f>G18-I18</f>
        <v/>
      </c>
      <c r="K18" s="21" t="inlineStr">
        <is>
          <t>Maintenir</t>
        </is>
      </c>
      <c r="L18" s="50">
        <f>IF(K18="Fermer",0,E18)</f>
        <v/>
      </c>
      <c r="M18" s="17">
        <f>IF(K18="Fermer",0,L18*IFERROR($I$11/SUM($L$15:$L$19),0))</f>
        <v/>
      </c>
      <c r="N18" s="54">
        <f>IF(K18="Fermer",0,G18-M18)</f>
        <v/>
      </c>
      <c r="P18" s="39" t="n">
        <v>26</v>
      </c>
      <c r="Q18" s="41" t="n">
        <v>33600</v>
      </c>
      <c r="R18" s="41" t="n">
        <v>9000</v>
      </c>
      <c r="S18" s="41" t="n">
        <v>1454</v>
      </c>
      <c r="T18" s="41" t="n">
        <v>600</v>
      </c>
    </row>
    <row r="19">
      <c r="B19" s="8" t="inlineStr">
        <is>
          <t>Mastère 2 — extinction</t>
        </is>
      </c>
      <c r="C19" s="48">
        <f>'08_Moteur'!AD12</f>
        <v/>
      </c>
      <c r="D19" s="74" t="n">
        <v>3</v>
      </c>
      <c r="E19" s="50">
        <f>IF(D19&lt;=0,0,MAX(1,ROUNDUP(D19/P19,0)))</f>
        <v/>
      </c>
      <c r="F19" s="17">
        <f>D19*R19</f>
        <v/>
      </c>
      <c r="G19" s="54">
        <f>F19-E19*Q19-D19*S19-D19*T19</f>
        <v/>
      </c>
      <c r="H19" s="17">
        <f>IFERROR($I$11/SUM($E$15:$E$19),0)</f>
        <v/>
      </c>
      <c r="I19" s="17">
        <f>E19*H19</f>
        <v/>
      </c>
      <c r="J19" s="54">
        <f>G19-I19</f>
        <v/>
      </c>
      <c r="K19" s="21" t="inlineStr">
        <is>
          <t>Fermer</t>
        </is>
      </c>
      <c r="L19" s="50">
        <f>IF(K19="Fermer",0,E19)</f>
        <v/>
      </c>
      <c r="M19" s="17">
        <f>IF(K19="Fermer",0,L19*IFERROR($I$11/SUM($L$15:$L$19),0))</f>
        <v/>
      </c>
      <c r="N19" s="54">
        <f>IF(K19="Fermer",0,G19-M19)</f>
        <v/>
      </c>
      <c r="P19" s="39" t="n">
        <v>26</v>
      </c>
      <c r="Q19" s="41" t="n">
        <v>30800</v>
      </c>
      <c r="R19" s="41" t="n">
        <v>9000</v>
      </c>
      <c r="S19" s="41" t="n">
        <v>1454</v>
      </c>
      <c r="T19" s="41" t="n">
        <v>0</v>
      </c>
    </row>
    <row r="20">
      <c r="B20" s="43" t="inlineStr">
        <is>
          <t>TOTAL</t>
        </is>
      </c>
      <c r="C20" s="45">
        <f>SUM(C15:C19)</f>
        <v/>
      </c>
      <c r="D20" s="45">
        <f>SUM(D15:D19)</f>
        <v/>
      </c>
      <c r="E20" s="45">
        <f>SUM(E15:E19)</f>
        <v/>
      </c>
      <c r="F20" s="46">
        <f>SUM(F15:F19)</f>
        <v/>
      </c>
      <c r="G20" s="46">
        <f>SUM(G15:G19)</f>
        <v/>
      </c>
      <c r="H20" s="44" t="inlineStr">
        <is>
          <t> </t>
        </is>
      </c>
      <c r="I20" s="46">
        <f>SUM(I15:I19)</f>
        <v/>
      </c>
      <c r="J20" s="46">
        <f>SUM(J15:J19)</f>
        <v/>
      </c>
      <c r="K20" s="44" t="inlineStr">
        <is>
          <t> </t>
        </is>
      </c>
      <c r="L20" s="45">
        <f>SUM(L15:L19)</f>
        <v/>
      </c>
      <c r="M20" s="46">
        <f>SUM(M15:M19)</f>
        <v/>
      </c>
      <c r="N20" s="46">
        <f>SUM(N15:N19)</f>
        <v/>
      </c>
    </row>
    <row r="22">
      <c r="B22" s="19" t="inlineStr">
        <is>
          <t>EBITDA campus AVANT :</t>
        </is>
      </c>
      <c r="F22" s="54">
        <f>SUM(G15:G19)-$I$11</f>
        <v/>
      </c>
      <c r="H22" s="19" t="inlineStr">
        <is>
          <t>EBITDA campus APRÈS :</t>
        </is>
      </c>
      <c r="J22" s="46">
        <f>SUMIFS(G15:G19,K15:K19,"&lt;&gt;Fermer")-$I$11</f>
        <v/>
      </c>
      <c r="M22" s="19" t="inlineStr">
        <is>
          <t>Δ EBITDA :</t>
        </is>
      </c>
      <c r="N22" s="20">
        <f>J22-F22</f>
        <v/>
      </c>
    </row>
    <row r="24">
      <c r="B24" s="12" t="inlineStr">
        <is>
          <t>🧪 LECTURE (vrai campus, bac à sable). On DÉCIDE sur la CONTRIBUTION (évitable). ① Le Mastère 2 est ici en EXTINCTION (3 étudiants) : sa contribution est NÉGATIVE (une classe coûte plus qu'elle ne rapporte, seuil de rentabilité ≈ 4-5 étudiants) → le fermer fait MONTER l'EBITDA campus = fermeture BÉNÉFIQUE. ② À l'inverse, remets une promo bien remplie (Bachelor 1) sur « Fermer » : l'EBITDA CHUTE (on perd sa contribution) et la structure non-évitable se redivise sur les classes restantes (÷ nb de classes) → le résultat tout compris des voisines se dégrade. Remarque HONNÊTE : avec des promos normalement remplies l'économie unitaire est saine (rentables dès ~5 étudiants), donc fermer n'est JAMAIS bénéfique — ça ne le devient que pour une promo réellement sous-remplie / en extinction. Baisse les effectifs bleus pour rendre une promo marginale et voir l'effet d'entraînement basculer une voisine EN ROUGE.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5">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6" t="inlineStr">
        <is>
          <t>€ à sécuriser (exposition)</t>
        </is>
      </c>
      <c r="C15" s="77">
        <f>SUMPRODUCT(('08_Moteur'!$E$3:$E$60="ALT")*'08_Moteur'!$AD$3:$AD$60*'08_Moteur'!$AE$3:$AE$60)*(1-'02_Leviers'!$G$9)</f>
        <v/>
      </c>
      <c r="D15" s="77">
        <f>SUMPRODUCT(('08_Moteur'!$E$3:$E$60="ALT")*'08_Moteur'!$G$3:$G$60*'08_Moteur'!$L$3:$L$60)*(1-'02_Leviers'!$D$20)</f>
        <v/>
      </c>
      <c r="E15" s="78">
        <f>IFERROR(C15/D15-1,0)</f>
        <v/>
      </c>
    </row>
  </sheetData>
  <mergeCells count="1">
    <mergeCell ref="B2:E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9" t="inlineStr">
        <is>
          <t>Marque / Campus</t>
        </is>
      </c>
      <c r="C6" s="6" t="inlineStr">
        <is>
          <t>Entity</t>
        </is>
      </c>
      <c r="D6" s="6" t="inlineStr">
        <is>
          <t>Hiérarchie Groupe→Marque→Campus</t>
        </is>
      </c>
    </row>
    <row r="7" ht="28" customHeight="1">
      <c r="B7" s="79" t="inlineStr">
        <is>
          <t>Programme × Année × Modalité</t>
        </is>
      </c>
      <c r="C7" s="6" t="inlineStr">
        <is>
          <t>Dimensions analytiques</t>
        </is>
      </c>
      <c r="D7" s="6" t="inlineStr">
        <is>
          <t>Maille fine, attributs initial/alternance</t>
        </is>
      </c>
    </row>
    <row r="8" ht="28" customHeight="1">
      <c r="B8" s="79" t="inlineStr">
        <is>
          <t>Params (capacité, heures…)</t>
        </is>
      </c>
      <c r="C8" s="6" t="inlineStr">
        <is>
          <t>Attributs de dimension / driver</t>
        </is>
      </c>
      <c r="D8" s="6" t="inlineStr">
        <is>
          <t>Données de référence par programme×année (feuille 05)</t>
        </is>
      </c>
    </row>
    <row r="9" ht="28" customHeight="1">
      <c r="B9" s="79" t="inlineStr">
        <is>
          <t>Historique N-2/N-1</t>
        </is>
      </c>
      <c r="C9" s="6" t="inlineStr">
        <is>
          <t>Category ACTUAL (multi-années)</t>
        </is>
      </c>
      <c r="D9" s="6" t="inlineStr">
        <is>
          <t>Plus de profondeur = élasticité marketing robuste</t>
        </is>
      </c>
    </row>
    <row r="10" ht="28" customHeight="1">
      <c r="B10" s="79" t="inlineStr">
        <is>
          <t>Cohortes / taux de passage</t>
        </is>
      </c>
      <c r="C10" s="6" t="inlineStr">
        <is>
          <t>Règle de calcul</t>
        </is>
      </c>
      <c r="D10" s="6" t="inlineStr">
        <is>
          <t>Progression B1→B2→B3</t>
        </is>
      </c>
    </row>
    <row r="11" ht="28" customHeight="1">
      <c r="B11" s="79" t="inlineStr">
        <is>
          <t>Sécurisation &amp; recouvrement</t>
        </is>
      </c>
      <c r="C11" s="6" t="inlineStr">
        <is>
          <t>Comptes techniques</t>
        </is>
      </c>
      <c r="D11" s="6" t="inlineStr">
        <is>
          <t>Financement alternance, exposition</t>
        </is>
      </c>
    </row>
    <row r="12" ht="28" customHeight="1">
      <c r="B12" s="79" t="inlineStr">
        <is>
          <t>Objectifs (cadrage)</t>
        </is>
      </c>
      <c r="C12" s="6" t="inlineStr">
        <is>
          <t>Version cible + écart</t>
        </is>
      </c>
      <c r="D12" s="6" t="inlineStr">
        <is>
          <t>Top-down vs bottom-up</t>
        </is>
      </c>
    </row>
    <row r="13" ht="28" customHeight="1">
      <c r="B13" s="79" t="inlineStr">
        <is>
          <t>Décisions ouvrir/fermer</t>
        </is>
      </c>
      <c r="C13" s="6" t="inlineStr">
        <is>
          <t>Scénarios / versions</t>
        </is>
      </c>
      <c r="D13" s="6" t="inlineStr">
        <is>
          <t>Simulateur → snapshot</t>
        </is>
      </c>
    </row>
    <row r="14" ht="28" customHeight="1">
      <c r="B14" s="79"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2026-08-12T16:04:02Z</dcterms:created>
  <dcterms:modified xsi:type="dcterms:W3CDTF">2026-08-12T16:04:03Z</dcterms:modified>
</cp:coreProperties>
</file>