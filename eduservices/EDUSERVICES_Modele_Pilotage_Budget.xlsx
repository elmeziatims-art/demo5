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7">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Guide</author>
  </authors>
  <commentLis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2.xml><?xml version="1.0" encoding="utf-8"?>
<comments xmlns="http://schemas.openxmlformats.org/spreadsheetml/2006/main">
  <authors>
    <author>Guide</author>
  </authors>
  <commentLis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Coefficient appliqué à l'effort marketing du cadrage pour cette marque (&gt;1 = on pousse).</t>
      </text>
    </comment>
    <comment ref="D5" authorId="0" shapeId="0">
      <text>
        <t>Coefficient appliqué à la hausse tarifaire du cadrage pour cette marque.</t>
      </text>
    </comment>
    <comment ref="E5" authorId="0" shapeId="0">
      <text>
        <t>Lecture du positionnement (pousser / défendre / maintenir).</t>
      </text>
    </comment>
  </commentList>
</comments>
</file>

<file path=xl/comments/comment4.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G3" authorId="0" shapeId="0">
      <text>
        <t>Coût horaire chargé de l'enseignement (vacation), en €.</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3.xml><?xml version="1.0" encoding="utf-8"?>
<comments xmlns="http://schemas.openxmlformats.org/spreadsheetml/2006/main">
  <authors>
    <author>Guide</author>
  </authors>
  <commentLis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380</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AS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3" t="n">
        <v>1.2</v>
      </c>
      <c r="D6" s="33" t="n">
        <v>1</v>
      </c>
      <c r="E6" s="9">
        <f>IF(C6&gt;=1.15,"Pousser",IF(C6&lt;=0.85,"Défendre","Maintenir"))</f>
        <v/>
      </c>
    </row>
    <row r="7">
      <c r="B7" s="8" t="inlineStr">
        <is>
          <t>ISCOM</t>
        </is>
      </c>
      <c r="C7" s="33" t="n">
        <v>1</v>
      </c>
      <c r="D7" s="33" t="n">
        <v>1.2</v>
      </c>
      <c r="E7" s="9">
        <f>IF(C7&gt;=1.15,"Pousser",IF(C7&lt;=0.85,"Défendre","Maintenir"))</f>
        <v/>
      </c>
    </row>
    <row r="8">
      <c r="B8" s="8" t="inlineStr">
        <is>
          <t>Ipac Bachelor Factory</t>
        </is>
      </c>
      <c r="C8" s="33" t="n">
        <v>1.3</v>
      </c>
      <c r="D8" s="33" t="n">
        <v>0.8</v>
      </c>
      <c r="E8" s="9">
        <f>IF(C8&gt;=1.15,"Pousser",IF(C8&lt;=0.85,"Défendre","Maintenir"))</f>
        <v/>
      </c>
    </row>
    <row r="9">
      <c r="B9" s="8" t="inlineStr">
        <is>
          <t>Pigier</t>
        </is>
      </c>
      <c r="C9" s="33" t="n">
        <v>0.7</v>
      </c>
      <c r="D9" s="33" t="n">
        <v>1</v>
      </c>
      <c r="E9" s="9">
        <f>IF(C9&gt;=1.15,"Pousser",IF(C9&lt;=0.85,"Défendre","Maintenir"))</f>
        <v/>
      </c>
    </row>
    <row r="10">
      <c r="B10" s="8" t="inlineStr">
        <is>
          <t>Tunon</t>
        </is>
      </c>
      <c r="C10" s="33" t="n">
        <v>1</v>
      </c>
      <c r="D10" s="33" t="n">
        <v>1.1</v>
      </c>
      <c r="E10" s="9">
        <f>IF(C10&gt;=1.15,"Pousser",IF(C10&lt;=0.85,"Défendre","Maintenir"))</f>
        <v/>
      </c>
    </row>
  </sheetData>
  <mergeCells count="2">
    <mergeCell ref="B3:E3"/>
    <mergeCell ref="B2:E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34</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0</v>
      </c>
      <c r="J5" s="25" t="n">
        <v>0.85</v>
      </c>
    </row>
    <row r="6">
      <c r="A6" s="38" t="inlineStr">
        <is>
          <t>Bachelor Management|B3</t>
        </is>
      </c>
      <c r="B6" s="38" t="inlineStr">
        <is>
          <t>Bachelor Management</t>
        </is>
      </c>
      <c r="C6" s="7" t="inlineStr">
        <is>
          <t>B3</t>
        </is>
      </c>
      <c r="D6" s="7" t="inlineStr">
        <is>
          <t>ALT</t>
        </is>
      </c>
      <c r="E6" s="39" t="n">
        <v>30</v>
      </c>
      <c r="F6" s="39" t="n">
        <v>520</v>
      </c>
      <c r="G6" s="28" t="n">
        <v>58</v>
      </c>
      <c r="H6" s="28" t="n">
        <v>400</v>
      </c>
      <c r="I6" s="28" t="n">
        <v>0</v>
      </c>
      <c r="J6" s="25" t="n">
        <v>0.9</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24</v>
      </c>
      <c r="F8" s="39" t="n">
        <v>440</v>
      </c>
      <c r="G8" s="28" t="n">
        <v>70</v>
      </c>
      <c r="H8" s="28" t="n">
        <v>520</v>
      </c>
      <c r="I8" s="28" t="n">
        <v>0</v>
      </c>
      <c r="J8" s="25" t="n">
        <v>0.92</v>
      </c>
    </row>
    <row r="9">
      <c r="A9" s="38" t="inlineStr">
        <is>
          <t>Bachelor Communication|B1</t>
        </is>
      </c>
      <c r="B9" s="38" t="inlineStr">
        <is>
          <t>Bachelor Communication</t>
        </is>
      </c>
      <c r="C9" s="7" t="inlineStr">
        <is>
          <t>B1</t>
        </is>
      </c>
      <c r="D9" s="7" t="inlineStr">
        <is>
          <t>INIT</t>
        </is>
      </c>
      <c r="E9" s="39" t="n">
        <v>34</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0</v>
      </c>
      <c r="J10" s="25" t="n">
        <v>0.85</v>
      </c>
    </row>
    <row r="11">
      <c r="A11" s="38" t="inlineStr">
        <is>
          <t>Bachelor Communication|B3</t>
        </is>
      </c>
      <c r="B11" s="38" t="inlineStr">
        <is>
          <t>Bachelor Communication</t>
        </is>
      </c>
      <c r="C11" s="7" t="inlineStr">
        <is>
          <t>B3</t>
        </is>
      </c>
      <c r="D11" s="7" t="inlineStr">
        <is>
          <t>ALT</t>
        </is>
      </c>
      <c r="E11" s="39" t="n">
        <v>30</v>
      </c>
      <c r="F11" s="39" t="n">
        <v>520</v>
      </c>
      <c r="G11" s="28" t="n">
        <v>62</v>
      </c>
      <c r="H11" s="28" t="n">
        <v>550</v>
      </c>
      <c r="I11" s="28" t="n">
        <v>0</v>
      </c>
      <c r="J11" s="25" t="n">
        <v>0.9</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24</v>
      </c>
      <c r="F13" s="39" t="n">
        <v>440</v>
      </c>
      <c r="G13" s="28" t="n">
        <v>74</v>
      </c>
      <c r="H13" s="28" t="n">
        <v>670</v>
      </c>
      <c r="I13" s="28" t="n">
        <v>0</v>
      </c>
      <c r="J13" s="25" t="n">
        <v>0.92</v>
      </c>
    </row>
    <row r="14">
      <c r="A14" s="38" t="inlineStr">
        <is>
          <t>Bachelor Commerce|B1</t>
        </is>
      </c>
      <c r="B14" s="38" t="inlineStr">
        <is>
          <t>Bachelor Commerce</t>
        </is>
      </c>
      <c r="C14" s="7" t="inlineStr">
        <is>
          <t>B1</t>
        </is>
      </c>
      <c r="D14" s="7" t="inlineStr">
        <is>
          <t>ALT</t>
        </is>
      </c>
      <c r="E14" s="39" t="n">
        <v>34</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0</v>
      </c>
      <c r="J15" s="25" t="n">
        <v>0.85</v>
      </c>
    </row>
    <row r="16">
      <c r="A16" s="38" t="inlineStr">
        <is>
          <t>Bachelor Commerce|B3</t>
        </is>
      </c>
      <c r="B16" s="38" t="inlineStr">
        <is>
          <t>Bachelor Commerce</t>
        </is>
      </c>
      <c r="C16" s="7" t="inlineStr">
        <is>
          <t>B3</t>
        </is>
      </c>
      <c r="D16" s="7" t="inlineStr">
        <is>
          <t>ALT</t>
        </is>
      </c>
      <c r="E16" s="39" t="n">
        <v>30</v>
      </c>
      <c r="F16" s="39" t="n">
        <v>520</v>
      </c>
      <c r="G16" s="28" t="n">
        <v>58</v>
      </c>
      <c r="H16" s="28" t="n">
        <v>380</v>
      </c>
      <c r="I16" s="28" t="n">
        <v>0</v>
      </c>
      <c r="J16" s="25" t="n">
        <v>0.9</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0</v>
      </c>
      <c r="J18" s="25" t="n">
        <v>0.9</v>
      </c>
    </row>
    <row r="19">
      <c r="A19" s="38" t="inlineStr">
        <is>
          <t>Bachelor RH|B1</t>
        </is>
      </c>
      <c r="B19" s="38" t="inlineStr">
        <is>
          <t>Bachelor RH</t>
        </is>
      </c>
      <c r="C19" s="7" t="inlineStr">
        <is>
          <t>B1</t>
        </is>
      </c>
      <c r="D19" s="7" t="inlineStr">
        <is>
          <t>ALT</t>
        </is>
      </c>
      <c r="E19" s="39" t="n">
        <v>34</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30</v>
      </c>
      <c r="F20" s="39" t="n">
        <v>520</v>
      </c>
      <c r="G20" s="28" t="n">
        <v>58</v>
      </c>
      <c r="H20" s="28" t="n">
        <v>380</v>
      </c>
      <c r="I20" s="28" t="n">
        <v>0</v>
      </c>
      <c r="J20" s="25" t="n">
        <v>0.9</v>
      </c>
    </row>
    <row r="21">
      <c r="A21" s="38" t="inlineStr">
        <is>
          <t>Bachelor Tourisme|B1</t>
        </is>
      </c>
      <c r="B21" s="38" t="inlineStr">
        <is>
          <t>Bachelor Tourisme</t>
        </is>
      </c>
      <c r="C21" s="7" t="inlineStr">
        <is>
          <t>B1</t>
        </is>
      </c>
      <c r="D21" s="7" t="inlineStr">
        <is>
          <t>ALT</t>
        </is>
      </c>
      <c r="E21" s="39" t="n">
        <v>34</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0</v>
      </c>
      <c r="J22" s="25" t="n">
        <v>0.85</v>
      </c>
    </row>
    <row r="23">
      <c r="A23" s="38" t="inlineStr">
        <is>
          <t>Bachelor Tourisme|B3</t>
        </is>
      </c>
      <c r="B23" s="38" t="inlineStr">
        <is>
          <t>Bachelor Tourisme</t>
        </is>
      </c>
      <c r="C23" s="7" t="inlineStr">
        <is>
          <t>B3</t>
        </is>
      </c>
      <c r="D23" s="7" t="inlineStr">
        <is>
          <t>ALT</t>
        </is>
      </c>
      <c r="E23" s="39" t="n">
        <v>30</v>
      </c>
      <c r="F23" s="39" t="n">
        <v>520</v>
      </c>
      <c r="G23" s="28" t="n">
        <v>56</v>
      </c>
      <c r="H23" s="28" t="n">
        <v>450</v>
      </c>
      <c r="I23" s="28" t="n">
        <v>0</v>
      </c>
      <c r="J23" s="25" t="n">
        <v>0.9</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2</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2</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1785470</v>
      </c>
      <c r="F4" s="41" t="n">
        <v>271000</v>
      </c>
      <c r="G4" s="39" t="n">
        <v>12</v>
      </c>
      <c r="H4" s="17">
        <f>G4*'02_Leviers'!$D$15</f>
        <v/>
      </c>
      <c r="I4" s="41" t="n">
        <v>148000</v>
      </c>
      <c r="J4" s="39" t="n">
        <v>2328</v>
      </c>
      <c r="K4" s="17">
        <f>E4-F4-H4</f>
        <v/>
      </c>
    </row>
    <row r="5">
      <c r="A5" s="38" t="inlineStr">
        <is>
          <t>MBway</t>
        </is>
      </c>
      <c r="B5" s="7" t="inlineStr">
        <is>
          <t>Lyon</t>
        </is>
      </c>
      <c r="C5" s="39" t="n">
        <v>248</v>
      </c>
      <c r="D5" s="41" t="n">
        <v>2102540</v>
      </c>
      <c r="E5" s="41" t="n">
        <v>1531180</v>
      </c>
      <c r="F5" s="41" t="n">
        <v>231000</v>
      </c>
      <c r="G5" s="39" t="n">
        <v>11</v>
      </c>
      <c r="H5" s="17">
        <f>G5*'02_Leviers'!$D$15</f>
        <v/>
      </c>
      <c r="I5" s="41" t="n">
        <v>126000</v>
      </c>
      <c r="J5" s="39" t="n">
        <v>1984</v>
      </c>
      <c r="K5" s="17">
        <f>E5-F5-H5</f>
        <v/>
      </c>
    </row>
    <row r="6">
      <c r="A6" s="38" t="inlineStr">
        <is>
          <t>MBway</t>
        </is>
      </c>
      <c r="B6" s="7" t="inlineStr">
        <is>
          <t>Nantes</t>
        </is>
      </c>
      <c r="C6" s="39" t="n">
        <v>224</v>
      </c>
      <c r="D6" s="41" t="n">
        <v>1898640</v>
      </c>
      <c r="E6" s="41" t="n">
        <v>1351280</v>
      </c>
      <c r="F6" s="41" t="n">
        <v>209000</v>
      </c>
      <c r="G6" s="39" t="n">
        <v>10</v>
      </c>
      <c r="H6" s="17">
        <f>G6*'02_Leviers'!$D$15</f>
        <v/>
      </c>
      <c r="I6" s="41" t="n">
        <v>114000</v>
      </c>
      <c r="J6" s="39" t="n">
        <v>1792</v>
      </c>
      <c r="K6" s="17">
        <f>E6-F6-H6</f>
        <v/>
      </c>
    </row>
    <row r="7">
      <c r="A7" s="38" t="inlineStr">
        <is>
          <t>MBway</t>
        </is>
      </c>
      <c r="B7" s="7" t="inlineStr">
        <is>
          <t>Bordeaux</t>
        </is>
      </c>
      <c r="C7" s="39" t="n">
        <v>191</v>
      </c>
      <c r="D7" s="41" t="n">
        <v>1619880</v>
      </c>
      <c r="E7" s="41" t="n">
        <v>1105220</v>
      </c>
      <c r="F7" s="41" t="n">
        <v>178000</v>
      </c>
      <c r="G7" s="39" t="n">
        <v>9</v>
      </c>
      <c r="H7" s="17">
        <f>G7*'02_Leviers'!$D$15</f>
        <v/>
      </c>
      <c r="I7" s="41" t="n">
        <v>97000</v>
      </c>
      <c r="J7" s="39" t="n">
        <v>1528</v>
      </c>
      <c r="K7" s="17">
        <f>E7-F7-H7</f>
        <v/>
      </c>
    </row>
    <row r="8">
      <c r="A8" s="38" t="inlineStr">
        <is>
          <t>ISCOM</t>
        </is>
      </c>
      <c r="B8" s="7" t="inlineStr">
        <is>
          <t>Paris</t>
        </is>
      </c>
      <c r="C8" s="39" t="n">
        <v>269</v>
      </c>
      <c r="D8" s="41" t="n">
        <v>2280350</v>
      </c>
      <c r="E8" s="41" t="n">
        <v>1589820</v>
      </c>
      <c r="F8" s="41" t="n">
        <v>251000</v>
      </c>
      <c r="G8" s="39" t="n">
        <v>12</v>
      </c>
      <c r="H8" s="17">
        <f>G8*'02_Leviers'!$D$15</f>
        <v/>
      </c>
      <c r="I8" s="41" t="n">
        <v>137000</v>
      </c>
      <c r="J8" s="39" t="n">
        <v>2152</v>
      </c>
      <c r="K8" s="17">
        <f>E8-F8-H8</f>
        <v/>
      </c>
    </row>
    <row r="9">
      <c r="A9" s="38" t="inlineStr">
        <is>
          <t>ISCOM</t>
        </is>
      </c>
      <c r="B9" s="7" t="inlineStr">
        <is>
          <t>Lille</t>
        </is>
      </c>
      <c r="C9" s="39" t="n">
        <v>187</v>
      </c>
      <c r="D9" s="41" t="n">
        <v>1585200</v>
      </c>
      <c r="E9" s="41" t="n">
        <v>1025970</v>
      </c>
      <c r="F9" s="41" t="n">
        <v>174000</v>
      </c>
      <c r="G9" s="39" t="n">
        <v>9</v>
      </c>
      <c r="H9" s="17">
        <f>G9*'02_Leviers'!$D$15</f>
        <v/>
      </c>
      <c r="I9" s="41" t="n">
        <v>95000</v>
      </c>
      <c r="J9" s="39" t="n">
        <v>1496</v>
      </c>
      <c r="K9" s="17">
        <f>E9-F9-H9</f>
        <v/>
      </c>
    </row>
    <row r="10">
      <c r="A10" s="38" t="inlineStr">
        <is>
          <t>ISCOM</t>
        </is>
      </c>
      <c r="B10" s="7" t="inlineStr">
        <is>
          <t>Toulouse</t>
        </is>
      </c>
      <c r="C10" s="39" t="n">
        <v>175</v>
      </c>
      <c r="D10" s="41" t="n">
        <v>1483250</v>
      </c>
      <c r="E10" s="41" t="n">
        <v>937820</v>
      </c>
      <c r="F10" s="41" t="n">
        <v>163000</v>
      </c>
      <c r="G10" s="39" t="n">
        <v>8</v>
      </c>
      <c r="H10" s="17">
        <f>G10*'02_Leviers'!$D$15</f>
        <v/>
      </c>
      <c r="I10" s="41" t="n">
        <v>89000</v>
      </c>
      <c r="J10" s="39" t="n">
        <v>1400</v>
      </c>
      <c r="K10" s="17">
        <f>E10-F10-H10</f>
        <v/>
      </c>
    </row>
    <row r="11">
      <c r="A11" s="38" t="inlineStr">
        <is>
          <t>Ipac Bachelor Factory</t>
        </is>
      </c>
      <c r="B11" s="7" t="inlineStr">
        <is>
          <t>Nantes</t>
        </is>
      </c>
      <c r="C11" s="39" t="n">
        <v>130</v>
      </c>
      <c r="D11" s="41" t="n">
        <v>1044500</v>
      </c>
      <c r="E11" s="41" t="n">
        <v>734820</v>
      </c>
      <c r="F11" s="41" t="n">
        <v>115000</v>
      </c>
      <c r="G11" s="39" t="n">
        <v>7</v>
      </c>
      <c r="H11" s="17">
        <f>G11*'02_Leviers'!$D$15</f>
        <v/>
      </c>
      <c r="I11" s="41" t="n">
        <v>63000</v>
      </c>
      <c r="J11" s="39" t="n">
        <v>1040</v>
      </c>
      <c r="K11" s="17">
        <f>E11-F11-H11</f>
        <v/>
      </c>
    </row>
    <row r="12">
      <c r="A12" s="38" t="inlineStr">
        <is>
          <t>Ipac Bachelor Factory</t>
        </is>
      </c>
      <c r="B12" s="7" t="inlineStr">
        <is>
          <t>Rennes</t>
        </is>
      </c>
      <c r="C12" s="39" t="n">
        <v>104</v>
      </c>
      <c r="D12" s="41" t="n">
        <v>835600</v>
      </c>
      <c r="E12" s="41" t="n">
        <v>579040</v>
      </c>
      <c r="F12" s="41" t="n">
        <v>92000</v>
      </c>
      <c r="G12" s="39" t="n">
        <v>6</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579040</v>
      </c>
      <c r="F13" s="41" t="n">
        <v>92000</v>
      </c>
      <c r="G13" s="39" t="n">
        <v>6</v>
      </c>
      <c r="H13" s="17">
        <f>G13*'02_Leviers'!$D$15</f>
        <v/>
      </c>
      <c r="I13" s="41" t="n">
        <v>50000</v>
      </c>
      <c r="J13" s="39" t="n">
        <v>832</v>
      </c>
      <c r="K13" s="17">
        <f>E13-F13-H13</f>
        <v/>
      </c>
    </row>
    <row r="14">
      <c r="A14" s="38" t="inlineStr">
        <is>
          <t>Pigier</t>
        </is>
      </c>
      <c r="B14" s="7" t="inlineStr">
        <is>
          <t>Lyon</t>
        </is>
      </c>
      <c r="C14" s="39" t="n">
        <v>149</v>
      </c>
      <c r="D14" s="41" t="n">
        <v>1130470</v>
      </c>
      <c r="E14" s="41" t="n">
        <v>711410</v>
      </c>
      <c r="F14" s="41" t="n">
        <v>124000</v>
      </c>
      <c r="G14" s="39" t="n">
        <v>7</v>
      </c>
      <c r="H14" s="17">
        <f>G14*'02_Leviers'!$D$15</f>
        <v/>
      </c>
      <c r="I14" s="41" t="n">
        <v>68000</v>
      </c>
      <c r="J14" s="39" t="n">
        <v>1192</v>
      </c>
      <c r="K14" s="17">
        <f>E14-F14-H14</f>
        <v/>
      </c>
    </row>
    <row r="15">
      <c r="A15" s="38" t="inlineStr">
        <is>
          <t>Pigier</t>
        </is>
      </c>
      <c r="B15" s="7" t="inlineStr">
        <is>
          <t>Bordeaux</t>
        </is>
      </c>
      <c r="C15" s="39" t="n">
        <v>117</v>
      </c>
      <c r="D15" s="41" t="n">
        <v>887850</v>
      </c>
      <c r="E15" s="41" t="n">
        <v>605020</v>
      </c>
      <c r="F15" s="41" t="n">
        <v>98000</v>
      </c>
      <c r="G15" s="39" t="n">
        <v>6</v>
      </c>
      <c r="H15" s="17">
        <f>G15*'02_Leviers'!$D$15</f>
        <v/>
      </c>
      <c r="I15" s="41" t="n">
        <v>53000</v>
      </c>
      <c r="J15" s="39" t="n">
        <v>936</v>
      </c>
      <c r="K15" s="17">
        <f>E15-F15-H15</f>
        <v/>
      </c>
    </row>
    <row r="16">
      <c r="A16" s="38" t="inlineStr">
        <is>
          <t>Tunon</t>
        </is>
      </c>
      <c r="B16" s="7" t="inlineStr">
        <is>
          <t>Paris</t>
        </is>
      </c>
      <c r="C16" s="39" t="n">
        <v>122</v>
      </c>
      <c r="D16" s="41" t="n">
        <v>980230</v>
      </c>
      <c r="E16" s="41" t="n">
        <v>675770</v>
      </c>
      <c r="F16" s="41" t="n">
        <v>108000</v>
      </c>
      <c r="G16" s="39" t="n">
        <v>6</v>
      </c>
      <c r="H16" s="17">
        <f>G16*'02_Leviers'!$D$15</f>
        <v/>
      </c>
      <c r="I16" s="41" t="n">
        <v>59000</v>
      </c>
      <c r="J16" s="39" t="n">
        <v>976</v>
      </c>
      <c r="K16" s="17">
        <f>E16-F16-H16</f>
        <v/>
      </c>
    </row>
    <row r="17">
      <c r="A17" s="38" t="inlineStr">
        <is>
          <t>Tunon</t>
        </is>
      </c>
      <c r="B17" s="7" t="inlineStr">
        <is>
          <t>Lyon</t>
        </is>
      </c>
      <c r="C17" s="39" t="n">
        <v>104</v>
      </c>
      <c r="D17" s="41" t="n">
        <v>835600</v>
      </c>
      <c r="E17" s="41" t="n">
        <v>577440</v>
      </c>
      <c r="F17" s="41" t="n">
        <v>92000</v>
      </c>
      <c r="G17" s="39" t="n">
        <v>6</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INDEX('03_Coeff_Strateg'!$C$6:$C$10,MATCH(A3,'03_Coeff_Strateg'!$B$6:$B$10,0))</f>
        <v/>
      </c>
      <c r="W3" s="42">
        <f>INDEX('03_Coeff_Strateg'!$D$6:$D$10,MATCH(A3,'03_Coeff_Strateg'!$B$6:$B$10,0))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INDEX('03_Coeff_Strateg'!$C$6:$C$10,MATCH(A4,'03_Coeff_Strateg'!$B$6:$B$10,0))</f>
        <v/>
      </c>
      <c r="W4" s="42">
        <f>INDEX('03_Coeff_Strateg'!$D$6:$D$10,MATCH(A4,'03_Coeff_Strateg'!$B$6:$B$10,0))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INDEX('03_Coeff_Strateg'!$C$6:$C$10,MATCH(A5,'03_Coeff_Strateg'!$B$6:$B$10,0))</f>
        <v/>
      </c>
      <c r="W5" s="42">
        <f>INDEX('03_Coeff_Strateg'!$D$6:$D$10,MATCH(A5,'03_Coeff_Strateg'!$B$6:$B$10,0))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INDEX('03_Coeff_Strateg'!$C$6:$C$10,MATCH(A6,'03_Coeff_Strateg'!$B$6:$B$10,0))</f>
        <v/>
      </c>
      <c r="W6" s="42">
        <f>INDEX('03_Coeff_Strateg'!$D$6:$D$10,MATCH(A6,'03_Coeff_Strateg'!$B$6:$B$10,0))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INDEX('03_Coeff_Strateg'!$C$6:$C$10,MATCH(A7,'03_Coeff_Strateg'!$B$6:$B$10,0))</f>
        <v/>
      </c>
      <c r="W7" s="42">
        <f>INDEX('03_Coeff_Strateg'!$D$6:$D$10,MATCH(A7,'03_Coeff_Strateg'!$B$6:$B$10,0))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INDEX('03_Coeff_Strateg'!$C$6:$C$10,MATCH(A8,'03_Coeff_Strateg'!$B$6:$B$10,0))</f>
        <v/>
      </c>
      <c r="W8" s="42">
        <f>INDEX('03_Coeff_Strateg'!$D$6:$D$10,MATCH(A8,'03_Coeff_Strateg'!$B$6:$B$10,0))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INDEX('03_Coeff_Strateg'!$C$6:$C$10,MATCH(A9,'03_Coeff_Strateg'!$B$6:$B$10,0))</f>
        <v/>
      </c>
      <c r="W9" s="42">
        <f>INDEX('03_Coeff_Strateg'!$D$6:$D$10,MATCH(A9,'03_Coeff_Strateg'!$B$6:$B$10,0))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INDEX('03_Coeff_Strateg'!$C$6:$C$10,MATCH(A10,'03_Coeff_Strateg'!$B$6:$B$10,0))</f>
        <v/>
      </c>
      <c r="W10" s="42">
        <f>INDEX('03_Coeff_Strateg'!$D$6:$D$10,MATCH(A10,'03_Coeff_Strateg'!$B$6:$B$10,0))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INDEX('03_Coeff_Strateg'!$C$6:$C$10,MATCH(A11,'03_Coeff_Strateg'!$B$6:$B$10,0))</f>
        <v/>
      </c>
      <c r="W11" s="42">
        <f>INDEX('03_Coeff_Strateg'!$D$6:$D$10,MATCH(A11,'03_Coeff_Strateg'!$B$6:$B$10,0))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INDEX('03_Coeff_Strateg'!$C$6:$C$10,MATCH(A12,'03_Coeff_Strateg'!$B$6:$B$10,0))</f>
        <v/>
      </c>
      <c r="W12" s="42">
        <f>INDEX('03_Coeff_Strateg'!$D$6:$D$10,MATCH(A12,'03_Coeff_Strateg'!$B$6:$B$10,0))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INDEX('03_Coeff_Strateg'!$C$6:$C$10,MATCH(A13,'03_Coeff_Strateg'!$B$6:$B$10,0))</f>
        <v/>
      </c>
      <c r="W13" s="42">
        <f>INDEX('03_Coeff_Strateg'!$D$6:$D$10,MATCH(A13,'03_Coeff_Strateg'!$B$6:$B$10,0))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INDEX('03_Coeff_Strateg'!$C$6:$C$10,MATCH(A14,'03_Coeff_Strateg'!$B$6:$B$10,0))</f>
        <v/>
      </c>
      <c r="W14" s="42">
        <f>INDEX('03_Coeff_Strateg'!$D$6:$D$10,MATCH(A14,'03_Coeff_Strateg'!$B$6:$B$10,0))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INDEX('03_Coeff_Strateg'!$C$6:$C$10,MATCH(A15,'03_Coeff_Strateg'!$B$6:$B$10,0))</f>
        <v/>
      </c>
      <c r="W15" s="42">
        <f>INDEX('03_Coeff_Strateg'!$D$6:$D$10,MATCH(A15,'03_Coeff_Strateg'!$B$6:$B$10,0))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INDEX('03_Coeff_Strateg'!$C$6:$C$10,MATCH(A16,'03_Coeff_Strateg'!$B$6:$B$10,0))</f>
        <v/>
      </c>
      <c r="W16" s="42">
        <f>INDEX('03_Coeff_Strateg'!$D$6:$D$10,MATCH(A16,'03_Coeff_Strateg'!$B$6:$B$10,0))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INDEX('03_Coeff_Strateg'!$C$6:$C$10,MATCH(A17,'03_Coeff_Strateg'!$B$6:$B$10,0))</f>
        <v/>
      </c>
      <c r="W17" s="42">
        <f>INDEX('03_Coeff_Strateg'!$D$6:$D$10,MATCH(A17,'03_Coeff_Strateg'!$B$6:$B$10,0))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INDEX('03_Coeff_Strateg'!$C$6:$C$10,MATCH(A18,'03_Coeff_Strateg'!$B$6:$B$10,0))</f>
        <v/>
      </c>
      <c r="W18" s="42">
        <f>INDEX('03_Coeff_Strateg'!$D$6:$D$10,MATCH(A18,'03_Coeff_Strateg'!$B$6:$B$10,0))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INDEX('03_Coeff_Strateg'!$C$6:$C$10,MATCH(A19,'03_Coeff_Strateg'!$B$6:$B$10,0))</f>
        <v/>
      </c>
      <c r="W19" s="42">
        <f>INDEX('03_Coeff_Strateg'!$D$6:$D$10,MATCH(A19,'03_Coeff_Strateg'!$B$6:$B$10,0))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INDEX('03_Coeff_Strateg'!$C$6:$C$10,MATCH(A20,'03_Coeff_Strateg'!$B$6:$B$10,0))</f>
        <v/>
      </c>
      <c r="W20" s="42">
        <f>INDEX('03_Coeff_Strateg'!$D$6:$D$10,MATCH(A20,'03_Coeff_Strateg'!$B$6:$B$10,0))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INDEX('03_Coeff_Strateg'!$C$6:$C$10,MATCH(A21,'03_Coeff_Strateg'!$B$6:$B$10,0))</f>
        <v/>
      </c>
      <c r="W21" s="42">
        <f>INDEX('03_Coeff_Strateg'!$D$6:$D$10,MATCH(A21,'03_Coeff_Strateg'!$B$6:$B$10,0))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INDEX('03_Coeff_Strateg'!$C$6:$C$10,MATCH(A22,'03_Coeff_Strateg'!$B$6:$B$10,0))</f>
        <v/>
      </c>
      <c r="W22" s="42">
        <f>INDEX('03_Coeff_Strateg'!$D$6:$D$10,MATCH(A22,'03_Coeff_Strateg'!$B$6:$B$10,0))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INDEX('03_Coeff_Strateg'!$C$6:$C$10,MATCH(A23,'03_Coeff_Strateg'!$B$6:$B$10,0))</f>
        <v/>
      </c>
      <c r="W23" s="42">
        <f>INDEX('03_Coeff_Strateg'!$D$6:$D$10,MATCH(A23,'03_Coeff_Strateg'!$B$6:$B$10,0))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INDEX('03_Coeff_Strateg'!$C$6:$C$10,MATCH(A24,'03_Coeff_Strateg'!$B$6:$B$10,0))</f>
        <v/>
      </c>
      <c r="W24" s="42">
        <f>INDEX('03_Coeff_Strateg'!$D$6:$D$10,MATCH(A24,'03_Coeff_Strateg'!$B$6:$B$10,0))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INDEX('03_Coeff_Strateg'!$C$6:$C$10,MATCH(A25,'03_Coeff_Strateg'!$B$6:$B$10,0))</f>
        <v/>
      </c>
      <c r="W25" s="42">
        <f>INDEX('03_Coeff_Strateg'!$D$6:$D$10,MATCH(A25,'03_Coeff_Strateg'!$B$6:$B$10,0))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INDEX('03_Coeff_Strateg'!$C$6:$C$10,MATCH(A26,'03_Coeff_Strateg'!$B$6:$B$10,0))</f>
        <v/>
      </c>
      <c r="W26" s="42">
        <f>INDEX('03_Coeff_Strateg'!$D$6:$D$10,MATCH(A26,'03_Coeff_Strateg'!$B$6:$B$10,0))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INDEX('03_Coeff_Strateg'!$C$6:$C$10,MATCH(A27,'03_Coeff_Strateg'!$B$6:$B$10,0))</f>
        <v/>
      </c>
      <c r="W27" s="42">
        <f>INDEX('03_Coeff_Strateg'!$D$6:$D$10,MATCH(A27,'03_Coeff_Strateg'!$B$6:$B$10,0))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INDEX('03_Coeff_Strateg'!$C$6:$C$10,MATCH(A28,'03_Coeff_Strateg'!$B$6:$B$10,0))</f>
        <v/>
      </c>
      <c r="W28" s="42">
        <f>INDEX('03_Coeff_Strateg'!$D$6:$D$10,MATCH(A28,'03_Coeff_Strateg'!$B$6:$B$10,0))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INDEX('03_Coeff_Strateg'!$C$6:$C$10,MATCH(A29,'03_Coeff_Strateg'!$B$6:$B$10,0))</f>
        <v/>
      </c>
      <c r="W29" s="42">
        <f>INDEX('03_Coeff_Strateg'!$D$6:$D$10,MATCH(A29,'03_Coeff_Strateg'!$B$6:$B$10,0))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INDEX('03_Coeff_Strateg'!$C$6:$C$10,MATCH(A30,'03_Coeff_Strateg'!$B$6:$B$10,0))</f>
        <v/>
      </c>
      <c r="W30" s="42">
        <f>INDEX('03_Coeff_Strateg'!$D$6:$D$10,MATCH(A30,'03_Coeff_Strateg'!$B$6:$B$10,0))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INDEX('03_Coeff_Strateg'!$C$6:$C$10,MATCH(A31,'03_Coeff_Strateg'!$B$6:$B$10,0))</f>
        <v/>
      </c>
      <c r="W31" s="42">
        <f>INDEX('03_Coeff_Strateg'!$D$6:$D$10,MATCH(A31,'03_Coeff_Strateg'!$B$6:$B$10,0))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INDEX('03_Coeff_Strateg'!$C$6:$C$10,MATCH(A32,'03_Coeff_Strateg'!$B$6:$B$10,0))</f>
        <v/>
      </c>
      <c r="W32" s="42">
        <f>INDEX('03_Coeff_Strateg'!$D$6:$D$10,MATCH(A32,'03_Coeff_Strateg'!$B$6:$B$10,0))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INDEX('03_Coeff_Strateg'!$C$6:$C$10,MATCH(A33,'03_Coeff_Strateg'!$B$6:$B$10,0))</f>
        <v/>
      </c>
      <c r="W33" s="42">
        <f>INDEX('03_Coeff_Strateg'!$D$6:$D$10,MATCH(A33,'03_Coeff_Strateg'!$B$6:$B$10,0))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INDEX('03_Coeff_Strateg'!$C$6:$C$10,MATCH(A34,'03_Coeff_Strateg'!$B$6:$B$10,0))</f>
        <v/>
      </c>
      <c r="W34" s="42">
        <f>INDEX('03_Coeff_Strateg'!$D$6:$D$10,MATCH(A34,'03_Coeff_Strateg'!$B$6:$B$10,0))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INDEX('03_Coeff_Strateg'!$C$6:$C$10,MATCH(A35,'03_Coeff_Strateg'!$B$6:$B$10,0))</f>
        <v/>
      </c>
      <c r="W35" s="42">
        <f>INDEX('03_Coeff_Strateg'!$D$6:$D$10,MATCH(A35,'03_Coeff_Strateg'!$B$6:$B$10,0))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INDEX('03_Coeff_Strateg'!$C$6:$C$10,MATCH(A36,'03_Coeff_Strateg'!$B$6:$B$10,0))</f>
        <v/>
      </c>
      <c r="W36" s="42">
        <f>INDEX('03_Coeff_Strateg'!$D$6:$D$10,MATCH(A36,'03_Coeff_Strateg'!$B$6:$B$10,0))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INDEX('03_Coeff_Strateg'!$C$6:$C$10,MATCH(A37,'03_Coeff_Strateg'!$B$6:$B$10,0))</f>
        <v/>
      </c>
      <c r="W37" s="42">
        <f>INDEX('03_Coeff_Strateg'!$D$6:$D$10,MATCH(A37,'03_Coeff_Strateg'!$B$6:$B$10,0))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INDEX('03_Coeff_Strateg'!$C$6:$C$10,MATCH(A38,'03_Coeff_Strateg'!$B$6:$B$10,0))</f>
        <v/>
      </c>
      <c r="W38" s="42">
        <f>INDEX('03_Coeff_Strateg'!$D$6:$D$10,MATCH(A38,'03_Coeff_Strateg'!$B$6:$B$10,0))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INDEX('03_Coeff_Strateg'!$C$6:$C$10,MATCH(A39,'03_Coeff_Strateg'!$B$6:$B$10,0))</f>
        <v/>
      </c>
      <c r="W39" s="42">
        <f>INDEX('03_Coeff_Strateg'!$D$6:$D$10,MATCH(A39,'03_Coeff_Strateg'!$B$6:$B$10,0))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INDEX('03_Coeff_Strateg'!$C$6:$C$10,MATCH(A40,'03_Coeff_Strateg'!$B$6:$B$10,0))</f>
        <v/>
      </c>
      <c r="W40" s="42">
        <f>INDEX('03_Coeff_Strateg'!$D$6:$D$10,MATCH(A40,'03_Coeff_Strateg'!$B$6:$B$10,0))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INDEX('03_Coeff_Strateg'!$C$6:$C$10,MATCH(A41,'03_Coeff_Strateg'!$B$6:$B$10,0))</f>
        <v/>
      </c>
      <c r="W41" s="42">
        <f>INDEX('03_Coeff_Strateg'!$D$6:$D$10,MATCH(A41,'03_Coeff_Strateg'!$B$6:$B$10,0))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INDEX('03_Coeff_Strateg'!$C$6:$C$10,MATCH(A42,'03_Coeff_Strateg'!$B$6:$B$10,0))</f>
        <v/>
      </c>
      <c r="W42" s="42">
        <f>INDEX('03_Coeff_Strateg'!$D$6:$D$10,MATCH(A42,'03_Coeff_Strateg'!$B$6:$B$10,0))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INDEX('03_Coeff_Strateg'!$C$6:$C$10,MATCH(A43,'03_Coeff_Strateg'!$B$6:$B$10,0))</f>
        <v/>
      </c>
      <c r="W43" s="42">
        <f>INDEX('03_Coeff_Strateg'!$D$6:$D$10,MATCH(A43,'03_Coeff_Strateg'!$B$6:$B$10,0))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INDEX('03_Coeff_Strateg'!$C$6:$C$10,MATCH(A44,'03_Coeff_Strateg'!$B$6:$B$10,0))</f>
        <v/>
      </c>
      <c r="W44" s="42">
        <f>INDEX('03_Coeff_Strateg'!$D$6:$D$10,MATCH(A44,'03_Coeff_Strateg'!$B$6:$B$10,0))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INDEX('03_Coeff_Strateg'!$C$6:$C$10,MATCH(A45,'03_Coeff_Strateg'!$B$6:$B$10,0))</f>
        <v/>
      </c>
      <c r="W45" s="42">
        <f>INDEX('03_Coeff_Strateg'!$D$6:$D$10,MATCH(A45,'03_Coeff_Strateg'!$B$6:$B$10,0))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INDEX('03_Coeff_Strateg'!$C$6:$C$10,MATCH(A46,'03_Coeff_Strateg'!$B$6:$B$10,0))</f>
        <v/>
      </c>
      <c r="W46" s="42">
        <f>INDEX('03_Coeff_Strateg'!$D$6:$D$10,MATCH(A46,'03_Coeff_Strateg'!$B$6:$B$10,0))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INDEX('03_Coeff_Strateg'!$C$6:$C$10,MATCH(A47,'03_Coeff_Strateg'!$B$6:$B$10,0))</f>
        <v/>
      </c>
      <c r="W47" s="42">
        <f>INDEX('03_Coeff_Strateg'!$D$6:$D$10,MATCH(A47,'03_Coeff_Strateg'!$B$6:$B$10,0))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INDEX('03_Coeff_Strateg'!$C$6:$C$10,MATCH(A48,'03_Coeff_Strateg'!$B$6:$B$10,0))</f>
        <v/>
      </c>
      <c r="W48" s="42">
        <f>INDEX('03_Coeff_Strateg'!$D$6:$D$10,MATCH(A48,'03_Coeff_Strateg'!$B$6:$B$10,0))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INDEX('03_Coeff_Strateg'!$C$6:$C$10,MATCH(A49,'03_Coeff_Strateg'!$B$6:$B$10,0))</f>
        <v/>
      </c>
      <c r="W49" s="42">
        <f>INDEX('03_Coeff_Strateg'!$D$6:$D$10,MATCH(A49,'03_Coeff_Strateg'!$B$6:$B$10,0))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INDEX('03_Coeff_Strateg'!$C$6:$C$10,MATCH(A50,'03_Coeff_Strateg'!$B$6:$B$10,0))</f>
        <v/>
      </c>
      <c r="W50" s="42">
        <f>INDEX('03_Coeff_Strateg'!$D$6:$D$10,MATCH(A50,'03_Coeff_Strateg'!$B$6:$B$10,0))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INDEX('03_Coeff_Strateg'!$C$6:$C$10,MATCH(A51,'03_Coeff_Strateg'!$B$6:$B$10,0))</f>
        <v/>
      </c>
      <c r="W51" s="42">
        <f>INDEX('03_Coeff_Strateg'!$D$6:$D$10,MATCH(A51,'03_Coeff_Strateg'!$B$6:$B$10,0))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INDEX('03_Coeff_Strateg'!$C$6:$C$10,MATCH(A52,'03_Coeff_Strateg'!$B$6:$B$10,0))</f>
        <v/>
      </c>
      <c r="W52" s="42">
        <f>INDEX('03_Coeff_Strateg'!$D$6:$D$10,MATCH(A52,'03_Coeff_Strateg'!$B$6:$B$10,0))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INDEX('03_Coeff_Strateg'!$C$6:$C$10,MATCH(A53,'03_Coeff_Strateg'!$B$6:$B$10,0))</f>
        <v/>
      </c>
      <c r="W53" s="42">
        <f>INDEX('03_Coeff_Strateg'!$D$6:$D$10,MATCH(A53,'03_Coeff_Strateg'!$B$6:$B$10,0))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INDEX('03_Coeff_Strateg'!$C$6:$C$10,MATCH(A54,'03_Coeff_Strateg'!$B$6:$B$10,0))</f>
        <v/>
      </c>
      <c r="W54" s="42">
        <f>INDEX('03_Coeff_Strateg'!$D$6:$D$10,MATCH(A54,'03_Coeff_Strateg'!$B$6:$B$10,0))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INDEX('03_Coeff_Strateg'!$C$6:$C$10,MATCH(A55,'03_Coeff_Strateg'!$B$6:$B$10,0))</f>
        <v/>
      </c>
      <c r="W55" s="42">
        <f>INDEX('03_Coeff_Strateg'!$D$6:$D$10,MATCH(A55,'03_Coeff_Strateg'!$B$6:$B$10,0))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INDEX('03_Coeff_Strateg'!$C$6:$C$10,MATCH(A56,'03_Coeff_Strateg'!$B$6:$B$10,0))</f>
        <v/>
      </c>
      <c r="W56" s="42">
        <f>INDEX('03_Coeff_Strateg'!$D$6:$D$10,MATCH(A56,'03_Coeff_Strateg'!$B$6:$B$10,0))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INDEX('03_Coeff_Strateg'!$C$6:$C$10,MATCH(A57,'03_Coeff_Strateg'!$B$6:$B$10,0))</f>
        <v/>
      </c>
      <c r="W57" s="42">
        <f>INDEX('03_Coeff_Strateg'!$D$6:$D$10,MATCH(A57,'03_Coeff_Strateg'!$B$6:$B$10,0))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INDEX('03_Coeff_Strateg'!$C$6:$C$10,MATCH(A58,'03_Coeff_Strateg'!$B$6:$B$10,0))</f>
        <v/>
      </c>
      <c r="W58" s="42">
        <f>INDEX('03_Coeff_Strateg'!$D$6:$D$10,MATCH(A58,'03_Coeff_Strateg'!$B$6:$B$10,0))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INDEX('03_Coeff_Strateg'!$C$6:$C$10,MATCH(A59,'03_Coeff_Strateg'!$B$6:$B$10,0))</f>
        <v/>
      </c>
      <c r="W59" s="42">
        <f>INDEX('03_Coeff_Strateg'!$D$6:$D$10,MATCH(A59,'03_Coeff_Strateg'!$B$6:$B$10,0))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INDEX('03_Coeff_Strateg'!$C$6:$C$10,MATCH(A60,'03_Coeff_Strateg'!$B$6:$B$10,0))</f>
        <v/>
      </c>
      <c r="W60" s="42">
        <f>INDEX('03_Coeff_Strateg'!$D$6:$D$10,MATCH(A60,'03_Coeff_Strateg'!$B$6:$B$10,0))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ces décisions montrent un impact SIMULÉ (encadré ci-dessus) — elles n'affectent PAS le budget officiel (feuilles 09_Allocation / 10_PnL / 13_Simulation), qui se pilote via les LEVIERS (feuille 02_Leviers).</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classe)",H6+('08_Moteur'!AI3-MAX(1,'08_Moteur'!AI3-1))*'08_Moteur'!U3,H6)))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(mutualiser)",IF(I7&lt;0.55,"🟡 Regrouper les classes","🟢 Maintenir"))</f>
        <v/>
      </c>
      <c r="K7" s="71">
        <f>"Poursuite : cohorte déjà inscrite (issue de l'année inférieure) → ni lancement ni capture ; seul levier = regrouper / mutualiser les classes"</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classe)",H7+('08_Moteur'!AI4-MAX(1,'08_Moteur'!AI4-1))*'08_Moteur'!U4,H7)))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(mutualiser)",IF(I8&lt;0.55,"🟡 Regrouper les classes","🟢 Maintenir"))</f>
        <v/>
      </c>
      <c r="K8" s="71">
        <f>"Poursuite : cohorte déjà inscrite (issue de l'année inférieure) → ni lancement ni capture ; seul levier = regrouper / mutualiser les classes"</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classe)",H8+('08_Moteur'!AI5-MAX(1,'08_Moteur'!AI5-1))*'08_Moteur'!U5,H8)))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classe)",H9+('08_Moteur'!AI6-MAX(1,'08_Moteur'!AI6-1))*'08_Moteur'!U6,H9)))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(mutualiser)",IF(I10&lt;0.55,"🟡 Regrouper les classes","🟢 Maintenir"))</f>
        <v/>
      </c>
      <c r="K10" s="71">
        <f>"Poursuite : cohorte déjà inscrite (issue de l'année inférieure) → ni lancement ni capture ; seul levier = regrouper / mutualiser les classes"</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classe)",H10+('08_Moteur'!AI7-MAX(1,'08_Moteur'!AI7-1))*'08_Moteur'!U7,H10)))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classe)",H11+('08_Moteur'!AI8-MAX(1,'08_Moteur'!AI8-1))*'08_Moteur'!U8,H11)))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(mutualiser)",IF(I12&lt;0.55,"🟡 Regrouper les classes","🟢 Maintenir"))</f>
        <v/>
      </c>
      <c r="K12" s="71">
        <f>"Poursuite : cohorte déjà inscrite (issue de l'année inférieure) → ni lancement ni capture ; seul levier = regrouper / mutualiser les classes"</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classe)",H12+('08_Moteur'!AI9-MAX(1,'08_Moteur'!AI9-1))*'08_Moteur'!U9,H12)))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(mutualiser)",IF(I13&lt;0.55,"🟡 Regrouper les classes","🟢 Maintenir"))</f>
        <v/>
      </c>
      <c r="K13" s="71">
        <f>"Poursuite : cohorte déjà inscrite (issue de l'année inférieure) → ni lancement ni capture ; seul levier = regrouper / mutualiser les classes"</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classe)",H13+('08_Moteur'!AI10-MAX(1,'08_Moteur'!AI10-1))*'08_Moteur'!U10,H13)))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classe)",H14+('08_Moteur'!AI11-MAX(1,'08_Moteur'!AI11-1))*'08_Moteur'!U11,H14)))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(mutualiser)",IF(I15&lt;0.55,"🟡 Regrouper les classes","🟢 Maintenir"))</f>
        <v/>
      </c>
      <c r="K15" s="71">
        <f>"Poursuite : cohorte déjà inscrite (issue de l'année inférieure) → ni lancement ni capture ; seul levier = regrouper / mutualiser les classes"</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classe)",H15+('08_Moteur'!AI12-MAX(1,'08_Moteur'!AI12-1))*'08_Moteur'!U12,H15)))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classe)",H16+('08_Moteur'!AI13-MAX(1,'08_Moteur'!AI13-1))*'08_Moteur'!U13,H16)))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(mutualiser)",IF(I17&lt;0.55,"🟡 Regrouper les classes","🟢 Maintenir"))</f>
        <v/>
      </c>
      <c r="K17" s="71">
        <f>"Poursuite : cohorte déjà inscrite (issue de l'année inférieure) → ni lancement ni capture ; seul levier = regrouper / mutualiser les classes"</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classe)",H17+('08_Moteur'!AI14-MAX(1,'08_Moteur'!AI14-1))*'08_Moteur'!U14,H17)))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(mutualiser)",IF(I18&lt;0.55,"🟡 Regrouper les classes","🟢 Maintenir"))</f>
        <v/>
      </c>
      <c r="K18" s="71">
        <f>"Poursuite : cohorte déjà inscrite (issue de l'année inférieure) → ni lancement ni capture ; seul levier = regrouper / mutualiser les classes"</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classe)",H18+('08_Moteur'!AI15-MAX(1,'08_Moteur'!AI15-1))*'08_Moteur'!U15,H18)))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classe)",H19+('08_Moteur'!AI16-MAX(1,'08_Moteur'!AI16-1))*'08_Moteur'!U16,H19)))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(mutualiser)",IF(I20&lt;0.55,"🟡 Regrouper les classes","🟢 Maintenir"))</f>
        <v/>
      </c>
      <c r="K20" s="71">
        <f>"Poursuite : cohorte déjà inscrite (issue de l'année inférieure) → ni lancement ni capture ; seul levier = regrouper / mutualiser les classes"</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classe)",H20+('08_Moteur'!AI17-MAX(1,'08_Moteur'!AI17-1))*'08_Moteur'!U17,H20)))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classe)",H21+('08_Moteur'!AI18-MAX(1,'08_Moteur'!AI18-1))*'08_Moteur'!U18,H21)))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(mutualiser)",IF(I22&lt;0.55,"🟡 Regrouper les classes","🟢 Maintenir"))</f>
        <v/>
      </c>
      <c r="K22" s="71">
        <f>"Poursuite : cohorte déjà inscrite (issue de l'année inférieure) → ni lancement ni capture ; seul levier = regrouper / mutualiser les classes"</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classe)",H22+('08_Moteur'!AI19-MAX(1,'08_Moteur'!AI19-1))*'08_Moteur'!U19,H22)))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(mutualiser)",IF(I23&lt;0.55,"🟡 Regrouper les classes","🟢 Maintenir"))</f>
        <v/>
      </c>
      <c r="K23" s="71">
        <f>"Poursuite : cohorte déjà inscrite (issue de l'année inférieure) → ni lancement ni capture ; seul levier = regrouper / mutualiser les classes"</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classe)",H23+('08_Moteur'!AI20-MAX(1,'08_Moteur'!AI20-1))*'08_Moteur'!U20,H23)))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classe)",H24+('08_Moteur'!AI21-MAX(1,'08_Moteur'!AI21-1))*'08_Moteur'!U21,H24)))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(mutualiser)",IF(I25&lt;0.55,"🟡 Regrouper les classes","🟢 Maintenir"))</f>
        <v/>
      </c>
      <c r="K25" s="71">
        <f>"Poursuite : cohorte déjà inscrite (issue de l'année inférieure) → ni lancement ni capture ; seul levier = regrouper / mutualiser les classes"</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classe)",H25+('08_Moteur'!AI22-MAX(1,'08_Moteur'!AI22-1))*'08_Moteur'!U22,H25)))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classe)",H26+('08_Moteur'!AI23-MAX(1,'08_Moteur'!AI23-1))*'08_Moteur'!U23,H26)))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(mutualiser)",IF(I27&lt;0.55,"🟡 Regrouper les classes","🟢 Maintenir"))</f>
        <v/>
      </c>
      <c r="K27" s="71">
        <f>"Poursuite : cohorte déjà inscrite (issue de l'année inférieure) → ni lancement ni capture ; seul levier = regrouper / mutualiser les classes"</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classe)",H27+('08_Moteur'!AI24-MAX(1,'08_Moteur'!AI24-1))*'08_Moteur'!U24,H27)))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(mutualiser)",IF(I28&lt;0.55,"🟡 Regrouper les classes","🟢 Maintenir"))</f>
        <v/>
      </c>
      <c r="K28" s="71">
        <f>"Poursuite : cohorte déjà inscrite (issue de l'année inférieure) → ni lancement ni capture ; seul levier = regrouper / mutualiser les classes"</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classe)",H28+('08_Moteur'!AI25-MAX(1,'08_Moteur'!AI25-1))*'08_Moteur'!U25,H28)))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classe)",H29+('08_Moteur'!AI26-MAX(1,'08_Moteur'!AI26-1))*'08_Moteur'!U26,H29)))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(mutualiser)",IF(I30&lt;0.55,"🟡 Regrouper les classes","🟢 Maintenir"))</f>
        <v/>
      </c>
      <c r="K30" s="71">
        <f>"Poursuite : cohorte déjà inscrite (issue de l'année inférieure) → ni lancement ni capture ; seul levier = regrouper / mutualiser les classes"</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classe)",H30+('08_Moteur'!AI27-MAX(1,'08_Moteur'!AI27-1))*'08_Moteur'!U27,H30)))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classe)",H31+('08_Moteur'!AI28-MAX(1,'08_Moteur'!AI28-1))*'08_Moteur'!U28,H31)))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(mutualiser)",IF(I32&lt;0.55,"🟡 Regrouper les classes","🟢 Maintenir"))</f>
        <v/>
      </c>
      <c r="K32" s="71">
        <f>"Poursuite : cohorte déjà inscrite (issue de l'année inférieure) → ni lancement ni capture ; seul levier = regrouper / mutualiser les classes"</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classe)",H32+('08_Moteur'!AI29-MAX(1,'08_Moteur'!AI29-1))*'08_Moteur'!U29,H32)))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(mutualiser)",IF(I33&lt;0.55,"🟡 Regrouper les classes","🟢 Maintenir"))</f>
        <v/>
      </c>
      <c r="K33" s="71">
        <f>"Poursuite : cohorte déjà inscrite (issue de l'année inférieure) → ni lancement ni capture ; seul levier = regrouper / mutualiser les classes"</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classe)",H33+('08_Moteur'!AI30-MAX(1,'08_Moteur'!AI30-1))*'08_Moteur'!U30,H33)))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classe)",H34+('08_Moteur'!AI31-MAX(1,'08_Moteur'!AI31-1))*'08_Moteur'!U31,H34)))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(mutualiser)",IF(I35&lt;0.55,"🟡 Regrouper les classes","🟢 Maintenir"))</f>
        <v/>
      </c>
      <c r="K35" s="71">
        <f>"Poursuite : cohorte déjà inscrite (issue de l'année inférieure) → ni lancement ni capture ; seul levier = regrouper / mutualiser les classes"</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classe)",H35+('08_Moteur'!AI32-MAX(1,'08_Moteur'!AI32-1))*'08_Moteur'!U32,H35)))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classe)",H36+('08_Moteur'!AI33-MAX(1,'08_Moteur'!AI33-1))*'08_Moteur'!U33,H36)))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(mutualiser)",IF(I37&lt;0.55,"🟡 Regrouper les classes","🟢 Maintenir"))</f>
        <v/>
      </c>
      <c r="K37" s="71">
        <f>"Poursuite : cohorte déjà inscrite (issue de l'année inférieure) → ni lancement ni capture ; seul levier = regrouper / mutualiser les classes"</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classe)",H37+('08_Moteur'!AI34-MAX(1,'08_Moteur'!AI34-1))*'08_Moteur'!U34,H37)))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(mutualiser)",IF(I38&lt;0.55,"🟡 Regrouper les classes","🟢 Maintenir"))</f>
        <v/>
      </c>
      <c r="K38" s="71">
        <f>"Poursuite : cohorte déjà inscrite (issue de l'année inférieure) → ni lancement ni capture ; seul levier = regrouper / mutualiser les classes"</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classe)",H38+('08_Moteur'!AI35-MAX(1,'08_Moteur'!AI35-1))*'08_Moteur'!U35,H38)))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classe)",H39+('08_Moteur'!AI36-MAX(1,'08_Moteur'!AI36-1))*'08_Moteur'!U36,H39)))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(mutualiser)",IF(I40&lt;0.55,"🟡 Regrouper les classes","🟢 Maintenir"))</f>
        <v/>
      </c>
      <c r="K40" s="71">
        <f>"Poursuite : cohorte déjà inscrite (issue de l'année inférieure) → ni lancement ni capture ; seul levier = regrouper / mutualiser les classes"</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classe)",H40+('08_Moteur'!AI37-MAX(1,'08_Moteur'!AI37-1))*'08_Moteur'!U37,H40)))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classe)",H41+('08_Moteur'!AI38-MAX(1,'08_Moteur'!AI38-1))*'08_Moteur'!U38,H41)))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(mutualiser)",IF(I42&lt;0.55,"🟡 Regrouper les classes","🟢 Maintenir"))</f>
        <v/>
      </c>
      <c r="K42" s="71">
        <f>"Poursuite : cohorte déjà inscrite (issue de l'année inférieure) → ni lancement ni capture ; seul levier = regrouper / mutualiser les classes"</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classe)",H42+('08_Moteur'!AI39-MAX(1,'08_Moteur'!AI39-1))*'08_Moteur'!U39,H42)))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(mutualiser)",IF(I43&lt;0.55,"🟡 Regrouper les classes","🟢 Maintenir"))</f>
        <v/>
      </c>
      <c r="K43" s="71">
        <f>"Poursuite : cohorte déjà inscrite (issue de l'année inférieure) → ni lancement ni capture ; seul levier = regrouper / mutualiser les classes"</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classe)",H43+('08_Moteur'!AI40-MAX(1,'08_Moteur'!AI40-1))*'08_Moteur'!U40,H43)))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classe)",H44+('08_Moteur'!AI41-MAX(1,'08_Moteur'!AI41-1))*'08_Moteur'!U41,H44)))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(mutualiser)",IF(I45&lt;0.55,"🟡 Regrouper les classes","🟢 Maintenir"))</f>
        <v/>
      </c>
      <c r="K45" s="71">
        <f>"Poursuite : cohorte déjà inscrite (issue de l'année inférieure) → ni lancement ni capture ; seul levier = regrouper / mutualiser les classes"</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classe)",H45+('08_Moteur'!AI42-MAX(1,'08_Moteur'!AI42-1))*'08_Moteur'!U42,H45)))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(mutualiser)",IF(I46&lt;0.55,"🟡 Regrouper les classes","🟢 Maintenir"))</f>
        <v/>
      </c>
      <c r="K46" s="71">
        <f>"Poursuite : cohorte déjà inscrite (issue de l'année inférieure) → ni lancement ni capture ; seul levier = regrouper / mutualiser les classes"</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classe)",H46+('08_Moteur'!AI43-MAX(1,'08_Moteur'!AI43-1))*'08_Moteur'!U43,H46)))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classe)",H47+('08_Moteur'!AI44-MAX(1,'08_Moteur'!AI44-1))*'08_Moteur'!U44,H47)))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(mutualiser)",IF(I48&lt;0.55,"🟡 Regrouper les classes","🟢 Maintenir"))</f>
        <v/>
      </c>
      <c r="K48" s="71">
        <f>"Poursuite : cohorte déjà inscrite (issue de l'année inférieure) → ni lancement ni capture ; seul levier = regrouper / mutualiser les classes"</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classe)",H48+('08_Moteur'!AI45-MAX(1,'08_Moteur'!AI45-1))*'08_Moteur'!U45,H48)))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(mutualiser)",IF(I49&lt;0.55,"🟡 Regrouper les classes","🟢 Maintenir"))</f>
        <v/>
      </c>
      <c r="K49" s="71">
        <f>"Poursuite : cohorte déjà inscrite (issue de l'année inférieure) → ni lancement ni capture ; seul levier = regrouper / mutualiser les classes"</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classe)",H49+('08_Moteur'!AI46-MAX(1,'08_Moteur'!AI46-1))*'08_Moteur'!U46,H49)))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classe)",H50+('08_Moteur'!AI47-MAX(1,'08_Moteur'!AI47-1))*'08_Moteur'!U47,H50)))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(mutualiser)",IF(I51&lt;0.55,"🟡 Regrouper les classes","🟢 Maintenir"))</f>
        <v/>
      </c>
      <c r="K51" s="71">
        <f>"Poursuite : cohorte déjà inscrite (issue de l'année inférieure) → ni lancement ni capture ; seul levier = regrouper / mutualiser les classes"</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classe)",H51+('08_Moteur'!AI48-MAX(1,'08_Moteur'!AI48-1))*'08_Moteur'!U48,H51)))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classe)",H52+('08_Moteur'!AI49-MAX(1,'08_Moteur'!AI49-1))*'08_Moteur'!U49,H52)))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(mutualiser)",IF(I53&lt;0.55,"🟡 Regrouper les classes","🟢 Maintenir"))</f>
        <v/>
      </c>
      <c r="K53" s="71">
        <f>"Poursuite : cohorte déjà inscrite (issue de l'année inférieure) → ni lancement ni capture ; seul levier = regrouper / mutualiser les classes"</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classe)",H53+('08_Moteur'!AI50-MAX(1,'08_Moteur'!AI50-1))*'08_Moteur'!U50,H53)))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classe)",H54+('08_Moteur'!AI51-MAX(1,'08_Moteur'!AI51-1))*'08_Moteur'!U51,H54)))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(mutualiser)",IF(I55&lt;0.55,"🟡 Regrouper les classes","🟢 Maintenir"))</f>
        <v/>
      </c>
      <c r="K55" s="71">
        <f>"Poursuite : cohorte déjà inscrite (issue de l'année inférieure) → ni lancement ni capture ; seul levier = regrouper / mutualiser les classes"</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classe)",H55+('08_Moteur'!AI52-MAX(1,'08_Moteur'!AI52-1))*'08_Moteur'!U52,H55)))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classe)",H56+('08_Moteur'!AI53-MAX(1,'08_Moteur'!AI53-1))*'08_Moteur'!U53,H56)))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(mutualiser)",IF(I57&lt;0.55,"🟡 Regrouper les classes","🟢 Maintenir"))</f>
        <v/>
      </c>
      <c r="K57" s="71">
        <f>"Poursuite : cohorte déjà inscrite (issue de l'année inférieure) → ni lancement ni capture ; seul levier = regrouper / mutualiser les classes"</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classe)",H57+('08_Moteur'!AI54-MAX(1,'08_Moteur'!AI54-1))*'08_Moteur'!U54,H57)))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classe)",H58+('08_Moteur'!AI55-MAX(1,'08_Moteur'!AI55-1))*'08_Moteur'!U55,H58)))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(mutualiser)",IF(I59&lt;0.55,"🟡 Regrouper les classes","🟢 Maintenir"))</f>
        <v/>
      </c>
      <c r="K59" s="71">
        <f>"Poursuite : cohorte déjà inscrite (issue de l'année inférieure) → ni lancement ni capture ; seul levier = regrouper / mutualiser les classes"</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classe)",H59+('08_Moteur'!AI56-MAX(1,'08_Moteur'!AI56-1))*'08_Moteur'!U56,H59)))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(mutualiser)",IF(I60&lt;0.55,"🟡 Regrouper les classes","🟢 Maintenir"))</f>
        <v/>
      </c>
      <c r="K60" s="71">
        <f>"Poursuite : cohorte déjà inscrite (issue de l'année inférieure) → ni lancement ni capture ; seul levier = regrouper / mutualiser les classes"</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classe)",H60+('08_Moteur'!AI57-MAX(1,'08_Moteur'!AI57-1))*'08_Moteur'!U57,H60)))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classe)",H61+('08_Moteur'!AI58-MAX(1,'08_Moteur'!AI58-1))*'08_Moteur'!U58,H61)))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(mutualiser)",IF(I62&lt;0.55,"🟡 Regrouper les classes","🟢 Maintenir"))</f>
        <v/>
      </c>
      <c r="K62" s="71">
        <f>"Poursuite : cohorte déjà inscrite (issue de l'année inférieure) → ni lancement ni capture ; seul levier = regrouper / mutualiser les classes"</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classe)",H62+('08_Moteur'!AI59-MAX(1,'08_Moteur'!AI59-1))*'08_Moteur'!U59,H62)))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(mutualiser)",IF(I63&lt;0.55,"🟡 Regrouper les classes","🟢 Maintenir"))</f>
        <v/>
      </c>
      <c r="K63" s="71">
        <f>"Poursuite : cohorte déjà inscrite (issue de l'année inférieure) → ni lancement ni capture ; seul levier = regrouper / mutualiser les classes"</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classe)",H63+('08_Moteur'!AI60-MAX(1,'08_Moteur'!AI60-1))*'08_Moteur'!U60,H63)))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2: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2">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2: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3" t="inlineStr">
        <is>
          <t>€ à sécuriser (exposition)</t>
        </is>
      </c>
      <c r="C15" s="74">
        <f>SUMPRODUCT(('08_Moteur'!$E$3:$E$60="ALT")*'08_Moteur'!$AD$3:$AD$60*'08_Moteur'!$AE$3:$AE$60)*(1-'02_Leviers'!$G$9)</f>
        <v/>
      </c>
      <c r="D15" s="74">
        <f>SUMPRODUCT(('08_Moteur'!$E$3:$E$60="ALT")*'08_Moteur'!$G$3:$G$60*'08_Moteur'!$L$3:$L$60)*(1-'02_Leviers'!$D$20)</f>
        <v/>
      </c>
      <c r="E15" s="75">
        <f>IFERROR(C15/D15-1,0)</f>
        <v/>
      </c>
    </row>
  </sheetData>
  <mergeCells count="1">
    <mergeCell ref="B2:E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6" t="inlineStr">
        <is>
          <t>Marque / Campus</t>
        </is>
      </c>
      <c r="C6" s="6" t="inlineStr">
        <is>
          <t>Entity</t>
        </is>
      </c>
      <c r="D6" s="6" t="inlineStr">
        <is>
          <t>Hiérarchie Groupe→Marque→Campus</t>
        </is>
      </c>
    </row>
    <row r="7" ht="28" customHeight="1">
      <c r="B7" s="76" t="inlineStr">
        <is>
          <t>Programme × Année × Modalité</t>
        </is>
      </c>
      <c r="C7" s="6" t="inlineStr">
        <is>
          <t>Dimensions analytiques</t>
        </is>
      </c>
      <c r="D7" s="6" t="inlineStr">
        <is>
          <t>Maille fine, attributs initial/alternance</t>
        </is>
      </c>
    </row>
    <row r="8" ht="28" customHeight="1">
      <c r="B8" s="76" t="inlineStr">
        <is>
          <t>Params (capacité, heures…)</t>
        </is>
      </c>
      <c r="C8" s="6" t="inlineStr">
        <is>
          <t>Attributs de dimension / driver</t>
        </is>
      </c>
      <c r="D8" s="6" t="inlineStr">
        <is>
          <t>Données de référence par programme×année (feuille 05)</t>
        </is>
      </c>
    </row>
    <row r="9" ht="28" customHeight="1">
      <c r="B9" s="76" t="inlineStr">
        <is>
          <t>Historique N-2/N-1</t>
        </is>
      </c>
      <c r="C9" s="6" t="inlineStr">
        <is>
          <t>Category ACTUAL (multi-années)</t>
        </is>
      </c>
      <c r="D9" s="6" t="inlineStr">
        <is>
          <t>Plus de profondeur = élasticité marketing robuste</t>
        </is>
      </c>
    </row>
    <row r="10" ht="28" customHeight="1">
      <c r="B10" s="76" t="inlineStr">
        <is>
          <t>Cohortes / taux de passage</t>
        </is>
      </c>
      <c r="C10" s="6" t="inlineStr">
        <is>
          <t>Règle de calcul</t>
        </is>
      </c>
      <c r="D10" s="6" t="inlineStr">
        <is>
          <t>Progression B1→B2→B3</t>
        </is>
      </c>
    </row>
    <row r="11" ht="28" customHeight="1">
      <c r="B11" s="76" t="inlineStr">
        <is>
          <t>Sécurisation &amp; recouvrement</t>
        </is>
      </c>
      <c r="C11" s="6" t="inlineStr">
        <is>
          <t>Comptes techniques</t>
        </is>
      </c>
      <c r="D11" s="6" t="inlineStr">
        <is>
          <t>Financement alternance, exposition</t>
        </is>
      </c>
    </row>
    <row r="12" ht="28" customHeight="1">
      <c r="B12" s="76" t="inlineStr">
        <is>
          <t>Objectifs (cadrage)</t>
        </is>
      </c>
      <c r="C12" s="6" t="inlineStr">
        <is>
          <t>Version cible + écart</t>
        </is>
      </c>
      <c r="D12" s="6" t="inlineStr">
        <is>
          <t>Top-down vs bottom-up</t>
        </is>
      </c>
    </row>
    <row r="13" ht="28" customHeight="1">
      <c r="B13" s="76" t="inlineStr">
        <is>
          <t>Décisions ouvrir/fermer</t>
        </is>
      </c>
      <c r="C13" s="6" t="inlineStr">
        <is>
          <t>Scénarios / versions</t>
        </is>
      </c>
      <c r="D13" s="6" t="inlineStr">
        <is>
          <t>Simulateur → snapshot</t>
        </is>
      </c>
    </row>
    <row r="14" ht="28" customHeight="1">
      <c r="B14" s="76"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2026-08-12T12:54:56Z</dcterms:created>
  <dcterms:modified xsi:type="dcterms:W3CDTF">2026-08-12T12:54:57Z</dcterms:modified>
</cp:coreProperties>
</file>