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Cadrage" sheetId="2" state="visible" r:id="rId2"/>
    <sheet name="04_Referentiel" sheetId="3" state="visible" r:id="rId3"/>
    <sheet name="05_Param_Prog_Annee" sheetId="4" state="visible" r:id="rId4"/>
    <sheet name="06_Historique" sheetId="5" state="visible" r:id="rId5"/>
    <sheet name="07_Structure" sheetId="6" state="visible" r:id="rId6"/>
    <sheet name="08_Moteur" sheetId="7" state="visible" r:id="rId7"/>
    <sheet name="09_Allocation" sheetId="8" state="visible" r:id="rId8"/>
    <sheet name="10_PnL" sheetId="9" state="visible" r:id="rId9"/>
    <sheet name="11_Simulateur" sheetId="10" state="visible" r:id="rId10"/>
    <sheet name="11b_Mutualisation" sheetId="11" state="visible" r:id="rId11"/>
    <sheet name="11c_Cascade"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quot; €&quot;;(#,##0)&quot; €&quot;;&quot;-&quot;"/>
    <numFmt numFmtId="166" formatCode="0.0%;(0.0%);&quot;-&quot;"/>
    <numFmt numFmtId="167" formatCode="#,##0.0;(#,##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85">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4" fillId="3" borderId="1" applyAlignment="1" pivotButton="0" quotePrefix="0" xfId="0">
      <alignment horizontal="center" vertical="center" wrapText="1"/>
    </xf>
    <xf numFmtId="0" fontId="4" fillId="0" borderId="1" applyAlignment="1" pivotButton="0" quotePrefix="0" xfId="0">
      <alignment horizontal="left" vertical="center"/>
    </xf>
    <xf numFmtId="0" fontId="4" fillId="0" borderId="0"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center" vertical="center" wrapText="1"/>
    </xf>
    <xf numFmtId="165" fontId="8" fillId="0" borderId="1" applyAlignment="1" pivotButton="0" quotePrefix="0" xfId="0">
      <alignment horizontal="right" vertical="center"/>
    </xf>
    <xf numFmtId="165" fontId="9" fillId="4" borderId="1" applyAlignment="1" pivotButton="0" quotePrefix="0" xfId="0">
      <alignment horizontal="right" vertical="center"/>
    </xf>
    <xf numFmtId="165" fontId="10" fillId="0" borderId="1" applyAlignment="1" pivotButton="0" quotePrefix="0" xfId="0">
      <alignment horizontal="right" vertical="center"/>
    </xf>
    <xf numFmtId="165" fontId="7" fillId="0" borderId="1" applyAlignment="1" pivotButton="0" quotePrefix="0" xfId="0">
      <alignment horizontal="right" vertical="center"/>
    </xf>
    <xf numFmtId="0" fontId="5" fillId="0" borderId="1" applyAlignment="1" pivotButton="0" quotePrefix="0" xfId="0">
      <alignment horizontal="center" vertical="center" wrapText="1"/>
    </xf>
    <xf numFmtId="2" fontId="6" fillId="0" borderId="1" applyAlignment="1" pivotButton="0" quotePrefix="0" xfId="0">
      <alignment horizontal="center" vertical="center" wrapText="1"/>
    </xf>
    <xf numFmtId="166" fontId="7" fillId="0" borderId="1" applyAlignment="1" pivotButton="0" quotePrefix="0" xfId="0">
      <alignment horizontal="right" vertical="center"/>
    </xf>
    <xf numFmtId="165" fontId="10" fillId="7" borderId="1" applyAlignment="1" pivotButton="0" quotePrefix="0" xfId="0">
      <alignment horizontal="right" vertical="center"/>
    </xf>
    <xf numFmtId="0" fontId="2" fillId="0" borderId="1" applyAlignment="1" pivotButton="0" quotePrefix="0" xfId="0">
      <alignment horizontal="center" vertical="center" wrapText="1"/>
    </xf>
    <xf numFmtId="0" fontId="3" fillId="2" borderId="1" applyAlignment="1" pivotButton="0" quotePrefix="0" xfId="0">
      <alignment horizontal="center" vertical="center" wrapText="1"/>
    </xf>
    <xf numFmtId="166" fontId="2"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3" borderId="1" applyAlignment="1" pivotButton="0" quotePrefix="0" xfId="0">
      <alignment horizontal="center" vertical="center" wrapText="1"/>
    </xf>
    <xf numFmtId="165" fontId="6" fillId="4" borderId="1" applyAlignment="1" pivotButton="0" quotePrefix="0" xfId="0">
      <alignment horizontal="center" vertical="center" wrapText="1"/>
    </xf>
    <xf numFmtId="165" fontId="2" fillId="0" borderId="1" applyAlignment="1" pivotButton="0" quotePrefix="0" xfId="0">
      <alignment horizontal="center" vertical="center" wrapText="1"/>
    </xf>
    <xf numFmtId="165" fontId="10" fillId="3" borderId="1" applyAlignment="1" pivotButton="0" quotePrefix="0" xfId="0">
      <alignment horizontal="center" vertical="center" wrapText="1"/>
    </xf>
    <xf numFmtId="166"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2" fontId="2" fillId="0" borderId="1" applyAlignment="1" pivotButton="0" quotePrefix="0" xfId="0">
      <alignment horizontal="center" vertical="center" wrapText="1"/>
    </xf>
    <xf numFmtId="2" fontId="10"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4"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4"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4"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6" fontId="7"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8" fillId="4" borderId="1" applyAlignment="1" pivotButton="0" quotePrefix="0" xfId="0">
      <alignment horizontal="center" vertical="center" wrapText="1"/>
    </xf>
    <xf numFmtId="0" fontId="0" fillId="0" borderId="4" pivotButton="0" quotePrefix="0" xfId="0"/>
    <xf numFmtId="164" fontId="7" fillId="0" borderId="1" applyAlignment="1" pivotButton="0" quotePrefix="0" xfId="0">
      <alignment horizontal="right" vertical="center"/>
    </xf>
    <xf numFmtId="164" fontId="10" fillId="6" borderId="1" applyAlignment="1" pivotButton="0" quotePrefix="0" xfId="0">
      <alignment horizontal="right" vertical="center"/>
    </xf>
    <xf numFmtId="0" fontId="8" fillId="0" borderId="0" applyAlignment="1" pivotButton="0" quotePrefix="0" xfId="0">
      <alignment horizontal="center" vertical="center" wrapText="1"/>
    </xf>
    <xf numFmtId="164" fontId="8" fillId="0" borderId="1" applyAlignment="1" pivotButton="0" quotePrefix="0" xfId="0">
      <alignment horizontal="right" vertical="center"/>
    </xf>
    <xf numFmtId="164" fontId="5" fillId="0" borderId="1" applyAlignment="1" pivotButton="0" quotePrefix="0" xfId="0">
      <alignment horizontal="right" vertical="center"/>
    </xf>
    <xf numFmtId="166"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6" fontId="10" fillId="3" borderId="1" applyAlignment="1" pivotButton="0" quotePrefix="0" xfId="0">
      <alignment horizontal="right" vertical="center"/>
    </xf>
    <xf numFmtId="165" fontId="5" fillId="0" borderId="1" applyAlignment="1" pivotButton="0" quotePrefix="0" xfId="0">
      <alignment horizontal="right" vertical="center"/>
    </xf>
    <xf numFmtId="166"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6"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6" fontId="9" fillId="4" borderId="1" applyAlignment="1" pivotButton="0" quotePrefix="0" xfId="0">
      <alignment horizontal="center" vertical="center" wrapText="1"/>
    </xf>
    <xf numFmtId="0" fontId="2" fillId="0" borderId="0" applyAlignment="1" pivotButton="0" quotePrefix="0" xfId="0">
      <alignment horizontal="left" vertical="center"/>
    </xf>
    <xf numFmtId="167" fontId="7" fillId="0" borderId="1" applyAlignment="1" pivotButton="0" quotePrefix="0" xfId="0">
      <alignment horizontal="center" vertical="center" wrapText="1"/>
    </xf>
    <xf numFmtId="164" fontId="9" fillId="4" borderId="1" applyAlignment="1" pivotButton="0" quotePrefix="0" xfId="0">
      <alignment horizontal="center" vertical="center"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6"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1">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style val="10"/>
  <chart>
    <title>
      <tx>
        <rich>
          <a:bodyPr/>
          <a:p>
            <a:pPr>
              <a:defRPr/>
            </a:pPr>
            <a:r>
              <a:t>CA &amp; EBITDA par version (€)</a:t>
            </a:r>
          </a:p>
        </rich>
      </tx>
    </title>
    <plotArea>
      <barChart>
        <barDir val="col"/>
        <grouping val="clustered"/>
        <ser>
          <idx val="0"/>
          <order val="0"/>
          <tx>
            <strRef>
              <f>'01_Cadrage'!B7</f>
            </strRef>
          </tx>
          <spPr>
            <a:ln>
              <a:prstDash val="solid"/>
            </a:ln>
          </spPr>
          <cat>
            <numRef>
              <f>'01_Cadrage'!$C$6:$F$6</f>
            </numRef>
          </cat>
          <val>
            <numRef>
              <f>'01_Cadrage'!$C$7:$F$7</f>
            </numRef>
          </val>
        </ser>
        <ser>
          <idx val="1"/>
          <order val="1"/>
          <tx>
            <strRef>
              <f>'01_Cadrage'!B8</f>
            </strRef>
          </tx>
          <spPr>
            <a:ln>
              <a:prstDash val="solid"/>
            </a:ln>
          </spPr>
          <cat>
            <numRef>
              <f>'01_Cadrage'!$C$6:$F$6</f>
            </numRef>
          </cat>
          <val>
            <numRef>
              <f>'01_Cadrage'!$C$8:$F$8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Marge EBITDA % par version</a:t>
            </a:r>
          </a:p>
        </rich>
      </tx>
    </title>
    <plotArea>
      <barChart>
        <barDir val="col"/>
        <grouping val="clustered"/>
        <ser>
          <idx val="0"/>
          <order val="0"/>
          <spPr>
            <a:ln>
              <a:prstDash val="solid"/>
            </a:ln>
          </spPr>
          <cat>
            <numRef>
              <f>'01_Cadrage'!$C$6:$F$6</f>
            </numRef>
          </cat>
          <val>
            <numRef>
              <f>'01_Cadrage'!$C$9:$F$9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Guide</author>
  </authors>
  <commentList>
    <comment ref="B2" authorId="0" shapeId="0">
      <text>
        <t>OBJET DE L'ONGLET — Sommaire et mode d'emploi du classeur : rôle de chaque feuille, légende des couleurs, périmètre. Commence ici.</t>
      </text>
    </comment>
  </commentList>
</comments>
</file>

<file path=xl/comments/comment2.xml><?xml version="1.0" encoding="utf-8"?>
<comments xmlns="http://schemas.openxmlformats.org/spreadsheetml/2006/main">
  <authors>
    <author>Guide</author>
  </authors>
  <commentList>
    <comment ref="B2" authorId="0" shapeId="0">
      <text>
        <t>OBJET DE L'ONGLET — POSTE DE COMMANDE CFO. Cadrage top-down (N-2 · atterrissage N · objectif · budget construit · écart · reste à trouver), leviers en % avec scénarios Cadrage/Optimiste/Prudent, coefficients stratégiques par marque×campus, et graphes. Tout le budget se pilote d'ici.</t>
      </text>
    </comment>
    <comment ref="D3" authorId="0" shapeId="0">
      <text>
        <t>Scénario actif : change cette cellule (Cadrage/Optimiste/Prudent) et TOUT le budget se recalcule.</t>
      </text>
    </comment>
    <comment ref="C6" authorId="0" shapeId="0">
      <text>
        <t>Réel de l'avant-dernière année (clôturé) — référence de tendance.</t>
      </text>
    </comment>
    <comment ref="D6" authorId="0" shapeId="0">
      <text>
        <t>Dernier ATTERRISSAGE de l'année en cours (réel YTD + reprévision) = la BASE de projection (on ne budgète pas sur un N-1 clôturé).</t>
      </text>
    </comment>
    <comment ref="E6" authorId="0" shapeId="0">
      <text>
        <t>Cible fixée par la direction (saisie).</t>
      </text>
    </comment>
    <comment ref="F6" authorId="0" shapeId="0">
      <text>
        <t>Budget monté par le moteur (feuille 08) — bouge avec les leviers.</t>
      </text>
    </comment>
    <comment ref="G6" authorId="0" shapeId="0">
      <text>
        <t>Écart = budget − objectif.</t>
      </text>
    </comment>
    <comment ref="L6" authorId="0" shapeId="0">
      <text>
        <t>Intensité marketing par campus (&gt;1 = on pousse, &lt;1 = on défend).</t>
      </text>
    </comment>
    <comment ref="M6" authorId="0" shapeId="0">
      <text>
        <t>Intensité prix par campus.</t>
      </text>
    </comment>
    <comment ref="E7" authorId="0" shapeId="0">
      <text>
        <t>Objectif de CA fixé par la direction (saisie).</t>
      </text>
    </comment>
    <comment ref="E8" authorId="0" shapeId="0">
      <text>
        <t>Objectif d'EBITDA fixé par la direction (saisie).</t>
      </text>
    </comment>
    <comment ref="F11" authorId="0" shapeId="0">
      <text>
        <t>Reste à trouver = objectif EBITDA − budget construit (si positif). À combler via les leviers (voir 12_Sensibilite).</t>
      </text>
    </comment>
    <comment ref="D15" authorId="0" shapeId="0">
      <text>
        <t>Référence au dernier atterrissage (0 % = statu quo).</t>
      </text>
    </comment>
    <comment ref="E15" authorId="0" shapeId="0">
      <text>
        <t>Valeurs du scénario Cadrage (central).</t>
      </text>
    </comment>
    <comment ref="F15" authorId="0" shapeId="0">
      <text>
        <t>Valeurs du scénario Optimiste.</t>
      </text>
    </comment>
    <comment ref="G15" authorId="0" shapeId="0">
      <text>
        <t>Valeurs du scénario Prudent.</t>
      </text>
    </comment>
    <comment ref="H15" authorId="0" shapeId="0">
      <text>
        <t>Valeur ACTIVE = celle du scénario choisi en D3.</t>
      </text>
    </comment>
    <comment ref="B16" authorId="0" shapeId="0">
      <text>
        <t>Variation du budget marketing → pilote le volume via l'élasticité mesurée.</t>
      </text>
    </comment>
    <comment ref="B17" authorId="0" shapeId="0">
      <text>
        <t>Hausse tarifaire moyenne, modulée par marque (coeff prix).</t>
      </text>
    </comment>
    <comment ref="B18" authorId="0" shapeId="0">
      <text>
        <t>Points de conversion candidature→inscrit gagnés (admissions).</t>
      </text>
    </comment>
    <comment ref="B19" authorId="0" shapeId="0">
      <text>
        <t>Amélioration du taux de passage (réinscription).</t>
      </text>
    </comment>
    <comment ref="B20" authorId="0" shapeId="0">
      <text>
        <t>Inflation appliquée aux charges (pédago, loyers, autres).</t>
      </text>
    </comment>
    <comment ref="B21"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2" authorId="0" shapeId="0">
      <text>
        <t>OBJET DE L'ONGLET — Dimensions et plan de comptes du modèle (entités Groupe→Marque→Campus, comptes fixe/variable) — le socle de structuration.</t>
      </text>
    </commen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4.xml><?xml version="1.0" encoding="utf-8"?>
<comments xmlns="http://schemas.openxmlformats.org/spreadsheetml/2006/main">
  <authors>
    <author>Guide</author>
  </authors>
  <commentList>
    <comment ref="A1" authorId="0" shapeId="0">
      <text>
        <t>OBJET DE L'ONGLET — Données de référence UNITAIRES par programme × année (capacité, heures, taux, pédago, CAC, passage) qui alimentent le moteur. À charger avec le réel.</t>
      </text>
    </commen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F3" authorId="0" shapeId="0">
      <text>
        <t>Heures d'enseignement délivrées par classe et par an.</t>
      </text>
    </comment>
    <comment ref="G3" authorId="0" shapeId="0">
      <text>
        <t>Coût horaire chargé de l'enseignement (vacation), en €.</t>
      </text>
    </comment>
    <comment ref="H3" authorId="0" shapeId="0">
      <text>
        <t>Coût pédagogique par étudiant/an, HORS salaires des intervenants (supports, licences, LMS, jury/examens, certifications). 350-670 € selon le domaine.</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5.xml><?xml version="1.0" encoding="utf-8"?>
<comments xmlns="http://schemas.openxmlformats.org/spreadsheetml/2006/main">
  <authors>
    <author>Guide</author>
  </authors>
  <commentList>
    <comment ref="A1" authorId="0" shapeId="0">
      <text>
        <t>OBJET DE L'ONGLET — Réalisé N-1 par cellule (funnel + cohorte) et historique marketing N-2/N-1 servant à MESURER la conversion, le passage et l'élasticité (pas d'invention).</t>
      </text>
    </commen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6.xml><?xml version="1.0" encoding="utf-8"?>
<comments xmlns="http://schemas.openxmlformats.org/spreadsheetml/2006/main">
  <authors>
    <author>Guide</author>
  </authors>
  <commentList>
    <comment ref="A1" authorId="0" shapeId="0">
      <text>
        <t>OBJET DE L'ONGLET — Réalisé N-1 par CAMPUS (loyers, ETP permanents, D&amp;A, m²) : la base des coûts de structure.</t>
      </text>
    </commen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7.xml><?xml version="1.0" encoding="utf-8"?>
<comments xmlns="http://schemas.openxmlformats.org/spreadsheetml/2006/main">
  <authors>
    <author>Guide</author>
  </authors>
  <commentList>
    <comment ref="A1" authorId="0" shapeId="0">
      <text>
        <t>OBJET DE L'ONGLET — CŒUR DE CALCUL : construit le budget de CHAQUE cellule (cohortes, marketing→volume, tarif, financement alternance, point mort). Toutes les feuilles de résultat en découlent.</t>
      </text>
    </commen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8.xml><?xml version="1.0" encoding="utf-8"?>
<comments xmlns="http://schemas.openxmlformats.org/spreadsheetml/2006/main">
  <authors>
    <author>Guide</author>
  </authors>
  <commentList>
    <comment ref="B2" authorId="0" shapeId="0">
      <text>
        <t>OBJET DE L'ONGLET — Répartir les frais de structure FIXES sur les campus selon un driver (effectifs / CA / m²).</t>
      </text>
    </commen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9.xml><?xml version="1.0" encoding="utf-8"?>
<comments xmlns="http://schemas.openxmlformats.org/spreadsheetml/2006/main">
  <authors>
    <author>Guide</author>
  </authors>
  <commentList>
    <comment ref="B2" authorId="0" shapeId="0">
      <text>
        <t>OBJET DE L'ONGLET — Compte de résultat consolidé N-1 vs Budget + PONT d'explication du CA (volume / tarif / sécurisation / frais).</t>
      </text>
    </commen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0.xml><?xml version="1.0" encoding="utf-8"?>
<comments xmlns="http://schemas.openxmlformats.org/spreadsheetml/2006/main">
  <authors>
    <author>Guide</author>
  </authors>
  <commentList>
    <comment ref="A1" authorId="0" shapeId="0">
      <text>
        <t>OBJET DE L'ONGLET — BAC À SABLE de décisions à la maille PROMO (ouvrir / fermer / regrouper) → impact EBITDA AVANT/APRÈS. N'affecte PAS le budget officiel.</t>
      </text>
    </commen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1.xml><?xml version="1.0" encoding="utf-8"?>
<comments xmlns="http://schemas.openxmlformats.org/spreadsheetml/2006/main">
  <authors>
    <author>Guide</author>
  </authors>
  <commentList>
    <comment ref="B2" authorId="0" shapeId="0">
      <text>
        <t>OBJET DE L'ONGLET — BAC À SABLE à la maille CAMPUS × CYCLE : combien de classes / € récupérables en mutualisant le tronc commun, sans dépasser la capacité.</t>
      </text>
    </commen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2.xml><?xml version="1.0" encoding="utf-8"?>
<comments xmlns="http://schemas.openxmlformats.org/spreadsheetml/2006/main">
  <authors>
    <author>Guide</author>
  </authors>
  <commentList>
    <comment ref="B2" authorId="0" shapeId="0">
      <text>
        <t>OBJET DE L'ONGLET — BAC À SABLE : allocation de la structure EN CASCADE (marque→campus→classe) et démonstration de QUAND fermer une promo est bénéfique ou non, sur un vrai campus.</t>
      </text>
    </comment>
    <comment ref="B14" authorId="0" shapeId="0">
      <text>
        <t>Promotion = programme × année du campus focus (ISCOM Toulouse).</t>
      </text>
    </comment>
    <comment ref="C14" authorId="0" shapeId="0">
      <text>
        <t>Effectif budget RÉEL calculé par le moteur (feuille 08) pour cette promo — sert de référence en regard du scénario.</t>
      </text>
    </comment>
    <comment ref="D14" authorId="0" shapeId="0">
      <text>
        <t>Effectif que TU testes (bleu, éditable). Baisse-le pour simuler une promo sous-remplie / en extinction et voir l'effet.</t>
      </text>
    </comment>
    <comment ref="E14" authorId="0" shapeId="0">
      <text>
        <t>Nombre de classes = arrondi supérieur (effectif scénario / capacité).</t>
      </text>
    </comment>
    <comment ref="F14" authorId="0" shapeId="0">
      <text>
        <t>Chiffre d'affaires budget de la promo.</t>
      </text>
    </comment>
    <comment ref="G14" authorId="0" shapeId="0">
      <text>
        <t>CA − coûts directs évitables (enseignement + charge/étu + CAC). C'est LA métrique de décision : on ne ferme que si elle est négative.</t>
      </text>
    </comment>
    <comment ref="H14" authorId="0" shapeId="0">
      <text>
        <t>Structure non-évitable du campus (envelope) ÷ nombre total de classes. C'est ce qui se REDIVISE quand on ferme une promo.</t>
      </text>
    </comment>
    <comment ref="I14" authorId="0" shapeId="0">
      <text>
        <t>Structure portée par la promo = ses classes × structure/classe.</t>
      </text>
    </comment>
    <comment ref="J14" authorId="0" shapeId="0">
      <text>
        <t>Résultat TOUT COMPRIS = contribution − structure allouée. INFORMATIF : peut être négatif alors que la contribution est positive (le piège). JAMAIS un critère de fermeture.</t>
      </text>
    </comment>
    <comment ref="K14" authorId="0" shapeId="0">
      <text>
        <t>Ton choix. Menu restreint selon l'année : entrée = lancer/capter ; poursuite = seulement regrouper.</t>
      </text>
    </comment>
    <comment ref="L14" authorId="0" shapeId="0">
      <text>
        <t>Nombre de classes après ta décision (0 si Fermer).</t>
      </text>
    </comment>
    <comment ref="M14" authorId="0" shapeId="0">
      <text>
        <t>Structure allouée après décisions : l'envelope (inchangée, non-évitable) se redivise sur les classes RESTANTES → chacune en porte plus.</t>
      </text>
    </comment>
    <comment ref="N14" authorId="0" shapeId="0">
      <text>
        <t>Résultat tout compris recalculé après décisions. En ROUGE si &lt; 0 : rend visible l'effet d'entraînement.</t>
      </text>
    </comment>
    <comment ref="P14" authorId="0" shapeId="0">
      <text>
        <t>Capacité cible d'une classe (nb d'étudiants).</t>
      </text>
    </comment>
    <comment ref="Q14" authorId="0" shapeId="0">
      <text>
        <t>Coût d'enseignement d'une classe (heures × taux horaire), issu du modèle (feuille 05).</t>
      </text>
    </comment>
    <comment ref="R14" authorId="0" shapeId="0">
      <text>
        <t>Tarif de scolarité par étudiant et par an (feuille 05).</t>
      </text>
    </comment>
    <comment ref="S14" authorId="0" shapeId="0">
      <text>
        <t>Charges variables par étudiant = coût pédagogique + autres charges d'exploitation (feuille 05).</t>
      </text>
    </comment>
    <comment ref="T14" authorId="0" shapeId="0">
      <text>
        <t>Coût d'acquisition (achat de leads) par étudiant — uniquement en année d'entrée.</t>
      </text>
    </comment>
  </commentList>
</comments>
</file>

<file path=xl/comments/comment13.xml><?xml version="1.0" encoding="utf-8"?>
<comments xmlns="http://schemas.openxmlformats.org/spreadsheetml/2006/main">
  <authors>
    <author>Guide</author>
  </authors>
  <commentList>
    <comment ref="B2" authorId="0" shapeId="0">
      <text>
        <t>OBJET DE L'ONGLET — Classer les LEVIERS par impact € sur l'EBITDA, pour savoir lequel actionner afin de combler l'écart de cadrage.</t>
      </text>
    </commen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4.xml><?xml version="1.0" encoding="utf-8"?>
<comments xmlns="http://schemas.openxmlformats.org/spreadsheetml/2006/main">
  <authors>
    <author>Guide</author>
  </authors>
  <commentList>
    <comment ref="B2" authorId="0" shapeId="0">
      <text>
        <t>OBJET DE L'ONGLET — TABLEAU DE BORD : KPIs clés Budget vs N-1 (effectif, CA, EBITDA, taux d'alternance, sécurisation, € à sécuriser).</t>
      </text>
    </commen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comments/comment15.xml><?xml version="1.0" encoding="utf-8"?>
<comments xmlns="http://schemas.openxmlformats.org/spreadsheetml/2006/main">
  <authors>
    <author>Guide</author>
  </authors>
  <commentList>
    <comment ref="B2" authorId="0" shapeId="0">
      <text>
        <t>OBJET DE L'ONGLET — PASSERELLE : correspondance entre les objets du modèle Excel et leur implémentation dans CCH Tagetik.</t>
      </text>
    </comment>
    <comment ref="B5" authorId="0" shapeId="0">
      <text>
        <t>Notion du modèle Excel à transposer dans Tagetik.</t>
      </text>
    </comment>
    <comment ref="C5" authorId="0" shapeId="0">
      <text>
        <t>Objet CCH Tagetik correspondant (dimension, hiérarchie, règle de calcul, workflow…).</t>
      </text>
    </comment>
    <comment ref="D5" authorId="0" shapeId="0">
      <text>
        <t>Précision sur la correspondance et le paramétrage Tagetik.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39</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sheet1.xml><?xml version="1.0" encoding="utf-8"?>
<worksheet xmlns="http://schemas.openxmlformats.org/spreadsheetml/2006/main">
  <sheetPr>
    <outlinePr summaryBelow="1" summaryRight="1"/>
    <pageSetUpPr/>
  </sheetPr>
  <dimension ref="A1:E43"/>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1"/>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01_Cadrage</t>
        </is>
      </c>
      <c r="C6" s="6" t="inlineStr">
        <is>
          <t>POSTE DE COMMANDE CFO : cadrage top-down (N-2 · atterrissage · objectif · budget · écart) + leviers %/scénarios + coefficients + graphes</t>
        </is>
      </c>
    </row>
    <row r="7">
      <c r="B7" s="5" t="inlineStr">
        <is>
          <t>04_Referentiel</t>
        </is>
      </c>
      <c r="C7" s="6" t="inlineStr">
        <is>
          <t>Dimensions : entités, comptes (fixe/variable)</t>
        </is>
      </c>
    </row>
    <row r="8">
      <c r="B8" s="5" t="inlineStr">
        <is>
          <t>05_Param_Prog_Annee</t>
        </is>
      </c>
      <c r="C8" s="6" t="inlineStr">
        <is>
          <t>DONNÉES DE RÉFÉRENCE par programme×année (capacité, heures, taux, pédago, CAC variable, passage)</t>
        </is>
      </c>
    </row>
    <row r="9">
      <c r="B9" s="5" t="inlineStr">
        <is>
          <t>06_Historique</t>
        </is>
      </c>
      <c r="C9" s="6" t="inlineStr">
        <is>
          <t>Réalisé N-1 par cellule (funnel, cohorte) + historique marketing N-2/N-1 → élasticité mesurée</t>
        </is>
      </c>
    </row>
    <row r="10">
      <c r="B10" s="5" t="inlineStr">
        <is>
          <t>07_Structure</t>
        </is>
      </c>
      <c r="C10" s="6" t="inlineStr">
        <is>
          <t>Réalisé par campus (loyers, ETP, D&amp;A, m²)</t>
        </is>
      </c>
    </row>
    <row r="11">
      <c r="B11" s="5" t="inlineStr">
        <is>
          <t>08_Moteur</t>
        </is>
      </c>
      <c r="C11" s="6" t="inlineStr">
        <is>
          <t>Moteur budget par cellule (cohortes, marketing→volume, seuil=point mort)</t>
        </is>
      </c>
    </row>
    <row r="12">
      <c r="B12" s="5" t="inlineStr">
        <is>
          <t>09_Allocation</t>
        </is>
      </c>
      <c r="C12" s="6" t="inlineStr">
        <is>
          <t>Frais de structure alloués par driver</t>
        </is>
      </c>
    </row>
    <row r="13">
      <c r="B13" s="5" t="inlineStr">
        <is>
          <t>10_PnL</t>
        </is>
      </c>
      <c r="C13" s="6" t="inlineStr">
        <is>
          <t>P&amp;L consolidé N-1 vs Budget + pont à 4 effets</t>
        </is>
      </c>
    </row>
    <row r="14">
      <c r="B14" s="5" t="inlineStr">
        <is>
          <t>11_Simulateur</t>
        </is>
      </c>
      <c r="C14" s="6" t="inlineStr">
        <is>
          <t>Décisions ouvrir/fermer/redistribuer (maille PROMO) → EBITDA AVANT → APRÈS</t>
        </is>
      </c>
    </row>
    <row r="15">
      <c r="B15" s="5" t="inlineStr">
        <is>
          <t>11b_Mutualisation</t>
        </is>
      </c>
      <c r="C15" s="6" t="inlineStr">
        <is>
          <t>Mutualisation inter-sections (maille CAMPUS) : sections économisables &amp; économie potentielle</t>
        </is>
      </c>
    </row>
    <row r="16">
      <c r="B16" s="5" t="inlineStr">
        <is>
          <t>11c_Cascade</t>
        </is>
      </c>
      <c r="C16" s="6" t="inlineStr">
        <is>
          <t>Allocation EN CASCADE sur un VRAI campus (MBway Lyon) + effet d'une fermeture (bénéfique vs entraînement)</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row r="30" ht="20" customHeight="1">
      <c r="B30" s="3" t="inlineStr">
        <is>
          <t>Mode d'emploi — par où commencer</t>
        </is>
      </c>
      <c r="C30" s="4" t="n"/>
      <c r="D30" s="4" t="n"/>
    </row>
    <row r="31">
      <c r="B31" s="13" t="inlineStr">
        <is>
          <t>1</t>
        </is>
      </c>
      <c r="C31" s="6" t="inlineStr">
        <is>
          <t>01_Cadrage : choisis le SCÉNARIO et règle les leviers (%) ; pose l'objectif ; lis l'écart et le reste à trouver. Tout le budget se recalcule.</t>
        </is>
      </c>
    </row>
    <row r="32">
      <c r="B32" s="13" t="inlineStr">
        <is>
          <t>2</t>
        </is>
      </c>
      <c r="C32" s="6" t="inlineStr">
        <is>
          <t>08_Moteur : le budget se construit cellule par cellule (cohortes → marketing→volume → tarif → financement).</t>
        </is>
      </c>
    </row>
    <row r="33">
      <c r="B33" s="13" t="inlineStr">
        <is>
          <t>3</t>
        </is>
      </c>
      <c r="C33" s="6" t="inlineStr">
        <is>
          <t>10_PnL &amp; 13_Simulation : lis le compte de résultat consolidé et les KPIs (Budget vs N-1).</t>
        </is>
      </c>
    </row>
    <row r="34">
      <c r="B34" s="13" t="inlineStr">
        <is>
          <t>4</t>
        </is>
      </c>
      <c r="C34" s="6" t="inlineStr">
        <is>
          <t>01_Cadrage (haut) : l'objectif vs le budget construit donne l'écart ; 12_Sensibilite : quel levier actionner pour combler l'écart.</t>
        </is>
      </c>
    </row>
    <row r="35">
      <c r="B35" s="13" t="inlineStr">
        <is>
          <t>5</t>
        </is>
      </c>
      <c r="C35" s="6" t="inlineStr">
        <is>
          <t>11 / 11b / 11c : simule des décisions (ouvrir / fermer / regrouper / mutualiser) — BAC À SABLE, sans impact sur le budget officiel.</t>
        </is>
      </c>
    </row>
    <row r="37" ht="20" customHeight="1">
      <c r="B37" s="3" t="inlineStr">
        <is>
          <t>3 façons d'utiliser le modèle</t>
        </is>
      </c>
      <c r="C37" s="4" t="n"/>
      <c r="D37" s="4" t="n"/>
    </row>
    <row r="38">
      <c r="B38" s="14" t="inlineStr">
        <is>
          <t>Construire (bottom-up)</t>
        </is>
      </c>
      <c r="C38" s="6" t="inlineStr">
        <is>
          <t>Le budget monte tout seul depuis les drivers et l'historique — aucune saisie de résultat.</t>
        </is>
      </c>
    </row>
    <row r="39">
      <c r="B39" s="14" t="inlineStr">
        <is>
          <t>Challenger</t>
        </is>
      </c>
      <c r="C39" s="6" t="inlineStr">
        <is>
          <t>Un directeur de campus ajuste SES effectifs / curseurs → version bottom-up à confronter au cadrage.</t>
        </is>
      </c>
    </row>
    <row r="40">
      <c r="B40" s="14" t="inlineStr">
        <is>
          <t>Simuler</t>
        </is>
      </c>
      <c r="C40" s="6" t="inlineStr">
        <is>
          <t>Tester une ouverture / fermeture / mutualisation et voir l'impact EBITDA avant de trancher.</t>
        </is>
      </c>
    </row>
    <row r="42">
      <c r="B42" s="12" t="inlineStr">
        <is>
          <t>💡 Astuce : survole le TITRE d'un onglet pour lire son OBJET, et une ENTÊTE de colonne pour son explication. 🔵 bleu = à saisir · 🟡 jaune = hypothèse à remplir.</t>
        </is>
      </c>
    </row>
    <row r="43"/>
  </sheetData>
  <mergeCells count="34">
    <mergeCell ref="C34:D34"/>
    <mergeCell ref="C6:D6"/>
    <mergeCell ref="C24:D24"/>
    <mergeCell ref="C15:D15"/>
    <mergeCell ref="C33:D33"/>
    <mergeCell ref="C14:D14"/>
    <mergeCell ref="C35:D35"/>
    <mergeCell ref="B37:D37"/>
    <mergeCell ref="C10:D10"/>
    <mergeCell ref="C16:D16"/>
    <mergeCell ref="C25:D25"/>
    <mergeCell ref="B27:D28"/>
    <mergeCell ref="C22:D22"/>
    <mergeCell ref="B30:D30"/>
    <mergeCell ref="C9:D9"/>
    <mergeCell ref="C40:D40"/>
    <mergeCell ref="C31:D31"/>
    <mergeCell ref="C12:D12"/>
    <mergeCell ref="B42:D43"/>
    <mergeCell ref="B5:D5"/>
    <mergeCell ref="C11:D11"/>
    <mergeCell ref="C17:D17"/>
    <mergeCell ref="C23:D23"/>
    <mergeCell ref="C39:D39"/>
    <mergeCell ref="C8:D8"/>
    <mergeCell ref="B3:D3"/>
    <mergeCell ref="C32:D32"/>
    <mergeCell ref="C7:D7"/>
    <mergeCell ref="C38:D38"/>
    <mergeCell ref="C19:D19"/>
    <mergeCell ref="C13:D13"/>
    <mergeCell ref="B21:D21"/>
    <mergeCell ref="C18:D18"/>
    <mergeCell ref="B2:D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32"/>
  <sheetViews>
    <sheetView showGridLines="0" workbookViewId="0">
      <selection activeCell="A1" sqref="A1"/>
    </sheetView>
  </sheetViews>
  <sheetFormatPr baseColWidth="8" defaultRowHeight="15"/>
  <cols>
    <col width="2" customWidth="1" min="1" max="1"/>
    <col width="40" customWidth="1" min="2" max="2"/>
    <col width="8" customWidth="1" min="3" max="3"/>
    <col width="14" customWidth="1" min="4" max="4"/>
    <col width="13" customWidth="1" min="5" max="5"/>
    <col width="14" customWidth="1" min="6" max="6"/>
    <col width="13" customWidth="1" min="7" max="7"/>
    <col width="14" customWidth="1" min="8" max="8"/>
    <col width="2" customWidth="1" min="9" max="9"/>
    <col width="16" customWidth="1" min="10" max="10"/>
    <col width="11" customWidth="1" min="11" max="11"/>
    <col width="12" customWidth="1" min="12" max="12"/>
    <col width="10" customWidth="1" min="13" max="13"/>
    <col width="11" customWidth="1" min="14" max="14"/>
    <col width="15" customWidth="1" min="15" max="15"/>
  </cols>
  <sheetData>
    <row r="1"/>
    <row r="2" ht="30" customHeight="1">
      <c r="B2" s="1" t="inlineStr">
        <is>
          <t>EDUSERVICES — Cadrage &amp; pilotage TOP-DOWN (poste de commande CFO)</t>
        </is>
      </c>
    </row>
    <row r="3">
      <c r="B3" s="15" t="inlineStr">
        <is>
          <t>Scénario actif :</t>
        </is>
      </c>
      <c r="D3" s="16" t="inlineStr">
        <is>
          <t>Cadrage</t>
        </is>
      </c>
      <c r="E3" s="2" t="inlineStr">
        <is>
          <t>◄ bascule tout le budget</t>
        </is>
      </c>
    </row>
    <row r="5" ht="20" customHeight="1">
      <c r="B5" s="3" t="inlineStr">
        <is>
          <t>① Cadrage top-down  —  N-2 · atterrissage N (base) · objectif (cible) · budget construit · écart</t>
        </is>
      </c>
      <c r="C5" s="4" t="n"/>
      <c r="D5" s="4" t="n"/>
      <c r="E5" s="4" t="n"/>
      <c r="F5" s="4" t="n"/>
      <c r="G5" s="4" t="n"/>
      <c r="J5" s="3" t="inlineStr">
        <is>
          <t>③ Coefficients stratégiques (marque × campus) — intensité marketing / prix</t>
        </is>
      </c>
      <c r="K5" s="4" t="n"/>
      <c r="L5" s="4" t="n"/>
      <c r="M5" s="4" t="n"/>
      <c r="N5" s="4" t="n"/>
      <c r="O5" s="4" t="n"/>
    </row>
    <row r="6">
      <c r="B6" s="17" t="inlineStr">
        <is>
          <t>Indicateur</t>
        </is>
      </c>
      <c r="C6" s="17" t="inlineStr">
        <is>
          <t>N-2 (réel)</t>
        </is>
      </c>
      <c r="D6" s="17" t="inlineStr">
        <is>
          <t>Atterrissage N</t>
        </is>
      </c>
      <c r="E6" s="17" t="inlineStr">
        <is>
          <t>🟡 Objectif</t>
        </is>
      </c>
      <c r="F6" s="17" t="inlineStr">
        <is>
          <t>Budget construit</t>
        </is>
      </c>
      <c r="G6" s="17" t="inlineStr">
        <is>
          <t>Écart</t>
        </is>
      </c>
      <c r="J6" s="17" t="inlineStr">
        <is>
          <t>Marque</t>
        </is>
      </c>
      <c r="K6" s="17" t="inlineStr">
        <is>
          <t>Ville</t>
        </is>
      </c>
      <c r="L6" s="17" t="inlineStr">
        <is>
          <t>Marketing</t>
        </is>
      </c>
      <c r="M6" s="17" t="inlineStr">
        <is>
          <t>Prix</t>
        </is>
      </c>
      <c r="N6" s="17" t="inlineStr">
        <is>
          <t>Posture</t>
        </is>
      </c>
      <c r="O6" s="17" t="inlineStr">
        <is>
          <t>Clé</t>
        </is>
      </c>
    </row>
    <row r="7">
      <c r="B7" s="14" t="inlineStr">
        <is>
          <t>Chiffre d'affaires</t>
        </is>
      </c>
      <c r="C7" s="18" t="n">
        <v>18787742</v>
      </c>
      <c r="D7" s="18" t="n">
        <v>19986960</v>
      </c>
      <c r="E7" s="19" t="n">
        <v>21186178</v>
      </c>
      <c r="F7" s="20">
        <f>SUM('08_Moteur'!$AH$3:$AH$60)</f>
        <v/>
      </c>
      <c r="G7" s="21">
        <f>F7-E7</f>
        <v/>
      </c>
      <c r="J7" s="8" t="inlineStr">
        <is>
          <t>MBway</t>
        </is>
      </c>
      <c r="K7" s="22" t="inlineStr">
        <is>
          <t>Paris</t>
        </is>
      </c>
      <c r="L7" s="23" t="n">
        <v>1.2</v>
      </c>
      <c r="M7" s="23" t="n">
        <v>1</v>
      </c>
      <c r="N7" s="9">
        <f>IF(L7&gt;=1.15,"Pousser",IF(L7&lt;=0.85,"Défendre","Maintenir"))</f>
        <v/>
      </c>
      <c r="O7" s="9">
        <f>J7&amp;"|"&amp;K7</f>
        <v/>
      </c>
    </row>
    <row r="8">
      <c r="B8" s="14" t="inlineStr">
        <is>
          <t>EBITDA</t>
        </is>
      </c>
      <c r="C8" s="18" t="n">
        <v>2623635</v>
      </c>
      <c r="D8" s="18" t="n">
        <v>2915150</v>
      </c>
      <c r="E8" s="19" t="n">
        <v>3389788</v>
      </c>
      <c r="F8" s="20">
        <f>'09_Allocation'!J20</f>
        <v/>
      </c>
      <c r="G8" s="21">
        <f>F8-E8</f>
        <v/>
      </c>
      <c r="J8" s="8" t="inlineStr">
        <is>
          <t>MBway</t>
        </is>
      </c>
      <c r="K8" s="22" t="inlineStr">
        <is>
          <t>Lyon</t>
        </is>
      </c>
      <c r="L8" s="23" t="n">
        <v>1.2</v>
      </c>
      <c r="M8" s="23" t="n">
        <v>1</v>
      </c>
      <c r="N8" s="9">
        <f>IF(L8&gt;=1.15,"Pousser",IF(L8&lt;=0.85,"Défendre","Maintenir"))</f>
        <v/>
      </c>
      <c r="O8" s="9">
        <f>J8&amp;"|"&amp;K8</f>
        <v/>
      </c>
    </row>
    <row r="9">
      <c r="B9" s="14" t="inlineStr">
        <is>
          <t>Marge EBITDA %</t>
        </is>
      </c>
      <c r="C9" s="24">
        <f>IFERROR(C8/C7,0)</f>
        <v/>
      </c>
      <c r="D9" s="24">
        <f>IFERROR(D8/D7,0)</f>
        <v/>
      </c>
      <c r="E9" s="24">
        <f>IFERROR(E8/E7,0)</f>
        <v/>
      </c>
      <c r="F9" s="24">
        <f>IFERROR(F8/F7,0)</f>
        <v/>
      </c>
      <c r="G9" s="24">
        <f>F9-E9</f>
        <v/>
      </c>
      <c r="J9" s="8" t="inlineStr">
        <is>
          <t>MBway</t>
        </is>
      </c>
      <c r="K9" s="22" t="inlineStr">
        <is>
          <t>Nantes</t>
        </is>
      </c>
      <c r="L9" s="23" t="n">
        <v>1.2</v>
      </c>
      <c r="M9" s="23" t="n">
        <v>1</v>
      </c>
      <c r="N9" s="9">
        <f>IF(L9&gt;=1.15,"Pousser",IF(L9&lt;=0.85,"Défendre","Maintenir"))</f>
        <v/>
      </c>
      <c r="O9" s="9">
        <f>J9&amp;"|"&amp;K9</f>
        <v/>
      </c>
    </row>
    <row r="10">
      <c r="J10" s="8" t="inlineStr">
        <is>
          <t>MBway</t>
        </is>
      </c>
      <c r="K10" s="22" t="inlineStr">
        <is>
          <t>Bordeaux</t>
        </is>
      </c>
      <c r="L10" s="23" t="n">
        <v>1.2</v>
      </c>
      <c r="M10" s="23" t="n">
        <v>1</v>
      </c>
      <c r="N10" s="9">
        <f>IF(L10&gt;=1.15,"Pousser",IF(L10&lt;=0.85,"Défendre","Maintenir"))</f>
        <v/>
      </c>
      <c r="O10" s="9">
        <f>J10&amp;"|"&amp;K10</f>
        <v/>
      </c>
    </row>
    <row r="11">
      <c r="B11" s="15" t="inlineStr">
        <is>
          <t>RESTE À TROUVER (EBITDA vs objectif) :</t>
        </is>
      </c>
      <c r="F11" s="25">
        <f>IF(E8-F8&gt;0,E8-F8,0)</f>
        <v/>
      </c>
      <c r="G11" s="26">
        <f>IF(E8-F8&gt;0,"à combler","atteint")</f>
        <v/>
      </c>
      <c r="J11" s="8" t="inlineStr">
        <is>
          <t>ISCOM</t>
        </is>
      </c>
      <c r="K11" s="22" t="inlineStr">
        <is>
          <t>Paris</t>
        </is>
      </c>
      <c r="L11" s="23" t="n">
        <v>1</v>
      </c>
      <c r="M11" s="23" t="n">
        <v>1.2</v>
      </c>
      <c r="N11" s="9">
        <f>IF(L11&gt;=1.15,"Pousser",IF(L11&lt;=0.85,"Défendre","Maintenir"))</f>
        <v/>
      </c>
      <c r="O11" s="9">
        <f>J11&amp;"|"&amp;K11</f>
        <v/>
      </c>
    </row>
    <row r="12">
      <c r="J12" s="8" t="inlineStr">
        <is>
          <t>ISCOM</t>
        </is>
      </c>
      <c r="K12" s="22" t="inlineStr">
        <is>
          <t>Lille</t>
        </is>
      </c>
      <c r="L12" s="23" t="n">
        <v>1</v>
      </c>
      <c r="M12" s="23" t="n">
        <v>1.2</v>
      </c>
      <c r="N12" s="9">
        <f>IF(L12&gt;=1.15,"Pousser",IF(L12&lt;=0.85,"Défendre","Maintenir"))</f>
        <v/>
      </c>
      <c r="O12" s="9">
        <f>J12&amp;"|"&amp;K12</f>
        <v/>
      </c>
    </row>
    <row r="13" ht="20" customHeight="1">
      <c r="B13" s="3" t="inlineStr">
        <is>
          <t>② Leviers &amp; hypothèses  —  varie en % · bascule par scénario (colonne ACTIF = scénario choisi)</t>
        </is>
      </c>
      <c r="C13" s="4" t="n"/>
      <c r="D13" s="4" t="n"/>
      <c r="E13" s="4" t="n"/>
      <c r="F13" s="4" t="n"/>
      <c r="G13" s="4" t="n"/>
      <c r="H13" s="4" t="n"/>
      <c r="J13" s="8" t="inlineStr">
        <is>
          <t>ISCOM</t>
        </is>
      </c>
      <c r="K13" s="22" t="inlineStr">
        <is>
          <t>Toulouse</t>
        </is>
      </c>
      <c r="L13" s="23" t="n">
        <v>1</v>
      </c>
      <c r="M13" s="23" t="n">
        <v>1.2</v>
      </c>
      <c r="N13" s="9">
        <f>IF(L13&gt;=1.15,"Pousser",IF(L13&lt;=0.85,"Défendre","Maintenir"))</f>
        <v/>
      </c>
      <c r="O13" s="9">
        <f>J13&amp;"|"&amp;K13</f>
        <v/>
      </c>
    </row>
    <row r="14">
      <c r="J14" s="8" t="inlineStr">
        <is>
          <t>Ipac Bachelor Factory</t>
        </is>
      </c>
      <c r="K14" s="22" t="inlineStr">
        <is>
          <t>Nantes</t>
        </is>
      </c>
      <c r="L14" s="23" t="n">
        <v>1.3</v>
      </c>
      <c r="M14" s="23" t="n">
        <v>0.8</v>
      </c>
      <c r="N14" s="9">
        <f>IF(L14&gt;=1.15,"Pousser",IF(L14&lt;=0.85,"Défendre","Maintenir"))</f>
        <v/>
      </c>
      <c r="O14" s="9">
        <f>J14&amp;"|"&amp;K14</f>
        <v/>
      </c>
    </row>
    <row r="15">
      <c r="B15" s="17" t="inlineStr">
        <is>
          <t>Paramètre</t>
        </is>
      </c>
      <c r="C15" s="17" t="inlineStr">
        <is>
          <t>Unité</t>
        </is>
      </c>
      <c r="D15" s="17" t="inlineStr">
        <is>
          <t>Base (atterr.)</t>
        </is>
      </c>
      <c r="E15" s="17" t="inlineStr">
        <is>
          <t>Cadrage</t>
        </is>
      </c>
      <c r="F15" s="17" t="inlineStr">
        <is>
          <t>Optimiste</t>
        </is>
      </c>
      <c r="G15" s="17" t="inlineStr">
        <is>
          <t>Prudent</t>
        </is>
      </c>
      <c r="H15" s="27" t="inlineStr">
        <is>
          <t>ACTIF</t>
        </is>
      </c>
      <c r="J15" s="8" t="inlineStr">
        <is>
          <t>Ipac Bachelor Factory</t>
        </is>
      </c>
      <c r="K15" s="22" t="inlineStr">
        <is>
          <t>Rennes</t>
        </is>
      </c>
      <c r="L15" s="23" t="n">
        <v>1.3</v>
      </c>
      <c r="M15" s="23" t="n">
        <v>0.8</v>
      </c>
      <c r="N15" s="9">
        <f>IF(L15&gt;=1.15,"Pousser",IF(L15&lt;=0.85,"Défendre","Maintenir"))</f>
        <v/>
      </c>
      <c r="O15" s="9">
        <f>J15&amp;"|"&amp;K15</f>
        <v/>
      </c>
    </row>
    <row r="16">
      <c r="B16" s="8" t="inlineStr">
        <is>
          <t>Variation du budget marketing (→ volume)</t>
        </is>
      </c>
      <c r="C16" s="22" t="inlineStr">
        <is>
          <t>%</t>
        </is>
      </c>
      <c r="D16" s="28" t="n">
        <v>0</v>
      </c>
      <c r="E16" s="29" t="n">
        <v>0.1</v>
      </c>
      <c r="F16" s="29" t="n">
        <v>0.2</v>
      </c>
      <c r="G16" s="29" t="n">
        <v>-0.05</v>
      </c>
      <c r="H16" s="30">
        <f>INDEX(E16:G16,MATCH($D$3,$E$15:$G$15,0))</f>
        <v/>
      </c>
      <c r="J16" s="8" t="inlineStr">
        <is>
          <t>Ipac Bachelor Factory</t>
        </is>
      </c>
      <c r="K16" s="22" t="inlineStr">
        <is>
          <t>Montpellier</t>
        </is>
      </c>
      <c r="L16" s="23" t="n">
        <v>1.3</v>
      </c>
      <c r="M16" s="23" t="n">
        <v>0.8</v>
      </c>
      <c r="N16" s="9">
        <f>IF(L16&gt;=1.15,"Pousser",IF(L16&lt;=0.85,"Défendre","Maintenir"))</f>
        <v/>
      </c>
      <c r="O16" s="9">
        <f>J16&amp;"|"&amp;K16</f>
        <v/>
      </c>
    </row>
    <row r="17">
      <c r="B17" s="8" t="inlineStr">
        <is>
          <t>Hausse tarifaire (prix)</t>
        </is>
      </c>
      <c r="C17" s="22" t="inlineStr">
        <is>
          <t>%</t>
        </is>
      </c>
      <c r="D17" s="28" t="n">
        <v>0</v>
      </c>
      <c r="E17" s="29" t="n">
        <v>0.03</v>
      </c>
      <c r="F17" s="29" t="n">
        <v>0.04</v>
      </c>
      <c r="G17" s="29" t="n">
        <v>0.02</v>
      </c>
      <c r="H17" s="30">
        <f>INDEX(E17:G17,MATCH($D$3,$E$15:$G$15,0))</f>
        <v/>
      </c>
      <c r="J17" s="8" t="inlineStr">
        <is>
          <t>Pigier</t>
        </is>
      </c>
      <c r="K17" s="22" t="inlineStr">
        <is>
          <t>Lyon</t>
        </is>
      </c>
      <c r="L17" s="23" t="n">
        <v>0.7</v>
      </c>
      <c r="M17" s="23" t="n">
        <v>1</v>
      </c>
      <c r="N17" s="9">
        <f>IF(L17&gt;=1.15,"Pousser",IF(L17&lt;=0.85,"Défendre","Maintenir"))</f>
        <v/>
      </c>
      <c r="O17" s="9">
        <f>J17&amp;"|"&amp;K17</f>
        <v/>
      </c>
    </row>
    <row r="18">
      <c r="B18" s="8" t="inlineStr">
        <is>
          <t>Gain de conversion admissions</t>
        </is>
      </c>
      <c r="C18" s="22" t="inlineStr">
        <is>
          <t>pts</t>
        </is>
      </c>
      <c r="D18" s="28" t="n">
        <v>0</v>
      </c>
      <c r="E18" s="29" t="n">
        <v>0.015</v>
      </c>
      <c r="F18" s="29" t="n">
        <v>0.04</v>
      </c>
      <c r="G18" s="29" t="n">
        <v>0</v>
      </c>
      <c r="H18" s="30">
        <f>INDEX(E18:G18,MATCH($D$3,$E$15:$G$15,0))</f>
        <v/>
      </c>
      <c r="J18" s="8" t="inlineStr">
        <is>
          <t>Pigier</t>
        </is>
      </c>
      <c r="K18" s="22" t="inlineStr">
        <is>
          <t>Bordeaux</t>
        </is>
      </c>
      <c r="L18" s="23" t="n">
        <v>0.7</v>
      </c>
      <c r="M18" s="23" t="n">
        <v>1</v>
      </c>
      <c r="N18" s="9">
        <f>IF(L18&gt;=1.15,"Pousser",IF(L18&lt;=0.85,"Défendre","Maintenir"))</f>
        <v/>
      </c>
      <c r="O18" s="9">
        <f>J18&amp;"|"&amp;K18</f>
        <v/>
      </c>
    </row>
    <row r="19">
      <c r="B19" s="8" t="inlineStr">
        <is>
          <t>Amélioration du taux de passage</t>
        </is>
      </c>
      <c r="C19" s="22" t="inlineStr">
        <is>
          <t>pts</t>
        </is>
      </c>
      <c r="D19" s="28" t="n">
        <v>0</v>
      </c>
      <c r="E19" s="29" t="n">
        <v>0.01</v>
      </c>
      <c r="F19" s="29" t="n">
        <v>0.03</v>
      </c>
      <c r="G19" s="29" t="n">
        <v>-0.01</v>
      </c>
      <c r="H19" s="30">
        <f>INDEX(E19:G19,MATCH($D$3,$E$15:$G$15,0))</f>
        <v/>
      </c>
      <c r="J19" s="8" t="inlineStr">
        <is>
          <t>Tunon</t>
        </is>
      </c>
      <c r="K19" s="22" t="inlineStr">
        <is>
          <t>Paris</t>
        </is>
      </c>
      <c r="L19" s="23" t="n">
        <v>1</v>
      </c>
      <c r="M19" s="23" t="n">
        <v>1.1</v>
      </c>
      <c r="N19" s="9">
        <f>IF(L19&gt;=1.15,"Pousser",IF(L19&lt;=0.85,"Défendre","Maintenir"))</f>
        <v/>
      </c>
      <c r="O19" s="9">
        <f>J19&amp;"|"&amp;K19</f>
        <v/>
      </c>
    </row>
    <row r="20">
      <c r="B20" s="8" t="inlineStr">
        <is>
          <t>Inflation des charges (groupe)</t>
        </is>
      </c>
      <c r="C20" s="22" t="inlineStr">
        <is>
          <t>%</t>
        </is>
      </c>
      <c r="D20" s="28" t="n">
        <v>0</v>
      </c>
      <c r="E20" s="29" t="n">
        <v>0.02</v>
      </c>
      <c r="F20" s="29" t="n">
        <v>0.015</v>
      </c>
      <c r="G20" s="29" t="n">
        <v>0.03</v>
      </c>
      <c r="H20" s="30">
        <f>INDEX(E20:G20,MATCH($D$3,$E$15:$G$15,0))</f>
        <v/>
      </c>
      <c r="J20" s="8" t="inlineStr">
        <is>
          <t>Tunon</t>
        </is>
      </c>
      <c r="K20" s="22" t="inlineStr">
        <is>
          <t>Lyon</t>
        </is>
      </c>
      <c r="L20" s="23" t="n">
        <v>1</v>
      </c>
      <c r="M20" s="23" t="n">
        <v>1.1</v>
      </c>
      <c r="N20" s="9">
        <f>IF(L20&gt;=1.15,"Pousser",IF(L20&lt;=0.85,"Défendre","Maintenir"))</f>
        <v/>
      </c>
      <c r="O20" s="9">
        <f>J20&amp;"|"&amp;K20</f>
        <v/>
      </c>
    </row>
    <row r="21">
      <c r="B21" s="8" t="inlineStr">
        <is>
          <t>Politique salariale (groupe)</t>
        </is>
      </c>
      <c r="C21" s="22" t="inlineStr">
        <is>
          <t>%</t>
        </is>
      </c>
      <c r="D21" s="28" t="n">
        <v>0</v>
      </c>
      <c r="E21" s="29" t="n">
        <v>0.025</v>
      </c>
      <c r="F21" s="29" t="n">
        <v>0.02</v>
      </c>
      <c r="G21" s="29" t="n">
        <v>0.03</v>
      </c>
      <c r="H21" s="30">
        <f>INDEX(E21:G21,MATCH($D$3,$E$15:$G$15,0))</f>
        <v/>
      </c>
    </row>
    <row r="22" ht="20" customHeight="1">
      <c r="B22" s="3" t="inlineStr">
        <is>
          <t>Constantes de référence (au dernier atterrissage · scénarisables)</t>
        </is>
      </c>
      <c r="C22" s="4" t="n"/>
      <c r="D22" s="4" t="n"/>
      <c r="E22" s="4" t="n"/>
      <c r="F22" s="4" t="n"/>
      <c r="G22" s="4" t="n"/>
      <c r="H22" s="4" t="n"/>
    </row>
    <row r="23">
      <c r="B23" s="8" t="inlineStr">
        <is>
          <t>Coût chargé / ETP permanent</t>
        </is>
      </c>
      <c r="C23" s="22" t="inlineStr">
        <is>
          <t>€</t>
        </is>
      </c>
      <c r="D23" s="31" t="n">
        <v>58000</v>
      </c>
      <c r="E23" s="32">
        <f>D23</f>
        <v/>
      </c>
      <c r="F23" s="32">
        <f>D23</f>
        <v/>
      </c>
      <c r="G23" s="32">
        <f>D23</f>
        <v/>
      </c>
      <c r="H23" s="33">
        <f>INDEX(E23:G23,MATCH($D$3,$E$15:$G$15,0))</f>
        <v/>
      </c>
    </row>
    <row r="24">
      <c r="B24" s="8" t="inlineStr">
        <is>
          <t>Frais de dossier / nouvel inscrit</t>
        </is>
      </c>
      <c r="C24" s="22" t="inlineStr">
        <is>
          <t>€</t>
        </is>
      </c>
      <c r="D24" s="31" t="n">
        <v>90</v>
      </c>
      <c r="E24" s="32">
        <f>D24</f>
        <v/>
      </c>
      <c r="F24" s="32">
        <f>D24</f>
        <v/>
      </c>
      <c r="G24" s="32">
        <f>D24</f>
        <v/>
      </c>
      <c r="H24" s="33">
        <f>INDEX(E24:G24,MATCH($D$3,$E$15:$G$15,0))</f>
        <v/>
      </c>
    </row>
    <row r="25">
      <c r="B25" s="8" t="inlineStr">
        <is>
          <t>Frais de structure &amp; marketing groupe (FIXE)</t>
        </is>
      </c>
      <c r="C25" s="22" t="inlineStr">
        <is>
          <t>€</t>
        </is>
      </c>
      <c r="D25" s="31" t="n">
        <v>2000000</v>
      </c>
      <c r="E25" s="32">
        <f>D25</f>
        <v/>
      </c>
      <c r="F25" s="32">
        <f>D25</f>
        <v/>
      </c>
      <c r="G25" s="32">
        <f>D25</f>
        <v/>
      </c>
      <c r="H25" s="33">
        <f>INDEX(E25:G25,MATCH($D$3,$E$15:$G$15,0))</f>
        <v/>
      </c>
    </row>
    <row r="26">
      <c r="B26" s="8" t="inlineStr">
        <is>
          <t>Recouvrement reste à charge (employeur)</t>
        </is>
      </c>
      <c r="C26" s="22" t="inlineStr">
        <is>
          <t>%</t>
        </is>
      </c>
      <c r="D26" s="34" t="n">
        <v>1</v>
      </c>
      <c r="E26" s="28">
        <f>D26</f>
        <v/>
      </c>
      <c r="F26" s="28">
        <f>D26</f>
        <v/>
      </c>
      <c r="G26" s="28">
        <f>D26</f>
        <v/>
      </c>
      <c r="H26" s="30">
        <f>INDEX(E26:G26,MATCH($D$3,$E$15:$G$15,0))</f>
        <v/>
      </c>
    </row>
    <row r="27">
      <c r="B27" s="8" t="inlineStr">
        <is>
          <t>Autres charges d'exploitation / étudiant</t>
        </is>
      </c>
      <c r="C27" s="22" t="inlineStr">
        <is>
          <t>€</t>
        </is>
      </c>
      <c r="D27" s="31" t="n">
        <v>934</v>
      </c>
      <c r="E27" s="32">
        <f>D27</f>
        <v/>
      </c>
      <c r="F27" s="32">
        <f>D27</f>
        <v/>
      </c>
      <c r="G27" s="32">
        <f>D27</f>
        <v/>
      </c>
      <c r="H27" s="33">
        <f>INDEX(E27:G27,MATCH($D$3,$E$15:$G$15,0))</f>
        <v/>
      </c>
    </row>
    <row r="28">
      <c r="B28" s="8" t="inlineStr">
        <is>
          <t>Sécurisation contrat (défaut, ≤3 mois)</t>
        </is>
      </c>
      <c r="C28" s="22" t="inlineStr">
        <is>
          <t>%</t>
        </is>
      </c>
      <c r="D28" s="34" t="n">
        <v>0.86</v>
      </c>
      <c r="E28" s="28">
        <f>D28</f>
        <v/>
      </c>
      <c r="F28" s="28">
        <f>D28</f>
        <v/>
      </c>
      <c r="G28" s="28">
        <f>D28</f>
        <v/>
      </c>
      <c r="H28" s="30">
        <f>INDEX(E28:G28,MATCH($D$3,$E$15:$G$15,0))</f>
        <v/>
      </c>
    </row>
    <row r="29">
      <c r="B29" s="8" t="inlineStr">
        <is>
          <t>Élasticité marketing (défaut)</t>
        </is>
      </c>
      <c r="C29" s="22" t="inlineStr">
        <is>
          <t>x</t>
        </is>
      </c>
      <c r="D29" s="35" t="n">
        <v>0.5</v>
      </c>
      <c r="E29" s="36">
        <f>D29</f>
        <v/>
      </c>
      <c r="F29" s="36">
        <f>D29</f>
        <v/>
      </c>
      <c r="G29" s="36">
        <f>D29</f>
        <v/>
      </c>
      <c r="H29" s="37">
        <f>INDEX(E29:G29,MATCH($D$3,$E$15:$G$15,0))</f>
        <v/>
      </c>
    </row>
    <row r="30">
      <c r="B30" s="8" t="inlineStr">
        <is>
          <t>Conversion cand.→inscrit (défaut)</t>
        </is>
      </c>
      <c r="C30" s="22" t="inlineStr">
        <is>
          <t>%</t>
        </is>
      </c>
      <c r="D30" s="34" t="n">
        <v>0.372</v>
      </c>
      <c r="E30" s="28">
        <f>D30</f>
        <v/>
      </c>
      <c r="F30" s="28">
        <f>D30</f>
        <v/>
      </c>
      <c r="G30" s="28">
        <f>D30</f>
        <v/>
      </c>
      <c r="H30" s="30">
        <f>INDEX(E30:G30,MATCH($D$3,$E$15:$G$15,0))</f>
        <v/>
      </c>
    </row>
    <row r="32">
      <c r="B32" s="15" t="inlineStr">
        <is>
          <t>Driver d'allocation de la structure :</t>
        </is>
      </c>
      <c r="D32" s="16" t="inlineStr">
        <is>
          <t>Effectifs</t>
        </is>
      </c>
    </row>
  </sheetData>
  <mergeCells count="8">
    <mergeCell ref="B22:H22"/>
    <mergeCell ref="J5:O5"/>
    <mergeCell ref="E3:H3"/>
    <mergeCell ref="B13:H13"/>
    <mergeCell ref="B5:G5"/>
    <mergeCell ref="B2:H2"/>
    <mergeCell ref="B11:E11"/>
    <mergeCell ref="B32:C32"/>
  </mergeCells>
  <dataValidations count="2">
    <dataValidation sqref="D3" showDropDown="0" showInputMessage="0" showErrorMessage="0" allowBlank="0" type="list">
      <formula1>"Cadrage,Optimiste,Prudent"</formula1>
    </dataValidation>
    <dataValidation sqref="D32" showDropDown="0" showInputMessage="0" showErrorMessage="0" allowBlank="0" type="list">
      <formula1>"Effectifs,Chiffre d'affaires,Surface m2"</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1"/>
    <row r="2" ht="26" customHeight="1">
      <c r="B2" s="1" t="inlineStr">
        <is>
          <t>Référentiel — dimensions</t>
        </is>
      </c>
    </row>
    <row r="4" ht="20" customHeight="1">
      <c r="B4" s="3" t="inlineStr">
        <is>
          <t>Entités : Groupe → Marque → Campus</t>
        </is>
      </c>
      <c r="C4" s="4" t="n"/>
      <c r="D4" s="4" t="n"/>
      <c r="E4" s="4" t="n"/>
      <c r="F4" s="4" t="n"/>
    </row>
    <row r="5">
      <c r="B5" s="17" t="inlineStr">
        <is>
          <t>Marque</t>
        </is>
      </c>
      <c r="C5" s="17" t="inlineStr">
        <is>
          <t>Ville</t>
        </is>
      </c>
      <c r="D5" s="17" t="inlineStr">
        <is>
          <t>Domaine</t>
        </is>
      </c>
      <c r="E5" s="17" t="inlineStr">
        <is>
          <t>Niveau</t>
        </is>
      </c>
      <c r="F5" s="17" t="inlineStr">
        <is>
          <t>Devise</t>
        </is>
      </c>
    </row>
    <row r="6">
      <c r="B6" s="38" t="inlineStr">
        <is>
          <t>EDUSERVICES GROUP</t>
        </is>
      </c>
      <c r="C6" s="39" t="inlineStr">
        <is>
          <t>—</t>
        </is>
      </c>
      <c r="D6" s="39" t="inlineStr">
        <is>
          <t>Tous</t>
        </is>
      </c>
      <c r="E6" s="40" t="inlineStr">
        <is>
          <t>Groupe</t>
        </is>
      </c>
      <c r="F6" s="39" t="inlineStr">
        <is>
          <t>EUR</t>
        </is>
      </c>
    </row>
    <row r="7">
      <c r="B7" s="41" t="inlineStr">
        <is>
          <t>MBway</t>
        </is>
      </c>
      <c r="C7" s="7" t="inlineStr">
        <is>
          <t>Paris</t>
        </is>
      </c>
      <c r="D7" s="22" t="inlineStr">
        <is>
          <t>Management</t>
        </is>
      </c>
      <c r="E7" s="22" t="inlineStr">
        <is>
          <t>Campus</t>
        </is>
      </c>
      <c r="F7" s="22" t="inlineStr">
        <is>
          <t>EUR</t>
        </is>
      </c>
    </row>
    <row r="8">
      <c r="B8" s="41" t="inlineStr">
        <is>
          <t>MBway</t>
        </is>
      </c>
      <c r="C8" s="7" t="inlineStr">
        <is>
          <t>Lyon</t>
        </is>
      </c>
      <c r="D8" s="22" t="inlineStr">
        <is>
          <t>Management</t>
        </is>
      </c>
      <c r="E8" s="22" t="inlineStr">
        <is>
          <t>Campus</t>
        </is>
      </c>
      <c r="F8" s="22" t="inlineStr">
        <is>
          <t>EUR</t>
        </is>
      </c>
    </row>
    <row r="9">
      <c r="B9" s="41" t="inlineStr">
        <is>
          <t>MBway</t>
        </is>
      </c>
      <c r="C9" s="7" t="inlineStr">
        <is>
          <t>Nantes</t>
        </is>
      </c>
      <c r="D9" s="22" t="inlineStr">
        <is>
          <t>Management</t>
        </is>
      </c>
      <c r="E9" s="22" t="inlineStr">
        <is>
          <t>Campus</t>
        </is>
      </c>
      <c r="F9" s="22" t="inlineStr">
        <is>
          <t>EUR</t>
        </is>
      </c>
    </row>
    <row r="10">
      <c r="B10" s="41" t="inlineStr">
        <is>
          <t>MBway</t>
        </is>
      </c>
      <c r="C10" s="7" t="inlineStr">
        <is>
          <t>Bordeaux</t>
        </is>
      </c>
      <c r="D10" s="22" t="inlineStr">
        <is>
          <t>Management</t>
        </is>
      </c>
      <c r="E10" s="22" t="inlineStr">
        <is>
          <t>Campus</t>
        </is>
      </c>
      <c r="F10" s="22" t="inlineStr">
        <is>
          <t>EUR</t>
        </is>
      </c>
    </row>
    <row r="11">
      <c r="B11" s="41" t="inlineStr">
        <is>
          <t>ISCOM</t>
        </is>
      </c>
      <c r="C11" s="7" t="inlineStr">
        <is>
          <t>Paris</t>
        </is>
      </c>
      <c r="D11" s="22" t="inlineStr">
        <is>
          <t>Communication</t>
        </is>
      </c>
      <c r="E11" s="22" t="inlineStr">
        <is>
          <t>Campus</t>
        </is>
      </c>
      <c r="F11" s="22" t="inlineStr">
        <is>
          <t>EUR</t>
        </is>
      </c>
    </row>
    <row r="12">
      <c r="B12" s="41" t="inlineStr">
        <is>
          <t>ISCOM</t>
        </is>
      </c>
      <c r="C12" s="7" t="inlineStr">
        <is>
          <t>Lille</t>
        </is>
      </c>
      <c r="D12" s="22" t="inlineStr">
        <is>
          <t>Communication</t>
        </is>
      </c>
      <c r="E12" s="22" t="inlineStr">
        <is>
          <t>Campus</t>
        </is>
      </c>
      <c r="F12" s="22" t="inlineStr">
        <is>
          <t>EUR</t>
        </is>
      </c>
    </row>
    <row r="13">
      <c r="B13" s="41" t="inlineStr">
        <is>
          <t>ISCOM</t>
        </is>
      </c>
      <c r="C13" s="7" t="inlineStr">
        <is>
          <t>Toulouse</t>
        </is>
      </c>
      <c r="D13" s="22" t="inlineStr">
        <is>
          <t>Communication</t>
        </is>
      </c>
      <c r="E13" s="22" t="inlineStr">
        <is>
          <t>Campus</t>
        </is>
      </c>
      <c r="F13" s="22" t="inlineStr">
        <is>
          <t>EUR</t>
        </is>
      </c>
    </row>
    <row r="14">
      <c r="B14" s="41" t="inlineStr">
        <is>
          <t>Ipac Bachelor Factory</t>
        </is>
      </c>
      <c r="C14" s="7" t="inlineStr">
        <is>
          <t>Nantes</t>
        </is>
      </c>
      <c r="D14" s="22" t="inlineStr">
        <is>
          <t>Commerce</t>
        </is>
      </c>
      <c r="E14" s="22" t="inlineStr">
        <is>
          <t>Campus</t>
        </is>
      </c>
      <c r="F14" s="22" t="inlineStr">
        <is>
          <t>EUR</t>
        </is>
      </c>
    </row>
    <row r="15">
      <c r="B15" s="41" t="inlineStr">
        <is>
          <t>Ipac Bachelor Factory</t>
        </is>
      </c>
      <c r="C15" s="7" t="inlineStr">
        <is>
          <t>Rennes</t>
        </is>
      </c>
      <c r="D15" s="22" t="inlineStr">
        <is>
          <t>Commerce</t>
        </is>
      </c>
      <c r="E15" s="22" t="inlineStr">
        <is>
          <t>Campus</t>
        </is>
      </c>
      <c r="F15" s="22" t="inlineStr">
        <is>
          <t>EUR</t>
        </is>
      </c>
    </row>
    <row r="16">
      <c r="B16" s="41" t="inlineStr">
        <is>
          <t>Ipac Bachelor Factory</t>
        </is>
      </c>
      <c r="C16" s="7" t="inlineStr">
        <is>
          <t>Montpellier</t>
        </is>
      </c>
      <c r="D16" s="22" t="inlineStr">
        <is>
          <t>Commerce</t>
        </is>
      </c>
      <c r="E16" s="22" t="inlineStr">
        <is>
          <t>Campus</t>
        </is>
      </c>
      <c r="F16" s="22" t="inlineStr">
        <is>
          <t>EUR</t>
        </is>
      </c>
    </row>
    <row r="17">
      <c r="B17" s="41" t="inlineStr">
        <is>
          <t>Pigier</t>
        </is>
      </c>
      <c r="C17" s="7" t="inlineStr">
        <is>
          <t>Lyon</t>
        </is>
      </c>
      <c r="D17" s="22" t="inlineStr">
        <is>
          <t>Commerce/RH</t>
        </is>
      </c>
      <c r="E17" s="22" t="inlineStr">
        <is>
          <t>Campus</t>
        </is>
      </c>
      <c r="F17" s="22" t="inlineStr">
        <is>
          <t>EUR</t>
        </is>
      </c>
    </row>
    <row r="18">
      <c r="B18" s="41" t="inlineStr">
        <is>
          <t>Pigier</t>
        </is>
      </c>
      <c r="C18" s="7" t="inlineStr">
        <is>
          <t>Bordeaux</t>
        </is>
      </c>
      <c r="D18" s="22" t="inlineStr">
        <is>
          <t>Commerce/RH</t>
        </is>
      </c>
      <c r="E18" s="22" t="inlineStr">
        <is>
          <t>Campus</t>
        </is>
      </c>
      <c r="F18" s="22" t="inlineStr">
        <is>
          <t>EUR</t>
        </is>
      </c>
    </row>
    <row r="19">
      <c r="B19" s="41" t="inlineStr">
        <is>
          <t>Tunon</t>
        </is>
      </c>
      <c r="C19" s="7" t="inlineStr">
        <is>
          <t>Paris</t>
        </is>
      </c>
      <c r="D19" s="22" t="inlineStr">
        <is>
          <t>Tourisme</t>
        </is>
      </c>
      <c r="E19" s="22" t="inlineStr">
        <is>
          <t>Campus</t>
        </is>
      </c>
      <c r="F19" s="22" t="inlineStr">
        <is>
          <t>EUR</t>
        </is>
      </c>
    </row>
    <row r="20">
      <c r="B20" s="41" t="inlineStr">
        <is>
          <t>Tunon</t>
        </is>
      </c>
      <c r="C20" s="7" t="inlineStr">
        <is>
          <t>Lyon</t>
        </is>
      </c>
      <c r="D20" s="22" t="inlineStr">
        <is>
          <t>Tourisme</t>
        </is>
      </c>
      <c r="E20" s="22" t="inlineStr">
        <is>
          <t>Campus</t>
        </is>
      </c>
      <c r="F20" s="22" t="inlineStr">
        <is>
          <t>EUR</t>
        </is>
      </c>
    </row>
    <row r="22" ht="20" customHeight="1">
      <c r="B22" s="3" t="inlineStr">
        <is>
          <t>Comptes (nature fixe/variable)</t>
        </is>
      </c>
      <c r="C22" s="4" t="n"/>
      <c r="D22" s="4" t="n"/>
      <c r="E22" s="4" t="n"/>
      <c r="F22" s="4" t="n"/>
    </row>
    <row r="23">
      <c r="B23" s="17" t="inlineStr">
        <is>
          <t>Compte</t>
        </is>
      </c>
      <c r="C23" s="17" t="inlineStr">
        <is>
          <t>Libellé</t>
        </is>
      </c>
      <c r="D23" s="17" t="inlineStr">
        <is>
          <t>Rubrique</t>
        </is>
      </c>
      <c r="E23" s="17" t="inlineStr">
        <is>
          <t>Nature</t>
        </is>
      </c>
      <c r="F23" s="17" t="inlineStr">
        <is>
          <t>Inducteur</t>
        </is>
      </c>
    </row>
    <row r="24">
      <c r="B24" s="41" t="inlineStr">
        <is>
          <t>70600</t>
        </is>
      </c>
      <c r="C24" s="8" t="inlineStr">
        <is>
          <t>Scolarité</t>
        </is>
      </c>
      <c r="D24" s="22" t="inlineStr">
        <is>
          <t>CA</t>
        </is>
      </c>
      <c r="E24" s="22" t="inlineStr">
        <is>
          <t>—</t>
        </is>
      </c>
      <c r="F24" s="8" t="inlineStr">
        <is>
          <t>Effectif × tarif</t>
        </is>
      </c>
    </row>
    <row r="25">
      <c r="B25" s="41" t="inlineStr">
        <is>
          <t>70800</t>
        </is>
      </c>
      <c r="C25" s="8" t="inlineStr">
        <is>
          <t>Frais de dossier</t>
        </is>
      </c>
      <c r="D25" s="22" t="inlineStr">
        <is>
          <t>CA</t>
        </is>
      </c>
      <c r="E25" s="22" t="inlineStr">
        <is>
          <t>—</t>
        </is>
      </c>
      <c r="F25" s="8" t="inlineStr">
        <is>
          <t>Nouveaux</t>
        </is>
      </c>
    </row>
    <row r="26">
      <c r="B26" s="41" t="inlineStr">
        <is>
          <t>64100</t>
        </is>
      </c>
      <c r="C26" s="8" t="inlineStr">
        <is>
          <t>Enseignement</t>
        </is>
      </c>
      <c r="D26" s="22" t="inlineStr">
        <is>
          <t>Coût direct</t>
        </is>
      </c>
      <c r="E26" s="22" t="inlineStr">
        <is>
          <t>Semi-fixe/classe</t>
        </is>
      </c>
      <c r="F26" s="8" t="inlineStr">
        <is>
          <t>Classes × heures</t>
        </is>
      </c>
    </row>
    <row r="27">
      <c r="B27" s="41" t="inlineStr">
        <is>
          <t>60700</t>
        </is>
      </c>
      <c r="C27" s="8" t="inlineStr">
        <is>
          <t>Pédagogie</t>
        </is>
      </c>
      <c r="D27" s="22" t="inlineStr">
        <is>
          <t>Coût direct</t>
        </is>
      </c>
      <c r="E27" s="22" t="inlineStr">
        <is>
          <t>Variable</t>
        </is>
      </c>
      <c r="F27" s="8" t="inlineStr">
        <is>
          <t>Effectif</t>
        </is>
      </c>
    </row>
    <row r="28">
      <c r="B28" s="41" t="inlineStr">
        <is>
          <t>62300</t>
        </is>
      </c>
      <c r="C28" s="8" t="inlineStr">
        <is>
          <t>Marketing</t>
        </is>
      </c>
      <c r="D28" s="22" t="inlineStr">
        <is>
          <t>Coût direct</t>
        </is>
      </c>
      <c r="E28" s="22" t="inlineStr">
        <is>
          <t>Variable</t>
        </is>
      </c>
      <c r="F28" s="8" t="inlineStr">
        <is>
          <t>Nouveaux / budget</t>
        </is>
      </c>
    </row>
    <row r="29">
      <c r="B29" s="41" t="inlineStr">
        <is>
          <t>61300</t>
        </is>
      </c>
      <c r="C29" s="8" t="inlineStr">
        <is>
          <t>Loyers</t>
        </is>
      </c>
      <c r="D29" s="22" t="inlineStr">
        <is>
          <t>Structure</t>
        </is>
      </c>
      <c r="E29" s="22" t="inlineStr">
        <is>
          <t>Fixe</t>
        </is>
      </c>
      <c r="F29" s="8" t="inlineStr">
        <is>
          <t>Campus</t>
        </is>
      </c>
    </row>
    <row r="30">
      <c r="B30" s="41" t="inlineStr">
        <is>
          <t>64000</t>
        </is>
      </c>
      <c r="C30" s="8" t="inlineStr">
        <is>
          <t>Personnel permanent</t>
        </is>
      </c>
      <c r="D30" s="22" t="inlineStr">
        <is>
          <t>Structure</t>
        </is>
      </c>
      <c r="E30" s="22" t="inlineStr">
        <is>
          <t>Fixe</t>
        </is>
      </c>
      <c r="F30" s="8" t="inlineStr">
        <is>
          <t>ETP</t>
        </is>
      </c>
    </row>
    <row r="31">
      <c r="B31" s="41" t="inlineStr">
        <is>
          <t>65000</t>
        </is>
      </c>
      <c r="C31" s="8" t="inlineStr">
        <is>
          <t>Structure groupe</t>
        </is>
      </c>
      <c r="D31" s="22" t="inlineStr">
        <is>
          <t>Structure</t>
        </is>
      </c>
      <c r="E31" s="22" t="inlineStr">
        <is>
          <t>Fixe (alloué)</t>
        </is>
      </c>
      <c r="F31" s="8" t="inlineStr">
        <is>
          <t>Driver</t>
        </is>
      </c>
    </row>
    <row r="32">
      <c r="B32" s="41" t="inlineStr">
        <is>
          <t>68000</t>
        </is>
      </c>
      <c r="C32" s="8" t="inlineStr">
        <is>
          <t>D&amp;A</t>
        </is>
      </c>
      <c r="D32" s="22" t="inlineStr">
        <is>
          <t>D&amp;A</t>
        </is>
      </c>
      <c r="E32" s="22"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7" t="inlineStr">
        <is>
          <t>Clé (prog|année)</t>
        </is>
      </c>
      <c r="B3" s="17" t="inlineStr">
        <is>
          <t>Programme</t>
        </is>
      </c>
      <c r="C3" s="17" t="inlineStr">
        <is>
          <t>Année</t>
        </is>
      </c>
      <c r="D3" s="17" t="inlineStr">
        <is>
          <t>Mod.</t>
        </is>
      </c>
      <c r="E3" s="17" t="inlineStr">
        <is>
          <t>Capacité</t>
        </is>
      </c>
      <c r="F3" s="17" t="inlineStr">
        <is>
          <t>Heures/classe</t>
        </is>
      </c>
      <c r="G3" s="17" t="inlineStr">
        <is>
          <t>Taux horaire</t>
        </is>
      </c>
      <c r="H3" s="17" t="inlineStr">
        <is>
          <t>Coût pédago/étu</t>
        </is>
      </c>
      <c r="I3" s="17" t="inlineStr">
        <is>
          <t>CAC variable</t>
        </is>
      </c>
      <c r="J3" s="17" t="inlineStr">
        <is>
          <t>Taux de passage</t>
        </is>
      </c>
    </row>
    <row r="4">
      <c r="A4" s="41" t="inlineStr">
        <is>
          <t>Bachelor Management|B1</t>
        </is>
      </c>
      <c r="B4" s="41" t="inlineStr">
        <is>
          <t>Bachelor Management</t>
        </is>
      </c>
      <c r="C4" s="7" t="inlineStr">
        <is>
          <t>B1</t>
        </is>
      </c>
      <c r="D4" s="7" t="inlineStr">
        <is>
          <t>INIT</t>
        </is>
      </c>
      <c r="E4" s="42" t="n">
        <v>32</v>
      </c>
      <c r="F4" s="42" t="n">
        <v>600</v>
      </c>
      <c r="G4" s="43" t="n">
        <v>58</v>
      </c>
      <c r="H4" s="43" t="n">
        <v>400</v>
      </c>
      <c r="I4" s="43" t="n">
        <v>320</v>
      </c>
      <c r="J4" s="29" t="n"/>
    </row>
    <row r="5">
      <c r="A5" s="41" t="inlineStr">
        <is>
          <t>Bachelor Management|B2</t>
        </is>
      </c>
      <c r="B5" s="41" t="inlineStr">
        <is>
          <t>Bachelor Management</t>
        </is>
      </c>
      <c r="C5" s="7" t="inlineStr">
        <is>
          <t>B2</t>
        </is>
      </c>
      <c r="D5" s="7" t="inlineStr">
        <is>
          <t>ALT</t>
        </is>
      </c>
      <c r="E5" s="42" t="n">
        <v>32</v>
      </c>
      <c r="F5" s="42" t="n">
        <v>560</v>
      </c>
      <c r="G5" s="43" t="n">
        <v>58</v>
      </c>
      <c r="H5" s="43" t="n">
        <v>400</v>
      </c>
      <c r="I5" s="43" t="n">
        <v>0</v>
      </c>
      <c r="J5" s="29" t="n">
        <v>0.93</v>
      </c>
    </row>
    <row r="6">
      <c r="A6" s="41" t="inlineStr">
        <is>
          <t>Bachelor Management|B3</t>
        </is>
      </c>
      <c r="B6" s="41" t="inlineStr">
        <is>
          <t>Bachelor Management</t>
        </is>
      </c>
      <c r="C6" s="7" t="inlineStr">
        <is>
          <t>B3</t>
        </is>
      </c>
      <c r="D6" s="7" t="inlineStr">
        <is>
          <t>ALT</t>
        </is>
      </c>
      <c r="E6" s="42" t="n">
        <v>32</v>
      </c>
      <c r="F6" s="42" t="n">
        <v>520</v>
      </c>
      <c r="G6" s="43" t="n">
        <v>58</v>
      </c>
      <c r="H6" s="43" t="n">
        <v>400</v>
      </c>
      <c r="I6" s="43" t="n">
        <v>0</v>
      </c>
      <c r="J6" s="29" t="n">
        <v>0.95</v>
      </c>
    </row>
    <row r="7">
      <c r="A7" s="41" t="inlineStr">
        <is>
          <t>Mastère Management|M1</t>
        </is>
      </c>
      <c r="B7" s="41" t="inlineStr">
        <is>
          <t>Mastère Management</t>
        </is>
      </c>
      <c r="C7" s="7" t="inlineStr">
        <is>
          <t>M1</t>
        </is>
      </c>
      <c r="D7" s="7" t="inlineStr">
        <is>
          <t>ALT</t>
        </is>
      </c>
      <c r="E7" s="42" t="n">
        <v>26</v>
      </c>
      <c r="F7" s="42" t="n">
        <v>480</v>
      </c>
      <c r="G7" s="43" t="n">
        <v>70</v>
      </c>
      <c r="H7" s="43" t="n">
        <v>520</v>
      </c>
      <c r="I7" s="43" t="n">
        <v>600</v>
      </c>
      <c r="J7" s="29" t="n"/>
    </row>
    <row r="8">
      <c r="A8" s="41" t="inlineStr">
        <is>
          <t>Mastère Management|M2</t>
        </is>
      </c>
      <c r="B8" s="41" t="inlineStr">
        <is>
          <t>Mastère Management</t>
        </is>
      </c>
      <c r="C8" s="7" t="inlineStr">
        <is>
          <t>M2</t>
        </is>
      </c>
      <c r="D8" s="7" t="inlineStr">
        <is>
          <t>ALT</t>
        </is>
      </c>
      <c r="E8" s="42" t="n">
        <v>26</v>
      </c>
      <c r="F8" s="42" t="n">
        <v>440</v>
      </c>
      <c r="G8" s="43" t="n">
        <v>70</v>
      </c>
      <c r="H8" s="43" t="n">
        <v>520</v>
      </c>
      <c r="I8" s="43" t="n">
        <v>0</v>
      </c>
      <c r="J8" s="29" t="n">
        <v>0.96</v>
      </c>
    </row>
    <row r="9">
      <c r="A9" s="41" t="inlineStr">
        <is>
          <t>Bachelor Communication|B1</t>
        </is>
      </c>
      <c r="B9" s="41" t="inlineStr">
        <is>
          <t>Bachelor Communication</t>
        </is>
      </c>
      <c r="C9" s="7" t="inlineStr">
        <is>
          <t>B1</t>
        </is>
      </c>
      <c r="D9" s="7" t="inlineStr">
        <is>
          <t>INIT</t>
        </is>
      </c>
      <c r="E9" s="42" t="n">
        <v>32</v>
      </c>
      <c r="F9" s="42" t="n">
        <v>600</v>
      </c>
      <c r="G9" s="43" t="n">
        <v>62</v>
      </c>
      <c r="H9" s="43" t="n">
        <v>550</v>
      </c>
      <c r="I9" s="43" t="n">
        <v>320</v>
      </c>
      <c r="J9" s="29" t="n"/>
    </row>
    <row r="10">
      <c r="A10" s="41" t="inlineStr">
        <is>
          <t>Bachelor Communication|B2</t>
        </is>
      </c>
      <c r="B10" s="41" t="inlineStr">
        <is>
          <t>Bachelor Communication</t>
        </is>
      </c>
      <c r="C10" s="7" t="inlineStr">
        <is>
          <t>B2</t>
        </is>
      </c>
      <c r="D10" s="7" t="inlineStr">
        <is>
          <t>ALT</t>
        </is>
      </c>
      <c r="E10" s="42" t="n">
        <v>32</v>
      </c>
      <c r="F10" s="42" t="n">
        <v>560</v>
      </c>
      <c r="G10" s="43" t="n">
        <v>62</v>
      </c>
      <c r="H10" s="43" t="n">
        <v>550</v>
      </c>
      <c r="I10" s="43" t="n">
        <v>0</v>
      </c>
      <c r="J10" s="29" t="n">
        <v>0.93</v>
      </c>
    </row>
    <row r="11">
      <c r="A11" s="41" t="inlineStr">
        <is>
          <t>Bachelor Communication|B3</t>
        </is>
      </c>
      <c r="B11" s="41" t="inlineStr">
        <is>
          <t>Bachelor Communication</t>
        </is>
      </c>
      <c r="C11" s="7" t="inlineStr">
        <is>
          <t>B3</t>
        </is>
      </c>
      <c r="D11" s="7" t="inlineStr">
        <is>
          <t>ALT</t>
        </is>
      </c>
      <c r="E11" s="42" t="n">
        <v>32</v>
      </c>
      <c r="F11" s="42" t="n">
        <v>520</v>
      </c>
      <c r="G11" s="43" t="n">
        <v>62</v>
      </c>
      <c r="H11" s="43" t="n">
        <v>550</v>
      </c>
      <c r="I11" s="43" t="n">
        <v>0</v>
      </c>
      <c r="J11" s="29" t="n">
        <v>0.95</v>
      </c>
    </row>
    <row r="12">
      <c r="A12" s="41" t="inlineStr">
        <is>
          <t>Mastère Communication|M1</t>
        </is>
      </c>
      <c r="B12" s="41" t="inlineStr">
        <is>
          <t>Mastère Communication</t>
        </is>
      </c>
      <c r="C12" s="7" t="inlineStr">
        <is>
          <t>M1</t>
        </is>
      </c>
      <c r="D12" s="7" t="inlineStr">
        <is>
          <t>ALT</t>
        </is>
      </c>
      <c r="E12" s="42" t="n">
        <v>26</v>
      </c>
      <c r="F12" s="42" t="n">
        <v>480</v>
      </c>
      <c r="G12" s="43" t="n">
        <v>74</v>
      </c>
      <c r="H12" s="43" t="n">
        <v>670</v>
      </c>
      <c r="I12" s="43" t="n">
        <v>600</v>
      </c>
      <c r="J12" s="29" t="n"/>
    </row>
    <row r="13">
      <c r="A13" s="41" t="inlineStr">
        <is>
          <t>Mastère Communication|M2</t>
        </is>
      </c>
      <c r="B13" s="41" t="inlineStr">
        <is>
          <t>Mastère Communication</t>
        </is>
      </c>
      <c r="C13" s="7" t="inlineStr">
        <is>
          <t>M2</t>
        </is>
      </c>
      <c r="D13" s="7" t="inlineStr">
        <is>
          <t>ALT</t>
        </is>
      </c>
      <c r="E13" s="42" t="n">
        <v>26</v>
      </c>
      <c r="F13" s="42" t="n">
        <v>440</v>
      </c>
      <c r="G13" s="43" t="n">
        <v>74</v>
      </c>
      <c r="H13" s="43" t="n">
        <v>670</v>
      </c>
      <c r="I13" s="43" t="n">
        <v>0</v>
      </c>
      <c r="J13" s="29" t="n">
        <v>0.96</v>
      </c>
    </row>
    <row r="14">
      <c r="A14" s="41" t="inlineStr">
        <is>
          <t>Bachelor Commerce|B1</t>
        </is>
      </c>
      <c r="B14" s="41" t="inlineStr">
        <is>
          <t>Bachelor Commerce</t>
        </is>
      </c>
      <c r="C14" s="7" t="inlineStr">
        <is>
          <t>B1</t>
        </is>
      </c>
      <c r="D14" s="7" t="inlineStr">
        <is>
          <t>ALT</t>
        </is>
      </c>
      <c r="E14" s="42" t="n">
        <v>32</v>
      </c>
      <c r="F14" s="42" t="n">
        <v>600</v>
      </c>
      <c r="G14" s="43" t="n">
        <v>58</v>
      </c>
      <c r="H14" s="43" t="n">
        <v>380</v>
      </c>
      <c r="I14" s="43" t="n">
        <v>320</v>
      </c>
      <c r="J14" s="29" t="n"/>
    </row>
    <row r="15">
      <c r="A15" s="41" t="inlineStr">
        <is>
          <t>Bachelor Commerce|B2</t>
        </is>
      </c>
      <c r="B15" s="41" t="inlineStr">
        <is>
          <t>Bachelor Commerce</t>
        </is>
      </c>
      <c r="C15" s="7" t="inlineStr">
        <is>
          <t>B2</t>
        </is>
      </c>
      <c r="D15" s="7" t="inlineStr">
        <is>
          <t>ALT</t>
        </is>
      </c>
      <c r="E15" s="42" t="n">
        <v>32</v>
      </c>
      <c r="F15" s="42" t="n">
        <v>560</v>
      </c>
      <c r="G15" s="43" t="n">
        <v>58</v>
      </c>
      <c r="H15" s="43" t="n">
        <v>380</v>
      </c>
      <c r="I15" s="43" t="n">
        <v>0</v>
      </c>
      <c r="J15" s="29" t="n">
        <v>0.93</v>
      </c>
    </row>
    <row r="16">
      <c r="A16" s="41" t="inlineStr">
        <is>
          <t>Bachelor Commerce|B3</t>
        </is>
      </c>
      <c r="B16" s="41" t="inlineStr">
        <is>
          <t>Bachelor Commerce</t>
        </is>
      </c>
      <c r="C16" s="7" t="inlineStr">
        <is>
          <t>B3</t>
        </is>
      </c>
      <c r="D16" s="7" t="inlineStr">
        <is>
          <t>ALT</t>
        </is>
      </c>
      <c r="E16" s="42" t="n">
        <v>32</v>
      </c>
      <c r="F16" s="42" t="n">
        <v>520</v>
      </c>
      <c r="G16" s="43" t="n">
        <v>58</v>
      </c>
      <c r="H16" s="43" t="n">
        <v>380</v>
      </c>
      <c r="I16" s="43" t="n">
        <v>0</v>
      </c>
      <c r="J16" s="29" t="n">
        <v>0.95</v>
      </c>
    </row>
    <row r="17">
      <c r="A17" s="41" t="inlineStr">
        <is>
          <t>BTS Gestion|1</t>
        </is>
      </c>
      <c r="B17" s="41" t="inlineStr">
        <is>
          <t>BTS Gestion</t>
        </is>
      </c>
      <c r="C17" s="7" t="inlineStr">
        <is>
          <t>1</t>
        </is>
      </c>
      <c r="D17" s="7" t="inlineStr">
        <is>
          <t>ALT</t>
        </is>
      </c>
      <c r="E17" s="42" t="n">
        <v>30</v>
      </c>
      <c r="F17" s="42" t="n">
        <v>720</v>
      </c>
      <c r="G17" s="43" t="n">
        <v>55</v>
      </c>
      <c r="H17" s="43" t="n">
        <v>350</v>
      </c>
      <c r="I17" s="43" t="n">
        <v>250</v>
      </c>
      <c r="J17" s="29" t="n"/>
    </row>
    <row r="18">
      <c r="A18" s="41" t="inlineStr">
        <is>
          <t>BTS Gestion|2</t>
        </is>
      </c>
      <c r="B18" s="41" t="inlineStr">
        <is>
          <t>BTS Gestion</t>
        </is>
      </c>
      <c r="C18" s="7" t="inlineStr">
        <is>
          <t>2</t>
        </is>
      </c>
      <c r="D18" s="7" t="inlineStr">
        <is>
          <t>ALT</t>
        </is>
      </c>
      <c r="E18" s="42" t="n">
        <v>30</v>
      </c>
      <c r="F18" s="42" t="n">
        <v>680</v>
      </c>
      <c r="G18" s="43" t="n">
        <v>55</v>
      </c>
      <c r="H18" s="43" t="n">
        <v>350</v>
      </c>
      <c r="I18" s="43" t="n">
        <v>0</v>
      </c>
      <c r="J18" s="29" t="n">
        <v>0.9399999999999999</v>
      </c>
    </row>
    <row r="19">
      <c r="A19" s="41" t="inlineStr">
        <is>
          <t>Bachelor RH|B1</t>
        </is>
      </c>
      <c r="B19" s="41" t="inlineStr">
        <is>
          <t>Bachelor RH</t>
        </is>
      </c>
      <c r="C19" s="7" t="inlineStr">
        <is>
          <t>B1</t>
        </is>
      </c>
      <c r="D19" s="7" t="inlineStr">
        <is>
          <t>ALT</t>
        </is>
      </c>
      <c r="E19" s="42" t="n">
        <v>32</v>
      </c>
      <c r="F19" s="42" t="n">
        <v>600</v>
      </c>
      <c r="G19" s="43" t="n">
        <v>58</v>
      </c>
      <c r="H19" s="43" t="n">
        <v>380</v>
      </c>
      <c r="I19" s="43" t="n">
        <v>320</v>
      </c>
      <c r="J19" s="29" t="n"/>
    </row>
    <row r="20">
      <c r="A20" s="41" t="inlineStr">
        <is>
          <t>Bachelor RH|B3</t>
        </is>
      </c>
      <c r="B20" s="41" t="inlineStr">
        <is>
          <t>Bachelor RH</t>
        </is>
      </c>
      <c r="C20" s="7" t="inlineStr">
        <is>
          <t>B3</t>
        </is>
      </c>
      <c r="D20" s="7" t="inlineStr">
        <is>
          <t>ALT</t>
        </is>
      </c>
      <c r="E20" s="42" t="n">
        <v>32</v>
      </c>
      <c r="F20" s="42" t="n">
        <v>520</v>
      </c>
      <c r="G20" s="43" t="n">
        <v>58</v>
      </c>
      <c r="H20" s="43" t="n">
        <v>380</v>
      </c>
      <c r="I20" s="43" t="n">
        <v>0</v>
      </c>
      <c r="J20" s="29" t="n">
        <v>0.95</v>
      </c>
    </row>
    <row r="21">
      <c r="A21" s="41" t="inlineStr">
        <is>
          <t>Bachelor Tourisme|B1</t>
        </is>
      </c>
      <c r="B21" s="41" t="inlineStr">
        <is>
          <t>Bachelor Tourisme</t>
        </is>
      </c>
      <c r="C21" s="7" t="inlineStr">
        <is>
          <t>B1</t>
        </is>
      </c>
      <c r="D21" s="7" t="inlineStr">
        <is>
          <t>ALT</t>
        </is>
      </c>
      <c r="E21" s="42" t="n">
        <v>32</v>
      </c>
      <c r="F21" s="42" t="n">
        <v>600</v>
      </c>
      <c r="G21" s="43" t="n">
        <v>56</v>
      </c>
      <c r="H21" s="43" t="n">
        <v>450</v>
      </c>
      <c r="I21" s="43" t="n">
        <v>320</v>
      </c>
      <c r="J21" s="29" t="n"/>
    </row>
    <row r="22">
      <c r="A22" s="41" t="inlineStr">
        <is>
          <t>Bachelor Tourisme|B2</t>
        </is>
      </c>
      <c r="B22" s="41" t="inlineStr">
        <is>
          <t>Bachelor Tourisme</t>
        </is>
      </c>
      <c r="C22" s="7" t="inlineStr">
        <is>
          <t>B2</t>
        </is>
      </c>
      <c r="D22" s="7" t="inlineStr">
        <is>
          <t>ALT</t>
        </is>
      </c>
      <c r="E22" s="42" t="n">
        <v>32</v>
      </c>
      <c r="F22" s="42" t="n">
        <v>560</v>
      </c>
      <c r="G22" s="43" t="n">
        <v>56</v>
      </c>
      <c r="H22" s="43" t="n">
        <v>450</v>
      </c>
      <c r="I22" s="43" t="n">
        <v>0</v>
      </c>
      <c r="J22" s="29" t="n">
        <v>0.93</v>
      </c>
    </row>
    <row r="23">
      <c r="A23" s="41" t="inlineStr">
        <is>
          <t>Bachelor Tourisme|B3</t>
        </is>
      </c>
      <c r="B23" s="41" t="inlineStr">
        <is>
          <t>Bachelor Tourisme</t>
        </is>
      </c>
      <c r="C23" s="7" t="inlineStr">
        <is>
          <t>B3</t>
        </is>
      </c>
      <c r="D23" s="7" t="inlineStr">
        <is>
          <t>ALT</t>
        </is>
      </c>
      <c r="E23" s="42" t="n">
        <v>32</v>
      </c>
      <c r="F23" s="42" t="n">
        <v>520</v>
      </c>
      <c r="G23" s="43" t="n">
        <v>56</v>
      </c>
      <c r="H23" s="43" t="n">
        <v>450</v>
      </c>
      <c r="I23" s="43" t="n">
        <v>0</v>
      </c>
      <c r="J23" s="29"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7" t="inlineStr">
        <is>
          <t>Marque</t>
        </is>
      </c>
      <c r="B3" s="17" t="inlineStr">
        <is>
          <t>Ville</t>
        </is>
      </c>
      <c r="C3" s="17" t="inlineStr">
        <is>
          <t>Programme</t>
        </is>
      </c>
      <c r="D3" s="17" t="inlineStr">
        <is>
          <t>Type</t>
        </is>
      </c>
      <c r="E3" s="17" t="inlineStr">
        <is>
          <t>Année</t>
        </is>
      </c>
      <c r="F3" s="17" t="inlineStr">
        <is>
          <t>Mod.</t>
        </is>
      </c>
      <c r="G3" s="17" t="inlineStr">
        <is>
          <t>Entrée</t>
        </is>
      </c>
      <c r="H3" s="17" t="inlineStr">
        <is>
          <t>Cand N-1</t>
        </is>
      </c>
      <c r="I3" s="17" t="inlineStr">
        <is>
          <t>Nouv N-1</t>
        </is>
      </c>
      <c r="J3" s="17" t="inlineStr">
        <is>
          <t>Réins N-1</t>
        </is>
      </c>
      <c r="K3" s="17" t="inlineStr">
        <is>
          <t>Effectif N-1</t>
        </is>
      </c>
      <c r="L3" s="17" t="inlineStr">
        <is>
          <t>Eff. année inf. N-1</t>
        </is>
      </c>
      <c r="M3" s="17" t="inlineStr">
        <is>
          <t>Tarif N-1</t>
        </is>
      </c>
      <c r="N3" s="17" t="inlineStr">
        <is>
          <t>Classes N-1</t>
        </is>
      </c>
    </row>
    <row r="4">
      <c r="A4" s="41" t="inlineStr">
        <is>
          <t>MBway</t>
        </is>
      </c>
      <c r="B4" s="41" t="inlineStr">
        <is>
          <t>Paris</t>
        </is>
      </c>
      <c r="C4" s="41" t="inlineStr">
        <is>
          <t>Bachelor Management</t>
        </is>
      </c>
      <c r="D4" s="41" t="inlineStr">
        <is>
          <t>BAC</t>
        </is>
      </c>
      <c r="E4" s="7" t="inlineStr">
        <is>
          <t>B1</t>
        </is>
      </c>
      <c r="F4" s="7" t="inlineStr">
        <is>
          <t>INIT</t>
        </is>
      </c>
      <c r="G4" s="7" t="n">
        <v>1</v>
      </c>
      <c r="H4" s="42" t="n">
        <v>210</v>
      </c>
      <c r="I4" s="42" t="n">
        <v>78</v>
      </c>
      <c r="J4" s="42" t="n">
        <v>0</v>
      </c>
      <c r="K4" s="42" t="n">
        <v>78</v>
      </c>
      <c r="L4" s="42" t="n">
        <v>0</v>
      </c>
      <c r="M4" s="43" t="n">
        <v>8500</v>
      </c>
      <c r="N4" s="42" t="n">
        <v>3</v>
      </c>
    </row>
    <row r="5">
      <c r="A5" s="41" t="inlineStr">
        <is>
          <t>MBway</t>
        </is>
      </c>
      <c r="B5" s="41" t="inlineStr">
        <is>
          <t>Paris</t>
        </is>
      </c>
      <c r="C5" s="41" t="inlineStr">
        <is>
          <t>Bachelor Management</t>
        </is>
      </c>
      <c r="D5" s="41" t="inlineStr">
        <is>
          <t>BAC</t>
        </is>
      </c>
      <c r="E5" s="7" t="inlineStr">
        <is>
          <t>B2</t>
        </is>
      </c>
      <c r="F5" s="7" t="inlineStr">
        <is>
          <t>ALT</t>
        </is>
      </c>
      <c r="G5" s="7" t="n">
        <v>0</v>
      </c>
      <c r="H5" s="42" t="n">
        <v>0</v>
      </c>
      <c r="I5" s="42" t="n">
        <v>0</v>
      </c>
      <c r="J5" s="42" t="n">
        <v>66</v>
      </c>
      <c r="K5" s="42" t="n">
        <v>66</v>
      </c>
      <c r="L5" s="42" t="n">
        <v>78</v>
      </c>
      <c r="M5" s="43" t="n">
        <v>8000</v>
      </c>
      <c r="N5" s="42" t="n">
        <v>3</v>
      </c>
    </row>
    <row r="6">
      <c r="A6" s="41" t="inlineStr">
        <is>
          <t>MBway</t>
        </is>
      </c>
      <c r="B6" s="41" t="inlineStr">
        <is>
          <t>Paris</t>
        </is>
      </c>
      <c r="C6" s="41" t="inlineStr">
        <is>
          <t>Bachelor Management</t>
        </is>
      </c>
      <c r="D6" s="41" t="inlineStr">
        <is>
          <t>BAC</t>
        </is>
      </c>
      <c r="E6" s="7" t="inlineStr">
        <is>
          <t>B3</t>
        </is>
      </c>
      <c r="F6" s="7" t="inlineStr">
        <is>
          <t>ALT</t>
        </is>
      </c>
      <c r="G6" s="7" t="n">
        <v>0</v>
      </c>
      <c r="H6" s="42" t="n">
        <v>0</v>
      </c>
      <c r="I6" s="42" t="n">
        <v>0</v>
      </c>
      <c r="J6" s="42" t="n">
        <v>58</v>
      </c>
      <c r="K6" s="42" t="n">
        <v>58</v>
      </c>
      <c r="L6" s="42" t="n">
        <v>66</v>
      </c>
      <c r="M6" s="43" t="n">
        <v>8000</v>
      </c>
      <c r="N6" s="42" t="n">
        <v>2</v>
      </c>
    </row>
    <row r="7">
      <c r="A7" s="41" t="inlineStr">
        <is>
          <t>MBway</t>
        </is>
      </c>
      <c r="B7" s="41" t="inlineStr">
        <is>
          <t>Paris</t>
        </is>
      </c>
      <c r="C7" s="41" t="inlineStr">
        <is>
          <t>Mastère Management</t>
        </is>
      </c>
      <c r="D7" s="41" t="inlineStr">
        <is>
          <t>MAST</t>
        </is>
      </c>
      <c r="E7" s="7" t="inlineStr">
        <is>
          <t>M1</t>
        </is>
      </c>
      <c r="F7" s="7" t="inlineStr">
        <is>
          <t>ALT</t>
        </is>
      </c>
      <c r="G7" s="7" t="n">
        <v>1</v>
      </c>
      <c r="H7" s="42" t="n">
        <v>126</v>
      </c>
      <c r="I7" s="42" t="n">
        <v>47</v>
      </c>
      <c r="J7" s="42" t="n">
        <v>0</v>
      </c>
      <c r="K7" s="42" t="n">
        <v>47</v>
      </c>
      <c r="L7" s="42" t="n">
        <v>0</v>
      </c>
      <c r="M7" s="43" t="n">
        <v>9000</v>
      </c>
      <c r="N7" s="42" t="n">
        <v>2</v>
      </c>
    </row>
    <row r="8">
      <c r="A8" s="41" t="inlineStr">
        <is>
          <t>MBway</t>
        </is>
      </c>
      <c r="B8" s="41" t="inlineStr">
        <is>
          <t>Paris</t>
        </is>
      </c>
      <c r="C8" s="41" t="inlineStr">
        <is>
          <t>Mastère Management</t>
        </is>
      </c>
      <c r="D8" s="41" t="inlineStr">
        <is>
          <t>MAST</t>
        </is>
      </c>
      <c r="E8" s="7" t="inlineStr">
        <is>
          <t>M2</t>
        </is>
      </c>
      <c r="F8" s="7" t="inlineStr">
        <is>
          <t>ALT</t>
        </is>
      </c>
      <c r="G8" s="7" t="n">
        <v>0</v>
      </c>
      <c r="H8" s="42" t="n">
        <v>0</v>
      </c>
      <c r="I8" s="42" t="n">
        <v>0</v>
      </c>
      <c r="J8" s="42" t="n">
        <v>42</v>
      </c>
      <c r="K8" s="42" t="n">
        <v>42</v>
      </c>
      <c r="L8" s="42" t="n">
        <v>47</v>
      </c>
      <c r="M8" s="43" t="n">
        <v>9000</v>
      </c>
      <c r="N8" s="42" t="n">
        <v>2</v>
      </c>
    </row>
    <row r="9">
      <c r="A9" s="41" t="inlineStr">
        <is>
          <t>MBway</t>
        </is>
      </c>
      <c r="B9" s="41" t="inlineStr">
        <is>
          <t>Lyon</t>
        </is>
      </c>
      <c r="C9" s="41" t="inlineStr">
        <is>
          <t>Bachelor Management</t>
        </is>
      </c>
      <c r="D9" s="41" t="inlineStr">
        <is>
          <t>BAC</t>
        </is>
      </c>
      <c r="E9" s="7" t="inlineStr">
        <is>
          <t>B1</t>
        </is>
      </c>
      <c r="F9" s="7" t="inlineStr">
        <is>
          <t>INIT</t>
        </is>
      </c>
      <c r="G9" s="7" t="n">
        <v>1</v>
      </c>
      <c r="H9" s="42" t="n">
        <v>177</v>
      </c>
      <c r="I9" s="42" t="n">
        <v>66</v>
      </c>
      <c r="J9" s="42" t="n">
        <v>0</v>
      </c>
      <c r="K9" s="42" t="n">
        <v>66</v>
      </c>
      <c r="L9" s="42" t="n">
        <v>0</v>
      </c>
      <c r="M9" s="43" t="n">
        <v>8500</v>
      </c>
      <c r="N9" s="42" t="n">
        <v>3</v>
      </c>
    </row>
    <row r="10">
      <c r="A10" s="41" t="inlineStr">
        <is>
          <t>MBway</t>
        </is>
      </c>
      <c r="B10" s="41" t="inlineStr">
        <is>
          <t>Lyon</t>
        </is>
      </c>
      <c r="C10" s="41" t="inlineStr">
        <is>
          <t>Bachelor Management</t>
        </is>
      </c>
      <c r="D10" s="41" t="inlineStr">
        <is>
          <t>BAC</t>
        </is>
      </c>
      <c r="E10" s="7" t="inlineStr">
        <is>
          <t>B2</t>
        </is>
      </c>
      <c r="F10" s="7" t="inlineStr">
        <is>
          <t>ALT</t>
        </is>
      </c>
      <c r="G10" s="7" t="n">
        <v>0</v>
      </c>
      <c r="H10" s="42" t="n">
        <v>0</v>
      </c>
      <c r="I10" s="42" t="n">
        <v>0</v>
      </c>
      <c r="J10" s="42" t="n">
        <v>56</v>
      </c>
      <c r="K10" s="42" t="n">
        <v>56</v>
      </c>
      <c r="L10" s="42" t="n">
        <v>66</v>
      </c>
      <c r="M10" s="43" t="n">
        <v>8000</v>
      </c>
      <c r="N10" s="42" t="n">
        <v>2</v>
      </c>
    </row>
    <row r="11">
      <c r="A11" s="41" t="inlineStr">
        <is>
          <t>MBway</t>
        </is>
      </c>
      <c r="B11" s="41" t="inlineStr">
        <is>
          <t>Lyon</t>
        </is>
      </c>
      <c r="C11" s="41" t="inlineStr">
        <is>
          <t>Bachelor Management</t>
        </is>
      </c>
      <c r="D11" s="41" t="inlineStr">
        <is>
          <t>BAC</t>
        </is>
      </c>
      <c r="E11" s="7" t="inlineStr">
        <is>
          <t>B3</t>
        </is>
      </c>
      <c r="F11" s="7" t="inlineStr">
        <is>
          <t>ALT</t>
        </is>
      </c>
      <c r="G11" s="7" t="n">
        <v>0</v>
      </c>
      <c r="H11" s="42" t="n">
        <v>0</v>
      </c>
      <c r="I11" s="42" t="n">
        <v>0</v>
      </c>
      <c r="J11" s="42" t="n">
        <v>50</v>
      </c>
      <c r="K11" s="42" t="n">
        <v>50</v>
      </c>
      <c r="L11" s="42" t="n">
        <v>56</v>
      </c>
      <c r="M11" s="43" t="n">
        <v>8000</v>
      </c>
      <c r="N11" s="42" t="n">
        <v>2</v>
      </c>
    </row>
    <row r="12">
      <c r="A12" s="41" t="inlineStr">
        <is>
          <t>MBway</t>
        </is>
      </c>
      <c r="B12" s="41" t="inlineStr">
        <is>
          <t>Lyon</t>
        </is>
      </c>
      <c r="C12" s="41" t="inlineStr">
        <is>
          <t>Mastère Management</t>
        </is>
      </c>
      <c r="D12" s="41" t="inlineStr">
        <is>
          <t>MAST</t>
        </is>
      </c>
      <c r="E12" s="7" t="inlineStr">
        <is>
          <t>M1</t>
        </is>
      </c>
      <c r="F12" s="7" t="inlineStr">
        <is>
          <t>ALT</t>
        </is>
      </c>
      <c r="G12" s="7" t="n">
        <v>1</v>
      </c>
      <c r="H12" s="42" t="n">
        <v>108</v>
      </c>
      <c r="I12" s="42" t="n">
        <v>40</v>
      </c>
      <c r="J12" s="42" t="n">
        <v>0</v>
      </c>
      <c r="K12" s="42" t="n">
        <v>40</v>
      </c>
      <c r="L12" s="42" t="n">
        <v>0</v>
      </c>
      <c r="M12" s="43" t="n">
        <v>9000</v>
      </c>
      <c r="N12" s="42" t="n">
        <v>2</v>
      </c>
    </row>
    <row r="13">
      <c r="A13" s="41" t="inlineStr">
        <is>
          <t>MBway</t>
        </is>
      </c>
      <c r="B13" s="41" t="inlineStr">
        <is>
          <t>Lyon</t>
        </is>
      </c>
      <c r="C13" s="41" t="inlineStr">
        <is>
          <t>Mastère Management</t>
        </is>
      </c>
      <c r="D13" s="41" t="inlineStr">
        <is>
          <t>MAST</t>
        </is>
      </c>
      <c r="E13" s="7" t="inlineStr">
        <is>
          <t>M2</t>
        </is>
      </c>
      <c r="F13" s="7" t="inlineStr">
        <is>
          <t>ALT</t>
        </is>
      </c>
      <c r="G13" s="7" t="n">
        <v>0</v>
      </c>
      <c r="H13" s="42" t="n">
        <v>0</v>
      </c>
      <c r="I13" s="42" t="n">
        <v>0</v>
      </c>
      <c r="J13" s="42" t="n">
        <v>36</v>
      </c>
      <c r="K13" s="42" t="n">
        <v>36</v>
      </c>
      <c r="L13" s="42" t="n">
        <v>40</v>
      </c>
      <c r="M13" s="43" t="n">
        <v>9000</v>
      </c>
      <c r="N13" s="42" t="n">
        <v>2</v>
      </c>
    </row>
    <row r="14">
      <c r="A14" s="41" t="inlineStr">
        <is>
          <t>MBway</t>
        </is>
      </c>
      <c r="B14" s="41" t="inlineStr">
        <is>
          <t>Nantes</t>
        </is>
      </c>
      <c r="C14" s="41" t="inlineStr">
        <is>
          <t>Bachelor Management</t>
        </is>
      </c>
      <c r="D14" s="41" t="inlineStr">
        <is>
          <t>BAC</t>
        </is>
      </c>
      <c r="E14" s="7" t="inlineStr">
        <is>
          <t>B1</t>
        </is>
      </c>
      <c r="F14" s="7" t="inlineStr">
        <is>
          <t>INIT</t>
        </is>
      </c>
      <c r="G14" s="7" t="n">
        <v>1</v>
      </c>
      <c r="H14" s="42" t="n">
        <v>161</v>
      </c>
      <c r="I14" s="42" t="n">
        <v>60</v>
      </c>
      <c r="J14" s="42" t="n">
        <v>0</v>
      </c>
      <c r="K14" s="42" t="n">
        <v>60</v>
      </c>
      <c r="L14" s="42" t="n">
        <v>0</v>
      </c>
      <c r="M14" s="43" t="n">
        <v>8500</v>
      </c>
      <c r="N14" s="42" t="n">
        <v>2</v>
      </c>
    </row>
    <row r="15">
      <c r="A15" s="41" t="inlineStr">
        <is>
          <t>MBway</t>
        </is>
      </c>
      <c r="B15" s="41" t="inlineStr">
        <is>
          <t>Nantes</t>
        </is>
      </c>
      <c r="C15" s="41" t="inlineStr">
        <is>
          <t>Bachelor Management</t>
        </is>
      </c>
      <c r="D15" s="41" t="inlineStr">
        <is>
          <t>BAC</t>
        </is>
      </c>
      <c r="E15" s="7" t="inlineStr">
        <is>
          <t>B2</t>
        </is>
      </c>
      <c r="F15" s="7" t="inlineStr">
        <is>
          <t>ALT</t>
        </is>
      </c>
      <c r="G15" s="7" t="n">
        <v>0</v>
      </c>
      <c r="H15" s="42" t="n">
        <v>0</v>
      </c>
      <c r="I15" s="42" t="n">
        <v>0</v>
      </c>
      <c r="J15" s="42" t="n">
        <v>51</v>
      </c>
      <c r="K15" s="42" t="n">
        <v>51</v>
      </c>
      <c r="L15" s="42" t="n">
        <v>60</v>
      </c>
      <c r="M15" s="43" t="n">
        <v>8000</v>
      </c>
      <c r="N15" s="42" t="n">
        <v>2</v>
      </c>
    </row>
    <row r="16">
      <c r="A16" s="41" t="inlineStr">
        <is>
          <t>MBway</t>
        </is>
      </c>
      <c r="B16" s="41" t="inlineStr">
        <is>
          <t>Nantes</t>
        </is>
      </c>
      <c r="C16" s="41" t="inlineStr">
        <is>
          <t>Bachelor Management</t>
        </is>
      </c>
      <c r="D16" s="41" t="inlineStr">
        <is>
          <t>BAC</t>
        </is>
      </c>
      <c r="E16" s="7" t="inlineStr">
        <is>
          <t>B3</t>
        </is>
      </c>
      <c r="F16" s="7" t="inlineStr">
        <is>
          <t>ALT</t>
        </is>
      </c>
      <c r="G16" s="7" t="n">
        <v>0</v>
      </c>
      <c r="H16" s="42" t="n">
        <v>0</v>
      </c>
      <c r="I16" s="42" t="n">
        <v>0</v>
      </c>
      <c r="J16" s="42" t="n">
        <v>45</v>
      </c>
      <c r="K16" s="42" t="n">
        <v>45</v>
      </c>
      <c r="L16" s="42" t="n">
        <v>51</v>
      </c>
      <c r="M16" s="43" t="n">
        <v>8000</v>
      </c>
      <c r="N16" s="42" t="n">
        <v>2</v>
      </c>
    </row>
    <row r="17">
      <c r="A17" s="41" t="inlineStr">
        <is>
          <t>MBway</t>
        </is>
      </c>
      <c r="B17" s="41" t="inlineStr">
        <is>
          <t>Nantes</t>
        </is>
      </c>
      <c r="C17" s="41" t="inlineStr">
        <is>
          <t>Mastère Management</t>
        </is>
      </c>
      <c r="D17" s="41" t="inlineStr">
        <is>
          <t>MAST</t>
        </is>
      </c>
      <c r="E17" s="7" t="inlineStr">
        <is>
          <t>M1</t>
        </is>
      </c>
      <c r="F17" s="7" t="inlineStr">
        <is>
          <t>ALT</t>
        </is>
      </c>
      <c r="G17" s="7" t="n">
        <v>1</v>
      </c>
      <c r="H17" s="42" t="n">
        <v>97</v>
      </c>
      <c r="I17" s="42" t="n">
        <v>36</v>
      </c>
      <c r="J17" s="42" t="n">
        <v>0</v>
      </c>
      <c r="K17" s="42" t="n">
        <v>36</v>
      </c>
      <c r="L17" s="42" t="n">
        <v>0</v>
      </c>
      <c r="M17" s="43" t="n">
        <v>9000</v>
      </c>
      <c r="N17" s="42" t="n">
        <v>2</v>
      </c>
    </row>
    <row r="18">
      <c r="A18" s="41" t="inlineStr">
        <is>
          <t>MBway</t>
        </is>
      </c>
      <c r="B18" s="41" t="inlineStr">
        <is>
          <t>Nantes</t>
        </is>
      </c>
      <c r="C18" s="41" t="inlineStr">
        <is>
          <t>Mastère Management</t>
        </is>
      </c>
      <c r="D18" s="41" t="inlineStr">
        <is>
          <t>MAST</t>
        </is>
      </c>
      <c r="E18" s="7" t="inlineStr">
        <is>
          <t>M2</t>
        </is>
      </c>
      <c r="F18" s="7" t="inlineStr">
        <is>
          <t>ALT</t>
        </is>
      </c>
      <c r="G18" s="7" t="n">
        <v>0</v>
      </c>
      <c r="H18" s="42" t="n">
        <v>0</v>
      </c>
      <c r="I18" s="42" t="n">
        <v>0</v>
      </c>
      <c r="J18" s="42" t="n">
        <v>32</v>
      </c>
      <c r="K18" s="42" t="n">
        <v>32</v>
      </c>
      <c r="L18" s="42" t="n">
        <v>36</v>
      </c>
      <c r="M18" s="43" t="n">
        <v>9000</v>
      </c>
      <c r="N18" s="42" t="n">
        <v>2</v>
      </c>
    </row>
    <row r="19">
      <c r="A19" s="41" t="inlineStr">
        <is>
          <t>MBway</t>
        </is>
      </c>
      <c r="B19" s="41" t="inlineStr">
        <is>
          <t>Bordeaux</t>
        </is>
      </c>
      <c r="C19" s="41" t="inlineStr">
        <is>
          <t>Bachelor Management</t>
        </is>
      </c>
      <c r="D19" s="41" t="inlineStr">
        <is>
          <t>BAC</t>
        </is>
      </c>
      <c r="E19" s="7" t="inlineStr">
        <is>
          <t>B1</t>
        </is>
      </c>
      <c r="F19" s="7" t="inlineStr">
        <is>
          <t>INIT</t>
        </is>
      </c>
      <c r="G19" s="7" t="n">
        <v>1</v>
      </c>
      <c r="H19" s="42" t="n">
        <v>137</v>
      </c>
      <c r="I19" s="42" t="n">
        <v>51</v>
      </c>
      <c r="J19" s="42" t="n">
        <v>0</v>
      </c>
      <c r="K19" s="42" t="n">
        <v>51</v>
      </c>
      <c r="L19" s="42" t="n">
        <v>0</v>
      </c>
      <c r="M19" s="43" t="n">
        <v>8500</v>
      </c>
      <c r="N19" s="42" t="n">
        <v>2</v>
      </c>
    </row>
    <row r="20">
      <c r="A20" s="41" t="inlineStr">
        <is>
          <t>MBway</t>
        </is>
      </c>
      <c r="B20" s="41" t="inlineStr">
        <is>
          <t>Bordeaux</t>
        </is>
      </c>
      <c r="C20" s="41" t="inlineStr">
        <is>
          <t>Bachelor Management</t>
        </is>
      </c>
      <c r="D20" s="41" t="inlineStr">
        <is>
          <t>BAC</t>
        </is>
      </c>
      <c r="E20" s="7" t="inlineStr">
        <is>
          <t>B2</t>
        </is>
      </c>
      <c r="F20" s="7" t="inlineStr">
        <is>
          <t>ALT</t>
        </is>
      </c>
      <c r="G20" s="7" t="n">
        <v>0</v>
      </c>
      <c r="H20" s="42" t="n">
        <v>0</v>
      </c>
      <c r="I20" s="42" t="n">
        <v>0</v>
      </c>
      <c r="J20" s="42" t="n">
        <v>43</v>
      </c>
      <c r="K20" s="42" t="n">
        <v>43</v>
      </c>
      <c r="L20" s="42" t="n">
        <v>51</v>
      </c>
      <c r="M20" s="43" t="n">
        <v>8000</v>
      </c>
      <c r="N20" s="42" t="n">
        <v>2</v>
      </c>
    </row>
    <row r="21">
      <c r="A21" s="41" t="inlineStr">
        <is>
          <t>MBway</t>
        </is>
      </c>
      <c r="B21" s="41" t="inlineStr">
        <is>
          <t>Bordeaux</t>
        </is>
      </c>
      <c r="C21" s="41" t="inlineStr">
        <is>
          <t>Bachelor Management</t>
        </is>
      </c>
      <c r="D21" s="41" t="inlineStr">
        <is>
          <t>BAC</t>
        </is>
      </c>
      <c r="E21" s="7" t="inlineStr">
        <is>
          <t>B3</t>
        </is>
      </c>
      <c r="F21" s="7" t="inlineStr">
        <is>
          <t>ALT</t>
        </is>
      </c>
      <c r="G21" s="7" t="n">
        <v>0</v>
      </c>
      <c r="H21" s="42" t="n">
        <v>0</v>
      </c>
      <c r="I21" s="42" t="n">
        <v>0</v>
      </c>
      <c r="J21" s="42" t="n">
        <v>38</v>
      </c>
      <c r="K21" s="42" t="n">
        <v>38</v>
      </c>
      <c r="L21" s="42" t="n">
        <v>43</v>
      </c>
      <c r="M21" s="43" t="n">
        <v>8000</v>
      </c>
      <c r="N21" s="42" t="n">
        <v>2</v>
      </c>
    </row>
    <row r="22">
      <c r="A22" s="41" t="inlineStr">
        <is>
          <t>MBway</t>
        </is>
      </c>
      <c r="B22" s="41" t="inlineStr">
        <is>
          <t>Bordeaux</t>
        </is>
      </c>
      <c r="C22" s="41" t="inlineStr">
        <is>
          <t>Mastère Management</t>
        </is>
      </c>
      <c r="D22" s="41" t="inlineStr">
        <is>
          <t>MAST</t>
        </is>
      </c>
      <c r="E22" s="7" t="inlineStr">
        <is>
          <t>M1</t>
        </is>
      </c>
      <c r="F22" s="7" t="inlineStr">
        <is>
          <t>ALT</t>
        </is>
      </c>
      <c r="G22" s="7" t="n">
        <v>1</v>
      </c>
      <c r="H22" s="42" t="n">
        <v>83</v>
      </c>
      <c r="I22" s="42" t="n">
        <v>31</v>
      </c>
      <c r="J22" s="42" t="n">
        <v>0</v>
      </c>
      <c r="K22" s="42" t="n">
        <v>31</v>
      </c>
      <c r="L22" s="42" t="n">
        <v>0</v>
      </c>
      <c r="M22" s="43" t="n">
        <v>9000</v>
      </c>
      <c r="N22" s="42" t="n">
        <v>2</v>
      </c>
    </row>
    <row r="23">
      <c r="A23" s="41" t="inlineStr">
        <is>
          <t>MBway</t>
        </is>
      </c>
      <c r="B23" s="41" t="inlineStr">
        <is>
          <t>Bordeaux</t>
        </is>
      </c>
      <c r="C23" s="41" t="inlineStr">
        <is>
          <t>Mastère Management</t>
        </is>
      </c>
      <c r="D23" s="41" t="inlineStr">
        <is>
          <t>MAST</t>
        </is>
      </c>
      <c r="E23" s="7" t="inlineStr">
        <is>
          <t>M2</t>
        </is>
      </c>
      <c r="F23" s="7" t="inlineStr">
        <is>
          <t>ALT</t>
        </is>
      </c>
      <c r="G23" s="7" t="n">
        <v>0</v>
      </c>
      <c r="H23" s="42" t="n">
        <v>0</v>
      </c>
      <c r="I23" s="42" t="n">
        <v>0</v>
      </c>
      <c r="J23" s="42" t="n">
        <v>28</v>
      </c>
      <c r="K23" s="42" t="n">
        <v>28</v>
      </c>
      <c r="L23" s="42" t="n">
        <v>31</v>
      </c>
      <c r="M23" s="43" t="n">
        <v>9000</v>
      </c>
      <c r="N23" s="42" t="n">
        <v>2</v>
      </c>
    </row>
    <row r="24">
      <c r="A24" s="41" t="inlineStr">
        <is>
          <t>ISCOM</t>
        </is>
      </c>
      <c r="B24" s="41" t="inlineStr">
        <is>
          <t>Paris</t>
        </is>
      </c>
      <c r="C24" s="41" t="inlineStr">
        <is>
          <t>Bachelor Communication</t>
        </is>
      </c>
      <c r="D24" s="41" t="inlineStr">
        <is>
          <t>BAC</t>
        </is>
      </c>
      <c r="E24" s="7" t="inlineStr">
        <is>
          <t>B1</t>
        </is>
      </c>
      <c r="F24" s="7" t="inlineStr">
        <is>
          <t>INIT</t>
        </is>
      </c>
      <c r="G24" s="7" t="n">
        <v>1</v>
      </c>
      <c r="H24" s="42" t="n">
        <v>194</v>
      </c>
      <c r="I24" s="42" t="n">
        <v>72</v>
      </c>
      <c r="J24" s="42" t="n">
        <v>0</v>
      </c>
      <c r="K24" s="42" t="n">
        <v>72</v>
      </c>
      <c r="L24" s="42" t="n">
        <v>0</v>
      </c>
      <c r="M24" s="43" t="n">
        <v>8500</v>
      </c>
      <c r="N24" s="42" t="n">
        <v>3</v>
      </c>
    </row>
    <row r="25">
      <c r="A25" s="41" t="inlineStr">
        <is>
          <t>ISCOM</t>
        </is>
      </c>
      <c r="B25" s="41" t="inlineStr">
        <is>
          <t>Paris</t>
        </is>
      </c>
      <c r="C25" s="41" t="inlineStr">
        <is>
          <t>Bachelor Communication</t>
        </is>
      </c>
      <c r="D25" s="41" t="inlineStr">
        <is>
          <t>BAC</t>
        </is>
      </c>
      <c r="E25" s="7" t="inlineStr">
        <is>
          <t>B2</t>
        </is>
      </c>
      <c r="F25" s="7" t="inlineStr">
        <is>
          <t>ALT</t>
        </is>
      </c>
      <c r="G25" s="7" t="n">
        <v>0</v>
      </c>
      <c r="H25" s="42" t="n">
        <v>0</v>
      </c>
      <c r="I25" s="42" t="n">
        <v>0</v>
      </c>
      <c r="J25" s="42" t="n">
        <v>61</v>
      </c>
      <c r="K25" s="42" t="n">
        <v>61</v>
      </c>
      <c r="L25" s="42" t="n">
        <v>72</v>
      </c>
      <c r="M25" s="43" t="n">
        <v>8000</v>
      </c>
      <c r="N25" s="42" t="n">
        <v>2</v>
      </c>
    </row>
    <row r="26">
      <c r="A26" s="41" t="inlineStr">
        <is>
          <t>ISCOM</t>
        </is>
      </c>
      <c r="B26" s="41" t="inlineStr">
        <is>
          <t>Paris</t>
        </is>
      </c>
      <c r="C26" s="41" t="inlineStr">
        <is>
          <t>Bachelor Communication</t>
        </is>
      </c>
      <c r="D26" s="41" t="inlineStr">
        <is>
          <t>BAC</t>
        </is>
      </c>
      <c r="E26" s="7" t="inlineStr">
        <is>
          <t>B3</t>
        </is>
      </c>
      <c r="F26" s="7" t="inlineStr">
        <is>
          <t>ALT</t>
        </is>
      </c>
      <c r="G26" s="7" t="n">
        <v>0</v>
      </c>
      <c r="H26" s="42" t="n">
        <v>0</v>
      </c>
      <c r="I26" s="42" t="n">
        <v>0</v>
      </c>
      <c r="J26" s="42" t="n">
        <v>54</v>
      </c>
      <c r="K26" s="42" t="n">
        <v>54</v>
      </c>
      <c r="L26" s="42" t="n">
        <v>61</v>
      </c>
      <c r="M26" s="43" t="n">
        <v>8000</v>
      </c>
      <c r="N26" s="42" t="n">
        <v>2</v>
      </c>
    </row>
    <row r="27">
      <c r="A27" s="41" t="inlineStr">
        <is>
          <t>ISCOM</t>
        </is>
      </c>
      <c r="B27" s="41" t="inlineStr">
        <is>
          <t>Paris</t>
        </is>
      </c>
      <c r="C27" s="41" t="inlineStr">
        <is>
          <t>Mastère Communication</t>
        </is>
      </c>
      <c r="D27" s="41" t="inlineStr">
        <is>
          <t>MAST</t>
        </is>
      </c>
      <c r="E27" s="7" t="inlineStr">
        <is>
          <t>M1</t>
        </is>
      </c>
      <c r="F27" s="7" t="inlineStr">
        <is>
          <t>ALT</t>
        </is>
      </c>
      <c r="G27" s="7" t="n">
        <v>1</v>
      </c>
      <c r="H27" s="42" t="n">
        <v>116</v>
      </c>
      <c r="I27" s="42" t="n">
        <v>43</v>
      </c>
      <c r="J27" s="42" t="n">
        <v>0</v>
      </c>
      <c r="K27" s="42" t="n">
        <v>43</v>
      </c>
      <c r="L27" s="42" t="n">
        <v>0</v>
      </c>
      <c r="M27" s="43" t="n">
        <v>9000</v>
      </c>
      <c r="N27" s="42" t="n">
        <v>2</v>
      </c>
    </row>
    <row r="28">
      <c r="A28" s="41" t="inlineStr">
        <is>
          <t>ISCOM</t>
        </is>
      </c>
      <c r="B28" s="41" t="inlineStr">
        <is>
          <t>Paris</t>
        </is>
      </c>
      <c r="C28" s="41" t="inlineStr">
        <is>
          <t>Mastère Communication</t>
        </is>
      </c>
      <c r="D28" s="41" t="inlineStr">
        <is>
          <t>MAST</t>
        </is>
      </c>
      <c r="E28" s="7" t="inlineStr">
        <is>
          <t>M2</t>
        </is>
      </c>
      <c r="F28" s="7" t="inlineStr">
        <is>
          <t>ALT</t>
        </is>
      </c>
      <c r="G28" s="7" t="n">
        <v>0</v>
      </c>
      <c r="H28" s="42" t="n">
        <v>0</v>
      </c>
      <c r="I28" s="42" t="n">
        <v>0</v>
      </c>
      <c r="J28" s="42" t="n">
        <v>39</v>
      </c>
      <c r="K28" s="42" t="n">
        <v>39</v>
      </c>
      <c r="L28" s="42" t="n">
        <v>43</v>
      </c>
      <c r="M28" s="43" t="n">
        <v>9000</v>
      </c>
      <c r="N28" s="42" t="n">
        <v>2</v>
      </c>
    </row>
    <row r="29">
      <c r="A29" s="41" t="inlineStr">
        <is>
          <t>ISCOM</t>
        </is>
      </c>
      <c r="B29" s="41" t="inlineStr">
        <is>
          <t>Lille</t>
        </is>
      </c>
      <c r="C29" s="41" t="inlineStr">
        <is>
          <t>Bachelor Communication</t>
        </is>
      </c>
      <c r="D29" s="41" t="inlineStr">
        <is>
          <t>BAC</t>
        </is>
      </c>
      <c r="E29" s="7" t="inlineStr">
        <is>
          <t>B1</t>
        </is>
      </c>
      <c r="F29" s="7" t="inlineStr">
        <is>
          <t>INIT</t>
        </is>
      </c>
      <c r="G29" s="7" t="n">
        <v>1</v>
      </c>
      <c r="H29" s="42" t="n">
        <v>134</v>
      </c>
      <c r="I29" s="42" t="n">
        <v>50</v>
      </c>
      <c r="J29" s="42" t="n">
        <v>0</v>
      </c>
      <c r="K29" s="42" t="n">
        <v>50</v>
      </c>
      <c r="L29" s="42" t="n">
        <v>0</v>
      </c>
      <c r="M29" s="43" t="n">
        <v>8500</v>
      </c>
      <c r="N29" s="42" t="n">
        <v>2</v>
      </c>
    </row>
    <row r="30">
      <c r="A30" s="41" t="inlineStr">
        <is>
          <t>ISCOM</t>
        </is>
      </c>
      <c r="B30" s="41" t="inlineStr">
        <is>
          <t>Lille</t>
        </is>
      </c>
      <c r="C30" s="41" t="inlineStr">
        <is>
          <t>Bachelor Communication</t>
        </is>
      </c>
      <c r="D30" s="41" t="inlineStr">
        <is>
          <t>BAC</t>
        </is>
      </c>
      <c r="E30" s="7" t="inlineStr">
        <is>
          <t>B2</t>
        </is>
      </c>
      <c r="F30" s="7" t="inlineStr">
        <is>
          <t>ALT</t>
        </is>
      </c>
      <c r="G30" s="7" t="n">
        <v>0</v>
      </c>
      <c r="H30" s="42" t="n">
        <v>0</v>
      </c>
      <c r="I30" s="42" t="n">
        <v>0</v>
      </c>
      <c r="J30" s="42" t="n">
        <v>42</v>
      </c>
      <c r="K30" s="42" t="n">
        <v>42</v>
      </c>
      <c r="L30" s="42" t="n">
        <v>50</v>
      </c>
      <c r="M30" s="43" t="n">
        <v>8000</v>
      </c>
      <c r="N30" s="42" t="n">
        <v>2</v>
      </c>
    </row>
    <row r="31">
      <c r="A31" s="41" t="inlineStr">
        <is>
          <t>ISCOM</t>
        </is>
      </c>
      <c r="B31" s="41" t="inlineStr">
        <is>
          <t>Lille</t>
        </is>
      </c>
      <c r="C31" s="41" t="inlineStr">
        <is>
          <t>Bachelor Communication</t>
        </is>
      </c>
      <c r="D31" s="41" t="inlineStr">
        <is>
          <t>BAC</t>
        </is>
      </c>
      <c r="E31" s="7" t="inlineStr">
        <is>
          <t>B3</t>
        </is>
      </c>
      <c r="F31" s="7" t="inlineStr">
        <is>
          <t>ALT</t>
        </is>
      </c>
      <c r="G31" s="7" t="n">
        <v>0</v>
      </c>
      <c r="H31" s="42" t="n">
        <v>0</v>
      </c>
      <c r="I31" s="42" t="n">
        <v>0</v>
      </c>
      <c r="J31" s="42" t="n">
        <v>38</v>
      </c>
      <c r="K31" s="42" t="n">
        <v>38</v>
      </c>
      <c r="L31" s="42" t="n">
        <v>42</v>
      </c>
      <c r="M31" s="43" t="n">
        <v>8000</v>
      </c>
      <c r="N31" s="42" t="n">
        <v>2</v>
      </c>
    </row>
    <row r="32">
      <c r="A32" s="41" t="inlineStr">
        <is>
          <t>ISCOM</t>
        </is>
      </c>
      <c r="B32" s="41" t="inlineStr">
        <is>
          <t>Lille</t>
        </is>
      </c>
      <c r="C32" s="41" t="inlineStr">
        <is>
          <t>Mastère Communication</t>
        </is>
      </c>
      <c r="D32" s="41" t="inlineStr">
        <is>
          <t>MAST</t>
        </is>
      </c>
      <c r="E32" s="7" t="inlineStr">
        <is>
          <t>M1</t>
        </is>
      </c>
      <c r="F32" s="7" t="inlineStr">
        <is>
          <t>ALT</t>
        </is>
      </c>
      <c r="G32" s="7" t="n">
        <v>1</v>
      </c>
      <c r="H32" s="42" t="n">
        <v>81</v>
      </c>
      <c r="I32" s="42" t="n">
        <v>30</v>
      </c>
      <c r="J32" s="42" t="n">
        <v>0</v>
      </c>
      <c r="K32" s="42" t="n">
        <v>30</v>
      </c>
      <c r="L32" s="42" t="n">
        <v>0</v>
      </c>
      <c r="M32" s="43" t="n">
        <v>9000</v>
      </c>
      <c r="N32" s="42" t="n">
        <v>2</v>
      </c>
    </row>
    <row r="33">
      <c r="A33" s="41" t="inlineStr">
        <is>
          <t>ISCOM</t>
        </is>
      </c>
      <c r="B33" s="41" t="inlineStr">
        <is>
          <t>Lille</t>
        </is>
      </c>
      <c r="C33" s="41" t="inlineStr">
        <is>
          <t>Mastère Communication</t>
        </is>
      </c>
      <c r="D33" s="41" t="inlineStr">
        <is>
          <t>MAST</t>
        </is>
      </c>
      <c r="E33" s="7" t="inlineStr">
        <is>
          <t>M2</t>
        </is>
      </c>
      <c r="F33" s="7" t="inlineStr">
        <is>
          <t>ALT</t>
        </is>
      </c>
      <c r="G33" s="7" t="n">
        <v>0</v>
      </c>
      <c r="H33" s="42" t="n">
        <v>0</v>
      </c>
      <c r="I33" s="42" t="n">
        <v>0</v>
      </c>
      <c r="J33" s="42" t="n">
        <v>27</v>
      </c>
      <c r="K33" s="42" t="n">
        <v>27</v>
      </c>
      <c r="L33" s="42" t="n">
        <v>30</v>
      </c>
      <c r="M33" s="43" t="n">
        <v>9000</v>
      </c>
      <c r="N33" s="42" t="n">
        <v>2</v>
      </c>
    </row>
    <row r="34">
      <c r="A34" s="41" t="inlineStr">
        <is>
          <t>ISCOM</t>
        </is>
      </c>
      <c r="B34" s="41" t="inlineStr">
        <is>
          <t>Toulouse</t>
        </is>
      </c>
      <c r="C34" s="41" t="inlineStr">
        <is>
          <t>Bachelor Communication</t>
        </is>
      </c>
      <c r="D34" s="41" t="inlineStr">
        <is>
          <t>BAC</t>
        </is>
      </c>
      <c r="E34" s="7" t="inlineStr">
        <is>
          <t>B1</t>
        </is>
      </c>
      <c r="F34" s="7" t="inlineStr">
        <is>
          <t>INIT</t>
        </is>
      </c>
      <c r="G34" s="7" t="n">
        <v>1</v>
      </c>
      <c r="H34" s="42" t="n">
        <v>126</v>
      </c>
      <c r="I34" s="42" t="n">
        <v>47</v>
      </c>
      <c r="J34" s="42" t="n">
        <v>0</v>
      </c>
      <c r="K34" s="42" t="n">
        <v>47</v>
      </c>
      <c r="L34" s="42" t="n">
        <v>0</v>
      </c>
      <c r="M34" s="43" t="n">
        <v>8500</v>
      </c>
      <c r="N34" s="42" t="n">
        <v>2</v>
      </c>
    </row>
    <row r="35">
      <c r="A35" s="41" t="inlineStr">
        <is>
          <t>ISCOM</t>
        </is>
      </c>
      <c r="B35" s="41" t="inlineStr">
        <is>
          <t>Toulouse</t>
        </is>
      </c>
      <c r="C35" s="41" t="inlineStr">
        <is>
          <t>Bachelor Communication</t>
        </is>
      </c>
      <c r="D35" s="41" t="inlineStr">
        <is>
          <t>BAC</t>
        </is>
      </c>
      <c r="E35" s="7" t="inlineStr">
        <is>
          <t>B2</t>
        </is>
      </c>
      <c r="F35" s="7" t="inlineStr">
        <is>
          <t>ALT</t>
        </is>
      </c>
      <c r="G35" s="7" t="n">
        <v>0</v>
      </c>
      <c r="H35" s="42" t="n">
        <v>0</v>
      </c>
      <c r="I35" s="42" t="n">
        <v>0</v>
      </c>
      <c r="J35" s="42" t="n">
        <v>40</v>
      </c>
      <c r="K35" s="42" t="n">
        <v>40</v>
      </c>
      <c r="L35" s="42" t="n">
        <v>47</v>
      </c>
      <c r="M35" s="43" t="n">
        <v>8000</v>
      </c>
      <c r="N35" s="42" t="n">
        <v>2</v>
      </c>
    </row>
    <row r="36">
      <c r="A36" s="41" t="inlineStr">
        <is>
          <t>ISCOM</t>
        </is>
      </c>
      <c r="B36" s="41" t="inlineStr">
        <is>
          <t>Toulouse</t>
        </is>
      </c>
      <c r="C36" s="41" t="inlineStr">
        <is>
          <t>Bachelor Communication</t>
        </is>
      </c>
      <c r="D36" s="41" t="inlineStr">
        <is>
          <t>BAC</t>
        </is>
      </c>
      <c r="E36" s="7" t="inlineStr">
        <is>
          <t>B3</t>
        </is>
      </c>
      <c r="F36" s="7" t="inlineStr">
        <is>
          <t>ALT</t>
        </is>
      </c>
      <c r="G36" s="7" t="n">
        <v>0</v>
      </c>
      <c r="H36" s="42" t="n">
        <v>0</v>
      </c>
      <c r="I36" s="42" t="n">
        <v>0</v>
      </c>
      <c r="J36" s="42" t="n">
        <v>35</v>
      </c>
      <c r="K36" s="42" t="n">
        <v>35</v>
      </c>
      <c r="L36" s="42" t="n">
        <v>40</v>
      </c>
      <c r="M36" s="43" t="n">
        <v>8000</v>
      </c>
      <c r="N36" s="42" t="n">
        <v>2</v>
      </c>
    </row>
    <row r="37">
      <c r="A37" s="41" t="inlineStr">
        <is>
          <t>ISCOM</t>
        </is>
      </c>
      <c r="B37" s="41" t="inlineStr">
        <is>
          <t>Toulouse</t>
        </is>
      </c>
      <c r="C37" s="41" t="inlineStr">
        <is>
          <t>Mastère Communication</t>
        </is>
      </c>
      <c r="D37" s="41" t="inlineStr">
        <is>
          <t>MAST</t>
        </is>
      </c>
      <c r="E37" s="7" t="inlineStr">
        <is>
          <t>M1</t>
        </is>
      </c>
      <c r="F37" s="7" t="inlineStr">
        <is>
          <t>ALT</t>
        </is>
      </c>
      <c r="G37" s="7" t="n">
        <v>1</v>
      </c>
      <c r="H37" s="42" t="n">
        <v>75</v>
      </c>
      <c r="I37" s="42" t="n">
        <v>28</v>
      </c>
      <c r="J37" s="42" t="n">
        <v>0</v>
      </c>
      <c r="K37" s="42" t="n">
        <v>28</v>
      </c>
      <c r="L37" s="42" t="n">
        <v>0</v>
      </c>
      <c r="M37" s="43" t="n">
        <v>9000</v>
      </c>
      <c r="N37" s="42" t="n">
        <v>2</v>
      </c>
    </row>
    <row r="38">
      <c r="A38" s="41" t="inlineStr">
        <is>
          <t>ISCOM</t>
        </is>
      </c>
      <c r="B38" s="41" t="inlineStr">
        <is>
          <t>Toulouse</t>
        </is>
      </c>
      <c r="C38" s="41" t="inlineStr">
        <is>
          <t>Mastère Communication</t>
        </is>
      </c>
      <c r="D38" s="41" t="inlineStr">
        <is>
          <t>MAST</t>
        </is>
      </c>
      <c r="E38" s="7" t="inlineStr">
        <is>
          <t>M2</t>
        </is>
      </c>
      <c r="F38" s="7" t="inlineStr">
        <is>
          <t>ALT</t>
        </is>
      </c>
      <c r="G38" s="7" t="n">
        <v>0</v>
      </c>
      <c r="H38" s="42" t="n">
        <v>0</v>
      </c>
      <c r="I38" s="42" t="n">
        <v>0</v>
      </c>
      <c r="J38" s="42" t="n">
        <v>25</v>
      </c>
      <c r="K38" s="42" t="n">
        <v>25</v>
      </c>
      <c r="L38" s="42" t="n">
        <v>28</v>
      </c>
      <c r="M38" s="43" t="n">
        <v>9000</v>
      </c>
      <c r="N38" s="42" t="n">
        <v>1</v>
      </c>
    </row>
    <row r="39">
      <c r="A39" s="41" t="inlineStr">
        <is>
          <t>Ipac Bachelor Factory</t>
        </is>
      </c>
      <c r="B39" s="41" t="inlineStr">
        <is>
          <t>Nantes</t>
        </is>
      </c>
      <c r="C39" s="41" t="inlineStr">
        <is>
          <t>Bachelor Commerce</t>
        </is>
      </c>
      <c r="D39" s="41" t="inlineStr">
        <is>
          <t>BAC</t>
        </is>
      </c>
      <c r="E39" s="7" t="inlineStr">
        <is>
          <t>B1</t>
        </is>
      </c>
      <c r="F39" s="7" t="inlineStr">
        <is>
          <t>ALT</t>
        </is>
      </c>
      <c r="G39" s="7" t="n">
        <v>1</v>
      </c>
      <c r="H39" s="42" t="n">
        <v>134</v>
      </c>
      <c r="I39" s="42" t="n">
        <v>50</v>
      </c>
      <c r="J39" s="42" t="n">
        <v>0</v>
      </c>
      <c r="K39" s="42" t="n">
        <v>50</v>
      </c>
      <c r="L39" s="42" t="n">
        <v>0</v>
      </c>
      <c r="M39" s="43" t="n">
        <v>8000</v>
      </c>
      <c r="N39" s="42" t="n">
        <v>2</v>
      </c>
    </row>
    <row r="40">
      <c r="A40" s="41" t="inlineStr">
        <is>
          <t>Ipac Bachelor Factory</t>
        </is>
      </c>
      <c r="B40" s="41" t="inlineStr">
        <is>
          <t>Nantes</t>
        </is>
      </c>
      <c r="C40" s="41" t="inlineStr">
        <is>
          <t>Bachelor Commerce</t>
        </is>
      </c>
      <c r="D40" s="41" t="inlineStr">
        <is>
          <t>BAC</t>
        </is>
      </c>
      <c r="E40" s="7" t="inlineStr">
        <is>
          <t>B2</t>
        </is>
      </c>
      <c r="F40" s="7" t="inlineStr">
        <is>
          <t>ALT</t>
        </is>
      </c>
      <c r="G40" s="7" t="n">
        <v>0</v>
      </c>
      <c r="H40" s="42" t="n">
        <v>0</v>
      </c>
      <c r="I40" s="42" t="n">
        <v>0</v>
      </c>
      <c r="J40" s="42" t="n">
        <v>42</v>
      </c>
      <c r="K40" s="42" t="n">
        <v>42</v>
      </c>
      <c r="L40" s="42" t="n">
        <v>50</v>
      </c>
      <c r="M40" s="43" t="n">
        <v>8000</v>
      </c>
      <c r="N40" s="42" t="n">
        <v>2</v>
      </c>
    </row>
    <row r="41">
      <c r="A41" s="41" t="inlineStr">
        <is>
          <t>Ipac Bachelor Factory</t>
        </is>
      </c>
      <c r="B41" s="41" t="inlineStr">
        <is>
          <t>Nantes</t>
        </is>
      </c>
      <c r="C41" s="41" t="inlineStr">
        <is>
          <t>Bachelor Commerce</t>
        </is>
      </c>
      <c r="D41" s="41" t="inlineStr">
        <is>
          <t>BAC</t>
        </is>
      </c>
      <c r="E41" s="7" t="inlineStr">
        <is>
          <t>B3</t>
        </is>
      </c>
      <c r="F41" s="7" t="inlineStr">
        <is>
          <t>ALT</t>
        </is>
      </c>
      <c r="G41" s="7" t="n">
        <v>0</v>
      </c>
      <c r="H41" s="42" t="n">
        <v>0</v>
      </c>
      <c r="I41" s="42" t="n">
        <v>0</v>
      </c>
      <c r="J41" s="42" t="n">
        <v>38</v>
      </c>
      <c r="K41" s="42" t="n">
        <v>38</v>
      </c>
      <c r="L41" s="42" t="n">
        <v>42</v>
      </c>
      <c r="M41" s="43" t="n">
        <v>8000</v>
      </c>
      <c r="N41" s="42" t="n">
        <v>2</v>
      </c>
    </row>
    <row r="42">
      <c r="A42" s="41" t="inlineStr">
        <is>
          <t>Ipac Bachelor Factory</t>
        </is>
      </c>
      <c r="B42" s="41" t="inlineStr">
        <is>
          <t>Rennes</t>
        </is>
      </c>
      <c r="C42" s="41" t="inlineStr">
        <is>
          <t>Bachelor Commerce</t>
        </is>
      </c>
      <c r="D42" s="41" t="inlineStr">
        <is>
          <t>BAC</t>
        </is>
      </c>
      <c r="E42" s="7" t="inlineStr">
        <is>
          <t>B1</t>
        </is>
      </c>
      <c r="F42" s="7" t="inlineStr">
        <is>
          <t>ALT</t>
        </is>
      </c>
      <c r="G42" s="7" t="n">
        <v>1</v>
      </c>
      <c r="H42" s="42" t="n">
        <v>108</v>
      </c>
      <c r="I42" s="42" t="n">
        <v>40</v>
      </c>
      <c r="J42" s="42" t="n">
        <v>0</v>
      </c>
      <c r="K42" s="42" t="n">
        <v>40</v>
      </c>
      <c r="L42" s="42" t="n">
        <v>0</v>
      </c>
      <c r="M42" s="43" t="n">
        <v>8000</v>
      </c>
      <c r="N42" s="42" t="n">
        <v>2</v>
      </c>
    </row>
    <row r="43">
      <c r="A43" s="41" t="inlineStr">
        <is>
          <t>Ipac Bachelor Factory</t>
        </is>
      </c>
      <c r="B43" s="41" t="inlineStr">
        <is>
          <t>Rennes</t>
        </is>
      </c>
      <c r="C43" s="41" t="inlineStr">
        <is>
          <t>Bachelor Commerce</t>
        </is>
      </c>
      <c r="D43" s="41" t="inlineStr">
        <is>
          <t>BAC</t>
        </is>
      </c>
      <c r="E43" s="7" t="inlineStr">
        <is>
          <t>B2</t>
        </is>
      </c>
      <c r="F43" s="7" t="inlineStr">
        <is>
          <t>ALT</t>
        </is>
      </c>
      <c r="G43" s="7" t="n">
        <v>0</v>
      </c>
      <c r="H43" s="42" t="n">
        <v>0</v>
      </c>
      <c r="I43" s="42" t="n">
        <v>0</v>
      </c>
      <c r="J43" s="42" t="n">
        <v>34</v>
      </c>
      <c r="K43" s="42" t="n">
        <v>34</v>
      </c>
      <c r="L43" s="42" t="n">
        <v>40</v>
      </c>
      <c r="M43" s="43" t="n">
        <v>8000</v>
      </c>
      <c r="N43" s="42" t="n">
        <v>2</v>
      </c>
    </row>
    <row r="44">
      <c r="A44" s="41" t="inlineStr">
        <is>
          <t>Ipac Bachelor Factory</t>
        </is>
      </c>
      <c r="B44" s="41" t="inlineStr">
        <is>
          <t>Rennes</t>
        </is>
      </c>
      <c r="C44" s="41" t="inlineStr">
        <is>
          <t>Bachelor Commerce</t>
        </is>
      </c>
      <c r="D44" s="41" t="inlineStr">
        <is>
          <t>BAC</t>
        </is>
      </c>
      <c r="E44" s="7" t="inlineStr">
        <is>
          <t>B3</t>
        </is>
      </c>
      <c r="F44" s="7" t="inlineStr">
        <is>
          <t>ALT</t>
        </is>
      </c>
      <c r="G44" s="7" t="n">
        <v>0</v>
      </c>
      <c r="H44" s="42" t="n">
        <v>0</v>
      </c>
      <c r="I44" s="42" t="n">
        <v>0</v>
      </c>
      <c r="J44" s="42" t="n">
        <v>30</v>
      </c>
      <c r="K44" s="42" t="n">
        <v>30</v>
      </c>
      <c r="L44" s="42" t="n">
        <v>34</v>
      </c>
      <c r="M44" s="43" t="n">
        <v>8000</v>
      </c>
      <c r="N44" s="42" t="n">
        <v>1</v>
      </c>
    </row>
    <row r="45">
      <c r="A45" s="41" t="inlineStr">
        <is>
          <t>Ipac Bachelor Factory</t>
        </is>
      </c>
      <c r="B45" s="41" t="inlineStr">
        <is>
          <t>Montpellier</t>
        </is>
      </c>
      <c r="C45" s="41" t="inlineStr">
        <is>
          <t>Bachelor Commerce</t>
        </is>
      </c>
      <c r="D45" s="41" t="inlineStr">
        <is>
          <t>BAC</t>
        </is>
      </c>
      <c r="E45" s="7" t="inlineStr">
        <is>
          <t>B1</t>
        </is>
      </c>
      <c r="F45" s="7" t="inlineStr">
        <is>
          <t>ALT</t>
        </is>
      </c>
      <c r="G45" s="7" t="n">
        <v>1</v>
      </c>
      <c r="H45" s="42" t="n">
        <v>108</v>
      </c>
      <c r="I45" s="42" t="n">
        <v>40</v>
      </c>
      <c r="J45" s="42" t="n">
        <v>0</v>
      </c>
      <c r="K45" s="42" t="n">
        <v>40</v>
      </c>
      <c r="L45" s="42" t="n">
        <v>0</v>
      </c>
      <c r="M45" s="43" t="n">
        <v>8000</v>
      </c>
      <c r="N45" s="42" t="n">
        <v>2</v>
      </c>
    </row>
    <row r="46">
      <c r="A46" s="41" t="inlineStr">
        <is>
          <t>Ipac Bachelor Factory</t>
        </is>
      </c>
      <c r="B46" s="41" t="inlineStr">
        <is>
          <t>Montpellier</t>
        </is>
      </c>
      <c r="C46" s="41" t="inlineStr">
        <is>
          <t>Bachelor Commerce</t>
        </is>
      </c>
      <c r="D46" s="41" t="inlineStr">
        <is>
          <t>BAC</t>
        </is>
      </c>
      <c r="E46" s="7" t="inlineStr">
        <is>
          <t>B2</t>
        </is>
      </c>
      <c r="F46" s="7" t="inlineStr">
        <is>
          <t>ALT</t>
        </is>
      </c>
      <c r="G46" s="7" t="n">
        <v>0</v>
      </c>
      <c r="H46" s="42" t="n">
        <v>0</v>
      </c>
      <c r="I46" s="42" t="n">
        <v>0</v>
      </c>
      <c r="J46" s="42" t="n">
        <v>34</v>
      </c>
      <c r="K46" s="42" t="n">
        <v>34</v>
      </c>
      <c r="L46" s="42" t="n">
        <v>40</v>
      </c>
      <c r="M46" s="43" t="n">
        <v>8000</v>
      </c>
      <c r="N46" s="42" t="n">
        <v>2</v>
      </c>
    </row>
    <row r="47">
      <c r="A47" s="41" t="inlineStr">
        <is>
          <t>Ipac Bachelor Factory</t>
        </is>
      </c>
      <c r="B47" s="41" t="inlineStr">
        <is>
          <t>Montpellier</t>
        </is>
      </c>
      <c r="C47" s="41" t="inlineStr">
        <is>
          <t>Bachelor Commerce</t>
        </is>
      </c>
      <c r="D47" s="41" t="inlineStr">
        <is>
          <t>BAC</t>
        </is>
      </c>
      <c r="E47" s="7" t="inlineStr">
        <is>
          <t>B3</t>
        </is>
      </c>
      <c r="F47" s="7" t="inlineStr">
        <is>
          <t>ALT</t>
        </is>
      </c>
      <c r="G47" s="7" t="n">
        <v>0</v>
      </c>
      <c r="H47" s="42" t="n">
        <v>0</v>
      </c>
      <c r="I47" s="42" t="n">
        <v>0</v>
      </c>
      <c r="J47" s="42" t="n">
        <v>30</v>
      </c>
      <c r="K47" s="42" t="n">
        <v>30</v>
      </c>
      <c r="L47" s="42" t="n">
        <v>34</v>
      </c>
      <c r="M47" s="43" t="n">
        <v>8000</v>
      </c>
      <c r="N47" s="42" t="n">
        <v>1</v>
      </c>
    </row>
    <row r="48">
      <c r="A48" s="41" t="inlineStr">
        <is>
          <t>Pigier</t>
        </is>
      </c>
      <c r="B48" s="41" t="inlineStr">
        <is>
          <t>Lyon</t>
        </is>
      </c>
      <c r="C48" s="41" t="inlineStr">
        <is>
          <t>BTS Gestion</t>
        </is>
      </c>
      <c r="D48" s="41" t="inlineStr">
        <is>
          <t>BTS</t>
        </is>
      </c>
      <c r="E48" s="7" t="inlineStr">
        <is>
          <t>1</t>
        </is>
      </c>
      <c r="F48" s="7" t="inlineStr">
        <is>
          <t>ALT</t>
        </is>
      </c>
      <c r="G48" s="7" t="n">
        <v>1</v>
      </c>
      <c r="H48" s="42" t="n">
        <v>99</v>
      </c>
      <c r="I48" s="42" t="n">
        <v>37</v>
      </c>
      <c r="J48" s="42" t="n">
        <v>0</v>
      </c>
      <c r="K48" s="42" t="n">
        <v>37</v>
      </c>
      <c r="L48" s="42" t="n">
        <v>0</v>
      </c>
      <c r="M48" s="43" t="n">
        <v>7000</v>
      </c>
      <c r="N48" s="42" t="n">
        <v>2</v>
      </c>
    </row>
    <row r="49">
      <c r="A49" s="41" t="inlineStr">
        <is>
          <t>Pigier</t>
        </is>
      </c>
      <c r="B49" s="41" t="inlineStr">
        <is>
          <t>Lyon</t>
        </is>
      </c>
      <c r="C49" s="41" t="inlineStr">
        <is>
          <t>BTS Gestion</t>
        </is>
      </c>
      <c r="D49" s="41" t="inlineStr">
        <is>
          <t>BTS</t>
        </is>
      </c>
      <c r="E49" s="7" t="inlineStr">
        <is>
          <t>2</t>
        </is>
      </c>
      <c r="F49" s="7" t="inlineStr">
        <is>
          <t>ALT</t>
        </is>
      </c>
      <c r="G49" s="7" t="n">
        <v>0</v>
      </c>
      <c r="H49" s="42" t="n">
        <v>0</v>
      </c>
      <c r="I49" s="42" t="n">
        <v>0</v>
      </c>
      <c r="J49" s="42" t="n">
        <v>32</v>
      </c>
      <c r="K49" s="42" t="n">
        <v>32</v>
      </c>
      <c r="L49" s="42" t="n">
        <v>37</v>
      </c>
      <c r="M49" s="43" t="n">
        <v>7000</v>
      </c>
      <c r="N49" s="42" t="n">
        <v>2</v>
      </c>
    </row>
    <row r="50">
      <c r="A50" s="41" t="inlineStr">
        <is>
          <t>Pigier</t>
        </is>
      </c>
      <c r="B50" s="41" t="inlineStr">
        <is>
          <t>Lyon</t>
        </is>
      </c>
      <c r="C50" s="41" t="inlineStr">
        <is>
          <t>Bachelor RH</t>
        </is>
      </c>
      <c r="D50" s="41" t="inlineStr">
        <is>
          <t>BAC</t>
        </is>
      </c>
      <c r="E50" s="7" t="inlineStr">
        <is>
          <t>B1</t>
        </is>
      </c>
      <c r="F50" s="7" t="inlineStr">
        <is>
          <t>ALT</t>
        </is>
      </c>
      <c r="G50" s="7" t="n">
        <v>1</v>
      </c>
      <c r="H50" s="42" t="n">
        <v>124</v>
      </c>
      <c r="I50" s="42" t="n">
        <v>46</v>
      </c>
      <c r="J50" s="42" t="n">
        <v>0</v>
      </c>
      <c r="K50" s="42" t="n">
        <v>46</v>
      </c>
      <c r="L50" s="42" t="n">
        <v>0</v>
      </c>
      <c r="M50" s="43" t="n">
        <v>8000</v>
      </c>
      <c r="N50" s="42" t="n">
        <v>2</v>
      </c>
    </row>
    <row r="51">
      <c r="A51" s="41" t="inlineStr">
        <is>
          <t>Pigier</t>
        </is>
      </c>
      <c r="B51" s="41" t="inlineStr">
        <is>
          <t>Lyon</t>
        </is>
      </c>
      <c r="C51" s="41" t="inlineStr">
        <is>
          <t>Bachelor RH</t>
        </is>
      </c>
      <c r="D51" s="41" t="inlineStr">
        <is>
          <t>BAC</t>
        </is>
      </c>
      <c r="E51" s="7" t="inlineStr">
        <is>
          <t>B3</t>
        </is>
      </c>
      <c r="F51" s="7" t="inlineStr">
        <is>
          <t>ALT</t>
        </is>
      </c>
      <c r="G51" s="7" t="n">
        <v>0</v>
      </c>
      <c r="H51" s="42" t="n">
        <v>0</v>
      </c>
      <c r="I51" s="42" t="n">
        <v>0</v>
      </c>
      <c r="J51" s="42" t="n">
        <v>34</v>
      </c>
      <c r="K51" s="42" t="n">
        <v>34</v>
      </c>
      <c r="L51" s="42" t="n">
        <v>0</v>
      </c>
      <c r="M51" s="43" t="n">
        <v>8000</v>
      </c>
      <c r="N51" s="42" t="n">
        <v>2</v>
      </c>
    </row>
    <row r="52">
      <c r="A52" s="41" t="inlineStr">
        <is>
          <t>Pigier</t>
        </is>
      </c>
      <c r="B52" s="41" t="inlineStr">
        <is>
          <t>Bordeaux</t>
        </is>
      </c>
      <c r="C52" s="41" t="inlineStr">
        <is>
          <t>BTS Gestion</t>
        </is>
      </c>
      <c r="D52" s="41" t="inlineStr">
        <is>
          <t>BTS</t>
        </is>
      </c>
      <c r="E52" s="7" t="inlineStr">
        <is>
          <t>1</t>
        </is>
      </c>
      <c r="F52" s="7" t="inlineStr">
        <is>
          <t>ALT</t>
        </is>
      </c>
      <c r="G52" s="7" t="n">
        <v>1</v>
      </c>
      <c r="H52" s="42" t="n">
        <v>78</v>
      </c>
      <c r="I52" s="42" t="n">
        <v>29</v>
      </c>
      <c r="J52" s="42" t="n">
        <v>0</v>
      </c>
      <c r="K52" s="42" t="n">
        <v>29</v>
      </c>
      <c r="L52" s="42" t="n">
        <v>0</v>
      </c>
      <c r="M52" s="43" t="n">
        <v>7000</v>
      </c>
      <c r="N52" s="42" t="n">
        <v>1</v>
      </c>
    </row>
    <row r="53">
      <c r="A53" s="41" t="inlineStr">
        <is>
          <t>Pigier</t>
        </is>
      </c>
      <c r="B53" s="41" t="inlineStr">
        <is>
          <t>Bordeaux</t>
        </is>
      </c>
      <c r="C53" s="41" t="inlineStr">
        <is>
          <t>BTS Gestion</t>
        </is>
      </c>
      <c r="D53" s="41" t="inlineStr">
        <is>
          <t>BTS</t>
        </is>
      </c>
      <c r="E53" s="7" t="inlineStr">
        <is>
          <t>2</t>
        </is>
      </c>
      <c r="F53" s="7" t="inlineStr">
        <is>
          <t>ALT</t>
        </is>
      </c>
      <c r="G53" s="7" t="n">
        <v>0</v>
      </c>
      <c r="H53" s="42" t="n">
        <v>0</v>
      </c>
      <c r="I53" s="42" t="n">
        <v>0</v>
      </c>
      <c r="J53" s="42" t="n">
        <v>25</v>
      </c>
      <c r="K53" s="42" t="n">
        <v>25</v>
      </c>
      <c r="L53" s="42" t="n">
        <v>29</v>
      </c>
      <c r="M53" s="43" t="n">
        <v>7000</v>
      </c>
      <c r="N53" s="42" t="n">
        <v>1</v>
      </c>
    </row>
    <row r="54">
      <c r="A54" s="41" t="inlineStr">
        <is>
          <t>Pigier</t>
        </is>
      </c>
      <c r="B54" s="41" t="inlineStr">
        <is>
          <t>Bordeaux</t>
        </is>
      </c>
      <c r="C54" s="41" t="inlineStr">
        <is>
          <t>Bachelor RH</t>
        </is>
      </c>
      <c r="D54" s="41" t="inlineStr">
        <is>
          <t>BAC</t>
        </is>
      </c>
      <c r="E54" s="7" t="inlineStr">
        <is>
          <t>B1</t>
        </is>
      </c>
      <c r="F54" s="7" t="inlineStr">
        <is>
          <t>ALT</t>
        </is>
      </c>
      <c r="G54" s="7" t="n">
        <v>1</v>
      </c>
      <c r="H54" s="42" t="n">
        <v>97</v>
      </c>
      <c r="I54" s="42" t="n">
        <v>36</v>
      </c>
      <c r="J54" s="42" t="n">
        <v>0</v>
      </c>
      <c r="K54" s="42" t="n">
        <v>36</v>
      </c>
      <c r="L54" s="42" t="n">
        <v>0</v>
      </c>
      <c r="M54" s="43" t="n">
        <v>8000</v>
      </c>
      <c r="N54" s="42" t="n">
        <v>2</v>
      </c>
    </row>
    <row r="55">
      <c r="A55" s="41" t="inlineStr">
        <is>
          <t>Pigier</t>
        </is>
      </c>
      <c r="B55" s="41" t="inlineStr">
        <is>
          <t>Bordeaux</t>
        </is>
      </c>
      <c r="C55" s="41" t="inlineStr">
        <is>
          <t>Bachelor RH</t>
        </is>
      </c>
      <c r="D55" s="41" t="inlineStr">
        <is>
          <t>BAC</t>
        </is>
      </c>
      <c r="E55" s="7" t="inlineStr">
        <is>
          <t>B3</t>
        </is>
      </c>
      <c r="F55" s="7" t="inlineStr">
        <is>
          <t>ALT</t>
        </is>
      </c>
      <c r="G55" s="7" t="n">
        <v>0</v>
      </c>
      <c r="H55" s="42" t="n">
        <v>0</v>
      </c>
      <c r="I55" s="42" t="n">
        <v>0</v>
      </c>
      <c r="J55" s="42" t="n">
        <v>27</v>
      </c>
      <c r="K55" s="42" t="n">
        <v>27</v>
      </c>
      <c r="L55" s="42" t="n">
        <v>0</v>
      </c>
      <c r="M55" s="43" t="n">
        <v>8000</v>
      </c>
      <c r="N55" s="42" t="n">
        <v>1</v>
      </c>
    </row>
    <row r="56">
      <c r="A56" s="41" t="inlineStr">
        <is>
          <t>Tunon</t>
        </is>
      </c>
      <c r="B56" s="41" t="inlineStr">
        <is>
          <t>Paris</t>
        </is>
      </c>
      <c r="C56" s="41" t="inlineStr">
        <is>
          <t>Bachelor Tourisme</t>
        </is>
      </c>
      <c r="D56" s="41" t="inlineStr">
        <is>
          <t>BAC</t>
        </is>
      </c>
      <c r="E56" s="7" t="inlineStr">
        <is>
          <t>B1</t>
        </is>
      </c>
      <c r="F56" s="7" t="inlineStr">
        <is>
          <t>ALT</t>
        </is>
      </c>
      <c r="G56" s="7" t="n">
        <v>1</v>
      </c>
      <c r="H56" s="42" t="n">
        <v>126</v>
      </c>
      <c r="I56" s="42" t="n">
        <v>47</v>
      </c>
      <c r="J56" s="42" t="n">
        <v>0</v>
      </c>
      <c r="K56" s="42" t="n">
        <v>47</v>
      </c>
      <c r="L56" s="42" t="n">
        <v>0</v>
      </c>
      <c r="M56" s="43" t="n">
        <v>8000</v>
      </c>
      <c r="N56" s="42" t="n">
        <v>2</v>
      </c>
    </row>
    <row r="57">
      <c r="A57" s="41" t="inlineStr">
        <is>
          <t>Tunon</t>
        </is>
      </c>
      <c r="B57" s="41" t="inlineStr">
        <is>
          <t>Paris</t>
        </is>
      </c>
      <c r="C57" s="41" t="inlineStr">
        <is>
          <t>Bachelor Tourisme</t>
        </is>
      </c>
      <c r="D57" s="41" t="inlineStr">
        <is>
          <t>BAC</t>
        </is>
      </c>
      <c r="E57" s="7" t="inlineStr">
        <is>
          <t>B2</t>
        </is>
      </c>
      <c r="F57" s="7" t="inlineStr">
        <is>
          <t>ALT</t>
        </is>
      </c>
      <c r="G57" s="7" t="n">
        <v>0</v>
      </c>
      <c r="H57" s="42" t="n">
        <v>0</v>
      </c>
      <c r="I57" s="42" t="n">
        <v>0</v>
      </c>
      <c r="J57" s="42" t="n">
        <v>40</v>
      </c>
      <c r="K57" s="42" t="n">
        <v>40</v>
      </c>
      <c r="L57" s="42" t="n">
        <v>47</v>
      </c>
      <c r="M57" s="43" t="n">
        <v>8000</v>
      </c>
      <c r="N57" s="42" t="n">
        <v>2</v>
      </c>
    </row>
    <row r="58">
      <c r="A58" s="41" t="inlineStr">
        <is>
          <t>Tunon</t>
        </is>
      </c>
      <c r="B58" s="41" t="inlineStr">
        <is>
          <t>Paris</t>
        </is>
      </c>
      <c r="C58" s="41" t="inlineStr">
        <is>
          <t>Bachelor Tourisme</t>
        </is>
      </c>
      <c r="D58" s="41" t="inlineStr">
        <is>
          <t>BAC</t>
        </is>
      </c>
      <c r="E58" s="7" t="inlineStr">
        <is>
          <t>B3</t>
        </is>
      </c>
      <c r="F58" s="7" t="inlineStr">
        <is>
          <t>ALT</t>
        </is>
      </c>
      <c r="G58" s="7" t="n">
        <v>0</v>
      </c>
      <c r="H58" s="42" t="n">
        <v>0</v>
      </c>
      <c r="I58" s="42" t="n">
        <v>0</v>
      </c>
      <c r="J58" s="42" t="n">
        <v>35</v>
      </c>
      <c r="K58" s="42" t="n">
        <v>35</v>
      </c>
      <c r="L58" s="42" t="n">
        <v>40</v>
      </c>
      <c r="M58" s="43" t="n">
        <v>8000</v>
      </c>
      <c r="N58" s="42" t="n">
        <v>2</v>
      </c>
    </row>
    <row r="59">
      <c r="A59" s="41" t="inlineStr">
        <is>
          <t>Tunon</t>
        </is>
      </c>
      <c r="B59" s="41" t="inlineStr">
        <is>
          <t>Lyon</t>
        </is>
      </c>
      <c r="C59" s="41" t="inlineStr">
        <is>
          <t>Bachelor Tourisme</t>
        </is>
      </c>
      <c r="D59" s="41" t="inlineStr">
        <is>
          <t>BAC</t>
        </is>
      </c>
      <c r="E59" s="7" t="inlineStr">
        <is>
          <t>B1</t>
        </is>
      </c>
      <c r="F59" s="7" t="inlineStr">
        <is>
          <t>ALT</t>
        </is>
      </c>
      <c r="G59" s="7" t="n">
        <v>1</v>
      </c>
      <c r="H59" s="42" t="n">
        <v>108</v>
      </c>
      <c r="I59" s="42" t="n">
        <v>40</v>
      </c>
      <c r="J59" s="42" t="n">
        <v>0</v>
      </c>
      <c r="K59" s="42" t="n">
        <v>40</v>
      </c>
      <c r="L59" s="42" t="n">
        <v>0</v>
      </c>
      <c r="M59" s="43" t="n">
        <v>8000</v>
      </c>
      <c r="N59" s="42" t="n">
        <v>2</v>
      </c>
    </row>
    <row r="60">
      <c r="A60" s="41" t="inlineStr">
        <is>
          <t>Tunon</t>
        </is>
      </c>
      <c r="B60" s="41" t="inlineStr">
        <is>
          <t>Lyon</t>
        </is>
      </c>
      <c r="C60" s="41" t="inlineStr">
        <is>
          <t>Bachelor Tourisme</t>
        </is>
      </c>
      <c r="D60" s="41" t="inlineStr">
        <is>
          <t>BAC</t>
        </is>
      </c>
      <c r="E60" s="7" t="inlineStr">
        <is>
          <t>B2</t>
        </is>
      </c>
      <c r="F60" s="7" t="inlineStr">
        <is>
          <t>ALT</t>
        </is>
      </c>
      <c r="G60" s="7" t="n">
        <v>0</v>
      </c>
      <c r="H60" s="42" t="n">
        <v>0</v>
      </c>
      <c r="I60" s="42" t="n">
        <v>0</v>
      </c>
      <c r="J60" s="42" t="n">
        <v>34</v>
      </c>
      <c r="K60" s="42" t="n">
        <v>34</v>
      </c>
      <c r="L60" s="42" t="n">
        <v>40</v>
      </c>
      <c r="M60" s="43" t="n">
        <v>8000</v>
      </c>
      <c r="N60" s="42" t="n">
        <v>2</v>
      </c>
    </row>
    <row r="61">
      <c r="A61" s="41" t="inlineStr">
        <is>
          <t>Tunon</t>
        </is>
      </c>
      <c r="B61" s="41" t="inlineStr">
        <is>
          <t>Lyon</t>
        </is>
      </c>
      <c r="C61" s="41" t="inlineStr">
        <is>
          <t>Bachelor Tourisme</t>
        </is>
      </c>
      <c r="D61" s="41" t="inlineStr">
        <is>
          <t>BAC</t>
        </is>
      </c>
      <c r="E61" s="7" t="inlineStr">
        <is>
          <t>B3</t>
        </is>
      </c>
      <c r="F61" s="7" t="inlineStr">
        <is>
          <t>ALT</t>
        </is>
      </c>
      <c r="G61" s="7" t="n">
        <v>0</v>
      </c>
      <c r="H61" s="42" t="n">
        <v>0</v>
      </c>
      <c r="I61" s="42" t="n">
        <v>0</v>
      </c>
      <c r="J61" s="42" t="n">
        <v>30</v>
      </c>
      <c r="K61" s="42" t="n">
        <v>30</v>
      </c>
      <c r="L61" s="42" t="n">
        <v>34</v>
      </c>
      <c r="M61" s="43" t="n">
        <v>8000</v>
      </c>
      <c r="N61" s="42" t="n">
        <v>1</v>
      </c>
    </row>
    <row r="64">
      <c r="A64" s="44" t="inlineStr">
        <is>
          <t>Historique marketing &amp; sécurisation par programme (issu du réalisé)</t>
        </is>
      </c>
    </row>
    <row r="65">
      <c r="A65" s="17" t="inlineStr">
        <is>
          <t>Programme</t>
        </is>
      </c>
      <c r="B65" s="17" t="inlineStr">
        <is>
          <t>Cand N-2</t>
        </is>
      </c>
      <c r="C65" s="17" t="inlineStr">
        <is>
          <t>Cand N-1</t>
        </is>
      </c>
      <c r="D65" s="17" t="inlineStr">
        <is>
          <t>Marketing N-2</t>
        </is>
      </c>
      <c r="E65" s="17" t="inlineStr">
        <is>
          <t>Marketing N-1</t>
        </is>
      </c>
      <c r="F65" s="17" t="inlineStr">
        <is>
          <t>Élasticité mesurée</t>
        </is>
      </c>
      <c r="G65" s="17" t="inlineStr">
        <is>
          <t>Sécurisation N-1</t>
        </is>
      </c>
    </row>
    <row r="66">
      <c r="A66" s="41" t="inlineStr">
        <is>
          <t>Bachelor Management</t>
        </is>
      </c>
      <c r="B66" s="42" t="n">
        <v>652</v>
      </c>
      <c r="C66" s="42" t="n">
        <v>685</v>
      </c>
      <c r="D66" s="45" t="n">
        <v>74182</v>
      </c>
      <c r="E66" s="45" t="n">
        <v>81600</v>
      </c>
      <c r="F66" s="46">
        <f>IFERROR((C66/B66-1)/(E66/D66-1),'01_Cadrage'!$H$29)</f>
        <v/>
      </c>
      <c r="G66" s="29" t="n">
        <v>0.88</v>
      </c>
    </row>
    <row r="67">
      <c r="A67" s="41" t="inlineStr">
        <is>
          <t>Mastère Management</t>
        </is>
      </c>
      <c r="B67" s="42" t="n">
        <v>394</v>
      </c>
      <c r="C67" s="42" t="n">
        <v>414</v>
      </c>
      <c r="D67" s="45" t="n">
        <v>84000</v>
      </c>
      <c r="E67" s="45" t="n">
        <v>92400</v>
      </c>
      <c r="F67" s="46">
        <f>IFERROR((C67/B67-1)/(E67/D67-1),'01_Cadrage'!$H$29)</f>
        <v/>
      </c>
      <c r="G67" s="29" t="n">
        <v>0.88</v>
      </c>
    </row>
    <row r="68">
      <c r="A68" s="41" t="inlineStr">
        <is>
          <t>Bachelor Communication</t>
        </is>
      </c>
      <c r="B68" s="42" t="n">
        <v>432</v>
      </c>
      <c r="C68" s="42" t="n">
        <v>454</v>
      </c>
      <c r="D68" s="45" t="n">
        <v>49164</v>
      </c>
      <c r="E68" s="45" t="n">
        <v>54080</v>
      </c>
      <c r="F68" s="46">
        <f>IFERROR((C68/B68-1)/(E68/D68-1),'01_Cadrage'!$H$29)</f>
        <v/>
      </c>
      <c r="G68" s="29" t="n">
        <v>0.85</v>
      </c>
    </row>
    <row r="69">
      <c r="A69" s="41" t="inlineStr">
        <is>
          <t>Mastère Communication</t>
        </is>
      </c>
      <c r="B69" s="42" t="n">
        <v>259</v>
      </c>
      <c r="C69" s="42" t="n">
        <v>272</v>
      </c>
      <c r="D69" s="45" t="n">
        <v>55091</v>
      </c>
      <c r="E69" s="45" t="n">
        <v>60600</v>
      </c>
      <c r="F69" s="46">
        <f>IFERROR((C69/B69-1)/(E69/D69-1),'01_Cadrage'!$H$29)</f>
        <v/>
      </c>
      <c r="G69" s="29" t="n">
        <v>0.85</v>
      </c>
    </row>
    <row r="70">
      <c r="A70" s="41" t="inlineStr">
        <is>
          <t>Bachelor Commerce</t>
        </is>
      </c>
      <c r="B70" s="42" t="n">
        <v>333</v>
      </c>
      <c r="C70" s="42" t="n">
        <v>350</v>
      </c>
      <c r="D70" s="45" t="n">
        <v>37818</v>
      </c>
      <c r="E70" s="45" t="n">
        <v>41600</v>
      </c>
      <c r="F70" s="46">
        <f>IFERROR((C70/B70-1)/(E70/D70-1),'01_Cadrage'!$H$29)</f>
        <v/>
      </c>
      <c r="G70" s="29" t="n">
        <v>0.87</v>
      </c>
    </row>
    <row r="71">
      <c r="A71" s="41" t="inlineStr">
        <is>
          <t>BTS Gestion</t>
        </is>
      </c>
      <c r="B71" s="42" t="n">
        <v>169</v>
      </c>
      <c r="C71" s="42" t="n">
        <v>177</v>
      </c>
      <c r="D71" s="45" t="n">
        <v>15000</v>
      </c>
      <c r="E71" s="45" t="n">
        <v>16500</v>
      </c>
      <c r="F71" s="46">
        <f>IFERROR((C71/B71-1)/(E71/D71-1),'01_Cadrage'!$H$29)</f>
        <v/>
      </c>
      <c r="G71" s="29" t="n">
        <v>0.84</v>
      </c>
    </row>
    <row r="72">
      <c r="A72" s="41" t="inlineStr">
        <is>
          <t>Bachelor RH</t>
        </is>
      </c>
      <c r="B72" s="42" t="n">
        <v>210</v>
      </c>
      <c r="C72" s="42" t="n">
        <v>221</v>
      </c>
      <c r="D72" s="45" t="n">
        <v>23855</v>
      </c>
      <c r="E72" s="45" t="n">
        <v>26240</v>
      </c>
      <c r="F72" s="46">
        <f>IFERROR((C72/B72-1)/(E72/D72-1),'01_Cadrage'!$H$29)</f>
        <v/>
      </c>
      <c r="G72" s="29" t="n">
        <v>0.84</v>
      </c>
    </row>
    <row r="73">
      <c r="A73" s="41" t="inlineStr">
        <is>
          <t>Bachelor Tourisme</t>
        </is>
      </c>
      <c r="B73" s="42" t="n">
        <v>223</v>
      </c>
      <c r="C73" s="42" t="n">
        <v>234</v>
      </c>
      <c r="D73" s="45" t="n">
        <v>25309</v>
      </c>
      <c r="E73" s="45" t="n">
        <v>27840</v>
      </c>
      <c r="F73" s="46">
        <f>IFERROR((C73/B73-1)/(E73/D73-1),'01_Cadrage'!$H$29)</f>
        <v/>
      </c>
      <c r="G73" s="29"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7" t="inlineStr">
        <is>
          <t>Marque</t>
        </is>
      </c>
      <c r="B3" s="17" t="inlineStr">
        <is>
          <t>Ville</t>
        </is>
      </c>
      <c r="C3" s="17" t="inlineStr">
        <is>
          <t>Effectif N-1</t>
        </is>
      </c>
      <c r="D3" s="17" t="inlineStr">
        <is>
          <t>CA N-1</t>
        </is>
      </c>
      <c r="E3" s="17" t="inlineStr">
        <is>
          <t>Contribution N-1</t>
        </is>
      </c>
      <c r="F3" s="17" t="inlineStr">
        <is>
          <t>Loyer N-1</t>
        </is>
      </c>
      <c r="G3" s="17" t="inlineStr">
        <is>
          <t>ETP perm.</t>
        </is>
      </c>
      <c r="H3" s="17" t="inlineStr">
        <is>
          <t>Masse perm. N-1</t>
        </is>
      </c>
      <c r="I3" s="17" t="inlineStr">
        <is>
          <t>D&amp;A N-1</t>
        </is>
      </c>
      <c r="J3" s="17" t="inlineStr">
        <is>
          <t>Surface m²</t>
        </is>
      </c>
      <c r="K3" s="17" t="inlineStr">
        <is>
          <t>EBITDA campus N-1</t>
        </is>
      </c>
    </row>
    <row r="4">
      <c r="A4" s="41" t="inlineStr">
        <is>
          <t>MBway</t>
        </is>
      </c>
      <c r="B4" s="7" t="inlineStr">
        <is>
          <t>Paris</t>
        </is>
      </c>
      <c r="C4" s="42" t="n">
        <v>291</v>
      </c>
      <c r="D4" s="45" t="n">
        <v>2467250</v>
      </c>
      <c r="E4" s="45" t="n">
        <v>1624256</v>
      </c>
      <c r="F4" s="45" t="n">
        <v>271000</v>
      </c>
      <c r="G4" s="42" t="n">
        <v>11</v>
      </c>
      <c r="H4" s="21">
        <f>G4*'01_Cadrage'!$H$23</f>
        <v/>
      </c>
      <c r="I4" s="45" t="n">
        <v>148000</v>
      </c>
      <c r="J4" s="42" t="n">
        <v>2328</v>
      </c>
      <c r="K4" s="21">
        <f>E4-F4-H4</f>
        <v/>
      </c>
    </row>
    <row r="5">
      <c r="A5" s="41" t="inlineStr">
        <is>
          <t>MBway</t>
        </is>
      </c>
      <c r="B5" s="7" t="inlineStr">
        <is>
          <t>Lyon</t>
        </is>
      </c>
      <c r="C5" s="42" t="n">
        <v>248</v>
      </c>
      <c r="D5" s="45" t="n">
        <v>2102540</v>
      </c>
      <c r="E5" s="45" t="n">
        <v>1358988</v>
      </c>
      <c r="F5" s="45" t="n">
        <v>231000</v>
      </c>
      <c r="G5" s="42" t="n">
        <v>9</v>
      </c>
      <c r="H5" s="21">
        <f>G5*'01_Cadrage'!$H$23</f>
        <v/>
      </c>
      <c r="I5" s="45" t="n">
        <v>126000</v>
      </c>
      <c r="J5" s="42" t="n">
        <v>1984</v>
      </c>
      <c r="K5" s="21">
        <f>E5-F5-H5</f>
        <v/>
      </c>
    </row>
    <row r="6">
      <c r="A6" s="41" t="inlineStr">
        <is>
          <t>MBway</t>
        </is>
      </c>
      <c r="B6" s="7" t="inlineStr">
        <is>
          <t>Nantes</t>
        </is>
      </c>
      <c r="C6" s="42" t="n">
        <v>224</v>
      </c>
      <c r="D6" s="45" t="n">
        <v>1898640</v>
      </c>
      <c r="E6" s="45" t="n">
        <v>1227184</v>
      </c>
      <c r="F6" s="45" t="n">
        <v>209000</v>
      </c>
      <c r="G6" s="42" t="n">
        <v>8</v>
      </c>
      <c r="H6" s="21">
        <f>G6*'01_Cadrage'!$H$23</f>
        <v/>
      </c>
      <c r="I6" s="45" t="n">
        <v>114000</v>
      </c>
      <c r="J6" s="42" t="n">
        <v>1792</v>
      </c>
      <c r="K6" s="21">
        <f>E6-F6-H6</f>
        <v/>
      </c>
    </row>
    <row r="7">
      <c r="A7" s="41" t="inlineStr">
        <is>
          <t>MBway</t>
        </is>
      </c>
      <c r="B7" s="7" t="inlineStr">
        <is>
          <t>Bordeaux</t>
        </is>
      </c>
      <c r="C7" s="42" t="n">
        <v>191</v>
      </c>
      <c r="D7" s="45" t="n">
        <v>1619880</v>
      </c>
      <c r="E7" s="45" t="n">
        <v>999406</v>
      </c>
      <c r="F7" s="45" t="n">
        <v>178000</v>
      </c>
      <c r="G7" s="42" t="n">
        <v>7</v>
      </c>
      <c r="H7" s="21">
        <f>G7*'01_Cadrage'!$H$23</f>
        <v/>
      </c>
      <c r="I7" s="45" t="n">
        <v>97000</v>
      </c>
      <c r="J7" s="42" t="n">
        <v>1528</v>
      </c>
      <c r="K7" s="21">
        <f>E7-F7-H7</f>
        <v/>
      </c>
    </row>
    <row r="8">
      <c r="A8" s="41" t="inlineStr">
        <is>
          <t>ISCOM</t>
        </is>
      </c>
      <c r="B8" s="7" t="inlineStr">
        <is>
          <t>Paris</t>
        </is>
      </c>
      <c r="C8" s="42" t="n">
        <v>269</v>
      </c>
      <c r="D8" s="45" t="n">
        <v>2280350</v>
      </c>
      <c r="E8" s="45" t="n">
        <v>1440794</v>
      </c>
      <c r="F8" s="45" t="n">
        <v>251000</v>
      </c>
      <c r="G8" s="42" t="n">
        <v>10</v>
      </c>
      <c r="H8" s="21">
        <f>G8*'01_Cadrage'!$H$23</f>
        <v/>
      </c>
      <c r="I8" s="45" t="n">
        <v>137000</v>
      </c>
      <c r="J8" s="42" t="n">
        <v>2152</v>
      </c>
      <c r="K8" s="21">
        <f>E8-F8-H8</f>
        <v/>
      </c>
    </row>
    <row r="9">
      <c r="A9" s="41" t="inlineStr">
        <is>
          <t>ISCOM</t>
        </is>
      </c>
      <c r="B9" s="7" t="inlineStr">
        <is>
          <t>Lille</t>
        </is>
      </c>
      <c r="C9" s="42" t="n">
        <v>187</v>
      </c>
      <c r="D9" s="45" t="n">
        <v>1585200</v>
      </c>
      <c r="E9" s="45" t="n">
        <v>922372</v>
      </c>
      <c r="F9" s="45" t="n">
        <v>174000</v>
      </c>
      <c r="G9" s="42" t="n">
        <v>7</v>
      </c>
      <c r="H9" s="21">
        <f>G9*'01_Cadrage'!$H$23</f>
        <v/>
      </c>
      <c r="I9" s="45" t="n">
        <v>95000</v>
      </c>
      <c r="J9" s="42" t="n">
        <v>1496</v>
      </c>
      <c r="K9" s="21">
        <f>E9-F9-H9</f>
        <v/>
      </c>
    </row>
    <row r="10">
      <c r="A10" s="41" t="inlineStr">
        <is>
          <t>ISCOM</t>
        </is>
      </c>
      <c r="B10" s="7" t="inlineStr">
        <is>
          <t>Toulouse</t>
        </is>
      </c>
      <c r="C10" s="42" t="n">
        <v>175</v>
      </c>
      <c r="D10" s="45" t="n">
        <v>1483250</v>
      </c>
      <c r="E10" s="45" t="n">
        <v>873430</v>
      </c>
      <c r="F10" s="45" t="n">
        <v>163000</v>
      </c>
      <c r="G10" s="42" t="n">
        <v>7</v>
      </c>
      <c r="H10" s="21">
        <f>G10*'01_Cadrage'!$H$23</f>
        <v/>
      </c>
      <c r="I10" s="45" t="n">
        <v>89000</v>
      </c>
      <c r="J10" s="42" t="n">
        <v>1400</v>
      </c>
      <c r="K10" s="21">
        <f>E10-F10-H10</f>
        <v/>
      </c>
    </row>
    <row r="11">
      <c r="A11" s="41" t="inlineStr">
        <is>
          <t>Ipac Bachelor Factory</t>
        </is>
      </c>
      <c r="B11" s="7" t="inlineStr">
        <is>
          <t>Nantes</t>
        </is>
      </c>
      <c r="C11" s="42" t="n">
        <v>130</v>
      </c>
      <c r="D11" s="45" t="n">
        <v>1044500</v>
      </c>
      <c r="E11" s="45" t="n">
        <v>662800</v>
      </c>
      <c r="F11" s="45" t="n">
        <v>115000</v>
      </c>
      <c r="G11" s="42" t="n">
        <v>5</v>
      </c>
      <c r="H11" s="21">
        <f>G11*'01_Cadrage'!$H$23</f>
        <v/>
      </c>
      <c r="I11" s="45" t="n">
        <v>63000</v>
      </c>
      <c r="J11" s="42" t="n">
        <v>1040</v>
      </c>
      <c r="K11" s="21">
        <f>E11-F11-H11</f>
        <v/>
      </c>
    </row>
    <row r="12">
      <c r="A12" s="41" t="inlineStr">
        <is>
          <t>Ipac Bachelor Factory</t>
        </is>
      </c>
      <c r="B12" s="7" t="inlineStr">
        <is>
          <t>Rennes</t>
        </is>
      </c>
      <c r="C12" s="42" t="n">
        <v>104</v>
      </c>
      <c r="D12" s="45" t="n">
        <v>835600</v>
      </c>
      <c r="E12" s="45" t="n">
        <v>521424</v>
      </c>
      <c r="F12" s="45" t="n">
        <v>92000</v>
      </c>
      <c r="G12" s="42" t="n">
        <v>4</v>
      </c>
      <c r="H12" s="21">
        <f>G12*'01_Cadrage'!$H$23</f>
        <v/>
      </c>
      <c r="I12" s="45" t="n">
        <v>50000</v>
      </c>
      <c r="J12" s="42" t="n">
        <v>832</v>
      </c>
      <c r="K12" s="21">
        <f>E12-F12-H12</f>
        <v/>
      </c>
    </row>
    <row r="13">
      <c r="A13" s="41" t="inlineStr">
        <is>
          <t>Ipac Bachelor Factory</t>
        </is>
      </c>
      <c r="B13" s="7" t="inlineStr">
        <is>
          <t>Montpellier</t>
        </is>
      </c>
      <c r="C13" s="42" t="n">
        <v>104</v>
      </c>
      <c r="D13" s="45" t="n">
        <v>835600</v>
      </c>
      <c r="E13" s="45" t="n">
        <v>521424</v>
      </c>
      <c r="F13" s="45" t="n">
        <v>92000</v>
      </c>
      <c r="G13" s="42" t="n">
        <v>4</v>
      </c>
      <c r="H13" s="21">
        <f>G13*'01_Cadrage'!$H$23</f>
        <v/>
      </c>
      <c r="I13" s="45" t="n">
        <v>50000</v>
      </c>
      <c r="J13" s="42" t="n">
        <v>832</v>
      </c>
      <c r="K13" s="21">
        <f>E13-F13-H13</f>
        <v/>
      </c>
    </row>
    <row r="14">
      <c r="A14" s="41" t="inlineStr">
        <is>
          <t>Pigier</t>
        </is>
      </c>
      <c r="B14" s="7" t="inlineStr">
        <is>
          <t>Lyon</t>
        </is>
      </c>
      <c r="C14" s="42" t="n">
        <v>149</v>
      </c>
      <c r="D14" s="45" t="n">
        <v>1130470</v>
      </c>
      <c r="E14" s="45" t="n">
        <v>628864</v>
      </c>
      <c r="F14" s="45" t="n">
        <v>124000</v>
      </c>
      <c r="G14" s="42" t="n">
        <v>6</v>
      </c>
      <c r="H14" s="21">
        <f>G14*'01_Cadrage'!$H$23</f>
        <v/>
      </c>
      <c r="I14" s="45" t="n">
        <v>68000</v>
      </c>
      <c r="J14" s="42" t="n">
        <v>1192</v>
      </c>
      <c r="K14" s="21">
        <f>E14-F14-H14</f>
        <v/>
      </c>
    </row>
    <row r="15">
      <c r="A15" s="41" t="inlineStr">
        <is>
          <t>Pigier</t>
        </is>
      </c>
      <c r="B15" s="7" t="inlineStr">
        <is>
          <t>Bordeaux</t>
        </is>
      </c>
      <c r="C15" s="42" t="n">
        <v>117</v>
      </c>
      <c r="D15" s="45" t="n">
        <v>887850</v>
      </c>
      <c r="E15" s="45" t="n">
        <v>540202</v>
      </c>
      <c r="F15" s="45" t="n">
        <v>98000</v>
      </c>
      <c r="G15" s="42" t="n">
        <v>5</v>
      </c>
      <c r="H15" s="21">
        <f>G15*'01_Cadrage'!$H$23</f>
        <v/>
      </c>
      <c r="I15" s="45" t="n">
        <v>53000</v>
      </c>
      <c r="J15" s="42" t="n">
        <v>936</v>
      </c>
      <c r="K15" s="21">
        <f>E15-F15-H15</f>
        <v/>
      </c>
    </row>
    <row r="16">
      <c r="A16" s="41" t="inlineStr">
        <is>
          <t>Tunon</t>
        </is>
      </c>
      <c r="B16" s="7" t="inlineStr">
        <is>
          <t>Paris</t>
        </is>
      </c>
      <c r="C16" s="42" t="n">
        <v>122</v>
      </c>
      <c r="D16" s="45" t="n">
        <v>980230</v>
      </c>
      <c r="E16" s="45" t="n">
        <v>608182</v>
      </c>
      <c r="F16" s="45" t="n">
        <v>108000</v>
      </c>
      <c r="G16" s="42" t="n">
        <v>5</v>
      </c>
      <c r="H16" s="21">
        <f>G16*'01_Cadrage'!$H$23</f>
        <v/>
      </c>
      <c r="I16" s="45" t="n">
        <v>59000</v>
      </c>
      <c r="J16" s="42" t="n">
        <v>976</v>
      </c>
      <c r="K16" s="21">
        <f>E16-F16-H16</f>
        <v/>
      </c>
    </row>
    <row r="17">
      <c r="A17" s="41" t="inlineStr">
        <is>
          <t>Tunon</t>
        </is>
      </c>
      <c r="B17" s="7" t="inlineStr">
        <is>
          <t>Lyon</t>
        </is>
      </c>
      <c r="C17" s="42" t="n">
        <v>104</v>
      </c>
      <c r="D17" s="45" t="n">
        <v>835600</v>
      </c>
      <c r="E17" s="45" t="n">
        <v>519824</v>
      </c>
      <c r="F17" s="45" t="n">
        <v>92000</v>
      </c>
      <c r="G17" s="42" t="n">
        <v>4</v>
      </c>
      <c r="H17" s="21">
        <f>G17*'01_Cadrage'!$H$23</f>
        <v/>
      </c>
      <c r="I17" s="45" t="n">
        <v>50000</v>
      </c>
      <c r="J17" s="42" t="n">
        <v>832</v>
      </c>
      <c r="K17" s="21">
        <f>E17-F17-H17</f>
        <v/>
      </c>
    </row>
    <row r="18">
      <c r="A18" s="47" t="inlineStr">
        <is>
          <t>TOTAL</t>
        </is>
      </c>
      <c r="B18" s="48" t="inlineStr">
        <is>
          <t> </t>
        </is>
      </c>
      <c r="C18" s="49">
        <f>SUM(C4:C17)</f>
        <v/>
      </c>
      <c r="D18" s="50">
        <f>SUM(D4:D17)</f>
        <v/>
      </c>
      <c r="E18" s="50">
        <f>SUM(E4:E17)</f>
        <v/>
      </c>
      <c r="F18" s="50">
        <f>SUM(F4:F17)</f>
        <v/>
      </c>
      <c r="G18" s="49">
        <f>SUM(G4:G17)</f>
        <v/>
      </c>
      <c r="H18" s="50">
        <f>SUM(H4:H17)</f>
        <v/>
      </c>
      <c r="I18" s="50">
        <f>SUM(I4:I17)</f>
        <v/>
      </c>
      <c r="J18" s="49">
        <f>SUM(J4:J17)</f>
        <v/>
      </c>
      <c r="K18" s="50">
        <f>SUM(K4:K17)</f>
        <v/>
      </c>
    </row>
  </sheetData>
  <mergeCells count="1">
    <mergeCell ref="A1:K1"/>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7" t="inlineStr">
        <is>
          <t>Marque</t>
        </is>
      </c>
      <c r="B2" s="17" t="inlineStr">
        <is>
          <t>Ville</t>
        </is>
      </c>
      <c r="C2" s="17" t="inlineStr">
        <is>
          <t>Programme</t>
        </is>
      </c>
      <c r="D2" s="17" t="inlineStr">
        <is>
          <t>Année</t>
        </is>
      </c>
      <c r="E2" s="17" t="inlineStr">
        <is>
          <t>Mod</t>
        </is>
      </c>
      <c r="F2" s="17" t="inlineStr">
        <is>
          <t>Entrée</t>
        </is>
      </c>
      <c r="G2" s="17" t="inlineStr">
        <is>
          <t>Eff N-1</t>
        </is>
      </c>
      <c r="H2" s="17" t="inlineStr">
        <is>
          <t>Nouv N-1</t>
        </is>
      </c>
      <c r="I2" s="17" t="inlineStr">
        <is>
          <t>Réins N-1</t>
        </is>
      </c>
      <c r="J2" s="17" t="inlineStr">
        <is>
          <t>Cand N-1</t>
        </is>
      </c>
      <c r="K2" s="17" t="inlineStr">
        <is>
          <t>EffInf N-1</t>
        </is>
      </c>
      <c r="L2" s="17" t="inlineStr">
        <is>
          <t>Tarif N-1</t>
        </is>
      </c>
      <c r="M2" s="17" t="inlineStr">
        <is>
          <t>Cl N-1</t>
        </is>
      </c>
      <c r="N2" s="17" t="inlineStr">
        <is>
          <t>clé</t>
        </is>
      </c>
      <c r="O2" s="17" t="inlineStr">
        <is>
          <t>Cap</t>
        </is>
      </c>
      <c r="P2" s="17" t="inlineStr">
        <is>
          <t>Heures</t>
        </is>
      </c>
      <c r="Q2" s="17" t="inlineStr">
        <is>
          <t>Taux</t>
        </is>
      </c>
      <c r="R2" s="17" t="inlineStr">
        <is>
          <t>Pédago</t>
        </is>
      </c>
      <c r="S2" s="17" t="inlineStr">
        <is>
          <t>CACvar</t>
        </is>
      </c>
      <c r="T2" s="17" t="inlineStr">
        <is>
          <t>Passage</t>
        </is>
      </c>
      <c r="U2" s="17" t="inlineStr">
        <is>
          <t>Coût/cl</t>
        </is>
      </c>
      <c r="V2" s="17" t="inlineStr">
        <is>
          <t>cMkt</t>
        </is>
      </c>
      <c r="W2" s="17" t="inlineStr">
        <is>
          <t>cPrix</t>
        </is>
      </c>
      <c r="X2" s="17" t="inlineStr">
        <is>
          <t>Élast</t>
        </is>
      </c>
      <c r="Y2" s="17" t="inlineStr">
        <is>
          <t>Effort</t>
        </is>
      </c>
      <c r="Z2" s="17" t="inlineStr">
        <is>
          <t>Cand Bud</t>
        </is>
      </c>
      <c r="AA2" s="17" t="inlineStr">
        <is>
          <t>Conv</t>
        </is>
      </c>
      <c r="AB2" s="17" t="inlineStr">
        <is>
          <t>Nouv Bud</t>
        </is>
      </c>
      <c r="AC2" s="17" t="inlineStr">
        <is>
          <t>Réins Bud</t>
        </is>
      </c>
      <c r="AD2" s="17" t="inlineStr">
        <is>
          <t>Effectif Bud</t>
        </is>
      </c>
      <c r="AE2" s="17" t="inlineStr">
        <is>
          <t>Tarif Bud</t>
        </is>
      </c>
      <c r="AF2" s="17" t="inlineStr">
        <is>
          <t>SecFac</t>
        </is>
      </c>
      <c r="AG2" s="17" t="inlineStr">
        <is>
          <t>SecN-1</t>
        </is>
      </c>
      <c r="AH2" s="17" t="inlineStr">
        <is>
          <t>CA Bud</t>
        </is>
      </c>
      <c r="AI2" s="17" t="inlineStr">
        <is>
          <t>Cl besoin</t>
        </is>
      </c>
      <c r="AJ2" s="17" t="inlineStr">
        <is>
          <t>Enseign</t>
        </is>
      </c>
      <c r="AK2" s="17" t="inlineStr">
        <is>
          <t>Pédago€</t>
        </is>
      </c>
      <c r="AL2" s="17" t="inlineStr">
        <is>
          <t>Mktg</t>
        </is>
      </c>
      <c r="AM2" s="17" t="inlineStr">
        <is>
          <t>Contrib</t>
        </is>
      </c>
      <c r="AN2" s="17" t="inlineStr">
        <is>
          <t>Rempl</t>
        </is>
      </c>
      <c r="AO2" s="17" t="inlineStr">
        <is>
          <t>Contr/étu</t>
        </is>
      </c>
      <c r="AP2" s="17" t="inlineStr">
        <is>
          <t>Pt mort</t>
        </is>
      </c>
    </row>
    <row r="3">
      <c r="A3" s="51">
        <f>'06_Historique'!A4</f>
        <v/>
      </c>
      <c r="B3" s="10">
        <f>'06_Historique'!B4</f>
        <v/>
      </c>
      <c r="C3" s="51">
        <f>'06_Historique'!C4</f>
        <v/>
      </c>
      <c r="D3" s="10">
        <f>'06_Historique'!E4</f>
        <v/>
      </c>
      <c r="E3" s="10">
        <f>'06_Historique'!F4</f>
        <v/>
      </c>
      <c r="F3" s="52">
        <f>'06_Historique'!G4</f>
        <v/>
      </c>
      <c r="G3" s="52">
        <f>'06_Historique'!K4</f>
        <v/>
      </c>
      <c r="H3" s="52">
        <f>'06_Historique'!I4</f>
        <v/>
      </c>
      <c r="I3" s="52">
        <f>'06_Historique'!J4</f>
        <v/>
      </c>
      <c r="J3" s="52">
        <f>'06_Historique'!H4</f>
        <v/>
      </c>
      <c r="K3" s="52">
        <f>'06_Historique'!L4</f>
        <v/>
      </c>
      <c r="L3" s="53">
        <f>'06_Historique'!M4</f>
        <v/>
      </c>
      <c r="M3" s="52">
        <f>'06_Historique'!N4</f>
        <v/>
      </c>
      <c r="N3" s="9">
        <f>C3&amp;"|"&amp;D3</f>
        <v/>
      </c>
      <c r="O3" s="54">
        <f>INDEX('05_Param_Prog_Annee'!$E$4:$E$23,MATCH(N3,'05_Param_Prog_Annee'!$A$4:$A$23,0))</f>
        <v/>
      </c>
      <c r="P3" s="54">
        <f>INDEX('05_Param_Prog_Annee'!$F$4:$F$23,MATCH(N3,'05_Param_Prog_Annee'!$A$4:$A$23,0))</f>
        <v/>
      </c>
      <c r="Q3" s="55">
        <f>INDEX('05_Param_Prog_Annee'!$G$4:$G$23,MATCH(N3,'05_Param_Prog_Annee'!$A$4:$A$23,0))</f>
        <v/>
      </c>
      <c r="R3" s="55">
        <f>INDEX('05_Param_Prog_Annee'!$H$4:$H$23,MATCH(N3,'05_Param_Prog_Annee'!$A$4:$A$23,0))</f>
        <v/>
      </c>
      <c r="S3" s="55">
        <f>INDEX('05_Param_Prog_Annee'!$I$4:$I$23,MATCH(N3,'05_Param_Prog_Annee'!$A$4:$A$23,0))</f>
        <v/>
      </c>
      <c r="T3" s="56">
        <f>IFERROR(INDEX('05_Param_Prog_Annee'!$J$4:$J$23,MATCH(N3,'05_Param_Prog_Annee'!$A$4:$A$23,0)),0)</f>
        <v/>
      </c>
      <c r="U3" s="55">
        <f>P3*Q3*(1+'01_Cadrage'!$H$21)</f>
        <v/>
      </c>
      <c r="V3" s="46">
        <f>INDEX('01_Cadrage'!$L$7:$L$20,MATCH(A3&amp;"|"&amp;B3,'01_Cadrage'!$O$7:$O$20,0))</f>
        <v/>
      </c>
      <c r="W3" s="46">
        <f>INDEX('01_Cadrage'!$M$7:$M$20,MATCH(A3&amp;"|"&amp;B3,'01_Cadrage'!$O$7:$O$20,0))</f>
        <v/>
      </c>
      <c r="X3" s="46">
        <f>IFERROR(INDEX('06_Historique'!$F$66:$F$73,MATCH(C3,'06_Historique'!$A$66:$A$73,0)),'01_Cadrage'!$H$29)</f>
        <v/>
      </c>
      <c r="Y3" s="56">
        <f>'01_Cadrage'!$H$16*V3</f>
        <v/>
      </c>
      <c r="Z3" s="54">
        <f>IF(F3=1,J3*(1+X3*Y3),0)</f>
        <v/>
      </c>
      <c r="AA3" s="56">
        <f>IF(F3=1,IFERROR(H3/J3,'01_Cadrage'!$H$30)+'01_Cadrage'!$H$18,0)</f>
        <v/>
      </c>
      <c r="AB3" s="54">
        <f>Z3*AA3</f>
        <v/>
      </c>
      <c r="AC3" s="54">
        <f>IF(F3=1,0,K3*(T3+'01_Cadrage'!$H$19))</f>
        <v/>
      </c>
      <c r="AD3" s="57">
        <f>AB3+AC3</f>
        <v/>
      </c>
      <c r="AE3" s="55">
        <f>L3*(1+'01_Cadrage'!$H$17*W3)</f>
        <v/>
      </c>
      <c r="AF3" s="46">
        <f>IF(E3="ALT",'01_Cadrage'!$H$28+(1-'01_Cadrage'!$H$28)*'01_Cadrage'!$H$26,1)</f>
        <v/>
      </c>
      <c r="AG3" s="46">
        <f>IF(E3="ALT",IFERROR(INDEX('06_Historique'!$G$66:$G$73,MATCH(C3,'06_Historique'!$A$66:$A$73,0)),'01_Cadrage'!$H$28)+(1-IFERROR(INDEX('06_Historique'!$G$66:$G$73,MATCH(C3,'06_Historique'!$A$66:$A$73,0)),'01_Cadrage'!$H$28))*'01_Cadrage'!$H$26,1)</f>
        <v/>
      </c>
      <c r="AH3" s="21">
        <f>AD3*AE3*AF3+AB3*'01_Cadrage'!$H$24</f>
        <v/>
      </c>
      <c r="AI3" s="54">
        <f>IF(AD3&lt;=0,0,MAX(1,ROUNDUP(AD3/O3,0)))</f>
        <v/>
      </c>
      <c r="AJ3" s="21">
        <f>AI3*U3</f>
        <v/>
      </c>
      <c r="AK3" s="21">
        <f>AD3*R3*(1+'01_Cadrage'!$H$20)</f>
        <v/>
      </c>
      <c r="AL3" s="21">
        <f>H3*S3*(1+Y3)</f>
        <v/>
      </c>
      <c r="AM3" s="20">
        <f>AH3-AJ3-AK3-AL3-AD3*'01_Cadrage'!$H$27*(1+'01_Cadrage'!$H$20)</f>
        <v/>
      </c>
      <c r="AN3" s="56">
        <f>IFERROR(AD3/(AI3*O3),0)</f>
        <v/>
      </c>
      <c r="AO3" s="55">
        <f>IFERROR(AM3/AD3,0)</f>
        <v/>
      </c>
      <c r="AP3" s="54">
        <f>IFERROR(AI3*U3/(AE3*AF3-R3*(1+'01_Cadrage'!$H$20)),0)</f>
        <v/>
      </c>
    </row>
    <row r="4">
      <c r="A4" s="51">
        <f>'06_Historique'!A5</f>
        <v/>
      </c>
      <c r="B4" s="10">
        <f>'06_Historique'!B5</f>
        <v/>
      </c>
      <c r="C4" s="51">
        <f>'06_Historique'!C5</f>
        <v/>
      </c>
      <c r="D4" s="10">
        <f>'06_Historique'!E5</f>
        <v/>
      </c>
      <c r="E4" s="10">
        <f>'06_Historique'!F5</f>
        <v/>
      </c>
      <c r="F4" s="52">
        <f>'06_Historique'!G5</f>
        <v/>
      </c>
      <c r="G4" s="52">
        <f>'06_Historique'!K5</f>
        <v/>
      </c>
      <c r="H4" s="52">
        <f>'06_Historique'!I5</f>
        <v/>
      </c>
      <c r="I4" s="52">
        <f>'06_Historique'!J5</f>
        <v/>
      </c>
      <c r="J4" s="52">
        <f>'06_Historique'!H5</f>
        <v/>
      </c>
      <c r="K4" s="52">
        <f>'06_Historique'!L5</f>
        <v/>
      </c>
      <c r="L4" s="53">
        <f>'06_Historique'!M5</f>
        <v/>
      </c>
      <c r="M4" s="52">
        <f>'06_Historique'!N5</f>
        <v/>
      </c>
      <c r="N4" s="9">
        <f>C4&amp;"|"&amp;D4</f>
        <v/>
      </c>
      <c r="O4" s="54">
        <f>INDEX('05_Param_Prog_Annee'!$E$4:$E$23,MATCH(N4,'05_Param_Prog_Annee'!$A$4:$A$23,0))</f>
        <v/>
      </c>
      <c r="P4" s="54">
        <f>INDEX('05_Param_Prog_Annee'!$F$4:$F$23,MATCH(N4,'05_Param_Prog_Annee'!$A$4:$A$23,0))</f>
        <v/>
      </c>
      <c r="Q4" s="55">
        <f>INDEX('05_Param_Prog_Annee'!$G$4:$G$23,MATCH(N4,'05_Param_Prog_Annee'!$A$4:$A$23,0))</f>
        <v/>
      </c>
      <c r="R4" s="55">
        <f>INDEX('05_Param_Prog_Annee'!$H$4:$H$23,MATCH(N4,'05_Param_Prog_Annee'!$A$4:$A$23,0))</f>
        <v/>
      </c>
      <c r="S4" s="55">
        <f>INDEX('05_Param_Prog_Annee'!$I$4:$I$23,MATCH(N4,'05_Param_Prog_Annee'!$A$4:$A$23,0))</f>
        <v/>
      </c>
      <c r="T4" s="56">
        <f>IFERROR(INDEX('05_Param_Prog_Annee'!$J$4:$J$23,MATCH(N4,'05_Param_Prog_Annee'!$A$4:$A$23,0)),0)</f>
        <v/>
      </c>
      <c r="U4" s="55">
        <f>P4*Q4*(1+'01_Cadrage'!$H$21)</f>
        <v/>
      </c>
      <c r="V4" s="46">
        <f>INDEX('01_Cadrage'!$L$7:$L$20,MATCH(A4&amp;"|"&amp;B4,'01_Cadrage'!$O$7:$O$20,0))</f>
        <v/>
      </c>
      <c r="W4" s="46">
        <f>INDEX('01_Cadrage'!$M$7:$M$20,MATCH(A4&amp;"|"&amp;B4,'01_Cadrage'!$O$7:$O$20,0))</f>
        <v/>
      </c>
      <c r="X4" s="46">
        <f>IFERROR(INDEX('06_Historique'!$F$66:$F$73,MATCH(C4,'06_Historique'!$A$66:$A$73,0)),'01_Cadrage'!$H$29)</f>
        <v/>
      </c>
      <c r="Y4" s="56">
        <f>'01_Cadrage'!$H$16*V4</f>
        <v/>
      </c>
      <c r="Z4" s="54">
        <f>IF(F4=1,J4*(1+X4*Y4),0)</f>
        <v/>
      </c>
      <c r="AA4" s="56">
        <f>IF(F4=1,IFERROR(H4/J4,'01_Cadrage'!$H$30)+'01_Cadrage'!$H$18,0)</f>
        <v/>
      </c>
      <c r="AB4" s="54">
        <f>Z4*AA4</f>
        <v/>
      </c>
      <c r="AC4" s="54">
        <f>IF(F4=1,0,K4*(T4+'01_Cadrage'!$H$19))</f>
        <v/>
      </c>
      <c r="AD4" s="57">
        <f>AB4+AC4</f>
        <v/>
      </c>
      <c r="AE4" s="55">
        <f>L4*(1+'01_Cadrage'!$H$17*W4)</f>
        <v/>
      </c>
      <c r="AF4" s="46">
        <f>IF(E4="ALT",'01_Cadrage'!$H$28+(1-'01_Cadrage'!$H$28)*'01_Cadrage'!$H$26,1)</f>
        <v/>
      </c>
      <c r="AG4" s="46">
        <f>IF(E4="ALT",IFERROR(INDEX('06_Historique'!$G$66:$G$73,MATCH(C4,'06_Historique'!$A$66:$A$73,0)),'01_Cadrage'!$H$28)+(1-IFERROR(INDEX('06_Historique'!$G$66:$G$73,MATCH(C4,'06_Historique'!$A$66:$A$73,0)),'01_Cadrage'!$H$28))*'01_Cadrage'!$H$26,1)</f>
        <v/>
      </c>
      <c r="AH4" s="21">
        <f>AD4*AE4*AF4+AB4*'01_Cadrage'!$H$24</f>
        <v/>
      </c>
      <c r="AI4" s="54">
        <f>IF(AD4&lt;=0,0,MAX(1,ROUNDUP(AD4/O4,0)))</f>
        <v/>
      </c>
      <c r="AJ4" s="21">
        <f>AI4*U4</f>
        <v/>
      </c>
      <c r="AK4" s="21">
        <f>AD4*R4*(1+'01_Cadrage'!$H$20)</f>
        <v/>
      </c>
      <c r="AL4" s="21">
        <f>H4*S4*(1+Y4)</f>
        <v/>
      </c>
      <c r="AM4" s="20">
        <f>AH4-AJ4-AK4-AL4-AD4*'01_Cadrage'!$H$27*(1+'01_Cadrage'!$H$20)</f>
        <v/>
      </c>
      <c r="AN4" s="56">
        <f>IFERROR(AD4/(AI4*O4),0)</f>
        <v/>
      </c>
      <c r="AO4" s="55">
        <f>IFERROR(AM4/AD4,0)</f>
        <v/>
      </c>
      <c r="AP4" s="54">
        <f>IFERROR(AI4*U4/(AE4*AF4-R4*(1+'01_Cadrage'!$H$20)),0)</f>
        <v/>
      </c>
    </row>
    <row r="5">
      <c r="A5" s="51">
        <f>'06_Historique'!A6</f>
        <v/>
      </c>
      <c r="B5" s="10">
        <f>'06_Historique'!B6</f>
        <v/>
      </c>
      <c r="C5" s="51">
        <f>'06_Historique'!C6</f>
        <v/>
      </c>
      <c r="D5" s="10">
        <f>'06_Historique'!E6</f>
        <v/>
      </c>
      <c r="E5" s="10">
        <f>'06_Historique'!F6</f>
        <v/>
      </c>
      <c r="F5" s="52">
        <f>'06_Historique'!G6</f>
        <v/>
      </c>
      <c r="G5" s="52">
        <f>'06_Historique'!K6</f>
        <v/>
      </c>
      <c r="H5" s="52">
        <f>'06_Historique'!I6</f>
        <v/>
      </c>
      <c r="I5" s="52">
        <f>'06_Historique'!J6</f>
        <v/>
      </c>
      <c r="J5" s="52">
        <f>'06_Historique'!H6</f>
        <v/>
      </c>
      <c r="K5" s="52">
        <f>'06_Historique'!L6</f>
        <v/>
      </c>
      <c r="L5" s="53">
        <f>'06_Historique'!M6</f>
        <v/>
      </c>
      <c r="M5" s="52">
        <f>'06_Historique'!N6</f>
        <v/>
      </c>
      <c r="N5" s="9">
        <f>C5&amp;"|"&amp;D5</f>
        <v/>
      </c>
      <c r="O5" s="54">
        <f>INDEX('05_Param_Prog_Annee'!$E$4:$E$23,MATCH(N5,'05_Param_Prog_Annee'!$A$4:$A$23,0))</f>
        <v/>
      </c>
      <c r="P5" s="54">
        <f>INDEX('05_Param_Prog_Annee'!$F$4:$F$23,MATCH(N5,'05_Param_Prog_Annee'!$A$4:$A$23,0))</f>
        <v/>
      </c>
      <c r="Q5" s="55">
        <f>INDEX('05_Param_Prog_Annee'!$G$4:$G$23,MATCH(N5,'05_Param_Prog_Annee'!$A$4:$A$23,0))</f>
        <v/>
      </c>
      <c r="R5" s="55">
        <f>INDEX('05_Param_Prog_Annee'!$H$4:$H$23,MATCH(N5,'05_Param_Prog_Annee'!$A$4:$A$23,0))</f>
        <v/>
      </c>
      <c r="S5" s="55">
        <f>INDEX('05_Param_Prog_Annee'!$I$4:$I$23,MATCH(N5,'05_Param_Prog_Annee'!$A$4:$A$23,0))</f>
        <v/>
      </c>
      <c r="T5" s="56">
        <f>IFERROR(INDEX('05_Param_Prog_Annee'!$J$4:$J$23,MATCH(N5,'05_Param_Prog_Annee'!$A$4:$A$23,0)),0)</f>
        <v/>
      </c>
      <c r="U5" s="55">
        <f>P5*Q5*(1+'01_Cadrage'!$H$21)</f>
        <v/>
      </c>
      <c r="V5" s="46">
        <f>INDEX('01_Cadrage'!$L$7:$L$20,MATCH(A5&amp;"|"&amp;B5,'01_Cadrage'!$O$7:$O$20,0))</f>
        <v/>
      </c>
      <c r="W5" s="46">
        <f>INDEX('01_Cadrage'!$M$7:$M$20,MATCH(A5&amp;"|"&amp;B5,'01_Cadrage'!$O$7:$O$20,0))</f>
        <v/>
      </c>
      <c r="X5" s="46">
        <f>IFERROR(INDEX('06_Historique'!$F$66:$F$73,MATCH(C5,'06_Historique'!$A$66:$A$73,0)),'01_Cadrage'!$H$29)</f>
        <v/>
      </c>
      <c r="Y5" s="56">
        <f>'01_Cadrage'!$H$16*V5</f>
        <v/>
      </c>
      <c r="Z5" s="54">
        <f>IF(F5=1,J5*(1+X5*Y5),0)</f>
        <v/>
      </c>
      <c r="AA5" s="56">
        <f>IF(F5=1,IFERROR(H5/J5,'01_Cadrage'!$H$30)+'01_Cadrage'!$H$18,0)</f>
        <v/>
      </c>
      <c r="AB5" s="54">
        <f>Z5*AA5</f>
        <v/>
      </c>
      <c r="AC5" s="54">
        <f>IF(F5=1,0,K5*(T5+'01_Cadrage'!$H$19))</f>
        <v/>
      </c>
      <c r="AD5" s="57">
        <f>AB5+AC5</f>
        <v/>
      </c>
      <c r="AE5" s="55">
        <f>L5*(1+'01_Cadrage'!$H$17*W5)</f>
        <v/>
      </c>
      <c r="AF5" s="46">
        <f>IF(E5="ALT",'01_Cadrage'!$H$28+(1-'01_Cadrage'!$H$28)*'01_Cadrage'!$H$26,1)</f>
        <v/>
      </c>
      <c r="AG5" s="46">
        <f>IF(E5="ALT",IFERROR(INDEX('06_Historique'!$G$66:$G$73,MATCH(C5,'06_Historique'!$A$66:$A$73,0)),'01_Cadrage'!$H$28)+(1-IFERROR(INDEX('06_Historique'!$G$66:$G$73,MATCH(C5,'06_Historique'!$A$66:$A$73,0)),'01_Cadrage'!$H$28))*'01_Cadrage'!$H$26,1)</f>
        <v/>
      </c>
      <c r="AH5" s="21">
        <f>AD5*AE5*AF5+AB5*'01_Cadrage'!$H$24</f>
        <v/>
      </c>
      <c r="AI5" s="54">
        <f>IF(AD5&lt;=0,0,MAX(1,ROUNDUP(AD5/O5,0)))</f>
        <v/>
      </c>
      <c r="AJ5" s="21">
        <f>AI5*U5</f>
        <v/>
      </c>
      <c r="AK5" s="21">
        <f>AD5*R5*(1+'01_Cadrage'!$H$20)</f>
        <v/>
      </c>
      <c r="AL5" s="21">
        <f>H5*S5*(1+Y5)</f>
        <v/>
      </c>
      <c r="AM5" s="20">
        <f>AH5-AJ5-AK5-AL5-AD5*'01_Cadrage'!$H$27*(1+'01_Cadrage'!$H$20)</f>
        <v/>
      </c>
      <c r="AN5" s="56">
        <f>IFERROR(AD5/(AI5*O5),0)</f>
        <v/>
      </c>
      <c r="AO5" s="55">
        <f>IFERROR(AM5/AD5,0)</f>
        <v/>
      </c>
      <c r="AP5" s="54">
        <f>IFERROR(AI5*U5/(AE5*AF5-R5*(1+'01_Cadrage'!$H$20)),0)</f>
        <v/>
      </c>
    </row>
    <row r="6">
      <c r="A6" s="51">
        <f>'06_Historique'!A7</f>
        <v/>
      </c>
      <c r="B6" s="10">
        <f>'06_Historique'!B7</f>
        <v/>
      </c>
      <c r="C6" s="51">
        <f>'06_Historique'!C7</f>
        <v/>
      </c>
      <c r="D6" s="10">
        <f>'06_Historique'!E7</f>
        <v/>
      </c>
      <c r="E6" s="10">
        <f>'06_Historique'!F7</f>
        <v/>
      </c>
      <c r="F6" s="52">
        <f>'06_Historique'!G7</f>
        <v/>
      </c>
      <c r="G6" s="52">
        <f>'06_Historique'!K7</f>
        <v/>
      </c>
      <c r="H6" s="52">
        <f>'06_Historique'!I7</f>
        <v/>
      </c>
      <c r="I6" s="52">
        <f>'06_Historique'!J7</f>
        <v/>
      </c>
      <c r="J6" s="52">
        <f>'06_Historique'!H7</f>
        <v/>
      </c>
      <c r="K6" s="52">
        <f>'06_Historique'!L7</f>
        <v/>
      </c>
      <c r="L6" s="53">
        <f>'06_Historique'!M7</f>
        <v/>
      </c>
      <c r="M6" s="52">
        <f>'06_Historique'!N7</f>
        <v/>
      </c>
      <c r="N6" s="9">
        <f>C6&amp;"|"&amp;D6</f>
        <v/>
      </c>
      <c r="O6" s="54">
        <f>INDEX('05_Param_Prog_Annee'!$E$4:$E$23,MATCH(N6,'05_Param_Prog_Annee'!$A$4:$A$23,0))</f>
        <v/>
      </c>
      <c r="P6" s="54">
        <f>INDEX('05_Param_Prog_Annee'!$F$4:$F$23,MATCH(N6,'05_Param_Prog_Annee'!$A$4:$A$23,0))</f>
        <v/>
      </c>
      <c r="Q6" s="55">
        <f>INDEX('05_Param_Prog_Annee'!$G$4:$G$23,MATCH(N6,'05_Param_Prog_Annee'!$A$4:$A$23,0))</f>
        <v/>
      </c>
      <c r="R6" s="55">
        <f>INDEX('05_Param_Prog_Annee'!$H$4:$H$23,MATCH(N6,'05_Param_Prog_Annee'!$A$4:$A$23,0))</f>
        <v/>
      </c>
      <c r="S6" s="55">
        <f>INDEX('05_Param_Prog_Annee'!$I$4:$I$23,MATCH(N6,'05_Param_Prog_Annee'!$A$4:$A$23,0))</f>
        <v/>
      </c>
      <c r="T6" s="56">
        <f>IFERROR(INDEX('05_Param_Prog_Annee'!$J$4:$J$23,MATCH(N6,'05_Param_Prog_Annee'!$A$4:$A$23,0)),0)</f>
        <v/>
      </c>
      <c r="U6" s="55">
        <f>P6*Q6*(1+'01_Cadrage'!$H$21)</f>
        <v/>
      </c>
      <c r="V6" s="46">
        <f>INDEX('01_Cadrage'!$L$7:$L$20,MATCH(A6&amp;"|"&amp;B6,'01_Cadrage'!$O$7:$O$20,0))</f>
        <v/>
      </c>
      <c r="W6" s="46">
        <f>INDEX('01_Cadrage'!$M$7:$M$20,MATCH(A6&amp;"|"&amp;B6,'01_Cadrage'!$O$7:$O$20,0))</f>
        <v/>
      </c>
      <c r="X6" s="46">
        <f>IFERROR(INDEX('06_Historique'!$F$66:$F$73,MATCH(C6,'06_Historique'!$A$66:$A$73,0)),'01_Cadrage'!$H$29)</f>
        <v/>
      </c>
      <c r="Y6" s="56">
        <f>'01_Cadrage'!$H$16*V6</f>
        <v/>
      </c>
      <c r="Z6" s="54">
        <f>IF(F6=1,J6*(1+X6*Y6),0)</f>
        <v/>
      </c>
      <c r="AA6" s="56">
        <f>IF(F6=1,IFERROR(H6/J6,'01_Cadrage'!$H$30)+'01_Cadrage'!$H$18,0)</f>
        <v/>
      </c>
      <c r="AB6" s="54">
        <f>Z6*AA6</f>
        <v/>
      </c>
      <c r="AC6" s="54">
        <f>IF(F6=1,0,K6*(T6+'01_Cadrage'!$H$19))</f>
        <v/>
      </c>
      <c r="AD6" s="57">
        <f>AB6+AC6</f>
        <v/>
      </c>
      <c r="AE6" s="55">
        <f>L6*(1+'01_Cadrage'!$H$17*W6)</f>
        <v/>
      </c>
      <c r="AF6" s="46">
        <f>IF(E6="ALT",'01_Cadrage'!$H$28+(1-'01_Cadrage'!$H$28)*'01_Cadrage'!$H$26,1)</f>
        <v/>
      </c>
      <c r="AG6" s="46">
        <f>IF(E6="ALT",IFERROR(INDEX('06_Historique'!$G$66:$G$73,MATCH(C6,'06_Historique'!$A$66:$A$73,0)),'01_Cadrage'!$H$28)+(1-IFERROR(INDEX('06_Historique'!$G$66:$G$73,MATCH(C6,'06_Historique'!$A$66:$A$73,0)),'01_Cadrage'!$H$28))*'01_Cadrage'!$H$26,1)</f>
        <v/>
      </c>
      <c r="AH6" s="21">
        <f>AD6*AE6*AF6+AB6*'01_Cadrage'!$H$24</f>
        <v/>
      </c>
      <c r="AI6" s="54">
        <f>IF(AD6&lt;=0,0,MAX(1,ROUNDUP(AD6/O6,0)))</f>
        <v/>
      </c>
      <c r="AJ6" s="21">
        <f>AI6*U6</f>
        <v/>
      </c>
      <c r="AK6" s="21">
        <f>AD6*R6*(1+'01_Cadrage'!$H$20)</f>
        <v/>
      </c>
      <c r="AL6" s="21">
        <f>H6*S6*(1+Y6)</f>
        <v/>
      </c>
      <c r="AM6" s="20">
        <f>AH6-AJ6-AK6-AL6-AD6*'01_Cadrage'!$H$27*(1+'01_Cadrage'!$H$20)</f>
        <v/>
      </c>
      <c r="AN6" s="56">
        <f>IFERROR(AD6/(AI6*O6),0)</f>
        <v/>
      </c>
      <c r="AO6" s="55">
        <f>IFERROR(AM6/AD6,0)</f>
        <v/>
      </c>
      <c r="AP6" s="54">
        <f>IFERROR(AI6*U6/(AE6*AF6-R6*(1+'01_Cadrage'!$H$20)),0)</f>
        <v/>
      </c>
    </row>
    <row r="7">
      <c r="A7" s="51">
        <f>'06_Historique'!A8</f>
        <v/>
      </c>
      <c r="B7" s="10">
        <f>'06_Historique'!B8</f>
        <v/>
      </c>
      <c r="C7" s="51">
        <f>'06_Historique'!C8</f>
        <v/>
      </c>
      <c r="D7" s="10">
        <f>'06_Historique'!E8</f>
        <v/>
      </c>
      <c r="E7" s="10">
        <f>'06_Historique'!F8</f>
        <v/>
      </c>
      <c r="F7" s="52">
        <f>'06_Historique'!G8</f>
        <v/>
      </c>
      <c r="G7" s="52">
        <f>'06_Historique'!K8</f>
        <v/>
      </c>
      <c r="H7" s="52">
        <f>'06_Historique'!I8</f>
        <v/>
      </c>
      <c r="I7" s="52">
        <f>'06_Historique'!J8</f>
        <v/>
      </c>
      <c r="J7" s="52">
        <f>'06_Historique'!H8</f>
        <v/>
      </c>
      <c r="K7" s="52">
        <f>'06_Historique'!L8</f>
        <v/>
      </c>
      <c r="L7" s="53">
        <f>'06_Historique'!M8</f>
        <v/>
      </c>
      <c r="M7" s="52">
        <f>'06_Historique'!N8</f>
        <v/>
      </c>
      <c r="N7" s="9">
        <f>C7&amp;"|"&amp;D7</f>
        <v/>
      </c>
      <c r="O7" s="54">
        <f>INDEX('05_Param_Prog_Annee'!$E$4:$E$23,MATCH(N7,'05_Param_Prog_Annee'!$A$4:$A$23,0))</f>
        <v/>
      </c>
      <c r="P7" s="54">
        <f>INDEX('05_Param_Prog_Annee'!$F$4:$F$23,MATCH(N7,'05_Param_Prog_Annee'!$A$4:$A$23,0))</f>
        <v/>
      </c>
      <c r="Q7" s="55">
        <f>INDEX('05_Param_Prog_Annee'!$G$4:$G$23,MATCH(N7,'05_Param_Prog_Annee'!$A$4:$A$23,0))</f>
        <v/>
      </c>
      <c r="R7" s="55">
        <f>INDEX('05_Param_Prog_Annee'!$H$4:$H$23,MATCH(N7,'05_Param_Prog_Annee'!$A$4:$A$23,0))</f>
        <v/>
      </c>
      <c r="S7" s="55">
        <f>INDEX('05_Param_Prog_Annee'!$I$4:$I$23,MATCH(N7,'05_Param_Prog_Annee'!$A$4:$A$23,0))</f>
        <v/>
      </c>
      <c r="T7" s="56">
        <f>IFERROR(INDEX('05_Param_Prog_Annee'!$J$4:$J$23,MATCH(N7,'05_Param_Prog_Annee'!$A$4:$A$23,0)),0)</f>
        <v/>
      </c>
      <c r="U7" s="55">
        <f>P7*Q7*(1+'01_Cadrage'!$H$21)</f>
        <v/>
      </c>
      <c r="V7" s="46">
        <f>INDEX('01_Cadrage'!$L$7:$L$20,MATCH(A7&amp;"|"&amp;B7,'01_Cadrage'!$O$7:$O$20,0))</f>
        <v/>
      </c>
      <c r="W7" s="46">
        <f>INDEX('01_Cadrage'!$M$7:$M$20,MATCH(A7&amp;"|"&amp;B7,'01_Cadrage'!$O$7:$O$20,0))</f>
        <v/>
      </c>
      <c r="X7" s="46">
        <f>IFERROR(INDEX('06_Historique'!$F$66:$F$73,MATCH(C7,'06_Historique'!$A$66:$A$73,0)),'01_Cadrage'!$H$29)</f>
        <v/>
      </c>
      <c r="Y7" s="56">
        <f>'01_Cadrage'!$H$16*V7</f>
        <v/>
      </c>
      <c r="Z7" s="54">
        <f>IF(F7=1,J7*(1+X7*Y7),0)</f>
        <v/>
      </c>
      <c r="AA7" s="56">
        <f>IF(F7=1,IFERROR(H7/J7,'01_Cadrage'!$H$30)+'01_Cadrage'!$H$18,0)</f>
        <v/>
      </c>
      <c r="AB7" s="54">
        <f>Z7*AA7</f>
        <v/>
      </c>
      <c r="AC7" s="54">
        <f>IF(F7=1,0,K7*(T7+'01_Cadrage'!$H$19))</f>
        <v/>
      </c>
      <c r="AD7" s="57">
        <f>AB7+AC7</f>
        <v/>
      </c>
      <c r="AE7" s="55">
        <f>L7*(1+'01_Cadrage'!$H$17*W7)</f>
        <v/>
      </c>
      <c r="AF7" s="46">
        <f>IF(E7="ALT",'01_Cadrage'!$H$28+(1-'01_Cadrage'!$H$28)*'01_Cadrage'!$H$26,1)</f>
        <v/>
      </c>
      <c r="AG7" s="46">
        <f>IF(E7="ALT",IFERROR(INDEX('06_Historique'!$G$66:$G$73,MATCH(C7,'06_Historique'!$A$66:$A$73,0)),'01_Cadrage'!$H$28)+(1-IFERROR(INDEX('06_Historique'!$G$66:$G$73,MATCH(C7,'06_Historique'!$A$66:$A$73,0)),'01_Cadrage'!$H$28))*'01_Cadrage'!$H$26,1)</f>
        <v/>
      </c>
      <c r="AH7" s="21">
        <f>AD7*AE7*AF7+AB7*'01_Cadrage'!$H$24</f>
        <v/>
      </c>
      <c r="AI7" s="54">
        <f>IF(AD7&lt;=0,0,MAX(1,ROUNDUP(AD7/O7,0)))</f>
        <v/>
      </c>
      <c r="AJ7" s="21">
        <f>AI7*U7</f>
        <v/>
      </c>
      <c r="AK7" s="21">
        <f>AD7*R7*(1+'01_Cadrage'!$H$20)</f>
        <v/>
      </c>
      <c r="AL7" s="21">
        <f>H7*S7*(1+Y7)</f>
        <v/>
      </c>
      <c r="AM7" s="20">
        <f>AH7-AJ7-AK7-AL7-AD7*'01_Cadrage'!$H$27*(1+'01_Cadrage'!$H$20)</f>
        <v/>
      </c>
      <c r="AN7" s="56">
        <f>IFERROR(AD7/(AI7*O7),0)</f>
        <v/>
      </c>
      <c r="AO7" s="55">
        <f>IFERROR(AM7/AD7,0)</f>
        <v/>
      </c>
      <c r="AP7" s="54">
        <f>IFERROR(AI7*U7/(AE7*AF7-R7*(1+'01_Cadrage'!$H$20)),0)</f>
        <v/>
      </c>
    </row>
    <row r="8">
      <c r="A8" s="51">
        <f>'06_Historique'!A9</f>
        <v/>
      </c>
      <c r="B8" s="10">
        <f>'06_Historique'!B9</f>
        <v/>
      </c>
      <c r="C8" s="51">
        <f>'06_Historique'!C9</f>
        <v/>
      </c>
      <c r="D8" s="10">
        <f>'06_Historique'!E9</f>
        <v/>
      </c>
      <c r="E8" s="10">
        <f>'06_Historique'!F9</f>
        <v/>
      </c>
      <c r="F8" s="52">
        <f>'06_Historique'!G9</f>
        <v/>
      </c>
      <c r="G8" s="52">
        <f>'06_Historique'!K9</f>
        <v/>
      </c>
      <c r="H8" s="52">
        <f>'06_Historique'!I9</f>
        <v/>
      </c>
      <c r="I8" s="52">
        <f>'06_Historique'!J9</f>
        <v/>
      </c>
      <c r="J8" s="52">
        <f>'06_Historique'!H9</f>
        <v/>
      </c>
      <c r="K8" s="52">
        <f>'06_Historique'!L9</f>
        <v/>
      </c>
      <c r="L8" s="53">
        <f>'06_Historique'!M9</f>
        <v/>
      </c>
      <c r="M8" s="52">
        <f>'06_Historique'!N9</f>
        <v/>
      </c>
      <c r="N8" s="9">
        <f>C8&amp;"|"&amp;D8</f>
        <v/>
      </c>
      <c r="O8" s="54">
        <f>INDEX('05_Param_Prog_Annee'!$E$4:$E$23,MATCH(N8,'05_Param_Prog_Annee'!$A$4:$A$23,0))</f>
        <v/>
      </c>
      <c r="P8" s="54">
        <f>INDEX('05_Param_Prog_Annee'!$F$4:$F$23,MATCH(N8,'05_Param_Prog_Annee'!$A$4:$A$23,0))</f>
        <v/>
      </c>
      <c r="Q8" s="55">
        <f>INDEX('05_Param_Prog_Annee'!$G$4:$G$23,MATCH(N8,'05_Param_Prog_Annee'!$A$4:$A$23,0))</f>
        <v/>
      </c>
      <c r="R8" s="55">
        <f>INDEX('05_Param_Prog_Annee'!$H$4:$H$23,MATCH(N8,'05_Param_Prog_Annee'!$A$4:$A$23,0))</f>
        <v/>
      </c>
      <c r="S8" s="55">
        <f>INDEX('05_Param_Prog_Annee'!$I$4:$I$23,MATCH(N8,'05_Param_Prog_Annee'!$A$4:$A$23,0))</f>
        <v/>
      </c>
      <c r="T8" s="56">
        <f>IFERROR(INDEX('05_Param_Prog_Annee'!$J$4:$J$23,MATCH(N8,'05_Param_Prog_Annee'!$A$4:$A$23,0)),0)</f>
        <v/>
      </c>
      <c r="U8" s="55">
        <f>P8*Q8*(1+'01_Cadrage'!$H$21)</f>
        <v/>
      </c>
      <c r="V8" s="46">
        <f>INDEX('01_Cadrage'!$L$7:$L$20,MATCH(A8&amp;"|"&amp;B8,'01_Cadrage'!$O$7:$O$20,0))</f>
        <v/>
      </c>
      <c r="W8" s="46">
        <f>INDEX('01_Cadrage'!$M$7:$M$20,MATCH(A8&amp;"|"&amp;B8,'01_Cadrage'!$O$7:$O$20,0))</f>
        <v/>
      </c>
      <c r="X8" s="46">
        <f>IFERROR(INDEX('06_Historique'!$F$66:$F$73,MATCH(C8,'06_Historique'!$A$66:$A$73,0)),'01_Cadrage'!$H$29)</f>
        <v/>
      </c>
      <c r="Y8" s="56">
        <f>'01_Cadrage'!$H$16*V8</f>
        <v/>
      </c>
      <c r="Z8" s="54">
        <f>IF(F8=1,J8*(1+X8*Y8),0)</f>
        <v/>
      </c>
      <c r="AA8" s="56">
        <f>IF(F8=1,IFERROR(H8/J8,'01_Cadrage'!$H$30)+'01_Cadrage'!$H$18,0)</f>
        <v/>
      </c>
      <c r="AB8" s="54">
        <f>Z8*AA8</f>
        <v/>
      </c>
      <c r="AC8" s="54">
        <f>IF(F8=1,0,K8*(T8+'01_Cadrage'!$H$19))</f>
        <v/>
      </c>
      <c r="AD8" s="57">
        <f>AB8+AC8</f>
        <v/>
      </c>
      <c r="AE8" s="55">
        <f>L8*(1+'01_Cadrage'!$H$17*W8)</f>
        <v/>
      </c>
      <c r="AF8" s="46">
        <f>IF(E8="ALT",'01_Cadrage'!$H$28+(1-'01_Cadrage'!$H$28)*'01_Cadrage'!$H$26,1)</f>
        <v/>
      </c>
      <c r="AG8" s="46">
        <f>IF(E8="ALT",IFERROR(INDEX('06_Historique'!$G$66:$G$73,MATCH(C8,'06_Historique'!$A$66:$A$73,0)),'01_Cadrage'!$H$28)+(1-IFERROR(INDEX('06_Historique'!$G$66:$G$73,MATCH(C8,'06_Historique'!$A$66:$A$73,0)),'01_Cadrage'!$H$28))*'01_Cadrage'!$H$26,1)</f>
        <v/>
      </c>
      <c r="AH8" s="21">
        <f>AD8*AE8*AF8+AB8*'01_Cadrage'!$H$24</f>
        <v/>
      </c>
      <c r="AI8" s="54">
        <f>IF(AD8&lt;=0,0,MAX(1,ROUNDUP(AD8/O8,0)))</f>
        <v/>
      </c>
      <c r="AJ8" s="21">
        <f>AI8*U8</f>
        <v/>
      </c>
      <c r="AK8" s="21">
        <f>AD8*R8*(1+'01_Cadrage'!$H$20)</f>
        <v/>
      </c>
      <c r="AL8" s="21">
        <f>H8*S8*(1+Y8)</f>
        <v/>
      </c>
      <c r="AM8" s="20">
        <f>AH8-AJ8-AK8-AL8-AD8*'01_Cadrage'!$H$27*(1+'01_Cadrage'!$H$20)</f>
        <v/>
      </c>
      <c r="AN8" s="56">
        <f>IFERROR(AD8/(AI8*O8),0)</f>
        <v/>
      </c>
      <c r="AO8" s="55">
        <f>IFERROR(AM8/AD8,0)</f>
        <v/>
      </c>
      <c r="AP8" s="54">
        <f>IFERROR(AI8*U8/(AE8*AF8-R8*(1+'01_Cadrage'!$H$20)),0)</f>
        <v/>
      </c>
    </row>
    <row r="9">
      <c r="A9" s="51">
        <f>'06_Historique'!A10</f>
        <v/>
      </c>
      <c r="B9" s="10">
        <f>'06_Historique'!B10</f>
        <v/>
      </c>
      <c r="C9" s="51">
        <f>'06_Historique'!C10</f>
        <v/>
      </c>
      <c r="D9" s="10">
        <f>'06_Historique'!E10</f>
        <v/>
      </c>
      <c r="E9" s="10">
        <f>'06_Historique'!F10</f>
        <v/>
      </c>
      <c r="F9" s="52">
        <f>'06_Historique'!G10</f>
        <v/>
      </c>
      <c r="G9" s="52">
        <f>'06_Historique'!K10</f>
        <v/>
      </c>
      <c r="H9" s="52">
        <f>'06_Historique'!I10</f>
        <v/>
      </c>
      <c r="I9" s="52">
        <f>'06_Historique'!J10</f>
        <v/>
      </c>
      <c r="J9" s="52">
        <f>'06_Historique'!H10</f>
        <v/>
      </c>
      <c r="K9" s="52">
        <f>'06_Historique'!L10</f>
        <v/>
      </c>
      <c r="L9" s="53">
        <f>'06_Historique'!M10</f>
        <v/>
      </c>
      <c r="M9" s="52">
        <f>'06_Historique'!N10</f>
        <v/>
      </c>
      <c r="N9" s="9">
        <f>C9&amp;"|"&amp;D9</f>
        <v/>
      </c>
      <c r="O9" s="54">
        <f>INDEX('05_Param_Prog_Annee'!$E$4:$E$23,MATCH(N9,'05_Param_Prog_Annee'!$A$4:$A$23,0))</f>
        <v/>
      </c>
      <c r="P9" s="54">
        <f>INDEX('05_Param_Prog_Annee'!$F$4:$F$23,MATCH(N9,'05_Param_Prog_Annee'!$A$4:$A$23,0))</f>
        <v/>
      </c>
      <c r="Q9" s="55">
        <f>INDEX('05_Param_Prog_Annee'!$G$4:$G$23,MATCH(N9,'05_Param_Prog_Annee'!$A$4:$A$23,0))</f>
        <v/>
      </c>
      <c r="R9" s="55">
        <f>INDEX('05_Param_Prog_Annee'!$H$4:$H$23,MATCH(N9,'05_Param_Prog_Annee'!$A$4:$A$23,0))</f>
        <v/>
      </c>
      <c r="S9" s="55">
        <f>INDEX('05_Param_Prog_Annee'!$I$4:$I$23,MATCH(N9,'05_Param_Prog_Annee'!$A$4:$A$23,0))</f>
        <v/>
      </c>
      <c r="T9" s="56">
        <f>IFERROR(INDEX('05_Param_Prog_Annee'!$J$4:$J$23,MATCH(N9,'05_Param_Prog_Annee'!$A$4:$A$23,0)),0)</f>
        <v/>
      </c>
      <c r="U9" s="55">
        <f>P9*Q9*(1+'01_Cadrage'!$H$21)</f>
        <v/>
      </c>
      <c r="V9" s="46">
        <f>INDEX('01_Cadrage'!$L$7:$L$20,MATCH(A9&amp;"|"&amp;B9,'01_Cadrage'!$O$7:$O$20,0))</f>
        <v/>
      </c>
      <c r="W9" s="46">
        <f>INDEX('01_Cadrage'!$M$7:$M$20,MATCH(A9&amp;"|"&amp;B9,'01_Cadrage'!$O$7:$O$20,0))</f>
        <v/>
      </c>
      <c r="X9" s="46">
        <f>IFERROR(INDEX('06_Historique'!$F$66:$F$73,MATCH(C9,'06_Historique'!$A$66:$A$73,0)),'01_Cadrage'!$H$29)</f>
        <v/>
      </c>
      <c r="Y9" s="56">
        <f>'01_Cadrage'!$H$16*V9</f>
        <v/>
      </c>
      <c r="Z9" s="54">
        <f>IF(F9=1,J9*(1+X9*Y9),0)</f>
        <v/>
      </c>
      <c r="AA9" s="56">
        <f>IF(F9=1,IFERROR(H9/J9,'01_Cadrage'!$H$30)+'01_Cadrage'!$H$18,0)</f>
        <v/>
      </c>
      <c r="AB9" s="54">
        <f>Z9*AA9</f>
        <v/>
      </c>
      <c r="AC9" s="54">
        <f>IF(F9=1,0,K9*(T9+'01_Cadrage'!$H$19))</f>
        <v/>
      </c>
      <c r="AD9" s="57">
        <f>AB9+AC9</f>
        <v/>
      </c>
      <c r="AE9" s="55">
        <f>L9*(1+'01_Cadrage'!$H$17*W9)</f>
        <v/>
      </c>
      <c r="AF9" s="46">
        <f>IF(E9="ALT",'01_Cadrage'!$H$28+(1-'01_Cadrage'!$H$28)*'01_Cadrage'!$H$26,1)</f>
        <v/>
      </c>
      <c r="AG9" s="46">
        <f>IF(E9="ALT",IFERROR(INDEX('06_Historique'!$G$66:$G$73,MATCH(C9,'06_Historique'!$A$66:$A$73,0)),'01_Cadrage'!$H$28)+(1-IFERROR(INDEX('06_Historique'!$G$66:$G$73,MATCH(C9,'06_Historique'!$A$66:$A$73,0)),'01_Cadrage'!$H$28))*'01_Cadrage'!$H$26,1)</f>
        <v/>
      </c>
      <c r="AH9" s="21">
        <f>AD9*AE9*AF9+AB9*'01_Cadrage'!$H$24</f>
        <v/>
      </c>
      <c r="AI9" s="54">
        <f>IF(AD9&lt;=0,0,MAX(1,ROUNDUP(AD9/O9,0)))</f>
        <v/>
      </c>
      <c r="AJ9" s="21">
        <f>AI9*U9</f>
        <v/>
      </c>
      <c r="AK9" s="21">
        <f>AD9*R9*(1+'01_Cadrage'!$H$20)</f>
        <v/>
      </c>
      <c r="AL9" s="21">
        <f>H9*S9*(1+Y9)</f>
        <v/>
      </c>
      <c r="AM9" s="20">
        <f>AH9-AJ9-AK9-AL9-AD9*'01_Cadrage'!$H$27*(1+'01_Cadrage'!$H$20)</f>
        <v/>
      </c>
      <c r="AN9" s="56">
        <f>IFERROR(AD9/(AI9*O9),0)</f>
        <v/>
      </c>
      <c r="AO9" s="55">
        <f>IFERROR(AM9/AD9,0)</f>
        <v/>
      </c>
      <c r="AP9" s="54">
        <f>IFERROR(AI9*U9/(AE9*AF9-R9*(1+'01_Cadrage'!$H$20)),0)</f>
        <v/>
      </c>
    </row>
    <row r="10">
      <c r="A10" s="51">
        <f>'06_Historique'!A11</f>
        <v/>
      </c>
      <c r="B10" s="10">
        <f>'06_Historique'!B11</f>
        <v/>
      </c>
      <c r="C10" s="51">
        <f>'06_Historique'!C11</f>
        <v/>
      </c>
      <c r="D10" s="10">
        <f>'06_Historique'!E11</f>
        <v/>
      </c>
      <c r="E10" s="10">
        <f>'06_Historique'!F11</f>
        <v/>
      </c>
      <c r="F10" s="52">
        <f>'06_Historique'!G11</f>
        <v/>
      </c>
      <c r="G10" s="52">
        <f>'06_Historique'!K11</f>
        <v/>
      </c>
      <c r="H10" s="52">
        <f>'06_Historique'!I11</f>
        <v/>
      </c>
      <c r="I10" s="52">
        <f>'06_Historique'!J11</f>
        <v/>
      </c>
      <c r="J10" s="52">
        <f>'06_Historique'!H11</f>
        <v/>
      </c>
      <c r="K10" s="52">
        <f>'06_Historique'!L11</f>
        <v/>
      </c>
      <c r="L10" s="53">
        <f>'06_Historique'!M11</f>
        <v/>
      </c>
      <c r="M10" s="52">
        <f>'06_Historique'!N11</f>
        <v/>
      </c>
      <c r="N10" s="9">
        <f>C10&amp;"|"&amp;D10</f>
        <v/>
      </c>
      <c r="O10" s="54">
        <f>INDEX('05_Param_Prog_Annee'!$E$4:$E$23,MATCH(N10,'05_Param_Prog_Annee'!$A$4:$A$23,0))</f>
        <v/>
      </c>
      <c r="P10" s="54">
        <f>INDEX('05_Param_Prog_Annee'!$F$4:$F$23,MATCH(N10,'05_Param_Prog_Annee'!$A$4:$A$23,0))</f>
        <v/>
      </c>
      <c r="Q10" s="55">
        <f>INDEX('05_Param_Prog_Annee'!$G$4:$G$23,MATCH(N10,'05_Param_Prog_Annee'!$A$4:$A$23,0))</f>
        <v/>
      </c>
      <c r="R10" s="55">
        <f>INDEX('05_Param_Prog_Annee'!$H$4:$H$23,MATCH(N10,'05_Param_Prog_Annee'!$A$4:$A$23,0))</f>
        <v/>
      </c>
      <c r="S10" s="55">
        <f>INDEX('05_Param_Prog_Annee'!$I$4:$I$23,MATCH(N10,'05_Param_Prog_Annee'!$A$4:$A$23,0))</f>
        <v/>
      </c>
      <c r="T10" s="56">
        <f>IFERROR(INDEX('05_Param_Prog_Annee'!$J$4:$J$23,MATCH(N10,'05_Param_Prog_Annee'!$A$4:$A$23,0)),0)</f>
        <v/>
      </c>
      <c r="U10" s="55">
        <f>P10*Q10*(1+'01_Cadrage'!$H$21)</f>
        <v/>
      </c>
      <c r="V10" s="46">
        <f>INDEX('01_Cadrage'!$L$7:$L$20,MATCH(A10&amp;"|"&amp;B10,'01_Cadrage'!$O$7:$O$20,0))</f>
        <v/>
      </c>
      <c r="W10" s="46">
        <f>INDEX('01_Cadrage'!$M$7:$M$20,MATCH(A10&amp;"|"&amp;B10,'01_Cadrage'!$O$7:$O$20,0))</f>
        <v/>
      </c>
      <c r="X10" s="46">
        <f>IFERROR(INDEX('06_Historique'!$F$66:$F$73,MATCH(C10,'06_Historique'!$A$66:$A$73,0)),'01_Cadrage'!$H$29)</f>
        <v/>
      </c>
      <c r="Y10" s="56">
        <f>'01_Cadrage'!$H$16*V10</f>
        <v/>
      </c>
      <c r="Z10" s="54">
        <f>IF(F10=1,J10*(1+X10*Y10),0)</f>
        <v/>
      </c>
      <c r="AA10" s="56">
        <f>IF(F10=1,IFERROR(H10/J10,'01_Cadrage'!$H$30)+'01_Cadrage'!$H$18,0)</f>
        <v/>
      </c>
      <c r="AB10" s="54">
        <f>Z10*AA10</f>
        <v/>
      </c>
      <c r="AC10" s="54">
        <f>IF(F10=1,0,K10*(T10+'01_Cadrage'!$H$19))</f>
        <v/>
      </c>
      <c r="AD10" s="57">
        <f>AB10+AC10</f>
        <v/>
      </c>
      <c r="AE10" s="55">
        <f>L10*(1+'01_Cadrage'!$H$17*W10)</f>
        <v/>
      </c>
      <c r="AF10" s="46">
        <f>IF(E10="ALT",'01_Cadrage'!$H$28+(1-'01_Cadrage'!$H$28)*'01_Cadrage'!$H$26,1)</f>
        <v/>
      </c>
      <c r="AG10" s="46">
        <f>IF(E10="ALT",IFERROR(INDEX('06_Historique'!$G$66:$G$73,MATCH(C10,'06_Historique'!$A$66:$A$73,0)),'01_Cadrage'!$H$28)+(1-IFERROR(INDEX('06_Historique'!$G$66:$G$73,MATCH(C10,'06_Historique'!$A$66:$A$73,0)),'01_Cadrage'!$H$28))*'01_Cadrage'!$H$26,1)</f>
        <v/>
      </c>
      <c r="AH10" s="21">
        <f>AD10*AE10*AF10+AB10*'01_Cadrage'!$H$24</f>
        <v/>
      </c>
      <c r="AI10" s="54">
        <f>IF(AD10&lt;=0,0,MAX(1,ROUNDUP(AD10/O10,0)))</f>
        <v/>
      </c>
      <c r="AJ10" s="21">
        <f>AI10*U10</f>
        <v/>
      </c>
      <c r="AK10" s="21">
        <f>AD10*R10*(1+'01_Cadrage'!$H$20)</f>
        <v/>
      </c>
      <c r="AL10" s="21">
        <f>H10*S10*(1+Y10)</f>
        <v/>
      </c>
      <c r="AM10" s="20">
        <f>AH10-AJ10-AK10-AL10-AD10*'01_Cadrage'!$H$27*(1+'01_Cadrage'!$H$20)</f>
        <v/>
      </c>
      <c r="AN10" s="56">
        <f>IFERROR(AD10/(AI10*O10),0)</f>
        <v/>
      </c>
      <c r="AO10" s="55">
        <f>IFERROR(AM10/AD10,0)</f>
        <v/>
      </c>
      <c r="AP10" s="54">
        <f>IFERROR(AI10*U10/(AE10*AF10-R10*(1+'01_Cadrage'!$H$20)),0)</f>
        <v/>
      </c>
    </row>
    <row r="11">
      <c r="A11" s="51">
        <f>'06_Historique'!A12</f>
        <v/>
      </c>
      <c r="B11" s="10">
        <f>'06_Historique'!B12</f>
        <v/>
      </c>
      <c r="C11" s="51">
        <f>'06_Historique'!C12</f>
        <v/>
      </c>
      <c r="D11" s="10">
        <f>'06_Historique'!E12</f>
        <v/>
      </c>
      <c r="E11" s="10">
        <f>'06_Historique'!F12</f>
        <v/>
      </c>
      <c r="F11" s="52">
        <f>'06_Historique'!G12</f>
        <v/>
      </c>
      <c r="G11" s="52">
        <f>'06_Historique'!K12</f>
        <v/>
      </c>
      <c r="H11" s="52">
        <f>'06_Historique'!I12</f>
        <v/>
      </c>
      <c r="I11" s="52">
        <f>'06_Historique'!J12</f>
        <v/>
      </c>
      <c r="J11" s="52">
        <f>'06_Historique'!H12</f>
        <v/>
      </c>
      <c r="K11" s="52">
        <f>'06_Historique'!L12</f>
        <v/>
      </c>
      <c r="L11" s="53">
        <f>'06_Historique'!M12</f>
        <v/>
      </c>
      <c r="M11" s="52">
        <f>'06_Historique'!N12</f>
        <v/>
      </c>
      <c r="N11" s="9">
        <f>C11&amp;"|"&amp;D11</f>
        <v/>
      </c>
      <c r="O11" s="54">
        <f>INDEX('05_Param_Prog_Annee'!$E$4:$E$23,MATCH(N11,'05_Param_Prog_Annee'!$A$4:$A$23,0))</f>
        <v/>
      </c>
      <c r="P11" s="54">
        <f>INDEX('05_Param_Prog_Annee'!$F$4:$F$23,MATCH(N11,'05_Param_Prog_Annee'!$A$4:$A$23,0))</f>
        <v/>
      </c>
      <c r="Q11" s="55">
        <f>INDEX('05_Param_Prog_Annee'!$G$4:$G$23,MATCH(N11,'05_Param_Prog_Annee'!$A$4:$A$23,0))</f>
        <v/>
      </c>
      <c r="R11" s="55">
        <f>INDEX('05_Param_Prog_Annee'!$H$4:$H$23,MATCH(N11,'05_Param_Prog_Annee'!$A$4:$A$23,0))</f>
        <v/>
      </c>
      <c r="S11" s="55">
        <f>INDEX('05_Param_Prog_Annee'!$I$4:$I$23,MATCH(N11,'05_Param_Prog_Annee'!$A$4:$A$23,0))</f>
        <v/>
      </c>
      <c r="T11" s="56">
        <f>IFERROR(INDEX('05_Param_Prog_Annee'!$J$4:$J$23,MATCH(N11,'05_Param_Prog_Annee'!$A$4:$A$23,0)),0)</f>
        <v/>
      </c>
      <c r="U11" s="55">
        <f>P11*Q11*(1+'01_Cadrage'!$H$21)</f>
        <v/>
      </c>
      <c r="V11" s="46">
        <f>INDEX('01_Cadrage'!$L$7:$L$20,MATCH(A11&amp;"|"&amp;B11,'01_Cadrage'!$O$7:$O$20,0))</f>
        <v/>
      </c>
      <c r="W11" s="46">
        <f>INDEX('01_Cadrage'!$M$7:$M$20,MATCH(A11&amp;"|"&amp;B11,'01_Cadrage'!$O$7:$O$20,0))</f>
        <v/>
      </c>
      <c r="X11" s="46">
        <f>IFERROR(INDEX('06_Historique'!$F$66:$F$73,MATCH(C11,'06_Historique'!$A$66:$A$73,0)),'01_Cadrage'!$H$29)</f>
        <v/>
      </c>
      <c r="Y11" s="56">
        <f>'01_Cadrage'!$H$16*V11</f>
        <v/>
      </c>
      <c r="Z11" s="54">
        <f>IF(F11=1,J11*(1+X11*Y11),0)</f>
        <v/>
      </c>
      <c r="AA11" s="56">
        <f>IF(F11=1,IFERROR(H11/J11,'01_Cadrage'!$H$30)+'01_Cadrage'!$H$18,0)</f>
        <v/>
      </c>
      <c r="AB11" s="54">
        <f>Z11*AA11</f>
        <v/>
      </c>
      <c r="AC11" s="54">
        <f>IF(F11=1,0,K11*(T11+'01_Cadrage'!$H$19))</f>
        <v/>
      </c>
      <c r="AD11" s="57">
        <f>AB11+AC11</f>
        <v/>
      </c>
      <c r="AE11" s="55">
        <f>L11*(1+'01_Cadrage'!$H$17*W11)</f>
        <v/>
      </c>
      <c r="AF11" s="46">
        <f>IF(E11="ALT",'01_Cadrage'!$H$28+(1-'01_Cadrage'!$H$28)*'01_Cadrage'!$H$26,1)</f>
        <v/>
      </c>
      <c r="AG11" s="46">
        <f>IF(E11="ALT",IFERROR(INDEX('06_Historique'!$G$66:$G$73,MATCH(C11,'06_Historique'!$A$66:$A$73,0)),'01_Cadrage'!$H$28)+(1-IFERROR(INDEX('06_Historique'!$G$66:$G$73,MATCH(C11,'06_Historique'!$A$66:$A$73,0)),'01_Cadrage'!$H$28))*'01_Cadrage'!$H$26,1)</f>
        <v/>
      </c>
      <c r="AH11" s="21">
        <f>AD11*AE11*AF11+AB11*'01_Cadrage'!$H$24</f>
        <v/>
      </c>
      <c r="AI11" s="54">
        <f>IF(AD11&lt;=0,0,MAX(1,ROUNDUP(AD11/O11,0)))</f>
        <v/>
      </c>
      <c r="AJ11" s="21">
        <f>AI11*U11</f>
        <v/>
      </c>
      <c r="AK11" s="21">
        <f>AD11*R11*(1+'01_Cadrage'!$H$20)</f>
        <v/>
      </c>
      <c r="AL11" s="21">
        <f>H11*S11*(1+Y11)</f>
        <v/>
      </c>
      <c r="AM11" s="20">
        <f>AH11-AJ11-AK11-AL11-AD11*'01_Cadrage'!$H$27*(1+'01_Cadrage'!$H$20)</f>
        <v/>
      </c>
      <c r="AN11" s="56">
        <f>IFERROR(AD11/(AI11*O11),0)</f>
        <v/>
      </c>
      <c r="AO11" s="55">
        <f>IFERROR(AM11/AD11,0)</f>
        <v/>
      </c>
      <c r="AP11" s="54">
        <f>IFERROR(AI11*U11/(AE11*AF11-R11*(1+'01_Cadrage'!$H$20)),0)</f>
        <v/>
      </c>
    </row>
    <row r="12">
      <c r="A12" s="51">
        <f>'06_Historique'!A13</f>
        <v/>
      </c>
      <c r="B12" s="10">
        <f>'06_Historique'!B13</f>
        <v/>
      </c>
      <c r="C12" s="51">
        <f>'06_Historique'!C13</f>
        <v/>
      </c>
      <c r="D12" s="10">
        <f>'06_Historique'!E13</f>
        <v/>
      </c>
      <c r="E12" s="10">
        <f>'06_Historique'!F13</f>
        <v/>
      </c>
      <c r="F12" s="52">
        <f>'06_Historique'!G13</f>
        <v/>
      </c>
      <c r="G12" s="52">
        <f>'06_Historique'!K13</f>
        <v/>
      </c>
      <c r="H12" s="52">
        <f>'06_Historique'!I13</f>
        <v/>
      </c>
      <c r="I12" s="52">
        <f>'06_Historique'!J13</f>
        <v/>
      </c>
      <c r="J12" s="52">
        <f>'06_Historique'!H13</f>
        <v/>
      </c>
      <c r="K12" s="52">
        <f>'06_Historique'!L13</f>
        <v/>
      </c>
      <c r="L12" s="53">
        <f>'06_Historique'!M13</f>
        <v/>
      </c>
      <c r="M12" s="52">
        <f>'06_Historique'!N13</f>
        <v/>
      </c>
      <c r="N12" s="9">
        <f>C12&amp;"|"&amp;D12</f>
        <v/>
      </c>
      <c r="O12" s="54">
        <f>INDEX('05_Param_Prog_Annee'!$E$4:$E$23,MATCH(N12,'05_Param_Prog_Annee'!$A$4:$A$23,0))</f>
        <v/>
      </c>
      <c r="P12" s="54">
        <f>INDEX('05_Param_Prog_Annee'!$F$4:$F$23,MATCH(N12,'05_Param_Prog_Annee'!$A$4:$A$23,0))</f>
        <v/>
      </c>
      <c r="Q12" s="55">
        <f>INDEX('05_Param_Prog_Annee'!$G$4:$G$23,MATCH(N12,'05_Param_Prog_Annee'!$A$4:$A$23,0))</f>
        <v/>
      </c>
      <c r="R12" s="55">
        <f>INDEX('05_Param_Prog_Annee'!$H$4:$H$23,MATCH(N12,'05_Param_Prog_Annee'!$A$4:$A$23,0))</f>
        <v/>
      </c>
      <c r="S12" s="55">
        <f>INDEX('05_Param_Prog_Annee'!$I$4:$I$23,MATCH(N12,'05_Param_Prog_Annee'!$A$4:$A$23,0))</f>
        <v/>
      </c>
      <c r="T12" s="56">
        <f>IFERROR(INDEX('05_Param_Prog_Annee'!$J$4:$J$23,MATCH(N12,'05_Param_Prog_Annee'!$A$4:$A$23,0)),0)</f>
        <v/>
      </c>
      <c r="U12" s="55">
        <f>P12*Q12*(1+'01_Cadrage'!$H$21)</f>
        <v/>
      </c>
      <c r="V12" s="46">
        <f>INDEX('01_Cadrage'!$L$7:$L$20,MATCH(A12&amp;"|"&amp;B12,'01_Cadrage'!$O$7:$O$20,0))</f>
        <v/>
      </c>
      <c r="W12" s="46">
        <f>INDEX('01_Cadrage'!$M$7:$M$20,MATCH(A12&amp;"|"&amp;B12,'01_Cadrage'!$O$7:$O$20,0))</f>
        <v/>
      </c>
      <c r="X12" s="46">
        <f>IFERROR(INDEX('06_Historique'!$F$66:$F$73,MATCH(C12,'06_Historique'!$A$66:$A$73,0)),'01_Cadrage'!$H$29)</f>
        <v/>
      </c>
      <c r="Y12" s="56">
        <f>'01_Cadrage'!$H$16*V12</f>
        <v/>
      </c>
      <c r="Z12" s="54">
        <f>IF(F12=1,J12*(1+X12*Y12),0)</f>
        <v/>
      </c>
      <c r="AA12" s="56">
        <f>IF(F12=1,IFERROR(H12/J12,'01_Cadrage'!$H$30)+'01_Cadrage'!$H$18,0)</f>
        <v/>
      </c>
      <c r="AB12" s="54">
        <f>Z12*AA12</f>
        <v/>
      </c>
      <c r="AC12" s="54">
        <f>IF(F12=1,0,K12*(T12+'01_Cadrage'!$H$19))</f>
        <v/>
      </c>
      <c r="AD12" s="57">
        <f>AB12+AC12</f>
        <v/>
      </c>
      <c r="AE12" s="55">
        <f>L12*(1+'01_Cadrage'!$H$17*W12)</f>
        <v/>
      </c>
      <c r="AF12" s="46">
        <f>IF(E12="ALT",'01_Cadrage'!$H$28+(1-'01_Cadrage'!$H$28)*'01_Cadrage'!$H$26,1)</f>
        <v/>
      </c>
      <c r="AG12" s="46">
        <f>IF(E12="ALT",IFERROR(INDEX('06_Historique'!$G$66:$G$73,MATCH(C12,'06_Historique'!$A$66:$A$73,0)),'01_Cadrage'!$H$28)+(1-IFERROR(INDEX('06_Historique'!$G$66:$G$73,MATCH(C12,'06_Historique'!$A$66:$A$73,0)),'01_Cadrage'!$H$28))*'01_Cadrage'!$H$26,1)</f>
        <v/>
      </c>
      <c r="AH12" s="21">
        <f>AD12*AE12*AF12+AB12*'01_Cadrage'!$H$24</f>
        <v/>
      </c>
      <c r="AI12" s="54">
        <f>IF(AD12&lt;=0,0,MAX(1,ROUNDUP(AD12/O12,0)))</f>
        <v/>
      </c>
      <c r="AJ12" s="21">
        <f>AI12*U12</f>
        <v/>
      </c>
      <c r="AK12" s="21">
        <f>AD12*R12*(1+'01_Cadrage'!$H$20)</f>
        <v/>
      </c>
      <c r="AL12" s="21">
        <f>H12*S12*(1+Y12)</f>
        <v/>
      </c>
      <c r="AM12" s="20">
        <f>AH12-AJ12-AK12-AL12-AD12*'01_Cadrage'!$H$27*(1+'01_Cadrage'!$H$20)</f>
        <v/>
      </c>
      <c r="AN12" s="56">
        <f>IFERROR(AD12/(AI12*O12),0)</f>
        <v/>
      </c>
      <c r="AO12" s="55">
        <f>IFERROR(AM12/AD12,0)</f>
        <v/>
      </c>
      <c r="AP12" s="54">
        <f>IFERROR(AI12*U12/(AE12*AF12-R12*(1+'01_Cadrage'!$H$20)),0)</f>
        <v/>
      </c>
    </row>
    <row r="13">
      <c r="A13" s="51">
        <f>'06_Historique'!A14</f>
        <v/>
      </c>
      <c r="B13" s="10">
        <f>'06_Historique'!B14</f>
        <v/>
      </c>
      <c r="C13" s="51">
        <f>'06_Historique'!C14</f>
        <v/>
      </c>
      <c r="D13" s="10">
        <f>'06_Historique'!E14</f>
        <v/>
      </c>
      <c r="E13" s="10">
        <f>'06_Historique'!F14</f>
        <v/>
      </c>
      <c r="F13" s="52">
        <f>'06_Historique'!G14</f>
        <v/>
      </c>
      <c r="G13" s="52">
        <f>'06_Historique'!K14</f>
        <v/>
      </c>
      <c r="H13" s="52">
        <f>'06_Historique'!I14</f>
        <v/>
      </c>
      <c r="I13" s="52">
        <f>'06_Historique'!J14</f>
        <v/>
      </c>
      <c r="J13" s="52">
        <f>'06_Historique'!H14</f>
        <v/>
      </c>
      <c r="K13" s="52">
        <f>'06_Historique'!L14</f>
        <v/>
      </c>
      <c r="L13" s="53">
        <f>'06_Historique'!M14</f>
        <v/>
      </c>
      <c r="M13" s="52">
        <f>'06_Historique'!N14</f>
        <v/>
      </c>
      <c r="N13" s="9">
        <f>C13&amp;"|"&amp;D13</f>
        <v/>
      </c>
      <c r="O13" s="54">
        <f>INDEX('05_Param_Prog_Annee'!$E$4:$E$23,MATCH(N13,'05_Param_Prog_Annee'!$A$4:$A$23,0))</f>
        <v/>
      </c>
      <c r="P13" s="54">
        <f>INDEX('05_Param_Prog_Annee'!$F$4:$F$23,MATCH(N13,'05_Param_Prog_Annee'!$A$4:$A$23,0))</f>
        <v/>
      </c>
      <c r="Q13" s="55">
        <f>INDEX('05_Param_Prog_Annee'!$G$4:$G$23,MATCH(N13,'05_Param_Prog_Annee'!$A$4:$A$23,0))</f>
        <v/>
      </c>
      <c r="R13" s="55">
        <f>INDEX('05_Param_Prog_Annee'!$H$4:$H$23,MATCH(N13,'05_Param_Prog_Annee'!$A$4:$A$23,0))</f>
        <v/>
      </c>
      <c r="S13" s="55">
        <f>INDEX('05_Param_Prog_Annee'!$I$4:$I$23,MATCH(N13,'05_Param_Prog_Annee'!$A$4:$A$23,0))</f>
        <v/>
      </c>
      <c r="T13" s="56">
        <f>IFERROR(INDEX('05_Param_Prog_Annee'!$J$4:$J$23,MATCH(N13,'05_Param_Prog_Annee'!$A$4:$A$23,0)),0)</f>
        <v/>
      </c>
      <c r="U13" s="55">
        <f>P13*Q13*(1+'01_Cadrage'!$H$21)</f>
        <v/>
      </c>
      <c r="V13" s="46">
        <f>INDEX('01_Cadrage'!$L$7:$L$20,MATCH(A13&amp;"|"&amp;B13,'01_Cadrage'!$O$7:$O$20,0))</f>
        <v/>
      </c>
      <c r="W13" s="46">
        <f>INDEX('01_Cadrage'!$M$7:$M$20,MATCH(A13&amp;"|"&amp;B13,'01_Cadrage'!$O$7:$O$20,0))</f>
        <v/>
      </c>
      <c r="X13" s="46">
        <f>IFERROR(INDEX('06_Historique'!$F$66:$F$73,MATCH(C13,'06_Historique'!$A$66:$A$73,0)),'01_Cadrage'!$H$29)</f>
        <v/>
      </c>
      <c r="Y13" s="56">
        <f>'01_Cadrage'!$H$16*V13</f>
        <v/>
      </c>
      <c r="Z13" s="54">
        <f>IF(F13=1,J13*(1+X13*Y13),0)</f>
        <v/>
      </c>
      <c r="AA13" s="56">
        <f>IF(F13=1,IFERROR(H13/J13,'01_Cadrage'!$H$30)+'01_Cadrage'!$H$18,0)</f>
        <v/>
      </c>
      <c r="AB13" s="54">
        <f>Z13*AA13</f>
        <v/>
      </c>
      <c r="AC13" s="54">
        <f>IF(F13=1,0,K13*(T13+'01_Cadrage'!$H$19))</f>
        <v/>
      </c>
      <c r="AD13" s="57">
        <f>AB13+AC13</f>
        <v/>
      </c>
      <c r="AE13" s="55">
        <f>L13*(1+'01_Cadrage'!$H$17*W13)</f>
        <v/>
      </c>
      <c r="AF13" s="46">
        <f>IF(E13="ALT",'01_Cadrage'!$H$28+(1-'01_Cadrage'!$H$28)*'01_Cadrage'!$H$26,1)</f>
        <v/>
      </c>
      <c r="AG13" s="46">
        <f>IF(E13="ALT",IFERROR(INDEX('06_Historique'!$G$66:$G$73,MATCH(C13,'06_Historique'!$A$66:$A$73,0)),'01_Cadrage'!$H$28)+(1-IFERROR(INDEX('06_Historique'!$G$66:$G$73,MATCH(C13,'06_Historique'!$A$66:$A$73,0)),'01_Cadrage'!$H$28))*'01_Cadrage'!$H$26,1)</f>
        <v/>
      </c>
      <c r="AH13" s="21">
        <f>AD13*AE13*AF13+AB13*'01_Cadrage'!$H$24</f>
        <v/>
      </c>
      <c r="AI13" s="54">
        <f>IF(AD13&lt;=0,0,MAX(1,ROUNDUP(AD13/O13,0)))</f>
        <v/>
      </c>
      <c r="AJ13" s="21">
        <f>AI13*U13</f>
        <v/>
      </c>
      <c r="AK13" s="21">
        <f>AD13*R13*(1+'01_Cadrage'!$H$20)</f>
        <v/>
      </c>
      <c r="AL13" s="21">
        <f>H13*S13*(1+Y13)</f>
        <v/>
      </c>
      <c r="AM13" s="20">
        <f>AH13-AJ13-AK13-AL13-AD13*'01_Cadrage'!$H$27*(1+'01_Cadrage'!$H$20)</f>
        <v/>
      </c>
      <c r="AN13" s="56">
        <f>IFERROR(AD13/(AI13*O13),0)</f>
        <v/>
      </c>
      <c r="AO13" s="55">
        <f>IFERROR(AM13/AD13,0)</f>
        <v/>
      </c>
      <c r="AP13" s="54">
        <f>IFERROR(AI13*U13/(AE13*AF13-R13*(1+'01_Cadrage'!$H$20)),0)</f>
        <v/>
      </c>
    </row>
    <row r="14">
      <c r="A14" s="51">
        <f>'06_Historique'!A15</f>
        <v/>
      </c>
      <c r="B14" s="10">
        <f>'06_Historique'!B15</f>
        <v/>
      </c>
      <c r="C14" s="51">
        <f>'06_Historique'!C15</f>
        <v/>
      </c>
      <c r="D14" s="10">
        <f>'06_Historique'!E15</f>
        <v/>
      </c>
      <c r="E14" s="10">
        <f>'06_Historique'!F15</f>
        <v/>
      </c>
      <c r="F14" s="52">
        <f>'06_Historique'!G15</f>
        <v/>
      </c>
      <c r="G14" s="52">
        <f>'06_Historique'!K15</f>
        <v/>
      </c>
      <c r="H14" s="52">
        <f>'06_Historique'!I15</f>
        <v/>
      </c>
      <c r="I14" s="52">
        <f>'06_Historique'!J15</f>
        <v/>
      </c>
      <c r="J14" s="52">
        <f>'06_Historique'!H15</f>
        <v/>
      </c>
      <c r="K14" s="52">
        <f>'06_Historique'!L15</f>
        <v/>
      </c>
      <c r="L14" s="53">
        <f>'06_Historique'!M15</f>
        <v/>
      </c>
      <c r="M14" s="52">
        <f>'06_Historique'!N15</f>
        <v/>
      </c>
      <c r="N14" s="9">
        <f>C14&amp;"|"&amp;D14</f>
        <v/>
      </c>
      <c r="O14" s="54">
        <f>INDEX('05_Param_Prog_Annee'!$E$4:$E$23,MATCH(N14,'05_Param_Prog_Annee'!$A$4:$A$23,0))</f>
        <v/>
      </c>
      <c r="P14" s="54">
        <f>INDEX('05_Param_Prog_Annee'!$F$4:$F$23,MATCH(N14,'05_Param_Prog_Annee'!$A$4:$A$23,0))</f>
        <v/>
      </c>
      <c r="Q14" s="55">
        <f>INDEX('05_Param_Prog_Annee'!$G$4:$G$23,MATCH(N14,'05_Param_Prog_Annee'!$A$4:$A$23,0))</f>
        <v/>
      </c>
      <c r="R14" s="55">
        <f>INDEX('05_Param_Prog_Annee'!$H$4:$H$23,MATCH(N14,'05_Param_Prog_Annee'!$A$4:$A$23,0))</f>
        <v/>
      </c>
      <c r="S14" s="55">
        <f>INDEX('05_Param_Prog_Annee'!$I$4:$I$23,MATCH(N14,'05_Param_Prog_Annee'!$A$4:$A$23,0))</f>
        <v/>
      </c>
      <c r="T14" s="56">
        <f>IFERROR(INDEX('05_Param_Prog_Annee'!$J$4:$J$23,MATCH(N14,'05_Param_Prog_Annee'!$A$4:$A$23,0)),0)</f>
        <v/>
      </c>
      <c r="U14" s="55">
        <f>P14*Q14*(1+'01_Cadrage'!$H$21)</f>
        <v/>
      </c>
      <c r="V14" s="46">
        <f>INDEX('01_Cadrage'!$L$7:$L$20,MATCH(A14&amp;"|"&amp;B14,'01_Cadrage'!$O$7:$O$20,0))</f>
        <v/>
      </c>
      <c r="W14" s="46">
        <f>INDEX('01_Cadrage'!$M$7:$M$20,MATCH(A14&amp;"|"&amp;B14,'01_Cadrage'!$O$7:$O$20,0))</f>
        <v/>
      </c>
      <c r="X14" s="46">
        <f>IFERROR(INDEX('06_Historique'!$F$66:$F$73,MATCH(C14,'06_Historique'!$A$66:$A$73,0)),'01_Cadrage'!$H$29)</f>
        <v/>
      </c>
      <c r="Y14" s="56">
        <f>'01_Cadrage'!$H$16*V14</f>
        <v/>
      </c>
      <c r="Z14" s="54">
        <f>IF(F14=1,J14*(1+X14*Y14),0)</f>
        <v/>
      </c>
      <c r="AA14" s="56">
        <f>IF(F14=1,IFERROR(H14/J14,'01_Cadrage'!$H$30)+'01_Cadrage'!$H$18,0)</f>
        <v/>
      </c>
      <c r="AB14" s="54">
        <f>Z14*AA14</f>
        <v/>
      </c>
      <c r="AC14" s="54">
        <f>IF(F14=1,0,K14*(T14+'01_Cadrage'!$H$19))</f>
        <v/>
      </c>
      <c r="AD14" s="57">
        <f>AB14+AC14</f>
        <v/>
      </c>
      <c r="AE14" s="55">
        <f>L14*(1+'01_Cadrage'!$H$17*W14)</f>
        <v/>
      </c>
      <c r="AF14" s="46">
        <f>IF(E14="ALT",'01_Cadrage'!$H$28+(1-'01_Cadrage'!$H$28)*'01_Cadrage'!$H$26,1)</f>
        <v/>
      </c>
      <c r="AG14" s="46">
        <f>IF(E14="ALT",IFERROR(INDEX('06_Historique'!$G$66:$G$73,MATCH(C14,'06_Historique'!$A$66:$A$73,0)),'01_Cadrage'!$H$28)+(1-IFERROR(INDEX('06_Historique'!$G$66:$G$73,MATCH(C14,'06_Historique'!$A$66:$A$73,0)),'01_Cadrage'!$H$28))*'01_Cadrage'!$H$26,1)</f>
        <v/>
      </c>
      <c r="AH14" s="21">
        <f>AD14*AE14*AF14+AB14*'01_Cadrage'!$H$24</f>
        <v/>
      </c>
      <c r="AI14" s="54">
        <f>IF(AD14&lt;=0,0,MAX(1,ROUNDUP(AD14/O14,0)))</f>
        <v/>
      </c>
      <c r="AJ14" s="21">
        <f>AI14*U14</f>
        <v/>
      </c>
      <c r="AK14" s="21">
        <f>AD14*R14*(1+'01_Cadrage'!$H$20)</f>
        <v/>
      </c>
      <c r="AL14" s="21">
        <f>H14*S14*(1+Y14)</f>
        <v/>
      </c>
      <c r="AM14" s="20">
        <f>AH14-AJ14-AK14-AL14-AD14*'01_Cadrage'!$H$27*(1+'01_Cadrage'!$H$20)</f>
        <v/>
      </c>
      <c r="AN14" s="56">
        <f>IFERROR(AD14/(AI14*O14),0)</f>
        <v/>
      </c>
      <c r="AO14" s="55">
        <f>IFERROR(AM14/AD14,0)</f>
        <v/>
      </c>
      <c r="AP14" s="54">
        <f>IFERROR(AI14*U14/(AE14*AF14-R14*(1+'01_Cadrage'!$H$20)),0)</f>
        <v/>
      </c>
    </row>
    <row r="15">
      <c r="A15" s="51">
        <f>'06_Historique'!A16</f>
        <v/>
      </c>
      <c r="B15" s="10">
        <f>'06_Historique'!B16</f>
        <v/>
      </c>
      <c r="C15" s="51">
        <f>'06_Historique'!C16</f>
        <v/>
      </c>
      <c r="D15" s="10">
        <f>'06_Historique'!E16</f>
        <v/>
      </c>
      <c r="E15" s="10">
        <f>'06_Historique'!F16</f>
        <v/>
      </c>
      <c r="F15" s="52">
        <f>'06_Historique'!G16</f>
        <v/>
      </c>
      <c r="G15" s="52">
        <f>'06_Historique'!K16</f>
        <v/>
      </c>
      <c r="H15" s="52">
        <f>'06_Historique'!I16</f>
        <v/>
      </c>
      <c r="I15" s="52">
        <f>'06_Historique'!J16</f>
        <v/>
      </c>
      <c r="J15" s="52">
        <f>'06_Historique'!H16</f>
        <v/>
      </c>
      <c r="K15" s="52">
        <f>'06_Historique'!L16</f>
        <v/>
      </c>
      <c r="L15" s="53">
        <f>'06_Historique'!M16</f>
        <v/>
      </c>
      <c r="M15" s="52">
        <f>'06_Historique'!N16</f>
        <v/>
      </c>
      <c r="N15" s="9">
        <f>C15&amp;"|"&amp;D15</f>
        <v/>
      </c>
      <c r="O15" s="54">
        <f>INDEX('05_Param_Prog_Annee'!$E$4:$E$23,MATCH(N15,'05_Param_Prog_Annee'!$A$4:$A$23,0))</f>
        <v/>
      </c>
      <c r="P15" s="54">
        <f>INDEX('05_Param_Prog_Annee'!$F$4:$F$23,MATCH(N15,'05_Param_Prog_Annee'!$A$4:$A$23,0))</f>
        <v/>
      </c>
      <c r="Q15" s="55">
        <f>INDEX('05_Param_Prog_Annee'!$G$4:$G$23,MATCH(N15,'05_Param_Prog_Annee'!$A$4:$A$23,0))</f>
        <v/>
      </c>
      <c r="R15" s="55">
        <f>INDEX('05_Param_Prog_Annee'!$H$4:$H$23,MATCH(N15,'05_Param_Prog_Annee'!$A$4:$A$23,0))</f>
        <v/>
      </c>
      <c r="S15" s="55">
        <f>INDEX('05_Param_Prog_Annee'!$I$4:$I$23,MATCH(N15,'05_Param_Prog_Annee'!$A$4:$A$23,0))</f>
        <v/>
      </c>
      <c r="T15" s="56">
        <f>IFERROR(INDEX('05_Param_Prog_Annee'!$J$4:$J$23,MATCH(N15,'05_Param_Prog_Annee'!$A$4:$A$23,0)),0)</f>
        <v/>
      </c>
      <c r="U15" s="55">
        <f>P15*Q15*(1+'01_Cadrage'!$H$21)</f>
        <v/>
      </c>
      <c r="V15" s="46">
        <f>INDEX('01_Cadrage'!$L$7:$L$20,MATCH(A15&amp;"|"&amp;B15,'01_Cadrage'!$O$7:$O$20,0))</f>
        <v/>
      </c>
      <c r="W15" s="46">
        <f>INDEX('01_Cadrage'!$M$7:$M$20,MATCH(A15&amp;"|"&amp;B15,'01_Cadrage'!$O$7:$O$20,0))</f>
        <v/>
      </c>
      <c r="X15" s="46">
        <f>IFERROR(INDEX('06_Historique'!$F$66:$F$73,MATCH(C15,'06_Historique'!$A$66:$A$73,0)),'01_Cadrage'!$H$29)</f>
        <v/>
      </c>
      <c r="Y15" s="56">
        <f>'01_Cadrage'!$H$16*V15</f>
        <v/>
      </c>
      <c r="Z15" s="54">
        <f>IF(F15=1,J15*(1+X15*Y15),0)</f>
        <v/>
      </c>
      <c r="AA15" s="56">
        <f>IF(F15=1,IFERROR(H15/J15,'01_Cadrage'!$H$30)+'01_Cadrage'!$H$18,0)</f>
        <v/>
      </c>
      <c r="AB15" s="54">
        <f>Z15*AA15</f>
        <v/>
      </c>
      <c r="AC15" s="54">
        <f>IF(F15=1,0,K15*(T15+'01_Cadrage'!$H$19))</f>
        <v/>
      </c>
      <c r="AD15" s="57">
        <f>AB15+AC15</f>
        <v/>
      </c>
      <c r="AE15" s="55">
        <f>L15*(1+'01_Cadrage'!$H$17*W15)</f>
        <v/>
      </c>
      <c r="AF15" s="46">
        <f>IF(E15="ALT",'01_Cadrage'!$H$28+(1-'01_Cadrage'!$H$28)*'01_Cadrage'!$H$26,1)</f>
        <v/>
      </c>
      <c r="AG15" s="46">
        <f>IF(E15="ALT",IFERROR(INDEX('06_Historique'!$G$66:$G$73,MATCH(C15,'06_Historique'!$A$66:$A$73,0)),'01_Cadrage'!$H$28)+(1-IFERROR(INDEX('06_Historique'!$G$66:$G$73,MATCH(C15,'06_Historique'!$A$66:$A$73,0)),'01_Cadrage'!$H$28))*'01_Cadrage'!$H$26,1)</f>
        <v/>
      </c>
      <c r="AH15" s="21">
        <f>AD15*AE15*AF15+AB15*'01_Cadrage'!$H$24</f>
        <v/>
      </c>
      <c r="AI15" s="54">
        <f>IF(AD15&lt;=0,0,MAX(1,ROUNDUP(AD15/O15,0)))</f>
        <v/>
      </c>
      <c r="AJ15" s="21">
        <f>AI15*U15</f>
        <v/>
      </c>
      <c r="AK15" s="21">
        <f>AD15*R15*(1+'01_Cadrage'!$H$20)</f>
        <v/>
      </c>
      <c r="AL15" s="21">
        <f>H15*S15*(1+Y15)</f>
        <v/>
      </c>
      <c r="AM15" s="20">
        <f>AH15-AJ15-AK15-AL15-AD15*'01_Cadrage'!$H$27*(1+'01_Cadrage'!$H$20)</f>
        <v/>
      </c>
      <c r="AN15" s="56">
        <f>IFERROR(AD15/(AI15*O15),0)</f>
        <v/>
      </c>
      <c r="AO15" s="55">
        <f>IFERROR(AM15/AD15,0)</f>
        <v/>
      </c>
      <c r="AP15" s="54">
        <f>IFERROR(AI15*U15/(AE15*AF15-R15*(1+'01_Cadrage'!$H$20)),0)</f>
        <v/>
      </c>
    </row>
    <row r="16">
      <c r="A16" s="51">
        <f>'06_Historique'!A17</f>
        <v/>
      </c>
      <c r="B16" s="10">
        <f>'06_Historique'!B17</f>
        <v/>
      </c>
      <c r="C16" s="51">
        <f>'06_Historique'!C17</f>
        <v/>
      </c>
      <c r="D16" s="10">
        <f>'06_Historique'!E17</f>
        <v/>
      </c>
      <c r="E16" s="10">
        <f>'06_Historique'!F17</f>
        <v/>
      </c>
      <c r="F16" s="52">
        <f>'06_Historique'!G17</f>
        <v/>
      </c>
      <c r="G16" s="52">
        <f>'06_Historique'!K17</f>
        <v/>
      </c>
      <c r="H16" s="52">
        <f>'06_Historique'!I17</f>
        <v/>
      </c>
      <c r="I16" s="52">
        <f>'06_Historique'!J17</f>
        <v/>
      </c>
      <c r="J16" s="52">
        <f>'06_Historique'!H17</f>
        <v/>
      </c>
      <c r="K16" s="52">
        <f>'06_Historique'!L17</f>
        <v/>
      </c>
      <c r="L16" s="53">
        <f>'06_Historique'!M17</f>
        <v/>
      </c>
      <c r="M16" s="52">
        <f>'06_Historique'!N17</f>
        <v/>
      </c>
      <c r="N16" s="9">
        <f>C16&amp;"|"&amp;D16</f>
        <v/>
      </c>
      <c r="O16" s="54">
        <f>INDEX('05_Param_Prog_Annee'!$E$4:$E$23,MATCH(N16,'05_Param_Prog_Annee'!$A$4:$A$23,0))</f>
        <v/>
      </c>
      <c r="P16" s="54">
        <f>INDEX('05_Param_Prog_Annee'!$F$4:$F$23,MATCH(N16,'05_Param_Prog_Annee'!$A$4:$A$23,0))</f>
        <v/>
      </c>
      <c r="Q16" s="55">
        <f>INDEX('05_Param_Prog_Annee'!$G$4:$G$23,MATCH(N16,'05_Param_Prog_Annee'!$A$4:$A$23,0))</f>
        <v/>
      </c>
      <c r="R16" s="55">
        <f>INDEX('05_Param_Prog_Annee'!$H$4:$H$23,MATCH(N16,'05_Param_Prog_Annee'!$A$4:$A$23,0))</f>
        <v/>
      </c>
      <c r="S16" s="55">
        <f>INDEX('05_Param_Prog_Annee'!$I$4:$I$23,MATCH(N16,'05_Param_Prog_Annee'!$A$4:$A$23,0))</f>
        <v/>
      </c>
      <c r="T16" s="56">
        <f>IFERROR(INDEX('05_Param_Prog_Annee'!$J$4:$J$23,MATCH(N16,'05_Param_Prog_Annee'!$A$4:$A$23,0)),0)</f>
        <v/>
      </c>
      <c r="U16" s="55">
        <f>P16*Q16*(1+'01_Cadrage'!$H$21)</f>
        <v/>
      </c>
      <c r="V16" s="46">
        <f>INDEX('01_Cadrage'!$L$7:$L$20,MATCH(A16&amp;"|"&amp;B16,'01_Cadrage'!$O$7:$O$20,0))</f>
        <v/>
      </c>
      <c r="W16" s="46">
        <f>INDEX('01_Cadrage'!$M$7:$M$20,MATCH(A16&amp;"|"&amp;B16,'01_Cadrage'!$O$7:$O$20,0))</f>
        <v/>
      </c>
      <c r="X16" s="46">
        <f>IFERROR(INDEX('06_Historique'!$F$66:$F$73,MATCH(C16,'06_Historique'!$A$66:$A$73,0)),'01_Cadrage'!$H$29)</f>
        <v/>
      </c>
      <c r="Y16" s="56">
        <f>'01_Cadrage'!$H$16*V16</f>
        <v/>
      </c>
      <c r="Z16" s="54">
        <f>IF(F16=1,J16*(1+X16*Y16),0)</f>
        <v/>
      </c>
      <c r="AA16" s="56">
        <f>IF(F16=1,IFERROR(H16/J16,'01_Cadrage'!$H$30)+'01_Cadrage'!$H$18,0)</f>
        <v/>
      </c>
      <c r="AB16" s="54">
        <f>Z16*AA16</f>
        <v/>
      </c>
      <c r="AC16" s="54">
        <f>IF(F16=1,0,K16*(T16+'01_Cadrage'!$H$19))</f>
        <v/>
      </c>
      <c r="AD16" s="57">
        <f>AB16+AC16</f>
        <v/>
      </c>
      <c r="AE16" s="55">
        <f>L16*(1+'01_Cadrage'!$H$17*W16)</f>
        <v/>
      </c>
      <c r="AF16" s="46">
        <f>IF(E16="ALT",'01_Cadrage'!$H$28+(1-'01_Cadrage'!$H$28)*'01_Cadrage'!$H$26,1)</f>
        <v/>
      </c>
      <c r="AG16" s="46">
        <f>IF(E16="ALT",IFERROR(INDEX('06_Historique'!$G$66:$G$73,MATCH(C16,'06_Historique'!$A$66:$A$73,0)),'01_Cadrage'!$H$28)+(1-IFERROR(INDEX('06_Historique'!$G$66:$G$73,MATCH(C16,'06_Historique'!$A$66:$A$73,0)),'01_Cadrage'!$H$28))*'01_Cadrage'!$H$26,1)</f>
        <v/>
      </c>
      <c r="AH16" s="21">
        <f>AD16*AE16*AF16+AB16*'01_Cadrage'!$H$24</f>
        <v/>
      </c>
      <c r="AI16" s="54">
        <f>IF(AD16&lt;=0,0,MAX(1,ROUNDUP(AD16/O16,0)))</f>
        <v/>
      </c>
      <c r="AJ16" s="21">
        <f>AI16*U16</f>
        <v/>
      </c>
      <c r="AK16" s="21">
        <f>AD16*R16*(1+'01_Cadrage'!$H$20)</f>
        <v/>
      </c>
      <c r="AL16" s="21">
        <f>H16*S16*(1+Y16)</f>
        <v/>
      </c>
      <c r="AM16" s="20">
        <f>AH16-AJ16-AK16-AL16-AD16*'01_Cadrage'!$H$27*(1+'01_Cadrage'!$H$20)</f>
        <v/>
      </c>
      <c r="AN16" s="56">
        <f>IFERROR(AD16/(AI16*O16),0)</f>
        <v/>
      </c>
      <c r="AO16" s="55">
        <f>IFERROR(AM16/AD16,0)</f>
        <v/>
      </c>
      <c r="AP16" s="54">
        <f>IFERROR(AI16*U16/(AE16*AF16-R16*(1+'01_Cadrage'!$H$20)),0)</f>
        <v/>
      </c>
    </row>
    <row r="17">
      <c r="A17" s="51">
        <f>'06_Historique'!A18</f>
        <v/>
      </c>
      <c r="B17" s="10">
        <f>'06_Historique'!B18</f>
        <v/>
      </c>
      <c r="C17" s="51">
        <f>'06_Historique'!C18</f>
        <v/>
      </c>
      <c r="D17" s="10">
        <f>'06_Historique'!E18</f>
        <v/>
      </c>
      <c r="E17" s="10">
        <f>'06_Historique'!F18</f>
        <v/>
      </c>
      <c r="F17" s="52">
        <f>'06_Historique'!G18</f>
        <v/>
      </c>
      <c r="G17" s="52">
        <f>'06_Historique'!K18</f>
        <v/>
      </c>
      <c r="H17" s="52">
        <f>'06_Historique'!I18</f>
        <v/>
      </c>
      <c r="I17" s="52">
        <f>'06_Historique'!J18</f>
        <v/>
      </c>
      <c r="J17" s="52">
        <f>'06_Historique'!H18</f>
        <v/>
      </c>
      <c r="K17" s="52">
        <f>'06_Historique'!L18</f>
        <v/>
      </c>
      <c r="L17" s="53">
        <f>'06_Historique'!M18</f>
        <v/>
      </c>
      <c r="M17" s="52">
        <f>'06_Historique'!N18</f>
        <v/>
      </c>
      <c r="N17" s="9">
        <f>C17&amp;"|"&amp;D17</f>
        <v/>
      </c>
      <c r="O17" s="54">
        <f>INDEX('05_Param_Prog_Annee'!$E$4:$E$23,MATCH(N17,'05_Param_Prog_Annee'!$A$4:$A$23,0))</f>
        <v/>
      </c>
      <c r="P17" s="54">
        <f>INDEX('05_Param_Prog_Annee'!$F$4:$F$23,MATCH(N17,'05_Param_Prog_Annee'!$A$4:$A$23,0))</f>
        <v/>
      </c>
      <c r="Q17" s="55">
        <f>INDEX('05_Param_Prog_Annee'!$G$4:$G$23,MATCH(N17,'05_Param_Prog_Annee'!$A$4:$A$23,0))</f>
        <v/>
      </c>
      <c r="R17" s="55">
        <f>INDEX('05_Param_Prog_Annee'!$H$4:$H$23,MATCH(N17,'05_Param_Prog_Annee'!$A$4:$A$23,0))</f>
        <v/>
      </c>
      <c r="S17" s="55">
        <f>INDEX('05_Param_Prog_Annee'!$I$4:$I$23,MATCH(N17,'05_Param_Prog_Annee'!$A$4:$A$23,0))</f>
        <v/>
      </c>
      <c r="T17" s="56">
        <f>IFERROR(INDEX('05_Param_Prog_Annee'!$J$4:$J$23,MATCH(N17,'05_Param_Prog_Annee'!$A$4:$A$23,0)),0)</f>
        <v/>
      </c>
      <c r="U17" s="55">
        <f>P17*Q17*(1+'01_Cadrage'!$H$21)</f>
        <v/>
      </c>
      <c r="V17" s="46">
        <f>INDEX('01_Cadrage'!$L$7:$L$20,MATCH(A17&amp;"|"&amp;B17,'01_Cadrage'!$O$7:$O$20,0))</f>
        <v/>
      </c>
      <c r="W17" s="46">
        <f>INDEX('01_Cadrage'!$M$7:$M$20,MATCH(A17&amp;"|"&amp;B17,'01_Cadrage'!$O$7:$O$20,0))</f>
        <v/>
      </c>
      <c r="X17" s="46">
        <f>IFERROR(INDEX('06_Historique'!$F$66:$F$73,MATCH(C17,'06_Historique'!$A$66:$A$73,0)),'01_Cadrage'!$H$29)</f>
        <v/>
      </c>
      <c r="Y17" s="56">
        <f>'01_Cadrage'!$H$16*V17</f>
        <v/>
      </c>
      <c r="Z17" s="54">
        <f>IF(F17=1,J17*(1+X17*Y17),0)</f>
        <v/>
      </c>
      <c r="AA17" s="56">
        <f>IF(F17=1,IFERROR(H17/J17,'01_Cadrage'!$H$30)+'01_Cadrage'!$H$18,0)</f>
        <v/>
      </c>
      <c r="AB17" s="54">
        <f>Z17*AA17</f>
        <v/>
      </c>
      <c r="AC17" s="54">
        <f>IF(F17=1,0,K17*(T17+'01_Cadrage'!$H$19))</f>
        <v/>
      </c>
      <c r="AD17" s="57">
        <f>AB17+AC17</f>
        <v/>
      </c>
      <c r="AE17" s="55">
        <f>L17*(1+'01_Cadrage'!$H$17*W17)</f>
        <v/>
      </c>
      <c r="AF17" s="46">
        <f>IF(E17="ALT",'01_Cadrage'!$H$28+(1-'01_Cadrage'!$H$28)*'01_Cadrage'!$H$26,1)</f>
        <v/>
      </c>
      <c r="AG17" s="46">
        <f>IF(E17="ALT",IFERROR(INDEX('06_Historique'!$G$66:$G$73,MATCH(C17,'06_Historique'!$A$66:$A$73,0)),'01_Cadrage'!$H$28)+(1-IFERROR(INDEX('06_Historique'!$G$66:$G$73,MATCH(C17,'06_Historique'!$A$66:$A$73,0)),'01_Cadrage'!$H$28))*'01_Cadrage'!$H$26,1)</f>
        <v/>
      </c>
      <c r="AH17" s="21">
        <f>AD17*AE17*AF17+AB17*'01_Cadrage'!$H$24</f>
        <v/>
      </c>
      <c r="AI17" s="54">
        <f>IF(AD17&lt;=0,0,MAX(1,ROUNDUP(AD17/O17,0)))</f>
        <v/>
      </c>
      <c r="AJ17" s="21">
        <f>AI17*U17</f>
        <v/>
      </c>
      <c r="AK17" s="21">
        <f>AD17*R17*(1+'01_Cadrage'!$H$20)</f>
        <v/>
      </c>
      <c r="AL17" s="21">
        <f>H17*S17*(1+Y17)</f>
        <v/>
      </c>
      <c r="AM17" s="20">
        <f>AH17-AJ17-AK17-AL17-AD17*'01_Cadrage'!$H$27*(1+'01_Cadrage'!$H$20)</f>
        <v/>
      </c>
      <c r="AN17" s="56">
        <f>IFERROR(AD17/(AI17*O17),0)</f>
        <v/>
      </c>
      <c r="AO17" s="55">
        <f>IFERROR(AM17/AD17,0)</f>
        <v/>
      </c>
      <c r="AP17" s="54">
        <f>IFERROR(AI17*U17/(AE17*AF17-R17*(1+'01_Cadrage'!$H$20)),0)</f>
        <v/>
      </c>
    </row>
    <row r="18">
      <c r="A18" s="51">
        <f>'06_Historique'!A19</f>
        <v/>
      </c>
      <c r="B18" s="10">
        <f>'06_Historique'!B19</f>
        <v/>
      </c>
      <c r="C18" s="51">
        <f>'06_Historique'!C19</f>
        <v/>
      </c>
      <c r="D18" s="10">
        <f>'06_Historique'!E19</f>
        <v/>
      </c>
      <c r="E18" s="10">
        <f>'06_Historique'!F19</f>
        <v/>
      </c>
      <c r="F18" s="52">
        <f>'06_Historique'!G19</f>
        <v/>
      </c>
      <c r="G18" s="52">
        <f>'06_Historique'!K19</f>
        <v/>
      </c>
      <c r="H18" s="52">
        <f>'06_Historique'!I19</f>
        <v/>
      </c>
      <c r="I18" s="52">
        <f>'06_Historique'!J19</f>
        <v/>
      </c>
      <c r="J18" s="52">
        <f>'06_Historique'!H19</f>
        <v/>
      </c>
      <c r="K18" s="52">
        <f>'06_Historique'!L19</f>
        <v/>
      </c>
      <c r="L18" s="53">
        <f>'06_Historique'!M19</f>
        <v/>
      </c>
      <c r="M18" s="52">
        <f>'06_Historique'!N19</f>
        <v/>
      </c>
      <c r="N18" s="9">
        <f>C18&amp;"|"&amp;D18</f>
        <v/>
      </c>
      <c r="O18" s="54">
        <f>INDEX('05_Param_Prog_Annee'!$E$4:$E$23,MATCH(N18,'05_Param_Prog_Annee'!$A$4:$A$23,0))</f>
        <v/>
      </c>
      <c r="P18" s="54">
        <f>INDEX('05_Param_Prog_Annee'!$F$4:$F$23,MATCH(N18,'05_Param_Prog_Annee'!$A$4:$A$23,0))</f>
        <v/>
      </c>
      <c r="Q18" s="55">
        <f>INDEX('05_Param_Prog_Annee'!$G$4:$G$23,MATCH(N18,'05_Param_Prog_Annee'!$A$4:$A$23,0))</f>
        <v/>
      </c>
      <c r="R18" s="55">
        <f>INDEX('05_Param_Prog_Annee'!$H$4:$H$23,MATCH(N18,'05_Param_Prog_Annee'!$A$4:$A$23,0))</f>
        <v/>
      </c>
      <c r="S18" s="55">
        <f>INDEX('05_Param_Prog_Annee'!$I$4:$I$23,MATCH(N18,'05_Param_Prog_Annee'!$A$4:$A$23,0))</f>
        <v/>
      </c>
      <c r="T18" s="56">
        <f>IFERROR(INDEX('05_Param_Prog_Annee'!$J$4:$J$23,MATCH(N18,'05_Param_Prog_Annee'!$A$4:$A$23,0)),0)</f>
        <v/>
      </c>
      <c r="U18" s="55">
        <f>P18*Q18*(1+'01_Cadrage'!$H$21)</f>
        <v/>
      </c>
      <c r="V18" s="46">
        <f>INDEX('01_Cadrage'!$L$7:$L$20,MATCH(A18&amp;"|"&amp;B18,'01_Cadrage'!$O$7:$O$20,0))</f>
        <v/>
      </c>
      <c r="W18" s="46">
        <f>INDEX('01_Cadrage'!$M$7:$M$20,MATCH(A18&amp;"|"&amp;B18,'01_Cadrage'!$O$7:$O$20,0))</f>
        <v/>
      </c>
      <c r="X18" s="46">
        <f>IFERROR(INDEX('06_Historique'!$F$66:$F$73,MATCH(C18,'06_Historique'!$A$66:$A$73,0)),'01_Cadrage'!$H$29)</f>
        <v/>
      </c>
      <c r="Y18" s="56">
        <f>'01_Cadrage'!$H$16*V18</f>
        <v/>
      </c>
      <c r="Z18" s="54">
        <f>IF(F18=1,J18*(1+X18*Y18),0)</f>
        <v/>
      </c>
      <c r="AA18" s="56">
        <f>IF(F18=1,IFERROR(H18/J18,'01_Cadrage'!$H$30)+'01_Cadrage'!$H$18,0)</f>
        <v/>
      </c>
      <c r="AB18" s="54">
        <f>Z18*AA18</f>
        <v/>
      </c>
      <c r="AC18" s="54">
        <f>IF(F18=1,0,K18*(T18+'01_Cadrage'!$H$19))</f>
        <v/>
      </c>
      <c r="AD18" s="57">
        <f>AB18+AC18</f>
        <v/>
      </c>
      <c r="AE18" s="55">
        <f>L18*(1+'01_Cadrage'!$H$17*W18)</f>
        <v/>
      </c>
      <c r="AF18" s="46">
        <f>IF(E18="ALT",'01_Cadrage'!$H$28+(1-'01_Cadrage'!$H$28)*'01_Cadrage'!$H$26,1)</f>
        <v/>
      </c>
      <c r="AG18" s="46">
        <f>IF(E18="ALT",IFERROR(INDEX('06_Historique'!$G$66:$G$73,MATCH(C18,'06_Historique'!$A$66:$A$73,0)),'01_Cadrage'!$H$28)+(1-IFERROR(INDEX('06_Historique'!$G$66:$G$73,MATCH(C18,'06_Historique'!$A$66:$A$73,0)),'01_Cadrage'!$H$28))*'01_Cadrage'!$H$26,1)</f>
        <v/>
      </c>
      <c r="AH18" s="21">
        <f>AD18*AE18*AF18+AB18*'01_Cadrage'!$H$24</f>
        <v/>
      </c>
      <c r="AI18" s="54">
        <f>IF(AD18&lt;=0,0,MAX(1,ROUNDUP(AD18/O18,0)))</f>
        <v/>
      </c>
      <c r="AJ18" s="21">
        <f>AI18*U18</f>
        <v/>
      </c>
      <c r="AK18" s="21">
        <f>AD18*R18*(1+'01_Cadrage'!$H$20)</f>
        <v/>
      </c>
      <c r="AL18" s="21">
        <f>H18*S18*(1+Y18)</f>
        <v/>
      </c>
      <c r="AM18" s="20">
        <f>AH18-AJ18-AK18-AL18-AD18*'01_Cadrage'!$H$27*(1+'01_Cadrage'!$H$20)</f>
        <v/>
      </c>
      <c r="AN18" s="56">
        <f>IFERROR(AD18/(AI18*O18),0)</f>
        <v/>
      </c>
      <c r="AO18" s="55">
        <f>IFERROR(AM18/AD18,0)</f>
        <v/>
      </c>
      <c r="AP18" s="54">
        <f>IFERROR(AI18*U18/(AE18*AF18-R18*(1+'01_Cadrage'!$H$20)),0)</f>
        <v/>
      </c>
    </row>
    <row r="19">
      <c r="A19" s="51">
        <f>'06_Historique'!A20</f>
        <v/>
      </c>
      <c r="B19" s="10">
        <f>'06_Historique'!B20</f>
        <v/>
      </c>
      <c r="C19" s="51">
        <f>'06_Historique'!C20</f>
        <v/>
      </c>
      <c r="D19" s="10">
        <f>'06_Historique'!E20</f>
        <v/>
      </c>
      <c r="E19" s="10">
        <f>'06_Historique'!F20</f>
        <v/>
      </c>
      <c r="F19" s="52">
        <f>'06_Historique'!G20</f>
        <v/>
      </c>
      <c r="G19" s="52">
        <f>'06_Historique'!K20</f>
        <v/>
      </c>
      <c r="H19" s="52">
        <f>'06_Historique'!I20</f>
        <v/>
      </c>
      <c r="I19" s="52">
        <f>'06_Historique'!J20</f>
        <v/>
      </c>
      <c r="J19" s="52">
        <f>'06_Historique'!H20</f>
        <v/>
      </c>
      <c r="K19" s="52">
        <f>'06_Historique'!L20</f>
        <v/>
      </c>
      <c r="L19" s="53">
        <f>'06_Historique'!M20</f>
        <v/>
      </c>
      <c r="M19" s="52">
        <f>'06_Historique'!N20</f>
        <v/>
      </c>
      <c r="N19" s="9">
        <f>C19&amp;"|"&amp;D19</f>
        <v/>
      </c>
      <c r="O19" s="54">
        <f>INDEX('05_Param_Prog_Annee'!$E$4:$E$23,MATCH(N19,'05_Param_Prog_Annee'!$A$4:$A$23,0))</f>
        <v/>
      </c>
      <c r="P19" s="54">
        <f>INDEX('05_Param_Prog_Annee'!$F$4:$F$23,MATCH(N19,'05_Param_Prog_Annee'!$A$4:$A$23,0))</f>
        <v/>
      </c>
      <c r="Q19" s="55">
        <f>INDEX('05_Param_Prog_Annee'!$G$4:$G$23,MATCH(N19,'05_Param_Prog_Annee'!$A$4:$A$23,0))</f>
        <v/>
      </c>
      <c r="R19" s="55">
        <f>INDEX('05_Param_Prog_Annee'!$H$4:$H$23,MATCH(N19,'05_Param_Prog_Annee'!$A$4:$A$23,0))</f>
        <v/>
      </c>
      <c r="S19" s="55">
        <f>INDEX('05_Param_Prog_Annee'!$I$4:$I$23,MATCH(N19,'05_Param_Prog_Annee'!$A$4:$A$23,0))</f>
        <v/>
      </c>
      <c r="T19" s="56">
        <f>IFERROR(INDEX('05_Param_Prog_Annee'!$J$4:$J$23,MATCH(N19,'05_Param_Prog_Annee'!$A$4:$A$23,0)),0)</f>
        <v/>
      </c>
      <c r="U19" s="55">
        <f>P19*Q19*(1+'01_Cadrage'!$H$21)</f>
        <v/>
      </c>
      <c r="V19" s="46">
        <f>INDEX('01_Cadrage'!$L$7:$L$20,MATCH(A19&amp;"|"&amp;B19,'01_Cadrage'!$O$7:$O$20,0))</f>
        <v/>
      </c>
      <c r="W19" s="46">
        <f>INDEX('01_Cadrage'!$M$7:$M$20,MATCH(A19&amp;"|"&amp;B19,'01_Cadrage'!$O$7:$O$20,0))</f>
        <v/>
      </c>
      <c r="X19" s="46">
        <f>IFERROR(INDEX('06_Historique'!$F$66:$F$73,MATCH(C19,'06_Historique'!$A$66:$A$73,0)),'01_Cadrage'!$H$29)</f>
        <v/>
      </c>
      <c r="Y19" s="56">
        <f>'01_Cadrage'!$H$16*V19</f>
        <v/>
      </c>
      <c r="Z19" s="54">
        <f>IF(F19=1,J19*(1+X19*Y19),0)</f>
        <v/>
      </c>
      <c r="AA19" s="56">
        <f>IF(F19=1,IFERROR(H19/J19,'01_Cadrage'!$H$30)+'01_Cadrage'!$H$18,0)</f>
        <v/>
      </c>
      <c r="AB19" s="54">
        <f>Z19*AA19</f>
        <v/>
      </c>
      <c r="AC19" s="54">
        <f>IF(F19=1,0,K19*(T19+'01_Cadrage'!$H$19))</f>
        <v/>
      </c>
      <c r="AD19" s="57">
        <f>AB19+AC19</f>
        <v/>
      </c>
      <c r="AE19" s="55">
        <f>L19*(1+'01_Cadrage'!$H$17*W19)</f>
        <v/>
      </c>
      <c r="AF19" s="46">
        <f>IF(E19="ALT",'01_Cadrage'!$H$28+(1-'01_Cadrage'!$H$28)*'01_Cadrage'!$H$26,1)</f>
        <v/>
      </c>
      <c r="AG19" s="46">
        <f>IF(E19="ALT",IFERROR(INDEX('06_Historique'!$G$66:$G$73,MATCH(C19,'06_Historique'!$A$66:$A$73,0)),'01_Cadrage'!$H$28)+(1-IFERROR(INDEX('06_Historique'!$G$66:$G$73,MATCH(C19,'06_Historique'!$A$66:$A$73,0)),'01_Cadrage'!$H$28))*'01_Cadrage'!$H$26,1)</f>
        <v/>
      </c>
      <c r="AH19" s="21">
        <f>AD19*AE19*AF19+AB19*'01_Cadrage'!$H$24</f>
        <v/>
      </c>
      <c r="AI19" s="54">
        <f>IF(AD19&lt;=0,0,MAX(1,ROUNDUP(AD19/O19,0)))</f>
        <v/>
      </c>
      <c r="AJ19" s="21">
        <f>AI19*U19</f>
        <v/>
      </c>
      <c r="AK19" s="21">
        <f>AD19*R19*(1+'01_Cadrage'!$H$20)</f>
        <v/>
      </c>
      <c r="AL19" s="21">
        <f>H19*S19*(1+Y19)</f>
        <v/>
      </c>
      <c r="AM19" s="20">
        <f>AH19-AJ19-AK19-AL19-AD19*'01_Cadrage'!$H$27*(1+'01_Cadrage'!$H$20)</f>
        <v/>
      </c>
      <c r="AN19" s="56">
        <f>IFERROR(AD19/(AI19*O19),0)</f>
        <v/>
      </c>
      <c r="AO19" s="55">
        <f>IFERROR(AM19/AD19,0)</f>
        <v/>
      </c>
      <c r="AP19" s="54">
        <f>IFERROR(AI19*U19/(AE19*AF19-R19*(1+'01_Cadrage'!$H$20)),0)</f>
        <v/>
      </c>
    </row>
    <row r="20">
      <c r="A20" s="51">
        <f>'06_Historique'!A21</f>
        <v/>
      </c>
      <c r="B20" s="10">
        <f>'06_Historique'!B21</f>
        <v/>
      </c>
      <c r="C20" s="51">
        <f>'06_Historique'!C21</f>
        <v/>
      </c>
      <c r="D20" s="10">
        <f>'06_Historique'!E21</f>
        <v/>
      </c>
      <c r="E20" s="10">
        <f>'06_Historique'!F21</f>
        <v/>
      </c>
      <c r="F20" s="52">
        <f>'06_Historique'!G21</f>
        <v/>
      </c>
      <c r="G20" s="52">
        <f>'06_Historique'!K21</f>
        <v/>
      </c>
      <c r="H20" s="52">
        <f>'06_Historique'!I21</f>
        <v/>
      </c>
      <c r="I20" s="52">
        <f>'06_Historique'!J21</f>
        <v/>
      </c>
      <c r="J20" s="52">
        <f>'06_Historique'!H21</f>
        <v/>
      </c>
      <c r="K20" s="52">
        <f>'06_Historique'!L21</f>
        <v/>
      </c>
      <c r="L20" s="53">
        <f>'06_Historique'!M21</f>
        <v/>
      </c>
      <c r="M20" s="52">
        <f>'06_Historique'!N21</f>
        <v/>
      </c>
      <c r="N20" s="9">
        <f>C20&amp;"|"&amp;D20</f>
        <v/>
      </c>
      <c r="O20" s="54">
        <f>INDEX('05_Param_Prog_Annee'!$E$4:$E$23,MATCH(N20,'05_Param_Prog_Annee'!$A$4:$A$23,0))</f>
        <v/>
      </c>
      <c r="P20" s="54">
        <f>INDEX('05_Param_Prog_Annee'!$F$4:$F$23,MATCH(N20,'05_Param_Prog_Annee'!$A$4:$A$23,0))</f>
        <v/>
      </c>
      <c r="Q20" s="55">
        <f>INDEX('05_Param_Prog_Annee'!$G$4:$G$23,MATCH(N20,'05_Param_Prog_Annee'!$A$4:$A$23,0))</f>
        <v/>
      </c>
      <c r="R20" s="55">
        <f>INDEX('05_Param_Prog_Annee'!$H$4:$H$23,MATCH(N20,'05_Param_Prog_Annee'!$A$4:$A$23,0))</f>
        <v/>
      </c>
      <c r="S20" s="55">
        <f>INDEX('05_Param_Prog_Annee'!$I$4:$I$23,MATCH(N20,'05_Param_Prog_Annee'!$A$4:$A$23,0))</f>
        <v/>
      </c>
      <c r="T20" s="56">
        <f>IFERROR(INDEX('05_Param_Prog_Annee'!$J$4:$J$23,MATCH(N20,'05_Param_Prog_Annee'!$A$4:$A$23,0)),0)</f>
        <v/>
      </c>
      <c r="U20" s="55">
        <f>P20*Q20*(1+'01_Cadrage'!$H$21)</f>
        <v/>
      </c>
      <c r="V20" s="46">
        <f>INDEX('01_Cadrage'!$L$7:$L$20,MATCH(A20&amp;"|"&amp;B20,'01_Cadrage'!$O$7:$O$20,0))</f>
        <v/>
      </c>
      <c r="W20" s="46">
        <f>INDEX('01_Cadrage'!$M$7:$M$20,MATCH(A20&amp;"|"&amp;B20,'01_Cadrage'!$O$7:$O$20,0))</f>
        <v/>
      </c>
      <c r="X20" s="46">
        <f>IFERROR(INDEX('06_Historique'!$F$66:$F$73,MATCH(C20,'06_Historique'!$A$66:$A$73,0)),'01_Cadrage'!$H$29)</f>
        <v/>
      </c>
      <c r="Y20" s="56">
        <f>'01_Cadrage'!$H$16*V20</f>
        <v/>
      </c>
      <c r="Z20" s="54">
        <f>IF(F20=1,J20*(1+X20*Y20),0)</f>
        <v/>
      </c>
      <c r="AA20" s="56">
        <f>IF(F20=1,IFERROR(H20/J20,'01_Cadrage'!$H$30)+'01_Cadrage'!$H$18,0)</f>
        <v/>
      </c>
      <c r="AB20" s="54">
        <f>Z20*AA20</f>
        <v/>
      </c>
      <c r="AC20" s="54">
        <f>IF(F20=1,0,K20*(T20+'01_Cadrage'!$H$19))</f>
        <v/>
      </c>
      <c r="AD20" s="57">
        <f>AB20+AC20</f>
        <v/>
      </c>
      <c r="AE20" s="55">
        <f>L20*(1+'01_Cadrage'!$H$17*W20)</f>
        <v/>
      </c>
      <c r="AF20" s="46">
        <f>IF(E20="ALT",'01_Cadrage'!$H$28+(1-'01_Cadrage'!$H$28)*'01_Cadrage'!$H$26,1)</f>
        <v/>
      </c>
      <c r="AG20" s="46">
        <f>IF(E20="ALT",IFERROR(INDEX('06_Historique'!$G$66:$G$73,MATCH(C20,'06_Historique'!$A$66:$A$73,0)),'01_Cadrage'!$H$28)+(1-IFERROR(INDEX('06_Historique'!$G$66:$G$73,MATCH(C20,'06_Historique'!$A$66:$A$73,0)),'01_Cadrage'!$H$28))*'01_Cadrage'!$H$26,1)</f>
        <v/>
      </c>
      <c r="AH20" s="21">
        <f>AD20*AE20*AF20+AB20*'01_Cadrage'!$H$24</f>
        <v/>
      </c>
      <c r="AI20" s="54">
        <f>IF(AD20&lt;=0,0,MAX(1,ROUNDUP(AD20/O20,0)))</f>
        <v/>
      </c>
      <c r="AJ20" s="21">
        <f>AI20*U20</f>
        <v/>
      </c>
      <c r="AK20" s="21">
        <f>AD20*R20*(1+'01_Cadrage'!$H$20)</f>
        <v/>
      </c>
      <c r="AL20" s="21">
        <f>H20*S20*(1+Y20)</f>
        <v/>
      </c>
      <c r="AM20" s="20">
        <f>AH20-AJ20-AK20-AL20-AD20*'01_Cadrage'!$H$27*(1+'01_Cadrage'!$H$20)</f>
        <v/>
      </c>
      <c r="AN20" s="56">
        <f>IFERROR(AD20/(AI20*O20),0)</f>
        <v/>
      </c>
      <c r="AO20" s="55">
        <f>IFERROR(AM20/AD20,0)</f>
        <v/>
      </c>
      <c r="AP20" s="54">
        <f>IFERROR(AI20*U20/(AE20*AF20-R20*(1+'01_Cadrage'!$H$20)),0)</f>
        <v/>
      </c>
    </row>
    <row r="21">
      <c r="A21" s="51">
        <f>'06_Historique'!A22</f>
        <v/>
      </c>
      <c r="B21" s="10">
        <f>'06_Historique'!B22</f>
        <v/>
      </c>
      <c r="C21" s="51">
        <f>'06_Historique'!C22</f>
        <v/>
      </c>
      <c r="D21" s="10">
        <f>'06_Historique'!E22</f>
        <v/>
      </c>
      <c r="E21" s="10">
        <f>'06_Historique'!F22</f>
        <v/>
      </c>
      <c r="F21" s="52">
        <f>'06_Historique'!G22</f>
        <v/>
      </c>
      <c r="G21" s="52">
        <f>'06_Historique'!K22</f>
        <v/>
      </c>
      <c r="H21" s="52">
        <f>'06_Historique'!I22</f>
        <v/>
      </c>
      <c r="I21" s="52">
        <f>'06_Historique'!J22</f>
        <v/>
      </c>
      <c r="J21" s="52">
        <f>'06_Historique'!H22</f>
        <v/>
      </c>
      <c r="K21" s="52">
        <f>'06_Historique'!L22</f>
        <v/>
      </c>
      <c r="L21" s="53">
        <f>'06_Historique'!M22</f>
        <v/>
      </c>
      <c r="M21" s="52">
        <f>'06_Historique'!N22</f>
        <v/>
      </c>
      <c r="N21" s="9">
        <f>C21&amp;"|"&amp;D21</f>
        <v/>
      </c>
      <c r="O21" s="54">
        <f>INDEX('05_Param_Prog_Annee'!$E$4:$E$23,MATCH(N21,'05_Param_Prog_Annee'!$A$4:$A$23,0))</f>
        <v/>
      </c>
      <c r="P21" s="54">
        <f>INDEX('05_Param_Prog_Annee'!$F$4:$F$23,MATCH(N21,'05_Param_Prog_Annee'!$A$4:$A$23,0))</f>
        <v/>
      </c>
      <c r="Q21" s="55">
        <f>INDEX('05_Param_Prog_Annee'!$G$4:$G$23,MATCH(N21,'05_Param_Prog_Annee'!$A$4:$A$23,0))</f>
        <v/>
      </c>
      <c r="R21" s="55">
        <f>INDEX('05_Param_Prog_Annee'!$H$4:$H$23,MATCH(N21,'05_Param_Prog_Annee'!$A$4:$A$23,0))</f>
        <v/>
      </c>
      <c r="S21" s="55">
        <f>INDEX('05_Param_Prog_Annee'!$I$4:$I$23,MATCH(N21,'05_Param_Prog_Annee'!$A$4:$A$23,0))</f>
        <v/>
      </c>
      <c r="T21" s="56">
        <f>IFERROR(INDEX('05_Param_Prog_Annee'!$J$4:$J$23,MATCH(N21,'05_Param_Prog_Annee'!$A$4:$A$23,0)),0)</f>
        <v/>
      </c>
      <c r="U21" s="55">
        <f>P21*Q21*(1+'01_Cadrage'!$H$21)</f>
        <v/>
      </c>
      <c r="V21" s="46">
        <f>INDEX('01_Cadrage'!$L$7:$L$20,MATCH(A21&amp;"|"&amp;B21,'01_Cadrage'!$O$7:$O$20,0))</f>
        <v/>
      </c>
      <c r="W21" s="46">
        <f>INDEX('01_Cadrage'!$M$7:$M$20,MATCH(A21&amp;"|"&amp;B21,'01_Cadrage'!$O$7:$O$20,0))</f>
        <v/>
      </c>
      <c r="X21" s="46">
        <f>IFERROR(INDEX('06_Historique'!$F$66:$F$73,MATCH(C21,'06_Historique'!$A$66:$A$73,0)),'01_Cadrage'!$H$29)</f>
        <v/>
      </c>
      <c r="Y21" s="56">
        <f>'01_Cadrage'!$H$16*V21</f>
        <v/>
      </c>
      <c r="Z21" s="54">
        <f>IF(F21=1,J21*(1+X21*Y21),0)</f>
        <v/>
      </c>
      <c r="AA21" s="56">
        <f>IF(F21=1,IFERROR(H21/J21,'01_Cadrage'!$H$30)+'01_Cadrage'!$H$18,0)</f>
        <v/>
      </c>
      <c r="AB21" s="54">
        <f>Z21*AA21</f>
        <v/>
      </c>
      <c r="AC21" s="54">
        <f>IF(F21=1,0,K21*(T21+'01_Cadrage'!$H$19))</f>
        <v/>
      </c>
      <c r="AD21" s="57">
        <f>AB21+AC21</f>
        <v/>
      </c>
      <c r="AE21" s="55">
        <f>L21*(1+'01_Cadrage'!$H$17*W21)</f>
        <v/>
      </c>
      <c r="AF21" s="46">
        <f>IF(E21="ALT",'01_Cadrage'!$H$28+(1-'01_Cadrage'!$H$28)*'01_Cadrage'!$H$26,1)</f>
        <v/>
      </c>
      <c r="AG21" s="46">
        <f>IF(E21="ALT",IFERROR(INDEX('06_Historique'!$G$66:$G$73,MATCH(C21,'06_Historique'!$A$66:$A$73,0)),'01_Cadrage'!$H$28)+(1-IFERROR(INDEX('06_Historique'!$G$66:$G$73,MATCH(C21,'06_Historique'!$A$66:$A$73,0)),'01_Cadrage'!$H$28))*'01_Cadrage'!$H$26,1)</f>
        <v/>
      </c>
      <c r="AH21" s="21">
        <f>AD21*AE21*AF21+AB21*'01_Cadrage'!$H$24</f>
        <v/>
      </c>
      <c r="AI21" s="54">
        <f>IF(AD21&lt;=0,0,MAX(1,ROUNDUP(AD21/O21,0)))</f>
        <v/>
      </c>
      <c r="AJ21" s="21">
        <f>AI21*U21</f>
        <v/>
      </c>
      <c r="AK21" s="21">
        <f>AD21*R21*(1+'01_Cadrage'!$H$20)</f>
        <v/>
      </c>
      <c r="AL21" s="21">
        <f>H21*S21*(1+Y21)</f>
        <v/>
      </c>
      <c r="AM21" s="20">
        <f>AH21-AJ21-AK21-AL21-AD21*'01_Cadrage'!$H$27*(1+'01_Cadrage'!$H$20)</f>
        <v/>
      </c>
      <c r="AN21" s="56">
        <f>IFERROR(AD21/(AI21*O21),0)</f>
        <v/>
      </c>
      <c r="AO21" s="55">
        <f>IFERROR(AM21/AD21,0)</f>
        <v/>
      </c>
      <c r="AP21" s="54">
        <f>IFERROR(AI21*U21/(AE21*AF21-R21*(1+'01_Cadrage'!$H$20)),0)</f>
        <v/>
      </c>
    </row>
    <row r="22">
      <c r="A22" s="51">
        <f>'06_Historique'!A23</f>
        <v/>
      </c>
      <c r="B22" s="10">
        <f>'06_Historique'!B23</f>
        <v/>
      </c>
      <c r="C22" s="51">
        <f>'06_Historique'!C23</f>
        <v/>
      </c>
      <c r="D22" s="10">
        <f>'06_Historique'!E23</f>
        <v/>
      </c>
      <c r="E22" s="10">
        <f>'06_Historique'!F23</f>
        <v/>
      </c>
      <c r="F22" s="52">
        <f>'06_Historique'!G23</f>
        <v/>
      </c>
      <c r="G22" s="52">
        <f>'06_Historique'!K23</f>
        <v/>
      </c>
      <c r="H22" s="52">
        <f>'06_Historique'!I23</f>
        <v/>
      </c>
      <c r="I22" s="52">
        <f>'06_Historique'!J23</f>
        <v/>
      </c>
      <c r="J22" s="52">
        <f>'06_Historique'!H23</f>
        <v/>
      </c>
      <c r="K22" s="52">
        <f>'06_Historique'!L23</f>
        <v/>
      </c>
      <c r="L22" s="53">
        <f>'06_Historique'!M23</f>
        <v/>
      </c>
      <c r="M22" s="52">
        <f>'06_Historique'!N23</f>
        <v/>
      </c>
      <c r="N22" s="9">
        <f>C22&amp;"|"&amp;D22</f>
        <v/>
      </c>
      <c r="O22" s="54">
        <f>INDEX('05_Param_Prog_Annee'!$E$4:$E$23,MATCH(N22,'05_Param_Prog_Annee'!$A$4:$A$23,0))</f>
        <v/>
      </c>
      <c r="P22" s="54">
        <f>INDEX('05_Param_Prog_Annee'!$F$4:$F$23,MATCH(N22,'05_Param_Prog_Annee'!$A$4:$A$23,0))</f>
        <v/>
      </c>
      <c r="Q22" s="55">
        <f>INDEX('05_Param_Prog_Annee'!$G$4:$G$23,MATCH(N22,'05_Param_Prog_Annee'!$A$4:$A$23,0))</f>
        <v/>
      </c>
      <c r="R22" s="55">
        <f>INDEX('05_Param_Prog_Annee'!$H$4:$H$23,MATCH(N22,'05_Param_Prog_Annee'!$A$4:$A$23,0))</f>
        <v/>
      </c>
      <c r="S22" s="55">
        <f>INDEX('05_Param_Prog_Annee'!$I$4:$I$23,MATCH(N22,'05_Param_Prog_Annee'!$A$4:$A$23,0))</f>
        <v/>
      </c>
      <c r="T22" s="56">
        <f>IFERROR(INDEX('05_Param_Prog_Annee'!$J$4:$J$23,MATCH(N22,'05_Param_Prog_Annee'!$A$4:$A$23,0)),0)</f>
        <v/>
      </c>
      <c r="U22" s="55">
        <f>P22*Q22*(1+'01_Cadrage'!$H$21)</f>
        <v/>
      </c>
      <c r="V22" s="46">
        <f>INDEX('01_Cadrage'!$L$7:$L$20,MATCH(A22&amp;"|"&amp;B22,'01_Cadrage'!$O$7:$O$20,0))</f>
        <v/>
      </c>
      <c r="W22" s="46">
        <f>INDEX('01_Cadrage'!$M$7:$M$20,MATCH(A22&amp;"|"&amp;B22,'01_Cadrage'!$O$7:$O$20,0))</f>
        <v/>
      </c>
      <c r="X22" s="46">
        <f>IFERROR(INDEX('06_Historique'!$F$66:$F$73,MATCH(C22,'06_Historique'!$A$66:$A$73,0)),'01_Cadrage'!$H$29)</f>
        <v/>
      </c>
      <c r="Y22" s="56">
        <f>'01_Cadrage'!$H$16*V22</f>
        <v/>
      </c>
      <c r="Z22" s="54">
        <f>IF(F22=1,J22*(1+X22*Y22),0)</f>
        <v/>
      </c>
      <c r="AA22" s="56">
        <f>IF(F22=1,IFERROR(H22/J22,'01_Cadrage'!$H$30)+'01_Cadrage'!$H$18,0)</f>
        <v/>
      </c>
      <c r="AB22" s="54">
        <f>Z22*AA22</f>
        <v/>
      </c>
      <c r="AC22" s="54">
        <f>IF(F22=1,0,K22*(T22+'01_Cadrage'!$H$19))</f>
        <v/>
      </c>
      <c r="AD22" s="57">
        <f>AB22+AC22</f>
        <v/>
      </c>
      <c r="AE22" s="55">
        <f>L22*(1+'01_Cadrage'!$H$17*W22)</f>
        <v/>
      </c>
      <c r="AF22" s="46">
        <f>IF(E22="ALT",'01_Cadrage'!$H$28+(1-'01_Cadrage'!$H$28)*'01_Cadrage'!$H$26,1)</f>
        <v/>
      </c>
      <c r="AG22" s="46">
        <f>IF(E22="ALT",IFERROR(INDEX('06_Historique'!$G$66:$G$73,MATCH(C22,'06_Historique'!$A$66:$A$73,0)),'01_Cadrage'!$H$28)+(1-IFERROR(INDEX('06_Historique'!$G$66:$G$73,MATCH(C22,'06_Historique'!$A$66:$A$73,0)),'01_Cadrage'!$H$28))*'01_Cadrage'!$H$26,1)</f>
        <v/>
      </c>
      <c r="AH22" s="21">
        <f>AD22*AE22*AF22+AB22*'01_Cadrage'!$H$24</f>
        <v/>
      </c>
      <c r="AI22" s="54">
        <f>IF(AD22&lt;=0,0,MAX(1,ROUNDUP(AD22/O22,0)))</f>
        <v/>
      </c>
      <c r="AJ22" s="21">
        <f>AI22*U22</f>
        <v/>
      </c>
      <c r="AK22" s="21">
        <f>AD22*R22*(1+'01_Cadrage'!$H$20)</f>
        <v/>
      </c>
      <c r="AL22" s="21">
        <f>H22*S22*(1+Y22)</f>
        <v/>
      </c>
      <c r="AM22" s="20">
        <f>AH22-AJ22-AK22-AL22-AD22*'01_Cadrage'!$H$27*(1+'01_Cadrage'!$H$20)</f>
        <v/>
      </c>
      <c r="AN22" s="56">
        <f>IFERROR(AD22/(AI22*O22),0)</f>
        <v/>
      </c>
      <c r="AO22" s="55">
        <f>IFERROR(AM22/AD22,0)</f>
        <v/>
      </c>
      <c r="AP22" s="54">
        <f>IFERROR(AI22*U22/(AE22*AF22-R22*(1+'01_Cadrage'!$H$20)),0)</f>
        <v/>
      </c>
    </row>
    <row r="23">
      <c r="A23" s="51">
        <f>'06_Historique'!A24</f>
        <v/>
      </c>
      <c r="B23" s="10">
        <f>'06_Historique'!B24</f>
        <v/>
      </c>
      <c r="C23" s="51">
        <f>'06_Historique'!C24</f>
        <v/>
      </c>
      <c r="D23" s="10">
        <f>'06_Historique'!E24</f>
        <v/>
      </c>
      <c r="E23" s="10">
        <f>'06_Historique'!F24</f>
        <v/>
      </c>
      <c r="F23" s="52">
        <f>'06_Historique'!G24</f>
        <v/>
      </c>
      <c r="G23" s="52">
        <f>'06_Historique'!K24</f>
        <v/>
      </c>
      <c r="H23" s="52">
        <f>'06_Historique'!I24</f>
        <v/>
      </c>
      <c r="I23" s="52">
        <f>'06_Historique'!J24</f>
        <v/>
      </c>
      <c r="J23" s="52">
        <f>'06_Historique'!H24</f>
        <v/>
      </c>
      <c r="K23" s="52">
        <f>'06_Historique'!L24</f>
        <v/>
      </c>
      <c r="L23" s="53">
        <f>'06_Historique'!M24</f>
        <v/>
      </c>
      <c r="M23" s="52">
        <f>'06_Historique'!N24</f>
        <v/>
      </c>
      <c r="N23" s="9">
        <f>C23&amp;"|"&amp;D23</f>
        <v/>
      </c>
      <c r="O23" s="54">
        <f>INDEX('05_Param_Prog_Annee'!$E$4:$E$23,MATCH(N23,'05_Param_Prog_Annee'!$A$4:$A$23,0))</f>
        <v/>
      </c>
      <c r="P23" s="54">
        <f>INDEX('05_Param_Prog_Annee'!$F$4:$F$23,MATCH(N23,'05_Param_Prog_Annee'!$A$4:$A$23,0))</f>
        <v/>
      </c>
      <c r="Q23" s="55">
        <f>INDEX('05_Param_Prog_Annee'!$G$4:$G$23,MATCH(N23,'05_Param_Prog_Annee'!$A$4:$A$23,0))</f>
        <v/>
      </c>
      <c r="R23" s="55">
        <f>INDEX('05_Param_Prog_Annee'!$H$4:$H$23,MATCH(N23,'05_Param_Prog_Annee'!$A$4:$A$23,0))</f>
        <v/>
      </c>
      <c r="S23" s="55">
        <f>INDEX('05_Param_Prog_Annee'!$I$4:$I$23,MATCH(N23,'05_Param_Prog_Annee'!$A$4:$A$23,0))</f>
        <v/>
      </c>
      <c r="T23" s="56">
        <f>IFERROR(INDEX('05_Param_Prog_Annee'!$J$4:$J$23,MATCH(N23,'05_Param_Prog_Annee'!$A$4:$A$23,0)),0)</f>
        <v/>
      </c>
      <c r="U23" s="55">
        <f>P23*Q23*(1+'01_Cadrage'!$H$21)</f>
        <v/>
      </c>
      <c r="V23" s="46">
        <f>INDEX('01_Cadrage'!$L$7:$L$20,MATCH(A23&amp;"|"&amp;B23,'01_Cadrage'!$O$7:$O$20,0))</f>
        <v/>
      </c>
      <c r="W23" s="46">
        <f>INDEX('01_Cadrage'!$M$7:$M$20,MATCH(A23&amp;"|"&amp;B23,'01_Cadrage'!$O$7:$O$20,0))</f>
        <v/>
      </c>
      <c r="X23" s="46">
        <f>IFERROR(INDEX('06_Historique'!$F$66:$F$73,MATCH(C23,'06_Historique'!$A$66:$A$73,0)),'01_Cadrage'!$H$29)</f>
        <v/>
      </c>
      <c r="Y23" s="56">
        <f>'01_Cadrage'!$H$16*V23</f>
        <v/>
      </c>
      <c r="Z23" s="54">
        <f>IF(F23=1,J23*(1+X23*Y23),0)</f>
        <v/>
      </c>
      <c r="AA23" s="56">
        <f>IF(F23=1,IFERROR(H23/J23,'01_Cadrage'!$H$30)+'01_Cadrage'!$H$18,0)</f>
        <v/>
      </c>
      <c r="AB23" s="54">
        <f>Z23*AA23</f>
        <v/>
      </c>
      <c r="AC23" s="54">
        <f>IF(F23=1,0,K23*(T23+'01_Cadrage'!$H$19))</f>
        <v/>
      </c>
      <c r="AD23" s="57">
        <f>AB23+AC23</f>
        <v/>
      </c>
      <c r="AE23" s="55">
        <f>L23*(1+'01_Cadrage'!$H$17*W23)</f>
        <v/>
      </c>
      <c r="AF23" s="46">
        <f>IF(E23="ALT",'01_Cadrage'!$H$28+(1-'01_Cadrage'!$H$28)*'01_Cadrage'!$H$26,1)</f>
        <v/>
      </c>
      <c r="AG23" s="46">
        <f>IF(E23="ALT",IFERROR(INDEX('06_Historique'!$G$66:$G$73,MATCH(C23,'06_Historique'!$A$66:$A$73,0)),'01_Cadrage'!$H$28)+(1-IFERROR(INDEX('06_Historique'!$G$66:$G$73,MATCH(C23,'06_Historique'!$A$66:$A$73,0)),'01_Cadrage'!$H$28))*'01_Cadrage'!$H$26,1)</f>
        <v/>
      </c>
      <c r="AH23" s="21">
        <f>AD23*AE23*AF23+AB23*'01_Cadrage'!$H$24</f>
        <v/>
      </c>
      <c r="AI23" s="54">
        <f>IF(AD23&lt;=0,0,MAX(1,ROUNDUP(AD23/O23,0)))</f>
        <v/>
      </c>
      <c r="AJ23" s="21">
        <f>AI23*U23</f>
        <v/>
      </c>
      <c r="AK23" s="21">
        <f>AD23*R23*(1+'01_Cadrage'!$H$20)</f>
        <v/>
      </c>
      <c r="AL23" s="21">
        <f>H23*S23*(1+Y23)</f>
        <v/>
      </c>
      <c r="AM23" s="20">
        <f>AH23-AJ23-AK23-AL23-AD23*'01_Cadrage'!$H$27*(1+'01_Cadrage'!$H$20)</f>
        <v/>
      </c>
      <c r="AN23" s="56">
        <f>IFERROR(AD23/(AI23*O23),0)</f>
        <v/>
      </c>
      <c r="AO23" s="55">
        <f>IFERROR(AM23/AD23,0)</f>
        <v/>
      </c>
      <c r="AP23" s="54">
        <f>IFERROR(AI23*U23/(AE23*AF23-R23*(1+'01_Cadrage'!$H$20)),0)</f>
        <v/>
      </c>
    </row>
    <row r="24">
      <c r="A24" s="51">
        <f>'06_Historique'!A25</f>
        <v/>
      </c>
      <c r="B24" s="10">
        <f>'06_Historique'!B25</f>
        <v/>
      </c>
      <c r="C24" s="51">
        <f>'06_Historique'!C25</f>
        <v/>
      </c>
      <c r="D24" s="10">
        <f>'06_Historique'!E25</f>
        <v/>
      </c>
      <c r="E24" s="10">
        <f>'06_Historique'!F25</f>
        <v/>
      </c>
      <c r="F24" s="52">
        <f>'06_Historique'!G25</f>
        <v/>
      </c>
      <c r="G24" s="52">
        <f>'06_Historique'!K25</f>
        <v/>
      </c>
      <c r="H24" s="52">
        <f>'06_Historique'!I25</f>
        <v/>
      </c>
      <c r="I24" s="52">
        <f>'06_Historique'!J25</f>
        <v/>
      </c>
      <c r="J24" s="52">
        <f>'06_Historique'!H25</f>
        <v/>
      </c>
      <c r="K24" s="52">
        <f>'06_Historique'!L25</f>
        <v/>
      </c>
      <c r="L24" s="53">
        <f>'06_Historique'!M25</f>
        <v/>
      </c>
      <c r="M24" s="52">
        <f>'06_Historique'!N25</f>
        <v/>
      </c>
      <c r="N24" s="9">
        <f>C24&amp;"|"&amp;D24</f>
        <v/>
      </c>
      <c r="O24" s="54">
        <f>INDEX('05_Param_Prog_Annee'!$E$4:$E$23,MATCH(N24,'05_Param_Prog_Annee'!$A$4:$A$23,0))</f>
        <v/>
      </c>
      <c r="P24" s="54">
        <f>INDEX('05_Param_Prog_Annee'!$F$4:$F$23,MATCH(N24,'05_Param_Prog_Annee'!$A$4:$A$23,0))</f>
        <v/>
      </c>
      <c r="Q24" s="55">
        <f>INDEX('05_Param_Prog_Annee'!$G$4:$G$23,MATCH(N24,'05_Param_Prog_Annee'!$A$4:$A$23,0))</f>
        <v/>
      </c>
      <c r="R24" s="55">
        <f>INDEX('05_Param_Prog_Annee'!$H$4:$H$23,MATCH(N24,'05_Param_Prog_Annee'!$A$4:$A$23,0))</f>
        <v/>
      </c>
      <c r="S24" s="55">
        <f>INDEX('05_Param_Prog_Annee'!$I$4:$I$23,MATCH(N24,'05_Param_Prog_Annee'!$A$4:$A$23,0))</f>
        <v/>
      </c>
      <c r="T24" s="56">
        <f>IFERROR(INDEX('05_Param_Prog_Annee'!$J$4:$J$23,MATCH(N24,'05_Param_Prog_Annee'!$A$4:$A$23,0)),0)</f>
        <v/>
      </c>
      <c r="U24" s="55">
        <f>P24*Q24*(1+'01_Cadrage'!$H$21)</f>
        <v/>
      </c>
      <c r="V24" s="46">
        <f>INDEX('01_Cadrage'!$L$7:$L$20,MATCH(A24&amp;"|"&amp;B24,'01_Cadrage'!$O$7:$O$20,0))</f>
        <v/>
      </c>
      <c r="W24" s="46">
        <f>INDEX('01_Cadrage'!$M$7:$M$20,MATCH(A24&amp;"|"&amp;B24,'01_Cadrage'!$O$7:$O$20,0))</f>
        <v/>
      </c>
      <c r="X24" s="46">
        <f>IFERROR(INDEX('06_Historique'!$F$66:$F$73,MATCH(C24,'06_Historique'!$A$66:$A$73,0)),'01_Cadrage'!$H$29)</f>
        <v/>
      </c>
      <c r="Y24" s="56">
        <f>'01_Cadrage'!$H$16*V24</f>
        <v/>
      </c>
      <c r="Z24" s="54">
        <f>IF(F24=1,J24*(1+X24*Y24),0)</f>
        <v/>
      </c>
      <c r="AA24" s="56">
        <f>IF(F24=1,IFERROR(H24/J24,'01_Cadrage'!$H$30)+'01_Cadrage'!$H$18,0)</f>
        <v/>
      </c>
      <c r="AB24" s="54">
        <f>Z24*AA24</f>
        <v/>
      </c>
      <c r="AC24" s="54">
        <f>IF(F24=1,0,K24*(T24+'01_Cadrage'!$H$19))</f>
        <v/>
      </c>
      <c r="AD24" s="57">
        <f>AB24+AC24</f>
        <v/>
      </c>
      <c r="AE24" s="55">
        <f>L24*(1+'01_Cadrage'!$H$17*W24)</f>
        <v/>
      </c>
      <c r="AF24" s="46">
        <f>IF(E24="ALT",'01_Cadrage'!$H$28+(1-'01_Cadrage'!$H$28)*'01_Cadrage'!$H$26,1)</f>
        <v/>
      </c>
      <c r="AG24" s="46">
        <f>IF(E24="ALT",IFERROR(INDEX('06_Historique'!$G$66:$G$73,MATCH(C24,'06_Historique'!$A$66:$A$73,0)),'01_Cadrage'!$H$28)+(1-IFERROR(INDEX('06_Historique'!$G$66:$G$73,MATCH(C24,'06_Historique'!$A$66:$A$73,0)),'01_Cadrage'!$H$28))*'01_Cadrage'!$H$26,1)</f>
        <v/>
      </c>
      <c r="AH24" s="21">
        <f>AD24*AE24*AF24+AB24*'01_Cadrage'!$H$24</f>
        <v/>
      </c>
      <c r="AI24" s="54">
        <f>IF(AD24&lt;=0,0,MAX(1,ROUNDUP(AD24/O24,0)))</f>
        <v/>
      </c>
      <c r="AJ24" s="21">
        <f>AI24*U24</f>
        <v/>
      </c>
      <c r="AK24" s="21">
        <f>AD24*R24*(1+'01_Cadrage'!$H$20)</f>
        <v/>
      </c>
      <c r="AL24" s="21">
        <f>H24*S24*(1+Y24)</f>
        <v/>
      </c>
      <c r="AM24" s="20">
        <f>AH24-AJ24-AK24-AL24-AD24*'01_Cadrage'!$H$27*(1+'01_Cadrage'!$H$20)</f>
        <v/>
      </c>
      <c r="AN24" s="56">
        <f>IFERROR(AD24/(AI24*O24),0)</f>
        <v/>
      </c>
      <c r="AO24" s="55">
        <f>IFERROR(AM24/AD24,0)</f>
        <v/>
      </c>
      <c r="AP24" s="54">
        <f>IFERROR(AI24*U24/(AE24*AF24-R24*(1+'01_Cadrage'!$H$20)),0)</f>
        <v/>
      </c>
    </row>
    <row r="25">
      <c r="A25" s="51">
        <f>'06_Historique'!A26</f>
        <v/>
      </c>
      <c r="B25" s="10">
        <f>'06_Historique'!B26</f>
        <v/>
      </c>
      <c r="C25" s="51">
        <f>'06_Historique'!C26</f>
        <v/>
      </c>
      <c r="D25" s="10">
        <f>'06_Historique'!E26</f>
        <v/>
      </c>
      <c r="E25" s="10">
        <f>'06_Historique'!F26</f>
        <v/>
      </c>
      <c r="F25" s="52">
        <f>'06_Historique'!G26</f>
        <v/>
      </c>
      <c r="G25" s="52">
        <f>'06_Historique'!K26</f>
        <v/>
      </c>
      <c r="H25" s="52">
        <f>'06_Historique'!I26</f>
        <v/>
      </c>
      <c r="I25" s="52">
        <f>'06_Historique'!J26</f>
        <v/>
      </c>
      <c r="J25" s="52">
        <f>'06_Historique'!H26</f>
        <v/>
      </c>
      <c r="K25" s="52">
        <f>'06_Historique'!L26</f>
        <v/>
      </c>
      <c r="L25" s="53">
        <f>'06_Historique'!M26</f>
        <v/>
      </c>
      <c r="M25" s="52">
        <f>'06_Historique'!N26</f>
        <v/>
      </c>
      <c r="N25" s="9">
        <f>C25&amp;"|"&amp;D25</f>
        <v/>
      </c>
      <c r="O25" s="54">
        <f>INDEX('05_Param_Prog_Annee'!$E$4:$E$23,MATCH(N25,'05_Param_Prog_Annee'!$A$4:$A$23,0))</f>
        <v/>
      </c>
      <c r="P25" s="54">
        <f>INDEX('05_Param_Prog_Annee'!$F$4:$F$23,MATCH(N25,'05_Param_Prog_Annee'!$A$4:$A$23,0))</f>
        <v/>
      </c>
      <c r="Q25" s="55">
        <f>INDEX('05_Param_Prog_Annee'!$G$4:$G$23,MATCH(N25,'05_Param_Prog_Annee'!$A$4:$A$23,0))</f>
        <v/>
      </c>
      <c r="R25" s="55">
        <f>INDEX('05_Param_Prog_Annee'!$H$4:$H$23,MATCH(N25,'05_Param_Prog_Annee'!$A$4:$A$23,0))</f>
        <v/>
      </c>
      <c r="S25" s="55">
        <f>INDEX('05_Param_Prog_Annee'!$I$4:$I$23,MATCH(N25,'05_Param_Prog_Annee'!$A$4:$A$23,0))</f>
        <v/>
      </c>
      <c r="T25" s="56">
        <f>IFERROR(INDEX('05_Param_Prog_Annee'!$J$4:$J$23,MATCH(N25,'05_Param_Prog_Annee'!$A$4:$A$23,0)),0)</f>
        <v/>
      </c>
      <c r="U25" s="55">
        <f>P25*Q25*(1+'01_Cadrage'!$H$21)</f>
        <v/>
      </c>
      <c r="V25" s="46">
        <f>INDEX('01_Cadrage'!$L$7:$L$20,MATCH(A25&amp;"|"&amp;B25,'01_Cadrage'!$O$7:$O$20,0))</f>
        <v/>
      </c>
      <c r="W25" s="46">
        <f>INDEX('01_Cadrage'!$M$7:$M$20,MATCH(A25&amp;"|"&amp;B25,'01_Cadrage'!$O$7:$O$20,0))</f>
        <v/>
      </c>
      <c r="X25" s="46">
        <f>IFERROR(INDEX('06_Historique'!$F$66:$F$73,MATCH(C25,'06_Historique'!$A$66:$A$73,0)),'01_Cadrage'!$H$29)</f>
        <v/>
      </c>
      <c r="Y25" s="56">
        <f>'01_Cadrage'!$H$16*V25</f>
        <v/>
      </c>
      <c r="Z25" s="54">
        <f>IF(F25=1,J25*(1+X25*Y25),0)</f>
        <v/>
      </c>
      <c r="AA25" s="56">
        <f>IF(F25=1,IFERROR(H25/J25,'01_Cadrage'!$H$30)+'01_Cadrage'!$H$18,0)</f>
        <v/>
      </c>
      <c r="AB25" s="54">
        <f>Z25*AA25</f>
        <v/>
      </c>
      <c r="AC25" s="54">
        <f>IF(F25=1,0,K25*(T25+'01_Cadrage'!$H$19))</f>
        <v/>
      </c>
      <c r="AD25" s="57">
        <f>AB25+AC25</f>
        <v/>
      </c>
      <c r="AE25" s="55">
        <f>L25*(1+'01_Cadrage'!$H$17*W25)</f>
        <v/>
      </c>
      <c r="AF25" s="46">
        <f>IF(E25="ALT",'01_Cadrage'!$H$28+(1-'01_Cadrage'!$H$28)*'01_Cadrage'!$H$26,1)</f>
        <v/>
      </c>
      <c r="AG25" s="46">
        <f>IF(E25="ALT",IFERROR(INDEX('06_Historique'!$G$66:$G$73,MATCH(C25,'06_Historique'!$A$66:$A$73,0)),'01_Cadrage'!$H$28)+(1-IFERROR(INDEX('06_Historique'!$G$66:$G$73,MATCH(C25,'06_Historique'!$A$66:$A$73,0)),'01_Cadrage'!$H$28))*'01_Cadrage'!$H$26,1)</f>
        <v/>
      </c>
      <c r="AH25" s="21">
        <f>AD25*AE25*AF25+AB25*'01_Cadrage'!$H$24</f>
        <v/>
      </c>
      <c r="AI25" s="54">
        <f>IF(AD25&lt;=0,0,MAX(1,ROUNDUP(AD25/O25,0)))</f>
        <v/>
      </c>
      <c r="AJ25" s="21">
        <f>AI25*U25</f>
        <v/>
      </c>
      <c r="AK25" s="21">
        <f>AD25*R25*(1+'01_Cadrage'!$H$20)</f>
        <v/>
      </c>
      <c r="AL25" s="21">
        <f>H25*S25*(1+Y25)</f>
        <v/>
      </c>
      <c r="AM25" s="20">
        <f>AH25-AJ25-AK25-AL25-AD25*'01_Cadrage'!$H$27*(1+'01_Cadrage'!$H$20)</f>
        <v/>
      </c>
      <c r="AN25" s="56">
        <f>IFERROR(AD25/(AI25*O25),0)</f>
        <v/>
      </c>
      <c r="AO25" s="55">
        <f>IFERROR(AM25/AD25,0)</f>
        <v/>
      </c>
      <c r="AP25" s="54">
        <f>IFERROR(AI25*U25/(AE25*AF25-R25*(1+'01_Cadrage'!$H$20)),0)</f>
        <v/>
      </c>
    </row>
    <row r="26">
      <c r="A26" s="51">
        <f>'06_Historique'!A27</f>
        <v/>
      </c>
      <c r="B26" s="10">
        <f>'06_Historique'!B27</f>
        <v/>
      </c>
      <c r="C26" s="51">
        <f>'06_Historique'!C27</f>
        <v/>
      </c>
      <c r="D26" s="10">
        <f>'06_Historique'!E27</f>
        <v/>
      </c>
      <c r="E26" s="10">
        <f>'06_Historique'!F27</f>
        <v/>
      </c>
      <c r="F26" s="52">
        <f>'06_Historique'!G27</f>
        <v/>
      </c>
      <c r="G26" s="52">
        <f>'06_Historique'!K27</f>
        <v/>
      </c>
      <c r="H26" s="52">
        <f>'06_Historique'!I27</f>
        <v/>
      </c>
      <c r="I26" s="52">
        <f>'06_Historique'!J27</f>
        <v/>
      </c>
      <c r="J26" s="52">
        <f>'06_Historique'!H27</f>
        <v/>
      </c>
      <c r="K26" s="52">
        <f>'06_Historique'!L27</f>
        <v/>
      </c>
      <c r="L26" s="53">
        <f>'06_Historique'!M27</f>
        <v/>
      </c>
      <c r="M26" s="52">
        <f>'06_Historique'!N27</f>
        <v/>
      </c>
      <c r="N26" s="9">
        <f>C26&amp;"|"&amp;D26</f>
        <v/>
      </c>
      <c r="O26" s="54">
        <f>INDEX('05_Param_Prog_Annee'!$E$4:$E$23,MATCH(N26,'05_Param_Prog_Annee'!$A$4:$A$23,0))</f>
        <v/>
      </c>
      <c r="P26" s="54">
        <f>INDEX('05_Param_Prog_Annee'!$F$4:$F$23,MATCH(N26,'05_Param_Prog_Annee'!$A$4:$A$23,0))</f>
        <v/>
      </c>
      <c r="Q26" s="55">
        <f>INDEX('05_Param_Prog_Annee'!$G$4:$G$23,MATCH(N26,'05_Param_Prog_Annee'!$A$4:$A$23,0))</f>
        <v/>
      </c>
      <c r="R26" s="55">
        <f>INDEX('05_Param_Prog_Annee'!$H$4:$H$23,MATCH(N26,'05_Param_Prog_Annee'!$A$4:$A$23,0))</f>
        <v/>
      </c>
      <c r="S26" s="55">
        <f>INDEX('05_Param_Prog_Annee'!$I$4:$I$23,MATCH(N26,'05_Param_Prog_Annee'!$A$4:$A$23,0))</f>
        <v/>
      </c>
      <c r="T26" s="56">
        <f>IFERROR(INDEX('05_Param_Prog_Annee'!$J$4:$J$23,MATCH(N26,'05_Param_Prog_Annee'!$A$4:$A$23,0)),0)</f>
        <v/>
      </c>
      <c r="U26" s="55">
        <f>P26*Q26*(1+'01_Cadrage'!$H$21)</f>
        <v/>
      </c>
      <c r="V26" s="46">
        <f>INDEX('01_Cadrage'!$L$7:$L$20,MATCH(A26&amp;"|"&amp;B26,'01_Cadrage'!$O$7:$O$20,0))</f>
        <v/>
      </c>
      <c r="W26" s="46">
        <f>INDEX('01_Cadrage'!$M$7:$M$20,MATCH(A26&amp;"|"&amp;B26,'01_Cadrage'!$O$7:$O$20,0))</f>
        <v/>
      </c>
      <c r="X26" s="46">
        <f>IFERROR(INDEX('06_Historique'!$F$66:$F$73,MATCH(C26,'06_Historique'!$A$66:$A$73,0)),'01_Cadrage'!$H$29)</f>
        <v/>
      </c>
      <c r="Y26" s="56">
        <f>'01_Cadrage'!$H$16*V26</f>
        <v/>
      </c>
      <c r="Z26" s="54">
        <f>IF(F26=1,J26*(1+X26*Y26),0)</f>
        <v/>
      </c>
      <c r="AA26" s="56">
        <f>IF(F26=1,IFERROR(H26/J26,'01_Cadrage'!$H$30)+'01_Cadrage'!$H$18,0)</f>
        <v/>
      </c>
      <c r="AB26" s="54">
        <f>Z26*AA26</f>
        <v/>
      </c>
      <c r="AC26" s="54">
        <f>IF(F26=1,0,K26*(T26+'01_Cadrage'!$H$19))</f>
        <v/>
      </c>
      <c r="AD26" s="57">
        <f>AB26+AC26</f>
        <v/>
      </c>
      <c r="AE26" s="55">
        <f>L26*(1+'01_Cadrage'!$H$17*W26)</f>
        <v/>
      </c>
      <c r="AF26" s="46">
        <f>IF(E26="ALT",'01_Cadrage'!$H$28+(1-'01_Cadrage'!$H$28)*'01_Cadrage'!$H$26,1)</f>
        <v/>
      </c>
      <c r="AG26" s="46">
        <f>IF(E26="ALT",IFERROR(INDEX('06_Historique'!$G$66:$G$73,MATCH(C26,'06_Historique'!$A$66:$A$73,0)),'01_Cadrage'!$H$28)+(1-IFERROR(INDEX('06_Historique'!$G$66:$G$73,MATCH(C26,'06_Historique'!$A$66:$A$73,0)),'01_Cadrage'!$H$28))*'01_Cadrage'!$H$26,1)</f>
        <v/>
      </c>
      <c r="AH26" s="21">
        <f>AD26*AE26*AF26+AB26*'01_Cadrage'!$H$24</f>
        <v/>
      </c>
      <c r="AI26" s="54">
        <f>IF(AD26&lt;=0,0,MAX(1,ROUNDUP(AD26/O26,0)))</f>
        <v/>
      </c>
      <c r="AJ26" s="21">
        <f>AI26*U26</f>
        <v/>
      </c>
      <c r="AK26" s="21">
        <f>AD26*R26*(1+'01_Cadrage'!$H$20)</f>
        <v/>
      </c>
      <c r="AL26" s="21">
        <f>H26*S26*(1+Y26)</f>
        <v/>
      </c>
      <c r="AM26" s="20">
        <f>AH26-AJ26-AK26-AL26-AD26*'01_Cadrage'!$H$27*(1+'01_Cadrage'!$H$20)</f>
        <v/>
      </c>
      <c r="AN26" s="56">
        <f>IFERROR(AD26/(AI26*O26),0)</f>
        <v/>
      </c>
      <c r="AO26" s="55">
        <f>IFERROR(AM26/AD26,0)</f>
        <v/>
      </c>
      <c r="AP26" s="54">
        <f>IFERROR(AI26*U26/(AE26*AF26-R26*(1+'01_Cadrage'!$H$20)),0)</f>
        <v/>
      </c>
    </row>
    <row r="27">
      <c r="A27" s="51">
        <f>'06_Historique'!A28</f>
        <v/>
      </c>
      <c r="B27" s="10">
        <f>'06_Historique'!B28</f>
        <v/>
      </c>
      <c r="C27" s="51">
        <f>'06_Historique'!C28</f>
        <v/>
      </c>
      <c r="D27" s="10">
        <f>'06_Historique'!E28</f>
        <v/>
      </c>
      <c r="E27" s="10">
        <f>'06_Historique'!F28</f>
        <v/>
      </c>
      <c r="F27" s="52">
        <f>'06_Historique'!G28</f>
        <v/>
      </c>
      <c r="G27" s="52">
        <f>'06_Historique'!K28</f>
        <v/>
      </c>
      <c r="H27" s="52">
        <f>'06_Historique'!I28</f>
        <v/>
      </c>
      <c r="I27" s="52">
        <f>'06_Historique'!J28</f>
        <v/>
      </c>
      <c r="J27" s="52">
        <f>'06_Historique'!H28</f>
        <v/>
      </c>
      <c r="K27" s="52">
        <f>'06_Historique'!L28</f>
        <v/>
      </c>
      <c r="L27" s="53">
        <f>'06_Historique'!M28</f>
        <v/>
      </c>
      <c r="M27" s="52">
        <f>'06_Historique'!N28</f>
        <v/>
      </c>
      <c r="N27" s="9">
        <f>C27&amp;"|"&amp;D27</f>
        <v/>
      </c>
      <c r="O27" s="54">
        <f>INDEX('05_Param_Prog_Annee'!$E$4:$E$23,MATCH(N27,'05_Param_Prog_Annee'!$A$4:$A$23,0))</f>
        <v/>
      </c>
      <c r="P27" s="54">
        <f>INDEX('05_Param_Prog_Annee'!$F$4:$F$23,MATCH(N27,'05_Param_Prog_Annee'!$A$4:$A$23,0))</f>
        <v/>
      </c>
      <c r="Q27" s="55">
        <f>INDEX('05_Param_Prog_Annee'!$G$4:$G$23,MATCH(N27,'05_Param_Prog_Annee'!$A$4:$A$23,0))</f>
        <v/>
      </c>
      <c r="R27" s="55">
        <f>INDEX('05_Param_Prog_Annee'!$H$4:$H$23,MATCH(N27,'05_Param_Prog_Annee'!$A$4:$A$23,0))</f>
        <v/>
      </c>
      <c r="S27" s="55">
        <f>INDEX('05_Param_Prog_Annee'!$I$4:$I$23,MATCH(N27,'05_Param_Prog_Annee'!$A$4:$A$23,0))</f>
        <v/>
      </c>
      <c r="T27" s="56">
        <f>IFERROR(INDEX('05_Param_Prog_Annee'!$J$4:$J$23,MATCH(N27,'05_Param_Prog_Annee'!$A$4:$A$23,0)),0)</f>
        <v/>
      </c>
      <c r="U27" s="55">
        <f>P27*Q27*(1+'01_Cadrage'!$H$21)</f>
        <v/>
      </c>
      <c r="V27" s="46">
        <f>INDEX('01_Cadrage'!$L$7:$L$20,MATCH(A27&amp;"|"&amp;B27,'01_Cadrage'!$O$7:$O$20,0))</f>
        <v/>
      </c>
      <c r="W27" s="46">
        <f>INDEX('01_Cadrage'!$M$7:$M$20,MATCH(A27&amp;"|"&amp;B27,'01_Cadrage'!$O$7:$O$20,0))</f>
        <v/>
      </c>
      <c r="X27" s="46">
        <f>IFERROR(INDEX('06_Historique'!$F$66:$F$73,MATCH(C27,'06_Historique'!$A$66:$A$73,0)),'01_Cadrage'!$H$29)</f>
        <v/>
      </c>
      <c r="Y27" s="56">
        <f>'01_Cadrage'!$H$16*V27</f>
        <v/>
      </c>
      <c r="Z27" s="54">
        <f>IF(F27=1,J27*(1+X27*Y27),0)</f>
        <v/>
      </c>
      <c r="AA27" s="56">
        <f>IF(F27=1,IFERROR(H27/J27,'01_Cadrage'!$H$30)+'01_Cadrage'!$H$18,0)</f>
        <v/>
      </c>
      <c r="AB27" s="54">
        <f>Z27*AA27</f>
        <v/>
      </c>
      <c r="AC27" s="54">
        <f>IF(F27=1,0,K27*(T27+'01_Cadrage'!$H$19))</f>
        <v/>
      </c>
      <c r="AD27" s="57">
        <f>AB27+AC27</f>
        <v/>
      </c>
      <c r="AE27" s="55">
        <f>L27*(1+'01_Cadrage'!$H$17*W27)</f>
        <v/>
      </c>
      <c r="AF27" s="46">
        <f>IF(E27="ALT",'01_Cadrage'!$H$28+(1-'01_Cadrage'!$H$28)*'01_Cadrage'!$H$26,1)</f>
        <v/>
      </c>
      <c r="AG27" s="46">
        <f>IF(E27="ALT",IFERROR(INDEX('06_Historique'!$G$66:$G$73,MATCH(C27,'06_Historique'!$A$66:$A$73,0)),'01_Cadrage'!$H$28)+(1-IFERROR(INDEX('06_Historique'!$G$66:$G$73,MATCH(C27,'06_Historique'!$A$66:$A$73,0)),'01_Cadrage'!$H$28))*'01_Cadrage'!$H$26,1)</f>
        <v/>
      </c>
      <c r="AH27" s="21">
        <f>AD27*AE27*AF27+AB27*'01_Cadrage'!$H$24</f>
        <v/>
      </c>
      <c r="AI27" s="54">
        <f>IF(AD27&lt;=0,0,MAX(1,ROUNDUP(AD27/O27,0)))</f>
        <v/>
      </c>
      <c r="AJ27" s="21">
        <f>AI27*U27</f>
        <v/>
      </c>
      <c r="AK27" s="21">
        <f>AD27*R27*(1+'01_Cadrage'!$H$20)</f>
        <v/>
      </c>
      <c r="AL27" s="21">
        <f>H27*S27*(1+Y27)</f>
        <v/>
      </c>
      <c r="AM27" s="20">
        <f>AH27-AJ27-AK27-AL27-AD27*'01_Cadrage'!$H$27*(1+'01_Cadrage'!$H$20)</f>
        <v/>
      </c>
      <c r="AN27" s="56">
        <f>IFERROR(AD27/(AI27*O27),0)</f>
        <v/>
      </c>
      <c r="AO27" s="55">
        <f>IFERROR(AM27/AD27,0)</f>
        <v/>
      </c>
      <c r="AP27" s="54">
        <f>IFERROR(AI27*U27/(AE27*AF27-R27*(1+'01_Cadrage'!$H$20)),0)</f>
        <v/>
      </c>
    </row>
    <row r="28">
      <c r="A28" s="51">
        <f>'06_Historique'!A29</f>
        <v/>
      </c>
      <c r="B28" s="10">
        <f>'06_Historique'!B29</f>
        <v/>
      </c>
      <c r="C28" s="51">
        <f>'06_Historique'!C29</f>
        <v/>
      </c>
      <c r="D28" s="10">
        <f>'06_Historique'!E29</f>
        <v/>
      </c>
      <c r="E28" s="10">
        <f>'06_Historique'!F29</f>
        <v/>
      </c>
      <c r="F28" s="52">
        <f>'06_Historique'!G29</f>
        <v/>
      </c>
      <c r="G28" s="52">
        <f>'06_Historique'!K29</f>
        <v/>
      </c>
      <c r="H28" s="52">
        <f>'06_Historique'!I29</f>
        <v/>
      </c>
      <c r="I28" s="52">
        <f>'06_Historique'!J29</f>
        <v/>
      </c>
      <c r="J28" s="52">
        <f>'06_Historique'!H29</f>
        <v/>
      </c>
      <c r="K28" s="52">
        <f>'06_Historique'!L29</f>
        <v/>
      </c>
      <c r="L28" s="53">
        <f>'06_Historique'!M29</f>
        <v/>
      </c>
      <c r="M28" s="52">
        <f>'06_Historique'!N29</f>
        <v/>
      </c>
      <c r="N28" s="9">
        <f>C28&amp;"|"&amp;D28</f>
        <v/>
      </c>
      <c r="O28" s="54">
        <f>INDEX('05_Param_Prog_Annee'!$E$4:$E$23,MATCH(N28,'05_Param_Prog_Annee'!$A$4:$A$23,0))</f>
        <v/>
      </c>
      <c r="P28" s="54">
        <f>INDEX('05_Param_Prog_Annee'!$F$4:$F$23,MATCH(N28,'05_Param_Prog_Annee'!$A$4:$A$23,0))</f>
        <v/>
      </c>
      <c r="Q28" s="55">
        <f>INDEX('05_Param_Prog_Annee'!$G$4:$G$23,MATCH(N28,'05_Param_Prog_Annee'!$A$4:$A$23,0))</f>
        <v/>
      </c>
      <c r="R28" s="55">
        <f>INDEX('05_Param_Prog_Annee'!$H$4:$H$23,MATCH(N28,'05_Param_Prog_Annee'!$A$4:$A$23,0))</f>
        <v/>
      </c>
      <c r="S28" s="55">
        <f>INDEX('05_Param_Prog_Annee'!$I$4:$I$23,MATCH(N28,'05_Param_Prog_Annee'!$A$4:$A$23,0))</f>
        <v/>
      </c>
      <c r="T28" s="56">
        <f>IFERROR(INDEX('05_Param_Prog_Annee'!$J$4:$J$23,MATCH(N28,'05_Param_Prog_Annee'!$A$4:$A$23,0)),0)</f>
        <v/>
      </c>
      <c r="U28" s="55">
        <f>P28*Q28*(1+'01_Cadrage'!$H$21)</f>
        <v/>
      </c>
      <c r="V28" s="46">
        <f>INDEX('01_Cadrage'!$L$7:$L$20,MATCH(A28&amp;"|"&amp;B28,'01_Cadrage'!$O$7:$O$20,0))</f>
        <v/>
      </c>
      <c r="W28" s="46">
        <f>INDEX('01_Cadrage'!$M$7:$M$20,MATCH(A28&amp;"|"&amp;B28,'01_Cadrage'!$O$7:$O$20,0))</f>
        <v/>
      </c>
      <c r="X28" s="46">
        <f>IFERROR(INDEX('06_Historique'!$F$66:$F$73,MATCH(C28,'06_Historique'!$A$66:$A$73,0)),'01_Cadrage'!$H$29)</f>
        <v/>
      </c>
      <c r="Y28" s="56">
        <f>'01_Cadrage'!$H$16*V28</f>
        <v/>
      </c>
      <c r="Z28" s="54">
        <f>IF(F28=1,J28*(1+X28*Y28),0)</f>
        <v/>
      </c>
      <c r="AA28" s="56">
        <f>IF(F28=1,IFERROR(H28/J28,'01_Cadrage'!$H$30)+'01_Cadrage'!$H$18,0)</f>
        <v/>
      </c>
      <c r="AB28" s="54">
        <f>Z28*AA28</f>
        <v/>
      </c>
      <c r="AC28" s="54">
        <f>IF(F28=1,0,K28*(T28+'01_Cadrage'!$H$19))</f>
        <v/>
      </c>
      <c r="AD28" s="57">
        <f>AB28+AC28</f>
        <v/>
      </c>
      <c r="AE28" s="55">
        <f>L28*(1+'01_Cadrage'!$H$17*W28)</f>
        <v/>
      </c>
      <c r="AF28" s="46">
        <f>IF(E28="ALT",'01_Cadrage'!$H$28+(1-'01_Cadrage'!$H$28)*'01_Cadrage'!$H$26,1)</f>
        <v/>
      </c>
      <c r="AG28" s="46">
        <f>IF(E28="ALT",IFERROR(INDEX('06_Historique'!$G$66:$G$73,MATCH(C28,'06_Historique'!$A$66:$A$73,0)),'01_Cadrage'!$H$28)+(1-IFERROR(INDEX('06_Historique'!$G$66:$G$73,MATCH(C28,'06_Historique'!$A$66:$A$73,0)),'01_Cadrage'!$H$28))*'01_Cadrage'!$H$26,1)</f>
        <v/>
      </c>
      <c r="AH28" s="21">
        <f>AD28*AE28*AF28+AB28*'01_Cadrage'!$H$24</f>
        <v/>
      </c>
      <c r="AI28" s="54">
        <f>IF(AD28&lt;=0,0,MAX(1,ROUNDUP(AD28/O28,0)))</f>
        <v/>
      </c>
      <c r="AJ28" s="21">
        <f>AI28*U28</f>
        <v/>
      </c>
      <c r="AK28" s="21">
        <f>AD28*R28*(1+'01_Cadrage'!$H$20)</f>
        <v/>
      </c>
      <c r="AL28" s="21">
        <f>H28*S28*(1+Y28)</f>
        <v/>
      </c>
      <c r="AM28" s="20">
        <f>AH28-AJ28-AK28-AL28-AD28*'01_Cadrage'!$H$27*(1+'01_Cadrage'!$H$20)</f>
        <v/>
      </c>
      <c r="AN28" s="56">
        <f>IFERROR(AD28/(AI28*O28),0)</f>
        <v/>
      </c>
      <c r="AO28" s="55">
        <f>IFERROR(AM28/AD28,0)</f>
        <v/>
      </c>
      <c r="AP28" s="54">
        <f>IFERROR(AI28*U28/(AE28*AF28-R28*(1+'01_Cadrage'!$H$20)),0)</f>
        <v/>
      </c>
    </row>
    <row r="29">
      <c r="A29" s="51">
        <f>'06_Historique'!A30</f>
        <v/>
      </c>
      <c r="B29" s="10">
        <f>'06_Historique'!B30</f>
        <v/>
      </c>
      <c r="C29" s="51">
        <f>'06_Historique'!C30</f>
        <v/>
      </c>
      <c r="D29" s="10">
        <f>'06_Historique'!E30</f>
        <v/>
      </c>
      <c r="E29" s="10">
        <f>'06_Historique'!F30</f>
        <v/>
      </c>
      <c r="F29" s="52">
        <f>'06_Historique'!G30</f>
        <v/>
      </c>
      <c r="G29" s="52">
        <f>'06_Historique'!K30</f>
        <v/>
      </c>
      <c r="H29" s="52">
        <f>'06_Historique'!I30</f>
        <v/>
      </c>
      <c r="I29" s="52">
        <f>'06_Historique'!J30</f>
        <v/>
      </c>
      <c r="J29" s="52">
        <f>'06_Historique'!H30</f>
        <v/>
      </c>
      <c r="K29" s="52">
        <f>'06_Historique'!L30</f>
        <v/>
      </c>
      <c r="L29" s="53">
        <f>'06_Historique'!M30</f>
        <v/>
      </c>
      <c r="M29" s="52">
        <f>'06_Historique'!N30</f>
        <v/>
      </c>
      <c r="N29" s="9">
        <f>C29&amp;"|"&amp;D29</f>
        <v/>
      </c>
      <c r="O29" s="54">
        <f>INDEX('05_Param_Prog_Annee'!$E$4:$E$23,MATCH(N29,'05_Param_Prog_Annee'!$A$4:$A$23,0))</f>
        <v/>
      </c>
      <c r="P29" s="54">
        <f>INDEX('05_Param_Prog_Annee'!$F$4:$F$23,MATCH(N29,'05_Param_Prog_Annee'!$A$4:$A$23,0))</f>
        <v/>
      </c>
      <c r="Q29" s="55">
        <f>INDEX('05_Param_Prog_Annee'!$G$4:$G$23,MATCH(N29,'05_Param_Prog_Annee'!$A$4:$A$23,0))</f>
        <v/>
      </c>
      <c r="R29" s="55">
        <f>INDEX('05_Param_Prog_Annee'!$H$4:$H$23,MATCH(N29,'05_Param_Prog_Annee'!$A$4:$A$23,0))</f>
        <v/>
      </c>
      <c r="S29" s="55">
        <f>INDEX('05_Param_Prog_Annee'!$I$4:$I$23,MATCH(N29,'05_Param_Prog_Annee'!$A$4:$A$23,0))</f>
        <v/>
      </c>
      <c r="T29" s="56">
        <f>IFERROR(INDEX('05_Param_Prog_Annee'!$J$4:$J$23,MATCH(N29,'05_Param_Prog_Annee'!$A$4:$A$23,0)),0)</f>
        <v/>
      </c>
      <c r="U29" s="55">
        <f>P29*Q29*(1+'01_Cadrage'!$H$21)</f>
        <v/>
      </c>
      <c r="V29" s="46">
        <f>INDEX('01_Cadrage'!$L$7:$L$20,MATCH(A29&amp;"|"&amp;B29,'01_Cadrage'!$O$7:$O$20,0))</f>
        <v/>
      </c>
      <c r="W29" s="46">
        <f>INDEX('01_Cadrage'!$M$7:$M$20,MATCH(A29&amp;"|"&amp;B29,'01_Cadrage'!$O$7:$O$20,0))</f>
        <v/>
      </c>
      <c r="X29" s="46">
        <f>IFERROR(INDEX('06_Historique'!$F$66:$F$73,MATCH(C29,'06_Historique'!$A$66:$A$73,0)),'01_Cadrage'!$H$29)</f>
        <v/>
      </c>
      <c r="Y29" s="56">
        <f>'01_Cadrage'!$H$16*V29</f>
        <v/>
      </c>
      <c r="Z29" s="54">
        <f>IF(F29=1,J29*(1+X29*Y29),0)</f>
        <v/>
      </c>
      <c r="AA29" s="56">
        <f>IF(F29=1,IFERROR(H29/J29,'01_Cadrage'!$H$30)+'01_Cadrage'!$H$18,0)</f>
        <v/>
      </c>
      <c r="AB29" s="54">
        <f>Z29*AA29</f>
        <v/>
      </c>
      <c r="AC29" s="54">
        <f>IF(F29=1,0,K29*(T29+'01_Cadrage'!$H$19))</f>
        <v/>
      </c>
      <c r="AD29" s="57">
        <f>AB29+AC29</f>
        <v/>
      </c>
      <c r="AE29" s="55">
        <f>L29*(1+'01_Cadrage'!$H$17*W29)</f>
        <v/>
      </c>
      <c r="AF29" s="46">
        <f>IF(E29="ALT",'01_Cadrage'!$H$28+(1-'01_Cadrage'!$H$28)*'01_Cadrage'!$H$26,1)</f>
        <v/>
      </c>
      <c r="AG29" s="46">
        <f>IF(E29="ALT",IFERROR(INDEX('06_Historique'!$G$66:$G$73,MATCH(C29,'06_Historique'!$A$66:$A$73,0)),'01_Cadrage'!$H$28)+(1-IFERROR(INDEX('06_Historique'!$G$66:$G$73,MATCH(C29,'06_Historique'!$A$66:$A$73,0)),'01_Cadrage'!$H$28))*'01_Cadrage'!$H$26,1)</f>
        <v/>
      </c>
      <c r="AH29" s="21">
        <f>AD29*AE29*AF29+AB29*'01_Cadrage'!$H$24</f>
        <v/>
      </c>
      <c r="AI29" s="54">
        <f>IF(AD29&lt;=0,0,MAX(1,ROUNDUP(AD29/O29,0)))</f>
        <v/>
      </c>
      <c r="AJ29" s="21">
        <f>AI29*U29</f>
        <v/>
      </c>
      <c r="AK29" s="21">
        <f>AD29*R29*(1+'01_Cadrage'!$H$20)</f>
        <v/>
      </c>
      <c r="AL29" s="21">
        <f>H29*S29*(1+Y29)</f>
        <v/>
      </c>
      <c r="AM29" s="20">
        <f>AH29-AJ29-AK29-AL29-AD29*'01_Cadrage'!$H$27*(1+'01_Cadrage'!$H$20)</f>
        <v/>
      </c>
      <c r="AN29" s="56">
        <f>IFERROR(AD29/(AI29*O29),0)</f>
        <v/>
      </c>
      <c r="AO29" s="55">
        <f>IFERROR(AM29/AD29,0)</f>
        <v/>
      </c>
      <c r="AP29" s="54">
        <f>IFERROR(AI29*U29/(AE29*AF29-R29*(1+'01_Cadrage'!$H$20)),0)</f>
        <v/>
      </c>
    </row>
    <row r="30">
      <c r="A30" s="51">
        <f>'06_Historique'!A31</f>
        <v/>
      </c>
      <c r="B30" s="10">
        <f>'06_Historique'!B31</f>
        <v/>
      </c>
      <c r="C30" s="51">
        <f>'06_Historique'!C31</f>
        <v/>
      </c>
      <c r="D30" s="10">
        <f>'06_Historique'!E31</f>
        <v/>
      </c>
      <c r="E30" s="10">
        <f>'06_Historique'!F31</f>
        <v/>
      </c>
      <c r="F30" s="52">
        <f>'06_Historique'!G31</f>
        <v/>
      </c>
      <c r="G30" s="52">
        <f>'06_Historique'!K31</f>
        <v/>
      </c>
      <c r="H30" s="52">
        <f>'06_Historique'!I31</f>
        <v/>
      </c>
      <c r="I30" s="52">
        <f>'06_Historique'!J31</f>
        <v/>
      </c>
      <c r="J30" s="52">
        <f>'06_Historique'!H31</f>
        <v/>
      </c>
      <c r="K30" s="52">
        <f>'06_Historique'!L31</f>
        <v/>
      </c>
      <c r="L30" s="53">
        <f>'06_Historique'!M31</f>
        <v/>
      </c>
      <c r="M30" s="52">
        <f>'06_Historique'!N31</f>
        <v/>
      </c>
      <c r="N30" s="9">
        <f>C30&amp;"|"&amp;D30</f>
        <v/>
      </c>
      <c r="O30" s="54">
        <f>INDEX('05_Param_Prog_Annee'!$E$4:$E$23,MATCH(N30,'05_Param_Prog_Annee'!$A$4:$A$23,0))</f>
        <v/>
      </c>
      <c r="P30" s="54">
        <f>INDEX('05_Param_Prog_Annee'!$F$4:$F$23,MATCH(N30,'05_Param_Prog_Annee'!$A$4:$A$23,0))</f>
        <v/>
      </c>
      <c r="Q30" s="55">
        <f>INDEX('05_Param_Prog_Annee'!$G$4:$G$23,MATCH(N30,'05_Param_Prog_Annee'!$A$4:$A$23,0))</f>
        <v/>
      </c>
      <c r="R30" s="55">
        <f>INDEX('05_Param_Prog_Annee'!$H$4:$H$23,MATCH(N30,'05_Param_Prog_Annee'!$A$4:$A$23,0))</f>
        <v/>
      </c>
      <c r="S30" s="55">
        <f>INDEX('05_Param_Prog_Annee'!$I$4:$I$23,MATCH(N30,'05_Param_Prog_Annee'!$A$4:$A$23,0))</f>
        <v/>
      </c>
      <c r="T30" s="56">
        <f>IFERROR(INDEX('05_Param_Prog_Annee'!$J$4:$J$23,MATCH(N30,'05_Param_Prog_Annee'!$A$4:$A$23,0)),0)</f>
        <v/>
      </c>
      <c r="U30" s="55">
        <f>P30*Q30*(1+'01_Cadrage'!$H$21)</f>
        <v/>
      </c>
      <c r="V30" s="46">
        <f>INDEX('01_Cadrage'!$L$7:$L$20,MATCH(A30&amp;"|"&amp;B30,'01_Cadrage'!$O$7:$O$20,0))</f>
        <v/>
      </c>
      <c r="W30" s="46">
        <f>INDEX('01_Cadrage'!$M$7:$M$20,MATCH(A30&amp;"|"&amp;B30,'01_Cadrage'!$O$7:$O$20,0))</f>
        <v/>
      </c>
      <c r="X30" s="46">
        <f>IFERROR(INDEX('06_Historique'!$F$66:$F$73,MATCH(C30,'06_Historique'!$A$66:$A$73,0)),'01_Cadrage'!$H$29)</f>
        <v/>
      </c>
      <c r="Y30" s="56">
        <f>'01_Cadrage'!$H$16*V30</f>
        <v/>
      </c>
      <c r="Z30" s="54">
        <f>IF(F30=1,J30*(1+X30*Y30),0)</f>
        <v/>
      </c>
      <c r="AA30" s="56">
        <f>IF(F30=1,IFERROR(H30/J30,'01_Cadrage'!$H$30)+'01_Cadrage'!$H$18,0)</f>
        <v/>
      </c>
      <c r="AB30" s="54">
        <f>Z30*AA30</f>
        <v/>
      </c>
      <c r="AC30" s="54">
        <f>IF(F30=1,0,K30*(T30+'01_Cadrage'!$H$19))</f>
        <v/>
      </c>
      <c r="AD30" s="57">
        <f>AB30+AC30</f>
        <v/>
      </c>
      <c r="AE30" s="55">
        <f>L30*(1+'01_Cadrage'!$H$17*W30)</f>
        <v/>
      </c>
      <c r="AF30" s="46">
        <f>IF(E30="ALT",'01_Cadrage'!$H$28+(1-'01_Cadrage'!$H$28)*'01_Cadrage'!$H$26,1)</f>
        <v/>
      </c>
      <c r="AG30" s="46">
        <f>IF(E30="ALT",IFERROR(INDEX('06_Historique'!$G$66:$G$73,MATCH(C30,'06_Historique'!$A$66:$A$73,0)),'01_Cadrage'!$H$28)+(1-IFERROR(INDEX('06_Historique'!$G$66:$G$73,MATCH(C30,'06_Historique'!$A$66:$A$73,0)),'01_Cadrage'!$H$28))*'01_Cadrage'!$H$26,1)</f>
        <v/>
      </c>
      <c r="AH30" s="21">
        <f>AD30*AE30*AF30+AB30*'01_Cadrage'!$H$24</f>
        <v/>
      </c>
      <c r="AI30" s="54">
        <f>IF(AD30&lt;=0,0,MAX(1,ROUNDUP(AD30/O30,0)))</f>
        <v/>
      </c>
      <c r="AJ30" s="21">
        <f>AI30*U30</f>
        <v/>
      </c>
      <c r="AK30" s="21">
        <f>AD30*R30*(1+'01_Cadrage'!$H$20)</f>
        <v/>
      </c>
      <c r="AL30" s="21">
        <f>H30*S30*(1+Y30)</f>
        <v/>
      </c>
      <c r="AM30" s="20">
        <f>AH30-AJ30-AK30-AL30-AD30*'01_Cadrage'!$H$27*(1+'01_Cadrage'!$H$20)</f>
        <v/>
      </c>
      <c r="AN30" s="56">
        <f>IFERROR(AD30/(AI30*O30),0)</f>
        <v/>
      </c>
      <c r="AO30" s="55">
        <f>IFERROR(AM30/AD30,0)</f>
        <v/>
      </c>
      <c r="AP30" s="54">
        <f>IFERROR(AI30*U30/(AE30*AF30-R30*(1+'01_Cadrage'!$H$20)),0)</f>
        <v/>
      </c>
    </row>
    <row r="31">
      <c r="A31" s="51">
        <f>'06_Historique'!A32</f>
        <v/>
      </c>
      <c r="B31" s="10">
        <f>'06_Historique'!B32</f>
        <v/>
      </c>
      <c r="C31" s="51">
        <f>'06_Historique'!C32</f>
        <v/>
      </c>
      <c r="D31" s="10">
        <f>'06_Historique'!E32</f>
        <v/>
      </c>
      <c r="E31" s="10">
        <f>'06_Historique'!F32</f>
        <v/>
      </c>
      <c r="F31" s="52">
        <f>'06_Historique'!G32</f>
        <v/>
      </c>
      <c r="G31" s="52">
        <f>'06_Historique'!K32</f>
        <v/>
      </c>
      <c r="H31" s="52">
        <f>'06_Historique'!I32</f>
        <v/>
      </c>
      <c r="I31" s="52">
        <f>'06_Historique'!J32</f>
        <v/>
      </c>
      <c r="J31" s="52">
        <f>'06_Historique'!H32</f>
        <v/>
      </c>
      <c r="K31" s="52">
        <f>'06_Historique'!L32</f>
        <v/>
      </c>
      <c r="L31" s="53">
        <f>'06_Historique'!M32</f>
        <v/>
      </c>
      <c r="M31" s="52">
        <f>'06_Historique'!N32</f>
        <v/>
      </c>
      <c r="N31" s="9">
        <f>C31&amp;"|"&amp;D31</f>
        <v/>
      </c>
      <c r="O31" s="54">
        <f>INDEX('05_Param_Prog_Annee'!$E$4:$E$23,MATCH(N31,'05_Param_Prog_Annee'!$A$4:$A$23,0))</f>
        <v/>
      </c>
      <c r="P31" s="54">
        <f>INDEX('05_Param_Prog_Annee'!$F$4:$F$23,MATCH(N31,'05_Param_Prog_Annee'!$A$4:$A$23,0))</f>
        <v/>
      </c>
      <c r="Q31" s="55">
        <f>INDEX('05_Param_Prog_Annee'!$G$4:$G$23,MATCH(N31,'05_Param_Prog_Annee'!$A$4:$A$23,0))</f>
        <v/>
      </c>
      <c r="R31" s="55">
        <f>INDEX('05_Param_Prog_Annee'!$H$4:$H$23,MATCH(N31,'05_Param_Prog_Annee'!$A$4:$A$23,0))</f>
        <v/>
      </c>
      <c r="S31" s="55">
        <f>INDEX('05_Param_Prog_Annee'!$I$4:$I$23,MATCH(N31,'05_Param_Prog_Annee'!$A$4:$A$23,0))</f>
        <v/>
      </c>
      <c r="T31" s="56">
        <f>IFERROR(INDEX('05_Param_Prog_Annee'!$J$4:$J$23,MATCH(N31,'05_Param_Prog_Annee'!$A$4:$A$23,0)),0)</f>
        <v/>
      </c>
      <c r="U31" s="55">
        <f>P31*Q31*(1+'01_Cadrage'!$H$21)</f>
        <v/>
      </c>
      <c r="V31" s="46">
        <f>INDEX('01_Cadrage'!$L$7:$L$20,MATCH(A31&amp;"|"&amp;B31,'01_Cadrage'!$O$7:$O$20,0))</f>
        <v/>
      </c>
      <c r="W31" s="46">
        <f>INDEX('01_Cadrage'!$M$7:$M$20,MATCH(A31&amp;"|"&amp;B31,'01_Cadrage'!$O$7:$O$20,0))</f>
        <v/>
      </c>
      <c r="X31" s="46">
        <f>IFERROR(INDEX('06_Historique'!$F$66:$F$73,MATCH(C31,'06_Historique'!$A$66:$A$73,0)),'01_Cadrage'!$H$29)</f>
        <v/>
      </c>
      <c r="Y31" s="56">
        <f>'01_Cadrage'!$H$16*V31</f>
        <v/>
      </c>
      <c r="Z31" s="54">
        <f>IF(F31=1,J31*(1+X31*Y31),0)</f>
        <v/>
      </c>
      <c r="AA31" s="56">
        <f>IF(F31=1,IFERROR(H31/J31,'01_Cadrage'!$H$30)+'01_Cadrage'!$H$18,0)</f>
        <v/>
      </c>
      <c r="AB31" s="54">
        <f>Z31*AA31</f>
        <v/>
      </c>
      <c r="AC31" s="54">
        <f>IF(F31=1,0,K31*(T31+'01_Cadrage'!$H$19))</f>
        <v/>
      </c>
      <c r="AD31" s="57">
        <f>AB31+AC31</f>
        <v/>
      </c>
      <c r="AE31" s="55">
        <f>L31*(1+'01_Cadrage'!$H$17*W31)</f>
        <v/>
      </c>
      <c r="AF31" s="46">
        <f>IF(E31="ALT",'01_Cadrage'!$H$28+(1-'01_Cadrage'!$H$28)*'01_Cadrage'!$H$26,1)</f>
        <v/>
      </c>
      <c r="AG31" s="46">
        <f>IF(E31="ALT",IFERROR(INDEX('06_Historique'!$G$66:$G$73,MATCH(C31,'06_Historique'!$A$66:$A$73,0)),'01_Cadrage'!$H$28)+(1-IFERROR(INDEX('06_Historique'!$G$66:$G$73,MATCH(C31,'06_Historique'!$A$66:$A$73,0)),'01_Cadrage'!$H$28))*'01_Cadrage'!$H$26,1)</f>
        <v/>
      </c>
      <c r="AH31" s="21">
        <f>AD31*AE31*AF31+AB31*'01_Cadrage'!$H$24</f>
        <v/>
      </c>
      <c r="AI31" s="54">
        <f>IF(AD31&lt;=0,0,MAX(1,ROUNDUP(AD31/O31,0)))</f>
        <v/>
      </c>
      <c r="AJ31" s="21">
        <f>AI31*U31</f>
        <v/>
      </c>
      <c r="AK31" s="21">
        <f>AD31*R31*(1+'01_Cadrage'!$H$20)</f>
        <v/>
      </c>
      <c r="AL31" s="21">
        <f>H31*S31*(1+Y31)</f>
        <v/>
      </c>
      <c r="AM31" s="20">
        <f>AH31-AJ31-AK31-AL31-AD31*'01_Cadrage'!$H$27*(1+'01_Cadrage'!$H$20)</f>
        <v/>
      </c>
      <c r="AN31" s="56">
        <f>IFERROR(AD31/(AI31*O31),0)</f>
        <v/>
      </c>
      <c r="AO31" s="55">
        <f>IFERROR(AM31/AD31,0)</f>
        <v/>
      </c>
      <c r="AP31" s="54">
        <f>IFERROR(AI31*U31/(AE31*AF31-R31*(1+'01_Cadrage'!$H$20)),0)</f>
        <v/>
      </c>
    </row>
    <row r="32">
      <c r="A32" s="51">
        <f>'06_Historique'!A33</f>
        <v/>
      </c>
      <c r="B32" s="10">
        <f>'06_Historique'!B33</f>
        <v/>
      </c>
      <c r="C32" s="51">
        <f>'06_Historique'!C33</f>
        <v/>
      </c>
      <c r="D32" s="10">
        <f>'06_Historique'!E33</f>
        <v/>
      </c>
      <c r="E32" s="10">
        <f>'06_Historique'!F33</f>
        <v/>
      </c>
      <c r="F32" s="52">
        <f>'06_Historique'!G33</f>
        <v/>
      </c>
      <c r="G32" s="52">
        <f>'06_Historique'!K33</f>
        <v/>
      </c>
      <c r="H32" s="52">
        <f>'06_Historique'!I33</f>
        <v/>
      </c>
      <c r="I32" s="52">
        <f>'06_Historique'!J33</f>
        <v/>
      </c>
      <c r="J32" s="52">
        <f>'06_Historique'!H33</f>
        <v/>
      </c>
      <c r="K32" s="52">
        <f>'06_Historique'!L33</f>
        <v/>
      </c>
      <c r="L32" s="53">
        <f>'06_Historique'!M33</f>
        <v/>
      </c>
      <c r="M32" s="52">
        <f>'06_Historique'!N33</f>
        <v/>
      </c>
      <c r="N32" s="9">
        <f>C32&amp;"|"&amp;D32</f>
        <v/>
      </c>
      <c r="O32" s="54">
        <f>INDEX('05_Param_Prog_Annee'!$E$4:$E$23,MATCH(N32,'05_Param_Prog_Annee'!$A$4:$A$23,0))</f>
        <v/>
      </c>
      <c r="P32" s="54">
        <f>INDEX('05_Param_Prog_Annee'!$F$4:$F$23,MATCH(N32,'05_Param_Prog_Annee'!$A$4:$A$23,0))</f>
        <v/>
      </c>
      <c r="Q32" s="55">
        <f>INDEX('05_Param_Prog_Annee'!$G$4:$G$23,MATCH(N32,'05_Param_Prog_Annee'!$A$4:$A$23,0))</f>
        <v/>
      </c>
      <c r="R32" s="55">
        <f>INDEX('05_Param_Prog_Annee'!$H$4:$H$23,MATCH(N32,'05_Param_Prog_Annee'!$A$4:$A$23,0))</f>
        <v/>
      </c>
      <c r="S32" s="55">
        <f>INDEX('05_Param_Prog_Annee'!$I$4:$I$23,MATCH(N32,'05_Param_Prog_Annee'!$A$4:$A$23,0))</f>
        <v/>
      </c>
      <c r="T32" s="56">
        <f>IFERROR(INDEX('05_Param_Prog_Annee'!$J$4:$J$23,MATCH(N32,'05_Param_Prog_Annee'!$A$4:$A$23,0)),0)</f>
        <v/>
      </c>
      <c r="U32" s="55">
        <f>P32*Q32*(1+'01_Cadrage'!$H$21)</f>
        <v/>
      </c>
      <c r="V32" s="46">
        <f>INDEX('01_Cadrage'!$L$7:$L$20,MATCH(A32&amp;"|"&amp;B32,'01_Cadrage'!$O$7:$O$20,0))</f>
        <v/>
      </c>
      <c r="W32" s="46">
        <f>INDEX('01_Cadrage'!$M$7:$M$20,MATCH(A32&amp;"|"&amp;B32,'01_Cadrage'!$O$7:$O$20,0))</f>
        <v/>
      </c>
      <c r="X32" s="46">
        <f>IFERROR(INDEX('06_Historique'!$F$66:$F$73,MATCH(C32,'06_Historique'!$A$66:$A$73,0)),'01_Cadrage'!$H$29)</f>
        <v/>
      </c>
      <c r="Y32" s="56">
        <f>'01_Cadrage'!$H$16*V32</f>
        <v/>
      </c>
      <c r="Z32" s="54">
        <f>IF(F32=1,J32*(1+X32*Y32),0)</f>
        <v/>
      </c>
      <c r="AA32" s="56">
        <f>IF(F32=1,IFERROR(H32/J32,'01_Cadrage'!$H$30)+'01_Cadrage'!$H$18,0)</f>
        <v/>
      </c>
      <c r="AB32" s="54">
        <f>Z32*AA32</f>
        <v/>
      </c>
      <c r="AC32" s="54">
        <f>IF(F32=1,0,K32*(T32+'01_Cadrage'!$H$19))</f>
        <v/>
      </c>
      <c r="AD32" s="57">
        <f>AB32+AC32</f>
        <v/>
      </c>
      <c r="AE32" s="55">
        <f>L32*(1+'01_Cadrage'!$H$17*W32)</f>
        <v/>
      </c>
      <c r="AF32" s="46">
        <f>IF(E32="ALT",'01_Cadrage'!$H$28+(1-'01_Cadrage'!$H$28)*'01_Cadrage'!$H$26,1)</f>
        <v/>
      </c>
      <c r="AG32" s="46">
        <f>IF(E32="ALT",IFERROR(INDEX('06_Historique'!$G$66:$G$73,MATCH(C32,'06_Historique'!$A$66:$A$73,0)),'01_Cadrage'!$H$28)+(1-IFERROR(INDEX('06_Historique'!$G$66:$G$73,MATCH(C32,'06_Historique'!$A$66:$A$73,0)),'01_Cadrage'!$H$28))*'01_Cadrage'!$H$26,1)</f>
        <v/>
      </c>
      <c r="AH32" s="21">
        <f>AD32*AE32*AF32+AB32*'01_Cadrage'!$H$24</f>
        <v/>
      </c>
      <c r="AI32" s="54">
        <f>IF(AD32&lt;=0,0,MAX(1,ROUNDUP(AD32/O32,0)))</f>
        <v/>
      </c>
      <c r="AJ32" s="21">
        <f>AI32*U32</f>
        <v/>
      </c>
      <c r="AK32" s="21">
        <f>AD32*R32*(1+'01_Cadrage'!$H$20)</f>
        <v/>
      </c>
      <c r="AL32" s="21">
        <f>H32*S32*(1+Y32)</f>
        <v/>
      </c>
      <c r="AM32" s="20">
        <f>AH32-AJ32-AK32-AL32-AD32*'01_Cadrage'!$H$27*(1+'01_Cadrage'!$H$20)</f>
        <v/>
      </c>
      <c r="AN32" s="56">
        <f>IFERROR(AD32/(AI32*O32),0)</f>
        <v/>
      </c>
      <c r="AO32" s="55">
        <f>IFERROR(AM32/AD32,0)</f>
        <v/>
      </c>
      <c r="AP32" s="54">
        <f>IFERROR(AI32*U32/(AE32*AF32-R32*(1+'01_Cadrage'!$H$20)),0)</f>
        <v/>
      </c>
    </row>
    <row r="33">
      <c r="A33" s="51">
        <f>'06_Historique'!A34</f>
        <v/>
      </c>
      <c r="B33" s="10">
        <f>'06_Historique'!B34</f>
        <v/>
      </c>
      <c r="C33" s="51">
        <f>'06_Historique'!C34</f>
        <v/>
      </c>
      <c r="D33" s="10">
        <f>'06_Historique'!E34</f>
        <v/>
      </c>
      <c r="E33" s="10">
        <f>'06_Historique'!F34</f>
        <v/>
      </c>
      <c r="F33" s="52">
        <f>'06_Historique'!G34</f>
        <v/>
      </c>
      <c r="G33" s="52">
        <f>'06_Historique'!K34</f>
        <v/>
      </c>
      <c r="H33" s="52">
        <f>'06_Historique'!I34</f>
        <v/>
      </c>
      <c r="I33" s="52">
        <f>'06_Historique'!J34</f>
        <v/>
      </c>
      <c r="J33" s="52">
        <f>'06_Historique'!H34</f>
        <v/>
      </c>
      <c r="K33" s="52">
        <f>'06_Historique'!L34</f>
        <v/>
      </c>
      <c r="L33" s="53">
        <f>'06_Historique'!M34</f>
        <v/>
      </c>
      <c r="M33" s="52">
        <f>'06_Historique'!N34</f>
        <v/>
      </c>
      <c r="N33" s="9">
        <f>C33&amp;"|"&amp;D33</f>
        <v/>
      </c>
      <c r="O33" s="54">
        <f>INDEX('05_Param_Prog_Annee'!$E$4:$E$23,MATCH(N33,'05_Param_Prog_Annee'!$A$4:$A$23,0))</f>
        <v/>
      </c>
      <c r="P33" s="54">
        <f>INDEX('05_Param_Prog_Annee'!$F$4:$F$23,MATCH(N33,'05_Param_Prog_Annee'!$A$4:$A$23,0))</f>
        <v/>
      </c>
      <c r="Q33" s="55">
        <f>INDEX('05_Param_Prog_Annee'!$G$4:$G$23,MATCH(N33,'05_Param_Prog_Annee'!$A$4:$A$23,0))</f>
        <v/>
      </c>
      <c r="R33" s="55">
        <f>INDEX('05_Param_Prog_Annee'!$H$4:$H$23,MATCH(N33,'05_Param_Prog_Annee'!$A$4:$A$23,0))</f>
        <v/>
      </c>
      <c r="S33" s="55">
        <f>INDEX('05_Param_Prog_Annee'!$I$4:$I$23,MATCH(N33,'05_Param_Prog_Annee'!$A$4:$A$23,0))</f>
        <v/>
      </c>
      <c r="T33" s="56">
        <f>IFERROR(INDEX('05_Param_Prog_Annee'!$J$4:$J$23,MATCH(N33,'05_Param_Prog_Annee'!$A$4:$A$23,0)),0)</f>
        <v/>
      </c>
      <c r="U33" s="55">
        <f>P33*Q33*(1+'01_Cadrage'!$H$21)</f>
        <v/>
      </c>
      <c r="V33" s="46">
        <f>INDEX('01_Cadrage'!$L$7:$L$20,MATCH(A33&amp;"|"&amp;B33,'01_Cadrage'!$O$7:$O$20,0))</f>
        <v/>
      </c>
      <c r="W33" s="46">
        <f>INDEX('01_Cadrage'!$M$7:$M$20,MATCH(A33&amp;"|"&amp;B33,'01_Cadrage'!$O$7:$O$20,0))</f>
        <v/>
      </c>
      <c r="X33" s="46">
        <f>IFERROR(INDEX('06_Historique'!$F$66:$F$73,MATCH(C33,'06_Historique'!$A$66:$A$73,0)),'01_Cadrage'!$H$29)</f>
        <v/>
      </c>
      <c r="Y33" s="56">
        <f>'01_Cadrage'!$H$16*V33</f>
        <v/>
      </c>
      <c r="Z33" s="54">
        <f>IF(F33=1,J33*(1+X33*Y33),0)</f>
        <v/>
      </c>
      <c r="AA33" s="56">
        <f>IF(F33=1,IFERROR(H33/J33,'01_Cadrage'!$H$30)+'01_Cadrage'!$H$18,0)</f>
        <v/>
      </c>
      <c r="AB33" s="54">
        <f>Z33*AA33</f>
        <v/>
      </c>
      <c r="AC33" s="54">
        <f>IF(F33=1,0,K33*(T33+'01_Cadrage'!$H$19))</f>
        <v/>
      </c>
      <c r="AD33" s="57">
        <f>AB33+AC33</f>
        <v/>
      </c>
      <c r="AE33" s="55">
        <f>L33*(1+'01_Cadrage'!$H$17*W33)</f>
        <v/>
      </c>
      <c r="AF33" s="46">
        <f>IF(E33="ALT",'01_Cadrage'!$H$28+(1-'01_Cadrage'!$H$28)*'01_Cadrage'!$H$26,1)</f>
        <v/>
      </c>
      <c r="AG33" s="46">
        <f>IF(E33="ALT",IFERROR(INDEX('06_Historique'!$G$66:$G$73,MATCH(C33,'06_Historique'!$A$66:$A$73,0)),'01_Cadrage'!$H$28)+(1-IFERROR(INDEX('06_Historique'!$G$66:$G$73,MATCH(C33,'06_Historique'!$A$66:$A$73,0)),'01_Cadrage'!$H$28))*'01_Cadrage'!$H$26,1)</f>
        <v/>
      </c>
      <c r="AH33" s="21">
        <f>AD33*AE33*AF33+AB33*'01_Cadrage'!$H$24</f>
        <v/>
      </c>
      <c r="AI33" s="54">
        <f>IF(AD33&lt;=0,0,MAX(1,ROUNDUP(AD33/O33,0)))</f>
        <v/>
      </c>
      <c r="AJ33" s="21">
        <f>AI33*U33</f>
        <v/>
      </c>
      <c r="AK33" s="21">
        <f>AD33*R33*(1+'01_Cadrage'!$H$20)</f>
        <v/>
      </c>
      <c r="AL33" s="21">
        <f>H33*S33*(1+Y33)</f>
        <v/>
      </c>
      <c r="AM33" s="20">
        <f>AH33-AJ33-AK33-AL33-AD33*'01_Cadrage'!$H$27*(1+'01_Cadrage'!$H$20)</f>
        <v/>
      </c>
      <c r="AN33" s="56">
        <f>IFERROR(AD33/(AI33*O33),0)</f>
        <v/>
      </c>
      <c r="AO33" s="55">
        <f>IFERROR(AM33/AD33,0)</f>
        <v/>
      </c>
      <c r="AP33" s="54">
        <f>IFERROR(AI33*U33/(AE33*AF33-R33*(1+'01_Cadrage'!$H$20)),0)</f>
        <v/>
      </c>
    </row>
    <row r="34">
      <c r="A34" s="51">
        <f>'06_Historique'!A35</f>
        <v/>
      </c>
      <c r="B34" s="10">
        <f>'06_Historique'!B35</f>
        <v/>
      </c>
      <c r="C34" s="51">
        <f>'06_Historique'!C35</f>
        <v/>
      </c>
      <c r="D34" s="10">
        <f>'06_Historique'!E35</f>
        <v/>
      </c>
      <c r="E34" s="10">
        <f>'06_Historique'!F35</f>
        <v/>
      </c>
      <c r="F34" s="52">
        <f>'06_Historique'!G35</f>
        <v/>
      </c>
      <c r="G34" s="52">
        <f>'06_Historique'!K35</f>
        <v/>
      </c>
      <c r="H34" s="52">
        <f>'06_Historique'!I35</f>
        <v/>
      </c>
      <c r="I34" s="52">
        <f>'06_Historique'!J35</f>
        <v/>
      </c>
      <c r="J34" s="52">
        <f>'06_Historique'!H35</f>
        <v/>
      </c>
      <c r="K34" s="52">
        <f>'06_Historique'!L35</f>
        <v/>
      </c>
      <c r="L34" s="53">
        <f>'06_Historique'!M35</f>
        <v/>
      </c>
      <c r="M34" s="52">
        <f>'06_Historique'!N35</f>
        <v/>
      </c>
      <c r="N34" s="9">
        <f>C34&amp;"|"&amp;D34</f>
        <v/>
      </c>
      <c r="O34" s="54">
        <f>INDEX('05_Param_Prog_Annee'!$E$4:$E$23,MATCH(N34,'05_Param_Prog_Annee'!$A$4:$A$23,0))</f>
        <v/>
      </c>
      <c r="P34" s="54">
        <f>INDEX('05_Param_Prog_Annee'!$F$4:$F$23,MATCH(N34,'05_Param_Prog_Annee'!$A$4:$A$23,0))</f>
        <v/>
      </c>
      <c r="Q34" s="55">
        <f>INDEX('05_Param_Prog_Annee'!$G$4:$G$23,MATCH(N34,'05_Param_Prog_Annee'!$A$4:$A$23,0))</f>
        <v/>
      </c>
      <c r="R34" s="55">
        <f>INDEX('05_Param_Prog_Annee'!$H$4:$H$23,MATCH(N34,'05_Param_Prog_Annee'!$A$4:$A$23,0))</f>
        <v/>
      </c>
      <c r="S34" s="55">
        <f>INDEX('05_Param_Prog_Annee'!$I$4:$I$23,MATCH(N34,'05_Param_Prog_Annee'!$A$4:$A$23,0))</f>
        <v/>
      </c>
      <c r="T34" s="56">
        <f>IFERROR(INDEX('05_Param_Prog_Annee'!$J$4:$J$23,MATCH(N34,'05_Param_Prog_Annee'!$A$4:$A$23,0)),0)</f>
        <v/>
      </c>
      <c r="U34" s="55">
        <f>P34*Q34*(1+'01_Cadrage'!$H$21)</f>
        <v/>
      </c>
      <c r="V34" s="46">
        <f>INDEX('01_Cadrage'!$L$7:$L$20,MATCH(A34&amp;"|"&amp;B34,'01_Cadrage'!$O$7:$O$20,0))</f>
        <v/>
      </c>
      <c r="W34" s="46">
        <f>INDEX('01_Cadrage'!$M$7:$M$20,MATCH(A34&amp;"|"&amp;B34,'01_Cadrage'!$O$7:$O$20,0))</f>
        <v/>
      </c>
      <c r="X34" s="46">
        <f>IFERROR(INDEX('06_Historique'!$F$66:$F$73,MATCH(C34,'06_Historique'!$A$66:$A$73,0)),'01_Cadrage'!$H$29)</f>
        <v/>
      </c>
      <c r="Y34" s="56">
        <f>'01_Cadrage'!$H$16*V34</f>
        <v/>
      </c>
      <c r="Z34" s="54">
        <f>IF(F34=1,J34*(1+X34*Y34),0)</f>
        <v/>
      </c>
      <c r="AA34" s="56">
        <f>IF(F34=1,IFERROR(H34/J34,'01_Cadrage'!$H$30)+'01_Cadrage'!$H$18,0)</f>
        <v/>
      </c>
      <c r="AB34" s="54">
        <f>Z34*AA34</f>
        <v/>
      </c>
      <c r="AC34" s="54">
        <f>IF(F34=1,0,K34*(T34+'01_Cadrage'!$H$19))</f>
        <v/>
      </c>
      <c r="AD34" s="57">
        <f>AB34+AC34</f>
        <v/>
      </c>
      <c r="AE34" s="55">
        <f>L34*(1+'01_Cadrage'!$H$17*W34)</f>
        <v/>
      </c>
      <c r="AF34" s="46">
        <f>IF(E34="ALT",'01_Cadrage'!$H$28+(1-'01_Cadrage'!$H$28)*'01_Cadrage'!$H$26,1)</f>
        <v/>
      </c>
      <c r="AG34" s="46">
        <f>IF(E34="ALT",IFERROR(INDEX('06_Historique'!$G$66:$G$73,MATCH(C34,'06_Historique'!$A$66:$A$73,0)),'01_Cadrage'!$H$28)+(1-IFERROR(INDEX('06_Historique'!$G$66:$G$73,MATCH(C34,'06_Historique'!$A$66:$A$73,0)),'01_Cadrage'!$H$28))*'01_Cadrage'!$H$26,1)</f>
        <v/>
      </c>
      <c r="AH34" s="21">
        <f>AD34*AE34*AF34+AB34*'01_Cadrage'!$H$24</f>
        <v/>
      </c>
      <c r="AI34" s="54">
        <f>IF(AD34&lt;=0,0,MAX(1,ROUNDUP(AD34/O34,0)))</f>
        <v/>
      </c>
      <c r="AJ34" s="21">
        <f>AI34*U34</f>
        <v/>
      </c>
      <c r="AK34" s="21">
        <f>AD34*R34*(1+'01_Cadrage'!$H$20)</f>
        <v/>
      </c>
      <c r="AL34" s="21">
        <f>H34*S34*(1+Y34)</f>
        <v/>
      </c>
      <c r="AM34" s="20">
        <f>AH34-AJ34-AK34-AL34-AD34*'01_Cadrage'!$H$27*(1+'01_Cadrage'!$H$20)</f>
        <v/>
      </c>
      <c r="AN34" s="56">
        <f>IFERROR(AD34/(AI34*O34),0)</f>
        <v/>
      </c>
      <c r="AO34" s="55">
        <f>IFERROR(AM34/AD34,0)</f>
        <v/>
      </c>
      <c r="AP34" s="54">
        <f>IFERROR(AI34*U34/(AE34*AF34-R34*(1+'01_Cadrage'!$H$20)),0)</f>
        <v/>
      </c>
    </row>
    <row r="35">
      <c r="A35" s="51">
        <f>'06_Historique'!A36</f>
        <v/>
      </c>
      <c r="B35" s="10">
        <f>'06_Historique'!B36</f>
        <v/>
      </c>
      <c r="C35" s="51">
        <f>'06_Historique'!C36</f>
        <v/>
      </c>
      <c r="D35" s="10">
        <f>'06_Historique'!E36</f>
        <v/>
      </c>
      <c r="E35" s="10">
        <f>'06_Historique'!F36</f>
        <v/>
      </c>
      <c r="F35" s="52">
        <f>'06_Historique'!G36</f>
        <v/>
      </c>
      <c r="G35" s="52">
        <f>'06_Historique'!K36</f>
        <v/>
      </c>
      <c r="H35" s="52">
        <f>'06_Historique'!I36</f>
        <v/>
      </c>
      <c r="I35" s="52">
        <f>'06_Historique'!J36</f>
        <v/>
      </c>
      <c r="J35" s="52">
        <f>'06_Historique'!H36</f>
        <v/>
      </c>
      <c r="K35" s="52">
        <f>'06_Historique'!L36</f>
        <v/>
      </c>
      <c r="L35" s="53">
        <f>'06_Historique'!M36</f>
        <v/>
      </c>
      <c r="M35" s="52">
        <f>'06_Historique'!N36</f>
        <v/>
      </c>
      <c r="N35" s="9">
        <f>C35&amp;"|"&amp;D35</f>
        <v/>
      </c>
      <c r="O35" s="54">
        <f>INDEX('05_Param_Prog_Annee'!$E$4:$E$23,MATCH(N35,'05_Param_Prog_Annee'!$A$4:$A$23,0))</f>
        <v/>
      </c>
      <c r="P35" s="54">
        <f>INDEX('05_Param_Prog_Annee'!$F$4:$F$23,MATCH(N35,'05_Param_Prog_Annee'!$A$4:$A$23,0))</f>
        <v/>
      </c>
      <c r="Q35" s="55">
        <f>INDEX('05_Param_Prog_Annee'!$G$4:$G$23,MATCH(N35,'05_Param_Prog_Annee'!$A$4:$A$23,0))</f>
        <v/>
      </c>
      <c r="R35" s="55">
        <f>INDEX('05_Param_Prog_Annee'!$H$4:$H$23,MATCH(N35,'05_Param_Prog_Annee'!$A$4:$A$23,0))</f>
        <v/>
      </c>
      <c r="S35" s="55">
        <f>INDEX('05_Param_Prog_Annee'!$I$4:$I$23,MATCH(N35,'05_Param_Prog_Annee'!$A$4:$A$23,0))</f>
        <v/>
      </c>
      <c r="T35" s="56">
        <f>IFERROR(INDEX('05_Param_Prog_Annee'!$J$4:$J$23,MATCH(N35,'05_Param_Prog_Annee'!$A$4:$A$23,0)),0)</f>
        <v/>
      </c>
      <c r="U35" s="55">
        <f>P35*Q35*(1+'01_Cadrage'!$H$21)</f>
        <v/>
      </c>
      <c r="V35" s="46">
        <f>INDEX('01_Cadrage'!$L$7:$L$20,MATCH(A35&amp;"|"&amp;B35,'01_Cadrage'!$O$7:$O$20,0))</f>
        <v/>
      </c>
      <c r="W35" s="46">
        <f>INDEX('01_Cadrage'!$M$7:$M$20,MATCH(A35&amp;"|"&amp;B35,'01_Cadrage'!$O$7:$O$20,0))</f>
        <v/>
      </c>
      <c r="X35" s="46">
        <f>IFERROR(INDEX('06_Historique'!$F$66:$F$73,MATCH(C35,'06_Historique'!$A$66:$A$73,0)),'01_Cadrage'!$H$29)</f>
        <v/>
      </c>
      <c r="Y35" s="56">
        <f>'01_Cadrage'!$H$16*V35</f>
        <v/>
      </c>
      <c r="Z35" s="54">
        <f>IF(F35=1,J35*(1+X35*Y35),0)</f>
        <v/>
      </c>
      <c r="AA35" s="56">
        <f>IF(F35=1,IFERROR(H35/J35,'01_Cadrage'!$H$30)+'01_Cadrage'!$H$18,0)</f>
        <v/>
      </c>
      <c r="AB35" s="54">
        <f>Z35*AA35</f>
        <v/>
      </c>
      <c r="AC35" s="54">
        <f>IF(F35=1,0,K35*(T35+'01_Cadrage'!$H$19))</f>
        <v/>
      </c>
      <c r="AD35" s="57">
        <f>AB35+AC35</f>
        <v/>
      </c>
      <c r="AE35" s="55">
        <f>L35*(1+'01_Cadrage'!$H$17*W35)</f>
        <v/>
      </c>
      <c r="AF35" s="46">
        <f>IF(E35="ALT",'01_Cadrage'!$H$28+(1-'01_Cadrage'!$H$28)*'01_Cadrage'!$H$26,1)</f>
        <v/>
      </c>
      <c r="AG35" s="46">
        <f>IF(E35="ALT",IFERROR(INDEX('06_Historique'!$G$66:$G$73,MATCH(C35,'06_Historique'!$A$66:$A$73,0)),'01_Cadrage'!$H$28)+(1-IFERROR(INDEX('06_Historique'!$G$66:$G$73,MATCH(C35,'06_Historique'!$A$66:$A$73,0)),'01_Cadrage'!$H$28))*'01_Cadrage'!$H$26,1)</f>
        <v/>
      </c>
      <c r="AH35" s="21">
        <f>AD35*AE35*AF35+AB35*'01_Cadrage'!$H$24</f>
        <v/>
      </c>
      <c r="AI35" s="54">
        <f>IF(AD35&lt;=0,0,MAX(1,ROUNDUP(AD35/O35,0)))</f>
        <v/>
      </c>
      <c r="AJ35" s="21">
        <f>AI35*U35</f>
        <v/>
      </c>
      <c r="AK35" s="21">
        <f>AD35*R35*(1+'01_Cadrage'!$H$20)</f>
        <v/>
      </c>
      <c r="AL35" s="21">
        <f>H35*S35*(1+Y35)</f>
        <v/>
      </c>
      <c r="AM35" s="20">
        <f>AH35-AJ35-AK35-AL35-AD35*'01_Cadrage'!$H$27*(1+'01_Cadrage'!$H$20)</f>
        <v/>
      </c>
      <c r="AN35" s="56">
        <f>IFERROR(AD35/(AI35*O35),0)</f>
        <v/>
      </c>
      <c r="AO35" s="55">
        <f>IFERROR(AM35/AD35,0)</f>
        <v/>
      </c>
      <c r="AP35" s="54">
        <f>IFERROR(AI35*U35/(AE35*AF35-R35*(1+'01_Cadrage'!$H$20)),0)</f>
        <v/>
      </c>
    </row>
    <row r="36">
      <c r="A36" s="51">
        <f>'06_Historique'!A37</f>
        <v/>
      </c>
      <c r="B36" s="10">
        <f>'06_Historique'!B37</f>
        <v/>
      </c>
      <c r="C36" s="51">
        <f>'06_Historique'!C37</f>
        <v/>
      </c>
      <c r="D36" s="10">
        <f>'06_Historique'!E37</f>
        <v/>
      </c>
      <c r="E36" s="10">
        <f>'06_Historique'!F37</f>
        <v/>
      </c>
      <c r="F36" s="52">
        <f>'06_Historique'!G37</f>
        <v/>
      </c>
      <c r="G36" s="52">
        <f>'06_Historique'!K37</f>
        <v/>
      </c>
      <c r="H36" s="52">
        <f>'06_Historique'!I37</f>
        <v/>
      </c>
      <c r="I36" s="52">
        <f>'06_Historique'!J37</f>
        <v/>
      </c>
      <c r="J36" s="52">
        <f>'06_Historique'!H37</f>
        <v/>
      </c>
      <c r="K36" s="52">
        <f>'06_Historique'!L37</f>
        <v/>
      </c>
      <c r="L36" s="53">
        <f>'06_Historique'!M37</f>
        <v/>
      </c>
      <c r="M36" s="52">
        <f>'06_Historique'!N37</f>
        <v/>
      </c>
      <c r="N36" s="9">
        <f>C36&amp;"|"&amp;D36</f>
        <v/>
      </c>
      <c r="O36" s="54">
        <f>INDEX('05_Param_Prog_Annee'!$E$4:$E$23,MATCH(N36,'05_Param_Prog_Annee'!$A$4:$A$23,0))</f>
        <v/>
      </c>
      <c r="P36" s="54">
        <f>INDEX('05_Param_Prog_Annee'!$F$4:$F$23,MATCH(N36,'05_Param_Prog_Annee'!$A$4:$A$23,0))</f>
        <v/>
      </c>
      <c r="Q36" s="55">
        <f>INDEX('05_Param_Prog_Annee'!$G$4:$G$23,MATCH(N36,'05_Param_Prog_Annee'!$A$4:$A$23,0))</f>
        <v/>
      </c>
      <c r="R36" s="55">
        <f>INDEX('05_Param_Prog_Annee'!$H$4:$H$23,MATCH(N36,'05_Param_Prog_Annee'!$A$4:$A$23,0))</f>
        <v/>
      </c>
      <c r="S36" s="55">
        <f>INDEX('05_Param_Prog_Annee'!$I$4:$I$23,MATCH(N36,'05_Param_Prog_Annee'!$A$4:$A$23,0))</f>
        <v/>
      </c>
      <c r="T36" s="56">
        <f>IFERROR(INDEX('05_Param_Prog_Annee'!$J$4:$J$23,MATCH(N36,'05_Param_Prog_Annee'!$A$4:$A$23,0)),0)</f>
        <v/>
      </c>
      <c r="U36" s="55">
        <f>P36*Q36*(1+'01_Cadrage'!$H$21)</f>
        <v/>
      </c>
      <c r="V36" s="46">
        <f>INDEX('01_Cadrage'!$L$7:$L$20,MATCH(A36&amp;"|"&amp;B36,'01_Cadrage'!$O$7:$O$20,0))</f>
        <v/>
      </c>
      <c r="W36" s="46">
        <f>INDEX('01_Cadrage'!$M$7:$M$20,MATCH(A36&amp;"|"&amp;B36,'01_Cadrage'!$O$7:$O$20,0))</f>
        <v/>
      </c>
      <c r="X36" s="46">
        <f>IFERROR(INDEX('06_Historique'!$F$66:$F$73,MATCH(C36,'06_Historique'!$A$66:$A$73,0)),'01_Cadrage'!$H$29)</f>
        <v/>
      </c>
      <c r="Y36" s="56">
        <f>'01_Cadrage'!$H$16*V36</f>
        <v/>
      </c>
      <c r="Z36" s="54">
        <f>IF(F36=1,J36*(1+X36*Y36),0)</f>
        <v/>
      </c>
      <c r="AA36" s="56">
        <f>IF(F36=1,IFERROR(H36/J36,'01_Cadrage'!$H$30)+'01_Cadrage'!$H$18,0)</f>
        <v/>
      </c>
      <c r="AB36" s="54">
        <f>Z36*AA36</f>
        <v/>
      </c>
      <c r="AC36" s="54">
        <f>IF(F36=1,0,K36*(T36+'01_Cadrage'!$H$19))</f>
        <v/>
      </c>
      <c r="AD36" s="57">
        <f>AB36+AC36</f>
        <v/>
      </c>
      <c r="AE36" s="55">
        <f>L36*(1+'01_Cadrage'!$H$17*W36)</f>
        <v/>
      </c>
      <c r="AF36" s="46">
        <f>IF(E36="ALT",'01_Cadrage'!$H$28+(1-'01_Cadrage'!$H$28)*'01_Cadrage'!$H$26,1)</f>
        <v/>
      </c>
      <c r="AG36" s="46">
        <f>IF(E36="ALT",IFERROR(INDEX('06_Historique'!$G$66:$G$73,MATCH(C36,'06_Historique'!$A$66:$A$73,0)),'01_Cadrage'!$H$28)+(1-IFERROR(INDEX('06_Historique'!$G$66:$G$73,MATCH(C36,'06_Historique'!$A$66:$A$73,0)),'01_Cadrage'!$H$28))*'01_Cadrage'!$H$26,1)</f>
        <v/>
      </c>
      <c r="AH36" s="21">
        <f>AD36*AE36*AF36+AB36*'01_Cadrage'!$H$24</f>
        <v/>
      </c>
      <c r="AI36" s="54">
        <f>IF(AD36&lt;=0,0,MAX(1,ROUNDUP(AD36/O36,0)))</f>
        <v/>
      </c>
      <c r="AJ36" s="21">
        <f>AI36*U36</f>
        <v/>
      </c>
      <c r="AK36" s="21">
        <f>AD36*R36*(1+'01_Cadrage'!$H$20)</f>
        <v/>
      </c>
      <c r="AL36" s="21">
        <f>H36*S36*(1+Y36)</f>
        <v/>
      </c>
      <c r="AM36" s="20">
        <f>AH36-AJ36-AK36-AL36-AD36*'01_Cadrage'!$H$27*(1+'01_Cadrage'!$H$20)</f>
        <v/>
      </c>
      <c r="AN36" s="56">
        <f>IFERROR(AD36/(AI36*O36),0)</f>
        <v/>
      </c>
      <c r="AO36" s="55">
        <f>IFERROR(AM36/AD36,0)</f>
        <v/>
      </c>
      <c r="AP36" s="54">
        <f>IFERROR(AI36*U36/(AE36*AF36-R36*(1+'01_Cadrage'!$H$20)),0)</f>
        <v/>
      </c>
    </row>
    <row r="37">
      <c r="A37" s="51">
        <f>'06_Historique'!A38</f>
        <v/>
      </c>
      <c r="B37" s="10">
        <f>'06_Historique'!B38</f>
        <v/>
      </c>
      <c r="C37" s="51">
        <f>'06_Historique'!C38</f>
        <v/>
      </c>
      <c r="D37" s="10">
        <f>'06_Historique'!E38</f>
        <v/>
      </c>
      <c r="E37" s="10">
        <f>'06_Historique'!F38</f>
        <v/>
      </c>
      <c r="F37" s="52">
        <f>'06_Historique'!G38</f>
        <v/>
      </c>
      <c r="G37" s="52">
        <f>'06_Historique'!K38</f>
        <v/>
      </c>
      <c r="H37" s="52">
        <f>'06_Historique'!I38</f>
        <v/>
      </c>
      <c r="I37" s="52">
        <f>'06_Historique'!J38</f>
        <v/>
      </c>
      <c r="J37" s="52">
        <f>'06_Historique'!H38</f>
        <v/>
      </c>
      <c r="K37" s="52">
        <f>'06_Historique'!L38</f>
        <v/>
      </c>
      <c r="L37" s="53">
        <f>'06_Historique'!M38</f>
        <v/>
      </c>
      <c r="M37" s="52">
        <f>'06_Historique'!N38</f>
        <v/>
      </c>
      <c r="N37" s="9">
        <f>C37&amp;"|"&amp;D37</f>
        <v/>
      </c>
      <c r="O37" s="54">
        <f>INDEX('05_Param_Prog_Annee'!$E$4:$E$23,MATCH(N37,'05_Param_Prog_Annee'!$A$4:$A$23,0))</f>
        <v/>
      </c>
      <c r="P37" s="54">
        <f>INDEX('05_Param_Prog_Annee'!$F$4:$F$23,MATCH(N37,'05_Param_Prog_Annee'!$A$4:$A$23,0))</f>
        <v/>
      </c>
      <c r="Q37" s="55">
        <f>INDEX('05_Param_Prog_Annee'!$G$4:$G$23,MATCH(N37,'05_Param_Prog_Annee'!$A$4:$A$23,0))</f>
        <v/>
      </c>
      <c r="R37" s="55">
        <f>INDEX('05_Param_Prog_Annee'!$H$4:$H$23,MATCH(N37,'05_Param_Prog_Annee'!$A$4:$A$23,0))</f>
        <v/>
      </c>
      <c r="S37" s="55">
        <f>INDEX('05_Param_Prog_Annee'!$I$4:$I$23,MATCH(N37,'05_Param_Prog_Annee'!$A$4:$A$23,0))</f>
        <v/>
      </c>
      <c r="T37" s="56">
        <f>IFERROR(INDEX('05_Param_Prog_Annee'!$J$4:$J$23,MATCH(N37,'05_Param_Prog_Annee'!$A$4:$A$23,0)),0)</f>
        <v/>
      </c>
      <c r="U37" s="55">
        <f>P37*Q37*(1+'01_Cadrage'!$H$21)</f>
        <v/>
      </c>
      <c r="V37" s="46">
        <f>INDEX('01_Cadrage'!$L$7:$L$20,MATCH(A37&amp;"|"&amp;B37,'01_Cadrage'!$O$7:$O$20,0))</f>
        <v/>
      </c>
      <c r="W37" s="46">
        <f>INDEX('01_Cadrage'!$M$7:$M$20,MATCH(A37&amp;"|"&amp;B37,'01_Cadrage'!$O$7:$O$20,0))</f>
        <v/>
      </c>
      <c r="X37" s="46">
        <f>IFERROR(INDEX('06_Historique'!$F$66:$F$73,MATCH(C37,'06_Historique'!$A$66:$A$73,0)),'01_Cadrage'!$H$29)</f>
        <v/>
      </c>
      <c r="Y37" s="56">
        <f>'01_Cadrage'!$H$16*V37</f>
        <v/>
      </c>
      <c r="Z37" s="54">
        <f>IF(F37=1,J37*(1+X37*Y37),0)</f>
        <v/>
      </c>
      <c r="AA37" s="56">
        <f>IF(F37=1,IFERROR(H37/J37,'01_Cadrage'!$H$30)+'01_Cadrage'!$H$18,0)</f>
        <v/>
      </c>
      <c r="AB37" s="54">
        <f>Z37*AA37</f>
        <v/>
      </c>
      <c r="AC37" s="54">
        <f>IF(F37=1,0,K37*(T37+'01_Cadrage'!$H$19))</f>
        <v/>
      </c>
      <c r="AD37" s="57">
        <f>AB37+AC37</f>
        <v/>
      </c>
      <c r="AE37" s="55">
        <f>L37*(1+'01_Cadrage'!$H$17*W37)</f>
        <v/>
      </c>
      <c r="AF37" s="46">
        <f>IF(E37="ALT",'01_Cadrage'!$H$28+(1-'01_Cadrage'!$H$28)*'01_Cadrage'!$H$26,1)</f>
        <v/>
      </c>
      <c r="AG37" s="46">
        <f>IF(E37="ALT",IFERROR(INDEX('06_Historique'!$G$66:$G$73,MATCH(C37,'06_Historique'!$A$66:$A$73,0)),'01_Cadrage'!$H$28)+(1-IFERROR(INDEX('06_Historique'!$G$66:$G$73,MATCH(C37,'06_Historique'!$A$66:$A$73,0)),'01_Cadrage'!$H$28))*'01_Cadrage'!$H$26,1)</f>
        <v/>
      </c>
      <c r="AH37" s="21">
        <f>AD37*AE37*AF37+AB37*'01_Cadrage'!$H$24</f>
        <v/>
      </c>
      <c r="AI37" s="54">
        <f>IF(AD37&lt;=0,0,MAX(1,ROUNDUP(AD37/O37,0)))</f>
        <v/>
      </c>
      <c r="AJ37" s="21">
        <f>AI37*U37</f>
        <v/>
      </c>
      <c r="AK37" s="21">
        <f>AD37*R37*(1+'01_Cadrage'!$H$20)</f>
        <v/>
      </c>
      <c r="AL37" s="21">
        <f>H37*S37*(1+Y37)</f>
        <v/>
      </c>
      <c r="AM37" s="20">
        <f>AH37-AJ37-AK37-AL37-AD37*'01_Cadrage'!$H$27*(1+'01_Cadrage'!$H$20)</f>
        <v/>
      </c>
      <c r="AN37" s="56">
        <f>IFERROR(AD37/(AI37*O37),0)</f>
        <v/>
      </c>
      <c r="AO37" s="55">
        <f>IFERROR(AM37/AD37,0)</f>
        <v/>
      </c>
      <c r="AP37" s="54">
        <f>IFERROR(AI37*U37/(AE37*AF37-R37*(1+'01_Cadrage'!$H$20)),0)</f>
        <v/>
      </c>
    </row>
    <row r="38">
      <c r="A38" s="51">
        <f>'06_Historique'!A39</f>
        <v/>
      </c>
      <c r="B38" s="10">
        <f>'06_Historique'!B39</f>
        <v/>
      </c>
      <c r="C38" s="51">
        <f>'06_Historique'!C39</f>
        <v/>
      </c>
      <c r="D38" s="10">
        <f>'06_Historique'!E39</f>
        <v/>
      </c>
      <c r="E38" s="10">
        <f>'06_Historique'!F39</f>
        <v/>
      </c>
      <c r="F38" s="52">
        <f>'06_Historique'!G39</f>
        <v/>
      </c>
      <c r="G38" s="52">
        <f>'06_Historique'!K39</f>
        <v/>
      </c>
      <c r="H38" s="52">
        <f>'06_Historique'!I39</f>
        <v/>
      </c>
      <c r="I38" s="52">
        <f>'06_Historique'!J39</f>
        <v/>
      </c>
      <c r="J38" s="52">
        <f>'06_Historique'!H39</f>
        <v/>
      </c>
      <c r="K38" s="52">
        <f>'06_Historique'!L39</f>
        <v/>
      </c>
      <c r="L38" s="53">
        <f>'06_Historique'!M39</f>
        <v/>
      </c>
      <c r="M38" s="52">
        <f>'06_Historique'!N39</f>
        <v/>
      </c>
      <c r="N38" s="9">
        <f>C38&amp;"|"&amp;D38</f>
        <v/>
      </c>
      <c r="O38" s="54">
        <f>INDEX('05_Param_Prog_Annee'!$E$4:$E$23,MATCH(N38,'05_Param_Prog_Annee'!$A$4:$A$23,0))</f>
        <v/>
      </c>
      <c r="P38" s="54">
        <f>INDEX('05_Param_Prog_Annee'!$F$4:$F$23,MATCH(N38,'05_Param_Prog_Annee'!$A$4:$A$23,0))</f>
        <v/>
      </c>
      <c r="Q38" s="55">
        <f>INDEX('05_Param_Prog_Annee'!$G$4:$G$23,MATCH(N38,'05_Param_Prog_Annee'!$A$4:$A$23,0))</f>
        <v/>
      </c>
      <c r="R38" s="55">
        <f>INDEX('05_Param_Prog_Annee'!$H$4:$H$23,MATCH(N38,'05_Param_Prog_Annee'!$A$4:$A$23,0))</f>
        <v/>
      </c>
      <c r="S38" s="55">
        <f>INDEX('05_Param_Prog_Annee'!$I$4:$I$23,MATCH(N38,'05_Param_Prog_Annee'!$A$4:$A$23,0))</f>
        <v/>
      </c>
      <c r="T38" s="56">
        <f>IFERROR(INDEX('05_Param_Prog_Annee'!$J$4:$J$23,MATCH(N38,'05_Param_Prog_Annee'!$A$4:$A$23,0)),0)</f>
        <v/>
      </c>
      <c r="U38" s="55">
        <f>P38*Q38*(1+'01_Cadrage'!$H$21)</f>
        <v/>
      </c>
      <c r="V38" s="46">
        <f>INDEX('01_Cadrage'!$L$7:$L$20,MATCH(A38&amp;"|"&amp;B38,'01_Cadrage'!$O$7:$O$20,0))</f>
        <v/>
      </c>
      <c r="W38" s="46">
        <f>INDEX('01_Cadrage'!$M$7:$M$20,MATCH(A38&amp;"|"&amp;B38,'01_Cadrage'!$O$7:$O$20,0))</f>
        <v/>
      </c>
      <c r="X38" s="46">
        <f>IFERROR(INDEX('06_Historique'!$F$66:$F$73,MATCH(C38,'06_Historique'!$A$66:$A$73,0)),'01_Cadrage'!$H$29)</f>
        <v/>
      </c>
      <c r="Y38" s="56">
        <f>'01_Cadrage'!$H$16*V38</f>
        <v/>
      </c>
      <c r="Z38" s="54">
        <f>IF(F38=1,J38*(1+X38*Y38),0)</f>
        <v/>
      </c>
      <c r="AA38" s="56">
        <f>IF(F38=1,IFERROR(H38/J38,'01_Cadrage'!$H$30)+'01_Cadrage'!$H$18,0)</f>
        <v/>
      </c>
      <c r="AB38" s="54">
        <f>Z38*AA38</f>
        <v/>
      </c>
      <c r="AC38" s="54">
        <f>IF(F38=1,0,K38*(T38+'01_Cadrage'!$H$19))</f>
        <v/>
      </c>
      <c r="AD38" s="57">
        <f>AB38+AC38</f>
        <v/>
      </c>
      <c r="AE38" s="55">
        <f>L38*(1+'01_Cadrage'!$H$17*W38)</f>
        <v/>
      </c>
      <c r="AF38" s="46">
        <f>IF(E38="ALT",'01_Cadrage'!$H$28+(1-'01_Cadrage'!$H$28)*'01_Cadrage'!$H$26,1)</f>
        <v/>
      </c>
      <c r="AG38" s="46">
        <f>IF(E38="ALT",IFERROR(INDEX('06_Historique'!$G$66:$G$73,MATCH(C38,'06_Historique'!$A$66:$A$73,0)),'01_Cadrage'!$H$28)+(1-IFERROR(INDEX('06_Historique'!$G$66:$G$73,MATCH(C38,'06_Historique'!$A$66:$A$73,0)),'01_Cadrage'!$H$28))*'01_Cadrage'!$H$26,1)</f>
        <v/>
      </c>
      <c r="AH38" s="21">
        <f>AD38*AE38*AF38+AB38*'01_Cadrage'!$H$24</f>
        <v/>
      </c>
      <c r="AI38" s="54">
        <f>IF(AD38&lt;=0,0,MAX(1,ROUNDUP(AD38/O38,0)))</f>
        <v/>
      </c>
      <c r="AJ38" s="21">
        <f>AI38*U38</f>
        <v/>
      </c>
      <c r="AK38" s="21">
        <f>AD38*R38*(1+'01_Cadrage'!$H$20)</f>
        <v/>
      </c>
      <c r="AL38" s="21">
        <f>H38*S38*(1+Y38)</f>
        <v/>
      </c>
      <c r="AM38" s="20">
        <f>AH38-AJ38-AK38-AL38-AD38*'01_Cadrage'!$H$27*(1+'01_Cadrage'!$H$20)</f>
        <v/>
      </c>
      <c r="AN38" s="56">
        <f>IFERROR(AD38/(AI38*O38),0)</f>
        <v/>
      </c>
      <c r="AO38" s="55">
        <f>IFERROR(AM38/AD38,0)</f>
        <v/>
      </c>
      <c r="AP38" s="54">
        <f>IFERROR(AI38*U38/(AE38*AF38-R38*(1+'01_Cadrage'!$H$20)),0)</f>
        <v/>
      </c>
    </row>
    <row r="39">
      <c r="A39" s="51">
        <f>'06_Historique'!A40</f>
        <v/>
      </c>
      <c r="B39" s="10">
        <f>'06_Historique'!B40</f>
        <v/>
      </c>
      <c r="C39" s="51">
        <f>'06_Historique'!C40</f>
        <v/>
      </c>
      <c r="D39" s="10">
        <f>'06_Historique'!E40</f>
        <v/>
      </c>
      <c r="E39" s="10">
        <f>'06_Historique'!F40</f>
        <v/>
      </c>
      <c r="F39" s="52">
        <f>'06_Historique'!G40</f>
        <v/>
      </c>
      <c r="G39" s="52">
        <f>'06_Historique'!K40</f>
        <v/>
      </c>
      <c r="H39" s="52">
        <f>'06_Historique'!I40</f>
        <v/>
      </c>
      <c r="I39" s="52">
        <f>'06_Historique'!J40</f>
        <v/>
      </c>
      <c r="J39" s="52">
        <f>'06_Historique'!H40</f>
        <v/>
      </c>
      <c r="K39" s="52">
        <f>'06_Historique'!L40</f>
        <v/>
      </c>
      <c r="L39" s="53">
        <f>'06_Historique'!M40</f>
        <v/>
      </c>
      <c r="M39" s="52">
        <f>'06_Historique'!N40</f>
        <v/>
      </c>
      <c r="N39" s="9">
        <f>C39&amp;"|"&amp;D39</f>
        <v/>
      </c>
      <c r="O39" s="54">
        <f>INDEX('05_Param_Prog_Annee'!$E$4:$E$23,MATCH(N39,'05_Param_Prog_Annee'!$A$4:$A$23,0))</f>
        <v/>
      </c>
      <c r="P39" s="54">
        <f>INDEX('05_Param_Prog_Annee'!$F$4:$F$23,MATCH(N39,'05_Param_Prog_Annee'!$A$4:$A$23,0))</f>
        <v/>
      </c>
      <c r="Q39" s="55">
        <f>INDEX('05_Param_Prog_Annee'!$G$4:$G$23,MATCH(N39,'05_Param_Prog_Annee'!$A$4:$A$23,0))</f>
        <v/>
      </c>
      <c r="R39" s="55">
        <f>INDEX('05_Param_Prog_Annee'!$H$4:$H$23,MATCH(N39,'05_Param_Prog_Annee'!$A$4:$A$23,0))</f>
        <v/>
      </c>
      <c r="S39" s="55">
        <f>INDEX('05_Param_Prog_Annee'!$I$4:$I$23,MATCH(N39,'05_Param_Prog_Annee'!$A$4:$A$23,0))</f>
        <v/>
      </c>
      <c r="T39" s="56">
        <f>IFERROR(INDEX('05_Param_Prog_Annee'!$J$4:$J$23,MATCH(N39,'05_Param_Prog_Annee'!$A$4:$A$23,0)),0)</f>
        <v/>
      </c>
      <c r="U39" s="55">
        <f>P39*Q39*(1+'01_Cadrage'!$H$21)</f>
        <v/>
      </c>
      <c r="V39" s="46">
        <f>INDEX('01_Cadrage'!$L$7:$L$20,MATCH(A39&amp;"|"&amp;B39,'01_Cadrage'!$O$7:$O$20,0))</f>
        <v/>
      </c>
      <c r="W39" s="46">
        <f>INDEX('01_Cadrage'!$M$7:$M$20,MATCH(A39&amp;"|"&amp;B39,'01_Cadrage'!$O$7:$O$20,0))</f>
        <v/>
      </c>
      <c r="X39" s="46">
        <f>IFERROR(INDEX('06_Historique'!$F$66:$F$73,MATCH(C39,'06_Historique'!$A$66:$A$73,0)),'01_Cadrage'!$H$29)</f>
        <v/>
      </c>
      <c r="Y39" s="56">
        <f>'01_Cadrage'!$H$16*V39</f>
        <v/>
      </c>
      <c r="Z39" s="54">
        <f>IF(F39=1,J39*(1+X39*Y39),0)</f>
        <v/>
      </c>
      <c r="AA39" s="56">
        <f>IF(F39=1,IFERROR(H39/J39,'01_Cadrage'!$H$30)+'01_Cadrage'!$H$18,0)</f>
        <v/>
      </c>
      <c r="AB39" s="54">
        <f>Z39*AA39</f>
        <v/>
      </c>
      <c r="AC39" s="54">
        <f>IF(F39=1,0,K39*(T39+'01_Cadrage'!$H$19))</f>
        <v/>
      </c>
      <c r="AD39" s="57">
        <f>AB39+AC39</f>
        <v/>
      </c>
      <c r="AE39" s="55">
        <f>L39*(1+'01_Cadrage'!$H$17*W39)</f>
        <v/>
      </c>
      <c r="AF39" s="46">
        <f>IF(E39="ALT",'01_Cadrage'!$H$28+(1-'01_Cadrage'!$H$28)*'01_Cadrage'!$H$26,1)</f>
        <v/>
      </c>
      <c r="AG39" s="46">
        <f>IF(E39="ALT",IFERROR(INDEX('06_Historique'!$G$66:$G$73,MATCH(C39,'06_Historique'!$A$66:$A$73,0)),'01_Cadrage'!$H$28)+(1-IFERROR(INDEX('06_Historique'!$G$66:$G$73,MATCH(C39,'06_Historique'!$A$66:$A$73,0)),'01_Cadrage'!$H$28))*'01_Cadrage'!$H$26,1)</f>
        <v/>
      </c>
      <c r="AH39" s="21">
        <f>AD39*AE39*AF39+AB39*'01_Cadrage'!$H$24</f>
        <v/>
      </c>
      <c r="AI39" s="54">
        <f>IF(AD39&lt;=0,0,MAX(1,ROUNDUP(AD39/O39,0)))</f>
        <v/>
      </c>
      <c r="AJ39" s="21">
        <f>AI39*U39</f>
        <v/>
      </c>
      <c r="AK39" s="21">
        <f>AD39*R39*(1+'01_Cadrage'!$H$20)</f>
        <v/>
      </c>
      <c r="AL39" s="21">
        <f>H39*S39*(1+Y39)</f>
        <v/>
      </c>
      <c r="AM39" s="20">
        <f>AH39-AJ39-AK39-AL39-AD39*'01_Cadrage'!$H$27*(1+'01_Cadrage'!$H$20)</f>
        <v/>
      </c>
      <c r="AN39" s="56">
        <f>IFERROR(AD39/(AI39*O39),0)</f>
        <v/>
      </c>
      <c r="AO39" s="55">
        <f>IFERROR(AM39/AD39,0)</f>
        <v/>
      </c>
      <c r="AP39" s="54">
        <f>IFERROR(AI39*U39/(AE39*AF39-R39*(1+'01_Cadrage'!$H$20)),0)</f>
        <v/>
      </c>
    </row>
    <row r="40">
      <c r="A40" s="51">
        <f>'06_Historique'!A41</f>
        <v/>
      </c>
      <c r="B40" s="10">
        <f>'06_Historique'!B41</f>
        <v/>
      </c>
      <c r="C40" s="51">
        <f>'06_Historique'!C41</f>
        <v/>
      </c>
      <c r="D40" s="10">
        <f>'06_Historique'!E41</f>
        <v/>
      </c>
      <c r="E40" s="10">
        <f>'06_Historique'!F41</f>
        <v/>
      </c>
      <c r="F40" s="52">
        <f>'06_Historique'!G41</f>
        <v/>
      </c>
      <c r="G40" s="52">
        <f>'06_Historique'!K41</f>
        <v/>
      </c>
      <c r="H40" s="52">
        <f>'06_Historique'!I41</f>
        <v/>
      </c>
      <c r="I40" s="52">
        <f>'06_Historique'!J41</f>
        <v/>
      </c>
      <c r="J40" s="52">
        <f>'06_Historique'!H41</f>
        <v/>
      </c>
      <c r="K40" s="52">
        <f>'06_Historique'!L41</f>
        <v/>
      </c>
      <c r="L40" s="53">
        <f>'06_Historique'!M41</f>
        <v/>
      </c>
      <c r="M40" s="52">
        <f>'06_Historique'!N41</f>
        <v/>
      </c>
      <c r="N40" s="9">
        <f>C40&amp;"|"&amp;D40</f>
        <v/>
      </c>
      <c r="O40" s="54">
        <f>INDEX('05_Param_Prog_Annee'!$E$4:$E$23,MATCH(N40,'05_Param_Prog_Annee'!$A$4:$A$23,0))</f>
        <v/>
      </c>
      <c r="P40" s="54">
        <f>INDEX('05_Param_Prog_Annee'!$F$4:$F$23,MATCH(N40,'05_Param_Prog_Annee'!$A$4:$A$23,0))</f>
        <v/>
      </c>
      <c r="Q40" s="55">
        <f>INDEX('05_Param_Prog_Annee'!$G$4:$G$23,MATCH(N40,'05_Param_Prog_Annee'!$A$4:$A$23,0))</f>
        <v/>
      </c>
      <c r="R40" s="55">
        <f>INDEX('05_Param_Prog_Annee'!$H$4:$H$23,MATCH(N40,'05_Param_Prog_Annee'!$A$4:$A$23,0))</f>
        <v/>
      </c>
      <c r="S40" s="55">
        <f>INDEX('05_Param_Prog_Annee'!$I$4:$I$23,MATCH(N40,'05_Param_Prog_Annee'!$A$4:$A$23,0))</f>
        <v/>
      </c>
      <c r="T40" s="56">
        <f>IFERROR(INDEX('05_Param_Prog_Annee'!$J$4:$J$23,MATCH(N40,'05_Param_Prog_Annee'!$A$4:$A$23,0)),0)</f>
        <v/>
      </c>
      <c r="U40" s="55">
        <f>P40*Q40*(1+'01_Cadrage'!$H$21)</f>
        <v/>
      </c>
      <c r="V40" s="46">
        <f>INDEX('01_Cadrage'!$L$7:$L$20,MATCH(A40&amp;"|"&amp;B40,'01_Cadrage'!$O$7:$O$20,0))</f>
        <v/>
      </c>
      <c r="W40" s="46">
        <f>INDEX('01_Cadrage'!$M$7:$M$20,MATCH(A40&amp;"|"&amp;B40,'01_Cadrage'!$O$7:$O$20,0))</f>
        <v/>
      </c>
      <c r="X40" s="46">
        <f>IFERROR(INDEX('06_Historique'!$F$66:$F$73,MATCH(C40,'06_Historique'!$A$66:$A$73,0)),'01_Cadrage'!$H$29)</f>
        <v/>
      </c>
      <c r="Y40" s="56">
        <f>'01_Cadrage'!$H$16*V40</f>
        <v/>
      </c>
      <c r="Z40" s="54">
        <f>IF(F40=1,J40*(1+X40*Y40),0)</f>
        <v/>
      </c>
      <c r="AA40" s="56">
        <f>IF(F40=1,IFERROR(H40/J40,'01_Cadrage'!$H$30)+'01_Cadrage'!$H$18,0)</f>
        <v/>
      </c>
      <c r="AB40" s="54">
        <f>Z40*AA40</f>
        <v/>
      </c>
      <c r="AC40" s="54">
        <f>IF(F40=1,0,K40*(T40+'01_Cadrage'!$H$19))</f>
        <v/>
      </c>
      <c r="AD40" s="57">
        <f>AB40+AC40</f>
        <v/>
      </c>
      <c r="AE40" s="55">
        <f>L40*(1+'01_Cadrage'!$H$17*W40)</f>
        <v/>
      </c>
      <c r="AF40" s="46">
        <f>IF(E40="ALT",'01_Cadrage'!$H$28+(1-'01_Cadrage'!$H$28)*'01_Cadrage'!$H$26,1)</f>
        <v/>
      </c>
      <c r="AG40" s="46">
        <f>IF(E40="ALT",IFERROR(INDEX('06_Historique'!$G$66:$G$73,MATCH(C40,'06_Historique'!$A$66:$A$73,0)),'01_Cadrage'!$H$28)+(1-IFERROR(INDEX('06_Historique'!$G$66:$G$73,MATCH(C40,'06_Historique'!$A$66:$A$73,0)),'01_Cadrage'!$H$28))*'01_Cadrage'!$H$26,1)</f>
        <v/>
      </c>
      <c r="AH40" s="21">
        <f>AD40*AE40*AF40+AB40*'01_Cadrage'!$H$24</f>
        <v/>
      </c>
      <c r="AI40" s="54">
        <f>IF(AD40&lt;=0,0,MAX(1,ROUNDUP(AD40/O40,0)))</f>
        <v/>
      </c>
      <c r="AJ40" s="21">
        <f>AI40*U40</f>
        <v/>
      </c>
      <c r="AK40" s="21">
        <f>AD40*R40*(1+'01_Cadrage'!$H$20)</f>
        <v/>
      </c>
      <c r="AL40" s="21">
        <f>H40*S40*(1+Y40)</f>
        <v/>
      </c>
      <c r="AM40" s="20">
        <f>AH40-AJ40-AK40-AL40-AD40*'01_Cadrage'!$H$27*(1+'01_Cadrage'!$H$20)</f>
        <v/>
      </c>
      <c r="AN40" s="56">
        <f>IFERROR(AD40/(AI40*O40),0)</f>
        <v/>
      </c>
      <c r="AO40" s="55">
        <f>IFERROR(AM40/AD40,0)</f>
        <v/>
      </c>
      <c r="AP40" s="54">
        <f>IFERROR(AI40*U40/(AE40*AF40-R40*(1+'01_Cadrage'!$H$20)),0)</f>
        <v/>
      </c>
    </row>
    <row r="41">
      <c r="A41" s="51">
        <f>'06_Historique'!A42</f>
        <v/>
      </c>
      <c r="B41" s="10">
        <f>'06_Historique'!B42</f>
        <v/>
      </c>
      <c r="C41" s="51">
        <f>'06_Historique'!C42</f>
        <v/>
      </c>
      <c r="D41" s="10">
        <f>'06_Historique'!E42</f>
        <v/>
      </c>
      <c r="E41" s="10">
        <f>'06_Historique'!F42</f>
        <v/>
      </c>
      <c r="F41" s="52">
        <f>'06_Historique'!G42</f>
        <v/>
      </c>
      <c r="G41" s="52">
        <f>'06_Historique'!K42</f>
        <v/>
      </c>
      <c r="H41" s="52">
        <f>'06_Historique'!I42</f>
        <v/>
      </c>
      <c r="I41" s="52">
        <f>'06_Historique'!J42</f>
        <v/>
      </c>
      <c r="J41" s="52">
        <f>'06_Historique'!H42</f>
        <v/>
      </c>
      <c r="K41" s="52">
        <f>'06_Historique'!L42</f>
        <v/>
      </c>
      <c r="L41" s="53">
        <f>'06_Historique'!M42</f>
        <v/>
      </c>
      <c r="M41" s="52">
        <f>'06_Historique'!N42</f>
        <v/>
      </c>
      <c r="N41" s="9">
        <f>C41&amp;"|"&amp;D41</f>
        <v/>
      </c>
      <c r="O41" s="54">
        <f>INDEX('05_Param_Prog_Annee'!$E$4:$E$23,MATCH(N41,'05_Param_Prog_Annee'!$A$4:$A$23,0))</f>
        <v/>
      </c>
      <c r="P41" s="54">
        <f>INDEX('05_Param_Prog_Annee'!$F$4:$F$23,MATCH(N41,'05_Param_Prog_Annee'!$A$4:$A$23,0))</f>
        <v/>
      </c>
      <c r="Q41" s="55">
        <f>INDEX('05_Param_Prog_Annee'!$G$4:$G$23,MATCH(N41,'05_Param_Prog_Annee'!$A$4:$A$23,0))</f>
        <v/>
      </c>
      <c r="R41" s="55">
        <f>INDEX('05_Param_Prog_Annee'!$H$4:$H$23,MATCH(N41,'05_Param_Prog_Annee'!$A$4:$A$23,0))</f>
        <v/>
      </c>
      <c r="S41" s="55">
        <f>INDEX('05_Param_Prog_Annee'!$I$4:$I$23,MATCH(N41,'05_Param_Prog_Annee'!$A$4:$A$23,0))</f>
        <v/>
      </c>
      <c r="T41" s="56">
        <f>IFERROR(INDEX('05_Param_Prog_Annee'!$J$4:$J$23,MATCH(N41,'05_Param_Prog_Annee'!$A$4:$A$23,0)),0)</f>
        <v/>
      </c>
      <c r="U41" s="55">
        <f>P41*Q41*(1+'01_Cadrage'!$H$21)</f>
        <v/>
      </c>
      <c r="V41" s="46">
        <f>INDEX('01_Cadrage'!$L$7:$L$20,MATCH(A41&amp;"|"&amp;B41,'01_Cadrage'!$O$7:$O$20,0))</f>
        <v/>
      </c>
      <c r="W41" s="46">
        <f>INDEX('01_Cadrage'!$M$7:$M$20,MATCH(A41&amp;"|"&amp;B41,'01_Cadrage'!$O$7:$O$20,0))</f>
        <v/>
      </c>
      <c r="X41" s="46">
        <f>IFERROR(INDEX('06_Historique'!$F$66:$F$73,MATCH(C41,'06_Historique'!$A$66:$A$73,0)),'01_Cadrage'!$H$29)</f>
        <v/>
      </c>
      <c r="Y41" s="56">
        <f>'01_Cadrage'!$H$16*V41</f>
        <v/>
      </c>
      <c r="Z41" s="54">
        <f>IF(F41=1,J41*(1+X41*Y41),0)</f>
        <v/>
      </c>
      <c r="AA41" s="56">
        <f>IF(F41=1,IFERROR(H41/J41,'01_Cadrage'!$H$30)+'01_Cadrage'!$H$18,0)</f>
        <v/>
      </c>
      <c r="AB41" s="54">
        <f>Z41*AA41</f>
        <v/>
      </c>
      <c r="AC41" s="54">
        <f>IF(F41=1,0,K41*(T41+'01_Cadrage'!$H$19))</f>
        <v/>
      </c>
      <c r="AD41" s="57">
        <f>AB41+AC41</f>
        <v/>
      </c>
      <c r="AE41" s="55">
        <f>L41*(1+'01_Cadrage'!$H$17*W41)</f>
        <v/>
      </c>
      <c r="AF41" s="46">
        <f>IF(E41="ALT",'01_Cadrage'!$H$28+(1-'01_Cadrage'!$H$28)*'01_Cadrage'!$H$26,1)</f>
        <v/>
      </c>
      <c r="AG41" s="46">
        <f>IF(E41="ALT",IFERROR(INDEX('06_Historique'!$G$66:$G$73,MATCH(C41,'06_Historique'!$A$66:$A$73,0)),'01_Cadrage'!$H$28)+(1-IFERROR(INDEX('06_Historique'!$G$66:$G$73,MATCH(C41,'06_Historique'!$A$66:$A$73,0)),'01_Cadrage'!$H$28))*'01_Cadrage'!$H$26,1)</f>
        <v/>
      </c>
      <c r="AH41" s="21">
        <f>AD41*AE41*AF41+AB41*'01_Cadrage'!$H$24</f>
        <v/>
      </c>
      <c r="AI41" s="54">
        <f>IF(AD41&lt;=0,0,MAX(1,ROUNDUP(AD41/O41,0)))</f>
        <v/>
      </c>
      <c r="AJ41" s="21">
        <f>AI41*U41</f>
        <v/>
      </c>
      <c r="AK41" s="21">
        <f>AD41*R41*(1+'01_Cadrage'!$H$20)</f>
        <v/>
      </c>
      <c r="AL41" s="21">
        <f>H41*S41*(1+Y41)</f>
        <v/>
      </c>
      <c r="AM41" s="20">
        <f>AH41-AJ41-AK41-AL41-AD41*'01_Cadrage'!$H$27*(1+'01_Cadrage'!$H$20)</f>
        <v/>
      </c>
      <c r="AN41" s="56">
        <f>IFERROR(AD41/(AI41*O41),0)</f>
        <v/>
      </c>
      <c r="AO41" s="55">
        <f>IFERROR(AM41/AD41,0)</f>
        <v/>
      </c>
      <c r="AP41" s="54">
        <f>IFERROR(AI41*U41/(AE41*AF41-R41*(1+'01_Cadrage'!$H$20)),0)</f>
        <v/>
      </c>
    </row>
    <row r="42">
      <c r="A42" s="51">
        <f>'06_Historique'!A43</f>
        <v/>
      </c>
      <c r="B42" s="10">
        <f>'06_Historique'!B43</f>
        <v/>
      </c>
      <c r="C42" s="51">
        <f>'06_Historique'!C43</f>
        <v/>
      </c>
      <c r="D42" s="10">
        <f>'06_Historique'!E43</f>
        <v/>
      </c>
      <c r="E42" s="10">
        <f>'06_Historique'!F43</f>
        <v/>
      </c>
      <c r="F42" s="52">
        <f>'06_Historique'!G43</f>
        <v/>
      </c>
      <c r="G42" s="52">
        <f>'06_Historique'!K43</f>
        <v/>
      </c>
      <c r="H42" s="52">
        <f>'06_Historique'!I43</f>
        <v/>
      </c>
      <c r="I42" s="52">
        <f>'06_Historique'!J43</f>
        <v/>
      </c>
      <c r="J42" s="52">
        <f>'06_Historique'!H43</f>
        <v/>
      </c>
      <c r="K42" s="52">
        <f>'06_Historique'!L43</f>
        <v/>
      </c>
      <c r="L42" s="53">
        <f>'06_Historique'!M43</f>
        <v/>
      </c>
      <c r="M42" s="52">
        <f>'06_Historique'!N43</f>
        <v/>
      </c>
      <c r="N42" s="9">
        <f>C42&amp;"|"&amp;D42</f>
        <v/>
      </c>
      <c r="O42" s="54">
        <f>INDEX('05_Param_Prog_Annee'!$E$4:$E$23,MATCH(N42,'05_Param_Prog_Annee'!$A$4:$A$23,0))</f>
        <v/>
      </c>
      <c r="P42" s="54">
        <f>INDEX('05_Param_Prog_Annee'!$F$4:$F$23,MATCH(N42,'05_Param_Prog_Annee'!$A$4:$A$23,0))</f>
        <v/>
      </c>
      <c r="Q42" s="55">
        <f>INDEX('05_Param_Prog_Annee'!$G$4:$G$23,MATCH(N42,'05_Param_Prog_Annee'!$A$4:$A$23,0))</f>
        <v/>
      </c>
      <c r="R42" s="55">
        <f>INDEX('05_Param_Prog_Annee'!$H$4:$H$23,MATCH(N42,'05_Param_Prog_Annee'!$A$4:$A$23,0))</f>
        <v/>
      </c>
      <c r="S42" s="55">
        <f>INDEX('05_Param_Prog_Annee'!$I$4:$I$23,MATCH(N42,'05_Param_Prog_Annee'!$A$4:$A$23,0))</f>
        <v/>
      </c>
      <c r="T42" s="56">
        <f>IFERROR(INDEX('05_Param_Prog_Annee'!$J$4:$J$23,MATCH(N42,'05_Param_Prog_Annee'!$A$4:$A$23,0)),0)</f>
        <v/>
      </c>
      <c r="U42" s="55">
        <f>P42*Q42*(1+'01_Cadrage'!$H$21)</f>
        <v/>
      </c>
      <c r="V42" s="46">
        <f>INDEX('01_Cadrage'!$L$7:$L$20,MATCH(A42&amp;"|"&amp;B42,'01_Cadrage'!$O$7:$O$20,0))</f>
        <v/>
      </c>
      <c r="W42" s="46">
        <f>INDEX('01_Cadrage'!$M$7:$M$20,MATCH(A42&amp;"|"&amp;B42,'01_Cadrage'!$O$7:$O$20,0))</f>
        <v/>
      </c>
      <c r="X42" s="46">
        <f>IFERROR(INDEX('06_Historique'!$F$66:$F$73,MATCH(C42,'06_Historique'!$A$66:$A$73,0)),'01_Cadrage'!$H$29)</f>
        <v/>
      </c>
      <c r="Y42" s="56">
        <f>'01_Cadrage'!$H$16*V42</f>
        <v/>
      </c>
      <c r="Z42" s="54">
        <f>IF(F42=1,J42*(1+X42*Y42),0)</f>
        <v/>
      </c>
      <c r="AA42" s="56">
        <f>IF(F42=1,IFERROR(H42/J42,'01_Cadrage'!$H$30)+'01_Cadrage'!$H$18,0)</f>
        <v/>
      </c>
      <c r="AB42" s="54">
        <f>Z42*AA42</f>
        <v/>
      </c>
      <c r="AC42" s="54">
        <f>IF(F42=1,0,K42*(T42+'01_Cadrage'!$H$19))</f>
        <v/>
      </c>
      <c r="AD42" s="57">
        <f>AB42+AC42</f>
        <v/>
      </c>
      <c r="AE42" s="55">
        <f>L42*(1+'01_Cadrage'!$H$17*W42)</f>
        <v/>
      </c>
      <c r="AF42" s="46">
        <f>IF(E42="ALT",'01_Cadrage'!$H$28+(1-'01_Cadrage'!$H$28)*'01_Cadrage'!$H$26,1)</f>
        <v/>
      </c>
      <c r="AG42" s="46">
        <f>IF(E42="ALT",IFERROR(INDEX('06_Historique'!$G$66:$G$73,MATCH(C42,'06_Historique'!$A$66:$A$73,0)),'01_Cadrage'!$H$28)+(1-IFERROR(INDEX('06_Historique'!$G$66:$G$73,MATCH(C42,'06_Historique'!$A$66:$A$73,0)),'01_Cadrage'!$H$28))*'01_Cadrage'!$H$26,1)</f>
        <v/>
      </c>
      <c r="AH42" s="21">
        <f>AD42*AE42*AF42+AB42*'01_Cadrage'!$H$24</f>
        <v/>
      </c>
      <c r="AI42" s="54">
        <f>IF(AD42&lt;=0,0,MAX(1,ROUNDUP(AD42/O42,0)))</f>
        <v/>
      </c>
      <c r="AJ42" s="21">
        <f>AI42*U42</f>
        <v/>
      </c>
      <c r="AK42" s="21">
        <f>AD42*R42*(1+'01_Cadrage'!$H$20)</f>
        <v/>
      </c>
      <c r="AL42" s="21">
        <f>H42*S42*(1+Y42)</f>
        <v/>
      </c>
      <c r="AM42" s="20">
        <f>AH42-AJ42-AK42-AL42-AD42*'01_Cadrage'!$H$27*(1+'01_Cadrage'!$H$20)</f>
        <v/>
      </c>
      <c r="AN42" s="56">
        <f>IFERROR(AD42/(AI42*O42),0)</f>
        <v/>
      </c>
      <c r="AO42" s="55">
        <f>IFERROR(AM42/AD42,0)</f>
        <v/>
      </c>
      <c r="AP42" s="54">
        <f>IFERROR(AI42*U42/(AE42*AF42-R42*(1+'01_Cadrage'!$H$20)),0)</f>
        <v/>
      </c>
    </row>
    <row r="43">
      <c r="A43" s="51">
        <f>'06_Historique'!A44</f>
        <v/>
      </c>
      <c r="B43" s="10">
        <f>'06_Historique'!B44</f>
        <v/>
      </c>
      <c r="C43" s="51">
        <f>'06_Historique'!C44</f>
        <v/>
      </c>
      <c r="D43" s="10">
        <f>'06_Historique'!E44</f>
        <v/>
      </c>
      <c r="E43" s="10">
        <f>'06_Historique'!F44</f>
        <v/>
      </c>
      <c r="F43" s="52">
        <f>'06_Historique'!G44</f>
        <v/>
      </c>
      <c r="G43" s="52">
        <f>'06_Historique'!K44</f>
        <v/>
      </c>
      <c r="H43" s="52">
        <f>'06_Historique'!I44</f>
        <v/>
      </c>
      <c r="I43" s="52">
        <f>'06_Historique'!J44</f>
        <v/>
      </c>
      <c r="J43" s="52">
        <f>'06_Historique'!H44</f>
        <v/>
      </c>
      <c r="K43" s="52">
        <f>'06_Historique'!L44</f>
        <v/>
      </c>
      <c r="L43" s="53">
        <f>'06_Historique'!M44</f>
        <v/>
      </c>
      <c r="M43" s="52">
        <f>'06_Historique'!N44</f>
        <v/>
      </c>
      <c r="N43" s="9">
        <f>C43&amp;"|"&amp;D43</f>
        <v/>
      </c>
      <c r="O43" s="54">
        <f>INDEX('05_Param_Prog_Annee'!$E$4:$E$23,MATCH(N43,'05_Param_Prog_Annee'!$A$4:$A$23,0))</f>
        <v/>
      </c>
      <c r="P43" s="54">
        <f>INDEX('05_Param_Prog_Annee'!$F$4:$F$23,MATCH(N43,'05_Param_Prog_Annee'!$A$4:$A$23,0))</f>
        <v/>
      </c>
      <c r="Q43" s="55">
        <f>INDEX('05_Param_Prog_Annee'!$G$4:$G$23,MATCH(N43,'05_Param_Prog_Annee'!$A$4:$A$23,0))</f>
        <v/>
      </c>
      <c r="R43" s="55">
        <f>INDEX('05_Param_Prog_Annee'!$H$4:$H$23,MATCH(N43,'05_Param_Prog_Annee'!$A$4:$A$23,0))</f>
        <v/>
      </c>
      <c r="S43" s="55">
        <f>INDEX('05_Param_Prog_Annee'!$I$4:$I$23,MATCH(N43,'05_Param_Prog_Annee'!$A$4:$A$23,0))</f>
        <v/>
      </c>
      <c r="T43" s="56">
        <f>IFERROR(INDEX('05_Param_Prog_Annee'!$J$4:$J$23,MATCH(N43,'05_Param_Prog_Annee'!$A$4:$A$23,0)),0)</f>
        <v/>
      </c>
      <c r="U43" s="55">
        <f>P43*Q43*(1+'01_Cadrage'!$H$21)</f>
        <v/>
      </c>
      <c r="V43" s="46">
        <f>INDEX('01_Cadrage'!$L$7:$L$20,MATCH(A43&amp;"|"&amp;B43,'01_Cadrage'!$O$7:$O$20,0))</f>
        <v/>
      </c>
      <c r="W43" s="46">
        <f>INDEX('01_Cadrage'!$M$7:$M$20,MATCH(A43&amp;"|"&amp;B43,'01_Cadrage'!$O$7:$O$20,0))</f>
        <v/>
      </c>
      <c r="X43" s="46">
        <f>IFERROR(INDEX('06_Historique'!$F$66:$F$73,MATCH(C43,'06_Historique'!$A$66:$A$73,0)),'01_Cadrage'!$H$29)</f>
        <v/>
      </c>
      <c r="Y43" s="56">
        <f>'01_Cadrage'!$H$16*V43</f>
        <v/>
      </c>
      <c r="Z43" s="54">
        <f>IF(F43=1,J43*(1+X43*Y43),0)</f>
        <v/>
      </c>
      <c r="AA43" s="56">
        <f>IF(F43=1,IFERROR(H43/J43,'01_Cadrage'!$H$30)+'01_Cadrage'!$H$18,0)</f>
        <v/>
      </c>
      <c r="AB43" s="54">
        <f>Z43*AA43</f>
        <v/>
      </c>
      <c r="AC43" s="54">
        <f>IF(F43=1,0,K43*(T43+'01_Cadrage'!$H$19))</f>
        <v/>
      </c>
      <c r="AD43" s="57">
        <f>AB43+AC43</f>
        <v/>
      </c>
      <c r="AE43" s="55">
        <f>L43*(1+'01_Cadrage'!$H$17*W43)</f>
        <v/>
      </c>
      <c r="AF43" s="46">
        <f>IF(E43="ALT",'01_Cadrage'!$H$28+(1-'01_Cadrage'!$H$28)*'01_Cadrage'!$H$26,1)</f>
        <v/>
      </c>
      <c r="AG43" s="46">
        <f>IF(E43="ALT",IFERROR(INDEX('06_Historique'!$G$66:$G$73,MATCH(C43,'06_Historique'!$A$66:$A$73,0)),'01_Cadrage'!$H$28)+(1-IFERROR(INDEX('06_Historique'!$G$66:$G$73,MATCH(C43,'06_Historique'!$A$66:$A$73,0)),'01_Cadrage'!$H$28))*'01_Cadrage'!$H$26,1)</f>
        <v/>
      </c>
      <c r="AH43" s="21">
        <f>AD43*AE43*AF43+AB43*'01_Cadrage'!$H$24</f>
        <v/>
      </c>
      <c r="AI43" s="54">
        <f>IF(AD43&lt;=0,0,MAX(1,ROUNDUP(AD43/O43,0)))</f>
        <v/>
      </c>
      <c r="AJ43" s="21">
        <f>AI43*U43</f>
        <v/>
      </c>
      <c r="AK43" s="21">
        <f>AD43*R43*(1+'01_Cadrage'!$H$20)</f>
        <v/>
      </c>
      <c r="AL43" s="21">
        <f>H43*S43*(1+Y43)</f>
        <v/>
      </c>
      <c r="AM43" s="20">
        <f>AH43-AJ43-AK43-AL43-AD43*'01_Cadrage'!$H$27*(1+'01_Cadrage'!$H$20)</f>
        <v/>
      </c>
      <c r="AN43" s="56">
        <f>IFERROR(AD43/(AI43*O43),0)</f>
        <v/>
      </c>
      <c r="AO43" s="55">
        <f>IFERROR(AM43/AD43,0)</f>
        <v/>
      </c>
      <c r="AP43" s="54">
        <f>IFERROR(AI43*U43/(AE43*AF43-R43*(1+'01_Cadrage'!$H$20)),0)</f>
        <v/>
      </c>
    </row>
    <row r="44">
      <c r="A44" s="51">
        <f>'06_Historique'!A45</f>
        <v/>
      </c>
      <c r="B44" s="10">
        <f>'06_Historique'!B45</f>
        <v/>
      </c>
      <c r="C44" s="51">
        <f>'06_Historique'!C45</f>
        <v/>
      </c>
      <c r="D44" s="10">
        <f>'06_Historique'!E45</f>
        <v/>
      </c>
      <c r="E44" s="10">
        <f>'06_Historique'!F45</f>
        <v/>
      </c>
      <c r="F44" s="52">
        <f>'06_Historique'!G45</f>
        <v/>
      </c>
      <c r="G44" s="52">
        <f>'06_Historique'!K45</f>
        <v/>
      </c>
      <c r="H44" s="52">
        <f>'06_Historique'!I45</f>
        <v/>
      </c>
      <c r="I44" s="52">
        <f>'06_Historique'!J45</f>
        <v/>
      </c>
      <c r="J44" s="52">
        <f>'06_Historique'!H45</f>
        <v/>
      </c>
      <c r="K44" s="52">
        <f>'06_Historique'!L45</f>
        <v/>
      </c>
      <c r="L44" s="53">
        <f>'06_Historique'!M45</f>
        <v/>
      </c>
      <c r="M44" s="52">
        <f>'06_Historique'!N45</f>
        <v/>
      </c>
      <c r="N44" s="9">
        <f>C44&amp;"|"&amp;D44</f>
        <v/>
      </c>
      <c r="O44" s="54">
        <f>INDEX('05_Param_Prog_Annee'!$E$4:$E$23,MATCH(N44,'05_Param_Prog_Annee'!$A$4:$A$23,0))</f>
        <v/>
      </c>
      <c r="P44" s="54">
        <f>INDEX('05_Param_Prog_Annee'!$F$4:$F$23,MATCH(N44,'05_Param_Prog_Annee'!$A$4:$A$23,0))</f>
        <v/>
      </c>
      <c r="Q44" s="55">
        <f>INDEX('05_Param_Prog_Annee'!$G$4:$G$23,MATCH(N44,'05_Param_Prog_Annee'!$A$4:$A$23,0))</f>
        <v/>
      </c>
      <c r="R44" s="55">
        <f>INDEX('05_Param_Prog_Annee'!$H$4:$H$23,MATCH(N44,'05_Param_Prog_Annee'!$A$4:$A$23,0))</f>
        <v/>
      </c>
      <c r="S44" s="55">
        <f>INDEX('05_Param_Prog_Annee'!$I$4:$I$23,MATCH(N44,'05_Param_Prog_Annee'!$A$4:$A$23,0))</f>
        <v/>
      </c>
      <c r="T44" s="56">
        <f>IFERROR(INDEX('05_Param_Prog_Annee'!$J$4:$J$23,MATCH(N44,'05_Param_Prog_Annee'!$A$4:$A$23,0)),0)</f>
        <v/>
      </c>
      <c r="U44" s="55">
        <f>P44*Q44*(1+'01_Cadrage'!$H$21)</f>
        <v/>
      </c>
      <c r="V44" s="46">
        <f>INDEX('01_Cadrage'!$L$7:$L$20,MATCH(A44&amp;"|"&amp;B44,'01_Cadrage'!$O$7:$O$20,0))</f>
        <v/>
      </c>
      <c r="W44" s="46">
        <f>INDEX('01_Cadrage'!$M$7:$M$20,MATCH(A44&amp;"|"&amp;B44,'01_Cadrage'!$O$7:$O$20,0))</f>
        <v/>
      </c>
      <c r="X44" s="46">
        <f>IFERROR(INDEX('06_Historique'!$F$66:$F$73,MATCH(C44,'06_Historique'!$A$66:$A$73,0)),'01_Cadrage'!$H$29)</f>
        <v/>
      </c>
      <c r="Y44" s="56">
        <f>'01_Cadrage'!$H$16*V44</f>
        <v/>
      </c>
      <c r="Z44" s="54">
        <f>IF(F44=1,J44*(1+X44*Y44),0)</f>
        <v/>
      </c>
      <c r="AA44" s="56">
        <f>IF(F44=1,IFERROR(H44/J44,'01_Cadrage'!$H$30)+'01_Cadrage'!$H$18,0)</f>
        <v/>
      </c>
      <c r="AB44" s="54">
        <f>Z44*AA44</f>
        <v/>
      </c>
      <c r="AC44" s="54">
        <f>IF(F44=1,0,K44*(T44+'01_Cadrage'!$H$19))</f>
        <v/>
      </c>
      <c r="AD44" s="57">
        <f>AB44+AC44</f>
        <v/>
      </c>
      <c r="AE44" s="55">
        <f>L44*(1+'01_Cadrage'!$H$17*W44)</f>
        <v/>
      </c>
      <c r="AF44" s="46">
        <f>IF(E44="ALT",'01_Cadrage'!$H$28+(1-'01_Cadrage'!$H$28)*'01_Cadrage'!$H$26,1)</f>
        <v/>
      </c>
      <c r="AG44" s="46">
        <f>IF(E44="ALT",IFERROR(INDEX('06_Historique'!$G$66:$G$73,MATCH(C44,'06_Historique'!$A$66:$A$73,0)),'01_Cadrage'!$H$28)+(1-IFERROR(INDEX('06_Historique'!$G$66:$G$73,MATCH(C44,'06_Historique'!$A$66:$A$73,0)),'01_Cadrage'!$H$28))*'01_Cadrage'!$H$26,1)</f>
        <v/>
      </c>
      <c r="AH44" s="21">
        <f>AD44*AE44*AF44+AB44*'01_Cadrage'!$H$24</f>
        <v/>
      </c>
      <c r="AI44" s="54">
        <f>IF(AD44&lt;=0,0,MAX(1,ROUNDUP(AD44/O44,0)))</f>
        <v/>
      </c>
      <c r="AJ44" s="21">
        <f>AI44*U44</f>
        <v/>
      </c>
      <c r="AK44" s="21">
        <f>AD44*R44*(1+'01_Cadrage'!$H$20)</f>
        <v/>
      </c>
      <c r="AL44" s="21">
        <f>H44*S44*(1+Y44)</f>
        <v/>
      </c>
      <c r="AM44" s="20">
        <f>AH44-AJ44-AK44-AL44-AD44*'01_Cadrage'!$H$27*(1+'01_Cadrage'!$H$20)</f>
        <v/>
      </c>
      <c r="AN44" s="56">
        <f>IFERROR(AD44/(AI44*O44),0)</f>
        <v/>
      </c>
      <c r="AO44" s="55">
        <f>IFERROR(AM44/AD44,0)</f>
        <v/>
      </c>
      <c r="AP44" s="54">
        <f>IFERROR(AI44*U44/(AE44*AF44-R44*(1+'01_Cadrage'!$H$20)),0)</f>
        <v/>
      </c>
    </row>
    <row r="45">
      <c r="A45" s="51">
        <f>'06_Historique'!A46</f>
        <v/>
      </c>
      <c r="B45" s="10">
        <f>'06_Historique'!B46</f>
        <v/>
      </c>
      <c r="C45" s="51">
        <f>'06_Historique'!C46</f>
        <v/>
      </c>
      <c r="D45" s="10">
        <f>'06_Historique'!E46</f>
        <v/>
      </c>
      <c r="E45" s="10">
        <f>'06_Historique'!F46</f>
        <v/>
      </c>
      <c r="F45" s="52">
        <f>'06_Historique'!G46</f>
        <v/>
      </c>
      <c r="G45" s="52">
        <f>'06_Historique'!K46</f>
        <v/>
      </c>
      <c r="H45" s="52">
        <f>'06_Historique'!I46</f>
        <v/>
      </c>
      <c r="I45" s="52">
        <f>'06_Historique'!J46</f>
        <v/>
      </c>
      <c r="J45" s="52">
        <f>'06_Historique'!H46</f>
        <v/>
      </c>
      <c r="K45" s="52">
        <f>'06_Historique'!L46</f>
        <v/>
      </c>
      <c r="L45" s="53">
        <f>'06_Historique'!M46</f>
        <v/>
      </c>
      <c r="M45" s="52">
        <f>'06_Historique'!N46</f>
        <v/>
      </c>
      <c r="N45" s="9">
        <f>C45&amp;"|"&amp;D45</f>
        <v/>
      </c>
      <c r="O45" s="54">
        <f>INDEX('05_Param_Prog_Annee'!$E$4:$E$23,MATCH(N45,'05_Param_Prog_Annee'!$A$4:$A$23,0))</f>
        <v/>
      </c>
      <c r="P45" s="54">
        <f>INDEX('05_Param_Prog_Annee'!$F$4:$F$23,MATCH(N45,'05_Param_Prog_Annee'!$A$4:$A$23,0))</f>
        <v/>
      </c>
      <c r="Q45" s="55">
        <f>INDEX('05_Param_Prog_Annee'!$G$4:$G$23,MATCH(N45,'05_Param_Prog_Annee'!$A$4:$A$23,0))</f>
        <v/>
      </c>
      <c r="R45" s="55">
        <f>INDEX('05_Param_Prog_Annee'!$H$4:$H$23,MATCH(N45,'05_Param_Prog_Annee'!$A$4:$A$23,0))</f>
        <v/>
      </c>
      <c r="S45" s="55">
        <f>INDEX('05_Param_Prog_Annee'!$I$4:$I$23,MATCH(N45,'05_Param_Prog_Annee'!$A$4:$A$23,0))</f>
        <v/>
      </c>
      <c r="T45" s="56">
        <f>IFERROR(INDEX('05_Param_Prog_Annee'!$J$4:$J$23,MATCH(N45,'05_Param_Prog_Annee'!$A$4:$A$23,0)),0)</f>
        <v/>
      </c>
      <c r="U45" s="55">
        <f>P45*Q45*(1+'01_Cadrage'!$H$21)</f>
        <v/>
      </c>
      <c r="V45" s="46">
        <f>INDEX('01_Cadrage'!$L$7:$L$20,MATCH(A45&amp;"|"&amp;B45,'01_Cadrage'!$O$7:$O$20,0))</f>
        <v/>
      </c>
      <c r="W45" s="46">
        <f>INDEX('01_Cadrage'!$M$7:$M$20,MATCH(A45&amp;"|"&amp;B45,'01_Cadrage'!$O$7:$O$20,0))</f>
        <v/>
      </c>
      <c r="X45" s="46">
        <f>IFERROR(INDEX('06_Historique'!$F$66:$F$73,MATCH(C45,'06_Historique'!$A$66:$A$73,0)),'01_Cadrage'!$H$29)</f>
        <v/>
      </c>
      <c r="Y45" s="56">
        <f>'01_Cadrage'!$H$16*V45</f>
        <v/>
      </c>
      <c r="Z45" s="54">
        <f>IF(F45=1,J45*(1+X45*Y45),0)</f>
        <v/>
      </c>
      <c r="AA45" s="56">
        <f>IF(F45=1,IFERROR(H45/J45,'01_Cadrage'!$H$30)+'01_Cadrage'!$H$18,0)</f>
        <v/>
      </c>
      <c r="AB45" s="54">
        <f>Z45*AA45</f>
        <v/>
      </c>
      <c r="AC45" s="54">
        <f>IF(F45=1,0,K45*(T45+'01_Cadrage'!$H$19))</f>
        <v/>
      </c>
      <c r="AD45" s="57">
        <f>AB45+AC45</f>
        <v/>
      </c>
      <c r="AE45" s="55">
        <f>L45*(1+'01_Cadrage'!$H$17*W45)</f>
        <v/>
      </c>
      <c r="AF45" s="46">
        <f>IF(E45="ALT",'01_Cadrage'!$H$28+(1-'01_Cadrage'!$H$28)*'01_Cadrage'!$H$26,1)</f>
        <v/>
      </c>
      <c r="AG45" s="46">
        <f>IF(E45="ALT",IFERROR(INDEX('06_Historique'!$G$66:$G$73,MATCH(C45,'06_Historique'!$A$66:$A$73,0)),'01_Cadrage'!$H$28)+(1-IFERROR(INDEX('06_Historique'!$G$66:$G$73,MATCH(C45,'06_Historique'!$A$66:$A$73,0)),'01_Cadrage'!$H$28))*'01_Cadrage'!$H$26,1)</f>
        <v/>
      </c>
      <c r="AH45" s="21">
        <f>AD45*AE45*AF45+AB45*'01_Cadrage'!$H$24</f>
        <v/>
      </c>
      <c r="AI45" s="54">
        <f>IF(AD45&lt;=0,0,MAX(1,ROUNDUP(AD45/O45,0)))</f>
        <v/>
      </c>
      <c r="AJ45" s="21">
        <f>AI45*U45</f>
        <v/>
      </c>
      <c r="AK45" s="21">
        <f>AD45*R45*(1+'01_Cadrage'!$H$20)</f>
        <v/>
      </c>
      <c r="AL45" s="21">
        <f>H45*S45*(1+Y45)</f>
        <v/>
      </c>
      <c r="AM45" s="20">
        <f>AH45-AJ45-AK45-AL45-AD45*'01_Cadrage'!$H$27*(1+'01_Cadrage'!$H$20)</f>
        <v/>
      </c>
      <c r="AN45" s="56">
        <f>IFERROR(AD45/(AI45*O45),0)</f>
        <v/>
      </c>
      <c r="AO45" s="55">
        <f>IFERROR(AM45/AD45,0)</f>
        <v/>
      </c>
      <c r="AP45" s="54">
        <f>IFERROR(AI45*U45/(AE45*AF45-R45*(1+'01_Cadrage'!$H$20)),0)</f>
        <v/>
      </c>
    </row>
    <row r="46">
      <c r="A46" s="51">
        <f>'06_Historique'!A47</f>
        <v/>
      </c>
      <c r="B46" s="10">
        <f>'06_Historique'!B47</f>
        <v/>
      </c>
      <c r="C46" s="51">
        <f>'06_Historique'!C47</f>
        <v/>
      </c>
      <c r="D46" s="10">
        <f>'06_Historique'!E47</f>
        <v/>
      </c>
      <c r="E46" s="10">
        <f>'06_Historique'!F47</f>
        <v/>
      </c>
      <c r="F46" s="52">
        <f>'06_Historique'!G47</f>
        <v/>
      </c>
      <c r="G46" s="52">
        <f>'06_Historique'!K47</f>
        <v/>
      </c>
      <c r="H46" s="52">
        <f>'06_Historique'!I47</f>
        <v/>
      </c>
      <c r="I46" s="52">
        <f>'06_Historique'!J47</f>
        <v/>
      </c>
      <c r="J46" s="52">
        <f>'06_Historique'!H47</f>
        <v/>
      </c>
      <c r="K46" s="52">
        <f>'06_Historique'!L47</f>
        <v/>
      </c>
      <c r="L46" s="53">
        <f>'06_Historique'!M47</f>
        <v/>
      </c>
      <c r="M46" s="52">
        <f>'06_Historique'!N47</f>
        <v/>
      </c>
      <c r="N46" s="9">
        <f>C46&amp;"|"&amp;D46</f>
        <v/>
      </c>
      <c r="O46" s="54">
        <f>INDEX('05_Param_Prog_Annee'!$E$4:$E$23,MATCH(N46,'05_Param_Prog_Annee'!$A$4:$A$23,0))</f>
        <v/>
      </c>
      <c r="P46" s="54">
        <f>INDEX('05_Param_Prog_Annee'!$F$4:$F$23,MATCH(N46,'05_Param_Prog_Annee'!$A$4:$A$23,0))</f>
        <v/>
      </c>
      <c r="Q46" s="55">
        <f>INDEX('05_Param_Prog_Annee'!$G$4:$G$23,MATCH(N46,'05_Param_Prog_Annee'!$A$4:$A$23,0))</f>
        <v/>
      </c>
      <c r="R46" s="55">
        <f>INDEX('05_Param_Prog_Annee'!$H$4:$H$23,MATCH(N46,'05_Param_Prog_Annee'!$A$4:$A$23,0))</f>
        <v/>
      </c>
      <c r="S46" s="55">
        <f>INDEX('05_Param_Prog_Annee'!$I$4:$I$23,MATCH(N46,'05_Param_Prog_Annee'!$A$4:$A$23,0))</f>
        <v/>
      </c>
      <c r="T46" s="56">
        <f>IFERROR(INDEX('05_Param_Prog_Annee'!$J$4:$J$23,MATCH(N46,'05_Param_Prog_Annee'!$A$4:$A$23,0)),0)</f>
        <v/>
      </c>
      <c r="U46" s="55">
        <f>P46*Q46*(1+'01_Cadrage'!$H$21)</f>
        <v/>
      </c>
      <c r="V46" s="46">
        <f>INDEX('01_Cadrage'!$L$7:$L$20,MATCH(A46&amp;"|"&amp;B46,'01_Cadrage'!$O$7:$O$20,0))</f>
        <v/>
      </c>
      <c r="W46" s="46">
        <f>INDEX('01_Cadrage'!$M$7:$M$20,MATCH(A46&amp;"|"&amp;B46,'01_Cadrage'!$O$7:$O$20,0))</f>
        <v/>
      </c>
      <c r="X46" s="46">
        <f>IFERROR(INDEX('06_Historique'!$F$66:$F$73,MATCH(C46,'06_Historique'!$A$66:$A$73,0)),'01_Cadrage'!$H$29)</f>
        <v/>
      </c>
      <c r="Y46" s="56">
        <f>'01_Cadrage'!$H$16*V46</f>
        <v/>
      </c>
      <c r="Z46" s="54">
        <f>IF(F46=1,J46*(1+X46*Y46),0)</f>
        <v/>
      </c>
      <c r="AA46" s="56">
        <f>IF(F46=1,IFERROR(H46/J46,'01_Cadrage'!$H$30)+'01_Cadrage'!$H$18,0)</f>
        <v/>
      </c>
      <c r="AB46" s="54">
        <f>Z46*AA46</f>
        <v/>
      </c>
      <c r="AC46" s="54">
        <f>IF(F46=1,0,K46*(T46+'01_Cadrage'!$H$19))</f>
        <v/>
      </c>
      <c r="AD46" s="57">
        <f>AB46+AC46</f>
        <v/>
      </c>
      <c r="AE46" s="55">
        <f>L46*(1+'01_Cadrage'!$H$17*W46)</f>
        <v/>
      </c>
      <c r="AF46" s="46">
        <f>IF(E46="ALT",'01_Cadrage'!$H$28+(1-'01_Cadrage'!$H$28)*'01_Cadrage'!$H$26,1)</f>
        <v/>
      </c>
      <c r="AG46" s="46">
        <f>IF(E46="ALT",IFERROR(INDEX('06_Historique'!$G$66:$G$73,MATCH(C46,'06_Historique'!$A$66:$A$73,0)),'01_Cadrage'!$H$28)+(1-IFERROR(INDEX('06_Historique'!$G$66:$G$73,MATCH(C46,'06_Historique'!$A$66:$A$73,0)),'01_Cadrage'!$H$28))*'01_Cadrage'!$H$26,1)</f>
        <v/>
      </c>
      <c r="AH46" s="21">
        <f>AD46*AE46*AF46+AB46*'01_Cadrage'!$H$24</f>
        <v/>
      </c>
      <c r="AI46" s="54">
        <f>IF(AD46&lt;=0,0,MAX(1,ROUNDUP(AD46/O46,0)))</f>
        <v/>
      </c>
      <c r="AJ46" s="21">
        <f>AI46*U46</f>
        <v/>
      </c>
      <c r="AK46" s="21">
        <f>AD46*R46*(1+'01_Cadrage'!$H$20)</f>
        <v/>
      </c>
      <c r="AL46" s="21">
        <f>H46*S46*(1+Y46)</f>
        <v/>
      </c>
      <c r="AM46" s="20">
        <f>AH46-AJ46-AK46-AL46-AD46*'01_Cadrage'!$H$27*(1+'01_Cadrage'!$H$20)</f>
        <v/>
      </c>
      <c r="AN46" s="56">
        <f>IFERROR(AD46/(AI46*O46),0)</f>
        <v/>
      </c>
      <c r="AO46" s="55">
        <f>IFERROR(AM46/AD46,0)</f>
        <v/>
      </c>
      <c r="AP46" s="54">
        <f>IFERROR(AI46*U46/(AE46*AF46-R46*(1+'01_Cadrage'!$H$20)),0)</f>
        <v/>
      </c>
    </row>
    <row r="47">
      <c r="A47" s="51">
        <f>'06_Historique'!A48</f>
        <v/>
      </c>
      <c r="B47" s="10">
        <f>'06_Historique'!B48</f>
        <v/>
      </c>
      <c r="C47" s="51">
        <f>'06_Historique'!C48</f>
        <v/>
      </c>
      <c r="D47" s="10">
        <f>'06_Historique'!E48</f>
        <v/>
      </c>
      <c r="E47" s="10">
        <f>'06_Historique'!F48</f>
        <v/>
      </c>
      <c r="F47" s="52">
        <f>'06_Historique'!G48</f>
        <v/>
      </c>
      <c r="G47" s="52">
        <f>'06_Historique'!K48</f>
        <v/>
      </c>
      <c r="H47" s="52">
        <f>'06_Historique'!I48</f>
        <v/>
      </c>
      <c r="I47" s="52">
        <f>'06_Historique'!J48</f>
        <v/>
      </c>
      <c r="J47" s="52">
        <f>'06_Historique'!H48</f>
        <v/>
      </c>
      <c r="K47" s="52">
        <f>'06_Historique'!L48</f>
        <v/>
      </c>
      <c r="L47" s="53">
        <f>'06_Historique'!M48</f>
        <v/>
      </c>
      <c r="M47" s="52">
        <f>'06_Historique'!N48</f>
        <v/>
      </c>
      <c r="N47" s="9">
        <f>C47&amp;"|"&amp;D47</f>
        <v/>
      </c>
      <c r="O47" s="54">
        <f>INDEX('05_Param_Prog_Annee'!$E$4:$E$23,MATCH(N47,'05_Param_Prog_Annee'!$A$4:$A$23,0))</f>
        <v/>
      </c>
      <c r="P47" s="54">
        <f>INDEX('05_Param_Prog_Annee'!$F$4:$F$23,MATCH(N47,'05_Param_Prog_Annee'!$A$4:$A$23,0))</f>
        <v/>
      </c>
      <c r="Q47" s="55">
        <f>INDEX('05_Param_Prog_Annee'!$G$4:$G$23,MATCH(N47,'05_Param_Prog_Annee'!$A$4:$A$23,0))</f>
        <v/>
      </c>
      <c r="R47" s="55">
        <f>INDEX('05_Param_Prog_Annee'!$H$4:$H$23,MATCH(N47,'05_Param_Prog_Annee'!$A$4:$A$23,0))</f>
        <v/>
      </c>
      <c r="S47" s="55">
        <f>INDEX('05_Param_Prog_Annee'!$I$4:$I$23,MATCH(N47,'05_Param_Prog_Annee'!$A$4:$A$23,0))</f>
        <v/>
      </c>
      <c r="T47" s="56">
        <f>IFERROR(INDEX('05_Param_Prog_Annee'!$J$4:$J$23,MATCH(N47,'05_Param_Prog_Annee'!$A$4:$A$23,0)),0)</f>
        <v/>
      </c>
      <c r="U47" s="55">
        <f>P47*Q47*(1+'01_Cadrage'!$H$21)</f>
        <v/>
      </c>
      <c r="V47" s="46">
        <f>INDEX('01_Cadrage'!$L$7:$L$20,MATCH(A47&amp;"|"&amp;B47,'01_Cadrage'!$O$7:$O$20,0))</f>
        <v/>
      </c>
      <c r="W47" s="46">
        <f>INDEX('01_Cadrage'!$M$7:$M$20,MATCH(A47&amp;"|"&amp;B47,'01_Cadrage'!$O$7:$O$20,0))</f>
        <v/>
      </c>
      <c r="X47" s="46">
        <f>IFERROR(INDEX('06_Historique'!$F$66:$F$73,MATCH(C47,'06_Historique'!$A$66:$A$73,0)),'01_Cadrage'!$H$29)</f>
        <v/>
      </c>
      <c r="Y47" s="56">
        <f>'01_Cadrage'!$H$16*V47</f>
        <v/>
      </c>
      <c r="Z47" s="54">
        <f>IF(F47=1,J47*(1+X47*Y47),0)</f>
        <v/>
      </c>
      <c r="AA47" s="56">
        <f>IF(F47=1,IFERROR(H47/J47,'01_Cadrage'!$H$30)+'01_Cadrage'!$H$18,0)</f>
        <v/>
      </c>
      <c r="AB47" s="54">
        <f>Z47*AA47</f>
        <v/>
      </c>
      <c r="AC47" s="54">
        <f>IF(F47=1,0,K47*(T47+'01_Cadrage'!$H$19))</f>
        <v/>
      </c>
      <c r="AD47" s="57">
        <f>AB47+AC47</f>
        <v/>
      </c>
      <c r="AE47" s="55">
        <f>L47*(1+'01_Cadrage'!$H$17*W47)</f>
        <v/>
      </c>
      <c r="AF47" s="46">
        <f>IF(E47="ALT",'01_Cadrage'!$H$28+(1-'01_Cadrage'!$H$28)*'01_Cadrage'!$H$26,1)</f>
        <v/>
      </c>
      <c r="AG47" s="46">
        <f>IF(E47="ALT",IFERROR(INDEX('06_Historique'!$G$66:$G$73,MATCH(C47,'06_Historique'!$A$66:$A$73,0)),'01_Cadrage'!$H$28)+(1-IFERROR(INDEX('06_Historique'!$G$66:$G$73,MATCH(C47,'06_Historique'!$A$66:$A$73,0)),'01_Cadrage'!$H$28))*'01_Cadrage'!$H$26,1)</f>
        <v/>
      </c>
      <c r="AH47" s="21">
        <f>AD47*AE47*AF47+AB47*'01_Cadrage'!$H$24</f>
        <v/>
      </c>
      <c r="AI47" s="54">
        <f>IF(AD47&lt;=0,0,MAX(1,ROUNDUP(AD47/O47,0)))</f>
        <v/>
      </c>
      <c r="AJ47" s="21">
        <f>AI47*U47</f>
        <v/>
      </c>
      <c r="AK47" s="21">
        <f>AD47*R47*(1+'01_Cadrage'!$H$20)</f>
        <v/>
      </c>
      <c r="AL47" s="21">
        <f>H47*S47*(1+Y47)</f>
        <v/>
      </c>
      <c r="AM47" s="20">
        <f>AH47-AJ47-AK47-AL47-AD47*'01_Cadrage'!$H$27*(1+'01_Cadrage'!$H$20)</f>
        <v/>
      </c>
      <c r="AN47" s="56">
        <f>IFERROR(AD47/(AI47*O47),0)</f>
        <v/>
      </c>
      <c r="AO47" s="55">
        <f>IFERROR(AM47/AD47,0)</f>
        <v/>
      </c>
      <c r="AP47" s="54">
        <f>IFERROR(AI47*U47/(AE47*AF47-R47*(1+'01_Cadrage'!$H$20)),0)</f>
        <v/>
      </c>
    </row>
    <row r="48">
      <c r="A48" s="51">
        <f>'06_Historique'!A49</f>
        <v/>
      </c>
      <c r="B48" s="10">
        <f>'06_Historique'!B49</f>
        <v/>
      </c>
      <c r="C48" s="51">
        <f>'06_Historique'!C49</f>
        <v/>
      </c>
      <c r="D48" s="10">
        <f>'06_Historique'!E49</f>
        <v/>
      </c>
      <c r="E48" s="10">
        <f>'06_Historique'!F49</f>
        <v/>
      </c>
      <c r="F48" s="52">
        <f>'06_Historique'!G49</f>
        <v/>
      </c>
      <c r="G48" s="52">
        <f>'06_Historique'!K49</f>
        <v/>
      </c>
      <c r="H48" s="52">
        <f>'06_Historique'!I49</f>
        <v/>
      </c>
      <c r="I48" s="52">
        <f>'06_Historique'!J49</f>
        <v/>
      </c>
      <c r="J48" s="52">
        <f>'06_Historique'!H49</f>
        <v/>
      </c>
      <c r="K48" s="52">
        <f>'06_Historique'!L49</f>
        <v/>
      </c>
      <c r="L48" s="53">
        <f>'06_Historique'!M49</f>
        <v/>
      </c>
      <c r="M48" s="52">
        <f>'06_Historique'!N49</f>
        <v/>
      </c>
      <c r="N48" s="9">
        <f>C48&amp;"|"&amp;D48</f>
        <v/>
      </c>
      <c r="O48" s="54">
        <f>INDEX('05_Param_Prog_Annee'!$E$4:$E$23,MATCH(N48,'05_Param_Prog_Annee'!$A$4:$A$23,0))</f>
        <v/>
      </c>
      <c r="P48" s="54">
        <f>INDEX('05_Param_Prog_Annee'!$F$4:$F$23,MATCH(N48,'05_Param_Prog_Annee'!$A$4:$A$23,0))</f>
        <v/>
      </c>
      <c r="Q48" s="55">
        <f>INDEX('05_Param_Prog_Annee'!$G$4:$G$23,MATCH(N48,'05_Param_Prog_Annee'!$A$4:$A$23,0))</f>
        <v/>
      </c>
      <c r="R48" s="55">
        <f>INDEX('05_Param_Prog_Annee'!$H$4:$H$23,MATCH(N48,'05_Param_Prog_Annee'!$A$4:$A$23,0))</f>
        <v/>
      </c>
      <c r="S48" s="55">
        <f>INDEX('05_Param_Prog_Annee'!$I$4:$I$23,MATCH(N48,'05_Param_Prog_Annee'!$A$4:$A$23,0))</f>
        <v/>
      </c>
      <c r="T48" s="56">
        <f>IFERROR(INDEX('05_Param_Prog_Annee'!$J$4:$J$23,MATCH(N48,'05_Param_Prog_Annee'!$A$4:$A$23,0)),0)</f>
        <v/>
      </c>
      <c r="U48" s="55">
        <f>P48*Q48*(1+'01_Cadrage'!$H$21)</f>
        <v/>
      </c>
      <c r="V48" s="46">
        <f>INDEX('01_Cadrage'!$L$7:$L$20,MATCH(A48&amp;"|"&amp;B48,'01_Cadrage'!$O$7:$O$20,0))</f>
        <v/>
      </c>
      <c r="W48" s="46">
        <f>INDEX('01_Cadrage'!$M$7:$M$20,MATCH(A48&amp;"|"&amp;B48,'01_Cadrage'!$O$7:$O$20,0))</f>
        <v/>
      </c>
      <c r="X48" s="46">
        <f>IFERROR(INDEX('06_Historique'!$F$66:$F$73,MATCH(C48,'06_Historique'!$A$66:$A$73,0)),'01_Cadrage'!$H$29)</f>
        <v/>
      </c>
      <c r="Y48" s="56">
        <f>'01_Cadrage'!$H$16*V48</f>
        <v/>
      </c>
      <c r="Z48" s="54">
        <f>IF(F48=1,J48*(1+X48*Y48),0)</f>
        <v/>
      </c>
      <c r="AA48" s="56">
        <f>IF(F48=1,IFERROR(H48/J48,'01_Cadrage'!$H$30)+'01_Cadrage'!$H$18,0)</f>
        <v/>
      </c>
      <c r="AB48" s="54">
        <f>Z48*AA48</f>
        <v/>
      </c>
      <c r="AC48" s="54">
        <f>IF(F48=1,0,K48*(T48+'01_Cadrage'!$H$19))</f>
        <v/>
      </c>
      <c r="AD48" s="57">
        <f>AB48+AC48</f>
        <v/>
      </c>
      <c r="AE48" s="55">
        <f>L48*(1+'01_Cadrage'!$H$17*W48)</f>
        <v/>
      </c>
      <c r="AF48" s="46">
        <f>IF(E48="ALT",'01_Cadrage'!$H$28+(1-'01_Cadrage'!$H$28)*'01_Cadrage'!$H$26,1)</f>
        <v/>
      </c>
      <c r="AG48" s="46">
        <f>IF(E48="ALT",IFERROR(INDEX('06_Historique'!$G$66:$G$73,MATCH(C48,'06_Historique'!$A$66:$A$73,0)),'01_Cadrage'!$H$28)+(1-IFERROR(INDEX('06_Historique'!$G$66:$G$73,MATCH(C48,'06_Historique'!$A$66:$A$73,0)),'01_Cadrage'!$H$28))*'01_Cadrage'!$H$26,1)</f>
        <v/>
      </c>
      <c r="AH48" s="21">
        <f>AD48*AE48*AF48+AB48*'01_Cadrage'!$H$24</f>
        <v/>
      </c>
      <c r="AI48" s="54">
        <f>IF(AD48&lt;=0,0,MAX(1,ROUNDUP(AD48/O48,0)))</f>
        <v/>
      </c>
      <c r="AJ48" s="21">
        <f>AI48*U48</f>
        <v/>
      </c>
      <c r="AK48" s="21">
        <f>AD48*R48*(1+'01_Cadrage'!$H$20)</f>
        <v/>
      </c>
      <c r="AL48" s="21">
        <f>H48*S48*(1+Y48)</f>
        <v/>
      </c>
      <c r="AM48" s="20">
        <f>AH48-AJ48-AK48-AL48-AD48*'01_Cadrage'!$H$27*(1+'01_Cadrage'!$H$20)</f>
        <v/>
      </c>
      <c r="AN48" s="56">
        <f>IFERROR(AD48/(AI48*O48),0)</f>
        <v/>
      </c>
      <c r="AO48" s="55">
        <f>IFERROR(AM48/AD48,0)</f>
        <v/>
      </c>
      <c r="AP48" s="54">
        <f>IFERROR(AI48*U48/(AE48*AF48-R48*(1+'01_Cadrage'!$H$20)),0)</f>
        <v/>
      </c>
    </row>
    <row r="49">
      <c r="A49" s="51">
        <f>'06_Historique'!A50</f>
        <v/>
      </c>
      <c r="B49" s="10">
        <f>'06_Historique'!B50</f>
        <v/>
      </c>
      <c r="C49" s="51">
        <f>'06_Historique'!C50</f>
        <v/>
      </c>
      <c r="D49" s="10">
        <f>'06_Historique'!E50</f>
        <v/>
      </c>
      <c r="E49" s="10">
        <f>'06_Historique'!F50</f>
        <v/>
      </c>
      <c r="F49" s="52">
        <f>'06_Historique'!G50</f>
        <v/>
      </c>
      <c r="G49" s="52">
        <f>'06_Historique'!K50</f>
        <v/>
      </c>
      <c r="H49" s="52">
        <f>'06_Historique'!I50</f>
        <v/>
      </c>
      <c r="I49" s="52">
        <f>'06_Historique'!J50</f>
        <v/>
      </c>
      <c r="J49" s="52">
        <f>'06_Historique'!H50</f>
        <v/>
      </c>
      <c r="K49" s="52">
        <f>'06_Historique'!L50</f>
        <v/>
      </c>
      <c r="L49" s="53">
        <f>'06_Historique'!M50</f>
        <v/>
      </c>
      <c r="M49" s="52">
        <f>'06_Historique'!N50</f>
        <v/>
      </c>
      <c r="N49" s="9">
        <f>C49&amp;"|"&amp;D49</f>
        <v/>
      </c>
      <c r="O49" s="54">
        <f>INDEX('05_Param_Prog_Annee'!$E$4:$E$23,MATCH(N49,'05_Param_Prog_Annee'!$A$4:$A$23,0))</f>
        <v/>
      </c>
      <c r="P49" s="54">
        <f>INDEX('05_Param_Prog_Annee'!$F$4:$F$23,MATCH(N49,'05_Param_Prog_Annee'!$A$4:$A$23,0))</f>
        <v/>
      </c>
      <c r="Q49" s="55">
        <f>INDEX('05_Param_Prog_Annee'!$G$4:$G$23,MATCH(N49,'05_Param_Prog_Annee'!$A$4:$A$23,0))</f>
        <v/>
      </c>
      <c r="R49" s="55">
        <f>INDEX('05_Param_Prog_Annee'!$H$4:$H$23,MATCH(N49,'05_Param_Prog_Annee'!$A$4:$A$23,0))</f>
        <v/>
      </c>
      <c r="S49" s="55">
        <f>INDEX('05_Param_Prog_Annee'!$I$4:$I$23,MATCH(N49,'05_Param_Prog_Annee'!$A$4:$A$23,0))</f>
        <v/>
      </c>
      <c r="T49" s="56">
        <f>IFERROR(INDEX('05_Param_Prog_Annee'!$J$4:$J$23,MATCH(N49,'05_Param_Prog_Annee'!$A$4:$A$23,0)),0)</f>
        <v/>
      </c>
      <c r="U49" s="55">
        <f>P49*Q49*(1+'01_Cadrage'!$H$21)</f>
        <v/>
      </c>
      <c r="V49" s="46">
        <f>INDEX('01_Cadrage'!$L$7:$L$20,MATCH(A49&amp;"|"&amp;B49,'01_Cadrage'!$O$7:$O$20,0))</f>
        <v/>
      </c>
      <c r="W49" s="46">
        <f>INDEX('01_Cadrage'!$M$7:$M$20,MATCH(A49&amp;"|"&amp;B49,'01_Cadrage'!$O$7:$O$20,0))</f>
        <v/>
      </c>
      <c r="X49" s="46">
        <f>IFERROR(INDEX('06_Historique'!$F$66:$F$73,MATCH(C49,'06_Historique'!$A$66:$A$73,0)),'01_Cadrage'!$H$29)</f>
        <v/>
      </c>
      <c r="Y49" s="56">
        <f>'01_Cadrage'!$H$16*V49</f>
        <v/>
      </c>
      <c r="Z49" s="54">
        <f>IF(F49=1,J49*(1+X49*Y49),0)</f>
        <v/>
      </c>
      <c r="AA49" s="56">
        <f>IF(F49=1,IFERROR(H49/J49,'01_Cadrage'!$H$30)+'01_Cadrage'!$H$18,0)</f>
        <v/>
      </c>
      <c r="AB49" s="54">
        <f>Z49*AA49</f>
        <v/>
      </c>
      <c r="AC49" s="54">
        <f>IF(F49=1,0,K49*(T49+'01_Cadrage'!$H$19))</f>
        <v/>
      </c>
      <c r="AD49" s="57">
        <f>AB49+AC49</f>
        <v/>
      </c>
      <c r="AE49" s="55">
        <f>L49*(1+'01_Cadrage'!$H$17*W49)</f>
        <v/>
      </c>
      <c r="AF49" s="46">
        <f>IF(E49="ALT",'01_Cadrage'!$H$28+(1-'01_Cadrage'!$H$28)*'01_Cadrage'!$H$26,1)</f>
        <v/>
      </c>
      <c r="AG49" s="46">
        <f>IF(E49="ALT",IFERROR(INDEX('06_Historique'!$G$66:$G$73,MATCH(C49,'06_Historique'!$A$66:$A$73,0)),'01_Cadrage'!$H$28)+(1-IFERROR(INDEX('06_Historique'!$G$66:$G$73,MATCH(C49,'06_Historique'!$A$66:$A$73,0)),'01_Cadrage'!$H$28))*'01_Cadrage'!$H$26,1)</f>
        <v/>
      </c>
      <c r="AH49" s="21">
        <f>AD49*AE49*AF49+AB49*'01_Cadrage'!$H$24</f>
        <v/>
      </c>
      <c r="AI49" s="54">
        <f>IF(AD49&lt;=0,0,MAX(1,ROUNDUP(AD49/O49,0)))</f>
        <v/>
      </c>
      <c r="AJ49" s="21">
        <f>AI49*U49</f>
        <v/>
      </c>
      <c r="AK49" s="21">
        <f>AD49*R49*(1+'01_Cadrage'!$H$20)</f>
        <v/>
      </c>
      <c r="AL49" s="21">
        <f>H49*S49*(1+Y49)</f>
        <v/>
      </c>
      <c r="AM49" s="20">
        <f>AH49-AJ49-AK49-AL49-AD49*'01_Cadrage'!$H$27*(1+'01_Cadrage'!$H$20)</f>
        <v/>
      </c>
      <c r="AN49" s="56">
        <f>IFERROR(AD49/(AI49*O49),0)</f>
        <v/>
      </c>
      <c r="AO49" s="55">
        <f>IFERROR(AM49/AD49,0)</f>
        <v/>
      </c>
      <c r="AP49" s="54">
        <f>IFERROR(AI49*U49/(AE49*AF49-R49*(1+'01_Cadrage'!$H$20)),0)</f>
        <v/>
      </c>
    </row>
    <row r="50">
      <c r="A50" s="51">
        <f>'06_Historique'!A51</f>
        <v/>
      </c>
      <c r="B50" s="10">
        <f>'06_Historique'!B51</f>
        <v/>
      </c>
      <c r="C50" s="51">
        <f>'06_Historique'!C51</f>
        <v/>
      </c>
      <c r="D50" s="10">
        <f>'06_Historique'!E51</f>
        <v/>
      </c>
      <c r="E50" s="10">
        <f>'06_Historique'!F51</f>
        <v/>
      </c>
      <c r="F50" s="52">
        <f>'06_Historique'!G51</f>
        <v/>
      </c>
      <c r="G50" s="52">
        <f>'06_Historique'!K51</f>
        <v/>
      </c>
      <c r="H50" s="52">
        <f>'06_Historique'!I51</f>
        <v/>
      </c>
      <c r="I50" s="52">
        <f>'06_Historique'!J51</f>
        <v/>
      </c>
      <c r="J50" s="52">
        <f>'06_Historique'!H51</f>
        <v/>
      </c>
      <c r="K50" s="52">
        <f>'06_Historique'!L51</f>
        <v/>
      </c>
      <c r="L50" s="53">
        <f>'06_Historique'!M51</f>
        <v/>
      </c>
      <c r="M50" s="52">
        <f>'06_Historique'!N51</f>
        <v/>
      </c>
      <c r="N50" s="9">
        <f>C50&amp;"|"&amp;D50</f>
        <v/>
      </c>
      <c r="O50" s="54">
        <f>INDEX('05_Param_Prog_Annee'!$E$4:$E$23,MATCH(N50,'05_Param_Prog_Annee'!$A$4:$A$23,0))</f>
        <v/>
      </c>
      <c r="P50" s="54">
        <f>INDEX('05_Param_Prog_Annee'!$F$4:$F$23,MATCH(N50,'05_Param_Prog_Annee'!$A$4:$A$23,0))</f>
        <v/>
      </c>
      <c r="Q50" s="55">
        <f>INDEX('05_Param_Prog_Annee'!$G$4:$G$23,MATCH(N50,'05_Param_Prog_Annee'!$A$4:$A$23,0))</f>
        <v/>
      </c>
      <c r="R50" s="55">
        <f>INDEX('05_Param_Prog_Annee'!$H$4:$H$23,MATCH(N50,'05_Param_Prog_Annee'!$A$4:$A$23,0))</f>
        <v/>
      </c>
      <c r="S50" s="55">
        <f>INDEX('05_Param_Prog_Annee'!$I$4:$I$23,MATCH(N50,'05_Param_Prog_Annee'!$A$4:$A$23,0))</f>
        <v/>
      </c>
      <c r="T50" s="56">
        <f>IFERROR(INDEX('05_Param_Prog_Annee'!$J$4:$J$23,MATCH(N50,'05_Param_Prog_Annee'!$A$4:$A$23,0)),0)</f>
        <v/>
      </c>
      <c r="U50" s="55">
        <f>P50*Q50*(1+'01_Cadrage'!$H$21)</f>
        <v/>
      </c>
      <c r="V50" s="46">
        <f>INDEX('01_Cadrage'!$L$7:$L$20,MATCH(A50&amp;"|"&amp;B50,'01_Cadrage'!$O$7:$O$20,0))</f>
        <v/>
      </c>
      <c r="W50" s="46">
        <f>INDEX('01_Cadrage'!$M$7:$M$20,MATCH(A50&amp;"|"&amp;B50,'01_Cadrage'!$O$7:$O$20,0))</f>
        <v/>
      </c>
      <c r="X50" s="46">
        <f>IFERROR(INDEX('06_Historique'!$F$66:$F$73,MATCH(C50,'06_Historique'!$A$66:$A$73,0)),'01_Cadrage'!$H$29)</f>
        <v/>
      </c>
      <c r="Y50" s="56">
        <f>'01_Cadrage'!$H$16*V50</f>
        <v/>
      </c>
      <c r="Z50" s="54">
        <f>IF(F50=1,J50*(1+X50*Y50),0)</f>
        <v/>
      </c>
      <c r="AA50" s="56">
        <f>IF(F50=1,IFERROR(H50/J50,'01_Cadrage'!$H$30)+'01_Cadrage'!$H$18,0)</f>
        <v/>
      </c>
      <c r="AB50" s="54">
        <f>Z50*AA50</f>
        <v/>
      </c>
      <c r="AC50" s="54">
        <f>IF(F50=1,0,K50*(T50+'01_Cadrage'!$H$19))</f>
        <v/>
      </c>
      <c r="AD50" s="57">
        <f>AB50+AC50</f>
        <v/>
      </c>
      <c r="AE50" s="55">
        <f>L50*(1+'01_Cadrage'!$H$17*W50)</f>
        <v/>
      </c>
      <c r="AF50" s="46">
        <f>IF(E50="ALT",'01_Cadrage'!$H$28+(1-'01_Cadrage'!$H$28)*'01_Cadrage'!$H$26,1)</f>
        <v/>
      </c>
      <c r="AG50" s="46">
        <f>IF(E50="ALT",IFERROR(INDEX('06_Historique'!$G$66:$G$73,MATCH(C50,'06_Historique'!$A$66:$A$73,0)),'01_Cadrage'!$H$28)+(1-IFERROR(INDEX('06_Historique'!$G$66:$G$73,MATCH(C50,'06_Historique'!$A$66:$A$73,0)),'01_Cadrage'!$H$28))*'01_Cadrage'!$H$26,1)</f>
        <v/>
      </c>
      <c r="AH50" s="21">
        <f>AD50*AE50*AF50+AB50*'01_Cadrage'!$H$24</f>
        <v/>
      </c>
      <c r="AI50" s="54">
        <f>IF(AD50&lt;=0,0,MAX(1,ROUNDUP(AD50/O50,0)))</f>
        <v/>
      </c>
      <c r="AJ50" s="21">
        <f>AI50*U50</f>
        <v/>
      </c>
      <c r="AK50" s="21">
        <f>AD50*R50*(1+'01_Cadrage'!$H$20)</f>
        <v/>
      </c>
      <c r="AL50" s="21">
        <f>H50*S50*(1+Y50)</f>
        <v/>
      </c>
      <c r="AM50" s="20">
        <f>AH50-AJ50-AK50-AL50-AD50*'01_Cadrage'!$H$27*(1+'01_Cadrage'!$H$20)</f>
        <v/>
      </c>
      <c r="AN50" s="56">
        <f>IFERROR(AD50/(AI50*O50),0)</f>
        <v/>
      </c>
      <c r="AO50" s="55">
        <f>IFERROR(AM50/AD50,0)</f>
        <v/>
      </c>
      <c r="AP50" s="54">
        <f>IFERROR(AI50*U50/(AE50*AF50-R50*(1+'01_Cadrage'!$H$20)),0)</f>
        <v/>
      </c>
    </row>
    <row r="51">
      <c r="A51" s="51">
        <f>'06_Historique'!A52</f>
        <v/>
      </c>
      <c r="B51" s="10">
        <f>'06_Historique'!B52</f>
        <v/>
      </c>
      <c r="C51" s="51">
        <f>'06_Historique'!C52</f>
        <v/>
      </c>
      <c r="D51" s="10">
        <f>'06_Historique'!E52</f>
        <v/>
      </c>
      <c r="E51" s="10">
        <f>'06_Historique'!F52</f>
        <v/>
      </c>
      <c r="F51" s="52">
        <f>'06_Historique'!G52</f>
        <v/>
      </c>
      <c r="G51" s="52">
        <f>'06_Historique'!K52</f>
        <v/>
      </c>
      <c r="H51" s="52">
        <f>'06_Historique'!I52</f>
        <v/>
      </c>
      <c r="I51" s="52">
        <f>'06_Historique'!J52</f>
        <v/>
      </c>
      <c r="J51" s="52">
        <f>'06_Historique'!H52</f>
        <v/>
      </c>
      <c r="K51" s="52">
        <f>'06_Historique'!L52</f>
        <v/>
      </c>
      <c r="L51" s="53">
        <f>'06_Historique'!M52</f>
        <v/>
      </c>
      <c r="M51" s="52">
        <f>'06_Historique'!N52</f>
        <v/>
      </c>
      <c r="N51" s="9">
        <f>C51&amp;"|"&amp;D51</f>
        <v/>
      </c>
      <c r="O51" s="54">
        <f>INDEX('05_Param_Prog_Annee'!$E$4:$E$23,MATCH(N51,'05_Param_Prog_Annee'!$A$4:$A$23,0))</f>
        <v/>
      </c>
      <c r="P51" s="54">
        <f>INDEX('05_Param_Prog_Annee'!$F$4:$F$23,MATCH(N51,'05_Param_Prog_Annee'!$A$4:$A$23,0))</f>
        <v/>
      </c>
      <c r="Q51" s="55">
        <f>INDEX('05_Param_Prog_Annee'!$G$4:$G$23,MATCH(N51,'05_Param_Prog_Annee'!$A$4:$A$23,0))</f>
        <v/>
      </c>
      <c r="R51" s="55">
        <f>INDEX('05_Param_Prog_Annee'!$H$4:$H$23,MATCH(N51,'05_Param_Prog_Annee'!$A$4:$A$23,0))</f>
        <v/>
      </c>
      <c r="S51" s="55">
        <f>INDEX('05_Param_Prog_Annee'!$I$4:$I$23,MATCH(N51,'05_Param_Prog_Annee'!$A$4:$A$23,0))</f>
        <v/>
      </c>
      <c r="T51" s="56">
        <f>IFERROR(INDEX('05_Param_Prog_Annee'!$J$4:$J$23,MATCH(N51,'05_Param_Prog_Annee'!$A$4:$A$23,0)),0)</f>
        <v/>
      </c>
      <c r="U51" s="55">
        <f>P51*Q51*(1+'01_Cadrage'!$H$21)</f>
        <v/>
      </c>
      <c r="V51" s="46">
        <f>INDEX('01_Cadrage'!$L$7:$L$20,MATCH(A51&amp;"|"&amp;B51,'01_Cadrage'!$O$7:$O$20,0))</f>
        <v/>
      </c>
      <c r="W51" s="46">
        <f>INDEX('01_Cadrage'!$M$7:$M$20,MATCH(A51&amp;"|"&amp;B51,'01_Cadrage'!$O$7:$O$20,0))</f>
        <v/>
      </c>
      <c r="X51" s="46">
        <f>IFERROR(INDEX('06_Historique'!$F$66:$F$73,MATCH(C51,'06_Historique'!$A$66:$A$73,0)),'01_Cadrage'!$H$29)</f>
        <v/>
      </c>
      <c r="Y51" s="56">
        <f>'01_Cadrage'!$H$16*V51</f>
        <v/>
      </c>
      <c r="Z51" s="54">
        <f>IF(F51=1,J51*(1+X51*Y51),0)</f>
        <v/>
      </c>
      <c r="AA51" s="56">
        <f>IF(F51=1,IFERROR(H51/J51,'01_Cadrage'!$H$30)+'01_Cadrage'!$H$18,0)</f>
        <v/>
      </c>
      <c r="AB51" s="54">
        <f>Z51*AA51</f>
        <v/>
      </c>
      <c r="AC51" s="54">
        <f>IF(F51=1,0,K51*(T51+'01_Cadrage'!$H$19))</f>
        <v/>
      </c>
      <c r="AD51" s="57">
        <f>AB51+AC51</f>
        <v/>
      </c>
      <c r="AE51" s="55">
        <f>L51*(1+'01_Cadrage'!$H$17*W51)</f>
        <v/>
      </c>
      <c r="AF51" s="46">
        <f>IF(E51="ALT",'01_Cadrage'!$H$28+(1-'01_Cadrage'!$H$28)*'01_Cadrage'!$H$26,1)</f>
        <v/>
      </c>
      <c r="AG51" s="46">
        <f>IF(E51="ALT",IFERROR(INDEX('06_Historique'!$G$66:$G$73,MATCH(C51,'06_Historique'!$A$66:$A$73,0)),'01_Cadrage'!$H$28)+(1-IFERROR(INDEX('06_Historique'!$G$66:$G$73,MATCH(C51,'06_Historique'!$A$66:$A$73,0)),'01_Cadrage'!$H$28))*'01_Cadrage'!$H$26,1)</f>
        <v/>
      </c>
      <c r="AH51" s="21">
        <f>AD51*AE51*AF51+AB51*'01_Cadrage'!$H$24</f>
        <v/>
      </c>
      <c r="AI51" s="54">
        <f>IF(AD51&lt;=0,0,MAX(1,ROUNDUP(AD51/O51,0)))</f>
        <v/>
      </c>
      <c r="AJ51" s="21">
        <f>AI51*U51</f>
        <v/>
      </c>
      <c r="AK51" s="21">
        <f>AD51*R51*(1+'01_Cadrage'!$H$20)</f>
        <v/>
      </c>
      <c r="AL51" s="21">
        <f>H51*S51*(1+Y51)</f>
        <v/>
      </c>
      <c r="AM51" s="20">
        <f>AH51-AJ51-AK51-AL51-AD51*'01_Cadrage'!$H$27*(1+'01_Cadrage'!$H$20)</f>
        <v/>
      </c>
      <c r="AN51" s="56">
        <f>IFERROR(AD51/(AI51*O51),0)</f>
        <v/>
      </c>
      <c r="AO51" s="55">
        <f>IFERROR(AM51/AD51,0)</f>
        <v/>
      </c>
      <c r="AP51" s="54">
        <f>IFERROR(AI51*U51/(AE51*AF51-R51*(1+'01_Cadrage'!$H$20)),0)</f>
        <v/>
      </c>
    </row>
    <row r="52">
      <c r="A52" s="51">
        <f>'06_Historique'!A53</f>
        <v/>
      </c>
      <c r="B52" s="10">
        <f>'06_Historique'!B53</f>
        <v/>
      </c>
      <c r="C52" s="51">
        <f>'06_Historique'!C53</f>
        <v/>
      </c>
      <c r="D52" s="10">
        <f>'06_Historique'!E53</f>
        <v/>
      </c>
      <c r="E52" s="10">
        <f>'06_Historique'!F53</f>
        <v/>
      </c>
      <c r="F52" s="52">
        <f>'06_Historique'!G53</f>
        <v/>
      </c>
      <c r="G52" s="52">
        <f>'06_Historique'!K53</f>
        <v/>
      </c>
      <c r="H52" s="52">
        <f>'06_Historique'!I53</f>
        <v/>
      </c>
      <c r="I52" s="52">
        <f>'06_Historique'!J53</f>
        <v/>
      </c>
      <c r="J52" s="52">
        <f>'06_Historique'!H53</f>
        <v/>
      </c>
      <c r="K52" s="52">
        <f>'06_Historique'!L53</f>
        <v/>
      </c>
      <c r="L52" s="53">
        <f>'06_Historique'!M53</f>
        <v/>
      </c>
      <c r="M52" s="52">
        <f>'06_Historique'!N53</f>
        <v/>
      </c>
      <c r="N52" s="9">
        <f>C52&amp;"|"&amp;D52</f>
        <v/>
      </c>
      <c r="O52" s="54">
        <f>INDEX('05_Param_Prog_Annee'!$E$4:$E$23,MATCH(N52,'05_Param_Prog_Annee'!$A$4:$A$23,0))</f>
        <v/>
      </c>
      <c r="P52" s="54">
        <f>INDEX('05_Param_Prog_Annee'!$F$4:$F$23,MATCH(N52,'05_Param_Prog_Annee'!$A$4:$A$23,0))</f>
        <v/>
      </c>
      <c r="Q52" s="55">
        <f>INDEX('05_Param_Prog_Annee'!$G$4:$G$23,MATCH(N52,'05_Param_Prog_Annee'!$A$4:$A$23,0))</f>
        <v/>
      </c>
      <c r="R52" s="55">
        <f>INDEX('05_Param_Prog_Annee'!$H$4:$H$23,MATCH(N52,'05_Param_Prog_Annee'!$A$4:$A$23,0))</f>
        <v/>
      </c>
      <c r="S52" s="55">
        <f>INDEX('05_Param_Prog_Annee'!$I$4:$I$23,MATCH(N52,'05_Param_Prog_Annee'!$A$4:$A$23,0))</f>
        <v/>
      </c>
      <c r="T52" s="56">
        <f>IFERROR(INDEX('05_Param_Prog_Annee'!$J$4:$J$23,MATCH(N52,'05_Param_Prog_Annee'!$A$4:$A$23,0)),0)</f>
        <v/>
      </c>
      <c r="U52" s="55">
        <f>P52*Q52*(1+'01_Cadrage'!$H$21)</f>
        <v/>
      </c>
      <c r="V52" s="46">
        <f>INDEX('01_Cadrage'!$L$7:$L$20,MATCH(A52&amp;"|"&amp;B52,'01_Cadrage'!$O$7:$O$20,0))</f>
        <v/>
      </c>
      <c r="W52" s="46">
        <f>INDEX('01_Cadrage'!$M$7:$M$20,MATCH(A52&amp;"|"&amp;B52,'01_Cadrage'!$O$7:$O$20,0))</f>
        <v/>
      </c>
      <c r="X52" s="46">
        <f>IFERROR(INDEX('06_Historique'!$F$66:$F$73,MATCH(C52,'06_Historique'!$A$66:$A$73,0)),'01_Cadrage'!$H$29)</f>
        <v/>
      </c>
      <c r="Y52" s="56">
        <f>'01_Cadrage'!$H$16*V52</f>
        <v/>
      </c>
      <c r="Z52" s="54">
        <f>IF(F52=1,J52*(1+X52*Y52),0)</f>
        <v/>
      </c>
      <c r="AA52" s="56">
        <f>IF(F52=1,IFERROR(H52/J52,'01_Cadrage'!$H$30)+'01_Cadrage'!$H$18,0)</f>
        <v/>
      </c>
      <c r="AB52" s="54">
        <f>Z52*AA52</f>
        <v/>
      </c>
      <c r="AC52" s="54">
        <f>IF(F52=1,0,K52*(T52+'01_Cadrage'!$H$19))</f>
        <v/>
      </c>
      <c r="AD52" s="57">
        <f>AB52+AC52</f>
        <v/>
      </c>
      <c r="AE52" s="55">
        <f>L52*(1+'01_Cadrage'!$H$17*W52)</f>
        <v/>
      </c>
      <c r="AF52" s="46">
        <f>IF(E52="ALT",'01_Cadrage'!$H$28+(1-'01_Cadrage'!$H$28)*'01_Cadrage'!$H$26,1)</f>
        <v/>
      </c>
      <c r="AG52" s="46">
        <f>IF(E52="ALT",IFERROR(INDEX('06_Historique'!$G$66:$G$73,MATCH(C52,'06_Historique'!$A$66:$A$73,0)),'01_Cadrage'!$H$28)+(1-IFERROR(INDEX('06_Historique'!$G$66:$G$73,MATCH(C52,'06_Historique'!$A$66:$A$73,0)),'01_Cadrage'!$H$28))*'01_Cadrage'!$H$26,1)</f>
        <v/>
      </c>
      <c r="AH52" s="21">
        <f>AD52*AE52*AF52+AB52*'01_Cadrage'!$H$24</f>
        <v/>
      </c>
      <c r="AI52" s="54">
        <f>IF(AD52&lt;=0,0,MAX(1,ROUNDUP(AD52/O52,0)))</f>
        <v/>
      </c>
      <c r="AJ52" s="21">
        <f>AI52*U52</f>
        <v/>
      </c>
      <c r="AK52" s="21">
        <f>AD52*R52*(1+'01_Cadrage'!$H$20)</f>
        <v/>
      </c>
      <c r="AL52" s="21">
        <f>H52*S52*(1+Y52)</f>
        <v/>
      </c>
      <c r="AM52" s="20">
        <f>AH52-AJ52-AK52-AL52-AD52*'01_Cadrage'!$H$27*(1+'01_Cadrage'!$H$20)</f>
        <v/>
      </c>
      <c r="AN52" s="56">
        <f>IFERROR(AD52/(AI52*O52),0)</f>
        <v/>
      </c>
      <c r="AO52" s="55">
        <f>IFERROR(AM52/AD52,0)</f>
        <v/>
      </c>
      <c r="AP52" s="54">
        <f>IFERROR(AI52*U52/(AE52*AF52-R52*(1+'01_Cadrage'!$H$20)),0)</f>
        <v/>
      </c>
    </row>
    <row r="53">
      <c r="A53" s="51">
        <f>'06_Historique'!A54</f>
        <v/>
      </c>
      <c r="B53" s="10">
        <f>'06_Historique'!B54</f>
        <v/>
      </c>
      <c r="C53" s="51">
        <f>'06_Historique'!C54</f>
        <v/>
      </c>
      <c r="D53" s="10">
        <f>'06_Historique'!E54</f>
        <v/>
      </c>
      <c r="E53" s="10">
        <f>'06_Historique'!F54</f>
        <v/>
      </c>
      <c r="F53" s="52">
        <f>'06_Historique'!G54</f>
        <v/>
      </c>
      <c r="G53" s="52">
        <f>'06_Historique'!K54</f>
        <v/>
      </c>
      <c r="H53" s="52">
        <f>'06_Historique'!I54</f>
        <v/>
      </c>
      <c r="I53" s="52">
        <f>'06_Historique'!J54</f>
        <v/>
      </c>
      <c r="J53" s="52">
        <f>'06_Historique'!H54</f>
        <v/>
      </c>
      <c r="K53" s="52">
        <f>'06_Historique'!L54</f>
        <v/>
      </c>
      <c r="L53" s="53">
        <f>'06_Historique'!M54</f>
        <v/>
      </c>
      <c r="M53" s="52">
        <f>'06_Historique'!N54</f>
        <v/>
      </c>
      <c r="N53" s="9">
        <f>C53&amp;"|"&amp;D53</f>
        <v/>
      </c>
      <c r="O53" s="54">
        <f>INDEX('05_Param_Prog_Annee'!$E$4:$E$23,MATCH(N53,'05_Param_Prog_Annee'!$A$4:$A$23,0))</f>
        <v/>
      </c>
      <c r="P53" s="54">
        <f>INDEX('05_Param_Prog_Annee'!$F$4:$F$23,MATCH(N53,'05_Param_Prog_Annee'!$A$4:$A$23,0))</f>
        <v/>
      </c>
      <c r="Q53" s="55">
        <f>INDEX('05_Param_Prog_Annee'!$G$4:$G$23,MATCH(N53,'05_Param_Prog_Annee'!$A$4:$A$23,0))</f>
        <v/>
      </c>
      <c r="R53" s="55">
        <f>INDEX('05_Param_Prog_Annee'!$H$4:$H$23,MATCH(N53,'05_Param_Prog_Annee'!$A$4:$A$23,0))</f>
        <v/>
      </c>
      <c r="S53" s="55">
        <f>INDEX('05_Param_Prog_Annee'!$I$4:$I$23,MATCH(N53,'05_Param_Prog_Annee'!$A$4:$A$23,0))</f>
        <v/>
      </c>
      <c r="T53" s="56">
        <f>IFERROR(INDEX('05_Param_Prog_Annee'!$J$4:$J$23,MATCH(N53,'05_Param_Prog_Annee'!$A$4:$A$23,0)),0)</f>
        <v/>
      </c>
      <c r="U53" s="55">
        <f>P53*Q53*(1+'01_Cadrage'!$H$21)</f>
        <v/>
      </c>
      <c r="V53" s="46">
        <f>INDEX('01_Cadrage'!$L$7:$L$20,MATCH(A53&amp;"|"&amp;B53,'01_Cadrage'!$O$7:$O$20,0))</f>
        <v/>
      </c>
      <c r="W53" s="46">
        <f>INDEX('01_Cadrage'!$M$7:$M$20,MATCH(A53&amp;"|"&amp;B53,'01_Cadrage'!$O$7:$O$20,0))</f>
        <v/>
      </c>
      <c r="X53" s="46">
        <f>IFERROR(INDEX('06_Historique'!$F$66:$F$73,MATCH(C53,'06_Historique'!$A$66:$A$73,0)),'01_Cadrage'!$H$29)</f>
        <v/>
      </c>
      <c r="Y53" s="56">
        <f>'01_Cadrage'!$H$16*V53</f>
        <v/>
      </c>
      <c r="Z53" s="54">
        <f>IF(F53=1,J53*(1+X53*Y53),0)</f>
        <v/>
      </c>
      <c r="AA53" s="56">
        <f>IF(F53=1,IFERROR(H53/J53,'01_Cadrage'!$H$30)+'01_Cadrage'!$H$18,0)</f>
        <v/>
      </c>
      <c r="AB53" s="54">
        <f>Z53*AA53</f>
        <v/>
      </c>
      <c r="AC53" s="54">
        <f>IF(F53=1,0,K53*(T53+'01_Cadrage'!$H$19))</f>
        <v/>
      </c>
      <c r="AD53" s="57">
        <f>AB53+AC53</f>
        <v/>
      </c>
      <c r="AE53" s="55">
        <f>L53*(1+'01_Cadrage'!$H$17*W53)</f>
        <v/>
      </c>
      <c r="AF53" s="46">
        <f>IF(E53="ALT",'01_Cadrage'!$H$28+(1-'01_Cadrage'!$H$28)*'01_Cadrage'!$H$26,1)</f>
        <v/>
      </c>
      <c r="AG53" s="46">
        <f>IF(E53="ALT",IFERROR(INDEX('06_Historique'!$G$66:$G$73,MATCH(C53,'06_Historique'!$A$66:$A$73,0)),'01_Cadrage'!$H$28)+(1-IFERROR(INDEX('06_Historique'!$G$66:$G$73,MATCH(C53,'06_Historique'!$A$66:$A$73,0)),'01_Cadrage'!$H$28))*'01_Cadrage'!$H$26,1)</f>
        <v/>
      </c>
      <c r="AH53" s="21">
        <f>AD53*AE53*AF53+AB53*'01_Cadrage'!$H$24</f>
        <v/>
      </c>
      <c r="AI53" s="54">
        <f>IF(AD53&lt;=0,0,MAX(1,ROUNDUP(AD53/O53,0)))</f>
        <v/>
      </c>
      <c r="AJ53" s="21">
        <f>AI53*U53</f>
        <v/>
      </c>
      <c r="AK53" s="21">
        <f>AD53*R53*(1+'01_Cadrage'!$H$20)</f>
        <v/>
      </c>
      <c r="AL53" s="21">
        <f>H53*S53*(1+Y53)</f>
        <v/>
      </c>
      <c r="AM53" s="20">
        <f>AH53-AJ53-AK53-AL53-AD53*'01_Cadrage'!$H$27*(1+'01_Cadrage'!$H$20)</f>
        <v/>
      </c>
      <c r="AN53" s="56">
        <f>IFERROR(AD53/(AI53*O53),0)</f>
        <v/>
      </c>
      <c r="AO53" s="55">
        <f>IFERROR(AM53/AD53,0)</f>
        <v/>
      </c>
      <c r="AP53" s="54">
        <f>IFERROR(AI53*U53/(AE53*AF53-R53*(1+'01_Cadrage'!$H$20)),0)</f>
        <v/>
      </c>
    </row>
    <row r="54">
      <c r="A54" s="51">
        <f>'06_Historique'!A55</f>
        <v/>
      </c>
      <c r="B54" s="10">
        <f>'06_Historique'!B55</f>
        <v/>
      </c>
      <c r="C54" s="51">
        <f>'06_Historique'!C55</f>
        <v/>
      </c>
      <c r="D54" s="10">
        <f>'06_Historique'!E55</f>
        <v/>
      </c>
      <c r="E54" s="10">
        <f>'06_Historique'!F55</f>
        <v/>
      </c>
      <c r="F54" s="52">
        <f>'06_Historique'!G55</f>
        <v/>
      </c>
      <c r="G54" s="52">
        <f>'06_Historique'!K55</f>
        <v/>
      </c>
      <c r="H54" s="52">
        <f>'06_Historique'!I55</f>
        <v/>
      </c>
      <c r="I54" s="52">
        <f>'06_Historique'!J55</f>
        <v/>
      </c>
      <c r="J54" s="52">
        <f>'06_Historique'!H55</f>
        <v/>
      </c>
      <c r="K54" s="52">
        <f>'06_Historique'!L55</f>
        <v/>
      </c>
      <c r="L54" s="53">
        <f>'06_Historique'!M55</f>
        <v/>
      </c>
      <c r="M54" s="52">
        <f>'06_Historique'!N55</f>
        <v/>
      </c>
      <c r="N54" s="9">
        <f>C54&amp;"|"&amp;D54</f>
        <v/>
      </c>
      <c r="O54" s="54">
        <f>INDEX('05_Param_Prog_Annee'!$E$4:$E$23,MATCH(N54,'05_Param_Prog_Annee'!$A$4:$A$23,0))</f>
        <v/>
      </c>
      <c r="P54" s="54">
        <f>INDEX('05_Param_Prog_Annee'!$F$4:$F$23,MATCH(N54,'05_Param_Prog_Annee'!$A$4:$A$23,0))</f>
        <v/>
      </c>
      <c r="Q54" s="55">
        <f>INDEX('05_Param_Prog_Annee'!$G$4:$G$23,MATCH(N54,'05_Param_Prog_Annee'!$A$4:$A$23,0))</f>
        <v/>
      </c>
      <c r="R54" s="55">
        <f>INDEX('05_Param_Prog_Annee'!$H$4:$H$23,MATCH(N54,'05_Param_Prog_Annee'!$A$4:$A$23,0))</f>
        <v/>
      </c>
      <c r="S54" s="55">
        <f>INDEX('05_Param_Prog_Annee'!$I$4:$I$23,MATCH(N54,'05_Param_Prog_Annee'!$A$4:$A$23,0))</f>
        <v/>
      </c>
      <c r="T54" s="56">
        <f>IFERROR(INDEX('05_Param_Prog_Annee'!$J$4:$J$23,MATCH(N54,'05_Param_Prog_Annee'!$A$4:$A$23,0)),0)</f>
        <v/>
      </c>
      <c r="U54" s="55">
        <f>P54*Q54*(1+'01_Cadrage'!$H$21)</f>
        <v/>
      </c>
      <c r="V54" s="46">
        <f>INDEX('01_Cadrage'!$L$7:$L$20,MATCH(A54&amp;"|"&amp;B54,'01_Cadrage'!$O$7:$O$20,0))</f>
        <v/>
      </c>
      <c r="W54" s="46">
        <f>INDEX('01_Cadrage'!$M$7:$M$20,MATCH(A54&amp;"|"&amp;B54,'01_Cadrage'!$O$7:$O$20,0))</f>
        <v/>
      </c>
      <c r="X54" s="46">
        <f>IFERROR(INDEX('06_Historique'!$F$66:$F$73,MATCH(C54,'06_Historique'!$A$66:$A$73,0)),'01_Cadrage'!$H$29)</f>
        <v/>
      </c>
      <c r="Y54" s="56">
        <f>'01_Cadrage'!$H$16*V54</f>
        <v/>
      </c>
      <c r="Z54" s="54">
        <f>IF(F54=1,J54*(1+X54*Y54),0)</f>
        <v/>
      </c>
      <c r="AA54" s="56">
        <f>IF(F54=1,IFERROR(H54/J54,'01_Cadrage'!$H$30)+'01_Cadrage'!$H$18,0)</f>
        <v/>
      </c>
      <c r="AB54" s="54">
        <f>Z54*AA54</f>
        <v/>
      </c>
      <c r="AC54" s="54">
        <f>IF(F54=1,0,K54*(T54+'01_Cadrage'!$H$19))</f>
        <v/>
      </c>
      <c r="AD54" s="57">
        <f>AB54+AC54</f>
        <v/>
      </c>
      <c r="AE54" s="55">
        <f>L54*(1+'01_Cadrage'!$H$17*W54)</f>
        <v/>
      </c>
      <c r="AF54" s="46">
        <f>IF(E54="ALT",'01_Cadrage'!$H$28+(1-'01_Cadrage'!$H$28)*'01_Cadrage'!$H$26,1)</f>
        <v/>
      </c>
      <c r="AG54" s="46">
        <f>IF(E54="ALT",IFERROR(INDEX('06_Historique'!$G$66:$G$73,MATCH(C54,'06_Historique'!$A$66:$A$73,0)),'01_Cadrage'!$H$28)+(1-IFERROR(INDEX('06_Historique'!$G$66:$G$73,MATCH(C54,'06_Historique'!$A$66:$A$73,0)),'01_Cadrage'!$H$28))*'01_Cadrage'!$H$26,1)</f>
        <v/>
      </c>
      <c r="AH54" s="21">
        <f>AD54*AE54*AF54+AB54*'01_Cadrage'!$H$24</f>
        <v/>
      </c>
      <c r="AI54" s="54">
        <f>IF(AD54&lt;=0,0,MAX(1,ROUNDUP(AD54/O54,0)))</f>
        <v/>
      </c>
      <c r="AJ54" s="21">
        <f>AI54*U54</f>
        <v/>
      </c>
      <c r="AK54" s="21">
        <f>AD54*R54*(1+'01_Cadrage'!$H$20)</f>
        <v/>
      </c>
      <c r="AL54" s="21">
        <f>H54*S54*(1+Y54)</f>
        <v/>
      </c>
      <c r="AM54" s="20">
        <f>AH54-AJ54-AK54-AL54-AD54*'01_Cadrage'!$H$27*(1+'01_Cadrage'!$H$20)</f>
        <v/>
      </c>
      <c r="AN54" s="56">
        <f>IFERROR(AD54/(AI54*O54),0)</f>
        <v/>
      </c>
      <c r="AO54" s="55">
        <f>IFERROR(AM54/AD54,0)</f>
        <v/>
      </c>
      <c r="AP54" s="54">
        <f>IFERROR(AI54*U54/(AE54*AF54-R54*(1+'01_Cadrage'!$H$20)),0)</f>
        <v/>
      </c>
    </row>
    <row r="55">
      <c r="A55" s="51">
        <f>'06_Historique'!A56</f>
        <v/>
      </c>
      <c r="B55" s="10">
        <f>'06_Historique'!B56</f>
        <v/>
      </c>
      <c r="C55" s="51">
        <f>'06_Historique'!C56</f>
        <v/>
      </c>
      <c r="D55" s="10">
        <f>'06_Historique'!E56</f>
        <v/>
      </c>
      <c r="E55" s="10">
        <f>'06_Historique'!F56</f>
        <v/>
      </c>
      <c r="F55" s="52">
        <f>'06_Historique'!G56</f>
        <v/>
      </c>
      <c r="G55" s="52">
        <f>'06_Historique'!K56</f>
        <v/>
      </c>
      <c r="H55" s="52">
        <f>'06_Historique'!I56</f>
        <v/>
      </c>
      <c r="I55" s="52">
        <f>'06_Historique'!J56</f>
        <v/>
      </c>
      <c r="J55" s="52">
        <f>'06_Historique'!H56</f>
        <v/>
      </c>
      <c r="K55" s="52">
        <f>'06_Historique'!L56</f>
        <v/>
      </c>
      <c r="L55" s="53">
        <f>'06_Historique'!M56</f>
        <v/>
      </c>
      <c r="M55" s="52">
        <f>'06_Historique'!N56</f>
        <v/>
      </c>
      <c r="N55" s="9">
        <f>C55&amp;"|"&amp;D55</f>
        <v/>
      </c>
      <c r="O55" s="54">
        <f>INDEX('05_Param_Prog_Annee'!$E$4:$E$23,MATCH(N55,'05_Param_Prog_Annee'!$A$4:$A$23,0))</f>
        <v/>
      </c>
      <c r="P55" s="54">
        <f>INDEX('05_Param_Prog_Annee'!$F$4:$F$23,MATCH(N55,'05_Param_Prog_Annee'!$A$4:$A$23,0))</f>
        <v/>
      </c>
      <c r="Q55" s="55">
        <f>INDEX('05_Param_Prog_Annee'!$G$4:$G$23,MATCH(N55,'05_Param_Prog_Annee'!$A$4:$A$23,0))</f>
        <v/>
      </c>
      <c r="R55" s="55">
        <f>INDEX('05_Param_Prog_Annee'!$H$4:$H$23,MATCH(N55,'05_Param_Prog_Annee'!$A$4:$A$23,0))</f>
        <v/>
      </c>
      <c r="S55" s="55">
        <f>INDEX('05_Param_Prog_Annee'!$I$4:$I$23,MATCH(N55,'05_Param_Prog_Annee'!$A$4:$A$23,0))</f>
        <v/>
      </c>
      <c r="T55" s="56">
        <f>IFERROR(INDEX('05_Param_Prog_Annee'!$J$4:$J$23,MATCH(N55,'05_Param_Prog_Annee'!$A$4:$A$23,0)),0)</f>
        <v/>
      </c>
      <c r="U55" s="55">
        <f>P55*Q55*(1+'01_Cadrage'!$H$21)</f>
        <v/>
      </c>
      <c r="V55" s="46">
        <f>INDEX('01_Cadrage'!$L$7:$L$20,MATCH(A55&amp;"|"&amp;B55,'01_Cadrage'!$O$7:$O$20,0))</f>
        <v/>
      </c>
      <c r="W55" s="46">
        <f>INDEX('01_Cadrage'!$M$7:$M$20,MATCH(A55&amp;"|"&amp;B55,'01_Cadrage'!$O$7:$O$20,0))</f>
        <v/>
      </c>
      <c r="X55" s="46">
        <f>IFERROR(INDEX('06_Historique'!$F$66:$F$73,MATCH(C55,'06_Historique'!$A$66:$A$73,0)),'01_Cadrage'!$H$29)</f>
        <v/>
      </c>
      <c r="Y55" s="56">
        <f>'01_Cadrage'!$H$16*V55</f>
        <v/>
      </c>
      <c r="Z55" s="54">
        <f>IF(F55=1,J55*(1+X55*Y55),0)</f>
        <v/>
      </c>
      <c r="AA55" s="56">
        <f>IF(F55=1,IFERROR(H55/J55,'01_Cadrage'!$H$30)+'01_Cadrage'!$H$18,0)</f>
        <v/>
      </c>
      <c r="AB55" s="54">
        <f>Z55*AA55</f>
        <v/>
      </c>
      <c r="AC55" s="54">
        <f>IF(F55=1,0,K55*(T55+'01_Cadrage'!$H$19))</f>
        <v/>
      </c>
      <c r="AD55" s="57">
        <f>AB55+AC55</f>
        <v/>
      </c>
      <c r="AE55" s="55">
        <f>L55*(1+'01_Cadrage'!$H$17*W55)</f>
        <v/>
      </c>
      <c r="AF55" s="46">
        <f>IF(E55="ALT",'01_Cadrage'!$H$28+(1-'01_Cadrage'!$H$28)*'01_Cadrage'!$H$26,1)</f>
        <v/>
      </c>
      <c r="AG55" s="46">
        <f>IF(E55="ALT",IFERROR(INDEX('06_Historique'!$G$66:$G$73,MATCH(C55,'06_Historique'!$A$66:$A$73,0)),'01_Cadrage'!$H$28)+(1-IFERROR(INDEX('06_Historique'!$G$66:$G$73,MATCH(C55,'06_Historique'!$A$66:$A$73,0)),'01_Cadrage'!$H$28))*'01_Cadrage'!$H$26,1)</f>
        <v/>
      </c>
      <c r="AH55" s="21">
        <f>AD55*AE55*AF55+AB55*'01_Cadrage'!$H$24</f>
        <v/>
      </c>
      <c r="AI55" s="54">
        <f>IF(AD55&lt;=0,0,MAX(1,ROUNDUP(AD55/O55,0)))</f>
        <v/>
      </c>
      <c r="AJ55" s="21">
        <f>AI55*U55</f>
        <v/>
      </c>
      <c r="AK55" s="21">
        <f>AD55*R55*(1+'01_Cadrage'!$H$20)</f>
        <v/>
      </c>
      <c r="AL55" s="21">
        <f>H55*S55*(1+Y55)</f>
        <v/>
      </c>
      <c r="AM55" s="20">
        <f>AH55-AJ55-AK55-AL55-AD55*'01_Cadrage'!$H$27*(1+'01_Cadrage'!$H$20)</f>
        <v/>
      </c>
      <c r="AN55" s="56">
        <f>IFERROR(AD55/(AI55*O55),0)</f>
        <v/>
      </c>
      <c r="AO55" s="55">
        <f>IFERROR(AM55/AD55,0)</f>
        <v/>
      </c>
      <c r="AP55" s="54">
        <f>IFERROR(AI55*U55/(AE55*AF55-R55*(1+'01_Cadrage'!$H$20)),0)</f>
        <v/>
      </c>
    </row>
    <row r="56">
      <c r="A56" s="51">
        <f>'06_Historique'!A57</f>
        <v/>
      </c>
      <c r="B56" s="10">
        <f>'06_Historique'!B57</f>
        <v/>
      </c>
      <c r="C56" s="51">
        <f>'06_Historique'!C57</f>
        <v/>
      </c>
      <c r="D56" s="10">
        <f>'06_Historique'!E57</f>
        <v/>
      </c>
      <c r="E56" s="10">
        <f>'06_Historique'!F57</f>
        <v/>
      </c>
      <c r="F56" s="52">
        <f>'06_Historique'!G57</f>
        <v/>
      </c>
      <c r="G56" s="52">
        <f>'06_Historique'!K57</f>
        <v/>
      </c>
      <c r="H56" s="52">
        <f>'06_Historique'!I57</f>
        <v/>
      </c>
      <c r="I56" s="52">
        <f>'06_Historique'!J57</f>
        <v/>
      </c>
      <c r="J56" s="52">
        <f>'06_Historique'!H57</f>
        <v/>
      </c>
      <c r="K56" s="52">
        <f>'06_Historique'!L57</f>
        <v/>
      </c>
      <c r="L56" s="53">
        <f>'06_Historique'!M57</f>
        <v/>
      </c>
      <c r="M56" s="52">
        <f>'06_Historique'!N57</f>
        <v/>
      </c>
      <c r="N56" s="9">
        <f>C56&amp;"|"&amp;D56</f>
        <v/>
      </c>
      <c r="O56" s="54">
        <f>INDEX('05_Param_Prog_Annee'!$E$4:$E$23,MATCH(N56,'05_Param_Prog_Annee'!$A$4:$A$23,0))</f>
        <v/>
      </c>
      <c r="P56" s="54">
        <f>INDEX('05_Param_Prog_Annee'!$F$4:$F$23,MATCH(N56,'05_Param_Prog_Annee'!$A$4:$A$23,0))</f>
        <v/>
      </c>
      <c r="Q56" s="55">
        <f>INDEX('05_Param_Prog_Annee'!$G$4:$G$23,MATCH(N56,'05_Param_Prog_Annee'!$A$4:$A$23,0))</f>
        <v/>
      </c>
      <c r="R56" s="55">
        <f>INDEX('05_Param_Prog_Annee'!$H$4:$H$23,MATCH(N56,'05_Param_Prog_Annee'!$A$4:$A$23,0))</f>
        <v/>
      </c>
      <c r="S56" s="55">
        <f>INDEX('05_Param_Prog_Annee'!$I$4:$I$23,MATCH(N56,'05_Param_Prog_Annee'!$A$4:$A$23,0))</f>
        <v/>
      </c>
      <c r="T56" s="56">
        <f>IFERROR(INDEX('05_Param_Prog_Annee'!$J$4:$J$23,MATCH(N56,'05_Param_Prog_Annee'!$A$4:$A$23,0)),0)</f>
        <v/>
      </c>
      <c r="U56" s="55">
        <f>P56*Q56*(1+'01_Cadrage'!$H$21)</f>
        <v/>
      </c>
      <c r="V56" s="46">
        <f>INDEX('01_Cadrage'!$L$7:$L$20,MATCH(A56&amp;"|"&amp;B56,'01_Cadrage'!$O$7:$O$20,0))</f>
        <v/>
      </c>
      <c r="W56" s="46">
        <f>INDEX('01_Cadrage'!$M$7:$M$20,MATCH(A56&amp;"|"&amp;B56,'01_Cadrage'!$O$7:$O$20,0))</f>
        <v/>
      </c>
      <c r="X56" s="46">
        <f>IFERROR(INDEX('06_Historique'!$F$66:$F$73,MATCH(C56,'06_Historique'!$A$66:$A$73,0)),'01_Cadrage'!$H$29)</f>
        <v/>
      </c>
      <c r="Y56" s="56">
        <f>'01_Cadrage'!$H$16*V56</f>
        <v/>
      </c>
      <c r="Z56" s="54">
        <f>IF(F56=1,J56*(1+X56*Y56),0)</f>
        <v/>
      </c>
      <c r="AA56" s="56">
        <f>IF(F56=1,IFERROR(H56/J56,'01_Cadrage'!$H$30)+'01_Cadrage'!$H$18,0)</f>
        <v/>
      </c>
      <c r="AB56" s="54">
        <f>Z56*AA56</f>
        <v/>
      </c>
      <c r="AC56" s="54">
        <f>IF(F56=1,0,K56*(T56+'01_Cadrage'!$H$19))</f>
        <v/>
      </c>
      <c r="AD56" s="57">
        <f>AB56+AC56</f>
        <v/>
      </c>
      <c r="AE56" s="55">
        <f>L56*(1+'01_Cadrage'!$H$17*W56)</f>
        <v/>
      </c>
      <c r="AF56" s="46">
        <f>IF(E56="ALT",'01_Cadrage'!$H$28+(1-'01_Cadrage'!$H$28)*'01_Cadrage'!$H$26,1)</f>
        <v/>
      </c>
      <c r="AG56" s="46">
        <f>IF(E56="ALT",IFERROR(INDEX('06_Historique'!$G$66:$G$73,MATCH(C56,'06_Historique'!$A$66:$A$73,0)),'01_Cadrage'!$H$28)+(1-IFERROR(INDEX('06_Historique'!$G$66:$G$73,MATCH(C56,'06_Historique'!$A$66:$A$73,0)),'01_Cadrage'!$H$28))*'01_Cadrage'!$H$26,1)</f>
        <v/>
      </c>
      <c r="AH56" s="21">
        <f>AD56*AE56*AF56+AB56*'01_Cadrage'!$H$24</f>
        <v/>
      </c>
      <c r="AI56" s="54">
        <f>IF(AD56&lt;=0,0,MAX(1,ROUNDUP(AD56/O56,0)))</f>
        <v/>
      </c>
      <c r="AJ56" s="21">
        <f>AI56*U56</f>
        <v/>
      </c>
      <c r="AK56" s="21">
        <f>AD56*R56*(1+'01_Cadrage'!$H$20)</f>
        <v/>
      </c>
      <c r="AL56" s="21">
        <f>H56*S56*(1+Y56)</f>
        <v/>
      </c>
      <c r="AM56" s="20">
        <f>AH56-AJ56-AK56-AL56-AD56*'01_Cadrage'!$H$27*(1+'01_Cadrage'!$H$20)</f>
        <v/>
      </c>
      <c r="AN56" s="56">
        <f>IFERROR(AD56/(AI56*O56),0)</f>
        <v/>
      </c>
      <c r="AO56" s="55">
        <f>IFERROR(AM56/AD56,0)</f>
        <v/>
      </c>
      <c r="AP56" s="54">
        <f>IFERROR(AI56*U56/(AE56*AF56-R56*(1+'01_Cadrage'!$H$20)),0)</f>
        <v/>
      </c>
    </row>
    <row r="57">
      <c r="A57" s="51">
        <f>'06_Historique'!A58</f>
        <v/>
      </c>
      <c r="B57" s="10">
        <f>'06_Historique'!B58</f>
        <v/>
      </c>
      <c r="C57" s="51">
        <f>'06_Historique'!C58</f>
        <v/>
      </c>
      <c r="D57" s="10">
        <f>'06_Historique'!E58</f>
        <v/>
      </c>
      <c r="E57" s="10">
        <f>'06_Historique'!F58</f>
        <v/>
      </c>
      <c r="F57" s="52">
        <f>'06_Historique'!G58</f>
        <v/>
      </c>
      <c r="G57" s="52">
        <f>'06_Historique'!K58</f>
        <v/>
      </c>
      <c r="H57" s="52">
        <f>'06_Historique'!I58</f>
        <v/>
      </c>
      <c r="I57" s="52">
        <f>'06_Historique'!J58</f>
        <v/>
      </c>
      <c r="J57" s="52">
        <f>'06_Historique'!H58</f>
        <v/>
      </c>
      <c r="K57" s="52">
        <f>'06_Historique'!L58</f>
        <v/>
      </c>
      <c r="L57" s="53">
        <f>'06_Historique'!M58</f>
        <v/>
      </c>
      <c r="M57" s="52">
        <f>'06_Historique'!N58</f>
        <v/>
      </c>
      <c r="N57" s="9">
        <f>C57&amp;"|"&amp;D57</f>
        <v/>
      </c>
      <c r="O57" s="54">
        <f>INDEX('05_Param_Prog_Annee'!$E$4:$E$23,MATCH(N57,'05_Param_Prog_Annee'!$A$4:$A$23,0))</f>
        <v/>
      </c>
      <c r="P57" s="54">
        <f>INDEX('05_Param_Prog_Annee'!$F$4:$F$23,MATCH(N57,'05_Param_Prog_Annee'!$A$4:$A$23,0))</f>
        <v/>
      </c>
      <c r="Q57" s="55">
        <f>INDEX('05_Param_Prog_Annee'!$G$4:$G$23,MATCH(N57,'05_Param_Prog_Annee'!$A$4:$A$23,0))</f>
        <v/>
      </c>
      <c r="R57" s="55">
        <f>INDEX('05_Param_Prog_Annee'!$H$4:$H$23,MATCH(N57,'05_Param_Prog_Annee'!$A$4:$A$23,0))</f>
        <v/>
      </c>
      <c r="S57" s="55">
        <f>INDEX('05_Param_Prog_Annee'!$I$4:$I$23,MATCH(N57,'05_Param_Prog_Annee'!$A$4:$A$23,0))</f>
        <v/>
      </c>
      <c r="T57" s="56">
        <f>IFERROR(INDEX('05_Param_Prog_Annee'!$J$4:$J$23,MATCH(N57,'05_Param_Prog_Annee'!$A$4:$A$23,0)),0)</f>
        <v/>
      </c>
      <c r="U57" s="55">
        <f>P57*Q57*(1+'01_Cadrage'!$H$21)</f>
        <v/>
      </c>
      <c r="V57" s="46">
        <f>INDEX('01_Cadrage'!$L$7:$L$20,MATCH(A57&amp;"|"&amp;B57,'01_Cadrage'!$O$7:$O$20,0))</f>
        <v/>
      </c>
      <c r="W57" s="46">
        <f>INDEX('01_Cadrage'!$M$7:$M$20,MATCH(A57&amp;"|"&amp;B57,'01_Cadrage'!$O$7:$O$20,0))</f>
        <v/>
      </c>
      <c r="X57" s="46">
        <f>IFERROR(INDEX('06_Historique'!$F$66:$F$73,MATCH(C57,'06_Historique'!$A$66:$A$73,0)),'01_Cadrage'!$H$29)</f>
        <v/>
      </c>
      <c r="Y57" s="56">
        <f>'01_Cadrage'!$H$16*V57</f>
        <v/>
      </c>
      <c r="Z57" s="54">
        <f>IF(F57=1,J57*(1+X57*Y57),0)</f>
        <v/>
      </c>
      <c r="AA57" s="56">
        <f>IF(F57=1,IFERROR(H57/J57,'01_Cadrage'!$H$30)+'01_Cadrage'!$H$18,0)</f>
        <v/>
      </c>
      <c r="AB57" s="54">
        <f>Z57*AA57</f>
        <v/>
      </c>
      <c r="AC57" s="54">
        <f>IF(F57=1,0,K57*(T57+'01_Cadrage'!$H$19))</f>
        <v/>
      </c>
      <c r="AD57" s="57">
        <f>AB57+AC57</f>
        <v/>
      </c>
      <c r="AE57" s="55">
        <f>L57*(1+'01_Cadrage'!$H$17*W57)</f>
        <v/>
      </c>
      <c r="AF57" s="46">
        <f>IF(E57="ALT",'01_Cadrage'!$H$28+(1-'01_Cadrage'!$H$28)*'01_Cadrage'!$H$26,1)</f>
        <v/>
      </c>
      <c r="AG57" s="46">
        <f>IF(E57="ALT",IFERROR(INDEX('06_Historique'!$G$66:$G$73,MATCH(C57,'06_Historique'!$A$66:$A$73,0)),'01_Cadrage'!$H$28)+(1-IFERROR(INDEX('06_Historique'!$G$66:$G$73,MATCH(C57,'06_Historique'!$A$66:$A$73,0)),'01_Cadrage'!$H$28))*'01_Cadrage'!$H$26,1)</f>
        <v/>
      </c>
      <c r="AH57" s="21">
        <f>AD57*AE57*AF57+AB57*'01_Cadrage'!$H$24</f>
        <v/>
      </c>
      <c r="AI57" s="54">
        <f>IF(AD57&lt;=0,0,MAX(1,ROUNDUP(AD57/O57,0)))</f>
        <v/>
      </c>
      <c r="AJ57" s="21">
        <f>AI57*U57</f>
        <v/>
      </c>
      <c r="AK57" s="21">
        <f>AD57*R57*(1+'01_Cadrage'!$H$20)</f>
        <v/>
      </c>
      <c r="AL57" s="21">
        <f>H57*S57*(1+Y57)</f>
        <v/>
      </c>
      <c r="AM57" s="20">
        <f>AH57-AJ57-AK57-AL57-AD57*'01_Cadrage'!$H$27*(1+'01_Cadrage'!$H$20)</f>
        <v/>
      </c>
      <c r="AN57" s="56">
        <f>IFERROR(AD57/(AI57*O57),0)</f>
        <v/>
      </c>
      <c r="AO57" s="55">
        <f>IFERROR(AM57/AD57,0)</f>
        <v/>
      </c>
      <c r="AP57" s="54">
        <f>IFERROR(AI57*U57/(AE57*AF57-R57*(1+'01_Cadrage'!$H$20)),0)</f>
        <v/>
      </c>
    </row>
    <row r="58">
      <c r="A58" s="51">
        <f>'06_Historique'!A59</f>
        <v/>
      </c>
      <c r="B58" s="10">
        <f>'06_Historique'!B59</f>
        <v/>
      </c>
      <c r="C58" s="51">
        <f>'06_Historique'!C59</f>
        <v/>
      </c>
      <c r="D58" s="10">
        <f>'06_Historique'!E59</f>
        <v/>
      </c>
      <c r="E58" s="10">
        <f>'06_Historique'!F59</f>
        <v/>
      </c>
      <c r="F58" s="52">
        <f>'06_Historique'!G59</f>
        <v/>
      </c>
      <c r="G58" s="52">
        <f>'06_Historique'!K59</f>
        <v/>
      </c>
      <c r="H58" s="52">
        <f>'06_Historique'!I59</f>
        <v/>
      </c>
      <c r="I58" s="52">
        <f>'06_Historique'!J59</f>
        <v/>
      </c>
      <c r="J58" s="52">
        <f>'06_Historique'!H59</f>
        <v/>
      </c>
      <c r="K58" s="52">
        <f>'06_Historique'!L59</f>
        <v/>
      </c>
      <c r="L58" s="53">
        <f>'06_Historique'!M59</f>
        <v/>
      </c>
      <c r="M58" s="52">
        <f>'06_Historique'!N59</f>
        <v/>
      </c>
      <c r="N58" s="9">
        <f>C58&amp;"|"&amp;D58</f>
        <v/>
      </c>
      <c r="O58" s="54">
        <f>INDEX('05_Param_Prog_Annee'!$E$4:$E$23,MATCH(N58,'05_Param_Prog_Annee'!$A$4:$A$23,0))</f>
        <v/>
      </c>
      <c r="P58" s="54">
        <f>INDEX('05_Param_Prog_Annee'!$F$4:$F$23,MATCH(N58,'05_Param_Prog_Annee'!$A$4:$A$23,0))</f>
        <v/>
      </c>
      <c r="Q58" s="55">
        <f>INDEX('05_Param_Prog_Annee'!$G$4:$G$23,MATCH(N58,'05_Param_Prog_Annee'!$A$4:$A$23,0))</f>
        <v/>
      </c>
      <c r="R58" s="55">
        <f>INDEX('05_Param_Prog_Annee'!$H$4:$H$23,MATCH(N58,'05_Param_Prog_Annee'!$A$4:$A$23,0))</f>
        <v/>
      </c>
      <c r="S58" s="55">
        <f>INDEX('05_Param_Prog_Annee'!$I$4:$I$23,MATCH(N58,'05_Param_Prog_Annee'!$A$4:$A$23,0))</f>
        <v/>
      </c>
      <c r="T58" s="56">
        <f>IFERROR(INDEX('05_Param_Prog_Annee'!$J$4:$J$23,MATCH(N58,'05_Param_Prog_Annee'!$A$4:$A$23,0)),0)</f>
        <v/>
      </c>
      <c r="U58" s="55">
        <f>P58*Q58*(1+'01_Cadrage'!$H$21)</f>
        <v/>
      </c>
      <c r="V58" s="46">
        <f>INDEX('01_Cadrage'!$L$7:$L$20,MATCH(A58&amp;"|"&amp;B58,'01_Cadrage'!$O$7:$O$20,0))</f>
        <v/>
      </c>
      <c r="W58" s="46">
        <f>INDEX('01_Cadrage'!$M$7:$M$20,MATCH(A58&amp;"|"&amp;B58,'01_Cadrage'!$O$7:$O$20,0))</f>
        <v/>
      </c>
      <c r="X58" s="46">
        <f>IFERROR(INDEX('06_Historique'!$F$66:$F$73,MATCH(C58,'06_Historique'!$A$66:$A$73,0)),'01_Cadrage'!$H$29)</f>
        <v/>
      </c>
      <c r="Y58" s="56">
        <f>'01_Cadrage'!$H$16*V58</f>
        <v/>
      </c>
      <c r="Z58" s="54">
        <f>IF(F58=1,J58*(1+X58*Y58),0)</f>
        <v/>
      </c>
      <c r="AA58" s="56">
        <f>IF(F58=1,IFERROR(H58/J58,'01_Cadrage'!$H$30)+'01_Cadrage'!$H$18,0)</f>
        <v/>
      </c>
      <c r="AB58" s="54">
        <f>Z58*AA58</f>
        <v/>
      </c>
      <c r="AC58" s="54">
        <f>IF(F58=1,0,K58*(T58+'01_Cadrage'!$H$19))</f>
        <v/>
      </c>
      <c r="AD58" s="57">
        <f>AB58+AC58</f>
        <v/>
      </c>
      <c r="AE58" s="55">
        <f>L58*(1+'01_Cadrage'!$H$17*W58)</f>
        <v/>
      </c>
      <c r="AF58" s="46">
        <f>IF(E58="ALT",'01_Cadrage'!$H$28+(1-'01_Cadrage'!$H$28)*'01_Cadrage'!$H$26,1)</f>
        <v/>
      </c>
      <c r="AG58" s="46">
        <f>IF(E58="ALT",IFERROR(INDEX('06_Historique'!$G$66:$G$73,MATCH(C58,'06_Historique'!$A$66:$A$73,0)),'01_Cadrage'!$H$28)+(1-IFERROR(INDEX('06_Historique'!$G$66:$G$73,MATCH(C58,'06_Historique'!$A$66:$A$73,0)),'01_Cadrage'!$H$28))*'01_Cadrage'!$H$26,1)</f>
        <v/>
      </c>
      <c r="AH58" s="21">
        <f>AD58*AE58*AF58+AB58*'01_Cadrage'!$H$24</f>
        <v/>
      </c>
      <c r="AI58" s="54">
        <f>IF(AD58&lt;=0,0,MAX(1,ROUNDUP(AD58/O58,0)))</f>
        <v/>
      </c>
      <c r="AJ58" s="21">
        <f>AI58*U58</f>
        <v/>
      </c>
      <c r="AK58" s="21">
        <f>AD58*R58*(1+'01_Cadrage'!$H$20)</f>
        <v/>
      </c>
      <c r="AL58" s="21">
        <f>H58*S58*(1+Y58)</f>
        <v/>
      </c>
      <c r="AM58" s="20">
        <f>AH58-AJ58-AK58-AL58-AD58*'01_Cadrage'!$H$27*(1+'01_Cadrage'!$H$20)</f>
        <v/>
      </c>
      <c r="AN58" s="56">
        <f>IFERROR(AD58/(AI58*O58),0)</f>
        <v/>
      </c>
      <c r="AO58" s="55">
        <f>IFERROR(AM58/AD58,0)</f>
        <v/>
      </c>
      <c r="AP58" s="54">
        <f>IFERROR(AI58*U58/(AE58*AF58-R58*(1+'01_Cadrage'!$H$20)),0)</f>
        <v/>
      </c>
    </row>
    <row r="59">
      <c r="A59" s="51">
        <f>'06_Historique'!A60</f>
        <v/>
      </c>
      <c r="B59" s="10">
        <f>'06_Historique'!B60</f>
        <v/>
      </c>
      <c r="C59" s="51">
        <f>'06_Historique'!C60</f>
        <v/>
      </c>
      <c r="D59" s="10">
        <f>'06_Historique'!E60</f>
        <v/>
      </c>
      <c r="E59" s="10">
        <f>'06_Historique'!F60</f>
        <v/>
      </c>
      <c r="F59" s="52">
        <f>'06_Historique'!G60</f>
        <v/>
      </c>
      <c r="G59" s="52">
        <f>'06_Historique'!K60</f>
        <v/>
      </c>
      <c r="H59" s="52">
        <f>'06_Historique'!I60</f>
        <v/>
      </c>
      <c r="I59" s="52">
        <f>'06_Historique'!J60</f>
        <v/>
      </c>
      <c r="J59" s="52">
        <f>'06_Historique'!H60</f>
        <v/>
      </c>
      <c r="K59" s="52">
        <f>'06_Historique'!L60</f>
        <v/>
      </c>
      <c r="L59" s="53">
        <f>'06_Historique'!M60</f>
        <v/>
      </c>
      <c r="M59" s="52">
        <f>'06_Historique'!N60</f>
        <v/>
      </c>
      <c r="N59" s="9">
        <f>C59&amp;"|"&amp;D59</f>
        <v/>
      </c>
      <c r="O59" s="54">
        <f>INDEX('05_Param_Prog_Annee'!$E$4:$E$23,MATCH(N59,'05_Param_Prog_Annee'!$A$4:$A$23,0))</f>
        <v/>
      </c>
      <c r="P59" s="54">
        <f>INDEX('05_Param_Prog_Annee'!$F$4:$F$23,MATCH(N59,'05_Param_Prog_Annee'!$A$4:$A$23,0))</f>
        <v/>
      </c>
      <c r="Q59" s="55">
        <f>INDEX('05_Param_Prog_Annee'!$G$4:$G$23,MATCH(N59,'05_Param_Prog_Annee'!$A$4:$A$23,0))</f>
        <v/>
      </c>
      <c r="R59" s="55">
        <f>INDEX('05_Param_Prog_Annee'!$H$4:$H$23,MATCH(N59,'05_Param_Prog_Annee'!$A$4:$A$23,0))</f>
        <v/>
      </c>
      <c r="S59" s="55">
        <f>INDEX('05_Param_Prog_Annee'!$I$4:$I$23,MATCH(N59,'05_Param_Prog_Annee'!$A$4:$A$23,0))</f>
        <v/>
      </c>
      <c r="T59" s="56">
        <f>IFERROR(INDEX('05_Param_Prog_Annee'!$J$4:$J$23,MATCH(N59,'05_Param_Prog_Annee'!$A$4:$A$23,0)),0)</f>
        <v/>
      </c>
      <c r="U59" s="55">
        <f>P59*Q59*(1+'01_Cadrage'!$H$21)</f>
        <v/>
      </c>
      <c r="V59" s="46">
        <f>INDEX('01_Cadrage'!$L$7:$L$20,MATCH(A59&amp;"|"&amp;B59,'01_Cadrage'!$O$7:$O$20,0))</f>
        <v/>
      </c>
      <c r="W59" s="46">
        <f>INDEX('01_Cadrage'!$M$7:$M$20,MATCH(A59&amp;"|"&amp;B59,'01_Cadrage'!$O$7:$O$20,0))</f>
        <v/>
      </c>
      <c r="X59" s="46">
        <f>IFERROR(INDEX('06_Historique'!$F$66:$F$73,MATCH(C59,'06_Historique'!$A$66:$A$73,0)),'01_Cadrage'!$H$29)</f>
        <v/>
      </c>
      <c r="Y59" s="56">
        <f>'01_Cadrage'!$H$16*V59</f>
        <v/>
      </c>
      <c r="Z59" s="54">
        <f>IF(F59=1,J59*(1+X59*Y59),0)</f>
        <v/>
      </c>
      <c r="AA59" s="56">
        <f>IF(F59=1,IFERROR(H59/J59,'01_Cadrage'!$H$30)+'01_Cadrage'!$H$18,0)</f>
        <v/>
      </c>
      <c r="AB59" s="54">
        <f>Z59*AA59</f>
        <v/>
      </c>
      <c r="AC59" s="54">
        <f>IF(F59=1,0,K59*(T59+'01_Cadrage'!$H$19))</f>
        <v/>
      </c>
      <c r="AD59" s="57">
        <f>AB59+AC59</f>
        <v/>
      </c>
      <c r="AE59" s="55">
        <f>L59*(1+'01_Cadrage'!$H$17*W59)</f>
        <v/>
      </c>
      <c r="AF59" s="46">
        <f>IF(E59="ALT",'01_Cadrage'!$H$28+(1-'01_Cadrage'!$H$28)*'01_Cadrage'!$H$26,1)</f>
        <v/>
      </c>
      <c r="AG59" s="46">
        <f>IF(E59="ALT",IFERROR(INDEX('06_Historique'!$G$66:$G$73,MATCH(C59,'06_Historique'!$A$66:$A$73,0)),'01_Cadrage'!$H$28)+(1-IFERROR(INDEX('06_Historique'!$G$66:$G$73,MATCH(C59,'06_Historique'!$A$66:$A$73,0)),'01_Cadrage'!$H$28))*'01_Cadrage'!$H$26,1)</f>
        <v/>
      </c>
      <c r="AH59" s="21">
        <f>AD59*AE59*AF59+AB59*'01_Cadrage'!$H$24</f>
        <v/>
      </c>
      <c r="AI59" s="54">
        <f>IF(AD59&lt;=0,0,MAX(1,ROUNDUP(AD59/O59,0)))</f>
        <v/>
      </c>
      <c r="AJ59" s="21">
        <f>AI59*U59</f>
        <v/>
      </c>
      <c r="AK59" s="21">
        <f>AD59*R59*(1+'01_Cadrage'!$H$20)</f>
        <v/>
      </c>
      <c r="AL59" s="21">
        <f>H59*S59*(1+Y59)</f>
        <v/>
      </c>
      <c r="AM59" s="20">
        <f>AH59-AJ59-AK59-AL59-AD59*'01_Cadrage'!$H$27*(1+'01_Cadrage'!$H$20)</f>
        <v/>
      </c>
      <c r="AN59" s="56">
        <f>IFERROR(AD59/(AI59*O59),0)</f>
        <v/>
      </c>
      <c r="AO59" s="55">
        <f>IFERROR(AM59/AD59,0)</f>
        <v/>
      </c>
      <c r="AP59" s="54">
        <f>IFERROR(AI59*U59/(AE59*AF59-R59*(1+'01_Cadrage'!$H$20)),0)</f>
        <v/>
      </c>
    </row>
    <row r="60">
      <c r="A60" s="51">
        <f>'06_Historique'!A61</f>
        <v/>
      </c>
      <c r="B60" s="10">
        <f>'06_Historique'!B61</f>
        <v/>
      </c>
      <c r="C60" s="51">
        <f>'06_Historique'!C61</f>
        <v/>
      </c>
      <c r="D60" s="10">
        <f>'06_Historique'!E61</f>
        <v/>
      </c>
      <c r="E60" s="10">
        <f>'06_Historique'!F61</f>
        <v/>
      </c>
      <c r="F60" s="52">
        <f>'06_Historique'!G61</f>
        <v/>
      </c>
      <c r="G60" s="52">
        <f>'06_Historique'!K61</f>
        <v/>
      </c>
      <c r="H60" s="52">
        <f>'06_Historique'!I61</f>
        <v/>
      </c>
      <c r="I60" s="52">
        <f>'06_Historique'!J61</f>
        <v/>
      </c>
      <c r="J60" s="52">
        <f>'06_Historique'!H61</f>
        <v/>
      </c>
      <c r="K60" s="52">
        <f>'06_Historique'!L61</f>
        <v/>
      </c>
      <c r="L60" s="53">
        <f>'06_Historique'!M61</f>
        <v/>
      </c>
      <c r="M60" s="52">
        <f>'06_Historique'!N61</f>
        <v/>
      </c>
      <c r="N60" s="9">
        <f>C60&amp;"|"&amp;D60</f>
        <v/>
      </c>
      <c r="O60" s="54">
        <f>INDEX('05_Param_Prog_Annee'!$E$4:$E$23,MATCH(N60,'05_Param_Prog_Annee'!$A$4:$A$23,0))</f>
        <v/>
      </c>
      <c r="P60" s="54">
        <f>INDEX('05_Param_Prog_Annee'!$F$4:$F$23,MATCH(N60,'05_Param_Prog_Annee'!$A$4:$A$23,0))</f>
        <v/>
      </c>
      <c r="Q60" s="55">
        <f>INDEX('05_Param_Prog_Annee'!$G$4:$G$23,MATCH(N60,'05_Param_Prog_Annee'!$A$4:$A$23,0))</f>
        <v/>
      </c>
      <c r="R60" s="55">
        <f>INDEX('05_Param_Prog_Annee'!$H$4:$H$23,MATCH(N60,'05_Param_Prog_Annee'!$A$4:$A$23,0))</f>
        <v/>
      </c>
      <c r="S60" s="55">
        <f>INDEX('05_Param_Prog_Annee'!$I$4:$I$23,MATCH(N60,'05_Param_Prog_Annee'!$A$4:$A$23,0))</f>
        <v/>
      </c>
      <c r="T60" s="56">
        <f>IFERROR(INDEX('05_Param_Prog_Annee'!$J$4:$J$23,MATCH(N60,'05_Param_Prog_Annee'!$A$4:$A$23,0)),0)</f>
        <v/>
      </c>
      <c r="U60" s="55">
        <f>P60*Q60*(1+'01_Cadrage'!$H$21)</f>
        <v/>
      </c>
      <c r="V60" s="46">
        <f>INDEX('01_Cadrage'!$L$7:$L$20,MATCH(A60&amp;"|"&amp;B60,'01_Cadrage'!$O$7:$O$20,0))</f>
        <v/>
      </c>
      <c r="W60" s="46">
        <f>INDEX('01_Cadrage'!$M$7:$M$20,MATCH(A60&amp;"|"&amp;B60,'01_Cadrage'!$O$7:$O$20,0))</f>
        <v/>
      </c>
      <c r="X60" s="46">
        <f>IFERROR(INDEX('06_Historique'!$F$66:$F$73,MATCH(C60,'06_Historique'!$A$66:$A$73,0)),'01_Cadrage'!$H$29)</f>
        <v/>
      </c>
      <c r="Y60" s="56">
        <f>'01_Cadrage'!$H$16*V60</f>
        <v/>
      </c>
      <c r="Z60" s="54">
        <f>IF(F60=1,J60*(1+X60*Y60),0)</f>
        <v/>
      </c>
      <c r="AA60" s="56">
        <f>IF(F60=1,IFERROR(H60/J60,'01_Cadrage'!$H$30)+'01_Cadrage'!$H$18,0)</f>
        <v/>
      </c>
      <c r="AB60" s="54">
        <f>Z60*AA60</f>
        <v/>
      </c>
      <c r="AC60" s="54">
        <f>IF(F60=1,0,K60*(T60+'01_Cadrage'!$H$19))</f>
        <v/>
      </c>
      <c r="AD60" s="57">
        <f>AB60+AC60</f>
        <v/>
      </c>
      <c r="AE60" s="55">
        <f>L60*(1+'01_Cadrage'!$H$17*W60)</f>
        <v/>
      </c>
      <c r="AF60" s="46">
        <f>IF(E60="ALT",'01_Cadrage'!$H$28+(1-'01_Cadrage'!$H$28)*'01_Cadrage'!$H$26,1)</f>
        <v/>
      </c>
      <c r="AG60" s="46">
        <f>IF(E60="ALT",IFERROR(INDEX('06_Historique'!$G$66:$G$73,MATCH(C60,'06_Historique'!$A$66:$A$73,0)),'01_Cadrage'!$H$28)+(1-IFERROR(INDEX('06_Historique'!$G$66:$G$73,MATCH(C60,'06_Historique'!$A$66:$A$73,0)),'01_Cadrage'!$H$28))*'01_Cadrage'!$H$26,1)</f>
        <v/>
      </c>
      <c r="AH60" s="21">
        <f>AD60*AE60*AF60+AB60*'01_Cadrage'!$H$24</f>
        <v/>
      </c>
      <c r="AI60" s="54">
        <f>IF(AD60&lt;=0,0,MAX(1,ROUNDUP(AD60/O60,0)))</f>
        <v/>
      </c>
      <c r="AJ60" s="21">
        <f>AI60*U60</f>
        <v/>
      </c>
      <c r="AK60" s="21">
        <f>AD60*R60*(1+'01_Cadrage'!$H$20)</f>
        <v/>
      </c>
      <c r="AL60" s="21">
        <f>H60*S60*(1+Y60)</f>
        <v/>
      </c>
      <c r="AM60" s="20">
        <f>AH60-AJ60-AK60-AL60-AD60*'01_Cadrage'!$H$27*(1+'01_Cadrage'!$H$20)</f>
        <v/>
      </c>
      <c r="AN60" s="56">
        <f>IFERROR(AD60/(AI60*O60),0)</f>
        <v/>
      </c>
      <c r="AO60" s="55">
        <f>IFERROR(AM60/AD60,0)</f>
        <v/>
      </c>
      <c r="AP60" s="54">
        <f>IFERROR(AI60*U60/(AE60*AF60-R60*(1+'01_Cadrage'!$H$20)),0)</f>
        <v/>
      </c>
    </row>
    <row r="61">
      <c r="A61" s="47" t="inlineStr">
        <is>
          <t>TOTAL</t>
        </is>
      </c>
      <c r="B61" s="48" t="inlineStr">
        <is>
          <t> </t>
        </is>
      </c>
      <c r="C61" s="48" t="inlineStr">
        <is>
          <t> </t>
        </is>
      </c>
      <c r="D61" s="48" t="inlineStr">
        <is>
          <t> </t>
        </is>
      </c>
      <c r="E61" s="48" t="inlineStr">
        <is>
          <t> </t>
        </is>
      </c>
      <c r="F61" s="49">
        <f>SUM(F3:F60)</f>
        <v/>
      </c>
      <c r="G61" s="49">
        <f>SUM(G3:G60)</f>
        <v/>
      </c>
      <c r="H61" s="49">
        <f>SUM(H3:H60)</f>
        <v/>
      </c>
      <c r="AB61" s="49">
        <f>SUM(AB3:AB60)</f>
        <v/>
      </c>
      <c r="AC61" s="49">
        <f>SUM(AC3:AC60)</f>
        <v/>
      </c>
      <c r="AD61" s="49">
        <f>SUM(AD3:AD60)</f>
        <v/>
      </c>
      <c r="AH61" s="50">
        <f>SUM(AH3:AH60)</f>
        <v/>
      </c>
      <c r="AI61" s="49">
        <f>SUM(AI3:AI60)</f>
        <v/>
      </c>
      <c r="AJ61" s="50">
        <f>SUM(AJ3:AJ60)</f>
        <v/>
      </c>
      <c r="AK61" s="50">
        <f>SUM(AK3:AK60)</f>
        <v/>
      </c>
      <c r="AL61" s="50">
        <f>SUM(AL3:AL60)</f>
        <v/>
      </c>
      <c r="AM61" s="50">
        <f>SUM(AM3:AM60)</f>
        <v/>
      </c>
    </row>
    <row r="63" ht="20" customHeight="1">
      <c r="A63" s="3" t="inlineStr">
        <is>
          <t>Guide de lecture — de gauche à droite, chaque bloc construit le budget de la cellule :</t>
        </is>
      </c>
      <c r="B63" s="4" t="n"/>
      <c r="C63" s="4" t="n"/>
      <c r="D63" s="4" t="n"/>
      <c r="E63" s="4" t="n"/>
      <c r="F63" s="4" t="n"/>
      <c r="G63" s="4" t="n"/>
      <c r="H63" s="4" t="n"/>
    </row>
    <row r="64">
      <c r="A64" s="13" t="inlineStr">
        <is>
          <t>A–F</t>
        </is>
      </c>
      <c r="B64" s="6" t="inlineStr">
        <is>
          <t>Identité &amp; type : marque, campus, programme, année, modalité, année d'entrée (1 = on recrute)</t>
        </is>
      </c>
    </row>
    <row r="65">
      <c r="A65" s="13" t="inlineStr">
        <is>
          <t>G–M</t>
        </is>
      </c>
      <c r="B65" s="6" t="inlineStr">
        <is>
          <t>Réalisé N-1 repris : effectif, nouveaux, réinscrits, candidatures, effectif année inférieure, tarif, classes</t>
        </is>
      </c>
    </row>
    <row r="66">
      <c r="A66" s="13" t="inlineStr">
        <is>
          <t>N–T</t>
        </is>
      </c>
      <c r="B66" s="6" t="inlineStr">
        <is>
          <t>Paramètres programme×année (feuille 05) : capacité, heures, taux, pédago, CAC variable, taux de passage</t>
        </is>
      </c>
    </row>
    <row r="67">
      <c r="A67" s="13" t="inlineStr">
        <is>
          <t>U–Y</t>
        </is>
      </c>
      <c r="B67" s="6" t="inlineStr">
        <is>
          <t>Coûts unitaires &amp; coefficients : coût/classe, coeff marketing, coeff prix, élasticité, effort</t>
        </is>
      </c>
    </row>
    <row r="68">
      <c r="A68" s="13" t="inlineStr">
        <is>
          <t>Z–AD</t>
        </is>
      </c>
      <c r="B68" s="6" t="inlineStr">
        <is>
          <t>COHORTE → VOLUME : candidatures budget → conversion → nouveaux + réinscrits = EFFECTIF budget</t>
        </is>
      </c>
    </row>
    <row r="69">
      <c r="A69" s="13" t="inlineStr">
        <is>
          <t>AE–AH</t>
        </is>
      </c>
      <c r="B69" s="6" t="inlineStr">
        <is>
          <t>Tarif &amp; financement alternance : tarif budget, facteur sécurisation, CA budget</t>
        </is>
      </c>
    </row>
    <row r="70">
      <c r="A70" s="13" t="inlineStr">
        <is>
          <t>AI–AL</t>
        </is>
      </c>
      <c r="B70" s="6" t="inlineStr">
        <is>
          <t>Coûts budget : classes nécessaires, enseignement, pédagogie, marketing</t>
        </is>
      </c>
    </row>
    <row r="71">
      <c r="A71" s="13" t="inlineStr">
        <is>
          <t>AM–AP</t>
        </is>
      </c>
      <c r="B71" s="6" t="inlineStr">
        <is>
          <t>RÉSULTATS : marge de CONTRIBUTION, remplissage, contribution/étudiant, point mort (seuil d'ouverture)</t>
        </is>
      </c>
    </row>
  </sheetData>
  <mergeCells count="10">
    <mergeCell ref="B66:H66"/>
    <mergeCell ref="A1:AP1"/>
    <mergeCell ref="B71:H71"/>
    <mergeCell ref="B65:H65"/>
    <mergeCell ref="B68:H68"/>
    <mergeCell ref="A63:H63"/>
    <mergeCell ref="B69:H69"/>
    <mergeCell ref="B70:H70"/>
    <mergeCell ref="B64:H64"/>
    <mergeCell ref="B67:H67"/>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1"/>
    <row r="2" ht="24" customHeight="1">
      <c r="B2" s="1" t="inlineStr">
        <is>
          <t>Allocation des frais de structure par driver</t>
        </is>
      </c>
    </row>
    <row r="3">
      <c r="B3" s="15" t="inlineStr">
        <is>
          <t>Driver actif :</t>
        </is>
      </c>
      <c r="C3" s="58">
        <f>'01_Cadrage'!$D$32</f>
        <v/>
      </c>
      <c r="E3" s="15" t="inlineStr">
        <is>
          <t>Frais de structure (fixe) à allouer :</t>
        </is>
      </c>
      <c r="H3" s="20">
        <f>'01_Cadrage'!$H$25*(1+'01_Cadrage'!$H$20)</f>
        <v/>
      </c>
      <c r="I3" s="59" t="n"/>
    </row>
    <row r="5" ht="28" customHeight="1">
      <c r="B5" s="17" t="inlineStr">
        <is>
          <t>Marque</t>
        </is>
      </c>
      <c r="C5" s="17" t="inlineStr">
        <is>
          <t>Ville</t>
        </is>
      </c>
      <c r="D5" s="17" t="inlineStr">
        <is>
          <t>Contribution</t>
        </is>
      </c>
      <c r="E5" s="17" t="inlineStr">
        <is>
          <t>Loyer</t>
        </is>
      </c>
      <c r="F5" s="17" t="inlineStr">
        <is>
          <t>Masse perm.</t>
        </is>
      </c>
      <c r="G5" s="17" t="inlineStr">
        <is>
          <t>Driver</t>
        </is>
      </c>
      <c r="H5" s="17" t="inlineStr">
        <is>
          <t>Part</t>
        </is>
      </c>
      <c r="I5" s="17" t="inlineStr">
        <is>
          <t>Alloué</t>
        </is>
      </c>
      <c r="J5" s="17" t="inlineStr">
        <is>
          <t>EBITDA campus</t>
        </is>
      </c>
      <c r="K5" s="17" t="inlineStr">
        <is>
          <t>D&amp;A</t>
        </is>
      </c>
      <c r="L5" s="17" t="inlineStr">
        <is>
          <t>EBIT</t>
        </is>
      </c>
    </row>
    <row r="6">
      <c r="B6" s="51" t="inlineStr">
        <is>
          <t>MBway</t>
        </is>
      </c>
      <c r="C6" s="10" t="inlineStr">
        <is>
          <t>Paris</t>
        </is>
      </c>
      <c r="D6" s="21">
        <f>SUMIFS('08_Moteur'!$AM$3:$AM$60,'08_Moteur'!$A$3:$A$60,"MBway",'08_Moteur'!$B$3:$B$60,"Paris")</f>
        <v/>
      </c>
      <c r="E6" s="18">
        <f>'07_Structure'!F4*(1+'01_Cadrage'!$H$20)</f>
        <v/>
      </c>
      <c r="F6" s="18">
        <f>'07_Structure'!G4*'01_Cadrage'!$H$23*(1+'01_Cadrage'!$H$21)</f>
        <v/>
      </c>
      <c r="G6" s="60">
        <f>IF($C$3="Effectifs",SUMIFS('08_Moteur'!$AD$3:$AD$60,'08_Moteur'!$A$3:$A$60,"MBway",'08_Moteur'!$B$3:$B$60,"Paris"),IF($C$3="Chiffre d'affaires",SUMIFS('08_Moteur'!$AH$3:$AH$60,'08_Moteur'!$A$3:$A$60,"MBway",'08_Moteur'!$B$3:$B$60,"Paris"),'07_Structure'!J4))</f>
        <v/>
      </c>
      <c r="H6" s="56">
        <f>IFERROR(G6/SUM($G$6:$G$19),0)</f>
        <v/>
      </c>
      <c r="I6" s="21">
        <f>H6*$H$3</f>
        <v/>
      </c>
      <c r="J6" s="20">
        <f>D6-E6-F6-I6</f>
        <v/>
      </c>
      <c r="K6" s="18">
        <f>'07_Structure'!I4</f>
        <v/>
      </c>
      <c r="L6" s="21">
        <f>J6-K6</f>
        <v/>
      </c>
    </row>
    <row r="7">
      <c r="B7" s="51" t="inlineStr">
        <is>
          <t>MBway</t>
        </is>
      </c>
      <c r="C7" s="10" t="inlineStr">
        <is>
          <t>Lyon</t>
        </is>
      </c>
      <c r="D7" s="21">
        <f>SUMIFS('08_Moteur'!$AM$3:$AM$60,'08_Moteur'!$A$3:$A$60,"MBway",'08_Moteur'!$B$3:$B$60,"Lyon")</f>
        <v/>
      </c>
      <c r="E7" s="18">
        <f>'07_Structure'!F5*(1+'01_Cadrage'!$H$20)</f>
        <v/>
      </c>
      <c r="F7" s="18">
        <f>'07_Structure'!G5*'01_Cadrage'!$H$23*(1+'01_Cadrage'!$H$21)</f>
        <v/>
      </c>
      <c r="G7" s="60">
        <f>IF($C$3="Effectifs",SUMIFS('08_Moteur'!$AD$3:$AD$60,'08_Moteur'!$A$3:$A$60,"MBway",'08_Moteur'!$B$3:$B$60,"Lyon"),IF($C$3="Chiffre d'affaires",SUMIFS('08_Moteur'!$AH$3:$AH$60,'08_Moteur'!$A$3:$A$60,"MBway",'08_Moteur'!$B$3:$B$60,"Lyon"),'07_Structure'!J5))</f>
        <v/>
      </c>
      <c r="H7" s="56">
        <f>IFERROR(G7/SUM($G$6:$G$19),0)</f>
        <v/>
      </c>
      <c r="I7" s="21">
        <f>H7*$H$3</f>
        <v/>
      </c>
      <c r="J7" s="20">
        <f>D7-E7-F7-I7</f>
        <v/>
      </c>
      <c r="K7" s="18">
        <f>'07_Structure'!I5</f>
        <v/>
      </c>
      <c r="L7" s="21">
        <f>J7-K7</f>
        <v/>
      </c>
    </row>
    <row r="8">
      <c r="B8" s="51" t="inlineStr">
        <is>
          <t>MBway</t>
        </is>
      </c>
      <c r="C8" s="10" t="inlineStr">
        <is>
          <t>Nantes</t>
        </is>
      </c>
      <c r="D8" s="21">
        <f>SUMIFS('08_Moteur'!$AM$3:$AM$60,'08_Moteur'!$A$3:$A$60,"MBway",'08_Moteur'!$B$3:$B$60,"Nantes")</f>
        <v/>
      </c>
      <c r="E8" s="18">
        <f>'07_Structure'!F6*(1+'01_Cadrage'!$H$20)</f>
        <v/>
      </c>
      <c r="F8" s="18">
        <f>'07_Structure'!G6*'01_Cadrage'!$H$23*(1+'01_Cadrage'!$H$21)</f>
        <v/>
      </c>
      <c r="G8" s="60">
        <f>IF($C$3="Effectifs",SUMIFS('08_Moteur'!$AD$3:$AD$60,'08_Moteur'!$A$3:$A$60,"MBway",'08_Moteur'!$B$3:$B$60,"Nantes"),IF($C$3="Chiffre d'affaires",SUMIFS('08_Moteur'!$AH$3:$AH$60,'08_Moteur'!$A$3:$A$60,"MBway",'08_Moteur'!$B$3:$B$60,"Nantes"),'07_Structure'!J6))</f>
        <v/>
      </c>
      <c r="H8" s="56">
        <f>IFERROR(G8/SUM($G$6:$G$19),0)</f>
        <v/>
      </c>
      <c r="I8" s="21">
        <f>H8*$H$3</f>
        <v/>
      </c>
      <c r="J8" s="20">
        <f>D8-E8-F8-I8</f>
        <v/>
      </c>
      <c r="K8" s="18">
        <f>'07_Structure'!I6</f>
        <v/>
      </c>
      <c r="L8" s="21">
        <f>J8-K8</f>
        <v/>
      </c>
    </row>
    <row r="9">
      <c r="B9" s="51" t="inlineStr">
        <is>
          <t>MBway</t>
        </is>
      </c>
      <c r="C9" s="10" t="inlineStr">
        <is>
          <t>Bordeaux</t>
        </is>
      </c>
      <c r="D9" s="21">
        <f>SUMIFS('08_Moteur'!$AM$3:$AM$60,'08_Moteur'!$A$3:$A$60,"MBway",'08_Moteur'!$B$3:$B$60,"Bordeaux")</f>
        <v/>
      </c>
      <c r="E9" s="18">
        <f>'07_Structure'!F7*(1+'01_Cadrage'!$H$20)</f>
        <v/>
      </c>
      <c r="F9" s="18">
        <f>'07_Structure'!G7*'01_Cadrage'!$H$23*(1+'01_Cadrage'!$H$21)</f>
        <v/>
      </c>
      <c r="G9" s="60">
        <f>IF($C$3="Effectifs",SUMIFS('08_Moteur'!$AD$3:$AD$60,'08_Moteur'!$A$3:$A$60,"MBway",'08_Moteur'!$B$3:$B$60,"Bordeaux"),IF($C$3="Chiffre d'affaires",SUMIFS('08_Moteur'!$AH$3:$AH$60,'08_Moteur'!$A$3:$A$60,"MBway",'08_Moteur'!$B$3:$B$60,"Bordeaux"),'07_Structure'!J7))</f>
        <v/>
      </c>
      <c r="H9" s="56">
        <f>IFERROR(G9/SUM($G$6:$G$19),0)</f>
        <v/>
      </c>
      <c r="I9" s="21">
        <f>H9*$H$3</f>
        <v/>
      </c>
      <c r="J9" s="20">
        <f>D9-E9-F9-I9</f>
        <v/>
      </c>
      <c r="K9" s="18">
        <f>'07_Structure'!I7</f>
        <v/>
      </c>
      <c r="L9" s="21">
        <f>J9-K9</f>
        <v/>
      </c>
    </row>
    <row r="10">
      <c r="B10" s="51" t="inlineStr">
        <is>
          <t>ISCOM</t>
        </is>
      </c>
      <c r="C10" s="10" t="inlineStr">
        <is>
          <t>Paris</t>
        </is>
      </c>
      <c r="D10" s="21">
        <f>SUMIFS('08_Moteur'!$AM$3:$AM$60,'08_Moteur'!$A$3:$A$60,"ISCOM",'08_Moteur'!$B$3:$B$60,"Paris")</f>
        <v/>
      </c>
      <c r="E10" s="18">
        <f>'07_Structure'!F8*(1+'01_Cadrage'!$H$20)</f>
        <v/>
      </c>
      <c r="F10" s="18">
        <f>'07_Structure'!G8*'01_Cadrage'!$H$23*(1+'01_Cadrage'!$H$21)</f>
        <v/>
      </c>
      <c r="G10" s="60">
        <f>IF($C$3="Effectifs",SUMIFS('08_Moteur'!$AD$3:$AD$60,'08_Moteur'!$A$3:$A$60,"ISCOM",'08_Moteur'!$B$3:$B$60,"Paris"),IF($C$3="Chiffre d'affaires",SUMIFS('08_Moteur'!$AH$3:$AH$60,'08_Moteur'!$A$3:$A$60,"ISCOM",'08_Moteur'!$B$3:$B$60,"Paris"),'07_Structure'!J8))</f>
        <v/>
      </c>
      <c r="H10" s="56">
        <f>IFERROR(G10/SUM($G$6:$G$19),0)</f>
        <v/>
      </c>
      <c r="I10" s="21">
        <f>H10*$H$3</f>
        <v/>
      </c>
      <c r="J10" s="20">
        <f>D10-E10-F10-I10</f>
        <v/>
      </c>
      <c r="K10" s="18">
        <f>'07_Structure'!I8</f>
        <v/>
      </c>
      <c r="L10" s="21">
        <f>J10-K10</f>
        <v/>
      </c>
    </row>
    <row r="11">
      <c r="B11" s="51" t="inlineStr">
        <is>
          <t>ISCOM</t>
        </is>
      </c>
      <c r="C11" s="10" t="inlineStr">
        <is>
          <t>Lille</t>
        </is>
      </c>
      <c r="D11" s="21">
        <f>SUMIFS('08_Moteur'!$AM$3:$AM$60,'08_Moteur'!$A$3:$A$60,"ISCOM",'08_Moteur'!$B$3:$B$60,"Lille")</f>
        <v/>
      </c>
      <c r="E11" s="18">
        <f>'07_Structure'!F9*(1+'01_Cadrage'!$H$20)</f>
        <v/>
      </c>
      <c r="F11" s="18">
        <f>'07_Structure'!G9*'01_Cadrage'!$H$23*(1+'01_Cadrage'!$H$21)</f>
        <v/>
      </c>
      <c r="G11" s="60">
        <f>IF($C$3="Effectifs",SUMIFS('08_Moteur'!$AD$3:$AD$60,'08_Moteur'!$A$3:$A$60,"ISCOM",'08_Moteur'!$B$3:$B$60,"Lille"),IF($C$3="Chiffre d'affaires",SUMIFS('08_Moteur'!$AH$3:$AH$60,'08_Moteur'!$A$3:$A$60,"ISCOM",'08_Moteur'!$B$3:$B$60,"Lille"),'07_Structure'!J9))</f>
        <v/>
      </c>
      <c r="H11" s="56">
        <f>IFERROR(G11/SUM($G$6:$G$19),0)</f>
        <v/>
      </c>
      <c r="I11" s="21">
        <f>H11*$H$3</f>
        <v/>
      </c>
      <c r="J11" s="20">
        <f>D11-E11-F11-I11</f>
        <v/>
      </c>
      <c r="K11" s="18">
        <f>'07_Structure'!I9</f>
        <v/>
      </c>
      <c r="L11" s="21">
        <f>J11-K11</f>
        <v/>
      </c>
    </row>
    <row r="12">
      <c r="B12" s="51" t="inlineStr">
        <is>
          <t>ISCOM</t>
        </is>
      </c>
      <c r="C12" s="10" t="inlineStr">
        <is>
          <t>Toulouse</t>
        </is>
      </c>
      <c r="D12" s="21">
        <f>SUMIFS('08_Moteur'!$AM$3:$AM$60,'08_Moteur'!$A$3:$A$60,"ISCOM",'08_Moteur'!$B$3:$B$60,"Toulouse")</f>
        <v/>
      </c>
      <c r="E12" s="18">
        <f>'07_Structure'!F10*(1+'01_Cadrage'!$H$20)</f>
        <v/>
      </c>
      <c r="F12" s="18">
        <f>'07_Structure'!G10*'01_Cadrage'!$H$23*(1+'01_Cadrage'!$H$21)</f>
        <v/>
      </c>
      <c r="G12" s="60">
        <f>IF($C$3="Effectifs",SUMIFS('08_Moteur'!$AD$3:$AD$60,'08_Moteur'!$A$3:$A$60,"ISCOM",'08_Moteur'!$B$3:$B$60,"Toulouse"),IF($C$3="Chiffre d'affaires",SUMIFS('08_Moteur'!$AH$3:$AH$60,'08_Moteur'!$A$3:$A$60,"ISCOM",'08_Moteur'!$B$3:$B$60,"Toulouse"),'07_Structure'!J10))</f>
        <v/>
      </c>
      <c r="H12" s="56">
        <f>IFERROR(G12/SUM($G$6:$G$19),0)</f>
        <v/>
      </c>
      <c r="I12" s="21">
        <f>H12*$H$3</f>
        <v/>
      </c>
      <c r="J12" s="20">
        <f>D12-E12-F12-I12</f>
        <v/>
      </c>
      <c r="K12" s="18">
        <f>'07_Structure'!I10</f>
        <v/>
      </c>
      <c r="L12" s="21">
        <f>J12-K12</f>
        <v/>
      </c>
    </row>
    <row r="13">
      <c r="B13" s="51" t="inlineStr">
        <is>
          <t>Ipac Bachelor Factory</t>
        </is>
      </c>
      <c r="C13" s="10" t="inlineStr">
        <is>
          <t>Nantes</t>
        </is>
      </c>
      <c r="D13" s="21">
        <f>SUMIFS('08_Moteur'!$AM$3:$AM$60,'08_Moteur'!$A$3:$A$60,"Ipac Bachelor Factory",'08_Moteur'!$B$3:$B$60,"Nantes")</f>
        <v/>
      </c>
      <c r="E13" s="18">
        <f>'07_Structure'!F11*(1+'01_Cadrage'!$H$20)</f>
        <v/>
      </c>
      <c r="F13" s="18">
        <f>'07_Structure'!G11*'01_Cadrage'!$H$23*(1+'01_Cadrage'!$H$21)</f>
        <v/>
      </c>
      <c r="G13" s="60">
        <f>IF($C$3="Effectifs",SUMIFS('08_Moteur'!$AD$3:$AD$60,'08_Moteur'!$A$3:$A$60,"Ipac Bachelor Factory",'08_Moteur'!$B$3:$B$60,"Nantes"),IF($C$3="Chiffre d'affaires",SUMIFS('08_Moteur'!$AH$3:$AH$60,'08_Moteur'!$A$3:$A$60,"Ipac Bachelor Factory",'08_Moteur'!$B$3:$B$60,"Nantes"),'07_Structure'!J11))</f>
        <v/>
      </c>
      <c r="H13" s="56">
        <f>IFERROR(G13/SUM($G$6:$G$19),0)</f>
        <v/>
      </c>
      <c r="I13" s="21">
        <f>H13*$H$3</f>
        <v/>
      </c>
      <c r="J13" s="20">
        <f>D13-E13-F13-I13</f>
        <v/>
      </c>
      <c r="K13" s="18">
        <f>'07_Structure'!I11</f>
        <v/>
      </c>
      <c r="L13" s="21">
        <f>J13-K13</f>
        <v/>
      </c>
    </row>
    <row r="14">
      <c r="B14" s="51" t="inlineStr">
        <is>
          <t>Ipac Bachelor Factory</t>
        </is>
      </c>
      <c r="C14" s="10" t="inlineStr">
        <is>
          <t>Rennes</t>
        </is>
      </c>
      <c r="D14" s="21">
        <f>SUMIFS('08_Moteur'!$AM$3:$AM$60,'08_Moteur'!$A$3:$A$60,"Ipac Bachelor Factory",'08_Moteur'!$B$3:$B$60,"Rennes")</f>
        <v/>
      </c>
      <c r="E14" s="18">
        <f>'07_Structure'!F12*(1+'01_Cadrage'!$H$20)</f>
        <v/>
      </c>
      <c r="F14" s="18">
        <f>'07_Structure'!G12*'01_Cadrage'!$H$23*(1+'01_Cadrage'!$H$21)</f>
        <v/>
      </c>
      <c r="G14" s="60">
        <f>IF($C$3="Effectifs",SUMIFS('08_Moteur'!$AD$3:$AD$60,'08_Moteur'!$A$3:$A$60,"Ipac Bachelor Factory",'08_Moteur'!$B$3:$B$60,"Rennes"),IF($C$3="Chiffre d'affaires",SUMIFS('08_Moteur'!$AH$3:$AH$60,'08_Moteur'!$A$3:$A$60,"Ipac Bachelor Factory",'08_Moteur'!$B$3:$B$60,"Rennes"),'07_Structure'!J12))</f>
        <v/>
      </c>
      <c r="H14" s="56">
        <f>IFERROR(G14/SUM($G$6:$G$19),0)</f>
        <v/>
      </c>
      <c r="I14" s="21">
        <f>H14*$H$3</f>
        <v/>
      </c>
      <c r="J14" s="20">
        <f>D14-E14-F14-I14</f>
        <v/>
      </c>
      <c r="K14" s="18">
        <f>'07_Structure'!I12</f>
        <v/>
      </c>
      <c r="L14" s="21">
        <f>J14-K14</f>
        <v/>
      </c>
    </row>
    <row r="15">
      <c r="B15" s="51" t="inlineStr">
        <is>
          <t>Ipac Bachelor Factory</t>
        </is>
      </c>
      <c r="C15" s="10" t="inlineStr">
        <is>
          <t>Montpellier</t>
        </is>
      </c>
      <c r="D15" s="21">
        <f>SUMIFS('08_Moteur'!$AM$3:$AM$60,'08_Moteur'!$A$3:$A$60,"Ipac Bachelor Factory",'08_Moteur'!$B$3:$B$60,"Montpellier")</f>
        <v/>
      </c>
      <c r="E15" s="18">
        <f>'07_Structure'!F13*(1+'01_Cadrage'!$H$20)</f>
        <v/>
      </c>
      <c r="F15" s="18">
        <f>'07_Structure'!G13*'01_Cadrage'!$H$23*(1+'01_Cadrage'!$H$21)</f>
        <v/>
      </c>
      <c r="G15" s="60">
        <f>IF($C$3="Effectifs",SUMIFS('08_Moteur'!$AD$3:$AD$60,'08_Moteur'!$A$3:$A$60,"Ipac Bachelor Factory",'08_Moteur'!$B$3:$B$60,"Montpellier"),IF($C$3="Chiffre d'affaires",SUMIFS('08_Moteur'!$AH$3:$AH$60,'08_Moteur'!$A$3:$A$60,"Ipac Bachelor Factory",'08_Moteur'!$B$3:$B$60,"Montpellier"),'07_Structure'!J13))</f>
        <v/>
      </c>
      <c r="H15" s="56">
        <f>IFERROR(G15/SUM($G$6:$G$19),0)</f>
        <v/>
      </c>
      <c r="I15" s="21">
        <f>H15*$H$3</f>
        <v/>
      </c>
      <c r="J15" s="20">
        <f>D15-E15-F15-I15</f>
        <v/>
      </c>
      <c r="K15" s="18">
        <f>'07_Structure'!I13</f>
        <v/>
      </c>
      <c r="L15" s="21">
        <f>J15-K15</f>
        <v/>
      </c>
    </row>
    <row r="16">
      <c r="B16" s="51" t="inlineStr">
        <is>
          <t>Pigier</t>
        </is>
      </c>
      <c r="C16" s="10" t="inlineStr">
        <is>
          <t>Lyon</t>
        </is>
      </c>
      <c r="D16" s="21">
        <f>SUMIFS('08_Moteur'!$AM$3:$AM$60,'08_Moteur'!$A$3:$A$60,"Pigier",'08_Moteur'!$B$3:$B$60,"Lyon")</f>
        <v/>
      </c>
      <c r="E16" s="18">
        <f>'07_Structure'!F14*(1+'01_Cadrage'!$H$20)</f>
        <v/>
      </c>
      <c r="F16" s="18">
        <f>'07_Structure'!G14*'01_Cadrage'!$H$23*(1+'01_Cadrage'!$H$21)</f>
        <v/>
      </c>
      <c r="G16" s="60">
        <f>IF($C$3="Effectifs",SUMIFS('08_Moteur'!$AD$3:$AD$60,'08_Moteur'!$A$3:$A$60,"Pigier",'08_Moteur'!$B$3:$B$60,"Lyon"),IF($C$3="Chiffre d'affaires",SUMIFS('08_Moteur'!$AH$3:$AH$60,'08_Moteur'!$A$3:$A$60,"Pigier",'08_Moteur'!$B$3:$B$60,"Lyon"),'07_Structure'!J14))</f>
        <v/>
      </c>
      <c r="H16" s="56">
        <f>IFERROR(G16/SUM($G$6:$G$19),0)</f>
        <v/>
      </c>
      <c r="I16" s="21">
        <f>H16*$H$3</f>
        <v/>
      </c>
      <c r="J16" s="20">
        <f>D16-E16-F16-I16</f>
        <v/>
      </c>
      <c r="K16" s="18">
        <f>'07_Structure'!I14</f>
        <v/>
      </c>
      <c r="L16" s="21">
        <f>J16-K16</f>
        <v/>
      </c>
    </row>
    <row r="17">
      <c r="B17" s="51" t="inlineStr">
        <is>
          <t>Pigier</t>
        </is>
      </c>
      <c r="C17" s="10" t="inlineStr">
        <is>
          <t>Bordeaux</t>
        </is>
      </c>
      <c r="D17" s="21">
        <f>SUMIFS('08_Moteur'!$AM$3:$AM$60,'08_Moteur'!$A$3:$A$60,"Pigier",'08_Moteur'!$B$3:$B$60,"Bordeaux")</f>
        <v/>
      </c>
      <c r="E17" s="18">
        <f>'07_Structure'!F15*(1+'01_Cadrage'!$H$20)</f>
        <v/>
      </c>
      <c r="F17" s="18">
        <f>'07_Structure'!G15*'01_Cadrage'!$H$23*(1+'01_Cadrage'!$H$21)</f>
        <v/>
      </c>
      <c r="G17" s="60">
        <f>IF($C$3="Effectifs",SUMIFS('08_Moteur'!$AD$3:$AD$60,'08_Moteur'!$A$3:$A$60,"Pigier",'08_Moteur'!$B$3:$B$60,"Bordeaux"),IF($C$3="Chiffre d'affaires",SUMIFS('08_Moteur'!$AH$3:$AH$60,'08_Moteur'!$A$3:$A$60,"Pigier",'08_Moteur'!$B$3:$B$60,"Bordeaux"),'07_Structure'!J15))</f>
        <v/>
      </c>
      <c r="H17" s="56">
        <f>IFERROR(G17/SUM($G$6:$G$19),0)</f>
        <v/>
      </c>
      <c r="I17" s="21">
        <f>H17*$H$3</f>
        <v/>
      </c>
      <c r="J17" s="20">
        <f>D17-E17-F17-I17</f>
        <v/>
      </c>
      <c r="K17" s="18">
        <f>'07_Structure'!I15</f>
        <v/>
      </c>
      <c r="L17" s="21">
        <f>J17-K17</f>
        <v/>
      </c>
    </row>
    <row r="18">
      <c r="B18" s="51" t="inlineStr">
        <is>
          <t>Tunon</t>
        </is>
      </c>
      <c r="C18" s="10" t="inlineStr">
        <is>
          <t>Paris</t>
        </is>
      </c>
      <c r="D18" s="21">
        <f>SUMIFS('08_Moteur'!$AM$3:$AM$60,'08_Moteur'!$A$3:$A$60,"Tunon",'08_Moteur'!$B$3:$B$60,"Paris")</f>
        <v/>
      </c>
      <c r="E18" s="18">
        <f>'07_Structure'!F16*(1+'01_Cadrage'!$H$20)</f>
        <v/>
      </c>
      <c r="F18" s="18">
        <f>'07_Structure'!G16*'01_Cadrage'!$H$23*(1+'01_Cadrage'!$H$21)</f>
        <v/>
      </c>
      <c r="G18" s="60">
        <f>IF($C$3="Effectifs",SUMIFS('08_Moteur'!$AD$3:$AD$60,'08_Moteur'!$A$3:$A$60,"Tunon",'08_Moteur'!$B$3:$B$60,"Paris"),IF($C$3="Chiffre d'affaires",SUMIFS('08_Moteur'!$AH$3:$AH$60,'08_Moteur'!$A$3:$A$60,"Tunon",'08_Moteur'!$B$3:$B$60,"Paris"),'07_Structure'!J16))</f>
        <v/>
      </c>
      <c r="H18" s="56">
        <f>IFERROR(G18/SUM($G$6:$G$19),0)</f>
        <v/>
      </c>
      <c r="I18" s="21">
        <f>H18*$H$3</f>
        <v/>
      </c>
      <c r="J18" s="20">
        <f>D18-E18-F18-I18</f>
        <v/>
      </c>
      <c r="K18" s="18">
        <f>'07_Structure'!I16</f>
        <v/>
      </c>
      <c r="L18" s="21">
        <f>J18-K18</f>
        <v/>
      </c>
    </row>
    <row r="19">
      <c r="B19" s="51" t="inlineStr">
        <is>
          <t>Tunon</t>
        </is>
      </c>
      <c r="C19" s="10" t="inlineStr">
        <is>
          <t>Lyon</t>
        </is>
      </c>
      <c r="D19" s="21">
        <f>SUMIFS('08_Moteur'!$AM$3:$AM$60,'08_Moteur'!$A$3:$A$60,"Tunon",'08_Moteur'!$B$3:$B$60,"Lyon")</f>
        <v/>
      </c>
      <c r="E19" s="18">
        <f>'07_Structure'!F17*(1+'01_Cadrage'!$H$20)</f>
        <v/>
      </c>
      <c r="F19" s="18">
        <f>'07_Structure'!G17*'01_Cadrage'!$H$23*(1+'01_Cadrage'!$H$21)</f>
        <v/>
      </c>
      <c r="G19" s="60">
        <f>IF($C$3="Effectifs",SUMIFS('08_Moteur'!$AD$3:$AD$60,'08_Moteur'!$A$3:$A$60,"Tunon",'08_Moteur'!$B$3:$B$60,"Lyon"),IF($C$3="Chiffre d'affaires",SUMIFS('08_Moteur'!$AH$3:$AH$60,'08_Moteur'!$A$3:$A$60,"Tunon",'08_Moteur'!$B$3:$B$60,"Lyon"),'07_Structure'!J17))</f>
        <v/>
      </c>
      <c r="H19" s="56">
        <f>IFERROR(G19/SUM($G$6:$G$19),0)</f>
        <v/>
      </c>
      <c r="I19" s="21">
        <f>H19*$H$3</f>
        <v/>
      </c>
      <c r="J19" s="20">
        <f>D19-E19-F19-I19</f>
        <v/>
      </c>
      <c r="K19" s="18">
        <f>'07_Structure'!I17</f>
        <v/>
      </c>
      <c r="L19" s="21">
        <f>J19-K19</f>
        <v/>
      </c>
    </row>
    <row r="20">
      <c r="B20" s="47" t="inlineStr">
        <is>
          <t>TOTAL</t>
        </is>
      </c>
      <c r="C20" s="48" t="inlineStr">
        <is>
          <t> </t>
        </is>
      </c>
      <c r="D20" s="50">
        <f>SUM(D6:D19)</f>
        <v/>
      </c>
      <c r="E20" s="50">
        <f>SUM(E6:E19)</f>
        <v/>
      </c>
      <c r="F20" s="50">
        <f>SUM(F6:F19)</f>
        <v/>
      </c>
      <c r="G20" s="61">
        <f>SUM(G6:G19)</f>
        <v/>
      </c>
      <c r="H20" s="48" t="inlineStr">
        <is>
          <t> </t>
        </is>
      </c>
      <c r="I20" s="50">
        <f>SUM(I6:I19)</f>
        <v/>
      </c>
      <c r="J20" s="50">
        <f>SUM(J6:J19)</f>
        <v/>
      </c>
      <c r="K20" s="50">
        <f>SUM(K6:K19)</f>
        <v/>
      </c>
      <c r="L20" s="50">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1"/>
    <row r="2" ht="24" customHeight="1">
      <c r="B2" s="1" t="inlineStr">
        <is>
          <t>Compte de résultat consolidé — Budget vs N-1</t>
        </is>
      </c>
    </row>
    <row r="3">
      <c r="B3" s="15" t="inlineStr">
        <is>
          <t>Scénario :</t>
        </is>
      </c>
      <c r="C3" s="62">
        <f>'01_Cadrage'!D3</f>
        <v/>
      </c>
    </row>
    <row r="5">
      <c r="B5" s="17" t="inlineStr">
        <is>
          <t>Rubrique</t>
        </is>
      </c>
      <c r="C5" s="17" t="inlineStr">
        <is>
          <t>Réalisé N-1</t>
        </is>
      </c>
      <c r="D5" s="17" t="inlineStr">
        <is>
          <t>Budget N+1</t>
        </is>
      </c>
      <c r="E5" s="17" t="inlineStr">
        <is>
          <t>Écart €</t>
        </is>
      </c>
      <c r="F5" s="17" t="inlineStr">
        <is>
          <t>Écart %</t>
        </is>
      </c>
    </row>
    <row r="6">
      <c r="B6" s="8" t="inlineStr">
        <is>
          <t>Effectifs</t>
        </is>
      </c>
      <c r="C6" s="63">
        <f>'07_Structure'!C18</f>
        <v/>
      </c>
      <c r="D6" s="60">
        <f>SUM('08_Moteur'!$AD$3:$AD$60)</f>
        <v/>
      </c>
      <c r="E6" s="64">
        <f>D6-C6</f>
        <v/>
      </c>
      <c r="F6" s="65">
        <f>IFERROR(D6/C6-1,0)</f>
        <v/>
      </c>
    </row>
    <row r="7">
      <c r="B7" s="66" t="inlineStr">
        <is>
          <t>Chiffre d'affaires</t>
        </is>
      </c>
      <c r="C7" s="67">
        <f>'07_Structure'!D18</f>
        <v/>
      </c>
      <c r="D7" s="67">
        <f>SUM('08_Moteur'!$AH$3:$AH$60)</f>
        <v/>
      </c>
      <c r="E7" s="67">
        <f>D7-C7</f>
        <v/>
      </c>
      <c r="F7" s="68">
        <f>IFERROR(D7/C7-1,0)</f>
        <v/>
      </c>
    </row>
    <row r="8">
      <c r="B8" s="8" t="inlineStr">
        <is>
          <t xml:space="preserve">  Coûts directs (ens.+pédago+mktg+autres)</t>
        </is>
      </c>
      <c r="C8" s="18">
        <f>-('07_Structure'!D18-'07_Structure'!E18)</f>
        <v/>
      </c>
      <c r="D8" s="21">
        <f>-(SUM('08_Moteur'!$AJ$3:$AJ$60)+SUM('08_Moteur'!$AK$3:$AK$60)+SUM('08_Moteur'!$AL$3:$AL$60)+'01_Cadrage'!$H$27*(1+'01_Cadrage'!$H$20)*SUM('08_Moteur'!$AD$3:$AD$60))</f>
        <v/>
      </c>
      <c r="E8" s="69">
        <f>D8-C8</f>
        <v/>
      </c>
      <c r="F8" s="65">
        <f>IFERROR(D8/C8-1,0)</f>
        <v/>
      </c>
    </row>
    <row r="9">
      <c r="B9" s="66" t="inlineStr">
        <is>
          <t>Marge de contribution</t>
        </is>
      </c>
      <c r="C9" s="67">
        <f>'07_Structure'!E18</f>
        <v/>
      </c>
      <c r="D9" s="67">
        <f>SUM('08_Moteur'!$AM$3:$AM$60)</f>
        <v/>
      </c>
      <c r="E9" s="67">
        <f>D9-C9</f>
        <v/>
      </c>
      <c r="F9" s="68">
        <f>IFERROR(D9/C9-1,0)</f>
        <v/>
      </c>
    </row>
    <row r="10">
      <c r="B10" s="8" t="inlineStr">
        <is>
          <t xml:space="preserve">  Loyers</t>
        </is>
      </c>
      <c r="C10" s="18">
        <f>-'07_Structure'!F18</f>
        <v/>
      </c>
      <c r="D10" s="21">
        <f>-'09_Allocation'!E20</f>
        <v/>
      </c>
      <c r="E10" s="69">
        <f>D10-C10</f>
        <v/>
      </c>
      <c r="F10" s="65">
        <f>IFERROR(D10/C10-1,0)</f>
        <v/>
      </c>
    </row>
    <row r="11">
      <c r="B11" s="8" t="inlineStr">
        <is>
          <t xml:space="preserve">  Personnel permanent</t>
        </is>
      </c>
      <c r="C11" s="18">
        <f>-'07_Structure'!H18</f>
        <v/>
      </c>
      <c r="D11" s="21">
        <f>-'09_Allocation'!F20</f>
        <v/>
      </c>
      <c r="E11" s="69">
        <f>D11-C11</f>
        <v/>
      </c>
      <c r="F11" s="65">
        <f>IFERROR(D11/C11-1,0)</f>
        <v/>
      </c>
    </row>
    <row r="12">
      <c r="B12" s="8" t="inlineStr">
        <is>
          <t xml:space="preserve">  Frais de structure groupe</t>
        </is>
      </c>
      <c r="C12" s="18">
        <f>-2000000</f>
        <v/>
      </c>
      <c r="D12" s="21">
        <f>-'09_Allocation'!I20</f>
        <v/>
      </c>
      <c r="E12" s="69">
        <f>D12-C12</f>
        <v/>
      </c>
      <c r="F12" s="65">
        <f>IFERROR(D12/C12-1,0)</f>
        <v/>
      </c>
    </row>
    <row r="13">
      <c r="B13" s="66" t="inlineStr">
        <is>
          <t>EBITDA</t>
        </is>
      </c>
      <c r="C13" s="67">
        <f>'07_Structure'!E18-'07_Structure'!F18-'07_Structure'!H18-2000000</f>
        <v/>
      </c>
      <c r="D13" s="67">
        <f>'09_Allocation'!J20</f>
        <v/>
      </c>
      <c r="E13" s="67">
        <f>D13-C13</f>
        <v/>
      </c>
      <c r="F13" s="68">
        <f>IFERROR(D13/C13-1,0)</f>
        <v/>
      </c>
    </row>
    <row r="14">
      <c r="B14" s="8" t="inlineStr">
        <is>
          <t xml:space="preserve">  Marge EBITDA %</t>
        </is>
      </c>
      <c r="C14" s="70">
        <f>IFERROR(('07_Structure'!E18-'07_Structure'!F18-'07_Structure'!H18-2000000)/'07_Structure'!D18,0)</f>
        <v/>
      </c>
      <c r="D14" s="24">
        <f>IFERROR('09_Allocation'!J20/SUM('08_Moteur'!$AH$3:$AH$60),0)</f>
        <v/>
      </c>
      <c r="E14" s="65">
        <f>D14-C14</f>
        <v/>
      </c>
      <c r="F14" s="71" t="inlineStr">
        <is>
          <t> </t>
        </is>
      </c>
    </row>
    <row r="15">
      <c r="B15" s="8" t="inlineStr">
        <is>
          <t xml:space="preserve">  D&amp;A</t>
        </is>
      </c>
      <c r="C15" s="18">
        <f>-'07_Structure'!I18</f>
        <v/>
      </c>
      <c r="D15" s="21">
        <f>-'09_Allocation'!K20</f>
        <v/>
      </c>
      <c r="E15" s="69">
        <f>D15-C15</f>
        <v/>
      </c>
      <c r="F15" s="65">
        <f>IFERROR(D15/C15-1,0)</f>
        <v/>
      </c>
    </row>
    <row r="16">
      <c r="B16" s="66" t="inlineStr">
        <is>
          <t>EBIT</t>
        </is>
      </c>
      <c r="C16" s="67">
        <f>'07_Structure'!E18-'07_Structure'!F18-'07_Structure'!H18-2000000-'07_Structure'!I18</f>
        <v/>
      </c>
      <c r="D16" s="67">
        <f>'09_Allocation'!L20</f>
        <v/>
      </c>
      <c r="E16" s="67">
        <f>D16-C16</f>
        <v/>
      </c>
      <c r="F16" s="68">
        <f>IFERROR(D16/C16-1,0)</f>
        <v/>
      </c>
    </row>
    <row r="18" ht="20" customHeight="1">
      <c r="B18" s="3" t="inlineStr">
        <is>
          <t>Pont Chiffre d'affaires (N-1 → Budget)</t>
        </is>
      </c>
      <c r="C18" s="4" t="n"/>
      <c r="D18" s="4" t="n"/>
      <c r="E18" s="4" t="n"/>
      <c r="F18" s="4" t="n"/>
    </row>
    <row r="19">
      <c r="B19" s="17" t="inlineStr">
        <is>
          <t>Effet</t>
        </is>
      </c>
      <c r="C19" s="17" t="inlineStr">
        <is>
          <t>Montant</t>
        </is>
      </c>
    </row>
    <row r="20">
      <c r="B20" s="8" t="inlineStr">
        <is>
          <t>CA Réalisé N-1</t>
        </is>
      </c>
      <c r="C20" s="21">
        <f>'07_Structure'!D18</f>
        <v/>
      </c>
    </row>
    <row r="21">
      <c r="B21" s="8" t="inlineStr">
        <is>
          <t xml:space="preserve">  + Effet Volume</t>
        </is>
      </c>
      <c r="C21" s="21">
        <f>SUMPRODUCT(('08_Moteur'!$AD$3:$AD$60-'08_Moteur'!$G$3:$G$60)*'08_Moteur'!$L$3:$L$60*'08_Moteur'!$AG$3:$AG$60)</f>
        <v/>
      </c>
    </row>
    <row r="22">
      <c r="B22" s="8" t="inlineStr">
        <is>
          <t xml:space="preserve">  + Effet Tarif</t>
        </is>
      </c>
      <c r="C22" s="21">
        <f>SUMPRODUCT('08_Moteur'!$AD$3:$AD$60*('08_Moteur'!$AE$3:$AE$60-'08_Moteur'!$L$3:$L$60)*'08_Moteur'!$AG$3:$AG$60)</f>
        <v/>
      </c>
    </row>
    <row r="23">
      <c r="B23" s="8" t="inlineStr">
        <is>
          <t xml:space="preserve">  + Effet Sécurisation</t>
        </is>
      </c>
      <c r="C23" s="21">
        <f>SUMPRODUCT('08_Moteur'!$AD$3:$AD$60*'08_Moteur'!$AE$3:$AE$60*('08_Moteur'!$AF$3:$AF$60-'08_Moteur'!$AG$3:$AG$60))</f>
        <v/>
      </c>
    </row>
    <row r="24">
      <c r="B24" s="8" t="inlineStr">
        <is>
          <t xml:space="preserve">  + Effet Frais</t>
        </is>
      </c>
      <c r="C24" s="21">
        <f>SUMPRODUCT('08_Moteur'!$AB$3:$AB$60)*'01_Cadrage'!$H$24-SUMPRODUCT('08_Moteur'!$H$3:$H$60)*'01_Cadrage'!$H$24</f>
        <v/>
      </c>
    </row>
    <row r="25">
      <c r="B25" s="47" t="inlineStr">
        <is>
          <t>CA Budget N+1</t>
        </is>
      </c>
      <c r="C25" s="50">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5" t="inlineStr">
        <is>
          <t>EBITDA groupe AVANT :</t>
        </is>
      </c>
      <c r="D2" s="20">
        <f>'09_Allocation'!J20</f>
        <v/>
      </c>
      <c r="E2" s="15" t="inlineStr">
        <is>
          <t>Σ Δ décisions :</t>
        </is>
      </c>
      <c r="G2" s="20">
        <f>SUM(Q6:Q63)</f>
        <v/>
      </c>
      <c r="H2" s="59" t="n"/>
      <c r="I2" s="15" t="inlineStr">
        <is>
          <t>EBITDA groupe APRÈS :</t>
        </is>
      </c>
      <c r="K2" s="50">
        <f>D2+G2</f>
        <v/>
      </c>
      <c r="L2" s="59" t="n"/>
    </row>
    <row r="3" ht="30" customHeight="1">
      <c r="A3" s="15" t="inlineStr">
        <is>
          <t>Structure / étudiant — AVANT :</t>
        </is>
      </c>
      <c r="D3" s="20">
        <f>('09_Allocation'!E20+'09_Allocation'!F20+'09_Allocation'!I20)/SUM('08_Moteur'!$AD$3:$AD$60)</f>
        <v/>
      </c>
      <c r="E3" s="15" t="inlineStr">
        <is>
          <t>APRÈS :</t>
        </is>
      </c>
      <c r="G3" s="25">
        <f>IFERROR(('09_Allocation'!E20+'09_Allocation'!F20+'09_Allocation'!I20)/SUM(M6:M63),0)</f>
        <v/>
      </c>
      <c r="H3" s="59" t="n"/>
      <c r="I3" s="15" t="inlineStr">
        <is>
          <t>Effectif total APRÈS :</t>
        </is>
      </c>
      <c r="K3" s="57">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72"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17" t="inlineStr">
        <is>
          <t>Marque</t>
        </is>
      </c>
      <c r="B5" s="17" t="inlineStr">
        <is>
          <t>Ville</t>
        </is>
      </c>
      <c r="C5" s="17" t="inlineStr">
        <is>
          <t>Programme</t>
        </is>
      </c>
      <c r="D5" s="17" t="inlineStr">
        <is>
          <t>Année</t>
        </is>
      </c>
      <c r="E5" s="17" t="inlineStr">
        <is>
          <t>Effectif</t>
        </is>
      </c>
      <c r="F5" s="17" t="inlineStr">
        <is>
          <t>CA</t>
        </is>
      </c>
      <c r="G5" s="17" t="inlineStr">
        <is>
          <t>Coûts directs
évitables</t>
        </is>
      </c>
      <c r="H5" s="17" t="inlineStr">
        <is>
          <t>MARGE DE
CONTRIBUTION</t>
        </is>
      </c>
      <c r="I5" s="17" t="inlineStr">
        <is>
          <t>Rempl.</t>
        </is>
      </c>
      <c r="J5" s="17" t="inlineStr">
        <is>
          <t>🤖 Reco</t>
        </is>
      </c>
      <c r="K5" s="17" t="inlineStr">
        <is>
          <t>Motif</t>
        </is>
      </c>
      <c r="L5" s="17" t="inlineStr">
        <is>
          <t>Décision</t>
        </is>
      </c>
      <c r="M5" s="17" t="inlineStr">
        <is>
          <t>Effectif
après</t>
        </is>
      </c>
      <c r="N5" s="17" t="inlineStr">
        <is>
          <t>Contribution
après</t>
        </is>
      </c>
      <c r="O5" s="17" t="inlineStr">
        <is>
          <t>Structure allouée
(après, dilution)</t>
        </is>
      </c>
      <c r="P5" s="17" t="inlineStr">
        <is>
          <t>Résultat tout
compris (après)</t>
        </is>
      </c>
      <c r="Q5" s="17" t="inlineStr">
        <is>
          <t>Δ EBITDA</t>
        </is>
      </c>
    </row>
    <row r="6">
      <c r="A6" s="51">
        <f>'08_Moteur'!A3</f>
        <v/>
      </c>
      <c r="B6" s="10">
        <f>'08_Moteur'!B3</f>
        <v/>
      </c>
      <c r="C6" s="51">
        <f>'08_Moteur'!C3</f>
        <v/>
      </c>
      <c r="D6" s="10">
        <f>'08_Moteur'!D3</f>
        <v/>
      </c>
      <c r="E6" s="52">
        <f>'08_Moteur'!AD3</f>
        <v/>
      </c>
      <c r="F6" s="18">
        <f>'08_Moteur'!AH3</f>
        <v/>
      </c>
      <c r="G6" s="21">
        <f>F6-'08_Moteur'!AM3</f>
        <v/>
      </c>
      <c r="H6" s="67">
        <f>'08_Moteur'!AM3</f>
        <v/>
      </c>
      <c r="I6" s="73">
        <f>'08_Moteur'!AN3</f>
        <v/>
      </c>
      <c r="J6" s="74">
        <f>IF(H6&lt;0,"🔴 Ne pas lancer",IF(I6&gt;=0.95,"🟢 Ouvrir +1 (capter+diluer)",IF(I6&lt;0.55,"🟡 Surveiller","🟢 Maintenir")))</f>
        <v/>
      </c>
      <c r="K6" s="75">
        <f>IF(H6&lt;0,"Entrée à contribution négative → ne pas lancer cette cohorte",IF(I6&gt;=0.95,"Saturé → ouvrir capte des étudiants ET dilue la structure pour tous",IF(I6&lt;0.55,"Sous-rempli mais contribution positive → garder","Sain")))</f>
        <v/>
      </c>
      <c r="L6" s="16" t="inlineStr">
        <is>
          <t>Maintenir</t>
        </is>
      </c>
      <c r="M6" s="54">
        <f>IF(L6="Ne pas lancer",0,IF(L6="Ouvrir +1 classe",E6+'08_Moteur'!O3,E6))</f>
        <v/>
      </c>
      <c r="N6" s="21">
        <f>IF(L6="Ne pas lancer",0,IF(L6="Ouvrir +1 classe",H6+'08_Moteur'!O3*('08_Moteur'!AE3*'08_Moteur'!AF3-('08_Moteur'!R3+'01_Cadrage'!$H$27)*(1+'01_Cadrage'!$H$20)-'08_Moteur'!S3)-'08_Moteur'!U3,IF(L6="Regrouper (-1 classe)",IF(AND('08_Moteur'!AI3&gt;=2,E6&lt;=('08_Moteur'!AI3-1)*'08_Moteur'!O3*1.1),H6+'08_Moteur'!U3,H6),H6)))</f>
        <v/>
      </c>
      <c r="O6" s="21">
        <f>M6*IFERROR(('09_Allocation'!E20+'09_Allocation'!F20+'09_Allocation'!I20)/SUM(M6:M63),0)</f>
        <v/>
      </c>
      <c r="P6" s="21">
        <f>N6-O6</f>
        <v/>
      </c>
      <c r="Q6" s="20">
        <f>N6-H6</f>
        <v/>
      </c>
    </row>
    <row r="7">
      <c r="A7" s="51">
        <f>'08_Moteur'!A4</f>
        <v/>
      </c>
      <c r="B7" s="10">
        <f>'08_Moteur'!B4</f>
        <v/>
      </c>
      <c r="C7" s="51">
        <f>'08_Moteur'!C4</f>
        <v/>
      </c>
      <c r="D7" s="10">
        <f>'08_Moteur'!D4</f>
        <v/>
      </c>
      <c r="E7" s="52">
        <f>'08_Moteur'!AD4</f>
        <v/>
      </c>
      <c r="F7" s="18">
        <f>'08_Moteur'!AH4</f>
        <v/>
      </c>
      <c r="G7" s="21">
        <f>F7-'08_Moteur'!AM4</f>
        <v/>
      </c>
      <c r="H7" s="67">
        <f>'08_Moteur'!AM4</f>
        <v/>
      </c>
      <c r="I7" s="73">
        <f>'08_Moteur'!AN4</f>
        <v/>
      </c>
      <c r="J7" s="74">
        <f>IF(H7&lt;0,"🔴 Restructurer (mutualiser)",IF(AND('08_Moteur'!AI4&gt;=2,E7&lt;=('08_Moteur'!AI4-1)*'08_Moteur'!O4*1.1),"🟡 Regroupable (−1 classe tient en capacité)",IF(I7&lt;0.55,"🟠 Sous-rempli mais −1 classe déborderait","🟢 Maintenir")))</f>
        <v/>
      </c>
      <c r="K7" s="75">
        <f>"Poursuite : cohorte déjà inscrite → seul levier = regrouper. −1 classe créditée uniquement si l'effectif tient dans les classes restantes (capacité +10% tolérée). Remplissage si −1 classe : "&amp;IF('08_Moteur'!AI4&gt;=2,TEXT(IFERROR(E7/(('08_Moteur'!AI4-1)*'08_Moteur'!O4),0),"0%"),"n/a (1 seule classe)")</f>
        <v/>
      </c>
      <c r="L7" s="16" t="inlineStr">
        <is>
          <t>Maintenir</t>
        </is>
      </c>
      <c r="M7" s="54">
        <f>IF(L7="Ne pas lancer",0,IF(L7="Ouvrir +1 classe",E7+'08_Moteur'!O4,E7))</f>
        <v/>
      </c>
      <c r="N7" s="21">
        <f>IF(L7="Ne pas lancer",0,IF(L7="Ouvrir +1 classe",H7+'08_Moteur'!O4*('08_Moteur'!AE4*'08_Moteur'!AF4-('08_Moteur'!R4+'01_Cadrage'!$H$27)*(1+'01_Cadrage'!$H$20)-'08_Moteur'!S4)-'08_Moteur'!U4,IF(L7="Regrouper (-1 classe)",IF(AND('08_Moteur'!AI4&gt;=2,E7&lt;=('08_Moteur'!AI4-1)*'08_Moteur'!O4*1.1),H7+'08_Moteur'!U4,H7),H7)))</f>
        <v/>
      </c>
      <c r="O7" s="21">
        <f>M7*IFERROR(('09_Allocation'!E20+'09_Allocation'!F20+'09_Allocation'!I20)/SUM(M6:M63),0)</f>
        <v/>
      </c>
      <c r="P7" s="21">
        <f>N7-O7</f>
        <v/>
      </c>
      <c r="Q7" s="20">
        <f>N7-H7</f>
        <v/>
      </c>
    </row>
    <row r="8">
      <c r="A8" s="51">
        <f>'08_Moteur'!A5</f>
        <v/>
      </c>
      <c r="B8" s="10">
        <f>'08_Moteur'!B5</f>
        <v/>
      </c>
      <c r="C8" s="51">
        <f>'08_Moteur'!C5</f>
        <v/>
      </c>
      <c r="D8" s="10">
        <f>'08_Moteur'!D5</f>
        <v/>
      </c>
      <c r="E8" s="52">
        <f>'08_Moteur'!AD5</f>
        <v/>
      </c>
      <c r="F8" s="18">
        <f>'08_Moteur'!AH5</f>
        <v/>
      </c>
      <c r="G8" s="21">
        <f>F8-'08_Moteur'!AM5</f>
        <v/>
      </c>
      <c r="H8" s="67">
        <f>'08_Moteur'!AM5</f>
        <v/>
      </c>
      <c r="I8" s="73">
        <f>'08_Moteur'!AN5</f>
        <v/>
      </c>
      <c r="J8" s="74">
        <f>IF(H8&lt;0,"🔴 Restructurer (mutualiser)",IF(AND('08_Moteur'!AI5&gt;=2,E8&lt;=('08_Moteur'!AI5-1)*'08_Moteur'!O5*1.1),"🟡 Regroupable (−1 classe tient en capacité)",IF(I8&lt;0.55,"🟠 Sous-rempli mais −1 classe déborderait","🟢 Maintenir")))</f>
        <v/>
      </c>
      <c r="K8" s="75">
        <f>"Poursuite : cohorte déjà inscrite → seul levier = regrouper. −1 classe créditée uniquement si l'effectif tient dans les classes restantes (capacité +10% tolérée). Remplissage si −1 classe : "&amp;IF('08_Moteur'!AI5&gt;=2,TEXT(IFERROR(E8/(('08_Moteur'!AI5-1)*'08_Moteur'!O5),0),"0%"),"n/a (1 seule classe)")</f>
        <v/>
      </c>
      <c r="L8" s="16" t="inlineStr">
        <is>
          <t>Maintenir</t>
        </is>
      </c>
      <c r="M8" s="54">
        <f>IF(L8="Ne pas lancer",0,IF(L8="Ouvrir +1 classe",E8+'08_Moteur'!O5,E8))</f>
        <v/>
      </c>
      <c r="N8" s="21">
        <f>IF(L8="Ne pas lancer",0,IF(L8="Ouvrir +1 classe",H8+'08_Moteur'!O5*('08_Moteur'!AE5*'08_Moteur'!AF5-('08_Moteur'!R5+'01_Cadrage'!$H$27)*(1+'01_Cadrage'!$H$20)-'08_Moteur'!S5)-'08_Moteur'!U5,IF(L8="Regrouper (-1 classe)",IF(AND('08_Moteur'!AI5&gt;=2,E8&lt;=('08_Moteur'!AI5-1)*'08_Moteur'!O5*1.1),H8+'08_Moteur'!U5,H8),H8)))</f>
        <v/>
      </c>
      <c r="O8" s="21">
        <f>M8*IFERROR(('09_Allocation'!E20+'09_Allocation'!F20+'09_Allocation'!I20)/SUM(M6:M63),0)</f>
        <v/>
      </c>
      <c r="P8" s="21">
        <f>N8-O8</f>
        <v/>
      </c>
      <c r="Q8" s="20">
        <f>N8-H8</f>
        <v/>
      </c>
    </row>
    <row r="9">
      <c r="A9" s="51">
        <f>'08_Moteur'!A6</f>
        <v/>
      </c>
      <c r="B9" s="10">
        <f>'08_Moteur'!B6</f>
        <v/>
      </c>
      <c r="C9" s="51">
        <f>'08_Moteur'!C6</f>
        <v/>
      </c>
      <c r="D9" s="10">
        <f>'08_Moteur'!D6</f>
        <v/>
      </c>
      <c r="E9" s="52">
        <f>'08_Moteur'!AD6</f>
        <v/>
      </c>
      <c r="F9" s="18">
        <f>'08_Moteur'!AH6</f>
        <v/>
      </c>
      <c r="G9" s="21">
        <f>F9-'08_Moteur'!AM6</f>
        <v/>
      </c>
      <c r="H9" s="67">
        <f>'08_Moteur'!AM6</f>
        <v/>
      </c>
      <c r="I9" s="73">
        <f>'08_Moteur'!AN6</f>
        <v/>
      </c>
      <c r="J9" s="74">
        <f>IF(H9&lt;0,"🔴 Ne pas lancer",IF(I9&gt;=0.95,"🟢 Ouvrir +1 (capter+diluer)",IF(I9&lt;0.55,"🟡 Surveiller","🟢 Maintenir")))</f>
        <v/>
      </c>
      <c r="K9" s="75">
        <f>IF(H9&lt;0,"Entrée à contribution négative → ne pas lancer cette cohorte",IF(I9&gt;=0.95,"Saturé → ouvrir capte des étudiants ET dilue la structure pour tous",IF(I9&lt;0.55,"Sous-rempli mais contribution positive → garder","Sain")))</f>
        <v/>
      </c>
      <c r="L9" s="16" t="inlineStr">
        <is>
          <t>Maintenir</t>
        </is>
      </c>
      <c r="M9" s="54">
        <f>IF(L9="Ne pas lancer",0,IF(L9="Ouvrir +1 classe",E9+'08_Moteur'!O6,E9))</f>
        <v/>
      </c>
      <c r="N9" s="21">
        <f>IF(L9="Ne pas lancer",0,IF(L9="Ouvrir +1 classe",H9+'08_Moteur'!O6*('08_Moteur'!AE6*'08_Moteur'!AF6-('08_Moteur'!R6+'01_Cadrage'!$H$27)*(1+'01_Cadrage'!$H$20)-'08_Moteur'!S6)-'08_Moteur'!U6,IF(L9="Regrouper (-1 classe)",IF(AND('08_Moteur'!AI6&gt;=2,E9&lt;=('08_Moteur'!AI6-1)*'08_Moteur'!O6*1.1),H9+'08_Moteur'!U6,H9),H9)))</f>
        <v/>
      </c>
      <c r="O9" s="21">
        <f>M9*IFERROR(('09_Allocation'!E20+'09_Allocation'!F20+'09_Allocation'!I20)/SUM(M6:M63),0)</f>
        <v/>
      </c>
      <c r="P9" s="21">
        <f>N9-O9</f>
        <v/>
      </c>
      <c r="Q9" s="20">
        <f>N9-H9</f>
        <v/>
      </c>
    </row>
    <row r="10">
      <c r="A10" s="51">
        <f>'08_Moteur'!A7</f>
        <v/>
      </c>
      <c r="B10" s="10">
        <f>'08_Moteur'!B7</f>
        <v/>
      </c>
      <c r="C10" s="51">
        <f>'08_Moteur'!C7</f>
        <v/>
      </c>
      <c r="D10" s="10">
        <f>'08_Moteur'!D7</f>
        <v/>
      </c>
      <c r="E10" s="52">
        <f>'08_Moteur'!AD7</f>
        <v/>
      </c>
      <c r="F10" s="18">
        <f>'08_Moteur'!AH7</f>
        <v/>
      </c>
      <c r="G10" s="21">
        <f>F10-'08_Moteur'!AM7</f>
        <v/>
      </c>
      <c r="H10" s="67">
        <f>'08_Moteur'!AM7</f>
        <v/>
      </c>
      <c r="I10" s="73">
        <f>'08_Moteur'!AN7</f>
        <v/>
      </c>
      <c r="J10" s="74">
        <f>IF(H10&lt;0,"🔴 Restructurer (mutualiser)",IF(AND('08_Moteur'!AI7&gt;=2,E10&lt;=('08_Moteur'!AI7-1)*'08_Moteur'!O7*1.1),"🟡 Regroupable (−1 classe tient en capacité)",IF(I10&lt;0.55,"🟠 Sous-rempli mais −1 classe déborderait","🟢 Maintenir")))</f>
        <v/>
      </c>
      <c r="K10" s="75">
        <f>"Poursuite : cohorte déjà inscrite → seul levier = regrouper. −1 classe créditée uniquement si l'effectif tient dans les classes restantes (capacité +10% tolérée). Remplissage si −1 classe : "&amp;IF('08_Moteur'!AI7&gt;=2,TEXT(IFERROR(E10/(('08_Moteur'!AI7-1)*'08_Moteur'!O7),0),"0%"),"n/a (1 seule classe)")</f>
        <v/>
      </c>
      <c r="L10" s="16" t="inlineStr">
        <is>
          <t>Maintenir</t>
        </is>
      </c>
      <c r="M10" s="54">
        <f>IF(L10="Ne pas lancer",0,IF(L10="Ouvrir +1 classe",E10+'08_Moteur'!O7,E10))</f>
        <v/>
      </c>
      <c r="N10" s="21">
        <f>IF(L10="Ne pas lancer",0,IF(L10="Ouvrir +1 classe",H10+'08_Moteur'!O7*('08_Moteur'!AE7*'08_Moteur'!AF7-('08_Moteur'!R7+'01_Cadrage'!$H$27)*(1+'01_Cadrage'!$H$20)-'08_Moteur'!S7)-'08_Moteur'!U7,IF(L10="Regrouper (-1 classe)",IF(AND('08_Moteur'!AI7&gt;=2,E10&lt;=('08_Moteur'!AI7-1)*'08_Moteur'!O7*1.1),H10+'08_Moteur'!U7,H10),H10)))</f>
        <v/>
      </c>
      <c r="O10" s="21">
        <f>M10*IFERROR(('09_Allocation'!E20+'09_Allocation'!F20+'09_Allocation'!I20)/SUM(M6:M63),0)</f>
        <v/>
      </c>
      <c r="P10" s="21">
        <f>N10-O10</f>
        <v/>
      </c>
      <c r="Q10" s="20">
        <f>N10-H10</f>
        <v/>
      </c>
    </row>
    <row r="11">
      <c r="A11" s="51">
        <f>'08_Moteur'!A8</f>
        <v/>
      </c>
      <c r="B11" s="10">
        <f>'08_Moteur'!B8</f>
        <v/>
      </c>
      <c r="C11" s="51">
        <f>'08_Moteur'!C8</f>
        <v/>
      </c>
      <c r="D11" s="10">
        <f>'08_Moteur'!D8</f>
        <v/>
      </c>
      <c r="E11" s="52">
        <f>'08_Moteur'!AD8</f>
        <v/>
      </c>
      <c r="F11" s="18">
        <f>'08_Moteur'!AH8</f>
        <v/>
      </c>
      <c r="G11" s="21">
        <f>F11-'08_Moteur'!AM8</f>
        <v/>
      </c>
      <c r="H11" s="67">
        <f>'08_Moteur'!AM8</f>
        <v/>
      </c>
      <c r="I11" s="73">
        <f>'08_Moteur'!AN8</f>
        <v/>
      </c>
      <c r="J11" s="74">
        <f>IF(H11&lt;0,"🔴 Ne pas lancer",IF(I11&gt;=0.95,"🟢 Ouvrir +1 (capter+diluer)",IF(I11&lt;0.55,"🟡 Surveiller","🟢 Maintenir")))</f>
        <v/>
      </c>
      <c r="K11" s="75">
        <f>IF(H11&lt;0,"Entrée à contribution négative → ne pas lancer cette cohorte",IF(I11&gt;=0.95,"Saturé → ouvrir capte des étudiants ET dilue la structure pour tous",IF(I11&lt;0.55,"Sous-rempli mais contribution positive → garder","Sain")))</f>
        <v/>
      </c>
      <c r="L11" s="16" t="inlineStr">
        <is>
          <t>Maintenir</t>
        </is>
      </c>
      <c r="M11" s="54">
        <f>IF(L11="Ne pas lancer",0,IF(L11="Ouvrir +1 classe",E11+'08_Moteur'!O8,E11))</f>
        <v/>
      </c>
      <c r="N11" s="21">
        <f>IF(L11="Ne pas lancer",0,IF(L11="Ouvrir +1 classe",H11+'08_Moteur'!O8*('08_Moteur'!AE8*'08_Moteur'!AF8-('08_Moteur'!R8+'01_Cadrage'!$H$27)*(1+'01_Cadrage'!$H$20)-'08_Moteur'!S8)-'08_Moteur'!U8,IF(L11="Regrouper (-1 classe)",IF(AND('08_Moteur'!AI8&gt;=2,E11&lt;=('08_Moteur'!AI8-1)*'08_Moteur'!O8*1.1),H11+'08_Moteur'!U8,H11),H11)))</f>
        <v/>
      </c>
      <c r="O11" s="21">
        <f>M11*IFERROR(('09_Allocation'!E20+'09_Allocation'!F20+'09_Allocation'!I20)/SUM(M6:M63),0)</f>
        <v/>
      </c>
      <c r="P11" s="21">
        <f>N11-O11</f>
        <v/>
      </c>
      <c r="Q11" s="20">
        <f>N11-H11</f>
        <v/>
      </c>
    </row>
    <row r="12">
      <c r="A12" s="51">
        <f>'08_Moteur'!A9</f>
        <v/>
      </c>
      <c r="B12" s="10">
        <f>'08_Moteur'!B9</f>
        <v/>
      </c>
      <c r="C12" s="51">
        <f>'08_Moteur'!C9</f>
        <v/>
      </c>
      <c r="D12" s="10">
        <f>'08_Moteur'!D9</f>
        <v/>
      </c>
      <c r="E12" s="52">
        <f>'08_Moteur'!AD9</f>
        <v/>
      </c>
      <c r="F12" s="18">
        <f>'08_Moteur'!AH9</f>
        <v/>
      </c>
      <c r="G12" s="21">
        <f>F12-'08_Moteur'!AM9</f>
        <v/>
      </c>
      <c r="H12" s="67">
        <f>'08_Moteur'!AM9</f>
        <v/>
      </c>
      <c r="I12" s="73">
        <f>'08_Moteur'!AN9</f>
        <v/>
      </c>
      <c r="J12" s="74">
        <f>IF(H12&lt;0,"🔴 Restructurer (mutualiser)",IF(AND('08_Moteur'!AI9&gt;=2,E12&lt;=('08_Moteur'!AI9-1)*'08_Moteur'!O9*1.1),"🟡 Regroupable (−1 classe tient en capacité)",IF(I12&lt;0.55,"🟠 Sous-rempli mais −1 classe déborderait","🟢 Maintenir")))</f>
        <v/>
      </c>
      <c r="K12" s="75">
        <f>"Poursuite : cohorte déjà inscrite → seul levier = regrouper. −1 classe créditée uniquement si l'effectif tient dans les classes restantes (capacité +10% tolérée). Remplissage si −1 classe : "&amp;IF('08_Moteur'!AI9&gt;=2,TEXT(IFERROR(E12/(('08_Moteur'!AI9-1)*'08_Moteur'!O9),0),"0%"),"n/a (1 seule classe)")</f>
        <v/>
      </c>
      <c r="L12" s="16" t="inlineStr">
        <is>
          <t>Maintenir</t>
        </is>
      </c>
      <c r="M12" s="54">
        <f>IF(L12="Ne pas lancer",0,IF(L12="Ouvrir +1 classe",E12+'08_Moteur'!O9,E12))</f>
        <v/>
      </c>
      <c r="N12" s="21">
        <f>IF(L12="Ne pas lancer",0,IF(L12="Ouvrir +1 classe",H12+'08_Moteur'!O9*('08_Moteur'!AE9*'08_Moteur'!AF9-('08_Moteur'!R9+'01_Cadrage'!$H$27)*(1+'01_Cadrage'!$H$20)-'08_Moteur'!S9)-'08_Moteur'!U9,IF(L12="Regrouper (-1 classe)",IF(AND('08_Moteur'!AI9&gt;=2,E12&lt;=('08_Moteur'!AI9-1)*'08_Moteur'!O9*1.1),H12+'08_Moteur'!U9,H12),H12)))</f>
        <v/>
      </c>
      <c r="O12" s="21">
        <f>M12*IFERROR(('09_Allocation'!E20+'09_Allocation'!F20+'09_Allocation'!I20)/SUM(M6:M63),0)</f>
        <v/>
      </c>
      <c r="P12" s="21">
        <f>N12-O12</f>
        <v/>
      </c>
      <c r="Q12" s="20">
        <f>N12-H12</f>
        <v/>
      </c>
    </row>
    <row r="13">
      <c r="A13" s="51">
        <f>'08_Moteur'!A10</f>
        <v/>
      </c>
      <c r="B13" s="10">
        <f>'08_Moteur'!B10</f>
        <v/>
      </c>
      <c r="C13" s="51">
        <f>'08_Moteur'!C10</f>
        <v/>
      </c>
      <c r="D13" s="10">
        <f>'08_Moteur'!D10</f>
        <v/>
      </c>
      <c r="E13" s="52">
        <f>'08_Moteur'!AD10</f>
        <v/>
      </c>
      <c r="F13" s="18">
        <f>'08_Moteur'!AH10</f>
        <v/>
      </c>
      <c r="G13" s="21">
        <f>F13-'08_Moteur'!AM10</f>
        <v/>
      </c>
      <c r="H13" s="67">
        <f>'08_Moteur'!AM10</f>
        <v/>
      </c>
      <c r="I13" s="73">
        <f>'08_Moteur'!AN10</f>
        <v/>
      </c>
      <c r="J13" s="74">
        <f>IF(H13&lt;0,"🔴 Restructurer (mutualiser)",IF(AND('08_Moteur'!AI10&gt;=2,E13&lt;=('08_Moteur'!AI10-1)*'08_Moteur'!O10*1.1),"🟡 Regroupable (−1 classe tient en capacité)",IF(I13&lt;0.55,"🟠 Sous-rempli mais −1 classe déborderait","🟢 Maintenir")))</f>
        <v/>
      </c>
      <c r="K13" s="75">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16" t="inlineStr">
        <is>
          <t>Maintenir</t>
        </is>
      </c>
      <c r="M13" s="54">
        <f>IF(L13="Ne pas lancer",0,IF(L13="Ouvrir +1 classe",E13+'08_Moteur'!O10,E13))</f>
        <v/>
      </c>
      <c r="N13" s="21">
        <f>IF(L13="Ne pas lancer",0,IF(L13="Ouvrir +1 classe",H13+'08_Moteur'!O10*('08_Moteur'!AE10*'08_Moteur'!AF10-('08_Moteur'!R10+'01_Cadrage'!$H$27)*(1+'01_Cadrage'!$H$20)-'08_Moteur'!S10)-'08_Moteur'!U10,IF(L13="Regrouper (-1 classe)",IF(AND('08_Moteur'!AI10&gt;=2,E13&lt;=('08_Moteur'!AI10-1)*'08_Moteur'!O10*1.1),H13+'08_Moteur'!U10,H13),H13)))</f>
        <v/>
      </c>
      <c r="O13" s="21">
        <f>M13*IFERROR(('09_Allocation'!E20+'09_Allocation'!F20+'09_Allocation'!I20)/SUM(M6:M63),0)</f>
        <v/>
      </c>
      <c r="P13" s="21">
        <f>N13-O13</f>
        <v/>
      </c>
      <c r="Q13" s="20">
        <f>N13-H13</f>
        <v/>
      </c>
    </row>
    <row r="14">
      <c r="A14" s="51">
        <f>'08_Moteur'!A11</f>
        <v/>
      </c>
      <c r="B14" s="10">
        <f>'08_Moteur'!B11</f>
        <v/>
      </c>
      <c r="C14" s="51">
        <f>'08_Moteur'!C11</f>
        <v/>
      </c>
      <c r="D14" s="10">
        <f>'08_Moteur'!D11</f>
        <v/>
      </c>
      <c r="E14" s="52">
        <f>'08_Moteur'!AD11</f>
        <v/>
      </c>
      <c r="F14" s="18">
        <f>'08_Moteur'!AH11</f>
        <v/>
      </c>
      <c r="G14" s="21">
        <f>F14-'08_Moteur'!AM11</f>
        <v/>
      </c>
      <c r="H14" s="67">
        <f>'08_Moteur'!AM11</f>
        <v/>
      </c>
      <c r="I14" s="73">
        <f>'08_Moteur'!AN11</f>
        <v/>
      </c>
      <c r="J14" s="74">
        <f>IF(H14&lt;0,"🔴 Ne pas lancer",IF(I14&gt;=0.95,"🟢 Ouvrir +1 (capter+diluer)",IF(I14&lt;0.55,"🟡 Surveiller","🟢 Maintenir")))</f>
        <v/>
      </c>
      <c r="K14" s="75">
        <f>IF(H14&lt;0,"Entrée à contribution négative → ne pas lancer cette cohorte",IF(I14&gt;=0.95,"Saturé → ouvrir capte des étudiants ET dilue la structure pour tous",IF(I14&lt;0.55,"Sous-rempli mais contribution positive → garder","Sain")))</f>
        <v/>
      </c>
      <c r="L14" s="16" t="inlineStr">
        <is>
          <t>Maintenir</t>
        </is>
      </c>
      <c r="M14" s="54">
        <f>IF(L14="Ne pas lancer",0,IF(L14="Ouvrir +1 classe",E14+'08_Moteur'!O11,E14))</f>
        <v/>
      </c>
      <c r="N14" s="21">
        <f>IF(L14="Ne pas lancer",0,IF(L14="Ouvrir +1 classe",H14+'08_Moteur'!O11*('08_Moteur'!AE11*'08_Moteur'!AF11-('08_Moteur'!R11+'01_Cadrage'!$H$27)*(1+'01_Cadrage'!$H$20)-'08_Moteur'!S11)-'08_Moteur'!U11,IF(L14="Regrouper (-1 classe)",IF(AND('08_Moteur'!AI11&gt;=2,E14&lt;=('08_Moteur'!AI11-1)*'08_Moteur'!O11*1.1),H14+'08_Moteur'!U11,H14),H14)))</f>
        <v/>
      </c>
      <c r="O14" s="21">
        <f>M14*IFERROR(('09_Allocation'!E20+'09_Allocation'!F20+'09_Allocation'!I20)/SUM(M6:M63),0)</f>
        <v/>
      </c>
      <c r="P14" s="21">
        <f>N14-O14</f>
        <v/>
      </c>
      <c r="Q14" s="20">
        <f>N14-H14</f>
        <v/>
      </c>
    </row>
    <row r="15">
      <c r="A15" s="51">
        <f>'08_Moteur'!A12</f>
        <v/>
      </c>
      <c r="B15" s="10">
        <f>'08_Moteur'!B12</f>
        <v/>
      </c>
      <c r="C15" s="51">
        <f>'08_Moteur'!C12</f>
        <v/>
      </c>
      <c r="D15" s="10">
        <f>'08_Moteur'!D12</f>
        <v/>
      </c>
      <c r="E15" s="52">
        <f>'08_Moteur'!AD12</f>
        <v/>
      </c>
      <c r="F15" s="18">
        <f>'08_Moteur'!AH12</f>
        <v/>
      </c>
      <c r="G15" s="21">
        <f>F15-'08_Moteur'!AM12</f>
        <v/>
      </c>
      <c r="H15" s="67">
        <f>'08_Moteur'!AM12</f>
        <v/>
      </c>
      <c r="I15" s="73">
        <f>'08_Moteur'!AN12</f>
        <v/>
      </c>
      <c r="J15" s="74">
        <f>IF(H15&lt;0,"🔴 Restructurer (mutualiser)",IF(AND('08_Moteur'!AI12&gt;=2,E15&lt;=('08_Moteur'!AI12-1)*'08_Moteur'!O12*1.1),"🟡 Regroupable (−1 classe tient en capacité)",IF(I15&lt;0.55,"🟠 Sous-rempli mais −1 classe déborderait","🟢 Maintenir")))</f>
        <v/>
      </c>
      <c r="K15" s="75">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16" t="inlineStr">
        <is>
          <t>Maintenir</t>
        </is>
      </c>
      <c r="M15" s="54">
        <f>IF(L15="Ne pas lancer",0,IF(L15="Ouvrir +1 classe",E15+'08_Moteur'!O12,E15))</f>
        <v/>
      </c>
      <c r="N15" s="21">
        <f>IF(L15="Ne pas lancer",0,IF(L15="Ouvrir +1 classe",H15+'08_Moteur'!O12*('08_Moteur'!AE12*'08_Moteur'!AF12-('08_Moteur'!R12+'01_Cadrage'!$H$27)*(1+'01_Cadrage'!$H$20)-'08_Moteur'!S12)-'08_Moteur'!U12,IF(L15="Regrouper (-1 classe)",IF(AND('08_Moteur'!AI12&gt;=2,E15&lt;=('08_Moteur'!AI12-1)*'08_Moteur'!O12*1.1),H15+'08_Moteur'!U12,H15),H15)))</f>
        <v/>
      </c>
      <c r="O15" s="21">
        <f>M15*IFERROR(('09_Allocation'!E20+'09_Allocation'!F20+'09_Allocation'!I20)/SUM(M6:M63),0)</f>
        <v/>
      </c>
      <c r="P15" s="21">
        <f>N15-O15</f>
        <v/>
      </c>
      <c r="Q15" s="20">
        <f>N15-H15</f>
        <v/>
      </c>
    </row>
    <row r="16">
      <c r="A16" s="51">
        <f>'08_Moteur'!A13</f>
        <v/>
      </c>
      <c r="B16" s="10">
        <f>'08_Moteur'!B13</f>
        <v/>
      </c>
      <c r="C16" s="51">
        <f>'08_Moteur'!C13</f>
        <v/>
      </c>
      <c r="D16" s="10">
        <f>'08_Moteur'!D13</f>
        <v/>
      </c>
      <c r="E16" s="52">
        <f>'08_Moteur'!AD13</f>
        <v/>
      </c>
      <c r="F16" s="18">
        <f>'08_Moteur'!AH13</f>
        <v/>
      </c>
      <c r="G16" s="21">
        <f>F16-'08_Moteur'!AM13</f>
        <v/>
      </c>
      <c r="H16" s="67">
        <f>'08_Moteur'!AM13</f>
        <v/>
      </c>
      <c r="I16" s="73">
        <f>'08_Moteur'!AN13</f>
        <v/>
      </c>
      <c r="J16" s="74">
        <f>IF(H16&lt;0,"🔴 Ne pas lancer",IF(I16&gt;=0.95,"🟢 Ouvrir +1 (capter+diluer)",IF(I16&lt;0.55,"🟡 Surveiller","🟢 Maintenir")))</f>
        <v/>
      </c>
      <c r="K16" s="75">
        <f>IF(H16&lt;0,"Entrée à contribution négative → ne pas lancer cette cohorte",IF(I16&gt;=0.95,"Saturé → ouvrir capte des étudiants ET dilue la structure pour tous",IF(I16&lt;0.55,"Sous-rempli mais contribution positive → garder","Sain")))</f>
        <v/>
      </c>
      <c r="L16" s="16" t="inlineStr">
        <is>
          <t>Maintenir</t>
        </is>
      </c>
      <c r="M16" s="54">
        <f>IF(L16="Ne pas lancer",0,IF(L16="Ouvrir +1 classe",E16+'08_Moteur'!O13,E16))</f>
        <v/>
      </c>
      <c r="N16" s="21">
        <f>IF(L16="Ne pas lancer",0,IF(L16="Ouvrir +1 classe",H16+'08_Moteur'!O13*('08_Moteur'!AE13*'08_Moteur'!AF13-('08_Moteur'!R13+'01_Cadrage'!$H$27)*(1+'01_Cadrage'!$H$20)-'08_Moteur'!S13)-'08_Moteur'!U13,IF(L16="Regrouper (-1 classe)",IF(AND('08_Moteur'!AI13&gt;=2,E16&lt;=('08_Moteur'!AI13-1)*'08_Moteur'!O13*1.1),H16+'08_Moteur'!U13,H16),H16)))</f>
        <v/>
      </c>
      <c r="O16" s="21">
        <f>M16*IFERROR(('09_Allocation'!E20+'09_Allocation'!F20+'09_Allocation'!I20)/SUM(M6:M63),0)</f>
        <v/>
      </c>
      <c r="P16" s="21">
        <f>N16-O16</f>
        <v/>
      </c>
      <c r="Q16" s="20">
        <f>N16-H16</f>
        <v/>
      </c>
    </row>
    <row r="17">
      <c r="A17" s="51">
        <f>'08_Moteur'!A14</f>
        <v/>
      </c>
      <c r="B17" s="10">
        <f>'08_Moteur'!B14</f>
        <v/>
      </c>
      <c r="C17" s="51">
        <f>'08_Moteur'!C14</f>
        <v/>
      </c>
      <c r="D17" s="10">
        <f>'08_Moteur'!D14</f>
        <v/>
      </c>
      <c r="E17" s="52">
        <f>'08_Moteur'!AD14</f>
        <v/>
      </c>
      <c r="F17" s="18">
        <f>'08_Moteur'!AH14</f>
        <v/>
      </c>
      <c r="G17" s="21">
        <f>F17-'08_Moteur'!AM14</f>
        <v/>
      </c>
      <c r="H17" s="67">
        <f>'08_Moteur'!AM14</f>
        <v/>
      </c>
      <c r="I17" s="73">
        <f>'08_Moteur'!AN14</f>
        <v/>
      </c>
      <c r="J17" s="74">
        <f>IF(H17&lt;0,"🔴 Restructurer (mutualiser)",IF(AND('08_Moteur'!AI14&gt;=2,E17&lt;=('08_Moteur'!AI14-1)*'08_Moteur'!O14*1.1),"🟡 Regroupable (−1 classe tient en capacité)",IF(I17&lt;0.55,"🟠 Sous-rempli mais −1 classe déborderait","🟢 Maintenir")))</f>
        <v/>
      </c>
      <c r="K17" s="75">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16" t="inlineStr">
        <is>
          <t>Maintenir</t>
        </is>
      </c>
      <c r="M17" s="54">
        <f>IF(L17="Ne pas lancer",0,IF(L17="Ouvrir +1 classe",E17+'08_Moteur'!O14,E17))</f>
        <v/>
      </c>
      <c r="N17" s="21">
        <f>IF(L17="Ne pas lancer",0,IF(L17="Ouvrir +1 classe",H17+'08_Moteur'!O14*('08_Moteur'!AE14*'08_Moteur'!AF14-('08_Moteur'!R14+'01_Cadrage'!$H$27)*(1+'01_Cadrage'!$H$20)-'08_Moteur'!S14)-'08_Moteur'!U14,IF(L17="Regrouper (-1 classe)",IF(AND('08_Moteur'!AI14&gt;=2,E17&lt;=('08_Moteur'!AI14-1)*'08_Moteur'!O14*1.1),H17+'08_Moteur'!U14,H17),H17)))</f>
        <v/>
      </c>
      <c r="O17" s="21">
        <f>M17*IFERROR(('09_Allocation'!E20+'09_Allocation'!F20+'09_Allocation'!I20)/SUM(M6:M63),0)</f>
        <v/>
      </c>
      <c r="P17" s="21">
        <f>N17-O17</f>
        <v/>
      </c>
      <c r="Q17" s="20">
        <f>N17-H17</f>
        <v/>
      </c>
    </row>
    <row r="18">
      <c r="A18" s="51">
        <f>'08_Moteur'!A15</f>
        <v/>
      </c>
      <c r="B18" s="10">
        <f>'08_Moteur'!B15</f>
        <v/>
      </c>
      <c r="C18" s="51">
        <f>'08_Moteur'!C15</f>
        <v/>
      </c>
      <c r="D18" s="10">
        <f>'08_Moteur'!D15</f>
        <v/>
      </c>
      <c r="E18" s="52">
        <f>'08_Moteur'!AD15</f>
        <v/>
      </c>
      <c r="F18" s="18">
        <f>'08_Moteur'!AH15</f>
        <v/>
      </c>
      <c r="G18" s="21">
        <f>F18-'08_Moteur'!AM15</f>
        <v/>
      </c>
      <c r="H18" s="67">
        <f>'08_Moteur'!AM15</f>
        <v/>
      </c>
      <c r="I18" s="73">
        <f>'08_Moteur'!AN15</f>
        <v/>
      </c>
      <c r="J18" s="74">
        <f>IF(H18&lt;0,"🔴 Restructurer (mutualiser)",IF(AND('08_Moteur'!AI15&gt;=2,E18&lt;=('08_Moteur'!AI15-1)*'08_Moteur'!O15*1.1),"🟡 Regroupable (−1 classe tient en capacité)",IF(I18&lt;0.55,"🟠 Sous-rempli mais −1 classe déborderait","🟢 Maintenir")))</f>
        <v/>
      </c>
      <c r="K18" s="75">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16" t="inlineStr">
        <is>
          <t>Maintenir</t>
        </is>
      </c>
      <c r="M18" s="54">
        <f>IF(L18="Ne pas lancer",0,IF(L18="Ouvrir +1 classe",E18+'08_Moteur'!O15,E18))</f>
        <v/>
      </c>
      <c r="N18" s="21">
        <f>IF(L18="Ne pas lancer",0,IF(L18="Ouvrir +1 classe",H18+'08_Moteur'!O15*('08_Moteur'!AE15*'08_Moteur'!AF15-('08_Moteur'!R15+'01_Cadrage'!$H$27)*(1+'01_Cadrage'!$H$20)-'08_Moteur'!S15)-'08_Moteur'!U15,IF(L18="Regrouper (-1 classe)",IF(AND('08_Moteur'!AI15&gt;=2,E18&lt;=('08_Moteur'!AI15-1)*'08_Moteur'!O15*1.1),H18+'08_Moteur'!U15,H18),H18)))</f>
        <v/>
      </c>
      <c r="O18" s="21">
        <f>M18*IFERROR(('09_Allocation'!E20+'09_Allocation'!F20+'09_Allocation'!I20)/SUM(M6:M63),0)</f>
        <v/>
      </c>
      <c r="P18" s="21">
        <f>N18-O18</f>
        <v/>
      </c>
      <c r="Q18" s="20">
        <f>N18-H18</f>
        <v/>
      </c>
    </row>
    <row r="19">
      <c r="A19" s="51">
        <f>'08_Moteur'!A16</f>
        <v/>
      </c>
      <c r="B19" s="10">
        <f>'08_Moteur'!B16</f>
        <v/>
      </c>
      <c r="C19" s="51">
        <f>'08_Moteur'!C16</f>
        <v/>
      </c>
      <c r="D19" s="10">
        <f>'08_Moteur'!D16</f>
        <v/>
      </c>
      <c r="E19" s="52">
        <f>'08_Moteur'!AD16</f>
        <v/>
      </c>
      <c r="F19" s="18">
        <f>'08_Moteur'!AH16</f>
        <v/>
      </c>
      <c r="G19" s="21">
        <f>F19-'08_Moteur'!AM16</f>
        <v/>
      </c>
      <c r="H19" s="67">
        <f>'08_Moteur'!AM16</f>
        <v/>
      </c>
      <c r="I19" s="73">
        <f>'08_Moteur'!AN16</f>
        <v/>
      </c>
      <c r="J19" s="74">
        <f>IF(H19&lt;0,"🔴 Ne pas lancer",IF(I19&gt;=0.95,"🟢 Ouvrir +1 (capter+diluer)",IF(I19&lt;0.55,"🟡 Surveiller","🟢 Maintenir")))</f>
        <v/>
      </c>
      <c r="K19" s="75">
        <f>IF(H19&lt;0,"Entrée à contribution négative → ne pas lancer cette cohorte",IF(I19&gt;=0.95,"Saturé → ouvrir capte des étudiants ET dilue la structure pour tous",IF(I19&lt;0.55,"Sous-rempli mais contribution positive → garder","Sain")))</f>
        <v/>
      </c>
      <c r="L19" s="16" t="inlineStr">
        <is>
          <t>Maintenir</t>
        </is>
      </c>
      <c r="M19" s="54">
        <f>IF(L19="Ne pas lancer",0,IF(L19="Ouvrir +1 classe",E19+'08_Moteur'!O16,E19))</f>
        <v/>
      </c>
      <c r="N19" s="21">
        <f>IF(L19="Ne pas lancer",0,IF(L19="Ouvrir +1 classe",H19+'08_Moteur'!O16*('08_Moteur'!AE16*'08_Moteur'!AF16-('08_Moteur'!R16+'01_Cadrage'!$H$27)*(1+'01_Cadrage'!$H$20)-'08_Moteur'!S16)-'08_Moteur'!U16,IF(L19="Regrouper (-1 classe)",IF(AND('08_Moteur'!AI16&gt;=2,E19&lt;=('08_Moteur'!AI16-1)*'08_Moteur'!O16*1.1),H19+'08_Moteur'!U16,H19),H19)))</f>
        <v/>
      </c>
      <c r="O19" s="21">
        <f>M19*IFERROR(('09_Allocation'!E20+'09_Allocation'!F20+'09_Allocation'!I20)/SUM(M6:M63),0)</f>
        <v/>
      </c>
      <c r="P19" s="21">
        <f>N19-O19</f>
        <v/>
      </c>
      <c r="Q19" s="20">
        <f>N19-H19</f>
        <v/>
      </c>
    </row>
    <row r="20">
      <c r="A20" s="51">
        <f>'08_Moteur'!A17</f>
        <v/>
      </c>
      <c r="B20" s="10">
        <f>'08_Moteur'!B17</f>
        <v/>
      </c>
      <c r="C20" s="51">
        <f>'08_Moteur'!C17</f>
        <v/>
      </c>
      <c r="D20" s="10">
        <f>'08_Moteur'!D17</f>
        <v/>
      </c>
      <c r="E20" s="52">
        <f>'08_Moteur'!AD17</f>
        <v/>
      </c>
      <c r="F20" s="18">
        <f>'08_Moteur'!AH17</f>
        <v/>
      </c>
      <c r="G20" s="21">
        <f>F20-'08_Moteur'!AM17</f>
        <v/>
      </c>
      <c r="H20" s="67">
        <f>'08_Moteur'!AM17</f>
        <v/>
      </c>
      <c r="I20" s="73">
        <f>'08_Moteur'!AN17</f>
        <v/>
      </c>
      <c r="J20" s="74">
        <f>IF(H20&lt;0,"🔴 Restructurer (mutualiser)",IF(AND('08_Moteur'!AI17&gt;=2,E20&lt;=('08_Moteur'!AI17-1)*'08_Moteur'!O17*1.1),"🟡 Regroupable (−1 classe tient en capacité)",IF(I20&lt;0.55,"🟠 Sous-rempli mais −1 classe déborderait","🟢 Maintenir")))</f>
        <v/>
      </c>
      <c r="K20" s="75">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16" t="inlineStr">
        <is>
          <t>Maintenir</t>
        </is>
      </c>
      <c r="M20" s="54">
        <f>IF(L20="Ne pas lancer",0,IF(L20="Ouvrir +1 classe",E20+'08_Moteur'!O17,E20))</f>
        <v/>
      </c>
      <c r="N20" s="21">
        <f>IF(L20="Ne pas lancer",0,IF(L20="Ouvrir +1 classe",H20+'08_Moteur'!O17*('08_Moteur'!AE17*'08_Moteur'!AF17-('08_Moteur'!R17+'01_Cadrage'!$H$27)*(1+'01_Cadrage'!$H$20)-'08_Moteur'!S17)-'08_Moteur'!U17,IF(L20="Regrouper (-1 classe)",IF(AND('08_Moteur'!AI17&gt;=2,E20&lt;=('08_Moteur'!AI17-1)*'08_Moteur'!O17*1.1),H20+'08_Moteur'!U17,H20),H20)))</f>
        <v/>
      </c>
      <c r="O20" s="21">
        <f>M20*IFERROR(('09_Allocation'!E20+'09_Allocation'!F20+'09_Allocation'!I20)/SUM(M6:M63),0)</f>
        <v/>
      </c>
      <c r="P20" s="21">
        <f>N20-O20</f>
        <v/>
      </c>
      <c r="Q20" s="20">
        <f>N20-H20</f>
        <v/>
      </c>
    </row>
    <row r="21">
      <c r="A21" s="51">
        <f>'08_Moteur'!A18</f>
        <v/>
      </c>
      <c r="B21" s="10">
        <f>'08_Moteur'!B18</f>
        <v/>
      </c>
      <c r="C21" s="51">
        <f>'08_Moteur'!C18</f>
        <v/>
      </c>
      <c r="D21" s="10">
        <f>'08_Moteur'!D18</f>
        <v/>
      </c>
      <c r="E21" s="52">
        <f>'08_Moteur'!AD18</f>
        <v/>
      </c>
      <c r="F21" s="18">
        <f>'08_Moteur'!AH18</f>
        <v/>
      </c>
      <c r="G21" s="21">
        <f>F21-'08_Moteur'!AM18</f>
        <v/>
      </c>
      <c r="H21" s="67">
        <f>'08_Moteur'!AM18</f>
        <v/>
      </c>
      <c r="I21" s="73">
        <f>'08_Moteur'!AN18</f>
        <v/>
      </c>
      <c r="J21" s="74">
        <f>IF(H21&lt;0,"🔴 Ne pas lancer",IF(I21&gt;=0.95,"🟢 Ouvrir +1 (capter+diluer)",IF(I21&lt;0.55,"🟡 Surveiller","🟢 Maintenir")))</f>
        <v/>
      </c>
      <c r="K21" s="75">
        <f>IF(H21&lt;0,"Entrée à contribution négative → ne pas lancer cette cohorte",IF(I21&gt;=0.95,"Saturé → ouvrir capte des étudiants ET dilue la structure pour tous",IF(I21&lt;0.55,"Sous-rempli mais contribution positive → garder","Sain")))</f>
        <v/>
      </c>
      <c r="L21" s="16" t="inlineStr">
        <is>
          <t>Maintenir</t>
        </is>
      </c>
      <c r="M21" s="54">
        <f>IF(L21="Ne pas lancer",0,IF(L21="Ouvrir +1 classe",E21+'08_Moteur'!O18,E21))</f>
        <v/>
      </c>
      <c r="N21" s="21">
        <f>IF(L21="Ne pas lancer",0,IF(L21="Ouvrir +1 classe",H21+'08_Moteur'!O18*('08_Moteur'!AE18*'08_Moteur'!AF18-('08_Moteur'!R18+'01_Cadrage'!$H$27)*(1+'01_Cadrage'!$H$20)-'08_Moteur'!S18)-'08_Moteur'!U18,IF(L21="Regrouper (-1 classe)",IF(AND('08_Moteur'!AI18&gt;=2,E21&lt;=('08_Moteur'!AI18-1)*'08_Moteur'!O18*1.1),H21+'08_Moteur'!U18,H21),H21)))</f>
        <v/>
      </c>
      <c r="O21" s="21">
        <f>M21*IFERROR(('09_Allocation'!E20+'09_Allocation'!F20+'09_Allocation'!I20)/SUM(M6:M63),0)</f>
        <v/>
      </c>
      <c r="P21" s="21">
        <f>N21-O21</f>
        <v/>
      </c>
      <c r="Q21" s="20">
        <f>N21-H21</f>
        <v/>
      </c>
    </row>
    <row r="22">
      <c r="A22" s="51">
        <f>'08_Moteur'!A19</f>
        <v/>
      </c>
      <c r="B22" s="10">
        <f>'08_Moteur'!B19</f>
        <v/>
      </c>
      <c r="C22" s="51">
        <f>'08_Moteur'!C19</f>
        <v/>
      </c>
      <c r="D22" s="10">
        <f>'08_Moteur'!D19</f>
        <v/>
      </c>
      <c r="E22" s="52">
        <f>'08_Moteur'!AD19</f>
        <v/>
      </c>
      <c r="F22" s="18">
        <f>'08_Moteur'!AH19</f>
        <v/>
      </c>
      <c r="G22" s="21">
        <f>F22-'08_Moteur'!AM19</f>
        <v/>
      </c>
      <c r="H22" s="67">
        <f>'08_Moteur'!AM19</f>
        <v/>
      </c>
      <c r="I22" s="73">
        <f>'08_Moteur'!AN19</f>
        <v/>
      </c>
      <c r="J22" s="74">
        <f>IF(H22&lt;0,"🔴 Restructurer (mutualiser)",IF(AND('08_Moteur'!AI19&gt;=2,E22&lt;=('08_Moteur'!AI19-1)*'08_Moteur'!O19*1.1),"🟡 Regroupable (−1 classe tient en capacité)",IF(I22&lt;0.55,"🟠 Sous-rempli mais −1 classe déborderait","🟢 Maintenir")))</f>
        <v/>
      </c>
      <c r="K22" s="75">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16" t="inlineStr">
        <is>
          <t>Maintenir</t>
        </is>
      </c>
      <c r="M22" s="54">
        <f>IF(L22="Ne pas lancer",0,IF(L22="Ouvrir +1 classe",E22+'08_Moteur'!O19,E22))</f>
        <v/>
      </c>
      <c r="N22" s="21">
        <f>IF(L22="Ne pas lancer",0,IF(L22="Ouvrir +1 classe",H22+'08_Moteur'!O19*('08_Moteur'!AE19*'08_Moteur'!AF19-('08_Moteur'!R19+'01_Cadrage'!$H$27)*(1+'01_Cadrage'!$H$20)-'08_Moteur'!S19)-'08_Moteur'!U19,IF(L22="Regrouper (-1 classe)",IF(AND('08_Moteur'!AI19&gt;=2,E22&lt;=('08_Moteur'!AI19-1)*'08_Moteur'!O19*1.1),H22+'08_Moteur'!U19,H22),H22)))</f>
        <v/>
      </c>
      <c r="O22" s="21">
        <f>M22*IFERROR(('09_Allocation'!E20+'09_Allocation'!F20+'09_Allocation'!I20)/SUM(M6:M63),0)</f>
        <v/>
      </c>
      <c r="P22" s="21">
        <f>N22-O22</f>
        <v/>
      </c>
      <c r="Q22" s="20">
        <f>N22-H22</f>
        <v/>
      </c>
    </row>
    <row r="23">
      <c r="A23" s="51">
        <f>'08_Moteur'!A20</f>
        <v/>
      </c>
      <c r="B23" s="10">
        <f>'08_Moteur'!B20</f>
        <v/>
      </c>
      <c r="C23" s="51">
        <f>'08_Moteur'!C20</f>
        <v/>
      </c>
      <c r="D23" s="10">
        <f>'08_Moteur'!D20</f>
        <v/>
      </c>
      <c r="E23" s="52">
        <f>'08_Moteur'!AD20</f>
        <v/>
      </c>
      <c r="F23" s="18">
        <f>'08_Moteur'!AH20</f>
        <v/>
      </c>
      <c r="G23" s="21">
        <f>F23-'08_Moteur'!AM20</f>
        <v/>
      </c>
      <c r="H23" s="67">
        <f>'08_Moteur'!AM20</f>
        <v/>
      </c>
      <c r="I23" s="73">
        <f>'08_Moteur'!AN20</f>
        <v/>
      </c>
      <c r="J23" s="74">
        <f>IF(H23&lt;0,"🔴 Restructurer (mutualiser)",IF(AND('08_Moteur'!AI20&gt;=2,E23&lt;=('08_Moteur'!AI20-1)*'08_Moteur'!O20*1.1),"🟡 Regroupable (−1 classe tient en capacité)",IF(I23&lt;0.55,"🟠 Sous-rempli mais −1 classe déborderait","🟢 Maintenir")))</f>
        <v/>
      </c>
      <c r="K23" s="75">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16" t="inlineStr">
        <is>
          <t>Maintenir</t>
        </is>
      </c>
      <c r="M23" s="54">
        <f>IF(L23="Ne pas lancer",0,IF(L23="Ouvrir +1 classe",E23+'08_Moteur'!O20,E23))</f>
        <v/>
      </c>
      <c r="N23" s="21">
        <f>IF(L23="Ne pas lancer",0,IF(L23="Ouvrir +1 classe",H23+'08_Moteur'!O20*('08_Moteur'!AE20*'08_Moteur'!AF20-('08_Moteur'!R20+'01_Cadrage'!$H$27)*(1+'01_Cadrage'!$H$20)-'08_Moteur'!S20)-'08_Moteur'!U20,IF(L23="Regrouper (-1 classe)",IF(AND('08_Moteur'!AI20&gt;=2,E23&lt;=('08_Moteur'!AI20-1)*'08_Moteur'!O20*1.1),H23+'08_Moteur'!U20,H23),H23)))</f>
        <v/>
      </c>
      <c r="O23" s="21">
        <f>M23*IFERROR(('09_Allocation'!E20+'09_Allocation'!F20+'09_Allocation'!I20)/SUM(M6:M63),0)</f>
        <v/>
      </c>
      <c r="P23" s="21">
        <f>N23-O23</f>
        <v/>
      </c>
      <c r="Q23" s="20">
        <f>N23-H23</f>
        <v/>
      </c>
    </row>
    <row r="24">
      <c r="A24" s="51">
        <f>'08_Moteur'!A21</f>
        <v/>
      </c>
      <c r="B24" s="10">
        <f>'08_Moteur'!B21</f>
        <v/>
      </c>
      <c r="C24" s="51">
        <f>'08_Moteur'!C21</f>
        <v/>
      </c>
      <c r="D24" s="10">
        <f>'08_Moteur'!D21</f>
        <v/>
      </c>
      <c r="E24" s="52">
        <f>'08_Moteur'!AD21</f>
        <v/>
      </c>
      <c r="F24" s="18">
        <f>'08_Moteur'!AH21</f>
        <v/>
      </c>
      <c r="G24" s="21">
        <f>F24-'08_Moteur'!AM21</f>
        <v/>
      </c>
      <c r="H24" s="67">
        <f>'08_Moteur'!AM21</f>
        <v/>
      </c>
      <c r="I24" s="73">
        <f>'08_Moteur'!AN21</f>
        <v/>
      </c>
      <c r="J24" s="74">
        <f>IF(H24&lt;0,"🔴 Ne pas lancer",IF(I24&gt;=0.95,"🟢 Ouvrir +1 (capter+diluer)",IF(I24&lt;0.55,"🟡 Surveiller","🟢 Maintenir")))</f>
        <v/>
      </c>
      <c r="K24" s="75">
        <f>IF(H24&lt;0,"Entrée à contribution négative → ne pas lancer cette cohorte",IF(I24&gt;=0.95,"Saturé → ouvrir capte des étudiants ET dilue la structure pour tous",IF(I24&lt;0.55,"Sous-rempli mais contribution positive → garder","Sain")))</f>
        <v/>
      </c>
      <c r="L24" s="16" t="inlineStr">
        <is>
          <t>Maintenir</t>
        </is>
      </c>
      <c r="M24" s="54">
        <f>IF(L24="Ne pas lancer",0,IF(L24="Ouvrir +1 classe",E24+'08_Moteur'!O21,E24))</f>
        <v/>
      </c>
      <c r="N24" s="21">
        <f>IF(L24="Ne pas lancer",0,IF(L24="Ouvrir +1 classe",H24+'08_Moteur'!O21*('08_Moteur'!AE21*'08_Moteur'!AF21-('08_Moteur'!R21+'01_Cadrage'!$H$27)*(1+'01_Cadrage'!$H$20)-'08_Moteur'!S21)-'08_Moteur'!U21,IF(L24="Regrouper (-1 classe)",IF(AND('08_Moteur'!AI21&gt;=2,E24&lt;=('08_Moteur'!AI21-1)*'08_Moteur'!O21*1.1),H24+'08_Moteur'!U21,H24),H24)))</f>
        <v/>
      </c>
      <c r="O24" s="21">
        <f>M24*IFERROR(('09_Allocation'!E20+'09_Allocation'!F20+'09_Allocation'!I20)/SUM(M6:M63),0)</f>
        <v/>
      </c>
      <c r="P24" s="21">
        <f>N24-O24</f>
        <v/>
      </c>
      <c r="Q24" s="20">
        <f>N24-H24</f>
        <v/>
      </c>
    </row>
    <row r="25">
      <c r="A25" s="51">
        <f>'08_Moteur'!A22</f>
        <v/>
      </c>
      <c r="B25" s="10">
        <f>'08_Moteur'!B22</f>
        <v/>
      </c>
      <c r="C25" s="51">
        <f>'08_Moteur'!C22</f>
        <v/>
      </c>
      <c r="D25" s="10">
        <f>'08_Moteur'!D22</f>
        <v/>
      </c>
      <c r="E25" s="52">
        <f>'08_Moteur'!AD22</f>
        <v/>
      </c>
      <c r="F25" s="18">
        <f>'08_Moteur'!AH22</f>
        <v/>
      </c>
      <c r="G25" s="21">
        <f>F25-'08_Moteur'!AM22</f>
        <v/>
      </c>
      <c r="H25" s="67">
        <f>'08_Moteur'!AM22</f>
        <v/>
      </c>
      <c r="I25" s="73">
        <f>'08_Moteur'!AN22</f>
        <v/>
      </c>
      <c r="J25" s="74">
        <f>IF(H25&lt;0,"🔴 Restructurer (mutualiser)",IF(AND('08_Moteur'!AI22&gt;=2,E25&lt;=('08_Moteur'!AI22-1)*'08_Moteur'!O22*1.1),"🟡 Regroupable (−1 classe tient en capacité)",IF(I25&lt;0.55,"🟠 Sous-rempli mais −1 classe déborderait","🟢 Maintenir")))</f>
        <v/>
      </c>
      <c r="K25" s="75">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16" t="inlineStr">
        <is>
          <t>Maintenir</t>
        </is>
      </c>
      <c r="M25" s="54">
        <f>IF(L25="Ne pas lancer",0,IF(L25="Ouvrir +1 classe",E25+'08_Moteur'!O22,E25))</f>
        <v/>
      </c>
      <c r="N25" s="21">
        <f>IF(L25="Ne pas lancer",0,IF(L25="Ouvrir +1 classe",H25+'08_Moteur'!O22*('08_Moteur'!AE22*'08_Moteur'!AF22-('08_Moteur'!R22+'01_Cadrage'!$H$27)*(1+'01_Cadrage'!$H$20)-'08_Moteur'!S22)-'08_Moteur'!U22,IF(L25="Regrouper (-1 classe)",IF(AND('08_Moteur'!AI22&gt;=2,E25&lt;=('08_Moteur'!AI22-1)*'08_Moteur'!O22*1.1),H25+'08_Moteur'!U22,H25),H25)))</f>
        <v/>
      </c>
      <c r="O25" s="21">
        <f>M25*IFERROR(('09_Allocation'!E20+'09_Allocation'!F20+'09_Allocation'!I20)/SUM(M6:M63),0)</f>
        <v/>
      </c>
      <c r="P25" s="21">
        <f>N25-O25</f>
        <v/>
      </c>
      <c r="Q25" s="20">
        <f>N25-H25</f>
        <v/>
      </c>
    </row>
    <row r="26">
      <c r="A26" s="51">
        <f>'08_Moteur'!A23</f>
        <v/>
      </c>
      <c r="B26" s="10">
        <f>'08_Moteur'!B23</f>
        <v/>
      </c>
      <c r="C26" s="51">
        <f>'08_Moteur'!C23</f>
        <v/>
      </c>
      <c r="D26" s="10">
        <f>'08_Moteur'!D23</f>
        <v/>
      </c>
      <c r="E26" s="52">
        <f>'08_Moteur'!AD23</f>
        <v/>
      </c>
      <c r="F26" s="18">
        <f>'08_Moteur'!AH23</f>
        <v/>
      </c>
      <c r="G26" s="21">
        <f>F26-'08_Moteur'!AM23</f>
        <v/>
      </c>
      <c r="H26" s="67">
        <f>'08_Moteur'!AM23</f>
        <v/>
      </c>
      <c r="I26" s="73">
        <f>'08_Moteur'!AN23</f>
        <v/>
      </c>
      <c r="J26" s="74">
        <f>IF(H26&lt;0,"🔴 Ne pas lancer",IF(I26&gt;=0.95,"🟢 Ouvrir +1 (capter+diluer)",IF(I26&lt;0.55,"🟡 Surveiller","🟢 Maintenir")))</f>
        <v/>
      </c>
      <c r="K26" s="75">
        <f>IF(H26&lt;0,"Entrée à contribution négative → ne pas lancer cette cohorte",IF(I26&gt;=0.95,"Saturé → ouvrir capte des étudiants ET dilue la structure pour tous",IF(I26&lt;0.55,"Sous-rempli mais contribution positive → garder","Sain")))</f>
        <v/>
      </c>
      <c r="L26" s="16" t="inlineStr">
        <is>
          <t>Maintenir</t>
        </is>
      </c>
      <c r="M26" s="54">
        <f>IF(L26="Ne pas lancer",0,IF(L26="Ouvrir +1 classe",E26+'08_Moteur'!O23,E26))</f>
        <v/>
      </c>
      <c r="N26" s="21">
        <f>IF(L26="Ne pas lancer",0,IF(L26="Ouvrir +1 classe",H26+'08_Moteur'!O23*('08_Moteur'!AE23*'08_Moteur'!AF23-('08_Moteur'!R23+'01_Cadrage'!$H$27)*(1+'01_Cadrage'!$H$20)-'08_Moteur'!S23)-'08_Moteur'!U23,IF(L26="Regrouper (-1 classe)",IF(AND('08_Moteur'!AI23&gt;=2,E26&lt;=('08_Moteur'!AI23-1)*'08_Moteur'!O23*1.1),H26+'08_Moteur'!U23,H26),H26)))</f>
        <v/>
      </c>
      <c r="O26" s="21">
        <f>M26*IFERROR(('09_Allocation'!E20+'09_Allocation'!F20+'09_Allocation'!I20)/SUM(M6:M63),0)</f>
        <v/>
      </c>
      <c r="P26" s="21">
        <f>N26-O26</f>
        <v/>
      </c>
      <c r="Q26" s="20">
        <f>N26-H26</f>
        <v/>
      </c>
    </row>
    <row r="27">
      <c r="A27" s="51">
        <f>'08_Moteur'!A24</f>
        <v/>
      </c>
      <c r="B27" s="10">
        <f>'08_Moteur'!B24</f>
        <v/>
      </c>
      <c r="C27" s="51">
        <f>'08_Moteur'!C24</f>
        <v/>
      </c>
      <c r="D27" s="10">
        <f>'08_Moteur'!D24</f>
        <v/>
      </c>
      <c r="E27" s="52">
        <f>'08_Moteur'!AD24</f>
        <v/>
      </c>
      <c r="F27" s="18">
        <f>'08_Moteur'!AH24</f>
        <v/>
      </c>
      <c r="G27" s="21">
        <f>F27-'08_Moteur'!AM24</f>
        <v/>
      </c>
      <c r="H27" s="67">
        <f>'08_Moteur'!AM24</f>
        <v/>
      </c>
      <c r="I27" s="73">
        <f>'08_Moteur'!AN24</f>
        <v/>
      </c>
      <c r="J27" s="74">
        <f>IF(H27&lt;0,"🔴 Restructurer (mutualiser)",IF(AND('08_Moteur'!AI24&gt;=2,E27&lt;=('08_Moteur'!AI24-1)*'08_Moteur'!O24*1.1),"🟡 Regroupable (−1 classe tient en capacité)",IF(I27&lt;0.55,"🟠 Sous-rempli mais −1 classe déborderait","🟢 Maintenir")))</f>
        <v/>
      </c>
      <c r="K27" s="75">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16" t="inlineStr">
        <is>
          <t>Maintenir</t>
        </is>
      </c>
      <c r="M27" s="54">
        <f>IF(L27="Ne pas lancer",0,IF(L27="Ouvrir +1 classe",E27+'08_Moteur'!O24,E27))</f>
        <v/>
      </c>
      <c r="N27" s="21">
        <f>IF(L27="Ne pas lancer",0,IF(L27="Ouvrir +1 classe",H27+'08_Moteur'!O24*('08_Moteur'!AE24*'08_Moteur'!AF24-('08_Moteur'!R24+'01_Cadrage'!$H$27)*(1+'01_Cadrage'!$H$20)-'08_Moteur'!S24)-'08_Moteur'!U24,IF(L27="Regrouper (-1 classe)",IF(AND('08_Moteur'!AI24&gt;=2,E27&lt;=('08_Moteur'!AI24-1)*'08_Moteur'!O24*1.1),H27+'08_Moteur'!U24,H27),H27)))</f>
        <v/>
      </c>
      <c r="O27" s="21">
        <f>M27*IFERROR(('09_Allocation'!E20+'09_Allocation'!F20+'09_Allocation'!I20)/SUM(M6:M63),0)</f>
        <v/>
      </c>
      <c r="P27" s="21">
        <f>N27-O27</f>
        <v/>
      </c>
      <c r="Q27" s="20">
        <f>N27-H27</f>
        <v/>
      </c>
    </row>
    <row r="28">
      <c r="A28" s="51">
        <f>'08_Moteur'!A25</f>
        <v/>
      </c>
      <c r="B28" s="10">
        <f>'08_Moteur'!B25</f>
        <v/>
      </c>
      <c r="C28" s="51">
        <f>'08_Moteur'!C25</f>
        <v/>
      </c>
      <c r="D28" s="10">
        <f>'08_Moteur'!D25</f>
        <v/>
      </c>
      <c r="E28" s="52">
        <f>'08_Moteur'!AD25</f>
        <v/>
      </c>
      <c r="F28" s="18">
        <f>'08_Moteur'!AH25</f>
        <v/>
      </c>
      <c r="G28" s="21">
        <f>F28-'08_Moteur'!AM25</f>
        <v/>
      </c>
      <c r="H28" s="67">
        <f>'08_Moteur'!AM25</f>
        <v/>
      </c>
      <c r="I28" s="73">
        <f>'08_Moteur'!AN25</f>
        <v/>
      </c>
      <c r="J28" s="74">
        <f>IF(H28&lt;0,"🔴 Restructurer (mutualiser)",IF(AND('08_Moteur'!AI25&gt;=2,E28&lt;=('08_Moteur'!AI25-1)*'08_Moteur'!O25*1.1),"🟡 Regroupable (−1 classe tient en capacité)",IF(I28&lt;0.55,"🟠 Sous-rempli mais −1 classe déborderait","🟢 Maintenir")))</f>
        <v/>
      </c>
      <c r="K28" s="75">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16" t="inlineStr">
        <is>
          <t>Maintenir</t>
        </is>
      </c>
      <c r="M28" s="54">
        <f>IF(L28="Ne pas lancer",0,IF(L28="Ouvrir +1 classe",E28+'08_Moteur'!O25,E28))</f>
        <v/>
      </c>
      <c r="N28" s="21">
        <f>IF(L28="Ne pas lancer",0,IF(L28="Ouvrir +1 classe",H28+'08_Moteur'!O25*('08_Moteur'!AE25*'08_Moteur'!AF25-('08_Moteur'!R25+'01_Cadrage'!$H$27)*(1+'01_Cadrage'!$H$20)-'08_Moteur'!S25)-'08_Moteur'!U25,IF(L28="Regrouper (-1 classe)",IF(AND('08_Moteur'!AI25&gt;=2,E28&lt;=('08_Moteur'!AI25-1)*'08_Moteur'!O25*1.1),H28+'08_Moteur'!U25,H28),H28)))</f>
        <v/>
      </c>
      <c r="O28" s="21">
        <f>M28*IFERROR(('09_Allocation'!E20+'09_Allocation'!F20+'09_Allocation'!I20)/SUM(M6:M63),0)</f>
        <v/>
      </c>
      <c r="P28" s="21">
        <f>N28-O28</f>
        <v/>
      </c>
      <c r="Q28" s="20">
        <f>N28-H28</f>
        <v/>
      </c>
    </row>
    <row r="29">
      <c r="A29" s="51">
        <f>'08_Moteur'!A26</f>
        <v/>
      </c>
      <c r="B29" s="10">
        <f>'08_Moteur'!B26</f>
        <v/>
      </c>
      <c r="C29" s="51">
        <f>'08_Moteur'!C26</f>
        <v/>
      </c>
      <c r="D29" s="10">
        <f>'08_Moteur'!D26</f>
        <v/>
      </c>
      <c r="E29" s="52">
        <f>'08_Moteur'!AD26</f>
        <v/>
      </c>
      <c r="F29" s="18">
        <f>'08_Moteur'!AH26</f>
        <v/>
      </c>
      <c r="G29" s="21">
        <f>F29-'08_Moteur'!AM26</f>
        <v/>
      </c>
      <c r="H29" s="67">
        <f>'08_Moteur'!AM26</f>
        <v/>
      </c>
      <c r="I29" s="73">
        <f>'08_Moteur'!AN26</f>
        <v/>
      </c>
      <c r="J29" s="74">
        <f>IF(H29&lt;0,"🔴 Ne pas lancer",IF(I29&gt;=0.95,"🟢 Ouvrir +1 (capter+diluer)",IF(I29&lt;0.55,"🟡 Surveiller","🟢 Maintenir")))</f>
        <v/>
      </c>
      <c r="K29" s="75">
        <f>IF(H29&lt;0,"Entrée à contribution négative → ne pas lancer cette cohorte",IF(I29&gt;=0.95,"Saturé → ouvrir capte des étudiants ET dilue la structure pour tous",IF(I29&lt;0.55,"Sous-rempli mais contribution positive → garder","Sain")))</f>
        <v/>
      </c>
      <c r="L29" s="16" t="inlineStr">
        <is>
          <t>Maintenir</t>
        </is>
      </c>
      <c r="M29" s="54">
        <f>IF(L29="Ne pas lancer",0,IF(L29="Ouvrir +1 classe",E29+'08_Moteur'!O26,E29))</f>
        <v/>
      </c>
      <c r="N29" s="21">
        <f>IF(L29="Ne pas lancer",0,IF(L29="Ouvrir +1 classe",H29+'08_Moteur'!O26*('08_Moteur'!AE26*'08_Moteur'!AF26-('08_Moteur'!R26+'01_Cadrage'!$H$27)*(1+'01_Cadrage'!$H$20)-'08_Moteur'!S26)-'08_Moteur'!U26,IF(L29="Regrouper (-1 classe)",IF(AND('08_Moteur'!AI26&gt;=2,E29&lt;=('08_Moteur'!AI26-1)*'08_Moteur'!O26*1.1),H29+'08_Moteur'!U26,H29),H29)))</f>
        <v/>
      </c>
      <c r="O29" s="21">
        <f>M29*IFERROR(('09_Allocation'!E20+'09_Allocation'!F20+'09_Allocation'!I20)/SUM(M6:M63),0)</f>
        <v/>
      </c>
      <c r="P29" s="21">
        <f>N29-O29</f>
        <v/>
      </c>
      <c r="Q29" s="20">
        <f>N29-H29</f>
        <v/>
      </c>
    </row>
    <row r="30">
      <c r="A30" s="51">
        <f>'08_Moteur'!A27</f>
        <v/>
      </c>
      <c r="B30" s="10">
        <f>'08_Moteur'!B27</f>
        <v/>
      </c>
      <c r="C30" s="51">
        <f>'08_Moteur'!C27</f>
        <v/>
      </c>
      <c r="D30" s="10">
        <f>'08_Moteur'!D27</f>
        <v/>
      </c>
      <c r="E30" s="52">
        <f>'08_Moteur'!AD27</f>
        <v/>
      </c>
      <c r="F30" s="18">
        <f>'08_Moteur'!AH27</f>
        <v/>
      </c>
      <c r="G30" s="21">
        <f>F30-'08_Moteur'!AM27</f>
        <v/>
      </c>
      <c r="H30" s="67">
        <f>'08_Moteur'!AM27</f>
        <v/>
      </c>
      <c r="I30" s="73">
        <f>'08_Moteur'!AN27</f>
        <v/>
      </c>
      <c r="J30" s="74">
        <f>IF(H30&lt;0,"🔴 Restructurer (mutualiser)",IF(AND('08_Moteur'!AI27&gt;=2,E30&lt;=('08_Moteur'!AI27-1)*'08_Moteur'!O27*1.1),"🟡 Regroupable (−1 classe tient en capacité)",IF(I30&lt;0.55,"🟠 Sous-rempli mais −1 classe déborderait","🟢 Maintenir")))</f>
        <v/>
      </c>
      <c r="K30" s="75">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16" t="inlineStr">
        <is>
          <t>Maintenir</t>
        </is>
      </c>
      <c r="M30" s="54">
        <f>IF(L30="Ne pas lancer",0,IF(L30="Ouvrir +1 classe",E30+'08_Moteur'!O27,E30))</f>
        <v/>
      </c>
      <c r="N30" s="21">
        <f>IF(L30="Ne pas lancer",0,IF(L30="Ouvrir +1 classe",H30+'08_Moteur'!O27*('08_Moteur'!AE27*'08_Moteur'!AF27-('08_Moteur'!R27+'01_Cadrage'!$H$27)*(1+'01_Cadrage'!$H$20)-'08_Moteur'!S27)-'08_Moteur'!U27,IF(L30="Regrouper (-1 classe)",IF(AND('08_Moteur'!AI27&gt;=2,E30&lt;=('08_Moteur'!AI27-1)*'08_Moteur'!O27*1.1),H30+'08_Moteur'!U27,H30),H30)))</f>
        <v/>
      </c>
      <c r="O30" s="21">
        <f>M30*IFERROR(('09_Allocation'!E20+'09_Allocation'!F20+'09_Allocation'!I20)/SUM(M6:M63),0)</f>
        <v/>
      </c>
      <c r="P30" s="21">
        <f>N30-O30</f>
        <v/>
      </c>
      <c r="Q30" s="20">
        <f>N30-H30</f>
        <v/>
      </c>
    </row>
    <row r="31">
      <c r="A31" s="51">
        <f>'08_Moteur'!A28</f>
        <v/>
      </c>
      <c r="B31" s="10">
        <f>'08_Moteur'!B28</f>
        <v/>
      </c>
      <c r="C31" s="51">
        <f>'08_Moteur'!C28</f>
        <v/>
      </c>
      <c r="D31" s="10">
        <f>'08_Moteur'!D28</f>
        <v/>
      </c>
      <c r="E31" s="52">
        <f>'08_Moteur'!AD28</f>
        <v/>
      </c>
      <c r="F31" s="18">
        <f>'08_Moteur'!AH28</f>
        <v/>
      </c>
      <c r="G31" s="21">
        <f>F31-'08_Moteur'!AM28</f>
        <v/>
      </c>
      <c r="H31" s="67">
        <f>'08_Moteur'!AM28</f>
        <v/>
      </c>
      <c r="I31" s="73">
        <f>'08_Moteur'!AN28</f>
        <v/>
      </c>
      <c r="J31" s="74">
        <f>IF(H31&lt;0,"🔴 Ne pas lancer",IF(I31&gt;=0.95,"🟢 Ouvrir +1 (capter+diluer)",IF(I31&lt;0.55,"🟡 Surveiller","🟢 Maintenir")))</f>
        <v/>
      </c>
      <c r="K31" s="75">
        <f>IF(H31&lt;0,"Entrée à contribution négative → ne pas lancer cette cohorte",IF(I31&gt;=0.95,"Saturé → ouvrir capte des étudiants ET dilue la structure pour tous",IF(I31&lt;0.55,"Sous-rempli mais contribution positive → garder","Sain")))</f>
        <v/>
      </c>
      <c r="L31" s="16" t="inlineStr">
        <is>
          <t>Maintenir</t>
        </is>
      </c>
      <c r="M31" s="54">
        <f>IF(L31="Ne pas lancer",0,IF(L31="Ouvrir +1 classe",E31+'08_Moteur'!O28,E31))</f>
        <v/>
      </c>
      <c r="N31" s="21">
        <f>IF(L31="Ne pas lancer",0,IF(L31="Ouvrir +1 classe",H31+'08_Moteur'!O28*('08_Moteur'!AE28*'08_Moteur'!AF28-('08_Moteur'!R28+'01_Cadrage'!$H$27)*(1+'01_Cadrage'!$H$20)-'08_Moteur'!S28)-'08_Moteur'!U28,IF(L31="Regrouper (-1 classe)",IF(AND('08_Moteur'!AI28&gt;=2,E31&lt;=('08_Moteur'!AI28-1)*'08_Moteur'!O28*1.1),H31+'08_Moteur'!U28,H31),H31)))</f>
        <v/>
      </c>
      <c r="O31" s="21">
        <f>M31*IFERROR(('09_Allocation'!E20+'09_Allocation'!F20+'09_Allocation'!I20)/SUM(M6:M63),0)</f>
        <v/>
      </c>
      <c r="P31" s="21">
        <f>N31-O31</f>
        <v/>
      </c>
      <c r="Q31" s="20">
        <f>N31-H31</f>
        <v/>
      </c>
    </row>
    <row r="32">
      <c r="A32" s="51">
        <f>'08_Moteur'!A29</f>
        <v/>
      </c>
      <c r="B32" s="10">
        <f>'08_Moteur'!B29</f>
        <v/>
      </c>
      <c r="C32" s="51">
        <f>'08_Moteur'!C29</f>
        <v/>
      </c>
      <c r="D32" s="10">
        <f>'08_Moteur'!D29</f>
        <v/>
      </c>
      <c r="E32" s="52">
        <f>'08_Moteur'!AD29</f>
        <v/>
      </c>
      <c r="F32" s="18">
        <f>'08_Moteur'!AH29</f>
        <v/>
      </c>
      <c r="G32" s="21">
        <f>F32-'08_Moteur'!AM29</f>
        <v/>
      </c>
      <c r="H32" s="67">
        <f>'08_Moteur'!AM29</f>
        <v/>
      </c>
      <c r="I32" s="73">
        <f>'08_Moteur'!AN29</f>
        <v/>
      </c>
      <c r="J32" s="74">
        <f>IF(H32&lt;0,"🔴 Restructurer (mutualiser)",IF(AND('08_Moteur'!AI29&gt;=2,E32&lt;=('08_Moteur'!AI29-1)*'08_Moteur'!O29*1.1),"🟡 Regroupable (−1 classe tient en capacité)",IF(I32&lt;0.55,"🟠 Sous-rempli mais −1 classe déborderait","🟢 Maintenir")))</f>
        <v/>
      </c>
      <c r="K32" s="75">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16" t="inlineStr">
        <is>
          <t>Maintenir</t>
        </is>
      </c>
      <c r="M32" s="54">
        <f>IF(L32="Ne pas lancer",0,IF(L32="Ouvrir +1 classe",E32+'08_Moteur'!O29,E32))</f>
        <v/>
      </c>
      <c r="N32" s="21">
        <f>IF(L32="Ne pas lancer",0,IF(L32="Ouvrir +1 classe",H32+'08_Moteur'!O29*('08_Moteur'!AE29*'08_Moteur'!AF29-('08_Moteur'!R29+'01_Cadrage'!$H$27)*(1+'01_Cadrage'!$H$20)-'08_Moteur'!S29)-'08_Moteur'!U29,IF(L32="Regrouper (-1 classe)",IF(AND('08_Moteur'!AI29&gt;=2,E32&lt;=('08_Moteur'!AI29-1)*'08_Moteur'!O29*1.1),H32+'08_Moteur'!U29,H32),H32)))</f>
        <v/>
      </c>
      <c r="O32" s="21">
        <f>M32*IFERROR(('09_Allocation'!E20+'09_Allocation'!F20+'09_Allocation'!I20)/SUM(M6:M63),0)</f>
        <v/>
      </c>
      <c r="P32" s="21">
        <f>N32-O32</f>
        <v/>
      </c>
      <c r="Q32" s="20">
        <f>N32-H32</f>
        <v/>
      </c>
    </row>
    <row r="33">
      <c r="A33" s="51">
        <f>'08_Moteur'!A30</f>
        <v/>
      </c>
      <c r="B33" s="10">
        <f>'08_Moteur'!B30</f>
        <v/>
      </c>
      <c r="C33" s="51">
        <f>'08_Moteur'!C30</f>
        <v/>
      </c>
      <c r="D33" s="10">
        <f>'08_Moteur'!D30</f>
        <v/>
      </c>
      <c r="E33" s="52">
        <f>'08_Moteur'!AD30</f>
        <v/>
      </c>
      <c r="F33" s="18">
        <f>'08_Moteur'!AH30</f>
        <v/>
      </c>
      <c r="G33" s="21">
        <f>F33-'08_Moteur'!AM30</f>
        <v/>
      </c>
      <c r="H33" s="67">
        <f>'08_Moteur'!AM30</f>
        <v/>
      </c>
      <c r="I33" s="73">
        <f>'08_Moteur'!AN30</f>
        <v/>
      </c>
      <c r="J33" s="74">
        <f>IF(H33&lt;0,"🔴 Restructurer (mutualiser)",IF(AND('08_Moteur'!AI30&gt;=2,E33&lt;=('08_Moteur'!AI30-1)*'08_Moteur'!O30*1.1),"🟡 Regroupable (−1 classe tient en capacité)",IF(I33&lt;0.55,"🟠 Sous-rempli mais −1 classe déborderait","🟢 Maintenir")))</f>
        <v/>
      </c>
      <c r="K33" s="75">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16" t="inlineStr">
        <is>
          <t>Maintenir</t>
        </is>
      </c>
      <c r="M33" s="54">
        <f>IF(L33="Ne pas lancer",0,IF(L33="Ouvrir +1 classe",E33+'08_Moteur'!O30,E33))</f>
        <v/>
      </c>
      <c r="N33" s="21">
        <f>IF(L33="Ne pas lancer",0,IF(L33="Ouvrir +1 classe",H33+'08_Moteur'!O30*('08_Moteur'!AE30*'08_Moteur'!AF30-('08_Moteur'!R30+'01_Cadrage'!$H$27)*(1+'01_Cadrage'!$H$20)-'08_Moteur'!S30)-'08_Moteur'!U30,IF(L33="Regrouper (-1 classe)",IF(AND('08_Moteur'!AI30&gt;=2,E33&lt;=('08_Moteur'!AI30-1)*'08_Moteur'!O30*1.1),H33+'08_Moteur'!U30,H33),H33)))</f>
        <v/>
      </c>
      <c r="O33" s="21">
        <f>M33*IFERROR(('09_Allocation'!E20+'09_Allocation'!F20+'09_Allocation'!I20)/SUM(M6:M63),0)</f>
        <v/>
      </c>
      <c r="P33" s="21">
        <f>N33-O33</f>
        <v/>
      </c>
      <c r="Q33" s="20">
        <f>N33-H33</f>
        <v/>
      </c>
    </row>
    <row r="34">
      <c r="A34" s="51">
        <f>'08_Moteur'!A31</f>
        <v/>
      </c>
      <c r="B34" s="10">
        <f>'08_Moteur'!B31</f>
        <v/>
      </c>
      <c r="C34" s="51">
        <f>'08_Moteur'!C31</f>
        <v/>
      </c>
      <c r="D34" s="10">
        <f>'08_Moteur'!D31</f>
        <v/>
      </c>
      <c r="E34" s="52">
        <f>'08_Moteur'!AD31</f>
        <v/>
      </c>
      <c r="F34" s="18">
        <f>'08_Moteur'!AH31</f>
        <v/>
      </c>
      <c r="G34" s="21">
        <f>F34-'08_Moteur'!AM31</f>
        <v/>
      </c>
      <c r="H34" s="67">
        <f>'08_Moteur'!AM31</f>
        <v/>
      </c>
      <c r="I34" s="73">
        <f>'08_Moteur'!AN31</f>
        <v/>
      </c>
      <c r="J34" s="74">
        <f>IF(H34&lt;0,"🔴 Ne pas lancer",IF(I34&gt;=0.95,"🟢 Ouvrir +1 (capter+diluer)",IF(I34&lt;0.55,"🟡 Surveiller","🟢 Maintenir")))</f>
        <v/>
      </c>
      <c r="K34" s="75">
        <f>IF(H34&lt;0,"Entrée à contribution négative → ne pas lancer cette cohorte",IF(I34&gt;=0.95,"Saturé → ouvrir capte des étudiants ET dilue la structure pour tous",IF(I34&lt;0.55,"Sous-rempli mais contribution positive → garder","Sain")))</f>
        <v/>
      </c>
      <c r="L34" s="16" t="inlineStr">
        <is>
          <t>Maintenir</t>
        </is>
      </c>
      <c r="M34" s="54">
        <f>IF(L34="Ne pas lancer",0,IF(L34="Ouvrir +1 classe",E34+'08_Moteur'!O31,E34))</f>
        <v/>
      </c>
      <c r="N34" s="21">
        <f>IF(L34="Ne pas lancer",0,IF(L34="Ouvrir +1 classe",H34+'08_Moteur'!O31*('08_Moteur'!AE31*'08_Moteur'!AF31-('08_Moteur'!R31+'01_Cadrage'!$H$27)*(1+'01_Cadrage'!$H$20)-'08_Moteur'!S31)-'08_Moteur'!U31,IF(L34="Regrouper (-1 classe)",IF(AND('08_Moteur'!AI31&gt;=2,E34&lt;=('08_Moteur'!AI31-1)*'08_Moteur'!O31*1.1),H34+'08_Moteur'!U31,H34),H34)))</f>
        <v/>
      </c>
      <c r="O34" s="21">
        <f>M34*IFERROR(('09_Allocation'!E20+'09_Allocation'!F20+'09_Allocation'!I20)/SUM(M6:M63),0)</f>
        <v/>
      </c>
      <c r="P34" s="21">
        <f>N34-O34</f>
        <v/>
      </c>
      <c r="Q34" s="20">
        <f>N34-H34</f>
        <v/>
      </c>
    </row>
    <row r="35">
      <c r="A35" s="51">
        <f>'08_Moteur'!A32</f>
        <v/>
      </c>
      <c r="B35" s="10">
        <f>'08_Moteur'!B32</f>
        <v/>
      </c>
      <c r="C35" s="51">
        <f>'08_Moteur'!C32</f>
        <v/>
      </c>
      <c r="D35" s="10">
        <f>'08_Moteur'!D32</f>
        <v/>
      </c>
      <c r="E35" s="52">
        <f>'08_Moteur'!AD32</f>
        <v/>
      </c>
      <c r="F35" s="18">
        <f>'08_Moteur'!AH32</f>
        <v/>
      </c>
      <c r="G35" s="21">
        <f>F35-'08_Moteur'!AM32</f>
        <v/>
      </c>
      <c r="H35" s="67">
        <f>'08_Moteur'!AM32</f>
        <v/>
      </c>
      <c r="I35" s="73">
        <f>'08_Moteur'!AN32</f>
        <v/>
      </c>
      <c r="J35" s="74">
        <f>IF(H35&lt;0,"🔴 Restructurer (mutualiser)",IF(AND('08_Moteur'!AI32&gt;=2,E35&lt;=('08_Moteur'!AI32-1)*'08_Moteur'!O32*1.1),"🟡 Regroupable (−1 classe tient en capacité)",IF(I35&lt;0.55,"🟠 Sous-rempli mais −1 classe déborderait","🟢 Maintenir")))</f>
        <v/>
      </c>
      <c r="K35" s="75">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16" t="inlineStr">
        <is>
          <t>Maintenir</t>
        </is>
      </c>
      <c r="M35" s="54">
        <f>IF(L35="Ne pas lancer",0,IF(L35="Ouvrir +1 classe",E35+'08_Moteur'!O32,E35))</f>
        <v/>
      </c>
      <c r="N35" s="21">
        <f>IF(L35="Ne pas lancer",0,IF(L35="Ouvrir +1 classe",H35+'08_Moteur'!O32*('08_Moteur'!AE32*'08_Moteur'!AF32-('08_Moteur'!R32+'01_Cadrage'!$H$27)*(1+'01_Cadrage'!$H$20)-'08_Moteur'!S32)-'08_Moteur'!U32,IF(L35="Regrouper (-1 classe)",IF(AND('08_Moteur'!AI32&gt;=2,E35&lt;=('08_Moteur'!AI32-1)*'08_Moteur'!O32*1.1),H35+'08_Moteur'!U32,H35),H35)))</f>
        <v/>
      </c>
      <c r="O35" s="21">
        <f>M35*IFERROR(('09_Allocation'!E20+'09_Allocation'!F20+'09_Allocation'!I20)/SUM(M6:M63),0)</f>
        <v/>
      </c>
      <c r="P35" s="21">
        <f>N35-O35</f>
        <v/>
      </c>
      <c r="Q35" s="20">
        <f>N35-H35</f>
        <v/>
      </c>
    </row>
    <row r="36">
      <c r="A36" s="51">
        <f>'08_Moteur'!A33</f>
        <v/>
      </c>
      <c r="B36" s="10">
        <f>'08_Moteur'!B33</f>
        <v/>
      </c>
      <c r="C36" s="51">
        <f>'08_Moteur'!C33</f>
        <v/>
      </c>
      <c r="D36" s="10">
        <f>'08_Moteur'!D33</f>
        <v/>
      </c>
      <c r="E36" s="52">
        <f>'08_Moteur'!AD33</f>
        <v/>
      </c>
      <c r="F36" s="18">
        <f>'08_Moteur'!AH33</f>
        <v/>
      </c>
      <c r="G36" s="21">
        <f>F36-'08_Moteur'!AM33</f>
        <v/>
      </c>
      <c r="H36" s="67">
        <f>'08_Moteur'!AM33</f>
        <v/>
      </c>
      <c r="I36" s="73">
        <f>'08_Moteur'!AN33</f>
        <v/>
      </c>
      <c r="J36" s="74">
        <f>IF(H36&lt;0,"🔴 Ne pas lancer",IF(I36&gt;=0.95,"🟢 Ouvrir +1 (capter+diluer)",IF(I36&lt;0.55,"🟡 Surveiller","🟢 Maintenir")))</f>
        <v/>
      </c>
      <c r="K36" s="75">
        <f>IF(H36&lt;0,"Entrée à contribution négative → ne pas lancer cette cohorte",IF(I36&gt;=0.95,"Saturé → ouvrir capte des étudiants ET dilue la structure pour tous",IF(I36&lt;0.55,"Sous-rempli mais contribution positive → garder","Sain")))</f>
        <v/>
      </c>
      <c r="L36" s="16" t="inlineStr">
        <is>
          <t>Maintenir</t>
        </is>
      </c>
      <c r="M36" s="54">
        <f>IF(L36="Ne pas lancer",0,IF(L36="Ouvrir +1 classe",E36+'08_Moteur'!O33,E36))</f>
        <v/>
      </c>
      <c r="N36" s="21">
        <f>IF(L36="Ne pas lancer",0,IF(L36="Ouvrir +1 classe",H36+'08_Moteur'!O33*('08_Moteur'!AE33*'08_Moteur'!AF33-('08_Moteur'!R33+'01_Cadrage'!$H$27)*(1+'01_Cadrage'!$H$20)-'08_Moteur'!S33)-'08_Moteur'!U33,IF(L36="Regrouper (-1 classe)",IF(AND('08_Moteur'!AI33&gt;=2,E36&lt;=('08_Moteur'!AI33-1)*'08_Moteur'!O33*1.1),H36+'08_Moteur'!U33,H36),H36)))</f>
        <v/>
      </c>
      <c r="O36" s="21">
        <f>M36*IFERROR(('09_Allocation'!E20+'09_Allocation'!F20+'09_Allocation'!I20)/SUM(M6:M63),0)</f>
        <v/>
      </c>
      <c r="P36" s="21">
        <f>N36-O36</f>
        <v/>
      </c>
      <c r="Q36" s="20">
        <f>N36-H36</f>
        <v/>
      </c>
    </row>
    <row r="37">
      <c r="A37" s="51">
        <f>'08_Moteur'!A34</f>
        <v/>
      </c>
      <c r="B37" s="10">
        <f>'08_Moteur'!B34</f>
        <v/>
      </c>
      <c r="C37" s="51">
        <f>'08_Moteur'!C34</f>
        <v/>
      </c>
      <c r="D37" s="10">
        <f>'08_Moteur'!D34</f>
        <v/>
      </c>
      <c r="E37" s="52">
        <f>'08_Moteur'!AD34</f>
        <v/>
      </c>
      <c r="F37" s="18">
        <f>'08_Moteur'!AH34</f>
        <v/>
      </c>
      <c r="G37" s="21">
        <f>F37-'08_Moteur'!AM34</f>
        <v/>
      </c>
      <c r="H37" s="67">
        <f>'08_Moteur'!AM34</f>
        <v/>
      </c>
      <c r="I37" s="73">
        <f>'08_Moteur'!AN34</f>
        <v/>
      </c>
      <c r="J37" s="74">
        <f>IF(H37&lt;0,"🔴 Restructurer (mutualiser)",IF(AND('08_Moteur'!AI34&gt;=2,E37&lt;=('08_Moteur'!AI34-1)*'08_Moteur'!O34*1.1),"🟡 Regroupable (−1 classe tient en capacité)",IF(I37&lt;0.55,"🟠 Sous-rempli mais −1 classe déborderait","🟢 Maintenir")))</f>
        <v/>
      </c>
      <c r="K37" s="75">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16" t="inlineStr">
        <is>
          <t>Maintenir</t>
        </is>
      </c>
      <c r="M37" s="54">
        <f>IF(L37="Ne pas lancer",0,IF(L37="Ouvrir +1 classe",E37+'08_Moteur'!O34,E37))</f>
        <v/>
      </c>
      <c r="N37" s="21">
        <f>IF(L37="Ne pas lancer",0,IF(L37="Ouvrir +1 classe",H37+'08_Moteur'!O34*('08_Moteur'!AE34*'08_Moteur'!AF34-('08_Moteur'!R34+'01_Cadrage'!$H$27)*(1+'01_Cadrage'!$H$20)-'08_Moteur'!S34)-'08_Moteur'!U34,IF(L37="Regrouper (-1 classe)",IF(AND('08_Moteur'!AI34&gt;=2,E37&lt;=('08_Moteur'!AI34-1)*'08_Moteur'!O34*1.1),H37+'08_Moteur'!U34,H37),H37)))</f>
        <v/>
      </c>
      <c r="O37" s="21">
        <f>M37*IFERROR(('09_Allocation'!E20+'09_Allocation'!F20+'09_Allocation'!I20)/SUM(M6:M63),0)</f>
        <v/>
      </c>
      <c r="P37" s="21">
        <f>N37-O37</f>
        <v/>
      </c>
      <c r="Q37" s="20">
        <f>N37-H37</f>
        <v/>
      </c>
    </row>
    <row r="38">
      <c r="A38" s="51">
        <f>'08_Moteur'!A35</f>
        <v/>
      </c>
      <c r="B38" s="10">
        <f>'08_Moteur'!B35</f>
        <v/>
      </c>
      <c r="C38" s="51">
        <f>'08_Moteur'!C35</f>
        <v/>
      </c>
      <c r="D38" s="10">
        <f>'08_Moteur'!D35</f>
        <v/>
      </c>
      <c r="E38" s="52">
        <f>'08_Moteur'!AD35</f>
        <v/>
      </c>
      <c r="F38" s="18">
        <f>'08_Moteur'!AH35</f>
        <v/>
      </c>
      <c r="G38" s="21">
        <f>F38-'08_Moteur'!AM35</f>
        <v/>
      </c>
      <c r="H38" s="67">
        <f>'08_Moteur'!AM35</f>
        <v/>
      </c>
      <c r="I38" s="73">
        <f>'08_Moteur'!AN35</f>
        <v/>
      </c>
      <c r="J38" s="74">
        <f>IF(H38&lt;0,"🔴 Restructurer (mutualiser)",IF(AND('08_Moteur'!AI35&gt;=2,E38&lt;=('08_Moteur'!AI35-1)*'08_Moteur'!O35*1.1),"🟡 Regroupable (−1 classe tient en capacité)",IF(I38&lt;0.55,"🟠 Sous-rempli mais −1 classe déborderait","🟢 Maintenir")))</f>
        <v/>
      </c>
      <c r="K38" s="75">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16" t="inlineStr">
        <is>
          <t>Maintenir</t>
        </is>
      </c>
      <c r="M38" s="54">
        <f>IF(L38="Ne pas lancer",0,IF(L38="Ouvrir +1 classe",E38+'08_Moteur'!O35,E38))</f>
        <v/>
      </c>
      <c r="N38" s="21">
        <f>IF(L38="Ne pas lancer",0,IF(L38="Ouvrir +1 classe",H38+'08_Moteur'!O35*('08_Moteur'!AE35*'08_Moteur'!AF35-('08_Moteur'!R35+'01_Cadrage'!$H$27)*(1+'01_Cadrage'!$H$20)-'08_Moteur'!S35)-'08_Moteur'!U35,IF(L38="Regrouper (-1 classe)",IF(AND('08_Moteur'!AI35&gt;=2,E38&lt;=('08_Moteur'!AI35-1)*'08_Moteur'!O35*1.1),H38+'08_Moteur'!U35,H38),H38)))</f>
        <v/>
      </c>
      <c r="O38" s="21">
        <f>M38*IFERROR(('09_Allocation'!E20+'09_Allocation'!F20+'09_Allocation'!I20)/SUM(M6:M63),0)</f>
        <v/>
      </c>
      <c r="P38" s="21">
        <f>N38-O38</f>
        <v/>
      </c>
      <c r="Q38" s="20">
        <f>N38-H38</f>
        <v/>
      </c>
    </row>
    <row r="39">
      <c r="A39" s="51">
        <f>'08_Moteur'!A36</f>
        <v/>
      </c>
      <c r="B39" s="10">
        <f>'08_Moteur'!B36</f>
        <v/>
      </c>
      <c r="C39" s="51">
        <f>'08_Moteur'!C36</f>
        <v/>
      </c>
      <c r="D39" s="10">
        <f>'08_Moteur'!D36</f>
        <v/>
      </c>
      <c r="E39" s="52">
        <f>'08_Moteur'!AD36</f>
        <v/>
      </c>
      <c r="F39" s="18">
        <f>'08_Moteur'!AH36</f>
        <v/>
      </c>
      <c r="G39" s="21">
        <f>F39-'08_Moteur'!AM36</f>
        <v/>
      </c>
      <c r="H39" s="67">
        <f>'08_Moteur'!AM36</f>
        <v/>
      </c>
      <c r="I39" s="73">
        <f>'08_Moteur'!AN36</f>
        <v/>
      </c>
      <c r="J39" s="74">
        <f>IF(H39&lt;0,"🔴 Ne pas lancer",IF(I39&gt;=0.95,"🟢 Ouvrir +1 (capter+diluer)",IF(I39&lt;0.55,"🟡 Surveiller","🟢 Maintenir")))</f>
        <v/>
      </c>
      <c r="K39" s="75">
        <f>IF(H39&lt;0,"Entrée à contribution négative → ne pas lancer cette cohorte",IF(I39&gt;=0.95,"Saturé → ouvrir capte des étudiants ET dilue la structure pour tous",IF(I39&lt;0.55,"Sous-rempli mais contribution positive → garder","Sain")))</f>
        <v/>
      </c>
      <c r="L39" s="16" t="inlineStr">
        <is>
          <t>Maintenir</t>
        </is>
      </c>
      <c r="M39" s="54">
        <f>IF(L39="Ne pas lancer",0,IF(L39="Ouvrir +1 classe",E39+'08_Moteur'!O36,E39))</f>
        <v/>
      </c>
      <c r="N39" s="21">
        <f>IF(L39="Ne pas lancer",0,IF(L39="Ouvrir +1 classe",H39+'08_Moteur'!O36*('08_Moteur'!AE36*'08_Moteur'!AF36-('08_Moteur'!R36+'01_Cadrage'!$H$27)*(1+'01_Cadrage'!$H$20)-'08_Moteur'!S36)-'08_Moteur'!U36,IF(L39="Regrouper (-1 classe)",IF(AND('08_Moteur'!AI36&gt;=2,E39&lt;=('08_Moteur'!AI36-1)*'08_Moteur'!O36*1.1),H39+'08_Moteur'!U36,H39),H39)))</f>
        <v/>
      </c>
      <c r="O39" s="21">
        <f>M39*IFERROR(('09_Allocation'!E20+'09_Allocation'!F20+'09_Allocation'!I20)/SUM(M6:M63),0)</f>
        <v/>
      </c>
      <c r="P39" s="21">
        <f>N39-O39</f>
        <v/>
      </c>
      <c r="Q39" s="20">
        <f>N39-H39</f>
        <v/>
      </c>
    </row>
    <row r="40">
      <c r="A40" s="51">
        <f>'08_Moteur'!A37</f>
        <v/>
      </c>
      <c r="B40" s="10">
        <f>'08_Moteur'!B37</f>
        <v/>
      </c>
      <c r="C40" s="51">
        <f>'08_Moteur'!C37</f>
        <v/>
      </c>
      <c r="D40" s="10">
        <f>'08_Moteur'!D37</f>
        <v/>
      </c>
      <c r="E40" s="52">
        <f>'08_Moteur'!AD37</f>
        <v/>
      </c>
      <c r="F40" s="18">
        <f>'08_Moteur'!AH37</f>
        <v/>
      </c>
      <c r="G40" s="21">
        <f>F40-'08_Moteur'!AM37</f>
        <v/>
      </c>
      <c r="H40" s="67">
        <f>'08_Moteur'!AM37</f>
        <v/>
      </c>
      <c r="I40" s="73">
        <f>'08_Moteur'!AN37</f>
        <v/>
      </c>
      <c r="J40" s="74">
        <f>IF(H40&lt;0,"🔴 Restructurer (mutualiser)",IF(AND('08_Moteur'!AI37&gt;=2,E40&lt;=('08_Moteur'!AI37-1)*'08_Moteur'!O37*1.1),"🟡 Regroupable (−1 classe tient en capacité)",IF(I40&lt;0.55,"🟠 Sous-rempli mais −1 classe déborderait","🟢 Maintenir")))</f>
        <v/>
      </c>
      <c r="K40" s="75">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16" t="inlineStr">
        <is>
          <t>Maintenir</t>
        </is>
      </c>
      <c r="M40" s="54">
        <f>IF(L40="Ne pas lancer",0,IF(L40="Ouvrir +1 classe",E40+'08_Moteur'!O37,E40))</f>
        <v/>
      </c>
      <c r="N40" s="21">
        <f>IF(L40="Ne pas lancer",0,IF(L40="Ouvrir +1 classe",H40+'08_Moteur'!O37*('08_Moteur'!AE37*'08_Moteur'!AF37-('08_Moteur'!R37+'01_Cadrage'!$H$27)*(1+'01_Cadrage'!$H$20)-'08_Moteur'!S37)-'08_Moteur'!U37,IF(L40="Regrouper (-1 classe)",IF(AND('08_Moteur'!AI37&gt;=2,E40&lt;=('08_Moteur'!AI37-1)*'08_Moteur'!O37*1.1),H40+'08_Moteur'!U37,H40),H40)))</f>
        <v/>
      </c>
      <c r="O40" s="21">
        <f>M40*IFERROR(('09_Allocation'!E20+'09_Allocation'!F20+'09_Allocation'!I20)/SUM(M6:M63),0)</f>
        <v/>
      </c>
      <c r="P40" s="21">
        <f>N40-O40</f>
        <v/>
      </c>
      <c r="Q40" s="20">
        <f>N40-H40</f>
        <v/>
      </c>
    </row>
    <row r="41">
      <c r="A41" s="51">
        <f>'08_Moteur'!A38</f>
        <v/>
      </c>
      <c r="B41" s="10">
        <f>'08_Moteur'!B38</f>
        <v/>
      </c>
      <c r="C41" s="51">
        <f>'08_Moteur'!C38</f>
        <v/>
      </c>
      <c r="D41" s="10">
        <f>'08_Moteur'!D38</f>
        <v/>
      </c>
      <c r="E41" s="52">
        <f>'08_Moteur'!AD38</f>
        <v/>
      </c>
      <c r="F41" s="18">
        <f>'08_Moteur'!AH38</f>
        <v/>
      </c>
      <c r="G41" s="21">
        <f>F41-'08_Moteur'!AM38</f>
        <v/>
      </c>
      <c r="H41" s="67">
        <f>'08_Moteur'!AM38</f>
        <v/>
      </c>
      <c r="I41" s="73">
        <f>'08_Moteur'!AN38</f>
        <v/>
      </c>
      <c r="J41" s="74">
        <f>IF(H41&lt;0,"🔴 Ne pas lancer",IF(I41&gt;=0.95,"🟢 Ouvrir +1 (capter+diluer)",IF(I41&lt;0.55,"🟡 Surveiller","🟢 Maintenir")))</f>
        <v/>
      </c>
      <c r="K41" s="75">
        <f>IF(H41&lt;0,"Entrée à contribution négative → ne pas lancer cette cohorte",IF(I41&gt;=0.95,"Saturé → ouvrir capte des étudiants ET dilue la structure pour tous",IF(I41&lt;0.55,"Sous-rempli mais contribution positive → garder","Sain")))</f>
        <v/>
      </c>
      <c r="L41" s="16" t="inlineStr">
        <is>
          <t>Maintenir</t>
        </is>
      </c>
      <c r="M41" s="54">
        <f>IF(L41="Ne pas lancer",0,IF(L41="Ouvrir +1 classe",E41+'08_Moteur'!O38,E41))</f>
        <v/>
      </c>
      <c r="N41" s="21">
        <f>IF(L41="Ne pas lancer",0,IF(L41="Ouvrir +1 classe",H41+'08_Moteur'!O38*('08_Moteur'!AE38*'08_Moteur'!AF38-('08_Moteur'!R38+'01_Cadrage'!$H$27)*(1+'01_Cadrage'!$H$20)-'08_Moteur'!S38)-'08_Moteur'!U38,IF(L41="Regrouper (-1 classe)",IF(AND('08_Moteur'!AI38&gt;=2,E41&lt;=('08_Moteur'!AI38-1)*'08_Moteur'!O38*1.1),H41+'08_Moteur'!U38,H41),H41)))</f>
        <v/>
      </c>
      <c r="O41" s="21">
        <f>M41*IFERROR(('09_Allocation'!E20+'09_Allocation'!F20+'09_Allocation'!I20)/SUM(M6:M63),0)</f>
        <v/>
      </c>
      <c r="P41" s="21">
        <f>N41-O41</f>
        <v/>
      </c>
      <c r="Q41" s="20">
        <f>N41-H41</f>
        <v/>
      </c>
    </row>
    <row r="42">
      <c r="A42" s="51">
        <f>'08_Moteur'!A39</f>
        <v/>
      </c>
      <c r="B42" s="10">
        <f>'08_Moteur'!B39</f>
        <v/>
      </c>
      <c r="C42" s="51">
        <f>'08_Moteur'!C39</f>
        <v/>
      </c>
      <c r="D42" s="10">
        <f>'08_Moteur'!D39</f>
        <v/>
      </c>
      <c r="E42" s="52">
        <f>'08_Moteur'!AD39</f>
        <v/>
      </c>
      <c r="F42" s="18">
        <f>'08_Moteur'!AH39</f>
        <v/>
      </c>
      <c r="G42" s="21">
        <f>F42-'08_Moteur'!AM39</f>
        <v/>
      </c>
      <c r="H42" s="67">
        <f>'08_Moteur'!AM39</f>
        <v/>
      </c>
      <c r="I42" s="73">
        <f>'08_Moteur'!AN39</f>
        <v/>
      </c>
      <c r="J42" s="74">
        <f>IF(H42&lt;0,"🔴 Restructurer (mutualiser)",IF(AND('08_Moteur'!AI39&gt;=2,E42&lt;=('08_Moteur'!AI39-1)*'08_Moteur'!O39*1.1),"🟡 Regroupable (−1 classe tient en capacité)",IF(I42&lt;0.55,"🟠 Sous-rempli mais −1 classe déborderait","🟢 Maintenir")))</f>
        <v/>
      </c>
      <c r="K42" s="75">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16" t="inlineStr">
        <is>
          <t>Maintenir</t>
        </is>
      </c>
      <c r="M42" s="54">
        <f>IF(L42="Ne pas lancer",0,IF(L42="Ouvrir +1 classe",E42+'08_Moteur'!O39,E42))</f>
        <v/>
      </c>
      <c r="N42" s="21">
        <f>IF(L42="Ne pas lancer",0,IF(L42="Ouvrir +1 classe",H42+'08_Moteur'!O39*('08_Moteur'!AE39*'08_Moteur'!AF39-('08_Moteur'!R39+'01_Cadrage'!$H$27)*(1+'01_Cadrage'!$H$20)-'08_Moteur'!S39)-'08_Moteur'!U39,IF(L42="Regrouper (-1 classe)",IF(AND('08_Moteur'!AI39&gt;=2,E42&lt;=('08_Moteur'!AI39-1)*'08_Moteur'!O39*1.1),H42+'08_Moteur'!U39,H42),H42)))</f>
        <v/>
      </c>
      <c r="O42" s="21">
        <f>M42*IFERROR(('09_Allocation'!E20+'09_Allocation'!F20+'09_Allocation'!I20)/SUM(M6:M63),0)</f>
        <v/>
      </c>
      <c r="P42" s="21">
        <f>N42-O42</f>
        <v/>
      </c>
      <c r="Q42" s="20">
        <f>N42-H42</f>
        <v/>
      </c>
    </row>
    <row r="43">
      <c r="A43" s="51">
        <f>'08_Moteur'!A40</f>
        <v/>
      </c>
      <c r="B43" s="10">
        <f>'08_Moteur'!B40</f>
        <v/>
      </c>
      <c r="C43" s="51">
        <f>'08_Moteur'!C40</f>
        <v/>
      </c>
      <c r="D43" s="10">
        <f>'08_Moteur'!D40</f>
        <v/>
      </c>
      <c r="E43" s="52">
        <f>'08_Moteur'!AD40</f>
        <v/>
      </c>
      <c r="F43" s="18">
        <f>'08_Moteur'!AH40</f>
        <v/>
      </c>
      <c r="G43" s="21">
        <f>F43-'08_Moteur'!AM40</f>
        <v/>
      </c>
      <c r="H43" s="67">
        <f>'08_Moteur'!AM40</f>
        <v/>
      </c>
      <c r="I43" s="73">
        <f>'08_Moteur'!AN40</f>
        <v/>
      </c>
      <c r="J43" s="74">
        <f>IF(H43&lt;0,"🔴 Restructurer (mutualiser)",IF(AND('08_Moteur'!AI40&gt;=2,E43&lt;=('08_Moteur'!AI40-1)*'08_Moteur'!O40*1.1),"🟡 Regroupable (−1 classe tient en capacité)",IF(I43&lt;0.55,"🟠 Sous-rempli mais −1 classe déborderait","🟢 Maintenir")))</f>
        <v/>
      </c>
      <c r="K43" s="75">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16" t="inlineStr">
        <is>
          <t>Maintenir</t>
        </is>
      </c>
      <c r="M43" s="54">
        <f>IF(L43="Ne pas lancer",0,IF(L43="Ouvrir +1 classe",E43+'08_Moteur'!O40,E43))</f>
        <v/>
      </c>
      <c r="N43" s="21">
        <f>IF(L43="Ne pas lancer",0,IF(L43="Ouvrir +1 classe",H43+'08_Moteur'!O40*('08_Moteur'!AE40*'08_Moteur'!AF40-('08_Moteur'!R40+'01_Cadrage'!$H$27)*(1+'01_Cadrage'!$H$20)-'08_Moteur'!S40)-'08_Moteur'!U40,IF(L43="Regrouper (-1 classe)",IF(AND('08_Moteur'!AI40&gt;=2,E43&lt;=('08_Moteur'!AI40-1)*'08_Moteur'!O40*1.1),H43+'08_Moteur'!U40,H43),H43)))</f>
        <v/>
      </c>
      <c r="O43" s="21">
        <f>M43*IFERROR(('09_Allocation'!E20+'09_Allocation'!F20+'09_Allocation'!I20)/SUM(M6:M63),0)</f>
        <v/>
      </c>
      <c r="P43" s="21">
        <f>N43-O43</f>
        <v/>
      </c>
      <c r="Q43" s="20">
        <f>N43-H43</f>
        <v/>
      </c>
    </row>
    <row r="44">
      <c r="A44" s="51">
        <f>'08_Moteur'!A41</f>
        <v/>
      </c>
      <c r="B44" s="10">
        <f>'08_Moteur'!B41</f>
        <v/>
      </c>
      <c r="C44" s="51">
        <f>'08_Moteur'!C41</f>
        <v/>
      </c>
      <c r="D44" s="10">
        <f>'08_Moteur'!D41</f>
        <v/>
      </c>
      <c r="E44" s="52">
        <f>'08_Moteur'!AD41</f>
        <v/>
      </c>
      <c r="F44" s="18">
        <f>'08_Moteur'!AH41</f>
        <v/>
      </c>
      <c r="G44" s="21">
        <f>F44-'08_Moteur'!AM41</f>
        <v/>
      </c>
      <c r="H44" s="67">
        <f>'08_Moteur'!AM41</f>
        <v/>
      </c>
      <c r="I44" s="73">
        <f>'08_Moteur'!AN41</f>
        <v/>
      </c>
      <c r="J44" s="74">
        <f>IF(H44&lt;0,"🔴 Ne pas lancer",IF(I44&gt;=0.95,"🟢 Ouvrir +1 (capter+diluer)",IF(I44&lt;0.55,"🟡 Surveiller","🟢 Maintenir")))</f>
        <v/>
      </c>
      <c r="K44" s="75">
        <f>IF(H44&lt;0,"Entrée à contribution négative → ne pas lancer cette cohorte",IF(I44&gt;=0.95,"Saturé → ouvrir capte des étudiants ET dilue la structure pour tous",IF(I44&lt;0.55,"Sous-rempli mais contribution positive → garder","Sain")))</f>
        <v/>
      </c>
      <c r="L44" s="16" t="inlineStr">
        <is>
          <t>Maintenir</t>
        </is>
      </c>
      <c r="M44" s="54">
        <f>IF(L44="Ne pas lancer",0,IF(L44="Ouvrir +1 classe",E44+'08_Moteur'!O41,E44))</f>
        <v/>
      </c>
      <c r="N44" s="21">
        <f>IF(L44="Ne pas lancer",0,IF(L44="Ouvrir +1 classe",H44+'08_Moteur'!O41*('08_Moteur'!AE41*'08_Moteur'!AF41-('08_Moteur'!R41+'01_Cadrage'!$H$27)*(1+'01_Cadrage'!$H$20)-'08_Moteur'!S41)-'08_Moteur'!U41,IF(L44="Regrouper (-1 classe)",IF(AND('08_Moteur'!AI41&gt;=2,E44&lt;=('08_Moteur'!AI41-1)*'08_Moteur'!O41*1.1),H44+'08_Moteur'!U41,H44),H44)))</f>
        <v/>
      </c>
      <c r="O44" s="21">
        <f>M44*IFERROR(('09_Allocation'!E20+'09_Allocation'!F20+'09_Allocation'!I20)/SUM(M6:M63),0)</f>
        <v/>
      </c>
      <c r="P44" s="21">
        <f>N44-O44</f>
        <v/>
      </c>
      <c r="Q44" s="20">
        <f>N44-H44</f>
        <v/>
      </c>
    </row>
    <row r="45">
      <c r="A45" s="51">
        <f>'08_Moteur'!A42</f>
        <v/>
      </c>
      <c r="B45" s="10">
        <f>'08_Moteur'!B42</f>
        <v/>
      </c>
      <c r="C45" s="51">
        <f>'08_Moteur'!C42</f>
        <v/>
      </c>
      <c r="D45" s="10">
        <f>'08_Moteur'!D42</f>
        <v/>
      </c>
      <c r="E45" s="52">
        <f>'08_Moteur'!AD42</f>
        <v/>
      </c>
      <c r="F45" s="18">
        <f>'08_Moteur'!AH42</f>
        <v/>
      </c>
      <c r="G45" s="21">
        <f>F45-'08_Moteur'!AM42</f>
        <v/>
      </c>
      <c r="H45" s="67">
        <f>'08_Moteur'!AM42</f>
        <v/>
      </c>
      <c r="I45" s="73">
        <f>'08_Moteur'!AN42</f>
        <v/>
      </c>
      <c r="J45" s="74">
        <f>IF(H45&lt;0,"🔴 Restructurer (mutualiser)",IF(AND('08_Moteur'!AI42&gt;=2,E45&lt;=('08_Moteur'!AI42-1)*'08_Moteur'!O42*1.1),"🟡 Regroupable (−1 classe tient en capacité)",IF(I45&lt;0.55,"🟠 Sous-rempli mais −1 classe déborderait","🟢 Maintenir")))</f>
        <v/>
      </c>
      <c r="K45" s="75">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16" t="inlineStr">
        <is>
          <t>Maintenir</t>
        </is>
      </c>
      <c r="M45" s="54">
        <f>IF(L45="Ne pas lancer",0,IF(L45="Ouvrir +1 classe",E45+'08_Moteur'!O42,E45))</f>
        <v/>
      </c>
      <c r="N45" s="21">
        <f>IF(L45="Ne pas lancer",0,IF(L45="Ouvrir +1 classe",H45+'08_Moteur'!O42*('08_Moteur'!AE42*'08_Moteur'!AF42-('08_Moteur'!R42+'01_Cadrage'!$H$27)*(1+'01_Cadrage'!$H$20)-'08_Moteur'!S42)-'08_Moteur'!U42,IF(L45="Regrouper (-1 classe)",IF(AND('08_Moteur'!AI42&gt;=2,E45&lt;=('08_Moteur'!AI42-1)*'08_Moteur'!O42*1.1),H45+'08_Moteur'!U42,H45),H45)))</f>
        <v/>
      </c>
      <c r="O45" s="21">
        <f>M45*IFERROR(('09_Allocation'!E20+'09_Allocation'!F20+'09_Allocation'!I20)/SUM(M6:M63),0)</f>
        <v/>
      </c>
      <c r="P45" s="21">
        <f>N45-O45</f>
        <v/>
      </c>
      <c r="Q45" s="20">
        <f>N45-H45</f>
        <v/>
      </c>
    </row>
    <row r="46">
      <c r="A46" s="51">
        <f>'08_Moteur'!A43</f>
        <v/>
      </c>
      <c r="B46" s="10">
        <f>'08_Moteur'!B43</f>
        <v/>
      </c>
      <c r="C46" s="51">
        <f>'08_Moteur'!C43</f>
        <v/>
      </c>
      <c r="D46" s="10">
        <f>'08_Moteur'!D43</f>
        <v/>
      </c>
      <c r="E46" s="52">
        <f>'08_Moteur'!AD43</f>
        <v/>
      </c>
      <c r="F46" s="18">
        <f>'08_Moteur'!AH43</f>
        <v/>
      </c>
      <c r="G46" s="21">
        <f>F46-'08_Moteur'!AM43</f>
        <v/>
      </c>
      <c r="H46" s="67">
        <f>'08_Moteur'!AM43</f>
        <v/>
      </c>
      <c r="I46" s="73">
        <f>'08_Moteur'!AN43</f>
        <v/>
      </c>
      <c r="J46" s="74">
        <f>IF(H46&lt;0,"🔴 Restructurer (mutualiser)",IF(AND('08_Moteur'!AI43&gt;=2,E46&lt;=('08_Moteur'!AI43-1)*'08_Moteur'!O43*1.1),"🟡 Regroupable (−1 classe tient en capacité)",IF(I46&lt;0.55,"🟠 Sous-rempli mais −1 classe déborderait","🟢 Maintenir")))</f>
        <v/>
      </c>
      <c r="K46" s="75">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16" t="inlineStr">
        <is>
          <t>Maintenir</t>
        </is>
      </c>
      <c r="M46" s="54">
        <f>IF(L46="Ne pas lancer",0,IF(L46="Ouvrir +1 classe",E46+'08_Moteur'!O43,E46))</f>
        <v/>
      </c>
      <c r="N46" s="21">
        <f>IF(L46="Ne pas lancer",0,IF(L46="Ouvrir +1 classe",H46+'08_Moteur'!O43*('08_Moteur'!AE43*'08_Moteur'!AF43-('08_Moteur'!R43+'01_Cadrage'!$H$27)*(1+'01_Cadrage'!$H$20)-'08_Moteur'!S43)-'08_Moteur'!U43,IF(L46="Regrouper (-1 classe)",IF(AND('08_Moteur'!AI43&gt;=2,E46&lt;=('08_Moteur'!AI43-1)*'08_Moteur'!O43*1.1),H46+'08_Moteur'!U43,H46),H46)))</f>
        <v/>
      </c>
      <c r="O46" s="21">
        <f>M46*IFERROR(('09_Allocation'!E20+'09_Allocation'!F20+'09_Allocation'!I20)/SUM(M6:M63),0)</f>
        <v/>
      </c>
      <c r="P46" s="21">
        <f>N46-O46</f>
        <v/>
      </c>
      <c r="Q46" s="20">
        <f>N46-H46</f>
        <v/>
      </c>
    </row>
    <row r="47">
      <c r="A47" s="51">
        <f>'08_Moteur'!A44</f>
        <v/>
      </c>
      <c r="B47" s="10">
        <f>'08_Moteur'!B44</f>
        <v/>
      </c>
      <c r="C47" s="51">
        <f>'08_Moteur'!C44</f>
        <v/>
      </c>
      <c r="D47" s="10">
        <f>'08_Moteur'!D44</f>
        <v/>
      </c>
      <c r="E47" s="52">
        <f>'08_Moteur'!AD44</f>
        <v/>
      </c>
      <c r="F47" s="18">
        <f>'08_Moteur'!AH44</f>
        <v/>
      </c>
      <c r="G47" s="21">
        <f>F47-'08_Moteur'!AM44</f>
        <v/>
      </c>
      <c r="H47" s="67">
        <f>'08_Moteur'!AM44</f>
        <v/>
      </c>
      <c r="I47" s="73">
        <f>'08_Moteur'!AN44</f>
        <v/>
      </c>
      <c r="J47" s="74">
        <f>IF(H47&lt;0,"🔴 Ne pas lancer",IF(I47&gt;=0.95,"🟢 Ouvrir +1 (capter+diluer)",IF(I47&lt;0.55,"🟡 Surveiller","🟢 Maintenir")))</f>
        <v/>
      </c>
      <c r="K47" s="75">
        <f>IF(H47&lt;0,"Entrée à contribution négative → ne pas lancer cette cohorte",IF(I47&gt;=0.95,"Saturé → ouvrir capte des étudiants ET dilue la structure pour tous",IF(I47&lt;0.55,"Sous-rempli mais contribution positive → garder","Sain")))</f>
        <v/>
      </c>
      <c r="L47" s="16" t="inlineStr">
        <is>
          <t>Maintenir</t>
        </is>
      </c>
      <c r="M47" s="54">
        <f>IF(L47="Ne pas lancer",0,IF(L47="Ouvrir +1 classe",E47+'08_Moteur'!O44,E47))</f>
        <v/>
      </c>
      <c r="N47" s="21">
        <f>IF(L47="Ne pas lancer",0,IF(L47="Ouvrir +1 classe",H47+'08_Moteur'!O44*('08_Moteur'!AE44*'08_Moteur'!AF44-('08_Moteur'!R44+'01_Cadrage'!$H$27)*(1+'01_Cadrage'!$H$20)-'08_Moteur'!S44)-'08_Moteur'!U44,IF(L47="Regrouper (-1 classe)",IF(AND('08_Moteur'!AI44&gt;=2,E47&lt;=('08_Moteur'!AI44-1)*'08_Moteur'!O44*1.1),H47+'08_Moteur'!U44,H47),H47)))</f>
        <v/>
      </c>
      <c r="O47" s="21">
        <f>M47*IFERROR(('09_Allocation'!E20+'09_Allocation'!F20+'09_Allocation'!I20)/SUM(M6:M63),0)</f>
        <v/>
      </c>
      <c r="P47" s="21">
        <f>N47-O47</f>
        <v/>
      </c>
      <c r="Q47" s="20">
        <f>N47-H47</f>
        <v/>
      </c>
    </row>
    <row r="48">
      <c r="A48" s="51">
        <f>'08_Moteur'!A45</f>
        <v/>
      </c>
      <c r="B48" s="10">
        <f>'08_Moteur'!B45</f>
        <v/>
      </c>
      <c r="C48" s="51">
        <f>'08_Moteur'!C45</f>
        <v/>
      </c>
      <c r="D48" s="10">
        <f>'08_Moteur'!D45</f>
        <v/>
      </c>
      <c r="E48" s="52">
        <f>'08_Moteur'!AD45</f>
        <v/>
      </c>
      <c r="F48" s="18">
        <f>'08_Moteur'!AH45</f>
        <v/>
      </c>
      <c r="G48" s="21">
        <f>F48-'08_Moteur'!AM45</f>
        <v/>
      </c>
      <c r="H48" s="67">
        <f>'08_Moteur'!AM45</f>
        <v/>
      </c>
      <c r="I48" s="73">
        <f>'08_Moteur'!AN45</f>
        <v/>
      </c>
      <c r="J48" s="74">
        <f>IF(H48&lt;0,"🔴 Restructurer (mutualiser)",IF(AND('08_Moteur'!AI45&gt;=2,E48&lt;=('08_Moteur'!AI45-1)*'08_Moteur'!O45*1.1),"🟡 Regroupable (−1 classe tient en capacité)",IF(I48&lt;0.55,"🟠 Sous-rempli mais −1 classe déborderait","🟢 Maintenir")))</f>
        <v/>
      </c>
      <c r="K48" s="75">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16" t="inlineStr">
        <is>
          <t>Maintenir</t>
        </is>
      </c>
      <c r="M48" s="54">
        <f>IF(L48="Ne pas lancer",0,IF(L48="Ouvrir +1 classe",E48+'08_Moteur'!O45,E48))</f>
        <v/>
      </c>
      <c r="N48" s="21">
        <f>IF(L48="Ne pas lancer",0,IF(L48="Ouvrir +1 classe",H48+'08_Moteur'!O45*('08_Moteur'!AE45*'08_Moteur'!AF45-('08_Moteur'!R45+'01_Cadrage'!$H$27)*(1+'01_Cadrage'!$H$20)-'08_Moteur'!S45)-'08_Moteur'!U45,IF(L48="Regrouper (-1 classe)",IF(AND('08_Moteur'!AI45&gt;=2,E48&lt;=('08_Moteur'!AI45-1)*'08_Moteur'!O45*1.1),H48+'08_Moteur'!U45,H48),H48)))</f>
        <v/>
      </c>
      <c r="O48" s="21">
        <f>M48*IFERROR(('09_Allocation'!E20+'09_Allocation'!F20+'09_Allocation'!I20)/SUM(M6:M63),0)</f>
        <v/>
      </c>
      <c r="P48" s="21">
        <f>N48-O48</f>
        <v/>
      </c>
      <c r="Q48" s="20">
        <f>N48-H48</f>
        <v/>
      </c>
    </row>
    <row r="49">
      <c r="A49" s="51">
        <f>'08_Moteur'!A46</f>
        <v/>
      </c>
      <c r="B49" s="10">
        <f>'08_Moteur'!B46</f>
        <v/>
      </c>
      <c r="C49" s="51">
        <f>'08_Moteur'!C46</f>
        <v/>
      </c>
      <c r="D49" s="10">
        <f>'08_Moteur'!D46</f>
        <v/>
      </c>
      <c r="E49" s="52">
        <f>'08_Moteur'!AD46</f>
        <v/>
      </c>
      <c r="F49" s="18">
        <f>'08_Moteur'!AH46</f>
        <v/>
      </c>
      <c r="G49" s="21">
        <f>F49-'08_Moteur'!AM46</f>
        <v/>
      </c>
      <c r="H49" s="67">
        <f>'08_Moteur'!AM46</f>
        <v/>
      </c>
      <c r="I49" s="73">
        <f>'08_Moteur'!AN46</f>
        <v/>
      </c>
      <c r="J49" s="74">
        <f>IF(H49&lt;0,"🔴 Restructurer (mutualiser)",IF(AND('08_Moteur'!AI46&gt;=2,E49&lt;=('08_Moteur'!AI46-1)*'08_Moteur'!O46*1.1),"🟡 Regroupable (−1 classe tient en capacité)",IF(I49&lt;0.55,"🟠 Sous-rempli mais −1 classe déborderait","🟢 Maintenir")))</f>
        <v/>
      </c>
      <c r="K49" s="75">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16" t="inlineStr">
        <is>
          <t>Maintenir</t>
        </is>
      </c>
      <c r="M49" s="54">
        <f>IF(L49="Ne pas lancer",0,IF(L49="Ouvrir +1 classe",E49+'08_Moteur'!O46,E49))</f>
        <v/>
      </c>
      <c r="N49" s="21">
        <f>IF(L49="Ne pas lancer",0,IF(L49="Ouvrir +1 classe",H49+'08_Moteur'!O46*('08_Moteur'!AE46*'08_Moteur'!AF46-('08_Moteur'!R46+'01_Cadrage'!$H$27)*(1+'01_Cadrage'!$H$20)-'08_Moteur'!S46)-'08_Moteur'!U46,IF(L49="Regrouper (-1 classe)",IF(AND('08_Moteur'!AI46&gt;=2,E49&lt;=('08_Moteur'!AI46-1)*'08_Moteur'!O46*1.1),H49+'08_Moteur'!U46,H49),H49)))</f>
        <v/>
      </c>
      <c r="O49" s="21">
        <f>M49*IFERROR(('09_Allocation'!E20+'09_Allocation'!F20+'09_Allocation'!I20)/SUM(M6:M63),0)</f>
        <v/>
      </c>
      <c r="P49" s="21">
        <f>N49-O49</f>
        <v/>
      </c>
      <c r="Q49" s="20">
        <f>N49-H49</f>
        <v/>
      </c>
    </row>
    <row r="50">
      <c r="A50" s="51">
        <f>'08_Moteur'!A47</f>
        <v/>
      </c>
      <c r="B50" s="10">
        <f>'08_Moteur'!B47</f>
        <v/>
      </c>
      <c r="C50" s="51">
        <f>'08_Moteur'!C47</f>
        <v/>
      </c>
      <c r="D50" s="10">
        <f>'08_Moteur'!D47</f>
        <v/>
      </c>
      <c r="E50" s="52">
        <f>'08_Moteur'!AD47</f>
        <v/>
      </c>
      <c r="F50" s="18">
        <f>'08_Moteur'!AH47</f>
        <v/>
      </c>
      <c r="G50" s="21">
        <f>F50-'08_Moteur'!AM47</f>
        <v/>
      </c>
      <c r="H50" s="67">
        <f>'08_Moteur'!AM47</f>
        <v/>
      </c>
      <c r="I50" s="73">
        <f>'08_Moteur'!AN47</f>
        <v/>
      </c>
      <c r="J50" s="74">
        <f>IF(H50&lt;0,"🔴 Ne pas lancer",IF(I50&gt;=0.95,"🟢 Ouvrir +1 (capter+diluer)",IF(I50&lt;0.55,"🟡 Surveiller","🟢 Maintenir")))</f>
        <v/>
      </c>
      <c r="K50" s="75">
        <f>IF(H50&lt;0,"Entrée à contribution négative → ne pas lancer cette cohorte",IF(I50&gt;=0.95,"Saturé → ouvrir capte des étudiants ET dilue la structure pour tous",IF(I50&lt;0.55,"Sous-rempli mais contribution positive → garder","Sain")))</f>
        <v/>
      </c>
      <c r="L50" s="16" t="inlineStr">
        <is>
          <t>Maintenir</t>
        </is>
      </c>
      <c r="M50" s="54">
        <f>IF(L50="Ne pas lancer",0,IF(L50="Ouvrir +1 classe",E50+'08_Moteur'!O47,E50))</f>
        <v/>
      </c>
      <c r="N50" s="21">
        <f>IF(L50="Ne pas lancer",0,IF(L50="Ouvrir +1 classe",H50+'08_Moteur'!O47*('08_Moteur'!AE47*'08_Moteur'!AF47-('08_Moteur'!R47+'01_Cadrage'!$H$27)*(1+'01_Cadrage'!$H$20)-'08_Moteur'!S47)-'08_Moteur'!U47,IF(L50="Regrouper (-1 classe)",IF(AND('08_Moteur'!AI47&gt;=2,E50&lt;=('08_Moteur'!AI47-1)*'08_Moteur'!O47*1.1),H50+'08_Moteur'!U47,H50),H50)))</f>
        <v/>
      </c>
      <c r="O50" s="21">
        <f>M50*IFERROR(('09_Allocation'!E20+'09_Allocation'!F20+'09_Allocation'!I20)/SUM(M6:M63),0)</f>
        <v/>
      </c>
      <c r="P50" s="21">
        <f>N50-O50</f>
        <v/>
      </c>
      <c r="Q50" s="20">
        <f>N50-H50</f>
        <v/>
      </c>
    </row>
    <row r="51">
      <c r="A51" s="51">
        <f>'08_Moteur'!A48</f>
        <v/>
      </c>
      <c r="B51" s="10">
        <f>'08_Moteur'!B48</f>
        <v/>
      </c>
      <c r="C51" s="51">
        <f>'08_Moteur'!C48</f>
        <v/>
      </c>
      <c r="D51" s="10">
        <f>'08_Moteur'!D48</f>
        <v/>
      </c>
      <c r="E51" s="52">
        <f>'08_Moteur'!AD48</f>
        <v/>
      </c>
      <c r="F51" s="18">
        <f>'08_Moteur'!AH48</f>
        <v/>
      </c>
      <c r="G51" s="21">
        <f>F51-'08_Moteur'!AM48</f>
        <v/>
      </c>
      <c r="H51" s="67">
        <f>'08_Moteur'!AM48</f>
        <v/>
      </c>
      <c r="I51" s="73">
        <f>'08_Moteur'!AN48</f>
        <v/>
      </c>
      <c r="J51" s="74">
        <f>IF(H51&lt;0,"🔴 Restructurer (mutualiser)",IF(AND('08_Moteur'!AI48&gt;=2,E51&lt;=('08_Moteur'!AI48-1)*'08_Moteur'!O48*1.1),"🟡 Regroupable (−1 classe tient en capacité)",IF(I51&lt;0.55,"🟠 Sous-rempli mais −1 classe déborderait","🟢 Maintenir")))</f>
        <v/>
      </c>
      <c r="K51" s="75">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16" t="inlineStr">
        <is>
          <t>Maintenir</t>
        </is>
      </c>
      <c r="M51" s="54">
        <f>IF(L51="Ne pas lancer",0,IF(L51="Ouvrir +1 classe",E51+'08_Moteur'!O48,E51))</f>
        <v/>
      </c>
      <c r="N51" s="21">
        <f>IF(L51="Ne pas lancer",0,IF(L51="Ouvrir +1 classe",H51+'08_Moteur'!O48*('08_Moteur'!AE48*'08_Moteur'!AF48-('08_Moteur'!R48+'01_Cadrage'!$H$27)*(1+'01_Cadrage'!$H$20)-'08_Moteur'!S48)-'08_Moteur'!U48,IF(L51="Regrouper (-1 classe)",IF(AND('08_Moteur'!AI48&gt;=2,E51&lt;=('08_Moteur'!AI48-1)*'08_Moteur'!O48*1.1),H51+'08_Moteur'!U48,H51),H51)))</f>
        <v/>
      </c>
      <c r="O51" s="21">
        <f>M51*IFERROR(('09_Allocation'!E20+'09_Allocation'!F20+'09_Allocation'!I20)/SUM(M6:M63),0)</f>
        <v/>
      </c>
      <c r="P51" s="21">
        <f>N51-O51</f>
        <v/>
      </c>
      <c r="Q51" s="20">
        <f>N51-H51</f>
        <v/>
      </c>
    </row>
    <row r="52">
      <c r="A52" s="51">
        <f>'08_Moteur'!A49</f>
        <v/>
      </c>
      <c r="B52" s="10">
        <f>'08_Moteur'!B49</f>
        <v/>
      </c>
      <c r="C52" s="51">
        <f>'08_Moteur'!C49</f>
        <v/>
      </c>
      <c r="D52" s="10">
        <f>'08_Moteur'!D49</f>
        <v/>
      </c>
      <c r="E52" s="52">
        <f>'08_Moteur'!AD49</f>
        <v/>
      </c>
      <c r="F52" s="18">
        <f>'08_Moteur'!AH49</f>
        <v/>
      </c>
      <c r="G52" s="21">
        <f>F52-'08_Moteur'!AM49</f>
        <v/>
      </c>
      <c r="H52" s="67">
        <f>'08_Moteur'!AM49</f>
        <v/>
      </c>
      <c r="I52" s="73">
        <f>'08_Moteur'!AN49</f>
        <v/>
      </c>
      <c r="J52" s="74">
        <f>IF(H52&lt;0,"🔴 Ne pas lancer",IF(I52&gt;=0.95,"🟢 Ouvrir +1 (capter+diluer)",IF(I52&lt;0.55,"🟡 Surveiller","🟢 Maintenir")))</f>
        <v/>
      </c>
      <c r="K52" s="75">
        <f>IF(H52&lt;0,"Entrée à contribution négative → ne pas lancer cette cohorte",IF(I52&gt;=0.95,"Saturé → ouvrir capte des étudiants ET dilue la structure pour tous",IF(I52&lt;0.55,"Sous-rempli mais contribution positive → garder","Sain")))</f>
        <v/>
      </c>
      <c r="L52" s="16" t="inlineStr">
        <is>
          <t>Maintenir</t>
        </is>
      </c>
      <c r="M52" s="54">
        <f>IF(L52="Ne pas lancer",0,IF(L52="Ouvrir +1 classe",E52+'08_Moteur'!O49,E52))</f>
        <v/>
      </c>
      <c r="N52" s="21">
        <f>IF(L52="Ne pas lancer",0,IF(L52="Ouvrir +1 classe",H52+'08_Moteur'!O49*('08_Moteur'!AE49*'08_Moteur'!AF49-('08_Moteur'!R49+'01_Cadrage'!$H$27)*(1+'01_Cadrage'!$H$20)-'08_Moteur'!S49)-'08_Moteur'!U49,IF(L52="Regrouper (-1 classe)",IF(AND('08_Moteur'!AI49&gt;=2,E52&lt;=('08_Moteur'!AI49-1)*'08_Moteur'!O49*1.1),H52+'08_Moteur'!U49,H52),H52)))</f>
        <v/>
      </c>
      <c r="O52" s="21">
        <f>M52*IFERROR(('09_Allocation'!E20+'09_Allocation'!F20+'09_Allocation'!I20)/SUM(M6:M63),0)</f>
        <v/>
      </c>
      <c r="P52" s="21">
        <f>N52-O52</f>
        <v/>
      </c>
      <c r="Q52" s="20">
        <f>N52-H52</f>
        <v/>
      </c>
    </row>
    <row r="53">
      <c r="A53" s="51">
        <f>'08_Moteur'!A50</f>
        <v/>
      </c>
      <c r="B53" s="10">
        <f>'08_Moteur'!B50</f>
        <v/>
      </c>
      <c r="C53" s="51">
        <f>'08_Moteur'!C50</f>
        <v/>
      </c>
      <c r="D53" s="10">
        <f>'08_Moteur'!D50</f>
        <v/>
      </c>
      <c r="E53" s="52">
        <f>'08_Moteur'!AD50</f>
        <v/>
      </c>
      <c r="F53" s="18">
        <f>'08_Moteur'!AH50</f>
        <v/>
      </c>
      <c r="G53" s="21">
        <f>F53-'08_Moteur'!AM50</f>
        <v/>
      </c>
      <c r="H53" s="67">
        <f>'08_Moteur'!AM50</f>
        <v/>
      </c>
      <c r="I53" s="73">
        <f>'08_Moteur'!AN50</f>
        <v/>
      </c>
      <c r="J53" s="74">
        <f>IF(H53&lt;0,"🔴 Restructurer (mutualiser)",IF(AND('08_Moteur'!AI50&gt;=2,E53&lt;=('08_Moteur'!AI50-1)*'08_Moteur'!O50*1.1),"🟡 Regroupable (−1 classe tient en capacité)",IF(I53&lt;0.55,"🟠 Sous-rempli mais −1 classe déborderait","🟢 Maintenir")))</f>
        <v/>
      </c>
      <c r="K53" s="75">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16" t="inlineStr">
        <is>
          <t>Maintenir</t>
        </is>
      </c>
      <c r="M53" s="54">
        <f>IF(L53="Ne pas lancer",0,IF(L53="Ouvrir +1 classe",E53+'08_Moteur'!O50,E53))</f>
        <v/>
      </c>
      <c r="N53" s="21">
        <f>IF(L53="Ne pas lancer",0,IF(L53="Ouvrir +1 classe",H53+'08_Moteur'!O50*('08_Moteur'!AE50*'08_Moteur'!AF50-('08_Moteur'!R50+'01_Cadrage'!$H$27)*(1+'01_Cadrage'!$H$20)-'08_Moteur'!S50)-'08_Moteur'!U50,IF(L53="Regrouper (-1 classe)",IF(AND('08_Moteur'!AI50&gt;=2,E53&lt;=('08_Moteur'!AI50-1)*'08_Moteur'!O50*1.1),H53+'08_Moteur'!U50,H53),H53)))</f>
        <v/>
      </c>
      <c r="O53" s="21">
        <f>M53*IFERROR(('09_Allocation'!E20+'09_Allocation'!F20+'09_Allocation'!I20)/SUM(M6:M63),0)</f>
        <v/>
      </c>
      <c r="P53" s="21">
        <f>N53-O53</f>
        <v/>
      </c>
      <c r="Q53" s="20">
        <f>N53-H53</f>
        <v/>
      </c>
    </row>
    <row r="54">
      <c r="A54" s="51">
        <f>'08_Moteur'!A51</f>
        <v/>
      </c>
      <c r="B54" s="10">
        <f>'08_Moteur'!B51</f>
        <v/>
      </c>
      <c r="C54" s="51">
        <f>'08_Moteur'!C51</f>
        <v/>
      </c>
      <c r="D54" s="10">
        <f>'08_Moteur'!D51</f>
        <v/>
      </c>
      <c r="E54" s="52">
        <f>'08_Moteur'!AD51</f>
        <v/>
      </c>
      <c r="F54" s="18">
        <f>'08_Moteur'!AH51</f>
        <v/>
      </c>
      <c r="G54" s="21">
        <f>F54-'08_Moteur'!AM51</f>
        <v/>
      </c>
      <c r="H54" s="67">
        <f>'08_Moteur'!AM51</f>
        <v/>
      </c>
      <c r="I54" s="73">
        <f>'08_Moteur'!AN51</f>
        <v/>
      </c>
      <c r="J54" s="74">
        <f>IF(H54&lt;0,"🔴 Ne pas lancer",IF(I54&gt;=0.95,"🟢 Ouvrir +1 (capter+diluer)",IF(I54&lt;0.55,"🟡 Surveiller","🟢 Maintenir")))</f>
        <v/>
      </c>
      <c r="K54" s="75">
        <f>IF(H54&lt;0,"Entrée à contribution négative → ne pas lancer cette cohorte",IF(I54&gt;=0.95,"Saturé → ouvrir capte des étudiants ET dilue la structure pour tous",IF(I54&lt;0.55,"Sous-rempli mais contribution positive → garder","Sain")))</f>
        <v/>
      </c>
      <c r="L54" s="16" t="inlineStr">
        <is>
          <t>Maintenir</t>
        </is>
      </c>
      <c r="M54" s="54">
        <f>IF(L54="Ne pas lancer",0,IF(L54="Ouvrir +1 classe",E54+'08_Moteur'!O51,E54))</f>
        <v/>
      </c>
      <c r="N54" s="21">
        <f>IF(L54="Ne pas lancer",0,IF(L54="Ouvrir +1 classe",H54+'08_Moteur'!O51*('08_Moteur'!AE51*'08_Moteur'!AF51-('08_Moteur'!R51+'01_Cadrage'!$H$27)*(1+'01_Cadrage'!$H$20)-'08_Moteur'!S51)-'08_Moteur'!U51,IF(L54="Regrouper (-1 classe)",IF(AND('08_Moteur'!AI51&gt;=2,E54&lt;=('08_Moteur'!AI51-1)*'08_Moteur'!O51*1.1),H54+'08_Moteur'!U51,H54),H54)))</f>
        <v/>
      </c>
      <c r="O54" s="21">
        <f>M54*IFERROR(('09_Allocation'!E20+'09_Allocation'!F20+'09_Allocation'!I20)/SUM(M6:M63),0)</f>
        <v/>
      </c>
      <c r="P54" s="21">
        <f>N54-O54</f>
        <v/>
      </c>
      <c r="Q54" s="20">
        <f>N54-H54</f>
        <v/>
      </c>
    </row>
    <row r="55">
      <c r="A55" s="51">
        <f>'08_Moteur'!A52</f>
        <v/>
      </c>
      <c r="B55" s="10">
        <f>'08_Moteur'!B52</f>
        <v/>
      </c>
      <c r="C55" s="51">
        <f>'08_Moteur'!C52</f>
        <v/>
      </c>
      <c r="D55" s="10">
        <f>'08_Moteur'!D52</f>
        <v/>
      </c>
      <c r="E55" s="52">
        <f>'08_Moteur'!AD52</f>
        <v/>
      </c>
      <c r="F55" s="18">
        <f>'08_Moteur'!AH52</f>
        <v/>
      </c>
      <c r="G55" s="21">
        <f>F55-'08_Moteur'!AM52</f>
        <v/>
      </c>
      <c r="H55" s="67">
        <f>'08_Moteur'!AM52</f>
        <v/>
      </c>
      <c r="I55" s="73">
        <f>'08_Moteur'!AN52</f>
        <v/>
      </c>
      <c r="J55" s="74">
        <f>IF(H55&lt;0,"🔴 Restructurer (mutualiser)",IF(AND('08_Moteur'!AI52&gt;=2,E55&lt;=('08_Moteur'!AI52-1)*'08_Moteur'!O52*1.1),"🟡 Regroupable (−1 classe tient en capacité)",IF(I55&lt;0.55,"🟠 Sous-rempli mais −1 classe déborderait","🟢 Maintenir")))</f>
        <v/>
      </c>
      <c r="K55" s="75">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16" t="inlineStr">
        <is>
          <t>Maintenir</t>
        </is>
      </c>
      <c r="M55" s="54">
        <f>IF(L55="Ne pas lancer",0,IF(L55="Ouvrir +1 classe",E55+'08_Moteur'!O52,E55))</f>
        <v/>
      </c>
      <c r="N55" s="21">
        <f>IF(L55="Ne pas lancer",0,IF(L55="Ouvrir +1 classe",H55+'08_Moteur'!O52*('08_Moteur'!AE52*'08_Moteur'!AF52-('08_Moteur'!R52+'01_Cadrage'!$H$27)*(1+'01_Cadrage'!$H$20)-'08_Moteur'!S52)-'08_Moteur'!U52,IF(L55="Regrouper (-1 classe)",IF(AND('08_Moteur'!AI52&gt;=2,E55&lt;=('08_Moteur'!AI52-1)*'08_Moteur'!O52*1.1),H55+'08_Moteur'!U52,H55),H55)))</f>
        <v/>
      </c>
      <c r="O55" s="21">
        <f>M55*IFERROR(('09_Allocation'!E20+'09_Allocation'!F20+'09_Allocation'!I20)/SUM(M6:M63),0)</f>
        <v/>
      </c>
      <c r="P55" s="21">
        <f>N55-O55</f>
        <v/>
      </c>
      <c r="Q55" s="20">
        <f>N55-H55</f>
        <v/>
      </c>
    </row>
    <row r="56">
      <c r="A56" s="51">
        <f>'08_Moteur'!A53</f>
        <v/>
      </c>
      <c r="B56" s="10">
        <f>'08_Moteur'!B53</f>
        <v/>
      </c>
      <c r="C56" s="51">
        <f>'08_Moteur'!C53</f>
        <v/>
      </c>
      <c r="D56" s="10">
        <f>'08_Moteur'!D53</f>
        <v/>
      </c>
      <c r="E56" s="52">
        <f>'08_Moteur'!AD53</f>
        <v/>
      </c>
      <c r="F56" s="18">
        <f>'08_Moteur'!AH53</f>
        <v/>
      </c>
      <c r="G56" s="21">
        <f>F56-'08_Moteur'!AM53</f>
        <v/>
      </c>
      <c r="H56" s="67">
        <f>'08_Moteur'!AM53</f>
        <v/>
      </c>
      <c r="I56" s="73">
        <f>'08_Moteur'!AN53</f>
        <v/>
      </c>
      <c r="J56" s="74">
        <f>IF(H56&lt;0,"🔴 Ne pas lancer",IF(I56&gt;=0.95,"🟢 Ouvrir +1 (capter+diluer)",IF(I56&lt;0.55,"🟡 Surveiller","🟢 Maintenir")))</f>
        <v/>
      </c>
      <c r="K56" s="75">
        <f>IF(H56&lt;0,"Entrée à contribution négative → ne pas lancer cette cohorte",IF(I56&gt;=0.95,"Saturé → ouvrir capte des étudiants ET dilue la structure pour tous",IF(I56&lt;0.55,"Sous-rempli mais contribution positive → garder","Sain")))</f>
        <v/>
      </c>
      <c r="L56" s="16" t="inlineStr">
        <is>
          <t>Maintenir</t>
        </is>
      </c>
      <c r="M56" s="54">
        <f>IF(L56="Ne pas lancer",0,IF(L56="Ouvrir +1 classe",E56+'08_Moteur'!O53,E56))</f>
        <v/>
      </c>
      <c r="N56" s="21">
        <f>IF(L56="Ne pas lancer",0,IF(L56="Ouvrir +1 classe",H56+'08_Moteur'!O53*('08_Moteur'!AE53*'08_Moteur'!AF53-('08_Moteur'!R53+'01_Cadrage'!$H$27)*(1+'01_Cadrage'!$H$20)-'08_Moteur'!S53)-'08_Moteur'!U53,IF(L56="Regrouper (-1 classe)",IF(AND('08_Moteur'!AI53&gt;=2,E56&lt;=('08_Moteur'!AI53-1)*'08_Moteur'!O53*1.1),H56+'08_Moteur'!U53,H56),H56)))</f>
        <v/>
      </c>
      <c r="O56" s="21">
        <f>M56*IFERROR(('09_Allocation'!E20+'09_Allocation'!F20+'09_Allocation'!I20)/SUM(M6:M63),0)</f>
        <v/>
      </c>
      <c r="P56" s="21">
        <f>N56-O56</f>
        <v/>
      </c>
      <c r="Q56" s="20">
        <f>N56-H56</f>
        <v/>
      </c>
    </row>
    <row r="57">
      <c r="A57" s="51">
        <f>'08_Moteur'!A54</f>
        <v/>
      </c>
      <c r="B57" s="10">
        <f>'08_Moteur'!B54</f>
        <v/>
      </c>
      <c r="C57" s="51">
        <f>'08_Moteur'!C54</f>
        <v/>
      </c>
      <c r="D57" s="10">
        <f>'08_Moteur'!D54</f>
        <v/>
      </c>
      <c r="E57" s="52">
        <f>'08_Moteur'!AD54</f>
        <v/>
      </c>
      <c r="F57" s="18">
        <f>'08_Moteur'!AH54</f>
        <v/>
      </c>
      <c r="G57" s="21">
        <f>F57-'08_Moteur'!AM54</f>
        <v/>
      </c>
      <c r="H57" s="67">
        <f>'08_Moteur'!AM54</f>
        <v/>
      </c>
      <c r="I57" s="73">
        <f>'08_Moteur'!AN54</f>
        <v/>
      </c>
      <c r="J57" s="74">
        <f>IF(H57&lt;0,"🔴 Restructurer (mutualiser)",IF(AND('08_Moteur'!AI54&gt;=2,E57&lt;=('08_Moteur'!AI54-1)*'08_Moteur'!O54*1.1),"🟡 Regroupable (−1 classe tient en capacité)",IF(I57&lt;0.55,"🟠 Sous-rempli mais −1 classe déborderait","🟢 Maintenir")))</f>
        <v/>
      </c>
      <c r="K57" s="75">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16" t="inlineStr">
        <is>
          <t>Maintenir</t>
        </is>
      </c>
      <c r="M57" s="54">
        <f>IF(L57="Ne pas lancer",0,IF(L57="Ouvrir +1 classe",E57+'08_Moteur'!O54,E57))</f>
        <v/>
      </c>
      <c r="N57" s="21">
        <f>IF(L57="Ne pas lancer",0,IF(L57="Ouvrir +1 classe",H57+'08_Moteur'!O54*('08_Moteur'!AE54*'08_Moteur'!AF54-('08_Moteur'!R54+'01_Cadrage'!$H$27)*(1+'01_Cadrage'!$H$20)-'08_Moteur'!S54)-'08_Moteur'!U54,IF(L57="Regrouper (-1 classe)",IF(AND('08_Moteur'!AI54&gt;=2,E57&lt;=('08_Moteur'!AI54-1)*'08_Moteur'!O54*1.1),H57+'08_Moteur'!U54,H57),H57)))</f>
        <v/>
      </c>
      <c r="O57" s="21">
        <f>M57*IFERROR(('09_Allocation'!E20+'09_Allocation'!F20+'09_Allocation'!I20)/SUM(M6:M63),0)</f>
        <v/>
      </c>
      <c r="P57" s="21">
        <f>N57-O57</f>
        <v/>
      </c>
      <c r="Q57" s="20">
        <f>N57-H57</f>
        <v/>
      </c>
    </row>
    <row r="58">
      <c r="A58" s="51">
        <f>'08_Moteur'!A55</f>
        <v/>
      </c>
      <c r="B58" s="10">
        <f>'08_Moteur'!B55</f>
        <v/>
      </c>
      <c r="C58" s="51">
        <f>'08_Moteur'!C55</f>
        <v/>
      </c>
      <c r="D58" s="10">
        <f>'08_Moteur'!D55</f>
        <v/>
      </c>
      <c r="E58" s="52">
        <f>'08_Moteur'!AD55</f>
        <v/>
      </c>
      <c r="F58" s="18">
        <f>'08_Moteur'!AH55</f>
        <v/>
      </c>
      <c r="G58" s="21">
        <f>F58-'08_Moteur'!AM55</f>
        <v/>
      </c>
      <c r="H58" s="67">
        <f>'08_Moteur'!AM55</f>
        <v/>
      </c>
      <c r="I58" s="73">
        <f>'08_Moteur'!AN55</f>
        <v/>
      </c>
      <c r="J58" s="74">
        <f>IF(H58&lt;0,"🔴 Ne pas lancer",IF(I58&gt;=0.95,"🟢 Ouvrir +1 (capter+diluer)",IF(I58&lt;0.55,"🟡 Surveiller","🟢 Maintenir")))</f>
        <v/>
      </c>
      <c r="K58" s="75">
        <f>IF(H58&lt;0,"Entrée à contribution négative → ne pas lancer cette cohorte",IF(I58&gt;=0.95,"Saturé → ouvrir capte des étudiants ET dilue la structure pour tous",IF(I58&lt;0.55,"Sous-rempli mais contribution positive → garder","Sain")))</f>
        <v/>
      </c>
      <c r="L58" s="16" t="inlineStr">
        <is>
          <t>Maintenir</t>
        </is>
      </c>
      <c r="M58" s="54">
        <f>IF(L58="Ne pas lancer",0,IF(L58="Ouvrir +1 classe",E58+'08_Moteur'!O55,E58))</f>
        <v/>
      </c>
      <c r="N58" s="21">
        <f>IF(L58="Ne pas lancer",0,IF(L58="Ouvrir +1 classe",H58+'08_Moteur'!O55*('08_Moteur'!AE55*'08_Moteur'!AF55-('08_Moteur'!R55+'01_Cadrage'!$H$27)*(1+'01_Cadrage'!$H$20)-'08_Moteur'!S55)-'08_Moteur'!U55,IF(L58="Regrouper (-1 classe)",IF(AND('08_Moteur'!AI55&gt;=2,E58&lt;=('08_Moteur'!AI55-1)*'08_Moteur'!O55*1.1),H58+'08_Moteur'!U55,H58),H58)))</f>
        <v/>
      </c>
      <c r="O58" s="21">
        <f>M58*IFERROR(('09_Allocation'!E20+'09_Allocation'!F20+'09_Allocation'!I20)/SUM(M6:M63),0)</f>
        <v/>
      </c>
      <c r="P58" s="21">
        <f>N58-O58</f>
        <v/>
      </c>
      <c r="Q58" s="20">
        <f>N58-H58</f>
        <v/>
      </c>
    </row>
    <row r="59">
      <c r="A59" s="51">
        <f>'08_Moteur'!A56</f>
        <v/>
      </c>
      <c r="B59" s="10">
        <f>'08_Moteur'!B56</f>
        <v/>
      </c>
      <c r="C59" s="51">
        <f>'08_Moteur'!C56</f>
        <v/>
      </c>
      <c r="D59" s="10">
        <f>'08_Moteur'!D56</f>
        <v/>
      </c>
      <c r="E59" s="52">
        <f>'08_Moteur'!AD56</f>
        <v/>
      </c>
      <c r="F59" s="18">
        <f>'08_Moteur'!AH56</f>
        <v/>
      </c>
      <c r="G59" s="21">
        <f>F59-'08_Moteur'!AM56</f>
        <v/>
      </c>
      <c r="H59" s="67">
        <f>'08_Moteur'!AM56</f>
        <v/>
      </c>
      <c r="I59" s="73">
        <f>'08_Moteur'!AN56</f>
        <v/>
      </c>
      <c r="J59" s="74">
        <f>IF(H59&lt;0,"🔴 Restructurer (mutualiser)",IF(AND('08_Moteur'!AI56&gt;=2,E59&lt;=('08_Moteur'!AI56-1)*'08_Moteur'!O56*1.1),"🟡 Regroupable (−1 classe tient en capacité)",IF(I59&lt;0.55,"🟠 Sous-rempli mais −1 classe déborderait","🟢 Maintenir")))</f>
        <v/>
      </c>
      <c r="K59" s="75">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16" t="inlineStr">
        <is>
          <t>Maintenir</t>
        </is>
      </c>
      <c r="M59" s="54">
        <f>IF(L59="Ne pas lancer",0,IF(L59="Ouvrir +1 classe",E59+'08_Moteur'!O56,E59))</f>
        <v/>
      </c>
      <c r="N59" s="21">
        <f>IF(L59="Ne pas lancer",0,IF(L59="Ouvrir +1 classe",H59+'08_Moteur'!O56*('08_Moteur'!AE56*'08_Moteur'!AF56-('08_Moteur'!R56+'01_Cadrage'!$H$27)*(1+'01_Cadrage'!$H$20)-'08_Moteur'!S56)-'08_Moteur'!U56,IF(L59="Regrouper (-1 classe)",IF(AND('08_Moteur'!AI56&gt;=2,E59&lt;=('08_Moteur'!AI56-1)*'08_Moteur'!O56*1.1),H59+'08_Moteur'!U56,H59),H59)))</f>
        <v/>
      </c>
      <c r="O59" s="21">
        <f>M59*IFERROR(('09_Allocation'!E20+'09_Allocation'!F20+'09_Allocation'!I20)/SUM(M6:M63),0)</f>
        <v/>
      </c>
      <c r="P59" s="21">
        <f>N59-O59</f>
        <v/>
      </c>
      <c r="Q59" s="20">
        <f>N59-H59</f>
        <v/>
      </c>
    </row>
    <row r="60">
      <c r="A60" s="51">
        <f>'08_Moteur'!A57</f>
        <v/>
      </c>
      <c r="B60" s="10">
        <f>'08_Moteur'!B57</f>
        <v/>
      </c>
      <c r="C60" s="51">
        <f>'08_Moteur'!C57</f>
        <v/>
      </c>
      <c r="D60" s="10">
        <f>'08_Moteur'!D57</f>
        <v/>
      </c>
      <c r="E60" s="52">
        <f>'08_Moteur'!AD57</f>
        <v/>
      </c>
      <c r="F60" s="18">
        <f>'08_Moteur'!AH57</f>
        <v/>
      </c>
      <c r="G60" s="21">
        <f>F60-'08_Moteur'!AM57</f>
        <v/>
      </c>
      <c r="H60" s="67">
        <f>'08_Moteur'!AM57</f>
        <v/>
      </c>
      <c r="I60" s="73">
        <f>'08_Moteur'!AN57</f>
        <v/>
      </c>
      <c r="J60" s="74">
        <f>IF(H60&lt;0,"🔴 Restructurer (mutualiser)",IF(AND('08_Moteur'!AI57&gt;=2,E60&lt;=('08_Moteur'!AI57-1)*'08_Moteur'!O57*1.1),"🟡 Regroupable (−1 classe tient en capacité)",IF(I60&lt;0.55,"🟠 Sous-rempli mais −1 classe déborderait","🟢 Maintenir")))</f>
        <v/>
      </c>
      <c r="K60" s="75">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16" t="inlineStr">
        <is>
          <t>Maintenir</t>
        </is>
      </c>
      <c r="M60" s="54">
        <f>IF(L60="Ne pas lancer",0,IF(L60="Ouvrir +1 classe",E60+'08_Moteur'!O57,E60))</f>
        <v/>
      </c>
      <c r="N60" s="21">
        <f>IF(L60="Ne pas lancer",0,IF(L60="Ouvrir +1 classe",H60+'08_Moteur'!O57*('08_Moteur'!AE57*'08_Moteur'!AF57-('08_Moteur'!R57+'01_Cadrage'!$H$27)*(1+'01_Cadrage'!$H$20)-'08_Moteur'!S57)-'08_Moteur'!U57,IF(L60="Regrouper (-1 classe)",IF(AND('08_Moteur'!AI57&gt;=2,E60&lt;=('08_Moteur'!AI57-1)*'08_Moteur'!O57*1.1),H60+'08_Moteur'!U57,H60),H60)))</f>
        <v/>
      </c>
      <c r="O60" s="21">
        <f>M60*IFERROR(('09_Allocation'!E20+'09_Allocation'!F20+'09_Allocation'!I20)/SUM(M6:M63),0)</f>
        <v/>
      </c>
      <c r="P60" s="21">
        <f>N60-O60</f>
        <v/>
      </c>
      <c r="Q60" s="20">
        <f>N60-H60</f>
        <v/>
      </c>
    </row>
    <row r="61">
      <c r="A61" s="51">
        <f>'08_Moteur'!A58</f>
        <v/>
      </c>
      <c r="B61" s="10">
        <f>'08_Moteur'!B58</f>
        <v/>
      </c>
      <c r="C61" s="51">
        <f>'08_Moteur'!C58</f>
        <v/>
      </c>
      <c r="D61" s="10">
        <f>'08_Moteur'!D58</f>
        <v/>
      </c>
      <c r="E61" s="52">
        <f>'08_Moteur'!AD58</f>
        <v/>
      </c>
      <c r="F61" s="18">
        <f>'08_Moteur'!AH58</f>
        <v/>
      </c>
      <c r="G61" s="21">
        <f>F61-'08_Moteur'!AM58</f>
        <v/>
      </c>
      <c r="H61" s="67">
        <f>'08_Moteur'!AM58</f>
        <v/>
      </c>
      <c r="I61" s="73">
        <f>'08_Moteur'!AN58</f>
        <v/>
      </c>
      <c r="J61" s="74">
        <f>IF(H61&lt;0,"🔴 Ne pas lancer",IF(I61&gt;=0.95,"🟢 Ouvrir +1 (capter+diluer)",IF(I61&lt;0.55,"🟡 Surveiller","🟢 Maintenir")))</f>
        <v/>
      </c>
      <c r="K61" s="75">
        <f>IF(H61&lt;0,"Entrée à contribution négative → ne pas lancer cette cohorte",IF(I61&gt;=0.95,"Saturé → ouvrir capte des étudiants ET dilue la structure pour tous",IF(I61&lt;0.55,"Sous-rempli mais contribution positive → garder","Sain")))</f>
        <v/>
      </c>
      <c r="L61" s="16" t="inlineStr">
        <is>
          <t>Maintenir</t>
        </is>
      </c>
      <c r="M61" s="54">
        <f>IF(L61="Ne pas lancer",0,IF(L61="Ouvrir +1 classe",E61+'08_Moteur'!O58,E61))</f>
        <v/>
      </c>
      <c r="N61" s="21">
        <f>IF(L61="Ne pas lancer",0,IF(L61="Ouvrir +1 classe",H61+'08_Moteur'!O58*('08_Moteur'!AE58*'08_Moteur'!AF58-('08_Moteur'!R58+'01_Cadrage'!$H$27)*(1+'01_Cadrage'!$H$20)-'08_Moteur'!S58)-'08_Moteur'!U58,IF(L61="Regrouper (-1 classe)",IF(AND('08_Moteur'!AI58&gt;=2,E61&lt;=('08_Moteur'!AI58-1)*'08_Moteur'!O58*1.1),H61+'08_Moteur'!U58,H61),H61)))</f>
        <v/>
      </c>
      <c r="O61" s="21">
        <f>M61*IFERROR(('09_Allocation'!E20+'09_Allocation'!F20+'09_Allocation'!I20)/SUM(M6:M63),0)</f>
        <v/>
      </c>
      <c r="P61" s="21">
        <f>N61-O61</f>
        <v/>
      </c>
      <c r="Q61" s="20">
        <f>N61-H61</f>
        <v/>
      </c>
    </row>
    <row r="62">
      <c r="A62" s="51">
        <f>'08_Moteur'!A59</f>
        <v/>
      </c>
      <c r="B62" s="10">
        <f>'08_Moteur'!B59</f>
        <v/>
      </c>
      <c r="C62" s="51">
        <f>'08_Moteur'!C59</f>
        <v/>
      </c>
      <c r="D62" s="10">
        <f>'08_Moteur'!D59</f>
        <v/>
      </c>
      <c r="E62" s="52">
        <f>'08_Moteur'!AD59</f>
        <v/>
      </c>
      <c r="F62" s="18">
        <f>'08_Moteur'!AH59</f>
        <v/>
      </c>
      <c r="G62" s="21">
        <f>F62-'08_Moteur'!AM59</f>
        <v/>
      </c>
      <c r="H62" s="67">
        <f>'08_Moteur'!AM59</f>
        <v/>
      </c>
      <c r="I62" s="73">
        <f>'08_Moteur'!AN59</f>
        <v/>
      </c>
      <c r="J62" s="74">
        <f>IF(H62&lt;0,"🔴 Restructurer (mutualiser)",IF(AND('08_Moteur'!AI59&gt;=2,E62&lt;=('08_Moteur'!AI59-1)*'08_Moteur'!O59*1.1),"🟡 Regroupable (−1 classe tient en capacité)",IF(I62&lt;0.55,"🟠 Sous-rempli mais −1 classe déborderait","🟢 Maintenir")))</f>
        <v/>
      </c>
      <c r="K62" s="75">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16" t="inlineStr">
        <is>
          <t>Maintenir</t>
        </is>
      </c>
      <c r="M62" s="54">
        <f>IF(L62="Ne pas lancer",0,IF(L62="Ouvrir +1 classe",E62+'08_Moteur'!O59,E62))</f>
        <v/>
      </c>
      <c r="N62" s="21">
        <f>IF(L62="Ne pas lancer",0,IF(L62="Ouvrir +1 classe",H62+'08_Moteur'!O59*('08_Moteur'!AE59*'08_Moteur'!AF59-('08_Moteur'!R59+'01_Cadrage'!$H$27)*(1+'01_Cadrage'!$H$20)-'08_Moteur'!S59)-'08_Moteur'!U59,IF(L62="Regrouper (-1 classe)",IF(AND('08_Moteur'!AI59&gt;=2,E62&lt;=('08_Moteur'!AI59-1)*'08_Moteur'!O59*1.1),H62+'08_Moteur'!U59,H62),H62)))</f>
        <v/>
      </c>
      <c r="O62" s="21">
        <f>M62*IFERROR(('09_Allocation'!E20+'09_Allocation'!F20+'09_Allocation'!I20)/SUM(M6:M63),0)</f>
        <v/>
      </c>
      <c r="P62" s="21">
        <f>N62-O62</f>
        <v/>
      </c>
      <c r="Q62" s="20">
        <f>N62-H62</f>
        <v/>
      </c>
    </row>
    <row r="63">
      <c r="A63" s="51">
        <f>'08_Moteur'!A60</f>
        <v/>
      </c>
      <c r="B63" s="10">
        <f>'08_Moteur'!B60</f>
        <v/>
      </c>
      <c r="C63" s="51">
        <f>'08_Moteur'!C60</f>
        <v/>
      </c>
      <c r="D63" s="10">
        <f>'08_Moteur'!D60</f>
        <v/>
      </c>
      <c r="E63" s="52">
        <f>'08_Moteur'!AD60</f>
        <v/>
      </c>
      <c r="F63" s="18">
        <f>'08_Moteur'!AH60</f>
        <v/>
      </c>
      <c r="G63" s="21">
        <f>F63-'08_Moteur'!AM60</f>
        <v/>
      </c>
      <c r="H63" s="67">
        <f>'08_Moteur'!AM60</f>
        <v/>
      </c>
      <c r="I63" s="73">
        <f>'08_Moteur'!AN60</f>
        <v/>
      </c>
      <c r="J63" s="74">
        <f>IF(H63&lt;0,"🔴 Restructurer (mutualiser)",IF(AND('08_Moteur'!AI60&gt;=2,E63&lt;=('08_Moteur'!AI60-1)*'08_Moteur'!O60*1.1),"🟡 Regroupable (−1 classe tient en capacité)",IF(I63&lt;0.55,"🟠 Sous-rempli mais −1 classe déborderait","🟢 Maintenir")))</f>
        <v/>
      </c>
      <c r="K63" s="75">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16" t="inlineStr">
        <is>
          <t>Maintenir</t>
        </is>
      </c>
      <c r="M63" s="54">
        <f>IF(L63="Ne pas lancer",0,IF(L63="Ouvrir +1 classe",E63+'08_Moteur'!O60,E63))</f>
        <v/>
      </c>
      <c r="N63" s="21">
        <f>IF(L63="Ne pas lancer",0,IF(L63="Ouvrir +1 classe",H63+'08_Moteur'!O60*('08_Moteur'!AE60*'08_Moteur'!AF60-('08_Moteur'!R60+'01_Cadrage'!$H$27)*(1+'01_Cadrage'!$H$20)-'08_Moteur'!S60)-'08_Moteur'!U60,IF(L63="Regrouper (-1 classe)",IF(AND('08_Moteur'!AI60&gt;=2,E63&lt;=('08_Moteur'!AI60-1)*'08_Moteur'!O60*1.1),H63+'08_Moteur'!U60,H63),H63)))</f>
        <v/>
      </c>
      <c r="O63" s="21">
        <f>M63*IFERROR(('09_Allocation'!E20+'09_Allocation'!F20+'09_Allocation'!I20)/SUM(M6:M63),0)</f>
        <v/>
      </c>
      <c r="P63" s="21">
        <f>N63-O63</f>
        <v/>
      </c>
      <c r="Q63" s="20">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1"/>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5" t="inlineStr">
        <is>
          <t>% d'heures mutualisables (tronc commun partagé) :</t>
        </is>
      </c>
      <c r="G4" s="76" t="n">
        <v>0.25</v>
      </c>
      <c r="H4" s="77" t="inlineStr">
        <is>
          <t>← hypothèse : part des heures réellement partageable au sein d'un cycle (le reste reste spécifique à chaque année).</t>
        </is>
      </c>
    </row>
    <row r="5" ht="30" customHeight="1">
      <c r="B5" s="17" t="inlineStr">
        <is>
          <t>Marque</t>
        </is>
      </c>
      <c r="C5" s="17" t="inlineStr">
        <is>
          <t>Ville</t>
        </is>
      </c>
      <c r="D5" s="17" t="inlineStr">
        <is>
          <t>Cycle</t>
        </is>
      </c>
      <c r="E5" s="17" t="inlineStr">
        <is>
          <t>Effectif</t>
        </is>
      </c>
      <c r="F5" s="17" t="inlineStr">
        <is>
          <t>Sections
aujourd'hui</t>
        </is>
      </c>
      <c r="G5" s="17" t="inlineStr">
        <is>
          <t>Capacité
moy.</t>
        </is>
      </c>
      <c r="H5" s="17" t="inlineStr">
        <is>
          <t>Sections si
mutualisé</t>
        </is>
      </c>
      <c r="I5" s="17" t="inlineStr">
        <is>
          <t>Sections
économisables</t>
        </is>
      </c>
      <c r="J5" s="17" t="inlineStr">
        <is>
          <t>Coût moyen
/ classe</t>
        </is>
      </c>
      <c r="K5" s="17" t="inlineStr">
        <is>
          <t>Économie
potentielle €</t>
        </is>
      </c>
    </row>
    <row r="6">
      <c r="B6" s="51" t="inlineStr">
        <is>
          <t>MBway</t>
        </is>
      </c>
      <c r="C6" s="10" t="inlineStr">
        <is>
          <t>Paris</t>
        </is>
      </c>
      <c r="D6" s="10" t="inlineStr">
        <is>
          <t>Bachelor</t>
        </is>
      </c>
      <c r="E6" s="54">
        <f>SUMPRODUCT(('08_Moteur'!$A$3:$A$60="MBway")*('08_Moteur'!$B$3:$B$60="Paris")*(('08_Moteur'!$D$3:$D$60="B1")+('08_Moteur'!$D$3:$D$60="B2")+('08_Moteur'!$D$3:$D$60="B3"))*'08_Moteur'!$AD$3:$AD$60)</f>
        <v/>
      </c>
      <c r="F6" s="54">
        <f>SUMPRODUCT(('08_Moteur'!$A$3:$A$60="MBway")*('08_Moteur'!$B$3:$B$60="Paris")*(('08_Moteur'!$D$3:$D$60="B1")+('08_Moteur'!$D$3:$D$60="B2")+('08_Moteur'!$D$3:$D$60="B3"))*'08_Moteur'!$AI$3:$AI$60)</f>
        <v/>
      </c>
      <c r="G6" s="78">
        <f>IFERROR(SUMPRODUCT(('08_Moteur'!$A$3:$A$60="MBway")*('08_Moteur'!$B$3:$B$60="Paris")*(('08_Moteur'!$D$3:$D$60="B1")+('08_Moteur'!$D$3:$D$60="B2")+('08_Moteur'!$D$3:$D$60="B3"))*'08_Moteur'!$AI$3:$AI$60*'08_Moteur'!$O$3:$O$60)/F6,0)</f>
        <v/>
      </c>
      <c r="H6" s="54">
        <f>IF(E6&lt;=0,0,MAX(1,ROUNDUP(E6/G6,0)))</f>
        <v/>
      </c>
      <c r="I6" s="57">
        <f>MAX(0,F6-H6)</f>
        <v/>
      </c>
      <c r="J6" s="21">
        <f>IFERROR(SUMPRODUCT(('08_Moteur'!$A$3:$A$60="MBway")*('08_Moteur'!$B$3:$B$60="Paris")*(('08_Moteur'!$D$3:$D$60="B1")+('08_Moteur'!$D$3:$D$60="B2")+('08_Moteur'!$D$3:$D$60="B3"))*'08_Moteur'!$AJ$3:$AJ$60)/F6,0)</f>
        <v/>
      </c>
      <c r="K6" s="20">
        <f>I6*J6*$G$4</f>
        <v/>
      </c>
    </row>
    <row r="7">
      <c r="B7" s="51" t="inlineStr">
        <is>
          <t>MBway</t>
        </is>
      </c>
      <c r="C7" s="10" t="inlineStr">
        <is>
          <t>Paris</t>
        </is>
      </c>
      <c r="D7" s="10" t="inlineStr">
        <is>
          <t>Mastère</t>
        </is>
      </c>
      <c r="E7" s="54">
        <f>SUMPRODUCT(('08_Moteur'!$A$3:$A$60="MBway")*('08_Moteur'!$B$3:$B$60="Paris")*(('08_Moteur'!$D$3:$D$60="M1")+('08_Moteur'!$D$3:$D$60="M2"))*'08_Moteur'!$AD$3:$AD$60)</f>
        <v/>
      </c>
      <c r="F7" s="54">
        <f>SUMPRODUCT(('08_Moteur'!$A$3:$A$60="MBway")*('08_Moteur'!$B$3:$B$60="Paris")*(('08_Moteur'!$D$3:$D$60="M1")+('08_Moteur'!$D$3:$D$60="M2"))*'08_Moteur'!$AI$3:$AI$60)</f>
        <v/>
      </c>
      <c r="G7" s="78">
        <f>IFERROR(SUMPRODUCT(('08_Moteur'!$A$3:$A$60="MBway")*('08_Moteur'!$B$3:$B$60="Paris")*(('08_Moteur'!$D$3:$D$60="M1")+('08_Moteur'!$D$3:$D$60="M2"))*'08_Moteur'!$AI$3:$AI$60*'08_Moteur'!$O$3:$O$60)/F7,0)</f>
        <v/>
      </c>
      <c r="H7" s="54">
        <f>IF(E7&lt;=0,0,MAX(1,ROUNDUP(E7/G7,0)))</f>
        <v/>
      </c>
      <c r="I7" s="57">
        <f>MAX(0,F7-H7)</f>
        <v/>
      </c>
      <c r="J7" s="21">
        <f>IFERROR(SUMPRODUCT(('08_Moteur'!$A$3:$A$60="MBway")*('08_Moteur'!$B$3:$B$60="Paris")*(('08_Moteur'!$D$3:$D$60="M1")+('08_Moteur'!$D$3:$D$60="M2"))*'08_Moteur'!$AJ$3:$AJ$60)/F7,0)</f>
        <v/>
      </c>
      <c r="K7" s="20">
        <f>I7*J7*$G$4</f>
        <v/>
      </c>
    </row>
    <row r="8">
      <c r="B8" s="51" t="inlineStr">
        <is>
          <t>MBway</t>
        </is>
      </c>
      <c r="C8" s="10" t="inlineStr">
        <is>
          <t>Lyon</t>
        </is>
      </c>
      <c r="D8" s="10" t="inlineStr">
        <is>
          <t>Bachelor</t>
        </is>
      </c>
      <c r="E8" s="54">
        <f>SUMPRODUCT(('08_Moteur'!$A$3:$A$60="MBway")*('08_Moteur'!$B$3:$B$60="Lyon")*(('08_Moteur'!$D$3:$D$60="B1")+('08_Moteur'!$D$3:$D$60="B2")+('08_Moteur'!$D$3:$D$60="B3"))*'08_Moteur'!$AD$3:$AD$60)</f>
        <v/>
      </c>
      <c r="F8" s="54">
        <f>SUMPRODUCT(('08_Moteur'!$A$3:$A$60="MBway")*('08_Moteur'!$B$3:$B$60="Lyon")*(('08_Moteur'!$D$3:$D$60="B1")+('08_Moteur'!$D$3:$D$60="B2")+('08_Moteur'!$D$3:$D$60="B3"))*'08_Moteur'!$AI$3:$AI$60)</f>
        <v/>
      </c>
      <c r="G8" s="78">
        <f>IFERROR(SUMPRODUCT(('08_Moteur'!$A$3:$A$60="MBway")*('08_Moteur'!$B$3:$B$60="Lyon")*(('08_Moteur'!$D$3:$D$60="B1")+('08_Moteur'!$D$3:$D$60="B2")+('08_Moteur'!$D$3:$D$60="B3"))*'08_Moteur'!$AI$3:$AI$60*'08_Moteur'!$O$3:$O$60)/F8,0)</f>
        <v/>
      </c>
      <c r="H8" s="54">
        <f>IF(E8&lt;=0,0,MAX(1,ROUNDUP(E8/G8,0)))</f>
        <v/>
      </c>
      <c r="I8" s="57">
        <f>MAX(0,F8-H8)</f>
        <v/>
      </c>
      <c r="J8" s="21">
        <f>IFERROR(SUMPRODUCT(('08_Moteur'!$A$3:$A$60="MBway")*('08_Moteur'!$B$3:$B$60="Lyon")*(('08_Moteur'!$D$3:$D$60="B1")+('08_Moteur'!$D$3:$D$60="B2")+('08_Moteur'!$D$3:$D$60="B3"))*'08_Moteur'!$AJ$3:$AJ$60)/F8,0)</f>
        <v/>
      </c>
      <c r="K8" s="20">
        <f>I8*J8*$G$4</f>
        <v/>
      </c>
    </row>
    <row r="9">
      <c r="B9" s="51" t="inlineStr">
        <is>
          <t>MBway</t>
        </is>
      </c>
      <c r="C9" s="10" t="inlineStr">
        <is>
          <t>Lyon</t>
        </is>
      </c>
      <c r="D9" s="10" t="inlineStr">
        <is>
          <t>Mastère</t>
        </is>
      </c>
      <c r="E9" s="54">
        <f>SUMPRODUCT(('08_Moteur'!$A$3:$A$60="MBway")*('08_Moteur'!$B$3:$B$60="Lyon")*(('08_Moteur'!$D$3:$D$60="M1")+('08_Moteur'!$D$3:$D$60="M2"))*'08_Moteur'!$AD$3:$AD$60)</f>
        <v/>
      </c>
      <c r="F9" s="54">
        <f>SUMPRODUCT(('08_Moteur'!$A$3:$A$60="MBway")*('08_Moteur'!$B$3:$B$60="Lyon")*(('08_Moteur'!$D$3:$D$60="M1")+('08_Moteur'!$D$3:$D$60="M2"))*'08_Moteur'!$AI$3:$AI$60)</f>
        <v/>
      </c>
      <c r="G9" s="78">
        <f>IFERROR(SUMPRODUCT(('08_Moteur'!$A$3:$A$60="MBway")*('08_Moteur'!$B$3:$B$60="Lyon")*(('08_Moteur'!$D$3:$D$60="M1")+('08_Moteur'!$D$3:$D$60="M2"))*'08_Moteur'!$AI$3:$AI$60*'08_Moteur'!$O$3:$O$60)/F9,0)</f>
        <v/>
      </c>
      <c r="H9" s="54">
        <f>IF(E9&lt;=0,0,MAX(1,ROUNDUP(E9/G9,0)))</f>
        <v/>
      </c>
      <c r="I9" s="57">
        <f>MAX(0,F9-H9)</f>
        <v/>
      </c>
      <c r="J9" s="21">
        <f>IFERROR(SUMPRODUCT(('08_Moteur'!$A$3:$A$60="MBway")*('08_Moteur'!$B$3:$B$60="Lyon")*(('08_Moteur'!$D$3:$D$60="M1")+('08_Moteur'!$D$3:$D$60="M2"))*'08_Moteur'!$AJ$3:$AJ$60)/F9,0)</f>
        <v/>
      </c>
      <c r="K9" s="20">
        <f>I9*J9*$G$4</f>
        <v/>
      </c>
    </row>
    <row r="10">
      <c r="B10" s="51" t="inlineStr">
        <is>
          <t>MBway</t>
        </is>
      </c>
      <c r="C10" s="10" t="inlineStr">
        <is>
          <t>Nantes</t>
        </is>
      </c>
      <c r="D10" s="10" t="inlineStr">
        <is>
          <t>Bachelor</t>
        </is>
      </c>
      <c r="E10" s="54">
        <f>SUMPRODUCT(('08_Moteur'!$A$3:$A$60="MBway")*('08_Moteur'!$B$3:$B$60="Nantes")*(('08_Moteur'!$D$3:$D$60="B1")+('08_Moteur'!$D$3:$D$60="B2")+('08_Moteur'!$D$3:$D$60="B3"))*'08_Moteur'!$AD$3:$AD$60)</f>
        <v/>
      </c>
      <c r="F10" s="54">
        <f>SUMPRODUCT(('08_Moteur'!$A$3:$A$60="MBway")*('08_Moteur'!$B$3:$B$60="Nantes")*(('08_Moteur'!$D$3:$D$60="B1")+('08_Moteur'!$D$3:$D$60="B2")+('08_Moteur'!$D$3:$D$60="B3"))*'08_Moteur'!$AI$3:$AI$60)</f>
        <v/>
      </c>
      <c r="G10" s="78">
        <f>IFERROR(SUMPRODUCT(('08_Moteur'!$A$3:$A$60="MBway")*('08_Moteur'!$B$3:$B$60="Nantes")*(('08_Moteur'!$D$3:$D$60="B1")+('08_Moteur'!$D$3:$D$60="B2")+('08_Moteur'!$D$3:$D$60="B3"))*'08_Moteur'!$AI$3:$AI$60*'08_Moteur'!$O$3:$O$60)/F10,0)</f>
        <v/>
      </c>
      <c r="H10" s="54">
        <f>IF(E10&lt;=0,0,MAX(1,ROUNDUP(E10/G10,0)))</f>
        <v/>
      </c>
      <c r="I10" s="57">
        <f>MAX(0,F10-H10)</f>
        <v/>
      </c>
      <c r="J10" s="21">
        <f>IFERROR(SUMPRODUCT(('08_Moteur'!$A$3:$A$60="MBway")*('08_Moteur'!$B$3:$B$60="Nantes")*(('08_Moteur'!$D$3:$D$60="B1")+('08_Moteur'!$D$3:$D$60="B2")+('08_Moteur'!$D$3:$D$60="B3"))*'08_Moteur'!$AJ$3:$AJ$60)/F10,0)</f>
        <v/>
      </c>
      <c r="K10" s="20">
        <f>I10*J10*$G$4</f>
        <v/>
      </c>
    </row>
    <row r="11">
      <c r="B11" s="51" t="inlineStr">
        <is>
          <t>MBway</t>
        </is>
      </c>
      <c r="C11" s="10" t="inlineStr">
        <is>
          <t>Nantes</t>
        </is>
      </c>
      <c r="D11" s="10" t="inlineStr">
        <is>
          <t>Mastère</t>
        </is>
      </c>
      <c r="E11" s="54">
        <f>SUMPRODUCT(('08_Moteur'!$A$3:$A$60="MBway")*('08_Moteur'!$B$3:$B$60="Nantes")*(('08_Moteur'!$D$3:$D$60="M1")+('08_Moteur'!$D$3:$D$60="M2"))*'08_Moteur'!$AD$3:$AD$60)</f>
        <v/>
      </c>
      <c r="F11" s="54">
        <f>SUMPRODUCT(('08_Moteur'!$A$3:$A$60="MBway")*('08_Moteur'!$B$3:$B$60="Nantes")*(('08_Moteur'!$D$3:$D$60="M1")+('08_Moteur'!$D$3:$D$60="M2"))*'08_Moteur'!$AI$3:$AI$60)</f>
        <v/>
      </c>
      <c r="G11" s="78">
        <f>IFERROR(SUMPRODUCT(('08_Moteur'!$A$3:$A$60="MBway")*('08_Moteur'!$B$3:$B$60="Nantes")*(('08_Moteur'!$D$3:$D$60="M1")+('08_Moteur'!$D$3:$D$60="M2"))*'08_Moteur'!$AI$3:$AI$60*'08_Moteur'!$O$3:$O$60)/F11,0)</f>
        <v/>
      </c>
      <c r="H11" s="54">
        <f>IF(E11&lt;=0,0,MAX(1,ROUNDUP(E11/G11,0)))</f>
        <v/>
      </c>
      <c r="I11" s="57">
        <f>MAX(0,F11-H11)</f>
        <v/>
      </c>
      <c r="J11" s="21">
        <f>IFERROR(SUMPRODUCT(('08_Moteur'!$A$3:$A$60="MBway")*('08_Moteur'!$B$3:$B$60="Nantes")*(('08_Moteur'!$D$3:$D$60="M1")+('08_Moteur'!$D$3:$D$60="M2"))*'08_Moteur'!$AJ$3:$AJ$60)/F11,0)</f>
        <v/>
      </c>
      <c r="K11" s="20">
        <f>I11*J11*$G$4</f>
        <v/>
      </c>
    </row>
    <row r="12">
      <c r="B12" s="51" t="inlineStr">
        <is>
          <t>MBway</t>
        </is>
      </c>
      <c r="C12" s="10" t="inlineStr">
        <is>
          <t>Bordeaux</t>
        </is>
      </c>
      <c r="D12" s="10" t="inlineStr">
        <is>
          <t>Bachelor</t>
        </is>
      </c>
      <c r="E12" s="54">
        <f>SUMPRODUCT(('08_Moteur'!$A$3:$A$60="MBway")*('08_Moteur'!$B$3:$B$60="Bordeaux")*(('08_Moteur'!$D$3:$D$60="B1")+('08_Moteur'!$D$3:$D$60="B2")+('08_Moteur'!$D$3:$D$60="B3"))*'08_Moteur'!$AD$3:$AD$60)</f>
        <v/>
      </c>
      <c r="F12" s="54">
        <f>SUMPRODUCT(('08_Moteur'!$A$3:$A$60="MBway")*('08_Moteur'!$B$3:$B$60="Bordeaux")*(('08_Moteur'!$D$3:$D$60="B1")+('08_Moteur'!$D$3:$D$60="B2")+('08_Moteur'!$D$3:$D$60="B3"))*'08_Moteur'!$AI$3:$AI$60)</f>
        <v/>
      </c>
      <c r="G12" s="78">
        <f>IFERROR(SUMPRODUCT(('08_Moteur'!$A$3:$A$60="MBway")*('08_Moteur'!$B$3:$B$60="Bordeaux")*(('08_Moteur'!$D$3:$D$60="B1")+('08_Moteur'!$D$3:$D$60="B2")+('08_Moteur'!$D$3:$D$60="B3"))*'08_Moteur'!$AI$3:$AI$60*'08_Moteur'!$O$3:$O$60)/F12,0)</f>
        <v/>
      </c>
      <c r="H12" s="54">
        <f>IF(E12&lt;=0,0,MAX(1,ROUNDUP(E12/G12,0)))</f>
        <v/>
      </c>
      <c r="I12" s="57">
        <f>MAX(0,F12-H12)</f>
        <v/>
      </c>
      <c r="J12" s="21">
        <f>IFERROR(SUMPRODUCT(('08_Moteur'!$A$3:$A$60="MBway")*('08_Moteur'!$B$3:$B$60="Bordeaux")*(('08_Moteur'!$D$3:$D$60="B1")+('08_Moteur'!$D$3:$D$60="B2")+('08_Moteur'!$D$3:$D$60="B3"))*'08_Moteur'!$AJ$3:$AJ$60)/F12,0)</f>
        <v/>
      </c>
      <c r="K12" s="20">
        <f>I12*J12*$G$4</f>
        <v/>
      </c>
    </row>
    <row r="13">
      <c r="B13" s="51" t="inlineStr">
        <is>
          <t>MBway</t>
        </is>
      </c>
      <c r="C13" s="10" t="inlineStr">
        <is>
          <t>Bordeaux</t>
        </is>
      </c>
      <c r="D13" s="10" t="inlineStr">
        <is>
          <t>Mastère</t>
        </is>
      </c>
      <c r="E13" s="54">
        <f>SUMPRODUCT(('08_Moteur'!$A$3:$A$60="MBway")*('08_Moteur'!$B$3:$B$60="Bordeaux")*(('08_Moteur'!$D$3:$D$60="M1")+('08_Moteur'!$D$3:$D$60="M2"))*'08_Moteur'!$AD$3:$AD$60)</f>
        <v/>
      </c>
      <c r="F13" s="54">
        <f>SUMPRODUCT(('08_Moteur'!$A$3:$A$60="MBway")*('08_Moteur'!$B$3:$B$60="Bordeaux")*(('08_Moteur'!$D$3:$D$60="M1")+('08_Moteur'!$D$3:$D$60="M2"))*'08_Moteur'!$AI$3:$AI$60)</f>
        <v/>
      </c>
      <c r="G13" s="78">
        <f>IFERROR(SUMPRODUCT(('08_Moteur'!$A$3:$A$60="MBway")*('08_Moteur'!$B$3:$B$60="Bordeaux")*(('08_Moteur'!$D$3:$D$60="M1")+('08_Moteur'!$D$3:$D$60="M2"))*'08_Moteur'!$AI$3:$AI$60*'08_Moteur'!$O$3:$O$60)/F13,0)</f>
        <v/>
      </c>
      <c r="H13" s="54">
        <f>IF(E13&lt;=0,0,MAX(1,ROUNDUP(E13/G13,0)))</f>
        <v/>
      </c>
      <c r="I13" s="57">
        <f>MAX(0,F13-H13)</f>
        <v/>
      </c>
      <c r="J13" s="21">
        <f>IFERROR(SUMPRODUCT(('08_Moteur'!$A$3:$A$60="MBway")*('08_Moteur'!$B$3:$B$60="Bordeaux")*(('08_Moteur'!$D$3:$D$60="M1")+('08_Moteur'!$D$3:$D$60="M2"))*'08_Moteur'!$AJ$3:$AJ$60)/F13,0)</f>
        <v/>
      </c>
      <c r="K13" s="20">
        <f>I13*J13*$G$4</f>
        <v/>
      </c>
    </row>
    <row r="14">
      <c r="B14" s="51" t="inlineStr">
        <is>
          <t>ISCOM</t>
        </is>
      </c>
      <c r="C14" s="10" t="inlineStr">
        <is>
          <t>Paris</t>
        </is>
      </c>
      <c r="D14" s="10" t="inlineStr">
        <is>
          <t>Bachelor</t>
        </is>
      </c>
      <c r="E14" s="54">
        <f>SUMPRODUCT(('08_Moteur'!$A$3:$A$60="ISCOM")*('08_Moteur'!$B$3:$B$60="Paris")*(('08_Moteur'!$D$3:$D$60="B1")+('08_Moteur'!$D$3:$D$60="B2")+('08_Moteur'!$D$3:$D$60="B3"))*'08_Moteur'!$AD$3:$AD$60)</f>
        <v/>
      </c>
      <c r="F14" s="54">
        <f>SUMPRODUCT(('08_Moteur'!$A$3:$A$60="ISCOM")*('08_Moteur'!$B$3:$B$60="Paris")*(('08_Moteur'!$D$3:$D$60="B1")+('08_Moteur'!$D$3:$D$60="B2")+('08_Moteur'!$D$3:$D$60="B3"))*'08_Moteur'!$AI$3:$AI$60)</f>
        <v/>
      </c>
      <c r="G14" s="78">
        <f>IFERROR(SUMPRODUCT(('08_Moteur'!$A$3:$A$60="ISCOM")*('08_Moteur'!$B$3:$B$60="Paris")*(('08_Moteur'!$D$3:$D$60="B1")+('08_Moteur'!$D$3:$D$60="B2")+('08_Moteur'!$D$3:$D$60="B3"))*'08_Moteur'!$AI$3:$AI$60*'08_Moteur'!$O$3:$O$60)/F14,0)</f>
        <v/>
      </c>
      <c r="H14" s="54">
        <f>IF(E14&lt;=0,0,MAX(1,ROUNDUP(E14/G14,0)))</f>
        <v/>
      </c>
      <c r="I14" s="57">
        <f>MAX(0,F14-H14)</f>
        <v/>
      </c>
      <c r="J14" s="21">
        <f>IFERROR(SUMPRODUCT(('08_Moteur'!$A$3:$A$60="ISCOM")*('08_Moteur'!$B$3:$B$60="Paris")*(('08_Moteur'!$D$3:$D$60="B1")+('08_Moteur'!$D$3:$D$60="B2")+('08_Moteur'!$D$3:$D$60="B3"))*'08_Moteur'!$AJ$3:$AJ$60)/F14,0)</f>
        <v/>
      </c>
      <c r="K14" s="20">
        <f>I14*J14*$G$4</f>
        <v/>
      </c>
    </row>
    <row r="15">
      <c r="B15" s="51" t="inlineStr">
        <is>
          <t>ISCOM</t>
        </is>
      </c>
      <c r="C15" s="10" t="inlineStr">
        <is>
          <t>Paris</t>
        </is>
      </c>
      <c r="D15" s="10" t="inlineStr">
        <is>
          <t>Mastère</t>
        </is>
      </c>
      <c r="E15" s="54">
        <f>SUMPRODUCT(('08_Moteur'!$A$3:$A$60="ISCOM")*('08_Moteur'!$B$3:$B$60="Paris")*(('08_Moteur'!$D$3:$D$60="M1")+('08_Moteur'!$D$3:$D$60="M2"))*'08_Moteur'!$AD$3:$AD$60)</f>
        <v/>
      </c>
      <c r="F15" s="54">
        <f>SUMPRODUCT(('08_Moteur'!$A$3:$A$60="ISCOM")*('08_Moteur'!$B$3:$B$60="Paris")*(('08_Moteur'!$D$3:$D$60="M1")+('08_Moteur'!$D$3:$D$60="M2"))*'08_Moteur'!$AI$3:$AI$60)</f>
        <v/>
      </c>
      <c r="G15" s="78">
        <f>IFERROR(SUMPRODUCT(('08_Moteur'!$A$3:$A$60="ISCOM")*('08_Moteur'!$B$3:$B$60="Paris")*(('08_Moteur'!$D$3:$D$60="M1")+('08_Moteur'!$D$3:$D$60="M2"))*'08_Moteur'!$AI$3:$AI$60*'08_Moteur'!$O$3:$O$60)/F15,0)</f>
        <v/>
      </c>
      <c r="H15" s="54">
        <f>IF(E15&lt;=0,0,MAX(1,ROUNDUP(E15/G15,0)))</f>
        <v/>
      </c>
      <c r="I15" s="57">
        <f>MAX(0,F15-H15)</f>
        <v/>
      </c>
      <c r="J15" s="21">
        <f>IFERROR(SUMPRODUCT(('08_Moteur'!$A$3:$A$60="ISCOM")*('08_Moteur'!$B$3:$B$60="Paris")*(('08_Moteur'!$D$3:$D$60="M1")+('08_Moteur'!$D$3:$D$60="M2"))*'08_Moteur'!$AJ$3:$AJ$60)/F15,0)</f>
        <v/>
      </c>
      <c r="K15" s="20">
        <f>I15*J15*$G$4</f>
        <v/>
      </c>
    </row>
    <row r="16">
      <c r="B16" s="51" t="inlineStr">
        <is>
          <t>ISCOM</t>
        </is>
      </c>
      <c r="C16" s="10" t="inlineStr">
        <is>
          <t>Lille</t>
        </is>
      </c>
      <c r="D16" s="10" t="inlineStr">
        <is>
          <t>Bachelor</t>
        </is>
      </c>
      <c r="E16" s="54">
        <f>SUMPRODUCT(('08_Moteur'!$A$3:$A$60="ISCOM")*('08_Moteur'!$B$3:$B$60="Lille")*(('08_Moteur'!$D$3:$D$60="B1")+('08_Moteur'!$D$3:$D$60="B2")+('08_Moteur'!$D$3:$D$60="B3"))*'08_Moteur'!$AD$3:$AD$60)</f>
        <v/>
      </c>
      <c r="F16" s="54">
        <f>SUMPRODUCT(('08_Moteur'!$A$3:$A$60="ISCOM")*('08_Moteur'!$B$3:$B$60="Lille")*(('08_Moteur'!$D$3:$D$60="B1")+('08_Moteur'!$D$3:$D$60="B2")+('08_Moteur'!$D$3:$D$60="B3"))*'08_Moteur'!$AI$3:$AI$60)</f>
        <v/>
      </c>
      <c r="G16" s="78">
        <f>IFERROR(SUMPRODUCT(('08_Moteur'!$A$3:$A$60="ISCOM")*('08_Moteur'!$B$3:$B$60="Lille")*(('08_Moteur'!$D$3:$D$60="B1")+('08_Moteur'!$D$3:$D$60="B2")+('08_Moteur'!$D$3:$D$60="B3"))*'08_Moteur'!$AI$3:$AI$60*'08_Moteur'!$O$3:$O$60)/F16,0)</f>
        <v/>
      </c>
      <c r="H16" s="54">
        <f>IF(E16&lt;=0,0,MAX(1,ROUNDUP(E16/G16,0)))</f>
        <v/>
      </c>
      <c r="I16" s="57">
        <f>MAX(0,F16-H16)</f>
        <v/>
      </c>
      <c r="J16" s="21">
        <f>IFERROR(SUMPRODUCT(('08_Moteur'!$A$3:$A$60="ISCOM")*('08_Moteur'!$B$3:$B$60="Lille")*(('08_Moteur'!$D$3:$D$60="B1")+('08_Moteur'!$D$3:$D$60="B2")+('08_Moteur'!$D$3:$D$60="B3"))*'08_Moteur'!$AJ$3:$AJ$60)/F16,0)</f>
        <v/>
      </c>
      <c r="K16" s="20">
        <f>I16*J16*$G$4</f>
        <v/>
      </c>
    </row>
    <row r="17">
      <c r="B17" s="51" t="inlineStr">
        <is>
          <t>ISCOM</t>
        </is>
      </c>
      <c r="C17" s="10" t="inlineStr">
        <is>
          <t>Lille</t>
        </is>
      </c>
      <c r="D17" s="10" t="inlineStr">
        <is>
          <t>Mastère</t>
        </is>
      </c>
      <c r="E17" s="54">
        <f>SUMPRODUCT(('08_Moteur'!$A$3:$A$60="ISCOM")*('08_Moteur'!$B$3:$B$60="Lille")*(('08_Moteur'!$D$3:$D$60="M1")+('08_Moteur'!$D$3:$D$60="M2"))*'08_Moteur'!$AD$3:$AD$60)</f>
        <v/>
      </c>
      <c r="F17" s="54">
        <f>SUMPRODUCT(('08_Moteur'!$A$3:$A$60="ISCOM")*('08_Moteur'!$B$3:$B$60="Lille")*(('08_Moteur'!$D$3:$D$60="M1")+('08_Moteur'!$D$3:$D$60="M2"))*'08_Moteur'!$AI$3:$AI$60)</f>
        <v/>
      </c>
      <c r="G17" s="78">
        <f>IFERROR(SUMPRODUCT(('08_Moteur'!$A$3:$A$60="ISCOM")*('08_Moteur'!$B$3:$B$60="Lille")*(('08_Moteur'!$D$3:$D$60="M1")+('08_Moteur'!$D$3:$D$60="M2"))*'08_Moteur'!$AI$3:$AI$60*'08_Moteur'!$O$3:$O$60)/F17,0)</f>
        <v/>
      </c>
      <c r="H17" s="54">
        <f>IF(E17&lt;=0,0,MAX(1,ROUNDUP(E17/G17,0)))</f>
        <v/>
      </c>
      <c r="I17" s="57">
        <f>MAX(0,F17-H17)</f>
        <v/>
      </c>
      <c r="J17" s="21">
        <f>IFERROR(SUMPRODUCT(('08_Moteur'!$A$3:$A$60="ISCOM")*('08_Moteur'!$B$3:$B$60="Lille")*(('08_Moteur'!$D$3:$D$60="M1")+('08_Moteur'!$D$3:$D$60="M2"))*'08_Moteur'!$AJ$3:$AJ$60)/F17,0)</f>
        <v/>
      </c>
      <c r="K17" s="20">
        <f>I17*J17*$G$4</f>
        <v/>
      </c>
    </row>
    <row r="18">
      <c r="B18" s="51" t="inlineStr">
        <is>
          <t>ISCOM</t>
        </is>
      </c>
      <c r="C18" s="10" t="inlineStr">
        <is>
          <t>Toulouse</t>
        </is>
      </c>
      <c r="D18" s="10" t="inlineStr">
        <is>
          <t>Bachelor</t>
        </is>
      </c>
      <c r="E18" s="54">
        <f>SUMPRODUCT(('08_Moteur'!$A$3:$A$60="ISCOM")*('08_Moteur'!$B$3:$B$60="Toulouse")*(('08_Moteur'!$D$3:$D$60="B1")+('08_Moteur'!$D$3:$D$60="B2")+('08_Moteur'!$D$3:$D$60="B3"))*'08_Moteur'!$AD$3:$AD$60)</f>
        <v/>
      </c>
      <c r="F18" s="54">
        <f>SUMPRODUCT(('08_Moteur'!$A$3:$A$60="ISCOM")*('08_Moteur'!$B$3:$B$60="Toulouse")*(('08_Moteur'!$D$3:$D$60="B1")+('08_Moteur'!$D$3:$D$60="B2")+('08_Moteur'!$D$3:$D$60="B3"))*'08_Moteur'!$AI$3:$AI$60)</f>
        <v/>
      </c>
      <c r="G18" s="78">
        <f>IFERROR(SUMPRODUCT(('08_Moteur'!$A$3:$A$60="ISCOM")*('08_Moteur'!$B$3:$B$60="Toulouse")*(('08_Moteur'!$D$3:$D$60="B1")+('08_Moteur'!$D$3:$D$60="B2")+('08_Moteur'!$D$3:$D$60="B3"))*'08_Moteur'!$AI$3:$AI$60*'08_Moteur'!$O$3:$O$60)/F18,0)</f>
        <v/>
      </c>
      <c r="H18" s="54">
        <f>IF(E18&lt;=0,0,MAX(1,ROUNDUP(E18/G18,0)))</f>
        <v/>
      </c>
      <c r="I18" s="57">
        <f>MAX(0,F18-H18)</f>
        <v/>
      </c>
      <c r="J18" s="21">
        <f>IFERROR(SUMPRODUCT(('08_Moteur'!$A$3:$A$60="ISCOM")*('08_Moteur'!$B$3:$B$60="Toulouse")*(('08_Moteur'!$D$3:$D$60="B1")+('08_Moteur'!$D$3:$D$60="B2")+('08_Moteur'!$D$3:$D$60="B3"))*'08_Moteur'!$AJ$3:$AJ$60)/F18,0)</f>
        <v/>
      </c>
      <c r="K18" s="20">
        <f>I18*J18*$G$4</f>
        <v/>
      </c>
    </row>
    <row r="19">
      <c r="B19" s="51" t="inlineStr">
        <is>
          <t>ISCOM</t>
        </is>
      </c>
      <c r="C19" s="10" t="inlineStr">
        <is>
          <t>Toulouse</t>
        </is>
      </c>
      <c r="D19" s="10" t="inlineStr">
        <is>
          <t>Mastère</t>
        </is>
      </c>
      <c r="E19" s="54">
        <f>SUMPRODUCT(('08_Moteur'!$A$3:$A$60="ISCOM")*('08_Moteur'!$B$3:$B$60="Toulouse")*(('08_Moteur'!$D$3:$D$60="M1")+('08_Moteur'!$D$3:$D$60="M2"))*'08_Moteur'!$AD$3:$AD$60)</f>
        <v/>
      </c>
      <c r="F19" s="54">
        <f>SUMPRODUCT(('08_Moteur'!$A$3:$A$60="ISCOM")*('08_Moteur'!$B$3:$B$60="Toulouse")*(('08_Moteur'!$D$3:$D$60="M1")+('08_Moteur'!$D$3:$D$60="M2"))*'08_Moteur'!$AI$3:$AI$60)</f>
        <v/>
      </c>
      <c r="G19" s="78">
        <f>IFERROR(SUMPRODUCT(('08_Moteur'!$A$3:$A$60="ISCOM")*('08_Moteur'!$B$3:$B$60="Toulouse")*(('08_Moteur'!$D$3:$D$60="M1")+('08_Moteur'!$D$3:$D$60="M2"))*'08_Moteur'!$AI$3:$AI$60*'08_Moteur'!$O$3:$O$60)/F19,0)</f>
        <v/>
      </c>
      <c r="H19" s="54">
        <f>IF(E19&lt;=0,0,MAX(1,ROUNDUP(E19/G19,0)))</f>
        <v/>
      </c>
      <c r="I19" s="57">
        <f>MAX(0,F19-H19)</f>
        <v/>
      </c>
      <c r="J19" s="21">
        <f>IFERROR(SUMPRODUCT(('08_Moteur'!$A$3:$A$60="ISCOM")*('08_Moteur'!$B$3:$B$60="Toulouse")*(('08_Moteur'!$D$3:$D$60="M1")+('08_Moteur'!$D$3:$D$60="M2"))*'08_Moteur'!$AJ$3:$AJ$60)/F19,0)</f>
        <v/>
      </c>
      <c r="K19" s="20">
        <f>I19*J19*$G$4</f>
        <v/>
      </c>
    </row>
    <row r="20">
      <c r="B20" s="51" t="inlineStr">
        <is>
          <t>Ipac Bachelor Factory</t>
        </is>
      </c>
      <c r="C20" s="10" t="inlineStr">
        <is>
          <t>Nantes</t>
        </is>
      </c>
      <c r="D20" s="10" t="inlineStr">
        <is>
          <t>Bachelor</t>
        </is>
      </c>
      <c r="E20" s="54">
        <f>SUMPRODUCT(('08_Moteur'!$A$3:$A$60="Ipac Bachelor Factory")*('08_Moteur'!$B$3:$B$60="Nantes")*(('08_Moteur'!$D$3:$D$60="B1")+('08_Moteur'!$D$3:$D$60="B2")+('08_Moteur'!$D$3:$D$60="B3"))*'08_Moteur'!$AD$3:$AD$60)</f>
        <v/>
      </c>
      <c r="F20" s="54">
        <f>SUMPRODUCT(('08_Moteur'!$A$3:$A$60="Ipac Bachelor Factory")*('08_Moteur'!$B$3:$B$60="Nantes")*(('08_Moteur'!$D$3:$D$60="B1")+('08_Moteur'!$D$3:$D$60="B2")+('08_Moteur'!$D$3:$D$60="B3"))*'08_Moteur'!$AI$3:$AI$60)</f>
        <v/>
      </c>
      <c r="G20" s="78">
        <f>IFERROR(SUMPRODUCT(('08_Moteur'!$A$3:$A$60="Ipac Bachelor Factory")*('08_Moteur'!$B$3:$B$60="Nantes")*(('08_Moteur'!$D$3:$D$60="B1")+('08_Moteur'!$D$3:$D$60="B2")+('08_Moteur'!$D$3:$D$60="B3"))*'08_Moteur'!$AI$3:$AI$60*'08_Moteur'!$O$3:$O$60)/F20,0)</f>
        <v/>
      </c>
      <c r="H20" s="54">
        <f>IF(E20&lt;=0,0,MAX(1,ROUNDUP(E20/G20,0)))</f>
        <v/>
      </c>
      <c r="I20" s="57">
        <f>MAX(0,F20-H20)</f>
        <v/>
      </c>
      <c r="J20" s="21">
        <f>IFERROR(SUMPRODUCT(('08_Moteur'!$A$3:$A$60="Ipac Bachelor Factory")*('08_Moteur'!$B$3:$B$60="Nantes")*(('08_Moteur'!$D$3:$D$60="B1")+('08_Moteur'!$D$3:$D$60="B2")+('08_Moteur'!$D$3:$D$60="B3"))*'08_Moteur'!$AJ$3:$AJ$60)/F20,0)</f>
        <v/>
      </c>
      <c r="K20" s="20">
        <f>I20*J20*$G$4</f>
        <v/>
      </c>
    </row>
    <row r="21">
      <c r="B21" s="51" t="inlineStr">
        <is>
          <t>Ipac Bachelor Factory</t>
        </is>
      </c>
      <c r="C21" s="10" t="inlineStr">
        <is>
          <t>Rennes</t>
        </is>
      </c>
      <c r="D21" s="10" t="inlineStr">
        <is>
          <t>Bachelor</t>
        </is>
      </c>
      <c r="E21" s="54">
        <f>SUMPRODUCT(('08_Moteur'!$A$3:$A$60="Ipac Bachelor Factory")*('08_Moteur'!$B$3:$B$60="Rennes")*(('08_Moteur'!$D$3:$D$60="B1")+('08_Moteur'!$D$3:$D$60="B2")+('08_Moteur'!$D$3:$D$60="B3"))*'08_Moteur'!$AD$3:$AD$60)</f>
        <v/>
      </c>
      <c r="F21" s="54">
        <f>SUMPRODUCT(('08_Moteur'!$A$3:$A$60="Ipac Bachelor Factory")*('08_Moteur'!$B$3:$B$60="Rennes")*(('08_Moteur'!$D$3:$D$60="B1")+('08_Moteur'!$D$3:$D$60="B2")+('08_Moteur'!$D$3:$D$60="B3"))*'08_Moteur'!$AI$3:$AI$60)</f>
        <v/>
      </c>
      <c r="G21" s="78">
        <f>IFERROR(SUMPRODUCT(('08_Moteur'!$A$3:$A$60="Ipac Bachelor Factory")*('08_Moteur'!$B$3:$B$60="Rennes")*(('08_Moteur'!$D$3:$D$60="B1")+('08_Moteur'!$D$3:$D$60="B2")+('08_Moteur'!$D$3:$D$60="B3"))*'08_Moteur'!$AI$3:$AI$60*'08_Moteur'!$O$3:$O$60)/F21,0)</f>
        <v/>
      </c>
      <c r="H21" s="54">
        <f>IF(E21&lt;=0,0,MAX(1,ROUNDUP(E21/G21,0)))</f>
        <v/>
      </c>
      <c r="I21" s="57">
        <f>MAX(0,F21-H21)</f>
        <v/>
      </c>
      <c r="J21" s="21">
        <f>IFERROR(SUMPRODUCT(('08_Moteur'!$A$3:$A$60="Ipac Bachelor Factory")*('08_Moteur'!$B$3:$B$60="Rennes")*(('08_Moteur'!$D$3:$D$60="B1")+('08_Moteur'!$D$3:$D$60="B2")+('08_Moteur'!$D$3:$D$60="B3"))*'08_Moteur'!$AJ$3:$AJ$60)/F21,0)</f>
        <v/>
      </c>
      <c r="K21" s="20">
        <f>I21*J21*$G$4</f>
        <v/>
      </c>
    </row>
    <row r="22">
      <c r="B22" s="51" t="inlineStr">
        <is>
          <t>Ipac Bachelor Factory</t>
        </is>
      </c>
      <c r="C22" s="10" t="inlineStr">
        <is>
          <t>Montpellier</t>
        </is>
      </c>
      <c r="D22" s="10" t="inlineStr">
        <is>
          <t>Bachelor</t>
        </is>
      </c>
      <c r="E22" s="54">
        <f>SUMPRODUCT(('08_Moteur'!$A$3:$A$60="Ipac Bachelor Factory")*('08_Moteur'!$B$3:$B$60="Montpellier")*(('08_Moteur'!$D$3:$D$60="B1")+('08_Moteur'!$D$3:$D$60="B2")+('08_Moteur'!$D$3:$D$60="B3"))*'08_Moteur'!$AD$3:$AD$60)</f>
        <v/>
      </c>
      <c r="F22" s="54">
        <f>SUMPRODUCT(('08_Moteur'!$A$3:$A$60="Ipac Bachelor Factory")*('08_Moteur'!$B$3:$B$60="Montpellier")*(('08_Moteur'!$D$3:$D$60="B1")+('08_Moteur'!$D$3:$D$60="B2")+('08_Moteur'!$D$3:$D$60="B3"))*'08_Moteur'!$AI$3:$AI$60)</f>
        <v/>
      </c>
      <c r="G22" s="78">
        <f>IFERROR(SUMPRODUCT(('08_Moteur'!$A$3:$A$60="Ipac Bachelor Factory")*('08_Moteur'!$B$3:$B$60="Montpellier")*(('08_Moteur'!$D$3:$D$60="B1")+('08_Moteur'!$D$3:$D$60="B2")+('08_Moteur'!$D$3:$D$60="B3"))*'08_Moteur'!$AI$3:$AI$60*'08_Moteur'!$O$3:$O$60)/F22,0)</f>
        <v/>
      </c>
      <c r="H22" s="54">
        <f>IF(E22&lt;=0,0,MAX(1,ROUNDUP(E22/G22,0)))</f>
        <v/>
      </c>
      <c r="I22" s="57">
        <f>MAX(0,F22-H22)</f>
        <v/>
      </c>
      <c r="J22" s="21">
        <f>IFERROR(SUMPRODUCT(('08_Moteur'!$A$3:$A$60="Ipac Bachelor Factory")*('08_Moteur'!$B$3:$B$60="Montpellier")*(('08_Moteur'!$D$3:$D$60="B1")+('08_Moteur'!$D$3:$D$60="B2")+('08_Moteur'!$D$3:$D$60="B3"))*'08_Moteur'!$AJ$3:$AJ$60)/F22,0)</f>
        <v/>
      </c>
      <c r="K22" s="20">
        <f>I22*J22*$G$4</f>
        <v/>
      </c>
    </row>
    <row r="23">
      <c r="B23" s="51" t="inlineStr">
        <is>
          <t>Pigier</t>
        </is>
      </c>
      <c r="C23" s="10" t="inlineStr">
        <is>
          <t>Lyon</t>
        </is>
      </c>
      <c r="D23" s="10" t="inlineStr">
        <is>
          <t>BTS</t>
        </is>
      </c>
      <c r="E23" s="54">
        <f>SUMPRODUCT(('08_Moteur'!$A$3:$A$60="Pigier")*('08_Moteur'!$B$3:$B$60="Lyon")*(('08_Moteur'!$D$3:$D$60="1")+('08_Moteur'!$D$3:$D$60="2"))*'08_Moteur'!$AD$3:$AD$60)</f>
        <v/>
      </c>
      <c r="F23" s="54">
        <f>SUMPRODUCT(('08_Moteur'!$A$3:$A$60="Pigier")*('08_Moteur'!$B$3:$B$60="Lyon")*(('08_Moteur'!$D$3:$D$60="1")+('08_Moteur'!$D$3:$D$60="2"))*'08_Moteur'!$AI$3:$AI$60)</f>
        <v/>
      </c>
      <c r="G23" s="78">
        <f>IFERROR(SUMPRODUCT(('08_Moteur'!$A$3:$A$60="Pigier")*('08_Moteur'!$B$3:$B$60="Lyon")*(('08_Moteur'!$D$3:$D$60="1")+('08_Moteur'!$D$3:$D$60="2"))*'08_Moteur'!$AI$3:$AI$60*'08_Moteur'!$O$3:$O$60)/F23,0)</f>
        <v/>
      </c>
      <c r="H23" s="54">
        <f>IF(E23&lt;=0,0,MAX(1,ROUNDUP(E23/G23,0)))</f>
        <v/>
      </c>
      <c r="I23" s="57">
        <f>MAX(0,F23-H23)</f>
        <v/>
      </c>
      <c r="J23" s="21">
        <f>IFERROR(SUMPRODUCT(('08_Moteur'!$A$3:$A$60="Pigier")*('08_Moteur'!$B$3:$B$60="Lyon")*(('08_Moteur'!$D$3:$D$60="1")+('08_Moteur'!$D$3:$D$60="2"))*'08_Moteur'!$AJ$3:$AJ$60)/F23,0)</f>
        <v/>
      </c>
      <c r="K23" s="20">
        <f>I23*J23*$G$4</f>
        <v/>
      </c>
    </row>
    <row r="24">
      <c r="B24" s="51" t="inlineStr">
        <is>
          <t>Pigier</t>
        </is>
      </c>
      <c r="C24" s="10" t="inlineStr">
        <is>
          <t>Lyon</t>
        </is>
      </c>
      <c r="D24" s="10" t="inlineStr">
        <is>
          <t>Bachelor</t>
        </is>
      </c>
      <c r="E24" s="54">
        <f>SUMPRODUCT(('08_Moteur'!$A$3:$A$60="Pigier")*('08_Moteur'!$B$3:$B$60="Lyon")*(('08_Moteur'!$D$3:$D$60="B1")+('08_Moteur'!$D$3:$D$60="B2")+('08_Moteur'!$D$3:$D$60="B3"))*'08_Moteur'!$AD$3:$AD$60)</f>
        <v/>
      </c>
      <c r="F24" s="54">
        <f>SUMPRODUCT(('08_Moteur'!$A$3:$A$60="Pigier")*('08_Moteur'!$B$3:$B$60="Lyon")*(('08_Moteur'!$D$3:$D$60="B1")+('08_Moteur'!$D$3:$D$60="B2")+('08_Moteur'!$D$3:$D$60="B3"))*'08_Moteur'!$AI$3:$AI$60)</f>
        <v/>
      </c>
      <c r="G24" s="78">
        <f>IFERROR(SUMPRODUCT(('08_Moteur'!$A$3:$A$60="Pigier")*('08_Moteur'!$B$3:$B$60="Lyon")*(('08_Moteur'!$D$3:$D$60="B1")+('08_Moteur'!$D$3:$D$60="B2")+('08_Moteur'!$D$3:$D$60="B3"))*'08_Moteur'!$AI$3:$AI$60*'08_Moteur'!$O$3:$O$60)/F24,0)</f>
        <v/>
      </c>
      <c r="H24" s="54">
        <f>IF(E24&lt;=0,0,MAX(1,ROUNDUP(E24/G24,0)))</f>
        <v/>
      </c>
      <c r="I24" s="57">
        <f>MAX(0,F24-H24)</f>
        <v/>
      </c>
      <c r="J24" s="21">
        <f>IFERROR(SUMPRODUCT(('08_Moteur'!$A$3:$A$60="Pigier")*('08_Moteur'!$B$3:$B$60="Lyon")*(('08_Moteur'!$D$3:$D$60="B1")+('08_Moteur'!$D$3:$D$60="B2")+('08_Moteur'!$D$3:$D$60="B3"))*'08_Moteur'!$AJ$3:$AJ$60)/F24,0)</f>
        <v/>
      </c>
      <c r="K24" s="20">
        <f>I24*J24*$G$4</f>
        <v/>
      </c>
    </row>
    <row r="25">
      <c r="B25" s="51" t="inlineStr">
        <is>
          <t>Pigier</t>
        </is>
      </c>
      <c r="C25" s="10" t="inlineStr">
        <is>
          <t>Bordeaux</t>
        </is>
      </c>
      <c r="D25" s="10" t="inlineStr">
        <is>
          <t>BTS</t>
        </is>
      </c>
      <c r="E25" s="54">
        <f>SUMPRODUCT(('08_Moteur'!$A$3:$A$60="Pigier")*('08_Moteur'!$B$3:$B$60="Bordeaux")*(('08_Moteur'!$D$3:$D$60="1")+('08_Moteur'!$D$3:$D$60="2"))*'08_Moteur'!$AD$3:$AD$60)</f>
        <v/>
      </c>
      <c r="F25" s="54">
        <f>SUMPRODUCT(('08_Moteur'!$A$3:$A$60="Pigier")*('08_Moteur'!$B$3:$B$60="Bordeaux")*(('08_Moteur'!$D$3:$D$60="1")+('08_Moteur'!$D$3:$D$60="2"))*'08_Moteur'!$AI$3:$AI$60)</f>
        <v/>
      </c>
      <c r="G25" s="78">
        <f>IFERROR(SUMPRODUCT(('08_Moteur'!$A$3:$A$60="Pigier")*('08_Moteur'!$B$3:$B$60="Bordeaux")*(('08_Moteur'!$D$3:$D$60="1")+('08_Moteur'!$D$3:$D$60="2"))*'08_Moteur'!$AI$3:$AI$60*'08_Moteur'!$O$3:$O$60)/F25,0)</f>
        <v/>
      </c>
      <c r="H25" s="54">
        <f>IF(E25&lt;=0,0,MAX(1,ROUNDUP(E25/G25,0)))</f>
        <v/>
      </c>
      <c r="I25" s="57">
        <f>MAX(0,F25-H25)</f>
        <v/>
      </c>
      <c r="J25" s="21">
        <f>IFERROR(SUMPRODUCT(('08_Moteur'!$A$3:$A$60="Pigier")*('08_Moteur'!$B$3:$B$60="Bordeaux")*(('08_Moteur'!$D$3:$D$60="1")+('08_Moteur'!$D$3:$D$60="2"))*'08_Moteur'!$AJ$3:$AJ$60)/F25,0)</f>
        <v/>
      </c>
      <c r="K25" s="20">
        <f>I25*J25*$G$4</f>
        <v/>
      </c>
    </row>
    <row r="26">
      <c r="B26" s="51" t="inlineStr">
        <is>
          <t>Pigier</t>
        </is>
      </c>
      <c r="C26" s="10" t="inlineStr">
        <is>
          <t>Bordeaux</t>
        </is>
      </c>
      <c r="D26" s="10" t="inlineStr">
        <is>
          <t>Bachelor</t>
        </is>
      </c>
      <c r="E26" s="54">
        <f>SUMPRODUCT(('08_Moteur'!$A$3:$A$60="Pigier")*('08_Moteur'!$B$3:$B$60="Bordeaux")*(('08_Moteur'!$D$3:$D$60="B1")+('08_Moteur'!$D$3:$D$60="B2")+('08_Moteur'!$D$3:$D$60="B3"))*'08_Moteur'!$AD$3:$AD$60)</f>
        <v/>
      </c>
      <c r="F26" s="54">
        <f>SUMPRODUCT(('08_Moteur'!$A$3:$A$60="Pigier")*('08_Moteur'!$B$3:$B$60="Bordeaux")*(('08_Moteur'!$D$3:$D$60="B1")+('08_Moteur'!$D$3:$D$60="B2")+('08_Moteur'!$D$3:$D$60="B3"))*'08_Moteur'!$AI$3:$AI$60)</f>
        <v/>
      </c>
      <c r="G26" s="78">
        <f>IFERROR(SUMPRODUCT(('08_Moteur'!$A$3:$A$60="Pigier")*('08_Moteur'!$B$3:$B$60="Bordeaux")*(('08_Moteur'!$D$3:$D$60="B1")+('08_Moteur'!$D$3:$D$60="B2")+('08_Moteur'!$D$3:$D$60="B3"))*'08_Moteur'!$AI$3:$AI$60*'08_Moteur'!$O$3:$O$60)/F26,0)</f>
        <v/>
      </c>
      <c r="H26" s="54">
        <f>IF(E26&lt;=0,0,MAX(1,ROUNDUP(E26/G26,0)))</f>
        <v/>
      </c>
      <c r="I26" s="57">
        <f>MAX(0,F26-H26)</f>
        <v/>
      </c>
      <c r="J26" s="21">
        <f>IFERROR(SUMPRODUCT(('08_Moteur'!$A$3:$A$60="Pigier")*('08_Moteur'!$B$3:$B$60="Bordeaux")*(('08_Moteur'!$D$3:$D$60="B1")+('08_Moteur'!$D$3:$D$60="B2")+('08_Moteur'!$D$3:$D$60="B3"))*'08_Moteur'!$AJ$3:$AJ$60)/F26,0)</f>
        <v/>
      </c>
      <c r="K26" s="20">
        <f>I26*J26*$G$4</f>
        <v/>
      </c>
    </row>
    <row r="27">
      <c r="B27" s="51" t="inlineStr">
        <is>
          <t>Tunon</t>
        </is>
      </c>
      <c r="C27" s="10" t="inlineStr">
        <is>
          <t>Paris</t>
        </is>
      </c>
      <c r="D27" s="10" t="inlineStr">
        <is>
          <t>Bachelor</t>
        </is>
      </c>
      <c r="E27" s="54">
        <f>SUMPRODUCT(('08_Moteur'!$A$3:$A$60="Tunon")*('08_Moteur'!$B$3:$B$60="Paris")*(('08_Moteur'!$D$3:$D$60="B1")+('08_Moteur'!$D$3:$D$60="B2")+('08_Moteur'!$D$3:$D$60="B3"))*'08_Moteur'!$AD$3:$AD$60)</f>
        <v/>
      </c>
      <c r="F27" s="54">
        <f>SUMPRODUCT(('08_Moteur'!$A$3:$A$60="Tunon")*('08_Moteur'!$B$3:$B$60="Paris")*(('08_Moteur'!$D$3:$D$60="B1")+('08_Moteur'!$D$3:$D$60="B2")+('08_Moteur'!$D$3:$D$60="B3"))*'08_Moteur'!$AI$3:$AI$60)</f>
        <v/>
      </c>
      <c r="G27" s="78">
        <f>IFERROR(SUMPRODUCT(('08_Moteur'!$A$3:$A$60="Tunon")*('08_Moteur'!$B$3:$B$60="Paris")*(('08_Moteur'!$D$3:$D$60="B1")+('08_Moteur'!$D$3:$D$60="B2")+('08_Moteur'!$D$3:$D$60="B3"))*'08_Moteur'!$AI$3:$AI$60*'08_Moteur'!$O$3:$O$60)/F27,0)</f>
        <v/>
      </c>
      <c r="H27" s="54">
        <f>IF(E27&lt;=0,0,MAX(1,ROUNDUP(E27/G27,0)))</f>
        <v/>
      </c>
      <c r="I27" s="57">
        <f>MAX(0,F27-H27)</f>
        <v/>
      </c>
      <c r="J27" s="21">
        <f>IFERROR(SUMPRODUCT(('08_Moteur'!$A$3:$A$60="Tunon")*('08_Moteur'!$B$3:$B$60="Paris")*(('08_Moteur'!$D$3:$D$60="B1")+('08_Moteur'!$D$3:$D$60="B2")+('08_Moteur'!$D$3:$D$60="B3"))*'08_Moteur'!$AJ$3:$AJ$60)/F27,0)</f>
        <v/>
      </c>
      <c r="K27" s="20">
        <f>I27*J27*$G$4</f>
        <v/>
      </c>
    </row>
    <row r="28">
      <c r="B28" s="51" t="inlineStr">
        <is>
          <t>Tunon</t>
        </is>
      </c>
      <c r="C28" s="10" t="inlineStr">
        <is>
          <t>Lyon</t>
        </is>
      </c>
      <c r="D28" s="10" t="inlineStr">
        <is>
          <t>Bachelor</t>
        </is>
      </c>
      <c r="E28" s="54">
        <f>SUMPRODUCT(('08_Moteur'!$A$3:$A$60="Tunon")*('08_Moteur'!$B$3:$B$60="Lyon")*(('08_Moteur'!$D$3:$D$60="B1")+('08_Moteur'!$D$3:$D$60="B2")+('08_Moteur'!$D$3:$D$60="B3"))*'08_Moteur'!$AD$3:$AD$60)</f>
        <v/>
      </c>
      <c r="F28" s="54">
        <f>SUMPRODUCT(('08_Moteur'!$A$3:$A$60="Tunon")*('08_Moteur'!$B$3:$B$60="Lyon")*(('08_Moteur'!$D$3:$D$60="B1")+('08_Moteur'!$D$3:$D$60="B2")+('08_Moteur'!$D$3:$D$60="B3"))*'08_Moteur'!$AI$3:$AI$60)</f>
        <v/>
      </c>
      <c r="G28" s="78">
        <f>IFERROR(SUMPRODUCT(('08_Moteur'!$A$3:$A$60="Tunon")*('08_Moteur'!$B$3:$B$60="Lyon")*(('08_Moteur'!$D$3:$D$60="B1")+('08_Moteur'!$D$3:$D$60="B2")+('08_Moteur'!$D$3:$D$60="B3"))*'08_Moteur'!$AI$3:$AI$60*'08_Moteur'!$O$3:$O$60)/F28,0)</f>
        <v/>
      </c>
      <c r="H28" s="54">
        <f>IF(E28&lt;=0,0,MAX(1,ROUNDUP(E28/G28,0)))</f>
        <v/>
      </c>
      <c r="I28" s="57">
        <f>MAX(0,F28-H28)</f>
        <v/>
      </c>
      <c r="J28" s="21">
        <f>IFERROR(SUMPRODUCT(('08_Moteur'!$A$3:$A$60="Tunon")*('08_Moteur'!$B$3:$B$60="Lyon")*(('08_Moteur'!$D$3:$D$60="B1")+('08_Moteur'!$D$3:$D$60="B2")+('08_Moteur'!$D$3:$D$60="B3"))*'08_Moteur'!$AJ$3:$AJ$60)/F28,0)</f>
        <v/>
      </c>
      <c r="K28" s="20">
        <f>I28*J28*$G$4</f>
        <v/>
      </c>
    </row>
    <row r="29">
      <c r="B29" s="47" t="inlineStr">
        <is>
          <t>TOTAL</t>
        </is>
      </c>
      <c r="C29" s="48" t="inlineStr">
        <is>
          <t> </t>
        </is>
      </c>
      <c r="D29" s="48" t="inlineStr">
        <is>
          <t> </t>
        </is>
      </c>
      <c r="E29" s="49">
        <f>SUM(E6:E28)</f>
        <v/>
      </c>
      <c r="F29" s="49">
        <f>SUM(F6:F28)</f>
        <v/>
      </c>
      <c r="G29" s="48" t="inlineStr">
        <is>
          <t> </t>
        </is>
      </c>
      <c r="H29" s="49">
        <f>SUM(H6:H28)</f>
        <v/>
      </c>
      <c r="I29" s="49">
        <f>SUM(I6:I28)</f>
        <v/>
      </c>
      <c r="J29" s="48" t="inlineStr">
        <is>
          <t> </t>
        </is>
      </c>
      <c r="K29" s="50">
        <f>SUM(K6:K28)</f>
        <v/>
      </c>
    </row>
    <row r="31">
      <c r="B31" s="15" t="inlineStr">
        <is>
          <t>Économie potentielle totale de mutualisation :</t>
        </is>
      </c>
      <c r="G31" s="25">
        <f>K29</f>
        <v/>
      </c>
      <c r="H31" s="59"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28"/>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1" customWidth="1" min="3" max="3"/>
    <col width="11" customWidth="1" min="4" max="4"/>
    <col width="9" customWidth="1" min="5" max="5"/>
    <col width="12" customWidth="1" min="6" max="6"/>
    <col width="13" customWidth="1" min="7" max="7"/>
    <col width="13" customWidth="1" min="8" max="8"/>
    <col width="13" customWidth="1" min="9" max="9"/>
    <col width="13" customWidth="1" min="10" max="10"/>
    <col width="11" customWidth="1" min="11" max="11"/>
    <col width="10" customWidth="1" min="12" max="12"/>
    <col width="13" customWidth="1" min="13" max="13"/>
    <col width="13" customWidth="1" min="14" max="14"/>
    <col width="11" customWidth="1" min="16" max="16"/>
    <col width="11" customWidth="1" min="17" max="17"/>
    <col width="11" customWidth="1" min="18" max="18"/>
    <col width="11" customWidth="1" min="19" max="19"/>
    <col width="11" customWidth="1" min="20" max="20"/>
  </cols>
  <sheetData>
    <row r="1"/>
    <row r="2" ht="26" customHeight="1">
      <c r="B2" s="1" t="inlineStr">
        <is>
          <t>Allocation EN CASCADE sur un VRAI campus (ISCOM Toulouse) &amp; effet d'une fermeture</t>
        </is>
      </c>
    </row>
    <row r="3" ht="40" customHeight="1">
      <c r="B3" s="2" t="inlineStr">
        <is>
          <t>OBJET DE L'ONGLET : montrer, sur un vrai campus, QUAND fermer une promo est bénéfique (ou pas). Chiffres RÉELS du moteur. La structure NON-ÉVITABLE descend en cascade : groupe → marque au CA → campus au nb d'étudiants → promo au NOMBRE DE CLASSES. On DÉCIDE sur la CONTRIBUTION (évitable) ; le « résultat tout compris » (après structure) n'est qu'informatif. Change l'effectif SCÉNARIO (bleu) : contribution et classes se recalculent.</t>
        </is>
      </c>
    </row>
    <row r="5" ht="20" customHeight="1">
      <c r="B5" s="3" t="inlineStr">
        <is>
          <t>1) Structure non-évitable de ISCOM Toulouse  —  siège groupe cascadé (CA marque → effectif campus) + loyer &amp; permanents directs (réels, feuille 09)</t>
        </is>
      </c>
      <c r="C5" s="4" t="n"/>
      <c r="D5" s="4" t="n"/>
      <c r="E5" s="4" t="n"/>
      <c r="F5" s="4" t="n"/>
      <c r="G5" s="4" t="n"/>
      <c r="H5" s="4" t="n"/>
      <c r="I5" s="4" t="n"/>
      <c r="J5" s="4" t="n"/>
      <c r="K5" s="4" t="n"/>
      <c r="L5" s="4" t="n"/>
      <c r="M5" s="4" t="n"/>
      <c r="N5" s="4" t="n"/>
    </row>
    <row r="6">
      <c r="B6" s="15" t="inlineStr">
        <is>
          <t>Siège / structure centrale GROUPE (réel) :</t>
        </is>
      </c>
      <c r="G6" s="18">
        <f>'01_Cadrage'!$H$25*(1+'01_Cadrage'!$H$20)</f>
        <v/>
      </c>
    </row>
    <row r="7">
      <c r="B7" s="15" t="inlineStr">
        <is>
          <t>× Part ISCOM au CA :</t>
        </is>
      </c>
      <c r="G7" s="73">
        <f>IFERROR(SUMIFS('08_Moteur'!$AH$3:$AH$60,'08_Moteur'!$A$3:$A$60,"ISCOM")/SUM('08_Moteur'!$AH$3:$AH$60),0)</f>
        <v/>
      </c>
      <c r="H7" s="15" t="inlineStr">
        <is>
          <t>→ Siège ISCOM :</t>
        </is>
      </c>
      <c r="I7" s="21">
        <f>G6*G7</f>
        <v/>
      </c>
    </row>
    <row r="8">
      <c r="B8" s="15" t="inlineStr">
        <is>
          <t>× Part Toulouse dans ISCOM (aux effectifs) :</t>
        </is>
      </c>
      <c r="G8" s="73">
        <f>IFERROR(SUMIFS('08_Moteur'!$AD$3:$AD$60,'08_Moteur'!$A$3:$A$60,"ISCOM",'08_Moteur'!$B$3:$B$60,"Toulouse")/SUMIFS('08_Moteur'!$AD$3:$AD$60,'08_Moteur'!$A$3:$A$60,"ISCOM"),0)</f>
        <v/>
      </c>
      <c r="H8" s="15" t="inlineStr">
        <is>
          <t>→ Siège Toulouse :</t>
        </is>
      </c>
      <c r="I8" s="21">
        <f>I7*G8</f>
        <v/>
      </c>
    </row>
    <row r="9">
      <c r="B9" s="15" t="inlineStr">
        <is>
          <t>Loyer Toulouse (réel, feuille 09) :</t>
        </is>
      </c>
      <c r="I9" s="18">
        <f>'09_Allocation'!E12</f>
        <v/>
      </c>
    </row>
    <row r="10">
      <c r="B10" s="15" t="inlineStr">
        <is>
          <t>Permanents Toulouse (réel, feuille 09) :</t>
        </is>
      </c>
      <c r="I10" s="18">
        <f>'09_Allocation'!F12</f>
        <v/>
      </c>
    </row>
    <row r="11">
      <c r="B11" s="15" t="inlineStr">
        <is>
          <t>ENVELOPE Toulouse = siège + loyer + permanents (NON-ÉVITABLE) :</t>
        </is>
      </c>
      <c r="I11" s="50">
        <f>I8+I9+I10</f>
        <v/>
      </c>
    </row>
    <row r="13" ht="20" customHeight="1">
      <c r="B13" s="3" t="inlineStr">
        <is>
          <t>2) Répartition campus → promos AU NOMBRE DE CLASSES + décision  (change l'effectif bleu ; le rouge = résultat tout compris &lt; 0)</t>
        </is>
      </c>
      <c r="C13" s="4" t="n"/>
      <c r="D13" s="4" t="n"/>
      <c r="E13" s="4" t="n"/>
      <c r="F13" s="4" t="n"/>
      <c r="G13" s="4" t="n"/>
      <c r="H13" s="4" t="n"/>
      <c r="I13" s="4" t="n"/>
      <c r="J13" s="4" t="n"/>
      <c r="K13" s="4" t="n"/>
      <c r="L13" s="4" t="n"/>
      <c r="M13" s="4" t="n"/>
      <c r="N13" s="4" t="n"/>
      <c r="P13" s="77" t="inlineStr">
        <is>
          <t>Paramètres unitaires (issus du modèle, feuille 05)</t>
        </is>
      </c>
    </row>
    <row r="14" ht="30" customHeight="1">
      <c r="B14" s="17" t="inlineStr">
        <is>
          <t>Promo (ISCOM Toulouse)</t>
        </is>
      </c>
      <c r="C14" s="17" t="inlineStr">
        <is>
          <t>Eff. réel
(moteur)</t>
        </is>
      </c>
      <c r="D14" s="17" t="inlineStr">
        <is>
          <t>Eff.
scénario</t>
        </is>
      </c>
      <c r="E14" s="17" t="inlineStr">
        <is>
          <t>Classes</t>
        </is>
      </c>
      <c r="F14" s="17" t="inlineStr">
        <is>
          <t>CA</t>
        </is>
      </c>
      <c r="G14" s="17" t="inlineStr">
        <is>
          <t>Contribution
(évitable)</t>
        </is>
      </c>
      <c r="H14" s="17" t="inlineStr">
        <is>
          <t>Struct/classe</t>
        </is>
      </c>
      <c r="I14" s="17" t="inlineStr">
        <is>
          <t>Struct allouée</t>
        </is>
      </c>
      <c r="J14" s="17" t="inlineStr">
        <is>
          <t>Résultat t.c.
(avant)</t>
        </is>
      </c>
      <c r="K14" s="17" t="inlineStr">
        <is>
          <t>Décision</t>
        </is>
      </c>
      <c r="L14" s="17" t="inlineStr">
        <is>
          <t>Cl.
après</t>
        </is>
      </c>
      <c r="M14" s="17" t="inlineStr">
        <is>
          <t>Struct après</t>
        </is>
      </c>
      <c r="N14" s="17" t="inlineStr">
        <is>
          <t>Résultat t.c.
(après)</t>
        </is>
      </c>
      <c r="P14" s="17" t="inlineStr">
        <is>
          <t>Capacité</t>
        </is>
      </c>
      <c r="Q14" s="17" t="inlineStr">
        <is>
          <t>Coût/classe</t>
        </is>
      </c>
      <c r="R14" s="17" t="inlineStr">
        <is>
          <t>Tarif</t>
        </is>
      </c>
      <c r="S14" s="17" t="inlineStr">
        <is>
          <t>Charge/étu</t>
        </is>
      </c>
      <c r="T14" s="17" t="inlineStr">
        <is>
          <t>CAC/étu</t>
        </is>
      </c>
    </row>
    <row r="15">
      <c r="B15" s="8" t="inlineStr">
        <is>
          <t>Bachelor 1 (INIT)</t>
        </is>
      </c>
      <c r="C15" s="52">
        <f>'08_Moteur'!AD33</f>
        <v/>
      </c>
      <c r="D15" s="79" t="n">
        <v>51</v>
      </c>
      <c r="E15" s="54">
        <f>IF(D15&lt;=0,0,MAX(1,ROUNDUP(D15/P15,0)))</f>
        <v/>
      </c>
      <c r="F15" s="21">
        <f>D15*R15</f>
        <v/>
      </c>
      <c r="G15" s="20">
        <f>F15-E15*Q15-D15*S15-D15*T15</f>
        <v/>
      </c>
      <c r="H15" s="21">
        <f>IFERROR($I$11/SUM($E$15:$E$19),0)</f>
        <v/>
      </c>
      <c r="I15" s="21">
        <f>E15*H15</f>
        <v/>
      </c>
      <c r="J15" s="20">
        <f>G15-I15</f>
        <v/>
      </c>
      <c r="K15" s="16" t="inlineStr">
        <is>
          <t>Maintenir</t>
        </is>
      </c>
      <c r="L15" s="54">
        <f>IF(K15="Fermer",0,E15)</f>
        <v/>
      </c>
      <c r="M15" s="21">
        <f>IF(K15="Fermer",0,L15*IFERROR($I$11/SUM($L$15:$L$19),0))</f>
        <v/>
      </c>
      <c r="N15" s="20">
        <f>IF(K15="Fermer",0,G15-M15)</f>
        <v/>
      </c>
      <c r="P15" s="42" t="n">
        <v>32</v>
      </c>
      <c r="Q15" s="45" t="n">
        <v>37200</v>
      </c>
      <c r="R15" s="45" t="n">
        <v>8500</v>
      </c>
      <c r="S15" s="45" t="n">
        <v>1484</v>
      </c>
      <c r="T15" s="45" t="n">
        <v>320</v>
      </c>
    </row>
    <row r="16">
      <c r="B16" s="8" t="inlineStr">
        <is>
          <t>Bachelor 2 (ALT)</t>
        </is>
      </c>
      <c r="C16" s="52">
        <f>'08_Moteur'!AD34</f>
        <v/>
      </c>
      <c r="D16" s="79" t="n">
        <v>44</v>
      </c>
      <c r="E16" s="54">
        <f>IF(D16&lt;=0,0,MAX(1,ROUNDUP(D16/P16,0)))</f>
        <v/>
      </c>
      <c r="F16" s="21">
        <f>D16*R16</f>
        <v/>
      </c>
      <c r="G16" s="20">
        <f>F16-E16*Q16-D16*S16-D16*T16</f>
        <v/>
      </c>
      <c r="H16" s="21">
        <f>IFERROR($I$11/SUM($E$15:$E$19),0)</f>
        <v/>
      </c>
      <c r="I16" s="21">
        <f>E16*H16</f>
        <v/>
      </c>
      <c r="J16" s="20">
        <f>G16-I16</f>
        <v/>
      </c>
      <c r="K16" s="16" t="inlineStr">
        <is>
          <t>Maintenir</t>
        </is>
      </c>
      <c r="L16" s="54">
        <f>IF(K16="Fermer",0,E16)</f>
        <v/>
      </c>
      <c r="M16" s="21">
        <f>IF(K16="Fermer",0,L16*IFERROR($I$11/SUM($L$15:$L$19),0))</f>
        <v/>
      </c>
      <c r="N16" s="20">
        <f>IF(K16="Fermer",0,G16-M16)</f>
        <v/>
      </c>
      <c r="P16" s="42" t="n">
        <v>32</v>
      </c>
      <c r="Q16" s="45" t="n">
        <v>34720</v>
      </c>
      <c r="R16" s="45" t="n">
        <v>8000</v>
      </c>
      <c r="S16" s="45" t="n">
        <v>1484</v>
      </c>
      <c r="T16" s="45" t="n">
        <v>0</v>
      </c>
    </row>
    <row r="17">
      <c r="B17" s="8" t="inlineStr">
        <is>
          <t>Bachelor 3 (ALT)</t>
        </is>
      </c>
      <c r="C17" s="52">
        <f>'08_Moteur'!AD35</f>
        <v/>
      </c>
      <c r="D17" s="79" t="n">
        <v>38</v>
      </c>
      <c r="E17" s="54">
        <f>IF(D17&lt;=0,0,MAX(1,ROUNDUP(D17/P17,0)))</f>
        <v/>
      </c>
      <c r="F17" s="21">
        <f>D17*R17</f>
        <v/>
      </c>
      <c r="G17" s="20">
        <f>F17-E17*Q17-D17*S17-D17*T17</f>
        <v/>
      </c>
      <c r="H17" s="21">
        <f>IFERROR($I$11/SUM($E$15:$E$19),0)</f>
        <v/>
      </c>
      <c r="I17" s="21">
        <f>E17*H17</f>
        <v/>
      </c>
      <c r="J17" s="20">
        <f>G17-I17</f>
        <v/>
      </c>
      <c r="K17" s="16" t="inlineStr">
        <is>
          <t>Maintenir</t>
        </is>
      </c>
      <c r="L17" s="54">
        <f>IF(K17="Fermer",0,E17)</f>
        <v/>
      </c>
      <c r="M17" s="21">
        <f>IF(K17="Fermer",0,L17*IFERROR($I$11/SUM($L$15:$L$19),0))</f>
        <v/>
      </c>
      <c r="N17" s="20">
        <f>IF(K17="Fermer",0,G17-M17)</f>
        <v/>
      </c>
      <c r="P17" s="42" t="n">
        <v>32</v>
      </c>
      <c r="Q17" s="45" t="n">
        <v>32240</v>
      </c>
      <c r="R17" s="45" t="n">
        <v>8000</v>
      </c>
      <c r="S17" s="45" t="n">
        <v>1484</v>
      </c>
      <c r="T17" s="45" t="n">
        <v>0</v>
      </c>
    </row>
    <row r="18">
      <c r="B18" s="8" t="inlineStr">
        <is>
          <t>Mastère 1 (ALT — piège)</t>
        </is>
      </c>
      <c r="C18" s="52">
        <f>'08_Moteur'!AD36</f>
        <v/>
      </c>
      <c r="D18" s="79" t="n">
        <v>31</v>
      </c>
      <c r="E18" s="54">
        <f>IF(D18&lt;=0,0,MAX(1,ROUNDUP(D18/P18,0)))</f>
        <v/>
      </c>
      <c r="F18" s="21">
        <f>D18*R18</f>
        <v/>
      </c>
      <c r="G18" s="20">
        <f>F18-E18*Q18-D18*S18-D18*T18</f>
        <v/>
      </c>
      <c r="H18" s="21">
        <f>IFERROR($I$11/SUM($E$15:$E$19),0)</f>
        <v/>
      </c>
      <c r="I18" s="21">
        <f>E18*H18</f>
        <v/>
      </c>
      <c r="J18" s="20">
        <f>G18-I18</f>
        <v/>
      </c>
      <c r="K18" s="16" t="inlineStr">
        <is>
          <t>Maintenir</t>
        </is>
      </c>
      <c r="L18" s="54">
        <f>IF(K18="Fermer",0,E18)</f>
        <v/>
      </c>
      <c r="M18" s="21">
        <f>IF(K18="Fermer",0,L18*IFERROR($I$11/SUM($L$15:$L$19),0))</f>
        <v/>
      </c>
      <c r="N18" s="20">
        <f>IF(K18="Fermer",0,G18-M18)</f>
        <v/>
      </c>
      <c r="P18" s="42" t="n">
        <v>26</v>
      </c>
      <c r="Q18" s="45" t="n">
        <v>35520</v>
      </c>
      <c r="R18" s="45" t="n">
        <v>9000</v>
      </c>
      <c r="S18" s="45" t="n">
        <v>1604</v>
      </c>
      <c r="T18" s="45" t="n">
        <v>600</v>
      </c>
    </row>
    <row r="19">
      <c r="B19" s="8" t="inlineStr">
        <is>
          <t>Mastère 2 — extinction</t>
        </is>
      </c>
      <c r="C19" s="52">
        <f>'08_Moteur'!AD37</f>
        <v/>
      </c>
      <c r="D19" s="79" t="n">
        <v>4</v>
      </c>
      <c r="E19" s="54">
        <f>IF(D19&lt;=0,0,MAX(1,ROUNDUP(D19/P19,0)))</f>
        <v/>
      </c>
      <c r="F19" s="21">
        <f>D19*R19</f>
        <v/>
      </c>
      <c r="G19" s="20">
        <f>F19-E19*Q19-D19*S19-D19*T19</f>
        <v/>
      </c>
      <c r="H19" s="21">
        <f>IFERROR($I$11/SUM($E$15:$E$19),0)</f>
        <v/>
      </c>
      <c r="I19" s="21">
        <f>E19*H19</f>
        <v/>
      </c>
      <c r="J19" s="20">
        <f>G19-I19</f>
        <v/>
      </c>
      <c r="K19" s="16" t="inlineStr">
        <is>
          <t>Fermer</t>
        </is>
      </c>
      <c r="L19" s="54">
        <f>IF(K19="Fermer",0,E19)</f>
        <v/>
      </c>
      <c r="M19" s="21">
        <f>IF(K19="Fermer",0,L19*IFERROR($I$11/SUM($L$15:$L$19),0))</f>
        <v/>
      </c>
      <c r="N19" s="20">
        <f>IF(K19="Fermer",0,G19-M19)</f>
        <v/>
      </c>
      <c r="P19" s="42" t="n">
        <v>26</v>
      </c>
      <c r="Q19" s="45" t="n">
        <v>32560</v>
      </c>
      <c r="R19" s="45" t="n">
        <v>9000</v>
      </c>
      <c r="S19" s="45" t="n">
        <v>1604</v>
      </c>
      <c r="T19" s="45" t="n">
        <v>0</v>
      </c>
    </row>
    <row r="20">
      <c r="B20" s="47" t="inlineStr">
        <is>
          <t>TOTAL</t>
        </is>
      </c>
      <c r="C20" s="49">
        <f>SUM(C15:C19)</f>
        <v/>
      </c>
      <c r="D20" s="49">
        <f>SUM(D15:D19)</f>
        <v/>
      </c>
      <c r="E20" s="49">
        <f>SUM(E15:E19)</f>
        <v/>
      </c>
      <c r="F20" s="50">
        <f>SUM(F15:F19)</f>
        <v/>
      </c>
      <c r="G20" s="50">
        <f>SUM(G15:G19)</f>
        <v/>
      </c>
      <c r="H20" s="48" t="inlineStr">
        <is>
          <t> </t>
        </is>
      </c>
      <c r="I20" s="50">
        <f>SUM(I15:I19)</f>
        <v/>
      </c>
      <c r="J20" s="50">
        <f>SUM(J15:J19)</f>
        <v/>
      </c>
      <c r="K20" s="48" t="inlineStr">
        <is>
          <t> </t>
        </is>
      </c>
      <c r="L20" s="49">
        <f>SUM(L15:L19)</f>
        <v/>
      </c>
      <c r="M20" s="50">
        <f>SUM(M15:M19)</f>
        <v/>
      </c>
      <c r="N20" s="50">
        <f>SUM(N15:N19)</f>
        <v/>
      </c>
    </row>
    <row r="22">
      <c r="B22" s="15" t="inlineStr">
        <is>
          <t>EBITDA campus AVANT :</t>
        </is>
      </c>
      <c r="F22" s="20">
        <f>SUM(G15:G19)-$I$11</f>
        <v/>
      </c>
      <c r="H22" s="15" t="inlineStr">
        <is>
          <t>EBITDA campus APRÈS :</t>
        </is>
      </c>
      <c r="J22" s="50">
        <f>SUMIFS(G15:G19,K15:K19,"&lt;&gt;Fermer")-$I$11</f>
        <v/>
      </c>
      <c r="M22" s="15" t="inlineStr">
        <is>
          <t>Δ EBITDA :</t>
        </is>
      </c>
      <c r="N22" s="25">
        <f>J22-F22</f>
        <v/>
      </c>
    </row>
    <row r="24">
      <c r="B24" s="12" t="inlineStr">
        <is>
          <t>🧪 LECTURE (vrai campus ISCOM Toulouse, bac à sable). On DÉCIDE sur la CONTRIBUTION (évitable), JAMAIS sur le résultat tout compris. Trois enseignements visibles ici : ① FERMER BÉNÉFIQUE — le Mastère 2 est en EXTINCTION (4 étudiants) : sa CONTRIBUTION est négative (une classe coûte plus qu'elle ne rapporte) → le fermer fait MONTER l'EBITDA campus (Δ = perte évitée). ② EFFET D'ENTRAÎNEMENT — en fermant, la structure non-évitable se redivise sur les classes restantes (÷ nb de classes) → le résultat tout compris du Bachelor 3 (déjà mince) bascule EN ROUGE, alors que l'EBITDA s'est amélioré : c'est un effet d'ALLOCATION comptable, pas une vraie perte. ③ LE PIÈGE — le Mastère 1 est EN ROUGE en résultat tout compris (il porte beaucoup de structure) MAIS sa CONTRIBUTION est POSITIVE (~+119 k€) → il NE FAUT PAS le fermer : le fermer FERAIT PERDRE cette contribution et alourdirait tout le monde. Essaie : mets le Mastère 1 sur « Fermer » → l'EBITDA CHUTE. N'affecte pas le P&amp;L officiel.</t>
        </is>
      </c>
    </row>
    <row r="25"/>
    <row r="26"/>
    <row r="27"/>
    <row r="28"/>
  </sheetData>
  <mergeCells count="14">
    <mergeCell ref="B5:N5"/>
    <mergeCell ref="B7:F7"/>
    <mergeCell ref="B6:F6"/>
    <mergeCell ref="B9:H9"/>
    <mergeCell ref="P13:T13"/>
    <mergeCell ref="H22:I22"/>
    <mergeCell ref="B13:N13"/>
    <mergeCell ref="B10:H10"/>
    <mergeCell ref="B8:F8"/>
    <mergeCell ref="B11:H11"/>
    <mergeCell ref="B24:N28"/>
    <mergeCell ref="B3:N3"/>
    <mergeCell ref="B2:N2"/>
    <mergeCell ref="B22:E22"/>
  </mergeCells>
  <conditionalFormatting sqref="J15:J19">
    <cfRule type="cellIs" priority="1" operator="lessThan" dxfId="0">
      <formula>0</formula>
    </cfRule>
  </conditionalFormatting>
  <conditionalFormatting sqref="N15:N19">
    <cfRule type="cellIs" priority="2" operator="lessThan" dxfId="0">
      <formula>0</formula>
    </cfRule>
  </conditionalFormatting>
  <dataValidations count="1">
    <dataValidation sqref="K15 K16 K17 K18 K19"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1"/>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7" t="inlineStr">
        <is>
          <t>Levier (pas)</t>
        </is>
      </c>
      <c r="C5" s="17" t="inlineStr">
        <is>
          <t>Impact EBITDA</t>
        </is>
      </c>
      <c r="D5" s="17" t="inlineStr">
        <is>
          <t>Lecture</t>
        </is>
      </c>
    </row>
    <row r="6" ht="26" customHeight="1">
      <c r="B6" s="14" t="inlineStr">
        <is>
          <t>+1 % de hausse tarifaire</t>
        </is>
      </c>
      <c r="C6" s="21">
        <f>0.01*SUMPRODUCT('08_Moteur'!$AD$3:$AD$60*'08_Moteur'!$AE$3:$AE$60*'08_Moteur'!$AF$3:$AF$60)</f>
        <v/>
      </c>
      <c r="D6" s="75" t="inlineStr">
        <is>
          <t>Tombe quasi intégralement en EBITDA.</t>
        </is>
      </c>
    </row>
    <row r="7" ht="26" customHeight="1">
      <c r="B7" s="14" t="inlineStr">
        <is>
          <t>+1 point de sécurisation (≤3 mois)</t>
        </is>
      </c>
      <c r="C7" s="21">
        <f>0.01*SUMPRODUCT(('08_Moteur'!$E$3:$E$60="ALT")*'08_Moteur'!$AD$3:$AD$60*'08_Moteur'!$AE$3:$AE$60)*(1-'01_Cadrage'!$H$26)</f>
        <v/>
      </c>
      <c r="D7" s="75" t="inlineStr">
        <is>
          <t>Nul si recouvrement=100 % ; sinon réduit la perte.</t>
        </is>
      </c>
    </row>
    <row r="8" ht="26" customHeight="1">
      <c r="B8" s="14" t="inlineStr">
        <is>
          <t>+1 % de budget marketing</t>
        </is>
      </c>
      <c r="C8" s="21">
        <f>0.01*'01_Cadrage'!$H$29*SUMPRODUCT(('08_Moteur'!$F$3:$F$60=1)*'08_Moteur'!$AM$3:$AM$60)-0.01*SUMPRODUCT(('08_Moteur'!$F$3:$F$60=1)*'08_Moteur'!$H$3:$H$60*'08_Moteur'!$S$3:$S$60*(1+'08_Moteur'!$Y$3:$Y$60))</f>
        <v/>
      </c>
      <c r="D8" s="75" t="inlineStr">
        <is>
          <t>Plus de leads → plus d'inscrits, net du coût.</t>
        </is>
      </c>
    </row>
    <row r="9" ht="26" customHeight="1">
      <c r="B9" s="14" t="inlineStr">
        <is>
          <t>+1 point de taux de passage</t>
        </is>
      </c>
      <c r="C9" s="21">
        <f>0.01*SUMPRODUCT(('08_Moteur'!$F$3:$F$60=0)*'08_Moteur'!$K$3:$K$60)*IFERROR(SUM('08_Moteur'!$AM$3:$AM$60)/SUM('08_Moteur'!$AD$3:$AD$60),0)</f>
        <v/>
      </c>
      <c r="D9" s="75" t="inlineStr">
        <is>
          <t>Rétention : + d'étudiants qui poursuivent.</t>
        </is>
      </c>
    </row>
    <row r="11">
      <c r="B11" s="15" t="inlineStr">
        <is>
          <t>Exposition financement alternance (€ à sécuriser) :</t>
        </is>
      </c>
      <c r="D11" s="80">
        <f>SUMPRODUCT(('08_Moteur'!$E$3:$E$60="ALT")*'08_Moteur'!$AD$3:$AD$60*'08_Moteur'!$AE$3:$AE$60)*(1-'01_Cadrage'!$H$28)</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1"/>
    <row r="2" ht="24" customHeight="1">
      <c r="B2" s="1" t="inlineStr">
        <is>
          <t>Tableau de bord — simulation</t>
        </is>
      </c>
    </row>
    <row r="3">
      <c r="B3" s="15" t="inlineStr">
        <is>
          <t>Scénario :</t>
        </is>
      </c>
      <c r="C3" s="58">
        <f>'01_Cadrage'!D3</f>
        <v/>
      </c>
    </row>
    <row r="5">
      <c r="B5" s="17" t="inlineStr">
        <is>
          <t>Indicateur</t>
        </is>
      </c>
      <c r="C5" s="17" t="inlineStr">
        <is>
          <t>Budget</t>
        </is>
      </c>
      <c r="D5" s="17" t="inlineStr">
        <is>
          <t>N-1</t>
        </is>
      </c>
      <c r="E5" s="17" t="inlineStr">
        <is>
          <t>Évolution</t>
        </is>
      </c>
    </row>
    <row r="6">
      <c r="B6" s="14" t="inlineStr">
        <is>
          <t>Effectif total</t>
        </is>
      </c>
      <c r="C6" s="54">
        <f>SUM('08_Moteur'!$AD$3:$AD$60)</f>
        <v/>
      </c>
      <c r="D6" s="54">
        <f>'07_Structure'!C18</f>
        <v/>
      </c>
      <c r="E6" s="56">
        <f>IFERROR(C6/D6-1,0)</f>
        <v/>
      </c>
    </row>
    <row r="7">
      <c r="B7" s="14" t="inlineStr">
        <is>
          <t>Chiffre d'affaires</t>
        </is>
      </c>
      <c r="C7" s="55">
        <f>SUM('08_Moteur'!$AH$3:$AH$60)</f>
        <v/>
      </c>
      <c r="D7" s="55">
        <f>'07_Structure'!D18</f>
        <v/>
      </c>
      <c r="E7" s="56">
        <f>IFERROR(C7/D7-1,0)</f>
        <v/>
      </c>
    </row>
    <row r="8">
      <c r="B8" s="14" t="inlineStr">
        <is>
          <t>Marge de contribution</t>
        </is>
      </c>
      <c r="C8" s="55">
        <f>SUM('08_Moteur'!$AM$3:$AM$60)</f>
        <v/>
      </c>
      <c r="D8" s="55">
        <f>'07_Structure'!E18</f>
        <v/>
      </c>
      <c r="E8" s="56">
        <f>IFERROR(C8/D8-1,0)</f>
        <v/>
      </c>
    </row>
    <row r="9">
      <c r="B9" s="14" t="inlineStr">
        <is>
          <t>EBITDA</t>
        </is>
      </c>
      <c r="C9" s="55">
        <f>'09_Allocation'!J20</f>
        <v/>
      </c>
      <c r="D9" s="55">
        <f>'07_Structure'!E18-'07_Structure'!F18-'07_Structure'!H18-2000000</f>
        <v/>
      </c>
      <c r="E9" s="56">
        <f>IFERROR(C9/D9-1,0)</f>
        <v/>
      </c>
    </row>
    <row r="10">
      <c r="B10" s="14" t="inlineStr">
        <is>
          <t>Marge EBITDA %</t>
        </is>
      </c>
      <c r="C10" s="56">
        <f>IFERROR('09_Allocation'!J20/SUM('08_Moteur'!$AH$3:$AH$60),0)</f>
        <v/>
      </c>
      <c r="D10" s="56">
        <f>IFERROR(('07_Structure'!E18-'07_Structure'!F18-'07_Structure'!H18-2000000)/'07_Structure'!D18,0)</f>
        <v/>
      </c>
      <c r="E10" s="56">
        <f>C10-D10</f>
        <v/>
      </c>
    </row>
    <row r="11">
      <c r="B11" s="14" t="inlineStr">
        <is>
          <t>Nombre de classes</t>
        </is>
      </c>
      <c r="C11" s="54">
        <f>SUM('08_Moteur'!$AI$3:$AI$60)</f>
        <v/>
      </c>
      <c r="D11" s="54">
        <f>SUM('08_Moteur'!$M$3:$M$60)</f>
        <v/>
      </c>
      <c r="E11" s="56">
        <f>IFERROR(C11/D11-1,0)</f>
        <v/>
      </c>
    </row>
    <row r="12">
      <c r="B12" s="14" t="inlineStr">
        <is>
          <t>Nouveaux inscrits</t>
        </is>
      </c>
      <c r="C12" s="54">
        <f>SUM('08_Moteur'!$AB$3:$AB$60)</f>
        <v/>
      </c>
      <c r="D12" s="54">
        <f>SUM('08_Moteur'!$H$3:$H$60)</f>
        <v/>
      </c>
      <c r="E12" s="56">
        <f>IFERROR(C12/D12-1,0)</f>
        <v/>
      </c>
    </row>
    <row r="13">
      <c r="B13" s="14" t="inlineStr">
        <is>
          <t>Taux d'alternance</t>
        </is>
      </c>
      <c r="C13" s="56">
        <f>IFERROR(SUMPRODUCT(('08_Moteur'!$E$3:$E$60="ALT")*'08_Moteur'!$AD$3:$AD$60)/SUM('08_Moteur'!$AD$3:$AD$60),0)</f>
        <v/>
      </c>
      <c r="D13" s="56">
        <f>IFERROR(SUMPRODUCT(('08_Moteur'!$E$3:$E$60="ALT")*'08_Moteur'!$G$3:$G$60)/SUM('08_Moteur'!$G$3:$G$60),0)</f>
        <v/>
      </c>
      <c r="E13" s="56">
        <f>C13-D13</f>
        <v/>
      </c>
    </row>
    <row r="14">
      <c r="B14" s="14" t="inlineStr">
        <is>
          <t>Taux de sécurisation</t>
        </is>
      </c>
      <c r="C14" s="56">
        <f>'01_Cadrage'!$H$28</f>
        <v/>
      </c>
      <c r="D14" s="56">
        <f>'01_Cadrage'!$H$28</f>
        <v/>
      </c>
      <c r="E14" s="56">
        <f>C14-D14</f>
        <v/>
      </c>
    </row>
    <row r="15">
      <c r="B15" s="81" t="inlineStr">
        <is>
          <t>€ à sécuriser (exposition)</t>
        </is>
      </c>
      <c r="C15" s="82">
        <f>SUMPRODUCT(('08_Moteur'!$E$3:$E$60="ALT")*'08_Moteur'!$AD$3:$AD$60*'08_Moteur'!$AE$3:$AE$60)*(1-'01_Cadrage'!$H$28)</f>
        <v/>
      </c>
      <c r="D15" s="82">
        <f>SUMPRODUCT(('08_Moteur'!$E$3:$E$60="ALT")*'08_Moteur'!$G$3:$G$60*'08_Moteur'!$L$3:$L$60)*(1-'01_Cadrage'!$H$28)</f>
        <v/>
      </c>
      <c r="E15" s="83">
        <f>IFERROR(C15/D15-1,0)</f>
        <v/>
      </c>
    </row>
  </sheetData>
  <mergeCells count="1">
    <mergeCell ref="B2:E2"/>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1"/>
    <row r="2" ht="24" customHeight="1">
      <c r="B2" s="1" t="inlineStr">
        <is>
          <t>Passerelle vers CCH Tagetik</t>
        </is>
      </c>
    </row>
    <row r="4" ht="20" customHeight="1">
      <c r="B4" s="3" t="inlineStr">
        <is>
          <t>Correspondance modèle → Tagetik</t>
        </is>
      </c>
      <c r="C4" s="4" t="n"/>
      <c r="D4" s="4" t="n"/>
    </row>
    <row r="5">
      <c r="B5" s="17" t="inlineStr">
        <is>
          <t>Concept</t>
        </is>
      </c>
      <c r="C5" s="17" t="inlineStr">
        <is>
          <t>Objet Tagetik</t>
        </is>
      </c>
      <c r="D5" s="17" t="inlineStr">
        <is>
          <t>Détail</t>
        </is>
      </c>
    </row>
    <row r="6" ht="28" customHeight="1">
      <c r="B6" s="84" t="inlineStr">
        <is>
          <t>Marque / Campus</t>
        </is>
      </c>
      <c r="C6" s="6" t="inlineStr">
        <is>
          <t>Entity</t>
        </is>
      </c>
      <c r="D6" s="6" t="inlineStr">
        <is>
          <t>Hiérarchie Groupe→Marque→Campus</t>
        </is>
      </c>
    </row>
    <row r="7" ht="28" customHeight="1">
      <c r="B7" s="84" t="inlineStr">
        <is>
          <t>Programme × Année × Modalité</t>
        </is>
      </c>
      <c r="C7" s="6" t="inlineStr">
        <is>
          <t>Dimensions analytiques</t>
        </is>
      </c>
      <c r="D7" s="6" t="inlineStr">
        <is>
          <t>Maille fine, attributs initial/alternance</t>
        </is>
      </c>
    </row>
    <row r="8" ht="28" customHeight="1">
      <c r="B8" s="84" t="inlineStr">
        <is>
          <t>Params (capacité, heures…)</t>
        </is>
      </c>
      <c r="C8" s="6" t="inlineStr">
        <is>
          <t>Attributs de dimension / driver</t>
        </is>
      </c>
      <c r="D8" s="6" t="inlineStr">
        <is>
          <t>Données de référence par programme×année (feuille 05)</t>
        </is>
      </c>
    </row>
    <row r="9" ht="28" customHeight="1">
      <c r="B9" s="84" t="inlineStr">
        <is>
          <t>Historique N-2/N-1</t>
        </is>
      </c>
      <c r="C9" s="6" t="inlineStr">
        <is>
          <t>Category ACTUAL (multi-années)</t>
        </is>
      </c>
      <c r="D9" s="6" t="inlineStr">
        <is>
          <t>Plus de profondeur = élasticité marketing robuste</t>
        </is>
      </c>
    </row>
    <row r="10" ht="28" customHeight="1">
      <c r="B10" s="84" t="inlineStr">
        <is>
          <t>Cohortes / taux de passage</t>
        </is>
      </c>
      <c r="C10" s="6" t="inlineStr">
        <is>
          <t>Règle de calcul</t>
        </is>
      </c>
      <c r="D10" s="6" t="inlineStr">
        <is>
          <t>Progression B1→B2→B3</t>
        </is>
      </c>
    </row>
    <row r="11" ht="28" customHeight="1">
      <c r="B11" s="84" t="inlineStr">
        <is>
          <t>Sécurisation &amp; recouvrement</t>
        </is>
      </c>
      <c r="C11" s="6" t="inlineStr">
        <is>
          <t>Comptes techniques</t>
        </is>
      </c>
      <c r="D11" s="6" t="inlineStr">
        <is>
          <t>Financement alternance, exposition</t>
        </is>
      </c>
    </row>
    <row r="12" ht="28" customHeight="1">
      <c r="B12" s="84" t="inlineStr">
        <is>
          <t>Objectifs (cadrage)</t>
        </is>
      </c>
      <c r="C12" s="6" t="inlineStr">
        <is>
          <t>Version cible + écart</t>
        </is>
      </c>
      <c r="D12" s="6" t="inlineStr">
        <is>
          <t>Top-down vs bottom-up</t>
        </is>
      </c>
    </row>
    <row r="13" ht="28" customHeight="1">
      <c r="B13" s="84" t="inlineStr">
        <is>
          <t>Décisions ouvrir/fermer</t>
        </is>
      </c>
      <c r="C13" s="6" t="inlineStr">
        <is>
          <t>Scénarios / versions</t>
        </is>
      </c>
      <c r="D13" s="6" t="inlineStr">
        <is>
          <t>Simulateur → snapshot</t>
        </is>
      </c>
    </row>
    <row r="14" ht="28" customHeight="1">
      <c r="B14" s="84"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2026-08-12T22:30:01Z</dcterms:created>
  <dcterms:modified xsi:type="dcterms:W3CDTF">2026-08-12T22:30:01Z</dcterms:modified>
</cp:coreProperties>
</file>